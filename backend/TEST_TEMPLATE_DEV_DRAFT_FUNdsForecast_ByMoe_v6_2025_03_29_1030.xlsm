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josephrenner\iCloudDrive\MASTER\Projects (non-dev)\FUNds\1)src\TEST for excel data migration\in dev folder\"/>
    </mc:Choice>
  </mc:AlternateContent>
  <xr:revisionPtr revIDLastSave="0" documentId="8_{0DBA2365-E016-4892-ABEB-15F6650EC209}" xr6:coauthVersionLast="47" xr6:coauthVersionMax="47" xr10:uidLastSave="{00000000-0000-0000-0000-000000000000}"/>
  <bookViews>
    <workbookView xWindow="-120" yWindow="-120" windowWidth="29040" windowHeight="15720" activeTab="7" xr2:uid="{4F25A8F1-0498-4701-9F56-CAD194C71197}"/>
  </bookViews>
  <sheets>
    <sheet name="README" sheetId="14" r:id="rId1"/>
    <sheet name="SUMMARIES→" sheetId="19" r:id="rId2"/>
    <sheet name="NTM" sheetId="5" r:id="rId3"/>
    <sheet name="Balances &amp; Actions" sheetId="50" r:id="rId4"/>
    <sheet name="Visuals" sheetId="83" r:id="rId5"/>
    <sheet name="Archive" sheetId="46" r:id="rId6"/>
    <sheet name="WORKING→" sheetId="18" r:id="rId7"/>
    <sheet name="Assets" sheetId="34" r:id="rId8"/>
    <sheet name="Credit Cards" sheetId="20" r:id="rId9"/>
    <sheet name="Loans" sheetId="15" r:id="rId10"/>
    <sheet name="Loyalty Points &amp; Miles" sheetId="38" r:id="rId11"/>
    <sheet name="Recurring" sheetId="8" r:id="rId12"/>
    <sheet name="Precedents" sheetId="31" r:id="rId13"/>
    <sheet name="Changes" sheetId="23" r:id="rId14"/>
    <sheet name="Planned" sheetId="4" r:id="rId15"/>
    <sheet name="Blanket" sheetId="30" r:id="rId16"/>
    <sheet name="OPTIONAL→" sheetId="84" r:id="rId17"/>
    <sheet name="Ref Data" sheetId="86" r:id="rId18"/>
    <sheet name="Raw" sheetId="85" r:id="rId19"/>
    <sheet name="AD HOC→" sheetId="17" r:id="rId20"/>
    <sheet name="FOOTNOTES→" sheetId="58" r:id="rId21"/>
    <sheet name="Version Change Notes" sheetId="57" r:id="rId22"/>
    <sheet name="DEV STEPS FOR PROD" sheetId="56" r:id="rId23"/>
    <sheet name="INTERMEDIATES→" sheetId="41" r:id="rId24"/>
    <sheet name="recurring1_based on steps" sheetId="24" r:id="rId25"/>
    <sheet name="recurring2_based on steps" sheetId="63" r:id="rId26"/>
    <sheet name="changes1_based on steps" sheetId="80" r:id="rId27"/>
    <sheet name="changes2_based on steps" sheetId="81" r:id="rId28"/>
    <sheet name="recurring_master" sheetId="65" r:id="rId29"/>
    <sheet name="HELPERS→" sheetId="82" r:id="rId30"/>
    <sheet name="Categorized Inputs" sheetId="32" r:id="rId31"/>
    <sheet name="Data Validation" sheetId="55" r:id="rId32"/>
    <sheet name="←DEV HIDE ALL FOR PROD" sheetId="59" r:id="rId33"/>
  </sheets>
  <definedNames>
    <definedName name="_xlnm._FilterDatabase" localSheetId="7" hidden="1">Assets!$B$3:$E$15</definedName>
    <definedName name="_xlnm._FilterDatabase" localSheetId="30" hidden="1">'Categorized Inputs'!$A$1:$E$87</definedName>
    <definedName name="_xlnm._FilterDatabase" localSheetId="13" hidden="1">Changes!$B$3:$G$6</definedName>
    <definedName name="_xlnm._FilterDatabase" localSheetId="8" hidden="1">'Credit Cards'!$B$3:$J$6</definedName>
    <definedName name="_xlnm._FilterDatabase" localSheetId="9" hidden="1">Loans!$B$3:$C$5</definedName>
    <definedName name="_xlnm._FilterDatabase" localSheetId="10" hidden="1">'Loyalty Points &amp; Miles'!$B$3:$I$7</definedName>
    <definedName name="_xlnm._FilterDatabase" localSheetId="14" hidden="1">Planned!$B$3:$F$5</definedName>
    <definedName name="_xlnm._FilterDatabase" localSheetId="18" hidden="1">Raw!$A$3:$F$3</definedName>
    <definedName name="_xlnm._FilterDatabase" localSheetId="11" hidden="1">Recurring!$B$3:$I$53</definedName>
    <definedName name="_xlnm._FilterDatabase" localSheetId="17" hidden="1">'Ref Data'!$A$1:$H$22</definedName>
    <definedName name="_xleta.INDEX" hidden="1" xlm="1">#NAME?</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dex"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b"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_xlfn.LAMBDA(_xlpm.account,VLOOKUP(_xlpm.account,'Credit Cards'!$B:$J,MATCH("Current (T) Due Date",'Credit Cards'!$B$3:$J$3,0),0))</definedName>
    <definedName name="CurrentPayment">_xlfn.LAMBDA(_xlpm.account,VLOOKUP(_xlpm.account,'Credit Cards'!$B:$J,MATCH("Current (T) Payment",'Credit Cards'!$B$3:$J$3,0),0))</definedName>
    <definedName name="Empower">_xlfn.LAMBDA(_xlpm.calc,     _xlfn.LET(_xlpm.category,INDEX(Recurring!$C$1:$C$50,ROW()),     _xlpm.recurrance,INDEX(Recurring!$E$1:$E$50,ROW()),    -INDEX('Ref Data'!$A$1:$N$33,       MATCH(_xlpm.category,'Ref Data'!$B$1:$B$33,0),       MATCH(_xlpm.recurrance&amp;"_"&amp;_xlpm.calc,'Ref Data'!$A$1:$N$1,0))) )</definedName>
    <definedName name="EndOfCurrentMonth">_xlfn.LET(_xlpm.date,EOMONTH(TODAY(),0), _xlpm.day,DAY(EOMONTH(TODAY(),0)), _xlpm.tab,MID(CELL("filename",INDIRECT("A1")),FIND("]",CELL("filename",INDIRECT("A1")))+1,255), _xlpm.index,MATCH(_xlpm.tab,{"Recurring","Credit Cards"},0), CHOOSE(_xlpm.index,_xlpm.date,_xlpm.day))</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_xlfn.LAMBDA(_xlpm.account,VLOOKUP(_xlpm.account,'Credit Cards'!$B:$J,MATCH("T+1 Due Date",'Credit Cards'!$B$3:$J$3,0),0))</definedName>
    <definedName name="NextPayment">_xlfn.LAMBDA(_xlpm.account,VLOOKUP(_xlpm.account,'Credit Cards'!$B:$J,MATCH("T+1 Payment",'Credit Cards'!$B$3:$J$3,0),0))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0" l="1"/>
  <c r="C13" i="30"/>
  <c r="D2" i="55" a="1"/>
  <c r="D2" i="55" s="1"/>
  <c r="I4" i="20" l="1" a="1"/>
  <c r="H4" i="20" a="1"/>
  <c r="H4" i="20" s="1"/>
  <c r="I4" i="20" l="1"/>
  <c r="I14" i="8"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12" i="50"/>
  <c r="C91" i="5" s="1"/>
  <c r="D91" i="5" s="1"/>
  <c r="E91" i="5" s="1"/>
  <c r="F91" i="5" s="1"/>
  <c r="G91" i="5" s="1"/>
  <c r="H91" i="5" s="1"/>
  <c r="I91" i="5" s="1"/>
  <c r="J91" i="5" s="1"/>
  <c r="K91" i="5" s="1"/>
  <c r="L91" i="5" s="1"/>
  <c r="M91" i="5" s="1"/>
  <c r="N91" i="5" s="1"/>
  <c r="D12" i="50" s="1"/>
  <c r="J4" i="20" l="1" a="1"/>
  <c r="C16" i="86"/>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E3" i="65"/>
  <c r="C368" i="65"/>
  <c r="F361" i="65"/>
  <c r="E361" i="65"/>
  <c r="E366" i="65"/>
  <c r="E359" i="65"/>
  <c r="C3" i="65"/>
  <c r="F367" i="65"/>
  <c r="C363" i="65"/>
  <c r="F360" i="65"/>
  <c r="E367" i="65"/>
  <c r="F364" i="65"/>
  <c r="E357" i="65"/>
  <c r="E351" i="65"/>
  <c r="E306" i="65"/>
  <c r="C256" i="65"/>
  <c r="C367" i="65"/>
  <c r="E364" i="65"/>
  <c r="C360" i="65"/>
  <c r="C357" i="65"/>
  <c r="E355" i="65"/>
  <c r="C305" i="65"/>
  <c r="E322" i="65"/>
  <c r="C355" i="65"/>
  <c r="C353" i="65"/>
  <c r="C321" i="65"/>
  <c r="E241" i="65"/>
  <c r="F365" i="65"/>
  <c r="C361" i="65"/>
  <c r="E358" i="65"/>
  <c r="C350" i="65"/>
  <c r="E338" i="65"/>
  <c r="F279" i="65"/>
  <c r="C337" i="65"/>
  <c r="F188" i="65"/>
  <c r="C365" i="65"/>
  <c r="C358" i="65"/>
  <c r="F369" i="65"/>
  <c r="E362" i="65"/>
  <c r="F356" i="65"/>
  <c r="E298" i="65"/>
  <c r="E369" i="65"/>
  <c r="C362" i="65"/>
  <c r="F359" i="65"/>
  <c r="E356" i="65"/>
  <c r="C297" i="65"/>
  <c r="C271" i="65"/>
  <c r="C356" i="65"/>
  <c r="C313" i="65"/>
  <c r="E354" i="65"/>
  <c r="C366" i="65"/>
  <c r="E363" i="65"/>
  <c r="C359" i="65"/>
  <c r="C354" i="65"/>
  <c r="F352" i="65"/>
  <c r="E348" i="65"/>
  <c r="E330" i="65"/>
  <c r="C329" i="65"/>
  <c r="F292" i="65"/>
  <c r="C266" i="65"/>
  <c r="E346" i="65"/>
  <c r="E264" i="65"/>
  <c r="E360" i="65"/>
  <c r="F357" i="65"/>
  <c r="F351" i="65"/>
  <c r="C345" i="65"/>
  <c r="E289" i="65"/>
  <c r="F10" i="65"/>
  <c r="C8" i="65"/>
  <c r="E9" i="65"/>
  <c r="C16" i="65"/>
  <c r="F9" i="65"/>
  <c r="C7" i="65"/>
  <c r="E8" i="65"/>
  <c r="C15" i="65"/>
  <c r="E16" i="65"/>
  <c r="C23" i="65"/>
  <c r="E24" i="65"/>
  <c r="C31" i="65"/>
  <c r="E32" i="65"/>
  <c r="C39" i="65"/>
  <c r="E40" i="65"/>
  <c r="C47" i="65"/>
  <c r="E48" i="65"/>
  <c r="F8" i="65"/>
  <c r="C6" i="65"/>
  <c r="E7" i="65"/>
  <c r="C14" i="65"/>
  <c r="E15" i="65"/>
  <c r="F7" i="65"/>
  <c r="C5" i="65"/>
  <c r="E6" i="65"/>
  <c r="C13" i="65"/>
  <c r="E14" i="65"/>
  <c r="F6" i="65"/>
  <c r="F14" i="65"/>
  <c r="F22" i="65"/>
  <c r="F30" i="65"/>
  <c r="F38" i="65"/>
  <c r="F46" i="65"/>
  <c r="F54" i="65"/>
  <c r="F62" i="65"/>
  <c r="F70" i="65"/>
  <c r="F78" i="65"/>
  <c r="F86" i="65"/>
  <c r="F94" i="65"/>
  <c r="C4" i="65"/>
  <c r="E5" i="65"/>
  <c r="C12" i="65"/>
  <c r="E13" i="65"/>
  <c r="F5" i="65"/>
  <c r="F13" i="65"/>
  <c r="E4" i="65"/>
  <c r="C11" i="65"/>
  <c r="E12" i="65"/>
  <c r="F4" i="65"/>
  <c r="F12" i="65"/>
  <c r="F20" i="65"/>
  <c r="F28" i="65"/>
  <c r="F36" i="65"/>
  <c r="F44" i="65"/>
  <c r="C10" i="65"/>
  <c r="E11" i="65"/>
  <c r="C9" i="65"/>
  <c r="E10" i="65"/>
  <c r="C17" i="65"/>
  <c r="E18" i="65"/>
  <c r="C25" i="65"/>
  <c r="E26" i="65"/>
  <c r="C33" i="65"/>
  <c r="E34" i="65"/>
  <c r="C41" i="65"/>
  <c r="E42" i="65"/>
  <c r="C49" i="65"/>
  <c r="E50" i="65"/>
  <c r="C57" i="65"/>
  <c r="E58" i="65"/>
  <c r="C65" i="65"/>
  <c r="E66" i="65"/>
  <c r="C73" i="65"/>
  <c r="E74" i="65"/>
  <c r="C81" i="65"/>
  <c r="E82" i="65"/>
  <c r="C89" i="65"/>
  <c r="E90" i="65"/>
  <c r="C97" i="65"/>
  <c r="E98" i="65"/>
  <c r="F18" i="65"/>
  <c r="F21" i="65"/>
  <c r="C38" i="65"/>
  <c r="E47" i="65"/>
  <c r="C54" i="65"/>
  <c r="C32" i="65"/>
  <c r="C35" i="65"/>
  <c r="E41" i="65"/>
  <c r="E44" i="65"/>
  <c r="F47" i="65"/>
  <c r="F50" i="65"/>
  <c r="C26" i="65"/>
  <c r="C29" i="65"/>
  <c r="E35" i="65"/>
  <c r="E38" i="65"/>
  <c r="F41" i="65"/>
  <c r="C20" i="65"/>
  <c r="E29" i="65"/>
  <c r="F32" i="65"/>
  <c r="F35" i="65"/>
  <c r="F58" i="65"/>
  <c r="C66" i="65"/>
  <c r="F71" i="65"/>
  <c r="E75" i="65"/>
  <c r="C83" i="65"/>
  <c r="F88" i="65"/>
  <c r="E92" i="65"/>
  <c r="C100" i="65"/>
  <c r="C107" i="65"/>
  <c r="E108" i="65"/>
  <c r="E23" i="65"/>
  <c r="F26" i="65"/>
  <c r="F29" i="65"/>
  <c r="E20" i="65"/>
  <c r="F23" i="65"/>
  <c r="C40" i="65"/>
  <c r="C43" i="65"/>
  <c r="E17" i="65"/>
  <c r="C34" i="65"/>
  <c r="C37" i="65"/>
  <c r="E43" i="65"/>
  <c r="E46" i="65"/>
  <c r="F49" i="65"/>
  <c r="F53" i="65"/>
  <c r="E57" i="65"/>
  <c r="C61" i="65"/>
  <c r="E70" i="65"/>
  <c r="C78" i="65"/>
  <c r="F83" i="65"/>
  <c r="E87" i="65"/>
  <c r="F17" i="65"/>
  <c r="C28" i="65"/>
  <c r="E37" i="65"/>
  <c r="F40" i="65"/>
  <c r="F43" i="65"/>
  <c r="C52" i="65"/>
  <c r="F57" i="65"/>
  <c r="E61" i="65"/>
  <c r="F74" i="65"/>
  <c r="C82" i="65"/>
  <c r="F15" i="65"/>
  <c r="C22" i="65"/>
  <c r="E31" i="65"/>
  <c r="F34" i="65"/>
  <c r="F37" i="65"/>
  <c r="C56" i="65"/>
  <c r="F61" i="65"/>
  <c r="E65" i="65"/>
  <c r="C69" i="65"/>
  <c r="E78" i="65"/>
  <c r="C86" i="65"/>
  <c r="F91" i="65"/>
  <c r="E95" i="65"/>
  <c r="F106" i="65"/>
  <c r="F114" i="65"/>
  <c r="F122" i="65"/>
  <c r="F130" i="65"/>
  <c r="F138" i="65"/>
  <c r="F146" i="65"/>
  <c r="F154" i="65"/>
  <c r="F162" i="65"/>
  <c r="F170" i="65"/>
  <c r="F178" i="65"/>
  <c r="F186" i="65"/>
  <c r="F194" i="65"/>
  <c r="F202" i="65"/>
  <c r="F210" i="65"/>
  <c r="F218" i="65"/>
  <c r="C19" i="65"/>
  <c r="E25" i="65"/>
  <c r="E28" i="65"/>
  <c r="F31" i="65"/>
  <c r="C48" i="65"/>
  <c r="E52" i="65"/>
  <c r="E19" i="65"/>
  <c r="E22" i="65"/>
  <c r="F25" i="65"/>
  <c r="C42" i="65"/>
  <c r="C45" i="65"/>
  <c r="F52" i="65"/>
  <c r="E56" i="65"/>
  <c r="F19" i="65"/>
  <c r="C36" i="65"/>
  <c r="E45" i="65"/>
  <c r="F48" i="65"/>
  <c r="C51" i="65"/>
  <c r="C30" i="65"/>
  <c r="E39" i="65"/>
  <c r="F42" i="65"/>
  <c r="F45" i="65"/>
  <c r="C55" i="65"/>
  <c r="F60" i="65"/>
  <c r="E64" i="65"/>
  <c r="C72" i="65"/>
  <c r="F77" i="65"/>
  <c r="E81" i="65"/>
  <c r="C85" i="65"/>
  <c r="E94" i="65"/>
  <c r="F104" i="65"/>
  <c r="F112" i="65"/>
  <c r="F11" i="65"/>
  <c r="E21" i="65"/>
  <c r="F24" i="65"/>
  <c r="F27" i="65"/>
  <c r="C44" i="65"/>
  <c r="C50" i="65"/>
  <c r="F55" i="65"/>
  <c r="E59" i="65"/>
  <c r="C67" i="65"/>
  <c r="F72" i="65"/>
  <c r="E76" i="65"/>
  <c r="C84" i="65"/>
  <c r="F89" i="65"/>
  <c r="E93" i="65"/>
  <c r="E102" i="65"/>
  <c r="C109" i="65"/>
  <c r="E110" i="65"/>
  <c r="C117" i="65"/>
  <c r="E118" i="65"/>
  <c r="C125" i="65"/>
  <c r="E126" i="65"/>
  <c r="C133" i="65"/>
  <c r="E134" i="65"/>
  <c r="C141" i="65"/>
  <c r="E142" i="65"/>
  <c r="C149" i="65"/>
  <c r="E150" i="65"/>
  <c r="C157" i="65"/>
  <c r="E158" i="65"/>
  <c r="C165" i="65"/>
  <c r="E166" i="65"/>
  <c r="C173" i="65"/>
  <c r="E174" i="65"/>
  <c r="C181" i="65"/>
  <c r="E182" i="65"/>
  <c r="C189" i="65"/>
  <c r="E190" i="65"/>
  <c r="C197" i="65"/>
  <c r="E198" i="65"/>
  <c r="C205" i="65"/>
  <c r="E206" i="65"/>
  <c r="C213" i="65"/>
  <c r="E214" i="65"/>
  <c r="C221" i="65"/>
  <c r="E222" i="65"/>
  <c r="F51" i="65"/>
  <c r="C77" i="65"/>
  <c r="C79" i="65"/>
  <c r="F81" i="65"/>
  <c r="E83" i="65"/>
  <c r="E85" i="65"/>
  <c r="C87" i="65"/>
  <c r="E101" i="65"/>
  <c r="E104" i="65"/>
  <c r="F107" i="65"/>
  <c r="C116" i="65"/>
  <c r="F121" i="65"/>
  <c r="E125" i="65"/>
  <c r="C129" i="65"/>
  <c r="E138" i="65"/>
  <c r="C146" i="65"/>
  <c r="F151" i="65"/>
  <c r="E155" i="65"/>
  <c r="C163" i="65"/>
  <c r="F168" i="65"/>
  <c r="E33" i="65"/>
  <c r="C75" i="65"/>
  <c r="E77" i="65"/>
  <c r="E79" i="65"/>
  <c r="F85" i="65"/>
  <c r="C96" i="65"/>
  <c r="F101" i="65"/>
  <c r="C21" i="65"/>
  <c r="F33" i="65"/>
  <c r="C71" i="65"/>
  <c r="E73" i="65"/>
  <c r="F79" i="65"/>
  <c r="F87" i="65"/>
  <c r="E89" i="65"/>
  <c r="E96" i="65"/>
  <c r="C112" i="65"/>
  <c r="E116" i="65"/>
  <c r="C46" i="65"/>
  <c r="F56" i="65"/>
  <c r="E69" i="65"/>
  <c r="F73" i="65"/>
  <c r="F75" i="65"/>
  <c r="C91" i="65"/>
  <c r="F96" i="65"/>
  <c r="F69" i="65"/>
  <c r="E71" i="65"/>
  <c r="C98" i="65"/>
  <c r="C103" i="65"/>
  <c r="C24" i="65"/>
  <c r="E36" i="65"/>
  <c r="C53" i="65"/>
  <c r="C63" i="65"/>
  <c r="F65" i="65"/>
  <c r="E67" i="65"/>
  <c r="E91" i="65"/>
  <c r="F98" i="65"/>
  <c r="E103" i="65"/>
  <c r="E106" i="65"/>
  <c r="F109" i="65"/>
  <c r="C119" i="65"/>
  <c r="F124" i="65"/>
  <c r="E128" i="65"/>
  <c r="C136" i="65"/>
  <c r="E53" i="65"/>
  <c r="C59" i="65"/>
  <c r="E63" i="65"/>
  <c r="F67" i="65"/>
  <c r="C93" i="65"/>
  <c r="F103" i="65"/>
  <c r="E115" i="65"/>
  <c r="C123" i="65"/>
  <c r="F128" i="65"/>
  <c r="E132" i="65"/>
  <c r="C140" i="65"/>
  <c r="F63" i="65"/>
  <c r="C80" i="65"/>
  <c r="F82" i="65"/>
  <c r="F93" i="65"/>
  <c r="E100" i="65"/>
  <c r="F59" i="65"/>
  <c r="C76" i="65"/>
  <c r="E80" i="65"/>
  <c r="E84" i="65"/>
  <c r="C88" i="65"/>
  <c r="C95" i="65"/>
  <c r="F100" i="65"/>
  <c r="C108" i="65"/>
  <c r="C111" i="65"/>
  <c r="C114" i="65"/>
  <c r="F119" i="65"/>
  <c r="E123" i="65"/>
  <c r="C131" i="65"/>
  <c r="F136" i="65"/>
  <c r="E140" i="65"/>
  <c r="C148" i="65"/>
  <c r="F153" i="65"/>
  <c r="E157" i="65"/>
  <c r="C161" i="65"/>
  <c r="C27" i="65"/>
  <c r="F39" i="65"/>
  <c r="F80" i="65"/>
  <c r="F84" i="65"/>
  <c r="E86" i="65"/>
  <c r="C102" i="65"/>
  <c r="C105" i="65"/>
  <c r="E111" i="65"/>
  <c r="E27" i="65"/>
  <c r="E49" i="65"/>
  <c r="E54" i="65"/>
  <c r="C74" i="65"/>
  <c r="F76" i="65"/>
  <c r="E88" i="65"/>
  <c r="C90" i="65"/>
  <c r="F95" i="65"/>
  <c r="E105" i="65"/>
  <c r="F108" i="65"/>
  <c r="F111" i="65"/>
  <c r="E114" i="65"/>
  <c r="F16" i="65"/>
  <c r="C68" i="65"/>
  <c r="C70" i="65"/>
  <c r="E72" i="65"/>
  <c r="E97" i="65"/>
  <c r="F102" i="65"/>
  <c r="C64" i="65"/>
  <c r="E68" i="65"/>
  <c r="F90" i="65"/>
  <c r="C92" i="65"/>
  <c r="F97" i="65"/>
  <c r="E122" i="65"/>
  <c r="C130" i="65"/>
  <c r="F135" i="65"/>
  <c r="E139" i="65"/>
  <c r="C147" i="65"/>
  <c r="F152" i="65"/>
  <c r="E156" i="65"/>
  <c r="C164" i="65"/>
  <c r="F169" i="65"/>
  <c r="E173" i="65"/>
  <c r="C177" i="65"/>
  <c r="C60" i="65"/>
  <c r="F68" i="65"/>
  <c r="C99" i="65"/>
  <c r="C110" i="65"/>
  <c r="C113" i="65"/>
  <c r="F126" i="65"/>
  <c r="C134" i="65"/>
  <c r="F139" i="65"/>
  <c r="E143" i="65"/>
  <c r="C151" i="65"/>
  <c r="F156" i="65"/>
  <c r="E160" i="65"/>
  <c r="C168" i="65"/>
  <c r="F173" i="65"/>
  <c r="E177" i="65"/>
  <c r="E51" i="65"/>
  <c r="C101" i="65"/>
  <c r="C124" i="65"/>
  <c r="C126" i="65"/>
  <c r="E144" i="65"/>
  <c r="E151" i="65"/>
  <c r="C170" i="65"/>
  <c r="E180" i="65"/>
  <c r="C188" i="65"/>
  <c r="C120" i="65"/>
  <c r="C122" i="65"/>
  <c r="F144" i="65"/>
  <c r="F158" i="65"/>
  <c r="E165" i="65"/>
  <c r="C167" i="65"/>
  <c r="E176" i="65"/>
  <c r="F180" i="65"/>
  <c r="E184" i="65"/>
  <c r="C192" i="65"/>
  <c r="E55" i="65"/>
  <c r="E112" i="65"/>
  <c r="C118" i="65"/>
  <c r="E124" i="65"/>
  <c r="E146" i="65"/>
  <c r="C153" i="65"/>
  <c r="C160" i="65"/>
  <c r="F165" i="65"/>
  <c r="E170" i="65"/>
  <c r="F176" i="65"/>
  <c r="C179" i="65"/>
  <c r="F184" i="65"/>
  <c r="E188" i="65"/>
  <c r="C196" i="65"/>
  <c r="E120" i="65"/>
  <c r="E153" i="65"/>
  <c r="C155" i="65"/>
  <c r="F160" i="65"/>
  <c r="E167" i="65"/>
  <c r="C183" i="65"/>
  <c r="C58" i="65"/>
  <c r="C104" i="65"/>
  <c r="F118" i="65"/>
  <c r="F120" i="65"/>
  <c r="C135" i="65"/>
  <c r="C137" i="65"/>
  <c r="C162" i="65"/>
  <c r="F167" i="65"/>
  <c r="C172" i="65"/>
  <c r="E179" i="65"/>
  <c r="C187" i="65"/>
  <c r="F92" i="65"/>
  <c r="E113" i="65"/>
  <c r="F116" i="65"/>
  <c r="E137" i="65"/>
  <c r="C139" i="65"/>
  <c r="E148" i="65"/>
  <c r="C150" i="65"/>
  <c r="F155" i="65"/>
  <c r="C175" i="65"/>
  <c r="F179" i="65"/>
  <c r="E183" i="65"/>
  <c r="C191" i="65"/>
  <c r="F196" i="65"/>
  <c r="E200" i="65"/>
  <c r="C208" i="65"/>
  <c r="F213" i="65"/>
  <c r="E217" i="65"/>
  <c r="C226" i="65"/>
  <c r="E227" i="65"/>
  <c r="C234" i="65"/>
  <c r="E60" i="65"/>
  <c r="E109" i="65"/>
  <c r="F113" i="65"/>
  <c r="E133" i="65"/>
  <c r="E135" i="65"/>
  <c r="F137" i="65"/>
  <c r="F148" i="65"/>
  <c r="E162" i="65"/>
  <c r="C169" i="65"/>
  <c r="E172" i="65"/>
  <c r="C178" i="65"/>
  <c r="F183" i="65"/>
  <c r="E187" i="65"/>
  <c r="C195" i="65"/>
  <c r="F200" i="65"/>
  <c r="E204" i="65"/>
  <c r="C212" i="65"/>
  <c r="F217" i="65"/>
  <c r="E221" i="65"/>
  <c r="F227" i="65"/>
  <c r="C62" i="65"/>
  <c r="F105" i="65"/>
  <c r="C127" i="65"/>
  <c r="E129" i="65"/>
  <c r="E131" i="65"/>
  <c r="F133" i="65"/>
  <c r="E141" i="65"/>
  <c r="C143" i="65"/>
  <c r="F150" i="65"/>
  <c r="E164" i="65"/>
  <c r="E169" i="65"/>
  <c r="F172" i="65"/>
  <c r="E175" i="65"/>
  <c r="C182" i="65"/>
  <c r="F187" i="65"/>
  <c r="E191" i="65"/>
  <c r="E62" i="65"/>
  <c r="C94" i="65"/>
  <c r="E127" i="65"/>
  <c r="F129" i="65"/>
  <c r="F131" i="65"/>
  <c r="F141" i="65"/>
  <c r="F143" i="65"/>
  <c r="C145" i="65"/>
  <c r="C152" i="65"/>
  <c r="F157" i="65"/>
  <c r="C159" i="65"/>
  <c r="F164" i="65"/>
  <c r="F175" i="65"/>
  <c r="E178" i="65"/>
  <c r="C186" i="65"/>
  <c r="C18" i="65"/>
  <c r="F64" i="65"/>
  <c r="C121" i="65"/>
  <c r="F125" i="65"/>
  <c r="F127" i="65"/>
  <c r="E145" i="65"/>
  <c r="E159" i="65"/>
  <c r="C166" i="65"/>
  <c r="F182" i="65"/>
  <c r="C190" i="65"/>
  <c r="C106" i="65"/>
  <c r="F110" i="65"/>
  <c r="E121" i="65"/>
  <c r="F123" i="65"/>
  <c r="F145" i="65"/>
  <c r="E152" i="65"/>
  <c r="C154" i="65"/>
  <c r="F159" i="65"/>
  <c r="C171" i="65"/>
  <c r="E186" i="65"/>
  <c r="E30" i="65"/>
  <c r="F66" i="65"/>
  <c r="E117" i="65"/>
  <c r="E119" i="65"/>
  <c r="E147" i="65"/>
  <c r="F166" i="65"/>
  <c r="C174" i="65"/>
  <c r="F190" i="65"/>
  <c r="C198" i="65"/>
  <c r="F203" i="65"/>
  <c r="E207" i="65"/>
  <c r="C215" i="65"/>
  <c r="F220" i="65"/>
  <c r="E224" i="65"/>
  <c r="C231" i="65"/>
  <c r="E232" i="65"/>
  <c r="F117" i="65"/>
  <c r="C138" i="65"/>
  <c r="F147" i="65"/>
  <c r="E154" i="65"/>
  <c r="E161" i="65"/>
  <c r="E168" i="65"/>
  <c r="E171" i="65"/>
  <c r="F177" i="65"/>
  <c r="E181" i="65"/>
  <c r="C185" i="65"/>
  <c r="E99" i="65"/>
  <c r="E136" i="65"/>
  <c r="C156" i="65"/>
  <c r="F161" i="65"/>
  <c r="F171" i="65"/>
  <c r="F174" i="65"/>
  <c r="F181" i="65"/>
  <c r="E185" i="65"/>
  <c r="F198" i="65"/>
  <c r="C206" i="65"/>
  <c r="F211" i="65"/>
  <c r="E215" i="65"/>
  <c r="C223" i="65"/>
  <c r="C230" i="65"/>
  <c r="E231" i="65"/>
  <c r="F99" i="65"/>
  <c r="E107" i="65"/>
  <c r="C115" i="65"/>
  <c r="C180" i="65"/>
  <c r="E189" i="65"/>
  <c r="E205" i="65"/>
  <c r="E212" i="65"/>
  <c r="E219" i="65"/>
  <c r="F233" i="65"/>
  <c r="C239" i="65"/>
  <c r="E240" i="65"/>
  <c r="C247" i="65"/>
  <c r="E248" i="65"/>
  <c r="C255" i="65"/>
  <c r="E256" i="65"/>
  <c r="F140" i="65"/>
  <c r="F189" i="65"/>
  <c r="C200" i="65"/>
  <c r="F205" i="65"/>
  <c r="C207" i="65"/>
  <c r="F212" i="65"/>
  <c r="C214" i="65"/>
  <c r="F219" i="65"/>
  <c r="C229" i="65"/>
  <c r="F240" i="65"/>
  <c r="F248" i="65"/>
  <c r="F256" i="65"/>
  <c r="F264" i="65"/>
  <c r="C142" i="65"/>
  <c r="C232" i="65"/>
  <c r="C238" i="65"/>
  <c r="E239" i="65"/>
  <c r="C246" i="65"/>
  <c r="E247" i="65"/>
  <c r="C254" i="65"/>
  <c r="E255" i="65"/>
  <c r="C262" i="65"/>
  <c r="F142" i="65"/>
  <c r="C193" i="65"/>
  <c r="C202" i="65"/>
  <c r="F207" i="65"/>
  <c r="F214" i="65"/>
  <c r="C216" i="65"/>
  <c r="F221" i="65"/>
  <c r="E226" i="65"/>
  <c r="E229" i="65"/>
  <c r="F239" i="65"/>
  <c r="E193" i="65"/>
  <c r="E202" i="65"/>
  <c r="C209" i="65"/>
  <c r="F226" i="65"/>
  <c r="F229" i="65"/>
  <c r="F232" i="65"/>
  <c r="C237" i="65"/>
  <c r="E238" i="65"/>
  <c r="C245" i="65"/>
  <c r="E246" i="65"/>
  <c r="C253" i="65"/>
  <c r="E254" i="65"/>
  <c r="C261" i="65"/>
  <c r="E262" i="65"/>
  <c r="C269" i="65"/>
  <c r="E270" i="65"/>
  <c r="C277" i="65"/>
  <c r="E278" i="65"/>
  <c r="C285" i="65"/>
  <c r="E286" i="65"/>
  <c r="C128" i="65"/>
  <c r="C144" i="65"/>
  <c r="C158" i="65"/>
  <c r="F193" i="65"/>
  <c r="E195" i="65"/>
  <c r="E209" i="65"/>
  <c r="E216" i="65"/>
  <c r="E223" i="65"/>
  <c r="F238" i="65"/>
  <c r="F195" i="65"/>
  <c r="E197" i="65"/>
  <c r="C204" i="65"/>
  <c r="F209" i="65"/>
  <c r="C211" i="65"/>
  <c r="F216" i="65"/>
  <c r="C218" i="65"/>
  <c r="F223" i="65"/>
  <c r="C236" i="65"/>
  <c r="E237" i="65"/>
  <c r="C244" i="65"/>
  <c r="E245" i="65"/>
  <c r="E130" i="65"/>
  <c r="C184" i="65"/>
  <c r="F197" i="65"/>
  <c r="C199" i="65"/>
  <c r="F204" i="65"/>
  <c r="E211" i="65"/>
  <c r="C225" i="65"/>
  <c r="C228" i="65"/>
  <c r="F237" i="65"/>
  <c r="F245" i="65"/>
  <c r="F253" i="65"/>
  <c r="F261" i="65"/>
  <c r="F269" i="65"/>
  <c r="F277" i="65"/>
  <c r="F285" i="65"/>
  <c r="F293" i="65"/>
  <c r="C132" i="65"/>
  <c r="F185" i="65"/>
  <c r="E218" i="65"/>
  <c r="C220" i="65"/>
  <c r="F231" i="65"/>
  <c r="C235" i="65"/>
  <c r="E236" i="65"/>
  <c r="C243" i="65"/>
  <c r="E244" i="65"/>
  <c r="C251" i="65"/>
  <c r="E252" i="65"/>
  <c r="C259" i="65"/>
  <c r="E260" i="65"/>
  <c r="C267" i="65"/>
  <c r="E268" i="65"/>
  <c r="C275" i="65"/>
  <c r="E276" i="65"/>
  <c r="C283" i="65"/>
  <c r="E284" i="65"/>
  <c r="C291" i="65"/>
  <c r="E292" i="65"/>
  <c r="F132" i="65"/>
  <c r="F191" i="65"/>
  <c r="E199" i="65"/>
  <c r="F206" i="65"/>
  <c r="E225" i="65"/>
  <c r="E228" i="65"/>
  <c r="F236" i="65"/>
  <c r="F244" i="65"/>
  <c r="F252" i="65"/>
  <c r="F260" i="65"/>
  <c r="F134" i="65"/>
  <c r="E149" i="65"/>
  <c r="E163" i="65"/>
  <c r="F199" i="65"/>
  <c r="C201" i="65"/>
  <c r="E213" i="65"/>
  <c r="E220" i="65"/>
  <c r="F225" i="65"/>
  <c r="F228" i="65"/>
  <c r="E235" i="65"/>
  <c r="C242" i="65"/>
  <c r="E243" i="65"/>
  <c r="C250" i="65"/>
  <c r="E251" i="65"/>
  <c r="C258" i="65"/>
  <c r="E259" i="65"/>
  <c r="F149" i="65"/>
  <c r="F163" i="65"/>
  <c r="C176" i="65"/>
  <c r="E201" i="65"/>
  <c r="E208" i="65"/>
  <c r="C222" i="65"/>
  <c r="F235" i="65"/>
  <c r="F243" i="65"/>
  <c r="F251" i="65"/>
  <c r="C194" i="65"/>
  <c r="F201" i="65"/>
  <c r="C203" i="65"/>
  <c r="F208" i="65"/>
  <c r="C210" i="65"/>
  <c r="F215" i="65"/>
  <c r="E234" i="65"/>
  <c r="C241" i="65"/>
  <c r="E242" i="65"/>
  <c r="E194" i="65"/>
  <c r="F222" i="65"/>
  <c r="C224" i="65"/>
  <c r="C227" i="65"/>
  <c r="E230" i="65"/>
  <c r="C233" i="65"/>
  <c r="F234" i="65"/>
  <c r="F242" i="65"/>
  <c r="F250" i="65"/>
  <c r="F258" i="65"/>
  <c r="F266" i="65"/>
  <c r="F274" i="65"/>
  <c r="F282" i="65"/>
  <c r="F115" i="65"/>
  <c r="F192"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C249" i="65"/>
  <c r="E192" i="65"/>
  <c r="F363" i="65"/>
  <c r="F355" i="65"/>
  <c r="F347" i="65"/>
  <c r="F339" i="65"/>
  <c r="F331" i="65"/>
  <c r="F323" i="65"/>
  <c r="F315" i="65"/>
  <c r="F307" i="65"/>
  <c r="F299" i="65"/>
  <c r="C292" i="65"/>
  <c r="F284" i="65"/>
  <c r="E279" i="65"/>
  <c r="E274" i="65"/>
  <c r="E269" i="65"/>
  <c r="C264" i="65"/>
  <c r="C252" i="65"/>
  <c r="C240" i="65"/>
  <c r="C217" i="65"/>
  <c r="E347" i="65"/>
  <c r="C346" i="65"/>
  <c r="E339" i="65"/>
  <c r="C338" i="65"/>
  <c r="E331" i="65"/>
  <c r="C330" i="65"/>
  <c r="E323" i="65"/>
  <c r="C322" i="65"/>
  <c r="E315" i="65"/>
  <c r="C314" i="65"/>
  <c r="E307" i="65"/>
  <c r="C306" i="65"/>
  <c r="E299" i="65"/>
  <c r="C298" i="65"/>
  <c r="C289" i="65"/>
  <c r="C284" i="65"/>
  <c r="F259" i="65"/>
  <c r="F348" i="65"/>
  <c r="F340" i="65"/>
  <c r="F332" i="65"/>
  <c r="F324" i="65"/>
  <c r="F316" i="65"/>
  <c r="F308" i="65"/>
  <c r="F300" i="65"/>
  <c r="E293" i="65"/>
  <c r="F287" i="65"/>
  <c r="C279" i="65"/>
  <c r="C274" i="65"/>
  <c r="C248" i="65"/>
  <c r="C347" i="65"/>
  <c r="E340" i="65"/>
  <c r="C339" i="65"/>
  <c r="E332" i="65"/>
  <c r="C331" i="65"/>
  <c r="E324" i="65"/>
  <c r="C323" i="65"/>
  <c r="E316" i="65"/>
  <c r="C315" i="65"/>
  <c r="E308" i="65"/>
  <c r="C307" i="65"/>
  <c r="E300" i="65"/>
  <c r="C299" i="65"/>
  <c r="E287" i="65"/>
  <c r="E282" i="65"/>
  <c r="E277" i="65"/>
  <c r="F272" i="65"/>
  <c r="F267" i="65"/>
  <c r="F255" i="65"/>
  <c r="F349" i="65"/>
  <c r="F341" i="65"/>
  <c r="F333" i="65"/>
  <c r="F325" i="65"/>
  <c r="F317" i="65"/>
  <c r="F309" i="65"/>
  <c r="F301" i="65"/>
  <c r="F294" i="65"/>
  <c r="C293" i="65"/>
  <c r="F290" i="65"/>
  <c r="E272" i="65"/>
  <c r="E267" i="65"/>
  <c r="E210" i="65"/>
  <c r="E349" i="65"/>
  <c r="C348" i="65"/>
  <c r="E341" i="65"/>
  <c r="C340" i="65"/>
  <c r="E333" i="65"/>
  <c r="C332" i="65"/>
  <c r="E325" i="65"/>
  <c r="C324" i="65"/>
  <c r="E317" i="65"/>
  <c r="C316" i="65"/>
  <c r="E309" i="65"/>
  <c r="C308" i="65"/>
  <c r="E301" i="65"/>
  <c r="C300" i="65"/>
  <c r="E294" i="65"/>
  <c r="E290" i="65"/>
  <c r="C287" i="65"/>
  <c r="C282" i="65"/>
  <c r="C272" i="65"/>
  <c r="F247" i="65"/>
  <c r="F366" i="65"/>
  <c r="F358" i="65"/>
  <c r="F350" i="65"/>
  <c r="F342" i="65"/>
  <c r="F334" i="65"/>
  <c r="F326" i="65"/>
  <c r="F318" i="65"/>
  <c r="F310" i="65"/>
  <c r="F302" i="65"/>
  <c r="E285" i="65"/>
  <c r="F280" i="65"/>
  <c r="F275" i="65"/>
  <c r="F270" i="65"/>
  <c r="E265" i="65"/>
  <c r="E261" i="65"/>
  <c r="E258" i="65"/>
  <c r="E350" i="65"/>
  <c r="C349" i="65"/>
  <c r="E342" i="65"/>
  <c r="C341" i="65"/>
  <c r="E334" i="65"/>
  <c r="C333" i="65"/>
  <c r="E326" i="65"/>
  <c r="C325" i="65"/>
  <c r="E318" i="65"/>
  <c r="C317" i="65"/>
  <c r="E310" i="65"/>
  <c r="C309" i="65"/>
  <c r="E302" i="65"/>
  <c r="C301" i="65"/>
  <c r="F295" i="65"/>
  <c r="C294" i="65"/>
  <c r="C290" i="65"/>
  <c r="E280" i="65"/>
  <c r="E275" i="65"/>
  <c r="C265" i="65"/>
  <c r="F263" i="65"/>
  <c r="F254" i="65"/>
  <c r="F343" i="65"/>
  <c r="F335" i="65"/>
  <c r="F327" i="65"/>
  <c r="F319" i="65"/>
  <c r="F311" i="65"/>
  <c r="F303" i="65"/>
  <c r="E295" i="65"/>
  <c r="C280" i="65"/>
  <c r="C270" i="65"/>
  <c r="E263" i="65"/>
  <c r="F246" i="65"/>
  <c r="F230" i="65"/>
  <c r="E203" i="65"/>
  <c r="E343" i="65"/>
  <c r="C342" i="65"/>
  <c r="E335" i="65"/>
  <c r="C334" i="65"/>
  <c r="E327" i="65"/>
  <c r="C326" i="65"/>
  <c r="E319" i="65"/>
  <c r="C318" i="65"/>
  <c r="E311" i="65"/>
  <c r="C310" i="65"/>
  <c r="E303" i="65"/>
  <c r="C302" i="65"/>
  <c r="F288" i="65"/>
  <c r="F283" i="65"/>
  <c r="F278" i="65"/>
  <c r="C263" i="65"/>
  <c r="E250" i="65"/>
  <c r="F344" i="65"/>
  <c r="F336" i="65"/>
  <c r="F328" i="65"/>
  <c r="F320" i="65"/>
  <c r="F312" i="65"/>
  <c r="F304" i="65"/>
  <c r="F296" i="65"/>
  <c r="C295" i="65"/>
  <c r="F291" i="65"/>
  <c r="E288" i="65"/>
  <c r="E283" i="65"/>
  <c r="E273" i="65"/>
  <c r="F268" i="65"/>
  <c r="E257" i="65"/>
  <c r="E352" i="65"/>
  <c r="C351" i="65"/>
  <c r="E344" i="65"/>
  <c r="C343" i="65"/>
  <c r="E336" i="65"/>
  <c r="C335" i="65"/>
  <c r="E328" i="65"/>
  <c r="C327" i="65"/>
  <c r="E320" i="65"/>
  <c r="C319" i="65"/>
  <c r="E312" i="65"/>
  <c r="C311" i="65"/>
  <c r="E304" i="65"/>
  <c r="C303" i="65"/>
  <c r="E296" i="65"/>
  <c r="E291" i="65"/>
  <c r="C288" i="65"/>
  <c r="C278" i="65"/>
  <c r="C273" i="65"/>
  <c r="C268" i="65"/>
  <c r="C257" i="65"/>
  <c r="E253" i="65"/>
  <c r="F353" i="65"/>
  <c r="F345" i="65"/>
  <c r="F337" i="65"/>
  <c r="F329" i="65"/>
  <c r="F321" i="65"/>
  <c r="F313" i="65"/>
  <c r="F305" i="65"/>
  <c r="F297" i="65"/>
  <c r="F286" i="65"/>
  <c r="F271" i="65"/>
  <c r="C260" i="65"/>
  <c r="E196" i="65"/>
  <c r="E353" i="65"/>
  <c r="C352" i="65"/>
  <c r="E345" i="65"/>
  <c r="C344" i="65"/>
  <c r="E337" i="65"/>
  <c r="C336" i="65"/>
  <c r="E329" i="65"/>
  <c r="C328" i="65"/>
  <c r="E321" i="65"/>
  <c r="C320" i="65"/>
  <c r="E313" i="65"/>
  <c r="C312" i="65"/>
  <c r="E305" i="65"/>
  <c r="C304" i="65"/>
  <c r="E297" i="65"/>
  <c r="C296" i="65"/>
  <c r="E281" i="65"/>
  <c r="F276" i="65"/>
  <c r="E271" i="65"/>
  <c r="E266" i="65"/>
  <c r="E249" i="65"/>
  <c r="H27" i="86"/>
  <c r="F18" i="86"/>
  <c r="H8" i="86"/>
  <c r="H22" i="86"/>
  <c r="F3" i="86"/>
  <c r="G8" i="86"/>
  <c r="H13" i="86"/>
  <c r="F27" i="86"/>
  <c r="G32" i="86"/>
  <c r="H17" i="86"/>
  <c r="F4" i="86"/>
  <c r="G9" i="86"/>
  <c r="H14" i="86"/>
  <c r="F28" i="86"/>
  <c r="G23" i="86"/>
  <c r="H18" i="86"/>
  <c r="G3" i="86"/>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J4" i="20" l="1"/>
  <c r="I4" i="23" a="1"/>
  <c r="I4" i="23" s="1"/>
  <c r="B5" i="80" a="1"/>
  <c r="B5" i="80" s="1"/>
  <c r="C1" i="80"/>
  <c r="D1" i="80" s="1"/>
  <c r="E1" i="80" s="1"/>
  <c r="F1" i="80" s="1"/>
  <c r="G1" i="80" s="1"/>
  <c r="H1" i="80" s="1"/>
  <c r="I1" i="80" s="1"/>
  <c r="J1" i="80" s="1"/>
  <c r="K1" i="80" s="1"/>
  <c r="L1" i="80" s="1"/>
  <c r="M1" i="80" s="1"/>
  <c r="N1" i="80" s="1"/>
  <c r="O1" i="80" s="1"/>
  <c r="P1" i="80" s="1"/>
  <c r="Q1" i="80" s="1"/>
  <c r="R1" i="80" s="1"/>
  <c r="S1" i="80" s="1"/>
  <c r="T1" i="80" s="1"/>
  <c r="U1" i="80" s="1"/>
  <c r="H4" i="38" l="1" a="1"/>
  <c r="H4" i="38" s="1"/>
  <c r="I4" i="38" l="1" a="1"/>
  <c r="I4" i="38" s="1"/>
  <c r="C26" i="50"/>
  <c r="C23" i="50"/>
  <c r="C1" i="24"/>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C24" i="50" l="1"/>
  <c r="A3" i="81"/>
  <c r="S3" i="81" l="1"/>
  <c r="T3" i="81"/>
  <c r="U3" i="81"/>
  <c r="G3" i="81"/>
  <c r="I3" i="81"/>
  <c r="J3" i="81"/>
  <c r="K3" i="81"/>
  <c r="L3" i="81"/>
  <c r="M3" i="81"/>
  <c r="N3" i="81"/>
  <c r="O3" i="81"/>
  <c r="F3" i="81"/>
  <c r="H3" i="81"/>
  <c r="P3" i="81"/>
  <c r="R3" i="81"/>
  <c r="Q3" i="81"/>
  <c r="I10" i="8" a="1"/>
  <c r="I10" i="8" s="1"/>
  <c r="B5" i="24" s="1" a="1"/>
  <c r="H7" i="24" s="1" a="1"/>
  <c r="H7" i="24" s="1"/>
  <c r="C25" i="50"/>
  <c r="C27" i="50" s="1"/>
  <c r="B7" i="80" a="1"/>
  <c r="B7" i="80" s="1"/>
  <c r="B3" i="81" s="1"/>
  <c r="A4" i="81"/>
  <c r="C7" i="80" a="1"/>
  <c r="C7" i="80" s="1"/>
  <c r="C3" i="81" s="1"/>
  <c r="K7" i="80" a="1"/>
  <c r="K7" i="80" s="1"/>
  <c r="S7" i="80" a="1"/>
  <c r="S7" i="80" s="1"/>
  <c r="D7" i="80" a="1"/>
  <c r="D7" i="80" s="1"/>
  <c r="D3" i="81" s="1"/>
  <c r="L7" i="80" a="1"/>
  <c r="L7" i="80" s="1"/>
  <c r="T7" i="80" a="1"/>
  <c r="T7" i="80" s="1"/>
  <c r="U7" i="80" a="1"/>
  <c r="U7" i="80" s="1"/>
  <c r="E7" i="80" a="1"/>
  <c r="E7" i="80" s="1"/>
  <c r="E3" i="81" s="1"/>
  <c r="L3" i="65" s="1"/>
  <c r="M7" i="80" a="1"/>
  <c r="M7" i="80" s="1"/>
  <c r="F7" i="80" a="1"/>
  <c r="F7" i="80" s="1"/>
  <c r="N7" i="80" a="1"/>
  <c r="N7" i="80" s="1"/>
  <c r="G7" i="80" a="1"/>
  <c r="G7" i="80" s="1"/>
  <c r="O7" i="80" a="1"/>
  <c r="O7" i="80" s="1"/>
  <c r="H7" i="80" a="1"/>
  <c r="H7" i="80" s="1"/>
  <c r="P7" i="80" a="1"/>
  <c r="P7" i="80" s="1"/>
  <c r="I7" i="80" a="1"/>
  <c r="I7" i="80" s="1"/>
  <c r="Q7" i="80" a="1"/>
  <c r="Q7" i="80" s="1"/>
  <c r="J7" i="80" a="1"/>
  <c r="J7" i="80" s="1"/>
  <c r="R7" i="80" a="1"/>
  <c r="R7" i="80" s="1"/>
  <c r="B5" i="24" l="1"/>
  <c r="B7" i="24" s="1" a="1"/>
  <c r="B7" i="24" s="1"/>
  <c r="B4" i="81"/>
  <c r="R4" i="81"/>
  <c r="C4" i="81"/>
  <c r="S4" i="81"/>
  <c r="D4" i="81"/>
  <c r="T4" i="81"/>
  <c r="E4" i="81"/>
  <c r="L4" i="65" s="1"/>
  <c r="U4" i="81"/>
  <c r="F4" i="81"/>
  <c r="G4" i="81"/>
  <c r="H4" i="81"/>
  <c r="I4" i="81"/>
  <c r="J4" i="81"/>
  <c r="K4" i="81"/>
  <c r="L4" i="81"/>
  <c r="M4" i="81"/>
  <c r="N4" i="81"/>
  <c r="Q4" i="81"/>
  <c r="O4" i="81"/>
  <c r="P4" i="81"/>
  <c r="A5" i="81"/>
  <c r="N5" i="81" l="1"/>
  <c r="O5" i="81"/>
  <c r="P5" i="81"/>
  <c r="Q5" i="81"/>
  <c r="B5" i="81"/>
  <c r="R5" i="81"/>
  <c r="C5" i="81"/>
  <c r="S5" i="81"/>
  <c r="D5" i="81"/>
  <c r="T5" i="81"/>
  <c r="E5" i="81"/>
  <c r="L5" i="65" s="1"/>
  <c r="U5" i="81"/>
  <c r="F5" i="81"/>
  <c r="G5" i="81"/>
  <c r="H5" i="81"/>
  <c r="J5" i="81"/>
  <c r="M5" i="81"/>
  <c r="I5" i="81"/>
  <c r="K5" i="81"/>
  <c r="L5" i="81"/>
  <c r="D7" i="24" a="1"/>
  <c r="D7" i="24" s="1"/>
  <c r="H4" i="4" a="1"/>
  <c r="H4" i="4" s="1"/>
  <c r="A6" i="81"/>
  <c r="J6" i="81" l="1"/>
  <c r="K6" i="81"/>
  <c r="L6" i="81"/>
  <c r="M6" i="81"/>
  <c r="N6" i="81"/>
  <c r="O6" i="81"/>
  <c r="P6" i="81"/>
  <c r="Q6" i="81"/>
  <c r="B6" i="81"/>
  <c r="R6" i="81"/>
  <c r="C6" i="81"/>
  <c r="S6" i="81"/>
  <c r="D6" i="81"/>
  <c r="T6" i="81"/>
  <c r="F6" i="81"/>
  <c r="I6" i="81"/>
  <c r="E6" i="81"/>
  <c r="L6" i="65" s="1"/>
  <c r="G6" i="81"/>
  <c r="H6" i="81"/>
  <c r="U6" i="81"/>
  <c r="A7" i="81"/>
  <c r="F7" i="81" l="1"/>
  <c r="G7" i="81"/>
  <c r="H7" i="81"/>
  <c r="I7" i="81"/>
  <c r="J7" i="81"/>
  <c r="K7" i="81"/>
  <c r="L7" i="81"/>
  <c r="M7" i="81"/>
  <c r="N7" i="81"/>
  <c r="O7" i="81"/>
  <c r="P7" i="81"/>
  <c r="B7" i="81"/>
  <c r="R7" i="81"/>
  <c r="E7" i="81"/>
  <c r="L7" i="65" s="1"/>
  <c r="U7" i="81"/>
  <c r="C7" i="81"/>
  <c r="Q7" i="81"/>
  <c r="T7" i="81"/>
  <c r="D7" i="81"/>
  <c r="S7" i="81"/>
  <c r="A8" i="81"/>
  <c r="B8" i="81" l="1"/>
  <c r="R8" i="81"/>
  <c r="C8" i="81"/>
  <c r="S8" i="81"/>
  <c r="D8" i="81"/>
  <c r="T8" i="81"/>
  <c r="E8" i="81"/>
  <c r="L8" i="65" s="1"/>
  <c r="U8" i="81"/>
  <c r="F8" i="81"/>
  <c r="G8" i="81"/>
  <c r="H8" i="81"/>
  <c r="I8" i="81"/>
  <c r="J8" i="81"/>
  <c r="K8" i="81"/>
  <c r="L8" i="81"/>
  <c r="N8" i="81"/>
  <c r="Q8" i="81"/>
  <c r="P8" i="81"/>
  <c r="O8" i="81"/>
  <c r="M8" i="81"/>
  <c r="A9" i="81"/>
  <c r="N9" i="81" l="1"/>
  <c r="O9" i="81"/>
  <c r="P9" i="81"/>
  <c r="Q9" i="81"/>
  <c r="B9" i="81"/>
  <c r="R9" i="81"/>
  <c r="C9" i="81"/>
  <c r="S9" i="81"/>
  <c r="D9" i="81"/>
  <c r="T9" i="81"/>
  <c r="E9" i="81"/>
  <c r="L9" i="65" s="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L10" i="65" s="1"/>
  <c r="G10" i="81"/>
  <c r="H10" i="81"/>
  <c r="U10" i="81"/>
  <c r="A11" i="81"/>
  <c r="F11" i="81" l="1"/>
  <c r="G11" i="81"/>
  <c r="H11" i="81"/>
  <c r="I11" i="81"/>
  <c r="J11" i="81"/>
  <c r="K11" i="81"/>
  <c r="L11" i="81"/>
  <c r="M11" i="81"/>
  <c r="N11" i="81"/>
  <c r="O11" i="81"/>
  <c r="P11" i="81"/>
  <c r="B11" i="81"/>
  <c r="R11" i="81"/>
  <c r="E11" i="81"/>
  <c r="L11" i="65" s="1"/>
  <c r="U11" i="81"/>
  <c r="C11" i="81"/>
  <c r="D11" i="81"/>
  <c r="Q11" i="81"/>
  <c r="T11" i="81"/>
  <c r="S11" i="81"/>
  <c r="A12" i="81"/>
  <c r="B12" i="81" l="1"/>
  <c r="R12" i="81"/>
  <c r="C12" i="81"/>
  <c r="S12" i="81"/>
  <c r="D12" i="81"/>
  <c r="T12" i="81"/>
  <c r="E12" i="81"/>
  <c r="L12" i="65" s="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L13" i="65" s="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L14" i="65" s="1"/>
  <c r="G14" i="81"/>
  <c r="H14" i="81"/>
  <c r="U14" i="81"/>
  <c r="A15" i="81"/>
  <c r="F15" i="81" l="1"/>
  <c r="G15" i="81"/>
  <c r="H15" i="81"/>
  <c r="I15" i="81"/>
  <c r="J15" i="81"/>
  <c r="K15" i="81"/>
  <c r="L15" i="81"/>
  <c r="M15" i="81"/>
  <c r="N15" i="81"/>
  <c r="O15" i="81"/>
  <c r="P15" i="81"/>
  <c r="B15" i="81"/>
  <c r="R15" i="81"/>
  <c r="E15" i="81"/>
  <c r="L15" i="65" s="1"/>
  <c r="U15" i="81"/>
  <c r="C15" i="81"/>
  <c r="D15" i="81"/>
  <c r="Q15" i="81"/>
  <c r="S15" i="81"/>
  <c r="T15" i="81"/>
  <c r="A16" i="81"/>
  <c r="B16" i="81" l="1"/>
  <c r="R16" i="81"/>
  <c r="C16" i="81"/>
  <c r="S16" i="81"/>
  <c r="D16" i="81"/>
  <c r="T16" i="81"/>
  <c r="E16" i="81"/>
  <c r="L16" i="65" s="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L17" i="65" s="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L18" i="65" s="1"/>
  <c r="G18" i="81"/>
  <c r="H18" i="81"/>
  <c r="U18" i="81"/>
  <c r="A19" i="81"/>
  <c r="F19" i="81" l="1"/>
  <c r="G19" i="81"/>
  <c r="H19" i="81"/>
  <c r="I19" i="81"/>
  <c r="J19" i="81"/>
  <c r="K19" i="81"/>
  <c r="L19" i="81"/>
  <c r="M19" i="81"/>
  <c r="N19" i="81"/>
  <c r="O19" i="81"/>
  <c r="P19" i="81"/>
  <c r="B19" i="81"/>
  <c r="R19" i="81"/>
  <c r="E19" i="81"/>
  <c r="L19" i="65" s="1"/>
  <c r="U19" i="81"/>
  <c r="C19" i="81"/>
  <c r="D19" i="81"/>
  <c r="Q19" i="81"/>
  <c r="T19" i="81"/>
  <c r="S19" i="81"/>
  <c r="A20" i="81"/>
  <c r="B20" i="81" l="1"/>
  <c r="R20" i="81"/>
  <c r="C20" i="81"/>
  <c r="S20" i="81"/>
  <c r="D20" i="81"/>
  <c r="T20" i="81"/>
  <c r="E20" i="81"/>
  <c r="L20" i="65" s="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L21" i="65" s="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L22" i="65" s="1"/>
  <c r="G22" i="81"/>
  <c r="H22" i="81"/>
  <c r="S22" i="81"/>
  <c r="U22" i="81"/>
  <c r="A23" i="81"/>
  <c r="F23" i="81" l="1"/>
  <c r="G23" i="81"/>
  <c r="H23" i="81"/>
  <c r="I23" i="81"/>
  <c r="J23" i="81"/>
  <c r="K23" i="81"/>
  <c r="L23" i="81"/>
  <c r="M23" i="81"/>
  <c r="N23" i="81"/>
  <c r="P23" i="81"/>
  <c r="B23" i="81"/>
  <c r="R23" i="81"/>
  <c r="E23" i="81"/>
  <c r="L23" i="65" s="1"/>
  <c r="U23" i="81"/>
  <c r="C23" i="81"/>
  <c r="D23" i="81"/>
  <c r="Q23" i="81"/>
  <c r="S23" i="81"/>
  <c r="T23" i="81"/>
  <c r="O23" i="81"/>
  <c r="A24" i="81"/>
  <c r="B24" i="81" l="1"/>
  <c r="R24" i="81"/>
  <c r="C24" i="81"/>
  <c r="S24" i="81"/>
  <c r="D24" i="81"/>
  <c r="T24" i="81"/>
  <c r="E24" i="81"/>
  <c r="L24" i="65" s="1"/>
  <c r="U24" i="81"/>
  <c r="G24" i="81"/>
  <c r="H24" i="81"/>
  <c r="I24" i="81"/>
  <c r="J24" i="81"/>
  <c r="L24" i="81"/>
  <c r="N24" i="81"/>
  <c r="Q24" i="81"/>
  <c r="O24" i="81"/>
  <c r="P24" i="81"/>
  <c r="M24" i="81"/>
  <c r="F24" i="81"/>
  <c r="K24" i="81"/>
  <c r="A25" i="81"/>
  <c r="N25" i="81" l="1"/>
  <c r="O25" i="81"/>
  <c r="P25" i="81"/>
  <c r="Q25" i="81"/>
  <c r="C25" i="81"/>
  <c r="S25" i="81"/>
  <c r="D25" i="81"/>
  <c r="T25" i="81"/>
  <c r="E25" i="81"/>
  <c r="L25" i="65" s="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L26" i="65" s="1"/>
  <c r="G26" i="81"/>
  <c r="S26" i="81"/>
  <c r="H26" i="81"/>
  <c r="N26" i="81"/>
  <c r="A27" i="81"/>
  <c r="F27" i="81" l="1"/>
  <c r="G27" i="81"/>
  <c r="H27" i="81"/>
  <c r="I27" i="81"/>
  <c r="K27" i="81"/>
  <c r="L27" i="81"/>
  <c r="M27" i="81"/>
  <c r="N27" i="81"/>
  <c r="P27" i="81"/>
  <c r="B27" i="81"/>
  <c r="R27" i="81"/>
  <c r="E27" i="81"/>
  <c r="L27" i="65" s="1"/>
  <c r="U27" i="81"/>
  <c r="D27" i="81"/>
  <c r="J27" i="81"/>
  <c r="O27" i="81"/>
  <c r="Q27" i="81"/>
  <c r="S27" i="81"/>
  <c r="T27" i="81"/>
  <c r="C27" i="81"/>
  <c r="A28" i="81"/>
  <c r="B28" i="81" l="1"/>
  <c r="R28" i="81"/>
  <c r="C28" i="81"/>
  <c r="S28" i="81"/>
  <c r="D28" i="81"/>
  <c r="T28" i="81"/>
  <c r="G28" i="81"/>
  <c r="H28" i="81"/>
  <c r="I28" i="81"/>
  <c r="J28" i="81"/>
  <c r="L28" i="81"/>
  <c r="N28" i="81"/>
  <c r="Q28" i="81"/>
  <c r="E28" i="81"/>
  <c r="L28" i="65" s="1"/>
  <c r="F28" i="81"/>
  <c r="K28" i="81"/>
  <c r="O28" i="81"/>
  <c r="P28" i="81"/>
  <c r="U28" i="81"/>
  <c r="M28" i="81"/>
  <c r="A29" i="81"/>
  <c r="N29" i="81" l="1"/>
  <c r="O29" i="81"/>
  <c r="P29" i="81"/>
  <c r="C29" i="81"/>
  <c r="S29" i="81"/>
  <c r="D29" i="81"/>
  <c r="T29" i="81"/>
  <c r="E29" i="81"/>
  <c r="L29" i="65" s="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L30" i="65" s="1"/>
  <c r="G30" i="81"/>
  <c r="H30" i="81"/>
  <c r="M30" i="81"/>
  <c r="N30" i="81"/>
  <c r="S30" i="81"/>
  <c r="U30" i="81"/>
  <c r="A31" i="81"/>
  <c r="F31" i="81" l="1"/>
  <c r="G31" i="81"/>
  <c r="H31" i="81"/>
  <c r="K31" i="81"/>
  <c r="L31" i="81"/>
  <c r="M31" i="81"/>
  <c r="N31" i="81"/>
  <c r="P31" i="81"/>
  <c r="B31" i="81"/>
  <c r="R31" i="81"/>
  <c r="E31" i="81"/>
  <c r="L31" i="65" s="1"/>
  <c r="U31" i="81"/>
  <c r="O31" i="81"/>
  <c r="Q31" i="81"/>
  <c r="S31" i="81"/>
  <c r="T31" i="81"/>
  <c r="C31" i="81"/>
  <c r="D31" i="81"/>
  <c r="I31" i="81"/>
  <c r="J31" i="81"/>
  <c r="A32" i="81"/>
  <c r="B32" i="81" l="1"/>
  <c r="R32" i="81"/>
  <c r="C32" i="81"/>
  <c r="S32" i="81"/>
  <c r="D32" i="81"/>
  <c r="T32" i="81"/>
  <c r="G32" i="81"/>
  <c r="H32" i="81"/>
  <c r="I32" i="81"/>
  <c r="J32" i="81"/>
  <c r="L32" i="81"/>
  <c r="N32" i="81"/>
  <c r="Q32" i="81"/>
  <c r="E32" i="81"/>
  <c r="L32" i="65" s="1"/>
  <c r="F32" i="81"/>
  <c r="K32" i="81"/>
  <c r="M32" i="81"/>
  <c r="O32" i="81"/>
  <c r="U32" i="81"/>
  <c r="P32" i="81"/>
  <c r="A33" i="81"/>
  <c r="N33" i="81" l="1"/>
  <c r="O33" i="81"/>
  <c r="P33" i="81"/>
  <c r="C33" i="81"/>
  <c r="S33" i="81"/>
  <c r="D33" i="81"/>
  <c r="T33" i="81"/>
  <c r="E33" i="81"/>
  <c r="L33" i="65" s="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L34" i="65" s="1"/>
  <c r="G34" i="81"/>
  <c r="H34" i="81"/>
  <c r="M34" i="81"/>
  <c r="N34" i="81"/>
  <c r="S34" i="81"/>
  <c r="U34" i="81"/>
  <c r="A35" i="81"/>
  <c r="F35" i="81" l="1"/>
  <c r="G35" i="81"/>
  <c r="H35" i="81"/>
  <c r="K35" i="81"/>
  <c r="L35" i="81"/>
  <c r="M35" i="81"/>
  <c r="N35" i="81"/>
  <c r="P35" i="81"/>
  <c r="B35" i="81"/>
  <c r="R35" i="81"/>
  <c r="E35" i="81"/>
  <c r="L35" i="65" s="1"/>
  <c r="U35" i="81"/>
  <c r="S35" i="81"/>
  <c r="T35" i="81"/>
  <c r="C35" i="81"/>
  <c r="D35" i="81"/>
  <c r="I35" i="81"/>
  <c r="J35" i="81"/>
  <c r="O35" i="81"/>
  <c r="Q35" i="81"/>
  <c r="A36" i="81"/>
  <c r="B36" i="81" l="1"/>
  <c r="R36" i="81"/>
  <c r="C36" i="81"/>
  <c r="S36" i="81"/>
  <c r="D36" i="81"/>
  <c r="T36" i="81"/>
  <c r="G36" i="81"/>
  <c r="H36" i="81"/>
  <c r="I36" i="81"/>
  <c r="J36" i="81"/>
  <c r="L36" i="81"/>
  <c r="E36" i="81"/>
  <c r="L36" i="65" s="1"/>
  <c r="F36" i="81"/>
  <c r="K36" i="81"/>
  <c r="M36" i="81"/>
  <c r="N36" i="81"/>
  <c r="O36" i="81"/>
  <c r="P36" i="81"/>
  <c r="Q36" i="81"/>
  <c r="U36" i="81"/>
  <c r="A37" i="81"/>
  <c r="N37" i="81" l="1"/>
  <c r="O37" i="81"/>
  <c r="P37" i="81"/>
  <c r="C37" i="81"/>
  <c r="S37" i="81"/>
  <c r="D37" i="81"/>
  <c r="T37" i="81"/>
  <c r="E37" i="81"/>
  <c r="L37" i="65" s="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L38" i="65" s="1"/>
  <c r="F38" i="81"/>
  <c r="G38" i="81"/>
  <c r="H38" i="81"/>
  <c r="I38" i="81"/>
  <c r="M38" i="81"/>
  <c r="S38" i="81"/>
  <c r="U38" i="81"/>
  <c r="N38" i="81"/>
  <c r="A39" i="81"/>
  <c r="F39" i="81" l="1"/>
  <c r="G39" i="81"/>
  <c r="H39" i="81"/>
  <c r="K39" i="81"/>
  <c r="L39" i="81"/>
  <c r="M39" i="81"/>
  <c r="N39" i="81"/>
  <c r="P39" i="81"/>
  <c r="D39" i="81"/>
  <c r="E39" i="81"/>
  <c r="L39" i="65" s="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L40" i="65" s="1"/>
  <c r="F40" i="81"/>
  <c r="N40" i="81"/>
  <c r="K40" i="81"/>
  <c r="M40" i="81"/>
  <c r="A41" i="81"/>
  <c r="N41" i="81" l="1"/>
  <c r="O41" i="81"/>
  <c r="P41" i="81"/>
  <c r="C41" i="81"/>
  <c r="S41" i="81"/>
  <c r="D41" i="81"/>
  <c r="T41" i="81"/>
  <c r="E41" i="81"/>
  <c r="L41" i="65" s="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L42" i="65" s="1"/>
  <c r="A43" i="81"/>
  <c r="F43" i="81" l="1"/>
  <c r="G43" i="81"/>
  <c r="H43" i="81"/>
  <c r="K43" i="81"/>
  <c r="L43" i="81"/>
  <c r="M43" i="81"/>
  <c r="N43" i="81"/>
  <c r="R43" i="81"/>
  <c r="S43" i="81"/>
  <c r="T43" i="81"/>
  <c r="U43" i="81"/>
  <c r="B43" i="81"/>
  <c r="C43" i="81"/>
  <c r="D43" i="81"/>
  <c r="E43" i="81"/>
  <c r="L43" i="65" s="1"/>
  <c r="I43" i="81"/>
  <c r="J43" i="81"/>
  <c r="O43" i="81"/>
  <c r="P43" i="81"/>
  <c r="Q43" i="81"/>
  <c r="A44" i="81"/>
  <c r="B44" i="81" l="1"/>
  <c r="R44" i="81"/>
  <c r="C44" i="81"/>
  <c r="S44" i="81"/>
  <c r="D44" i="81"/>
  <c r="T44" i="81"/>
  <c r="G44" i="81"/>
  <c r="H44" i="81"/>
  <c r="I44" i="81"/>
  <c r="J44" i="81"/>
  <c r="E44" i="81"/>
  <c r="L44" i="65" s="1"/>
  <c r="F44" i="81"/>
  <c r="K44" i="81"/>
  <c r="L44" i="81"/>
  <c r="M44" i="81"/>
  <c r="O44" i="81"/>
  <c r="Q44" i="81"/>
  <c r="U44" i="81"/>
  <c r="N44" i="81"/>
  <c r="P44" i="81"/>
  <c r="A45" i="81"/>
  <c r="N45" i="81" l="1"/>
  <c r="O45" i="81"/>
  <c r="P45" i="81"/>
  <c r="C45" i="81"/>
  <c r="S45" i="81"/>
  <c r="D45" i="81"/>
  <c r="T45" i="81"/>
  <c r="E45" i="81"/>
  <c r="L45" i="65" s="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L46" i="65" s="1"/>
  <c r="F46" i="81"/>
  <c r="G46" i="81"/>
  <c r="H46" i="81"/>
  <c r="I46" i="81"/>
  <c r="M46" i="81"/>
  <c r="A47" i="81"/>
  <c r="F47" i="81" l="1"/>
  <c r="G47" i="81"/>
  <c r="H47" i="81"/>
  <c r="K47" i="81"/>
  <c r="L47" i="81"/>
  <c r="M47" i="81"/>
  <c r="N47" i="81"/>
  <c r="U47" i="81"/>
  <c r="B47" i="81"/>
  <c r="C47" i="81"/>
  <c r="D47" i="81"/>
  <c r="E47" i="81"/>
  <c r="L47" i="65" s="1"/>
  <c r="I47" i="81"/>
  <c r="Q47" i="81"/>
  <c r="S47" i="81"/>
  <c r="T47" i="81"/>
  <c r="P47" i="81"/>
  <c r="J47" i="81"/>
  <c r="O47" i="81"/>
  <c r="R47" i="81"/>
  <c r="A48" i="81"/>
  <c r="B48" i="81" l="1"/>
  <c r="R48" i="81"/>
  <c r="C48" i="81"/>
  <c r="S48" i="81"/>
  <c r="D48" i="81"/>
  <c r="T48" i="81"/>
  <c r="G48" i="81"/>
  <c r="H48" i="81"/>
  <c r="I48" i="81"/>
  <c r="J48" i="81"/>
  <c r="E48" i="81"/>
  <c r="L48" i="65" s="1"/>
  <c r="F48" i="81"/>
  <c r="K48" i="81"/>
  <c r="L48" i="81"/>
  <c r="M48" i="81"/>
  <c r="N48" i="81"/>
  <c r="O48" i="81"/>
  <c r="P48" i="81"/>
  <c r="U48" i="81"/>
  <c r="Q48" i="81"/>
  <c r="A49" i="81"/>
  <c r="N49" i="81" l="1"/>
  <c r="O49" i="81"/>
  <c r="P49" i="81"/>
  <c r="C49" i="81"/>
  <c r="S49" i="81"/>
  <c r="D49" i="81"/>
  <c r="T49" i="81"/>
  <c r="E49" i="81"/>
  <c r="L49" i="65" s="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L50" i="65" s="1"/>
  <c r="M50" i="81"/>
  <c r="S50" i="81"/>
  <c r="T50" i="81"/>
  <c r="F50" i="81"/>
  <c r="I50" i="81"/>
  <c r="N50" i="81"/>
  <c r="G50" i="81"/>
  <c r="H50" i="81"/>
  <c r="A51" i="81"/>
  <c r="F51" i="81" l="1"/>
  <c r="G51" i="81"/>
  <c r="H51" i="81"/>
  <c r="K51" i="81"/>
  <c r="L51" i="81"/>
  <c r="M51" i="81"/>
  <c r="N51" i="81"/>
  <c r="B51" i="81"/>
  <c r="C51" i="81"/>
  <c r="D51" i="81"/>
  <c r="E51" i="81"/>
  <c r="L51" i="65" s="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L52" i="65" s="1"/>
  <c r="F52" i="81"/>
  <c r="Q52" i="81"/>
  <c r="U52" i="81"/>
  <c r="A53" i="81"/>
  <c r="N53" i="81" l="1"/>
  <c r="O53" i="81"/>
  <c r="P53" i="81"/>
  <c r="C53" i="81"/>
  <c r="S53" i="81"/>
  <c r="E53" i="81"/>
  <c r="L53" i="65" s="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L54" i="65" s="1"/>
  <c r="F54" i="81"/>
  <c r="G54" i="81"/>
  <c r="H54" i="81"/>
  <c r="I54" i="81"/>
  <c r="M54" i="81"/>
  <c r="N54" i="81"/>
  <c r="P54" i="81"/>
  <c r="S54" i="81"/>
  <c r="A55" i="81"/>
  <c r="F55" i="81" l="1"/>
  <c r="G55" i="81"/>
  <c r="H55" i="81"/>
  <c r="K55" i="81"/>
  <c r="M55" i="81"/>
  <c r="N55" i="81"/>
  <c r="B55" i="81"/>
  <c r="C55" i="81"/>
  <c r="D55" i="81"/>
  <c r="E55" i="81"/>
  <c r="L55" i="65" s="1"/>
  <c r="I55" i="81"/>
  <c r="L55" i="81"/>
  <c r="P55" i="81"/>
  <c r="Q55" i="81"/>
  <c r="R55" i="81"/>
  <c r="T55" i="81"/>
  <c r="U55" i="81"/>
  <c r="J55" i="81"/>
  <c r="O55" i="81"/>
  <c r="S55" i="81"/>
  <c r="A56" i="81"/>
  <c r="B56" i="81" l="1"/>
  <c r="R56" i="81"/>
  <c r="D56" i="81"/>
  <c r="T56" i="81"/>
  <c r="G56" i="81"/>
  <c r="I56" i="81"/>
  <c r="J56" i="81"/>
  <c r="C56" i="81"/>
  <c r="E56" i="81"/>
  <c r="L56" i="65" s="1"/>
  <c r="F56" i="81"/>
  <c r="H56" i="81"/>
  <c r="K56" i="81"/>
  <c r="L56" i="81"/>
  <c r="M56" i="81"/>
  <c r="N56" i="81"/>
  <c r="O56" i="81"/>
  <c r="P56" i="81"/>
  <c r="Q56" i="81"/>
  <c r="S56" i="81"/>
  <c r="U56" i="81"/>
  <c r="A57" i="81"/>
  <c r="N57" i="81" l="1"/>
  <c r="P57" i="81"/>
  <c r="C57" i="81"/>
  <c r="S57" i="81"/>
  <c r="E57" i="81"/>
  <c r="L57" i="65" s="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L58" i="65" s="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L59" i="65" s="1"/>
  <c r="J59" i="81"/>
  <c r="A60" i="81"/>
  <c r="B60" i="81" l="1"/>
  <c r="R60" i="81"/>
  <c r="D60" i="81"/>
  <c r="T60" i="81"/>
  <c r="G60" i="81"/>
  <c r="I60" i="81"/>
  <c r="J60" i="81"/>
  <c r="P60" i="81"/>
  <c r="Q60" i="81"/>
  <c r="S60" i="81"/>
  <c r="U60" i="81"/>
  <c r="C60" i="81"/>
  <c r="E60" i="81"/>
  <c r="L60" i="65" s="1"/>
  <c r="H60" i="81"/>
  <c r="K60" i="81"/>
  <c r="L60" i="81"/>
  <c r="M60" i="81"/>
  <c r="N60" i="81"/>
  <c r="O60" i="81"/>
  <c r="F60" i="81"/>
  <c r="A61" i="81"/>
  <c r="N61" i="81" l="1"/>
  <c r="P61" i="81"/>
  <c r="C61" i="81"/>
  <c r="S61" i="81"/>
  <c r="E61" i="81"/>
  <c r="L61" i="65" s="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L62" i="65" s="1"/>
  <c r="F62" i="81"/>
  <c r="G62" i="81"/>
  <c r="H62" i="81"/>
  <c r="K62" i="81"/>
  <c r="M62" i="81"/>
  <c r="N62" i="81"/>
  <c r="P62" i="81"/>
  <c r="S62" i="81"/>
  <c r="T62" i="81"/>
  <c r="I62" i="81"/>
  <c r="U62" i="81"/>
  <c r="A63" i="81"/>
  <c r="F63" i="81" l="1"/>
  <c r="H63" i="81"/>
  <c r="K63" i="81"/>
  <c r="M63" i="81"/>
  <c r="N63" i="81"/>
  <c r="C63" i="81"/>
  <c r="D63" i="81"/>
  <c r="E63" i="81"/>
  <c r="L63" i="65" s="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L64" i="65" s="1"/>
  <c r="P64" i="81"/>
  <c r="Q64" i="81"/>
  <c r="S64" i="81"/>
  <c r="U64" i="81"/>
  <c r="C64" i="81"/>
  <c r="A65" i="81"/>
  <c r="N65" i="81" l="1"/>
  <c r="P65" i="81"/>
  <c r="C65" i="81"/>
  <c r="S65" i="81"/>
  <c r="E65" i="81"/>
  <c r="L65" i="65" s="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L66" i="65" s="1"/>
  <c r="F66" i="81"/>
  <c r="H66" i="81"/>
  <c r="I66" i="81"/>
  <c r="K66" i="81"/>
  <c r="C66" i="81"/>
  <c r="G66" i="81"/>
  <c r="A67" i="81"/>
  <c r="F67" i="81" l="1"/>
  <c r="H67" i="81"/>
  <c r="K67" i="81"/>
  <c r="M67" i="81"/>
  <c r="N67" i="81"/>
  <c r="Q67" i="81"/>
  <c r="R67" i="81"/>
  <c r="S67" i="81"/>
  <c r="T67" i="81"/>
  <c r="U67" i="81"/>
  <c r="B67" i="81"/>
  <c r="O67" i="81"/>
  <c r="C67" i="81"/>
  <c r="D67" i="81"/>
  <c r="E67" i="81"/>
  <c r="L67" i="65" s="1"/>
  <c r="G67" i="81"/>
  <c r="I67" i="81"/>
  <c r="J67" i="81"/>
  <c r="L67" i="81"/>
  <c r="P67" i="81"/>
  <c r="A68" i="81"/>
  <c r="B68" i="81" l="1"/>
  <c r="R68" i="81"/>
  <c r="D68" i="81"/>
  <c r="T68" i="81"/>
  <c r="I68" i="81"/>
  <c r="J68" i="81"/>
  <c r="Q68" i="81"/>
  <c r="S68" i="81"/>
  <c r="U68" i="81"/>
  <c r="C68" i="81"/>
  <c r="E68" i="81"/>
  <c r="L68" i="65" s="1"/>
  <c r="F68" i="81"/>
  <c r="G68" i="81"/>
  <c r="H68" i="81"/>
  <c r="L68" i="81"/>
  <c r="M68" i="81"/>
  <c r="N68" i="81"/>
  <c r="O68" i="81"/>
  <c r="P68" i="81"/>
  <c r="K68" i="81"/>
  <c r="A69" i="81"/>
  <c r="N69" i="81" l="1"/>
  <c r="P69" i="81"/>
  <c r="E69" i="81"/>
  <c r="L69" i="65" s="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L70" i="65" s="1"/>
  <c r="F70" i="81"/>
  <c r="G70" i="81"/>
  <c r="I70" i="81"/>
  <c r="K70" i="81"/>
  <c r="M70" i="81"/>
  <c r="N70" i="81"/>
  <c r="O70" i="81"/>
  <c r="P70" i="81"/>
  <c r="H70" i="81"/>
  <c r="Q70" i="81"/>
  <c r="A71" i="81"/>
  <c r="F71" i="81" l="1"/>
  <c r="H71" i="81"/>
  <c r="N71" i="81"/>
  <c r="R71" i="81"/>
  <c r="S71" i="81"/>
  <c r="T71" i="81"/>
  <c r="B71" i="81"/>
  <c r="U71" i="81"/>
  <c r="C71" i="81"/>
  <c r="D71" i="81"/>
  <c r="E71" i="81"/>
  <c r="L71" i="65" s="1"/>
  <c r="K71" i="81"/>
  <c r="M71" i="81"/>
  <c r="O71" i="81"/>
  <c r="P71" i="81"/>
  <c r="I71" i="81"/>
  <c r="J71" i="81"/>
  <c r="L71" i="81"/>
  <c r="Q71" i="81"/>
  <c r="G71" i="81"/>
  <c r="A72" i="81"/>
  <c r="N72" i="81" l="1"/>
  <c r="O72" i="81"/>
  <c r="P72" i="81"/>
  <c r="Q72" i="81"/>
  <c r="B72" i="81"/>
  <c r="R72" i="81"/>
  <c r="C72" i="81"/>
  <c r="S72" i="81"/>
  <c r="D72" i="81"/>
  <c r="T72" i="81"/>
  <c r="E72" i="81"/>
  <c r="L72" i="65" s="1"/>
  <c r="F72" i="81"/>
  <c r="G72" i="81"/>
  <c r="H72" i="81"/>
  <c r="I72" i="81"/>
  <c r="J72" i="81"/>
  <c r="K72" i="81"/>
  <c r="L72" i="81"/>
  <c r="M72" i="81"/>
  <c r="U72" i="81"/>
  <c r="A73" i="81"/>
  <c r="J73" i="81" l="1"/>
  <c r="K73" i="81"/>
  <c r="L73" i="81"/>
  <c r="M73" i="81"/>
  <c r="N73" i="81"/>
  <c r="O73" i="81"/>
  <c r="P73" i="81"/>
  <c r="B73" i="81"/>
  <c r="D73" i="81"/>
  <c r="E73" i="81"/>
  <c r="L73" i="65" s="1"/>
  <c r="F73" i="81"/>
  <c r="H73" i="81"/>
  <c r="I73" i="81"/>
  <c r="Q73" i="81"/>
  <c r="R73" i="81"/>
  <c r="S73" i="81"/>
  <c r="T73" i="81"/>
  <c r="U73" i="81"/>
  <c r="C73" i="81"/>
  <c r="G73" i="81"/>
  <c r="A74" i="81"/>
  <c r="F74" i="81" l="1"/>
  <c r="G74" i="81"/>
  <c r="H74" i="81"/>
  <c r="I74" i="81"/>
  <c r="J74" i="81"/>
  <c r="K74" i="81"/>
  <c r="L74" i="81"/>
  <c r="E74" i="81"/>
  <c r="L74" i="65" s="1"/>
  <c r="N74" i="81"/>
  <c r="O74" i="81"/>
  <c r="P74" i="81"/>
  <c r="R74" i="81"/>
  <c r="S74" i="81"/>
  <c r="T74" i="81"/>
  <c r="U74" i="81"/>
  <c r="B74" i="81"/>
  <c r="C74" i="81"/>
  <c r="D74" i="81"/>
  <c r="M74" i="81"/>
  <c r="Q74" i="81"/>
  <c r="A75" i="81"/>
  <c r="B75" i="81" l="1"/>
  <c r="R75" i="81"/>
  <c r="C75" i="81"/>
  <c r="S75" i="81"/>
  <c r="D75" i="81"/>
  <c r="T75" i="81"/>
  <c r="E75" i="81"/>
  <c r="L75" i="65" s="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L76" i="65" s="1"/>
  <c r="F76" i="81"/>
  <c r="H76" i="81"/>
  <c r="I76" i="81"/>
  <c r="J76" i="81"/>
  <c r="K76" i="81"/>
  <c r="L76" i="81"/>
  <c r="M76" i="81"/>
  <c r="G76" i="81"/>
  <c r="U76" i="81"/>
  <c r="A77" i="81"/>
  <c r="J77" i="81" l="1"/>
  <c r="K77" i="81"/>
  <c r="L77" i="81"/>
  <c r="M77" i="81"/>
  <c r="N77" i="81"/>
  <c r="O77" i="81"/>
  <c r="P77" i="81"/>
  <c r="E77" i="81"/>
  <c r="L77" i="65" s="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L78" i="65" s="1"/>
  <c r="N78" i="81"/>
  <c r="P78" i="81"/>
  <c r="T78" i="81"/>
  <c r="M78" i="81"/>
  <c r="A79" i="81"/>
  <c r="B79" i="81" l="1"/>
  <c r="R79" i="81"/>
  <c r="C79" i="81"/>
  <c r="S79" i="81"/>
  <c r="D79" i="81"/>
  <c r="T79" i="81"/>
  <c r="E79" i="81"/>
  <c r="L79" i="65" s="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L80" i="65" s="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L81" i="65" s="1"/>
  <c r="F81" i="81"/>
  <c r="G81" i="81"/>
  <c r="T81" i="81"/>
  <c r="I81" i="81"/>
  <c r="C81" i="81"/>
  <c r="A82" i="81"/>
  <c r="F82" i="81" l="1"/>
  <c r="G82" i="81"/>
  <c r="H82" i="81"/>
  <c r="I82" i="81"/>
  <c r="J82" i="81"/>
  <c r="K82" i="81"/>
  <c r="L82" i="81"/>
  <c r="R82" i="81"/>
  <c r="T82" i="81"/>
  <c r="U82" i="81"/>
  <c r="B82" i="81"/>
  <c r="C82" i="81"/>
  <c r="D82" i="81"/>
  <c r="E82" i="81"/>
  <c r="L82" i="65" s="1"/>
  <c r="M82" i="81"/>
  <c r="N82" i="81"/>
  <c r="O82" i="81"/>
  <c r="P82" i="81"/>
  <c r="Q82" i="81"/>
  <c r="S82" i="81"/>
  <c r="A83" i="81"/>
  <c r="B83" i="81" l="1"/>
  <c r="R83" i="81"/>
  <c r="C83" i="81"/>
  <c r="S83" i="81"/>
  <c r="D83" i="81"/>
  <c r="T83" i="81"/>
  <c r="G83" i="81"/>
  <c r="H83" i="81"/>
  <c r="E83" i="81"/>
  <c r="L83" i="65" s="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L84" i="65" s="1"/>
  <c r="I84" i="81"/>
  <c r="U84" i="81"/>
  <c r="R84" i="81"/>
  <c r="A85" i="81"/>
  <c r="J85" i="81" l="1"/>
  <c r="K85" i="81"/>
  <c r="L85" i="81"/>
  <c r="O85" i="81"/>
  <c r="P85" i="81"/>
  <c r="E85" i="81"/>
  <c r="L85" i="65" s="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L86" i="65" s="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L87" i="65" s="1"/>
  <c r="M87" i="81"/>
  <c r="Q87" i="81"/>
  <c r="A88" i="81"/>
  <c r="N88" i="81" l="1"/>
  <c r="O88" i="81"/>
  <c r="C88" i="81"/>
  <c r="S88" i="81"/>
  <c r="D88" i="81"/>
  <c r="L88" i="81"/>
  <c r="P88" i="81"/>
  <c r="Q88" i="81"/>
  <c r="R88" i="81"/>
  <c r="U88" i="81"/>
  <c r="B88" i="81"/>
  <c r="E88" i="81"/>
  <c r="L88" i="65" s="1"/>
  <c r="K88" i="81"/>
  <c r="M88" i="81"/>
  <c r="T88" i="81"/>
  <c r="F88" i="81"/>
  <c r="G88" i="81"/>
  <c r="H88" i="81"/>
  <c r="I88" i="81"/>
  <c r="J88" i="81"/>
  <c r="A89" i="81"/>
  <c r="J89" i="81" l="1"/>
  <c r="K89" i="81"/>
  <c r="O89" i="81"/>
  <c r="M89" i="81"/>
  <c r="P89" i="81"/>
  <c r="Q89" i="81"/>
  <c r="R89" i="81"/>
  <c r="T89" i="81"/>
  <c r="B89" i="81"/>
  <c r="U89" i="81"/>
  <c r="C89" i="81"/>
  <c r="D89" i="81"/>
  <c r="E89" i="81"/>
  <c r="L89" i="65" s="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L90" i="65" s="1"/>
  <c r="H90" i="81"/>
  <c r="I90" i="81"/>
  <c r="A91" i="81"/>
  <c r="B91" i="81" l="1"/>
  <c r="R91" i="81"/>
  <c r="C91" i="81"/>
  <c r="G91" i="81"/>
  <c r="L91" i="81"/>
  <c r="N91" i="81"/>
  <c r="O91" i="81"/>
  <c r="P91" i="81"/>
  <c r="S91" i="81"/>
  <c r="T91" i="81"/>
  <c r="U91" i="81"/>
  <c r="D91" i="81"/>
  <c r="E91" i="81"/>
  <c r="L91" i="65" s="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L92" i="65" s="1"/>
  <c r="F92" i="81"/>
  <c r="G92" i="81"/>
  <c r="H92" i="81"/>
  <c r="A93" i="81"/>
  <c r="J93" i="81" l="1"/>
  <c r="O93" i="81"/>
  <c r="H93" i="81"/>
  <c r="K93" i="81"/>
  <c r="L93" i="81"/>
  <c r="M93" i="81"/>
  <c r="P93" i="81"/>
  <c r="Q93" i="81"/>
  <c r="R93" i="81"/>
  <c r="S93" i="81"/>
  <c r="B93" i="81"/>
  <c r="D93" i="81"/>
  <c r="E93" i="81"/>
  <c r="L93" i="65" s="1"/>
  <c r="F93" i="81"/>
  <c r="G93" i="81"/>
  <c r="C93" i="81"/>
  <c r="I93" i="81"/>
  <c r="N93" i="81"/>
  <c r="T93" i="81"/>
  <c r="U93" i="81"/>
  <c r="A94" i="81"/>
  <c r="F94" i="81" l="1"/>
  <c r="K94" i="81"/>
  <c r="G94" i="81"/>
  <c r="I94" i="81"/>
  <c r="J94" i="81"/>
  <c r="L94" i="81"/>
  <c r="N94" i="81"/>
  <c r="O94" i="81"/>
  <c r="P94" i="81"/>
  <c r="Q94" i="81"/>
  <c r="E94" i="81"/>
  <c r="L94" i="65" s="1"/>
  <c r="H94" i="81"/>
  <c r="M94" i="81"/>
  <c r="R94" i="81"/>
  <c r="T94" i="81"/>
  <c r="U94" i="81"/>
  <c r="S94" i="81"/>
  <c r="D94" i="81"/>
  <c r="B94" i="81"/>
  <c r="C94" i="81"/>
  <c r="A95" i="81"/>
  <c r="B95" i="81" l="1"/>
  <c r="R95" i="81"/>
  <c r="G95" i="81"/>
  <c r="E95" i="81"/>
  <c r="L95" i="65" s="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L96" i="65" s="1"/>
  <c r="I96" i="81"/>
  <c r="O96" i="81"/>
  <c r="Q96" i="81"/>
  <c r="R96" i="81"/>
  <c r="T96" i="81"/>
  <c r="U96" i="81"/>
  <c r="P96" i="81"/>
  <c r="A97" i="81"/>
  <c r="J97" i="81" l="1"/>
  <c r="O97" i="81"/>
  <c r="B97" i="81"/>
  <c r="T97" i="81"/>
  <c r="D97" i="81"/>
  <c r="E97" i="81"/>
  <c r="L97" i="65" s="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65" s="1"/>
  <c r="L98" i="81"/>
  <c r="N98" i="81"/>
  <c r="O98" i="81"/>
  <c r="P98" i="81"/>
  <c r="Q98" i="81"/>
  <c r="M98" i="81"/>
  <c r="S98" i="81"/>
  <c r="A99" i="81"/>
  <c r="B99" i="81" l="1"/>
  <c r="R99" i="81"/>
  <c r="G99" i="81"/>
  <c r="P99" i="81"/>
  <c r="S99" i="81"/>
  <c r="T99" i="81"/>
  <c r="C99" i="81"/>
  <c r="U99" i="81"/>
  <c r="E99" i="81"/>
  <c r="L99" i="65" s="1"/>
  <c r="F99" i="81"/>
  <c r="H99" i="81"/>
  <c r="I99" i="81"/>
  <c r="O99" i="81"/>
  <c r="Q99" i="81"/>
  <c r="D99" i="81"/>
  <c r="J99" i="81"/>
  <c r="K99" i="81"/>
  <c r="L99" i="81"/>
  <c r="M99" i="81"/>
  <c r="N99" i="81"/>
  <c r="A100" i="81"/>
  <c r="N100" i="81" l="1"/>
  <c r="C100" i="81"/>
  <c r="S100" i="81"/>
  <c r="O100" i="81"/>
  <c r="Q100" i="81"/>
  <c r="R100" i="81"/>
  <c r="T100" i="81"/>
  <c r="D100" i="81"/>
  <c r="E100" i="81"/>
  <c r="L100" i="65" s="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65" s="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L102" i="65" s="1"/>
  <c r="J102" i="81"/>
  <c r="M102" i="81"/>
  <c r="Q102" i="81"/>
  <c r="A103" i="81"/>
  <c r="B103" i="81" l="1"/>
  <c r="R103" i="81"/>
  <c r="G103" i="81"/>
  <c r="J103" i="81"/>
  <c r="L103" i="81"/>
  <c r="M103" i="81"/>
  <c r="N103" i="81"/>
  <c r="P103" i="81"/>
  <c r="Q103" i="81"/>
  <c r="S103" i="81"/>
  <c r="T103" i="81"/>
  <c r="I103" i="81"/>
  <c r="K103" i="81"/>
  <c r="O103" i="81"/>
  <c r="U103" i="81"/>
  <c r="C103" i="81"/>
  <c r="D103" i="81"/>
  <c r="E103" i="81"/>
  <c r="L103" i="65" s="1"/>
  <c r="F103" i="81"/>
  <c r="H103" i="81"/>
  <c r="A104" i="81"/>
  <c r="N104" i="81" l="1"/>
  <c r="C104" i="81"/>
  <c r="S104" i="81"/>
  <c r="H104" i="81"/>
  <c r="J104" i="81"/>
  <c r="K104" i="81"/>
  <c r="L104" i="81"/>
  <c r="O104" i="81"/>
  <c r="P104" i="81"/>
  <c r="Q104" i="81"/>
  <c r="R104" i="81"/>
  <c r="D104" i="81"/>
  <c r="E104" i="81"/>
  <c r="L104" i="65" s="1"/>
  <c r="F104" i="81"/>
  <c r="B104" i="81"/>
  <c r="U104" i="81"/>
  <c r="G104" i="81"/>
  <c r="I104" i="81"/>
  <c r="M104" i="81"/>
  <c r="T104" i="81"/>
  <c r="A105" i="81"/>
  <c r="J105" i="81" l="1"/>
  <c r="O105" i="81"/>
  <c r="F105" i="81"/>
  <c r="H105" i="81"/>
  <c r="I105" i="81"/>
  <c r="K105" i="81"/>
  <c r="M105" i="81"/>
  <c r="N105" i="81"/>
  <c r="P105" i="81"/>
  <c r="Q105" i="81"/>
  <c r="E105" i="81"/>
  <c r="L105" i="65" s="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L106" i="65" s="1"/>
  <c r="J106" i="81"/>
  <c r="P106" i="81"/>
  <c r="Q106" i="81"/>
  <c r="R106" i="81"/>
  <c r="S106" i="81"/>
  <c r="T106" i="81"/>
  <c r="A107" i="81"/>
  <c r="B107" i="81" l="1"/>
  <c r="R107" i="81"/>
  <c r="G107" i="81"/>
  <c r="C107" i="81"/>
  <c r="U107" i="81"/>
  <c r="E107" i="81"/>
  <c r="L107" i="65" s="1"/>
  <c r="F107" i="81"/>
  <c r="H107" i="81"/>
  <c r="J107" i="81"/>
  <c r="K107" i="81"/>
  <c r="L107" i="81"/>
  <c r="M107" i="81"/>
  <c r="D107" i="81"/>
  <c r="I107" i="81"/>
  <c r="N107" i="81"/>
  <c r="P107" i="81"/>
  <c r="Q107" i="81"/>
  <c r="S107" i="81"/>
  <c r="O107" i="81"/>
  <c r="T107" i="81"/>
  <c r="A108" i="81"/>
  <c r="N108" i="81" l="1"/>
  <c r="C108" i="81"/>
  <c r="S108" i="81"/>
  <c r="T108" i="81"/>
  <c r="D108" i="81"/>
  <c r="E108" i="81"/>
  <c r="L108" i="65" s="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L109" i="65" s="1"/>
  <c r="I109" i="81"/>
  <c r="L109" i="81"/>
  <c r="M109" i="81"/>
  <c r="N109" i="81"/>
  <c r="K109" i="81"/>
  <c r="O109" i="81"/>
  <c r="P109" i="81"/>
  <c r="R109" i="81"/>
  <c r="A110" i="81"/>
  <c r="F110" i="81" l="1"/>
  <c r="N110" i="81"/>
  <c r="P110" i="81"/>
  <c r="Q110" i="81"/>
  <c r="R110" i="81"/>
  <c r="C110" i="81"/>
  <c r="T110" i="81"/>
  <c r="D110" i="81"/>
  <c r="U110" i="81"/>
  <c r="E110" i="81"/>
  <c r="L110" i="65" s="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L111" i="65" s="1"/>
  <c r="G111" i="81"/>
  <c r="H111" i="81"/>
  <c r="I111" i="81"/>
  <c r="J111" i="81"/>
  <c r="L111" i="81"/>
  <c r="P111" i="81"/>
  <c r="U111" i="81"/>
  <c r="F111" i="81"/>
  <c r="A112" i="81"/>
  <c r="N112" i="81" l="1"/>
  <c r="H112" i="81"/>
  <c r="J112" i="81"/>
  <c r="K112" i="81"/>
  <c r="L112" i="81"/>
  <c r="O112" i="81"/>
  <c r="P112" i="81"/>
  <c r="Q112" i="81"/>
  <c r="C112" i="81"/>
  <c r="D112" i="81"/>
  <c r="E112" i="81"/>
  <c r="L112" i="65" s="1"/>
  <c r="F112" i="81"/>
  <c r="I112" i="81"/>
  <c r="M112" i="81"/>
  <c r="B112" i="81"/>
  <c r="G112" i="81"/>
  <c r="R112" i="81"/>
  <c r="S112" i="81"/>
  <c r="T112" i="81"/>
  <c r="U112" i="81"/>
  <c r="A113" i="81"/>
  <c r="J113" i="81" l="1"/>
  <c r="E113" i="81"/>
  <c r="L113" i="65" s="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L114" i="65" s="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L115" i="65" s="1"/>
  <c r="I115" i="81"/>
  <c r="J115" i="81"/>
  <c r="L115" i="81"/>
  <c r="M115" i="81"/>
  <c r="Q115" i="81"/>
  <c r="K115" i="81"/>
  <c r="N115" i="81"/>
  <c r="O115" i="81"/>
  <c r="A116" i="81"/>
  <c r="N116" i="81" l="1"/>
  <c r="M116" i="81"/>
  <c r="P116" i="81"/>
  <c r="Q116" i="81"/>
  <c r="C116" i="81"/>
  <c r="T116" i="81"/>
  <c r="D116" i="81"/>
  <c r="U116" i="81"/>
  <c r="E116" i="81"/>
  <c r="L116" i="65" s="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L117" i="65" s="1"/>
  <c r="F117" i="81"/>
  <c r="G117" i="81"/>
  <c r="O117" i="81"/>
  <c r="H117" i="81"/>
  <c r="I117" i="81"/>
  <c r="L117" i="81"/>
  <c r="N117" i="81"/>
  <c r="A118" i="81"/>
  <c r="F118" i="81" l="1"/>
  <c r="H118" i="81"/>
  <c r="J118" i="81"/>
  <c r="N118" i="81"/>
  <c r="O118" i="81"/>
  <c r="S118" i="81"/>
  <c r="T118" i="81"/>
  <c r="U118" i="81"/>
  <c r="C118" i="81"/>
  <c r="D118" i="81"/>
  <c r="B118" i="81"/>
  <c r="E118" i="81"/>
  <c r="L118" i="65" s="1"/>
  <c r="G118" i="81"/>
  <c r="I118" i="81"/>
  <c r="K118" i="81"/>
  <c r="L118" i="81"/>
  <c r="M118" i="81"/>
  <c r="P118" i="81"/>
  <c r="Q118" i="81"/>
  <c r="R118" i="81"/>
  <c r="A119" i="81"/>
  <c r="B119" i="81" l="1"/>
  <c r="R119" i="81"/>
  <c r="E119" i="81"/>
  <c r="L119" i="65" s="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L120" i="65" s="1"/>
  <c r="F120" i="81"/>
  <c r="J120" i="81"/>
  <c r="K120" i="81"/>
  <c r="G120" i="81"/>
  <c r="L120" i="81"/>
  <c r="M120" i="81"/>
  <c r="O120" i="81"/>
  <c r="P120" i="81"/>
  <c r="Q120" i="81"/>
  <c r="R120" i="81"/>
  <c r="T120" i="81"/>
  <c r="A121" i="81"/>
  <c r="J121" i="81" l="1"/>
  <c r="P121" i="81"/>
  <c r="R121" i="81"/>
  <c r="E121" i="81"/>
  <c r="L121" i="65" s="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L122" i="65" s="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L123" i="65" s="1"/>
  <c r="A124" i="81"/>
  <c r="N124" i="81" l="1"/>
  <c r="G124" i="81"/>
  <c r="I124" i="81"/>
  <c r="M124" i="81"/>
  <c r="O124" i="81"/>
  <c r="L124" i="81"/>
  <c r="P124" i="81"/>
  <c r="Q124" i="81"/>
  <c r="R124" i="81"/>
  <c r="T124" i="81"/>
  <c r="U124" i="81"/>
  <c r="B124" i="81"/>
  <c r="C124" i="81"/>
  <c r="D124" i="81"/>
  <c r="E124" i="81"/>
  <c r="L124" i="65" s="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L125" i="65" s="1"/>
  <c r="B125" i="81"/>
  <c r="C125" i="81"/>
  <c r="A126" i="81"/>
  <c r="F126" i="81" l="1"/>
  <c r="R126" i="81"/>
  <c r="C126" i="81"/>
  <c r="T126" i="81"/>
  <c r="H126" i="81"/>
  <c r="I126" i="81"/>
  <c r="Q126" i="81"/>
  <c r="S126" i="81"/>
  <c r="U126" i="81"/>
  <c r="B126" i="81"/>
  <c r="D126" i="81"/>
  <c r="E126" i="81"/>
  <c r="L126" i="65" s="1"/>
  <c r="G126" i="81"/>
  <c r="J126" i="81"/>
  <c r="K126" i="81"/>
  <c r="P126" i="81"/>
  <c r="L126" i="81"/>
  <c r="M126" i="81"/>
  <c r="N126" i="81"/>
  <c r="O126" i="81"/>
  <c r="A127" i="81"/>
  <c r="B127" i="81" l="1"/>
  <c r="R127" i="81"/>
  <c r="O127" i="81"/>
  <c r="Q127" i="81"/>
  <c r="E127" i="81"/>
  <c r="L127" i="65" s="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L128" i="65" s="1"/>
  <c r="F128" i="81"/>
  <c r="H128" i="81"/>
  <c r="I128" i="81"/>
  <c r="R128" i="81"/>
  <c r="U128" i="81"/>
  <c r="G128" i="81"/>
  <c r="Q128" i="81"/>
  <c r="J128" i="81"/>
  <c r="K128" i="81"/>
  <c r="M128" i="81"/>
  <c r="P128" i="81"/>
  <c r="A129" i="81"/>
  <c r="J129" i="81" l="1"/>
  <c r="I129" i="81"/>
  <c r="L129" i="81"/>
  <c r="P129" i="81"/>
  <c r="Q129" i="81"/>
  <c r="D129" i="81"/>
  <c r="E129" i="81"/>
  <c r="L129" i="65" s="1"/>
  <c r="F129" i="81"/>
  <c r="G129" i="81"/>
  <c r="K129" i="81"/>
  <c r="M129" i="81"/>
  <c r="B129" i="81"/>
  <c r="C129" i="81"/>
  <c r="H129" i="81"/>
  <c r="N129" i="81"/>
  <c r="O129" i="81"/>
  <c r="R129" i="81"/>
  <c r="S129" i="81"/>
  <c r="T129" i="81"/>
  <c r="U129" i="81"/>
  <c r="A130" i="81"/>
  <c r="F130" i="81" l="1"/>
  <c r="G130" i="81"/>
  <c r="I130" i="81"/>
  <c r="M130" i="81"/>
  <c r="N130" i="81"/>
  <c r="E130" i="81"/>
  <c r="L130" i="65" s="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L131" i="65" s="1"/>
  <c r="G131" i="81"/>
  <c r="H131" i="81"/>
  <c r="M131" i="81"/>
  <c r="N131" i="81"/>
  <c r="P131" i="81"/>
  <c r="Q131" i="81"/>
  <c r="R131" i="81"/>
  <c r="S131" i="81"/>
  <c r="U131" i="81"/>
  <c r="A132" i="81"/>
  <c r="P132" i="81" l="1"/>
  <c r="B132" i="81"/>
  <c r="R132" i="81"/>
  <c r="F132" i="81"/>
  <c r="I132" i="81"/>
  <c r="J132" i="81"/>
  <c r="N132" i="81"/>
  <c r="D132" i="81"/>
  <c r="E132" i="81"/>
  <c r="L132" i="65" s="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L133" i="65" s="1"/>
  <c r="C133" i="81"/>
  <c r="D133" i="81"/>
  <c r="A134" i="81"/>
  <c r="H134" i="81" l="1"/>
  <c r="J134" i="81"/>
  <c r="N134" i="81"/>
  <c r="G134" i="81"/>
  <c r="I134" i="81"/>
  <c r="O134" i="81"/>
  <c r="M134" i="81"/>
  <c r="P134" i="81"/>
  <c r="Q134" i="81"/>
  <c r="R134" i="81"/>
  <c r="S134" i="81"/>
  <c r="T134" i="81"/>
  <c r="U134" i="81"/>
  <c r="B134" i="81"/>
  <c r="C134" i="81"/>
  <c r="L134" i="81"/>
  <c r="D134" i="81"/>
  <c r="E134" i="81"/>
  <c r="L134" i="65" s="1"/>
  <c r="F134" i="81"/>
  <c r="K134" i="81"/>
  <c r="A135" i="81"/>
  <c r="D135" i="81" l="1"/>
  <c r="T135" i="81"/>
  <c r="F135" i="81"/>
  <c r="J135" i="81"/>
  <c r="H135" i="81"/>
  <c r="I135" i="81"/>
  <c r="N135" i="81"/>
  <c r="Q135" i="81"/>
  <c r="R135" i="81"/>
  <c r="S135" i="81"/>
  <c r="U135" i="81"/>
  <c r="B135" i="81"/>
  <c r="C135" i="81"/>
  <c r="E135" i="81"/>
  <c r="L135" i="65" s="1"/>
  <c r="G135" i="81"/>
  <c r="P135" i="81"/>
  <c r="K135" i="81"/>
  <c r="L135" i="81"/>
  <c r="M135" i="81"/>
  <c r="O135" i="81"/>
  <c r="A136" i="81"/>
  <c r="P136" i="81" l="1"/>
  <c r="B136" i="81"/>
  <c r="R136" i="81"/>
  <c r="G136" i="81"/>
  <c r="H136" i="81"/>
  <c r="L136" i="81"/>
  <c r="T136" i="81"/>
  <c r="U136" i="81"/>
  <c r="C136" i="81"/>
  <c r="D136" i="81"/>
  <c r="E136" i="81"/>
  <c r="L136" i="65" s="1"/>
  <c r="F136" i="81"/>
  <c r="I136" i="81"/>
  <c r="J136" i="81"/>
  <c r="K136" i="81"/>
  <c r="S136" i="81"/>
  <c r="M136" i="81"/>
  <c r="N136" i="81"/>
  <c r="O136" i="81"/>
  <c r="Q136" i="81"/>
  <c r="A137" i="81"/>
  <c r="L137" i="81" l="1"/>
  <c r="N137" i="81"/>
  <c r="E137" i="81"/>
  <c r="L137" i="65" s="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L138" i="65" s="1"/>
  <c r="F138" i="81"/>
  <c r="G138" i="81"/>
  <c r="I138" i="81"/>
  <c r="K138" i="81"/>
  <c r="L138" i="81"/>
  <c r="M138" i="81"/>
  <c r="N138" i="81"/>
  <c r="S138" i="81"/>
  <c r="O138" i="81"/>
  <c r="P138" i="81"/>
  <c r="Q138" i="81"/>
  <c r="R138" i="81"/>
  <c r="A139" i="81"/>
  <c r="D139" i="81" l="1"/>
  <c r="T139" i="81"/>
  <c r="F139" i="81"/>
  <c r="S139" i="81"/>
  <c r="B139" i="81"/>
  <c r="U139" i="81"/>
  <c r="C139" i="81"/>
  <c r="E139" i="81"/>
  <c r="L139" i="65" s="1"/>
  <c r="G139" i="81"/>
  <c r="H139" i="81"/>
  <c r="I139" i="81"/>
  <c r="J139" i="81"/>
  <c r="K139" i="81"/>
  <c r="L139" i="81"/>
  <c r="M139" i="81"/>
  <c r="N139" i="81"/>
  <c r="O139" i="81"/>
  <c r="P139" i="81"/>
  <c r="Q139" i="81"/>
  <c r="R139" i="81"/>
  <c r="A140" i="81"/>
  <c r="P140" i="81" l="1"/>
  <c r="B140" i="81"/>
  <c r="R140" i="81"/>
  <c r="S140" i="81"/>
  <c r="T140" i="81"/>
  <c r="D140" i="81"/>
  <c r="E140" i="81"/>
  <c r="L140" i="65" s="1"/>
  <c r="F140" i="81"/>
  <c r="G140" i="81"/>
  <c r="H140" i="81"/>
  <c r="I140" i="81"/>
  <c r="J140" i="81"/>
  <c r="K140" i="81"/>
  <c r="L140" i="81"/>
  <c r="M140" i="81"/>
  <c r="N140" i="81"/>
  <c r="C140" i="81"/>
  <c r="O140" i="81"/>
  <c r="Q140" i="81"/>
  <c r="U140" i="81"/>
  <c r="A141" i="81"/>
  <c r="L141" i="81" l="1"/>
  <c r="N141" i="81"/>
  <c r="Q141" i="81"/>
  <c r="R141" i="81"/>
  <c r="D141" i="81"/>
  <c r="E141" i="81"/>
  <c r="L141" i="65" s="1"/>
  <c r="F141" i="81"/>
  <c r="G141" i="81"/>
  <c r="H141" i="81"/>
  <c r="I141" i="81"/>
  <c r="J141" i="81"/>
  <c r="K141" i="81"/>
  <c r="M141" i="81"/>
  <c r="O141" i="81"/>
  <c r="P141" i="81"/>
  <c r="C141" i="81"/>
  <c r="B141" i="81"/>
  <c r="S141" i="81"/>
  <c r="T141" i="81"/>
  <c r="U141" i="81"/>
  <c r="A142" i="81"/>
  <c r="H142" i="81" l="1"/>
  <c r="J142" i="81"/>
  <c r="O142" i="81"/>
  <c r="P142" i="81"/>
  <c r="D142" i="81"/>
  <c r="E142" i="81"/>
  <c r="L142" i="65" s="1"/>
  <c r="F142" i="81"/>
  <c r="G142" i="81"/>
  <c r="I142" i="81"/>
  <c r="K142" i="81"/>
  <c r="L142" i="81"/>
  <c r="M142" i="81"/>
  <c r="N142" i="81"/>
  <c r="Q142" i="81"/>
  <c r="R142" i="81"/>
  <c r="C142" i="81"/>
  <c r="S142" i="81"/>
  <c r="T142" i="81"/>
  <c r="U142" i="81"/>
  <c r="B142" i="81"/>
  <c r="A143" i="81"/>
  <c r="D143" i="81" l="1"/>
  <c r="T143" i="81"/>
  <c r="F143" i="81"/>
  <c r="M143" i="81"/>
  <c r="N143" i="81"/>
  <c r="E143" i="81"/>
  <c r="L143" i="65" s="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L144" i="65" s="1"/>
  <c r="C144" i="81"/>
  <c r="D144" i="81"/>
  <c r="U144" i="81"/>
  <c r="A145" i="81"/>
  <c r="L145" i="81" l="1"/>
  <c r="N145" i="81"/>
  <c r="I145" i="81"/>
  <c r="J145" i="81"/>
  <c r="F145" i="81"/>
  <c r="G145" i="81"/>
  <c r="H145" i="81"/>
  <c r="K145" i="81"/>
  <c r="M145" i="81"/>
  <c r="P145" i="81"/>
  <c r="Q145" i="81"/>
  <c r="R145" i="81"/>
  <c r="S145" i="81"/>
  <c r="T145" i="81"/>
  <c r="E145" i="81"/>
  <c r="L145" i="65" s="1"/>
  <c r="O145" i="81"/>
  <c r="U145" i="81"/>
  <c r="D145" i="81"/>
  <c r="B145" i="81"/>
  <c r="C145" i="81"/>
  <c r="A146" i="81"/>
  <c r="H146" i="81" l="1"/>
  <c r="J146" i="81"/>
  <c r="G146" i="81"/>
  <c r="I146" i="81"/>
  <c r="F146" i="81"/>
  <c r="K146" i="81"/>
  <c r="L146" i="81"/>
  <c r="M146" i="81"/>
  <c r="N146" i="81"/>
  <c r="P146" i="81"/>
  <c r="Q146" i="81"/>
  <c r="R146" i="81"/>
  <c r="S146" i="81"/>
  <c r="T146" i="81"/>
  <c r="E146" i="81"/>
  <c r="L146" i="65" s="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L147" i="65" s="1"/>
  <c r="O147" i="81"/>
  <c r="A148" i="81"/>
  <c r="P148" i="81" l="1"/>
  <c r="B148" i="81"/>
  <c r="R148" i="81"/>
  <c r="E148" i="81"/>
  <c r="L148" i="65" s="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L149" i="65" s="1"/>
  <c r="F149" i="81"/>
  <c r="G149" i="81"/>
  <c r="H149" i="81"/>
  <c r="A150" i="81"/>
  <c r="H150" i="81" l="1"/>
  <c r="J150" i="81"/>
  <c r="S150" i="81"/>
  <c r="B150" i="81"/>
  <c r="T150" i="81"/>
  <c r="M150" i="81"/>
  <c r="N150" i="81"/>
  <c r="O150" i="81"/>
  <c r="P150" i="81"/>
  <c r="R150" i="81"/>
  <c r="U150" i="81"/>
  <c r="C150" i="81"/>
  <c r="D150" i="81"/>
  <c r="K150" i="81"/>
  <c r="E150" i="81"/>
  <c r="L150" i="65" s="1"/>
  <c r="F150" i="81"/>
  <c r="G150" i="81"/>
  <c r="I150" i="81"/>
  <c r="L150" i="81"/>
  <c r="Q150" i="81"/>
  <c r="A151" i="81"/>
  <c r="D151" i="81" l="1"/>
  <c r="T151" i="81"/>
  <c r="F151" i="81"/>
  <c r="Q151" i="81"/>
  <c r="R151" i="81"/>
  <c r="M151" i="81"/>
  <c r="N151" i="81"/>
  <c r="O151" i="81"/>
  <c r="P151" i="81"/>
  <c r="U151" i="81"/>
  <c r="B151" i="81"/>
  <c r="C151" i="81"/>
  <c r="E151" i="81"/>
  <c r="L151" i="65" s="1"/>
  <c r="K151" i="81"/>
  <c r="G151" i="81"/>
  <c r="H151" i="81"/>
  <c r="S151" i="81"/>
  <c r="I151" i="81"/>
  <c r="J151" i="81"/>
  <c r="L151" i="81"/>
  <c r="A152" i="81"/>
  <c r="P152" i="81" l="1"/>
  <c r="B152" i="81"/>
  <c r="R152" i="81"/>
  <c r="O152" i="81"/>
  <c r="Q152" i="81"/>
  <c r="M152" i="81"/>
  <c r="N152" i="81"/>
  <c r="S152" i="81"/>
  <c r="T152" i="81"/>
  <c r="C152" i="81"/>
  <c r="D152" i="81"/>
  <c r="E152" i="81"/>
  <c r="L152" i="65" s="1"/>
  <c r="F152" i="81"/>
  <c r="K152" i="81"/>
  <c r="I152" i="81"/>
  <c r="J152" i="81"/>
  <c r="L152" i="81"/>
  <c r="U152" i="81"/>
  <c r="G152" i="81"/>
  <c r="H152" i="81"/>
  <c r="A153" i="81"/>
  <c r="L153" i="81" l="1"/>
  <c r="N153" i="81"/>
  <c r="O153" i="81"/>
  <c r="P153" i="81"/>
  <c r="Q153" i="81"/>
  <c r="R153" i="81"/>
  <c r="S153" i="81"/>
  <c r="T153" i="81"/>
  <c r="B153" i="81"/>
  <c r="C153" i="81"/>
  <c r="D153" i="81"/>
  <c r="E153" i="81"/>
  <c r="L153" i="65" s="1"/>
  <c r="F153" i="81"/>
  <c r="K153" i="81"/>
  <c r="G153" i="81"/>
  <c r="I153" i="81"/>
  <c r="J153" i="81"/>
  <c r="M153" i="81"/>
  <c r="H153" i="81"/>
  <c r="U153" i="81"/>
  <c r="A154" i="81"/>
  <c r="H154" i="81" l="1"/>
  <c r="J154" i="81"/>
  <c r="M154" i="81"/>
  <c r="N154" i="81"/>
  <c r="Q154" i="81"/>
  <c r="R154" i="81"/>
  <c r="S154" i="81"/>
  <c r="T154" i="81"/>
  <c r="B154" i="81"/>
  <c r="C154" i="81"/>
  <c r="D154" i="81"/>
  <c r="E154" i="81"/>
  <c r="L154" i="65" s="1"/>
  <c r="F154" i="81"/>
  <c r="O154" i="81"/>
  <c r="G154" i="81"/>
  <c r="I154" i="81"/>
  <c r="K154" i="81"/>
  <c r="L154" i="81"/>
  <c r="P154" i="81"/>
  <c r="U154" i="81"/>
  <c r="A155" i="81"/>
  <c r="D155" i="81" l="1"/>
  <c r="T155" i="81"/>
  <c r="F155" i="81"/>
  <c r="K155" i="81"/>
  <c r="L155" i="81"/>
  <c r="Q155" i="81"/>
  <c r="R155" i="81"/>
  <c r="S155" i="81"/>
  <c r="U155" i="81"/>
  <c r="B155" i="81"/>
  <c r="C155" i="81"/>
  <c r="E155" i="81"/>
  <c r="L155" i="65" s="1"/>
  <c r="G155" i="81"/>
  <c r="H155" i="81"/>
  <c r="O155" i="81"/>
  <c r="I155" i="81"/>
  <c r="J155" i="81"/>
  <c r="M155" i="81"/>
  <c r="N155" i="81"/>
  <c r="P155" i="81"/>
  <c r="A156" i="81"/>
  <c r="P156" i="81" l="1"/>
  <c r="B156" i="81"/>
  <c r="R156" i="81"/>
  <c r="I156" i="81"/>
  <c r="J156" i="81"/>
  <c r="S156" i="81"/>
  <c r="T156" i="81"/>
  <c r="D156" i="81"/>
  <c r="E156" i="81"/>
  <c r="L156" i="65" s="1"/>
  <c r="F156" i="81"/>
  <c r="G156" i="81"/>
  <c r="H156" i="81"/>
  <c r="O156" i="81"/>
  <c r="K156" i="81"/>
  <c r="L156" i="81"/>
  <c r="M156" i="81"/>
  <c r="C156" i="81"/>
  <c r="N156" i="81"/>
  <c r="Q156" i="81"/>
  <c r="U156" i="81"/>
  <c r="A157" i="81"/>
  <c r="L157" i="81" l="1"/>
  <c r="N157" i="81"/>
  <c r="G157" i="81"/>
  <c r="H157" i="81"/>
  <c r="S157" i="81"/>
  <c r="T157" i="81"/>
  <c r="B157" i="81"/>
  <c r="D157" i="81"/>
  <c r="E157" i="81"/>
  <c r="L157" i="65" s="1"/>
  <c r="F157" i="81"/>
  <c r="I157" i="81"/>
  <c r="J157" i="81"/>
  <c r="Q157" i="81"/>
  <c r="P157" i="81"/>
  <c r="R157" i="81"/>
  <c r="U157" i="81"/>
  <c r="M157" i="81"/>
  <c r="O157" i="81"/>
  <c r="K157" i="81"/>
  <c r="C157" i="81"/>
  <c r="A158" i="81"/>
  <c r="H158" i="81" l="1"/>
  <c r="J158" i="81"/>
  <c r="E158" i="81"/>
  <c r="L158" i="65" s="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L159" i="65" s="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L160" i="65" s="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L161" i="65" s="1"/>
  <c r="A162" i="81"/>
  <c r="H162" i="81" l="1"/>
  <c r="J162" i="81"/>
  <c r="Q162" i="81"/>
  <c r="R162" i="81"/>
  <c r="C162" i="81"/>
  <c r="D162" i="81"/>
  <c r="F162" i="81"/>
  <c r="I162" i="81"/>
  <c r="K162" i="81"/>
  <c r="L162" i="81"/>
  <c r="M162" i="81"/>
  <c r="B162" i="81"/>
  <c r="G162" i="81"/>
  <c r="N162" i="81"/>
  <c r="O162" i="81"/>
  <c r="E162" i="81"/>
  <c r="L162" i="65" s="1"/>
  <c r="P162" i="81"/>
  <c r="S162" i="81"/>
  <c r="T162" i="81"/>
  <c r="U162" i="81"/>
  <c r="A163" i="81"/>
  <c r="D163" i="81" l="1"/>
  <c r="T163" i="81"/>
  <c r="F163" i="81"/>
  <c r="O163" i="81"/>
  <c r="P163" i="81"/>
  <c r="C163" i="81"/>
  <c r="E163" i="81"/>
  <c r="L163" i="65" s="1"/>
  <c r="H163" i="81"/>
  <c r="J163" i="81"/>
  <c r="K163" i="81"/>
  <c r="L163" i="81"/>
  <c r="M163" i="81"/>
  <c r="N163" i="81"/>
  <c r="Q163" i="81"/>
  <c r="R163" i="81"/>
  <c r="S163" i="81"/>
  <c r="U163" i="81"/>
  <c r="B163" i="81"/>
  <c r="G163" i="81"/>
  <c r="I163" i="81"/>
  <c r="A164" i="81"/>
  <c r="P164" i="81" l="1"/>
  <c r="B164" i="81"/>
  <c r="R164" i="81"/>
  <c r="M164" i="81"/>
  <c r="N164" i="81"/>
  <c r="E164" i="81"/>
  <c r="L164" i="65" s="1"/>
  <c r="F164" i="81"/>
  <c r="H164" i="81"/>
  <c r="J164" i="81"/>
  <c r="K164" i="81"/>
  <c r="L164" i="81"/>
  <c r="O164" i="81"/>
  <c r="D164" i="81"/>
  <c r="G164" i="81"/>
  <c r="I164" i="81"/>
  <c r="C164" i="81"/>
  <c r="Q164" i="81"/>
  <c r="S164" i="81"/>
  <c r="T164" i="81"/>
  <c r="U164" i="81"/>
  <c r="A165" i="81"/>
  <c r="L165" i="81" l="1"/>
  <c r="N165" i="81"/>
  <c r="K165" i="81"/>
  <c r="M165" i="81"/>
  <c r="E165" i="81"/>
  <c r="L165" i="65" s="1"/>
  <c r="F165" i="81"/>
  <c r="H165" i="81"/>
  <c r="J165" i="81"/>
  <c r="O165" i="81"/>
  <c r="P165" i="81"/>
  <c r="Q165" i="81"/>
  <c r="G165" i="81"/>
  <c r="I165" i="81"/>
  <c r="R165" i="81"/>
  <c r="S165" i="81"/>
  <c r="T165" i="81"/>
  <c r="C165" i="81"/>
  <c r="D165" i="81"/>
  <c r="U165" i="81"/>
  <c r="B165" i="81"/>
  <c r="A166" i="81"/>
  <c r="H166" i="81" l="1"/>
  <c r="J166" i="81"/>
  <c r="K166" i="81"/>
  <c r="L166" i="81"/>
  <c r="E166" i="81"/>
  <c r="L166" i="65" s="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L167" i="65" s="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L168" i="65" s="1"/>
  <c r="T168" i="81"/>
  <c r="F168" i="81"/>
  <c r="K168" i="81"/>
  <c r="M168" i="81"/>
  <c r="A169" i="81"/>
  <c r="L169" i="81" l="1"/>
  <c r="N169" i="81"/>
  <c r="E169" i="81"/>
  <c r="L169" i="65" s="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L170" i="65" s="1"/>
  <c r="F170" i="81"/>
  <c r="G170" i="81"/>
  <c r="I170" i="81"/>
  <c r="M170" i="81"/>
  <c r="N170" i="81"/>
  <c r="A171" i="81"/>
  <c r="D171" i="81" l="1"/>
  <c r="T171" i="81"/>
  <c r="F171" i="81"/>
  <c r="S171" i="81"/>
  <c r="B171" i="81"/>
  <c r="U171" i="81"/>
  <c r="K171" i="81"/>
  <c r="L171" i="81"/>
  <c r="P171" i="81"/>
  <c r="Q171" i="81"/>
  <c r="R171" i="81"/>
  <c r="C171" i="81"/>
  <c r="E171" i="81"/>
  <c r="L171" i="65" s="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L172" i="65" s="1"/>
  <c r="D172" i="81"/>
  <c r="A173" i="81"/>
  <c r="L173" i="81" l="1"/>
  <c r="N173" i="81"/>
  <c r="R173" i="81"/>
  <c r="J173" i="81"/>
  <c r="K173" i="81"/>
  <c r="Q173" i="81"/>
  <c r="S173" i="81"/>
  <c r="T173" i="81"/>
  <c r="B173" i="81"/>
  <c r="U173" i="81"/>
  <c r="D173" i="81"/>
  <c r="E173" i="81"/>
  <c r="L173" i="65" s="1"/>
  <c r="C173" i="81"/>
  <c r="F173" i="81"/>
  <c r="G173" i="81"/>
  <c r="H173" i="81"/>
  <c r="I173" i="81"/>
  <c r="M173" i="81"/>
  <c r="O173" i="81"/>
  <c r="P173" i="81"/>
  <c r="A174" i="81"/>
  <c r="H174" i="81" l="1"/>
  <c r="J174" i="81"/>
  <c r="P174" i="81"/>
  <c r="K174" i="81"/>
  <c r="L174" i="81"/>
  <c r="Q174" i="81"/>
  <c r="R174" i="81"/>
  <c r="S174" i="81"/>
  <c r="T174" i="81"/>
  <c r="C174" i="81"/>
  <c r="D174" i="81"/>
  <c r="E174" i="81"/>
  <c r="L174" i="65" s="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L175" i="65" s="1"/>
  <c r="F175" i="81"/>
  <c r="G175" i="81"/>
  <c r="T175" i="81"/>
  <c r="B175" i="81"/>
  <c r="A176" i="81"/>
  <c r="E176" i="81" l="1"/>
  <c r="L176" i="65" s="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L177" i="65" s="1"/>
  <c r="J177" i="81"/>
  <c r="L177" i="81"/>
  <c r="M177" i="81"/>
  <c r="N177" i="81"/>
  <c r="O177" i="81"/>
  <c r="P177" i="81"/>
  <c r="S177" i="81"/>
  <c r="T177" i="81"/>
  <c r="K177" i="81"/>
  <c r="D177" i="81"/>
  <c r="A178" i="81"/>
  <c r="M178" i="81" l="1"/>
  <c r="N178" i="81"/>
  <c r="B178" i="81"/>
  <c r="R178" i="81"/>
  <c r="C178" i="81"/>
  <c r="S178" i="81"/>
  <c r="D178" i="81"/>
  <c r="T178" i="81"/>
  <c r="E178" i="81"/>
  <c r="L178" i="65" s="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L179" i="65" s="1"/>
  <c r="A180" i="81"/>
  <c r="E180" i="81" l="1"/>
  <c r="L180" i="65" s="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L181" i="65" s="1"/>
  <c r="I181" i="81"/>
  <c r="J181" i="81"/>
  <c r="A182" i="81"/>
  <c r="M182" i="81" l="1"/>
  <c r="N182" i="81"/>
  <c r="B182" i="81"/>
  <c r="R182" i="81"/>
  <c r="C182" i="81"/>
  <c r="S182" i="81"/>
  <c r="D182" i="81"/>
  <c r="T182" i="81"/>
  <c r="Q182" i="81"/>
  <c r="U182" i="81"/>
  <c r="E182" i="81"/>
  <c r="L182" i="65" s="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L183" i="65" s="1"/>
  <c r="M183" i="81"/>
  <c r="L183" i="81"/>
  <c r="K183" i="81"/>
  <c r="H183" i="81"/>
  <c r="A184" i="81"/>
  <c r="E184" i="81" l="1"/>
  <c r="L184" i="65" s="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L185" i="65" s="1"/>
  <c r="H185" i="81"/>
  <c r="I185" i="81"/>
  <c r="K185" i="81"/>
  <c r="L185" i="81"/>
  <c r="O185" i="81"/>
  <c r="P185" i="81"/>
  <c r="S185" i="81"/>
  <c r="T185" i="81"/>
  <c r="U185" i="81"/>
  <c r="N185" i="81"/>
  <c r="J185" i="81"/>
  <c r="M185" i="81"/>
  <c r="A186" i="81"/>
  <c r="M186" i="81" l="1"/>
  <c r="N186" i="81"/>
  <c r="B186" i="81"/>
  <c r="R186" i="81"/>
  <c r="C186" i="81"/>
  <c r="S186" i="81"/>
  <c r="E186" i="81"/>
  <c r="L186" i="65" s="1"/>
  <c r="F186" i="81"/>
  <c r="G186" i="81"/>
  <c r="H186" i="81"/>
  <c r="I186" i="81"/>
  <c r="K186" i="81"/>
  <c r="L186" i="81"/>
  <c r="D186" i="81"/>
  <c r="J186" i="81"/>
  <c r="O186" i="81"/>
  <c r="P186" i="81"/>
  <c r="Q186" i="81"/>
  <c r="U186" i="81"/>
  <c r="T186" i="81"/>
  <c r="A187" i="81"/>
  <c r="I187" i="81" l="1"/>
  <c r="J187" i="81"/>
  <c r="N187" i="81"/>
  <c r="O187" i="81"/>
  <c r="E187" i="81"/>
  <c r="L187" i="65" s="1"/>
  <c r="F187" i="81"/>
  <c r="G187" i="81"/>
  <c r="H187" i="81"/>
  <c r="K187" i="81"/>
  <c r="M187" i="81"/>
  <c r="P187" i="81"/>
  <c r="Q187" i="81"/>
  <c r="R187" i="81"/>
  <c r="S187" i="81"/>
  <c r="T187" i="81"/>
  <c r="U187" i="81"/>
  <c r="L187" i="81"/>
  <c r="B187" i="81"/>
  <c r="C187" i="81"/>
  <c r="D187" i="81"/>
  <c r="A188" i="81"/>
  <c r="E188" i="81" l="1"/>
  <c r="L188" i="65" s="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L189" i="65" s="1"/>
  <c r="D189" i="81"/>
  <c r="C189" i="81"/>
  <c r="A190" i="81"/>
  <c r="M190" i="81" l="1"/>
  <c r="N190" i="81"/>
  <c r="B190" i="81"/>
  <c r="R190" i="81"/>
  <c r="C190" i="81"/>
  <c r="S190" i="81"/>
  <c r="I190" i="81"/>
  <c r="J190" i="81"/>
  <c r="K190" i="81"/>
  <c r="L190" i="81"/>
  <c r="O190" i="81"/>
  <c r="Q190" i="81"/>
  <c r="T190" i="81"/>
  <c r="D190" i="81"/>
  <c r="E190" i="81"/>
  <c r="L190" i="65" s="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L191" i="65" s="1"/>
  <c r="D191" i="81"/>
  <c r="C191" i="81"/>
  <c r="B191" i="81"/>
  <c r="A192" i="81"/>
  <c r="E192" i="81" l="1"/>
  <c r="L192" i="65" s="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L193" i="65" s="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L194" i="65" s="1"/>
  <c r="F194" i="81"/>
  <c r="G194" i="81"/>
  <c r="A195" i="81"/>
  <c r="I195" i="81" l="1"/>
  <c r="J195" i="81"/>
  <c r="N195" i="81"/>
  <c r="K195" i="81"/>
  <c r="L195" i="81"/>
  <c r="M195" i="81"/>
  <c r="P195" i="81"/>
  <c r="R195" i="81"/>
  <c r="U195" i="81"/>
  <c r="B195" i="81"/>
  <c r="C195" i="81"/>
  <c r="D195" i="81"/>
  <c r="E195" i="81"/>
  <c r="L195" i="65" s="1"/>
  <c r="F195" i="81"/>
  <c r="H195" i="81"/>
  <c r="T195" i="81"/>
  <c r="G195" i="81"/>
  <c r="O195" i="81"/>
  <c r="Q195" i="81"/>
  <c r="S195" i="81"/>
  <c r="A196" i="81"/>
  <c r="E196" i="81" l="1"/>
  <c r="L196" i="65" s="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L197" i="65" s="1"/>
  <c r="D197" i="81"/>
  <c r="C197" i="81"/>
  <c r="A198" i="81"/>
  <c r="M198" i="81" l="1"/>
  <c r="N198" i="81"/>
  <c r="B198" i="81"/>
  <c r="R198" i="81"/>
  <c r="I198" i="81"/>
  <c r="J198" i="81"/>
  <c r="K198" i="81"/>
  <c r="O198" i="81"/>
  <c r="Q198" i="81"/>
  <c r="T198" i="81"/>
  <c r="U198" i="81"/>
  <c r="C198" i="81"/>
  <c r="D198" i="81"/>
  <c r="E198" i="81"/>
  <c r="L198" i="65" s="1"/>
  <c r="G198" i="81"/>
  <c r="S198" i="81"/>
  <c r="F198" i="81"/>
  <c r="H198" i="81"/>
  <c r="L198" i="81"/>
  <c r="P198" i="81"/>
  <c r="A199" i="81"/>
  <c r="I199" i="81" l="1"/>
  <c r="J199" i="81"/>
  <c r="N199" i="81"/>
  <c r="H199" i="81"/>
  <c r="K199" i="81"/>
  <c r="L199" i="81"/>
  <c r="O199" i="81"/>
  <c r="Q199" i="81"/>
  <c r="B199" i="81"/>
  <c r="C199" i="81"/>
  <c r="D199" i="81"/>
  <c r="E199" i="81"/>
  <c r="L199" i="65" s="1"/>
  <c r="F199" i="81"/>
  <c r="G199" i="81"/>
  <c r="M199" i="81"/>
  <c r="P199" i="81"/>
  <c r="S199" i="81"/>
  <c r="R199" i="81"/>
  <c r="T199" i="81"/>
  <c r="U199" i="81"/>
  <c r="A200" i="81"/>
  <c r="E200" i="81" l="1"/>
  <c r="L200" i="65" s="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L201" i="65" s="1"/>
  <c r="G201" i="81"/>
  <c r="H201" i="81"/>
  <c r="A202" i="81"/>
  <c r="M202" i="81" l="1"/>
  <c r="N202" i="81"/>
  <c r="B202" i="81"/>
  <c r="R202" i="81"/>
  <c r="H202" i="81"/>
  <c r="I202" i="81"/>
  <c r="L202" i="81"/>
  <c r="S202" i="81"/>
  <c r="T202" i="81"/>
  <c r="U202" i="81"/>
  <c r="C202" i="81"/>
  <c r="D202" i="81"/>
  <c r="E202" i="81"/>
  <c r="L202" i="65" s="1"/>
  <c r="F202" i="81"/>
  <c r="J202" i="81"/>
  <c r="Q202" i="81"/>
  <c r="P202" i="81"/>
  <c r="O202" i="81"/>
  <c r="G202" i="81"/>
  <c r="K202" i="81"/>
  <c r="A203" i="81"/>
  <c r="I203" i="81" l="1"/>
  <c r="J203" i="81"/>
  <c r="N203" i="81"/>
  <c r="G203" i="81"/>
  <c r="H203" i="81"/>
  <c r="M203" i="81"/>
  <c r="U203" i="81"/>
  <c r="B203" i="81"/>
  <c r="C203" i="81"/>
  <c r="D203" i="81"/>
  <c r="E203" i="81"/>
  <c r="L203" i="65" s="1"/>
  <c r="F203" i="81"/>
  <c r="K203" i="81"/>
  <c r="L203" i="81"/>
  <c r="P203" i="81"/>
  <c r="T203" i="81"/>
  <c r="O203" i="81"/>
  <c r="Q203" i="81"/>
  <c r="R203" i="81"/>
  <c r="S203" i="81"/>
  <c r="A204" i="81"/>
  <c r="E204" i="81" l="1"/>
  <c r="L204" i="65" s="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L205" i="65" s="1"/>
  <c r="H205" i="81"/>
  <c r="I205" i="81"/>
  <c r="K205" i="81"/>
  <c r="L205" i="81"/>
  <c r="M205" i="81"/>
  <c r="N205" i="81"/>
  <c r="O205" i="81"/>
  <c r="P205" i="81"/>
  <c r="T205" i="81"/>
  <c r="C205" i="81"/>
  <c r="S205" i="81"/>
  <c r="U205" i="81"/>
  <c r="A206" i="81"/>
  <c r="M206" i="81" l="1"/>
  <c r="N206" i="81"/>
  <c r="D206" i="81"/>
  <c r="E206" i="81"/>
  <c r="L206" i="65" s="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L207" i="65" s="1"/>
  <c r="D207" i="81"/>
  <c r="A208" i="81"/>
  <c r="E208" i="81" l="1"/>
  <c r="L208" i="65" s="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L209" i="65" s="1"/>
  <c r="F209" i="81"/>
  <c r="L209" i="81"/>
  <c r="G209" i="81"/>
  <c r="H209" i="81"/>
  <c r="I209" i="81"/>
  <c r="J209" i="81"/>
  <c r="K209" i="81"/>
  <c r="U209" i="81"/>
  <c r="A210" i="81"/>
  <c r="L210" i="81" l="1"/>
  <c r="M210" i="81"/>
  <c r="P210" i="81"/>
  <c r="N210" i="81"/>
  <c r="O210" i="81"/>
  <c r="Q210" i="81"/>
  <c r="R210" i="81"/>
  <c r="S210" i="81"/>
  <c r="B210" i="81"/>
  <c r="U210" i="81"/>
  <c r="C210" i="81"/>
  <c r="D210" i="81"/>
  <c r="E210" i="81"/>
  <c r="L210" i="65" s="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L211" i="65" s="1"/>
  <c r="F211" i="81"/>
  <c r="G211" i="81"/>
  <c r="J211" i="81"/>
  <c r="K211" i="81"/>
  <c r="S211" i="81"/>
  <c r="A212" i="81"/>
  <c r="D212" i="81" l="1"/>
  <c r="T212" i="81"/>
  <c r="E212" i="81"/>
  <c r="L212" i="65" s="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L213" i="65" s="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L214" i="65" s="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L215" i="65" s="1"/>
  <c r="F215" i="81"/>
  <c r="G215" i="81"/>
  <c r="J215" i="81"/>
  <c r="A216" i="81"/>
  <c r="D216" i="81" l="1"/>
  <c r="T216" i="81"/>
  <c r="E216" i="81"/>
  <c r="L216" i="65" s="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L217" i="65" s="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L218" i="65" s="1"/>
  <c r="F218" i="81"/>
  <c r="A219" i="81"/>
  <c r="H219" i="81" l="1"/>
  <c r="I219" i="81"/>
  <c r="L219" i="81"/>
  <c r="K219" i="81"/>
  <c r="M219" i="81"/>
  <c r="N219" i="81"/>
  <c r="O219" i="81"/>
  <c r="P219" i="81"/>
  <c r="R219" i="81"/>
  <c r="S219" i="81"/>
  <c r="T219" i="81"/>
  <c r="B219" i="81"/>
  <c r="U219" i="81"/>
  <c r="J219" i="81"/>
  <c r="C219" i="81"/>
  <c r="D219" i="81"/>
  <c r="E219" i="81"/>
  <c r="L219" i="65" s="1"/>
  <c r="F219" i="81"/>
  <c r="G219" i="81"/>
  <c r="Q219" i="81"/>
  <c r="A220" i="81"/>
  <c r="D220" i="81" l="1"/>
  <c r="T220" i="81"/>
  <c r="E220" i="81"/>
  <c r="L220" i="65" s="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L221" i="65" s="1"/>
  <c r="C221" i="81"/>
  <c r="A222" i="81"/>
  <c r="L222" i="81" l="1"/>
  <c r="M222" i="81"/>
  <c r="P222" i="81"/>
  <c r="I222" i="81"/>
  <c r="J222" i="81"/>
  <c r="K222" i="81"/>
  <c r="N222" i="81"/>
  <c r="O222" i="81"/>
  <c r="R222" i="81"/>
  <c r="S222" i="81"/>
  <c r="T222" i="81"/>
  <c r="B222" i="81"/>
  <c r="U222" i="81"/>
  <c r="H222" i="81"/>
  <c r="C222" i="81"/>
  <c r="D222" i="81"/>
  <c r="E222" i="81"/>
  <c r="L222" i="65" s="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L223" i="65" s="1"/>
  <c r="F223" i="81"/>
  <c r="A224" i="81"/>
  <c r="D224" i="81" l="1"/>
  <c r="T224" i="81"/>
  <c r="E224" i="81"/>
  <c r="L224" i="65" s="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L225" i="65" s="1"/>
  <c r="F225" i="81"/>
  <c r="G225" i="81"/>
  <c r="N225" i="81"/>
  <c r="A226" i="81"/>
  <c r="L226" i="81" l="1"/>
  <c r="M226" i="81"/>
  <c r="P226" i="81"/>
  <c r="H226" i="81"/>
  <c r="I226" i="81"/>
  <c r="J226" i="81"/>
  <c r="K226" i="81"/>
  <c r="N226" i="81"/>
  <c r="Q226" i="81"/>
  <c r="R226" i="81"/>
  <c r="S226" i="81"/>
  <c r="T226" i="81"/>
  <c r="G226" i="81"/>
  <c r="F226" i="81"/>
  <c r="O226" i="81"/>
  <c r="U226" i="81"/>
  <c r="E226" i="81"/>
  <c r="L226" i="65" s="1"/>
  <c r="B226" i="81"/>
  <c r="C226" i="81"/>
  <c r="D226" i="81"/>
  <c r="A227" i="81"/>
  <c r="H227" i="81" l="1"/>
  <c r="I227" i="81"/>
  <c r="L227" i="81"/>
  <c r="G227" i="81"/>
  <c r="J227" i="81"/>
  <c r="K227" i="81"/>
  <c r="M227" i="81"/>
  <c r="N227" i="81"/>
  <c r="P227" i="81"/>
  <c r="Q227" i="81"/>
  <c r="R227" i="81"/>
  <c r="S227" i="81"/>
  <c r="F227" i="81"/>
  <c r="B227" i="81"/>
  <c r="C227" i="81"/>
  <c r="D227" i="81"/>
  <c r="E227" i="81"/>
  <c r="L227" i="65" s="1"/>
  <c r="O227" i="81"/>
  <c r="T227" i="81"/>
  <c r="U227" i="81"/>
  <c r="A228" i="81"/>
  <c r="D228" i="81" l="1"/>
  <c r="T228" i="81"/>
  <c r="E228" i="81"/>
  <c r="L228" i="65" s="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L229" i="65" s="1"/>
  <c r="F229" i="81"/>
  <c r="M229" i="81"/>
  <c r="U229" i="81"/>
  <c r="B229" i="81"/>
  <c r="A230" i="81"/>
  <c r="L230" i="81" l="1"/>
  <c r="M230" i="81"/>
  <c r="P230" i="81"/>
  <c r="G230" i="81"/>
  <c r="H230" i="81"/>
  <c r="I230" i="81"/>
  <c r="J230" i="81"/>
  <c r="K230" i="81"/>
  <c r="O230" i="81"/>
  <c r="Q230" i="81"/>
  <c r="R230" i="81"/>
  <c r="S230" i="81"/>
  <c r="F230" i="81"/>
  <c r="B230" i="81"/>
  <c r="C230" i="81"/>
  <c r="D230" i="81"/>
  <c r="E230" i="81"/>
  <c r="L230" i="65" s="1"/>
  <c r="N230" i="81"/>
  <c r="T230" i="81"/>
  <c r="U230" i="81"/>
  <c r="A231" i="81"/>
  <c r="H231" i="81" l="1"/>
  <c r="I231" i="81"/>
  <c r="L231" i="81"/>
  <c r="F231" i="81"/>
  <c r="G231" i="81"/>
  <c r="J231" i="81"/>
  <c r="K231" i="81"/>
  <c r="M231" i="81"/>
  <c r="O231" i="81"/>
  <c r="P231" i="81"/>
  <c r="Q231" i="81"/>
  <c r="R231" i="81"/>
  <c r="E231" i="81"/>
  <c r="L231" i="65" s="1"/>
  <c r="S231" i="81"/>
  <c r="T231" i="81"/>
  <c r="U231" i="81"/>
  <c r="N231" i="81"/>
  <c r="B231" i="81"/>
  <c r="C231" i="81"/>
  <c r="D231" i="81"/>
  <c r="A232" i="81"/>
  <c r="D232" i="81" l="1"/>
  <c r="T232" i="81"/>
  <c r="E232" i="81"/>
  <c r="L232" i="65" s="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L233" i="65" s="1"/>
  <c r="K233" i="81"/>
  <c r="Q233" i="81"/>
  <c r="A234" i="81"/>
  <c r="L234" i="81" l="1"/>
  <c r="C234" i="81"/>
  <c r="T234" i="81"/>
  <c r="D234" i="81"/>
  <c r="U234" i="81"/>
  <c r="E234" i="81"/>
  <c r="L234" i="65" s="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L235" i="65" s="1"/>
  <c r="K235" i="81"/>
  <c r="L235" i="81"/>
  <c r="M235" i="81"/>
  <c r="A236" i="81"/>
  <c r="D236" i="81" l="1"/>
  <c r="T236" i="81"/>
  <c r="N236" i="81"/>
  <c r="O236" i="81"/>
  <c r="P236" i="81"/>
  <c r="Q236" i="81"/>
  <c r="R236" i="81"/>
  <c r="C236" i="81"/>
  <c r="U236" i="81"/>
  <c r="E236" i="81"/>
  <c r="L236" i="65" s="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L237" i="65" s="1"/>
  <c r="J237" i="81"/>
  <c r="F237" i="81"/>
  <c r="G237" i="81"/>
  <c r="H237" i="81"/>
  <c r="I237" i="81"/>
  <c r="A238" i="81"/>
  <c r="L238" i="81" l="1"/>
  <c r="H238" i="81"/>
  <c r="I238" i="81"/>
  <c r="J238" i="81"/>
  <c r="K238" i="81"/>
  <c r="M238" i="81"/>
  <c r="O238" i="81"/>
  <c r="P238" i="81"/>
  <c r="Q238" i="81"/>
  <c r="R238" i="81"/>
  <c r="B238" i="81"/>
  <c r="C238" i="81"/>
  <c r="D238" i="81"/>
  <c r="E238" i="81"/>
  <c r="L238" i="65" s="1"/>
  <c r="F238" i="81"/>
  <c r="G238" i="81"/>
  <c r="N238" i="81"/>
  <c r="S238" i="81"/>
  <c r="T238" i="81"/>
  <c r="U238" i="81"/>
  <c r="A239" i="81"/>
  <c r="H239" i="81" l="1"/>
  <c r="E239" i="81"/>
  <c r="L239" i="65" s="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L240" i="65" s="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L241" i="65" s="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L242" i="65" s="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L243" i="65" s="1"/>
  <c r="B243" i="81"/>
  <c r="C243" i="81"/>
  <c r="D243" i="81"/>
  <c r="A244" i="81"/>
  <c r="C244" i="81" l="1"/>
  <c r="S244" i="81"/>
  <c r="D244" i="81"/>
  <c r="T244" i="81"/>
  <c r="E244" i="81"/>
  <c r="L244" i="65" s="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L245" i="65" s="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L246" i="65" s="1"/>
  <c r="F246" i="81"/>
  <c r="G246" i="81"/>
  <c r="H246" i="81"/>
  <c r="J246" i="81"/>
  <c r="I246" i="81"/>
  <c r="P246" i="81"/>
  <c r="U246" i="81"/>
  <c r="A247" i="81"/>
  <c r="G247" i="81" l="1"/>
  <c r="H247" i="81"/>
  <c r="I247" i="81"/>
  <c r="J247" i="81"/>
  <c r="K247" i="81"/>
  <c r="M247" i="81"/>
  <c r="N247" i="81"/>
  <c r="O247" i="81"/>
  <c r="P247" i="81"/>
  <c r="C247" i="81"/>
  <c r="D247" i="81"/>
  <c r="E247" i="81"/>
  <c r="L247" i="65" s="1"/>
  <c r="F247" i="81"/>
  <c r="L247" i="81"/>
  <c r="Q247" i="81"/>
  <c r="R247" i="81"/>
  <c r="S247" i="81"/>
  <c r="T247" i="81"/>
  <c r="U247" i="81"/>
  <c r="B247" i="81"/>
  <c r="A248" i="81"/>
  <c r="C248" i="81" l="1"/>
  <c r="S248" i="81"/>
  <c r="D248" i="81"/>
  <c r="T248" i="81"/>
  <c r="E248" i="81"/>
  <c r="L248" i="65" s="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L249" i="65" s="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L250" i="65" s="1"/>
  <c r="J250" i="81"/>
  <c r="F250" i="81"/>
  <c r="G250" i="81"/>
  <c r="H250" i="81"/>
  <c r="I250" i="81"/>
  <c r="A251" i="81"/>
  <c r="G251" i="81" l="1"/>
  <c r="H251" i="81"/>
  <c r="I251" i="81"/>
  <c r="K251" i="81"/>
  <c r="M251" i="81"/>
  <c r="N251" i="81"/>
  <c r="O251" i="81"/>
  <c r="P251" i="81"/>
  <c r="B251" i="81"/>
  <c r="C251" i="81"/>
  <c r="D251" i="81"/>
  <c r="E251" i="81"/>
  <c r="L251" i="65" s="1"/>
  <c r="F251" i="81"/>
  <c r="J251" i="81"/>
  <c r="L251" i="81"/>
  <c r="Q251" i="81"/>
  <c r="R251" i="81"/>
  <c r="S251" i="81"/>
  <c r="T251" i="81"/>
  <c r="U251" i="81"/>
  <c r="A252" i="81"/>
  <c r="C252" i="81" l="1"/>
  <c r="S252" i="81"/>
  <c r="D252" i="81"/>
  <c r="T252" i="81"/>
  <c r="E252" i="81"/>
  <c r="L252" i="65" s="1"/>
  <c r="U252" i="81"/>
  <c r="G252" i="81"/>
  <c r="I252" i="81"/>
  <c r="J252" i="81"/>
  <c r="K252" i="81"/>
  <c r="L252" i="81"/>
  <c r="H252" i="81"/>
  <c r="M252" i="81"/>
  <c r="N252" i="81"/>
  <c r="O252" i="81"/>
  <c r="P252" i="81"/>
  <c r="Q252" i="81"/>
  <c r="R252" i="81"/>
  <c r="F252" i="81"/>
  <c r="B252" i="81"/>
  <c r="A253" i="81"/>
  <c r="O253" i="81" l="1"/>
  <c r="P253" i="81"/>
  <c r="Q253" i="81"/>
  <c r="C253" i="81"/>
  <c r="S253" i="81"/>
  <c r="E253" i="81"/>
  <c r="L253" i="65" s="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L254" i="65" s="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L255" i="65" s="1"/>
  <c r="F255" i="81"/>
  <c r="A256" i="81"/>
  <c r="C256" i="81" l="1"/>
  <c r="S256" i="81"/>
  <c r="D256" i="81"/>
  <c r="T256" i="81"/>
  <c r="E256" i="81"/>
  <c r="L256" i="65" s="1"/>
  <c r="U256" i="81"/>
  <c r="G256" i="81"/>
  <c r="I256" i="81"/>
  <c r="J256" i="81"/>
  <c r="K256" i="81"/>
  <c r="L256" i="81"/>
  <c r="B256" i="81"/>
  <c r="F256" i="81"/>
  <c r="H256" i="81"/>
  <c r="M256" i="81"/>
  <c r="N256" i="81"/>
  <c r="O256" i="81"/>
  <c r="P256" i="81"/>
  <c r="Q256" i="81"/>
  <c r="R256" i="81"/>
  <c r="A257" i="81"/>
  <c r="O257" i="81" l="1"/>
  <c r="P257" i="81"/>
  <c r="Q257" i="81"/>
  <c r="C257" i="81"/>
  <c r="S257" i="81"/>
  <c r="E257" i="81"/>
  <c r="L257" i="65" s="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L258" i="65" s="1"/>
  <c r="F258" i="81"/>
  <c r="G258" i="81"/>
  <c r="H258" i="81"/>
  <c r="A259" i="81"/>
  <c r="G259" i="81" l="1"/>
  <c r="H259" i="81"/>
  <c r="I259" i="81"/>
  <c r="M259" i="81"/>
  <c r="N259" i="81"/>
  <c r="O259" i="81"/>
  <c r="R259" i="81"/>
  <c r="S259" i="81"/>
  <c r="T259" i="81"/>
  <c r="U259" i="81"/>
  <c r="B259" i="81"/>
  <c r="C259" i="81"/>
  <c r="D259" i="81"/>
  <c r="E259" i="81"/>
  <c r="L259" i="65" s="1"/>
  <c r="F259" i="81"/>
  <c r="Q259" i="81"/>
  <c r="K259" i="81"/>
  <c r="J259" i="81"/>
  <c r="L259" i="81"/>
  <c r="P259" i="81"/>
  <c r="A260" i="81"/>
  <c r="C260" i="81" l="1"/>
  <c r="S260" i="81"/>
  <c r="D260" i="81"/>
  <c r="T260" i="81"/>
  <c r="E260" i="81"/>
  <c r="L260" i="65" s="1"/>
  <c r="U260" i="81"/>
  <c r="I260" i="81"/>
  <c r="J260" i="81"/>
  <c r="K260" i="81"/>
  <c r="B260" i="81"/>
  <c r="F260" i="81"/>
  <c r="G260" i="81"/>
  <c r="H260" i="81"/>
  <c r="L260" i="81"/>
  <c r="M260" i="81"/>
  <c r="N260" i="81"/>
  <c r="O260" i="81"/>
  <c r="P260" i="81"/>
  <c r="Q260" i="81"/>
  <c r="R260" i="81"/>
  <c r="A261" i="81"/>
  <c r="O261" i="81" l="1"/>
  <c r="P261" i="81"/>
  <c r="Q261" i="81"/>
  <c r="E261" i="81"/>
  <c r="L261" i="65" s="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L262" i="65" s="1"/>
  <c r="F262" i="81"/>
  <c r="P262" i="81"/>
  <c r="A263" i="81"/>
  <c r="G263" i="81" l="1"/>
  <c r="H263" i="81"/>
  <c r="I263" i="81"/>
  <c r="M263" i="81"/>
  <c r="N263" i="81"/>
  <c r="O263" i="81"/>
  <c r="P263" i="81"/>
  <c r="Q263" i="81"/>
  <c r="R263" i="81"/>
  <c r="S263" i="81"/>
  <c r="U263" i="81"/>
  <c r="B263" i="81"/>
  <c r="C263" i="81"/>
  <c r="D263" i="81"/>
  <c r="L263" i="81"/>
  <c r="E263" i="81"/>
  <c r="L263" i="65" s="1"/>
  <c r="F263" i="81"/>
  <c r="T263" i="81"/>
  <c r="J263" i="81"/>
  <c r="K263" i="81"/>
  <c r="A264" i="81"/>
  <c r="C264" i="81" l="1"/>
  <c r="S264" i="81"/>
  <c r="D264" i="81"/>
  <c r="T264" i="81"/>
  <c r="E264" i="81"/>
  <c r="L264" i="65" s="1"/>
  <c r="U264" i="81"/>
  <c r="I264" i="81"/>
  <c r="J264" i="81"/>
  <c r="P264" i="81"/>
  <c r="Q264" i="81"/>
  <c r="R264" i="81"/>
  <c r="B264" i="81"/>
  <c r="F264" i="81"/>
  <c r="G264" i="81"/>
  <c r="H264" i="81"/>
  <c r="O264" i="81"/>
  <c r="M264" i="81"/>
  <c r="N264" i="81"/>
  <c r="K264" i="81"/>
  <c r="L264" i="81"/>
  <c r="A265" i="81"/>
  <c r="O265" i="81" l="1"/>
  <c r="P265" i="81"/>
  <c r="Q265" i="81"/>
  <c r="E265" i="81"/>
  <c r="L265" i="65" s="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L266" i="65" s="1"/>
  <c r="F266" i="81"/>
  <c r="H266" i="81"/>
  <c r="I266" i="81"/>
  <c r="J266" i="81"/>
  <c r="N266" i="81"/>
  <c r="O266" i="81"/>
  <c r="G266" i="81"/>
  <c r="P266" i="81"/>
  <c r="S266" i="81"/>
  <c r="T266" i="81"/>
  <c r="U266" i="81"/>
  <c r="A267" i="81"/>
  <c r="G267" i="81" l="1"/>
  <c r="H267" i="81"/>
  <c r="I267" i="81"/>
  <c r="M267" i="81"/>
  <c r="N267" i="81"/>
  <c r="C267" i="81"/>
  <c r="D267" i="81"/>
  <c r="E267" i="81"/>
  <c r="L267" i="65" s="1"/>
  <c r="F267" i="81"/>
  <c r="J267" i="81"/>
  <c r="L267" i="81"/>
  <c r="O267" i="81"/>
  <c r="P267" i="81"/>
  <c r="Q267" i="81"/>
  <c r="R267" i="81"/>
  <c r="B267" i="81"/>
  <c r="S267" i="81"/>
  <c r="K267" i="81"/>
  <c r="T267" i="81"/>
  <c r="U267" i="81"/>
  <c r="A268" i="81"/>
  <c r="C268" i="81" l="1"/>
  <c r="S268" i="81"/>
  <c r="D268" i="81"/>
  <c r="T268" i="81"/>
  <c r="E268" i="81"/>
  <c r="L268" i="65" s="1"/>
  <c r="U268" i="81"/>
  <c r="I268" i="81"/>
  <c r="J268" i="81"/>
  <c r="G268" i="81"/>
  <c r="H268" i="81"/>
  <c r="K268" i="81"/>
  <c r="L268" i="81"/>
  <c r="M268" i="81"/>
  <c r="O268" i="81"/>
  <c r="P268" i="81"/>
  <c r="Q268" i="81"/>
  <c r="R268" i="81"/>
  <c r="F268" i="81"/>
  <c r="B268" i="81"/>
  <c r="N268" i="81"/>
  <c r="A269" i="81"/>
  <c r="O269" i="81" l="1"/>
  <c r="P269" i="81"/>
  <c r="Q269" i="81"/>
  <c r="E269" i="81"/>
  <c r="L269" i="65" s="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L270" i="65" s="1"/>
  <c r="J270" i="81"/>
  <c r="F270" i="81"/>
  <c r="G270" i="81"/>
  <c r="H270" i="81"/>
  <c r="I270" i="81"/>
  <c r="U270" i="81"/>
  <c r="A271" i="81"/>
  <c r="G271" i="81" l="1"/>
  <c r="H271" i="81"/>
  <c r="I271" i="81"/>
  <c r="M271" i="81"/>
  <c r="N271" i="81"/>
  <c r="Q271" i="81"/>
  <c r="R271" i="81"/>
  <c r="S271" i="81"/>
  <c r="T271" i="81"/>
  <c r="U271" i="81"/>
  <c r="B271" i="81"/>
  <c r="C271" i="81"/>
  <c r="D271" i="81"/>
  <c r="E271" i="81"/>
  <c r="L271" i="65" s="1"/>
  <c r="F271" i="81"/>
  <c r="P271" i="81"/>
  <c r="K271" i="81"/>
  <c r="J271" i="81"/>
  <c r="L271" i="81"/>
  <c r="O271" i="81"/>
  <c r="A272" i="81"/>
  <c r="C272" i="81" l="1"/>
  <c r="S272" i="81"/>
  <c r="D272" i="81"/>
  <c r="T272" i="81"/>
  <c r="E272" i="81"/>
  <c r="L272" i="65" s="1"/>
  <c r="U272" i="81"/>
  <c r="I272" i="81"/>
  <c r="J272" i="81"/>
  <c r="R272" i="81"/>
  <c r="F272" i="81"/>
  <c r="G272" i="81"/>
  <c r="H272" i="81"/>
  <c r="K272" i="81"/>
  <c r="L272" i="81"/>
  <c r="Q272" i="81"/>
  <c r="B272" i="81"/>
  <c r="M272" i="81"/>
  <c r="N272" i="81"/>
  <c r="O272" i="81"/>
  <c r="P272" i="81"/>
  <c r="A273" i="81"/>
  <c r="O273" i="81" l="1"/>
  <c r="P273" i="81"/>
  <c r="Q273" i="81"/>
  <c r="E273" i="81"/>
  <c r="L273" i="65" s="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L274" i="65" s="1"/>
  <c r="F274" i="81"/>
  <c r="G274" i="81"/>
  <c r="H274" i="81"/>
  <c r="J274" i="81"/>
  <c r="N274" i="81"/>
  <c r="O274" i="81"/>
  <c r="P274" i="81"/>
  <c r="S274" i="81"/>
  <c r="C274" i="81"/>
  <c r="I274" i="81"/>
  <c r="T274" i="81"/>
  <c r="U274" i="81"/>
  <c r="A275" i="81"/>
  <c r="G275" i="81" l="1"/>
  <c r="H275" i="81"/>
  <c r="I275" i="81"/>
  <c r="M275" i="81"/>
  <c r="N275" i="81"/>
  <c r="E275" i="81"/>
  <c r="L275" i="65" s="1"/>
  <c r="F275" i="81"/>
  <c r="J275" i="81"/>
  <c r="K275" i="81"/>
  <c r="L275" i="81"/>
  <c r="P275" i="81"/>
  <c r="Q275" i="81"/>
  <c r="R275" i="81"/>
  <c r="S275" i="81"/>
  <c r="T275" i="81"/>
  <c r="D275" i="81"/>
  <c r="U275" i="81"/>
  <c r="B275" i="81"/>
  <c r="C275" i="81"/>
  <c r="O275" i="81"/>
  <c r="A276" i="81"/>
  <c r="C276" i="81" l="1"/>
  <c r="S276" i="81"/>
  <c r="D276" i="81"/>
  <c r="T276" i="81"/>
  <c r="E276" i="81"/>
  <c r="L276" i="65" s="1"/>
  <c r="U276" i="81"/>
  <c r="I276" i="81"/>
  <c r="J276" i="81"/>
  <c r="K276" i="81"/>
  <c r="L276" i="81"/>
  <c r="M276" i="81"/>
  <c r="N276" i="81"/>
  <c r="O276" i="81"/>
  <c r="Q276" i="81"/>
  <c r="R276" i="81"/>
  <c r="H276" i="81"/>
  <c r="B276" i="81"/>
  <c r="F276" i="81"/>
  <c r="G276" i="81"/>
  <c r="P276" i="81"/>
  <c r="A277" i="81"/>
  <c r="O277" i="81" l="1"/>
  <c r="P277" i="81"/>
  <c r="Q277" i="81"/>
  <c r="E277" i="81"/>
  <c r="L277" i="65" s="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L278" i="65" s="1"/>
  <c r="J278" i="81"/>
  <c r="F278" i="81"/>
  <c r="I278" i="81"/>
  <c r="G278" i="81"/>
  <c r="H278" i="81"/>
  <c r="T278" i="81"/>
  <c r="A279" i="81"/>
  <c r="G279" i="81" l="1"/>
  <c r="H279" i="81"/>
  <c r="I279" i="81"/>
  <c r="M279" i="81"/>
  <c r="O279" i="81"/>
  <c r="P279" i="81"/>
  <c r="Q279" i="81"/>
  <c r="R279" i="81"/>
  <c r="S279" i="81"/>
  <c r="U279" i="81"/>
  <c r="B279" i="81"/>
  <c r="C279" i="81"/>
  <c r="D279" i="81"/>
  <c r="E279" i="81"/>
  <c r="L279" i="65" s="1"/>
  <c r="N279" i="81"/>
  <c r="J279" i="81"/>
  <c r="K279" i="81"/>
  <c r="L279" i="81"/>
  <c r="T279" i="81"/>
  <c r="F279" i="81"/>
  <c r="A280" i="81"/>
  <c r="C280" i="81" l="1"/>
  <c r="S280" i="81"/>
  <c r="D280" i="81"/>
  <c r="T280" i="81"/>
  <c r="E280" i="81"/>
  <c r="L280" i="65" s="1"/>
  <c r="U280" i="81"/>
  <c r="I280" i="81"/>
  <c r="O280" i="81"/>
  <c r="P280" i="81"/>
  <c r="Q280" i="81"/>
  <c r="R280" i="81"/>
  <c r="B280" i="81"/>
  <c r="F280" i="81"/>
  <c r="G280" i="81"/>
  <c r="H280" i="81"/>
  <c r="N280" i="81"/>
  <c r="J280" i="81"/>
  <c r="K280" i="81"/>
  <c r="L280" i="81"/>
  <c r="M280" i="81"/>
  <c r="A281" i="81"/>
  <c r="O281" i="81" l="1"/>
  <c r="P281" i="81"/>
  <c r="Q281" i="81"/>
  <c r="E281" i="81"/>
  <c r="L281" i="65" s="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L282" i="65" s="1"/>
  <c r="F282" i="81"/>
  <c r="G282" i="81"/>
  <c r="H282" i="81"/>
  <c r="I282" i="81"/>
  <c r="R282" i="81"/>
  <c r="O282" i="81"/>
  <c r="P282" i="81"/>
  <c r="D282" i="81"/>
  <c r="J282" i="81"/>
  <c r="N282" i="81"/>
  <c r="A283" i="81"/>
  <c r="G283" i="81" l="1"/>
  <c r="H283" i="81"/>
  <c r="I283" i="81"/>
  <c r="M283" i="81"/>
  <c r="S283" i="81"/>
  <c r="T283" i="81"/>
  <c r="U283" i="81"/>
  <c r="B283" i="81"/>
  <c r="C283" i="81"/>
  <c r="E283" i="81"/>
  <c r="L283" i="65" s="1"/>
  <c r="F283" i="81"/>
  <c r="J283" i="81"/>
  <c r="K283" i="81"/>
  <c r="L283" i="81"/>
  <c r="R283" i="81"/>
  <c r="D283" i="81"/>
  <c r="N283" i="81"/>
  <c r="O283" i="81"/>
  <c r="P283" i="81"/>
  <c r="Q283" i="81"/>
  <c r="A284" i="81"/>
  <c r="C284" i="81" l="1"/>
  <c r="S284" i="81"/>
  <c r="D284" i="81"/>
  <c r="T284" i="81"/>
  <c r="E284" i="81"/>
  <c r="L284" i="65" s="1"/>
  <c r="U284" i="81"/>
  <c r="I284" i="81"/>
  <c r="B284" i="81"/>
  <c r="F284" i="81"/>
  <c r="H284" i="81"/>
  <c r="J284" i="81"/>
  <c r="K284" i="81"/>
  <c r="L284" i="81"/>
  <c r="M284" i="81"/>
  <c r="R284" i="81"/>
  <c r="G284" i="81"/>
  <c r="N284" i="81"/>
  <c r="O284" i="81"/>
  <c r="P284" i="81"/>
  <c r="Q284" i="81"/>
  <c r="A285" i="81"/>
  <c r="O285" i="81" l="1"/>
  <c r="P285" i="81"/>
  <c r="Q285" i="81"/>
  <c r="E285" i="81"/>
  <c r="L285" i="65" s="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L286" i="65" s="1"/>
  <c r="F286" i="81"/>
  <c r="G286" i="81"/>
  <c r="I286" i="81"/>
  <c r="J286" i="81"/>
  <c r="N286" i="81"/>
  <c r="O286" i="81"/>
  <c r="P286" i="81"/>
  <c r="B286" i="81"/>
  <c r="H286" i="81"/>
  <c r="R286" i="81"/>
  <c r="S286" i="81"/>
  <c r="T286" i="81"/>
  <c r="U286" i="81"/>
  <c r="A287" i="81"/>
  <c r="G287" i="81" l="1"/>
  <c r="H287" i="81"/>
  <c r="I287" i="81"/>
  <c r="M287" i="81"/>
  <c r="C287" i="81"/>
  <c r="D287" i="81"/>
  <c r="E287" i="81"/>
  <c r="L287" i="65" s="1"/>
  <c r="F287" i="81"/>
  <c r="J287" i="81"/>
  <c r="L287" i="81"/>
  <c r="N287" i="81"/>
  <c r="O287" i="81"/>
  <c r="P287" i="81"/>
  <c r="Q287" i="81"/>
  <c r="B287" i="81"/>
  <c r="K287" i="81"/>
  <c r="R287" i="81"/>
  <c r="S287" i="81"/>
  <c r="T287" i="81"/>
  <c r="U287" i="81"/>
  <c r="A288" i="81"/>
  <c r="C288" i="81" l="1"/>
  <c r="S288" i="81"/>
  <c r="D288" i="81"/>
  <c r="T288" i="81"/>
  <c r="E288" i="81"/>
  <c r="L288" i="65" s="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L289" i="65" s="1"/>
  <c r="K289" i="81"/>
  <c r="T289" i="81"/>
  <c r="U289" i="81"/>
  <c r="B289" i="81"/>
  <c r="C289" i="81"/>
  <c r="D289" i="81"/>
  <c r="A290" i="81"/>
  <c r="K290" i="81" l="1"/>
  <c r="L290" i="81"/>
  <c r="M290" i="81"/>
  <c r="E290" i="81"/>
  <c r="L290" i="65" s="1"/>
  <c r="F290" i="81"/>
  <c r="G290" i="81"/>
  <c r="H290" i="81"/>
  <c r="I290" i="81"/>
  <c r="N290" i="81"/>
  <c r="O290" i="81"/>
  <c r="P290" i="81"/>
  <c r="Q290" i="81"/>
  <c r="R290" i="81"/>
  <c r="D290" i="81"/>
  <c r="B290" i="81"/>
  <c r="C290" i="81"/>
  <c r="J290" i="81"/>
  <c r="S290" i="81"/>
  <c r="T290" i="81"/>
  <c r="U290" i="81"/>
  <c r="A291" i="81"/>
  <c r="G291" i="81" l="1"/>
  <c r="H291" i="81"/>
  <c r="I291" i="81"/>
  <c r="D291" i="81"/>
  <c r="E291" i="81"/>
  <c r="L291" i="65" s="1"/>
  <c r="F291" i="81"/>
  <c r="J291" i="81"/>
  <c r="K291" i="81"/>
  <c r="M291" i="81"/>
  <c r="N291" i="81"/>
  <c r="O291" i="81"/>
  <c r="P291" i="81"/>
  <c r="Q291" i="81"/>
  <c r="C291" i="81"/>
  <c r="B291" i="81"/>
  <c r="L291" i="81"/>
  <c r="T291" i="81"/>
  <c r="R291" i="81"/>
  <c r="S291" i="81"/>
  <c r="U291" i="81"/>
  <c r="A292" i="81"/>
  <c r="C292" i="81" l="1"/>
  <c r="S292" i="81"/>
  <c r="D292" i="81"/>
  <c r="T292" i="81"/>
  <c r="E292" i="81"/>
  <c r="L292" i="65" s="1"/>
  <c r="U292" i="81"/>
  <c r="F292" i="81"/>
  <c r="G292" i="81"/>
  <c r="H292" i="81"/>
  <c r="I292" i="81"/>
  <c r="J292" i="81"/>
  <c r="L292" i="81"/>
  <c r="M292" i="81"/>
  <c r="N292" i="81"/>
  <c r="O292" i="81"/>
  <c r="P292" i="81"/>
  <c r="B292" i="81"/>
  <c r="Q292" i="81"/>
  <c r="R292" i="81"/>
  <c r="K292" i="81"/>
  <c r="A293" i="81"/>
  <c r="O293" i="81" l="1"/>
  <c r="P293" i="81"/>
  <c r="Q293" i="81"/>
  <c r="E293" i="81"/>
  <c r="L293" i="65" s="1"/>
  <c r="F293" i="81"/>
  <c r="G293" i="81"/>
  <c r="H293" i="81"/>
  <c r="I293" i="81"/>
  <c r="K293" i="81"/>
  <c r="L293" i="81"/>
  <c r="M293" i="81"/>
  <c r="N293" i="81"/>
  <c r="R293" i="81"/>
  <c r="D293" i="81"/>
  <c r="B293" i="81"/>
  <c r="C293" i="81"/>
  <c r="J293" i="81"/>
  <c r="S293" i="81"/>
  <c r="T293" i="81"/>
  <c r="U293" i="81"/>
  <c r="A294" i="81"/>
  <c r="K294" i="81" l="1"/>
  <c r="L294" i="81"/>
  <c r="M294" i="81"/>
  <c r="D294" i="81"/>
  <c r="E294" i="81"/>
  <c r="L294" i="65" s="1"/>
  <c r="F294" i="81"/>
  <c r="G294" i="81"/>
  <c r="H294" i="81"/>
  <c r="J294" i="81"/>
  <c r="N294" i="81"/>
  <c r="O294" i="81"/>
  <c r="P294" i="81"/>
  <c r="Q294" i="81"/>
  <c r="C294" i="81"/>
  <c r="B294" i="81"/>
  <c r="I294" i="81"/>
  <c r="R294" i="81"/>
  <c r="U294" i="81"/>
  <c r="S294" i="81"/>
  <c r="T294" i="81"/>
  <c r="A295" i="81"/>
  <c r="G295" i="81" l="1"/>
  <c r="H295" i="81"/>
  <c r="I295" i="81"/>
  <c r="C295" i="81"/>
  <c r="D295" i="81"/>
  <c r="E295" i="81"/>
  <c r="L295" i="65" s="1"/>
  <c r="F295" i="81"/>
  <c r="J295" i="81"/>
  <c r="L295" i="81"/>
  <c r="M295" i="81"/>
  <c r="N295" i="81"/>
  <c r="O295" i="81"/>
  <c r="P295" i="81"/>
  <c r="B295" i="81"/>
  <c r="U295" i="81"/>
  <c r="R295" i="81"/>
  <c r="S295" i="81"/>
  <c r="T295" i="81"/>
  <c r="K295" i="81"/>
  <c r="Q295" i="81"/>
  <c r="A296" i="81"/>
  <c r="C296" i="81" l="1"/>
  <c r="S296" i="81"/>
  <c r="D296" i="81"/>
  <c r="T296" i="81"/>
  <c r="E296" i="81"/>
  <c r="L296" i="65" s="1"/>
  <c r="U296" i="81"/>
  <c r="B296" i="81"/>
  <c r="F296" i="81"/>
  <c r="G296" i="81"/>
  <c r="H296" i="81"/>
  <c r="I296" i="81"/>
  <c r="K296" i="81"/>
  <c r="L296" i="81"/>
  <c r="M296" i="81"/>
  <c r="N296" i="81"/>
  <c r="O296" i="81"/>
  <c r="J296" i="81"/>
  <c r="P296" i="81"/>
  <c r="Q296" i="81"/>
  <c r="R296" i="81"/>
  <c r="A297" i="81"/>
  <c r="O297" i="81" l="1"/>
  <c r="P297" i="81"/>
  <c r="Q297" i="81"/>
  <c r="D297" i="81"/>
  <c r="E297" i="81"/>
  <c r="L297" i="65" s="1"/>
  <c r="F297" i="81"/>
  <c r="G297" i="81"/>
  <c r="H297" i="81"/>
  <c r="J297" i="81"/>
  <c r="K297" i="81"/>
  <c r="L297" i="81"/>
  <c r="M297" i="81"/>
  <c r="N297" i="81"/>
  <c r="C297" i="81"/>
  <c r="B297" i="81"/>
  <c r="I297" i="81"/>
  <c r="R297" i="81"/>
  <c r="S297" i="81"/>
  <c r="T297" i="81"/>
  <c r="U297" i="81"/>
  <c r="A298" i="81"/>
  <c r="K298" i="81" l="1"/>
  <c r="L298" i="81"/>
  <c r="M298" i="81"/>
  <c r="C298" i="81"/>
  <c r="D298" i="81"/>
  <c r="E298" i="81"/>
  <c r="L298" i="65" s="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L299" i="65" s="1"/>
  <c r="F299" i="81"/>
  <c r="K299" i="81"/>
  <c r="L299" i="81"/>
  <c r="M299" i="81"/>
  <c r="N299" i="81"/>
  <c r="O299" i="81"/>
  <c r="T299" i="81"/>
  <c r="J299" i="81"/>
  <c r="P299" i="81"/>
  <c r="Q299" i="81"/>
  <c r="R299" i="81"/>
  <c r="S299" i="81"/>
  <c r="A300" i="81"/>
  <c r="C300" i="81" l="1"/>
  <c r="S300" i="81"/>
  <c r="D300" i="81"/>
  <c r="T300" i="81"/>
  <c r="E300" i="81"/>
  <c r="L300" i="65" s="1"/>
  <c r="U300" i="81"/>
  <c r="B300" i="81"/>
  <c r="F300" i="81"/>
  <c r="G300" i="81"/>
  <c r="H300" i="81"/>
  <c r="J300" i="81"/>
  <c r="K300" i="81"/>
  <c r="L300" i="81"/>
  <c r="M300" i="81"/>
  <c r="N300" i="81"/>
  <c r="I300" i="81"/>
  <c r="O300" i="81"/>
  <c r="P300" i="81"/>
  <c r="Q300" i="81"/>
  <c r="R300" i="81"/>
  <c r="A301" i="81"/>
  <c r="O301" i="81" l="1"/>
  <c r="P301" i="81"/>
  <c r="Q301" i="81"/>
  <c r="C301" i="81"/>
  <c r="D301" i="81"/>
  <c r="E301" i="81"/>
  <c r="L301" i="65" s="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L302" i="65" s="1"/>
  <c r="F302" i="81"/>
  <c r="G302" i="81"/>
  <c r="P302" i="81"/>
  <c r="Q302" i="81"/>
  <c r="R302" i="81"/>
  <c r="S302" i="81"/>
  <c r="A303" i="81"/>
  <c r="G303" i="81" l="1"/>
  <c r="H303" i="81"/>
  <c r="I303" i="81"/>
  <c r="T303" i="81"/>
  <c r="B303" i="81"/>
  <c r="U303" i="81"/>
  <c r="C303" i="81"/>
  <c r="J303" i="81"/>
  <c r="K303" i="81"/>
  <c r="L303" i="81"/>
  <c r="M303" i="81"/>
  <c r="N303" i="81"/>
  <c r="S303" i="81"/>
  <c r="D303" i="81"/>
  <c r="E303" i="81"/>
  <c r="L303" i="65" s="1"/>
  <c r="P303" i="81"/>
  <c r="F303" i="81"/>
  <c r="O303" i="81"/>
  <c r="Q303" i="81"/>
  <c r="R303" i="81"/>
  <c r="A304" i="81"/>
  <c r="C304" i="81" l="1"/>
  <c r="S304" i="81"/>
  <c r="D304" i="81"/>
  <c r="T304" i="81"/>
  <c r="E304" i="81"/>
  <c r="L304" i="65" s="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L305" i="65" s="1"/>
  <c r="F305" i="81"/>
  <c r="G305" i="81"/>
  <c r="N305" i="81"/>
  <c r="L305" i="81"/>
  <c r="M305" i="81"/>
  <c r="R305" i="81"/>
  <c r="S305" i="81"/>
  <c r="A306" i="81"/>
  <c r="K306" i="81" l="1"/>
  <c r="L306" i="81"/>
  <c r="M306" i="81"/>
  <c r="T306" i="81"/>
  <c r="B306" i="81"/>
  <c r="U306" i="81"/>
  <c r="C306" i="81"/>
  <c r="G306" i="81"/>
  <c r="H306" i="81"/>
  <c r="I306" i="81"/>
  <c r="J306" i="81"/>
  <c r="S306" i="81"/>
  <c r="D306" i="81"/>
  <c r="E306" i="81"/>
  <c r="L306" i="65" s="1"/>
  <c r="F306" i="81"/>
  <c r="N306" i="81"/>
  <c r="O306" i="81"/>
  <c r="P306" i="81"/>
  <c r="Q306" i="81"/>
  <c r="R306" i="81"/>
  <c r="A307" i="81"/>
  <c r="G307" i="81" l="1"/>
  <c r="H307" i="81"/>
  <c r="I307" i="81"/>
  <c r="S307" i="81"/>
  <c r="T307" i="81"/>
  <c r="B307" i="81"/>
  <c r="U307" i="81"/>
  <c r="F307" i="81"/>
  <c r="J307" i="81"/>
  <c r="K307" i="81"/>
  <c r="L307" i="81"/>
  <c r="R307" i="81"/>
  <c r="C307" i="81"/>
  <c r="D307" i="81"/>
  <c r="E307" i="81"/>
  <c r="L307" i="65" s="1"/>
  <c r="O307" i="81"/>
  <c r="M307" i="81"/>
  <c r="N307" i="81"/>
  <c r="P307" i="81"/>
  <c r="Q307" i="81"/>
  <c r="A308" i="81"/>
  <c r="C308" i="81" l="1"/>
  <c r="S308" i="81"/>
  <c r="D308" i="81"/>
  <c r="T308" i="81"/>
  <c r="E308" i="81"/>
  <c r="L308" i="65" s="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L309" i="65" s="1"/>
  <c r="F309" i="81"/>
  <c r="M309" i="81"/>
  <c r="K309" i="81"/>
  <c r="L309" i="81"/>
  <c r="N309" i="81"/>
  <c r="Q309" i="81"/>
  <c r="A310" i="81"/>
  <c r="O310" i="81" l="1"/>
  <c r="P310" i="81"/>
  <c r="Q310" i="81"/>
  <c r="E310" i="81"/>
  <c r="L310" i="65" s="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L311" i="65" s="1"/>
  <c r="F311" i="81"/>
  <c r="H311" i="81"/>
  <c r="I311" i="81"/>
  <c r="A312" i="81"/>
  <c r="G312" i="81" l="1"/>
  <c r="H312" i="81"/>
  <c r="I312" i="81"/>
  <c r="M312" i="81"/>
  <c r="N312" i="81"/>
  <c r="O312" i="81"/>
  <c r="P312" i="81"/>
  <c r="F312" i="81"/>
  <c r="B312" i="81"/>
  <c r="C312" i="81"/>
  <c r="D312" i="81"/>
  <c r="E312" i="81"/>
  <c r="L312" i="65" s="1"/>
  <c r="J312" i="81"/>
  <c r="K312" i="81"/>
  <c r="L312" i="81"/>
  <c r="S312" i="81"/>
  <c r="Q312" i="81"/>
  <c r="R312" i="81"/>
  <c r="T312" i="81"/>
  <c r="U312" i="81"/>
  <c r="A313" i="81"/>
  <c r="C313" i="81" l="1"/>
  <c r="S313" i="81"/>
  <c r="D313" i="81"/>
  <c r="T313" i="81"/>
  <c r="E313" i="81"/>
  <c r="L313" i="65" s="1"/>
  <c r="U313" i="81"/>
  <c r="I313" i="81"/>
  <c r="J313" i="81"/>
  <c r="K313" i="81"/>
  <c r="L313" i="81"/>
  <c r="B313" i="81"/>
  <c r="R313" i="81"/>
  <c r="F313" i="81"/>
  <c r="G313" i="81"/>
  <c r="H313" i="81"/>
  <c r="M313" i="81"/>
  <c r="N313" i="81"/>
  <c r="O313" i="81"/>
  <c r="P313" i="81"/>
  <c r="Q313" i="81"/>
  <c r="A314" i="81"/>
  <c r="P314" i="81" l="1"/>
  <c r="Q314" i="81"/>
  <c r="E314" i="81"/>
  <c r="L314" i="65" s="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L315" i="65" s="1"/>
  <c r="F315" i="81"/>
  <c r="G315" i="81"/>
  <c r="H315" i="81"/>
  <c r="I315" i="81"/>
  <c r="J315" i="81"/>
  <c r="K315" i="81"/>
  <c r="P315" i="81"/>
  <c r="N315" i="81"/>
  <c r="O315" i="81"/>
  <c r="U315" i="81"/>
  <c r="A316" i="81"/>
  <c r="H316" i="81" l="1"/>
  <c r="I316" i="81"/>
  <c r="M316" i="81"/>
  <c r="N316" i="81"/>
  <c r="O316" i="81"/>
  <c r="P316" i="81"/>
  <c r="C316" i="81"/>
  <c r="D316" i="81"/>
  <c r="E316" i="81"/>
  <c r="L316" i="65" s="1"/>
  <c r="F316" i="81"/>
  <c r="G316" i="81"/>
  <c r="J316" i="81"/>
  <c r="K316" i="81"/>
  <c r="L316" i="81"/>
  <c r="Q316" i="81"/>
  <c r="R316" i="81"/>
  <c r="S316" i="81"/>
  <c r="T316" i="81"/>
  <c r="U316" i="81"/>
  <c r="B316" i="81"/>
  <c r="A317" i="81"/>
  <c r="D317" i="81" l="1"/>
  <c r="T317" i="81"/>
  <c r="E317" i="81"/>
  <c r="L317" i="65" s="1"/>
  <c r="U317" i="81"/>
  <c r="I317" i="81"/>
  <c r="J317" i="81"/>
  <c r="K317" i="81"/>
  <c r="L317" i="81"/>
  <c r="G317" i="81"/>
  <c r="H317" i="81"/>
  <c r="M317" i="81"/>
  <c r="N317" i="81"/>
  <c r="O317" i="81"/>
  <c r="P317" i="81"/>
  <c r="Q317" i="81"/>
  <c r="R317" i="81"/>
  <c r="S317" i="81"/>
  <c r="B317" i="81"/>
  <c r="C317" i="81"/>
  <c r="F317" i="81"/>
  <c r="A318" i="81"/>
  <c r="P318" i="81" l="1"/>
  <c r="Q318" i="81"/>
  <c r="E318" i="81"/>
  <c r="L318" i="65" s="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L319" i="65" s="1"/>
  <c r="F319" i="81"/>
  <c r="G319" i="81"/>
  <c r="H319" i="81"/>
  <c r="I319" i="81"/>
  <c r="N319" i="81"/>
  <c r="J319" i="81"/>
  <c r="K319" i="81"/>
  <c r="O319" i="81"/>
  <c r="P319" i="81"/>
  <c r="A320" i="81"/>
  <c r="H320" i="81" l="1"/>
  <c r="I320" i="81"/>
  <c r="M320" i="81"/>
  <c r="N320" i="81"/>
  <c r="O320" i="81"/>
  <c r="P320" i="81"/>
  <c r="B320" i="81"/>
  <c r="C320" i="81"/>
  <c r="D320" i="81"/>
  <c r="E320" i="81"/>
  <c r="L320" i="65" s="1"/>
  <c r="F320" i="81"/>
  <c r="G320" i="81"/>
  <c r="J320" i="81"/>
  <c r="K320" i="81"/>
  <c r="L320" i="81"/>
  <c r="Q320" i="81"/>
  <c r="T320" i="81"/>
  <c r="R320" i="81"/>
  <c r="S320" i="81"/>
  <c r="U320" i="81"/>
  <c r="A321" i="81"/>
  <c r="D321" i="81" l="1"/>
  <c r="T321" i="81"/>
  <c r="E321" i="81"/>
  <c r="L321" i="65" s="1"/>
  <c r="U321" i="81"/>
  <c r="I321" i="81"/>
  <c r="J321" i="81"/>
  <c r="K321" i="81"/>
  <c r="L321" i="81"/>
  <c r="C321" i="81"/>
  <c r="F321" i="81"/>
  <c r="G321" i="81"/>
  <c r="H321" i="81"/>
  <c r="M321" i="81"/>
  <c r="N321" i="81"/>
  <c r="O321" i="81"/>
  <c r="P321" i="81"/>
  <c r="Q321" i="81"/>
  <c r="R321" i="81"/>
  <c r="S321" i="81"/>
  <c r="B321" i="81"/>
  <c r="A322" i="81"/>
  <c r="P322" i="81" l="1"/>
  <c r="Q322" i="81"/>
  <c r="E322" i="81"/>
  <c r="L322" i="65" s="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L323" i="65" s="1"/>
  <c r="G323" i="81"/>
  <c r="H323" i="81"/>
  <c r="A324" i="81"/>
  <c r="H324" i="81" l="1"/>
  <c r="I324" i="81"/>
  <c r="M324" i="81"/>
  <c r="J324" i="81"/>
  <c r="K324" i="81"/>
  <c r="L324" i="81"/>
  <c r="N324" i="81"/>
  <c r="O324" i="81"/>
  <c r="P324" i="81"/>
  <c r="Q324" i="81"/>
  <c r="R324" i="81"/>
  <c r="S324" i="81"/>
  <c r="T324" i="81"/>
  <c r="B324" i="81"/>
  <c r="U324" i="81"/>
  <c r="E324" i="81"/>
  <c r="L324" i="65" s="1"/>
  <c r="C324" i="81"/>
  <c r="D324" i="81"/>
  <c r="F324" i="81"/>
  <c r="G324" i="81"/>
  <c r="A325" i="81"/>
  <c r="D325" i="81" l="1"/>
  <c r="T325" i="81"/>
  <c r="E325" i="81"/>
  <c r="L325" i="65" s="1"/>
  <c r="U325" i="81"/>
  <c r="I325" i="81"/>
  <c r="J325" i="81"/>
  <c r="K325" i="81"/>
  <c r="L325" i="81"/>
  <c r="M325" i="81"/>
  <c r="N325" i="81"/>
  <c r="O325" i="81"/>
  <c r="P325" i="81"/>
  <c r="Q325" i="81"/>
  <c r="R325" i="81"/>
  <c r="S325" i="81"/>
  <c r="F325" i="81"/>
  <c r="C325" i="81"/>
  <c r="G325" i="81"/>
  <c r="H325" i="81"/>
  <c r="B325" i="81"/>
  <c r="A326" i="81"/>
  <c r="P326" i="81" l="1"/>
  <c r="Q326" i="81"/>
  <c r="E326" i="81"/>
  <c r="L326" i="65" s="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L327" i="65" s="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L328" i="65" s="1"/>
  <c r="F328" i="81"/>
  <c r="A329" i="81"/>
  <c r="D329" i="81" l="1"/>
  <c r="T329" i="81"/>
  <c r="E329" i="81"/>
  <c r="L329" i="65" s="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L330" i="65" s="1"/>
  <c r="F330" i="81"/>
  <c r="T330" i="81"/>
  <c r="U330" i="81"/>
  <c r="A331" i="81"/>
  <c r="L331" i="81" l="1"/>
  <c r="M331" i="81"/>
  <c r="E331" i="81"/>
  <c r="L331" i="65" s="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L332" i="65" s="1"/>
  <c r="F332" i="81"/>
  <c r="G332" i="81"/>
  <c r="J332" i="81"/>
  <c r="K332" i="81"/>
  <c r="L332" i="81"/>
  <c r="M332" i="81"/>
  <c r="N332" i="81"/>
  <c r="O332" i="81"/>
  <c r="R332" i="81"/>
  <c r="P332" i="81"/>
  <c r="B332" i="81"/>
  <c r="Q332" i="81"/>
  <c r="S332" i="81"/>
  <c r="T332" i="81"/>
  <c r="A333" i="81"/>
  <c r="D333" i="81" l="1"/>
  <c r="T333" i="81"/>
  <c r="E333" i="81"/>
  <c r="L333" i="65" s="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L334" i="65" s="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L335" i="65" s="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L336" i="65" s="1"/>
  <c r="F336" i="81"/>
  <c r="G336" i="81"/>
  <c r="K336" i="81"/>
  <c r="L336" i="81"/>
  <c r="M336" i="81"/>
  <c r="N336" i="81"/>
  <c r="J336" i="81"/>
  <c r="A337" i="81"/>
  <c r="D337" i="81" l="1"/>
  <c r="T337" i="81"/>
  <c r="E337" i="81"/>
  <c r="L337" i="65" s="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L338" i="65" s="1"/>
  <c r="H338" i="81"/>
  <c r="D338" i="81"/>
  <c r="F338" i="81"/>
  <c r="G338" i="81"/>
  <c r="I338" i="81"/>
  <c r="J338" i="81"/>
  <c r="R338" i="81"/>
  <c r="A339" i="81"/>
  <c r="M339" i="81" l="1"/>
  <c r="I339" i="81"/>
  <c r="J339" i="81"/>
  <c r="K339" i="81"/>
  <c r="L339" i="81"/>
  <c r="N339" i="81"/>
  <c r="P339" i="81"/>
  <c r="Q339" i="81"/>
  <c r="R339" i="81"/>
  <c r="C339" i="81"/>
  <c r="T339" i="81"/>
  <c r="B339" i="81"/>
  <c r="D339" i="81"/>
  <c r="E339" i="81"/>
  <c r="L339" i="65" s="1"/>
  <c r="F339" i="81"/>
  <c r="G339" i="81"/>
  <c r="H339" i="81"/>
  <c r="O339" i="81"/>
  <c r="S339" i="81"/>
  <c r="U339" i="81"/>
  <c r="A340" i="81"/>
  <c r="I340" i="81" l="1"/>
  <c r="F340" i="81"/>
  <c r="G340" i="81"/>
  <c r="H340" i="81"/>
  <c r="J340" i="81"/>
  <c r="K340" i="81"/>
  <c r="M340" i="81"/>
  <c r="N340" i="81"/>
  <c r="O340" i="81"/>
  <c r="Q340" i="81"/>
  <c r="S340" i="81"/>
  <c r="T340" i="81"/>
  <c r="U340" i="81"/>
  <c r="E340" i="81"/>
  <c r="L340" i="65" s="1"/>
  <c r="B340" i="81"/>
  <c r="C340" i="81"/>
  <c r="D340" i="81"/>
  <c r="L340" i="81"/>
  <c r="P340" i="81"/>
  <c r="R340" i="81"/>
  <c r="A341" i="81"/>
  <c r="E341" i="81" l="1"/>
  <c r="L341" i="65" s="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L342" i="65" s="1"/>
  <c r="G342" i="81"/>
  <c r="H342" i="81"/>
  <c r="I342" i="81"/>
  <c r="K342" i="81"/>
  <c r="O342" i="81"/>
  <c r="P342" i="81"/>
  <c r="J342" i="81"/>
  <c r="F342" i="81"/>
  <c r="L342" i="81"/>
  <c r="M342" i="81"/>
  <c r="N342" i="81"/>
  <c r="A343" i="81"/>
  <c r="M343" i="81" l="1"/>
  <c r="O343" i="81"/>
  <c r="P343" i="81"/>
  <c r="Q343" i="81"/>
  <c r="R343" i="81"/>
  <c r="B343" i="81"/>
  <c r="S343" i="81"/>
  <c r="D343" i="81"/>
  <c r="U343" i="81"/>
  <c r="E343" i="81"/>
  <c r="L343" i="65" s="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L344" i="65" s="1"/>
  <c r="Q344" i="81"/>
  <c r="U344" i="81"/>
  <c r="G344" i="81"/>
  <c r="D344" i="81"/>
  <c r="F344" i="81"/>
  <c r="H344" i="81"/>
  <c r="J344" i="81"/>
  <c r="K344" i="81"/>
  <c r="A345" i="81"/>
  <c r="E345" i="81" l="1"/>
  <c r="L345" i="65" s="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L346" i="65" s="1"/>
  <c r="A347" i="81"/>
  <c r="M347" i="81" l="1"/>
  <c r="C347" i="81"/>
  <c r="T347" i="81"/>
  <c r="D347" i="81"/>
  <c r="U347" i="81"/>
  <c r="E347" i="81"/>
  <c r="L347" i="65" s="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L348" i="65" s="1"/>
  <c r="H348" i="81"/>
  <c r="J348" i="81"/>
  <c r="K348" i="81"/>
  <c r="L348" i="81"/>
  <c r="M348" i="81"/>
  <c r="N348" i="81"/>
  <c r="O348" i="81"/>
  <c r="P348" i="81"/>
  <c r="A349" i="81"/>
  <c r="E349" i="81" l="1"/>
  <c r="L349" i="65" s="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L350" i="65" s="1"/>
  <c r="F350" i="81"/>
  <c r="G350" i="81"/>
  <c r="H350" i="81"/>
  <c r="I350" i="81"/>
  <c r="R350" i="81"/>
  <c r="S350" i="81"/>
  <c r="T350" i="81"/>
  <c r="A351" i="81"/>
  <c r="F351" i="81" l="1"/>
  <c r="G351" i="81"/>
  <c r="H351" i="81"/>
  <c r="I351" i="81"/>
  <c r="J351" i="81"/>
  <c r="L351" i="81"/>
  <c r="M351" i="81"/>
  <c r="B351" i="81"/>
  <c r="C351" i="81"/>
  <c r="D351" i="81"/>
  <c r="E351" i="81"/>
  <c r="L351" i="65" s="1"/>
  <c r="T351" i="81"/>
  <c r="K351" i="81"/>
  <c r="N351" i="81"/>
  <c r="O351" i="81"/>
  <c r="P351" i="81"/>
  <c r="Q351" i="81"/>
  <c r="R351" i="81"/>
  <c r="S351" i="81"/>
  <c r="U351" i="81"/>
  <c r="A352" i="81"/>
  <c r="B352" i="81" l="1"/>
  <c r="R352" i="81"/>
  <c r="C352" i="81"/>
  <c r="S352" i="81"/>
  <c r="D352" i="81"/>
  <c r="T352" i="81"/>
  <c r="E352" i="81"/>
  <c r="L352" i="65" s="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L353" i="65" s="1"/>
  <c r="F353" i="81"/>
  <c r="G353" i="81"/>
  <c r="H353" i="81"/>
  <c r="I353" i="81"/>
  <c r="J353" i="81"/>
  <c r="K353" i="81"/>
  <c r="L353" i="81"/>
  <c r="A354" i="81"/>
  <c r="J354" i="81" l="1"/>
  <c r="K354" i="81"/>
  <c r="L354" i="81"/>
  <c r="M354" i="81"/>
  <c r="N354" i="81"/>
  <c r="P354" i="81"/>
  <c r="U354" i="81"/>
  <c r="B354" i="81"/>
  <c r="C354" i="81"/>
  <c r="Q354" i="81"/>
  <c r="D354" i="81"/>
  <c r="E354" i="81"/>
  <c r="L354" i="65" s="1"/>
  <c r="F354" i="81"/>
  <c r="G354" i="81"/>
  <c r="H354" i="81"/>
  <c r="I354" i="81"/>
  <c r="O354" i="81"/>
  <c r="R354" i="81"/>
  <c r="S354" i="81"/>
  <c r="T354" i="81"/>
  <c r="A355" i="81"/>
  <c r="F355" i="81" l="1"/>
  <c r="G355" i="81"/>
  <c r="H355" i="81"/>
  <c r="I355" i="81"/>
  <c r="J355" i="81"/>
  <c r="L355" i="81"/>
  <c r="B355" i="81"/>
  <c r="C355" i="81"/>
  <c r="D355" i="81"/>
  <c r="E355" i="81"/>
  <c r="L355" i="65" s="1"/>
  <c r="K355" i="81"/>
  <c r="M355" i="81"/>
  <c r="N355" i="81"/>
  <c r="O355" i="81"/>
  <c r="P355" i="81"/>
  <c r="Q355" i="81"/>
  <c r="R355" i="81"/>
  <c r="S355" i="81"/>
  <c r="T355" i="81"/>
  <c r="U355" i="81"/>
  <c r="A356" i="81"/>
  <c r="B356" i="81" l="1"/>
  <c r="R356" i="81"/>
  <c r="C356" i="81"/>
  <c r="S356" i="81"/>
  <c r="D356" i="81"/>
  <c r="T356" i="81"/>
  <c r="E356" i="81"/>
  <c r="L356" i="65" s="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L357" i="65" s="1"/>
  <c r="F357" i="81"/>
  <c r="H357" i="81"/>
  <c r="I357" i="81"/>
  <c r="J357" i="81"/>
  <c r="A358" i="81"/>
  <c r="J358" i="81" l="1"/>
  <c r="K358" i="81"/>
  <c r="L358" i="81"/>
  <c r="M358" i="81"/>
  <c r="N358" i="81"/>
  <c r="P358" i="81"/>
  <c r="S358" i="81"/>
  <c r="T358" i="81"/>
  <c r="U358" i="81"/>
  <c r="B358" i="81"/>
  <c r="C358" i="81"/>
  <c r="D358" i="81"/>
  <c r="E358" i="81"/>
  <c r="L358" i="65" s="1"/>
  <c r="F358" i="81"/>
  <c r="G358" i="81"/>
  <c r="H358" i="81"/>
  <c r="I358" i="81"/>
  <c r="O358" i="81"/>
  <c r="Q358" i="81"/>
  <c r="R358" i="81"/>
  <c r="A359" i="81"/>
  <c r="F359" i="81" l="1"/>
  <c r="G359" i="81"/>
  <c r="H359" i="81"/>
  <c r="I359" i="81"/>
  <c r="J359" i="81"/>
  <c r="L359" i="81"/>
  <c r="U359" i="81"/>
  <c r="B359" i="81"/>
  <c r="C359" i="81"/>
  <c r="Q359" i="81"/>
  <c r="D359" i="81"/>
  <c r="E359" i="81"/>
  <c r="L359" i="65" s="1"/>
  <c r="K359" i="81"/>
  <c r="M359" i="81"/>
  <c r="N359" i="81"/>
  <c r="O359" i="81"/>
  <c r="P359" i="81"/>
  <c r="R359" i="81"/>
  <c r="S359" i="81"/>
  <c r="T359" i="81"/>
  <c r="A360" i="81"/>
  <c r="B360" i="81" l="1"/>
  <c r="R360" i="81"/>
  <c r="C360" i="81"/>
  <c r="S360" i="81"/>
  <c r="D360" i="81"/>
  <c r="T360" i="81"/>
  <c r="E360" i="81"/>
  <c r="L360" i="65" s="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L361" i="65" s="1"/>
  <c r="F361" i="81"/>
  <c r="G361" i="81"/>
  <c r="H361" i="81"/>
  <c r="A362" i="81"/>
  <c r="J362" i="81" l="1"/>
  <c r="K362" i="81"/>
  <c r="L362" i="81"/>
  <c r="M362" i="81"/>
  <c r="N362" i="81"/>
  <c r="P362" i="81"/>
  <c r="Q362" i="81"/>
  <c r="R362" i="81"/>
  <c r="S362" i="81"/>
  <c r="T362" i="81"/>
  <c r="U362" i="81"/>
  <c r="G362" i="81"/>
  <c r="B362" i="81"/>
  <c r="C362" i="81"/>
  <c r="D362" i="81"/>
  <c r="E362" i="81"/>
  <c r="L362" i="65" s="1"/>
  <c r="F362" i="81"/>
  <c r="H362" i="81"/>
  <c r="I362" i="81"/>
  <c r="O362" i="81"/>
  <c r="A363" i="81"/>
  <c r="F363" i="81" l="1"/>
  <c r="G363" i="81"/>
  <c r="H363" i="81"/>
  <c r="I363" i="81"/>
  <c r="L363" i="81"/>
  <c r="R363" i="81"/>
  <c r="S363" i="81"/>
  <c r="T363" i="81"/>
  <c r="U363" i="81"/>
  <c r="B363" i="81"/>
  <c r="C363" i="81"/>
  <c r="D363" i="81"/>
  <c r="E363" i="81"/>
  <c r="L363" i="65" s="1"/>
  <c r="J363" i="81"/>
  <c r="K363" i="81"/>
  <c r="M363" i="81"/>
  <c r="N363" i="81"/>
  <c r="O363" i="81"/>
  <c r="P363" i="81"/>
  <c r="Q363" i="81"/>
  <c r="A364" i="81"/>
  <c r="B364" i="81" l="1"/>
  <c r="R364" i="81"/>
  <c r="C364" i="81"/>
  <c r="S364" i="81"/>
  <c r="D364" i="81"/>
  <c r="T364" i="81"/>
  <c r="E364" i="81"/>
  <c r="L364" i="65" s="1"/>
  <c r="U364" i="81"/>
  <c r="F364" i="81"/>
  <c r="N364" i="81"/>
  <c r="G364" i="81"/>
  <c r="H364" i="81"/>
  <c r="I364" i="81"/>
  <c r="J364" i="81"/>
  <c r="K364" i="81"/>
  <c r="L364" i="81"/>
  <c r="M364" i="81"/>
  <c r="O364" i="81"/>
  <c r="P364" i="81"/>
  <c r="Q364" i="81"/>
  <c r="A365" i="81"/>
  <c r="N365" i="81" l="1"/>
  <c r="O365" i="81"/>
  <c r="P365" i="81"/>
  <c r="Q365" i="81"/>
  <c r="B365" i="81"/>
  <c r="C365" i="81"/>
  <c r="D365" i="81"/>
  <c r="E365" i="81"/>
  <c r="L365" i="65" s="1"/>
  <c r="F365" i="81"/>
  <c r="R365" i="81"/>
  <c r="G365" i="81"/>
  <c r="H365" i="81"/>
  <c r="I365" i="81"/>
  <c r="J365" i="81"/>
  <c r="K365" i="81"/>
  <c r="L365" i="81"/>
  <c r="M365" i="81"/>
  <c r="S365" i="81"/>
  <c r="T365" i="81"/>
  <c r="U365" i="81"/>
  <c r="A366" i="81"/>
  <c r="J366" i="81" l="1"/>
  <c r="K366" i="81"/>
  <c r="L366" i="81"/>
  <c r="M366" i="81"/>
  <c r="B366" i="81"/>
  <c r="C366" i="81"/>
  <c r="D366" i="81"/>
  <c r="E366" i="81"/>
  <c r="L366" i="65" s="1"/>
  <c r="F366" i="81"/>
  <c r="G366" i="81"/>
  <c r="H366" i="81"/>
  <c r="I366" i="81"/>
  <c r="N366" i="81"/>
  <c r="O366" i="81"/>
  <c r="P366" i="81"/>
  <c r="Q366" i="81"/>
  <c r="R366" i="81"/>
  <c r="S366" i="81"/>
  <c r="T366" i="81"/>
  <c r="U366" i="81"/>
  <c r="A367" i="81"/>
  <c r="F367" i="81" l="1"/>
  <c r="G367" i="81"/>
  <c r="H367" i="81"/>
  <c r="B367" i="81"/>
  <c r="U367" i="81"/>
  <c r="C367" i="81"/>
  <c r="D367" i="81"/>
  <c r="E367" i="81"/>
  <c r="L367" i="65" s="1"/>
  <c r="I367" i="81"/>
  <c r="Q367" i="81"/>
  <c r="J367" i="81"/>
  <c r="K367" i="81"/>
  <c r="L367" i="81"/>
  <c r="M367" i="81"/>
  <c r="N367" i="81"/>
  <c r="O367" i="81"/>
  <c r="P367" i="81"/>
  <c r="R367" i="81"/>
  <c r="S367" i="81"/>
  <c r="T367" i="81"/>
  <c r="A368" i="81"/>
  <c r="D368" i="81" l="1"/>
  <c r="R368" i="81"/>
  <c r="B368" i="81"/>
  <c r="S368" i="81"/>
  <c r="C368" i="81"/>
  <c r="T368" i="81"/>
  <c r="E368" i="81"/>
  <c r="L368" i="65" s="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L369" i="65" s="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I3" i="63" l="1"/>
  <c r="AY3" i="63"/>
  <c r="AJ3" i="63"/>
  <c r="AK3" i="63"/>
  <c r="AL3" i="63"/>
  <c r="AM3" i="63"/>
  <c r="AN3" i="63"/>
  <c r="AO3" i="63"/>
  <c r="AP3" i="63"/>
  <c r="AQ3" i="63"/>
  <c r="AR3" i="63"/>
  <c r="AC3" i="63"/>
  <c r="AS3" i="63"/>
  <c r="AD3" i="63"/>
  <c r="AT3" i="63"/>
  <c r="AE3" i="63"/>
  <c r="AU3" i="63"/>
  <c r="AF3" i="63"/>
  <c r="AV3" i="63"/>
  <c r="AH3" i="63"/>
  <c r="AX3" i="63"/>
  <c r="AG3" i="63"/>
  <c r="AW3" i="63"/>
  <c r="A4" i="63"/>
  <c r="AH4" i="63" l="1"/>
  <c r="AX4" i="63"/>
  <c r="AI4" i="63"/>
  <c r="AY4" i="63"/>
  <c r="AJ4" i="63"/>
  <c r="AK4" i="63"/>
  <c r="AL4" i="63"/>
  <c r="AM4" i="63"/>
  <c r="AO4" i="63"/>
  <c r="AP4" i="63"/>
  <c r="AQ4" i="63"/>
  <c r="AR4" i="63"/>
  <c r="AC4" i="63"/>
  <c r="AS4" i="63"/>
  <c r="AD4" i="63"/>
  <c r="AT4" i="63"/>
  <c r="AG4" i="63"/>
  <c r="AW4" i="63"/>
  <c r="AE4" i="63"/>
  <c r="AF4" i="63"/>
  <c r="AN4" i="63"/>
  <c r="AU4" i="63"/>
  <c r="AV4" i="63"/>
  <c r="AK7" i="24" a="1"/>
  <c r="AK7" i="24" s="1"/>
  <c r="AI7" i="24" a="1"/>
  <c r="AI7" i="24" s="1"/>
  <c r="AY7" i="24" a="1"/>
  <c r="AY7" i="24" s="1"/>
  <c r="AU7" i="24" a="1"/>
  <c r="AU7" i="24" s="1"/>
  <c r="AX7" i="24" a="1"/>
  <c r="AX7" i="24" s="1"/>
  <c r="AL7" i="24" a="1"/>
  <c r="AL7" i="24" s="1"/>
  <c r="AM7" i="24" a="1"/>
  <c r="AM7" i="24" s="1"/>
  <c r="AN7" i="24" a="1"/>
  <c r="AN7" i="24" s="1"/>
  <c r="AO7" i="24" a="1"/>
  <c r="AO7" i="24" s="1"/>
  <c r="AP7" i="24" a="1"/>
  <c r="AP7" i="24" s="1"/>
  <c r="AQ7" i="24" a="1"/>
  <c r="AQ7" i="24" s="1"/>
  <c r="AR7" i="24" a="1"/>
  <c r="AR7" i="24" s="1"/>
  <c r="AS7" i="24" a="1"/>
  <c r="AS7" i="24" s="1"/>
  <c r="AT7" i="24" a="1"/>
  <c r="AT7" i="24" s="1"/>
  <c r="AW7" i="24" a="1"/>
  <c r="AW7" i="24" s="1"/>
  <c r="AV7" i="24" a="1"/>
  <c r="AV7" i="24" s="1"/>
  <c r="AJ7" i="24" a="1"/>
  <c r="AJ7" i="24" s="1"/>
  <c r="AG7" i="24" a="1"/>
  <c r="AG7" i="24" s="1"/>
  <c r="AH7" i="24" a="1"/>
  <c r="AH7" i="24" s="1"/>
  <c r="AF7" i="24" a="1"/>
  <c r="AF7" i="24" s="1"/>
  <c r="C7" i="24" a="1"/>
  <c r="C7" i="24" s="1"/>
  <c r="G7" i="24" a="1"/>
  <c r="G7" i="24" s="1"/>
  <c r="K7" i="24" a="1"/>
  <c r="K7" i="24" s="1"/>
  <c r="O7" i="24" a="1"/>
  <c r="O7" i="24" s="1"/>
  <c r="O3" i="63" s="1"/>
  <c r="S7" i="24" a="1"/>
  <c r="S7" i="24" s="1"/>
  <c r="W7" i="24" a="1"/>
  <c r="W7" i="24" s="1"/>
  <c r="W3" i="63" s="1"/>
  <c r="AA7" i="24" a="1"/>
  <c r="AA7" i="24" s="1"/>
  <c r="AE7" i="24" a="1"/>
  <c r="AE7" i="24" s="1"/>
  <c r="H3" i="63"/>
  <c r="L7" i="24" a="1"/>
  <c r="L7" i="24" s="1"/>
  <c r="L3" i="63" s="1"/>
  <c r="P7" i="24" a="1"/>
  <c r="P7" i="24" s="1"/>
  <c r="P3" i="63" s="1"/>
  <c r="AD7" i="24" a="1"/>
  <c r="AD7" i="24" s="1"/>
  <c r="T7" i="24" a="1"/>
  <c r="T7" i="24" s="1"/>
  <c r="T3" i="63" s="1"/>
  <c r="X7" i="24" a="1"/>
  <c r="X7" i="24" s="1"/>
  <c r="AB7" i="24" a="1"/>
  <c r="AB7" i="24" s="1"/>
  <c r="Q7" i="24" a="1"/>
  <c r="Q7" i="24" s="1"/>
  <c r="E7" i="24" a="1"/>
  <c r="E7" i="24" s="1"/>
  <c r="I7" i="24" a="1"/>
  <c r="I7" i="24" s="1"/>
  <c r="I3" i="63" s="1"/>
  <c r="M7" i="24" a="1"/>
  <c r="M7" i="24" s="1"/>
  <c r="M3" i="63" s="1"/>
  <c r="Y7" i="24" a="1"/>
  <c r="Y7" i="24" s="1"/>
  <c r="U7" i="24" a="1"/>
  <c r="U7" i="24" s="1"/>
  <c r="Z7" i="24" a="1"/>
  <c r="Z7" i="24" s="1"/>
  <c r="Z3" i="63" s="1"/>
  <c r="J7" i="24" a="1"/>
  <c r="J7" i="24" s="1"/>
  <c r="J3" i="63" s="1"/>
  <c r="AC7" i="24" a="1"/>
  <c r="AC7" i="24" s="1"/>
  <c r="F7" i="24" a="1"/>
  <c r="F7" i="24" s="1"/>
  <c r="R7" i="24" a="1"/>
  <c r="R7" i="24" s="1"/>
  <c r="V7" i="24" a="1"/>
  <c r="V7" i="24" s="1"/>
  <c r="V3" i="63" s="1"/>
  <c r="D3" i="65" s="1"/>
  <c r="N7" i="24" a="1"/>
  <c r="N7" i="24" s="1"/>
  <c r="N3" i="63" s="1"/>
  <c r="A5" i="63"/>
  <c r="Z4" i="63" l="1"/>
  <c r="K3" i="65"/>
  <c r="AA3" i="65"/>
  <c r="I3" i="65"/>
  <c r="G3" i="65"/>
  <c r="S3" i="63"/>
  <c r="J3" i="65" s="1"/>
  <c r="T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U5" i="63"/>
  <c r="AK5" i="63"/>
  <c r="G5" i="63"/>
  <c r="AM5" i="63"/>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AC5" i="65"/>
  <c r="O4" i="65"/>
  <c r="P3" i="65"/>
  <c r="P4" i="65"/>
  <c r="K5" i="65"/>
  <c r="D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Y6" i="63"/>
  <c r="AE6" i="65" s="1"/>
  <c r="AO6" i="63"/>
  <c r="J6" i="63"/>
  <c r="Z6" i="63"/>
  <c r="AP6" i="63"/>
  <c r="M6" i="63"/>
  <c r="AC6" i="63"/>
  <c r="AS6" i="63"/>
  <c r="D6" i="63"/>
  <c r="L6" i="63"/>
  <c r="T6" i="63"/>
  <c r="AJ6" i="63"/>
  <c r="AQ6" i="63"/>
  <c r="AR6" i="63"/>
  <c r="Y3"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W7" i="63"/>
  <c r="AM7" i="63"/>
  <c r="H7" i="63"/>
  <c r="G7" i="65" s="1"/>
  <c r="X7" i="63"/>
  <c r="AN7" i="63"/>
  <c r="AQ7" i="63"/>
  <c r="Z7" i="63"/>
  <c r="AH7" i="63"/>
  <c r="AO7" i="63"/>
  <c r="AP7" i="63"/>
  <c r="AX7" i="63"/>
  <c r="B7" i="63"/>
  <c r="I7" i="63"/>
  <c r="J7" i="63"/>
  <c r="R7" i="63"/>
  <c r="Y7" i="63"/>
  <c r="AE7" i="65" s="1"/>
  <c r="A8" i="63"/>
  <c r="T7" i="65" l="1"/>
  <c r="J7" i="65"/>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I8" i="63"/>
  <c r="Y8" i="63"/>
  <c r="AE8" i="65" s="1"/>
  <c r="AO8" i="63"/>
  <c r="G8" i="63"/>
  <c r="P8" i="63"/>
  <c r="X8" i="63"/>
  <c r="AF8" i="63"/>
  <c r="AM8" i="63"/>
  <c r="AN8" i="63"/>
  <c r="AV8" i="63"/>
  <c r="A9" i="63"/>
  <c r="AB8" i="65" l="1"/>
  <c r="AD8" i="65"/>
  <c r="Z8" i="65"/>
  <c r="AC8" i="65"/>
  <c r="T8" i="65"/>
  <c r="I8" i="65"/>
  <c r="G8" i="65"/>
  <c r="O8" i="65"/>
  <c r="AA8" i="65"/>
  <c r="V8" i="65"/>
  <c r="P8" i="65"/>
  <c r="W8" i="65"/>
  <c r="H9" i="63"/>
  <c r="AN9" i="63"/>
  <c r="AO9" i="63"/>
  <c r="J9" i="63"/>
  <c r="Z9" i="63"/>
  <c r="AP9" i="63"/>
  <c r="K9" i="63"/>
  <c r="AQ9" i="63"/>
  <c r="L9" i="63"/>
  <c r="AR9" i="63"/>
  <c r="AC9" i="63"/>
  <c r="AS9" i="63"/>
  <c r="O9" i="63"/>
  <c r="AE9" i="63"/>
  <c r="AU9" i="63"/>
  <c r="P9" i="63"/>
  <c r="AF9" i="63"/>
  <c r="AV9" i="63"/>
  <c r="Q9" i="63"/>
  <c r="AG9" i="63"/>
  <c r="AW9" i="63"/>
  <c r="R9" i="63"/>
  <c r="AH9" i="63"/>
  <c r="AX9" i="63"/>
  <c r="S9" i="63"/>
  <c r="AI9" i="63"/>
  <c r="AY9" i="63"/>
  <c r="T9" i="63"/>
  <c r="AJ9" i="63"/>
  <c r="W9" i="63"/>
  <c r="AM9" i="63"/>
  <c r="N9" i="63"/>
  <c r="U9" i="63"/>
  <c r="V9" i="63"/>
  <c r="AD9" i="63"/>
  <c r="AK9" i="63"/>
  <c r="AL9" i="63"/>
  <c r="AT9" i="63"/>
  <c r="Y8" i="65"/>
  <c r="A10" i="63"/>
  <c r="AB9" i="65" l="1"/>
  <c r="P9" i="65"/>
  <c r="AC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AG10" i="63"/>
  <c r="AW10" i="63"/>
  <c r="B10" i="63"/>
  <c r="AH10" i="63"/>
  <c r="AX10" i="63"/>
  <c r="E10" i="63"/>
  <c r="U10" i="63"/>
  <c r="AK10" i="63"/>
  <c r="AY10" i="63"/>
  <c r="C10" i="63"/>
  <c r="D10" i="63"/>
  <c r="L10" i="63"/>
  <c r="S10" i="63"/>
  <c r="T10" i="63"/>
  <c r="AI10" i="63"/>
  <c r="AJ10" i="63"/>
  <c r="AR10" i="63"/>
  <c r="Y9" i="65"/>
  <c r="A11" i="63"/>
  <c r="T10" i="65" l="1"/>
  <c r="Z10" i="65"/>
  <c r="AC10" i="65"/>
  <c r="AD10" i="65"/>
  <c r="D10" i="65"/>
  <c r="K10" i="65"/>
  <c r="W10" i="65"/>
  <c r="G10" i="65"/>
  <c r="O10" i="65"/>
  <c r="AA10" i="65"/>
  <c r="P10" i="65"/>
  <c r="I10" i="65"/>
  <c r="V10" i="65"/>
  <c r="D11" i="63"/>
  <c r="T11" i="63"/>
  <c r="AJ11" i="63"/>
  <c r="E11" i="63"/>
  <c r="U11" i="63"/>
  <c r="AK11" i="63"/>
  <c r="F11" i="63"/>
  <c r="V11" i="63"/>
  <c r="AL11" i="63"/>
  <c r="G11" i="63"/>
  <c r="AM11" i="63"/>
  <c r="X11" i="63"/>
  <c r="AN11" i="63"/>
  <c r="Y11" i="63"/>
  <c r="AO11" i="63"/>
  <c r="AQ11" i="63"/>
  <c r="L11" i="63"/>
  <c r="K11" i="65" s="1"/>
  <c r="AR11" i="63"/>
  <c r="M11" i="63"/>
  <c r="AC11" i="63"/>
  <c r="AS11" i="63"/>
  <c r="N11" i="63"/>
  <c r="AD11" i="63"/>
  <c r="AT11" i="63"/>
  <c r="O11" i="63"/>
  <c r="AE11" i="63"/>
  <c r="AU11" i="63"/>
  <c r="P11" i="63"/>
  <c r="AF11" i="63"/>
  <c r="AV11" i="63"/>
  <c r="C11" i="63"/>
  <c r="AI11" i="63"/>
  <c r="AY11" i="63"/>
  <c r="B11" i="63"/>
  <c r="J11" i="63"/>
  <c r="Z11" i="63"/>
  <c r="AG11" i="63"/>
  <c r="AH11" i="63"/>
  <c r="AP11" i="63"/>
  <c r="AW11" i="63"/>
  <c r="AX11" i="63"/>
  <c r="Y10" i="65"/>
  <c r="A12" i="63"/>
  <c r="AD11" i="65" l="1"/>
  <c r="AE11" i="65"/>
  <c r="T11" i="65"/>
  <c r="AC11" i="65"/>
  <c r="D11" i="65"/>
  <c r="Z11" i="65"/>
  <c r="O11" i="65"/>
  <c r="AA11" i="65"/>
  <c r="P11" i="65"/>
  <c r="I11" i="65"/>
  <c r="V11" i="65"/>
  <c r="W11" i="65"/>
  <c r="G11" i="65"/>
  <c r="AH12" i="63"/>
  <c r="AX12" i="63"/>
  <c r="AI12" i="63"/>
  <c r="AY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A13" i="63"/>
  <c r="AC12" i="65" l="1"/>
  <c r="Z12" i="65"/>
  <c r="K12" i="65"/>
  <c r="J12" i="65"/>
  <c r="D12" i="65"/>
  <c r="W12" i="65"/>
  <c r="I12" i="65"/>
  <c r="O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AG17" i="63"/>
  <c r="AW17" i="63"/>
  <c r="AH17" i="63"/>
  <c r="AX17" i="63"/>
  <c r="S17" i="63"/>
  <c r="AI17" i="63"/>
  <c r="AY17" i="63"/>
  <c r="N17" i="63"/>
  <c r="T17" i="63"/>
  <c r="U17" i="63"/>
  <c r="V17" i="63"/>
  <c r="W17" i="63"/>
  <c r="AD17" i="63"/>
  <c r="AJ17" i="63"/>
  <c r="AK17" i="63"/>
  <c r="AL17" i="63"/>
  <c r="AM17" i="63"/>
  <c r="AT17" i="63"/>
  <c r="Y16" i="65"/>
  <c r="A18" i="63"/>
  <c r="P17" i="65" l="1"/>
  <c r="Z17" i="65"/>
  <c r="AC17" i="65"/>
  <c r="D17" i="65"/>
  <c r="J17" i="65"/>
  <c r="K17" i="65"/>
  <c r="V17" i="65"/>
  <c r="O17" i="65"/>
  <c r="AA17" i="65"/>
  <c r="W17" i="65"/>
  <c r="G17" i="65"/>
  <c r="I17" i="65"/>
  <c r="Y17" i="65"/>
  <c r="V18" i="63"/>
  <c r="AL18" i="63"/>
  <c r="W18" i="63"/>
  <c r="AM18" i="63"/>
  <c r="H18" i="63"/>
  <c r="G18" i="65" s="1"/>
  <c r="AN18" i="63"/>
  <c r="I18" i="63"/>
  <c r="AO18" i="63"/>
  <c r="J18" i="63"/>
  <c r="Z18" i="63"/>
  <c r="AP18" i="63"/>
  <c r="AQ18" i="63"/>
  <c r="M18" i="63"/>
  <c r="AC18" i="63"/>
  <c r="AS18" i="63"/>
  <c r="N18" i="63"/>
  <c r="AD18" i="63"/>
  <c r="AT18" i="63"/>
  <c r="O18" i="63"/>
  <c r="AE18" i="63"/>
  <c r="AU18" i="63"/>
  <c r="P18" i="63"/>
  <c r="AF18" i="63"/>
  <c r="AV18" i="63"/>
  <c r="AG18" i="63"/>
  <c r="AW18" i="63"/>
  <c r="L18" i="63"/>
  <c r="K18" i="65" s="1"/>
  <c r="T18" i="63"/>
  <c r="U18" i="63"/>
  <c r="AH18" i="63"/>
  <c r="AI18" i="63"/>
  <c r="AJ18" i="63"/>
  <c r="AK18" i="63"/>
  <c r="AR18" i="63"/>
  <c r="AX18" i="63"/>
  <c r="AY18" i="63"/>
  <c r="A19" i="63"/>
  <c r="AC18" i="65" l="1"/>
  <c r="J18" i="65"/>
  <c r="P18" i="65"/>
  <c r="D18" i="65"/>
  <c r="W18" i="65"/>
  <c r="Z18" i="65"/>
  <c r="V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AD22" i="63"/>
  <c r="AT22" i="63"/>
  <c r="O22" i="63"/>
  <c r="AE22" i="63"/>
  <c r="AU22" i="63"/>
  <c r="P22" i="63"/>
  <c r="AF22" i="63"/>
  <c r="AV22" i="63"/>
  <c r="Q22" i="63"/>
  <c r="AG22" i="63"/>
  <c r="AW22" i="63"/>
  <c r="B22" i="63"/>
  <c r="R22" i="63"/>
  <c r="AH22" i="63"/>
  <c r="AX22" i="63"/>
  <c r="C22" i="63"/>
  <c r="S22" i="63"/>
  <c r="AI22" i="63"/>
  <c r="AY22" i="63"/>
  <c r="E22" i="63"/>
  <c r="U22" i="63"/>
  <c r="AK22" i="63"/>
  <c r="F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Z22" i="65"/>
  <c r="D22" i="65"/>
  <c r="K22" i="65"/>
  <c r="I22" i="65"/>
  <c r="O22" i="65"/>
  <c r="AA22" i="65"/>
  <c r="V22" i="65"/>
  <c r="W22" i="65"/>
  <c r="G22" i="65"/>
  <c r="L23" i="63"/>
  <c r="AR23" i="63"/>
  <c r="M23" i="63"/>
  <c r="AC23" i="63"/>
  <c r="AS23" i="63"/>
  <c r="N23" i="63"/>
  <c r="AD23" i="63"/>
  <c r="AT23" i="63"/>
  <c r="AE23" i="63"/>
  <c r="AU23" i="63"/>
  <c r="P23" i="63"/>
  <c r="AF23" i="63"/>
  <c r="AV23" i="63"/>
  <c r="Q23" i="63"/>
  <c r="AG23" i="63"/>
  <c r="AW23" i="63"/>
  <c r="S23" i="63"/>
  <c r="AI23" i="63"/>
  <c r="AY23" i="63"/>
  <c r="T23" i="63"/>
  <c r="AJ23" i="63"/>
  <c r="K23" i="63"/>
  <c r="AQ23" i="63"/>
  <c r="R23" i="63"/>
  <c r="AX23" i="63"/>
  <c r="U23" i="63"/>
  <c r="V23" i="63"/>
  <c r="D23" i="65" s="1"/>
  <c r="W23" i="63"/>
  <c r="Z23" i="63"/>
  <c r="AH23" i="63"/>
  <c r="AK23" i="63"/>
  <c r="AL23" i="63"/>
  <c r="AM23" i="63"/>
  <c r="H23" i="63"/>
  <c r="I23" i="63"/>
  <c r="J23" i="63"/>
  <c r="AN23" i="63"/>
  <c r="AO23" i="63"/>
  <c r="AP23" i="63"/>
  <c r="Y22" i="65"/>
  <c r="A24" i="63"/>
  <c r="AC23" i="65" l="1"/>
  <c r="AB23" i="65"/>
  <c r="P23" i="65"/>
  <c r="K23" i="65"/>
  <c r="J23" i="65"/>
  <c r="Z23" i="65"/>
  <c r="G23" i="65"/>
  <c r="I23" i="65"/>
  <c r="W23" i="65"/>
  <c r="O23" i="65"/>
  <c r="AA23" i="65"/>
  <c r="V23" i="65"/>
  <c r="J24" i="63"/>
  <c r="Z24" i="63"/>
  <c r="AP24" i="63"/>
  <c r="K24" i="63"/>
  <c r="AQ24" i="63"/>
  <c r="L24" i="63"/>
  <c r="K24" i="65" s="1"/>
  <c r="AR24" i="63"/>
  <c r="M24" i="63"/>
  <c r="AC24" i="63"/>
  <c r="AS24" i="63"/>
  <c r="N24" i="63"/>
  <c r="AD24" i="63"/>
  <c r="AT24" i="63"/>
  <c r="O24" i="63"/>
  <c r="AE24" i="63"/>
  <c r="AU24" i="63"/>
  <c r="AG24" i="63"/>
  <c r="AW24" i="63"/>
  <c r="B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V24" i="63"/>
  <c r="W24" i="63"/>
  <c r="X24" i="63"/>
  <c r="Y23" i="65"/>
  <c r="A25" i="63"/>
  <c r="AD24" i="65" l="1"/>
  <c r="Z24" i="65"/>
  <c r="T24" i="65"/>
  <c r="AC24" i="65"/>
  <c r="J24" i="65"/>
  <c r="Y24" i="65"/>
  <c r="D24" i="65"/>
  <c r="W24" i="65"/>
  <c r="G24" i="65"/>
  <c r="I24" i="65"/>
  <c r="V24" i="65"/>
  <c r="O24" i="65"/>
  <c r="AA24" i="65"/>
  <c r="P24" i="65"/>
  <c r="H25" i="63"/>
  <c r="X25" i="63"/>
  <c r="AN25" i="63"/>
  <c r="I25" i="63"/>
  <c r="Y25" i="63"/>
  <c r="AO25" i="63"/>
  <c r="J25" i="63"/>
  <c r="Z25" i="63"/>
  <c r="AP25" i="63"/>
  <c r="AQ25" i="63"/>
  <c r="L25" i="63"/>
  <c r="AR25" i="63"/>
  <c r="M25" i="63"/>
  <c r="AC25" i="63"/>
  <c r="AS25" i="63"/>
  <c r="O25" i="63"/>
  <c r="AE25" i="63"/>
  <c r="AU25" i="63"/>
  <c r="P25" i="63"/>
  <c r="AF25" i="63"/>
  <c r="AV25" i="63"/>
  <c r="G25" i="63"/>
  <c r="AM25" i="63"/>
  <c r="AT25" i="63"/>
  <c r="AW25" i="63"/>
  <c r="AX25" i="63"/>
  <c r="AY25" i="63"/>
  <c r="T25" i="63"/>
  <c r="U25" i="63"/>
  <c r="W25" i="63"/>
  <c r="AD25" i="63"/>
  <c r="AG25" i="63"/>
  <c r="B25" i="63"/>
  <c r="AH25" i="63"/>
  <c r="C25" i="63"/>
  <c r="AI25" i="63"/>
  <c r="D25" i="63"/>
  <c r="E25" i="63"/>
  <c r="F25" i="63"/>
  <c r="AK25" i="63"/>
  <c r="AL25" i="63"/>
  <c r="AJ25" i="63"/>
  <c r="A26" i="63"/>
  <c r="AD25" i="65" l="1"/>
  <c r="AE25" i="65"/>
  <c r="AC25" i="65"/>
  <c r="T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AG31" i="63"/>
  <c r="AW31" i="63"/>
  <c r="AH31" i="63"/>
  <c r="AX31" i="63"/>
  <c r="S31" i="63"/>
  <c r="T31" i="63"/>
  <c r="AI31" i="63"/>
  <c r="AJ31" i="63"/>
  <c r="AK31" i="63"/>
  <c r="AY31" i="63"/>
  <c r="U31" i="63"/>
  <c r="Y30" i="65"/>
  <c r="A32" i="63"/>
  <c r="O31" i="65" l="1"/>
  <c r="Z31" i="65"/>
  <c r="AC31" i="65"/>
  <c r="J31" i="65"/>
  <c r="D31" i="65"/>
  <c r="K31" i="65"/>
  <c r="W31" i="65"/>
  <c r="AA31" i="65"/>
  <c r="G31" i="65"/>
  <c r="I31" i="65"/>
  <c r="V31" i="65"/>
  <c r="T32" i="63"/>
  <c r="AJ32" i="63"/>
  <c r="U32" i="63"/>
  <c r="AK32" i="63"/>
  <c r="V32" i="63"/>
  <c r="AL32" i="63"/>
  <c r="W32" i="63"/>
  <c r="AM32" i="63"/>
  <c r="H32" i="63"/>
  <c r="AN32" i="63"/>
  <c r="I32" i="63"/>
  <c r="AO32" i="63"/>
  <c r="J32" i="63"/>
  <c r="Z32" i="63"/>
  <c r="AP32" i="63"/>
  <c r="AQ32" i="63"/>
  <c r="L32" i="63"/>
  <c r="AR32" i="63"/>
  <c r="M32" i="63"/>
  <c r="AC32" i="63"/>
  <c r="AS32" i="63"/>
  <c r="N32" i="63"/>
  <c r="AD32" i="63"/>
  <c r="AT32" i="63"/>
  <c r="O32" i="63"/>
  <c r="AE32" i="63"/>
  <c r="AU32" i="63"/>
  <c r="AF32" i="63"/>
  <c r="AV32" i="63"/>
  <c r="AG32" i="63"/>
  <c r="AH32" i="63"/>
  <c r="AI32" i="63"/>
  <c r="AW32" i="63"/>
  <c r="AX32" i="63"/>
  <c r="AY32" i="63"/>
  <c r="Y31" i="65"/>
  <c r="A33" i="63"/>
  <c r="AC32" i="65" l="1"/>
  <c r="Z32" i="65"/>
  <c r="K32" i="65"/>
  <c r="D32" i="65"/>
  <c r="P32" i="65"/>
  <c r="G32" i="65"/>
  <c r="I32" i="65"/>
  <c r="W32" i="65"/>
  <c r="O32" i="65"/>
  <c r="AA32" i="65"/>
  <c r="V32" i="65"/>
  <c r="B33" i="63"/>
  <c r="AH33" i="63"/>
  <c r="AX33" i="63"/>
  <c r="C33" i="63"/>
  <c r="AI33" i="63"/>
  <c r="AY33" i="63"/>
  <c r="D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P34" i="63"/>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AM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R37" i="63"/>
  <c r="AH37" i="63"/>
  <c r="AX37" i="63"/>
  <c r="S37" i="63"/>
  <c r="AI37" i="63"/>
  <c r="AY37" i="63"/>
  <c r="T37" i="63"/>
  <c r="AJ37" i="63"/>
  <c r="U37" i="63"/>
  <c r="AK37" i="63"/>
  <c r="V37" i="63"/>
  <c r="D37" i="65" s="1"/>
  <c r="AL37" i="63"/>
  <c r="H37" i="63"/>
  <c r="I37" i="63"/>
  <c r="W37" i="63"/>
  <c r="AF37" i="63"/>
  <c r="AM37" i="63"/>
  <c r="AN37" i="63"/>
  <c r="AO37" i="63"/>
  <c r="AV37" i="63"/>
  <c r="A38" i="63"/>
  <c r="AE37" i="65" l="1"/>
  <c r="Z37" i="65"/>
  <c r="O37" i="65"/>
  <c r="AC37" i="65"/>
  <c r="J37" i="65"/>
  <c r="I37" i="65"/>
  <c r="K37" i="65"/>
  <c r="AA37" i="65"/>
  <c r="AB37" i="65"/>
  <c r="G37" i="65"/>
  <c r="P37" i="65"/>
  <c r="V37" i="65"/>
  <c r="W37" i="65"/>
  <c r="Y37" i="65"/>
  <c r="X38" i="63"/>
  <c r="AN38" i="63"/>
  <c r="I38" i="63"/>
  <c r="Y38" i="63"/>
  <c r="AE38" i="65" s="1"/>
  <c r="AO38" i="63"/>
  <c r="J38" i="63"/>
  <c r="Z38" i="63"/>
  <c r="AP38" i="63"/>
  <c r="K38" i="63"/>
  <c r="AQ38" i="63"/>
  <c r="L38" i="63"/>
  <c r="AR38" i="63"/>
  <c r="M38" i="63"/>
  <c r="AC38" i="63"/>
  <c r="AS38" i="63"/>
  <c r="O38" i="63"/>
  <c r="AE38" i="63"/>
  <c r="AU38" i="63"/>
  <c r="AF38" i="63"/>
  <c r="AV38" i="63"/>
  <c r="AG38" i="63"/>
  <c r="AW38" i="63"/>
  <c r="B38" i="63"/>
  <c r="AH38" i="63"/>
  <c r="AX38" i="63"/>
  <c r="C38" i="63"/>
  <c r="S38" i="63"/>
  <c r="AI38" i="63"/>
  <c r="D38" i="63"/>
  <c r="T38" i="63"/>
  <c r="AJ38" i="63"/>
  <c r="F38" i="63"/>
  <c r="G38" i="63"/>
  <c r="N38" i="63"/>
  <c r="U38" i="63"/>
  <c r="V38" i="63"/>
  <c r="D38" i="65" s="1"/>
  <c r="AK38" i="63"/>
  <c r="AL38" i="63"/>
  <c r="AM38" i="63"/>
  <c r="AT38" i="63"/>
  <c r="AY38" i="63"/>
  <c r="E38" i="63"/>
  <c r="AD38" i="63"/>
  <c r="A39" i="63"/>
  <c r="P38" i="65" l="1"/>
  <c r="AD38" i="65"/>
  <c r="T38" i="65"/>
  <c r="AC38" i="65"/>
  <c r="K38" i="65"/>
  <c r="Z38" i="65"/>
  <c r="W38" i="65"/>
  <c r="G38" i="65"/>
  <c r="O38" i="65"/>
  <c r="AA38" i="65"/>
  <c r="V38" i="65"/>
  <c r="I38" i="65"/>
  <c r="Y38" i="65"/>
  <c r="F39" i="63"/>
  <c r="V39" i="63"/>
  <c r="AL39" i="63"/>
  <c r="G39" i="63"/>
  <c r="AM39" i="63"/>
  <c r="X39" i="63"/>
  <c r="AN39" i="63"/>
  <c r="Y39" i="63"/>
  <c r="AO39" i="63"/>
  <c r="J39" i="63"/>
  <c r="Z39" i="63"/>
  <c r="AP39" i="63"/>
  <c r="AQ39" i="63"/>
  <c r="AC39" i="63"/>
  <c r="AS39" i="63"/>
  <c r="N39" i="63"/>
  <c r="AD39" i="63"/>
  <c r="AT39" i="63"/>
  <c r="O39" i="63"/>
  <c r="AE39" i="63"/>
  <c r="AU39" i="63"/>
  <c r="P39" i="63"/>
  <c r="AF39" i="63"/>
  <c r="AV39" i="63"/>
  <c r="L39" i="63"/>
  <c r="T39" i="63"/>
  <c r="U39" i="63"/>
  <c r="AG39" i="63"/>
  <c r="AH39" i="63"/>
  <c r="AI39" i="63"/>
  <c r="AJ39" i="63"/>
  <c r="AK39" i="63"/>
  <c r="B39" i="63"/>
  <c r="AR39" i="63"/>
  <c r="C39" i="63"/>
  <c r="D39" i="63"/>
  <c r="E39" i="63"/>
  <c r="AW39" i="63"/>
  <c r="AX39" i="63"/>
  <c r="AY39" i="63"/>
  <c r="A40" i="63"/>
  <c r="T39" i="65" l="1"/>
  <c r="AD39" i="65"/>
  <c r="AE39" i="65"/>
  <c r="AC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M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AG45" i="63"/>
  <c r="AW45" i="63"/>
  <c r="AH45" i="63"/>
  <c r="AX45" i="63"/>
  <c r="AM45" i="63"/>
  <c r="H45" i="63"/>
  <c r="AN45" i="63"/>
  <c r="I45" i="63"/>
  <c r="AO45" i="63"/>
  <c r="P45" i="63"/>
  <c r="AV45" i="63"/>
  <c r="S45" i="63"/>
  <c r="AY45" i="63"/>
  <c r="T45" i="63"/>
  <c r="V45" i="63"/>
  <c r="D45" i="65" s="1"/>
  <c r="W45" i="63"/>
  <c r="AF45" i="63"/>
  <c r="AI45" i="63"/>
  <c r="U45" i="63"/>
  <c r="AJ45" i="63"/>
  <c r="AK45" i="63"/>
  <c r="AL45" i="63"/>
  <c r="A46" i="63"/>
  <c r="AC45" i="65" l="1"/>
  <c r="Z45" i="65"/>
  <c r="W45" i="65"/>
  <c r="J45" i="65"/>
  <c r="K45" i="65"/>
  <c r="P45" i="65"/>
  <c r="I45" i="65"/>
  <c r="O45" i="65"/>
  <c r="AA45" i="65"/>
  <c r="G45" i="65"/>
  <c r="V45" i="65"/>
  <c r="Y45" i="65"/>
  <c r="H46" i="63"/>
  <c r="AN46" i="63"/>
  <c r="I46" i="63"/>
  <c r="AO46" i="63"/>
  <c r="J46" i="63"/>
  <c r="Z46" i="63"/>
  <c r="AP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T46" i="63"/>
  <c r="AI46" i="63"/>
  <c r="AX46" i="63"/>
  <c r="AY46" i="63"/>
  <c r="A47" i="63"/>
  <c r="AC46" i="65" l="1"/>
  <c r="P46" i="65"/>
  <c r="K46" i="65"/>
  <c r="J46" i="65"/>
  <c r="Z46" i="65"/>
  <c r="W46" i="65"/>
  <c r="G46" i="65"/>
  <c r="O46" i="65"/>
  <c r="AA46" i="65"/>
  <c r="V46" i="65"/>
  <c r="I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S51" i="63"/>
  <c r="AJ51" i="63"/>
  <c r="T51" i="63"/>
  <c r="AK51" i="63"/>
  <c r="U51" i="63"/>
  <c r="AL51" i="63"/>
  <c r="V51" i="63"/>
  <c r="D51" i="65" s="1"/>
  <c r="AM51" i="63"/>
  <c r="AO51" i="63"/>
  <c r="H51" i="63"/>
  <c r="AP51" i="63"/>
  <c r="I51" i="63"/>
  <c r="Z51" i="63"/>
  <c r="AQ51" i="63"/>
  <c r="J51" i="63"/>
  <c r="AR51" i="63"/>
  <c r="K51" i="63"/>
  <c r="AS51" i="63"/>
  <c r="L51" i="63"/>
  <c r="K51" i="65" s="1"/>
  <c r="AC51" i="63"/>
  <c r="AU51" i="63"/>
  <c r="AN51" i="63"/>
  <c r="AV51" i="63"/>
  <c r="AW51" i="63"/>
  <c r="AX51" i="63"/>
  <c r="M51" i="63"/>
  <c r="O51" i="63"/>
  <c r="P51" i="63"/>
  <c r="W51" i="63"/>
  <c r="AE51" i="63"/>
  <c r="AF51" i="63"/>
  <c r="AG51" i="63"/>
  <c r="A52" i="63"/>
  <c r="AB51" i="65" l="1"/>
  <c r="Z51" i="65"/>
  <c r="AC51" i="65"/>
  <c r="J51" i="65"/>
  <c r="W51" i="65"/>
  <c r="P51" i="65"/>
  <c r="G51" i="65"/>
  <c r="O51" i="65"/>
  <c r="AA51" i="65"/>
  <c r="I51" i="65"/>
  <c r="V51" i="65"/>
  <c r="AG52" i="63"/>
  <c r="AW52" i="63"/>
  <c r="B52" i="63"/>
  <c r="AH52" i="63"/>
  <c r="AX52" i="63"/>
  <c r="C52" i="63"/>
  <c r="S52" i="63"/>
  <c r="AI52" i="63"/>
  <c r="AY52" i="63"/>
  <c r="D52" i="63"/>
  <c r="T52" i="63"/>
  <c r="AJ52" i="63"/>
  <c r="E52" i="63"/>
  <c r="U52" i="63"/>
  <c r="AK52" i="63"/>
  <c r="F52" i="63"/>
  <c r="AL52" i="63"/>
  <c r="H52" i="63"/>
  <c r="X52" i="63"/>
  <c r="AN52" i="63"/>
  <c r="I52" i="63"/>
  <c r="Y52" i="63"/>
  <c r="AE52" i="65" s="1"/>
  <c r="AO52" i="63"/>
  <c r="J52" i="63"/>
  <c r="Z52" i="63"/>
  <c r="AP52" i="63"/>
  <c r="K52" i="63"/>
  <c r="AQ52" i="63"/>
  <c r="L52" i="63"/>
  <c r="AR52" i="63"/>
  <c r="M52" i="63"/>
  <c r="AC52" i="63"/>
  <c r="AS52" i="63"/>
  <c r="G52" i="63"/>
  <c r="O52" i="63"/>
  <c r="P52" i="63"/>
  <c r="AD52" i="63"/>
  <c r="AE52" i="63"/>
  <c r="AF52" i="63"/>
  <c r="AM52" i="63"/>
  <c r="W52" i="63"/>
  <c r="AT52" i="63"/>
  <c r="AU52" i="63"/>
  <c r="AV52" i="63"/>
  <c r="Y51" i="65"/>
  <c r="A53" i="63"/>
  <c r="AD52" i="65" l="1"/>
  <c r="T52" i="65"/>
  <c r="AC52" i="65"/>
  <c r="K52" i="65"/>
  <c r="I52" i="65"/>
  <c r="W52" i="65"/>
  <c r="O52" i="65"/>
  <c r="AA52" i="65"/>
  <c r="P52" i="65"/>
  <c r="G52" i="65"/>
  <c r="V52" i="65"/>
  <c r="AE53" i="63"/>
  <c r="AU53" i="63"/>
  <c r="P53" i="63"/>
  <c r="AF53" i="63"/>
  <c r="AV53" i="63"/>
  <c r="AG53" i="63"/>
  <c r="AW53" i="63"/>
  <c r="B53" i="63"/>
  <c r="AH53" i="63"/>
  <c r="AX53" i="63"/>
  <c r="C53" i="63"/>
  <c r="AI53" i="63"/>
  <c r="AY53" i="63"/>
  <c r="D53" i="63"/>
  <c r="T53" i="63"/>
  <c r="AJ53" i="63"/>
  <c r="F53" i="63"/>
  <c r="V53" i="63"/>
  <c r="D53" i="65" s="1"/>
  <c r="AL53" i="63"/>
  <c r="G53" i="63"/>
  <c r="W53" i="63"/>
  <c r="AM53" i="63"/>
  <c r="H53" i="63"/>
  <c r="X53" i="63"/>
  <c r="AN53" i="63"/>
  <c r="I53" i="63"/>
  <c r="Y53" i="63"/>
  <c r="AE53" i="65" s="1"/>
  <c r="AO53" i="63"/>
  <c r="J53" i="63"/>
  <c r="Z53" i="63"/>
  <c r="P53" i="65" s="1"/>
  <c r="AP53" i="63"/>
  <c r="AQ53" i="63"/>
  <c r="E53" i="63"/>
  <c r="L53" i="63"/>
  <c r="K53" i="65" s="1"/>
  <c r="M53" i="63"/>
  <c r="N53" i="63"/>
  <c r="U53" i="63"/>
  <c r="AC53" i="63"/>
  <c r="AD53" i="63"/>
  <c r="AR53" i="63"/>
  <c r="AS53" i="63"/>
  <c r="AT53" i="63"/>
  <c r="AK53" i="63"/>
  <c r="Y52" i="65"/>
  <c r="A54" i="63"/>
  <c r="T53" i="65" l="1"/>
  <c r="Z53" i="65"/>
  <c r="AC53" i="65"/>
  <c r="AD53" i="65"/>
  <c r="J53" i="65"/>
  <c r="I53" i="65"/>
  <c r="W53" i="65"/>
  <c r="G53" i="65"/>
  <c r="V53" i="65"/>
  <c r="O53" i="65"/>
  <c r="AA53" i="65"/>
  <c r="M54" i="63"/>
  <c r="AC54" i="63"/>
  <c r="AS54" i="63"/>
  <c r="N54" i="63"/>
  <c r="AD54" i="63"/>
  <c r="AT54" i="63"/>
  <c r="O54" i="63"/>
  <c r="AE54" i="63"/>
  <c r="AU54" i="63"/>
  <c r="P54" i="63"/>
  <c r="AF54" i="63"/>
  <c r="AV54" i="63"/>
  <c r="AG54" i="63"/>
  <c r="AW54" i="63"/>
  <c r="AH54" i="63"/>
  <c r="AX54" i="63"/>
  <c r="AJ54" i="63"/>
  <c r="U54" i="63"/>
  <c r="AK54" i="63"/>
  <c r="V54" i="63"/>
  <c r="AL54" i="63"/>
  <c r="W54" i="63"/>
  <c r="AM54" i="63"/>
  <c r="H54" i="63"/>
  <c r="AN54" i="63"/>
  <c r="I54" i="63"/>
  <c r="AO54" i="63"/>
  <c r="Z54" i="63"/>
  <c r="AI54" i="63"/>
  <c r="AP54" i="63"/>
  <c r="AQ54" i="63"/>
  <c r="AR54" i="63"/>
  <c r="J54" i="63"/>
  <c r="L54" i="63"/>
  <c r="AY54" i="63"/>
  <c r="A55" i="63"/>
  <c r="AE54" i="65" l="1"/>
  <c r="AC54" i="65"/>
  <c r="P54" i="65"/>
  <c r="J54" i="65"/>
  <c r="K54" i="65"/>
  <c r="D54" i="65"/>
  <c r="W54" i="65"/>
  <c r="Z54" i="65"/>
  <c r="I54" i="65"/>
  <c r="O54" i="65"/>
  <c r="V54" i="65"/>
  <c r="G54" i="65"/>
  <c r="AQ55" i="63"/>
  <c r="L55" i="63"/>
  <c r="K55" i="65" s="1"/>
  <c r="AR55" i="63"/>
  <c r="M55" i="63"/>
  <c r="AC55" i="63"/>
  <c r="AS55" i="63"/>
  <c r="AD55" i="63"/>
  <c r="AT55" i="63"/>
  <c r="O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Y58" i="65"/>
  <c r="A60" i="63"/>
  <c r="J59" i="65" l="1"/>
  <c r="AC59" i="65"/>
  <c r="D59" i="65"/>
  <c r="K59" i="65"/>
  <c r="Z59" i="65"/>
  <c r="G59" i="65"/>
  <c r="I59" i="65"/>
  <c r="P59" i="65"/>
  <c r="V59" i="65"/>
  <c r="W59" i="65"/>
  <c r="O59" i="65"/>
  <c r="AA59" i="65"/>
  <c r="AG60" i="63"/>
  <c r="AW60" i="63"/>
  <c r="AH60" i="63"/>
  <c r="AX60" i="63"/>
  <c r="AI60" i="63"/>
  <c r="AY60" i="63"/>
  <c r="T60" i="63"/>
  <c r="AJ60" i="63"/>
  <c r="U60" i="63"/>
  <c r="AK60" i="63"/>
  <c r="V60" i="63"/>
  <c r="D60" i="65" s="1"/>
  <c r="AL60" i="63"/>
  <c r="H60" i="63"/>
  <c r="AN60" i="63"/>
  <c r="I60" i="63"/>
  <c r="AO60" i="63"/>
  <c r="J60" i="63"/>
  <c r="Z60" i="63"/>
  <c r="AP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A62" i="63"/>
  <c r="T61" i="65" l="1"/>
  <c r="Z61" i="65"/>
  <c r="AC61" i="65"/>
  <c r="AD61" i="65"/>
  <c r="J61" i="65"/>
  <c r="I61" i="65"/>
  <c r="K61" i="65"/>
  <c r="O61" i="65"/>
  <c r="AA61" i="65"/>
  <c r="V61" i="65"/>
  <c r="W61" i="65"/>
  <c r="G61" i="65"/>
  <c r="M62" i="63"/>
  <c r="AC62" i="63"/>
  <c r="AS62" i="63"/>
  <c r="N62" i="63"/>
  <c r="AD62" i="63"/>
  <c r="AT62" i="63"/>
  <c r="O62" i="63"/>
  <c r="AE62" i="63"/>
  <c r="AU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P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W65" i="63"/>
  <c r="AM65" i="63"/>
  <c r="H65" i="63"/>
  <c r="AN65" i="63"/>
  <c r="I65" i="63"/>
  <c r="AO65" i="63"/>
  <c r="J65" i="63"/>
  <c r="Z65" i="63"/>
  <c r="AP65" i="63"/>
  <c r="K65" i="63"/>
  <c r="AQ65" i="63"/>
  <c r="L65" i="63"/>
  <c r="AR65" i="63"/>
  <c r="N65" i="63"/>
  <c r="AD65" i="63"/>
  <c r="AT65" i="63"/>
  <c r="O65" i="63"/>
  <c r="AE65" i="63"/>
  <c r="AU65" i="63"/>
  <c r="AF65" i="63"/>
  <c r="AV65" i="63"/>
  <c r="Q65" i="63"/>
  <c r="Z65" i="65" s="1"/>
  <c r="AG65" i="63"/>
  <c r="AW65" i="63"/>
  <c r="R65" i="63"/>
  <c r="AH65" i="63"/>
  <c r="AX65" i="63"/>
  <c r="S65" i="63"/>
  <c r="AI65" i="63"/>
  <c r="AY65" i="63"/>
  <c r="AS65" i="63"/>
  <c r="T65" i="63"/>
  <c r="U65" i="63"/>
  <c r="V65" i="63"/>
  <c r="AC65" i="63"/>
  <c r="AJ65" i="63"/>
  <c r="AK65" i="63"/>
  <c r="AL65" i="63"/>
  <c r="M65" i="63"/>
  <c r="Y64" i="65"/>
  <c r="A66" i="63"/>
  <c r="AB65" i="65" l="1"/>
  <c r="AC65" i="65"/>
  <c r="K65" i="65"/>
  <c r="J65" i="65"/>
  <c r="D65" i="65"/>
  <c r="V65" i="65"/>
  <c r="P65" i="65"/>
  <c r="W65" i="65"/>
  <c r="G65" i="65"/>
  <c r="I65" i="65"/>
  <c r="O65" i="65"/>
  <c r="AA65" i="65"/>
  <c r="E66" i="63"/>
  <c r="U66" i="63"/>
  <c r="AK66" i="63"/>
  <c r="F66" i="63"/>
  <c r="V66" i="63"/>
  <c r="D66" i="65" s="1"/>
  <c r="AL66" i="63"/>
  <c r="G66" i="63"/>
  <c r="AM66" i="63"/>
  <c r="X66" i="63"/>
  <c r="AN66" i="63"/>
  <c r="I66" i="63"/>
  <c r="Y66" i="63"/>
  <c r="AE66" i="65" s="1"/>
  <c r="AO66" i="63"/>
  <c r="J66" i="63"/>
  <c r="Z66" i="63"/>
  <c r="AP66" i="63"/>
  <c r="L66" i="63"/>
  <c r="AR66" i="63"/>
  <c r="M66" i="63"/>
  <c r="AC66" i="63"/>
  <c r="AS66" i="63"/>
  <c r="N66" i="63"/>
  <c r="AD66" i="63"/>
  <c r="AT66" i="63"/>
  <c r="O66" i="63"/>
  <c r="AE66" i="63"/>
  <c r="AU66" i="63"/>
  <c r="AF66" i="63"/>
  <c r="AV66" i="63"/>
  <c r="AG66" i="63"/>
  <c r="AW66" i="63"/>
  <c r="B66" i="63"/>
  <c r="C66" i="63"/>
  <c r="D66" i="63"/>
  <c r="K66" i="63"/>
  <c r="S66" i="63"/>
  <c r="T66" i="63"/>
  <c r="AH66" i="63"/>
  <c r="AI66" i="63"/>
  <c r="AJ66" i="63"/>
  <c r="AQ66" i="63"/>
  <c r="AX66" i="63"/>
  <c r="AY66" i="63"/>
  <c r="O66" i="65"/>
  <c r="Y65" i="65"/>
  <c r="A67" i="63"/>
  <c r="AD66" i="65" l="1"/>
  <c r="AC66" i="65"/>
  <c r="Y66" i="65"/>
  <c r="T66" i="65"/>
  <c r="K66" i="65"/>
  <c r="AA66" i="65"/>
  <c r="V66" i="65"/>
  <c r="G66" i="65"/>
  <c r="P66" i="65"/>
  <c r="W66" i="65"/>
  <c r="I66" i="65"/>
  <c r="C67" i="63"/>
  <c r="AI67" i="63"/>
  <c r="AY67" i="63"/>
  <c r="D67" i="63"/>
  <c r="T67" i="63"/>
  <c r="AJ67" i="63"/>
  <c r="E67" i="63"/>
  <c r="AK67" i="63"/>
  <c r="F67" i="63"/>
  <c r="V67" i="63"/>
  <c r="AL67" i="63"/>
  <c r="G67" i="63"/>
  <c r="W67" i="63"/>
  <c r="AM67" i="63"/>
  <c r="H67" i="63"/>
  <c r="X67" i="63"/>
  <c r="AN67" i="63"/>
  <c r="J67" i="63"/>
  <c r="Z67" i="63"/>
  <c r="AP67" i="63"/>
  <c r="AQ67" i="63"/>
  <c r="L67" i="63"/>
  <c r="AR67" i="63"/>
  <c r="M67" i="63"/>
  <c r="AC67" i="63"/>
  <c r="AS67" i="63"/>
  <c r="N67" i="63"/>
  <c r="AD67" i="63"/>
  <c r="AT67" i="63"/>
  <c r="O67" i="63"/>
  <c r="AE67" i="63"/>
  <c r="AU67" i="63"/>
  <c r="P67" i="63"/>
  <c r="Y67" i="63"/>
  <c r="AE67" i="65" s="1"/>
  <c r="AF67" i="63"/>
  <c r="AG67" i="63"/>
  <c r="AH67" i="63"/>
  <c r="AV67" i="63"/>
  <c r="AW67" i="63"/>
  <c r="AX67" i="63"/>
  <c r="AO67" i="63"/>
  <c r="B67" i="63"/>
  <c r="A68" i="63"/>
  <c r="P67" i="65" l="1"/>
  <c r="T67" i="65"/>
  <c r="AD67" i="65"/>
  <c r="Z67" i="65"/>
  <c r="J67" i="65"/>
  <c r="D67" i="65"/>
  <c r="K67" i="65"/>
  <c r="W67" i="65"/>
  <c r="I67" i="65"/>
  <c r="V67" i="65"/>
  <c r="O67" i="65"/>
  <c r="AA67" i="65"/>
  <c r="G67" i="65"/>
  <c r="AG68" i="63"/>
  <c r="AW68" i="63"/>
  <c r="AH68" i="63"/>
  <c r="AX68" i="63"/>
  <c r="AI68" i="63"/>
  <c r="AY68" i="63"/>
  <c r="T68" i="63"/>
  <c r="AJ68" i="63"/>
  <c r="AK68" i="63"/>
  <c r="V68" i="63"/>
  <c r="D68" i="65" s="1"/>
  <c r="AL68" i="63"/>
  <c r="H68" i="63"/>
  <c r="AN68" i="63"/>
  <c r="I68" i="63"/>
  <c r="AO68" i="63"/>
  <c r="J68" i="63"/>
  <c r="Z68" i="63"/>
  <c r="L68" i="63"/>
  <c r="M68" i="63"/>
  <c r="AC68" i="63"/>
  <c r="W68" i="63"/>
  <c r="AD68" i="63"/>
  <c r="AE68" i="63"/>
  <c r="AF68" i="63"/>
  <c r="AM68" i="63"/>
  <c r="AP68" i="63"/>
  <c r="AQ68" i="63"/>
  <c r="AR68" i="63"/>
  <c r="AT68" i="63"/>
  <c r="AU68" i="63"/>
  <c r="AV68" i="63"/>
  <c r="N68" i="63"/>
  <c r="O68" i="63"/>
  <c r="P68" i="63"/>
  <c r="AS68" i="63"/>
  <c r="A69" i="63"/>
  <c r="J68" i="65" l="1"/>
  <c r="K68" i="65"/>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I69" i="63"/>
  <c r="AD69" i="63"/>
  <c r="AJ69" i="63"/>
  <c r="AK69" i="63"/>
  <c r="Y69" i="63"/>
  <c r="AE69" i="65" s="1"/>
  <c r="A70" i="63"/>
  <c r="Z69" i="65" l="1"/>
  <c r="AC69" i="65"/>
  <c r="AD69" i="65"/>
  <c r="T69" i="65"/>
  <c r="D69" i="65"/>
  <c r="K69" i="65"/>
  <c r="AA69" i="65"/>
  <c r="W69" i="65"/>
  <c r="I69" i="65"/>
  <c r="G69" i="65"/>
  <c r="V69" i="65"/>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M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AS73" i="63"/>
  <c r="AV73" i="63"/>
  <c r="S73" i="63"/>
  <c r="AW73" i="63"/>
  <c r="T73" i="63"/>
  <c r="AX73" i="63"/>
  <c r="V73" i="63"/>
  <c r="D73" i="65" s="1"/>
  <c r="AC73" i="63"/>
  <c r="AF73" i="63"/>
  <c r="U73" i="63"/>
  <c r="AG73" i="63"/>
  <c r="AH73" i="63"/>
  <c r="AI73" i="63"/>
  <c r="AY73" i="63"/>
  <c r="Y72" i="65"/>
  <c r="A74" i="63"/>
  <c r="AC73" i="65" l="1"/>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AW74" i="63"/>
  <c r="T74" i="63"/>
  <c r="AX74" i="63"/>
  <c r="Z74" i="63"/>
  <c r="AY74" i="63"/>
  <c r="AD74" i="63"/>
  <c r="AF74" i="63"/>
  <c r="AG74" i="63"/>
  <c r="AH74" i="63"/>
  <c r="J74" i="63"/>
  <c r="AI74" i="63"/>
  <c r="N74" i="63"/>
  <c r="O74" i="63"/>
  <c r="AE74" i="63"/>
  <c r="AJ74" i="63"/>
  <c r="AP74" i="63"/>
  <c r="AQ74" i="63"/>
  <c r="Y73" i="65"/>
  <c r="A75" i="63"/>
  <c r="O74" i="65" l="1"/>
  <c r="AE74" i="65"/>
  <c r="AC74" i="65"/>
  <c r="K74" i="65"/>
  <c r="J74" i="65"/>
  <c r="Z74" i="65"/>
  <c r="AA74" i="65"/>
  <c r="G74" i="65"/>
  <c r="I74" i="65"/>
  <c r="P74" i="65"/>
  <c r="W74" i="65"/>
  <c r="C75" i="63"/>
  <c r="AI75" i="63"/>
  <c r="AY75" i="63"/>
  <c r="D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A76" i="63"/>
  <c r="T75" i="65" l="1"/>
  <c r="P75" i="65"/>
  <c r="AC75" i="65"/>
  <c r="AD75" i="65"/>
  <c r="K75" i="65"/>
  <c r="D75" i="65"/>
  <c r="J75" i="65"/>
  <c r="W75" i="65"/>
  <c r="Z75" i="65"/>
  <c r="V75" i="65"/>
  <c r="I75" i="65"/>
  <c r="O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AN77" i="63"/>
  <c r="AO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V79" i="63"/>
  <c r="AM79" i="63"/>
  <c r="W79" i="63"/>
  <c r="AN79" i="63"/>
  <c r="AO79" i="63"/>
  <c r="H79" i="63"/>
  <c r="AP79" i="63"/>
  <c r="I79" i="63"/>
  <c r="Z79" i="63"/>
  <c r="AR79" i="63"/>
  <c r="J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AV79" i="63"/>
  <c r="A80" i="63"/>
  <c r="AC79" i="65" l="1"/>
  <c r="AB79" i="65"/>
  <c r="P79" i="65"/>
  <c r="J79" i="65"/>
  <c r="K79" i="65"/>
  <c r="D79" i="65"/>
  <c r="W79" i="65"/>
  <c r="Z79" i="65"/>
  <c r="Y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AH80" i="63"/>
  <c r="AY80" i="63"/>
  <c r="AI80" i="63"/>
  <c r="B80" i="63"/>
  <c r="S80" i="63"/>
  <c r="AJ80" i="63"/>
  <c r="AF80" i="63"/>
  <c r="AK80" i="63"/>
  <c r="AL80" i="63"/>
  <c r="AM80" i="63"/>
  <c r="AW80" i="63"/>
  <c r="C80" i="63"/>
  <c r="D80" i="63"/>
  <c r="E80" i="63"/>
  <c r="O80" i="63"/>
  <c r="T80" i="63"/>
  <c r="U80" i="63"/>
  <c r="V80" i="63"/>
  <c r="A81" i="63"/>
  <c r="T80" i="65" l="1"/>
  <c r="AC80" i="65"/>
  <c r="AD80" i="65"/>
  <c r="Z80" i="65"/>
  <c r="W80" i="65"/>
  <c r="D80" i="65"/>
  <c r="J80" i="65"/>
  <c r="G80" i="65"/>
  <c r="P80" i="65"/>
  <c r="I80" i="65"/>
  <c r="O80" i="65"/>
  <c r="AA80" i="65"/>
  <c r="V80" i="65"/>
  <c r="G81" i="63"/>
  <c r="W81" i="63"/>
  <c r="AM81" i="63"/>
  <c r="H81" i="63"/>
  <c r="Y81" i="63"/>
  <c r="AE81" i="65" s="1"/>
  <c r="AP81" i="63"/>
  <c r="I81" i="63"/>
  <c r="Z81" i="63"/>
  <c r="AQ81" i="63"/>
  <c r="J81" i="63"/>
  <c r="AR81" i="63"/>
  <c r="AS81" i="63"/>
  <c r="L81" i="63"/>
  <c r="AC81" i="63"/>
  <c r="AT81" i="63"/>
  <c r="M81" i="63"/>
  <c r="AD81" i="63"/>
  <c r="AU81" i="63"/>
  <c r="N81" i="63"/>
  <c r="AE81" i="63"/>
  <c r="AV81" i="63"/>
  <c r="O81" i="63"/>
  <c r="AF81" i="63"/>
  <c r="AW81" i="63"/>
  <c r="AH81" i="63"/>
  <c r="AY81" i="63"/>
  <c r="AI81" i="63"/>
  <c r="B81" i="63"/>
  <c r="AJ81" i="63"/>
  <c r="C81" i="63"/>
  <c r="T81" i="63"/>
  <c r="AK81" i="63"/>
  <c r="AX81" i="63"/>
  <c r="D81" i="63"/>
  <c r="E81" i="63"/>
  <c r="F81" i="63"/>
  <c r="U81" i="63"/>
  <c r="V81" i="63"/>
  <c r="X81" i="63"/>
  <c r="AG81" i="63"/>
  <c r="P81" i="63"/>
  <c r="AL81" i="63"/>
  <c r="AN81" i="63"/>
  <c r="AO81" i="63"/>
  <c r="A82" i="63"/>
  <c r="P81" i="65" l="1"/>
  <c r="AC81" i="65"/>
  <c r="AD81" i="65"/>
  <c r="T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A83" i="63"/>
  <c r="AE82" i="65" l="1"/>
  <c r="O82" i="65"/>
  <c r="AC82" i="65"/>
  <c r="J82" i="65"/>
  <c r="K82" i="65"/>
  <c r="Z82" i="65"/>
  <c r="AA82" i="65"/>
  <c r="W82" i="65"/>
  <c r="V82" i="65"/>
  <c r="I82" i="65"/>
  <c r="C83" i="63"/>
  <c r="AI83" i="63"/>
  <c r="AY83" i="63"/>
  <c r="J83" i="63"/>
  <c r="AR83" i="63"/>
  <c r="AS83" i="63"/>
  <c r="L83" i="63"/>
  <c r="AC83" i="63"/>
  <c r="AT83" i="63"/>
  <c r="M83" i="63"/>
  <c r="AD83" i="63"/>
  <c r="AU83" i="63"/>
  <c r="AE83" i="63"/>
  <c r="AV83" i="63"/>
  <c r="O83" i="63"/>
  <c r="AF83" i="63"/>
  <c r="AW83" i="63"/>
  <c r="P83" i="63"/>
  <c r="AG83" i="63"/>
  <c r="AX83" i="63"/>
  <c r="AH83" i="63"/>
  <c r="B83" i="63"/>
  <c r="T83" i="63"/>
  <c r="AK83" i="63"/>
  <c r="D83" i="63"/>
  <c r="U83" i="63"/>
  <c r="AL83" i="63"/>
  <c r="E83" i="63"/>
  <c r="AM83" i="63"/>
  <c r="F83" i="63"/>
  <c r="W83" i="63"/>
  <c r="AN83" i="63"/>
  <c r="X83" i="63"/>
  <c r="Y83" i="63"/>
  <c r="AE83" i="65" s="1"/>
  <c r="Z83" i="63"/>
  <c r="AJ83" i="63"/>
  <c r="AO83" i="63"/>
  <c r="AP83" i="63"/>
  <c r="AQ83" i="63"/>
  <c r="G83" i="63"/>
  <c r="H83" i="63"/>
  <c r="I83" i="63"/>
  <c r="A84" i="63"/>
  <c r="T83" i="65" l="1"/>
  <c r="AD83" i="65"/>
  <c r="AC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N85" i="63"/>
  <c r="AF85" i="63"/>
  <c r="AW85" i="63"/>
  <c r="P85" i="63"/>
  <c r="AG85" i="63"/>
  <c r="AX85" i="63"/>
  <c r="Q85" i="63"/>
  <c r="AH85" i="63"/>
  <c r="AY85" i="63"/>
  <c r="R85" i="63"/>
  <c r="AI85" i="63"/>
  <c r="B85" i="63"/>
  <c r="S85" i="63"/>
  <c r="AJ85" i="63"/>
  <c r="C85" i="63"/>
  <c r="T85" i="63"/>
  <c r="AK85" i="63"/>
  <c r="E85" i="63"/>
  <c r="V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J85" i="65"/>
  <c r="Z85" i="65"/>
  <c r="V85" i="65"/>
  <c r="I85" i="65"/>
  <c r="G85" i="65"/>
  <c r="O85" i="65"/>
  <c r="AA85" i="65"/>
  <c r="W85" i="65"/>
  <c r="M86" i="63"/>
  <c r="AC86" i="63"/>
  <c r="AS86" i="63"/>
  <c r="AD86" i="63"/>
  <c r="AT86" i="63"/>
  <c r="O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AG87" i="63"/>
  <c r="AW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C87" i="65"/>
  <c r="D87" i="65"/>
  <c r="K87" i="65"/>
  <c r="W87" i="65"/>
  <c r="I87" i="65"/>
  <c r="O87" i="65"/>
  <c r="AA87" i="65"/>
  <c r="G87" i="65"/>
  <c r="Y87" i="65"/>
  <c r="I88" i="63"/>
  <c r="AO88" i="63"/>
  <c r="J88" i="63"/>
  <c r="Z88" i="63"/>
  <c r="AP88" i="63"/>
  <c r="AQ88" i="63"/>
  <c r="L88" i="63"/>
  <c r="AR88" i="63"/>
  <c r="M88" i="63"/>
  <c r="AC88" i="63"/>
  <c r="AS88" i="63"/>
  <c r="N88" i="63"/>
  <c r="AD88" i="63"/>
  <c r="AT88" i="63"/>
  <c r="AE88" i="63"/>
  <c r="AU88" i="63"/>
  <c r="P88" i="63"/>
  <c r="AF88" i="63"/>
  <c r="AV88" i="63"/>
  <c r="AH88" i="63"/>
  <c r="AX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AF93" i="63"/>
  <c r="AV93" i="63"/>
  <c r="Q93" i="63"/>
  <c r="AG93" i="63"/>
  <c r="AW93" i="63"/>
  <c r="R93" i="63"/>
  <c r="AH93" i="63"/>
  <c r="AX93" i="63"/>
  <c r="S93" i="63"/>
  <c r="AI93" i="63"/>
  <c r="AY93" i="63"/>
  <c r="T93" i="63"/>
  <c r="AJ93" i="63"/>
  <c r="AK93" i="63"/>
  <c r="V93" i="63"/>
  <c r="AL93" i="63"/>
  <c r="H93" i="63"/>
  <c r="AN93" i="63"/>
  <c r="I93" i="63"/>
  <c r="AO93" i="63"/>
  <c r="J93" i="63"/>
  <c r="Z93" i="63"/>
  <c r="AP93" i="63"/>
  <c r="K93" i="63"/>
  <c r="AQ93" i="63"/>
  <c r="AM93" i="63"/>
  <c r="AR93" i="63"/>
  <c r="AS93" i="63"/>
  <c r="AT93" i="63"/>
  <c r="L93" i="63"/>
  <c r="M93" i="63"/>
  <c r="N93" i="63"/>
  <c r="W93" i="63"/>
  <c r="AC93" i="63"/>
  <c r="AD93" i="63"/>
  <c r="Y92" i="65"/>
  <c r="A94" i="63"/>
  <c r="AB93" i="65" l="1"/>
  <c r="Z93" i="65"/>
  <c r="K93" i="65"/>
  <c r="J93" i="65"/>
  <c r="D93" i="65"/>
  <c r="P93" i="65"/>
  <c r="I93" i="65"/>
  <c r="G93" i="65"/>
  <c r="W93" i="65"/>
  <c r="V93" i="65"/>
  <c r="O93" i="65"/>
  <c r="AA93" i="65"/>
  <c r="M94" i="63"/>
  <c r="AC94" i="63"/>
  <c r="AS94" i="63"/>
  <c r="N94" i="63"/>
  <c r="AD94" i="63"/>
  <c r="AT94" i="63"/>
  <c r="O94" i="63"/>
  <c r="AE94" i="63"/>
  <c r="AU94" i="63"/>
  <c r="P94" i="63"/>
  <c r="AF94" i="63"/>
  <c r="AV94" i="63"/>
  <c r="AG94" i="63"/>
  <c r="AW94" i="63"/>
  <c r="B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T94" i="65"/>
  <c r="P94" i="65"/>
  <c r="K94" i="65"/>
  <c r="D94" i="65"/>
  <c r="Z94" i="65"/>
  <c r="G94" i="65"/>
  <c r="O94" i="65"/>
  <c r="AA94" i="65"/>
  <c r="V94" i="65"/>
  <c r="I94" i="65"/>
  <c r="W94" i="65"/>
  <c r="Y94" i="65"/>
  <c r="AQ95" i="63"/>
  <c r="L95" i="63"/>
  <c r="K95" i="65" s="1"/>
  <c r="AR95" i="63"/>
  <c r="M95" i="63"/>
  <c r="AC95" i="63"/>
  <c r="AS95" i="63"/>
  <c r="N95" i="63"/>
  <c r="AD95" i="63"/>
  <c r="AT95" i="63"/>
  <c r="O95" i="63"/>
  <c r="AE95" i="63"/>
  <c r="AU95" i="63"/>
  <c r="P95" i="63"/>
  <c r="AF95" i="63"/>
  <c r="AV95" i="63"/>
  <c r="B95" i="63"/>
  <c r="AH95" i="63"/>
  <c r="AX95" i="63"/>
  <c r="D95" i="63"/>
  <c r="T95" i="63"/>
  <c r="AJ95" i="63"/>
  <c r="E95" i="63"/>
  <c r="U95" i="63"/>
  <c r="AK95" i="63"/>
  <c r="F95" i="63"/>
  <c r="V95" i="63"/>
  <c r="AL95" i="63"/>
  <c r="G95" i="63"/>
  <c r="W95" i="63"/>
  <c r="AM95" i="63"/>
  <c r="AO95" i="63"/>
  <c r="AP95" i="63"/>
  <c r="AW95" i="63"/>
  <c r="AY95" i="63"/>
  <c r="C95" i="63"/>
  <c r="H95" i="63"/>
  <c r="I95" i="63"/>
  <c r="J95" i="63"/>
  <c r="X95" i="63"/>
  <c r="Y95" i="63"/>
  <c r="AE95" i="65" s="1"/>
  <c r="Z95" i="63"/>
  <c r="AG95" i="63"/>
  <c r="AI95" i="63"/>
  <c r="AN95" i="63"/>
  <c r="A96" i="63"/>
  <c r="AC95" i="65" l="1"/>
  <c r="AD95" i="65"/>
  <c r="T95" i="65"/>
  <c r="J95" i="65"/>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AJ96" i="63"/>
  <c r="AK96" i="63"/>
  <c r="AN96" i="63"/>
  <c r="AU96" i="63"/>
  <c r="AW96" i="63"/>
  <c r="AX96" i="63"/>
  <c r="O96" i="63"/>
  <c r="V96" i="63"/>
  <c r="AE96" i="63"/>
  <c r="AG96" i="63"/>
  <c r="AL96" i="63"/>
  <c r="AM96" i="63"/>
  <c r="A97" i="63"/>
  <c r="Z96" i="65" l="1"/>
  <c r="D96" i="65"/>
  <c r="K96" i="65"/>
  <c r="I96" i="65"/>
  <c r="O96" i="65"/>
  <c r="P96" i="65"/>
  <c r="V96" i="65"/>
  <c r="W96" i="65"/>
  <c r="G97" i="63"/>
  <c r="W97" i="63"/>
  <c r="AM97" i="63"/>
  <c r="H97" i="63"/>
  <c r="X97" i="63"/>
  <c r="AN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W98" i="63"/>
  <c r="AM98" i="63"/>
  <c r="H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J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I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AG101" i="63"/>
  <c r="AW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C101" i="65"/>
  <c r="K101" i="65"/>
  <c r="J101" i="65"/>
  <c r="P101" i="65"/>
  <c r="V101" i="65"/>
  <c r="O101" i="65"/>
  <c r="AA101" i="65"/>
  <c r="W101" i="65"/>
  <c r="I101" i="65"/>
  <c r="G101" i="65"/>
  <c r="M102" i="63"/>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AO102" i="63"/>
  <c r="L102" i="63"/>
  <c r="AP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S107" i="63"/>
  <c r="AI107" i="63"/>
  <c r="AY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W107" i="63"/>
  <c r="AN107" i="63"/>
  <c r="AO107" i="63"/>
  <c r="H107" i="63"/>
  <c r="I107" i="63"/>
  <c r="J107" i="63"/>
  <c r="Z107" i="63"/>
  <c r="AK107" i="63"/>
  <c r="AP107" i="63"/>
  <c r="AQ107" i="63"/>
  <c r="AR107" i="63"/>
  <c r="T107" i="63"/>
  <c r="Y106" i="65"/>
  <c r="A108" i="63"/>
  <c r="P107" i="65" l="1"/>
  <c r="AB107" i="65"/>
  <c r="AC107" i="65"/>
  <c r="D107" i="65"/>
  <c r="J107" i="65"/>
  <c r="K107" i="65"/>
  <c r="Z107" i="65"/>
  <c r="G107" i="65"/>
  <c r="I107" i="65"/>
  <c r="Y107" i="65"/>
  <c r="O107" i="65"/>
  <c r="AA107" i="65"/>
  <c r="V107" i="65"/>
  <c r="W107" i="65"/>
  <c r="AG108" i="63"/>
  <c r="AW108" i="63"/>
  <c r="L108" i="63"/>
  <c r="K108" i="65" s="1"/>
  <c r="AC108" i="63"/>
  <c r="AT108" i="63"/>
  <c r="M108" i="63"/>
  <c r="AD108" i="63"/>
  <c r="AU108" i="63"/>
  <c r="N108" i="63"/>
  <c r="AE108" i="63"/>
  <c r="AV108" i="63"/>
  <c r="O108" i="63"/>
  <c r="AF108" i="63"/>
  <c r="AX108" i="63"/>
  <c r="P108" i="63"/>
  <c r="AH108" i="63"/>
  <c r="AY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B109" i="63"/>
  <c r="AJ109" i="63"/>
  <c r="C109" i="63"/>
  <c r="T109" i="63"/>
  <c r="AK109" i="63"/>
  <c r="D109" i="63"/>
  <c r="V109" i="65" s="1"/>
  <c r="U109" i="63"/>
  <c r="AL109" i="63"/>
  <c r="F109" i="63"/>
  <c r="W109" i="63"/>
  <c r="AN109" i="63"/>
  <c r="G109" i="63"/>
  <c r="X109" i="63"/>
  <c r="AO109" i="63"/>
  <c r="H109" i="63"/>
  <c r="Y109" i="63"/>
  <c r="AE109" i="65" s="1"/>
  <c r="AP109" i="63"/>
  <c r="I109" i="63"/>
  <c r="Z109" i="63"/>
  <c r="AQ109" i="63"/>
  <c r="V109" i="63"/>
  <c r="D109" i="65" s="1"/>
  <c r="AC109" i="63"/>
  <c r="AM109" i="63"/>
  <c r="AR109" i="63"/>
  <c r="AS109" i="63"/>
  <c r="AT109" i="63"/>
  <c r="E109" i="63"/>
  <c r="J109" i="63"/>
  <c r="L109" i="63"/>
  <c r="A110" i="63"/>
  <c r="AD109" i="65" l="1"/>
  <c r="AC109" i="65"/>
  <c r="T109" i="65"/>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AN113" i="63"/>
  <c r="F113" i="63"/>
  <c r="X113" i="63"/>
  <c r="AO113" i="63"/>
  <c r="H113" i="63"/>
  <c r="Y113" i="63"/>
  <c r="AE113" i="65" s="1"/>
  <c r="AP113" i="63"/>
  <c r="I113" i="63"/>
  <c r="Z113" i="63"/>
  <c r="AQ113" i="63"/>
  <c r="K113" i="63"/>
  <c r="AS113" i="63"/>
  <c r="L113" i="63"/>
  <c r="AC113" i="63"/>
  <c r="AT113" i="63"/>
  <c r="M113" i="63"/>
  <c r="AD113" i="63"/>
  <c r="AU113" i="63"/>
  <c r="AE113" i="63"/>
  <c r="AV113" i="63"/>
  <c r="AF113" i="63"/>
  <c r="AG113" i="63"/>
  <c r="AH113" i="63"/>
  <c r="AR113" i="63"/>
  <c r="AW113" i="63"/>
  <c r="AX113" i="63"/>
  <c r="AY113" i="63"/>
  <c r="J113" i="63"/>
  <c r="O113" i="63"/>
  <c r="P113" i="63"/>
  <c r="Q113" i="63"/>
  <c r="W113" i="65"/>
  <c r="A114" i="63"/>
  <c r="AD113" i="65" l="1"/>
  <c r="T113" i="65"/>
  <c r="AB113" i="65"/>
  <c r="AC113" i="65"/>
  <c r="P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V115" i="63"/>
  <c r="AM115" i="63"/>
  <c r="W115" i="63"/>
  <c r="AN115" i="63"/>
  <c r="AO115" i="63"/>
  <c r="H115" i="63"/>
  <c r="AP115" i="63"/>
  <c r="I115" i="63"/>
  <c r="Z115" i="63"/>
  <c r="AQ115" i="63"/>
  <c r="J115" i="63"/>
  <c r="AR115" i="63"/>
  <c r="K115" i="63"/>
  <c r="AS115" i="63"/>
  <c r="M115" i="63"/>
  <c r="AD115" i="63"/>
  <c r="AU115" i="63"/>
  <c r="N115" i="63"/>
  <c r="AE115" i="63"/>
  <c r="AV115" i="63"/>
  <c r="O115" i="63"/>
  <c r="AF115" i="63"/>
  <c r="AW115" i="63"/>
  <c r="P115" i="63"/>
  <c r="AG115" i="63"/>
  <c r="AX115" i="63"/>
  <c r="L115" i="63"/>
  <c r="T115" i="63"/>
  <c r="AH115" i="63"/>
  <c r="AJ115" i="63"/>
  <c r="AK115" i="63"/>
  <c r="AT115" i="63"/>
  <c r="AC115" i="63"/>
  <c r="Y114" i="65"/>
  <c r="A116" i="63"/>
  <c r="AC115" i="65" l="1"/>
  <c r="Z115" i="65"/>
  <c r="J115" i="65"/>
  <c r="K115" i="65"/>
  <c r="D115" i="65"/>
  <c r="P115" i="65"/>
  <c r="I115" i="65"/>
  <c r="O115" i="65"/>
  <c r="AA115" i="65"/>
  <c r="V115" i="65"/>
  <c r="G115" i="65"/>
  <c r="W115" i="65"/>
  <c r="AG116" i="63"/>
  <c r="AM116" i="63"/>
  <c r="W116" i="63"/>
  <c r="AN116" i="63"/>
  <c r="AO116" i="63"/>
  <c r="H116" i="63"/>
  <c r="AP116" i="63"/>
  <c r="I116" i="63"/>
  <c r="Z116" i="63"/>
  <c r="AQ116" i="63"/>
  <c r="J116" i="63"/>
  <c r="AR116" i="63"/>
  <c r="AS116" i="63"/>
  <c r="L116" i="63"/>
  <c r="AC116" i="63"/>
  <c r="AT116" i="63"/>
  <c r="AE116" i="63"/>
  <c r="AV116" i="63"/>
  <c r="O116" i="63"/>
  <c r="AF116" i="63"/>
  <c r="AW116" i="63"/>
  <c r="P116" i="63"/>
  <c r="AH116" i="63"/>
  <c r="AX116" i="63"/>
  <c r="AI116" i="63"/>
  <c r="AY116" i="63"/>
  <c r="M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A118" i="63"/>
  <c r="T117" i="65" l="1"/>
  <c r="AD117" i="65"/>
  <c r="O117" i="65"/>
  <c r="AC117" i="65"/>
  <c r="Z117" i="65"/>
  <c r="D117" i="65"/>
  <c r="P117" i="65"/>
  <c r="W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R121" i="63"/>
  <c r="AH121" i="63"/>
  <c r="AX121" i="63"/>
  <c r="S121" i="63"/>
  <c r="AI121" i="63"/>
  <c r="AY121" i="63"/>
  <c r="T121" i="63"/>
  <c r="AJ121" i="63"/>
  <c r="V121" i="63"/>
  <c r="AL121" i="63"/>
  <c r="W121" i="63"/>
  <c r="AM121" i="63"/>
  <c r="H121" i="63"/>
  <c r="AN121" i="63"/>
  <c r="I121" i="63"/>
  <c r="AO121" i="63"/>
  <c r="U121" i="63"/>
  <c r="Z121" i="63"/>
  <c r="AK121" i="63"/>
  <c r="AP121" i="63"/>
  <c r="AQ121" i="63"/>
  <c r="AR121" i="63"/>
  <c r="J121" i="63"/>
  <c r="K121" i="63"/>
  <c r="L121" i="63"/>
  <c r="Y120" i="65"/>
  <c r="A122" i="63"/>
  <c r="AC121" i="65" l="1"/>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AG122" i="63"/>
  <c r="AW122" i="63"/>
  <c r="B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P122" i="65"/>
  <c r="D122" i="65"/>
  <c r="J122" i="65"/>
  <c r="W122" i="65"/>
  <c r="I122" i="65"/>
  <c r="G122" i="65"/>
  <c r="O122" i="65"/>
  <c r="AA122" i="65"/>
  <c r="I123" i="63"/>
  <c r="Y123" i="63"/>
  <c r="AO123" i="63"/>
  <c r="J123" i="63"/>
  <c r="Z123" i="63"/>
  <c r="AP123" i="63"/>
  <c r="AQ123" i="63"/>
  <c r="L123" i="63"/>
  <c r="AR123" i="63"/>
  <c r="M123" i="63"/>
  <c r="AC123" i="63"/>
  <c r="AS123" i="63"/>
  <c r="N123" i="63"/>
  <c r="AD123" i="63"/>
  <c r="AT123" i="63"/>
  <c r="O123" i="63"/>
  <c r="AE123" i="63"/>
  <c r="AU123" i="63"/>
  <c r="AF123" i="63"/>
  <c r="AV123" i="63"/>
  <c r="B123" i="63"/>
  <c r="AH123" i="63"/>
  <c r="AX123" i="63"/>
  <c r="C123" i="63"/>
  <c r="AI123" i="63"/>
  <c r="AY123" i="63"/>
  <c r="D123" i="63"/>
  <c r="T123" i="63"/>
  <c r="AJ123" i="63"/>
  <c r="E123" i="63"/>
  <c r="U123" i="63"/>
  <c r="AK123" i="63"/>
  <c r="AW123" i="63"/>
  <c r="F123" i="63"/>
  <c r="G123" i="63"/>
  <c r="H123" i="63"/>
  <c r="G123" i="65" s="1"/>
  <c r="V123" i="63"/>
  <c r="W123" i="63"/>
  <c r="X123" i="63"/>
  <c r="AG123" i="63"/>
  <c r="AL123" i="63"/>
  <c r="AM123" i="63"/>
  <c r="AN123" i="63"/>
  <c r="Y122" i="65"/>
  <c r="A124" i="63"/>
  <c r="T123" i="65" l="1"/>
  <c r="AD123" i="65"/>
  <c r="AE123" i="65"/>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P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AM127" i="63"/>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AG129" i="63"/>
  <c r="AW129" i="63"/>
  <c r="AH129" i="63"/>
  <c r="AX129" i="63"/>
  <c r="S129" i="63"/>
  <c r="AI129" i="63"/>
  <c r="AY129" i="63"/>
  <c r="T129" i="63"/>
  <c r="AJ129" i="63"/>
  <c r="V129" i="63"/>
  <c r="AL129" i="63"/>
  <c r="W129" i="63"/>
  <c r="AM129" i="63"/>
  <c r="H129" i="63"/>
  <c r="AN129" i="63"/>
  <c r="I129" i="63"/>
  <c r="AO129" i="63"/>
  <c r="J129" i="63"/>
  <c r="K129" i="63"/>
  <c r="L129" i="63"/>
  <c r="U129" i="63"/>
  <c r="Z129" i="63"/>
  <c r="AP129" i="63"/>
  <c r="AQ129" i="63"/>
  <c r="AR129" i="63"/>
  <c r="AK129" i="63"/>
  <c r="A130" i="63"/>
  <c r="AC129" i="65" l="1"/>
  <c r="P129" i="65"/>
  <c r="D129" i="65"/>
  <c r="J129" i="65"/>
  <c r="K129" i="65"/>
  <c r="I129" i="65"/>
  <c r="V129" i="65"/>
  <c r="G129" i="65"/>
  <c r="O129" i="65"/>
  <c r="AA129" i="65"/>
  <c r="W129" i="65"/>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Z130" i="63"/>
  <c r="AI130" i="63"/>
  <c r="AN130" i="63"/>
  <c r="AO130" i="63"/>
  <c r="AP130" i="63"/>
  <c r="AY130" i="63"/>
  <c r="I130" i="63"/>
  <c r="J130" i="63"/>
  <c r="Y129" i="65"/>
  <c r="A131" i="63"/>
  <c r="V130" i="65" l="1"/>
  <c r="Z130" i="65"/>
  <c r="AC130" i="65"/>
  <c r="K130" i="65"/>
  <c r="D130" i="65"/>
  <c r="W130" i="65"/>
  <c r="P130" i="65"/>
  <c r="G130" i="65"/>
  <c r="O130" i="65"/>
  <c r="AA130" i="65"/>
  <c r="I130" i="65"/>
  <c r="Y131" i="63"/>
  <c r="AE131" i="65" s="1"/>
  <c r="AO131" i="63"/>
  <c r="J131" i="63"/>
  <c r="Z131" i="63"/>
  <c r="AP131" i="63"/>
  <c r="AQ131" i="63"/>
  <c r="L131" i="63"/>
  <c r="AR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M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R135" i="63"/>
  <c r="AH135" i="63"/>
  <c r="AX135" i="63"/>
  <c r="S135" i="63"/>
  <c r="AI135" i="63"/>
  <c r="AY135" i="63"/>
  <c r="T135" i="63"/>
  <c r="AJ135" i="63"/>
  <c r="U135" i="63"/>
  <c r="AK135" i="63"/>
  <c r="V135" i="63"/>
  <c r="D135" i="65" s="1"/>
  <c r="AL135" i="63"/>
  <c r="H135" i="63"/>
  <c r="AN135" i="63"/>
  <c r="L135" i="63"/>
  <c r="AR135" i="63"/>
  <c r="O135" i="63"/>
  <c r="AU135" i="63"/>
  <c r="P135" i="63"/>
  <c r="AV135" i="63"/>
  <c r="W135" i="63"/>
  <c r="Z135" i="63"/>
  <c r="AC135" i="63"/>
  <c r="AD135" i="63"/>
  <c r="AF135" i="63"/>
  <c r="AM135" i="63"/>
  <c r="I135" i="63"/>
  <c r="AO135" i="63"/>
  <c r="J135" i="63"/>
  <c r="AP135" i="63"/>
  <c r="K135" i="63"/>
  <c r="N135" i="63"/>
  <c r="AQ135" i="63"/>
  <c r="AS135" i="63"/>
  <c r="AT135" i="63"/>
  <c r="AE135" i="63"/>
  <c r="A136" i="63"/>
  <c r="AB135" i="65" l="1"/>
  <c r="AC135" i="65"/>
  <c r="J135" i="65"/>
  <c r="W135" i="65"/>
  <c r="I135" i="65"/>
  <c r="K135" i="65"/>
  <c r="P135" i="65"/>
  <c r="G135" i="65"/>
  <c r="O135" i="65"/>
  <c r="AA135" i="65"/>
  <c r="V135" i="65"/>
  <c r="O136" i="63"/>
  <c r="AE136" i="63"/>
  <c r="AU136" i="63"/>
  <c r="P136" i="63"/>
  <c r="AF136" i="63"/>
  <c r="AV136" i="63"/>
  <c r="AG136" i="63"/>
  <c r="AW136" i="63"/>
  <c r="B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B137" i="63"/>
  <c r="AH137" i="63"/>
  <c r="AX137" i="63"/>
  <c r="D137" i="63"/>
  <c r="T137" i="63"/>
  <c r="AJ137" i="63"/>
  <c r="I137" i="63"/>
  <c r="AM137" i="63"/>
  <c r="J137" i="63"/>
  <c r="AN137" i="63"/>
  <c r="AO137" i="63"/>
  <c r="L137" i="63"/>
  <c r="AP137" i="63"/>
  <c r="AQ137" i="63"/>
  <c r="U137" i="63"/>
  <c r="AR137" i="63"/>
  <c r="V137" i="63"/>
  <c r="AY137" i="63"/>
  <c r="W137" i="63"/>
  <c r="Y137" i="63"/>
  <c r="AE137" i="65" s="1"/>
  <c r="Z137" i="63"/>
  <c r="C137" i="63"/>
  <c r="E137" i="63"/>
  <c r="F137" i="63"/>
  <c r="G137" i="63"/>
  <c r="H137" i="63"/>
  <c r="X137" i="63"/>
  <c r="AI137" i="63"/>
  <c r="AK137" i="63"/>
  <c r="AL137" i="63"/>
  <c r="Y136" i="65"/>
  <c r="A138" i="63"/>
  <c r="P137" i="65" l="1"/>
  <c r="AC137" i="65"/>
  <c r="AD137" i="65"/>
  <c r="T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AW138" i="63"/>
  <c r="U138" i="63"/>
  <c r="AY138" i="63"/>
  <c r="V138" i="63"/>
  <c r="W138" i="63"/>
  <c r="Z138" i="63"/>
  <c r="AI138" i="63"/>
  <c r="AJ138" i="63"/>
  <c r="AK138" i="63"/>
  <c r="H138" i="63"/>
  <c r="G138" i="65" s="1"/>
  <c r="AL138" i="63"/>
  <c r="I138" i="63"/>
  <c r="J138" i="63"/>
  <c r="AG138" i="63"/>
  <c r="AM138" i="63"/>
  <c r="AN138" i="63"/>
  <c r="AO138" i="63"/>
  <c r="A139" i="63"/>
  <c r="AC138" i="65" l="1"/>
  <c r="P138" i="65"/>
  <c r="K138" i="65"/>
  <c r="J138" i="65"/>
  <c r="D138" i="65"/>
  <c r="Z138" i="65"/>
  <c r="I138" i="65"/>
  <c r="V138" i="65"/>
  <c r="W138" i="65"/>
  <c r="O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AG143" i="63"/>
  <c r="AW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P143" i="65"/>
  <c r="J143" i="65"/>
  <c r="D143" i="65"/>
  <c r="K143" i="65"/>
  <c r="W143" i="65"/>
  <c r="I143" i="65"/>
  <c r="V143" i="65"/>
  <c r="O143" i="65"/>
  <c r="AA143" i="65"/>
  <c r="O144" i="63"/>
  <c r="AE144" i="63"/>
  <c r="AU144" i="63"/>
  <c r="P144" i="63"/>
  <c r="AF144" i="63"/>
  <c r="AV144" i="63"/>
  <c r="AG144" i="63"/>
  <c r="AW144" i="63"/>
  <c r="AI144" i="63"/>
  <c r="AY144" i="63"/>
  <c r="Z144" i="63"/>
  <c r="AT144" i="63"/>
  <c r="AX144" i="63"/>
  <c r="H144" i="63"/>
  <c r="I144" i="63"/>
  <c r="AC144" i="63"/>
  <c r="J144" i="63"/>
  <c r="AD144" i="63"/>
  <c r="AH144" i="63"/>
  <c r="L144" i="63"/>
  <c r="AJ144" i="63"/>
  <c r="M144" i="63"/>
  <c r="AK144" i="63"/>
  <c r="AM144" i="63"/>
  <c r="T144" i="63"/>
  <c r="AN144" i="63"/>
  <c r="U144" i="63"/>
  <c r="AO144" i="63"/>
  <c r="AP144" i="63"/>
  <c r="AL144" i="63"/>
  <c r="AQ144" i="63"/>
  <c r="AR144" i="63"/>
  <c r="AS144" i="63"/>
  <c r="W144" i="63"/>
  <c r="Y143" i="65"/>
  <c r="A145" i="63"/>
  <c r="AE144" i="65" l="1"/>
  <c r="AC144" i="65"/>
  <c r="Z144" i="65"/>
  <c r="K144" i="65"/>
  <c r="G144" i="65"/>
  <c r="I144" i="65"/>
  <c r="P144" i="65"/>
  <c r="O144" i="65"/>
  <c r="AA144" i="65"/>
  <c r="W144" i="65"/>
  <c r="V144" i="65"/>
  <c r="M145" i="63"/>
  <c r="AC145" i="63"/>
  <c r="AS145" i="63"/>
  <c r="N145" i="63"/>
  <c r="AD145" i="63"/>
  <c r="AT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N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V146" i="63"/>
  <c r="D146" i="65" s="1"/>
  <c r="AD146" i="63"/>
  <c r="AF146" i="63"/>
  <c r="AG146" i="63"/>
  <c r="AP146" i="63"/>
  <c r="AX146" i="63"/>
  <c r="AY146" i="63"/>
  <c r="B146" i="63"/>
  <c r="G146" i="63"/>
  <c r="H146" i="63"/>
  <c r="I146" i="63"/>
  <c r="A147" i="63"/>
  <c r="AD146" i="65" l="1"/>
  <c r="T146" i="65"/>
  <c r="AC146" i="65"/>
  <c r="P146" i="65"/>
  <c r="J146" i="65"/>
  <c r="Z146" i="65"/>
  <c r="G146" i="65"/>
  <c r="I146" i="65"/>
  <c r="W146" i="65"/>
  <c r="V146" i="65"/>
  <c r="O146" i="65"/>
  <c r="AA146" i="65"/>
  <c r="I147" i="63"/>
  <c r="Y147" i="63"/>
  <c r="AE147" i="65" s="1"/>
  <c r="AO147" i="63"/>
  <c r="J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O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R149" i="63"/>
  <c r="AH149" i="63"/>
  <c r="AX149" i="63"/>
  <c r="S149" i="63"/>
  <c r="AI149" i="63"/>
  <c r="AY149" i="63"/>
  <c r="T149" i="63"/>
  <c r="AJ149" i="63"/>
  <c r="U149" i="63"/>
  <c r="AK149" i="63"/>
  <c r="W149" i="63"/>
  <c r="AM149" i="63"/>
  <c r="H149" i="63"/>
  <c r="AN149" i="63"/>
  <c r="I149" i="63"/>
  <c r="AO149" i="63"/>
  <c r="J149" i="63"/>
  <c r="Z149" i="63"/>
  <c r="AP149" i="63"/>
  <c r="V149" i="63"/>
  <c r="D149" i="65" s="1"/>
  <c r="AC149" i="63"/>
  <c r="AL149" i="63"/>
  <c r="AQ149" i="63"/>
  <c r="AR149" i="63"/>
  <c r="AS149" i="63"/>
  <c r="K149" i="63"/>
  <c r="L149" i="63"/>
  <c r="M149" i="63"/>
  <c r="Y148" i="65"/>
  <c r="A150" i="63"/>
  <c r="AB149" i="65" l="1"/>
  <c r="AC149" i="65"/>
  <c r="P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AG150" i="63"/>
  <c r="AW150" i="63"/>
  <c r="B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T150" i="65"/>
  <c r="Z150" i="65"/>
  <c r="K150" i="65"/>
  <c r="D150" i="65"/>
  <c r="O150" i="65"/>
  <c r="AA150" i="65"/>
  <c r="W150" i="65"/>
  <c r="I150" i="65"/>
  <c r="G150" i="65"/>
  <c r="V150" i="65"/>
  <c r="J151" i="63"/>
  <c r="Z151" i="63"/>
  <c r="AP151" i="63"/>
  <c r="AQ151" i="63"/>
  <c r="L151" i="63"/>
  <c r="AR151" i="63"/>
  <c r="M151" i="63"/>
  <c r="AC151" i="63"/>
  <c r="AS151" i="63"/>
  <c r="N151" i="63"/>
  <c r="AD151" i="63"/>
  <c r="AT151" i="63"/>
  <c r="O151" i="63"/>
  <c r="AE151" i="63"/>
  <c r="AU151" i="63"/>
  <c r="P151" i="63"/>
  <c r="AF151" i="63"/>
  <c r="AV151" i="63"/>
  <c r="AG151" i="63"/>
  <c r="AW151" i="63"/>
  <c r="C151" i="63"/>
  <c r="AI151" i="63"/>
  <c r="AY151" i="63"/>
  <c r="D151" i="63"/>
  <c r="T151" i="63"/>
  <c r="AJ151" i="63"/>
  <c r="E151" i="63"/>
  <c r="U151" i="63"/>
  <c r="AK151" i="63"/>
  <c r="F151" i="63"/>
  <c r="V151" i="63"/>
  <c r="D151" i="65" s="1"/>
  <c r="AL151" i="63"/>
  <c r="AX151" i="63"/>
  <c r="B151" i="63"/>
  <c r="G151" i="63"/>
  <c r="H151" i="63"/>
  <c r="G151" i="65" s="1"/>
  <c r="I151" i="63"/>
  <c r="W151" i="63"/>
  <c r="X151" i="63"/>
  <c r="Y151" i="63"/>
  <c r="AH151" i="63"/>
  <c r="AM151" i="63"/>
  <c r="AN151" i="63"/>
  <c r="AO151" i="63"/>
  <c r="Y150" i="65"/>
  <c r="A152" i="63"/>
  <c r="AD151" i="65" l="1"/>
  <c r="AE151" i="65"/>
  <c r="AC151" i="65"/>
  <c r="T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P156" i="63"/>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AG157" i="63"/>
  <c r="AW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AI158" i="63"/>
  <c r="AY158" i="63"/>
  <c r="AK158" i="63"/>
  <c r="V158" i="63"/>
  <c r="AL158" i="63"/>
  <c r="AM158" i="63"/>
  <c r="AN158" i="63"/>
  <c r="T158" i="63"/>
  <c r="Z158" i="63"/>
  <c r="AJ158" i="63"/>
  <c r="AO158" i="63"/>
  <c r="AP158" i="63"/>
  <c r="AQ158" i="63"/>
  <c r="I158" i="63"/>
  <c r="J158" i="63"/>
  <c r="A159" i="63"/>
  <c r="P158" i="65" l="1"/>
  <c r="W158" i="65"/>
  <c r="K158" i="65"/>
  <c r="D158" i="65"/>
  <c r="Z158" i="65"/>
  <c r="V158" i="65"/>
  <c r="I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AJ159" i="63"/>
  <c r="E159" i="63"/>
  <c r="U159" i="63"/>
  <c r="AK159" i="63"/>
  <c r="F159" i="63"/>
  <c r="V159" i="63"/>
  <c r="D159" i="65" s="1"/>
  <c r="AL159" i="63"/>
  <c r="AH159" i="63"/>
  <c r="AM159" i="63"/>
  <c r="AN159" i="63"/>
  <c r="AO159" i="63"/>
  <c r="AX159" i="63"/>
  <c r="G159" i="63"/>
  <c r="H159" i="63"/>
  <c r="B159" i="63"/>
  <c r="X159" i="63"/>
  <c r="Y159" i="63"/>
  <c r="AE159" i="65" s="1"/>
  <c r="W159" i="63"/>
  <c r="A160" i="63"/>
  <c r="AC159" i="65" l="1"/>
  <c r="AD159" i="65"/>
  <c r="T159" i="65"/>
  <c r="Z159" i="65"/>
  <c r="J159" i="65"/>
  <c r="G159" i="65"/>
  <c r="I159" i="65"/>
  <c r="O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R163" i="63"/>
  <c r="AH163" i="63"/>
  <c r="AX163" i="63"/>
  <c r="S163" i="63"/>
  <c r="AI163" i="63"/>
  <c r="AY163" i="63"/>
  <c r="T163" i="63"/>
  <c r="AJ163" i="63"/>
  <c r="U163" i="63"/>
  <c r="AK163" i="63"/>
  <c r="V163" i="63"/>
  <c r="AL163" i="63"/>
  <c r="W163" i="63"/>
  <c r="AM163" i="63"/>
  <c r="H163" i="63"/>
  <c r="AN163" i="63"/>
  <c r="I163" i="63"/>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Z163" i="65" l="1"/>
  <c r="AC163" i="65"/>
  <c r="AB163" i="65"/>
  <c r="W163" i="65"/>
  <c r="J163" i="65"/>
  <c r="K163" i="65"/>
  <c r="D163" i="65"/>
  <c r="G163" i="65"/>
  <c r="O163" i="65"/>
  <c r="AA163" i="65"/>
  <c r="I163" i="65"/>
  <c r="P163" i="65"/>
  <c r="V163" i="65"/>
  <c r="P164" i="63"/>
  <c r="AF164" i="63"/>
  <c r="AV164" i="63"/>
  <c r="AG164" i="63"/>
  <c r="AW164" i="63"/>
  <c r="B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P164" i="65"/>
  <c r="I164" i="65"/>
  <c r="G164" i="65"/>
  <c r="W164" i="65"/>
  <c r="V164" i="65"/>
  <c r="N165" i="63"/>
  <c r="AD165" i="63"/>
  <c r="AT165" i="63"/>
  <c r="O165" i="63"/>
  <c r="AE165" i="63"/>
  <c r="AU165" i="63"/>
  <c r="P165" i="63"/>
  <c r="AF165" i="63"/>
  <c r="AV165" i="63"/>
  <c r="AG165" i="63"/>
  <c r="AW165" i="63"/>
  <c r="B165" i="63"/>
  <c r="AH165" i="63"/>
  <c r="AX165" i="63"/>
  <c r="C165" i="63"/>
  <c r="AI165" i="63"/>
  <c r="AY165" i="63"/>
  <c r="D165" i="63"/>
  <c r="E165" i="63"/>
  <c r="U165" i="63"/>
  <c r="AK165" i="63"/>
  <c r="G165" i="63"/>
  <c r="W165" i="63"/>
  <c r="AM165" i="63"/>
  <c r="H165" i="63"/>
  <c r="I165" i="63"/>
  <c r="Y165" i="63"/>
  <c r="AE165" i="65" s="1"/>
  <c r="AO165" i="63"/>
  <c r="J165" i="63"/>
  <c r="Z165" i="63"/>
  <c r="AN165" i="63"/>
  <c r="AP165" i="63"/>
  <c r="AQ165" i="63"/>
  <c r="AR165" i="63"/>
  <c r="F165" i="63"/>
  <c r="AS165" i="63"/>
  <c r="L165" i="63"/>
  <c r="V165" i="63"/>
  <c r="D165" i="65" s="1"/>
  <c r="X165" i="63"/>
  <c r="T165" i="63"/>
  <c r="AC165" i="63"/>
  <c r="AJ165" i="63"/>
  <c r="AL165" i="63"/>
  <c r="Y164" i="65"/>
  <c r="A166" i="63"/>
  <c r="T165" i="65" l="1"/>
  <c r="AC165" i="65"/>
  <c r="AD165" i="65"/>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AW171" i="63"/>
  <c r="N171" i="63"/>
  <c r="Z171" i="63"/>
  <c r="AT171" i="63"/>
  <c r="A172" i="63"/>
  <c r="AC171" i="65" l="1"/>
  <c r="K171" i="65"/>
  <c r="D171" i="65"/>
  <c r="J171" i="65"/>
  <c r="I171" i="65"/>
  <c r="G171" i="65"/>
  <c r="W171" i="65"/>
  <c r="O171" i="65"/>
  <c r="AA171" i="65"/>
  <c r="P171" i="65"/>
  <c r="P172" i="63"/>
  <c r="AF172" i="63"/>
  <c r="AV172" i="63"/>
  <c r="AG172" i="63"/>
  <c r="AW172" i="63"/>
  <c r="AH172" i="63"/>
  <c r="AX172" i="63"/>
  <c r="AI172" i="63"/>
  <c r="AY172" i="63"/>
  <c r="T172" i="63"/>
  <c r="AJ172" i="63"/>
  <c r="U172" i="63"/>
  <c r="AK172" i="63"/>
  <c r="W172" i="63"/>
  <c r="AM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W175" i="63"/>
  <c r="X175" i="63"/>
  <c r="B175" i="63"/>
  <c r="Y175" i="63"/>
  <c r="AE175" i="65" s="1"/>
  <c r="AY175" i="63"/>
  <c r="C175" i="63"/>
  <c r="D175" i="63"/>
  <c r="E175" i="63"/>
  <c r="U175" i="63"/>
  <c r="AI175" i="63"/>
  <c r="AF175" i="63"/>
  <c r="AH175" i="63"/>
  <c r="A176" i="63"/>
  <c r="T175" i="65" l="1"/>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AL177" i="63"/>
  <c r="W177" i="63"/>
  <c r="AM177" i="63"/>
  <c r="H177" i="63"/>
  <c r="G177" i="65" s="1"/>
  <c r="AN177" i="63"/>
  <c r="I177" i="63"/>
  <c r="AO177" i="63"/>
  <c r="K177" i="63"/>
  <c r="AQ177" i="63"/>
  <c r="M177" i="63"/>
  <c r="R177" i="63"/>
  <c r="AR177" i="63"/>
  <c r="S177" i="63"/>
  <c r="AS177" i="63"/>
  <c r="T177" i="63"/>
  <c r="AT177" i="63"/>
  <c r="U177" i="63"/>
  <c r="AU177" i="63"/>
  <c r="Z177" i="63"/>
  <c r="AV177" i="63"/>
  <c r="AW177" i="63"/>
  <c r="AC177" i="63"/>
  <c r="AX177" i="63"/>
  <c r="AD177" i="63"/>
  <c r="AY177" i="63"/>
  <c r="AF177" i="63"/>
  <c r="J177" i="63"/>
  <c r="AG177" i="63"/>
  <c r="L177" i="63"/>
  <c r="AH177" i="63"/>
  <c r="AI177" i="63"/>
  <c r="O177" i="63"/>
  <c r="P177" i="63"/>
  <c r="Q177" i="63"/>
  <c r="AE177" i="63"/>
  <c r="AJ177" i="63"/>
  <c r="AK177" i="63"/>
  <c r="AP177" i="63"/>
  <c r="Y176" i="65"/>
  <c r="A178" i="63"/>
  <c r="P177" i="65" l="1"/>
  <c r="AC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AQ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C178" i="65"/>
  <c r="W178" i="65"/>
  <c r="I178" i="65"/>
  <c r="K178" i="65"/>
  <c r="P178" i="65"/>
  <c r="O178" i="65"/>
  <c r="AA178" i="65"/>
  <c r="V178" i="65"/>
  <c r="G178" i="65"/>
  <c r="Y178" i="65"/>
  <c r="B179" i="63"/>
  <c r="AH179" i="63"/>
  <c r="AX179" i="63"/>
  <c r="C179" i="63"/>
  <c r="AI179" i="63"/>
  <c r="AY179" i="63"/>
  <c r="D179" i="63"/>
  <c r="V179" i="65" s="1"/>
  <c r="T179" i="63"/>
  <c r="AJ179" i="63"/>
  <c r="E179" i="63"/>
  <c r="U179" i="63"/>
  <c r="AK179" i="63"/>
  <c r="G179" i="63"/>
  <c r="W179" i="63"/>
  <c r="AM179" i="63"/>
  <c r="L179" i="63"/>
  <c r="K179" i="65" s="1"/>
  <c r="AG179" i="63"/>
  <c r="M179" i="63"/>
  <c r="AL179" i="63"/>
  <c r="N179" i="63"/>
  <c r="AN179" i="63"/>
  <c r="AO179" i="63"/>
  <c r="P179" i="63"/>
  <c r="AP179" i="63"/>
  <c r="AQ179" i="63"/>
  <c r="V179" i="63"/>
  <c r="AR179" i="63"/>
  <c r="X179" i="63"/>
  <c r="AS179" i="63"/>
  <c r="Z179" i="63"/>
  <c r="AU179" i="63"/>
  <c r="AV179" i="63"/>
  <c r="F179" i="63"/>
  <c r="AW179" i="63"/>
  <c r="H179" i="63"/>
  <c r="G179" i="65" s="1"/>
  <c r="AC179" i="63"/>
  <c r="AT179" i="63"/>
  <c r="I179" i="63"/>
  <c r="J179" i="63"/>
  <c r="Y179" i="63"/>
  <c r="AE179" i="65" s="1"/>
  <c r="AD179" i="63"/>
  <c r="AE179" i="63"/>
  <c r="AF179" i="63"/>
  <c r="A180" i="63"/>
  <c r="Z179" i="65" l="1"/>
  <c r="AC179" i="65"/>
  <c r="AD179" i="65"/>
  <c r="T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AP180" i="63"/>
  <c r="W180" i="63"/>
  <c r="AR180" i="63"/>
  <c r="AS180" i="63"/>
  <c r="AT180" i="63"/>
  <c r="Z180" i="63"/>
  <c r="AU180" i="63"/>
  <c r="H180" i="63"/>
  <c r="V180" i="63"/>
  <c r="AC180" i="63"/>
  <c r="AQ180" i="63"/>
  <c r="A181" i="63"/>
  <c r="AC180" i="65" l="1"/>
  <c r="J180" i="65"/>
  <c r="K180" i="65"/>
  <c r="D180" i="65"/>
  <c r="G180" i="65"/>
  <c r="V180" i="65"/>
  <c r="I180" i="65"/>
  <c r="P180" i="65"/>
  <c r="O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D183" i="65" l="1"/>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AF185" i="63"/>
  <c r="AV185" i="63"/>
  <c r="AG185" i="63"/>
  <c r="AW185" i="63"/>
  <c r="AH185" i="63"/>
  <c r="AX185" i="63"/>
  <c r="T185" i="63"/>
  <c r="AJ185" i="63"/>
  <c r="U185" i="63"/>
  <c r="AK185" i="63"/>
  <c r="V185" i="63"/>
  <c r="AL185" i="63"/>
  <c r="W185" i="63"/>
  <c r="AM185" i="63"/>
  <c r="AY185" i="63"/>
  <c r="H185" i="63"/>
  <c r="G185" i="65" s="1"/>
  <c r="I185" i="63"/>
  <c r="J185" i="63"/>
  <c r="S185" i="63"/>
  <c r="Z185" i="63"/>
  <c r="AI185" i="63"/>
  <c r="AN185" i="63"/>
  <c r="AO185" i="63"/>
  <c r="AP185" i="63"/>
  <c r="Y184" i="65"/>
  <c r="A186" i="63"/>
  <c r="Z185" i="65" l="1"/>
  <c r="AC185" i="65"/>
  <c r="P185" i="65"/>
  <c r="J185" i="65"/>
  <c r="K185" i="65"/>
  <c r="D185" i="65"/>
  <c r="W185" i="65"/>
  <c r="I185" i="65"/>
  <c r="O185" i="65"/>
  <c r="AA185" i="65"/>
  <c r="Y185" i="65"/>
  <c r="I186" i="63"/>
  <c r="AO186" i="63"/>
  <c r="J186" i="63"/>
  <c r="Z186" i="63"/>
  <c r="AP186" i="63"/>
  <c r="AQ186" i="63"/>
  <c r="L186" i="63"/>
  <c r="AR186" i="63"/>
  <c r="M186" i="63"/>
  <c r="AC186" i="63"/>
  <c r="AS186" i="63"/>
  <c r="N186" i="63"/>
  <c r="AD186" i="63"/>
  <c r="AT186" i="63"/>
  <c r="O186" i="63"/>
  <c r="AE186" i="63"/>
  <c r="AU186" i="63"/>
  <c r="P186" i="63"/>
  <c r="AF186" i="63"/>
  <c r="AV186" i="63"/>
  <c r="AH186" i="63"/>
  <c r="AX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AM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W190" i="63"/>
  <c r="AM190" i="63"/>
  <c r="H190" i="63"/>
  <c r="G190" i="65" s="1"/>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J190" i="65"/>
  <c r="K190" i="65"/>
  <c r="W190" i="65"/>
  <c r="O190" i="65"/>
  <c r="AA190" i="65"/>
  <c r="I190" i="65"/>
  <c r="P190" i="65"/>
  <c r="V190" i="65"/>
  <c r="O191" i="63"/>
  <c r="AE191" i="63"/>
  <c r="AU191" i="63"/>
  <c r="P191" i="63"/>
  <c r="AF191" i="63"/>
  <c r="AV191" i="63"/>
  <c r="Q191" i="63"/>
  <c r="AG191" i="63"/>
  <c r="AW191" i="63"/>
  <c r="R191" i="63"/>
  <c r="AH191" i="63"/>
  <c r="AX191" i="63"/>
  <c r="S191" i="63"/>
  <c r="AI191" i="63"/>
  <c r="AY191" i="63"/>
  <c r="T191" i="63"/>
  <c r="AJ191" i="63"/>
  <c r="U191" i="63"/>
  <c r="AK191" i="63"/>
  <c r="V191" i="63"/>
  <c r="D191" i="65" s="1"/>
  <c r="AL191" i="63"/>
  <c r="AN191" i="63"/>
  <c r="I191" i="63"/>
  <c r="AO191" i="63"/>
  <c r="J191" i="63"/>
  <c r="Z191" i="63"/>
  <c r="AP191" i="63"/>
  <c r="K191" i="63"/>
  <c r="AQ191" i="63"/>
  <c r="L191" i="63"/>
  <c r="K191" i="65" s="1"/>
  <c r="M191" i="63"/>
  <c r="N191" i="63"/>
  <c r="AC191" i="63"/>
  <c r="AD191" i="63"/>
  <c r="AM191" i="63"/>
  <c r="AR191" i="63"/>
  <c r="AS191" i="63"/>
  <c r="AT191" i="63"/>
  <c r="Y190" i="65"/>
  <c r="A192" i="63"/>
  <c r="Z191" i="65" l="1"/>
  <c r="AB191" i="65"/>
  <c r="AC191" i="65"/>
  <c r="P191" i="65"/>
  <c r="G191" i="65"/>
  <c r="I191" i="65"/>
  <c r="V191" i="65"/>
  <c r="O191" i="65"/>
  <c r="AA191" i="65"/>
  <c r="W191" i="65"/>
  <c r="Y191" i="65"/>
  <c r="AC192" i="63"/>
  <c r="AS192" i="63"/>
  <c r="N192" i="63"/>
  <c r="AD192" i="63"/>
  <c r="AT192" i="63"/>
  <c r="O192" i="63"/>
  <c r="AE192" i="63"/>
  <c r="AU192" i="63"/>
  <c r="P192" i="63"/>
  <c r="AF192" i="63"/>
  <c r="AV192" i="63"/>
  <c r="AG192" i="63"/>
  <c r="AW192" i="63"/>
  <c r="B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K192" i="65"/>
  <c r="D192" i="65"/>
  <c r="P192" i="65"/>
  <c r="V192" i="65"/>
  <c r="G192" i="65"/>
  <c r="O192" i="65"/>
  <c r="AA192" i="65"/>
  <c r="I192" i="65"/>
  <c r="Y192" i="65"/>
  <c r="AQ193" i="63"/>
  <c r="L193" i="63"/>
  <c r="K193" i="65" s="1"/>
  <c r="AR193" i="63"/>
  <c r="M193" i="63"/>
  <c r="AC193" i="63"/>
  <c r="AS193" i="63"/>
  <c r="N193" i="63"/>
  <c r="AD193" i="63"/>
  <c r="AT193" i="63"/>
  <c r="O193" i="63"/>
  <c r="AE193" i="63"/>
  <c r="AU193" i="63"/>
  <c r="P193" i="63"/>
  <c r="AF193" i="63"/>
  <c r="AV193" i="63"/>
  <c r="AG193" i="63"/>
  <c r="AW193" i="63"/>
  <c r="B193" i="63"/>
  <c r="AH193" i="63"/>
  <c r="AX193" i="63"/>
  <c r="D193" i="63"/>
  <c r="T193" i="63"/>
  <c r="AJ193" i="63"/>
  <c r="E193" i="63"/>
  <c r="U193" i="63"/>
  <c r="AK193" i="63"/>
  <c r="F193" i="63"/>
  <c r="V193" i="63"/>
  <c r="AL193" i="63"/>
  <c r="G193" i="63"/>
  <c r="W193" i="63"/>
  <c r="AM193" i="63"/>
  <c r="AI193" i="63"/>
  <c r="AN193" i="63"/>
  <c r="AO193" i="63"/>
  <c r="AP193" i="63"/>
  <c r="AY193" i="63"/>
  <c r="C193" i="63"/>
  <c r="H193" i="63"/>
  <c r="G193" i="65" s="1"/>
  <c r="J193" i="63"/>
  <c r="X193" i="63"/>
  <c r="Y193" i="63"/>
  <c r="AE193" i="65" s="1"/>
  <c r="Z193" i="63"/>
  <c r="A194" i="63"/>
  <c r="Z193" i="65" l="1"/>
  <c r="AC193" i="65"/>
  <c r="AD193" i="65"/>
  <c r="T193" i="65"/>
  <c r="D193" i="65"/>
  <c r="J193" i="65"/>
  <c r="W193" i="65"/>
  <c r="V193" i="65"/>
  <c r="P193" i="65"/>
  <c r="I193" i="65"/>
  <c r="O193" i="65"/>
  <c r="AA193" i="65"/>
  <c r="I194" i="63"/>
  <c r="AO194" i="63"/>
  <c r="J194" i="63"/>
  <c r="Z194" i="63"/>
  <c r="AP194" i="63"/>
  <c r="AQ194" i="63"/>
  <c r="L194" i="63"/>
  <c r="AR194" i="63"/>
  <c r="M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AG199" i="63"/>
  <c r="AW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53" i="65"/>
  <c r="X97" i="65"/>
  <c r="X170" i="65"/>
  <c r="X27" i="65"/>
  <c r="X35" i="65"/>
  <c r="X43" i="65"/>
  <c r="X57" i="65"/>
  <c r="X128" i="65"/>
  <c r="X193" i="65"/>
  <c r="X28" i="65"/>
  <c r="X29" i="65"/>
  <c r="X83" i="65"/>
  <c r="X106" i="65"/>
  <c r="X145" i="65"/>
  <c r="X49" i="65"/>
  <c r="X119" i="65"/>
  <c r="X181" i="65"/>
  <c r="X196" i="65"/>
  <c r="X14" i="65"/>
  <c r="X15" i="65"/>
  <c r="X20" i="65"/>
  <c r="X36" i="65"/>
  <c r="X103" i="65"/>
  <c r="X140" i="65"/>
  <c r="X141" i="65"/>
  <c r="X154" i="65"/>
  <c r="X187" i="65"/>
  <c r="X188" i="65"/>
  <c r="X7" i="65"/>
  <c r="X84" i="65"/>
  <c r="X94" i="65"/>
  <c r="X10" i="65"/>
  <c r="X16" i="65"/>
  <c r="X69" i="65"/>
  <c r="X71" i="65"/>
  <c r="X98" i="65"/>
  <c r="X182" i="65"/>
  <c r="X195" i="65"/>
  <c r="X34" i="65"/>
  <c r="X48" i="65"/>
  <c r="X78" i="65"/>
  <c r="X105" i="65"/>
  <c r="X25" i="65"/>
  <c r="X70" i="65"/>
  <c r="X85" i="65"/>
  <c r="X100" i="65"/>
  <c r="X137" i="65"/>
  <c r="X164" i="65"/>
  <c r="X5" i="65"/>
  <c r="X62" i="65"/>
  <c r="X80" i="65"/>
  <c r="X118" i="65"/>
  <c r="X21" i="65"/>
  <c r="X38" i="65"/>
  <c r="X47" i="65"/>
  <c r="X89" i="65"/>
  <c r="X136" i="65"/>
  <c r="X162" i="65"/>
  <c r="X22" i="65"/>
  <c r="X120" i="65"/>
  <c r="X139" i="65"/>
  <c r="X183" i="65"/>
  <c r="X52" i="65"/>
  <c r="X66" i="65"/>
  <c r="X150" i="65"/>
  <c r="X165" i="65"/>
  <c r="X178" i="65"/>
  <c r="X197" i="65"/>
  <c r="X30" i="65"/>
  <c r="X76" i="65"/>
  <c r="X126" i="65"/>
  <c r="X58" i="65"/>
  <c r="X156" i="65"/>
  <c r="X176" i="65"/>
  <c r="X179" i="65"/>
  <c r="A200" i="63"/>
  <c r="C9" i="50"/>
  <c r="C17" i="50"/>
  <c r="C16" i="50"/>
  <c r="C10" i="50"/>
  <c r="C4" i="46"/>
  <c r="AC199" i="65" l="1"/>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AI200" i="63"/>
  <c r="AY200" i="63"/>
  <c r="T200" i="63"/>
  <c r="AJ200" i="63"/>
  <c r="V200" i="63"/>
  <c r="AL200" i="63"/>
  <c r="W200" i="63"/>
  <c r="AM200" i="63"/>
  <c r="H200" i="63"/>
  <c r="AN200" i="63"/>
  <c r="I200" i="63"/>
  <c r="AO200" i="63"/>
  <c r="J200" i="63"/>
  <c r="L200" i="63"/>
  <c r="U200" i="63"/>
  <c r="Z200" i="63"/>
  <c r="AK200" i="63"/>
  <c r="AP200" i="63"/>
  <c r="AQ200" i="63"/>
  <c r="AR200" i="63"/>
  <c r="Y199" i="65"/>
  <c r="X111" i="65"/>
  <c r="X104" i="65"/>
  <c r="X131" i="65"/>
  <c r="X81" i="65"/>
  <c r="X127" i="65"/>
  <c r="X75" i="65"/>
  <c r="X19" i="65"/>
  <c r="X159" i="65"/>
  <c r="X146" i="65"/>
  <c r="X161" i="65"/>
  <c r="X125" i="65"/>
  <c r="X99" i="65"/>
  <c r="X55" i="65"/>
  <c r="X112" i="65"/>
  <c r="X160" i="65"/>
  <c r="X198" i="65"/>
  <c r="X117" i="65"/>
  <c r="X132" i="65"/>
  <c r="X95" i="65"/>
  <c r="X11" i="65"/>
  <c r="X39" i="65"/>
  <c r="X72" i="65"/>
  <c r="X123" i="65"/>
  <c r="X190" i="65"/>
  <c r="X109" i="65"/>
  <c r="X77" i="65"/>
  <c r="X175" i="65"/>
  <c r="X168" i="65"/>
  <c r="X167" i="65"/>
  <c r="X122" i="65"/>
  <c r="X155" i="65"/>
  <c r="X173" i="65"/>
  <c r="X33" i="65"/>
  <c r="X41" i="65"/>
  <c r="X134" i="65"/>
  <c r="X67" i="65"/>
  <c r="X151" i="65"/>
  <c r="X147" i="65"/>
  <c r="X184" i="65"/>
  <c r="X90" i="65"/>
  <c r="X174" i="65"/>
  <c r="X114" i="65"/>
  <c r="X113" i="65"/>
  <c r="X192" i="65"/>
  <c r="X153" i="65"/>
  <c r="X91" i="65"/>
  <c r="X56" i="65"/>
  <c r="X133" i="65"/>
  <c r="X13" i="65"/>
  <c r="X148" i="65"/>
  <c r="X86" i="65"/>
  <c r="X44" i="65"/>
  <c r="X92" i="65"/>
  <c r="X24" i="65"/>
  <c r="X42" i="65"/>
  <c r="X142" i="65"/>
  <c r="X108" i="65"/>
  <c r="X63" i="65"/>
  <c r="X64" i="65"/>
  <c r="X8" i="65"/>
  <c r="X189" i="65"/>
  <c r="X169" i="65"/>
  <c r="X6" i="65"/>
  <c r="M20" i="65"/>
  <c r="S49" i="65"/>
  <c r="M8" i="65"/>
  <c r="N20" i="65"/>
  <c r="N23" i="65"/>
  <c r="N7" i="65"/>
  <c r="S15" i="65"/>
  <c r="S10" i="65"/>
  <c r="X61" i="65"/>
  <c r="N13" i="65"/>
  <c r="N17" i="65"/>
  <c r="S42" i="65"/>
  <c r="M44" i="65"/>
  <c r="S53" i="65"/>
  <c r="M2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U151" i="65"/>
  <c r="S154" i="65"/>
  <c r="M157" i="65"/>
  <c r="M163" i="65"/>
  <c r="S164" i="65"/>
  <c r="S172" i="65"/>
  <c r="M125" i="65"/>
  <c r="S135" i="65"/>
  <c r="N144" i="65"/>
  <c r="S156" i="65"/>
  <c r="M165" i="65"/>
  <c r="N167" i="65"/>
  <c r="N170" i="65"/>
  <c r="N179" i="65"/>
  <c r="S184" i="65"/>
  <c r="M186" i="65"/>
  <c r="U187" i="65"/>
  <c r="M131" i="65"/>
  <c r="M137" i="65"/>
  <c r="S145" i="65"/>
  <c r="M149" i="65"/>
  <c r="N174" i="65"/>
  <c r="S189" i="65"/>
  <c r="M194" i="65"/>
  <c r="M185" i="65"/>
  <c r="S192" i="65"/>
  <c r="U195" i="65"/>
  <c r="N198" i="65"/>
  <c r="A201" i="63"/>
  <c r="C19" i="50"/>
  <c r="E4" i="46"/>
  <c r="AC200" i="65" l="1"/>
  <c r="J200" i="65"/>
  <c r="D200" i="65"/>
  <c r="K200" i="65"/>
  <c r="V200" i="65"/>
  <c r="P200" i="65"/>
  <c r="I200" i="65"/>
  <c r="W200" i="65"/>
  <c r="G200" i="65"/>
  <c r="Z200" i="65"/>
  <c r="O200" i="65"/>
  <c r="AA200" i="65"/>
  <c r="M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M130" i="65"/>
  <c r="N108" i="65"/>
  <c r="S199" i="65"/>
  <c r="S36" i="65"/>
  <c r="S103" i="65"/>
  <c r="S112" i="65"/>
  <c r="N113" i="65"/>
  <c r="M95" i="65"/>
  <c r="M32" i="65"/>
  <c r="S43" i="65"/>
  <c r="S25" i="65"/>
  <c r="U27" i="65"/>
  <c r="N52" i="65"/>
  <c r="U111" i="65"/>
  <c r="U112" i="65"/>
  <c r="U30" i="65"/>
  <c r="U49" i="65"/>
  <c r="N4" i="65"/>
  <c r="N95" i="65"/>
  <c r="S122" i="65"/>
  <c r="M199" i="65"/>
  <c r="S194" i="65"/>
  <c r="N183" i="65"/>
  <c r="S70" i="65"/>
  <c r="S28" i="65"/>
  <c r="S136" i="65"/>
  <c r="N102" i="65"/>
  <c r="N117" i="65"/>
  <c r="M63" i="65"/>
  <c r="N48" i="65"/>
  <c r="N125" i="65"/>
  <c r="H50" i="65"/>
  <c r="H25" i="65"/>
  <c r="N168" i="65"/>
  <c r="M147" i="65"/>
  <c r="N135" i="65"/>
  <c r="N116" i="65"/>
  <c r="S88" i="65"/>
  <c r="N94" i="65"/>
  <c r="S104" i="65"/>
  <c r="M61" i="65"/>
  <c r="S62" i="65"/>
  <c r="M48" i="65"/>
  <c r="S17" i="65"/>
  <c r="N62" i="65"/>
  <c r="N43" i="65"/>
  <c r="N64" i="65"/>
  <c r="M169" i="65"/>
  <c r="N86" i="65"/>
  <c r="S71" i="65"/>
  <c r="U183" i="65"/>
  <c r="S174" i="65"/>
  <c r="M140" i="65"/>
  <c r="S158" i="65"/>
  <c r="M128" i="65"/>
  <c r="S141" i="65"/>
  <c r="S169" i="65"/>
  <c r="N150" i="65"/>
  <c r="S142" i="65"/>
  <c r="N180" i="65"/>
  <c r="S126" i="65"/>
  <c r="U109" i="65"/>
  <c r="S89" i="65"/>
  <c r="M51" i="65"/>
  <c r="M91" i="65"/>
  <c r="N57" i="65"/>
  <c r="U103" i="65"/>
  <c r="M97" i="65"/>
  <c r="S63" i="65"/>
  <c r="N111" i="65"/>
  <c r="M56" i="65"/>
  <c r="N29" i="65"/>
  <c r="S58" i="65"/>
  <c r="U25" i="65"/>
  <c r="N27" i="65"/>
  <c r="S39" i="65"/>
  <c r="M10" i="65"/>
  <c r="S101" i="65"/>
  <c r="S57" i="65"/>
  <c r="N37" i="65"/>
  <c r="N32" i="65"/>
  <c r="N81" i="65"/>
  <c r="N60" i="65"/>
  <c r="N31" i="65"/>
  <c r="S59" i="65"/>
  <c r="S23" i="65"/>
  <c r="M161" i="65"/>
  <c r="S80" i="65"/>
  <c r="M129" i="65"/>
  <c r="S113" i="65"/>
  <c r="N84" i="65"/>
  <c r="M55" i="65"/>
  <c r="S60" i="65"/>
  <c r="N30" i="65"/>
  <c r="M24" i="65"/>
  <c r="U6" i="65"/>
  <c r="S87" i="65"/>
  <c r="N22" i="65"/>
  <c r="M153" i="65"/>
  <c r="S74" i="65"/>
  <c r="U72" i="65"/>
  <c r="M143" i="65"/>
  <c r="N58" i="65"/>
  <c r="S33" i="65"/>
  <c r="N73" i="65"/>
  <c r="U55" i="65"/>
  <c r="S44" i="65"/>
  <c r="U36" i="65"/>
  <c r="H59" i="65"/>
  <c r="H70" i="65"/>
  <c r="H111" i="65"/>
  <c r="H11" i="65"/>
  <c r="S56" i="65"/>
  <c r="H133" i="65"/>
  <c r="U193" i="65"/>
  <c r="N26" i="65"/>
  <c r="N124" i="65"/>
  <c r="N15" i="65"/>
  <c r="S12" i="65"/>
  <c r="S180" i="65"/>
  <c r="U156" i="65"/>
  <c r="S185" i="65"/>
  <c r="U118" i="65"/>
  <c r="S78" i="65"/>
  <c r="U100" i="65"/>
  <c r="N146" i="65"/>
  <c r="M155" i="65"/>
  <c r="U71" i="65"/>
  <c r="M36" i="65"/>
  <c r="N21" i="65"/>
  <c r="S22"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N129" i="65"/>
  <c r="U62" i="65"/>
  <c r="S98" i="65"/>
  <c r="M42" i="65"/>
  <c r="U64" i="65"/>
  <c r="N44" i="65"/>
  <c r="U20" i="65"/>
  <c r="M30" i="65"/>
  <c r="M14" i="65"/>
  <c r="M28" i="65"/>
  <c r="U10" i="65"/>
  <c r="H169" i="65"/>
  <c r="H96" i="65"/>
  <c r="H185" i="65"/>
  <c r="H89" i="65"/>
  <c r="H162" i="65"/>
  <c r="H142" i="65"/>
  <c r="H183" i="65"/>
  <c r="H182" i="65"/>
  <c r="H172" i="65"/>
  <c r="H42" i="65"/>
  <c r="H87" i="65"/>
  <c r="H118" i="65"/>
  <c r="S138" i="65"/>
  <c r="U188" i="65"/>
  <c r="M179" i="65"/>
  <c r="S137" i="65"/>
  <c r="N123" i="65"/>
  <c r="M158" i="65"/>
  <c r="U125" i="65"/>
  <c r="M107" i="65"/>
  <c r="N106" i="65"/>
  <c r="U142" i="65"/>
  <c r="S151" i="65"/>
  <c r="M101" i="65"/>
  <c r="N41" i="65"/>
  <c r="S105" i="65"/>
  <c r="U63" i="65"/>
  <c r="M29" i="65"/>
  <c r="M49" i="65"/>
  <c r="U11"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U165" i="65"/>
  <c r="S178" i="65"/>
  <c r="M160" i="65"/>
  <c r="U137"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U81"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U123" i="65"/>
  <c r="S85"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U53"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S124" i="65"/>
  <c r="M76" i="65"/>
  <c r="N88" i="65"/>
  <c r="M104" i="65"/>
  <c r="U86" i="65"/>
  <c r="M111" i="65"/>
  <c r="M80" i="65"/>
  <c r="M108" i="65"/>
  <c r="S97" i="65"/>
  <c r="N53" i="65"/>
  <c r="S32" i="65"/>
  <c r="M58" i="65"/>
  <c r="M40" i="65"/>
  <c r="M11" i="65"/>
  <c r="U28" i="65"/>
  <c r="M22" i="65"/>
  <c r="U5" i="65"/>
  <c r="N56" i="65"/>
  <c r="S4" i="65"/>
  <c r="H131" i="65"/>
  <c r="H16" i="65"/>
  <c r="H102" i="65"/>
  <c r="H139" i="65"/>
  <c r="H45" i="65"/>
  <c r="H61" i="65"/>
  <c r="H168" i="65"/>
  <c r="H184" i="65"/>
  <c r="H166" i="65"/>
  <c r="H46" i="65"/>
  <c r="N200" i="65"/>
  <c r="N196" i="65"/>
  <c r="M175" i="65"/>
  <c r="S166" i="65"/>
  <c r="M145" i="65"/>
  <c r="M196" i="65"/>
  <c r="N163" i="65"/>
  <c r="U76" i="65"/>
  <c r="N98" i="65"/>
  <c r="N151" i="65"/>
  <c r="H92" i="65"/>
  <c r="M100"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S133" i="65"/>
  <c r="M123" i="65"/>
  <c r="N104" i="65"/>
  <c r="U136" i="65"/>
  <c r="N115" i="65"/>
  <c r="M113" i="65"/>
  <c r="S91" i="65"/>
  <c r="M73" i="65"/>
  <c r="N51" i="65"/>
  <c r="N47" i="65"/>
  <c r="M114" i="65"/>
  <c r="N24" i="65"/>
  <c r="M75" i="65"/>
  <c r="U56" i="65"/>
  <c r="U39" i="65"/>
  <c r="M4" i="65"/>
  <c r="N54" i="65"/>
  <c r="N19" i="65"/>
  <c r="U84" i="65"/>
  <c r="H34" i="65"/>
  <c r="H94" i="65"/>
  <c r="H3" i="65"/>
  <c r="H75" i="65"/>
  <c r="H149" i="65"/>
  <c r="H198" i="65"/>
  <c r="H90" i="65"/>
  <c r="H106" i="65"/>
  <c r="H194" i="65"/>
  <c r="H57" i="65"/>
  <c r="H81" i="65"/>
  <c r="H17" i="65"/>
  <c r="M190" i="65"/>
  <c r="N185" i="65"/>
  <c r="N169" i="65"/>
  <c r="N187" i="65"/>
  <c r="S193" i="65"/>
  <c r="U192" i="65"/>
  <c r="N190" i="65"/>
  <c r="U105" i="65"/>
  <c r="U190" i="65"/>
  <c r="U154" i="65"/>
  <c r="U97" i="65"/>
  <c r="M124" i="65"/>
  <c r="M132" i="65"/>
  <c r="N80" i="65"/>
  <c r="U94" i="65"/>
  <c r="U67" i="65"/>
  <c r="S90" i="65"/>
  <c r="N157" i="65"/>
  <c r="S117" i="65"/>
  <c r="N82" i="65"/>
  <c r="N45" i="65"/>
  <c r="U35" i="65"/>
  <c r="M7" i="65"/>
  <c r="M12" i="65"/>
  <c r="U24" i="65"/>
  <c r="M74" i="65"/>
  <c r="U8" i="65"/>
  <c r="H86" i="65"/>
  <c r="H163" i="65"/>
  <c r="H146" i="65"/>
  <c r="H53" i="65"/>
  <c r="H156" i="65"/>
  <c r="H153" i="65"/>
  <c r="H120" i="65"/>
  <c r="H197" i="65"/>
  <c r="H145" i="65"/>
  <c r="H23" i="65"/>
  <c r="H101" i="65"/>
  <c r="U175" i="65"/>
  <c r="S177" i="65"/>
  <c r="S198" i="65"/>
  <c r="U179" i="65"/>
  <c r="U164" i="65"/>
  <c r="S153" i="65"/>
  <c r="U189" i="65"/>
  <c r="S160" i="65"/>
  <c r="M189" i="65"/>
  <c r="N147" i="65"/>
  <c r="N68" i="65"/>
  <c r="U141" i="65"/>
  <c r="S131" i="65"/>
  <c r="U113" i="65"/>
  <c r="U95" i="65"/>
  <c r="U150" i="65"/>
  <c r="N93" i="65"/>
  <c r="S109" i="65"/>
  <c r="U80" i="65"/>
  <c r="U70" i="65"/>
  <c r="U48" i="65"/>
  <c r="S54" i="65"/>
  <c r="N72" i="65"/>
  <c r="M54" i="65"/>
  <c r="M92" i="65"/>
  <c r="M23" i="65"/>
  <c r="S34" i="65"/>
  <c r="S66"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93" i="65"/>
  <c r="B10" i="65"/>
  <c r="B50" i="65"/>
  <c r="B128" i="65"/>
  <c r="B41" i="65"/>
  <c r="B62" i="65"/>
  <c r="B126" i="65"/>
  <c r="B80" i="65"/>
  <c r="B33" i="65"/>
  <c r="B111" i="65"/>
  <c r="B197" i="65"/>
  <c r="B64" i="65"/>
  <c r="B119" i="65"/>
  <c r="B104" i="65"/>
  <c r="B179" i="65"/>
  <c r="B85" i="65"/>
  <c r="B148" i="65"/>
  <c r="B67" i="65"/>
  <c r="B81" i="65"/>
  <c r="B44" i="65"/>
  <c r="B16" i="65"/>
  <c r="B98" i="65"/>
  <c r="B160" i="65"/>
  <c r="B76" i="65"/>
  <c r="B139" i="65"/>
  <c r="B195" i="65"/>
  <c r="B176" i="65"/>
  <c r="B84" i="65"/>
  <c r="B142" i="65"/>
  <c r="B173" i="65"/>
  <c r="B13" i="65"/>
  <c r="B164" i="65"/>
  <c r="B140" i="65"/>
  <c r="B118" i="65"/>
  <c r="B168" i="65"/>
  <c r="B49" i="65"/>
  <c r="B108" i="65"/>
  <c r="B58" i="65"/>
  <c r="B57" i="65"/>
  <c r="B146" i="65"/>
  <c r="B56" i="65"/>
  <c r="B53" i="65"/>
  <c r="B70" i="65"/>
  <c r="B183" i="65"/>
  <c r="B52" i="65"/>
  <c r="B178" i="65"/>
  <c r="B66" i="65"/>
  <c r="B15" i="65"/>
  <c r="B198" i="65"/>
  <c r="B147" i="65"/>
  <c r="B182" i="65"/>
  <c r="B34" i="65"/>
  <c r="B132" i="65"/>
  <c r="B165" i="65"/>
  <c r="B55" i="65"/>
  <c r="B187" i="65"/>
  <c r="B83" i="65"/>
  <c r="B100" i="65"/>
  <c r="B133" i="65"/>
  <c r="B184" i="65"/>
  <c r="B103" i="65"/>
  <c r="B141" i="65"/>
  <c r="B48" i="65"/>
  <c r="B38" i="65"/>
  <c r="B39" i="65"/>
  <c r="B7" i="65"/>
  <c r="B75" i="65"/>
  <c r="B114" i="65"/>
  <c r="B8" i="65"/>
  <c r="B122" i="65"/>
  <c r="B42" i="65"/>
  <c r="B90" i="65"/>
  <c r="B24" i="65"/>
  <c r="B5" i="65"/>
  <c r="B72" i="65"/>
  <c r="B127" i="65"/>
  <c r="B188" i="65"/>
  <c r="B154" i="65"/>
  <c r="B150" i="65"/>
  <c r="B43" i="65"/>
  <c r="B136" i="65"/>
  <c r="B137" i="65"/>
  <c r="B89" i="65"/>
  <c r="B155" i="65"/>
  <c r="B167" i="65"/>
  <c r="B20" i="65"/>
  <c r="B120" i="65"/>
  <c r="B35" i="65"/>
  <c r="B123" i="65"/>
  <c r="B153" i="65"/>
  <c r="B78" i="65"/>
  <c r="B109" i="65"/>
  <c r="B99" i="65"/>
  <c r="B19" i="65"/>
  <c r="B156" i="65"/>
  <c r="B22" i="65"/>
  <c r="B105" i="65"/>
  <c r="B159" i="65"/>
  <c r="B28" i="65"/>
  <c r="B95" i="65"/>
  <c r="B175" i="65"/>
  <c r="B36" i="65"/>
  <c r="B151" i="65"/>
  <c r="B189" i="65"/>
  <c r="B170" i="65"/>
  <c r="B11" i="65"/>
  <c r="B190" i="65"/>
  <c r="B21" i="65"/>
  <c r="B71" i="65"/>
  <c r="B125" i="65"/>
  <c r="B94" i="65"/>
  <c r="B97" i="65"/>
  <c r="B25" i="65"/>
  <c r="B174" i="65"/>
  <c r="B117" i="65"/>
  <c r="B77" i="65"/>
  <c r="B27" i="65"/>
  <c r="B14" i="65"/>
  <c r="B92" i="65"/>
  <c r="B145" i="65"/>
  <c r="B131" i="65"/>
  <c r="B61" i="65"/>
  <c r="B161" i="65"/>
  <c r="B181" i="65"/>
  <c r="B106" i="65"/>
  <c r="B6" i="65"/>
  <c r="B169" i="65"/>
  <c r="B192" i="65"/>
  <c r="B91" i="65"/>
  <c r="B69" i="65"/>
  <c r="B63" i="65"/>
  <c r="B162" i="65"/>
  <c r="B29" i="65"/>
  <c r="B30" i="65"/>
  <c r="B134" i="65"/>
  <c r="B112" i="65"/>
  <c r="B47" i="65"/>
  <c r="A202" i="63"/>
  <c r="AC201" i="65" l="1"/>
  <c r="AD201" i="65"/>
  <c r="Z201" i="65"/>
  <c r="D201" i="65"/>
  <c r="J201" i="65"/>
  <c r="K201" i="65"/>
  <c r="G201" i="65"/>
  <c r="X201" i="65"/>
  <c r="T201" i="65"/>
  <c r="W201" i="65"/>
  <c r="I201" i="65"/>
  <c r="O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S205" i="63"/>
  <c r="AI205" i="63"/>
  <c r="AY205" i="63"/>
  <c r="T205" i="63"/>
  <c r="AJ205" i="63"/>
  <c r="U205" i="63"/>
  <c r="AK205" i="63"/>
  <c r="AL205" i="63"/>
  <c r="W205" i="63"/>
  <c r="AM205" i="63"/>
  <c r="H205" i="63"/>
  <c r="AN205" i="63"/>
  <c r="AD205" i="63"/>
  <c r="AT205" i="63"/>
  <c r="O205" i="63"/>
  <c r="AE205" i="63"/>
  <c r="AU205" i="63"/>
  <c r="AC205" i="63"/>
  <c r="AF205" i="63"/>
  <c r="AG205" i="63"/>
  <c r="AH205" i="63"/>
  <c r="I205" i="63"/>
  <c r="AO205" i="63"/>
  <c r="J205" i="63"/>
  <c r="AP205" i="63"/>
  <c r="K205" i="63"/>
  <c r="AQ205" i="63"/>
  <c r="L205" i="63"/>
  <c r="AR205" i="63"/>
  <c r="M205" i="63"/>
  <c r="AS205" i="63"/>
  <c r="P205" i="63"/>
  <c r="AV205" i="63"/>
  <c r="Q205" i="63"/>
  <c r="AW205" i="63"/>
  <c r="R205" i="63"/>
  <c r="Z205" i="63"/>
  <c r="AX205" i="63"/>
  <c r="U204" i="65"/>
  <c r="S204" i="65"/>
  <c r="Y204" i="65"/>
  <c r="N204" i="65"/>
  <c r="H204" i="65"/>
  <c r="A206" i="63"/>
  <c r="C7" i="50"/>
  <c r="C86" i="5" s="1"/>
  <c r="D86" i="5" s="1"/>
  <c r="E86" i="5" s="1"/>
  <c r="F86" i="5" s="1"/>
  <c r="G86" i="5" s="1"/>
  <c r="H86" i="5" s="1"/>
  <c r="I86" i="5" s="1"/>
  <c r="J86" i="5" s="1"/>
  <c r="K86" i="5" s="1"/>
  <c r="L86" i="5" s="1"/>
  <c r="M86" i="5" s="1"/>
  <c r="N86" i="5" s="1"/>
  <c r="D7" i="50" s="1"/>
  <c r="C6" i="50"/>
  <c r="AB205" i="65" l="1"/>
  <c r="AC205" i="65"/>
  <c r="D205" i="65"/>
  <c r="K205" i="65"/>
  <c r="V205" i="65"/>
  <c r="G205" i="65"/>
  <c r="W205" i="65"/>
  <c r="Z205" i="65"/>
  <c r="O205" i="65"/>
  <c r="AA205" i="65"/>
  <c r="I205" i="65"/>
  <c r="P205" i="65"/>
  <c r="AG206" i="63"/>
  <c r="AW206" i="63"/>
  <c r="B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AU206" i="63"/>
  <c r="P206" i="63"/>
  <c r="AV206" i="63"/>
  <c r="W206" i="63"/>
  <c r="X206" i="63"/>
  <c r="Y206" i="63"/>
  <c r="AE206" i="65" s="1"/>
  <c r="Z206" i="63"/>
  <c r="AD206" i="63"/>
  <c r="AE206" i="63"/>
  <c r="G206" i="63"/>
  <c r="H206" i="63"/>
  <c r="AF206" i="63"/>
  <c r="AM206" i="63"/>
  <c r="AN206" i="63"/>
  <c r="S205" i="65"/>
  <c r="H205" i="65"/>
  <c r="Y205" i="65"/>
  <c r="M205" i="65"/>
  <c r="N205" i="65"/>
  <c r="A207" i="63"/>
  <c r="C14" i="50"/>
  <c r="C21" i="50" s="1"/>
  <c r="G4" i="46" s="1"/>
  <c r="D4" i="46"/>
  <c r="F4" i="46" s="1"/>
  <c r="AC206" i="65" l="1"/>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B207" i="63"/>
  <c r="AH207" i="63"/>
  <c r="AX207" i="63"/>
  <c r="C207" i="63"/>
  <c r="AI207" i="63"/>
  <c r="AY207" i="63"/>
  <c r="D207" i="63"/>
  <c r="T207" i="63"/>
  <c r="AJ207" i="63"/>
  <c r="J207" i="63"/>
  <c r="Z207" i="63"/>
  <c r="AP207" i="63"/>
  <c r="AQ207" i="63"/>
  <c r="W207" i="63"/>
  <c r="X207" i="63"/>
  <c r="Y207" i="63"/>
  <c r="AE207" i="65" s="1"/>
  <c r="AC207" i="63"/>
  <c r="AD207" i="63"/>
  <c r="E207" i="63"/>
  <c r="AK207" i="63"/>
  <c r="F207" i="63"/>
  <c r="AL207" i="63"/>
  <c r="G207" i="63"/>
  <c r="AM207" i="63"/>
  <c r="H207" i="63"/>
  <c r="AN207" i="63"/>
  <c r="I207" i="63"/>
  <c r="AO207" i="63"/>
  <c r="L207" i="63"/>
  <c r="AR207" i="63"/>
  <c r="M207" i="63"/>
  <c r="AS207" i="63"/>
  <c r="N207" i="63"/>
  <c r="U207" i="63"/>
  <c r="V207" i="63"/>
  <c r="AT207" i="63"/>
  <c r="N206" i="65"/>
  <c r="H206" i="65"/>
  <c r="U206" i="65"/>
  <c r="M206" i="65"/>
  <c r="Y206" i="65"/>
  <c r="A208" i="63"/>
  <c r="B75" i="5"/>
  <c r="B69" i="5"/>
  <c r="B63" i="5"/>
  <c r="B40" i="5"/>
  <c r="C4" i="5"/>
  <c r="AC207" i="65" l="1"/>
  <c r="AD207" i="65"/>
  <c r="C61" i="5"/>
  <c r="D207" i="65"/>
  <c r="K207" i="65"/>
  <c r="J207" i="65"/>
  <c r="X207" i="65"/>
  <c r="T207" i="65"/>
  <c r="P207" i="65"/>
  <c r="G207" i="65"/>
  <c r="V207" i="65"/>
  <c r="Z207" i="65"/>
  <c r="W207" i="65"/>
  <c r="I207" i="65"/>
  <c r="B207" i="65"/>
  <c r="O207" i="65"/>
  <c r="AA207" i="65"/>
  <c r="C58" i="5"/>
  <c r="C59" i="5"/>
  <c r="B2" i="83"/>
  <c r="M208" i="63"/>
  <c r="AC208" i="63"/>
  <c r="AS208" i="63"/>
  <c r="AD208" i="63"/>
  <c r="AT208" i="63"/>
  <c r="O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H207" i="65"/>
  <c r="U207" i="65"/>
  <c r="M207" i="65"/>
  <c r="S207" i="65"/>
  <c r="N207" i="65"/>
  <c r="C20" i="5"/>
  <c r="C21" i="5"/>
  <c r="C73" i="5"/>
  <c r="C57" i="5"/>
  <c r="C48" i="5"/>
  <c r="C49" i="5"/>
  <c r="C36" i="5"/>
  <c r="C37" i="5"/>
  <c r="C35" i="5"/>
  <c r="C38" i="5"/>
  <c r="A209" i="63"/>
  <c r="D4" i="5"/>
  <c r="O208" i="65" l="1"/>
  <c r="AC208" i="65"/>
  <c r="D208" i="65"/>
  <c r="AA208" i="65"/>
  <c r="W208" i="65"/>
  <c r="P208" i="65"/>
  <c r="V208" i="65"/>
  <c r="Z208" i="65"/>
  <c r="I208" i="65"/>
  <c r="G208" i="65"/>
  <c r="D58" i="5"/>
  <c r="D61" i="5"/>
  <c r="C2" i="83"/>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49"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D2" i="83"/>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73"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E2" i="83"/>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20" i="5"/>
  <c r="F36" i="5"/>
  <c r="F37" i="5"/>
  <c r="F38" i="5"/>
  <c r="F35" i="5"/>
  <c r="A212" i="63"/>
  <c r="D40" i="5"/>
  <c r="G4" i="5"/>
  <c r="AB211" i="65" l="1"/>
  <c r="AC211" i="65"/>
  <c r="AD211" i="65"/>
  <c r="J211" i="65"/>
  <c r="D211" i="65"/>
  <c r="K211" i="65"/>
  <c r="X211" i="65"/>
  <c r="T211" i="65"/>
  <c r="V211" i="65"/>
  <c r="W211" i="65"/>
  <c r="G211" i="65"/>
  <c r="B211" i="65"/>
  <c r="O211" i="65"/>
  <c r="AA211" i="65"/>
  <c r="Z211" i="65"/>
  <c r="I211" i="65"/>
  <c r="G59" i="5"/>
  <c r="G58" i="5"/>
  <c r="G61" i="5"/>
  <c r="F2" i="83"/>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4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G2" i="83"/>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AW213" i="63"/>
  <c r="AX213" i="63"/>
  <c r="Z213" i="63"/>
  <c r="AC213" i="63"/>
  <c r="AF213" i="63"/>
  <c r="AG213" i="63"/>
  <c r="I213" i="63"/>
  <c r="J213" i="63"/>
  <c r="AH213" i="63"/>
  <c r="AO213" i="63"/>
  <c r="AP213" i="63"/>
  <c r="M212" i="65"/>
  <c r="Y212" i="65"/>
  <c r="N212" i="65"/>
  <c r="U212" i="65"/>
  <c r="S212" i="65"/>
  <c r="H212" i="65"/>
  <c r="H21" i="5"/>
  <c r="H73" i="5"/>
  <c r="H57" i="5"/>
  <c r="H37" i="5"/>
  <c r="H38" i="5"/>
  <c r="H35" i="5"/>
  <c r="H36" i="5"/>
  <c r="A214" i="63"/>
  <c r="F40" i="5"/>
  <c r="I4" i="5"/>
  <c r="AC213" i="65" l="1"/>
  <c r="J213" i="65"/>
  <c r="K213" i="65"/>
  <c r="W213" i="65"/>
  <c r="G213" i="65"/>
  <c r="I213" i="65"/>
  <c r="O213" i="65"/>
  <c r="AA213" i="65"/>
  <c r="P213" i="65"/>
  <c r="Z213" i="65"/>
  <c r="V213" i="65"/>
  <c r="I59" i="5"/>
  <c r="I58" i="5"/>
  <c r="I61" i="5"/>
  <c r="H2" i="83"/>
  <c r="AG214" i="63"/>
  <c r="AW214" i="63"/>
  <c r="AH214" i="63"/>
  <c r="AX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I2" i="83"/>
  <c r="O215" i="63"/>
  <c r="AE215" i="63"/>
  <c r="AU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J37" i="5"/>
  <c r="A216" i="63"/>
  <c r="H40" i="5"/>
  <c r="K4" i="5"/>
  <c r="AC215" i="65" l="1"/>
  <c r="AD215" i="65"/>
  <c r="J215" i="65"/>
  <c r="D215" i="65"/>
  <c r="K215" i="65"/>
  <c r="B215" i="65"/>
  <c r="X215" i="65"/>
  <c r="T215" i="65"/>
  <c r="I215" i="65"/>
  <c r="W215" i="65"/>
  <c r="V215" i="65"/>
  <c r="P215" i="65"/>
  <c r="G215" i="65"/>
  <c r="O215" i="65"/>
  <c r="AA215" i="65"/>
  <c r="Z215" i="65"/>
  <c r="J2" i="83"/>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K2" i="83"/>
  <c r="N216" i="65"/>
  <c r="AQ217" i="63"/>
  <c r="L217" i="63"/>
  <c r="AR217" i="63"/>
  <c r="N217" i="63"/>
  <c r="AD217" i="63"/>
  <c r="AT217" i="63"/>
  <c r="P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L2" i="83"/>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M2" i="83"/>
  <c r="N218" i="65"/>
  <c r="L219" i="63"/>
  <c r="AR219" i="63"/>
  <c r="M219" i="63"/>
  <c r="AC219" i="63"/>
  <c r="AS219" i="63"/>
  <c r="N219" i="63"/>
  <c r="AD219" i="63"/>
  <c r="AT219" i="63"/>
  <c r="O219" i="63"/>
  <c r="AE219" i="63"/>
  <c r="AU219" i="63"/>
  <c r="AF219" i="63"/>
  <c r="AV219" i="63"/>
  <c r="Q219" i="63"/>
  <c r="AG219" i="63"/>
  <c r="AW219" i="63"/>
  <c r="R219" i="63"/>
  <c r="AH219" i="63"/>
  <c r="AX219" i="63"/>
  <c r="S219" i="63"/>
  <c r="AI219" i="63"/>
  <c r="AY219" i="63"/>
  <c r="T219" i="63"/>
  <c r="AJ219" i="63"/>
  <c r="U219" i="63"/>
  <c r="AK219" i="63"/>
  <c r="V219" i="63"/>
  <c r="AL219" i="63"/>
  <c r="AM219" i="63"/>
  <c r="AN219" i="63"/>
  <c r="AQ219" i="63"/>
  <c r="I219" i="63"/>
  <c r="J219" i="63"/>
  <c r="K219" i="63"/>
  <c r="Z219" i="63"/>
  <c r="AP219" i="63"/>
  <c r="AO219" i="63"/>
  <c r="U218" i="65"/>
  <c r="S218" i="65"/>
  <c r="M218" i="65"/>
  <c r="Y218" i="65"/>
  <c r="H218" i="65"/>
  <c r="N37" i="5"/>
  <c r="A220" i="63"/>
  <c r="AC219" i="65" l="1"/>
  <c r="AB219" i="65"/>
  <c r="P219" i="65"/>
  <c r="D219" i="65"/>
  <c r="K219" i="65"/>
  <c r="O219" i="65"/>
  <c r="AA219" i="65"/>
  <c r="W219" i="65"/>
  <c r="V219" i="65"/>
  <c r="G219" i="65"/>
  <c r="I219" i="65"/>
  <c r="Z219" i="65"/>
  <c r="J220" i="63"/>
  <c r="Z220" i="63"/>
  <c r="AP220" i="63"/>
  <c r="K220" i="63"/>
  <c r="AQ220" i="63"/>
  <c r="L220" i="63"/>
  <c r="AR220" i="63"/>
  <c r="M220" i="63"/>
  <c r="AC220" i="63"/>
  <c r="AS220" i="63"/>
  <c r="N220" i="63"/>
  <c r="AD220" i="63"/>
  <c r="AT220" i="63"/>
  <c r="O220" i="63"/>
  <c r="AE220" i="63"/>
  <c r="AU220" i="63"/>
  <c r="P220" i="63"/>
  <c r="AF220" i="63"/>
  <c r="AV220" i="63"/>
  <c r="AG220" i="63"/>
  <c r="AW220" i="63"/>
  <c r="B220" i="63"/>
  <c r="AH220" i="63"/>
  <c r="AX220" i="63"/>
  <c r="C220" i="63"/>
  <c r="S220" i="63"/>
  <c r="AI220" i="63"/>
  <c r="AY220" i="63"/>
  <c r="D220" i="63"/>
  <c r="T220" i="63"/>
  <c r="AJ220" i="63"/>
  <c r="E220" i="63"/>
  <c r="U220" i="63"/>
  <c r="AK220" i="63"/>
  <c r="F220" i="63"/>
  <c r="V220" i="63"/>
  <c r="AL220" i="63"/>
  <c r="G220" i="63"/>
  <c r="H220" i="63"/>
  <c r="W220" i="63"/>
  <c r="X220" i="63"/>
  <c r="Y220" i="63"/>
  <c r="AE220" i="65" s="1"/>
  <c r="AM220" i="63"/>
  <c r="AN220" i="63"/>
  <c r="AO220" i="63"/>
  <c r="M219" i="65"/>
  <c r="Y219" i="65"/>
  <c r="H219" i="65"/>
  <c r="S219" i="65"/>
  <c r="A221" i="63"/>
  <c r="AD220" i="65" l="1"/>
  <c r="AC220" i="65"/>
  <c r="O220" i="65"/>
  <c r="J220" i="65"/>
  <c r="D220" i="65"/>
  <c r="K220" i="65"/>
  <c r="P220" i="65"/>
  <c r="X220" i="65"/>
  <c r="T220" i="65"/>
  <c r="Z220" i="65"/>
  <c r="AA220" i="65"/>
  <c r="I220" i="65"/>
  <c r="V220" i="65"/>
  <c r="G220" i="65"/>
  <c r="W220" i="65"/>
  <c r="B220" i="65"/>
  <c r="H221" i="63"/>
  <c r="X221" i="63"/>
  <c r="AN221" i="63"/>
  <c r="I221" i="63"/>
  <c r="Y221" i="63"/>
  <c r="AE221" i="65" s="1"/>
  <c r="AO221" i="63"/>
  <c r="J221" i="63"/>
  <c r="Z221" i="63"/>
  <c r="AP221" i="63"/>
  <c r="AQ221" i="63"/>
  <c r="L221" i="63"/>
  <c r="AR221" i="63"/>
  <c r="M221" i="63"/>
  <c r="AC221" i="63"/>
  <c r="AS221" i="63"/>
  <c r="N221" i="63"/>
  <c r="AD221" i="63"/>
  <c r="AT221" i="63"/>
  <c r="O221" i="63"/>
  <c r="AE221" i="63"/>
  <c r="AU221" i="63"/>
  <c r="P221" i="63"/>
  <c r="AF221" i="63"/>
  <c r="AV221" i="63"/>
  <c r="AG221" i="63"/>
  <c r="AW221" i="63"/>
  <c r="B221" i="63"/>
  <c r="AH221" i="63"/>
  <c r="AX221" i="63"/>
  <c r="C221" i="63"/>
  <c r="AI221" i="63"/>
  <c r="AY221" i="63"/>
  <c r="D221" i="63"/>
  <c r="T221" i="63"/>
  <c r="AJ221" i="63"/>
  <c r="AK221" i="63"/>
  <c r="AL221" i="63"/>
  <c r="AM221" i="63"/>
  <c r="E221" i="63"/>
  <c r="F221" i="63"/>
  <c r="G221" i="63"/>
  <c r="U221" i="63"/>
  <c r="V221" i="63"/>
  <c r="D221" i="65" s="1"/>
  <c r="W221" i="63"/>
  <c r="Y220" i="65"/>
  <c r="S220" i="65"/>
  <c r="U220" i="65"/>
  <c r="M220" i="65"/>
  <c r="H220" i="65"/>
  <c r="A222" i="63"/>
  <c r="P37" i="5"/>
  <c r="T221" i="65" l="1"/>
  <c r="AC221" i="65"/>
  <c r="AD221" i="65"/>
  <c r="X221" i="65"/>
  <c r="J221" i="65"/>
  <c r="P221" i="65"/>
  <c r="K221" i="65"/>
  <c r="W221" i="65"/>
  <c r="I221" i="65"/>
  <c r="V221" i="65"/>
  <c r="G221" i="65"/>
  <c r="O221" i="65"/>
  <c r="AA221" i="65"/>
  <c r="Z221" i="65"/>
  <c r="B221" i="65"/>
  <c r="N221" i="65"/>
  <c r="V222" i="63"/>
  <c r="AL222" i="63"/>
  <c r="AM222" i="63"/>
  <c r="AN222" i="63"/>
  <c r="I222" i="63"/>
  <c r="M222" i="65" s="1"/>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U222" i="63"/>
  <c r="AI222" i="63"/>
  <c r="AJ222" i="63"/>
  <c r="AK222" i="63"/>
  <c r="AY222" i="63"/>
  <c r="S221" i="65"/>
  <c r="U221" i="65"/>
  <c r="H221" i="65"/>
  <c r="M221" i="65"/>
  <c r="A223" i="63"/>
  <c r="Z222" i="65" l="1"/>
  <c r="AC222" i="65"/>
  <c r="D222" i="65"/>
  <c r="K222" i="65"/>
  <c r="G222" i="65"/>
  <c r="I222" i="65"/>
  <c r="W222" i="65"/>
  <c r="O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M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AG227" i="63"/>
  <c r="AW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C227" i="65" l="1"/>
  <c r="J227" i="65"/>
  <c r="G227" i="65"/>
  <c r="I227" i="65"/>
  <c r="W227" i="65"/>
  <c r="Z227" i="65"/>
  <c r="P227" i="65"/>
  <c r="V227" i="65"/>
  <c r="O227" i="65"/>
  <c r="AA227" i="65"/>
  <c r="J228" i="63"/>
  <c r="Z228" i="63"/>
  <c r="AP228" i="63"/>
  <c r="AQ228" i="63"/>
  <c r="L228" i="63"/>
  <c r="AR228" i="63"/>
  <c r="M228" i="63"/>
  <c r="AC228" i="63"/>
  <c r="AS228" i="63"/>
  <c r="N228" i="63"/>
  <c r="AD228" i="63"/>
  <c r="AT228" i="63"/>
  <c r="O228" i="63"/>
  <c r="AE228" i="63"/>
  <c r="AU228" i="63"/>
  <c r="P228" i="63"/>
  <c r="AF228" i="63"/>
  <c r="AV228" i="63"/>
  <c r="AG228" i="63"/>
  <c r="AW228" i="63"/>
  <c r="AH228" i="63"/>
  <c r="AX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R233" i="63"/>
  <c r="AH233" i="63"/>
  <c r="AX233" i="63"/>
  <c r="S233" i="63"/>
  <c r="AI233" i="63"/>
  <c r="AY233" i="63"/>
  <c r="T233" i="63"/>
  <c r="AJ233" i="63"/>
  <c r="U233" i="63"/>
  <c r="AK233" i="63"/>
  <c r="V233" i="63"/>
  <c r="AL233" i="63"/>
  <c r="W233" i="63"/>
  <c r="AM233" i="63"/>
  <c r="H233" i="63"/>
  <c r="AN233" i="63"/>
  <c r="I233" i="63"/>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C233" i="65" l="1"/>
  <c r="O233" i="65"/>
  <c r="J233" i="65"/>
  <c r="K233" i="65"/>
  <c r="D233" i="65"/>
  <c r="AA233" i="65"/>
  <c r="AB233" i="65"/>
  <c r="I233" i="65"/>
  <c r="Z233" i="65"/>
  <c r="P233" i="65"/>
  <c r="V233" i="65"/>
  <c r="W233" i="65"/>
  <c r="G233" i="65"/>
  <c r="N234" i="63"/>
  <c r="AD234" i="63"/>
  <c r="AT234" i="63"/>
  <c r="O234" i="63"/>
  <c r="AE234" i="63"/>
  <c r="AU234" i="63"/>
  <c r="P234" i="63"/>
  <c r="AF234" i="63"/>
  <c r="AV234" i="63"/>
  <c r="AG234" i="63"/>
  <c r="AW234" i="63"/>
  <c r="B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M233" i="65"/>
  <c r="S233" i="65"/>
  <c r="N233" i="65"/>
  <c r="H233" i="65"/>
  <c r="A235" i="63"/>
  <c r="AD234" i="65" l="1"/>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B235" i="63"/>
  <c r="AH235" i="63"/>
  <c r="AX235" i="63"/>
  <c r="C235" i="63"/>
  <c r="AI235" i="63"/>
  <c r="AY235" i="63"/>
  <c r="D235" i="63"/>
  <c r="T235" i="63"/>
  <c r="AJ235" i="63"/>
  <c r="E235" i="63"/>
  <c r="U235" i="63"/>
  <c r="AK235" i="63"/>
  <c r="F235" i="63"/>
  <c r="V235" i="63"/>
  <c r="AL235" i="63"/>
  <c r="G235" i="63"/>
  <c r="W235" i="63"/>
  <c r="AM235" i="63"/>
  <c r="H235" i="63"/>
  <c r="X235" i="63"/>
  <c r="AN235" i="63"/>
  <c r="Y235" i="63"/>
  <c r="AE235" i="65" s="1"/>
  <c r="Z235" i="63"/>
  <c r="AO235" i="63"/>
  <c r="AP235" i="63"/>
  <c r="AQ235" i="63"/>
  <c r="I235" i="63"/>
  <c r="J235" i="63"/>
  <c r="N234" i="65"/>
  <c r="M234" i="65"/>
  <c r="H234" i="65"/>
  <c r="A236" i="63"/>
  <c r="N235" i="65" l="1"/>
  <c r="AC235" i="65"/>
  <c r="AD235" i="65"/>
  <c r="D235" i="65"/>
  <c r="J235" i="65"/>
  <c r="X235" i="65"/>
  <c r="T235" i="65"/>
  <c r="B235" i="65"/>
  <c r="I235" i="65"/>
  <c r="G235" i="65"/>
  <c r="O235" i="65"/>
  <c r="AA235" i="65"/>
  <c r="Z235" i="65"/>
  <c r="P235" i="65"/>
  <c r="V235" i="65"/>
  <c r="W235" i="65"/>
  <c r="H235" i="65"/>
  <c r="J236" i="63"/>
  <c r="Z236" i="63"/>
  <c r="AP236" i="63"/>
  <c r="AQ236" i="63"/>
  <c r="L236" i="63"/>
  <c r="AR236" i="63"/>
  <c r="M236" i="63"/>
  <c r="AC236" i="63"/>
  <c r="AS236" i="63"/>
  <c r="AD236" i="63"/>
  <c r="AT236" i="63"/>
  <c r="O236" i="63"/>
  <c r="AE236" i="63"/>
  <c r="AU236" i="63"/>
  <c r="P236" i="63"/>
  <c r="AF236" i="63"/>
  <c r="AV236" i="63"/>
  <c r="AG236" i="63"/>
  <c r="AW236" i="63"/>
  <c r="AH236" i="63"/>
  <c r="AX236" i="63"/>
  <c r="AI236" i="63"/>
  <c r="AY236" i="63"/>
  <c r="T236" i="63"/>
  <c r="AJ236" i="63"/>
  <c r="U236" i="63"/>
  <c r="AK236" i="63"/>
  <c r="AL236" i="63"/>
  <c r="H236" i="63"/>
  <c r="I236" i="63"/>
  <c r="W236" i="63"/>
  <c r="AM236" i="63"/>
  <c r="AN236" i="63"/>
  <c r="AO236" i="63"/>
  <c r="U235" i="65"/>
  <c r="S235" i="65"/>
  <c r="M235" i="65"/>
  <c r="A237" i="63"/>
  <c r="AC236" i="65" l="1"/>
  <c r="D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V238" i="63"/>
  <c r="D238" i="65" s="1"/>
  <c r="AL238" i="63"/>
  <c r="G238" i="63"/>
  <c r="W238" i="63"/>
  <c r="AM238" i="63"/>
  <c r="H238" i="63"/>
  <c r="X238" i="63"/>
  <c r="AN238" i="63"/>
  <c r="I238" i="63"/>
  <c r="Y238" i="63"/>
  <c r="AO238" i="63"/>
  <c r="J238" i="63"/>
  <c r="Z238" i="63"/>
  <c r="AP238" i="63"/>
  <c r="AQ238" i="63"/>
  <c r="L238" i="63"/>
  <c r="K238" i="65" s="1"/>
  <c r="AR238" i="63"/>
  <c r="M238" i="63"/>
  <c r="AC238" i="63"/>
  <c r="AS238" i="63"/>
  <c r="N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E96" i="5"/>
  <c r="P238" i="65" l="1"/>
  <c r="AD238" i="65"/>
  <c r="AE238" i="65"/>
  <c r="Z238" i="65"/>
  <c r="AB238" i="65"/>
  <c r="AC238" i="65"/>
  <c r="J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O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AG241" i="63"/>
  <c r="AW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P241" i="65"/>
  <c r="V241" i="65"/>
  <c r="W241" i="65"/>
  <c r="G241" i="65"/>
  <c r="N242" i="63"/>
  <c r="AD242" i="63"/>
  <c r="AT242" i="63"/>
  <c r="O242" i="63"/>
  <c r="AE242" i="63"/>
  <c r="AU242" i="63"/>
  <c r="P242" i="63"/>
  <c r="AF242" i="63"/>
  <c r="AV242" i="63"/>
  <c r="AG242" i="63"/>
  <c r="AW242" i="63"/>
  <c r="AH242" i="63"/>
  <c r="AX242" i="63"/>
  <c r="AI242" i="63"/>
  <c r="AY242" i="63"/>
  <c r="T242" i="63"/>
  <c r="AJ242" i="63"/>
  <c r="U242" i="63"/>
  <c r="AK242" i="63"/>
  <c r="V242" i="63"/>
  <c r="AL242" i="63"/>
  <c r="W242" i="63"/>
  <c r="AM242" i="63"/>
  <c r="H242" i="63"/>
  <c r="AN242" i="63"/>
  <c r="I242" i="63"/>
  <c r="AO242" i="63"/>
  <c r="J242" i="63"/>
  <c r="Z242" i="63"/>
  <c r="AP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M242" i="65"/>
  <c r="A244" i="63"/>
  <c r="AC243" i="65" l="1"/>
  <c r="AD243" i="65"/>
  <c r="J243" i="65"/>
  <c r="X243" i="65"/>
  <c r="T243" i="65"/>
  <c r="G243" i="65"/>
  <c r="B243" i="65"/>
  <c r="W243" i="65"/>
  <c r="I243" i="65"/>
  <c r="Z243" i="65"/>
  <c r="O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T247" i="63"/>
  <c r="AJ247" i="63"/>
  <c r="AK247" i="63"/>
  <c r="V247" i="63"/>
  <c r="AL247" i="63"/>
  <c r="W247" i="63"/>
  <c r="AM247" i="63"/>
  <c r="H247" i="63"/>
  <c r="AN247" i="63"/>
  <c r="I247" i="63"/>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N246" i="65"/>
  <c r="H246" i="65"/>
  <c r="U246" i="65"/>
  <c r="A248" i="63"/>
  <c r="N247" i="65" l="1"/>
  <c r="J247" i="65"/>
  <c r="O247" i="65"/>
  <c r="K247" i="65"/>
  <c r="D247" i="65"/>
  <c r="AA247" i="65"/>
  <c r="AB247" i="65"/>
  <c r="I247" i="65"/>
  <c r="P247" i="65"/>
  <c r="V247" i="65"/>
  <c r="W247" i="65"/>
  <c r="Z247" i="65"/>
  <c r="G247" i="65"/>
  <c r="Y247" i="65"/>
  <c r="M247" i="65"/>
  <c r="B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P248" i="63"/>
  <c r="AE248" i="63"/>
  <c r="AF248" i="63"/>
  <c r="AG248" i="63"/>
  <c r="AU248" i="63"/>
  <c r="S247" i="65"/>
  <c r="H247" i="65"/>
  <c r="A249" i="63"/>
  <c r="AD248" i="65" l="1"/>
  <c r="J248" i="65"/>
  <c r="K248" i="65"/>
  <c r="D248" i="65"/>
  <c r="X248" i="65"/>
  <c r="T248" i="65"/>
  <c r="W248" i="65"/>
  <c r="B248" i="65"/>
  <c r="G248" i="65"/>
  <c r="O248" i="65"/>
  <c r="AA248" i="65"/>
  <c r="I248" i="65"/>
  <c r="Z248" i="65"/>
  <c r="P248" i="65"/>
  <c r="V248" i="65"/>
  <c r="Y248" i="65"/>
  <c r="AF249" i="63"/>
  <c r="AV249" i="63"/>
  <c r="AG249" i="63"/>
  <c r="AW249" i="63"/>
  <c r="B249" i="63"/>
  <c r="AH249" i="63"/>
  <c r="AX249" i="63"/>
  <c r="C249" i="63"/>
  <c r="AI249" i="63"/>
  <c r="AY249" i="63"/>
  <c r="D249" i="63"/>
  <c r="T249" i="63"/>
  <c r="AJ249" i="63"/>
  <c r="E249" i="63"/>
  <c r="U249" i="63"/>
  <c r="AK249" i="63"/>
  <c r="F249" i="63"/>
  <c r="V249" i="63"/>
  <c r="AL249" i="63"/>
  <c r="G249" i="63"/>
  <c r="AM249" i="63"/>
  <c r="X249" i="63"/>
  <c r="AN249" i="63"/>
  <c r="I249" i="63"/>
  <c r="Y249" i="63"/>
  <c r="AE249" i="65" s="1"/>
  <c r="AO249" i="63"/>
  <c r="J249" i="63"/>
  <c r="Z249" i="63"/>
  <c r="AP249" i="63"/>
  <c r="AQ249" i="63"/>
  <c r="L249" i="63"/>
  <c r="AR249" i="63"/>
  <c r="M249" i="63"/>
  <c r="N249" i="63"/>
  <c r="O249" i="63"/>
  <c r="AC249" i="63"/>
  <c r="AD249" i="63"/>
  <c r="AE249" i="63"/>
  <c r="AS249" i="63"/>
  <c r="AT249" i="63"/>
  <c r="AU249" i="63"/>
  <c r="S248" i="65"/>
  <c r="U248" i="65"/>
  <c r="H248" i="65"/>
  <c r="N248" i="65"/>
  <c r="M248" i="65"/>
  <c r="A250" i="63"/>
  <c r="AD249" i="65" l="1"/>
  <c r="AC249" i="65"/>
  <c r="O249" i="65"/>
  <c r="P249" i="65"/>
  <c r="D249" i="65"/>
  <c r="K249" i="65"/>
  <c r="X249" i="65"/>
  <c r="T249" i="65"/>
  <c r="Z249" i="65"/>
  <c r="AA249" i="65"/>
  <c r="I249" i="65"/>
  <c r="B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AO250" i="63"/>
  <c r="J250" i="63"/>
  <c r="Z250" i="63"/>
  <c r="AP250" i="63"/>
  <c r="AC250" i="63"/>
  <c r="AQ250" i="63"/>
  <c r="AR250" i="63"/>
  <c r="AS250" i="63"/>
  <c r="L250" i="63"/>
  <c r="M250" i="63"/>
  <c r="M249" i="65"/>
  <c r="H249" i="65"/>
  <c r="S249" i="65"/>
  <c r="U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W251" i="63"/>
  <c r="AM251" i="63"/>
  <c r="H251" i="63"/>
  <c r="X251" i="63"/>
  <c r="AN251" i="63"/>
  <c r="I251" i="63"/>
  <c r="M251" i="65" s="1"/>
  <c r="J251" i="63"/>
  <c r="Y251" i="63"/>
  <c r="AE251" i="65" s="1"/>
  <c r="Z251" i="63"/>
  <c r="AO251" i="63"/>
  <c r="AP251" i="63"/>
  <c r="AQ251" i="63"/>
  <c r="AX251" i="63"/>
  <c r="M250" i="65"/>
  <c r="S250" i="65"/>
  <c r="H250" i="65"/>
  <c r="A252" i="63"/>
  <c r="AC251" i="65" l="1"/>
  <c r="AD251" i="65"/>
  <c r="T251" i="65"/>
  <c r="J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I252" i="63"/>
  <c r="P252" i="63"/>
  <c r="R252" i="63"/>
  <c r="T252" i="63"/>
  <c r="X252" i="63"/>
  <c r="Y252" i="63"/>
  <c r="AE252" i="65" s="1"/>
  <c r="AF252" i="63"/>
  <c r="AH252" i="63"/>
  <c r="AJ252" i="63"/>
  <c r="AM252" i="63"/>
  <c r="AN252" i="63"/>
  <c r="AO252" i="63"/>
  <c r="G252" i="63"/>
  <c r="AV252" i="63"/>
  <c r="AX252" i="63"/>
  <c r="N251" i="65"/>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M255" i="63"/>
  <c r="O255" i="63"/>
  <c r="P255" i="63"/>
  <c r="AU255" i="63"/>
  <c r="AC255" i="63"/>
  <c r="AV255" i="63"/>
  <c r="AD255" i="63"/>
  <c r="AW255" i="63"/>
  <c r="AE255" i="63"/>
  <c r="AX255" i="63"/>
  <c r="AF255" i="63"/>
  <c r="AY255" i="63"/>
  <c r="AG255" i="63"/>
  <c r="AH255" i="63"/>
  <c r="J255" i="63"/>
  <c r="AI255" i="63"/>
  <c r="L255" i="63"/>
  <c r="AK255" i="63"/>
  <c r="N255" i="63"/>
  <c r="AL255" i="63"/>
  <c r="AN255" i="63"/>
  <c r="AP255" i="63"/>
  <c r="S255" i="63"/>
  <c r="AQ255" i="63"/>
  <c r="Z255" i="63"/>
  <c r="AS255" i="63"/>
  <c r="AT255" i="63"/>
  <c r="AR255" i="63"/>
  <c r="Y254" i="65"/>
  <c r="S254" i="65"/>
  <c r="U254" i="65"/>
  <c r="M254" i="65"/>
  <c r="H254" i="65"/>
  <c r="A256" i="63"/>
  <c r="P255" i="65" l="1"/>
  <c r="AC255" i="65"/>
  <c r="O255" i="65"/>
  <c r="K255" i="65"/>
  <c r="J255" i="65"/>
  <c r="D255" i="65"/>
  <c r="Z255" i="65"/>
  <c r="AA255" i="65"/>
  <c r="I255" i="65"/>
  <c r="V255" i="65"/>
  <c r="W255" i="65"/>
  <c r="G255" i="65"/>
  <c r="AH256" i="63"/>
  <c r="AX256" i="63"/>
  <c r="U256" i="63"/>
  <c r="AK256" i="63"/>
  <c r="W256" i="63"/>
  <c r="AM256" i="63"/>
  <c r="P256" i="63"/>
  <c r="AJ256" i="63"/>
  <c r="AL256" i="63"/>
  <c r="AN256" i="63"/>
  <c r="T256" i="63"/>
  <c r="AO256" i="63"/>
  <c r="V256" i="63"/>
  <c r="AP256" i="63"/>
  <c r="AQ256" i="63"/>
  <c r="AR256" i="63"/>
  <c r="Z256" i="63"/>
  <c r="AS256" i="63"/>
  <c r="H256" i="63"/>
  <c r="O256" i="65" s="1"/>
  <c r="AT256" i="63"/>
  <c r="I256" i="63"/>
  <c r="AU256" i="63"/>
  <c r="J256" i="63"/>
  <c r="AC256" i="63"/>
  <c r="AV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AN261" i="63"/>
  <c r="K261" i="63"/>
  <c r="AQ261" i="63"/>
  <c r="M261" i="63"/>
  <c r="AC261" i="63"/>
  <c r="AS261" i="63"/>
  <c r="V261" i="63"/>
  <c r="AP261" i="63"/>
  <c r="W261" i="63"/>
  <c r="AR261" i="63"/>
  <c r="AT261" i="63"/>
  <c r="Z261" i="63"/>
  <c r="AU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M260" i="65"/>
  <c r="U260" i="65"/>
  <c r="H260" i="65"/>
  <c r="N260" i="65"/>
  <c r="A262" i="63"/>
  <c r="AB261" i="65" l="1"/>
  <c r="AC261" i="65"/>
  <c r="D261" i="65"/>
  <c r="J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AJ262" i="63"/>
  <c r="AK262" i="63"/>
  <c r="S262" i="63"/>
  <c r="AM262" i="63"/>
  <c r="T262" i="63"/>
  <c r="AN262" i="63"/>
  <c r="B262" i="63"/>
  <c r="U262" i="63"/>
  <c r="AP262" i="63"/>
  <c r="C262" i="63"/>
  <c r="W262" i="63"/>
  <c r="AR262" i="63"/>
  <c r="D262" i="63"/>
  <c r="X262" i="63"/>
  <c r="AS262" i="63"/>
  <c r="E262" i="63"/>
  <c r="Z262" i="63"/>
  <c r="AT262" i="63"/>
  <c r="G262" i="63"/>
  <c r="AU262" i="63"/>
  <c r="J262" i="63"/>
  <c r="L262" i="63"/>
  <c r="AC262" i="63"/>
  <c r="AD262" i="63"/>
  <c r="AE262" i="63"/>
  <c r="AV262" i="63"/>
  <c r="H262" i="63"/>
  <c r="AW262" i="63"/>
  <c r="AX262" i="63"/>
  <c r="N261" i="65"/>
  <c r="M261" i="65"/>
  <c r="Y261" i="65"/>
  <c r="H261" i="65"/>
  <c r="S261" i="65"/>
  <c r="A263" i="63"/>
  <c r="AD262" i="65" l="1"/>
  <c r="AC262" i="65"/>
  <c r="Z262" i="65"/>
  <c r="J262" i="65"/>
  <c r="K262" i="65"/>
  <c r="X262" i="65"/>
  <c r="T262" i="65"/>
  <c r="W262" i="65"/>
  <c r="G262" i="65"/>
  <c r="P262" i="65"/>
  <c r="V262" i="65"/>
  <c r="O262" i="65"/>
  <c r="AA262" i="65"/>
  <c r="Y262" i="65"/>
  <c r="I262" i="65"/>
  <c r="B262" i="65"/>
  <c r="D263" i="63"/>
  <c r="T263" i="63"/>
  <c r="AJ263" i="63"/>
  <c r="G263" i="63"/>
  <c r="W263" i="63"/>
  <c r="AM263" i="63"/>
  <c r="I263" i="63"/>
  <c r="Y263" i="63"/>
  <c r="AE263" i="65" s="1"/>
  <c r="AO263" i="63"/>
  <c r="U263" i="63"/>
  <c r="AP263" i="63"/>
  <c r="B263" i="63"/>
  <c r="V263" i="63"/>
  <c r="D263" i="65" s="1"/>
  <c r="AQ263" i="63"/>
  <c r="C263" i="63"/>
  <c r="X263" i="63"/>
  <c r="AR263" i="63"/>
  <c r="E263" i="63"/>
  <c r="Z263" i="63"/>
  <c r="AS263" i="63"/>
  <c r="F263" i="63"/>
  <c r="AT263" i="63"/>
  <c r="H263" i="63"/>
  <c r="G263" i="65" s="1"/>
  <c r="AU263" i="63"/>
  <c r="AC263" i="63"/>
  <c r="AV263" i="63"/>
  <c r="AD263" i="63"/>
  <c r="AW263" i="63"/>
  <c r="L263" i="63"/>
  <c r="K263" i="65" s="1"/>
  <c r="AE263" i="63"/>
  <c r="AX263" i="63"/>
  <c r="M263" i="63"/>
  <c r="AF263" i="63"/>
  <c r="AY263" i="63"/>
  <c r="N263" i="63"/>
  <c r="AG263" i="63"/>
  <c r="O263" i="63"/>
  <c r="AH263" i="63"/>
  <c r="P263" i="63"/>
  <c r="AI263" i="63"/>
  <c r="AK263" i="63"/>
  <c r="AL263" i="63"/>
  <c r="AN263" i="63"/>
  <c r="H262" i="65"/>
  <c r="S262" i="65"/>
  <c r="N262" i="65"/>
  <c r="U262" i="65"/>
  <c r="M262" i="65"/>
  <c r="A264" i="63"/>
  <c r="Z263" i="65" l="1"/>
  <c r="AC263" i="65"/>
  <c r="AD263" i="65"/>
  <c r="J263" i="65"/>
  <c r="P263" i="65"/>
  <c r="X263" i="65"/>
  <c r="T263" i="65"/>
  <c r="W263" i="65"/>
  <c r="O263" i="65"/>
  <c r="AA263" i="65"/>
  <c r="V263" i="65"/>
  <c r="I263" i="65"/>
  <c r="B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AO264" i="63"/>
  <c r="V264" i="63"/>
  <c r="AP264" i="63"/>
  <c r="AQ264" i="63"/>
  <c r="AR264" i="63"/>
  <c r="Z264" i="63"/>
  <c r="AS264" i="63"/>
  <c r="H264" i="63"/>
  <c r="J264" i="63"/>
  <c r="AC264" i="63"/>
  <c r="AT264" i="63"/>
  <c r="AU264" i="63"/>
  <c r="I264" i="63"/>
  <c r="AV264" i="63"/>
  <c r="U263" i="65"/>
  <c r="H263" i="65"/>
  <c r="N263" i="65"/>
  <c r="M263" i="65"/>
  <c r="A265" i="63"/>
  <c r="AC264" i="65" l="1"/>
  <c r="J264" i="65"/>
  <c r="D264" i="65"/>
  <c r="W264" i="65"/>
  <c r="K264" i="65"/>
  <c r="G264" i="65"/>
  <c r="V264" i="65"/>
  <c r="O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W266" i="63"/>
  <c r="AG266" i="63"/>
  <c r="AN266" i="63"/>
  <c r="E266" i="63"/>
  <c r="AL266" i="63"/>
  <c r="AM266" i="63"/>
  <c r="N265" i="65"/>
  <c r="H265" i="65"/>
  <c r="U265" i="65"/>
  <c r="M265" i="65"/>
  <c r="A267" i="63"/>
  <c r="AB266" i="65" l="1"/>
  <c r="AD266" i="65"/>
  <c r="T266" i="65"/>
  <c r="AC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N268" i="63"/>
  <c r="AE268" i="63"/>
  <c r="AV268" i="63"/>
  <c r="O268" i="63"/>
  <c r="AF268" i="63"/>
  <c r="AW268" i="63"/>
  <c r="P268" i="63"/>
  <c r="AG268" i="63"/>
  <c r="AX268" i="63"/>
  <c r="Q268" i="63"/>
  <c r="AH268" i="63"/>
  <c r="AY268" i="63"/>
  <c r="B268" i="63"/>
  <c r="S268" i="63"/>
  <c r="AJ268" i="63"/>
  <c r="C268" i="63"/>
  <c r="T268" i="63"/>
  <c r="AK268" i="63"/>
  <c r="D268" i="63"/>
  <c r="U268" i="63"/>
  <c r="AL268" i="63"/>
  <c r="E268" i="63"/>
  <c r="V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J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O269" i="63"/>
  <c r="AF269" i="63"/>
  <c r="AW269" i="63"/>
  <c r="P269" i="63"/>
  <c r="AG269" i="63"/>
  <c r="AX269" i="63"/>
  <c r="AH269" i="63"/>
  <c r="AY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C269" i="65" l="1"/>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AJ270" i="63"/>
  <c r="U270" i="63"/>
  <c r="AM270" i="63"/>
  <c r="W270" i="63"/>
  <c r="AN270" i="63"/>
  <c r="AO270" i="63"/>
  <c r="H270" i="63"/>
  <c r="AP270" i="63"/>
  <c r="I270" i="63"/>
  <c r="M270" i="65" s="1"/>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S275" i="63"/>
  <c r="AJ275" i="63"/>
  <c r="T275" i="63"/>
  <c r="AK275" i="63"/>
  <c r="U275" i="63"/>
  <c r="AL275" i="63"/>
  <c r="V275" i="63"/>
  <c r="D275" i="65" s="1"/>
  <c r="AM275" i="63"/>
  <c r="W275" i="63"/>
  <c r="AN275" i="63"/>
  <c r="AO275" i="63"/>
  <c r="H275" i="63"/>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C275" i="65"/>
  <c r="J275" i="65"/>
  <c r="K275" i="65"/>
  <c r="W275" i="65"/>
  <c r="G275" i="65"/>
  <c r="I275" i="65"/>
  <c r="O275" i="65"/>
  <c r="AA275" i="65"/>
  <c r="V275" i="65"/>
  <c r="Z275" i="65"/>
  <c r="P275" i="65"/>
  <c r="N275" i="65"/>
  <c r="AG276" i="63"/>
  <c r="AW276" i="63"/>
  <c r="B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N276" i="63"/>
  <c r="O276" i="63"/>
  <c r="AU276" i="63"/>
  <c r="S275" i="65"/>
  <c r="Y275" i="65"/>
  <c r="M275" i="65"/>
  <c r="H275" i="65"/>
  <c r="A277" i="63"/>
  <c r="N276" i="65" l="1"/>
  <c r="AD276" i="65"/>
  <c r="J276" i="65"/>
  <c r="D276" i="65"/>
  <c r="X276" i="65"/>
  <c r="T276" i="65"/>
  <c r="B276" i="65"/>
  <c r="I276" i="65"/>
  <c r="G276" i="65"/>
  <c r="Z276" i="65"/>
  <c r="O276" i="65"/>
  <c r="AA276" i="65"/>
  <c r="P276" i="65"/>
  <c r="V276" i="65"/>
  <c r="W276" i="65"/>
  <c r="O277" i="63"/>
  <c r="AE277" i="63"/>
  <c r="AU277" i="63"/>
  <c r="P277" i="63"/>
  <c r="AF277" i="63"/>
  <c r="AV277" i="63"/>
  <c r="AG277" i="63"/>
  <c r="AW277" i="63"/>
  <c r="B277" i="63"/>
  <c r="AH277" i="63"/>
  <c r="AX277" i="63"/>
  <c r="C277" i="63"/>
  <c r="AI277" i="63"/>
  <c r="AY277" i="63"/>
  <c r="D277" i="63"/>
  <c r="T277" i="63"/>
  <c r="AJ277" i="63"/>
  <c r="E277" i="63"/>
  <c r="U277" i="63"/>
  <c r="AK277" i="63"/>
  <c r="F277" i="63"/>
  <c r="V277" i="63"/>
  <c r="AL277" i="63"/>
  <c r="H277" i="63"/>
  <c r="X277" i="63"/>
  <c r="AN277" i="63"/>
  <c r="I277" i="63"/>
  <c r="O277" i="65" s="1"/>
  <c r="Y277" i="63"/>
  <c r="AE277" i="65" s="1"/>
  <c r="AO277" i="63"/>
  <c r="J277" i="63"/>
  <c r="Z277" i="63"/>
  <c r="AP277" i="63"/>
  <c r="AQ277" i="63"/>
  <c r="AM277" i="63"/>
  <c r="AR277" i="63"/>
  <c r="AS277" i="63"/>
  <c r="AT277" i="63"/>
  <c r="G277" i="63"/>
  <c r="L277" i="63"/>
  <c r="M277" i="63"/>
  <c r="N277" i="63"/>
  <c r="W277" i="63"/>
  <c r="AD277" i="63"/>
  <c r="AC277" i="63"/>
  <c r="Y276" i="65"/>
  <c r="M276" i="65"/>
  <c r="H276" i="65"/>
  <c r="U276" i="65"/>
  <c r="S276" i="65"/>
  <c r="A278" i="63"/>
  <c r="AC277" i="65" l="1"/>
  <c r="AD277" i="65"/>
  <c r="K277" i="65"/>
  <c r="J277" i="65"/>
  <c r="D277" i="65"/>
  <c r="X277" i="65"/>
  <c r="T277" i="65"/>
  <c r="P277" i="65"/>
  <c r="AA277" i="65"/>
  <c r="V277" i="65"/>
  <c r="I277" i="65"/>
  <c r="W277" i="65"/>
  <c r="Z277" i="65"/>
  <c r="G277" i="65"/>
  <c r="B277" i="65"/>
  <c r="S277" i="65"/>
  <c r="M278" i="63"/>
  <c r="AC278" i="63"/>
  <c r="AS278" i="63"/>
  <c r="N278" i="63"/>
  <c r="AD278" i="63"/>
  <c r="AT278" i="63"/>
  <c r="O278" i="63"/>
  <c r="AE278" i="63"/>
  <c r="AU278" i="63"/>
  <c r="P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N277" i="65"/>
  <c r="M277" i="65"/>
  <c r="H277" i="65"/>
  <c r="U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X280" i="63"/>
  <c r="AG280" i="63"/>
  <c r="AL280" i="63"/>
  <c r="AN280" i="63"/>
  <c r="AW280" i="63"/>
  <c r="F280" i="63"/>
  <c r="G280" i="63"/>
  <c r="AM280" i="63"/>
  <c r="U279" i="65"/>
  <c r="N279" i="65"/>
  <c r="H279" i="65"/>
  <c r="S279" i="65"/>
  <c r="M279" i="65"/>
  <c r="A281" i="63"/>
  <c r="P280" i="65" l="1"/>
  <c r="AD280" i="65"/>
  <c r="AB280" i="65"/>
  <c r="AC280" i="65"/>
  <c r="D280" i="65"/>
  <c r="K280" i="65"/>
  <c r="X280" i="65"/>
  <c r="T280" i="65"/>
  <c r="B280" i="65"/>
  <c r="G280" i="65"/>
  <c r="O280" i="65"/>
  <c r="AA280" i="65"/>
  <c r="V280" i="65"/>
  <c r="Z280" i="65"/>
  <c r="W280" i="65"/>
  <c r="I280" i="65"/>
  <c r="G281" i="63"/>
  <c r="W281" i="63"/>
  <c r="AM281" i="63"/>
  <c r="H281" i="63"/>
  <c r="X281" i="63"/>
  <c r="AN281" i="63"/>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W282" i="63"/>
  <c r="AM282" i="63"/>
  <c r="H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H281" i="65"/>
  <c r="M281" i="65"/>
  <c r="Y281" i="65"/>
  <c r="S281" i="65"/>
  <c r="A283" i="63"/>
  <c r="AD282" i="65" l="1"/>
  <c r="AE282" i="65"/>
  <c r="Z282" i="65"/>
  <c r="O282" i="65"/>
  <c r="AC282" i="65"/>
  <c r="J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I283" i="63"/>
  <c r="AO283" i="63"/>
  <c r="J283" i="63"/>
  <c r="Z283" i="63"/>
  <c r="AP283" i="63"/>
  <c r="L283" i="63"/>
  <c r="AR283" i="63"/>
  <c r="M283" i="63"/>
  <c r="AC283" i="63"/>
  <c r="AS283" i="63"/>
  <c r="N283" i="63"/>
  <c r="AD283" i="63"/>
  <c r="AT283" i="63"/>
  <c r="O283" i="63"/>
  <c r="AE283" i="63"/>
  <c r="AU283" i="63"/>
  <c r="K283" i="63"/>
  <c r="P283" i="63"/>
  <c r="AF283" i="63"/>
  <c r="AG283" i="63"/>
  <c r="AH283" i="63"/>
  <c r="AQ283" i="63"/>
  <c r="AX283" i="63"/>
  <c r="AV283" i="63"/>
  <c r="AW283" i="63"/>
  <c r="Y282" i="65"/>
  <c r="M282" i="65"/>
  <c r="N282" i="65"/>
  <c r="H282" i="65"/>
  <c r="U282" i="65"/>
  <c r="A284" i="63"/>
  <c r="AC283" i="65" l="1"/>
  <c r="K283" i="65"/>
  <c r="D283" i="65"/>
  <c r="P283" i="65"/>
  <c r="I283" i="65"/>
  <c r="O283" i="65"/>
  <c r="AA283" i="65"/>
  <c r="V283" i="65"/>
  <c r="W283" i="65"/>
  <c r="G283" i="65"/>
  <c r="Z283" i="65"/>
  <c r="AG284" i="63"/>
  <c r="AW284" i="63"/>
  <c r="AH284" i="63"/>
  <c r="AX284" i="63"/>
  <c r="AI284" i="63"/>
  <c r="AY284" i="63"/>
  <c r="T284" i="63"/>
  <c r="AJ284" i="63"/>
  <c r="U284" i="63"/>
  <c r="AK284" i="63"/>
  <c r="V284" i="63"/>
  <c r="AL284" i="63"/>
  <c r="AM284" i="63"/>
  <c r="AN284" i="63"/>
  <c r="J284" i="63"/>
  <c r="Z284" i="63"/>
  <c r="AP284" i="63"/>
  <c r="AQ284" i="63"/>
  <c r="L284" i="63"/>
  <c r="K284" i="65" s="1"/>
  <c r="AR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H284" i="65"/>
  <c r="S284" i="65"/>
  <c r="M284" i="65"/>
  <c r="A286" i="63"/>
  <c r="S285" i="65" l="1"/>
  <c r="AC285" i="65"/>
  <c r="AD285" i="65"/>
  <c r="P285" i="65"/>
  <c r="K285" i="65"/>
  <c r="J285" i="65"/>
  <c r="X285" i="65"/>
  <c r="T285" i="65"/>
  <c r="Z285" i="65"/>
  <c r="I285" i="65"/>
  <c r="V285" i="65"/>
  <c r="O285" i="65"/>
  <c r="W285" i="65"/>
  <c r="G285" i="65"/>
  <c r="B285" i="65"/>
  <c r="M286" i="63"/>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W289" i="63"/>
  <c r="AM289" i="63"/>
  <c r="H289" i="63"/>
  <c r="AN289" i="63"/>
  <c r="I289" i="63"/>
  <c r="AO289" i="63"/>
  <c r="J289" i="63"/>
  <c r="Z289" i="63"/>
  <c r="AP289" i="63"/>
  <c r="K289" i="63"/>
  <c r="AQ289" i="63"/>
  <c r="L289" i="63"/>
  <c r="K289" i="65" s="1"/>
  <c r="AR289" i="63"/>
  <c r="M289" i="63"/>
  <c r="AC289" i="63"/>
  <c r="AS289" i="63"/>
  <c r="P289" i="63"/>
  <c r="AF289" i="63"/>
  <c r="AV289" i="63"/>
  <c r="Q289" i="63"/>
  <c r="AG289" i="63"/>
  <c r="AW289" i="63"/>
  <c r="R289" i="63"/>
  <c r="AH289" i="63"/>
  <c r="AX289" i="63"/>
  <c r="S289" i="63"/>
  <c r="AI289" i="63"/>
  <c r="AY289" i="63"/>
  <c r="AE289" i="63"/>
  <c r="AJ289" i="63"/>
  <c r="AK289" i="63"/>
  <c r="AL289" i="63"/>
  <c r="AT289" i="63"/>
  <c r="AU289" i="63"/>
  <c r="N289" i="63"/>
  <c r="O289" i="63"/>
  <c r="T289" i="63"/>
  <c r="AD289" i="63"/>
  <c r="U289" i="63"/>
  <c r="V289" i="63"/>
  <c r="D289" i="65" s="1"/>
  <c r="S288" i="65"/>
  <c r="Y288" i="65"/>
  <c r="U288" i="65"/>
  <c r="M288" i="65"/>
  <c r="N288" i="65"/>
  <c r="H288" i="65"/>
  <c r="A290" i="63"/>
  <c r="P289" i="65" l="1"/>
  <c r="AC289" i="65"/>
  <c r="AB289" i="65"/>
  <c r="J289" i="65"/>
  <c r="V289" i="65"/>
  <c r="W289" i="65"/>
  <c r="G289" i="65"/>
  <c r="O289" i="65"/>
  <c r="AA289" i="65"/>
  <c r="Z289" i="65"/>
  <c r="I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AG290" i="63"/>
  <c r="AW290" i="63"/>
  <c r="AH290" i="63"/>
  <c r="AI290" i="63"/>
  <c r="AJ290" i="63"/>
  <c r="AR290" i="63"/>
  <c r="AS290" i="63"/>
  <c r="AX290" i="63"/>
  <c r="C290" i="63"/>
  <c r="D290" i="63"/>
  <c r="L290" i="63"/>
  <c r="M290" i="63"/>
  <c r="S290" i="63"/>
  <c r="AC290" i="63"/>
  <c r="B290" i="63"/>
  <c r="T290" i="63"/>
  <c r="AY290" i="63"/>
  <c r="S289" i="65"/>
  <c r="Y289" i="65"/>
  <c r="H289" i="65"/>
  <c r="M289" i="65"/>
  <c r="N289" i="65"/>
  <c r="A291" i="63"/>
  <c r="J290" i="65" l="1"/>
  <c r="P290" i="65"/>
  <c r="AD290" i="65"/>
  <c r="AE290" i="65"/>
  <c r="AC290" i="65"/>
  <c r="D290" i="65"/>
  <c r="K290" i="65"/>
  <c r="X290" i="65"/>
  <c r="T290" i="65"/>
  <c r="AA290" i="65"/>
  <c r="V290" i="65"/>
  <c r="Y290" i="65"/>
  <c r="I290" i="65"/>
  <c r="G290" i="65"/>
  <c r="Z290" i="65"/>
  <c r="B290" i="65"/>
  <c r="W290" i="65"/>
  <c r="C291" i="63"/>
  <c r="AI291" i="63"/>
  <c r="AY291" i="63"/>
  <c r="D291" i="63"/>
  <c r="T291" i="63"/>
  <c r="AJ291" i="63"/>
  <c r="E291" i="63"/>
  <c r="U291" i="63"/>
  <c r="AK291" i="63"/>
  <c r="F291" i="63"/>
  <c r="V291" i="63"/>
  <c r="AL291" i="63"/>
  <c r="G291" i="63"/>
  <c r="W291" i="63"/>
  <c r="AM291" i="63"/>
  <c r="H291" i="63"/>
  <c r="X291" i="63"/>
  <c r="AN291" i="63"/>
  <c r="I291" i="63"/>
  <c r="Y291" i="63"/>
  <c r="AE291" i="65" s="1"/>
  <c r="AO291" i="63"/>
  <c r="L291" i="63"/>
  <c r="AR291" i="63"/>
  <c r="M291" i="63"/>
  <c r="AC291" i="63"/>
  <c r="AS291" i="63"/>
  <c r="N291" i="63"/>
  <c r="AD291" i="63"/>
  <c r="AT291" i="63"/>
  <c r="O291" i="63"/>
  <c r="AE291" i="63"/>
  <c r="AU291" i="63"/>
  <c r="AG291" i="63"/>
  <c r="AH291" i="63"/>
  <c r="AP291" i="63"/>
  <c r="AQ291" i="63"/>
  <c r="AV291" i="63"/>
  <c r="AW291" i="63"/>
  <c r="B291" i="63"/>
  <c r="J291" i="63"/>
  <c r="P291" i="63"/>
  <c r="AF291" i="63"/>
  <c r="AX291" i="63"/>
  <c r="Z291" i="63"/>
  <c r="U290" i="65"/>
  <c r="S290" i="65"/>
  <c r="M290" i="65"/>
  <c r="H290" i="65"/>
  <c r="N290" i="65"/>
  <c r="A292" i="63"/>
  <c r="AD291" i="65" l="1"/>
  <c r="AC291" i="65"/>
  <c r="D291" i="65"/>
  <c r="J291" i="65"/>
  <c r="K291" i="65"/>
  <c r="X291" i="65"/>
  <c r="T291" i="65"/>
  <c r="W291" i="65"/>
  <c r="B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U291" i="65"/>
  <c r="S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AG297" i="63"/>
  <c r="AW297" i="63"/>
  <c r="S297" i="63"/>
  <c r="T297" i="63"/>
  <c r="U297" i="63"/>
  <c r="AD297" i="63"/>
  <c r="AE297" i="63"/>
  <c r="AI297" i="63"/>
  <c r="AJ297" i="63"/>
  <c r="AK297" i="63"/>
  <c r="AL297" i="63"/>
  <c r="AT297" i="63"/>
  <c r="AU297" i="63"/>
  <c r="O297" i="63"/>
  <c r="AH297" i="63"/>
  <c r="AX297" i="63"/>
  <c r="AY297" i="63"/>
  <c r="H296" i="65"/>
  <c r="Y296" i="65"/>
  <c r="U296" i="65"/>
  <c r="S296" i="65"/>
  <c r="M296" i="65"/>
  <c r="A298" i="63"/>
  <c r="AE297" i="65" l="1"/>
  <c r="AC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AQ298" i="63"/>
  <c r="N298" i="63"/>
  <c r="AD298" i="63"/>
  <c r="AT298" i="63"/>
  <c r="AE298" i="63"/>
  <c r="AU298" i="63"/>
  <c r="AR298" i="63"/>
  <c r="AS298" i="63"/>
  <c r="L298" i="63"/>
  <c r="AV298" i="63"/>
  <c r="M298" i="63"/>
  <c r="AW298" i="63"/>
  <c r="P298" i="63"/>
  <c r="AX298" i="63"/>
  <c r="AY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V299" i="63"/>
  <c r="D299" i="65" s="1"/>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N299" i="63"/>
  <c r="AV299" i="63"/>
  <c r="O299" i="63"/>
  <c r="AW299" i="63"/>
  <c r="P299" i="63"/>
  <c r="AX299" i="63"/>
  <c r="B299" i="63"/>
  <c r="Z299" i="63"/>
  <c r="AQ299" i="63"/>
  <c r="H298" i="65"/>
  <c r="N298" i="65"/>
  <c r="M298" i="65"/>
  <c r="S298" i="65"/>
  <c r="A300" i="63"/>
  <c r="J299" i="65" l="1"/>
  <c r="AD299" i="65"/>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O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AG303" i="63"/>
  <c r="AH303" i="63"/>
  <c r="AI303" i="63"/>
  <c r="H303" i="63"/>
  <c r="AJ303" i="63"/>
  <c r="I303" i="63"/>
  <c r="AK303" i="63"/>
  <c r="J303" i="63"/>
  <c r="AL303" i="63"/>
  <c r="R303" i="63"/>
  <c r="AN303" i="63"/>
  <c r="S303" i="63"/>
  <c r="AO303" i="63"/>
  <c r="T303" i="63"/>
  <c r="AP303" i="63"/>
  <c r="U303" i="63"/>
  <c r="AW303" i="63"/>
  <c r="V303" i="63"/>
  <c r="AX303" i="63"/>
  <c r="W303" i="63"/>
  <c r="AY303" i="63"/>
  <c r="Z303" i="63"/>
  <c r="AM303" i="63"/>
  <c r="Q303" i="63"/>
  <c r="M302" i="65"/>
  <c r="H302" i="65"/>
  <c r="S302" i="65"/>
  <c r="N302" i="65"/>
  <c r="A304" i="63"/>
  <c r="J303" i="65" l="1"/>
  <c r="AC303" i="65"/>
  <c r="O303" i="65"/>
  <c r="D303" i="65"/>
  <c r="K303" i="65"/>
  <c r="P303" i="65"/>
  <c r="AA303" i="65"/>
  <c r="AB303" i="65"/>
  <c r="W303" i="65"/>
  <c r="I303" i="65"/>
  <c r="Y303" i="65"/>
  <c r="G303" i="65"/>
  <c r="Z303" i="65"/>
  <c r="V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AN304" i="63"/>
  <c r="S304" i="63"/>
  <c r="AU304" i="63"/>
  <c r="T304" i="63"/>
  <c r="AV304" i="63"/>
  <c r="U304" i="63"/>
  <c r="AW304" i="63"/>
  <c r="V304" i="63"/>
  <c r="D304" i="65" s="1"/>
  <c r="AX304" i="63"/>
  <c r="W304" i="63"/>
  <c r="AY304" i="63"/>
  <c r="D304" i="63"/>
  <c r="AF304" i="63"/>
  <c r="B304" i="63"/>
  <c r="C304" i="63"/>
  <c r="X304" i="63"/>
  <c r="AE304" i="63"/>
  <c r="AM304" i="63"/>
  <c r="M303" i="65"/>
  <c r="S303" i="65"/>
  <c r="N303" i="65"/>
  <c r="H303" i="65"/>
  <c r="A305" i="63"/>
  <c r="AD304" i="65" l="1"/>
  <c r="AC304" i="65"/>
  <c r="J304" i="65"/>
  <c r="K304" i="65"/>
  <c r="P304" i="65"/>
  <c r="X304" i="65"/>
  <c r="T304" i="65"/>
  <c r="AA304" i="65"/>
  <c r="V304" i="65"/>
  <c r="I304" i="65"/>
  <c r="M304" i="65"/>
  <c r="G304" i="65"/>
  <c r="W304" i="65"/>
  <c r="Z304" i="65"/>
  <c r="B304" i="65"/>
  <c r="G305" i="63"/>
  <c r="W305" i="63"/>
  <c r="AM305" i="63"/>
  <c r="H305" i="63"/>
  <c r="X305" i="63"/>
  <c r="AN305" i="63"/>
  <c r="I305" i="63"/>
  <c r="O305" i="65" s="1"/>
  <c r="Y305" i="63"/>
  <c r="AE305" i="65" s="1"/>
  <c r="AO305" i="63"/>
  <c r="AQ305" i="63"/>
  <c r="E305" i="63"/>
  <c r="AC305" i="63"/>
  <c r="AW305" i="63"/>
  <c r="F305" i="63"/>
  <c r="AD305" i="63"/>
  <c r="AX305" i="63"/>
  <c r="J305" i="63"/>
  <c r="AE305" i="63"/>
  <c r="AY305" i="63"/>
  <c r="L305" i="63"/>
  <c r="AF305" i="63"/>
  <c r="M305" i="63"/>
  <c r="AG305" i="63"/>
  <c r="N305" i="63"/>
  <c r="AH305" i="63"/>
  <c r="P305" i="63"/>
  <c r="AJ305" i="63"/>
  <c r="AK305" i="63"/>
  <c r="AL305" i="63"/>
  <c r="AP305" i="63"/>
  <c r="T305" i="63"/>
  <c r="AR305" i="63"/>
  <c r="U305" i="63"/>
  <c r="AS305" i="63"/>
  <c r="D305" i="63"/>
  <c r="AV305" i="63"/>
  <c r="B305" i="63"/>
  <c r="C305" i="63"/>
  <c r="O305" i="63"/>
  <c r="V305" i="63"/>
  <c r="D305" i="65" s="1"/>
  <c r="Z305" i="63"/>
  <c r="AI305" i="63"/>
  <c r="AT305" i="63"/>
  <c r="AU305" i="63"/>
  <c r="Y304" i="65"/>
  <c r="N304" i="65"/>
  <c r="S304" i="65"/>
  <c r="H304" i="65"/>
  <c r="U304" i="65"/>
  <c r="A306" i="63"/>
  <c r="AC305" i="65" l="1"/>
  <c r="AD305" i="65"/>
  <c r="P305" i="65"/>
  <c r="S305" i="65"/>
  <c r="J305" i="65"/>
  <c r="K305" i="65"/>
  <c r="X305" i="65"/>
  <c r="T305" i="65"/>
  <c r="AA305" i="65"/>
  <c r="V305" i="65"/>
  <c r="G305" i="65"/>
  <c r="W305" i="65"/>
  <c r="I305" i="65"/>
  <c r="Z305" i="65"/>
  <c r="B305" i="65"/>
  <c r="U306" i="63"/>
  <c r="AK306" i="63"/>
  <c r="V306" i="63"/>
  <c r="AL306" i="63"/>
  <c r="W306" i="63"/>
  <c r="AM306" i="63"/>
  <c r="I306" i="63"/>
  <c r="O306" i="65" s="1"/>
  <c r="AO306" i="63"/>
  <c r="AQ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M305" i="65"/>
  <c r="U305" i="65"/>
  <c r="N305" i="65"/>
  <c r="H305" i="65"/>
  <c r="A307" i="63"/>
  <c r="AC306" i="65" l="1"/>
  <c r="J306" i="65"/>
  <c r="D306" i="65"/>
  <c r="W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P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AI311" i="63"/>
  <c r="AJ311" i="63"/>
  <c r="S311" i="63"/>
  <c r="AK311" i="63"/>
  <c r="T311" i="63"/>
  <c r="AL311" i="63"/>
  <c r="V311" i="63"/>
  <c r="AN311" i="63"/>
  <c r="AO311" i="63"/>
  <c r="AP311" i="63"/>
  <c r="AR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C311" i="65" l="1"/>
  <c r="P311" i="65"/>
  <c r="D311" i="65"/>
  <c r="G311" i="65"/>
  <c r="V311" i="65"/>
  <c r="O311" i="65"/>
  <c r="AA311" i="65"/>
  <c r="W311" i="65"/>
  <c r="Z311" i="65"/>
  <c r="I311" i="65"/>
  <c r="AO312" i="63"/>
  <c r="M312" i="63"/>
  <c r="AC312" i="63"/>
  <c r="AS312" i="63"/>
  <c r="AK312" i="63"/>
  <c r="T312" i="63"/>
  <c r="AL312" i="63"/>
  <c r="U312" i="63"/>
  <c r="AM312" i="63"/>
  <c r="V312" i="63"/>
  <c r="AN312" i="63"/>
  <c r="W312" i="63"/>
  <c r="AP312" i="63"/>
  <c r="AQ312" i="63"/>
  <c r="H312" i="63"/>
  <c r="AT312" i="63"/>
  <c r="J312" i="63"/>
  <c r="AU312" i="63"/>
  <c r="AD312" i="63"/>
  <c r="AV312" i="63"/>
  <c r="L312" i="63"/>
  <c r="K312" i="65" s="1"/>
  <c r="AE312" i="63"/>
  <c r="AW312" i="63"/>
  <c r="N312" i="63"/>
  <c r="AF312" i="63"/>
  <c r="AX312" i="63"/>
  <c r="O312" i="63"/>
  <c r="AG312" i="63"/>
  <c r="AY312" i="63"/>
  <c r="AJ312" i="63"/>
  <c r="AH312" i="63"/>
  <c r="AI312" i="63"/>
  <c r="AR312" i="63"/>
  <c r="P312" i="63"/>
  <c r="Z312" i="63"/>
  <c r="S311" i="65"/>
  <c r="Y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M312" i="65"/>
  <c r="H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R317" i="63"/>
  <c r="AH317" i="63"/>
  <c r="AX317" i="63"/>
  <c r="S317" i="63"/>
  <c r="AI317" i="63"/>
  <c r="AY317" i="63"/>
  <c r="T317" i="63"/>
  <c r="AJ317" i="63"/>
  <c r="U317" i="63"/>
  <c r="AK317" i="63"/>
  <c r="V317" i="63"/>
  <c r="D317" i="65" s="1"/>
  <c r="AL317" i="63"/>
  <c r="W317" i="63"/>
  <c r="AM317" i="63"/>
  <c r="I317" i="63"/>
  <c r="AO317" i="63"/>
  <c r="J317" i="63"/>
  <c r="Z317" i="63"/>
  <c r="AP317" i="63"/>
  <c r="K317" i="63"/>
  <c r="AQ317" i="63"/>
  <c r="L317" i="63"/>
  <c r="AR317" i="63"/>
  <c r="AC317" i="63"/>
  <c r="AS317" i="63"/>
  <c r="N317" i="63"/>
  <c r="AD317" i="63"/>
  <c r="AT317" i="63"/>
  <c r="Q317" i="63"/>
  <c r="AG317" i="63"/>
  <c r="AU317" i="63"/>
  <c r="AV317" i="63"/>
  <c r="AW317" i="63"/>
  <c r="H317" i="63"/>
  <c r="O317" i="63"/>
  <c r="P317" i="63"/>
  <c r="AE317" i="63"/>
  <c r="AF317" i="63"/>
  <c r="AN317" i="63"/>
  <c r="N316" i="65"/>
  <c r="U316" i="65"/>
  <c r="H316" i="65"/>
  <c r="M316" i="65"/>
  <c r="S316" i="65"/>
  <c r="A318" i="63"/>
  <c r="N317" i="65" l="1"/>
  <c r="AE317" i="65"/>
  <c r="AC317" i="65"/>
  <c r="AB317" i="65"/>
  <c r="K317" i="65"/>
  <c r="J317" i="65"/>
  <c r="I317" i="65"/>
  <c r="O317" i="65"/>
  <c r="AA317" i="65"/>
  <c r="Z317" i="65"/>
  <c r="W317" i="65"/>
  <c r="G317" i="65"/>
  <c r="P317" i="65"/>
  <c r="V317" i="65"/>
  <c r="P318" i="63"/>
  <c r="AF318" i="63"/>
  <c r="AV318" i="63"/>
  <c r="AG318" i="63"/>
  <c r="AW318" i="63"/>
  <c r="B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M317" i="65"/>
  <c r="A319" i="63"/>
  <c r="P318" i="65" l="1"/>
  <c r="AC318" i="65"/>
  <c r="AD318" i="65"/>
  <c r="J318" i="65"/>
  <c r="I318" i="65"/>
  <c r="K318" i="65"/>
  <c r="X318" i="65"/>
  <c r="T318" i="65"/>
  <c r="AA318" i="65"/>
  <c r="B318" i="65"/>
  <c r="Z318" i="65"/>
  <c r="V318" i="65"/>
  <c r="W318" i="65"/>
  <c r="G318" i="65"/>
  <c r="N319" i="63"/>
  <c r="AD319" i="63"/>
  <c r="AT319" i="63"/>
  <c r="O319" i="63"/>
  <c r="AE319" i="63"/>
  <c r="AU319" i="63"/>
  <c r="P319" i="63"/>
  <c r="AF319" i="63"/>
  <c r="AV319" i="63"/>
  <c r="AG319" i="63"/>
  <c r="AW319" i="63"/>
  <c r="B319" i="63"/>
  <c r="AH319" i="63"/>
  <c r="AX319" i="63"/>
  <c r="C319" i="63"/>
  <c r="AI319" i="63"/>
  <c r="AY319" i="63"/>
  <c r="E319" i="63"/>
  <c r="U319" i="63"/>
  <c r="AK319" i="63"/>
  <c r="F319" i="63"/>
  <c r="V319" i="63"/>
  <c r="AL319" i="63"/>
  <c r="G319" i="63"/>
  <c r="W319" i="63"/>
  <c r="AM319" i="63"/>
  <c r="H319" i="63"/>
  <c r="X319" i="63"/>
  <c r="AN319" i="63"/>
  <c r="I319" i="63"/>
  <c r="Y319" i="63"/>
  <c r="AE319" i="65" s="1"/>
  <c r="AO319" i="63"/>
  <c r="J319" i="63"/>
  <c r="Z319" i="63"/>
  <c r="L319" i="63"/>
  <c r="M319" i="63"/>
  <c r="T319" i="63"/>
  <c r="AC319" i="63"/>
  <c r="AJ319" i="63"/>
  <c r="AP319" i="63"/>
  <c r="AQ319" i="63"/>
  <c r="AR319" i="63"/>
  <c r="AS319" i="63"/>
  <c r="D319" i="63"/>
  <c r="M318" i="65"/>
  <c r="N318" i="65"/>
  <c r="Y318" i="65"/>
  <c r="H318" i="65"/>
  <c r="S318" i="65"/>
  <c r="U318" i="65"/>
  <c r="A320" i="63"/>
  <c r="N319" i="65" l="1"/>
  <c r="AC319" i="65"/>
  <c r="AD319" i="65"/>
  <c r="T319" i="65"/>
  <c r="O319" i="65"/>
  <c r="J319" i="65"/>
  <c r="D319" i="65"/>
  <c r="K319" i="65"/>
  <c r="X319" i="65"/>
  <c r="AA319" i="65"/>
  <c r="P319" i="65"/>
  <c r="I319" i="65"/>
  <c r="Z319" i="65"/>
  <c r="V319" i="65"/>
  <c r="W319" i="65"/>
  <c r="G319" i="65"/>
  <c r="B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U319" i="65"/>
  <c r="M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S325" i="63"/>
  <c r="AI325" i="63"/>
  <c r="AJ325" i="63"/>
  <c r="N324" i="65"/>
  <c r="U324" i="65"/>
  <c r="H324" i="65"/>
  <c r="S324" i="65"/>
  <c r="A326" i="63"/>
  <c r="AC325" i="65" l="1"/>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AS326" i="63"/>
  <c r="L326" i="63"/>
  <c r="AC326" i="63"/>
  <c r="AT326" i="63"/>
  <c r="M326" i="63"/>
  <c r="AD326" i="63"/>
  <c r="AU326" i="63"/>
  <c r="N326" i="63"/>
  <c r="AE326" i="63"/>
  <c r="AW326" i="63"/>
  <c r="O326" i="63"/>
  <c r="AG326" i="63"/>
  <c r="AX326" i="63"/>
  <c r="AH326" i="63"/>
  <c r="AY326" i="63"/>
  <c r="AI326" i="63"/>
  <c r="T326" i="63"/>
  <c r="AJ326" i="63"/>
  <c r="AK326" i="63"/>
  <c r="H325" i="65"/>
  <c r="S325" i="65"/>
  <c r="M325" i="65"/>
  <c r="A327" i="63"/>
  <c r="AC326" i="65" l="1"/>
  <c r="J326" i="65"/>
  <c r="K326" i="65"/>
  <c r="D326" i="65"/>
  <c r="AA326" i="65"/>
  <c r="G326" i="65"/>
  <c r="V326" i="65"/>
  <c r="W326" i="65"/>
  <c r="S326" i="65"/>
  <c r="I326" i="65"/>
  <c r="Z326" i="65"/>
  <c r="P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U327" i="63"/>
  <c r="AK327" i="63"/>
  <c r="AL327" i="63"/>
  <c r="M326" i="65"/>
  <c r="N326" i="65"/>
  <c r="H326" i="65"/>
  <c r="A328" i="63"/>
  <c r="P327" i="65" l="1"/>
  <c r="AC327" i="65"/>
  <c r="AD327" i="65"/>
  <c r="J327" i="65"/>
  <c r="D327" i="65"/>
  <c r="K327" i="65"/>
  <c r="X327" i="65"/>
  <c r="T327" i="65"/>
  <c r="O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AE328" i="63"/>
  <c r="AV328" i="63"/>
  <c r="O328" i="63"/>
  <c r="AF328" i="63"/>
  <c r="AW328" i="63"/>
  <c r="P328" i="63"/>
  <c r="AG328" i="63"/>
  <c r="AX328" i="63"/>
  <c r="AH328" i="63"/>
  <c r="AY328" i="63"/>
  <c r="AI328" i="63"/>
  <c r="B328" i="63"/>
  <c r="AJ328" i="63"/>
  <c r="C328" i="63"/>
  <c r="AK328" i="63"/>
  <c r="AL328" i="63"/>
  <c r="D328" i="63"/>
  <c r="E328" i="63"/>
  <c r="U328" i="63"/>
  <c r="AM328" i="63"/>
  <c r="M327" i="65"/>
  <c r="S327" i="65"/>
  <c r="N327" i="65"/>
  <c r="H327" i="65"/>
  <c r="U327" i="65"/>
  <c r="A329" i="63"/>
  <c r="AD328" i="65" l="1"/>
  <c r="AE328" i="65"/>
  <c r="AC328" i="65"/>
  <c r="Z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S331" i="63"/>
  <c r="AJ331" i="63"/>
  <c r="T331" i="63"/>
  <c r="AK331" i="63"/>
  <c r="U331" i="63"/>
  <c r="AM331" i="63"/>
  <c r="W331" i="63"/>
  <c r="AN331" i="63"/>
  <c r="AO331" i="63"/>
  <c r="AP331" i="63"/>
  <c r="AQ331" i="63"/>
  <c r="H331" i="63"/>
  <c r="I331" i="63"/>
  <c r="H330" i="65"/>
  <c r="Y330" i="65"/>
  <c r="S330" i="65"/>
  <c r="N330" i="65"/>
  <c r="U330" i="65"/>
  <c r="A332" i="63"/>
  <c r="AC331" i="65" l="1"/>
  <c r="O331" i="65"/>
  <c r="D331" i="65"/>
  <c r="K331" i="65"/>
  <c r="G331" i="65"/>
  <c r="AA331" i="65"/>
  <c r="AB331" i="65"/>
  <c r="Z331" i="65"/>
  <c r="V331" i="65"/>
  <c r="W331" i="65"/>
  <c r="I331" i="65"/>
  <c r="D332" i="63"/>
  <c r="T332" i="63"/>
  <c r="AJ332" i="63"/>
  <c r="K332" i="63"/>
  <c r="AS332" i="63"/>
  <c r="L332" i="63"/>
  <c r="AC332" i="63"/>
  <c r="AT332" i="63"/>
  <c r="M332" i="63"/>
  <c r="AD332" i="63"/>
  <c r="AU332" i="63"/>
  <c r="N332" i="63"/>
  <c r="AE332" i="63"/>
  <c r="AV332" i="63"/>
  <c r="AF332" i="63"/>
  <c r="AW332" i="63"/>
  <c r="P332" i="63"/>
  <c r="AG332" i="63"/>
  <c r="AX332" i="63"/>
  <c r="AH332" i="63"/>
  <c r="AY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A333" i="63"/>
  <c r="AD332" i="65" l="1"/>
  <c r="AE332" i="65"/>
  <c r="AC332" i="65"/>
  <c r="P332" i="65"/>
  <c r="K332" i="65"/>
  <c r="J332" i="65"/>
  <c r="W332" i="65"/>
  <c r="X332" i="65"/>
  <c r="T332" i="65"/>
  <c r="Z332" i="65"/>
  <c r="G332" i="65"/>
  <c r="I332" i="65"/>
  <c r="V332" i="65"/>
  <c r="O332" i="65"/>
  <c r="AA332" i="65"/>
  <c r="B332" i="65"/>
  <c r="B333" i="63"/>
  <c r="AH333" i="63"/>
  <c r="AX333" i="63"/>
  <c r="L333" i="63"/>
  <c r="AC333" i="63"/>
  <c r="AT333" i="63"/>
  <c r="M333" i="63"/>
  <c r="AD333" i="63"/>
  <c r="AU333" i="63"/>
  <c r="N333" i="63"/>
  <c r="AE333" i="63"/>
  <c r="AV333" i="63"/>
  <c r="O333" i="63"/>
  <c r="AF333" i="63"/>
  <c r="AW333" i="63"/>
  <c r="P333" i="63"/>
  <c r="AG333" i="63"/>
  <c r="AY333" i="63"/>
  <c r="AI333" i="63"/>
  <c r="AJ333" i="63"/>
  <c r="C333" i="63"/>
  <c r="T333" i="63"/>
  <c r="AK333" i="63"/>
  <c r="D333" i="63"/>
  <c r="U333" i="63"/>
  <c r="AL333" i="63"/>
  <c r="E333" i="63"/>
  <c r="V333" i="63"/>
  <c r="AM333" i="63"/>
  <c r="F333" i="63"/>
  <c r="W333" i="63"/>
  <c r="AN333" i="63"/>
  <c r="G333" i="63"/>
  <c r="X333" i="63"/>
  <c r="AO333" i="63"/>
  <c r="H333" i="63"/>
  <c r="Y333" i="63"/>
  <c r="AE333" i="65" s="1"/>
  <c r="AP333" i="63"/>
  <c r="I333" i="63"/>
  <c r="Z333" i="63"/>
  <c r="AQ333" i="63"/>
  <c r="J333" i="63"/>
  <c r="AR333" i="63"/>
  <c r="AS333" i="63"/>
  <c r="U332" i="65"/>
  <c r="H332" i="65"/>
  <c r="S332" i="65"/>
  <c r="Y332" i="65"/>
  <c r="N332" i="65"/>
  <c r="A334" i="63"/>
  <c r="AD333" i="65" l="1"/>
  <c r="AC333" i="65"/>
  <c r="J333" i="65"/>
  <c r="P333" i="65"/>
  <c r="D333" i="65"/>
  <c r="K333" i="65"/>
  <c r="Z333" i="65"/>
  <c r="W333" i="65"/>
  <c r="X333" i="65"/>
  <c r="T333" i="65"/>
  <c r="B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U333" i="65"/>
  <c r="N333" i="65"/>
  <c r="M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AN339" i="63"/>
  <c r="AO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AH339" i="63"/>
  <c r="AI339" i="63"/>
  <c r="N338" i="65"/>
  <c r="S338" i="65"/>
  <c r="Y338" i="65"/>
  <c r="M338" i="65"/>
  <c r="H338" i="65"/>
  <c r="M339" i="65"/>
  <c r="A340" i="63"/>
  <c r="AC339" i="65" l="1"/>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AS340" i="63"/>
  <c r="L340" i="63"/>
  <c r="AC340" i="63"/>
  <c r="AT340" i="63"/>
  <c r="M340" i="63"/>
  <c r="AD340" i="63"/>
  <c r="AU340" i="63"/>
  <c r="N340" i="63"/>
  <c r="AE340" i="63"/>
  <c r="AV340" i="63"/>
  <c r="O340" i="63"/>
  <c r="AF340" i="63"/>
  <c r="AW340" i="63"/>
  <c r="AG340" i="63"/>
  <c r="AX340" i="63"/>
  <c r="AH340" i="63"/>
  <c r="AY340" i="63"/>
  <c r="AI340" i="63"/>
  <c r="AK340" i="63"/>
  <c r="Y339" i="65"/>
  <c r="S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W341" i="63"/>
  <c r="AN341" i="63"/>
  <c r="G341" i="63"/>
  <c r="X341" i="63"/>
  <c r="AO341" i="63"/>
  <c r="H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A342" i="63"/>
  <c r="AD341" i="65" l="1"/>
  <c r="AC341" i="65"/>
  <c r="J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N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S345" i="63"/>
  <c r="AJ345" i="63"/>
  <c r="T345" i="63"/>
  <c r="AK345" i="63"/>
  <c r="U345" i="63"/>
  <c r="AL345" i="63"/>
  <c r="V345" i="63"/>
  <c r="AM345" i="63"/>
  <c r="AN345" i="63"/>
  <c r="AO345" i="63"/>
  <c r="AQ345" i="63"/>
  <c r="S344" i="65"/>
  <c r="M344" i="65"/>
  <c r="H344" i="65"/>
  <c r="U344" i="65"/>
  <c r="Y344" i="65"/>
  <c r="A346" i="63"/>
  <c r="AC345" i="65" l="1"/>
  <c r="O345" i="65"/>
  <c r="K345" i="65"/>
  <c r="D345" i="65"/>
  <c r="P345" i="65"/>
  <c r="AA345" i="65"/>
  <c r="AB345" i="65"/>
  <c r="I345" i="65"/>
  <c r="Z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AH346" i="63"/>
  <c r="AY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S345" i="65"/>
  <c r="A347" i="63"/>
  <c r="P346" i="65" l="1"/>
  <c r="AC346" i="65"/>
  <c r="AD346" i="65"/>
  <c r="J346" i="65"/>
  <c r="K346" i="65"/>
  <c r="D346" i="65"/>
  <c r="X346" i="65"/>
  <c r="T346" i="65"/>
  <c r="I346" i="65"/>
  <c r="Z346" i="65"/>
  <c r="AA346" i="65"/>
  <c r="W346" i="65"/>
  <c r="V346" i="65"/>
  <c r="B346" i="65"/>
  <c r="F347" i="63"/>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B347" i="63"/>
  <c r="AJ347" i="63"/>
  <c r="C347" i="63"/>
  <c r="T347" i="63"/>
  <c r="AK347" i="63"/>
  <c r="D347" i="63"/>
  <c r="U347" i="63"/>
  <c r="AM347" i="63"/>
  <c r="E347" i="63"/>
  <c r="W347" i="63"/>
  <c r="AN347" i="63"/>
  <c r="G347" i="63"/>
  <c r="X347" i="63"/>
  <c r="AO347" i="63"/>
  <c r="H347" i="63"/>
  <c r="Y347" i="63"/>
  <c r="AE347" i="65" s="1"/>
  <c r="AP347" i="63"/>
  <c r="I347" i="63"/>
  <c r="J347" i="63"/>
  <c r="Z347" i="63"/>
  <c r="AQ347" i="63"/>
  <c r="AR347" i="63"/>
  <c r="AS347" i="63"/>
  <c r="N346" i="65"/>
  <c r="H346" i="65"/>
  <c r="S346" i="65"/>
  <c r="Y346" i="65"/>
  <c r="U346" i="65"/>
  <c r="M346" i="65"/>
  <c r="A348" i="63"/>
  <c r="AD347" i="65" l="1"/>
  <c r="Z347" i="65"/>
  <c r="AC347" i="65"/>
  <c r="J347" i="65"/>
  <c r="X347" i="65"/>
  <c r="T347" i="65"/>
  <c r="B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AJ348" i="63"/>
  <c r="U348" i="63"/>
  <c r="AK348" i="63"/>
  <c r="V348" i="63"/>
  <c r="AL348" i="63"/>
  <c r="W348" i="63"/>
  <c r="AM348" i="63"/>
  <c r="H348" i="63"/>
  <c r="AN348" i="63"/>
  <c r="I348" i="63"/>
  <c r="AO348" i="63"/>
  <c r="AP348" i="63"/>
  <c r="AQ348" i="63"/>
  <c r="AR348" i="63"/>
  <c r="Z348" i="63"/>
  <c r="J348" i="63"/>
  <c r="L348" i="63"/>
  <c r="K348" i="65" s="1"/>
  <c r="H347" i="65"/>
  <c r="S347" i="65"/>
  <c r="U347" i="65"/>
  <c r="N347" i="65"/>
  <c r="M347" i="65"/>
  <c r="A349" i="63"/>
  <c r="AC348" i="65" l="1"/>
  <c r="J348" i="65"/>
  <c r="P348" i="65"/>
  <c r="D348" i="65"/>
  <c r="W348" i="65"/>
  <c r="O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L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AG353" i="63"/>
  <c r="H352" i="65"/>
  <c r="M352" i="65"/>
  <c r="U352" i="65"/>
  <c r="N352" i="65"/>
  <c r="Y352" i="65"/>
  <c r="A354" i="63"/>
  <c r="AC353" i="65" l="1"/>
  <c r="J353" i="65"/>
  <c r="P353" i="65"/>
  <c r="D353" i="65"/>
  <c r="K353" i="65"/>
  <c r="W353" i="65"/>
  <c r="G353" i="65"/>
  <c r="V353" i="65"/>
  <c r="O353" i="65"/>
  <c r="AA353" i="65"/>
  <c r="Z353" i="65"/>
  <c r="I353" i="65"/>
  <c r="H353" i="65"/>
  <c r="AG354" i="63"/>
  <c r="AW354" i="63"/>
  <c r="AH354" i="63"/>
  <c r="AX354" i="63"/>
  <c r="AI354" i="63"/>
  <c r="AY354" i="63"/>
  <c r="T354" i="63"/>
  <c r="AJ354" i="63"/>
  <c r="U354" i="63"/>
  <c r="AK354" i="63"/>
  <c r="V354" i="63"/>
  <c r="D354" i="65" s="1"/>
  <c r="AL354" i="63"/>
  <c r="W354" i="63"/>
  <c r="AM354" i="63"/>
  <c r="H354" i="63"/>
  <c r="AN354" i="63"/>
  <c r="I354" i="63"/>
  <c r="AO354" i="63"/>
  <c r="J354" i="63"/>
  <c r="Z354" i="63"/>
  <c r="AP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W359" i="63"/>
  <c r="AM359" i="63"/>
  <c r="H359" i="63"/>
  <c r="AN359" i="63"/>
  <c r="I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R359" i="63"/>
  <c r="AH359" i="63"/>
  <c r="AX359" i="63"/>
  <c r="S359" i="63"/>
  <c r="AI359" i="63"/>
  <c r="AY359" i="63"/>
  <c r="T359" i="63"/>
  <c r="U359" i="63"/>
  <c r="V359" i="63"/>
  <c r="D359" i="65" s="1"/>
  <c r="AJ359" i="63"/>
  <c r="AK359" i="63"/>
  <c r="AL359" i="63"/>
  <c r="S358" i="65"/>
  <c r="U358" i="65"/>
  <c r="M358" i="65"/>
  <c r="N358" i="65"/>
  <c r="H358" i="65"/>
  <c r="A360" i="63"/>
  <c r="AE359" i="65" l="1"/>
  <c r="AB359" i="65"/>
  <c r="AC359" i="65"/>
  <c r="J359" i="65"/>
  <c r="W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AG360" i="63"/>
  <c r="AW360" i="63"/>
  <c r="AH360" i="63"/>
  <c r="AI360" i="63"/>
  <c r="AJ360" i="63"/>
  <c r="AX360" i="63"/>
  <c r="AY360" i="63"/>
  <c r="B360" i="63"/>
  <c r="C360" i="63"/>
  <c r="D360" i="63"/>
  <c r="S360" i="63"/>
  <c r="T360" i="63"/>
  <c r="Y359" i="65"/>
  <c r="S359" i="65"/>
  <c r="H359" i="65"/>
  <c r="N359" i="65"/>
  <c r="M359" i="65"/>
  <c r="A361" i="63"/>
  <c r="J360" i="65" l="1"/>
  <c r="AC360" i="65"/>
  <c r="AD360" i="65"/>
  <c r="O360" i="65"/>
  <c r="K360" i="65"/>
  <c r="D360" i="65"/>
  <c r="X360" i="65"/>
  <c r="T360" i="65"/>
  <c r="I360" i="65"/>
  <c r="Z360" i="65"/>
  <c r="AA360" i="65"/>
  <c r="B360" i="65"/>
  <c r="W360" i="65"/>
  <c r="G360" i="65"/>
  <c r="V360" i="65"/>
  <c r="P360" i="65"/>
  <c r="M360" i="65"/>
  <c r="C361" i="63"/>
  <c r="AI361" i="63"/>
  <c r="AY361" i="63"/>
  <c r="D361" i="63"/>
  <c r="T361" i="63"/>
  <c r="AJ361" i="63"/>
  <c r="E361" i="63"/>
  <c r="U361" i="63"/>
  <c r="AK361" i="63"/>
  <c r="F361" i="63"/>
  <c r="V361" i="63"/>
  <c r="AL361" i="63"/>
  <c r="G361" i="63"/>
  <c r="W361" i="63"/>
  <c r="AM361" i="63"/>
  <c r="H361" i="63"/>
  <c r="X361" i="63"/>
  <c r="AN361" i="63"/>
  <c r="I361" i="63"/>
  <c r="Y361" i="63"/>
  <c r="AE361" i="65" s="1"/>
  <c r="AO361" i="63"/>
  <c r="J361" i="63"/>
  <c r="Z361" i="63"/>
  <c r="AP361" i="63"/>
  <c r="AQ361" i="63"/>
  <c r="L361" i="63"/>
  <c r="AR361" i="63"/>
  <c r="M361" i="63"/>
  <c r="AC361" i="63"/>
  <c r="AS361" i="63"/>
  <c r="N361" i="63"/>
  <c r="AD361" i="63"/>
  <c r="AT361" i="63"/>
  <c r="O361" i="63"/>
  <c r="AE361" i="63"/>
  <c r="AU361" i="63"/>
  <c r="B361" i="63"/>
  <c r="P361" i="63"/>
  <c r="AF361" i="63"/>
  <c r="AX361" i="63"/>
  <c r="AG361" i="63"/>
  <c r="AH361" i="63"/>
  <c r="AV361" i="63"/>
  <c r="AW361" i="63"/>
  <c r="U360" i="65"/>
  <c r="H360" i="65"/>
  <c r="N360" i="65"/>
  <c r="S360" i="65"/>
  <c r="Y360" i="65"/>
  <c r="A362" i="63"/>
  <c r="AD361" i="65" l="1"/>
  <c r="X361" i="65"/>
  <c r="AC361" i="65"/>
  <c r="T361" i="65"/>
  <c r="D361" i="65"/>
  <c r="K361" i="65"/>
  <c r="J361" i="65"/>
  <c r="B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S361" i="65"/>
  <c r="N361" i="65"/>
  <c r="U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U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C365" i="65" l="1"/>
  <c r="AD365" i="65"/>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K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G369" i="65"/>
  <c r="M369" i="65"/>
  <c r="Y369" i="65"/>
  <c r="U369" i="65"/>
  <c r="H369" i="65"/>
  <c r="J36" i="5"/>
  <c r="K36" i="5"/>
  <c r="L36" i="5"/>
  <c r="M36" i="5"/>
  <c r="N36" i="5"/>
  <c r="K59" i="5" l="1"/>
  <c r="L59" i="5"/>
  <c r="M59" i="5"/>
  <c r="P58" i="5"/>
  <c r="J57" i="5"/>
  <c r="K57" i="5"/>
  <c r="L57" i="5"/>
  <c r="N57" i="5"/>
  <c r="L61" i="5"/>
  <c r="M61" i="5"/>
  <c r="N61" i="5"/>
  <c r="J73" i="5"/>
  <c r="K73" i="5"/>
  <c r="L73" i="5"/>
  <c r="M73" i="5"/>
  <c r="N73" i="5"/>
  <c r="J38" i="5"/>
  <c r="K38" i="5"/>
  <c r="L38" i="5"/>
  <c r="M38" i="5"/>
  <c r="N38" i="5"/>
  <c r="J20"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K20" i="5" s="1"/>
  <c r="AE228" i="65"/>
  <c r="AE214" i="65"/>
  <c r="AE200" i="65"/>
  <c r="V74" i="65"/>
  <c r="AE186" i="65"/>
  <c r="Z180" i="65"/>
  <c r="D178" i="65"/>
  <c r="AE172" i="65"/>
  <c r="AE158" i="65"/>
  <c r="AE130" i="65"/>
  <c r="AE116" i="65"/>
  <c r="AE88" i="65"/>
  <c r="Z68" i="65"/>
  <c r="AE60" i="65"/>
  <c r="AE46" i="65"/>
  <c r="AE32" i="65"/>
  <c r="AE18" i="65"/>
  <c r="AE4" i="65"/>
  <c r="B2" i="63" a="1"/>
  <c r="L77" i="63" s="1"/>
  <c r="L353" i="63" l="1"/>
  <c r="Q3" i="63"/>
  <c r="AB3" i="65" s="1"/>
  <c r="R3" i="63"/>
  <c r="K4" i="63"/>
  <c r="Y4" i="65" s="1"/>
  <c r="U3" i="63"/>
  <c r="AC3" i="65" s="1"/>
  <c r="W5" i="63"/>
  <c r="J5" i="65" s="1"/>
  <c r="H5" i="63"/>
  <c r="S4" i="63"/>
  <c r="I6" i="63"/>
  <c r="N6" i="65" s="1"/>
  <c r="M9" i="63"/>
  <c r="X9" i="63"/>
  <c r="T9" i="65" s="1"/>
  <c r="Y9" i="63"/>
  <c r="C9" i="63"/>
  <c r="U9" i="65" s="1"/>
  <c r="F9" i="63"/>
  <c r="D9" i="63"/>
  <c r="E9" i="63"/>
  <c r="G9" i="63"/>
  <c r="Q10" i="63"/>
  <c r="AB10" i="65" s="1"/>
  <c r="R10" i="63"/>
  <c r="K11" i="63"/>
  <c r="Y11" i="65" s="1"/>
  <c r="S11" i="63"/>
  <c r="T12" i="63"/>
  <c r="AA12" i="65" s="1"/>
  <c r="Q17" i="63"/>
  <c r="AB17" i="65" s="1"/>
  <c r="R17" i="63"/>
  <c r="K18" i="63"/>
  <c r="Y18" i="65" s="1"/>
  <c r="S18" i="63"/>
  <c r="N22" i="63"/>
  <c r="V22" i="63"/>
  <c r="J22" i="65" s="1"/>
  <c r="D23" i="63"/>
  <c r="F23" i="63"/>
  <c r="E23" i="63"/>
  <c r="G23" i="63"/>
  <c r="C23" i="63"/>
  <c r="U23" i="65" s="1"/>
  <c r="X23" i="63"/>
  <c r="T23" i="65" s="1"/>
  <c r="O23" i="63"/>
  <c r="Y23" i="63"/>
  <c r="Q24" i="63"/>
  <c r="AB24" i="65" s="1"/>
  <c r="R24" i="63"/>
  <c r="K25" i="63"/>
  <c r="Y25" i="65" s="1"/>
  <c r="S25" i="63"/>
  <c r="Q31" i="63"/>
  <c r="AB31" i="65" s="1"/>
  <c r="R31" i="63"/>
  <c r="S32" i="63"/>
  <c r="K32" i="63"/>
  <c r="Y32" i="65" s="1"/>
  <c r="P32" i="63"/>
  <c r="T33" i="63"/>
  <c r="AA33" i="65" s="1"/>
  <c r="W35" i="63"/>
  <c r="J35" i="65" s="1"/>
  <c r="H35" i="63"/>
  <c r="N35" i="65" s="1"/>
  <c r="I36" i="63"/>
  <c r="N36" i="65" s="1"/>
  <c r="F37" i="63"/>
  <c r="C37" i="63"/>
  <c r="U37" i="65" s="1"/>
  <c r="G37" i="63"/>
  <c r="X37" i="63"/>
  <c r="T37" i="65" s="1"/>
  <c r="Y37" i="63"/>
  <c r="AD37" i="65" s="1"/>
  <c r="E37" i="63"/>
  <c r="D37" i="63"/>
  <c r="Q38" i="63"/>
  <c r="AB38" i="65" s="1"/>
  <c r="R38" i="63"/>
  <c r="K39" i="63"/>
  <c r="Y39" i="65" s="1"/>
  <c r="M39" i="63"/>
  <c r="S39" i="63"/>
  <c r="Q45" i="63"/>
  <c r="AB45" i="65" s="1"/>
  <c r="R45" i="63"/>
  <c r="K46" i="63"/>
  <c r="Y46" i="65" s="1"/>
  <c r="S46" i="63"/>
  <c r="G51" i="63"/>
  <c r="F51" i="63"/>
  <c r="X51" i="63"/>
  <c r="T51" i="65" s="1"/>
  <c r="C51" i="63"/>
  <c r="U51" i="65" s="1"/>
  <c r="Y51" i="63"/>
  <c r="D51" i="63"/>
  <c r="E51" i="63"/>
  <c r="Q52" i="63"/>
  <c r="N52" i="63"/>
  <c r="R52" i="63"/>
  <c r="V52" i="63"/>
  <c r="S53" i="63"/>
  <c r="O53" i="63"/>
  <c r="K53" i="63"/>
  <c r="Y53" i="65" s="1"/>
  <c r="T54" i="63"/>
  <c r="AA54" i="65" s="1"/>
  <c r="Q59" i="63"/>
  <c r="AB59" i="65" s="1"/>
  <c r="R59" i="63"/>
  <c r="S60" i="63"/>
  <c r="K60" i="63"/>
  <c r="Y60" i="65" s="1"/>
  <c r="P62" i="63"/>
  <c r="F65" i="63"/>
  <c r="E65" i="63"/>
  <c r="G65" i="63"/>
  <c r="X65" i="63"/>
  <c r="T65" i="65" s="1"/>
  <c r="Y65" i="63"/>
  <c r="D65" i="63"/>
  <c r="C65" i="63"/>
  <c r="U65" i="65" s="1"/>
  <c r="R66" i="63"/>
  <c r="W66" i="63"/>
  <c r="J66" i="65" s="1"/>
  <c r="Q66" i="63"/>
  <c r="H66" i="63"/>
  <c r="N66" i="65" s="1"/>
  <c r="S67" i="63"/>
  <c r="K67" i="63"/>
  <c r="Y67" i="65" s="1"/>
  <c r="I67" i="63"/>
  <c r="N67" i="65" s="1"/>
  <c r="M70" i="63"/>
  <c r="Q73" i="63"/>
  <c r="AB73" i="65" s="1"/>
  <c r="R73" i="63"/>
  <c r="K74" i="63"/>
  <c r="Y74" i="65" s="1"/>
  <c r="S74" i="63"/>
  <c r="T75" i="63"/>
  <c r="AA75" i="65" s="1"/>
  <c r="J77" i="63"/>
  <c r="Y79" i="63"/>
  <c r="E79" i="63"/>
  <c r="F79" i="63"/>
  <c r="C79" i="63"/>
  <c r="U79" i="65" s="1"/>
  <c r="G79" i="63"/>
  <c r="X79" i="63"/>
  <c r="T79" i="65" s="1"/>
  <c r="D79" i="63"/>
  <c r="R80" i="63"/>
  <c r="Q80" i="63"/>
  <c r="AB80" i="65" s="1"/>
  <c r="K81" i="63"/>
  <c r="Y81" i="65" s="1"/>
  <c r="S81" i="63"/>
  <c r="V83" i="63"/>
  <c r="J83" i="65" s="1"/>
  <c r="N83" i="63"/>
  <c r="O84" i="63"/>
  <c r="Q87" i="63"/>
  <c r="AB87" i="65" s="1"/>
  <c r="R87" i="63"/>
  <c r="K88" i="63"/>
  <c r="Y88" i="65" s="1"/>
  <c r="S88" i="63"/>
  <c r="F93" i="63"/>
  <c r="C93" i="63"/>
  <c r="U93" i="65" s="1"/>
  <c r="P93" i="63"/>
  <c r="X93" i="63"/>
  <c r="T93" i="65" s="1"/>
  <c r="Y93" i="63"/>
  <c r="E93" i="63"/>
  <c r="U93" i="63"/>
  <c r="AC93" i="65" s="1"/>
  <c r="G93" i="63"/>
  <c r="D93" i="63"/>
  <c r="R94" i="63"/>
  <c r="Q94" i="63"/>
  <c r="AB94" i="65" s="1"/>
  <c r="S95" i="63"/>
  <c r="K95" i="63"/>
  <c r="Y95" i="65" s="1"/>
  <c r="W96" i="63"/>
  <c r="J96" i="65" s="1"/>
  <c r="H96" i="63"/>
  <c r="T96" i="63"/>
  <c r="AA96" i="65" s="1"/>
  <c r="I97" i="63"/>
  <c r="N97" i="65" s="1"/>
  <c r="M100" i="63"/>
  <c r="Q101" i="63"/>
  <c r="AB101" i="65" s="1"/>
  <c r="R101" i="63"/>
  <c r="K102" i="63"/>
  <c r="Y102" i="65" s="1"/>
  <c r="S102" i="63"/>
  <c r="D107" i="63"/>
  <c r="C107" i="63"/>
  <c r="U107" i="65" s="1"/>
  <c r="X107" i="63"/>
  <c r="T107" i="65" s="1"/>
  <c r="E107" i="63"/>
  <c r="F107" i="63"/>
  <c r="G107" i="63"/>
  <c r="Y107" i="63"/>
  <c r="Q108" i="63"/>
  <c r="AB108" i="65" s="1"/>
  <c r="R108" i="63"/>
  <c r="S109" i="63"/>
  <c r="K109" i="63"/>
  <c r="Y109" i="65" s="1"/>
  <c r="N113" i="63"/>
  <c r="V113" i="63"/>
  <c r="J113" i="65" s="1"/>
  <c r="O114" i="63"/>
  <c r="Q115" i="63"/>
  <c r="AB115" i="65" s="1"/>
  <c r="R115" i="63"/>
  <c r="K116" i="63"/>
  <c r="Y116" i="65" s="1"/>
  <c r="S116" i="63"/>
  <c r="T117" i="63"/>
  <c r="AA117" i="65" s="1"/>
  <c r="D121" i="63"/>
  <c r="Y121" i="63"/>
  <c r="G121" i="63"/>
  <c r="C121" i="63"/>
  <c r="U121" i="65" s="1"/>
  <c r="E121" i="63"/>
  <c r="X121" i="63"/>
  <c r="T121" i="65" s="1"/>
  <c r="F121" i="63"/>
  <c r="Q122" i="63"/>
  <c r="AB122" i="65" s="1"/>
  <c r="R122" i="63"/>
  <c r="S123" i="63"/>
  <c r="K123" i="63"/>
  <c r="Y123" i="65" s="1"/>
  <c r="P123" i="63"/>
  <c r="W127" i="63"/>
  <c r="J127" i="65" s="1"/>
  <c r="H127" i="63"/>
  <c r="I128" i="63"/>
  <c r="N128" i="65" s="1"/>
  <c r="Q129" i="63"/>
  <c r="R129" i="63"/>
  <c r="K130" i="63"/>
  <c r="Y130" i="65" s="1"/>
  <c r="S130" i="63"/>
  <c r="M131" i="63"/>
  <c r="X135" i="63"/>
  <c r="T135" i="65" s="1"/>
  <c r="G135" i="63"/>
  <c r="D135" i="63"/>
  <c r="E135" i="63"/>
  <c r="F135" i="63"/>
  <c r="Y135" i="63"/>
  <c r="C135" i="63"/>
  <c r="U135" i="65" s="1"/>
  <c r="Q136" i="63"/>
  <c r="AB136" i="65" s="1"/>
  <c r="R136" i="63"/>
  <c r="K137" i="63"/>
  <c r="Y137" i="65" s="1"/>
  <c r="S137" i="63"/>
  <c r="T138" i="63"/>
  <c r="AA138" i="65" s="1"/>
  <c r="Q143" i="63"/>
  <c r="AB143" i="65" s="1"/>
  <c r="R143" i="63"/>
  <c r="N144" i="63"/>
  <c r="V144" i="63"/>
  <c r="S144" i="63"/>
  <c r="K144" i="63"/>
  <c r="Y144" i="65" s="1"/>
  <c r="O145" i="63"/>
  <c r="Z147" i="63"/>
  <c r="P147" i="65" s="1"/>
  <c r="E149" i="63"/>
  <c r="G149" i="63"/>
  <c r="C149" i="63"/>
  <c r="U149" i="65" s="1"/>
  <c r="X149" i="63"/>
  <c r="T149" i="65" s="1"/>
  <c r="D149" i="63"/>
  <c r="F149" i="63"/>
  <c r="Y149" i="63"/>
  <c r="Q150" i="63"/>
  <c r="AB150" i="65" s="1"/>
  <c r="R150" i="63"/>
  <c r="S151" i="63"/>
  <c r="K151" i="63"/>
  <c r="Y151" i="65" s="1"/>
  <c r="P154" i="63"/>
  <c r="R157" i="63"/>
  <c r="Q157" i="63"/>
  <c r="AB157" i="65" s="1"/>
  <c r="W158" i="63"/>
  <c r="J158" i="65" s="1"/>
  <c r="K158" i="63"/>
  <c r="Y158" i="65" s="1"/>
  <c r="H158" i="63"/>
  <c r="S158" i="63"/>
  <c r="I159" i="63"/>
  <c r="N159" i="65" s="1"/>
  <c r="T159" i="63"/>
  <c r="AA159" i="65" s="1"/>
  <c r="M162" i="63"/>
  <c r="E163" i="63"/>
  <c r="Y163" i="63"/>
  <c r="F163" i="63"/>
  <c r="C163" i="63"/>
  <c r="U163" i="65" s="1"/>
  <c r="G163" i="63"/>
  <c r="D163" i="63"/>
  <c r="X163" i="63"/>
  <c r="T163" i="65" s="1"/>
  <c r="Q164" i="63"/>
  <c r="AB164" i="65" s="1"/>
  <c r="R164" i="63"/>
  <c r="K165" i="63"/>
  <c r="Y165" i="65" s="1"/>
  <c r="S165" i="63"/>
  <c r="Q171" i="63"/>
  <c r="R171" i="63"/>
  <c r="K172" i="63"/>
  <c r="Y172" i="65" s="1"/>
  <c r="S172" i="63"/>
  <c r="V175" i="63"/>
  <c r="J175" i="65" s="1"/>
  <c r="N175" i="63"/>
  <c r="O176" i="63"/>
  <c r="F177" i="63"/>
  <c r="C177" i="63"/>
  <c r="U177" i="65" s="1"/>
  <c r="X177" i="63"/>
  <c r="T177" i="65" s="1"/>
  <c r="E177" i="63"/>
  <c r="D177" i="63"/>
  <c r="Y177" i="63"/>
  <c r="G177" i="63"/>
  <c r="Q178" i="63"/>
  <c r="AB178" i="65" s="1"/>
  <c r="R178" i="63"/>
  <c r="K179" i="63"/>
  <c r="Y179" i="65" s="1"/>
  <c r="S179" i="63"/>
  <c r="T180" i="63"/>
  <c r="AA180" i="65" s="1"/>
  <c r="U183" i="63"/>
  <c r="AC183" i="65" s="1"/>
  <c r="P185" i="63"/>
  <c r="Q185" i="63"/>
  <c r="AB185" i="65" s="1"/>
  <c r="R185" i="63"/>
  <c r="K186" i="63"/>
  <c r="Y186" i="65" s="1"/>
  <c r="S186" i="63"/>
  <c r="W188" i="63"/>
  <c r="J188" i="65" s="1"/>
  <c r="H188" i="63"/>
  <c r="N188" i="65" s="1"/>
  <c r="I189" i="63"/>
  <c r="N189" i="65" s="1"/>
  <c r="F191" i="63"/>
  <c r="G191" i="63"/>
  <c r="C191" i="63"/>
  <c r="U191" i="65" s="1"/>
  <c r="X191" i="63"/>
  <c r="T191" i="65" s="1"/>
  <c r="D191" i="63"/>
  <c r="Y191" i="63"/>
  <c r="E191" i="63"/>
  <c r="M192" i="63"/>
  <c r="Q192" i="63"/>
  <c r="AB192" i="65" s="1"/>
  <c r="R192" i="63"/>
  <c r="K193" i="63"/>
  <c r="Y193" i="65" s="1"/>
  <c r="S193" i="63"/>
  <c r="R199" i="63"/>
  <c r="Q199" i="63"/>
  <c r="AB199" i="65" s="1"/>
  <c r="S200" i="63"/>
  <c r="K200" i="63"/>
  <c r="Y200" i="65" s="1"/>
  <c r="T201" i="63"/>
  <c r="AA201" i="65" s="1"/>
  <c r="E205" i="63"/>
  <c r="N205" i="63"/>
  <c r="Y205" i="63"/>
  <c r="F205" i="63"/>
  <c r="C205" i="63"/>
  <c r="U205" i="65" s="1"/>
  <c r="D205" i="63"/>
  <c r="X205" i="63"/>
  <c r="T205" i="65" s="1"/>
  <c r="V205" i="63"/>
  <c r="J205" i="65" s="1"/>
  <c r="G205" i="63"/>
  <c r="O206" i="63"/>
  <c r="Q206" i="63"/>
  <c r="AB206" i="65" s="1"/>
  <c r="R206" i="63"/>
  <c r="K207" i="63"/>
  <c r="Y207" i="65" s="1"/>
  <c r="S207" i="63"/>
  <c r="R213" i="63"/>
  <c r="Q213" i="63"/>
  <c r="AB213" i="65" s="1"/>
  <c r="S214" i="63"/>
  <c r="K214" i="63"/>
  <c r="Y214" i="65" s="1"/>
  <c r="P215" i="63"/>
  <c r="F219" i="63"/>
  <c r="Y219" i="63"/>
  <c r="C219" i="63"/>
  <c r="U219" i="65" s="1"/>
  <c r="G219" i="63"/>
  <c r="W219" i="63"/>
  <c r="J219" i="65" s="1"/>
  <c r="D219" i="63"/>
  <c r="H219" i="63"/>
  <c r="N219" i="65" s="1"/>
  <c r="X219" i="63"/>
  <c r="T219" i="65" s="1"/>
  <c r="E219" i="63"/>
  <c r="Q220" i="63"/>
  <c r="AB220" i="65" s="1"/>
  <c r="R220" i="63"/>
  <c r="I220" i="63"/>
  <c r="N220" i="65" s="1"/>
  <c r="S221" i="63"/>
  <c r="K221" i="63"/>
  <c r="Y221" i="65" s="1"/>
  <c r="T222" i="63"/>
  <c r="AA222" i="65" s="1"/>
  <c r="M223" i="63"/>
  <c r="R227" i="63"/>
  <c r="Q227" i="63"/>
  <c r="AB227" i="65" s="1"/>
  <c r="K228" i="63"/>
  <c r="Y228" i="65" s="1"/>
  <c r="S228" i="63"/>
  <c r="Y233" i="63"/>
  <c r="G233" i="63"/>
  <c r="F233" i="63"/>
  <c r="C233" i="63"/>
  <c r="U233" i="65" s="1"/>
  <c r="D233" i="63"/>
  <c r="X233" i="63"/>
  <c r="T233" i="65" s="1"/>
  <c r="E233" i="63"/>
  <c r="R234" i="63"/>
  <c r="Q234" i="63"/>
  <c r="AB234" i="65" s="1"/>
  <c r="S235" i="63"/>
  <c r="K235" i="63"/>
  <c r="Y235" i="65" s="1"/>
  <c r="N236" i="63"/>
  <c r="V236" i="63"/>
  <c r="J236" i="65" s="1"/>
  <c r="O237" i="63"/>
  <c r="Q241" i="63"/>
  <c r="AB241" i="65" s="1"/>
  <c r="R241" i="63"/>
  <c r="S242" i="63"/>
  <c r="K242" i="63"/>
  <c r="Y242" i="65" s="1"/>
  <c r="T243" i="63"/>
  <c r="AA243" i="65" s="1"/>
  <c r="P246" i="63"/>
  <c r="G247" i="63"/>
  <c r="X247" i="63"/>
  <c r="T247" i="65" s="1"/>
  <c r="C247" i="63"/>
  <c r="U247" i="65" s="1"/>
  <c r="D247" i="63"/>
  <c r="E247" i="63"/>
  <c r="Y247" i="63"/>
  <c r="F247" i="63"/>
  <c r="Q248" i="63"/>
  <c r="AB248" i="65" s="1"/>
  <c r="R248" i="63"/>
  <c r="S249" i="63"/>
  <c r="K249" i="63"/>
  <c r="Y249" i="65" s="1"/>
  <c r="W249" i="63"/>
  <c r="J249" i="65" s="1"/>
  <c r="H249" i="63"/>
  <c r="N249" i="65" s="1"/>
  <c r="I250" i="63"/>
  <c r="N250" i="65" s="1"/>
  <c r="M253" i="63"/>
  <c r="R255" i="63"/>
  <c r="Q255" i="63"/>
  <c r="AB255" i="65" s="1"/>
  <c r="K256" i="63"/>
  <c r="Y256" i="65" s="1"/>
  <c r="S256" i="63"/>
  <c r="J260" i="63"/>
  <c r="Y260" i="65" s="1"/>
  <c r="C261" i="63"/>
  <c r="U261" i="65" s="1"/>
  <c r="G261" i="63"/>
  <c r="D261" i="63"/>
  <c r="X261" i="63"/>
  <c r="T261" i="65" s="1"/>
  <c r="E261" i="63"/>
  <c r="Y261" i="63"/>
  <c r="F261" i="63"/>
  <c r="Q262" i="63"/>
  <c r="AB262" i="65" s="1"/>
  <c r="R262" i="63"/>
  <c r="K263" i="63"/>
  <c r="S263" i="63"/>
  <c r="T264" i="63"/>
  <c r="AA264" i="65" s="1"/>
  <c r="N266" i="63"/>
  <c r="V266" i="63"/>
  <c r="O267" i="63"/>
  <c r="R269" i="63"/>
  <c r="Q269" i="63"/>
  <c r="AB269" i="65" s="1"/>
  <c r="S270" i="63"/>
  <c r="K270" i="63"/>
  <c r="Y270" i="65" s="1"/>
  <c r="U273" i="63"/>
  <c r="AC273" i="65" s="1"/>
  <c r="G275" i="63"/>
  <c r="D275" i="63"/>
  <c r="Y275" i="63"/>
  <c r="C275" i="63"/>
  <c r="U275" i="65" s="1"/>
  <c r="X275" i="63"/>
  <c r="T275" i="65" s="1"/>
  <c r="E275" i="63"/>
  <c r="F275" i="63"/>
  <c r="P276" i="63"/>
  <c r="Q276" i="63"/>
  <c r="AB276" i="65" s="1"/>
  <c r="R276" i="63"/>
  <c r="K277" i="63"/>
  <c r="Y277" i="65" s="1"/>
  <c r="S277" i="63"/>
  <c r="H280" i="63"/>
  <c r="N280" i="65" s="1"/>
  <c r="W280" i="63"/>
  <c r="J280" i="65" s="1"/>
  <c r="I281" i="63"/>
  <c r="Q283" i="63"/>
  <c r="AB283" i="65" s="1"/>
  <c r="R283" i="63"/>
  <c r="S284" i="63"/>
  <c r="K284" i="63"/>
  <c r="Y284" i="65" s="1"/>
  <c r="M284" i="63"/>
  <c r="T285" i="63"/>
  <c r="AA285" i="65" s="1"/>
  <c r="G289" i="63"/>
  <c r="D289" i="63"/>
  <c r="X289" i="63"/>
  <c r="T289" i="65" s="1"/>
  <c r="E289" i="63"/>
  <c r="C289" i="63"/>
  <c r="U289" i="65" s="1"/>
  <c r="F289" i="63"/>
  <c r="Y289" i="63"/>
  <c r="Q290" i="63"/>
  <c r="AB290" i="65" s="1"/>
  <c r="R290" i="63"/>
  <c r="S291" i="63"/>
  <c r="K291" i="63"/>
  <c r="Y291" i="65" s="1"/>
  <c r="Q297" i="63"/>
  <c r="AB297" i="65" s="1"/>
  <c r="N297" i="63"/>
  <c r="R297" i="63"/>
  <c r="V297" i="63"/>
  <c r="K298" i="63"/>
  <c r="Y298" i="65" s="1"/>
  <c r="S298" i="63"/>
  <c r="O298" i="63"/>
  <c r="F303" i="63"/>
  <c r="G303" i="63"/>
  <c r="C303" i="63"/>
  <c r="U303" i="65" s="1"/>
  <c r="D303" i="63"/>
  <c r="X303" i="63"/>
  <c r="T303" i="65" s="1"/>
  <c r="E303" i="63"/>
  <c r="Y303" i="63"/>
  <c r="Q304" i="63"/>
  <c r="AB304" i="65" s="1"/>
  <c r="R304" i="63"/>
  <c r="K305" i="63"/>
  <c r="Y305" i="65" s="1"/>
  <c r="S305" i="63"/>
  <c r="T306" i="63"/>
  <c r="AA306" i="65" s="1"/>
  <c r="P307" i="63"/>
  <c r="W311" i="63"/>
  <c r="J311" i="65" s="1"/>
  <c r="Q311" i="63"/>
  <c r="AB311" i="65" s="1"/>
  <c r="H311" i="63"/>
  <c r="N311" i="65" s="1"/>
  <c r="R311" i="63"/>
  <c r="I312" i="63"/>
  <c r="N312" i="65" s="1"/>
  <c r="S312" i="63"/>
  <c r="K312" i="63"/>
  <c r="Y312" i="65" s="1"/>
  <c r="M315" i="63"/>
  <c r="X317" i="63"/>
  <c r="T317" i="65" s="1"/>
  <c r="D317" i="63"/>
  <c r="E317" i="63"/>
  <c r="Y317" i="63"/>
  <c r="AD317" i="65" s="1"/>
  <c r="F317" i="63"/>
  <c r="C317" i="63"/>
  <c r="U317" i="65" s="1"/>
  <c r="G317" i="63"/>
  <c r="R318" i="63"/>
  <c r="Q318" i="63"/>
  <c r="AB318" i="65" s="1"/>
  <c r="S319" i="63"/>
  <c r="K319" i="63"/>
  <c r="Y319" i="65" s="1"/>
  <c r="Q325" i="63"/>
  <c r="AB325" i="65" s="1"/>
  <c r="R325" i="63"/>
  <c r="S326" i="63"/>
  <c r="K326" i="63"/>
  <c r="Y326" i="65" s="1"/>
  <c r="T327" i="63"/>
  <c r="AA327" i="65" s="1"/>
  <c r="N328" i="63"/>
  <c r="V328" i="63"/>
  <c r="O329" i="63"/>
  <c r="Z331" i="63"/>
  <c r="P331" i="65" s="1"/>
  <c r="E331" i="63"/>
  <c r="F331" i="63"/>
  <c r="Y331" i="63"/>
  <c r="D331" i="63"/>
  <c r="G331" i="63"/>
  <c r="X331" i="63"/>
  <c r="T331" i="65" s="1"/>
  <c r="C331" i="63"/>
  <c r="U331" i="65" s="1"/>
  <c r="R332" i="63"/>
  <c r="Q332" i="63"/>
  <c r="AB332" i="65" s="1"/>
  <c r="S333" i="63"/>
  <c r="K333" i="63"/>
  <c r="Y333" i="65" s="1"/>
  <c r="P338" i="63"/>
  <c r="Q339" i="63"/>
  <c r="AB339" i="65" s="1"/>
  <c r="H339" i="63"/>
  <c r="N339" i="65" s="1"/>
  <c r="R339" i="63"/>
  <c r="W339" i="63"/>
  <c r="J339" i="65" s="1"/>
  <c r="K340" i="63"/>
  <c r="Y340" i="65" s="1"/>
  <c r="S340" i="63"/>
  <c r="G345" i="63"/>
  <c r="E345" i="63"/>
  <c r="F345" i="63"/>
  <c r="X345" i="63"/>
  <c r="T345" i="65" s="1"/>
  <c r="C345" i="63"/>
  <c r="U345" i="65" s="1"/>
  <c r="Y345" i="63"/>
  <c r="D345" i="63"/>
  <c r="Q346" i="63"/>
  <c r="AB346" i="65" s="1"/>
  <c r="R346" i="63"/>
  <c r="S347" i="63"/>
  <c r="K347" i="63"/>
  <c r="Y347" i="65" s="1"/>
  <c r="T348" i="63"/>
  <c r="AA348" i="65" s="1"/>
  <c r="L350" i="63"/>
  <c r="R353" i="63"/>
  <c r="Q353" i="63"/>
  <c r="AB353" i="65" s="1"/>
  <c r="K354" i="63"/>
  <c r="Y354" i="65" s="1"/>
  <c r="S354" i="63"/>
  <c r="Y359" i="63"/>
  <c r="AD359" i="65" s="1"/>
  <c r="C359" i="63"/>
  <c r="U359" i="65" s="1"/>
  <c r="G359" i="63"/>
  <c r="D359" i="63"/>
  <c r="X359" i="63"/>
  <c r="T359" i="65" s="1"/>
  <c r="E359" i="63"/>
  <c r="F359" i="63"/>
  <c r="R360" i="63"/>
  <c r="Q360" i="63"/>
  <c r="AB360" i="65" s="1"/>
  <c r="S361" i="63"/>
  <c r="K361" i="63"/>
  <c r="Y361" i="65" s="1"/>
  <c r="U363" i="63"/>
  <c r="AC363" i="65" s="1"/>
  <c r="T369" i="63"/>
  <c r="AA369" i="65" s="1"/>
  <c r="P4" i="63"/>
  <c r="R6" i="63"/>
  <c r="U6" i="63"/>
  <c r="AC6" i="6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F73" i="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AA3" i="63"/>
  <c r="R3" i="65" s="1"/>
  <c r="AA5" i="63"/>
  <c r="R5" i="65" s="1"/>
  <c r="AA6" i="63"/>
  <c r="AA7" i="63"/>
  <c r="AA8" i="63"/>
  <c r="R8" i="65" s="1"/>
  <c r="AA9" i="63"/>
  <c r="R9" i="65" s="1"/>
  <c r="AA10" i="63"/>
  <c r="R10" i="65" s="1"/>
  <c r="AA11" i="63"/>
  <c r="R11" i="65" s="1"/>
  <c r="AA12" i="63"/>
  <c r="AA13" i="63"/>
  <c r="R13" i="65" s="1"/>
  <c r="AA14" i="63"/>
  <c r="AA15" i="63"/>
  <c r="AA16" i="63"/>
  <c r="R16" i="65" s="1"/>
  <c r="AA17" i="63"/>
  <c r="R17" i="65" s="1"/>
  <c r="AA18" i="63"/>
  <c r="R18" i="65" s="1"/>
  <c r="AA19" i="63"/>
  <c r="R19" i="65" s="1"/>
  <c r="AA20" i="63"/>
  <c r="R20" i="65" s="1"/>
  <c r="AA21" i="63"/>
  <c r="R21" i="65" s="1"/>
  <c r="AA22" i="63"/>
  <c r="R22" i="65" s="1"/>
  <c r="AA23" i="63"/>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R41" i="65" s="1"/>
  <c r="AA42" i="63"/>
  <c r="AA43" i="63"/>
  <c r="AA44" i="63"/>
  <c r="R44" i="65" s="1"/>
  <c r="AA45" i="63"/>
  <c r="R45" i="65" s="1"/>
  <c r="AA46" i="63"/>
  <c r="R46" i="65" s="1"/>
  <c r="AA47" i="63"/>
  <c r="R47" i="65" s="1"/>
  <c r="AA48" i="63"/>
  <c r="R48" i="65" s="1"/>
  <c r="AA49" i="63"/>
  <c r="R49" i="65" s="1"/>
  <c r="AA50" i="63"/>
  <c r="R50" i="65" s="1"/>
  <c r="AA51" i="63"/>
  <c r="R51" i="65" s="1"/>
  <c r="AA52" i="63"/>
  <c r="R52" i="65" s="1"/>
  <c r="AA53" i="63"/>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AA84" i="63"/>
  <c r="AA85" i="63"/>
  <c r="R85" i="65" s="1"/>
  <c r="AA86" i="63"/>
  <c r="AA87" i="63"/>
  <c r="AA88" i="63"/>
  <c r="AA91" i="63"/>
  <c r="R91" i="65" s="1"/>
  <c r="AA92" i="63"/>
  <c r="R92" i="65" s="1"/>
  <c r="AA93" i="63"/>
  <c r="AA94" i="63"/>
  <c r="R94" i="65" s="1"/>
  <c r="AA95" i="63"/>
  <c r="R95" i="65" s="1"/>
  <c r="AA96" i="63"/>
  <c r="AA97" i="63"/>
  <c r="AA98" i="63"/>
  <c r="R98" i="65" s="1"/>
  <c r="AA99" i="63"/>
  <c r="R99" i="65" s="1"/>
  <c r="AA100" i="63"/>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AA145" i="63"/>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AA176" i="63"/>
  <c r="R176" i="65" s="1"/>
  <c r="AA177" i="63"/>
  <c r="AA178" i="63"/>
  <c r="AA179" i="63"/>
  <c r="AA182" i="63"/>
  <c r="R182" i="65" s="1"/>
  <c r="AA183" i="63"/>
  <c r="R183" i="65" s="1"/>
  <c r="AA184" i="63"/>
  <c r="R184" i="65" s="1"/>
  <c r="AA185" i="63"/>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AA238" i="63"/>
  <c r="R238" i="65" s="1"/>
  <c r="AA239" i="63"/>
  <c r="AA240" i="63"/>
  <c r="AA241" i="63"/>
  <c r="AA244" i="63"/>
  <c r="R244" i="65" s="1"/>
  <c r="AA245" i="63"/>
  <c r="R245" i="65" s="1"/>
  <c r="AA246" i="63"/>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AA298" i="63"/>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N252" i="65" s="1"/>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N283" i="65" s="1"/>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AB86" i="63"/>
  <c r="Q86" i="65" s="1"/>
  <c r="K90" i="63"/>
  <c r="Y90" i="65" s="1"/>
  <c r="K97" i="63"/>
  <c r="Y97" i="65" s="1"/>
  <c r="R103" i="63"/>
  <c r="R110" i="63"/>
  <c r="AB116" i="63"/>
  <c r="AB122" i="63"/>
  <c r="AB128" i="63"/>
  <c r="Q128" i="65" s="1"/>
  <c r="AB134" i="63"/>
  <c r="Q134" i="65" s="1"/>
  <c r="AB141" i="63"/>
  <c r="Q141" i="65" s="1"/>
  <c r="S146" i="63"/>
  <c r="K153" i="63"/>
  <c r="Y153" i="65" s="1"/>
  <c r="Q159" i="63"/>
  <c r="AB159" i="65" s="1"/>
  <c r="AB164" i="63"/>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9" i="63"/>
  <c r="AB19" i="65" s="1"/>
  <c r="AB25" i="63"/>
  <c r="AB31" i="63"/>
  <c r="AB35" i="63"/>
  <c r="AB43" i="63"/>
  <c r="Q43" i="65" s="1"/>
  <c r="AB49" i="63"/>
  <c r="K55" i="63"/>
  <c r="Y55" i="65" s="1"/>
  <c r="Q61" i="63"/>
  <c r="AB61" i="65" s="1"/>
  <c r="AB67" i="63"/>
  <c r="AB73" i="63"/>
  <c r="AB81" i="63"/>
  <c r="AB87" i="63"/>
  <c r="Q87" i="65" s="1"/>
  <c r="AB91" i="63"/>
  <c r="S97" i="63"/>
  <c r="S104" i="63"/>
  <c r="K111" i="63"/>
  <c r="Y111" i="65" s="1"/>
  <c r="R117" i="63"/>
  <c r="AB123" i="63"/>
  <c r="AB129" i="63"/>
  <c r="Q129" i="65" s="1"/>
  <c r="AB135" i="63"/>
  <c r="Q135" i="65" s="1"/>
  <c r="AB142" i="63"/>
  <c r="Q142" i="65" s="1"/>
  <c r="AB147" i="63"/>
  <c r="S153" i="63"/>
  <c r="R159" i="63"/>
  <c r="AB165" i="63"/>
  <c r="Q173" i="63"/>
  <c r="AB173" i="65" s="1"/>
  <c r="AB179" i="63"/>
  <c r="AB185" i="63"/>
  <c r="AB190" i="63"/>
  <c r="Q190" i="65" s="1"/>
  <c r="D88" i="63"/>
  <c r="P188" i="63"/>
  <c r="D116" i="63"/>
  <c r="O88" i="63"/>
  <c r="O149" i="63"/>
  <c r="C32" i="63"/>
  <c r="U32" i="65" s="1"/>
  <c r="C116" i="63"/>
  <c r="U116" i="65" s="1"/>
  <c r="H192" i="63"/>
  <c r="AB203" i="63"/>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AB149" i="63"/>
  <c r="Q149" i="65" s="1"/>
  <c r="AB155" i="63"/>
  <c r="Q155" i="65" s="1"/>
  <c r="S160" i="63"/>
  <c r="S167" i="63"/>
  <c r="K174" i="63"/>
  <c r="Y174" i="65" s="1"/>
  <c r="R180" i="63"/>
  <c r="AB186" i="63"/>
  <c r="AB192" i="63"/>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S174" i="63"/>
  <c r="K181" i="63"/>
  <c r="Y181" i="65" s="1"/>
  <c r="Q187" i="63"/>
  <c r="AB187" i="65" s="1"/>
  <c r="W192" i="63"/>
  <c r="J192" i="65" s="1"/>
  <c r="D130" i="63"/>
  <c r="P66" i="63"/>
  <c r="P158" i="63"/>
  <c r="O57" i="63"/>
  <c r="N28" i="63"/>
  <c r="C130" i="63"/>
  <c r="U130" i="65" s="1"/>
  <c r="C88" i="63"/>
  <c r="U88" i="65" s="1"/>
  <c r="AB206" i="63"/>
  <c r="S209" i="63"/>
  <c r="T56" i="63"/>
  <c r="AA56" i="65" s="1"/>
  <c r="AB212" i="63"/>
  <c r="Q212" i="65" s="1"/>
  <c r="D214" i="63"/>
  <c r="AB217" i="63"/>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AB19" i="63"/>
  <c r="AB54" i="63"/>
  <c r="E88" i="63"/>
  <c r="G116" i="63"/>
  <c r="AB146" i="63"/>
  <c r="AB181" i="63"/>
  <c r="G214" i="63"/>
  <c r="AB243" i="63"/>
  <c r="AB278" i="63"/>
  <c r="E312" i="63"/>
  <c r="G340" i="63"/>
  <c r="S6" i="63"/>
  <c r="AB15" i="63"/>
  <c r="Q15" i="65" s="1"/>
  <c r="AB21" i="63"/>
  <c r="S27" i="63"/>
  <c r="R33" i="63"/>
  <c r="AB39" i="63"/>
  <c r="Q47" i="63"/>
  <c r="AB47" i="65" s="1"/>
  <c r="AB53" i="63"/>
  <c r="AB59" i="63"/>
  <c r="Q59" i="65" s="1"/>
  <c r="AB63" i="63"/>
  <c r="Q63" i="65" s="1"/>
  <c r="S69" i="63"/>
  <c r="AB77" i="63"/>
  <c r="S83" i="63"/>
  <c r="Q89" i="63"/>
  <c r="AB89" i="65" s="1"/>
  <c r="AB95" i="63"/>
  <c r="AB100" i="63"/>
  <c r="Q100" i="65" s="1"/>
  <c r="AB108" i="63"/>
  <c r="AB114" i="63"/>
  <c r="Q114" i="65" s="1"/>
  <c r="AB119" i="63"/>
  <c r="Q119" i="65" s="1"/>
  <c r="S125" i="63"/>
  <c r="R131" i="63"/>
  <c r="S139" i="63"/>
  <c r="Q145" i="63"/>
  <c r="AB145" i="65" s="1"/>
  <c r="AB151" i="63"/>
  <c r="AB157" i="63"/>
  <c r="Q157" i="65" s="1"/>
  <c r="W161" i="63"/>
  <c r="J161" i="65" s="1"/>
  <c r="AB169" i="63"/>
  <c r="Q169" i="65" s="1"/>
  <c r="AB175" i="63"/>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AB235" i="63"/>
  <c r="E32" i="63"/>
  <c r="E60" i="63"/>
  <c r="AB90" i="63"/>
  <c r="AB125" i="63"/>
  <c r="E158" i="63"/>
  <c r="AB187" i="63"/>
  <c r="AB222" i="63"/>
  <c r="G256" i="63"/>
  <c r="G284" i="63"/>
  <c r="AB314" i="63"/>
  <c r="AB349" i="63"/>
  <c r="AB8" i="63"/>
  <c r="Q8" i="65" s="1"/>
  <c r="AB17" i="63"/>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AB140" i="63"/>
  <c r="K146" i="63"/>
  <c r="Y146" i="65" s="1"/>
  <c r="R152" i="63"/>
  <c r="AB158" i="63"/>
  <c r="AB163" i="63"/>
  <c r="Q163" i="65" s="1"/>
  <c r="AB171" i="63"/>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AB351" i="63"/>
  <c r="Q351" i="65" s="1"/>
  <c r="AB346" i="63"/>
  <c r="R341" i="63"/>
  <c r="Y340" i="63"/>
  <c r="AD340" i="65" s="1"/>
  <c r="R334" i="63"/>
  <c r="AB329" i="63"/>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Y270" i="63"/>
  <c r="AD270" i="65" s="1"/>
  <c r="V178" i="63"/>
  <c r="J178" i="65" s="1"/>
  <c r="Q75" i="63"/>
  <c r="AB75" i="65" s="1"/>
  <c r="K244" i="63"/>
  <c r="Y244" i="65" s="1"/>
  <c r="Y326" i="63"/>
  <c r="AD326" i="65" s="1"/>
  <c r="K286" i="63"/>
  <c r="Y286" i="65" s="1"/>
  <c r="AB365" i="63"/>
  <c r="Q365" i="65" s="1"/>
  <c r="AB359" i="63"/>
  <c r="Q359" i="65" s="1"/>
  <c r="X354" i="63"/>
  <c r="T354" i="65" s="1"/>
  <c r="AB350" i="63"/>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5" i="63"/>
  <c r="AB5" i="65" s="1"/>
  <c r="AB226" i="63"/>
  <c r="Q226" i="65" s="1"/>
  <c r="C298" i="63"/>
  <c r="U298" i="65" s="1"/>
  <c r="K363" i="63"/>
  <c r="Y363" i="65" s="1"/>
  <c r="AB357" i="63"/>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AB318" i="63"/>
  <c r="Q313" i="63"/>
  <c r="AB313" i="65" s="1"/>
  <c r="AB311" i="63"/>
  <c r="R306" i="63"/>
  <c r="AB301" i="63"/>
  <c r="AB295" i="63"/>
  <c r="Q295" i="65" s="1"/>
  <c r="C284" i="63"/>
  <c r="U284" i="65" s="1"/>
  <c r="AB273" i="63"/>
  <c r="V28" i="63"/>
  <c r="J28" i="65" s="1"/>
  <c r="Q325" i="65" l="1"/>
  <c r="R100" i="65"/>
  <c r="R162" i="65"/>
  <c r="R271" i="65"/>
  <c r="R185" i="65"/>
  <c r="R53" i="65"/>
  <c r="R4" i="65"/>
  <c r="Q168" i="65"/>
  <c r="R175" i="65"/>
  <c r="R223" i="65"/>
  <c r="R338" i="65"/>
  <c r="R131" i="65"/>
  <c r="R284" i="65"/>
  <c r="R246" i="65"/>
  <c r="R205" i="65"/>
  <c r="R25" i="65"/>
  <c r="R144" i="65"/>
  <c r="R297" i="65"/>
  <c r="R93" i="65"/>
  <c r="R23" i="65"/>
  <c r="R237" i="65"/>
  <c r="R83" i="65"/>
  <c r="R145" i="65"/>
  <c r="R350" i="65"/>
  <c r="R298" i="65"/>
  <c r="R84" i="65"/>
  <c r="Q115" i="65"/>
  <c r="Q203" i="65"/>
  <c r="Q245" i="65"/>
  <c r="Q10" i="65"/>
  <c r="Q297" i="65"/>
  <c r="H59" i="5"/>
  <c r="Q346" i="65"/>
  <c r="Q294" i="65"/>
  <c r="R27" i="65"/>
  <c r="Q276" i="65"/>
  <c r="Q31" i="65"/>
  <c r="Q122" i="65"/>
  <c r="Q73" i="65"/>
  <c r="Q80" i="65"/>
  <c r="R7" i="65"/>
  <c r="Q133" i="65"/>
  <c r="Q227" i="65"/>
  <c r="Q175" i="65"/>
  <c r="Q164" i="65"/>
  <c r="Q217" i="65"/>
  <c r="Q350" i="65"/>
  <c r="Q143" i="65"/>
  <c r="Q91" i="65"/>
  <c r="Q318" i="65"/>
  <c r="N59" i="5"/>
  <c r="Q311" i="65"/>
  <c r="Q185" i="65"/>
  <c r="Q357" i="65"/>
  <c r="Q192" i="65"/>
  <c r="Q273" i="65"/>
  <c r="Q108" i="65"/>
  <c r="X51" i="65"/>
  <c r="Q171" i="65"/>
  <c r="Q17" i="65"/>
  <c r="Q360" i="65"/>
  <c r="Q7" i="65"/>
  <c r="Q220" i="65"/>
  <c r="Q234" i="65"/>
  <c r="I47" i="5"/>
  <c r="Q269" i="65"/>
  <c r="Q98" i="65"/>
  <c r="Y263" i="65"/>
  <c r="L46" i="5" s="1"/>
  <c r="Q35" i="65"/>
  <c r="Q343" i="65"/>
  <c r="Q21" i="65"/>
  <c r="Q301" i="65"/>
  <c r="X359" i="65"/>
  <c r="X289" i="65"/>
  <c r="X345" i="65"/>
  <c r="X135" i="65"/>
  <c r="X79" i="65"/>
  <c r="X205" i="65"/>
  <c r="X275" i="65"/>
  <c r="X191" i="65"/>
  <c r="X149" i="65"/>
  <c r="X23" i="65"/>
  <c r="B9" i="63"/>
  <c r="B9" i="65" s="1"/>
  <c r="B23" i="63"/>
  <c r="B23" i="65" s="1"/>
  <c r="B37" i="63"/>
  <c r="B37" i="65" s="1"/>
  <c r="B51" i="63"/>
  <c r="B51" i="65" s="1"/>
  <c r="B65" i="63"/>
  <c r="B65" i="65" s="1"/>
  <c r="B79" i="63"/>
  <c r="B79" i="65" s="1"/>
  <c r="B93" i="63"/>
  <c r="B93" i="65" s="1"/>
  <c r="B107" i="63"/>
  <c r="B107" i="65" s="1"/>
  <c r="B121" i="63"/>
  <c r="B121" i="65" s="1"/>
  <c r="B135" i="63"/>
  <c r="B135" i="65" s="1"/>
  <c r="B149" i="63"/>
  <c r="B149" i="65" s="1"/>
  <c r="B163" i="63"/>
  <c r="B163" i="65" s="1"/>
  <c r="B177" i="63"/>
  <c r="B177" i="65" s="1"/>
  <c r="B191" i="63"/>
  <c r="B191" i="65" s="1"/>
  <c r="B205" i="63"/>
  <c r="B205" i="65" s="1"/>
  <c r="B219" i="63"/>
  <c r="B219" i="65" s="1"/>
  <c r="B233" i="63"/>
  <c r="B233" i="65" s="1"/>
  <c r="B247" i="63"/>
  <c r="B247" i="65" s="1"/>
  <c r="B261" i="63"/>
  <c r="B261" i="65" s="1"/>
  <c r="B275" i="63"/>
  <c r="B275" i="65" s="1"/>
  <c r="B289" i="63"/>
  <c r="B289" i="65" s="1"/>
  <c r="B303" i="63"/>
  <c r="B303" i="65" s="1"/>
  <c r="B317" i="63"/>
  <c r="B317" i="65" s="1"/>
  <c r="B331" i="63"/>
  <c r="B331" i="65" s="1"/>
  <c r="B345" i="63"/>
  <c r="B345" i="65" s="1"/>
  <c r="B359" i="63"/>
  <c r="B359" i="65" s="1"/>
  <c r="O281" i="65"/>
  <c r="M57" i="5" s="1"/>
  <c r="N281" i="65"/>
  <c r="AE275" i="65"/>
  <c r="AD275" i="65"/>
  <c r="AE163" i="65"/>
  <c r="AD163" i="65"/>
  <c r="AE23" i="65"/>
  <c r="AD23" i="65"/>
  <c r="AE9" i="65"/>
  <c r="AD9" i="65"/>
  <c r="X317" i="65"/>
  <c r="AE247" i="65"/>
  <c r="AD247" i="65"/>
  <c r="AE135" i="65"/>
  <c r="AD135" i="65"/>
  <c r="G127" i="65"/>
  <c r="N127" i="65"/>
  <c r="AE121" i="65"/>
  <c r="AD121" i="65"/>
  <c r="AE79" i="65"/>
  <c r="AD79" i="65"/>
  <c r="Z66" i="65"/>
  <c r="AB66" i="65"/>
  <c r="AE233" i="65"/>
  <c r="AD233" i="65"/>
  <c r="AE177" i="65"/>
  <c r="AD177" i="65"/>
  <c r="Z171" i="65"/>
  <c r="I49" i="5" s="1"/>
  <c r="AB171" i="65"/>
  <c r="I55" i="5" s="1"/>
  <c r="X121" i="65"/>
  <c r="AE51" i="65"/>
  <c r="AD51" i="65"/>
  <c r="J61" i="5"/>
  <c r="K61" i="5"/>
  <c r="X331" i="65"/>
  <c r="D297" i="65"/>
  <c r="M20" i="5" s="1"/>
  <c r="J297" i="65"/>
  <c r="M72" i="5" s="1"/>
  <c r="M75" i="5" s="1"/>
  <c r="X247" i="65"/>
  <c r="AE205" i="65"/>
  <c r="AD205" i="65"/>
  <c r="X177" i="65"/>
  <c r="D144" i="65"/>
  <c r="H20" i="5" s="1"/>
  <c r="J144" i="65"/>
  <c r="H72" i="5" s="1"/>
  <c r="H75" i="5" s="1"/>
  <c r="AE107" i="65"/>
  <c r="AD107" i="65"/>
  <c r="AE93" i="65"/>
  <c r="AD93" i="65"/>
  <c r="AE331" i="65"/>
  <c r="AD331" i="65"/>
  <c r="AE149" i="65"/>
  <c r="AD149" i="65"/>
  <c r="X37" i="65"/>
  <c r="AE303" i="65"/>
  <c r="AD303" i="65"/>
  <c r="AE261" i="65"/>
  <c r="AD261" i="65"/>
  <c r="X219" i="65"/>
  <c r="AE191" i="65"/>
  <c r="AD191" i="65"/>
  <c r="G96" i="65"/>
  <c r="N96" i="65"/>
  <c r="X65" i="65"/>
  <c r="G5" i="65"/>
  <c r="N5" i="65"/>
  <c r="G158" i="65"/>
  <c r="N158" i="65"/>
  <c r="AE65" i="65"/>
  <c r="AD65" i="65"/>
  <c r="AE345" i="65"/>
  <c r="AD345" i="65"/>
  <c r="X303" i="65"/>
  <c r="X261" i="65"/>
  <c r="X163" i="65"/>
  <c r="D52" i="65"/>
  <c r="E20" i="5" s="1"/>
  <c r="J52" i="65"/>
  <c r="E72" i="5" s="1"/>
  <c r="E75" i="5" s="1"/>
  <c r="D328" i="65"/>
  <c r="N20" i="5" s="1"/>
  <c r="J328" i="65"/>
  <c r="N72" i="5" s="1"/>
  <c r="N75" i="5" s="1"/>
  <c r="D266" i="65"/>
  <c r="J266" i="65"/>
  <c r="AE219" i="65"/>
  <c r="AD219" i="65"/>
  <c r="X107" i="65"/>
  <c r="X9" i="65"/>
  <c r="X233" i="65"/>
  <c r="Q206" i="65"/>
  <c r="AE289" i="65"/>
  <c r="AD289" i="65"/>
  <c r="Z129" i="65"/>
  <c r="H49" i="5" s="1"/>
  <c r="AB129" i="65"/>
  <c r="H55" i="5" s="1"/>
  <c r="X93" i="65"/>
  <c r="Z52" i="65"/>
  <c r="AB52" i="65"/>
  <c r="Q77" i="65"/>
  <c r="Q329" i="65"/>
  <c r="C47" i="5"/>
  <c r="D47" i="5"/>
  <c r="Q252" i="65"/>
  <c r="Q42" i="65"/>
  <c r="R35" i="65"/>
  <c r="C46" i="5"/>
  <c r="R227" i="65"/>
  <c r="Q315" i="65"/>
  <c r="R26" i="65"/>
  <c r="F96" i="5"/>
  <c r="G96" i="5" s="1"/>
  <c r="H96" i="5" s="1"/>
  <c r="I96" i="5" s="1"/>
  <c r="J96" i="5" s="1"/>
  <c r="K96" i="5" s="1"/>
  <c r="L96" i="5" s="1"/>
  <c r="M96" i="5" s="1"/>
  <c r="N96" i="5" s="1"/>
  <c r="P73" i="5"/>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AE348" i="65"/>
  <c r="AD348" i="65"/>
  <c r="X222" i="65"/>
  <c r="X166" i="65"/>
  <c r="AE138" i="65"/>
  <c r="AD138" i="65"/>
  <c r="X124" i="65"/>
  <c r="Z76" i="65"/>
  <c r="F49" i="5" s="1"/>
  <c r="AB76" i="65"/>
  <c r="F55" i="5" s="1"/>
  <c r="X54" i="65"/>
  <c r="AE26" i="65"/>
  <c r="AD26" i="65"/>
  <c r="X306" i="65"/>
  <c r="X82" i="65"/>
  <c r="D25" i="65"/>
  <c r="D20" i="5" s="1"/>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G20" i="5" s="1"/>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E66" i="5" s="1"/>
  <c r="U45" i="65"/>
  <c r="E67" i="5" s="1"/>
  <c r="AE311" i="65"/>
  <c r="AD311" i="65"/>
  <c r="R331" i="65"/>
  <c r="D269" i="65"/>
  <c r="L20" i="5" s="1"/>
  <c r="J269" i="65"/>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X298" i="65"/>
  <c r="Q321" i="65"/>
  <c r="X312" i="65"/>
  <c r="I67" i="5"/>
  <c r="X172" i="6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M67" i="5"/>
  <c r="L66" i="5"/>
  <c r="X186" i="65"/>
  <c r="Q180" i="65"/>
  <c r="Q173" i="65"/>
  <c r="Q103" i="65"/>
  <c r="Q75" i="65"/>
  <c r="Q145" i="65"/>
  <c r="Q61" i="65"/>
  <c r="Q181" i="65"/>
  <c r="M66" i="5"/>
  <c r="H67" i="5"/>
  <c r="Q209" i="65"/>
  <c r="Q223" i="65"/>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X214" i="65"/>
  <c r="F46" i="5"/>
  <c r="X88" i="65"/>
  <c r="G46" i="5"/>
  <c r="E46" i="5"/>
  <c r="F72" i="5"/>
  <c r="F75" i="5" s="1"/>
  <c r="D55" i="5"/>
  <c r="H48" i="5"/>
  <c r="Q264" i="65"/>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Q89" i="65"/>
  <c r="Q13" i="65"/>
  <c r="Q251" i="65"/>
  <c r="Q153" i="65"/>
  <c r="K48" i="5"/>
  <c r="Q118" i="65"/>
  <c r="K66" i="5"/>
  <c r="X32" i="65"/>
  <c r="Q125" i="65"/>
  <c r="Q27" i="65"/>
  <c r="X158" i="65"/>
  <c r="K72" i="5"/>
  <c r="K75" i="5" s="1"/>
  <c r="X46" i="65"/>
  <c r="C60" i="5" l="1"/>
  <c r="E49" i="5"/>
  <c r="P49" i="5" s="1"/>
  <c r="P52" i="5" s="1"/>
  <c r="L72" i="5"/>
  <c r="L75" i="5" s="1"/>
  <c r="P61" i="5"/>
  <c r="C45" i="5"/>
  <c r="C52" i="5" s="1"/>
  <c r="E57" i="5"/>
  <c r="F57" i="5"/>
  <c r="D17" i="50"/>
  <c r="E45" i="5"/>
  <c r="H45" i="5"/>
  <c r="M45" i="5"/>
  <c r="G45" i="5"/>
  <c r="E55" i="5"/>
  <c r="P55" i="5" s="1"/>
  <c r="E60" i="5"/>
  <c r="D60" i="5"/>
  <c r="M50" i="5"/>
  <c r="J45" i="5"/>
  <c r="K45" i="5"/>
  <c r="L45" i="5"/>
  <c r="P59" i="5"/>
  <c r="D45" i="5"/>
  <c r="C69" i="5"/>
  <c r="H69" i="5"/>
  <c r="L60" i="5"/>
  <c r="G60" i="5"/>
  <c r="F45" i="5"/>
  <c r="H60" i="5"/>
  <c r="J60" i="5"/>
  <c r="F60" i="5"/>
  <c r="H50" i="5"/>
  <c r="P20" i="5"/>
  <c r="K60" i="5"/>
  <c r="G50" i="5"/>
  <c r="I60" i="5"/>
  <c r="M60" i="5"/>
  <c r="C19" i="5"/>
  <c r="C28" i="5" s="1"/>
  <c r="F50" i="5"/>
  <c r="N60" i="5"/>
  <c r="P47" i="5"/>
  <c r="C95" i="5"/>
  <c r="C98" i="5" s="1"/>
  <c r="E50" i="5"/>
  <c r="K50" i="5"/>
  <c r="D50" i="5"/>
  <c r="I69" i="5"/>
  <c r="J50" i="5"/>
  <c r="L50" i="5"/>
  <c r="C56" i="5"/>
  <c r="C63" i="5" s="1"/>
  <c r="F67" i="5"/>
  <c r="P67" i="5" s="1"/>
  <c r="D69" i="5"/>
  <c r="I50" i="5"/>
  <c r="I52" i="5" s="1"/>
  <c r="N56" i="5"/>
  <c r="N69" i="5"/>
  <c r="G69" i="5"/>
  <c r="N50" i="5"/>
  <c r="N52" i="5" s="1"/>
  <c r="F66" i="5"/>
  <c r="P66" i="5" s="1"/>
  <c r="M69" i="5"/>
  <c r="E56" i="5"/>
  <c r="K69" i="5"/>
  <c r="H19" i="5"/>
  <c r="H23" i="5" s="1"/>
  <c r="D88" i="5"/>
  <c r="E88" i="5" s="1"/>
  <c r="J69" i="5"/>
  <c r="M56" i="5"/>
  <c r="J56" i="5"/>
  <c r="I19" i="5"/>
  <c r="I28" i="5" s="1"/>
  <c r="M19" i="5"/>
  <c r="M23" i="5" s="1"/>
  <c r="F19" i="5"/>
  <c r="F28" i="5" s="1"/>
  <c r="L56" i="5"/>
  <c r="G56" i="5"/>
  <c r="D56" i="5"/>
  <c r="P48" i="5"/>
  <c r="K19" i="5"/>
  <c r="K80" i="5" s="1"/>
  <c r="K82" i="5" s="1"/>
  <c r="J19" i="5"/>
  <c r="J28" i="5" s="1"/>
  <c r="I56" i="5"/>
  <c r="P46" i="5"/>
  <c r="N19" i="5"/>
  <c r="N28" i="5" s="1"/>
  <c r="K56" i="5"/>
  <c r="D19" i="5"/>
  <c r="D28" i="5" s="1"/>
  <c r="F56" i="5"/>
  <c r="L69" i="5"/>
  <c r="H56" i="5"/>
  <c r="P72" i="5"/>
  <c r="P75" i="5" s="1"/>
  <c r="E19" i="5"/>
  <c r="E28" i="5" s="1"/>
  <c r="E69" i="5"/>
  <c r="G19" i="5"/>
  <c r="L19" i="5"/>
  <c r="P57" i="5" l="1"/>
  <c r="E52" i="5"/>
  <c r="H52" i="5"/>
  <c r="D63" i="5"/>
  <c r="M52" i="5"/>
  <c r="E63" i="5"/>
  <c r="J52" i="5"/>
  <c r="G52" i="5"/>
  <c r="F63" i="5"/>
  <c r="C77" i="5"/>
  <c r="C10" i="5" s="1"/>
  <c r="C31" i="50" s="1"/>
  <c r="C37" i="50" s="1"/>
  <c r="P45" i="5"/>
  <c r="L52" i="5"/>
  <c r="J63" i="5"/>
  <c r="H63" i="5"/>
  <c r="L63" i="5"/>
  <c r="D52" i="5"/>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G80" i="5"/>
  <c r="G82" i="5" s="1"/>
  <c r="G27" i="5"/>
  <c r="G26" i="5"/>
  <c r="G23" i="5"/>
  <c r="G28" i="5"/>
  <c r="L26" i="5"/>
  <c r="L23" i="5"/>
  <c r="L80" i="5"/>
  <c r="L82" i="5" s="1"/>
  <c r="L27" i="5"/>
  <c r="L28" i="5"/>
  <c r="P19" i="5"/>
  <c r="E27" i="5"/>
  <c r="E80" i="5"/>
  <c r="E82" i="5" s="1"/>
  <c r="E26" i="5"/>
  <c r="E23" i="5"/>
  <c r="E77" i="5" l="1"/>
  <c r="E10" i="5" s="1"/>
  <c r="D77" i="5"/>
  <c r="D10" i="5" s="1"/>
  <c r="H77" i="5"/>
  <c r="H10" i="5" s="1"/>
  <c r="D9" i="50"/>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F30" i="5"/>
  <c r="F32" i="5" s="1"/>
  <c r="F42" i="5" s="1"/>
  <c r="F9" i="5" s="1"/>
  <c r="I30" i="5"/>
  <c r="I32" i="5" s="1"/>
  <c r="I42" i="5" s="1"/>
  <c r="I9" i="5" s="1"/>
  <c r="I12" i="5" s="1"/>
  <c r="M30" i="5"/>
  <c r="M32" i="5" s="1"/>
  <c r="M42" i="5" s="1"/>
  <c r="M9" i="5" s="1"/>
  <c r="K30" i="5"/>
  <c r="K32" i="5" s="1"/>
  <c r="K42" i="5" s="1"/>
  <c r="K9" i="5" s="1"/>
  <c r="K12" i="5" s="1"/>
  <c r="J30" i="5"/>
  <c r="J32" i="5" s="1"/>
  <c r="J42" i="5" s="1"/>
  <c r="J9" i="5" s="1"/>
  <c r="C32" i="50"/>
  <c r="C38" i="50" s="1"/>
  <c r="C39" i="50" s="1"/>
  <c r="E30" i="5"/>
  <c r="E32" i="5" s="1"/>
  <c r="E42" i="5" s="1"/>
  <c r="E9" i="5" s="1"/>
  <c r="N30" i="5"/>
  <c r="N32" i="5" s="1"/>
  <c r="N42" i="5" s="1"/>
  <c r="N9" i="5" s="1"/>
  <c r="N11" i="5" s="1"/>
  <c r="P28" i="5"/>
  <c r="P23" i="5"/>
  <c r="P27" i="5"/>
  <c r="G30" i="5"/>
  <c r="G32" i="5" s="1"/>
  <c r="G42" i="5" s="1"/>
  <c r="G9" i="5" s="1"/>
  <c r="L30" i="5"/>
  <c r="P80" i="5"/>
  <c r="P82" i="5" s="1"/>
  <c r="P26" i="5"/>
  <c r="D11" i="5" l="1"/>
  <c r="H11" i="5"/>
  <c r="D10" i="50"/>
  <c r="J11" i="5"/>
  <c r="M11" i="5"/>
  <c r="E98" i="5"/>
  <c r="D12" i="5"/>
  <c r="P10" i="5"/>
  <c r="F11" i="5"/>
  <c r="H12" i="5"/>
  <c r="N12" i="5"/>
  <c r="I11" i="5"/>
  <c r="F12" i="5"/>
  <c r="M12" i="5"/>
  <c r="K11" i="5"/>
  <c r="J12" i="5"/>
  <c r="C33" i="50"/>
  <c r="C40" i="50" s="1"/>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D16" i="50"/>
  <c r="N98" i="5"/>
  <c r="D19" i="50" s="1"/>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H4" i="46" s="1"/>
  <c r="N93" i="5" l="1"/>
  <c r="D6" i="50"/>
  <c r="I4" i="46" l="1"/>
  <c r="N100" i="5"/>
  <c r="D14" i="50"/>
  <c r="N16" i="5" l="1"/>
  <c r="P16" i="5" s="1"/>
  <c r="D21" i="5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<sst xmlns="http://schemas.openxmlformats.org/spreadsheetml/2006/main" count="818" uniqueCount="345">
  <si>
    <t>Rent</t>
  </si>
  <si>
    <t>Groceries</t>
  </si>
  <si>
    <t>Food &amp; Drinks</t>
  </si>
  <si>
    <t>Account</t>
  </si>
  <si>
    <t>Balance</t>
  </si>
  <si>
    <t>Statement</t>
  </si>
  <si>
    <t>Loans</t>
  </si>
  <si>
    <t>Cash</t>
  </si>
  <si>
    <t>Amount</t>
  </si>
  <si>
    <t>Bonus</t>
  </si>
  <si>
    <t>Friend Fees</t>
  </si>
  <si>
    <t>Selling &amp; Refunds</t>
  </si>
  <si>
    <t>Brokerage Cashout</t>
  </si>
  <si>
    <t>INVESTMENTS</t>
  </si>
  <si>
    <t>DEBT PAYMENTS</t>
  </si>
  <si>
    <t>Avg. Value (¢)</t>
  </si>
  <si>
    <t>Investments</t>
  </si>
  <si>
    <t>Credit Cards</t>
  </si>
  <si>
    <t>Social Security</t>
  </si>
  <si>
    <t>Gross Earnings</t>
  </si>
  <si>
    <t>Transportation</t>
  </si>
  <si>
    <t>Line Item</t>
  </si>
  <si>
    <t>Effective Date</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</si>
  <si>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</si>
  <si>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</si>
  <si>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</si>
  <si>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</si>
  <si>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</si>
  <si>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</si>
  <si>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</si>
  <si>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</si>
  <si>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</si>
  <si>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</si>
  <si>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</si>
  <si>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</si>
  <si>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</si>
  <si>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Due Day</t>
  </si>
  <si>
    <t>SUMMARY</t>
  </si>
  <si>
    <t>Inflows</t>
  </si>
  <si>
    <t>Outflows</t>
  </si>
  <si>
    <t>NET WORTH</t>
  </si>
  <si>
    <t>x</t>
  </si>
  <si>
    <t>ENDING BALANCES</t>
  </si>
  <si>
    <t>Item</t>
  </si>
  <si>
    <t>Amt</t>
  </si>
  <si>
    <t>Move to/(from) Master</t>
  </si>
  <si>
    <t>Master balance</t>
  </si>
  <si>
    <t>Percentage</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</si>
  <si>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</si>
  <si>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</si>
  <si>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</si>
  <si>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</si>
  <si>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</si>
  <si>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</si>
  <si>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</si>
  <si>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</si>
  <si>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</si>
  <si>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</si>
  <si>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</si>
  <si>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</si>
  <si>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</si>
  <si>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</si>
  <si>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</si>
  <si>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</si>
  <si>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</si>
  <si>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</si>
  <si>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</si>
  <si>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</si>
  <si>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</si>
  <si>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</si>
  <si>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</si>
  <si>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</si>
  <si>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</si>
  <si>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</si>
  <si>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</si>
  <si>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</si>
  <si>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</si>
  <si>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</si>
  <si>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</si>
  <si>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</si>
  <si>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</si>
  <si>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</si>
  <si>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</si>
  <si>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</si>
  <si>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</si>
  <si>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</si>
  <si>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</si>
  <si>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</si>
  <si>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</si>
  <si>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</si>
  <si>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</si>
  <si>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Note</t>
  </si>
  <si>
    <t>Balances</t>
  </si>
  <si>
    <t>Recurring</t>
  </si>
  <si>
    <t>Planned</t>
  </si>
  <si>
    <t>Other Deductions</t>
  </si>
  <si>
    <t>FORMULA</t>
  </si>
  <si>
    <t>=</t>
  </si>
  <si>
    <t>Cash flows</t>
  </si>
  <si>
    <t>Net CASH FLOW</t>
  </si>
  <si>
    <t>ASSETS</t>
  </si>
  <si>
    <t>LIABILITIES</t>
  </si>
  <si>
    <t>Master cash account</t>
  </si>
  <si>
    <t>Other savings balance</t>
  </si>
  <si>
    <t>System</t>
  </si>
  <si>
    <t>Upside Value</t>
  </si>
  <si>
    <t>Cash Value</t>
  </si>
  <si>
    <t>STATIC INPUT</t>
  </si>
  <si>
    <t>FREQUENT INPUT</t>
  </si>
  <si>
    <t>Master</t>
  </si>
  <si>
    <t>All other banking/cash accounts that you don't have spend out of (typically higher interest rates)</t>
  </si>
  <si>
    <t>Savings</t>
  </si>
  <si>
    <t>NT</t>
  </si>
  <si>
    <t>Move to/(from) same-bank savings</t>
  </si>
  <si>
    <t>Number of month's outflows per account</t>
  </si>
  <si>
    <t>Master bank</t>
  </si>
  <si>
    <t>Move to/(from) best yield savings</t>
  </si>
  <si>
    <t>Institution</t>
  </si>
  <si>
    <t>N/A</t>
  </si>
  <si>
    <t>Same-bank balance (excludes Master)</t>
  </si>
  <si>
    <t>Flow of funds actions</t>
  </si>
  <si>
    <t>+additional in Master bank</t>
  </si>
  <si>
    <t>+additional in Savings</t>
  </si>
  <si>
    <t>Total outflow preparedness</t>
  </si>
  <si>
    <t>Master bank accounts</t>
  </si>
  <si>
    <t>All savings</t>
  </si>
  <si>
    <t>Current total cash account balance</t>
  </si>
  <si>
    <t>Date</t>
  </si>
  <si>
    <t>Account minimums</t>
  </si>
  <si>
    <t>Same-bank savings balance</t>
  </si>
  <si>
    <t>CURRENT</t>
  </si>
  <si>
    <t>Total Securities</t>
  </si>
  <si>
    <t>Cash + Securities</t>
  </si>
  <si>
    <t>Net Worth</t>
  </si>
  <si>
    <t>NTM End Cash</t>
  </si>
  <si>
    <t>NTM End Cash + Securities</t>
  </si>
  <si>
    <t>Current</t>
  </si>
  <si>
    <t>NTM</t>
  </si>
  <si>
    <t>TOTAL</t>
  </si>
  <si>
    <t>Account rebalancing</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</si>
  <si>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</si>
  <si>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</si>
  <si>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</si>
  <si>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</si>
  <si>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</si>
  <si>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</si>
  <si>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</si>
  <si>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</si>
  <si>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</si>
  <si>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Rewards Upside Value</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</si>
  <si>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</si>
  <si>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</si>
  <si>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</si>
  <si>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</si>
  <si>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</si>
  <si>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</si>
  <si>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</si>
  <si>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</si>
  <si>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</si>
  <si>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</si>
  <si>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</si>
  <si>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</si>
  <si>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</si>
  <si>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Move to/(from) Master bank</t>
  </si>
  <si>
    <t>Net Change (+/-)</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</si>
  <si>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</si>
  <si>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</si>
  <si>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</si>
  <si>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</si>
  <si>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</si>
  <si>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</si>
  <si>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</si>
  <si>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</si>
  <si>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</si>
  <si>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</si>
  <si>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</si>
  <si>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</si>
  <si>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</si>
  <si>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</si>
  <si>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</si>
  <si>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</si>
  <si>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</si>
  <si>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</si>
  <si>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</si>
  <si>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</si>
  <si>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Data validation</t>
  </si>
  <si>
    <t>Same amount of formula columns in each intermediate tab</t>
  </si>
  <si>
    <t>Add column here</t>
  </si>
  <si>
    <t>Less Precedents &amp; Deductions</t>
  </si>
  <si>
    <t>T+1 Payment</t>
  </si>
  <si>
    <t>Current (T) Due Date</t>
  </si>
  <si>
    <t>Current (T) Payment</t>
  </si>
  <si>
    <t>T+1 Due Date</t>
  </si>
  <si>
    <t>Brokerage Withdrawal</t>
  </si>
  <si>
    <t>Assets</t>
  </si>
  <si>
    <t>Medication &amp; Supplements</t>
  </si>
  <si>
    <t>Hide Helper rows in NTM</t>
  </si>
  <si>
    <t>–</t>
  </si>
  <si>
    <t>Split into TEMPLATE and EXAMPLE files</t>
  </si>
  <si>
    <t>Support more recurrences, like every 3 months or every 90 days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</si>
  <si>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</si>
  <si>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</si>
  <si>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</si>
  <si>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</si>
  <si>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</si>
  <si>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</si>
  <si>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Jun Sell stock</t>
  </si>
  <si>
    <t xml:space="preserve">Credit Cards </t>
  </si>
  <si>
    <t xml:space="preserve">Loans </t>
  </si>
  <si>
    <t xml:space="preserve">Retirement </t>
  </si>
  <si>
    <t xml:space="preserve">Brokerage </t>
  </si>
  <si>
    <t xml:space="preserve">Cash </t>
  </si>
  <si>
    <t xml:space="preserve">Rewards Upside Value </t>
  </si>
  <si>
    <t>Cash Flow</t>
  </si>
  <si>
    <t>Balance Sheet</t>
  </si>
  <si>
    <t>Other cash balances</t>
  </si>
  <si>
    <t>Loyalty Points &amp; Miles cash value</t>
  </si>
  <si>
    <t>OUTFLOWS</t>
  </si>
  <si>
    <t>Row limits</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</si>
  <si>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</si>
  <si>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</si>
  <si>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</si>
  <si>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</si>
  <si>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</si>
  <si>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</si>
  <si>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</si>
  <si>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</si>
  <si>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</si>
  <si>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</si>
  <si>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</si>
  <si>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</si>
  <si>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</si>
  <si>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</si>
  <si>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</si>
  <si>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</si>
  <si>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</si>
  <si>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</si>
  <si>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</si>
  <si>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</si>
  <si>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</si>
  <si>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</si>
  <si>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</si>
  <si>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</si>
  <si>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</si>
  <si>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</si>
  <si>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</si>
  <si>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</si>
  <si>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</si>
  <si>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Cash Redemption Value (¢)</t>
  </si>
  <si>
    <t>Recurrence Base</t>
  </si>
  <si>
    <t>Dependent On</t>
  </si>
  <si>
    <t>Create TEMPLATE version and delete inputs and blue text boxes</t>
  </si>
  <si>
    <t>Spell check and freeze frames in each tab</t>
  </si>
  <si>
    <t>Automatic calculations</t>
  </si>
  <si>
    <t>v5</t>
  </si>
  <si>
    <t>v6</t>
  </si>
  <si>
    <t>Description</t>
  </si>
  <si>
    <t>Category</t>
  </si>
  <si>
    <t>Tags</t>
  </si>
  <si>
    <t>Restaurants</t>
  </si>
  <si>
    <t>Online Services</t>
  </si>
  <si>
    <t>Entertainment</t>
  </si>
  <si>
    <t>Refunds &amp; Reimbursements</t>
  </si>
  <si>
    <t>Travel</t>
  </si>
  <si>
    <t>Clothing/Shoes</t>
  </si>
  <si>
    <t>General Merchandise</t>
  </si>
  <si>
    <t>Personal Care</t>
  </si>
  <si>
    <t>Paychecks/Salary</t>
  </si>
  <si>
    <t>Other Expenses</t>
  </si>
  <si>
    <t>Cable/Satellite</t>
  </si>
  <si>
    <t>Utilities</t>
  </si>
  <si>
    <t>Gifts</t>
  </si>
  <si>
    <t>Deposits</t>
  </si>
  <si>
    <t>ATM/Cash</t>
  </si>
  <si>
    <t>Charitable Giving</t>
  </si>
  <si>
    <t>Healthcare/Medical</t>
  </si>
  <si>
    <t>Gasoline/Fuel</t>
  </si>
  <si>
    <t>Dues &amp; Subscriptions</t>
  </si>
  <si>
    <t>Hobbies</t>
  </si>
  <si>
    <t>Service Charges/Fees</t>
  </si>
  <si>
    <t>Insurance</t>
  </si>
  <si>
    <t>Telephone</t>
  </si>
  <si>
    <t>Electronics</t>
  </si>
  <si>
    <t>Other Income</t>
  </si>
  <si>
    <t>Rewards</t>
  </si>
  <si>
    <t>Interest</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</si>
  <si>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</si>
  <si>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</si>
  <si>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</si>
  <si>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</si>
  <si>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</si>
  <si>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</si>
  <si>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</si>
  <si>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</si>
  <si>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</si>
  <si>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</si>
  <si>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</si>
  <si>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</si>
  <si>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</si>
  <si>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</si>
  <si>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</si>
  <si>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</si>
  <si>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</si>
  <si>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</si>
  <si>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</si>
  <si>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</si>
  <si>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</si>
  <si>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</si>
  <si>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</si>
  <si>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</si>
  <si>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</si>
  <si>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</si>
  <si>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</si>
  <si>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</si>
  <si>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</si>
  <si>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</si>
  <si>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</si>
  <si>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</si>
  <si>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</si>
  <si>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</si>
  <si>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</si>
  <si>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</si>
  <si>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</si>
  <si>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</si>
  <si>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</si>
  <si>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Apr Dog sitting</t>
  </si>
  <si>
    <t>Mar Dinner</t>
  </si>
  <si>
    <t>Mar Amazon return</t>
  </si>
  <si>
    <t>Mar Insurance payout</t>
  </si>
  <si>
    <t>Mar Hockey game</t>
  </si>
  <si>
    <t>Jun New laptop, Oct Clothes</t>
  </si>
  <si>
    <t>Jun Something</t>
  </si>
  <si>
    <t>Apr Current payment, Mar Current payment, May Next payment, Apr Next payment</t>
  </si>
  <si>
    <t>EndOfCurrentMonth formula for Recurring and Credit Cards tabs</t>
  </si>
  <si>
    <t>Easily hide unused rows in NTM tab</t>
  </si>
  <si>
    <t>Allow sorting on Credit Cards, Loyalty Points &amp; Miles, Changes and Planned tabs</t>
  </si>
  <si>
    <t>Metadata to identify model version</t>
  </si>
  <si>
    <t>Real Assets</t>
  </si>
  <si>
    <t>Mar Bonus</t>
  </si>
  <si>
    <t>Mar Rent bump</t>
  </si>
  <si>
    <t>Feb Ski trip</t>
  </si>
  <si>
    <t>Feb Concert</t>
  </si>
  <si>
    <t>Jun Loan paid off</t>
  </si>
  <si>
    <t>Liability Accounts</t>
  </si>
  <si>
    <t>~99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</si>
</sst>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0_);\(#,##0\)"/>
    <numFmt numFmtId="165" formatCode="_(#,##0.00_);\(#,##0.00\)"/>
    <numFmt numFmtId="166" formatCode="mmm"/>
    <numFmt numFmtId="167" formatCode="_(* #,##0_);_(* \(#,##0\);_(* &quot;-&quot;??_);_(@_)"/>
    <numFmt numFmtId="168" formatCode="_(#,##0.00_)%;\(#,##0.00\)%"/>
    <numFmt numFmtId="169" formatCode="_(#,##0_);\(#,##0\);_(* &quot;–&quot;_);_(@_)"/>
    <numFmt numFmtId="170" formatCode="_(#,##0_);\(#,##0\);_(* &quot;– &quot;_);_(@_)"/>
    <numFmt numFmtId="171" formatCode="ddd\ yyyy/mm/dd"/>
  </numFmts>
  <fonts count="52"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sz val="10"/>
      <color rgb="FF0000FF"/>
      <name val="Arial"/>
      <family val="2"/>
      <scheme val="min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sz val="8"/>
      <name val="Arial"/>
      <family val="2"/>
      <scheme val="minor"/>
    </font>
    <font>
      <b/>
      <i/>
      <u val="singleAccounting"/>
      <sz val="8"/>
      <name val="Arial"/>
      <family val="2"/>
      <scheme val="minor"/>
    </font>
    <font>
      <i/>
      <u/>
      <sz val="10"/>
      <name val="Arial"/>
      <family val="2"/>
      <scheme val="major"/>
    </font>
    <font>
      <i/>
      <u/>
      <sz val="10"/>
      <color indexed="8"/>
      <name val="Arial"/>
      <family val="2"/>
      <scheme val="major"/>
    </font>
    <font>
      <i/>
      <u/>
      <sz val="10"/>
      <color rgb="FF000000"/>
      <name val="Arial"/>
      <family val="2"/>
      <scheme val="minor"/>
    </font>
    <font>
      <sz val="10"/>
      <color indexed="8"/>
      <name val="Arial"/>
      <family val="2"/>
    </font>
    <font>
      <b/>
      <u val="singleAccounting"/>
      <sz val="10"/>
      <color indexed="8"/>
      <name val="Arial"/>
      <family val="2"/>
      <scheme val="major"/>
    </font>
    <font>
      <sz val="10"/>
      <color theme="7" tint="-0.249977111117893"/>
      <name val="Arial"/>
      <family val="2"/>
      <scheme val="minor"/>
    </font>
    <font>
      <sz val="10"/>
      <color rgb="FF000000"/>
      <name val="Arial"/>
      <family val="2"/>
    </font>
    <font>
      <b/>
      <u/>
      <sz val="10"/>
      <color indexed="8"/>
      <name val="Arial"/>
      <family val="2"/>
      <scheme val="maj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u val="singleAccounting"/>
      <sz val="10"/>
      <name val="Arial"/>
      <family val="2"/>
    </font>
    <font>
      <b/>
      <i/>
      <u/>
      <sz val="10"/>
      <color rgb="FFFF0000"/>
      <name val="Arial"/>
      <family val="2"/>
      <scheme val="major"/>
    </font>
  </fonts>
  <fills count="20">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237">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1" fillId="0" borderId="0" xfId="0" applyFont="1"/>
    <xf numFmtId="164" fontId="21" fillId="0" borderId="0" xfId="0" applyNumberFormat="1" applyFont="1"/>
    <xf numFmtId="168" fontId="0" fillId="0" borderId="0" xfId="0" applyNumberFormat="1"/>
    <xf numFmtId="165" fontId="21" fillId="0" borderId="0" xfId="0" applyNumberFormat="1" applyFont="1"/>
    <xf numFmtId="0" fontId="0" fillId="11" borderId="0" xfId="0" applyFill="1"/>
    <xf numFmtId="0" fontId="6" fillId="0" borderId="0" xfId="0" applyFont="1"/>
    <xf numFmtId="165" fontId="26" fillId="12" borderId="0" xfId="0" applyNumberFormat="1" applyFont="1" applyFill="1"/>
    <xf numFmtId="168" fontId="21" fillId="0" borderId="0" xfId="0" applyNumberFormat="1" applyFont="1"/>
    <xf numFmtId="14" fontId="0" fillId="0" borderId="0" xfId="0" applyNumberFormat="1"/>
    <xf numFmtId="14" fontId="10" fillId="0" borderId="0" xfId="3" applyNumberFormat="1" applyFont="1"/>
    <xf numFmtId="0" fontId="10" fillId="0" borderId="0" xfId="3" applyFont="1"/>
    <xf numFmtId="0" fontId="13" fillId="0" borderId="0" xfId="0" applyFont="1"/>
    <xf numFmtId="14" fontId="22" fillId="0" borderId="0" xfId="0" applyNumberFormat="1" applyFont="1"/>
    <xf numFmtId="14" fontId="21" fillId="0" borderId="0" xfId="0" applyNumberFormat="1" applyFont="1"/>
    <xf numFmtId="14" fontId="6" fillId="0" borderId="0" xfId="0" applyNumberFormat="1" applyFont="1"/>
    <xf numFmtId="0" fontId="24" fillId="0" borderId="0" xfId="0" applyFont="1"/>
    <xf numFmtId="164" fontId="24" fillId="0" borderId="0" xfId="0" applyNumberFormat="1" applyFont="1"/>
    <xf numFmtId="0" fontId="22" fillId="0" borderId="0" xfId="0" applyFont="1"/>
    <xf numFmtId="164" fontId="22" fillId="0" borderId="0" xfId="0" applyNumberFormat="1" applyFont="1"/>
    <xf numFmtId="0" fontId="13" fillId="3" borderId="0" xfId="0" applyFont="1" applyFill="1"/>
    <xf numFmtId="0" fontId="13" fillId="3" borderId="0" xfId="0" applyFont="1" applyFill="1" applyAlignment="1">
      <alignment vertical="center"/>
    </xf>
    <xf numFmtId="0" fontId="27" fillId="3" borderId="0" xfId="0" applyFont="1" applyFill="1"/>
    <xf numFmtId="164" fontId="10" fillId="3" borderId="0" xfId="0" applyNumberFormat="1" applyFont="1" applyFill="1"/>
    <xf numFmtId="0" fontId="28" fillId="3" borderId="0" xfId="0" applyFont="1" applyFill="1"/>
    <xf numFmtId="169" fontId="9" fillId="3" borderId="0" xfId="0" applyNumberFormat="1" applyFont="1" applyFill="1" applyAlignment="1">
      <alignment horizontal="center" vertical="center"/>
    </xf>
    <xf numFmtId="169" fontId="13" fillId="3" borderId="0" xfId="0" applyNumberFormat="1" applyFont="1" applyFill="1" applyAlignment="1">
      <alignment vertical="center"/>
    </xf>
    <xf numFmtId="169" fontId="14" fillId="4" borderId="0" xfId="0" applyNumberFormat="1" applyFont="1" applyFill="1" applyAlignment="1">
      <alignment horizontal="center" vertical="center"/>
    </xf>
    <xf numFmtId="169" fontId="10" fillId="3" borderId="0" xfId="0" applyNumberFormat="1" applyFont="1" applyFill="1" applyAlignment="1">
      <alignment horizontal="right" vertical="center"/>
    </xf>
    <xf numFmtId="169" fontId="13" fillId="3" borderId="0" xfId="0" applyNumberFormat="1" applyFont="1" applyFill="1"/>
    <xf numFmtId="169" fontId="27" fillId="3" borderId="0" xfId="0" applyNumberFormat="1" applyFont="1" applyFill="1"/>
    <xf numFmtId="169" fontId="11" fillId="3" borderId="0" xfId="0" applyNumberFormat="1" applyFont="1" applyFill="1"/>
    <xf numFmtId="169" fontId="18" fillId="3" borderId="0" xfId="0" applyNumberFormat="1" applyFont="1" applyFill="1"/>
    <xf numFmtId="169" fontId="10" fillId="3" borderId="0" xfId="0" applyNumberFormat="1" applyFont="1" applyFill="1"/>
    <xf numFmtId="0" fontId="26" fillId="7" borderId="0" xfId="0" applyFont="1" applyFill="1"/>
    <xf numFmtId="164" fontId="26" fillId="7" borderId="0" xfId="0" applyNumberFormat="1" applyFont="1" applyFill="1"/>
    <xf numFmtId="164" fontId="24" fillId="0" borderId="0" xfId="0" applyNumberFormat="1" applyFont="1" applyAlignment="1">
      <alignment horizontal="centerContinuous"/>
    </xf>
    <xf numFmtId="0" fontId="29" fillId="0" borderId="0" xfId="0" applyFont="1"/>
    <xf numFmtId="0" fontId="30" fillId="0" borderId="0" xfId="0" applyFont="1"/>
    <xf numFmtId="0" fontId="23"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31"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32" fillId="3" borderId="0" xfId="0" applyFont="1" applyFill="1" applyAlignment="1">
      <alignment horizontal="left" vertical="center"/>
    </xf>
    <xf numFmtId="165" fontId="23" fillId="2" borderId="0" xfId="0" applyNumberFormat="1" applyFont="1" applyFill="1"/>
    <xf numFmtId="0" fontId="26" fillId="16" borderId="0" xfId="0" applyFont="1" applyFill="1"/>
    <xf numFmtId="0" fontId="6" fillId="0" borderId="0" xfId="0" quotePrefix="1" applyFont="1"/>
    <xf numFmtId="168" fontId="26" fillId="16" borderId="0" xfId="0" applyNumberFormat="1" applyFont="1" applyFill="1"/>
    <xf numFmtId="0" fontId="20" fillId="17" borderId="0" xfId="0" applyFont="1" applyFill="1"/>
    <xf numFmtId="164" fontId="20" fillId="17" borderId="0" xfId="0" applyNumberFormat="1" applyFont="1" applyFill="1"/>
    <xf numFmtId="0" fontId="6" fillId="3" borderId="0" xfId="0" applyFont="1" applyFill="1"/>
    <xf numFmtId="164" fontId="0" fillId="3" borderId="0" xfId="0" applyNumberFormat="1" applyFill="1"/>
    <xf numFmtId="0" fontId="33" fillId="3" borderId="0" xfId="0" applyFont="1" applyFill="1"/>
    <xf numFmtId="0" fontId="9" fillId="3" borderId="3" xfId="0" applyFont="1" applyFill="1" applyBorder="1" applyAlignment="1">
      <alignment horizontal="center" vertical="center" wrapText="1"/>
    </xf>
    <xf numFmtId="170" fontId="11" fillId="3" borderId="0" xfId="0" applyNumberFormat="1" applyFont="1" applyFill="1"/>
    <xf numFmtId="170" fontId="10" fillId="3" borderId="0" xfId="0" applyNumberFormat="1" applyFont="1" applyFill="1" applyAlignment="1">
      <alignment horizontal="right" vertical="center"/>
    </xf>
    <xf numFmtId="170" fontId="10" fillId="13" borderId="0" xfId="0" applyNumberFormat="1" applyFont="1" applyFill="1" applyAlignment="1">
      <alignment horizontal="right" vertical="center"/>
    </xf>
    <xf numFmtId="170" fontId="10" fillId="13" borderId="0" xfId="0" applyNumberFormat="1" applyFont="1" applyFill="1"/>
    <xf numFmtId="170" fontId="8" fillId="13" borderId="5" xfId="0" applyNumberFormat="1" applyFont="1" applyFill="1" applyBorder="1" applyAlignment="1">
      <alignment horizontal="right" vertical="center"/>
    </xf>
    <xf numFmtId="170" fontId="8" fillId="13" borderId="6" xfId="0" applyNumberFormat="1" applyFont="1" applyFill="1" applyBorder="1"/>
    <xf numFmtId="170" fontId="8" fillId="3" borderId="0" xfId="0" applyNumberFormat="1" applyFont="1" applyFill="1"/>
    <xf numFmtId="170" fontId="15" fillId="5" borderId="8" xfId="0" applyNumberFormat="1" applyFont="1" applyFill="1" applyBorder="1" applyAlignment="1">
      <alignment horizontal="center"/>
    </xf>
    <xf numFmtId="170" fontId="15" fillId="5" borderId="9" xfId="0" applyNumberFormat="1" applyFont="1" applyFill="1" applyBorder="1" applyAlignment="1">
      <alignment horizontal="center"/>
    </xf>
    <xf numFmtId="170" fontId="11" fillId="3" borderId="11" xfId="0" applyNumberFormat="1" applyFont="1" applyFill="1" applyBorder="1"/>
    <xf numFmtId="170" fontId="11" fillId="3" borderId="12" xfId="0" applyNumberFormat="1" applyFont="1" applyFill="1" applyBorder="1"/>
    <xf numFmtId="170" fontId="11" fillId="13" borderId="0" xfId="0" applyNumberFormat="1" applyFont="1" applyFill="1"/>
    <xf numFmtId="170" fontId="11" fillId="13" borderId="12" xfId="0" applyNumberFormat="1" applyFont="1" applyFill="1" applyBorder="1"/>
    <xf numFmtId="170" fontId="11" fillId="6" borderId="14" xfId="0" applyNumberFormat="1" applyFont="1" applyFill="1" applyBorder="1"/>
    <xf numFmtId="170" fontId="11" fillId="6" borderId="15" xfId="0" applyNumberFormat="1" applyFont="1" applyFill="1" applyBorder="1"/>
    <xf numFmtId="170" fontId="9" fillId="10" borderId="5" xfId="0" applyNumberFormat="1" applyFont="1" applyFill="1" applyBorder="1"/>
    <xf numFmtId="170" fontId="9" fillId="10" borderId="6" xfId="0" applyNumberFormat="1" applyFont="1" applyFill="1" applyBorder="1"/>
    <xf numFmtId="170" fontId="11" fillId="8" borderId="14" xfId="0" applyNumberFormat="1" applyFont="1" applyFill="1" applyBorder="1"/>
    <xf numFmtId="170" fontId="11" fillId="8" borderId="16" xfId="0" applyNumberFormat="1" applyFont="1" applyFill="1" applyBorder="1"/>
    <xf numFmtId="170" fontId="11" fillId="8" borderId="15" xfId="0" applyNumberFormat="1" applyFont="1" applyFill="1" applyBorder="1"/>
    <xf numFmtId="170" fontId="11" fillId="14" borderId="5" xfId="0" applyNumberFormat="1" applyFont="1" applyFill="1" applyBorder="1"/>
    <xf numFmtId="170" fontId="9" fillId="14" borderId="5" xfId="0" applyNumberFormat="1" applyFont="1" applyFill="1" applyBorder="1"/>
    <xf numFmtId="170" fontId="9" fillId="14" borderId="6" xfId="0" applyNumberFormat="1" applyFont="1" applyFill="1" applyBorder="1"/>
    <xf numFmtId="170" fontId="11" fillId="6" borderId="16" xfId="0" applyNumberFormat="1" applyFont="1" applyFill="1" applyBorder="1"/>
    <xf numFmtId="170" fontId="15" fillId="9" borderId="8" xfId="0" applyNumberFormat="1" applyFont="1" applyFill="1" applyBorder="1" applyAlignment="1">
      <alignment horizontal="center"/>
    </xf>
    <xf numFmtId="170" fontId="9" fillId="13" borderId="0" xfId="0" applyNumberFormat="1" applyFont="1" applyFill="1"/>
    <xf numFmtId="170" fontId="9" fillId="15" borderId="14" xfId="0" applyNumberFormat="1" applyFont="1" applyFill="1" applyBorder="1"/>
    <xf numFmtId="0" fontId="34" fillId="0" borderId="0" xfId="0" applyFont="1"/>
    <xf numFmtId="165" fontId="24" fillId="0" borderId="0" xfId="0" applyNumberFormat="1" applyFont="1"/>
    <xf numFmtId="165" fontId="26" fillId="16" borderId="0" xfId="0" applyNumberFormat="1" applyFont="1" applyFill="1"/>
    <xf numFmtId="0" fontId="25" fillId="0" borderId="0" xfId="0" applyFont="1"/>
    <xf numFmtId="14" fontId="11" fillId="0" borderId="0" xfId="0" applyNumberFormat="1" applyFont="1" applyAlignment="1">
      <alignment horizontal="right"/>
    </xf>
    <xf numFmtId="164" fontId="36" fillId="0" borderId="0" xfId="0" applyNumberFormat="1" applyFont="1"/>
    <xf numFmtId="0" fontId="10" fillId="0" borderId="0" xfId="5" applyFont="1" applyAlignment="1">
      <alignment horizontal="center" wrapText="1"/>
    </xf>
    <xf numFmtId="14" fontId="35" fillId="0" borderId="0" xfId="5" applyNumberFormat="1" applyFont="1" applyAlignment="1">
      <alignment horizontal="left" wrapText="1"/>
    </xf>
    <xf numFmtId="164" fontId="35" fillId="0" borderId="0" xfId="5" applyNumberFormat="1" applyFont="1" applyAlignment="1">
      <alignment horizontal="center" wrapText="1"/>
    </xf>
    <xf numFmtId="0" fontId="10" fillId="0" borderId="0" xfId="5" applyFont="1"/>
    <xf numFmtId="14" fontId="38" fillId="0" borderId="0" xfId="5" applyNumberFormat="1" applyFont="1" applyAlignment="1">
      <alignment horizontal="center" wrapText="1"/>
    </xf>
    <xf numFmtId="164" fontId="38" fillId="0" borderId="0" xfId="5" applyNumberFormat="1" applyFont="1" applyAlignment="1">
      <alignment horizontal="center" wrapText="1"/>
    </xf>
    <xf numFmtId="0" fontId="8" fillId="18" borderId="4" xfId="5" applyFont="1" applyFill="1" applyBorder="1"/>
    <xf numFmtId="14" fontId="8" fillId="18" borderId="5" xfId="5" applyNumberFormat="1" applyFont="1" applyFill="1" applyBorder="1" applyAlignment="1">
      <alignment horizontal="left"/>
    </xf>
    <xf numFmtId="164" fontId="8" fillId="18" borderId="5" xfId="5" applyNumberFormat="1" applyFont="1" applyFill="1" applyBorder="1"/>
    <xf numFmtId="164" fontId="8" fillId="18" borderId="6" xfId="5" applyNumberFormat="1" applyFont="1" applyFill="1" applyBorder="1"/>
    <xf numFmtId="14" fontId="10" fillId="0" borderId="0" xfId="5" applyNumberFormat="1" applyFont="1" applyAlignment="1">
      <alignment horizontal="left"/>
    </xf>
    <xf numFmtId="164" fontId="10" fillId="0" borderId="0" xfId="5" applyNumberFormat="1" applyFont="1"/>
    <xf numFmtId="0" fontId="3" fillId="0" borderId="0" xfId="5"/>
    <xf numFmtId="166" fontId="9" fillId="3" borderId="1" xfId="0" applyNumberFormat="1" applyFont="1" applyFill="1" applyBorder="1" applyAlignment="1">
      <alignment horizontal="center" vertical="center"/>
    </xf>
    <xf numFmtId="166" fontId="9" fillId="3" borderId="3" xfId="0" applyNumberFormat="1" applyFont="1" applyFill="1" applyBorder="1" applyAlignment="1">
      <alignment horizontal="center" vertical="center"/>
    </xf>
    <xf numFmtId="0" fontId="11" fillId="3" borderId="7" xfId="0" applyFont="1" applyFill="1" applyBorder="1"/>
    <xf numFmtId="170" fontId="11" fillId="3" borderId="17" xfId="0" applyNumberFormat="1" applyFont="1" applyFill="1" applyBorder="1"/>
    <xf numFmtId="170" fontId="11" fillId="3" borderId="18" xfId="0" applyNumberFormat="1" applyFont="1" applyFill="1" applyBorder="1"/>
    <xf numFmtId="170" fontId="11" fillId="3" borderId="19" xfId="0" applyNumberFormat="1" applyFont="1" applyFill="1" applyBorder="1"/>
    <xf numFmtId="170" fontId="9" fillId="13" borderId="12" xfId="0" applyNumberFormat="1" applyFont="1" applyFill="1" applyBorder="1"/>
    <xf numFmtId="170" fontId="9" fillId="15" borderId="15" xfId="0" applyNumberFormat="1" applyFont="1" applyFill="1" applyBorder="1"/>
    <xf numFmtId="170" fontId="15" fillId="9" borderId="9" xfId="0" applyNumberFormat="1" applyFont="1" applyFill="1" applyBorder="1" applyAlignment="1">
      <alignment horizontal="center"/>
    </xf>
    <xf numFmtId="0" fontId="39" fillId="0" borderId="0" xfId="0" applyFont="1"/>
    <xf numFmtId="0" fontId="39" fillId="0" borderId="0" xfId="0" quotePrefix="1" applyFont="1"/>
    <xf numFmtId="0" fontId="36" fillId="0" borderId="0" xfId="0" applyFont="1"/>
    <xf numFmtId="0" fontId="10" fillId="0" borderId="0" xfId="0" quotePrefix="1" applyFont="1"/>
    <xf numFmtId="170" fontId="11" fillId="5" borderId="8" xfId="0" applyNumberFormat="1" applyFont="1" applyFill="1" applyBorder="1" applyAlignment="1">
      <alignment horizontal="center"/>
    </xf>
    <xf numFmtId="170" fontId="11" fillId="5" borderId="9" xfId="0" applyNumberFormat="1" applyFont="1" applyFill="1" applyBorder="1" applyAlignment="1">
      <alignment horizontal="center"/>
    </xf>
    <xf numFmtId="170" fontId="11" fillId="5" borderId="8" xfId="0" applyNumberFormat="1" applyFont="1" applyFill="1" applyBorder="1" applyAlignment="1">
      <alignment horizontal="left"/>
    </xf>
    <xf numFmtId="170" fontId="11" fillId="5" borderId="9" xfId="0" applyNumberFormat="1" applyFont="1" applyFill="1" applyBorder="1" applyAlignment="1">
      <alignment horizontal="left"/>
    </xf>
    <xf numFmtId="170" fontId="11" fillId="7" borderId="8" xfId="0" applyNumberFormat="1" applyFont="1" applyFill="1" applyBorder="1" applyAlignment="1">
      <alignment horizontal="center"/>
    </xf>
    <xf numFmtId="170" fontId="11" fillId="7" borderId="9" xfId="0" applyNumberFormat="1" applyFont="1" applyFill="1" applyBorder="1" applyAlignment="1">
      <alignment horizontal="center"/>
    </xf>
    <xf numFmtId="0" fontId="6" fillId="3" borderId="10" xfId="0" applyFont="1" applyFill="1" applyBorder="1"/>
    <xf numFmtId="0" fontId="40" fillId="0" borderId="0" xfId="0" applyFont="1"/>
    <xf numFmtId="0" fontId="13" fillId="0" borderId="0" xfId="0" quotePrefix="1" applyFont="1"/>
    <xf numFmtId="0" fontId="10" fillId="3" borderId="0" xfId="0" applyFont="1" applyFill="1" applyAlignment="1">
      <alignment horizontal="right" vertical="center"/>
    </xf>
    <xf numFmtId="0" fontId="41" fillId="7" borderId="0" xfId="0" applyFont="1" applyFill="1"/>
    <xf numFmtId="0" fontId="6" fillId="11" borderId="0" xfId="0" applyFont="1" applyFill="1"/>
    <xf numFmtId="0" fontId="26" fillId="16" borderId="0" xfId="0" applyFont="1" applyFill="1" applyAlignment="1">
      <alignment horizontal="left"/>
    </xf>
    <xf numFmtId="0" fontId="0" fillId="0" borderId="0" xfId="0" applyAlignment="1">
      <alignment horizontal="left"/>
    </xf>
    <xf numFmtId="0" fontId="24" fillId="0" borderId="0" xfId="0" applyFont="1" applyAlignment="1">
      <alignment horizontal="left"/>
    </xf>
    <xf numFmtId="16" fontId="22" fillId="0" borderId="0" xfId="0" quotePrefix="1" applyNumberFormat="1" applyFont="1" applyAlignment="1">
      <alignment horizontal="left"/>
    </xf>
    <xf numFmtId="164" fontId="0" fillId="0" borderId="0" xfId="0" applyNumberFormat="1" applyAlignment="1">
      <alignment horizontal="left"/>
    </xf>
    <xf numFmtId="164" fontId="22" fillId="0" borderId="0" xfId="0" applyNumberFormat="1" applyFont="1" applyAlignment="1">
      <alignment horizontal="left"/>
    </xf>
    <xf numFmtId="164" fontId="6" fillId="0" borderId="0" xfId="0" applyNumberFormat="1" applyFont="1" applyAlignment="1">
      <alignment horizontal="left"/>
    </xf>
    <xf numFmtId="164" fontId="42" fillId="0" borderId="0" xfId="0" applyNumberFormat="1" applyFont="1" applyAlignment="1">
      <alignment horizontal="left"/>
    </xf>
    <xf numFmtId="0" fontId="27" fillId="0" borderId="0" xfId="0" applyFont="1"/>
    <xf numFmtId="164" fontId="40" fillId="0" borderId="0" xfId="0" applyNumberFormat="1" applyFont="1"/>
    <xf numFmtId="14" fontId="40" fillId="0" borderId="0" xfId="0" applyNumberFormat="1" applyFont="1"/>
    <xf numFmtId="14" fontId="10" fillId="0" borderId="0" xfId="0" applyNumberFormat="1" applyFont="1"/>
    <xf numFmtId="164" fontId="10" fillId="0" borderId="0" xfId="3" applyNumberFormat="1" applyFont="1"/>
    <xf numFmtId="171" fontId="0" fillId="0" borderId="0" xfId="0" applyNumberFormat="1"/>
    <xf numFmtId="0" fontId="44" fillId="0" borderId="0" xfId="3" applyFont="1"/>
    <xf numFmtId="0" fontId="45" fillId="18" borderId="0" xfId="3" applyFont="1" applyFill="1"/>
    <xf numFmtId="164" fontId="44" fillId="0" borderId="0" xfId="3" applyNumberFormat="1" applyFont="1"/>
    <xf numFmtId="164" fontId="45" fillId="18" borderId="0" xfId="3" applyNumberFormat="1" applyFont="1" applyFill="1"/>
    <xf numFmtId="14" fontId="44" fillId="0" borderId="0" xfId="3" applyNumberFormat="1" applyFont="1"/>
    <xf numFmtId="14" fontId="45" fillId="18" borderId="0" xfId="3" applyNumberFormat="1" applyFont="1" applyFill="1"/>
    <xf numFmtId="14" fontId="46" fillId="2" borderId="0" xfId="3" quotePrefix="1" applyNumberFormat="1" applyFont="1" applyFill="1"/>
    <xf numFmtId="14" fontId="47" fillId="0" borderId="0" xfId="3" quotePrefix="1" applyNumberFormat="1" applyFont="1" applyAlignment="1">
      <alignment wrapText="1"/>
    </xf>
    <xf numFmtId="14" fontId="44" fillId="0" borderId="0" xfId="3" quotePrefix="1" applyNumberFormat="1" applyFont="1" applyAlignment="1">
      <alignment wrapText="1"/>
    </xf>
    <xf numFmtId="171" fontId="26" fillId="16" borderId="0" xfId="0" applyNumberFormat="1" applyFont="1" applyFill="1" applyAlignment="1">
      <alignment horizontal="left"/>
    </xf>
    <xf numFmtId="171" fontId="42" fillId="0" borderId="0" xfId="0" applyNumberFormat="1" applyFont="1"/>
    <xf numFmtId="171" fontId="24" fillId="0" borderId="0" xfId="0" applyNumberFormat="1" applyFont="1"/>
    <xf numFmtId="171" fontId="6" fillId="0" borderId="0" xfId="0" applyNumberFormat="1" applyFont="1"/>
    <xf numFmtId="171" fontId="22" fillId="0" borderId="0" xfId="0" applyNumberFormat="1" applyFont="1"/>
    <xf numFmtId="165" fontId="6" fillId="0" borderId="0" xfId="0" applyNumberFormat="1" applyFont="1"/>
    <xf numFmtId="165" fontId="22" fillId="0" borderId="0" xfId="0" applyNumberFormat="1" applyFont="1"/>
    <xf numFmtId="168" fontId="19" fillId="0" borderId="0" xfId="0" applyNumberFormat="1" applyFont="1"/>
    <xf numFmtId="167" fontId="11" fillId="0" borderId="0" xfId="0" applyNumberFormat="1" applyFont="1" applyAlignment="1">
      <alignment horizontal="center"/>
    </xf>
    <xf numFmtId="0" fontId="45" fillId="18" borderId="0" xfId="3" quotePrefix="1" applyFont="1" applyFill="1"/>
    <xf numFmtId="170"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7" fillId="0" borderId="0" xfId="3" applyFont="1"/>
    <xf numFmtId="165" fontId="48" fillId="0" borderId="0" xfId="4" applyNumberFormat="1" applyFont="1"/>
    <xf numFmtId="164" fontId="42" fillId="0" borderId="0" xfId="0" applyNumberFormat="1" applyFont="1"/>
    <xf numFmtId="164" fontId="6" fillId="0" borderId="0" xfId="0" applyNumberFormat="1" applyFont="1"/>
    <xf numFmtId="164" fontId="48" fillId="0" borderId="0" xfId="4" applyNumberFormat="1" applyFont="1"/>
    <xf numFmtId="0" fontId="6" fillId="0" borderId="0" xfId="0" applyFont="1" applyAlignment="1">
      <alignment horizontal="left"/>
    </xf>
    <xf numFmtId="0" fontId="0" fillId="3" borderId="0" xfId="0" applyFill="1"/>
    <xf numFmtId="165" fontId="50" fillId="0" borderId="0" xfId="0" applyNumberFormat="1" applyFont="1"/>
    <xf numFmtId="165" fontId="48" fillId="0" borderId="0" xfId="0" applyNumberFormat="1" applyFont="1"/>
    <xf numFmtId="0" fontId="49"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14" fillId="5" borderId="0" xfId="0" applyFont="1" applyFill="1"/>
    <xf numFmtId="0" fontId="13" fillId="0" borderId="0" xfId="0" applyFont="1" applyAlignment="1">
      <alignment vertical="center"/>
    </xf>
    <xf numFmtId="0" fontId="14" fillId="7" borderId="0" xfId="0" applyFont="1" applyFill="1"/>
    <xf numFmtId="0" fontId="0" fillId="0" borderId="0" xfId="0" applyAlignment="1">
      <alignment horizontal="right"/>
    </xf>
    <xf numFmtId="0" fontId="6" fillId="0" borderId="0" xfId="0" applyFont="1" applyAlignment="1">
      <alignment horizontal="right"/>
    </xf>
    <xf numFmtId="0" fontId="20" fillId="19" borderId="0" xfId="0" applyFont="1" applyFill="1"/>
    <xf numFmtId="0" fontId="20" fillId="2" borderId="0" xfId="0" applyFont="1" applyFill="1"/>
    <xf numFmtId="164" fontId="6" fillId="0" borderId="0" xfId="0" quotePrefix="1" applyNumberFormat="1" applyFont="1" applyAlignment="1">
      <alignment wrapText="1"/>
    </xf>
    <xf numFmtId="0" fontId="21" fillId="0" borderId="0" xfId="0" applyFont="1" applyAlignment="1">
      <alignment wrapText="1"/>
    </xf>
    <xf numFmtId="0" fontId="27" fillId="3" borderId="0" xfId="0" applyFont="1" applyFill="1" applyAlignment="1">
      <alignment horizontal="right"/>
    </xf>
    <xf numFmtId="3" fontId="27" fillId="3" borderId="0" xfId="0" applyNumberFormat="1" applyFont="1" applyFill="1" applyAlignment="1">
      <alignment horizontal="right"/>
    </xf>
    <xf numFmtId="0" fontId="27" fillId="0" borderId="0" xfId="0" applyFont="1" applyAlignment="1">
      <alignment horizontal="right"/>
    </xf>
    <xf numFmtId="0" fontId="27" fillId="3" borderId="0" xfId="0" quotePrefix="1" applyFont="1" applyFill="1" applyAlignment="1">
      <alignment horizontal="right"/>
    </xf>
    <xf numFmtId="0" fontId="27" fillId="3" borderId="0" xfId="0" applyFont="1" applyFill="1" applyAlignment="1">
      <alignment horizontal="right" vertical="center"/>
    </xf>
    <xf numFmtId="0" fontId="51" fillId="3" borderId="0" xfId="0" applyFont="1" applyFill="1" applyAlignment="1">
      <alignment horizontal="right"/>
    </xf>
    <xf numFmtId="0" fontId="1" fillId="0" borderId="0" xfId="0" applyFont="1"/>
    <xf numFmtId="0" fontId="1" fillId="0" borderId="0" xfId="4" applyFont="1"/>
    <xf numFmtId="14" fontId="22" fillId="0" borderId="0" xfId="0" quotePrefix="1" applyNumberFormat="1" applyFont="1" applyAlignment="1">
      <alignment wrapText="1"/>
    </xf>
    <xf numFmtId="164" fontId="26" fillId="16" borderId="0" xfId="0" applyNumberFormat="1" applyFont="1" applyFill="1"/>
    <xf numFmtId="0" fontId="22" fillId="0" borderId="0" xfId="0" applyFont="1" applyAlignment="1">
      <alignment horizontal="left"/>
    </xf>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rgbClr val="00B050"/>
            </a:solidFill>
            <a:ln w="12700">
              <a:noFill/>
              <a:miter lim="800000"/>
            </a:ln>
            <a:effectLst/>
          </c:spPr>
          <c:invertIfNegative val="1"/>
          <c:val>
            <c:numRef>
              <c:f>NTM!$C$11:$N$11</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C00000"/>
                  </a:solidFill>
                  <a:ln w="12700">
                    <a:noFill/>
                    <a:miter lim="800000"/>
                  </a:ln>
                  <a:effectLst/>
                </c14:spPr>
              </c14:invertSolidFillFmt>
            </c:ext>
            <c:ext xmlns:c16="http://schemas.microsoft.com/office/drawing/2014/chart" uri="{C3380CC4-5D6E-409C-BE32-E72D297353CC}">
              <c16:uniqueId val="{00000000-7426-45DF-870F-5D183D2D9A78}"/>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741238227574499"/>
        </c:manualLayout>
      </c:layout>
      <c:barChart>
        <c:barDir val="col"/>
        <c:grouping val="clustered"/>
        <c:varyColors val="0"/>
        <c:ser>
          <c:idx val="0"/>
          <c:order val="0"/>
          <c:tx>
            <c:strRef>
              <c:f>NTM!$B$42</c:f>
              <c:strCache>
                <c:ptCount val="1"/>
                <c:pt idx="0">
                  <c:v>Total INFLOWS</c:v>
                </c:pt>
              </c:strCache>
            </c:strRef>
          </c:tx>
          <c:spPr>
            <a:solidFill>
              <a:schemeClr val="accent3"/>
            </a:solidFill>
            <a:ln w="12700">
              <a:noFill/>
              <a:miter lim="800000"/>
            </a:ln>
            <a:effectLst/>
          </c:spPr>
          <c:invertIfNegative val="0"/>
          <c:val>
            <c:numRef>
              <c:f>NTM!$C$42:$N$42</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55C-49F8-82CB-88DE7CEF8A2A}"/>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chemeClr val="tx2"/>
            </a:solidFill>
            <a:ln w="12700">
              <a:noFill/>
              <a:miter lim="800000"/>
            </a:ln>
            <a:effectLst/>
          </c:spPr>
          <c:invertIfNegative val="0"/>
          <c:val>
            <c:numRef>
              <c:f>NTM!$C$77:$N$77</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635-4399-B8EB-6AF3978DD9B4}"/>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28</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30</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13</xdr:col>
      <xdr:colOff>0</xdr:colOff>
      <xdr:row>9</xdr:row>
      <xdr:rowOff>0</xdr:rowOff>
    </xdr:to>
    <xdr:graphicFrame macro="">
      <xdr:nvGraphicFramePr>
        <xdr:cNvPr id="2" name="Chart 1">
          <a:extLst>
            <a:ext uri="{FF2B5EF4-FFF2-40B4-BE49-F238E27FC236}">
              <a16:creationId xmlns:a16="http://schemas.microsoft.com/office/drawing/2014/main" id="{7125E529-B47D-4D8C-BB42-86AEFD923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11</xdr:row>
      <xdr:rowOff>0</xdr:rowOff>
    </xdr:from>
    <xdr:to>
      <xdr:col>13</xdr:col>
      <xdr:colOff>0</xdr:colOff>
      <xdr:row>16</xdr:row>
      <xdr:rowOff>0</xdr:rowOff>
    </xdr:to>
    <xdr:graphicFrame macro="">
      <xdr:nvGraphicFramePr>
        <xdr:cNvPr id="3" name="Chart 2">
          <a:extLst>
            <a:ext uri="{FF2B5EF4-FFF2-40B4-BE49-F238E27FC236}">
              <a16:creationId xmlns:a16="http://schemas.microsoft.com/office/drawing/2014/main" id="{811D5434-3C30-44CA-90D4-C9E09F7A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13</xdr:col>
      <xdr:colOff>0</xdr:colOff>
      <xdr:row>23</xdr:row>
      <xdr:rowOff>0</xdr:rowOff>
    </xdr:to>
    <xdr:graphicFrame macro="">
      <xdr:nvGraphicFramePr>
        <xdr:cNvPr id="4" name="Chart 3">
          <a:extLst>
            <a:ext uri="{FF2B5EF4-FFF2-40B4-BE49-F238E27FC236}">
              <a16:creationId xmlns:a16="http://schemas.microsoft.com/office/drawing/2014/main" id="{C1B4AFB5-75FE-4AFB-924F-0DFC06319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xdr:row>
          <xdr:rowOff>57150</xdr:rowOff>
        </xdr:from>
        <xdr:to>
          <xdr:col>1</xdr:col>
          <xdr:colOff>581025</xdr:colOff>
          <xdr:row>2</xdr:row>
          <xdr:rowOff>95250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Archive Balances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57149</xdr:colOff>
      <xdr:row>25</xdr:row>
      <xdr:rowOff>28503</xdr:rowOff>
    </xdr:from>
    <xdr:ext cx="6286501" cy="1552348"/>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200024" y="3943278"/>
          <a:ext cx="6286501"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Columns</a:t>
          </a:r>
        </a:p>
        <a:p>
          <a:pPr marL="171450" indent="-171450">
            <a:buFont typeface="Arial" panose="020B0604020202020204" pitchFamily="34" charset="0"/>
            <a:buChar char="•"/>
          </a:pPr>
          <a:r>
            <a:rPr lang="en-US" sz="1100"/>
            <a:t>Line Item:</a:t>
          </a:r>
          <a:r>
            <a:rPr lang="en-US" sz="1100" baseline="0"/>
            <a:t> Cash, Brokerage, Retirement, or Real Asset (like car or house).</a:t>
          </a:r>
        </a:p>
        <a:p>
          <a:pPr marL="171450" indent="-171450">
            <a:buFont typeface="Arial" panose="020B0604020202020204" pitchFamily="34" charset="0"/>
            <a:buChar char="•"/>
          </a:pPr>
          <a:r>
            <a:rPr lang="en-US" sz="1100" baseline="0"/>
            <a:t>Institution: Where the account is held. </a:t>
          </a:r>
          <a:r>
            <a:rPr lang="en-US" sz="1100" baseline="0">
              <a:solidFill>
                <a:schemeClr val="tx1"/>
              </a:solidFill>
              <a:effectLst/>
              <a:latin typeface="+mn-lt"/>
              <a:ea typeface="+mn-ea"/>
              <a:cs typeface="+mn-cs"/>
            </a:rPr>
            <a:t>For Brokerage, separate securities balances from cash balances. Column can be N/A or blank for physical cash or Real Assets.</a:t>
          </a:r>
        </a:p>
        <a:p>
          <a:pPr marL="171450" indent="-171450">
            <a:buFont typeface="Arial" panose="020B0604020202020204" pitchFamily="34" charset="0"/>
            <a:buChar char="•"/>
          </a:pPr>
          <a:r>
            <a:rPr lang="en-US" sz="1100" baseline="0">
              <a:solidFill>
                <a:schemeClr val="tx1"/>
              </a:solidFill>
              <a:effectLst/>
              <a:latin typeface="+mn-lt"/>
              <a:ea typeface="+mn-ea"/>
              <a:cs typeface="+mn-cs"/>
            </a:rPr>
            <a:t>Account: Free-form description to remember what account the values relate to.</a:t>
          </a:r>
        </a:p>
        <a:p>
          <a:pPr marL="171450" indent="-171450">
            <a:buFont typeface="Arial" panose="020B0604020202020204" pitchFamily="34" charset="0"/>
            <a:buChar char="•"/>
          </a:pPr>
          <a:r>
            <a:rPr lang="en-US" sz="1100" baseline="0">
              <a:solidFill>
                <a:schemeClr val="tx1"/>
              </a:solidFill>
              <a:effectLst/>
              <a:latin typeface="+mn-lt"/>
              <a:ea typeface="+mn-ea"/>
              <a:cs typeface="+mn-cs"/>
            </a:rPr>
            <a:t>Balance: Balance of the associated account.</a:t>
          </a:r>
        </a:p>
        <a:p>
          <a:pPr marL="171450" indent="-171450">
            <a:buFont typeface="Arial" panose="020B0604020202020204" pitchFamily="34" charset="0"/>
            <a:buChar char="•"/>
          </a:pPr>
          <a:endParaRPr lang="en-US" sz="1100"/>
        </a:p>
        <a:p>
          <a:r>
            <a:rPr lang="en-US" sz="1100" b="1" u="sng"/>
            <a:t>Tips</a:t>
          </a:r>
          <a:r>
            <a:rPr lang="en-US" sz="1100" b="1" u="sng" baseline="0"/>
            <a:t> for inputting</a:t>
          </a:r>
          <a:endParaRPr lang="en-US" sz="1100" b="1" u="sng"/>
        </a:p>
        <a:p>
          <a:pPr marL="171450" indent="-171450">
            <a:buFont typeface="Arial" panose="020B0604020202020204" pitchFamily="34" charset="0"/>
            <a:buChar char="•"/>
          </a:pPr>
          <a:r>
            <a:rPr lang="en-US" sz="1100"/>
            <a:t>Sort by Institution</a:t>
          </a:r>
          <a:r>
            <a:rPr lang="en-US" sz="1100" baseline="0"/>
            <a:t> to ease input process each time</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419100</xdr:colOff>
      <xdr:row>26</xdr:row>
      <xdr:rowOff>85725</xdr:rowOff>
    </xdr:from>
    <xdr:ext cx="3962399" cy="1552348"/>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42925" y="4324350"/>
          <a:ext cx="3962399"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Account: Freeform field to reference each account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t>Due Day: Just the day of the month that payments are due. </a:t>
          </a:r>
          <a:r>
            <a:rPr lang="en-US" sz="1100">
              <a:solidFill>
                <a:schemeClr val="tx1"/>
              </a:solidFill>
              <a:effectLst/>
              <a:latin typeface="+mn-lt"/>
              <a:ea typeface="+mn-ea"/>
              <a:cs typeface="+mn-cs"/>
            </a:rPr>
            <a:t>For end</a:t>
          </a:r>
          <a:r>
            <a:rPr lang="en-US" sz="1100" baseline="0">
              <a:solidFill>
                <a:schemeClr val="tx1"/>
              </a:solidFill>
              <a:effectLst/>
              <a:latin typeface="+mn-lt"/>
              <a:ea typeface="+mn-ea"/>
              <a:cs typeface="+mn-cs"/>
            </a:rPr>
            <a:t> of month due dates input "=</a:t>
          </a:r>
          <a:r>
            <a:rPr lang="en-US" sz="1100" b="0" baseline="0">
              <a:solidFill>
                <a:schemeClr val="tx1"/>
              </a:solidFill>
              <a:effectLst/>
              <a:latin typeface="+mn-lt"/>
              <a:ea typeface="+mn-ea"/>
              <a:cs typeface="+mn-cs"/>
            </a:rPr>
            <a:t>EndDayOfCurrentMonth</a:t>
          </a:r>
          <a:r>
            <a:rPr lang="en-US" sz="1100" baseline="0">
              <a:solidFill>
                <a:schemeClr val="tx1"/>
              </a:solidFill>
              <a:effectLst/>
              <a:latin typeface="+mn-lt"/>
              <a:ea typeface="+mn-ea"/>
              <a:cs typeface="+mn-cs"/>
            </a:rPr>
            <a:t>" in the Due Day column</a:t>
          </a:r>
          <a:endParaRPr lang="en-US">
            <a:effectLst/>
          </a:endParaRPr>
        </a:p>
        <a:p>
          <a:pPr marL="171450" indent="-171450">
            <a:buFont typeface="Arial" panose="020B0604020202020204" pitchFamily="34" charset="0"/>
            <a:buChar char="•"/>
          </a:pPr>
          <a:r>
            <a:rPr lang="en-US" sz="1100"/>
            <a:t>Balance:</a:t>
          </a:r>
          <a:r>
            <a:rPr lang="en-US" sz="1100" baseline="0"/>
            <a:t> Total drawn on the account</a:t>
          </a:r>
        </a:p>
        <a:p>
          <a:pPr marL="171450" indent="-171450">
            <a:buFont typeface="Arial" panose="020B0604020202020204" pitchFamily="34" charset="0"/>
            <a:buChar char="•"/>
          </a:pPr>
          <a:r>
            <a:rPr lang="en-US" sz="1100" baseline="0"/>
            <a:t>Statement: Posted balance</a:t>
          </a:r>
        </a:p>
        <a:p>
          <a:pPr marL="171450" indent="-171450">
            <a:buFont typeface="Arial" panose="020B0604020202020204" pitchFamily="34" charset="0"/>
            <a:buChar char="•"/>
          </a:pPr>
          <a:r>
            <a:rPr lang="en-US" sz="1100" baseline="0"/>
            <a:t>Current (T) Payment: What you intend to pay next time (typically you want it to be the total statement balance)</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17</xdr:row>
      <xdr:rowOff>123825</xdr:rowOff>
    </xdr:from>
    <xdr:ext cx="6286501" cy="254557"/>
    <xdr:sp macro="" textlink="">
      <xdr:nvSpPr>
        <xdr:cNvPr id="2" name="TextBox 1">
          <a:extLst>
            <a:ext uri="{FF2B5EF4-FFF2-40B4-BE49-F238E27FC236}">
              <a16:creationId xmlns:a16="http://schemas.microsoft.com/office/drawing/2014/main" id="{F61ED5A9-4FC0-4C22-8680-40C4291474F7}"/>
            </a:ext>
          </a:extLst>
        </xdr:cNvPr>
        <xdr:cNvSpPr txBox="1"/>
      </xdr:nvSpPr>
      <xdr:spPr>
        <a:xfrm>
          <a:off x="581025" y="3067050"/>
          <a:ext cx="6286501"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any </a:t>
          </a:r>
          <a:r>
            <a:rPr lang="en-US" sz="1100" baseline="0"/>
            <a:t>loans including for a car, house, large purchases etc.</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0</xdr:colOff>
      <xdr:row>29</xdr:row>
      <xdr:rowOff>9525</xdr:rowOff>
    </xdr:from>
    <xdr:ext cx="6286501" cy="416781"/>
    <xdr:sp macro="" textlink="">
      <xdr:nvSpPr>
        <xdr:cNvPr id="2" name="TextBox 1">
          <a:extLst>
            <a:ext uri="{FF2B5EF4-FFF2-40B4-BE49-F238E27FC236}">
              <a16:creationId xmlns:a16="http://schemas.microsoft.com/office/drawing/2014/main" id="{DCB5B63D-9098-4746-8428-7D784C83B95E}"/>
            </a:ext>
          </a:extLst>
        </xdr:cNvPr>
        <xdr:cNvSpPr txBox="1"/>
      </xdr:nvSpPr>
      <xdr:spPr>
        <a:xfrm>
          <a:off x="142875" y="4733925"/>
          <a:ext cx="6286501" cy="416781"/>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all credit card, airline,</a:t>
          </a:r>
          <a:r>
            <a:rPr lang="en-US" sz="1100" baseline="0"/>
            <a:t> hotel or other rewards balances. Do your own research to find cash redemption value and average value.</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1</xdr:col>
      <xdr:colOff>219074</xdr:colOff>
      <xdr:row>18</xdr:row>
      <xdr:rowOff>0</xdr:rowOff>
    </xdr:from>
    <xdr:ext cx="6286501" cy="1714572"/>
    <xdr:sp macro="" textlink="">
      <xdr:nvSpPr>
        <xdr:cNvPr id="2" name="TextBox 1">
          <a:extLst>
            <a:ext uri="{FF2B5EF4-FFF2-40B4-BE49-F238E27FC236}">
              <a16:creationId xmlns:a16="http://schemas.microsoft.com/office/drawing/2014/main" id="{B5767F45-B75F-4CF8-A72A-BFCDD042214B}"/>
            </a:ext>
          </a:extLst>
        </xdr:cNvPr>
        <xdr:cNvSpPr txBox="1"/>
      </xdr:nvSpPr>
      <xdr:spPr>
        <a:xfrm>
          <a:off x="352424" y="2943225"/>
          <a:ext cx="6286501" cy="171457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 all items that are</a:t>
          </a:r>
          <a:r>
            <a:rPr lang="en-US" sz="1100" b="0" u="none" baseline="0"/>
            <a:t> variable based on Salary or Bonus. Reference your pay stub and make calculations.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Taxes, Retirement</a:t>
          </a:r>
          <a:r>
            <a:rPr lang="en-US" sz="1100" b="0" i="0" u="none" strike="noStrike" baseline="0">
              <a:solidFill>
                <a:schemeClr val="tx1"/>
              </a:solidFill>
              <a:effectLst/>
              <a:latin typeface="+mn-lt"/>
              <a:ea typeface="+mn-ea"/>
              <a:cs typeface="+mn-cs"/>
            </a:rPr>
            <a:t> Deductions, Other Deductions, Employer Retirement Contributions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Federal and State Taxes or 401k contribution (and employer match)</a:t>
          </a:r>
          <a:endParaRPr lang="en-US" sz="1100" baseline="0"/>
        </a:p>
        <a:p>
          <a:pPr marL="171450" indent="-171450">
            <a:buFont typeface="Arial" panose="020B0604020202020204" pitchFamily="34" charset="0"/>
            <a:buChar char="•"/>
          </a:pPr>
          <a:r>
            <a:rPr lang="en-US" sz="1100" baseline="0"/>
            <a:t>Dependent On: What the Item is based on. For example, you might have Federal tax of 20% of Salary and 25% of Bonus</a:t>
          </a:r>
          <a:endParaRPr lang="en-US" sz="1100" baseline="0">
            <a:solidFill>
              <a:schemeClr val="tx1"/>
            </a:solidFill>
            <a:effectLst/>
            <a:latin typeface="+mn-lt"/>
            <a:ea typeface="+mn-ea"/>
            <a:cs typeface="+mn-cs"/>
          </a:endParaRPr>
        </a:p>
        <a:p>
          <a:pPr marL="171450" indent="-171450">
            <a:buFont typeface="Arial" panose="020B0604020202020204" pitchFamily="34" charset="0"/>
            <a:buChar char="•"/>
          </a:pPr>
          <a:r>
            <a:rPr lang="en-US" sz="1100" baseline="0">
              <a:solidFill>
                <a:schemeClr val="tx1"/>
              </a:solidFill>
              <a:effectLst/>
              <a:latin typeface="+mn-lt"/>
              <a:ea typeface="+mn-ea"/>
              <a:cs typeface="+mn-cs"/>
            </a:rPr>
            <a:t>Percentage: Calculate based on your paystub</a:t>
          </a:r>
          <a:endParaRPr lang="en-US" sz="1100" baseline="0"/>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1</xdr:col>
      <xdr:colOff>533400</xdr:colOff>
      <xdr:row>16</xdr:row>
      <xdr:rowOff>114527</xdr:rowOff>
    </xdr:from>
    <xdr:ext cx="6286501" cy="1227900"/>
    <xdr:sp macro="" textlink="">
      <xdr:nvSpPr>
        <xdr:cNvPr id="2" name="TextBox 1">
          <a:extLst>
            <a:ext uri="{FF2B5EF4-FFF2-40B4-BE49-F238E27FC236}">
              <a16:creationId xmlns:a16="http://schemas.microsoft.com/office/drawing/2014/main" id="{9FDD86FE-0FA9-4613-9788-62BD61807C3B}"/>
            </a:ext>
          </a:extLst>
        </xdr:cNvPr>
        <xdr:cNvSpPr txBox="1"/>
      </xdr:nvSpPr>
      <xdr:spPr>
        <a:xfrm>
          <a:off x="695325" y="2762477"/>
          <a:ext cx="6286501" cy="12279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changes to recurring cash flows that you know of or expect. </a:t>
          </a:r>
        </a:p>
        <a:p>
          <a:endParaRPr lang="en-US" sz="1100" b="0" u="none"/>
        </a:p>
        <a:p>
          <a:r>
            <a:rPr lang="en-US" sz="1100" b="1" u="sng"/>
            <a:t>Columns</a:t>
          </a:r>
        </a:p>
        <a:p>
          <a:pPr marL="171450" indent="-171450">
            <a:buFont typeface="Arial" panose="020B0604020202020204" pitchFamily="34" charset="0"/>
            <a:buChar char="•"/>
          </a:pPr>
          <a:r>
            <a:rPr lang="en-US" sz="1100" baseline="0">
              <a:solidFill>
                <a:schemeClr val="tx1"/>
              </a:solidFill>
              <a:effectLst/>
              <a:latin typeface="+mn-lt"/>
              <a:ea typeface="+mn-ea"/>
              <a:cs typeface="+mn-cs"/>
            </a:rPr>
            <a:t>Net Change: What is the dollar amount higher or lower that the recurring item is going to change (per recurrence)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the change is expected to take effect</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Every nth time: How often does the payment hit on the recurrence (like 2 for every other)</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219074</xdr:colOff>
      <xdr:row>21</xdr:row>
      <xdr:rowOff>142875</xdr:rowOff>
    </xdr:from>
    <xdr:ext cx="6286501" cy="2363468"/>
    <xdr:sp macro="" textlink="">
      <xdr:nvSpPr>
        <xdr:cNvPr id="2" name="TextBox 1">
          <a:extLst>
            <a:ext uri="{FF2B5EF4-FFF2-40B4-BE49-F238E27FC236}">
              <a16:creationId xmlns:a16="http://schemas.microsoft.com/office/drawing/2014/main" id="{16B7F66D-F9B1-4FF9-BC17-419AAD4C5661}"/>
            </a:ext>
          </a:extLst>
        </xdr:cNvPr>
        <xdr:cNvSpPr txBox="1"/>
      </xdr:nvSpPr>
      <xdr:spPr>
        <a:xfrm>
          <a:off x="390524" y="3733800"/>
          <a:ext cx="6286501" cy="236346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one-time planned purchases or inflows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Bonus,</a:t>
          </a:r>
          <a:r>
            <a:rPr lang="en-US"/>
            <a:t> </a:t>
          </a:r>
          <a:r>
            <a:rPr lang="en-US" sz="1100" b="0" i="0" u="none" strike="noStrike">
              <a:solidFill>
                <a:schemeClr val="tx1"/>
              </a:solidFill>
              <a:effectLst/>
              <a:latin typeface="+mn-lt"/>
              <a:ea typeface="+mn-ea"/>
              <a:cs typeface="+mn-cs"/>
            </a:rPr>
            <a:t>Friend Fees,</a:t>
          </a:r>
          <a:r>
            <a:rPr lang="en-US"/>
            <a:t> </a:t>
          </a:r>
          <a:r>
            <a:rPr lang="en-US" sz="1100" b="0" i="0" u="none" strike="noStrike">
              <a:solidFill>
                <a:schemeClr val="tx1"/>
              </a:solidFill>
              <a:effectLst/>
              <a:latin typeface="+mn-lt"/>
              <a:ea typeface="+mn-ea"/>
              <a:cs typeface="+mn-cs"/>
            </a:rPr>
            <a:t>Selling &amp; Refunds,</a:t>
          </a:r>
          <a:r>
            <a:rPr lang="en-US"/>
            <a:t> </a:t>
          </a:r>
          <a:r>
            <a:rPr lang="en-US" sz="1100" b="0" i="0" u="none" strike="noStrike">
              <a:solidFill>
                <a:schemeClr val="tx1"/>
              </a:solidFill>
              <a:effectLst/>
              <a:latin typeface="+mn-lt"/>
              <a:ea typeface="+mn-ea"/>
              <a:cs typeface="+mn-cs"/>
            </a:rPr>
            <a:t>Brokerage Cashout,</a:t>
          </a:r>
          <a:r>
            <a:rPr lang="en-US"/>
            <a:t> </a:t>
          </a:r>
          <a:r>
            <a:rPr lang="en-US" sz="1100" b="0" i="0" u="none" strike="noStrike">
              <a:solidFill>
                <a:schemeClr val="tx1"/>
              </a:solidFill>
              <a:effectLst/>
              <a:latin typeface="+mn-lt"/>
              <a:ea typeface="+mn-ea"/>
              <a:cs typeface="+mn-cs"/>
            </a:rPr>
            <a:t>Other,</a:t>
          </a:r>
          <a:r>
            <a:rPr lang="en-US"/>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Wishlist,</a:t>
          </a:r>
          <a:r>
            <a:rPr lang="en-US"/>
            <a:t> or </a:t>
          </a:r>
          <a:r>
            <a:rPr lang="en-US" sz="1100" b="0" i="0" u="none" strike="noStrike">
              <a:solidFill>
                <a:schemeClr val="tx1"/>
              </a:solidFill>
              <a:effectLst/>
              <a:latin typeface="+mn-lt"/>
              <a:ea typeface="+mn-ea"/>
              <a:cs typeface="+mn-cs"/>
            </a:rPr>
            <a:t>Travel &amp; Events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an expected bonus, travel costs, brokerage account cashouts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you expect the inflow or outflow to occur.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u="sng" baseline="0">
              <a:solidFill>
                <a:schemeClr val="tx1"/>
              </a:solidFill>
              <a:effectLst/>
              <a:latin typeface="+mn-lt"/>
              <a:ea typeface="+mn-ea"/>
              <a:cs typeface="+mn-cs"/>
            </a:rPr>
            <a:t>Credit Card specific guidance: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Account: If Credit Card payment, ensure the input matches the same name in the Credit Cards tab</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If a Credit Card payment, use the function CurrentDueDate or NextDueDate and reference the Account column</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3</xdr:col>
      <xdr:colOff>0</xdr:colOff>
      <xdr:row>2</xdr:row>
      <xdr:rowOff>0</xdr:rowOff>
    </xdr:from>
    <xdr:ext cx="4876799" cy="323850"/>
    <xdr:sp macro="" textlink="">
      <xdr:nvSpPr>
        <xdr:cNvPr id="2" name="TextBox 1">
          <a:extLst>
            <a:ext uri="{FF2B5EF4-FFF2-40B4-BE49-F238E27FC236}">
              <a16:creationId xmlns:a16="http://schemas.microsoft.com/office/drawing/2014/main" id="{5152BB99-5B32-4DEF-B976-DC8DEBDA85B2}"/>
            </a:ext>
          </a:extLst>
        </xdr:cNvPr>
        <xdr:cNvSpPr txBox="1"/>
      </xdr:nvSpPr>
      <xdr:spPr>
        <a:xfrm>
          <a:off x="4181475" y="1457325"/>
          <a:ext cx="4876799" cy="32385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Elect which account you are going to have all your cash flow in and out of</a:t>
          </a:r>
          <a:endParaRPr lang="en-US" sz="1100">
            <a:effectLst/>
          </a:endParaRPr>
        </a:p>
      </xdr:txBody>
    </xdr:sp>
    <xdr:clientData/>
  </xdr:oneCellAnchor>
  <xdr:oneCellAnchor>
    <xdr:from>
      <xdr:col>3</xdr:col>
      <xdr:colOff>0</xdr:colOff>
      <xdr:row>5</xdr:row>
      <xdr:rowOff>0</xdr:rowOff>
    </xdr:from>
    <xdr:ext cx="4876799" cy="647700"/>
    <xdr:sp macro="" textlink="">
      <xdr:nvSpPr>
        <xdr:cNvPr id="3" name="TextBox 2">
          <a:extLst>
            <a:ext uri="{FF2B5EF4-FFF2-40B4-BE49-F238E27FC236}">
              <a16:creationId xmlns:a16="http://schemas.microsoft.com/office/drawing/2014/main" id="{2A859425-3763-6596-C363-6B79BCB2B839}"/>
            </a:ext>
          </a:extLst>
        </xdr:cNvPr>
        <xdr:cNvSpPr txBox="1"/>
      </xdr:nvSpPr>
      <xdr:spPr>
        <a:xfrm>
          <a:off x="4181475" y="1943100"/>
          <a:ext cx="4876799" cy="6477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How much of</a:t>
          </a:r>
          <a:r>
            <a:rPr lang="en-US" sz="1100" b="0" u="none" baseline="0"/>
            <a:t> a balance you want to hold in each account. Based on the number of months of outflows that you want to make sure you have in the accounts</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38"/>
  <sheetViews>
    <sheetView workbookViewId="0"/>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5" x14ac:dyDescent="0.2">
      <c r="B2" s="151" t="s">
        <v>224</v>
      </c>
      <c r="C2" s="151"/>
    </row>
    <row r="3" spans="2:5" x14ac:dyDescent="0.2">
      <c r="B3" s="28" t="s">
        <v>225</v>
      </c>
      <c r="C3" s="28" t="s">
        <v>226</v>
      </c>
    </row>
    <row r="4" spans="2:5" x14ac:dyDescent="0.2">
      <c r="B4" s="28" t="s">
        <v>227</v>
      </c>
      <c r="C4" s="28" t="s">
        <v>228</v>
      </c>
    </row>
    <row r="5" spans="2:5" x14ac:dyDescent="0.2">
      <c r="B5" s="28" t="s">
        <v>229</v>
      </c>
      <c r="C5" s="28" t="s">
        <v>243</v>
      </c>
    </row>
    <row r="6" spans="2:5" x14ac:dyDescent="0.2">
      <c r="B6" s="28" t="s">
        <v>230</v>
      </c>
      <c r="C6" s="28" t="s">
        <v>231</v>
      </c>
    </row>
    <row r="7" spans="2:5" x14ac:dyDescent="0.2">
      <c r="B7" s="28"/>
      <c r="C7" s="28"/>
    </row>
    <row r="8" spans="2:5" s="165" customFormat="1" x14ac:dyDescent="0.2">
      <c r="B8" s="56" t="s">
        <v>171</v>
      </c>
      <c r="C8" s="56"/>
    </row>
    <row r="10" spans="2:5" x14ac:dyDescent="0.2">
      <c r="B10" s="151" t="s">
        <v>147</v>
      </c>
      <c r="C10" s="151"/>
    </row>
    <row r="11" spans="2:5" x14ac:dyDescent="0.2">
      <c r="B11" s="28" t="s">
        <v>109</v>
      </c>
      <c r="C11" s="28"/>
      <c r="D11" s="88" t="s">
        <v>97</v>
      </c>
      <c r="E11" s="28" t="s">
        <v>244</v>
      </c>
    </row>
    <row r="12" spans="2:5" x14ac:dyDescent="0.2">
      <c r="B12" s="28" t="s">
        <v>111</v>
      </c>
      <c r="C12" s="28"/>
      <c r="D12" s="88" t="s">
        <v>97</v>
      </c>
      <c r="E12" s="28" t="s">
        <v>110</v>
      </c>
    </row>
    <row r="13" spans="2:5" x14ac:dyDescent="0.2">
      <c r="B13" s="28" t="s">
        <v>31</v>
      </c>
      <c r="C13" s="28"/>
      <c r="D13" s="88" t="s">
        <v>97</v>
      </c>
      <c r="E13" s="28" t="s">
        <v>245</v>
      </c>
    </row>
    <row r="14" spans="2:5" x14ac:dyDescent="0.2">
      <c r="B14" s="28" t="s">
        <v>30</v>
      </c>
      <c r="C14" s="28"/>
      <c r="D14" s="88" t="s">
        <v>97</v>
      </c>
      <c r="E14" s="28" t="s">
        <v>246</v>
      </c>
    </row>
    <row r="15" spans="2:5" x14ac:dyDescent="0.2">
      <c r="B15" s="28" t="s">
        <v>112</v>
      </c>
      <c r="C15" s="28"/>
      <c r="D15" s="88" t="s">
        <v>97</v>
      </c>
      <c r="E15" s="28" t="s">
        <v>247</v>
      </c>
    </row>
    <row r="16" spans="2:5" x14ac:dyDescent="0.2">
      <c r="B16" s="28" t="s">
        <v>7</v>
      </c>
      <c r="C16" s="28"/>
      <c r="D16" s="28" t="s">
        <v>97</v>
      </c>
      <c r="E16" t="s">
        <v>162</v>
      </c>
    </row>
    <row r="17" spans="2:5" x14ac:dyDescent="0.2">
      <c r="B17" s="28"/>
      <c r="C17" s="28"/>
      <c r="D17" s="88"/>
      <c r="E17" s="28"/>
    </row>
    <row r="18" spans="2:5" x14ac:dyDescent="0.2">
      <c r="B18" s="151" t="s">
        <v>148</v>
      </c>
      <c r="C18" s="151"/>
      <c r="D18" s="88"/>
      <c r="E18" s="28"/>
    </row>
    <row r="19" spans="2:5" x14ac:dyDescent="0.2">
      <c r="B19" s="29" t="s">
        <v>108</v>
      </c>
      <c r="C19" s="29"/>
      <c r="D19" s="88" t="s">
        <v>97</v>
      </c>
      <c r="E19" s="28" t="s">
        <v>324</v>
      </c>
    </row>
    <row r="20" spans="2:5" x14ac:dyDescent="0.2">
      <c r="B20" s="87" t="s">
        <v>107</v>
      </c>
      <c r="C20" s="87"/>
      <c r="D20" s="88" t="s">
        <v>97</v>
      </c>
      <c r="E20" s="28" t="s">
        <v>323</v>
      </c>
    </row>
    <row r="21" spans="2:5" x14ac:dyDescent="0.2">
      <c r="B21" s="86" t="s">
        <v>96</v>
      </c>
      <c r="C21" s="86"/>
      <c r="D21" s="88" t="s">
        <v>97</v>
      </c>
      <c r="E21" s="28" t="s">
        <v>253</v>
      </c>
    </row>
    <row r="22" spans="2:5" x14ac:dyDescent="0.2">
      <c r="B22" s="128"/>
      <c r="C22" s="128"/>
      <c r="D22" s="88"/>
      <c r="E22" s="28"/>
    </row>
    <row r="23" spans="2:5" x14ac:dyDescent="0.2">
      <c r="B23" s="152" t="s">
        <v>222</v>
      </c>
      <c r="C23" s="152"/>
      <c r="D23" s="88"/>
      <c r="E23" s="28"/>
    </row>
    <row r="24" spans="2:5" x14ac:dyDescent="0.2">
      <c r="B24" s="28" t="s">
        <v>140</v>
      </c>
      <c r="C24" s="28"/>
      <c r="D24" s="28" t="s">
        <v>97</v>
      </c>
      <c r="E24" t="s">
        <v>161</v>
      </c>
    </row>
    <row r="25" spans="2:5" x14ac:dyDescent="0.2">
      <c r="B25" s="28" t="s">
        <v>142</v>
      </c>
      <c r="C25" s="28"/>
      <c r="D25" s="28" t="s">
        <v>97</v>
      </c>
      <c r="E25" t="s">
        <v>141</v>
      </c>
    </row>
    <row r="26" spans="2:5" x14ac:dyDescent="0.2">
      <c r="B26" s="28" t="s">
        <v>143</v>
      </c>
      <c r="C26" s="28"/>
      <c r="D26" s="28" t="s">
        <v>97</v>
      </c>
      <c r="E26" t="s">
        <v>146</v>
      </c>
    </row>
    <row r="27" spans="2:5" x14ac:dyDescent="0.2">
      <c r="B27" s="28" t="s">
        <v>144</v>
      </c>
      <c r="C27" s="28"/>
      <c r="D27" s="28" t="s">
        <v>97</v>
      </c>
      <c r="E27" t="s">
        <v>145</v>
      </c>
    </row>
    <row r="34" spans="2:3" s="165" customFormat="1" x14ac:dyDescent="0.2">
      <c r="B34" s="56" t="s">
        <v>223</v>
      </c>
      <c r="C34" s="56"/>
    </row>
    <row r="36" spans="2:3" x14ac:dyDescent="0.2">
      <c r="B36" s="28" t="s">
        <v>242</v>
      </c>
      <c r="C36" s="28"/>
    </row>
    <row r="37" spans="2:3" x14ac:dyDescent="0.2">
      <c r="B37" s="28" t="s">
        <v>170</v>
      </c>
      <c r="C37" s="28"/>
    </row>
    <row r="38" spans="2:3" x14ac:dyDescent="0.2">
      <c r="B38" s="28" t="s">
        <v>169</v>
      </c>
      <c r="C38"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election activeCell="I19" sqref="I19"/>
    </sheetView>
  </sheetViews>
  <sheetFormatPr defaultRowHeight="12.75" x14ac:dyDescent="0.2"/>
  <cols>
    <col min="1" max="16384" width="9.140625" style="27"/>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workbookViewId="0">
      <selection activeCell="J28" sqref="J28"/>
    </sheetView>
  </sheetViews>
  <sheetFormatPr defaultColWidth="7.7109375" defaultRowHeight="12.75" x14ac:dyDescent="0.2"/>
  <cols>
    <col min="1" max="1" width="1.85546875" style="228"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4" customWidth="1"/>
    <col min="18" max="18" width="30.42578125" style="34"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229"/>
      <c r="B1" s="62"/>
      <c r="C1" s="16"/>
      <c r="D1" s="16"/>
      <c r="E1" s="16"/>
      <c r="F1" s="16"/>
      <c r="G1" s="16"/>
      <c r="H1" s="16"/>
      <c r="I1" s="16"/>
      <c r="J1" s="16"/>
      <c r="K1" s="16"/>
      <c r="L1" s="16"/>
      <c r="M1" s="16"/>
      <c r="N1" s="16"/>
      <c r="O1" s="16"/>
      <c r="P1" s="45"/>
      <c r="Q1" s="46" t="s">
        <v>41</v>
      </c>
      <c r="U1" s="13"/>
      <c r="V1" s="13"/>
      <c r="W1" s="15"/>
    </row>
    <row r="2" spans="1:32" ht="12.75" customHeight="1" x14ac:dyDescent="0.2">
      <c r="A2" s="226"/>
      <c r="B2" s="63" t="s">
        <v>29</v>
      </c>
      <c r="C2" s="3"/>
      <c r="D2" s="3"/>
      <c r="E2" s="4"/>
      <c r="F2" s="4"/>
      <c r="G2" s="4"/>
      <c r="H2" s="4"/>
      <c r="I2" s="4"/>
      <c r="J2" s="4"/>
      <c r="K2" s="4"/>
      <c r="L2" s="4"/>
      <c r="M2" s="4"/>
      <c r="N2" s="4"/>
      <c r="O2" s="4"/>
      <c r="P2" s="3"/>
      <c r="Q2" s="42"/>
    </row>
    <row r="3" spans="1:32" ht="5.0999999999999996" customHeight="1" thickBot="1" x14ac:dyDescent="0.25">
      <c r="A3" s="226"/>
      <c r="B3" s="62"/>
      <c r="C3" s="16"/>
      <c r="D3" s="16"/>
      <c r="E3" s="16"/>
      <c r="F3" s="16"/>
      <c r="G3" s="16"/>
      <c r="H3" s="16"/>
      <c r="I3" s="16"/>
      <c r="J3" s="16"/>
      <c r="K3" s="16"/>
      <c r="L3" s="16"/>
      <c r="M3" s="16"/>
      <c r="N3" s="16"/>
      <c r="O3" s="16"/>
      <c r="P3" s="45"/>
      <c r="Q3" s="42"/>
      <c r="U3" s="13"/>
      <c r="V3" s="13"/>
      <c r="W3" s="15"/>
    </row>
    <row r="4" spans="1:32" ht="13.5" thickBot="1" x14ac:dyDescent="0.25">
      <c r="A4" s="230"/>
      <c r="B4" s="64"/>
      <c r="C4" s="142">
        <f ca="1">TODAY()</f>
        <v>45745</v>
      </c>
      <c r="D4" s="7">
        <f ca="1">EOMONTH(C4,0)+1</f>
        <v>45748</v>
      </c>
      <c r="E4" s="7">
        <f t="shared" ref="E4:N4" ca="1" si="0">EDATE(D4,1)</f>
        <v>45778</v>
      </c>
      <c r="F4" s="7">
        <f t="shared" ca="1" si="0"/>
        <v>45809</v>
      </c>
      <c r="G4" s="7">
        <f t="shared" ca="1" si="0"/>
        <v>45839</v>
      </c>
      <c r="H4" s="7">
        <f t="shared" ca="1" si="0"/>
        <v>45870</v>
      </c>
      <c r="I4" s="7">
        <f t="shared" ca="1" si="0"/>
        <v>45901</v>
      </c>
      <c r="J4" s="7">
        <f t="shared" ca="1" si="0"/>
        <v>45931</v>
      </c>
      <c r="K4" s="7">
        <f t="shared" ca="1" si="0"/>
        <v>45962</v>
      </c>
      <c r="L4" s="7">
        <f t="shared" ca="1" si="0"/>
        <v>45992</v>
      </c>
      <c r="M4" s="7">
        <f t="shared" ca="1" si="0"/>
        <v>46023</v>
      </c>
      <c r="N4" s="7">
        <f t="shared" ca="1" si="0"/>
        <v>46054</v>
      </c>
      <c r="O4" s="7"/>
      <c r="P4" s="95" t="s">
        <v>138</v>
      </c>
      <c r="Q4" s="43"/>
      <c r="S4" s="162"/>
      <c r="U4" s="8"/>
      <c r="V4" s="9"/>
      <c r="W4" s="10"/>
      <c r="X4" s="11"/>
      <c r="AD4" s="12"/>
      <c r="AE4" s="12"/>
      <c r="AF4" s="12"/>
    </row>
    <row r="5" spans="1:32" ht="5.0999999999999996" customHeight="1" x14ac:dyDescent="0.2">
      <c r="A5" s="230"/>
      <c r="B5" s="64"/>
      <c r="C5" s="47"/>
      <c r="D5" s="47"/>
      <c r="E5" s="47"/>
      <c r="F5" s="47"/>
      <c r="G5" s="47"/>
      <c r="H5" s="47"/>
      <c r="I5" s="47"/>
      <c r="J5" s="47"/>
      <c r="K5" s="47"/>
      <c r="L5" s="47"/>
      <c r="M5" s="47"/>
      <c r="N5" s="47"/>
      <c r="O5" s="47"/>
      <c r="P5" s="47"/>
      <c r="Q5" s="48"/>
      <c r="U5" s="8"/>
      <c r="V5" s="9"/>
      <c r="W5" s="10"/>
      <c r="X5" s="11"/>
      <c r="AD5" s="12"/>
      <c r="AE5" s="12"/>
      <c r="AF5" s="12"/>
    </row>
    <row r="6" spans="1:32" x14ac:dyDescent="0.2">
      <c r="A6" s="230"/>
      <c r="B6" s="65" t="s">
        <v>37</v>
      </c>
      <c r="C6" s="49"/>
      <c r="D6" s="49"/>
      <c r="E6" s="49"/>
      <c r="F6" s="49"/>
      <c r="G6" s="49"/>
      <c r="H6" s="49"/>
      <c r="I6" s="49"/>
      <c r="J6" s="49"/>
      <c r="K6" s="49"/>
      <c r="L6" s="49"/>
      <c r="M6" s="49"/>
      <c r="N6" s="49"/>
      <c r="O6" s="49"/>
      <c r="P6" s="49"/>
      <c r="Q6" s="48"/>
      <c r="R6" s="65" t="s">
        <v>150</v>
      </c>
      <c r="U6" s="8"/>
      <c r="V6" s="9"/>
      <c r="W6" s="10"/>
      <c r="X6" s="11"/>
      <c r="AD6" s="12"/>
      <c r="AE6" s="12"/>
      <c r="AF6" s="12"/>
    </row>
    <row r="7" spans="1:32" ht="5.0999999999999996" customHeight="1" x14ac:dyDescent="0.2">
      <c r="A7" s="226"/>
      <c r="B7" s="70"/>
      <c r="C7" s="53"/>
      <c r="D7" s="53"/>
      <c r="E7" s="53"/>
      <c r="F7" s="53"/>
      <c r="G7" s="53"/>
      <c r="H7" s="53"/>
      <c r="I7" s="53"/>
      <c r="J7" s="53"/>
      <c r="K7" s="53"/>
      <c r="L7" s="53"/>
      <c r="M7" s="53"/>
      <c r="N7" s="53"/>
      <c r="O7" s="53"/>
      <c r="P7" s="53"/>
      <c r="Q7" s="51"/>
      <c r="R7" s="42"/>
      <c r="W7" s="18"/>
    </row>
    <row r="8" spans="1:32" ht="12.75" customHeight="1" x14ac:dyDescent="0.2">
      <c r="A8" s="226"/>
      <c r="B8" s="85" t="s">
        <v>98</v>
      </c>
      <c r="C8" s="50"/>
      <c r="D8" s="50"/>
      <c r="E8" s="50"/>
      <c r="F8" s="50"/>
      <c r="G8" s="50"/>
      <c r="H8" s="50"/>
      <c r="I8" s="50"/>
      <c r="J8" s="50"/>
      <c r="K8" s="50"/>
      <c r="L8" s="50"/>
      <c r="M8" s="50"/>
      <c r="N8" s="50"/>
      <c r="O8" s="50"/>
      <c r="P8" s="55"/>
      <c r="Q8" s="51"/>
      <c r="R8" s="42"/>
      <c r="U8" s="13"/>
      <c r="V8" s="14"/>
      <c r="W8" s="15"/>
    </row>
    <row r="9" spans="1:32" ht="12.75" customHeight="1" x14ac:dyDescent="0.2">
      <c r="A9" s="226"/>
      <c r="B9" s="84" t="s">
        <v>38</v>
      </c>
      <c r="C9" s="98">
        <f t="shared" ref="C9:N9" ca="1" si="1">C42</f>
        <v>0</v>
      </c>
      <c r="D9" s="98">
        <f t="shared" ca="1" si="1"/>
        <v>0</v>
      </c>
      <c r="E9" s="98">
        <f t="shared" ca="1" si="1"/>
        <v>0</v>
      </c>
      <c r="F9" s="98">
        <f t="shared" ca="1" si="1"/>
        <v>0</v>
      </c>
      <c r="G9" s="98">
        <f t="shared" ca="1" si="1"/>
        <v>0</v>
      </c>
      <c r="H9" s="98">
        <f t="shared" ca="1" si="1"/>
        <v>0</v>
      </c>
      <c r="I9" s="98">
        <f t="shared" ca="1" si="1"/>
        <v>0</v>
      </c>
      <c r="J9" s="98">
        <f t="shared" ca="1" si="1"/>
        <v>0</v>
      </c>
      <c r="K9" s="98">
        <f t="shared" ca="1" si="1"/>
        <v>0</v>
      </c>
      <c r="L9" s="98">
        <f t="shared" ca="1" si="1"/>
        <v>0</v>
      </c>
      <c r="M9" s="98">
        <f t="shared" ca="1" si="1"/>
        <v>0</v>
      </c>
      <c r="N9" s="98">
        <f t="shared" ca="1" si="1"/>
        <v>0</v>
      </c>
      <c r="O9" s="97"/>
      <c r="P9" s="99">
        <f ca="1">SUM(C9:N9)</f>
        <v>0</v>
      </c>
      <c r="Q9" s="51"/>
      <c r="R9" s="42"/>
      <c r="U9" s="13"/>
      <c r="V9" s="14"/>
      <c r="W9" s="15"/>
    </row>
    <row r="10" spans="1:32" ht="12.75" customHeight="1" x14ac:dyDescent="0.2">
      <c r="A10" s="226"/>
      <c r="B10" s="84" t="s">
        <v>39</v>
      </c>
      <c r="C10" s="98">
        <f ca="1">C77</f>
        <v>0</v>
      </c>
      <c r="D10" s="98">
        <f t="shared" ref="D10:N10" ca="1" si="2">D77</f>
        <v>0</v>
      </c>
      <c r="E10" s="98">
        <f t="shared" ca="1" si="2"/>
        <v>0</v>
      </c>
      <c r="F10" s="98">
        <f t="shared" ca="1" si="2"/>
        <v>0</v>
      </c>
      <c r="G10" s="98">
        <f t="shared" ca="1" si="2"/>
        <v>0</v>
      </c>
      <c r="H10" s="98">
        <f t="shared" ca="1" si="2"/>
        <v>0</v>
      </c>
      <c r="I10" s="98">
        <f t="shared" ca="1" si="2"/>
        <v>0</v>
      </c>
      <c r="J10" s="98">
        <f t="shared" ca="1" si="2"/>
        <v>0</v>
      </c>
      <c r="K10" s="98">
        <f t="shared" ca="1" si="2"/>
        <v>0</v>
      </c>
      <c r="L10" s="98">
        <f t="shared" ca="1" si="2"/>
        <v>0</v>
      </c>
      <c r="M10" s="98">
        <f t="shared" ca="1" si="2"/>
        <v>0</v>
      </c>
      <c r="N10" s="98">
        <f t="shared" ca="1" si="2"/>
        <v>0</v>
      </c>
      <c r="O10" s="97"/>
      <c r="P10" s="99">
        <f ca="1">SUM(C10:N10)</f>
        <v>0</v>
      </c>
      <c r="Q10" s="51"/>
      <c r="R10" s="42"/>
      <c r="U10" s="13"/>
      <c r="V10" s="14"/>
      <c r="W10" s="15"/>
    </row>
    <row r="11" spans="1:32" ht="12.75" customHeight="1" x14ac:dyDescent="0.2">
      <c r="A11" s="226"/>
      <c r="B11" s="66" t="s">
        <v>99</v>
      </c>
      <c r="C11" s="100">
        <f ca="1">C9-C10</f>
        <v>0</v>
      </c>
      <c r="D11" s="100">
        <f t="shared" ref="D11:N11" ca="1" si="3">D9-D10</f>
        <v>0</v>
      </c>
      <c r="E11" s="100">
        <f t="shared" ca="1" si="3"/>
        <v>0</v>
      </c>
      <c r="F11" s="100">
        <f t="shared" ca="1" si="3"/>
        <v>0</v>
      </c>
      <c r="G11" s="100">
        <f t="shared" ca="1" si="3"/>
        <v>0</v>
      </c>
      <c r="H11" s="100">
        <f t="shared" ca="1" si="3"/>
        <v>0</v>
      </c>
      <c r="I11" s="100">
        <f t="shared" ca="1" si="3"/>
        <v>0</v>
      </c>
      <c r="J11" s="100">
        <f t="shared" ca="1" si="3"/>
        <v>0</v>
      </c>
      <c r="K11" s="100">
        <f t="shared" ca="1" si="3"/>
        <v>0</v>
      </c>
      <c r="L11" s="100">
        <f t="shared" ca="1" si="3"/>
        <v>0</v>
      </c>
      <c r="M11" s="100">
        <f t="shared" ca="1" si="3"/>
        <v>0</v>
      </c>
      <c r="N11" s="100">
        <f t="shared" ca="1" si="3"/>
        <v>0</v>
      </c>
      <c r="O11" s="100"/>
      <c r="P11" s="101">
        <f ca="1">SUM(C11:N11)</f>
        <v>0</v>
      </c>
      <c r="Q11" s="51"/>
      <c r="R11" s="42"/>
      <c r="U11" s="13"/>
      <c r="V11" s="13"/>
      <c r="W11" s="15"/>
    </row>
    <row r="12" spans="1:32" ht="12.75" customHeight="1" x14ac:dyDescent="0.2">
      <c r="A12" s="226"/>
      <c r="B12" s="164" t="s">
        <v>165</v>
      </c>
      <c r="C12" s="97">
        <f t="shared" ref="C12:N12" ca="1" si="4">C9-SUM(C37)+SUM(C66:C67,C27:C27,C72:C73)</f>
        <v>0</v>
      </c>
      <c r="D12" s="97">
        <f t="shared" ca="1" si="4"/>
        <v>0</v>
      </c>
      <c r="E12" s="97">
        <f t="shared" ca="1" si="4"/>
        <v>0</v>
      </c>
      <c r="F12" s="97">
        <f t="shared" ca="1" si="4"/>
        <v>0</v>
      </c>
      <c r="G12" s="97">
        <f t="shared" ca="1" si="4"/>
        <v>0</v>
      </c>
      <c r="H12" s="97">
        <f t="shared" ca="1" si="4"/>
        <v>0</v>
      </c>
      <c r="I12" s="97">
        <f t="shared" ca="1" si="4"/>
        <v>0</v>
      </c>
      <c r="J12" s="97">
        <f t="shared" ca="1" si="4"/>
        <v>0</v>
      </c>
      <c r="K12" s="97">
        <f t="shared" ca="1" si="4"/>
        <v>0</v>
      </c>
      <c r="L12" s="97">
        <f t="shared" ca="1" si="4"/>
        <v>0</v>
      </c>
      <c r="M12" s="97">
        <f t="shared" ca="1" si="4"/>
        <v>0</v>
      </c>
      <c r="N12" s="97">
        <f t="shared" ca="1" si="4"/>
        <v>0</v>
      </c>
      <c r="O12" s="97"/>
      <c r="P12" s="97">
        <f ca="1">P9-SUM(P37)+SUM(P66:P67,P27:P27,P72:P73)</f>
        <v>0</v>
      </c>
      <c r="Q12" s="51"/>
      <c r="R12" s="42"/>
      <c r="U12" s="13"/>
      <c r="V12" s="13"/>
      <c r="W12" s="15"/>
    </row>
    <row r="13" spans="1:32" ht="5.0999999999999996" customHeight="1" x14ac:dyDescent="0.2">
      <c r="A13" s="226"/>
      <c r="B13" s="70"/>
      <c r="C13" s="96"/>
      <c r="D13" s="96"/>
      <c r="E13" s="96"/>
      <c r="F13" s="96"/>
      <c r="G13" s="96"/>
      <c r="H13" s="96"/>
      <c r="I13" s="96"/>
      <c r="J13" s="96"/>
      <c r="K13" s="96"/>
      <c r="L13" s="96"/>
      <c r="M13" s="96"/>
      <c r="N13" s="96"/>
      <c r="O13" s="96"/>
      <c r="P13" s="96"/>
      <c r="Q13" s="51"/>
      <c r="R13" s="42"/>
      <c r="W13" s="18"/>
    </row>
    <row r="14" spans="1:32" ht="12.75" customHeight="1" x14ac:dyDescent="0.2">
      <c r="A14" s="226"/>
      <c r="B14" s="85" t="s">
        <v>92</v>
      </c>
      <c r="C14" s="97"/>
      <c r="D14" s="97"/>
      <c r="E14" s="97"/>
      <c r="F14" s="97"/>
      <c r="G14" s="97"/>
      <c r="H14" s="97"/>
      <c r="I14" s="97"/>
      <c r="J14" s="97"/>
      <c r="K14" s="97"/>
      <c r="L14" s="97"/>
      <c r="M14" s="97"/>
      <c r="N14" s="97"/>
      <c r="O14" s="97"/>
      <c r="P14" s="102"/>
      <c r="Q14" s="52"/>
      <c r="R14" s="42"/>
      <c r="U14" s="13"/>
      <c r="V14" s="13"/>
      <c r="W14" s="15"/>
    </row>
    <row r="15" spans="1:32" ht="12.75" customHeight="1" x14ac:dyDescent="0.2">
      <c r="A15" s="226"/>
      <c r="B15" s="84" t="s">
        <v>7</v>
      </c>
      <c r="C15" s="98">
        <f ca="1">'Balances &amp; Actions'!C6+C11</f>
        <v>0</v>
      </c>
      <c r="D15" s="98">
        <f t="shared" ref="D15:N15" ca="1" si="5">C15+D11</f>
        <v>0</v>
      </c>
      <c r="E15" s="98">
        <f t="shared" ca="1" si="5"/>
        <v>0</v>
      </c>
      <c r="F15" s="98">
        <f t="shared" ca="1" si="5"/>
        <v>0</v>
      </c>
      <c r="G15" s="98">
        <f t="shared" ca="1" si="5"/>
        <v>0</v>
      </c>
      <c r="H15" s="98">
        <f t="shared" ca="1" si="5"/>
        <v>0</v>
      </c>
      <c r="I15" s="98">
        <f t="shared" ca="1" si="5"/>
        <v>0</v>
      </c>
      <c r="J15" s="98">
        <f t="shared" ca="1" si="5"/>
        <v>0</v>
      </c>
      <c r="K15" s="98">
        <f t="shared" ca="1" si="5"/>
        <v>0</v>
      </c>
      <c r="L15" s="98">
        <f t="shared" ca="1" si="5"/>
        <v>0</v>
      </c>
      <c r="M15" s="98">
        <f t="shared" ca="1" si="5"/>
        <v>0</v>
      </c>
      <c r="N15" s="98">
        <f t="shared" ca="1" si="5"/>
        <v>0</v>
      </c>
      <c r="O15" s="97"/>
      <c r="P15" s="99">
        <f ca="1">N15</f>
        <v>0</v>
      </c>
      <c r="Q15" s="52"/>
      <c r="R15" s="42"/>
      <c r="S15" s="154"/>
      <c r="U15" s="13"/>
      <c r="V15" s="13"/>
      <c r="W15" s="15"/>
    </row>
    <row r="16" spans="1:32" ht="12.75" customHeight="1" x14ac:dyDescent="0.2">
      <c r="A16" s="226"/>
      <c r="B16" s="66" t="s">
        <v>40</v>
      </c>
      <c r="C16" s="100">
        <f t="shared" ref="C16:N16" ca="1" si="6">C100</f>
        <v>0</v>
      </c>
      <c r="D16" s="100">
        <f t="shared" ca="1" si="6"/>
        <v>0</v>
      </c>
      <c r="E16" s="100">
        <f t="shared" ca="1" si="6"/>
        <v>0</v>
      </c>
      <c r="F16" s="100">
        <f t="shared" ca="1" si="6"/>
        <v>0</v>
      </c>
      <c r="G16" s="100">
        <f t="shared" ca="1" si="6"/>
        <v>0</v>
      </c>
      <c r="H16" s="100">
        <f t="shared" ca="1" si="6"/>
        <v>0</v>
      </c>
      <c r="I16" s="100">
        <f t="shared" ca="1" si="6"/>
        <v>0</v>
      </c>
      <c r="J16" s="100">
        <f t="shared" ca="1" si="6"/>
        <v>0</v>
      </c>
      <c r="K16" s="100">
        <f t="shared" ca="1" si="6"/>
        <v>0</v>
      </c>
      <c r="L16" s="100">
        <f t="shared" ca="1" si="6"/>
        <v>0</v>
      </c>
      <c r="M16" s="100">
        <f t="shared" ca="1" si="6"/>
        <v>0</v>
      </c>
      <c r="N16" s="100">
        <f t="shared" ca="1" si="6"/>
        <v>0</v>
      </c>
      <c r="O16" s="100"/>
      <c r="P16" s="101">
        <f ca="1">N16</f>
        <v>0</v>
      </c>
      <c r="Q16" s="52"/>
      <c r="R16" s="42"/>
      <c r="S16" s="154"/>
      <c r="U16" s="13"/>
      <c r="V16" s="13"/>
      <c r="W16" s="15"/>
    </row>
    <row r="17" spans="1:23" ht="12.75" customHeight="1" x14ac:dyDescent="0.2">
      <c r="A17" s="226"/>
      <c r="B17" s="67"/>
      <c r="C17" s="96"/>
      <c r="D17" s="96"/>
      <c r="E17" s="96"/>
      <c r="F17" s="96"/>
      <c r="G17" s="96"/>
      <c r="H17" s="96"/>
      <c r="I17" s="96"/>
      <c r="J17" s="96"/>
      <c r="K17" s="96"/>
      <c r="L17" s="96"/>
      <c r="M17" s="96"/>
      <c r="N17" s="96"/>
      <c r="O17" s="96"/>
      <c r="P17" s="96"/>
      <c r="Q17" s="51"/>
      <c r="R17" s="42"/>
      <c r="U17" s="11"/>
      <c r="V17" s="17"/>
      <c r="W17" s="17"/>
    </row>
    <row r="18" spans="1:23" ht="12.75" customHeight="1" x14ac:dyDescent="0.2">
      <c r="A18" s="231"/>
      <c r="B18" s="68" t="s">
        <v>24</v>
      </c>
      <c r="C18" s="155"/>
      <c r="D18" s="155"/>
      <c r="E18" s="155"/>
      <c r="F18" s="155"/>
      <c r="G18" s="155"/>
      <c r="H18" s="155"/>
      <c r="I18" s="155"/>
      <c r="J18" s="155"/>
      <c r="K18" s="155"/>
      <c r="L18" s="155"/>
      <c r="M18" s="155"/>
      <c r="N18" s="155"/>
      <c r="O18" s="155"/>
      <c r="P18" s="156"/>
      <c r="Q18" s="51"/>
      <c r="R18" s="42"/>
      <c r="S18" s="154"/>
    </row>
    <row r="19" spans="1:23" ht="12.75" customHeight="1" x14ac:dyDescent="0.2">
      <c r="A19" s="226"/>
      <c r="B19" s="69" t="s">
        <v>303</v>
      </c>
      <c r="C19" s="105">
        <f ca="1">_xlfn.LET(
_xlpm.recurring,SUMIFS(INDEX(recurring_master!$A:$AF,,MATCH($B19,recurring_master!$A$1:$AF$1,0)),recurring_master!$A:$A,"&lt;="&amp;EOMONTH(C$4,0),recurring_master!$A:$A,"&gt;="&amp;C$4),
_xlpm.planned,SUMIFS(Planned!$F:$F,Planned!$B:$B,$B19,Planned!$E:$E,"&gt;="&amp;C$4,Planned!$E:$E,"&lt;="&amp;EOMONTH(C$4,0)),
IFERROR(_xlpm.recurring,0)+IFERROR(_xlpm.planned,0))</f>
        <v>0</v>
      </c>
      <c r="D19" s="105">
        <f ca="1">_xlfn.LET(
_xlpm.recurring,SUMIFS(INDEX(recurring_master!$A:$AF,,MATCH($B19,recurring_master!$A$1:$AF$1,0)),recurring_master!$A:$A,"&lt;="&amp;EOMONTH(D$4,0),recurring_master!$A:$A,"&gt;="&amp;D$4),
_xlpm.planned,SUMIFS(Planned!$F:$F,Planned!$B:$B,$B19,Planned!$E:$E,"&gt;="&amp;D$4,Planned!$E:$E,"&lt;="&amp;EOMONTH(D$4,0)),
IFERROR(_xlpm.recurring,0)+IFERROR(_xlpm.planned,0))</f>
        <v>0</v>
      </c>
      <c r="E19" s="105">
        <f ca="1">_xlfn.LET(
_xlpm.recurring,SUMIFS(INDEX(recurring_master!$A:$AF,,MATCH($B19,recurring_master!$A$1:$AF$1,0)),recurring_master!$A:$A,"&lt;="&amp;EOMONTH(E$4,0),recurring_master!$A:$A,"&gt;="&amp;E$4),
_xlpm.planned,SUMIFS(Planned!$F:$F,Planned!$B:$B,$B19,Planned!$E:$E,"&gt;="&amp;E$4,Planned!$E:$E,"&lt;="&amp;EOMONTH(E$4,0)),
IFERROR(_xlpm.recurring,0)+IFERROR(_xlpm.planned,0))</f>
        <v>0</v>
      </c>
      <c r="F19" s="105">
        <f ca="1">_xlfn.LET(
_xlpm.recurring,SUMIFS(INDEX(recurring_master!$A:$AF,,MATCH($B19,recurring_master!$A$1:$AF$1,0)),recurring_master!$A:$A,"&lt;="&amp;EOMONTH(F$4,0),recurring_master!$A:$A,"&gt;="&amp;F$4),
_xlpm.planned,SUMIFS(Planned!$F:$F,Planned!$B:$B,$B19,Planned!$E:$E,"&gt;="&amp;F$4,Planned!$E:$E,"&lt;="&amp;EOMONTH(F$4,0)),
IFERROR(_xlpm.recurring,0)+IFERROR(_xlpm.planned,0))</f>
        <v>0</v>
      </c>
      <c r="G19" s="105">
        <f ca="1">_xlfn.LET(
_xlpm.recurring,SUMIFS(INDEX(recurring_master!$A:$AF,,MATCH($B19,recurring_master!$A$1:$AF$1,0)),recurring_master!$A:$A,"&lt;="&amp;EOMONTH(G$4,0),recurring_master!$A:$A,"&gt;="&amp;G$4),
_xlpm.planned,SUMIFS(Planned!$F:$F,Planned!$B:$B,$B19,Planned!$E:$E,"&gt;="&amp;G$4,Planned!$E:$E,"&lt;="&amp;EOMONTH(G$4,0)),
IFERROR(_xlpm.recurring,0)+IFERROR(_xlpm.planned,0))</f>
        <v>0</v>
      </c>
      <c r="H19" s="105">
        <f ca="1">_xlfn.LET(
_xlpm.recurring,SUMIFS(INDEX(recurring_master!$A:$AF,,MATCH($B19,recurring_master!$A$1:$AF$1,0)),recurring_master!$A:$A,"&lt;="&amp;EOMONTH(H$4,0),recurring_master!$A:$A,"&gt;="&amp;H$4),
_xlpm.planned,SUMIFS(Planned!$F:$F,Planned!$B:$B,$B19,Planned!$E:$E,"&gt;="&amp;H$4,Planned!$E:$E,"&lt;="&amp;EOMONTH(H$4,0)),
IFERROR(_xlpm.recurring,0)+IFERROR(_xlpm.planned,0))</f>
        <v>0</v>
      </c>
      <c r="I19" s="105">
        <f ca="1">_xlfn.LET(
_xlpm.recurring,SUMIFS(INDEX(recurring_master!$A:$AF,,MATCH($B19,recurring_master!$A$1:$AF$1,0)),recurring_master!$A:$A,"&lt;="&amp;EOMONTH(I$4,0),recurring_master!$A:$A,"&gt;="&amp;I$4),
_xlpm.planned,SUMIFS(Planned!$F:$F,Planned!$B:$B,$B19,Planned!$E:$E,"&gt;="&amp;I$4,Planned!$E:$E,"&lt;="&amp;EOMONTH(I$4,0)),
IFERROR(_xlpm.recurring,0)+IFERROR(_xlpm.planned,0))</f>
        <v>0</v>
      </c>
      <c r="J19" s="105">
        <f ca="1">_xlfn.LET(
_xlpm.recurring,SUMIFS(INDEX(recurring_master!$A:$AF,,MATCH($B19,recurring_master!$A$1:$AF$1,0)),recurring_master!$A:$A,"&lt;="&amp;EOMONTH(J$4,0),recurring_master!$A:$A,"&gt;="&amp;J$4),
_xlpm.planned,SUMIFS(Planned!$F:$F,Planned!$B:$B,$B19,Planned!$E:$E,"&gt;="&amp;J$4,Planned!$E:$E,"&lt;="&amp;EOMONTH(J$4,0)),
IFERROR(_xlpm.recurring,0)+IFERROR(_xlpm.planned,0))</f>
        <v>0</v>
      </c>
      <c r="K19" s="105">
        <f ca="1">_xlfn.LET(
_xlpm.recurring,SUMIFS(INDEX(recurring_master!$A:$AF,,MATCH($B19,recurring_master!$A$1:$AF$1,0)),recurring_master!$A:$A,"&lt;="&amp;EOMONTH(K$4,0),recurring_master!$A:$A,"&gt;="&amp;K$4),
_xlpm.planned,SUMIFS(Planned!$F:$F,Planned!$B:$B,$B19,Planned!$E:$E,"&gt;="&amp;K$4,Planned!$E:$E,"&lt;="&amp;EOMONTH(K$4,0)),
IFERROR(_xlpm.recurring,0)+IFERROR(_xlpm.planned,0))</f>
        <v>0</v>
      </c>
      <c r="L19" s="105">
        <f ca="1">_xlfn.LET(
_xlpm.recurring,SUMIFS(INDEX(recurring_master!$A:$AF,,MATCH($B19,recurring_master!$A$1:$AF$1,0)),recurring_master!$A:$A,"&lt;="&amp;EOMONTH(L$4,0),recurring_master!$A:$A,"&gt;="&amp;L$4),
_xlpm.planned,SUMIFS(Planned!$F:$F,Planned!$B:$B,$B19,Planned!$E:$E,"&gt;="&amp;L$4,Planned!$E:$E,"&lt;="&amp;EOMONTH(L$4,0)),
IFERROR(_xlpm.recurring,0)+IFERROR(_xlpm.planned,0))</f>
        <v>0</v>
      </c>
      <c r="M19" s="105">
        <f ca="1">_xlfn.LET(
_xlpm.recurring,SUMIFS(INDEX(recurring_master!$A:$AF,,MATCH($B19,recurring_master!$A$1:$AF$1,0)),recurring_master!$A:$A,"&lt;="&amp;EOMONTH(M$4,0),recurring_master!$A:$A,"&gt;="&amp;M$4),
_xlpm.planned,SUMIFS(Planned!$F:$F,Planned!$B:$B,$B19,Planned!$E:$E,"&gt;="&amp;M$4,Planned!$E:$E,"&lt;="&amp;EOMONTH(M$4,0)),
IFERROR(_xlpm.recurring,0)+IFERROR(_xlpm.planned,0))</f>
        <v>0</v>
      </c>
      <c r="N19" s="105">
        <f ca="1">_xlfn.LET(
_xlpm.recurring,SUMIFS(INDEX(recurring_master!$A:$AF,,MATCH($B19,recurring_master!$A$1:$AF$1,0)),recurring_master!$A:$A,"&lt;="&amp;EOMONTH(N$4,0),recurring_master!$A:$A,"&gt;="&amp;N$4),
_xlpm.planned,SUMIFS(Planned!$F:$F,Planned!$B:$B,$B19,Planned!$E:$E,"&gt;="&amp;N$4,Planned!$E:$E,"&lt;="&amp;EOMONTH(N$4,0)),
IFERROR(_xlpm.recurring,0)+IFERROR(_xlpm.planned,0))</f>
        <v>0</v>
      </c>
      <c r="O19" s="96"/>
      <c r="P19" s="106">
        <f ca="1">SUM(C19:N19)</f>
        <v>0</v>
      </c>
      <c r="Q19" s="51"/>
      <c r="R19" s="42"/>
      <c r="S19" s="163"/>
      <c r="T19" s="163"/>
      <c r="U19" s="163"/>
      <c r="W19" s="18"/>
    </row>
    <row r="20" spans="1:23" ht="12.75" customHeight="1" x14ac:dyDescent="0.2">
      <c r="A20" s="226"/>
      <c r="B20" s="69" t="s">
        <v>9</v>
      </c>
      <c r="C20" s="105">
        <f ca="1">_xlfn.LET(
_xlpm.recurring,SUMIFS(INDEX(recurring_master!$A:$AF,,MATCH($B20,recurring_master!$A$1:$AF$1,0)),recurring_master!$A:$A,"&lt;="&amp;EOMONTH(C$4,0),recurring_master!$A:$A,"&gt;="&amp;C$4),
_xlpm.planned,SUMIFS(Planned!$F:$F,Planned!$B:$B,$B20,Planned!$E:$E,"&gt;="&amp;C$4,Planned!$E:$E,"&lt;="&amp;EOMONTH(C$4,0)),
IFERROR(_xlpm.recurring,0)+IFERROR(_xlpm.planned,0))</f>
        <v>0</v>
      </c>
      <c r="D20" s="105">
        <f ca="1">_xlfn.LET(
_xlpm.recurring,SUMIFS(INDEX(recurring_master!$A:$AF,,MATCH($B20,recurring_master!$A$1:$AF$1,0)),recurring_master!$A:$A,"&lt;="&amp;EOMONTH(D$4,0),recurring_master!$A:$A,"&gt;="&amp;D$4),
_xlpm.planned,SUMIFS(Planned!$F:$F,Planned!$B:$B,$B20,Planned!$E:$E,"&gt;="&amp;D$4,Planned!$E:$E,"&lt;="&amp;EOMONTH(D$4,0)),
IFERROR(_xlpm.recurring,0)+IFERROR(_xlpm.planned,0))</f>
        <v>0</v>
      </c>
      <c r="E20" s="105">
        <f ca="1">_xlfn.LET(
_xlpm.recurring,SUMIFS(INDEX(recurring_master!$A:$AF,,MATCH($B20,recurring_master!$A$1:$AF$1,0)),recurring_master!$A:$A,"&lt;="&amp;EOMONTH(E$4,0),recurring_master!$A:$A,"&gt;="&amp;E$4),
_xlpm.planned,SUMIFS(Planned!$F:$F,Planned!$B:$B,$B20,Planned!$E:$E,"&gt;="&amp;E$4,Planned!$E:$E,"&lt;="&amp;EOMONTH(E$4,0)),
IFERROR(_xlpm.recurring,0)+IFERROR(_xlpm.planned,0))</f>
        <v>0</v>
      </c>
      <c r="F20" s="105">
        <f ca="1">_xlfn.LET(
_xlpm.recurring,SUMIFS(INDEX(recurring_master!$A:$AF,,MATCH($B20,recurring_master!$A$1:$AF$1,0)),recurring_master!$A:$A,"&lt;="&amp;EOMONTH(F$4,0),recurring_master!$A:$A,"&gt;="&amp;F$4),
_xlpm.planned,SUMIFS(Planned!$F:$F,Planned!$B:$B,$B20,Planned!$E:$E,"&gt;="&amp;F$4,Planned!$E:$E,"&lt;="&amp;EOMONTH(F$4,0)),
IFERROR(_xlpm.recurring,0)+IFERROR(_xlpm.planned,0))</f>
        <v>0</v>
      </c>
      <c r="G20" s="105">
        <f ca="1">_xlfn.LET(
_xlpm.recurring,SUMIFS(INDEX(recurring_master!$A:$AF,,MATCH($B20,recurring_master!$A$1:$AF$1,0)),recurring_master!$A:$A,"&lt;="&amp;EOMONTH(G$4,0),recurring_master!$A:$A,"&gt;="&amp;G$4),
_xlpm.planned,SUMIFS(Planned!$F:$F,Planned!$B:$B,$B20,Planned!$E:$E,"&gt;="&amp;G$4,Planned!$E:$E,"&lt;="&amp;EOMONTH(G$4,0)),
IFERROR(_xlpm.recurring,0)+IFERROR(_xlpm.planned,0))</f>
        <v>0</v>
      </c>
      <c r="H20" s="105">
        <f ca="1">_xlfn.LET(
_xlpm.recurring,SUMIFS(INDEX(recurring_master!$A:$AF,,MATCH($B20,recurring_master!$A$1:$AF$1,0)),recurring_master!$A:$A,"&lt;="&amp;EOMONTH(H$4,0),recurring_master!$A:$A,"&gt;="&amp;H$4),
_xlpm.planned,SUMIFS(Planned!$F:$F,Planned!$B:$B,$B20,Planned!$E:$E,"&gt;="&amp;H$4,Planned!$E:$E,"&lt;="&amp;EOMONTH(H$4,0)),
IFERROR(_xlpm.recurring,0)+IFERROR(_xlpm.planned,0))</f>
        <v>0</v>
      </c>
      <c r="I20" s="105">
        <f ca="1">_xlfn.LET(
_xlpm.recurring,SUMIFS(INDEX(recurring_master!$A:$AF,,MATCH($B20,recurring_master!$A$1:$AF$1,0)),recurring_master!$A:$A,"&lt;="&amp;EOMONTH(I$4,0),recurring_master!$A:$A,"&gt;="&amp;I$4),
_xlpm.planned,SUMIFS(Planned!$F:$F,Planned!$B:$B,$B20,Planned!$E:$E,"&gt;="&amp;I$4,Planned!$E:$E,"&lt;="&amp;EOMONTH(I$4,0)),
IFERROR(_xlpm.recurring,0)+IFERROR(_xlpm.planned,0))</f>
        <v>0</v>
      </c>
      <c r="J20" s="105">
        <f ca="1">_xlfn.LET(
_xlpm.recurring,SUMIFS(INDEX(recurring_master!$A:$AF,,MATCH($B20,recurring_master!$A$1:$AF$1,0)),recurring_master!$A:$A,"&lt;="&amp;EOMONTH(J$4,0),recurring_master!$A:$A,"&gt;="&amp;J$4),
_xlpm.planned,SUMIFS(Planned!$F:$F,Planned!$B:$B,$B20,Planned!$E:$E,"&gt;="&amp;J$4,Planned!$E:$E,"&lt;="&amp;EOMONTH(J$4,0)),
IFERROR(_xlpm.recurring,0)+IFERROR(_xlpm.planned,0))</f>
        <v>0</v>
      </c>
      <c r="K20" s="105">
        <f ca="1">_xlfn.LET(
_xlpm.recurring,SUMIFS(INDEX(recurring_master!$A:$AF,,MATCH($B20,recurring_master!$A$1:$AF$1,0)),recurring_master!$A:$A,"&lt;="&amp;EOMONTH(K$4,0),recurring_master!$A:$A,"&gt;="&amp;K$4),
_xlpm.planned,SUMIFS(Planned!$F:$F,Planned!$B:$B,$B20,Planned!$E:$E,"&gt;="&amp;K$4,Planned!$E:$E,"&lt;="&amp;EOMONTH(K$4,0)),
IFERROR(_xlpm.recurring,0)+IFERROR(_xlpm.planned,0))</f>
        <v>0</v>
      </c>
      <c r="L20" s="105">
        <f ca="1">_xlfn.LET(
_xlpm.recurring,SUMIFS(INDEX(recurring_master!$A:$AF,,MATCH($B20,recurring_master!$A$1:$AF$1,0)),recurring_master!$A:$A,"&lt;="&amp;EOMONTH(L$4,0),recurring_master!$A:$A,"&gt;="&amp;L$4),
_xlpm.planned,SUMIFS(Planned!$F:$F,Planned!$B:$B,$B20,Planned!$E:$E,"&gt;="&amp;L$4,Planned!$E:$E,"&lt;="&amp;EOMONTH(L$4,0)),
IFERROR(_xlpm.recurring,0)+IFERROR(_xlpm.planned,0))</f>
        <v>0</v>
      </c>
      <c r="M20" s="105">
        <f ca="1">_xlfn.LET(
_xlpm.recurring,SUMIFS(INDEX(recurring_master!$A:$AF,,MATCH($B20,recurring_master!$A$1:$AF$1,0)),recurring_master!$A:$A,"&lt;="&amp;EOMONTH(M$4,0),recurring_master!$A:$A,"&gt;="&amp;M$4),
_xlpm.planned,SUMIFS(Planned!$F:$F,Planned!$B:$B,$B20,Planned!$E:$E,"&gt;="&amp;M$4,Planned!$E:$E,"&lt;="&amp;EOMONTH(M$4,0)),
IFERROR(_xlpm.recurring,0)+IFERROR(_xlpm.planned,0))</f>
        <v>0</v>
      </c>
      <c r="N20" s="105">
        <f ca="1">_xlfn.LET(
_xlpm.recurring,SUMIFS(INDEX(recurring_master!$A:$AF,,MATCH($B20,recurring_master!$A$1:$AF$1,0)),recurring_master!$A:$A,"&lt;="&amp;EOMONTH(N$4,0),recurring_master!$A:$A,"&gt;="&amp;N$4),
_xlpm.planned,SUMIFS(Planned!$F:$F,Planned!$B:$B,$B20,Planned!$E:$E,"&gt;="&amp;N$4,Planned!$E:$E,"&lt;="&amp;EOMONTH(N$4,0)),
IFERROR(_xlpm.recurring,0)+IFERROR(_xlpm.planned,0))</f>
        <v>0</v>
      </c>
      <c r="O20" s="96"/>
      <c r="P20" s="106">
        <f ca="1">SUM(C20:N20)</f>
        <v>0</v>
      </c>
      <c r="Q20" s="51"/>
      <c r="R20" s="42" t="s">
        <v>338</v>
      </c>
      <c r="S20" s="163"/>
      <c r="T20" s="163"/>
      <c r="U20" s="163"/>
      <c r="W20" s="18"/>
    </row>
    <row r="21" spans="1:23" ht="12.75" customHeight="1" x14ac:dyDescent="0.2">
      <c r="A21" s="226"/>
      <c r="B21" s="69" t="s">
        <v>27</v>
      </c>
      <c r="C21" s="105">
        <f ca="1">_xlfn.LET(
_xlpm.recurring,SUMIFS(INDEX(recurring_master!$A:$AF,,MATCH($B21,recurring_master!$A$1:$AF$1,0)),recurring_master!$A:$A,"&lt;="&amp;EOMONTH(C$4,0),recurring_master!$A:$A,"&gt;="&amp;C$4),
_xlpm.planned,SUMIFS(Planned!$F:$F,Planned!$B:$B,$B21,Planned!$E:$E,"&gt;="&amp;C$4,Planned!$E:$E,"&lt;="&amp;EOMONTH(C$4,0)),
IFERROR(_xlpm.recurring,0)+IFERROR(_xlpm.planned,0))</f>
        <v>0</v>
      </c>
      <c r="D21" s="105">
        <f ca="1">_xlfn.LET(
_xlpm.recurring,SUMIFS(INDEX(recurring_master!$A:$AF,,MATCH($B21,recurring_master!$A$1:$AF$1,0)),recurring_master!$A:$A,"&lt;="&amp;EOMONTH(D$4,0),recurring_master!$A:$A,"&gt;="&amp;D$4),
_xlpm.planned,SUMIFS(Planned!$F:$F,Planned!$B:$B,$B21,Planned!$E:$E,"&gt;="&amp;D$4,Planned!$E:$E,"&lt;="&amp;EOMONTH(D$4,0)),
IFERROR(_xlpm.recurring,0)+IFERROR(_xlpm.planned,0))</f>
        <v>0</v>
      </c>
      <c r="E21" s="105">
        <f ca="1">_xlfn.LET(
_xlpm.recurring,SUMIFS(INDEX(recurring_master!$A:$AF,,MATCH($B21,recurring_master!$A$1:$AF$1,0)),recurring_master!$A:$A,"&lt;="&amp;EOMONTH(E$4,0),recurring_master!$A:$A,"&gt;="&amp;E$4),
_xlpm.planned,SUMIFS(Planned!$F:$F,Planned!$B:$B,$B21,Planned!$E:$E,"&gt;="&amp;E$4,Planned!$E:$E,"&lt;="&amp;EOMONTH(E$4,0)),
IFERROR(_xlpm.recurring,0)+IFERROR(_xlpm.planned,0))</f>
        <v>0</v>
      </c>
      <c r="F21" s="105">
        <f ca="1">_xlfn.LET(
_xlpm.recurring,SUMIFS(INDEX(recurring_master!$A:$AF,,MATCH($B21,recurring_master!$A$1:$AF$1,0)),recurring_master!$A:$A,"&lt;="&amp;EOMONTH(F$4,0),recurring_master!$A:$A,"&gt;="&amp;F$4),
_xlpm.planned,SUMIFS(Planned!$F:$F,Planned!$B:$B,$B21,Planned!$E:$E,"&gt;="&amp;F$4,Planned!$E:$E,"&lt;="&amp;EOMONTH(F$4,0)),
IFERROR(_xlpm.recurring,0)+IFERROR(_xlpm.planned,0))</f>
        <v>0</v>
      </c>
      <c r="G21" s="105">
        <f ca="1">_xlfn.LET(
_xlpm.recurring,SUMIFS(INDEX(recurring_master!$A:$AF,,MATCH($B21,recurring_master!$A$1:$AF$1,0)),recurring_master!$A:$A,"&lt;="&amp;EOMONTH(G$4,0),recurring_master!$A:$A,"&gt;="&amp;G$4),
_xlpm.planned,SUMIFS(Planned!$F:$F,Planned!$B:$B,$B21,Planned!$E:$E,"&gt;="&amp;G$4,Planned!$E:$E,"&lt;="&amp;EOMONTH(G$4,0)),
IFERROR(_xlpm.recurring,0)+IFERROR(_xlpm.planned,0))</f>
        <v>0</v>
      </c>
      <c r="H21" s="105">
        <f ca="1">_xlfn.LET(
_xlpm.recurring,SUMIFS(INDEX(recurring_master!$A:$AF,,MATCH($B21,recurring_master!$A$1:$AF$1,0)),recurring_master!$A:$A,"&lt;="&amp;EOMONTH(H$4,0),recurring_master!$A:$A,"&gt;="&amp;H$4),
_xlpm.planned,SUMIFS(Planned!$F:$F,Planned!$B:$B,$B21,Planned!$E:$E,"&gt;="&amp;H$4,Planned!$E:$E,"&lt;="&amp;EOMONTH(H$4,0)),
IFERROR(_xlpm.recurring,0)+IFERROR(_xlpm.planned,0))</f>
        <v>0</v>
      </c>
      <c r="I21" s="105">
        <f ca="1">_xlfn.LET(
_xlpm.recurring,SUMIFS(INDEX(recurring_master!$A:$AF,,MATCH($B21,recurring_master!$A$1:$AF$1,0)),recurring_master!$A:$A,"&lt;="&amp;EOMONTH(I$4,0),recurring_master!$A:$A,"&gt;="&amp;I$4),
_xlpm.planned,SUMIFS(Planned!$F:$F,Planned!$B:$B,$B21,Planned!$E:$E,"&gt;="&amp;I$4,Planned!$E:$E,"&lt;="&amp;EOMONTH(I$4,0)),
IFERROR(_xlpm.recurring,0)+IFERROR(_xlpm.planned,0))</f>
        <v>0</v>
      </c>
      <c r="J21" s="105">
        <f ca="1">_xlfn.LET(
_xlpm.recurring,SUMIFS(INDEX(recurring_master!$A:$AF,,MATCH($B21,recurring_master!$A$1:$AF$1,0)),recurring_master!$A:$A,"&lt;="&amp;EOMONTH(J$4,0),recurring_master!$A:$A,"&gt;="&amp;J$4),
_xlpm.planned,SUMIFS(Planned!$F:$F,Planned!$B:$B,$B21,Planned!$E:$E,"&gt;="&amp;J$4,Planned!$E:$E,"&lt;="&amp;EOMONTH(J$4,0)),
IFERROR(_xlpm.recurring,0)+IFERROR(_xlpm.planned,0))</f>
        <v>0</v>
      </c>
      <c r="K21" s="105">
        <f ca="1">_xlfn.LET(
_xlpm.recurring,SUMIFS(INDEX(recurring_master!$A:$AF,,MATCH($B21,recurring_master!$A$1:$AF$1,0)),recurring_master!$A:$A,"&lt;="&amp;EOMONTH(K$4,0),recurring_master!$A:$A,"&gt;="&amp;K$4),
_xlpm.planned,SUMIFS(Planned!$F:$F,Planned!$B:$B,$B21,Planned!$E:$E,"&gt;="&amp;K$4,Planned!$E:$E,"&lt;="&amp;EOMONTH(K$4,0)),
IFERROR(_xlpm.recurring,0)+IFERROR(_xlpm.planned,0))</f>
        <v>0</v>
      </c>
      <c r="L21" s="105">
        <f ca="1">_xlfn.LET(
_xlpm.recurring,SUMIFS(INDEX(recurring_master!$A:$AF,,MATCH($B21,recurring_master!$A$1:$AF$1,0)),recurring_master!$A:$A,"&lt;="&amp;EOMONTH(L$4,0),recurring_master!$A:$A,"&gt;="&amp;L$4),
_xlpm.planned,SUMIFS(Planned!$F:$F,Planned!$B:$B,$B21,Planned!$E:$E,"&gt;="&amp;L$4,Planned!$E:$E,"&lt;="&amp;EOMONTH(L$4,0)),
IFERROR(_xlpm.recurring,0)+IFERROR(_xlpm.planned,0))</f>
        <v>0</v>
      </c>
      <c r="M21" s="105">
        <f ca="1">_xlfn.LET(
_xlpm.recurring,SUMIFS(INDEX(recurring_master!$A:$AF,,MATCH($B21,recurring_master!$A$1:$AF$1,0)),recurring_master!$A:$A,"&lt;="&amp;EOMONTH(M$4,0),recurring_master!$A:$A,"&gt;="&amp;M$4),
_xlpm.planned,SUMIFS(Planned!$F:$F,Planned!$B:$B,$B21,Planned!$E:$E,"&gt;="&amp;M$4,Planned!$E:$E,"&lt;="&amp;EOMONTH(M$4,0)),
IFERROR(_xlpm.recurring,0)+IFERROR(_xlpm.planned,0))</f>
        <v>0</v>
      </c>
      <c r="N21" s="105">
        <f ca="1">_xlfn.LET(
_xlpm.recurring,SUMIFS(INDEX(recurring_master!$A:$AF,,MATCH($B21,recurring_master!$A$1:$AF$1,0)),recurring_master!$A:$A,"&lt;="&amp;EOMONTH(N$4,0),recurring_master!$A:$A,"&gt;="&amp;N$4),
_xlpm.planned,SUMIFS(Planned!$F:$F,Planned!$B:$B,$B21,Planned!$E:$E,"&gt;="&amp;N$4,Planned!$E:$E,"&lt;="&amp;EOMONTH(N$4,0)),
IFERROR(_xlpm.recurring,0)+IFERROR(_xlpm.planned,0))</f>
        <v>0</v>
      </c>
      <c r="O21" s="96"/>
      <c r="P21" s="106">
        <f ca="1">SUM(C21:N21)</f>
        <v>0</v>
      </c>
      <c r="Q21" s="51"/>
      <c r="R21" s="42" t="s">
        <v>325</v>
      </c>
      <c r="S21" s="163"/>
      <c r="T21" s="163"/>
      <c r="U21" s="163"/>
      <c r="W21" s="18"/>
    </row>
    <row r="22" spans="1:23" ht="5.0999999999999996" customHeight="1" x14ac:dyDescent="0.2">
      <c r="A22" s="226"/>
      <c r="B22" s="69"/>
      <c r="C22" s="96"/>
      <c r="D22" s="96"/>
      <c r="E22" s="96"/>
      <c r="F22" s="96"/>
      <c r="G22" s="96"/>
      <c r="H22" s="96"/>
      <c r="I22" s="96"/>
      <c r="J22" s="96"/>
      <c r="K22" s="96"/>
      <c r="L22" s="96"/>
      <c r="M22" s="96"/>
      <c r="N22" s="96"/>
      <c r="O22" s="96"/>
      <c r="P22" s="106"/>
      <c r="Q22" s="51"/>
      <c r="R22" s="42"/>
      <c r="W22" s="18"/>
    </row>
    <row r="23" spans="1:23" ht="12.75" customHeight="1" x14ac:dyDescent="0.2">
      <c r="A23" s="226"/>
      <c r="B23" s="71" t="s">
        <v>19</v>
      </c>
      <c r="C23" s="107">
        <f t="shared" ref="C23:N23" ca="1" si="7">SUM(C19:C22)</f>
        <v>0</v>
      </c>
      <c r="D23" s="107">
        <f t="shared" ca="1" si="7"/>
        <v>0</v>
      </c>
      <c r="E23" s="107">
        <f t="shared" ca="1" si="7"/>
        <v>0</v>
      </c>
      <c r="F23" s="107">
        <f t="shared" ca="1" si="7"/>
        <v>0</v>
      </c>
      <c r="G23" s="107">
        <f t="shared" ca="1" si="7"/>
        <v>0</v>
      </c>
      <c r="H23" s="107">
        <f t="shared" ca="1" si="7"/>
        <v>0</v>
      </c>
      <c r="I23" s="107">
        <f t="shared" ca="1" si="7"/>
        <v>0</v>
      </c>
      <c r="J23" s="107">
        <f t="shared" ca="1" si="7"/>
        <v>0</v>
      </c>
      <c r="K23" s="107">
        <f t="shared" ca="1" si="7"/>
        <v>0</v>
      </c>
      <c r="L23" s="107">
        <f t="shared" ca="1" si="7"/>
        <v>0</v>
      </c>
      <c r="M23" s="107">
        <f t="shared" ca="1" si="7"/>
        <v>0</v>
      </c>
      <c r="N23" s="107">
        <f t="shared" ca="1" si="7"/>
        <v>0</v>
      </c>
      <c r="O23" s="107"/>
      <c r="P23" s="108">
        <f ca="1">SUM(C23:N23)</f>
        <v>0</v>
      </c>
      <c r="Q23" s="51"/>
      <c r="R23" s="42"/>
      <c r="S23" s="163"/>
      <c r="W23" s="18"/>
    </row>
    <row r="24" spans="1:23" ht="5.0999999999999996" customHeight="1" x14ac:dyDescent="0.2">
      <c r="A24" s="226"/>
      <c r="B24" s="69"/>
      <c r="C24" s="96"/>
      <c r="D24" s="96"/>
      <c r="E24" s="96"/>
      <c r="F24" s="96"/>
      <c r="G24" s="96"/>
      <c r="H24" s="96"/>
      <c r="I24" s="96"/>
      <c r="J24" s="96"/>
      <c r="K24" s="96"/>
      <c r="L24" s="96"/>
      <c r="M24" s="96"/>
      <c r="N24" s="96"/>
      <c r="O24" s="96"/>
      <c r="P24" s="106"/>
      <c r="Q24" s="51"/>
      <c r="R24" s="42"/>
      <c r="W24" s="18"/>
    </row>
    <row r="25" spans="1:23" x14ac:dyDescent="0.2">
      <c r="A25" s="226"/>
      <c r="B25" s="72" t="s">
        <v>188</v>
      </c>
      <c r="C25" s="96"/>
      <c r="D25" s="96"/>
      <c r="E25" s="96"/>
      <c r="F25" s="96"/>
      <c r="G25" s="96"/>
      <c r="H25" s="96"/>
      <c r="I25" s="96"/>
      <c r="J25" s="96"/>
      <c r="K25" s="96"/>
      <c r="L25" s="96"/>
      <c r="M25" s="96"/>
      <c r="N25" s="96"/>
      <c r="O25" s="96"/>
      <c r="P25" s="106"/>
      <c r="Q25" s="51"/>
      <c r="R25" s="42"/>
      <c r="S25" s="163"/>
      <c r="T25" s="163"/>
      <c r="U25" s="163"/>
      <c r="W25" s="18"/>
    </row>
    <row r="26" spans="1:23" ht="12.75" customHeight="1" x14ac:dyDescent="0.2">
      <c r="A26" s="226"/>
      <c r="B26" s="69" t="s">
        <v>23</v>
      </c>
      <c r="C26" s="200">
        <f ca="1">_xlfn.LET(
_xlpm.recurring,SUMIFS(INDEX(recurring_master!$A:$AF,,MATCH($B26,recurring_master!$A$1:$AF$1,0)),recurring_master!$A:$A,"&lt;="&amp;EOMONTH(C$4,0),recurring_master!$A:$A,"&gt;="&amp;C$4),
_xlpm.planned,SUMIFS(Planned!$F:$F,Planned!$B:$B,$B26,Planned!$E:$E,"&gt;="&amp;C$4,Planned!$E:$E,"&lt;="&amp;EOMONTH(C$4,0)),
_xlpm.precedents,C$19*SUMIFS(Precedents!$E:$E,Precedents!$D:$D,$B$19,Precedents!$B:$B,$B26)+C$20*SUMIFS(Precedents!$E:$E,Precedents!$D:$D,$B$20,Precedents!$B:$B,$B26),
IFERROR(_xlpm.recurring,0)+IFERROR(_xlpm.planned,0)+IFERROR(_xlpm.precedents,0))</f>
        <v>0</v>
      </c>
      <c r="D26" s="200">
        <f ca="1">_xlfn.LET(
_xlpm.recurring,SUMIFS(INDEX(recurring_master!$A:$AF,,MATCH($B26,recurring_master!$A$1:$AF$1,0)),recurring_master!$A:$A,"&lt;="&amp;EOMONTH(D$4,0),recurring_master!$A:$A,"&gt;="&amp;D$4),
_xlpm.planned,SUMIFS(Planned!$F:$F,Planned!$B:$B,$B26,Planned!$E:$E,"&gt;="&amp;D$4,Planned!$E:$E,"&lt;="&amp;EOMONTH(D$4,0)),
_xlpm.precedents,D$19*SUMIFS(Precedents!$E:$E,Precedents!$D:$D,$B$19,Precedents!$B:$B,$B26)+D$20*SUMIFS(Precedents!$E:$E,Precedents!$D:$D,$B$20,Precedents!$B:$B,$B26),
IFERROR(_xlpm.recurring,0)+IFERROR(_xlpm.planned,0)+IFERROR(_xlpm.precedents,0))</f>
        <v>0</v>
      </c>
      <c r="E26" s="200">
        <f ca="1">_xlfn.LET(
_xlpm.recurring,SUMIFS(INDEX(recurring_master!$A:$AF,,MATCH($B26,recurring_master!$A$1:$AF$1,0)),recurring_master!$A:$A,"&lt;="&amp;EOMONTH(E$4,0),recurring_master!$A:$A,"&gt;="&amp;E$4),
_xlpm.planned,SUMIFS(Planned!$F:$F,Planned!$B:$B,$B26,Planned!$E:$E,"&gt;="&amp;E$4,Planned!$E:$E,"&lt;="&amp;EOMONTH(E$4,0)),
_xlpm.precedents,E$19*SUMIFS(Precedents!$E:$E,Precedents!$D:$D,$B$19,Precedents!$B:$B,$B26)+E$20*SUMIFS(Precedents!$E:$E,Precedents!$D:$D,$B$20,Precedents!$B:$B,$B26),
IFERROR(_xlpm.recurring,0)+IFERROR(_xlpm.planned,0)+IFERROR(_xlpm.precedents,0))</f>
        <v>0</v>
      </c>
      <c r="F26" s="200">
        <f ca="1">_xlfn.LET(
_xlpm.recurring,SUMIFS(INDEX(recurring_master!$A:$AF,,MATCH($B26,recurring_master!$A$1:$AF$1,0)),recurring_master!$A:$A,"&lt;="&amp;EOMONTH(F$4,0),recurring_master!$A:$A,"&gt;="&amp;F$4),
_xlpm.planned,SUMIFS(Planned!$F:$F,Planned!$B:$B,$B26,Planned!$E:$E,"&gt;="&amp;F$4,Planned!$E:$E,"&lt;="&amp;EOMONTH(F$4,0)),
_xlpm.precedents,F$19*SUMIFS(Precedents!$E:$E,Precedents!$D:$D,$B$19,Precedents!$B:$B,$B26)+F$20*SUMIFS(Precedents!$E:$E,Precedents!$D:$D,$B$20,Precedents!$B:$B,$B26),
IFERROR(_xlpm.recurring,0)+IFERROR(_xlpm.planned,0)+IFERROR(_xlpm.precedents,0))</f>
        <v>0</v>
      </c>
      <c r="G26" s="200">
        <f ca="1">_xlfn.LET(
_xlpm.recurring,SUMIFS(INDEX(recurring_master!$A:$AF,,MATCH($B26,recurring_master!$A$1:$AF$1,0)),recurring_master!$A:$A,"&lt;="&amp;EOMONTH(G$4,0),recurring_master!$A:$A,"&gt;="&amp;G$4),
_xlpm.planned,SUMIFS(Planned!$F:$F,Planned!$B:$B,$B26,Planned!$E:$E,"&gt;="&amp;G$4,Planned!$E:$E,"&lt;="&amp;EOMONTH(G$4,0)),
_xlpm.precedents,G$19*SUMIFS(Precedents!$E:$E,Precedents!$D:$D,$B$19,Precedents!$B:$B,$B26)+G$20*SUMIFS(Precedents!$E:$E,Precedents!$D:$D,$B$20,Precedents!$B:$B,$B26),
IFERROR(_xlpm.recurring,0)+IFERROR(_xlpm.planned,0)+IFERROR(_xlpm.precedents,0))</f>
        <v>0</v>
      </c>
      <c r="H26" s="200">
        <f ca="1">_xlfn.LET(
_xlpm.recurring,SUMIFS(INDEX(recurring_master!$A:$AF,,MATCH($B26,recurring_master!$A$1:$AF$1,0)),recurring_master!$A:$A,"&lt;="&amp;EOMONTH(H$4,0),recurring_master!$A:$A,"&gt;="&amp;H$4),
_xlpm.planned,SUMIFS(Planned!$F:$F,Planned!$B:$B,$B26,Planned!$E:$E,"&gt;="&amp;H$4,Planned!$E:$E,"&lt;="&amp;EOMONTH(H$4,0)),
_xlpm.precedents,H$19*SUMIFS(Precedents!$E:$E,Precedents!$D:$D,$B$19,Precedents!$B:$B,$B26)+H$20*SUMIFS(Precedents!$E:$E,Precedents!$D:$D,$B$20,Precedents!$B:$B,$B26),
IFERROR(_xlpm.recurring,0)+IFERROR(_xlpm.planned,0)+IFERROR(_xlpm.precedents,0))</f>
        <v>0</v>
      </c>
      <c r="I26" s="200">
        <f ca="1">_xlfn.LET(
_xlpm.recurring,SUMIFS(INDEX(recurring_master!$A:$AF,,MATCH($B26,recurring_master!$A$1:$AF$1,0)),recurring_master!$A:$A,"&lt;="&amp;EOMONTH(I$4,0),recurring_master!$A:$A,"&gt;="&amp;I$4),
_xlpm.planned,SUMIFS(Planned!$F:$F,Planned!$B:$B,$B26,Planned!$E:$E,"&gt;="&amp;I$4,Planned!$E:$E,"&lt;="&amp;EOMONTH(I$4,0)),
_xlpm.precedents,I$19*SUMIFS(Precedents!$E:$E,Precedents!$D:$D,$B$19,Precedents!$B:$B,$B26)+I$20*SUMIFS(Precedents!$E:$E,Precedents!$D:$D,$B$20,Precedents!$B:$B,$B26),
IFERROR(_xlpm.recurring,0)+IFERROR(_xlpm.planned,0)+IFERROR(_xlpm.precedents,0))</f>
        <v>0</v>
      </c>
      <c r="J26" s="200">
        <f ca="1">_xlfn.LET(
_xlpm.recurring,SUMIFS(INDEX(recurring_master!$A:$AF,,MATCH($B26,recurring_master!$A$1:$AF$1,0)),recurring_master!$A:$A,"&lt;="&amp;EOMONTH(J$4,0),recurring_master!$A:$A,"&gt;="&amp;J$4),
_xlpm.planned,SUMIFS(Planned!$F:$F,Planned!$B:$B,$B26,Planned!$E:$E,"&gt;="&amp;J$4,Planned!$E:$E,"&lt;="&amp;EOMONTH(J$4,0)),
_xlpm.precedents,J$19*SUMIFS(Precedents!$E:$E,Precedents!$D:$D,$B$19,Precedents!$B:$B,$B26)+J$20*SUMIFS(Precedents!$E:$E,Precedents!$D:$D,$B$20,Precedents!$B:$B,$B26),
IFERROR(_xlpm.recurring,0)+IFERROR(_xlpm.planned,0)+IFERROR(_xlpm.precedents,0))</f>
        <v>0</v>
      </c>
      <c r="K26" s="200">
        <f ca="1">_xlfn.LET(
_xlpm.recurring,SUMIFS(INDEX(recurring_master!$A:$AF,,MATCH($B26,recurring_master!$A$1:$AF$1,0)),recurring_master!$A:$A,"&lt;="&amp;EOMONTH(K$4,0),recurring_master!$A:$A,"&gt;="&amp;K$4),
_xlpm.planned,SUMIFS(Planned!$F:$F,Planned!$B:$B,$B26,Planned!$E:$E,"&gt;="&amp;K$4,Planned!$E:$E,"&lt;="&amp;EOMONTH(K$4,0)),
_xlpm.precedents,K$19*SUMIFS(Precedents!$E:$E,Precedents!$D:$D,$B$19,Precedents!$B:$B,$B26)+K$20*SUMIFS(Precedents!$E:$E,Precedents!$D:$D,$B$20,Precedents!$B:$B,$B26),
IFERROR(_xlpm.recurring,0)+IFERROR(_xlpm.planned,0)+IFERROR(_xlpm.precedents,0))</f>
        <v>0</v>
      </c>
      <c r="L26" s="200">
        <f ca="1">_xlfn.LET(
_xlpm.recurring,SUMIFS(INDEX(recurring_master!$A:$AF,,MATCH($B26,recurring_master!$A$1:$AF$1,0)),recurring_master!$A:$A,"&lt;="&amp;EOMONTH(L$4,0),recurring_master!$A:$A,"&gt;="&amp;L$4),
_xlpm.planned,SUMIFS(Planned!$F:$F,Planned!$B:$B,$B26,Planned!$E:$E,"&gt;="&amp;L$4,Planned!$E:$E,"&lt;="&amp;EOMONTH(L$4,0)),
_xlpm.precedents,L$19*SUMIFS(Precedents!$E:$E,Precedents!$D:$D,$B$19,Precedents!$B:$B,$B26)+L$20*SUMIFS(Precedents!$E:$E,Precedents!$D:$D,$B$20,Precedents!$B:$B,$B26),
IFERROR(_xlpm.recurring,0)+IFERROR(_xlpm.planned,0)+IFERROR(_xlpm.precedents,0))</f>
        <v>0</v>
      </c>
      <c r="M26" s="200">
        <f ca="1">_xlfn.LET(
_xlpm.recurring,SUMIFS(INDEX(recurring_master!$A:$AF,,MATCH($B26,recurring_master!$A$1:$AF$1,0)),recurring_master!$A:$A,"&lt;="&amp;EOMONTH(M$4,0),recurring_master!$A:$A,"&gt;="&amp;M$4),
_xlpm.planned,SUMIFS(Planned!$F:$F,Planned!$B:$B,$B26,Planned!$E:$E,"&gt;="&amp;M$4,Planned!$E:$E,"&lt;="&amp;EOMONTH(M$4,0)),
_xlpm.precedents,M$19*SUMIFS(Precedents!$E:$E,Precedents!$D:$D,$B$19,Precedents!$B:$B,$B26)+M$20*SUMIFS(Precedents!$E:$E,Precedents!$D:$D,$B$20,Precedents!$B:$B,$B26),
IFERROR(_xlpm.recurring,0)+IFERROR(_xlpm.planned,0)+IFERROR(_xlpm.precedents,0))</f>
        <v>0</v>
      </c>
      <c r="N26" s="200">
        <f ca="1">_xlfn.LET(
_xlpm.recurring,SUMIFS(INDEX(recurring_master!$A:$AF,,MATCH($B26,recurring_master!$A$1:$AF$1,0)),recurring_master!$A:$A,"&lt;="&amp;EOMONTH(N$4,0),recurring_master!$A:$A,"&gt;="&amp;N$4),
_xlpm.planned,SUMIFS(Planned!$F:$F,Planned!$B:$B,$B26,Planned!$E:$E,"&gt;="&amp;N$4,Planned!$E:$E,"&lt;="&amp;EOMONTH(N$4,0)),
_xlpm.precedents,N$19*SUMIFS(Precedents!$E:$E,Precedents!$D:$D,$B$19,Precedents!$B:$B,$B26)+N$20*SUMIFS(Precedents!$E:$E,Precedents!$D:$D,$B$20,Precedents!$B:$B,$B26),
IFERROR(_xlpm.recurring,0)+IFERROR(_xlpm.planned,0)+IFERROR(_xlpm.precedents,0))</f>
        <v>0</v>
      </c>
      <c r="O26" s="96"/>
      <c r="P26" s="106">
        <f ca="1">SUM(C26:N26)</f>
        <v>0</v>
      </c>
      <c r="Q26" s="51"/>
      <c r="R26" s="42"/>
      <c r="S26" s="163"/>
    </row>
    <row r="27" spans="1:23" ht="12.75" customHeight="1" x14ac:dyDescent="0.2">
      <c r="A27" s="226"/>
      <c r="B27" s="69" t="s">
        <v>87</v>
      </c>
      <c r="C27" s="200">
        <f ca="1">_xlfn.LET(
_xlpm.recurring,SUMIFS(INDEX(recurring_master!$A:$AF,,MATCH($B27,recurring_master!$A$1:$AF$1,0)),recurring_master!$A:$A,"&lt;="&amp;EOMONTH(C$4,0),recurring_master!$A:$A,"&gt;="&amp;C$4),
_xlpm.planned,SUMIFS(Planned!$F:$F,Planned!$B:$B,$B27,Planned!$E:$E,"&gt;="&amp;C$4,Planned!$E:$E,"&lt;="&amp;EOMONTH(C$4,0)),
_xlpm.precedents,C$19*SUMIFS(Precedents!$E:$E,Precedents!$D:$D,$B$19,Precedents!$B:$B,$B27)+C$20*SUMIFS(Precedents!$E:$E,Precedents!$D:$D,$B$20,Precedents!$B:$B,$B27),
IFERROR(_xlpm.recurring,0)+IFERROR(_xlpm.planned,0)+IFERROR(_xlpm.precedents,0))</f>
        <v>0</v>
      </c>
      <c r="D27" s="200">
        <f ca="1">_xlfn.LET(
_xlpm.recurring,SUMIFS(INDEX(recurring_master!$A:$AF,,MATCH($B27,recurring_master!$A$1:$AF$1,0)),recurring_master!$A:$A,"&lt;="&amp;EOMONTH(D$4,0),recurring_master!$A:$A,"&gt;="&amp;D$4),
_xlpm.planned,SUMIFS(Planned!$F:$F,Planned!$B:$B,$B27,Planned!$E:$E,"&gt;="&amp;D$4,Planned!$E:$E,"&lt;="&amp;EOMONTH(D$4,0)),
_xlpm.precedents,D$19*SUMIFS(Precedents!$E:$E,Precedents!$D:$D,$B$19,Precedents!$B:$B,$B27)+D$20*SUMIFS(Precedents!$E:$E,Precedents!$D:$D,$B$20,Precedents!$B:$B,$B27),
IFERROR(_xlpm.recurring,0)+IFERROR(_xlpm.planned,0)+IFERROR(_xlpm.precedents,0))</f>
        <v>0</v>
      </c>
      <c r="E27" s="200">
        <f ca="1">_xlfn.LET(
_xlpm.recurring,SUMIFS(INDEX(recurring_master!$A:$AF,,MATCH($B27,recurring_master!$A$1:$AF$1,0)),recurring_master!$A:$A,"&lt;="&amp;EOMONTH(E$4,0),recurring_master!$A:$A,"&gt;="&amp;E$4),
_xlpm.planned,SUMIFS(Planned!$F:$F,Planned!$B:$B,$B27,Planned!$E:$E,"&gt;="&amp;E$4,Planned!$E:$E,"&lt;="&amp;EOMONTH(E$4,0)),
_xlpm.precedents,E$19*SUMIFS(Precedents!$E:$E,Precedents!$D:$D,$B$19,Precedents!$B:$B,$B27)+E$20*SUMIFS(Precedents!$E:$E,Precedents!$D:$D,$B$20,Precedents!$B:$B,$B27),
IFERROR(_xlpm.recurring,0)+IFERROR(_xlpm.planned,0)+IFERROR(_xlpm.precedents,0))</f>
        <v>0</v>
      </c>
      <c r="F27" s="200">
        <f ca="1">_xlfn.LET(
_xlpm.recurring,SUMIFS(INDEX(recurring_master!$A:$AF,,MATCH($B27,recurring_master!$A$1:$AF$1,0)),recurring_master!$A:$A,"&lt;="&amp;EOMONTH(F$4,0),recurring_master!$A:$A,"&gt;="&amp;F$4),
_xlpm.planned,SUMIFS(Planned!$F:$F,Planned!$B:$B,$B27,Planned!$E:$E,"&gt;="&amp;F$4,Planned!$E:$E,"&lt;="&amp;EOMONTH(F$4,0)),
_xlpm.precedents,F$19*SUMIFS(Precedents!$E:$E,Precedents!$D:$D,$B$19,Precedents!$B:$B,$B27)+F$20*SUMIFS(Precedents!$E:$E,Precedents!$D:$D,$B$20,Precedents!$B:$B,$B27),
IFERROR(_xlpm.recurring,0)+IFERROR(_xlpm.planned,0)+IFERROR(_xlpm.precedents,0))</f>
        <v>0</v>
      </c>
      <c r="G27" s="200">
        <f ca="1">_xlfn.LET(
_xlpm.recurring,SUMIFS(INDEX(recurring_master!$A:$AF,,MATCH($B27,recurring_master!$A$1:$AF$1,0)),recurring_master!$A:$A,"&lt;="&amp;EOMONTH(G$4,0),recurring_master!$A:$A,"&gt;="&amp;G$4),
_xlpm.planned,SUMIFS(Planned!$F:$F,Planned!$B:$B,$B27,Planned!$E:$E,"&gt;="&amp;G$4,Planned!$E:$E,"&lt;="&amp;EOMONTH(G$4,0)),
_xlpm.precedents,G$19*SUMIFS(Precedents!$E:$E,Precedents!$D:$D,$B$19,Precedents!$B:$B,$B27)+G$20*SUMIFS(Precedents!$E:$E,Precedents!$D:$D,$B$20,Precedents!$B:$B,$B27),
IFERROR(_xlpm.recurring,0)+IFERROR(_xlpm.planned,0)+IFERROR(_xlpm.precedents,0))</f>
        <v>0</v>
      </c>
      <c r="H27" s="200">
        <f ca="1">_xlfn.LET(
_xlpm.recurring,SUMIFS(INDEX(recurring_master!$A:$AF,,MATCH($B27,recurring_master!$A$1:$AF$1,0)),recurring_master!$A:$A,"&lt;="&amp;EOMONTH(H$4,0),recurring_master!$A:$A,"&gt;="&amp;H$4),
_xlpm.planned,SUMIFS(Planned!$F:$F,Planned!$B:$B,$B27,Planned!$E:$E,"&gt;="&amp;H$4,Planned!$E:$E,"&lt;="&amp;EOMONTH(H$4,0)),
_xlpm.precedents,H$19*SUMIFS(Precedents!$E:$E,Precedents!$D:$D,$B$19,Precedents!$B:$B,$B27)+H$20*SUMIFS(Precedents!$E:$E,Precedents!$D:$D,$B$20,Precedents!$B:$B,$B27),
IFERROR(_xlpm.recurring,0)+IFERROR(_xlpm.planned,0)+IFERROR(_xlpm.precedents,0))</f>
        <v>0</v>
      </c>
      <c r="I27" s="200">
        <f ca="1">_xlfn.LET(
_xlpm.recurring,SUMIFS(INDEX(recurring_master!$A:$AF,,MATCH($B27,recurring_master!$A$1:$AF$1,0)),recurring_master!$A:$A,"&lt;="&amp;EOMONTH(I$4,0),recurring_master!$A:$A,"&gt;="&amp;I$4),
_xlpm.planned,SUMIFS(Planned!$F:$F,Planned!$B:$B,$B27,Planned!$E:$E,"&gt;="&amp;I$4,Planned!$E:$E,"&lt;="&amp;EOMONTH(I$4,0)),
_xlpm.precedents,I$19*SUMIFS(Precedents!$E:$E,Precedents!$D:$D,$B$19,Precedents!$B:$B,$B27)+I$20*SUMIFS(Precedents!$E:$E,Precedents!$D:$D,$B$20,Precedents!$B:$B,$B27),
IFERROR(_xlpm.recurring,0)+IFERROR(_xlpm.planned,0)+IFERROR(_xlpm.precedents,0))</f>
        <v>0</v>
      </c>
      <c r="J27" s="200">
        <f ca="1">_xlfn.LET(
_xlpm.recurring,SUMIFS(INDEX(recurring_master!$A:$AF,,MATCH($B27,recurring_master!$A$1:$AF$1,0)),recurring_master!$A:$A,"&lt;="&amp;EOMONTH(J$4,0),recurring_master!$A:$A,"&gt;="&amp;J$4),
_xlpm.planned,SUMIFS(Planned!$F:$F,Planned!$B:$B,$B27,Planned!$E:$E,"&gt;="&amp;J$4,Planned!$E:$E,"&lt;="&amp;EOMONTH(J$4,0)),
_xlpm.precedents,J$19*SUMIFS(Precedents!$E:$E,Precedents!$D:$D,$B$19,Precedents!$B:$B,$B27)+J$20*SUMIFS(Precedents!$E:$E,Precedents!$D:$D,$B$20,Precedents!$B:$B,$B27),
IFERROR(_xlpm.recurring,0)+IFERROR(_xlpm.planned,0)+IFERROR(_xlpm.precedents,0))</f>
        <v>0</v>
      </c>
      <c r="K27" s="200">
        <f ca="1">_xlfn.LET(
_xlpm.recurring,SUMIFS(INDEX(recurring_master!$A:$AF,,MATCH($B27,recurring_master!$A$1:$AF$1,0)),recurring_master!$A:$A,"&lt;="&amp;EOMONTH(K$4,0),recurring_master!$A:$A,"&gt;="&amp;K$4),
_xlpm.planned,SUMIFS(Planned!$F:$F,Planned!$B:$B,$B27,Planned!$E:$E,"&gt;="&amp;K$4,Planned!$E:$E,"&lt;="&amp;EOMONTH(K$4,0)),
_xlpm.precedents,K$19*SUMIFS(Precedents!$E:$E,Precedents!$D:$D,$B$19,Precedents!$B:$B,$B27)+K$20*SUMIFS(Precedents!$E:$E,Precedents!$D:$D,$B$20,Precedents!$B:$B,$B27),
IFERROR(_xlpm.recurring,0)+IFERROR(_xlpm.planned,0)+IFERROR(_xlpm.precedents,0))</f>
        <v>0</v>
      </c>
      <c r="L27" s="200">
        <f ca="1">_xlfn.LET(
_xlpm.recurring,SUMIFS(INDEX(recurring_master!$A:$AF,,MATCH($B27,recurring_master!$A$1:$AF$1,0)),recurring_master!$A:$A,"&lt;="&amp;EOMONTH(L$4,0),recurring_master!$A:$A,"&gt;="&amp;L$4),
_xlpm.planned,SUMIFS(Planned!$F:$F,Planned!$B:$B,$B27,Planned!$E:$E,"&gt;="&amp;L$4,Planned!$E:$E,"&lt;="&amp;EOMONTH(L$4,0)),
_xlpm.precedents,L$19*SUMIFS(Precedents!$E:$E,Precedents!$D:$D,$B$19,Precedents!$B:$B,$B27)+L$20*SUMIFS(Precedents!$E:$E,Precedents!$D:$D,$B$20,Precedents!$B:$B,$B27),
IFERROR(_xlpm.recurring,0)+IFERROR(_xlpm.planned,0)+IFERROR(_xlpm.precedents,0))</f>
        <v>0</v>
      </c>
      <c r="M27" s="200">
        <f ca="1">_xlfn.LET(
_xlpm.recurring,SUMIFS(INDEX(recurring_master!$A:$AF,,MATCH($B27,recurring_master!$A$1:$AF$1,0)),recurring_master!$A:$A,"&lt;="&amp;EOMONTH(M$4,0),recurring_master!$A:$A,"&gt;="&amp;M$4),
_xlpm.planned,SUMIFS(Planned!$F:$F,Planned!$B:$B,$B27,Planned!$E:$E,"&gt;="&amp;M$4,Planned!$E:$E,"&lt;="&amp;EOMONTH(M$4,0)),
_xlpm.precedents,M$19*SUMIFS(Precedents!$E:$E,Precedents!$D:$D,$B$19,Precedents!$B:$B,$B27)+M$20*SUMIFS(Precedents!$E:$E,Precedents!$D:$D,$B$20,Precedents!$B:$B,$B27),
IFERROR(_xlpm.recurring,0)+IFERROR(_xlpm.planned,0)+IFERROR(_xlpm.precedents,0))</f>
        <v>0</v>
      </c>
      <c r="N27" s="200">
        <f ca="1">_xlfn.LET(
_xlpm.recurring,SUMIFS(INDEX(recurring_master!$A:$AF,,MATCH($B27,recurring_master!$A$1:$AF$1,0)),recurring_master!$A:$A,"&lt;="&amp;EOMONTH(N$4,0),recurring_master!$A:$A,"&gt;="&amp;N$4),
_xlpm.planned,SUMIFS(Planned!$F:$F,Planned!$B:$B,$B27,Planned!$E:$E,"&gt;="&amp;N$4,Planned!$E:$E,"&lt;="&amp;EOMONTH(N$4,0)),
_xlpm.precedents,N$19*SUMIFS(Precedents!$E:$E,Precedents!$D:$D,$B$19,Precedents!$B:$B,$B27)+N$20*SUMIFS(Precedents!$E:$E,Precedents!$D:$D,$B$20,Precedents!$B:$B,$B27),
IFERROR(_xlpm.recurring,0)+IFERROR(_xlpm.planned,0)+IFERROR(_xlpm.precedents,0))</f>
        <v>0</v>
      </c>
      <c r="O27" s="96"/>
      <c r="P27" s="106">
        <f ca="1">SUM(C27:N27)</f>
        <v>0</v>
      </c>
      <c r="Q27" s="51"/>
      <c r="R27" s="42"/>
    </row>
    <row r="28" spans="1:23" ht="12.75" customHeight="1" x14ac:dyDescent="0.2">
      <c r="A28" s="226"/>
      <c r="B28" s="69" t="s">
        <v>95</v>
      </c>
      <c r="C28" s="200">
        <f ca="1">_xlfn.LET(
_xlpm.recurring,SUMIFS(INDEX(recurring_master!$A:$AF,,MATCH($B28,recurring_master!$A$1:$AF$1,0)),recurring_master!$A:$A,"&lt;="&amp;EOMONTH(C$4,0),recurring_master!$A:$A,"&gt;="&amp;C$4),
_xlpm.planned,SUMIFS(Planned!$F:$F,Planned!$B:$B,$B28,Planned!$E:$E,"&gt;="&amp;C$4,Planned!$E:$E,"&lt;="&amp;EOMONTH(C$4,0)),
_xlpm.precedents,C$19*SUMIFS(Precedents!$E:$E,Precedents!$D:$D,$B$19,Precedents!$B:$B,$B28)+C$20*SUMIFS(Precedents!$E:$E,Precedents!$D:$D,$B$20,Precedents!$B:$B,$B28),
IFERROR(_xlpm.recurring,0)+IFERROR(_xlpm.planned,0)+IFERROR(_xlpm.precedents,0))</f>
        <v>0</v>
      </c>
      <c r="D28" s="200">
        <f ca="1">_xlfn.LET(
_xlpm.recurring,SUMIFS(INDEX(recurring_master!$A:$AF,,MATCH($B28,recurring_master!$A$1:$AF$1,0)),recurring_master!$A:$A,"&lt;="&amp;EOMONTH(D$4,0),recurring_master!$A:$A,"&gt;="&amp;D$4),
_xlpm.planned,SUMIFS(Planned!$F:$F,Planned!$B:$B,$B28,Planned!$E:$E,"&gt;="&amp;D$4,Planned!$E:$E,"&lt;="&amp;EOMONTH(D$4,0)),
_xlpm.precedents,D$19*SUMIFS(Precedents!$E:$E,Precedents!$D:$D,$B$19,Precedents!$B:$B,$B28)+D$20*SUMIFS(Precedents!$E:$E,Precedents!$D:$D,$B$20,Precedents!$B:$B,$B28),
IFERROR(_xlpm.recurring,0)+IFERROR(_xlpm.planned,0)+IFERROR(_xlpm.precedents,0))</f>
        <v>0</v>
      </c>
      <c r="E28" s="200">
        <f ca="1">_xlfn.LET(
_xlpm.recurring,SUMIFS(INDEX(recurring_master!$A:$AF,,MATCH($B28,recurring_master!$A$1:$AF$1,0)),recurring_master!$A:$A,"&lt;="&amp;EOMONTH(E$4,0),recurring_master!$A:$A,"&gt;="&amp;E$4),
_xlpm.planned,SUMIFS(Planned!$F:$F,Planned!$B:$B,$B28,Planned!$E:$E,"&gt;="&amp;E$4,Planned!$E:$E,"&lt;="&amp;EOMONTH(E$4,0)),
_xlpm.precedents,E$19*SUMIFS(Precedents!$E:$E,Precedents!$D:$D,$B$19,Precedents!$B:$B,$B28)+E$20*SUMIFS(Precedents!$E:$E,Precedents!$D:$D,$B$20,Precedents!$B:$B,$B28),
IFERROR(_xlpm.recurring,0)+IFERROR(_xlpm.planned,0)+IFERROR(_xlpm.precedents,0))</f>
        <v>0</v>
      </c>
      <c r="F28" s="200">
        <f ca="1">_xlfn.LET(
_xlpm.recurring,SUMIFS(INDEX(recurring_master!$A:$AF,,MATCH($B28,recurring_master!$A$1:$AF$1,0)),recurring_master!$A:$A,"&lt;="&amp;EOMONTH(F$4,0),recurring_master!$A:$A,"&gt;="&amp;F$4),
_xlpm.planned,SUMIFS(Planned!$F:$F,Planned!$B:$B,$B28,Planned!$E:$E,"&gt;="&amp;F$4,Planned!$E:$E,"&lt;="&amp;EOMONTH(F$4,0)),
_xlpm.precedents,F$19*SUMIFS(Precedents!$E:$E,Precedents!$D:$D,$B$19,Precedents!$B:$B,$B28)+F$20*SUMIFS(Precedents!$E:$E,Precedents!$D:$D,$B$20,Precedents!$B:$B,$B28),
IFERROR(_xlpm.recurring,0)+IFERROR(_xlpm.planned,0)+IFERROR(_xlpm.precedents,0))</f>
        <v>0</v>
      </c>
      <c r="G28" s="200">
        <f ca="1">_xlfn.LET(
_xlpm.recurring,SUMIFS(INDEX(recurring_master!$A:$AF,,MATCH($B28,recurring_master!$A$1:$AF$1,0)),recurring_master!$A:$A,"&lt;="&amp;EOMONTH(G$4,0),recurring_master!$A:$A,"&gt;="&amp;G$4),
_xlpm.planned,SUMIFS(Planned!$F:$F,Planned!$B:$B,$B28,Planned!$E:$E,"&gt;="&amp;G$4,Planned!$E:$E,"&lt;="&amp;EOMONTH(G$4,0)),
_xlpm.precedents,G$19*SUMIFS(Precedents!$E:$E,Precedents!$D:$D,$B$19,Precedents!$B:$B,$B28)+G$20*SUMIFS(Precedents!$E:$E,Precedents!$D:$D,$B$20,Precedents!$B:$B,$B28),
IFERROR(_xlpm.recurring,0)+IFERROR(_xlpm.planned,0)+IFERROR(_xlpm.precedents,0))</f>
        <v>0</v>
      </c>
      <c r="H28" s="200">
        <f ca="1">_xlfn.LET(
_xlpm.recurring,SUMIFS(INDEX(recurring_master!$A:$AF,,MATCH($B28,recurring_master!$A$1:$AF$1,0)),recurring_master!$A:$A,"&lt;="&amp;EOMONTH(H$4,0),recurring_master!$A:$A,"&gt;="&amp;H$4),
_xlpm.planned,SUMIFS(Planned!$F:$F,Planned!$B:$B,$B28,Planned!$E:$E,"&gt;="&amp;H$4,Planned!$E:$E,"&lt;="&amp;EOMONTH(H$4,0)),
_xlpm.precedents,H$19*SUMIFS(Precedents!$E:$E,Precedents!$D:$D,$B$19,Precedents!$B:$B,$B28)+H$20*SUMIFS(Precedents!$E:$E,Precedents!$D:$D,$B$20,Precedents!$B:$B,$B28),
IFERROR(_xlpm.recurring,0)+IFERROR(_xlpm.planned,0)+IFERROR(_xlpm.precedents,0))</f>
        <v>0</v>
      </c>
      <c r="I28" s="200">
        <f ca="1">_xlfn.LET(
_xlpm.recurring,SUMIFS(INDEX(recurring_master!$A:$AF,,MATCH($B28,recurring_master!$A$1:$AF$1,0)),recurring_master!$A:$A,"&lt;="&amp;EOMONTH(I$4,0),recurring_master!$A:$A,"&gt;="&amp;I$4),
_xlpm.planned,SUMIFS(Planned!$F:$F,Planned!$B:$B,$B28,Planned!$E:$E,"&gt;="&amp;I$4,Planned!$E:$E,"&lt;="&amp;EOMONTH(I$4,0)),
_xlpm.precedents,I$19*SUMIFS(Precedents!$E:$E,Precedents!$D:$D,$B$19,Precedents!$B:$B,$B28)+I$20*SUMIFS(Precedents!$E:$E,Precedents!$D:$D,$B$20,Precedents!$B:$B,$B28),
IFERROR(_xlpm.recurring,0)+IFERROR(_xlpm.planned,0)+IFERROR(_xlpm.precedents,0))</f>
        <v>0</v>
      </c>
      <c r="J28" s="200">
        <f ca="1">_xlfn.LET(
_xlpm.recurring,SUMIFS(INDEX(recurring_master!$A:$AF,,MATCH($B28,recurring_master!$A$1:$AF$1,0)),recurring_master!$A:$A,"&lt;="&amp;EOMONTH(J$4,0),recurring_master!$A:$A,"&gt;="&amp;J$4),
_xlpm.planned,SUMIFS(Planned!$F:$F,Planned!$B:$B,$B28,Planned!$E:$E,"&gt;="&amp;J$4,Planned!$E:$E,"&lt;="&amp;EOMONTH(J$4,0)),
_xlpm.precedents,J$19*SUMIFS(Precedents!$E:$E,Precedents!$D:$D,$B$19,Precedents!$B:$B,$B28)+J$20*SUMIFS(Precedents!$E:$E,Precedents!$D:$D,$B$20,Precedents!$B:$B,$B28),
IFERROR(_xlpm.recurring,0)+IFERROR(_xlpm.planned,0)+IFERROR(_xlpm.precedents,0))</f>
        <v>0</v>
      </c>
      <c r="K28" s="200">
        <f ca="1">_xlfn.LET(
_xlpm.recurring,SUMIFS(INDEX(recurring_master!$A:$AF,,MATCH($B28,recurring_master!$A$1:$AF$1,0)),recurring_master!$A:$A,"&lt;="&amp;EOMONTH(K$4,0),recurring_master!$A:$A,"&gt;="&amp;K$4),
_xlpm.planned,SUMIFS(Planned!$F:$F,Planned!$B:$B,$B28,Planned!$E:$E,"&gt;="&amp;K$4,Planned!$E:$E,"&lt;="&amp;EOMONTH(K$4,0)),
_xlpm.precedents,K$19*SUMIFS(Precedents!$E:$E,Precedents!$D:$D,$B$19,Precedents!$B:$B,$B28)+K$20*SUMIFS(Precedents!$E:$E,Precedents!$D:$D,$B$20,Precedents!$B:$B,$B28),
IFERROR(_xlpm.recurring,0)+IFERROR(_xlpm.planned,0)+IFERROR(_xlpm.precedents,0))</f>
        <v>0</v>
      </c>
      <c r="L28" s="200">
        <f ca="1">_xlfn.LET(
_xlpm.recurring,SUMIFS(INDEX(recurring_master!$A:$AF,,MATCH($B28,recurring_master!$A$1:$AF$1,0)),recurring_master!$A:$A,"&lt;="&amp;EOMONTH(L$4,0),recurring_master!$A:$A,"&gt;="&amp;L$4),
_xlpm.planned,SUMIFS(Planned!$F:$F,Planned!$B:$B,$B28,Planned!$E:$E,"&gt;="&amp;L$4,Planned!$E:$E,"&lt;="&amp;EOMONTH(L$4,0)),
_xlpm.precedents,L$19*SUMIFS(Precedents!$E:$E,Precedents!$D:$D,$B$19,Precedents!$B:$B,$B28)+L$20*SUMIFS(Precedents!$E:$E,Precedents!$D:$D,$B$20,Precedents!$B:$B,$B28),
IFERROR(_xlpm.recurring,0)+IFERROR(_xlpm.planned,0)+IFERROR(_xlpm.precedents,0))</f>
        <v>0</v>
      </c>
      <c r="M28" s="200">
        <f ca="1">_xlfn.LET(
_xlpm.recurring,SUMIFS(INDEX(recurring_master!$A:$AF,,MATCH($B28,recurring_master!$A$1:$AF$1,0)),recurring_master!$A:$A,"&lt;="&amp;EOMONTH(M$4,0),recurring_master!$A:$A,"&gt;="&amp;M$4),
_xlpm.planned,SUMIFS(Planned!$F:$F,Planned!$B:$B,$B28,Planned!$E:$E,"&gt;="&amp;M$4,Planned!$E:$E,"&lt;="&amp;EOMONTH(M$4,0)),
_xlpm.precedents,M$19*SUMIFS(Precedents!$E:$E,Precedents!$D:$D,$B$19,Precedents!$B:$B,$B28)+M$20*SUMIFS(Precedents!$E:$E,Precedents!$D:$D,$B$20,Precedents!$B:$B,$B28),
IFERROR(_xlpm.recurring,0)+IFERROR(_xlpm.planned,0)+IFERROR(_xlpm.precedents,0))</f>
        <v>0</v>
      </c>
      <c r="N28" s="200">
        <f ca="1">_xlfn.LET(
_xlpm.recurring,SUMIFS(INDEX(recurring_master!$A:$AF,,MATCH($B28,recurring_master!$A$1:$AF$1,0)),recurring_master!$A:$A,"&lt;="&amp;EOMONTH(N$4,0),recurring_master!$A:$A,"&gt;="&amp;N$4),
_xlpm.planned,SUMIFS(Planned!$F:$F,Planned!$B:$B,$B28,Planned!$E:$E,"&gt;="&amp;N$4,Planned!$E:$E,"&lt;="&amp;EOMONTH(N$4,0)),
_xlpm.precedents,N$19*SUMIFS(Precedents!$E:$E,Precedents!$D:$D,$B$19,Precedents!$B:$B,$B28)+N$20*SUMIFS(Precedents!$E:$E,Precedents!$D:$D,$B$20,Precedents!$B:$B,$B28),
IFERROR(_xlpm.recurring,0)+IFERROR(_xlpm.planned,0)+IFERROR(_xlpm.precedents,0))</f>
        <v>0</v>
      </c>
      <c r="O28" s="96"/>
      <c r="P28" s="106">
        <f ca="1">SUM(C28:N28)</f>
        <v>0</v>
      </c>
      <c r="Q28" s="52"/>
      <c r="R28" s="42"/>
    </row>
    <row r="29" spans="1:23" ht="5.0999999999999996" customHeight="1" x14ac:dyDescent="0.2">
      <c r="A29" s="226"/>
      <c r="B29" s="69"/>
      <c r="C29" s="96"/>
      <c r="D29" s="96"/>
      <c r="E29" s="96"/>
      <c r="F29" s="96"/>
      <c r="G29" s="96"/>
      <c r="H29" s="96"/>
      <c r="I29" s="96"/>
      <c r="J29" s="96"/>
      <c r="K29" s="96"/>
      <c r="L29" s="96"/>
      <c r="M29" s="96"/>
      <c r="N29" s="96"/>
      <c r="O29" s="96"/>
      <c r="P29" s="106"/>
      <c r="Q29" s="51"/>
      <c r="R29" s="42"/>
      <c r="W29" s="18"/>
    </row>
    <row r="30" spans="1:23" ht="12.75" customHeight="1" x14ac:dyDescent="0.2">
      <c r="A30" s="226"/>
      <c r="B30" s="71" t="s">
        <v>26</v>
      </c>
      <c r="C30" s="107">
        <f t="shared" ref="C30:N30" ca="1" si="8">SUM(C26:C29)</f>
        <v>0</v>
      </c>
      <c r="D30" s="107">
        <f t="shared" ca="1" si="8"/>
        <v>0</v>
      </c>
      <c r="E30" s="107">
        <f t="shared" ca="1" si="8"/>
        <v>0</v>
      </c>
      <c r="F30" s="107">
        <f t="shared" ca="1" si="8"/>
        <v>0</v>
      </c>
      <c r="G30" s="107">
        <f t="shared" ca="1" si="8"/>
        <v>0</v>
      </c>
      <c r="H30" s="107">
        <f t="shared" ca="1" si="8"/>
        <v>0</v>
      </c>
      <c r="I30" s="107">
        <f t="shared" ca="1" si="8"/>
        <v>0</v>
      </c>
      <c r="J30" s="107">
        <f t="shared" ca="1" si="8"/>
        <v>0</v>
      </c>
      <c r="K30" s="107">
        <f t="shared" ca="1" si="8"/>
        <v>0</v>
      </c>
      <c r="L30" s="107">
        <f t="shared" ca="1" si="8"/>
        <v>0</v>
      </c>
      <c r="M30" s="107">
        <f t="shared" ca="1" si="8"/>
        <v>0</v>
      </c>
      <c r="N30" s="107">
        <f t="shared" ca="1" si="8"/>
        <v>0</v>
      </c>
      <c r="O30" s="107"/>
      <c r="P30" s="108">
        <f ca="1">SUM(C30:N30)</f>
        <v>0</v>
      </c>
      <c r="Q30" s="51"/>
      <c r="R30" s="42"/>
      <c r="U30" s="19"/>
      <c r="V30" s="20"/>
      <c r="W30" s="19"/>
    </row>
    <row r="31" spans="1:23" ht="5.0999999999999996" customHeight="1" x14ac:dyDescent="0.2">
      <c r="A31" s="226"/>
      <c r="B31" s="69"/>
      <c r="C31" s="96"/>
      <c r="D31" s="96"/>
      <c r="E31" s="96"/>
      <c r="F31" s="96"/>
      <c r="G31" s="96"/>
      <c r="H31" s="96"/>
      <c r="I31" s="96"/>
      <c r="J31" s="96"/>
      <c r="K31" s="96"/>
      <c r="L31" s="96"/>
      <c r="M31" s="96"/>
      <c r="N31" s="96"/>
      <c r="O31" s="96"/>
      <c r="P31" s="106"/>
      <c r="Q31" s="51"/>
      <c r="R31" s="42"/>
      <c r="W31" s="18"/>
    </row>
    <row r="32" spans="1:23" ht="12.75" customHeight="1" x14ac:dyDescent="0.2">
      <c r="A32" s="226"/>
      <c r="B32" s="73" t="s">
        <v>173</v>
      </c>
      <c r="C32" s="109">
        <f t="shared" ref="C32:N32" ca="1" si="9">C23-C30</f>
        <v>0</v>
      </c>
      <c r="D32" s="109">
        <f t="shared" ca="1" si="9"/>
        <v>0</v>
      </c>
      <c r="E32" s="109">
        <f t="shared" ca="1" si="9"/>
        <v>0</v>
      </c>
      <c r="F32" s="109">
        <f t="shared" ca="1" si="9"/>
        <v>0</v>
      </c>
      <c r="G32" s="109">
        <f t="shared" ca="1" si="9"/>
        <v>0</v>
      </c>
      <c r="H32" s="109">
        <f t="shared" ca="1" si="9"/>
        <v>0</v>
      </c>
      <c r="I32" s="109">
        <f t="shared" ca="1" si="9"/>
        <v>0</v>
      </c>
      <c r="J32" s="109">
        <f t="shared" ca="1" si="9"/>
        <v>0</v>
      </c>
      <c r="K32" s="109">
        <f t="shared" ca="1" si="9"/>
        <v>0</v>
      </c>
      <c r="L32" s="109">
        <f t="shared" ca="1" si="9"/>
        <v>0</v>
      </c>
      <c r="M32" s="109">
        <f t="shared" ca="1" si="9"/>
        <v>0</v>
      </c>
      <c r="N32" s="109">
        <f t="shared" ca="1" si="9"/>
        <v>0</v>
      </c>
      <c r="O32" s="109"/>
      <c r="P32" s="110">
        <f ca="1">SUM(C32:N32)</f>
        <v>0</v>
      </c>
      <c r="Q32" s="51"/>
      <c r="R32" s="42"/>
      <c r="U32" s="21"/>
      <c r="W32" s="21"/>
    </row>
    <row r="33" spans="1:23" ht="5.0999999999999996" customHeight="1" x14ac:dyDescent="0.2">
      <c r="A33" s="226"/>
      <c r="B33" s="67"/>
      <c r="C33" s="96"/>
      <c r="D33" s="96"/>
      <c r="E33" s="96"/>
      <c r="F33" s="96"/>
      <c r="G33" s="96"/>
      <c r="H33" s="96"/>
      <c r="I33" s="96"/>
      <c r="J33" s="96"/>
      <c r="K33" s="96"/>
      <c r="L33" s="96"/>
      <c r="M33" s="96"/>
      <c r="N33" s="96"/>
      <c r="O33" s="96"/>
      <c r="P33" s="96"/>
      <c r="Q33" s="51"/>
      <c r="R33" s="42"/>
    </row>
    <row r="34" spans="1:23" ht="12.75" customHeight="1" x14ac:dyDescent="0.2">
      <c r="A34" s="226"/>
      <c r="B34" s="74" t="s">
        <v>172</v>
      </c>
      <c r="C34" s="157"/>
      <c r="D34" s="157"/>
      <c r="E34" s="157"/>
      <c r="F34" s="157"/>
      <c r="G34" s="157"/>
      <c r="H34" s="157"/>
      <c r="I34" s="157"/>
      <c r="J34" s="157"/>
      <c r="K34" s="157"/>
      <c r="L34" s="157"/>
      <c r="M34" s="157"/>
      <c r="N34" s="157"/>
      <c r="O34" s="157"/>
      <c r="P34" s="158"/>
      <c r="Q34" s="51"/>
      <c r="R34" s="42"/>
    </row>
    <row r="35" spans="1:23" ht="12.75" customHeight="1" x14ac:dyDescent="0.2">
      <c r="A35" s="226"/>
      <c r="B35" s="161" t="s">
        <v>167</v>
      </c>
      <c r="C35" s="105">
        <f ca="1">_xlfn.LET(
_xlpm.recurring,SUMIFS(INDEX(recurring_master!$A:$AF,,MATCH($B35,recurring_master!$A$1:$AF$1,0)),recurring_master!$A:$A,"&lt;="&amp;EOMONTH(C$4,0),recurring_master!$A:$A,"&gt;="&amp;C$4),
_xlpm.planned,SUMIFS(Planned!$F:$F,Planned!$B:$B,$B35,Planned!$E:$E,"&gt;="&amp;C$4,Planned!$E:$E,"&lt;="&amp;EOMONTH(C$4,0)),
IFERROR(_xlpm.recurring,0)+IFERROR(_xlpm.planned,0))</f>
        <v>0</v>
      </c>
      <c r="D35" s="105">
        <f ca="1">_xlfn.LET(
_xlpm.recurring,SUMIFS(INDEX(recurring_master!$A:$AF,,MATCH($B35,recurring_master!$A$1:$AF$1,0)),recurring_master!$A:$A,"&lt;="&amp;EOMONTH(D$4,0),recurring_master!$A:$A,"&gt;="&amp;D$4),
_xlpm.planned,SUMIFS(Planned!$F:$F,Planned!$B:$B,$B35,Planned!$E:$E,"&gt;="&amp;D$4,Planned!$E:$E,"&lt;="&amp;EOMONTH(D$4,0)),
IFERROR(_xlpm.recurring,0)+IFERROR(_xlpm.planned,0))</f>
        <v>0</v>
      </c>
      <c r="E35" s="105">
        <f ca="1">_xlfn.LET(
_xlpm.recurring,SUMIFS(INDEX(recurring_master!$A:$AF,,MATCH($B35,recurring_master!$A$1:$AF$1,0)),recurring_master!$A:$A,"&lt;="&amp;EOMONTH(E$4,0),recurring_master!$A:$A,"&gt;="&amp;E$4),
_xlpm.planned,SUMIFS(Planned!$F:$F,Planned!$B:$B,$B35,Planned!$E:$E,"&gt;="&amp;E$4,Planned!$E:$E,"&lt;="&amp;EOMONTH(E$4,0)),
IFERROR(_xlpm.recurring,0)+IFERROR(_xlpm.planned,0))</f>
        <v>0</v>
      </c>
      <c r="F35" s="105">
        <f ca="1">_xlfn.LET(
_xlpm.recurring,SUMIFS(INDEX(recurring_master!$A:$AF,,MATCH($B35,recurring_master!$A$1:$AF$1,0)),recurring_master!$A:$A,"&lt;="&amp;EOMONTH(F$4,0),recurring_master!$A:$A,"&gt;="&amp;F$4),
_xlpm.planned,SUMIFS(Planned!$F:$F,Planned!$B:$B,$B35,Planned!$E:$E,"&gt;="&amp;F$4,Planned!$E:$E,"&lt;="&amp;EOMONTH(F$4,0)),
IFERROR(_xlpm.recurring,0)+IFERROR(_xlpm.planned,0))</f>
        <v>0</v>
      </c>
      <c r="G35" s="105">
        <f ca="1">_xlfn.LET(
_xlpm.recurring,SUMIFS(INDEX(recurring_master!$A:$AF,,MATCH($B35,recurring_master!$A$1:$AF$1,0)),recurring_master!$A:$A,"&lt;="&amp;EOMONTH(G$4,0),recurring_master!$A:$A,"&gt;="&amp;G$4),
_xlpm.planned,SUMIFS(Planned!$F:$F,Planned!$B:$B,$B35,Planned!$E:$E,"&gt;="&amp;G$4,Planned!$E:$E,"&lt;="&amp;EOMONTH(G$4,0)),
IFERROR(_xlpm.recurring,0)+IFERROR(_xlpm.planned,0))</f>
        <v>0</v>
      </c>
      <c r="H35" s="105">
        <f ca="1">_xlfn.LET(
_xlpm.recurring,SUMIFS(INDEX(recurring_master!$A:$AF,,MATCH($B35,recurring_master!$A$1:$AF$1,0)),recurring_master!$A:$A,"&lt;="&amp;EOMONTH(H$4,0),recurring_master!$A:$A,"&gt;="&amp;H$4),
_xlpm.planned,SUMIFS(Planned!$F:$F,Planned!$B:$B,$B35,Planned!$E:$E,"&gt;="&amp;H$4,Planned!$E:$E,"&lt;="&amp;EOMONTH(H$4,0)),
IFERROR(_xlpm.recurring,0)+IFERROR(_xlpm.planned,0))</f>
        <v>0</v>
      </c>
      <c r="I35" s="105">
        <f ca="1">_xlfn.LET(
_xlpm.recurring,SUMIFS(INDEX(recurring_master!$A:$AF,,MATCH($B35,recurring_master!$A$1:$AF$1,0)),recurring_master!$A:$A,"&lt;="&amp;EOMONTH(I$4,0),recurring_master!$A:$A,"&gt;="&amp;I$4),
_xlpm.planned,SUMIFS(Planned!$F:$F,Planned!$B:$B,$B35,Planned!$E:$E,"&gt;="&amp;I$4,Planned!$E:$E,"&lt;="&amp;EOMONTH(I$4,0)),
IFERROR(_xlpm.recurring,0)+IFERROR(_xlpm.planned,0))</f>
        <v>0</v>
      </c>
      <c r="J35" s="105">
        <f ca="1">_xlfn.LET(
_xlpm.recurring,SUMIFS(INDEX(recurring_master!$A:$AF,,MATCH($B35,recurring_master!$A$1:$AF$1,0)),recurring_master!$A:$A,"&lt;="&amp;EOMONTH(J$4,0),recurring_master!$A:$A,"&gt;="&amp;J$4),
_xlpm.planned,SUMIFS(Planned!$F:$F,Planned!$B:$B,$B35,Planned!$E:$E,"&gt;="&amp;J$4,Planned!$E:$E,"&lt;="&amp;EOMONTH(J$4,0)),
IFERROR(_xlpm.recurring,0)+IFERROR(_xlpm.planned,0))</f>
        <v>0</v>
      </c>
      <c r="K35" s="105">
        <f ca="1">_xlfn.LET(
_xlpm.recurring,SUMIFS(INDEX(recurring_master!$A:$AF,,MATCH($B35,recurring_master!$A$1:$AF$1,0)),recurring_master!$A:$A,"&lt;="&amp;EOMONTH(K$4,0),recurring_master!$A:$A,"&gt;="&amp;K$4),
_xlpm.planned,SUMIFS(Planned!$F:$F,Planned!$B:$B,$B35,Planned!$E:$E,"&gt;="&amp;K$4,Planned!$E:$E,"&lt;="&amp;EOMONTH(K$4,0)),
IFERROR(_xlpm.recurring,0)+IFERROR(_xlpm.planned,0))</f>
        <v>0</v>
      </c>
      <c r="L35" s="105">
        <f ca="1">_xlfn.LET(
_xlpm.recurring,SUMIFS(INDEX(recurring_master!$A:$AF,,MATCH($B35,recurring_master!$A$1:$AF$1,0)),recurring_master!$A:$A,"&lt;="&amp;EOMONTH(L$4,0),recurring_master!$A:$A,"&gt;="&amp;L$4),
_xlpm.planned,SUMIFS(Planned!$F:$F,Planned!$B:$B,$B35,Planned!$E:$E,"&gt;="&amp;L$4,Planned!$E:$E,"&lt;="&amp;EOMONTH(L$4,0)),
IFERROR(_xlpm.recurring,0)+IFERROR(_xlpm.planned,0))</f>
        <v>0</v>
      </c>
      <c r="M35" s="105">
        <f ca="1">_xlfn.LET(
_xlpm.recurring,SUMIFS(INDEX(recurring_master!$A:$AF,,MATCH($B35,recurring_master!$A$1:$AF$1,0)),recurring_master!$A:$A,"&lt;="&amp;EOMONTH(M$4,0),recurring_master!$A:$A,"&gt;="&amp;M$4),
_xlpm.planned,SUMIFS(Planned!$F:$F,Planned!$B:$B,$B35,Planned!$E:$E,"&gt;="&amp;M$4,Planned!$E:$E,"&lt;="&amp;EOMONTH(M$4,0)),
IFERROR(_xlpm.recurring,0)+IFERROR(_xlpm.planned,0))</f>
        <v>0</v>
      </c>
      <c r="N35" s="105">
        <f ca="1">_xlfn.LET(
_xlpm.recurring,SUMIFS(INDEX(recurring_master!$A:$AF,,MATCH($B35,recurring_master!$A$1:$AF$1,0)),recurring_master!$A:$A,"&lt;="&amp;EOMONTH(N$4,0),recurring_master!$A:$A,"&gt;="&amp;N$4),
_xlpm.planned,SUMIFS(Planned!$F:$F,Planned!$B:$B,$B35,Planned!$E:$E,"&gt;="&amp;N$4,Planned!$E:$E,"&lt;="&amp;EOMONTH(N$4,0)),
IFERROR(_xlpm.recurring,0)+IFERROR(_xlpm.planned,0))</f>
        <v>0</v>
      </c>
      <c r="O35" s="96"/>
      <c r="P35" s="106">
        <f ca="1">SUM(C35:N35)</f>
        <v>0</v>
      </c>
      <c r="Q35" s="52"/>
      <c r="R35" s="42" t="s">
        <v>326</v>
      </c>
    </row>
    <row r="36" spans="1:23" ht="12.75" customHeight="1" x14ac:dyDescent="0.2">
      <c r="A36" s="226"/>
      <c r="B36" s="69" t="s">
        <v>11</v>
      </c>
      <c r="C36" s="105">
        <f ca="1">_xlfn.LET(
_xlpm.recurring,SUMIFS(INDEX(recurring_master!$A:$AF,,MATCH($B36,recurring_master!$A$1:$AF$1,0)),recurring_master!$A:$A,"&lt;="&amp;EOMONTH(C$4,0),recurring_master!$A:$A,"&gt;="&amp;C$4),
_xlpm.planned,SUMIFS(Planned!$F:$F,Planned!$B:$B,$B36,Planned!$E:$E,"&gt;="&amp;C$4,Planned!$E:$E,"&lt;="&amp;EOMONTH(C$4,0)),
IFERROR(_xlpm.recurring,0)+IFERROR(_xlpm.planned,0))</f>
        <v>0</v>
      </c>
      <c r="D36" s="105">
        <f ca="1">_xlfn.LET(
_xlpm.recurring,SUMIFS(INDEX(recurring_master!$A:$AF,,MATCH($B36,recurring_master!$A$1:$AF$1,0)),recurring_master!$A:$A,"&lt;="&amp;EOMONTH(D$4,0),recurring_master!$A:$A,"&gt;="&amp;D$4),
_xlpm.planned,SUMIFS(Planned!$F:$F,Planned!$B:$B,$B36,Planned!$E:$E,"&gt;="&amp;D$4,Planned!$E:$E,"&lt;="&amp;EOMONTH(D$4,0)),
IFERROR(_xlpm.recurring,0)+IFERROR(_xlpm.planned,0))</f>
        <v>0</v>
      </c>
      <c r="E36" s="105">
        <f ca="1">_xlfn.LET(
_xlpm.recurring,SUMIFS(INDEX(recurring_master!$A:$AF,,MATCH($B36,recurring_master!$A$1:$AF$1,0)),recurring_master!$A:$A,"&lt;="&amp;EOMONTH(E$4,0),recurring_master!$A:$A,"&gt;="&amp;E$4),
_xlpm.planned,SUMIFS(Planned!$F:$F,Planned!$B:$B,$B36,Planned!$E:$E,"&gt;="&amp;E$4,Planned!$E:$E,"&lt;="&amp;EOMONTH(E$4,0)),
IFERROR(_xlpm.recurring,0)+IFERROR(_xlpm.planned,0))</f>
        <v>0</v>
      </c>
      <c r="F36" s="105">
        <f ca="1">_xlfn.LET(
_xlpm.recurring,SUMIFS(INDEX(recurring_master!$A:$AF,,MATCH($B36,recurring_master!$A$1:$AF$1,0)),recurring_master!$A:$A,"&lt;="&amp;EOMONTH(F$4,0),recurring_master!$A:$A,"&gt;="&amp;F$4),
_xlpm.planned,SUMIFS(Planned!$F:$F,Planned!$B:$B,$B36,Planned!$E:$E,"&gt;="&amp;F$4,Planned!$E:$E,"&lt;="&amp;EOMONTH(F$4,0)),
IFERROR(_xlpm.recurring,0)+IFERROR(_xlpm.planned,0))</f>
        <v>0</v>
      </c>
      <c r="G36" s="105">
        <f ca="1">_xlfn.LET(
_xlpm.recurring,SUMIFS(INDEX(recurring_master!$A:$AF,,MATCH($B36,recurring_master!$A$1:$AF$1,0)),recurring_master!$A:$A,"&lt;="&amp;EOMONTH(G$4,0),recurring_master!$A:$A,"&gt;="&amp;G$4),
_xlpm.planned,SUMIFS(Planned!$F:$F,Planned!$B:$B,$B36,Planned!$E:$E,"&gt;="&amp;G$4,Planned!$E:$E,"&lt;="&amp;EOMONTH(G$4,0)),
IFERROR(_xlpm.recurring,0)+IFERROR(_xlpm.planned,0))</f>
        <v>0</v>
      </c>
      <c r="H36" s="105">
        <f ca="1">_xlfn.LET(
_xlpm.recurring,SUMIFS(INDEX(recurring_master!$A:$AF,,MATCH($B36,recurring_master!$A$1:$AF$1,0)),recurring_master!$A:$A,"&lt;="&amp;EOMONTH(H$4,0),recurring_master!$A:$A,"&gt;="&amp;H$4),
_xlpm.planned,SUMIFS(Planned!$F:$F,Planned!$B:$B,$B36,Planned!$E:$E,"&gt;="&amp;H$4,Planned!$E:$E,"&lt;="&amp;EOMONTH(H$4,0)),
IFERROR(_xlpm.recurring,0)+IFERROR(_xlpm.planned,0))</f>
        <v>0</v>
      </c>
      <c r="I36" s="105">
        <f ca="1">_xlfn.LET(
_xlpm.recurring,SUMIFS(INDEX(recurring_master!$A:$AF,,MATCH($B36,recurring_master!$A$1:$AF$1,0)),recurring_master!$A:$A,"&lt;="&amp;EOMONTH(I$4,0),recurring_master!$A:$A,"&gt;="&amp;I$4),
_xlpm.planned,SUMIFS(Planned!$F:$F,Planned!$B:$B,$B36,Planned!$E:$E,"&gt;="&amp;I$4,Planned!$E:$E,"&lt;="&amp;EOMONTH(I$4,0)),
IFERROR(_xlpm.recurring,0)+IFERROR(_xlpm.planned,0))</f>
        <v>0</v>
      </c>
      <c r="J36" s="105">
        <f ca="1">_xlfn.LET(
_xlpm.recurring,SUMIFS(INDEX(recurring_master!$A:$AF,,MATCH($B36,recurring_master!$A$1:$AF$1,0)),recurring_master!$A:$A,"&lt;="&amp;EOMONTH(J$4,0),recurring_master!$A:$A,"&gt;="&amp;J$4),
_xlpm.planned,SUMIFS(Planned!$F:$F,Planned!$B:$B,$B36,Planned!$E:$E,"&gt;="&amp;J$4,Planned!$E:$E,"&lt;="&amp;EOMONTH(J$4,0)),
IFERROR(_xlpm.recurring,0)+IFERROR(_xlpm.planned,0))</f>
        <v>0</v>
      </c>
      <c r="K36" s="105">
        <f ca="1">_xlfn.LET(
_xlpm.recurring,SUMIFS(INDEX(recurring_master!$A:$AF,,MATCH($B36,recurring_master!$A$1:$AF$1,0)),recurring_master!$A:$A,"&lt;="&amp;EOMONTH(K$4,0),recurring_master!$A:$A,"&gt;="&amp;K$4),
_xlpm.planned,SUMIFS(Planned!$F:$F,Planned!$B:$B,$B36,Planned!$E:$E,"&gt;="&amp;K$4,Planned!$E:$E,"&lt;="&amp;EOMONTH(K$4,0)),
IFERROR(_xlpm.recurring,0)+IFERROR(_xlpm.planned,0))</f>
        <v>0</v>
      </c>
      <c r="L36" s="105">
        <f ca="1">_xlfn.LET(
_xlpm.recurring,SUMIFS(INDEX(recurring_master!$A:$AF,,MATCH($B36,recurring_master!$A$1:$AF$1,0)),recurring_master!$A:$A,"&lt;="&amp;EOMONTH(L$4,0),recurring_master!$A:$A,"&gt;="&amp;L$4),
_xlpm.planned,SUMIFS(Planned!$F:$F,Planned!$B:$B,$B36,Planned!$E:$E,"&gt;="&amp;L$4,Planned!$E:$E,"&lt;="&amp;EOMONTH(L$4,0)),
IFERROR(_xlpm.recurring,0)+IFERROR(_xlpm.planned,0))</f>
        <v>0</v>
      </c>
      <c r="M36" s="105">
        <f ca="1">_xlfn.LET(
_xlpm.recurring,SUMIFS(INDEX(recurring_master!$A:$AF,,MATCH($B36,recurring_master!$A$1:$AF$1,0)),recurring_master!$A:$A,"&lt;="&amp;EOMONTH(M$4,0),recurring_master!$A:$A,"&gt;="&amp;M$4),
_xlpm.planned,SUMIFS(Planned!$F:$F,Planned!$B:$B,$B36,Planned!$E:$E,"&gt;="&amp;M$4,Planned!$E:$E,"&lt;="&amp;EOMONTH(M$4,0)),
IFERROR(_xlpm.recurring,0)+IFERROR(_xlpm.planned,0))</f>
        <v>0</v>
      </c>
      <c r="N36" s="105">
        <f ca="1">_xlfn.LET(
_xlpm.recurring,SUMIFS(INDEX(recurring_master!$A:$AF,,MATCH($B36,recurring_master!$A$1:$AF$1,0)),recurring_master!$A:$A,"&lt;="&amp;EOMONTH(N$4,0),recurring_master!$A:$A,"&gt;="&amp;N$4),
_xlpm.planned,SUMIFS(Planned!$F:$F,Planned!$B:$B,$B36,Planned!$E:$E,"&gt;="&amp;N$4,Planned!$E:$E,"&lt;="&amp;EOMONTH(N$4,0)),
IFERROR(_xlpm.recurring,0)+IFERROR(_xlpm.planned,0))</f>
        <v>0</v>
      </c>
      <c r="O36" s="96"/>
      <c r="P36" s="106">
        <f ca="1">SUM(C36:N36)</f>
        <v>0</v>
      </c>
      <c r="Q36" s="52"/>
      <c r="R36" s="42" t="s">
        <v>327</v>
      </c>
    </row>
    <row r="37" spans="1:23" ht="12.75" customHeight="1" x14ac:dyDescent="0.2">
      <c r="A37" s="226"/>
      <c r="B37" s="69" t="s">
        <v>193</v>
      </c>
      <c r="C37" s="105">
        <f ca="1">_xlfn.LET(
_xlpm.recurring,SUMIFS(INDEX(recurring_master!$A:$AF,,MATCH($B37,recurring_master!$A$1:$AF$1,0)),recurring_master!$A:$A,"&lt;="&amp;EOMONTH(C$4,0),recurring_master!$A:$A,"&gt;="&amp;C$4),
_xlpm.planned,SUMIFS(Planned!$F:$F,Planned!$B:$B,$B37,Planned!$E:$E,"&gt;="&amp;C$4,Planned!$E:$E,"&lt;="&amp;EOMONTH(C$4,0)),
IFERROR(_xlpm.recurring,0)+IFERROR(_xlpm.planned,0))</f>
        <v>0</v>
      </c>
      <c r="D37" s="105">
        <f ca="1">_xlfn.LET(
_xlpm.recurring,SUMIFS(INDEX(recurring_master!$A:$AF,,MATCH($B37,recurring_master!$A$1:$AF$1,0)),recurring_master!$A:$A,"&lt;="&amp;EOMONTH(D$4,0),recurring_master!$A:$A,"&gt;="&amp;D$4),
_xlpm.planned,SUMIFS(Planned!$F:$F,Planned!$B:$B,$B37,Planned!$E:$E,"&gt;="&amp;D$4,Planned!$E:$E,"&lt;="&amp;EOMONTH(D$4,0)),
IFERROR(_xlpm.recurring,0)+IFERROR(_xlpm.planned,0))</f>
        <v>0</v>
      </c>
      <c r="E37" s="105">
        <f ca="1">_xlfn.LET(
_xlpm.recurring,SUMIFS(INDEX(recurring_master!$A:$AF,,MATCH($B37,recurring_master!$A$1:$AF$1,0)),recurring_master!$A:$A,"&lt;="&amp;EOMONTH(E$4,0),recurring_master!$A:$A,"&gt;="&amp;E$4),
_xlpm.planned,SUMIFS(Planned!$F:$F,Planned!$B:$B,$B37,Planned!$E:$E,"&gt;="&amp;E$4,Planned!$E:$E,"&lt;="&amp;EOMONTH(E$4,0)),
IFERROR(_xlpm.recurring,0)+IFERROR(_xlpm.planned,0))</f>
        <v>0</v>
      </c>
      <c r="F37" s="105">
        <f ca="1">_xlfn.LET(
_xlpm.recurring,SUMIFS(INDEX(recurring_master!$A:$AF,,MATCH($B37,recurring_master!$A$1:$AF$1,0)),recurring_master!$A:$A,"&lt;="&amp;EOMONTH(F$4,0),recurring_master!$A:$A,"&gt;="&amp;F$4),
_xlpm.planned,SUMIFS(Planned!$F:$F,Planned!$B:$B,$B37,Planned!$E:$E,"&gt;="&amp;F$4,Planned!$E:$E,"&lt;="&amp;EOMONTH(F$4,0)),
IFERROR(_xlpm.recurring,0)+IFERROR(_xlpm.planned,0))</f>
        <v>0</v>
      </c>
      <c r="G37" s="105">
        <f ca="1">_xlfn.LET(
_xlpm.recurring,SUMIFS(INDEX(recurring_master!$A:$AF,,MATCH($B37,recurring_master!$A$1:$AF$1,0)),recurring_master!$A:$A,"&lt;="&amp;EOMONTH(G$4,0),recurring_master!$A:$A,"&gt;="&amp;G$4),
_xlpm.planned,SUMIFS(Planned!$F:$F,Planned!$B:$B,$B37,Planned!$E:$E,"&gt;="&amp;G$4,Planned!$E:$E,"&lt;="&amp;EOMONTH(G$4,0)),
IFERROR(_xlpm.recurring,0)+IFERROR(_xlpm.planned,0))</f>
        <v>0</v>
      </c>
      <c r="H37" s="105">
        <f ca="1">_xlfn.LET(
_xlpm.recurring,SUMIFS(INDEX(recurring_master!$A:$AF,,MATCH($B37,recurring_master!$A$1:$AF$1,0)),recurring_master!$A:$A,"&lt;="&amp;EOMONTH(H$4,0),recurring_master!$A:$A,"&gt;="&amp;H$4),
_xlpm.planned,SUMIFS(Planned!$F:$F,Planned!$B:$B,$B37,Planned!$E:$E,"&gt;="&amp;H$4,Planned!$E:$E,"&lt;="&amp;EOMONTH(H$4,0)),
IFERROR(_xlpm.recurring,0)+IFERROR(_xlpm.planned,0))</f>
        <v>0</v>
      </c>
      <c r="I37" s="105">
        <f ca="1">_xlfn.LET(
_xlpm.recurring,SUMIFS(INDEX(recurring_master!$A:$AF,,MATCH($B37,recurring_master!$A$1:$AF$1,0)),recurring_master!$A:$A,"&lt;="&amp;EOMONTH(I$4,0),recurring_master!$A:$A,"&gt;="&amp;I$4),
_xlpm.planned,SUMIFS(Planned!$F:$F,Planned!$B:$B,$B37,Planned!$E:$E,"&gt;="&amp;I$4,Planned!$E:$E,"&lt;="&amp;EOMONTH(I$4,0)),
IFERROR(_xlpm.recurring,0)+IFERROR(_xlpm.planned,0))</f>
        <v>0</v>
      </c>
      <c r="J37" s="105">
        <f ca="1">_xlfn.LET(
_xlpm.recurring,SUMIFS(INDEX(recurring_master!$A:$AF,,MATCH($B37,recurring_master!$A$1:$AF$1,0)),recurring_master!$A:$A,"&lt;="&amp;EOMONTH(J$4,0),recurring_master!$A:$A,"&gt;="&amp;J$4),
_xlpm.planned,SUMIFS(Planned!$F:$F,Planned!$B:$B,$B37,Planned!$E:$E,"&gt;="&amp;J$4,Planned!$E:$E,"&lt;="&amp;EOMONTH(J$4,0)),
IFERROR(_xlpm.recurring,0)+IFERROR(_xlpm.planned,0))</f>
        <v>0</v>
      </c>
      <c r="K37" s="105">
        <f ca="1">_xlfn.LET(
_xlpm.recurring,SUMIFS(INDEX(recurring_master!$A:$AF,,MATCH($B37,recurring_master!$A$1:$AF$1,0)),recurring_master!$A:$A,"&lt;="&amp;EOMONTH(K$4,0),recurring_master!$A:$A,"&gt;="&amp;K$4),
_xlpm.planned,SUMIFS(Planned!$F:$F,Planned!$B:$B,$B37,Planned!$E:$E,"&gt;="&amp;K$4,Planned!$E:$E,"&lt;="&amp;EOMONTH(K$4,0)),
IFERROR(_xlpm.recurring,0)+IFERROR(_xlpm.planned,0))</f>
        <v>0</v>
      </c>
      <c r="L37" s="105">
        <f ca="1">_xlfn.LET(
_xlpm.recurring,SUMIFS(INDEX(recurring_master!$A:$AF,,MATCH($B37,recurring_master!$A$1:$AF$1,0)),recurring_master!$A:$A,"&lt;="&amp;EOMONTH(L$4,0),recurring_master!$A:$A,"&gt;="&amp;L$4),
_xlpm.planned,SUMIFS(Planned!$F:$F,Planned!$B:$B,$B37,Planned!$E:$E,"&gt;="&amp;L$4,Planned!$E:$E,"&lt;="&amp;EOMONTH(L$4,0)),
IFERROR(_xlpm.recurring,0)+IFERROR(_xlpm.planned,0))</f>
        <v>0</v>
      </c>
      <c r="M37" s="105">
        <f ca="1">_xlfn.LET(
_xlpm.recurring,SUMIFS(INDEX(recurring_master!$A:$AF,,MATCH($B37,recurring_master!$A$1:$AF$1,0)),recurring_master!$A:$A,"&lt;="&amp;EOMONTH(M$4,0),recurring_master!$A:$A,"&gt;="&amp;M$4),
_xlpm.planned,SUMIFS(Planned!$F:$F,Planned!$B:$B,$B37,Planned!$E:$E,"&gt;="&amp;M$4,Planned!$E:$E,"&lt;="&amp;EOMONTH(M$4,0)),
IFERROR(_xlpm.recurring,0)+IFERROR(_xlpm.planned,0))</f>
        <v>0</v>
      </c>
      <c r="N37" s="105">
        <f ca="1">_xlfn.LET(
_xlpm.recurring,SUMIFS(INDEX(recurring_master!$A:$AF,,MATCH($B37,recurring_master!$A$1:$AF$1,0)),recurring_master!$A:$A,"&lt;="&amp;EOMONTH(N$4,0),recurring_master!$A:$A,"&gt;="&amp;N$4),
_xlpm.planned,SUMIFS(Planned!$F:$F,Planned!$B:$B,$B37,Planned!$E:$E,"&gt;="&amp;N$4,Planned!$E:$E,"&lt;="&amp;EOMONTH(N$4,0)),
IFERROR(_xlpm.recurring,0)+IFERROR(_xlpm.planned,0))</f>
        <v>0</v>
      </c>
      <c r="O37" s="96"/>
      <c r="P37" s="106">
        <f ca="1">SUM(C37:N37)</f>
        <v>0</v>
      </c>
      <c r="Q37" s="52"/>
      <c r="R37" s="42" t="s">
        <v>206</v>
      </c>
      <c r="U37" s="22"/>
    </row>
    <row r="38" spans="1:23" ht="12.75" customHeight="1" x14ac:dyDescent="0.2">
      <c r="A38" s="226"/>
      <c r="B38" s="69" t="s">
        <v>28</v>
      </c>
      <c r="C38" s="105">
        <f ca="1">_xlfn.LET(
_xlpm.recurring,SUMIFS(INDEX(recurring_master!$A:$AF,,MATCH($B38,recurring_master!$A$1:$AF$1,0)),recurring_master!$A:$A,"&lt;="&amp;EOMONTH(C$4,0),recurring_master!$A:$A,"&gt;="&amp;C$4),
_xlpm.planned,SUMIFS(Planned!$F:$F,Planned!$B:$B,$B38,Planned!$E:$E,"&gt;="&amp;C$4,Planned!$E:$E,"&lt;="&amp;EOMONTH(C$4,0)),
IFERROR(_xlpm.recurring,0)+IFERROR(_xlpm.planned,0))</f>
        <v>0</v>
      </c>
      <c r="D38" s="105">
        <f ca="1">_xlfn.LET(
_xlpm.recurring,SUMIFS(INDEX(recurring_master!$A:$AF,,MATCH($B38,recurring_master!$A$1:$AF$1,0)),recurring_master!$A:$A,"&lt;="&amp;EOMONTH(D$4,0),recurring_master!$A:$A,"&gt;="&amp;D$4),
_xlpm.planned,SUMIFS(Planned!$F:$F,Planned!$B:$B,$B38,Planned!$E:$E,"&gt;="&amp;D$4,Planned!$E:$E,"&lt;="&amp;EOMONTH(D$4,0)),
IFERROR(_xlpm.recurring,0)+IFERROR(_xlpm.planned,0))</f>
        <v>0</v>
      </c>
      <c r="E38" s="105">
        <f ca="1">_xlfn.LET(
_xlpm.recurring,SUMIFS(INDEX(recurring_master!$A:$AF,,MATCH($B38,recurring_master!$A$1:$AF$1,0)),recurring_master!$A:$A,"&lt;="&amp;EOMONTH(E$4,0),recurring_master!$A:$A,"&gt;="&amp;E$4),
_xlpm.planned,SUMIFS(Planned!$F:$F,Planned!$B:$B,$B38,Planned!$E:$E,"&gt;="&amp;E$4,Planned!$E:$E,"&lt;="&amp;EOMONTH(E$4,0)),
IFERROR(_xlpm.recurring,0)+IFERROR(_xlpm.planned,0))</f>
        <v>0</v>
      </c>
      <c r="F38" s="105">
        <f ca="1">_xlfn.LET(
_xlpm.recurring,SUMIFS(INDEX(recurring_master!$A:$AF,,MATCH($B38,recurring_master!$A$1:$AF$1,0)),recurring_master!$A:$A,"&lt;="&amp;EOMONTH(F$4,0),recurring_master!$A:$A,"&gt;="&amp;F$4),
_xlpm.planned,SUMIFS(Planned!$F:$F,Planned!$B:$B,$B38,Planned!$E:$E,"&gt;="&amp;F$4,Planned!$E:$E,"&lt;="&amp;EOMONTH(F$4,0)),
IFERROR(_xlpm.recurring,0)+IFERROR(_xlpm.planned,0))</f>
        <v>0</v>
      </c>
      <c r="G38" s="105">
        <f ca="1">_xlfn.LET(
_xlpm.recurring,SUMIFS(INDEX(recurring_master!$A:$AF,,MATCH($B38,recurring_master!$A$1:$AF$1,0)),recurring_master!$A:$A,"&lt;="&amp;EOMONTH(G$4,0),recurring_master!$A:$A,"&gt;="&amp;G$4),
_xlpm.planned,SUMIFS(Planned!$F:$F,Planned!$B:$B,$B38,Planned!$E:$E,"&gt;="&amp;G$4,Planned!$E:$E,"&lt;="&amp;EOMONTH(G$4,0)),
IFERROR(_xlpm.recurring,0)+IFERROR(_xlpm.planned,0))</f>
        <v>0</v>
      </c>
      <c r="H38" s="105">
        <f ca="1">_xlfn.LET(
_xlpm.recurring,SUMIFS(INDEX(recurring_master!$A:$AF,,MATCH($B38,recurring_master!$A$1:$AF$1,0)),recurring_master!$A:$A,"&lt;="&amp;EOMONTH(H$4,0),recurring_master!$A:$A,"&gt;="&amp;H$4),
_xlpm.planned,SUMIFS(Planned!$F:$F,Planned!$B:$B,$B38,Planned!$E:$E,"&gt;="&amp;H$4,Planned!$E:$E,"&lt;="&amp;EOMONTH(H$4,0)),
IFERROR(_xlpm.recurring,0)+IFERROR(_xlpm.planned,0))</f>
        <v>0</v>
      </c>
      <c r="I38" s="105">
        <f ca="1">_xlfn.LET(
_xlpm.recurring,SUMIFS(INDEX(recurring_master!$A:$AF,,MATCH($B38,recurring_master!$A$1:$AF$1,0)),recurring_master!$A:$A,"&lt;="&amp;EOMONTH(I$4,0),recurring_master!$A:$A,"&gt;="&amp;I$4),
_xlpm.planned,SUMIFS(Planned!$F:$F,Planned!$B:$B,$B38,Planned!$E:$E,"&gt;="&amp;I$4,Planned!$E:$E,"&lt;="&amp;EOMONTH(I$4,0)),
IFERROR(_xlpm.recurring,0)+IFERROR(_xlpm.planned,0))</f>
        <v>0</v>
      </c>
      <c r="J38" s="105">
        <f ca="1">_xlfn.LET(
_xlpm.recurring,SUMIFS(INDEX(recurring_master!$A:$AF,,MATCH($B38,recurring_master!$A$1:$AF$1,0)),recurring_master!$A:$A,"&lt;="&amp;EOMONTH(J$4,0),recurring_master!$A:$A,"&gt;="&amp;J$4),
_xlpm.planned,SUMIFS(Planned!$F:$F,Planned!$B:$B,$B38,Planned!$E:$E,"&gt;="&amp;J$4,Planned!$E:$E,"&lt;="&amp;EOMONTH(J$4,0)),
IFERROR(_xlpm.recurring,0)+IFERROR(_xlpm.planned,0))</f>
        <v>0</v>
      </c>
      <c r="K38" s="105">
        <f ca="1">_xlfn.LET(
_xlpm.recurring,SUMIFS(INDEX(recurring_master!$A:$AF,,MATCH($B38,recurring_master!$A$1:$AF$1,0)),recurring_master!$A:$A,"&lt;="&amp;EOMONTH(K$4,0),recurring_master!$A:$A,"&gt;="&amp;K$4),
_xlpm.planned,SUMIFS(Planned!$F:$F,Planned!$B:$B,$B38,Planned!$E:$E,"&gt;="&amp;K$4,Planned!$E:$E,"&lt;="&amp;EOMONTH(K$4,0)),
IFERROR(_xlpm.recurring,0)+IFERROR(_xlpm.planned,0))</f>
        <v>0</v>
      </c>
      <c r="L38" s="105">
        <f ca="1">_xlfn.LET(
_xlpm.recurring,SUMIFS(INDEX(recurring_master!$A:$AF,,MATCH($B38,recurring_master!$A$1:$AF$1,0)),recurring_master!$A:$A,"&lt;="&amp;EOMONTH(L$4,0),recurring_master!$A:$A,"&gt;="&amp;L$4),
_xlpm.planned,SUMIFS(Planned!$F:$F,Planned!$B:$B,$B38,Planned!$E:$E,"&gt;="&amp;L$4,Planned!$E:$E,"&lt;="&amp;EOMONTH(L$4,0)),
IFERROR(_xlpm.recurring,0)+IFERROR(_xlpm.planned,0))</f>
        <v>0</v>
      </c>
      <c r="M38" s="105">
        <f ca="1">_xlfn.LET(
_xlpm.recurring,SUMIFS(INDEX(recurring_master!$A:$AF,,MATCH($B38,recurring_master!$A$1:$AF$1,0)),recurring_master!$A:$A,"&lt;="&amp;EOMONTH(M$4,0),recurring_master!$A:$A,"&gt;="&amp;M$4),
_xlpm.planned,SUMIFS(Planned!$F:$F,Planned!$B:$B,$B38,Planned!$E:$E,"&gt;="&amp;M$4,Planned!$E:$E,"&lt;="&amp;EOMONTH(M$4,0)),
IFERROR(_xlpm.recurring,0)+IFERROR(_xlpm.planned,0))</f>
        <v>0</v>
      </c>
      <c r="N38" s="105">
        <f ca="1">_xlfn.LET(
_xlpm.recurring,SUMIFS(INDEX(recurring_master!$A:$AF,,MATCH($B38,recurring_master!$A$1:$AF$1,0)),recurring_master!$A:$A,"&lt;="&amp;EOMONTH(N$4,0),recurring_master!$A:$A,"&gt;="&amp;N$4),
_xlpm.planned,SUMIFS(Planned!$F:$F,Planned!$B:$B,$B38,Planned!$E:$E,"&gt;="&amp;N$4,Planned!$E:$E,"&lt;="&amp;EOMONTH(N$4,0)),
IFERROR(_xlpm.recurring,0)+IFERROR(_xlpm.planned,0))</f>
        <v>0</v>
      </c>
      <c r="O38" s="96"/>
      <c r="P38" s="106">
        <f ca="1">SUM(C38:N38)</f>
        <v>0</v>
      </c>
      <c r="Q38" s="52"/>
      <c r="R38" s="42" t="s">
        <v>328</v>
      </c>
      <c r="U38" s="22"/>
    </row>
    <row r="39" spans="1:23" ht="5.0999999999999996" customHeight="1" x14ac:dyDescent="0.2">
      <c r="A39" s="226"/>
      <c r="B39" s="69"/>
      <c r="C39" s="96"/>
      <c r="D39" s="96"/>
      <c r="E39" s="96"/>
      <c r="F39" s="96"/>
      <c r="G39" s="96"/>
      <c r="H39" s="96"/>
      <c r="I39" s="96"/>
      <c r="J39" s="96"/>
      <c r="K39" s="96"/>
      <c r="L39" s="96"/>
      <c r="M39" s="96"/>
      <c r="N39" s="96"/>
      <c r="O39" s="96"/>
      <c r="P39" s="106"/>
      <c r="Q39" s="51"/>
      <c r="R39" s="42"/>
      <c r="W39" s="18"/>
    </row>
    <row r="40" spans="1:23" ht="12.75" customHeight="1" x14ac:dyDescent="0.2">
      <c r="A40" s="226"/>
      <c r="B40" s="73" t="str">
        <f>"Total "&amp;B34</f>
        <v>Total INFLOWS</v>
      </c>
      <c r="C40" s="109">
        <f t="shared" ref="C40:E40" ca="1" si="10">SUM(C35:C39)</f>
        <v>0</v>
      </c>
      <c r="D40" s="109">
        <f t="shared" ca="1" si="10"/>
        <v>0</v>
      </c>
      <c r="E40" s="109">
        <f t="shared" ca="1" si="10"/>
        <v>0</v>
      </c>
      <c r="F40" s="109">
        <f ca="1">SUM(F35:F39)</f>
        <v>0</v>
      </c>
      <c r="G40" s="109">
        <f t="shared" ref="G40:N40" ca="1" si="11">SUM(G35:G39)</f>
        <v>0</v>
      </c>
      <c r="H40" s="109">
        <f t="shared" ca="1" si="11"/>
        <v>0</v>
      </c>
      <c r="I40" s="109">
        <f t="shared" ca="1" si="11"/>
        <v>0</v>
      </c>
      <c r="J40" s="109">
        <f t="shared" ca="1" si="11"/>
        <v>0</v>
      </c>
      <c r="K40" s="109">
        <f t="shared" ca="1" si="11"/>
        <v>0</v>
      </c>
      <c r="L40" s="109">
        <f t="shared" ca="1" si="11"/>
        <v>0</v>
      </c>
      <c r="M40" s="109">
        <f t="shared" ca="1" si="11"/>
        <v>0</v>
      </c>
      <c r="N40" s="109">
        <f t="shared" ca="1" si="11"/>
        <v>0</v>
      </c>
      <c r="O40" s="109"/>
      <c r="P40" s="110">
        <f ca="1">SUM(P35:P37)</f>
        <v>0</v>
      </c>
      <c r="Q40" s="51"/>
      <c r="R40" s="42"/>
      <c r="U40" s="22"/>
    </row>
    <row r="41" spans="1:23" ht="5.0999999999999996" customHeight="1" x14ac:dyDescent="0.2">
      <c r="A41" s="226"/>
      <c r="B41" s="67"/>
      <c r="C41" s="96"/>
      <c r="D41" s="96"/>
      <c r="E41" s="96"/>
      <c r="F41" s="96"/>
      <c r="G41" s="96"/>
      <c r="H41" s="96"/>
      <c r="I41" s="96"/>
      <c r="J41" s="96"/>
      <c r="K41" s="96"/>
      <c r="L41" s="96"/>
      <c r="M41" s="96"/>
      <c r="N41" s="96"/>
      <c r="O41" s="96"/>
      <c r="P41" s="96"/>
      <c r="Q41" s="51"/>
      <c r="R41" s="42"/>
    </row>
    <row r="42" spans="1:23" ht="12.75" customHeight="1" x14ac:dyDescent="0.2">
      <c r="A42" s="226"/>
      <c r="B42" s="75" t="s">
        <v>25</v>
      </c>
      <c r="C42" s="111">
        <f t="shared" ref="C42:N42" ca="1" si="12">SUM(C40,C32)</f>
        <v>0</v>
      </c>
      <c r="D42" s="111">
        <f t="shared" ca="1" si="12"/>
        <v>0</v>
      </c>
      <c r="E42" s="111">
        <f t="shared" ca="1" si="12"/>
        <v>0</v>
      </c>
      <c r="F42" s="111">
        <f t="shared" ca="1" si="12"/>
        <v>0</v>
      </c>
      <c r="G42" s="111">
        <f t="shared" ca="1" si="12"/>
        <v>0</v>
      </c>
      <c r="H42" s="111">
        <f t="shared" ca="1" si="12"/>
        <v>0</v>
      </c>
      <c r="I42" s="111">
        <f t="shared" ca="1" si="12"/>
        <v>0</v>
      </c>
      <c r="J42" s="111">
        <f t="shared" ca="1" si="12"/>
        <v>0</v>
      </c>
      <c r="K42" s="111">
        <f t="shared" ca="1" si="12"/>
        <v>0</v>
      </c>
      <c r="L42" s="111">
        <f t="shared" ca="1" si="12"/>
        <v>0</v>
      </c>
      <c r="M42" s="111">
        <f t="shared" ca="1" si="12"/>
        <v>0</v>
      </c>
      <c r="N42" s="111">
        <f t="shared" ca="1" si="12"/>
        <v>0</v>
      </c>
      <c r="O42" s="111"/>
      <c r="P42" s="112">
        <f ca="1">SUM(P40,P32)</f>
        <v>0</v>
      </c>
      <c r="Q42" s="54"/>
      <c r="R42" s="42"/>
      <c r="U42" s="22"/>
    </row>
    <row r="43" spans="1:23" x14ac:dyDescent="0.2">
      <c r="A43" s="226"/>
      <c r="B43" s="67"/>
      <c r="C43" s="96"/>
      <c r="D43" s="96"/>
      <c r="E43" s="96"/>
      <c r="F43" s="96"/>
      <c r="G43" s="96"/>
      <c r="H43" s="96"/>
      <c r="I43" s="96"/>
      <c r="J43" s="96"/>
      <c r="K43" s="96"/>
      <c r="L43" s="96"/>
      <c r="M43" s="96"/>
      <c r="N43" s="96"/>
      <c r="O43" s="96"/>
      <c r="P43" s="96"/>
      <c r="Q43" s="51"/>
      <c r="R43" s="42"/>
    </row>
    <row r="44" spans="1:23" ht="12.75" customHeight="1" x14ac:dyDescent="0.2">
      <c r="A44" s="226"/>
      <c r="B44" s="76" t="s">
        <v>72</v>
      </c>
      <c r="C44" s="159"/>
      <c r="D44" s="159"/>
      <c r="E44" s="159"/>
      <c r="F44" s="159"/>
      <c r="G44" s="159"/>
      <c r="H44" s="159"/>
      <c r="I44" s="159"/>
      <c r="J44" s="159"/>
      <c r="K44" s="159"/>
      <c r="L44" s="159"/>
      <c r="M44" s="159"/>
      <c r="N44" s="159"/>
      <c r="O44" s="159"/>
      <c r="P44" s="160"/>
      <c r="Q44" s="51"/>
      <c r="R44" s="42"/>
      <c r="U44" s="22"/>
    </row>
    <row r="45" spans="1:23" ht="12.75" customHeight="1" x14ac:dyDescent="0.2">
      <c r="A45" s="226"/>
      <c r="B45" s="69" t="s">
        <v>32</v>
      </c>
      <c r="C45" s="105">
        <f ca="1">_xlfn.LET(
_xlpm.recurring,SUMIFS(INDEX(recurring_master!$A:$AF,,MATCH($B45,recurring_master!$A$1:$AF$1,0)),recurring_master!$A:$A,"&lt;="&amp;EOMONTH(C$4,0),recurring_master!$A:$A,"&gt;="&amp;C$4),
_xlpm.planned,SUMIFS(Planned!$F:$F,Planned!$B:$B,$B45,Planned!$E:$E,"&gt;="&amp;C$4,Planned!$E:$E,"&lt;="&amp;EOMONTH(C$4,0)),
IFERROR(_xlpm.recurring,0)+IFERROR(_xlpm.planned,0))</f>
        <v>0</v>
      </c>
      <c r="D45" s="105">
        <f ca="1">_xlfn.LET(
_xlpm.recurring,SUMIFS(INDEX(recurring_master!$A:$AF,,MATCH($B45,recurring_master!$A$1:$AF$1,0)),recurring_master!$A:$A,"&lt;="&amp;EOMONTH(D$4,0),recurring_master!$A:$A,"&gt;="&amp;D$4),
_xlpm.planned,SUMIFS(Planned!$F:$F,Planned!$B:$B,$B45,Planned!$E:$E,"&gt;="&amp;D$4,Planned!$E:$E,"&lt;="&amp;EOMONTH(D$4,0)),
IFERROR(_xlpm.recurring,0)+IFERROR(_xlpm.planned,0))</f>
        <v>0</v>
      </c>
      <c r="E45" s="105">
        <f ca="1">_xlfn.LET(
_xlpm.recurring,SUMIFS(INDEX(recurring_master!$A:$AF,,MATCH($B45,recurring_master!$A$1:$AF$1,0)),recurring_master!$A:$A,"&lt;="&amp;EOMONTH(E$4,0),recurring_master!$A:$A,"&gt;="&amp;E$4),
_xlpm.planned,SUMIFS(Planned!$F:$F,Planned!$B:$B,$B45,Planned!$E:$E,"&gt;="&amp;E$4,Planned!$E:$E,"&lt;="&amp;EOMONTH(E$4,0)),
IFERROR(_xlpm.recurring,0)+IFERROR(_xlpm.planned,0))</f>
        <v>0</v>
      </c>
      <c r="F45" s="105">
        <f ca="1">_xlfn.LET(
_xlpm.recurring,SUMIFS(INDEX(recurring_master!$A:$AF,,MATCH($B45,recurring_master!$A$1:$AF$1,0)),recurring_master!$A:$A,"&lt;="&amp;EOMONTH(F$4,0),recurring_master!$A:$A,"&gt;="&amp;F$4),
_xlpm.planned,SUMIFS(Planned!$F:$F,Planned!$B:$B,$B45,Planned!$E:$E,"&gt;="&amp;F$4,Planned!$E:$E,"&lt;="&amp;EOMONTH(F$4,0)),
IFERROR(_xlpm.recurring,0)+IFERROR(_xlpm.planned,0))</f>
        <v>0</v>
      </c>
      <c r="G45" s="105">
        <f ca="1">_xlfn.LET(
_xlpm.recurring,SUMIFS(INDEX(recurring_master!$A:$AF,,MATCH($B45,recurring_master!$A$1:$AF$1,0)),recurring_master!$A:$A,"&lt;="&amp;EOMONTH(G$4,0),recurring_master!$A:$A,"&gt;="&amp;G$4),
_xlpm.planned,SUMIFS(Planned!$F:$F,Planned!$B:$B,$B45,Planned!$E:$E,"&gt;="&amp;G$4,Planned!$E:$E,"&lt;="&amp;EOMONTH(G$4,0)),
IFERROR(_xlpm.recurring,0)+IFERROR(_xlpm.planned,0))</f>
        <v>0</v>
      </c>
      <c r="H45" s="105">
        <f ca="1">_xlfn.LET(
_xlpm.recurring,SUMIFS(INDEX(recurring_master!$A:$AF,,MATCH($B45,recurring_master!$A$1:$AF$1,0)),recurring_master!$A:$A,"&lt;="&amp;EOMONTH(H$4,0),recurring_master!$A:$A,"&gt;="&amp;H$4),
_xlpm.planned,SUMIFS(Planned!$F:$F,Planned!$B:$B,$B45,Planned!$E:$E,"&gt;="&amp;H$4,Planned!$E:$E,"&lt;="&amp;EOMONTH(H$4,0)),
IFERROR(_xlpm.recurring,0)+IFERROR(_xlpm.planned,0))</f>
        <v>0</v>
      </c>
      <c r="I45" s="105">
        <f ca="1">_xlfn.LET(
_xlpm.recurring,SUMIFS(INDEX(recurring_master!$A:$AF,,MATCH($B45,recurring_master!$A$1:$AF$1,0)),recurring_master!$A:$A,"&lt;="&amp;EOMONTH(I$4,0),recurring_master!$A:$A,"&gt;="&amp;I$4),
_xlpm.planned,SUMIFS(Planned!$F:$F,Planned!$B:$B,$B45,Planned!$E:$E,"&gt;="&amp;I$4,Planned!$E:$E,"&lt;="&amp;EOMONTH(I$4,0)),
IFERROR(_xlpm.recurring,0)+IFERROR(_xlpm.planned,0))</f>
        <v>0</v>
      </c>
      <c r="J45" s="105">
        <f ca="1">_xlfn.LET(
_xlpm.recurring,SUMIFS(INDEX(recurring_master!$A:$AF,,MATCH($B45,recurring_master!$A$1:$AF$1,0)),recurring_master!$A:$A,"&lt;="&amp;EOMONTH(J$4,0),recurring_master!$A:$A,"&gt;="&amp;J$4),
_xlpm.planned,SUMIFS(Planned!$F:$F,Planned!$B:$B,$B45,Planned!$E:$E,"&gt;="&amp;J$4,Planned!$E:$E,"&lt;="&amp;EOMONTH(J$4,0)),
IFERROR(_xlpm.recurring,0)+IFERROR(_xlpm.planned,0))</f>
        <v>0</v>
      </c>
      <c r="K45" s="105">
        <f ca="1">_xlfn.LET(
_xlpm.recurring,SUMIFS(INDEX(recurring_master!$A:$AF,,MATCH($B45,recurring_master!$A$1:$AF$1,0)),recurring_master!$A:$A,"&lt;="&amp;EOMONTH(K$4,0),recurring_master!$A:$A,"&gt;="&amp;K$4),
_xlpm.planned,SUMIFS(Planned!$F:$F,Planned!$B:$B,$B45,Planned!$E:$E,"&gt;="&amp;K$4,Planned!$E:$E,"&lt;="&amp;EOMONTH(K$4,0)),
IFERROR(_xlpm.recurring,0)+IFERROR(_xlpm.planned,0))</f>
        <v>0</v>
      </c>
      <c r="L45" s="105">
        <f ca="1">_xlfn.LET(
_xlpm.recurring,SUMIFS(INDEX(recurring_master!$A:$AF,,MATCH($B45,recurring_master!$A$1:$AF$1,0)),recurring_master!$A:$A,"&lt;="&amp;EOMONTH(L$4,0),recurring_master!$A:$A,"&gt;="&amp;L$4),
_xlpm.planned,SUMIFS(Planned!$F:$F,Planned!$B:$B,$B45,Planned!$E:$E,"&gt;="&amp;L$4,Planned!$E:$E,"&lt;="&amp;EOMONTH(L$4,0)),
IFERROR(_xlpm.recurring,0)+IFERROR(_xlpm.planned,0))</f>
        <v>0</v>
      </c>
      <c r="M45" s="105">
        <f ca="1">_xlfn.LET(
_xlpm.recurring,SUMIFS(INDEX(recurring_master!$A:$AF,,MATCH($B45,recurring_master!$A$1:$AF$1,0)),recurring_master!$A:$A,"&lt;="&amp;EOMONTH(M$4,0),recurring_master!$A:$A,"&gt;="&amp;M$4),
_xlpm.planned,SUMIFS(Planned!$F:$F,Planned!$B:$B,$B45,Planned!$E:$E,"&gt;="&amp;M$4,Planned!$E:$E,"&lt;="&amp;EOMONTH(M$4,0)),
IFERROR(_xlpm.recurring,0)+IFERROR(_xlpm.planned,0))</f>
        <v>0</v>
      </c>
      <c r="N45" s="105">
        <f ca="1">_xlfn.LET(
_xlpm.recurring,SUMIFS(INDEX(recurring_master!$A:$AF,,MATCH($B45,recurring_master!$A$1:$AF$1,0)),recurring_master!$A:$A,"&lt;="&amp;EOMONTH(N$4,0),recurring_master!$A:$A,"&gt;="&amp;N$4),
_xlpm.planned,SUMIFS(Planned!$F:$F,Planned!$B:$B,$B45,Planned!$E:$E,"&gt;="&amp;N$4,Planned!$E:$E,"&lt;="&amp;EOMONTH(N$4,0)),
IFERROR(_xlpm.recurring,0)+IFERROR(_xlpm.planned,0))</f>
        <v>0</v>
      </c>
      <c r="O45" s="96"/>
      <c r="P45" s="106">
        <f t="shared" ref="P45:P50" ca="1" si="13">SUM(C45:N45)</f>
        <v>0</v>
      </c>
      <c r="Q45" s="51"/>
      <c r="R45" s="42" t="s">
        <v>339</v>
      </c>
      <c r="U45" s="22"/>
    </row>
    <row r="46" spans="1:23" ht="12.75" customHeight="1" x14ac:dyDescent="0.2">
      <c r="A46" s="226"/>
      <c r="B46" s="69" t="s">
        <v>20</v>
      </c>
      <c r="C46" s="105">
        <f ca="1">_xlfn.LET(
_xlpm.recurring,SUMIFS(INDEX(recurring_master!$A:$AF,,MATCH($B46,recurring_master!$A$1:$AF$1,0)),recurring_master!$A:$A,"&lt;="&amp;EOMONTH(C$4,0),recurring_master!$A:$A,"&gt;="&amp;C$4),
_xlpm.planned,SUMIFS(Planned!$F:$F,Planned!$B:$B,$B46,Planned!$E:$E,"&gt;="&amp;C$4,Planned!$E:$E,"&lt;="&amp;EOMONTH(C$4,0)),
IFERROR(_xlpm.recurring,0)+IFERROR(_xlpm.planned,0))</f>
        <v>0</v>
      </c>
      <c r="D46" s="105">
        <f ca="1">_xlfn.LET(
_xlpm.recurring,SUMIFS(INDEX(recurring_master!$A:$AF,,MATCH($B46,recurring_master!$A$1:$AF$1,0)),recurring_master!$A:$A,"&lt;="&amp;EOMONTH(D$4,0),recurring_master!$A:$A,"&gt;="&amp;D$4),
_xlpm.planned,SUMIFS(Planned!$F:$F,Planned!$B:$B,$B46,Planned!$E:$E,"&gt;="&amp;D$4,Planned!$E:$E,"&lt;="&amp;EOMONTH(D$4,0)),
IFERROR(_xlpm.recurring,0)+IFERROR(_xlpm.planned,0))</f>
        <v>0</v>
      </c>
      <c r="E46" s="105">
        <f ca="1">_xlfn.LET(
_xlpm.recurring,SUMIFS(INDEX(recurring_master!$A:$AF,,MATCH($B46,recurring_master!$A$1:$AF$1,0)),recurring_master!$A:$A,"&lt;="&amp;EOMONTH(E$4,0),recurring_master!$A:$A,"&gt;="&amp;E$4),
_xlpm.planned,SUMIFS(Planned!$F:$F,Planned!$B:$B,$B46,Planned!$E:$E,"&gt;="&amp;E$4,Planned!$E:$E,"&lt;="&amp;EOMONTH(E$4,0)),
IFERROR(_xlpm.recurring,0)+IFERROR(_xlpm.planned,0))</f>
        <v>0</v>
      </c>
      <c r="F46" s="105">
        <f ca="1">_xlfn.LET(
_xlpm.recurring,SUMIFS(INDEX(recurring_master!$A:$AF,,MATCH($B46,recurring_master!$A$1:$AF$1,0)),recurring_master!$A:$A,"&lt;="&amp;EOMONTH(F$4,0),recurring_master!$A:$A,"&gt;="&amp;F$4),
_xlpm.planned,SUMIFS(Planned!$F:$F,Planned!$B:$B,$B46,Planned!$E:$E,"&gt;="&amp;F$4,Planned!$E:$E,"&lt;="&amp;EOMONTH(F$4,0)),
IFERROR(_xlpm.recurring,0)+IFERROR(_xlpm.planned,0))</f>
        <v>0</v>
      </c>
      <c r="G46" s="105">
        <f ca="1">_xlfn.LET(
_xlpm.recurring,SUMIFS(INDEX(recurring_master!$A:$AF,,MATCH($B46,recurring_master!$A$1:$AF$1,0)),recurring_master!$A:$A,"&lt;="&amp;EOMONTH(G$4,0),recurring_master!$A:$A,"&gt;="&amp;G$4),
_xlpm.planned,SUMIFS(Planned!$F:$F,Planned!$B:$B,$B46,Planned!$E:$E,"&gt;="&amp;G$4,Planned!$E:$E,"&lt;="&amp;EOMONTH(G$4,0)),
IFERROR(_xlpm.recurring,0)+IFERROR(_xlpm.planned,0))</f>
        <v>0</v>
      </c>
      <c r="H46" s="105">
        <f ca="1">_xlfn.LET(
_xlpm.recurring,SUMIFS(INDEX(recurring_master!$A:$AF,,MATCH($B46,recurring_master!$A$1:$AF$1,0)),recurring_master!$A:$A,"&lt;="&amp;EOMONTH(H$4,0),recurring_master!$A:$A,"&gt;="&amp;H$4),
_xlpm.planned,SUMIFS(Planned!$F:$F,Planned!$B:$B,$B46,Planned!$E:$E,"&gt;="&amp;H$4,Planned!$E:$E,"&lt;="&amp;EOMONTH(H$4,0)),
IFERROR(_xlpm.recurring,0)+IFERROR(_xlpm.planned,0))</f>
        <v>0</v>
      </c>
      <c r="I46" s="105">
        <f ca="1">_xlfn.LET(
_xlpm.recurring,SUMIFS(INDEX(recurring_master!$A:$AF,,MATCH($B46,recurring_master!$A$1:$AF$1,0)),recurring_master!$A:$A,"&lt;="&amp;EOMONTH(I$4,0),recurring_master!$A:$A,"&gt;="&amp;I$4),
_xlpm.planned,SUMIFS(Planned!$F:$F,Planned!$B:$B,$B46,Planned!$E:$E,"&gt;="&amp;I$4,Planned!$E:$E,"&lt;="&amp;EOMONTH(I$4,0)),
IFERROR(_xlpm.recurring,0)+IFERROR(_xlpm.planned,0))</f>
        <v>0</v>
      </c>
      <c r="J46" s="105">
        <f ca="1">_xlfn.LET(
_xlpm.recurring,SUMIFS(INDEX(recurring_master!$A:$AF,,MATCH($B46,recurring_master!$A$1:$AF$1,0)),recurring_master!$A:$A,"&lt;="&amp;EOMONTH(J$4,0),recurring_master!$A:$A,"&gt;="&amp;J$4),
_xlpm.planned,SUMIFS(Planned!$F:$F,Planned!$B:$B,$B46,Planned!$E:$E,"&gt;="&amp;J$4,Planned!$E:$E,"&lt;="&amp;EOMONTH(J$4,0)),
IFERROR(_xlpm.recurring,0)+IFERROR(_xlpm.planned,0))</f>
        <v>0</v>
      </c>
      <c r="K46" s="105">
        <f ca="1">_xlfn.LET(
_xlpm.recurring,SUMIFS(INDEX(recurring_master!$A:$AF,,MATCH($B46,recurring_master!$A$1:$AF$1,0)),recurring_master!$A:$A,"&lt;="&amp;EOMONTH(K$4,0),recurring_master!$A:$A,"&gt;="&amp;K$4),
_xlpm.planned,SUMIFS(Planned!$F:$F,Planned!$B:$B,$B46,Planned!$E:$E,"&gt;="&amp;K$4,Planned!$E:$E,"&lt;="&amp;EOMONTH(K$4,0)),
IFERROR(_xlpm.recurring,0)+IFERROR(_xlpm.planned,0))</f>
        <v>0</v>
      </c>
      <c r="L46" s="105">
        <f ca="1">_xlfn.LET(
_xlpm.recurring,SUMIFS(INDEX(recurring_master!$A:$AF,,MATCH($B46,recurring_master!$A$1:$AF$1,0)),recurring_master!$A:$A,"&lt;="&amp;EOMONTH(L$4,0),recurring_master!$A:$A,"&gt;="&amp;L$4),
_xlpm.planned,SUMIFS(Planned!$F:$F,Planned!$B:$B,$B46,Planned!$E:$E,"&gt;="&amp;L$4,Planned!$E:$E,"&lt;="&amp;EOMONTH(L$4,0)),
IFERROR(_xlpm.recurring,0)+IFERROR(_xlpm.planned,0))</f>
        <v>0</v>
      </c>
      <c r="M46" s="105">
        <f ca="1">_xlfn.LET(
_xlpm.recurring,SUMIFS(INDEX(recurring_master!$A:$AF,,MATCH($B46,recurring_master!$A$1:$AF$1,0)),recurring_master!$A:$A,"&lt;="&amp;EOMONTH(M$4,0),recurring_master!$A:$A,"&gt;="&amp;M$4),
_xlpm.planned,SUMIFS(Planned!$F:$F,Planned!$B:$B,$B46,Planned!$E:$E,"&gt;="&amp;M$4,Planned!$E:$E,"&lt;="&amp;EOMONTH(M$4,0)),
IFERROR(_xlpm.recurring,0)+IFERROR(_xlpm.planned,0))</f>
        <v>0</v>
      </c>
      <c r="N46" s="105">
        <f ca="1">_xlfn.LET(
_xlpm.recurring,SUMIFS(INDEX(recurring_master!$A:$AF,,MATCH($B46,recurring_master!$A$1:$AF$1,0)),recurring_master!$A:$A,"&lt;="&amp;EOMONTH(N$4,0),recurring_master!$A:$A,"&gt;="&amp;N$4),
_xlpm.planned,SUMIFS(Planned!$F:$F,Planned!$B:$B,$B46,Planned!$E:$E,"&gt;="&amp;N$4,Planned!$E:$E,"&lt;="&amp;EOMONTH(N$4,0)),
IFERROR(_xlpm.recurring,0)+IFERROR(_xlpm.planned,0))</f>
        <v>0</v>
      </c>
      <c r="O46" s="96"/>
      <c r="P46" s="106">
        <f t="shared" ca="1" si="13"/>
        <v>0</v>
      </c>
      <c r="Q46" s="52"/>
      <c r="R46" s="42"/>
      <c r="U46" s="22"/>
    </row>
    <row r="47" spans="1:23" ht="12.75" customHeight="1" x14ac:dyDescent="0.2">
      <c r="A47" s="226"/>
      <c r="B47" s="77" t="s">
        <v>195</v>
      </c>
      <c r="C47" s="105">
        <f ca="1">_xlfn.LET(
_xlpm.recurring,SUMIFS(INDEX(recurring_master!$A:$AF,,MATCH($B47,recurring_master!$A$1:$AF$1,0)),recurring_master!$A:$A,"&lt;="&amp;EOMONTH(C$4,0),recurring_master!$A:$A,"&gt;="&amp;C$4),
_xlpm.planned,SUMIFS(Planned!$F:$F,Planned!$B:$B,$B47,Planned!$E:$E,"&gt;="&amp;C$4,Planned!$E:$E,"&lt;="&amp;EOMONTH(C$4,0)),
IFERROR(_xlpm.recurring,0)+IFERROR(_xlpm.planned,0))</f>
        <v>0</v>
      </c>
      <c r="D47" s="105">
        <f ca="1">_xlfn.LET(
_xlpm.recurring,SUMIFS(INDEX(recurring_master!$A:$AF,,MATCH($B47,recurring_master!$A$1:$AF$1,0)),recurring_master!$A:$A,"&lt;="&amp;EOMONTH(D$4,0),recurring_master!$A:$A,"&gt;="&amp;D$4),
_xlpm.planned,SUMIFS(Planned!$F:$F,Planned!$B:$B,$B47,Planned!$E:$E,"&gt;="&amp;D$4,Planned!$E:$E,"&lt;="&amp;EOMONTH(D$4,0)),
IFERROR(_xlpm.recurring,0)+IFERROR(_xlpm.planned,0))</f>
        <v>0</v>
      </c>
      <c r="E47" s="105">
        <f ca="1">_xlfn.LET(
_xlpm.recurring,SUMIFS(INDEX(recurring_master!$A:$AF,,MATCH($B47,recurring_master!$A$1:$AF$1,0)),recurring_master!$A:$A,"&lt;="&amp;EOMONTH(E$4,0),recurring_master!$A:$A,"&gt;="&amp;E$4),
_xlpm.planned,SUMIFS(Planned!$F:$F,Planned!$B:$B,$B47,Planned!$E:$E,"&gt;="&amp;E$4,Planned!$E:$E,"&lt;="&amp;EOMONTH(E$4,0)),
IFERROR(_xlpm.recurring,0)+IFERROR(_xlpm.planned,0))</f>
        <v>0</v>
      </c>
      <c r="F47" s="105">
        <f ca="1">_xlfn.LET(
_xlpm.recurring,SUMIFS(INDEX(recurring_master!$A:$AF,,MATCH($B47,recurring_master!$A$1:$AF$1,0)),recurring_master!$A:$A,"&lt;="&amp;EOMONTH(F$4,0),recurring_master!$A:$A,"&gt;="&amp;F$4),
_xlpm.planned,SUMIFS(Planned!$F:$F,Planned!$B:$B,$B47,Planned!$E:$E,"&gt;="&amp;F$4,Planned!$E:$E,"&lt;="&amp;EOMONTH(F$4,0)),
IFERROR(_xlpm.recurring,0)+IFERROR(_xlpm.planned,0))</f>
        <v>0</v>
      </c>
      <c r="G47" s="105">
        <f ca="1">_xlfn.LET(
_xlpm.recurring,SUMIFS(INDEX(recurring_master!$A:$AF,,MATCH($B47,recurring_master!$A$1:$AF$1,0)),recurring_master!$A:$A,"&lt;="&amp;EOMONTH(G$4,0),recurring_master!$A:$A,"&gt;="&amp;G$4),
_xlpm.planned,SUMIFS(Planned!$F:$F,Planned!$B:$B,$B47,Planned!$E:$E,"&gt;="&amp;G$4,Planned!$E:$E,"&lt;="&amp;EOMONTH(G$4,0)),
IFERROR(_xlpm.recurring,0)+IFERROR(_xlpm.planned,0))</f>
        <v>0</v>
      </c>
      <c r="H47" s="105">
        <f ca="1">_xlfn.LET(
_xlpm.recurring,SUMIFS(INDEX(recurring_master!$A:$AF,,MATCH($B47,recurring_master!$A$1:$AF$1,0)),recurring_master!$A:$A,"&lt;="&amp;EOMONTH(H$4,0),recurring_master!$A:$A,"&gt;="&amp;H$4),
_xlpm.planned,SUMIFS(Planned!$F:$F,Planned!$B:$B,$B47,Planned!$E:$E,"&gt;="&amp;H$4,Planned!$E:$E,"&lt;="&amp;EOMONTH(H$4,0)),
IFERROR(_xlpm.recurring,0)+IFERROR(_xlpm.planned,0))</f>
        <v>0</v>
      </c>
      <c r="I47" s="105">
        <f ca="1">_xlfn.LET(
_xlpm.recurring,SUMIFS(INDEX(recurring_master!$A:$AF,,MATCH($B47,recurring_master!$A$1:$AF$1,0)),recurring_master!$A:$A,"&lt;="&amp;EOMONTH(I$4,0),recurring_master!$A:$A,"&gt;="&amp;I$4),
_xlpm.planned,SUMIFS(Planned!$F:$F,Planned!$B:$B,$B47,Planned!$E:$E,"&gt;="&amp;I$4,Planned!$E:$E,"&lt;="&amp;EOMONTH(I$4,0)),
IFERROR(_xlpm.recurring,0)+IFERROR(_xlpm.planned,0))</f>
        <v>0</v>
      </c>
      <c r="J47" s="105">
        <f ca="1">_xlfn.LET(
_xlpm.recurring,SUMIFS(INDEX(recurring_master!$A:$AF,,MATCH($B47,recurring_master!$A$1:$AF$1,0)),recurring_master!$A:$A,"&lt;="&amp;EOMONTH(J$4,0),recurring_master!$A:$A,"&gt;="&amp;J$4),
_xlpm.planned,SUMIFS(Planned!$F:$F,Planned!$B:$B,$B47,Planned!$E:$E,"&gt;="&amp;J$4,Planned!$E:$E,"&lt;="&amp;EOMONTH(J$4,0)),
IFERROR(_xlpm.recurring,0)+IFERROR(_xlpm.planned,0))</f>
        <v>0</v>
      </c>
      <c r="K47" s="105">
        <f ca="1">_xlfn.LET(
_xlpm.recurring,SUMIFS(INDEX(recurring_master!$A:$AF,,MATCH($B47,recurring_master!$A$1:$AF$1,0)),recurring_master!$A:$A,"&lt;="&amp;EOMONTH(K$4,0),recurring_master!$A:$A,"&gt;="&amp;K$4),
_xlpm.planned,SUMIFS(Planned!$F:$F,Planned!$B:$B,$B47,Planned!$E:$E,"&gt;="&amp;K$4,Planned!$E:$E,"&lt;="&amp;EOMONTH(K$4,0)),
IFERROR(_xlpm.recurring,0)+IFERROR(_xlpm.planned,0))</f>
        <v>0</v>
      </c>
      <c r="L47" s="105">
        <f ca="1">_xlfn.LET(
_xlpm.recurring,SUMIFS(INDEX(recurring_master!$A:$AF,,MATCH($B47,recurring_master!$A$1:$AF$1,0)),recurring_master!$A:$A,"&lt;="&amp;EOMONTH(L$4,0),recurring_master!$A:$A,"&gt;="&amp;L$4),
_xlpm.planned,SUMIFS(Planned!$F:$F,Planned!$B:$B,$B47,Planned!$E:$E,"&gt;="&amp;L$4,Planned!$E:$E,"&lt;="&amp;EOMONTH(L$4,0)),
IFERROR(_xlpm.recurring,0)+IFERROR(_xlpm.planned,0))</f>
        <v>0</v>
      </c>
      <c r="M47" s="105">
        <f ca="1">_xlfn.LET(
_xlpm.recurring,SUMIFS(INDEX(recurring_master!$A:$AF,,MATCH($B47,recurring_master!$A$1:$AF$1,0)),recurring_master!$A:$A,"&lt;="&amp;EOMONTH(M$4,0),recurring_master!$A:$A,"&gt;="&amp;M$4),
_xlpm.planned,SUMIFS(Planned!$F:$F,Planned!$B:$B,$B47,Planned!$E:$E,"&gt;="&amp;M$4,Planned!$E:$E,"&lt;="&amp;EOMONTH(M$4,0)),
IFERROR(_xlpm.recurring,0)+IFERROR(_xlpm.planned,0))</f>
        <v>0</v>
      </c>
      <c r="N47" s="105">
        <f ca="1">_xlfn.LET(
_xlpm.recurring,SUMIFS(INDEX(recurring_master!$A:$AF,,MATCH($B47,recurring_master!$A$1:$AF$1,0)),recurring_master!$A:$A,"&lt;="&amp;EOMONTH(N$4,0),recurring_master!$A:$A,"&gt;="&amp;N$4),
_xlpm.planned,SUMIFS(Planned!$F:$F,Planned!$B:$B,$B47,Planned!$E:$E,"&gt;="&amp;N$4,Planned!$E:$E,"&lt;="&amp;EOMONTH(N$4,0)),
IFERROR(_xlpm.recurring,0)+IFERROR(_xlpm.planned,0))</f>
        <v>0</v>
      </c>
      <c r="O47" s="96"/>
      <c r="P47" s="106">
        <f t="shared" ca="1" si="13"/>
        <v>0</v>
      </c>
      <c r="Q47" s="51"/>
      <c r="R47" s="42"/>
      <c r="U47" s="22"/>
    </row>
    <row r="48" spans="1:23" ht="12.75" customHeight="1" x14ac:dyDescent="0.2">
      <c r="A48" s="226"/>
      <c r="B48" s="69" t="s">
        <v>291</v>
      </c>
      <c r="C48" s="105">
        <f ca="1">_xlfn.LET(
_xlpm.recurring,SUMIFS(INDEX(recurring_master!$A:$AF,,MATCH($B48,recurring_master!$A$1:$AF$1,0)),recurring_master!$A:$A,"&lt;="&amp;EOMONTH(C$4,0),recurring_master!$A:$A,"&gt;="&amp;C$4),
_xlpm.planned,SUMIFS(Planned!$F:$F,Planned!$B:$B,$B48,Planned!$E:$E,"&gt;="&amp;C$4,Planned!$E:$E,"&lt;="&amp;EOMONTH(C$4,0)),
IFERROR(_xlpm.recurring,0)+IFERROR(_xlpm.planned,0))</f>
        <v>0</v>
      </c>
      <c r="D48" s="105">
        <f ca="1">_xlfn.LET(
_xlpm.recurring,SUMIFS(INDEX(recurring_master!$A:$AF,,MATCH($B48,recurring_master!$A$1:$AF$1,0)),recurring_master!$A:$A,"&lt;="&amp;EOMONTH(D$4,0),recurring_master!$A:$A,"&gt;="&amp;D$4),
_xlpm.planned,SUMIFS(Planned!$F:$F,Planned!$B:$B,$B48,Planned!$E:$E,"&gt;="&amp;D$4,Planned!$E:$E,"&lt;="&amp;EOMONTH(D$4,0)),
IFERROR(_xlpm.recurring,0)+IFERROR(_xlpm.planned,0))</f>
        <v>0</v>
      </c>
      <c r="E48" s="105">
        <f ca="1">_xlfn.LET(
_xlpm.recurring,SUMIFS(INDEX(recurring_master!$A:$AF,,MATCH($B48,recurring_master!$A$1:$AF$1,0)),recurring_master!$A:$A,"&lt;="&amp;EOMONTH(E$4,0),recurring_master!$A:$A,"&gt;="&amp;E$4),
_xlpm.planned,SUMIFS(Planned!$F:$F,Planned!$B:$B,$B48,Planned!$E:$E,"&gt;="&amp;E$4,Planned!$E:$E,"&lt;="&amp;EOMONTH(E$4,0)),
IFERROR(_xlpm.recurring,0)+IFERROR(_xlpm.planned,0))</f>
        <v>0</v>
      </c>
      <c r="F48" s="105">
        <f ca="1">_xlfn.LET(
_xlpm.recurring,SUMIFS(INDEX(recurring_master!$A:$AF,,MATCH($B48,recurring_master!$A$1:$AF$1,0)),recurring_master!$A:$A,"&lt;="&amp;EOMONTH(F$4,0),recurring_master!$A:$A,"&gt;="&amp;F$4),
_xlpm.planned,SUMIFS(Planned!$F:$F,Planned!$B:$B,$B48,Planned!$E:$E,"&gt;="&amp;F$4,Planned!$E:$E,"&lt;="&amp;EOMONTH(F$4,0)),
IFERROR(_xlpm.recurring,0)+IFERROR(_xlpm.planned,0))</f>
        <v>0</v>
      </c>
      <c r="G48" s="105">
        <f ca="1">_xlfn.LET(
_xlpm.recurring,SUMIFS(INDEX(recurring_master!$A:$AF,,MATCH($B48,recurring_master!$A$1:$AF$1,0)),recurring_master!$A:$A,"&lt;="&amp;EOMONTH(G$4,0),recurring_master!$A:$A,"&gt;="&amp;G$4),
_xlpm.planned,SUMIFS(Planned!$F:$F,Planned!$B:$B,$B48,Planned!$E:$E,"&gt;="&amp;G$4,Planned!$E:$E,"&lt;="&amp;EOMONTH(G$4,0)),
IFERROR(_xlpm.recurring,0)+IFERROR(_xlpm.planned,0))</f>
        <v>0</v>
      </c>
      <c r="H48" s="105">
        <f ca="1">_xlfn.LET(
_xlpm.recurring,SUMIFS(INDEX(recurring_master!$A:$AF,,MATCH($B48,recurring_master!$A$1:$AF$1,0)),recurring_master!$A:$A,"&lt;="&amp;EOMONTH(H$4,0),recurring_master!$A:$A,"&gt;="&amp;H$4),
_xlpm.planned,SUMIFS(Planned!$F:$F,Planned!$B:$B,$B48,Planned!$E:$E,"&gt;="&amp;H$4,Planned!$E:$E,"&lt;="&amp;EOMONTH(H$4,0)),
IFERROR(_xlpm.recurring,0)+IFERROR(_xlpm.planned,0))</f>
        <v>0</v>
      </c>
      <c r="I48" s="105">
        <f ca="1">_xlfn.LET(
_xlpm.recurring,SUMIFS(INDEX(recurring_master!$A:$AF,,MATCH($B48,recurring_master!$A$1:$AF$1,0)),recurring_master!$A:$A,"&lt;="&amp;EOMONTH(I$4,0),recurring_master!$A:$A,"&gt;="&amp;I$4),
_xlpm.planned,SUMIFS(Planned!$F:$F,Planned!$B:$B,$B48,Planned!$E:$E,"&gt;="&amp;I$4,Planned!$E:$E,"&lt;="&amp;EOMONTH(I$4,0)),
IFERROR(_xlpm.recurring,0)+IFERROR(_xlpm.planned,0))</f>
        <v>0</v>
      </c>
      <c r="J48" s="105">
        <f ca="1">_xlfn.LET(
_xlpm.recurring,SUMIFS(INDEX(recurring_master!$A:$AF,,MATCH($B48,recurring_master!$A$1:$AF$1,0)),recurring_master!$A:$A,"&lt;="&amp;EOMONTH(J$4,0),recurring_master!$A:$A,"&gt;="&amp;J$4),
_xlpm.planned,SUMIFS(Planned!$F:$F,Planned!$B:$B,$B48,Planned!$E:$E,"&gt;="&amp;J$4,Planned!$E:$E,"&lt;="&amp;EOMONTH(J$4,0)),
IFERROR(_xlpm.recurring,0)+IFERROR(_xlpm.planned,0))</f>
        <v>0</v>
      </c>
      <c r="K48" s="105">
        <f ca="1">_xlfn.LET(
_xlpm.recurring,SUMIFS(INDEX(recurring_master!$A:$AF,,MATCH($B48,recurring_master!$A$1:$AF$1,0)),recurring_master!$A:$A,"&lt;="&amp;EOMONTH(K$4,0),recurring_master!$A:$A,"&gt;="&amp;K$4),
_xlpm.planned,SUMIFS(Planned!$F:$F,Planned!$B:$B,$B48,Planned!$E:$E,"&gt;="&amp;K$4,Planned!$E:$E,"&lt;="&amp;EOMONTH(K$4,0)),
IFERROR(_xlpm.recurring,0)+IFERROR(_xlpm.planned,0))</f>
        <v>0</v>
      </c>
      <c r="L48" s="105">
        <f ca="1">_xlfn.LET(
_xlpm.recurring,SUMIFS(INDEX(recurring_master!$A:$AF,,MATCH($B48,recurring_master!$A$1:$AF$1,0)),recurring_master!$A:$A,"&lt;="&amp;EOMONTH(L$4,0),recurring_master!$A:$A,"&gt;="&amp;L$4),
_xlpm.planned,SUMIFS(Planned!$F:$F,Planned!$B:$B,$B48,Planned!$E:$E,"&gt;="&amp;L$4,Planned!$E:$E,"&lt;="&amp;EOMONTH(L$4,0)),
IFERROR(_xlpm.recurring,0)+IFERROR(_xlpm.planned,0))</f>
        <v>0</v>
      </c>
      <c r="M48" s="105">
        <f ca="1">_xlfn.LET(
_xlpm.recurring,SUMIFS(INDEX(recurring_master!$A:$AF,,MATCH($B48,recurring_master!$A$1:$AF$1,0)),recurring_master!$A:$A,"&lt;="&amp;EOMONTH(M$4,0),recurring_master!$A:$A,"&gt;="&amp;M$4),
_xlpm.planned,SUMIFS(Planned!$F:$F,Planned!$B:$B,$B48,Planned!$E:$E,"&gt;="&amp;M$4,Planned!$E:$E,"&lt;="&amp;EOMONTH(M$4,0)),
IFERROR(_xlpm.recurring,0)+IFERROR(_xlpm.planned,0))</f>
        <v>0</v>
      </c>
      <c r="N48" s="105">
        <f ca="1">_xlfn.LET(
_xlpm.recurring,SUMIFS(INDEX(recurring_master!$A:$AF,,MATCH($B48,recurring_master!$A$1:$AF$1,0)),recurring_master!$A:$A,"&lt;="&amp;EOMONTH(N$4,0),recurring_master!$A:$A,"&gt;="&amp;N$4),
_xlpm.planned,SUMIFS(Planned!$F:$F,Planned!$B:$B,$B48,Planned!$E:$E,"&gt;="&amp;N$4,Planned!$E:$E,"&lt;="&amp;EOMONTH(N$4,0)),
IFERROR(_xlpm.recurring,0)+IFERROR(_xlpm.planned,0))</f>
        <v>0</v>
      </c>
      <c r="O48" s="96"/>
      <c r="P48" s="106">
        <f t="shared" ca="1" si="13"/>
        <v>0</v>
      </c>
      <c r="Q48" s="51"/>
      <c r="R48" s="42"/>
      <c r="U48" s="22"/>
    </row>
    <row r="49" spans="1:23" ht="12.75" customHeight="1" x14ac:dyDescent="0.2">
      <c r="A49" s="226"/>
      <c r="B49" s="161" t="s">
        <v>166</v>
      </c>
      <c r="C49" s="105">
        <f ca="1">_xlfn.LET(
_xlpm.recurring,SUMIFS(INDEX(recurring_master!$A:$AF,,MATCH($B49,recurring_master!$A$1:$AF$1,0)),recurring_master!$A:$A,"&lt;="&amp;EOMONTH(C$4,0),recurring_master!$A:$A,"&gt;="&amp;C$4),
_xlpm.planned,SUMIFS(Planned!$F:$F,Planned!$B:$B,$B49,Planned!$E:$E,"&gt;="&amp;C$4,Planned!$E:$E,"&lt;="&amp;EOMONTH(C$4,0)),
IFERROR(_xlpm.recurring,0)+IFERROR(_xlpm.planned,0))</f>
        <v>0</v>
      </c>
      <c r="D49" s="105">
        <f ca="1">_xlfn.LET(
_xlpm.recurring,SUMIFS(INDEX(recurring_master!$A:$AF,,MATCH($B49,recurring_master!$A$1:$AF$1,0)),recurring_master!$A:$A,"&lt;="&amp;EOMONTH(D$4,0),recurring_master!$A:$A,"&gt;="&amp;D$4),
_xlpm.planned,SUMIFS(Planned!$F:$F,Planned!$B:$B,$B49,Planned!$E:$E,"&gt;="&amp;D$4,Planned!$E:$E,"&lt;="&amp;EOMONTH(D$4,0)),
IFERROR(_xlpm.recurring,0)+IFERROR(_xlpm.planned,0))</f>
        <v>0</v>
      </c>
      <c r="E49" s="105">
        <f ca="1">_xlfn.LET(
_xlpm.recurring,SUMIFS(INDEX(recurring_master!$A:$AF,,MATCH($B49,recurring_master!$A$1:$AF$1,0)),recurring_master!$A:$A,"&lt;="&amp;EOMONTH(E$4,0),recurring_master!$A:$A,"&gt;="&amp;E$4),
_xlpm.planned,SUMIFS(Planned!$F:$F,Planned!$B:$B,$B49,Planned!$E:$E,"&gt;="&amp;E$4,Planned!$E:$E,"&lt;="&amp;EOMONTH(E$4,0)),
IFERROR(_xlpm.recurring,0)+IFERROR(_xlpm.planned,0))</f>
        <v>0</v>
      </c>
      <c r="F49" s="105">
        <f ca="1">_xlfn.LET(
_xlpm.recurring,SUMIFS(INDEX(recurring_master!$A:$AF,,MATCH($B49,recurring_master!$A$1:$AF$1,0)),recurring_master!$A:$A,"&lt;="&amp;EOMONTH(F$4,0),recurring_master!$A:$A,"&gt;="&amp;F$4),
_xlpm.planned,SUMIFS(Planned!$F:$F,Planned!$B:$B,$B49,Planned!$E:$E,"&gt;="&amp;F$4,Planned!$E:$E,"&lt;="&amp;EOMONTH(F$4,0)),
IFERROR(_xlpm.recurring,0)+IFERROR(_xlpm.planned,0))</f>
        <v>0</v>
      </c>
      <c r="G49" s="105">
        <f ca="1">_xlfn.LET(
_xlpm.recurring,SUMIFS(INDEX(recurring_master!$A:$AF,,MATCH($B49,recurring_master!$A$1:$AF$1,0)),recurring_master!$A:$A,"&lt;="&amp;EOMONTH(G$4,0),recurring_master!$A:$A,"&gt;="&amp;G$4),
_xlpm.planned,SUMIFS(Planned!$F:$F,Planned!$B:$B,$B49,Planned!$E:$E,"&gt;="&amp;G$4,Planned!$E:$E,"&lt;="&amp;EOMONTH(G$4,0)),
IFERROR(_xlpm.recurring,0)+IFERROR(_xlpm.planned,0))</f>
        <v>0</v>
      </c>
      <c r="H49" s="105">
        <f ca="1">_xlfn.LET(
_xlpm.recurring,SUMIFS(INDEX(recurring_master!$A:$AF,,MATCH($B49,recurring_master!$A$1:$AF$1,0)),recurring_master!$A:$A,"&lt;="&amp;EOMONTH(H$4,0),recurring_master!$A:$A,"&gt;="&amp;H$4),
_xlpm.planned,SUMIFS(Planned!$F:$F,Planned!$B:$B,$B49,Planned!$E:$E,"&gt;="&amp;H$4,Planned!$E:$E,"&lt;="&amp;EOMONTH(H$4,0)),
IFERROR(_xlpm.recurring,0)+IFERROR(_xlpm.planned,0))</f>
        <v>0</v>
      </c>
      <c r="I49" s="105">
        <f ca="1">_xlfn.LET(
_xlpm.recurring,SUMIFS(INDEX(recurring_master!$A:$AF,,MATCH($B49,recurring_master!$A$1:$AF$1,0)),recurring_master!$A:$A,"&lt;="&amp;EOMONTH(I$4,0),recurring_master!$A:$A,"&gt;="&amp;I$4),
_xlpm.planned,SUMIFS(Planned!$F:$F,Planned!$B:$B,$B49,Planned!$E:$E,"&gt;="&amp;I$4,Planned!$E:$E,"&lt;="&amp;EOMONTH(I$4,0)),
IFERROR(_xlpm.recurring,0)+IFERROR(_xlpm.planned,0))</f>
        <v>0</v>
      </c>
      <c r="J49" s="105">
        <f ca="1">_xlfn.LET(
_xlpm.recurring,SUMIFS(INDEX(recurring_master!$A:$AF,,MATCH($B49,recurring_master!$A$1:$AF$1,0)),recurring_master!$A:$A,"&lt;="&amp;EOMONTH(J$4,0),recurring_master!$A:$A,"&gt;="&amp;J$4),
_xlpm.planned,SUMIFS(Planned!$F:$F,Planned!$B:$B,$B49,Planned!$E:$E,"&gt;="&amp;J$4,Planned!$E:$E,"&lt;="&amp;EOMONTH(J$4,0)),
IFERROR(_xlpm.recurring,0)+IFERROR(_xlpm.planned,0))</f>
        <v>0</v>
      </c>
      <c r="K49" s="105">
        <f ca="1">_xlfn.LET(
_xlpm.recurring,SUMIFS(INDEX(recurring_master!$A:$AF,,MATCH($B49,recurring_master!$A$1:$AF$1,0)),recurring_master!$A:$A,"&lt;="&amp;EOMONTH(K$4,0),recurring_master!$A:$A,"&gt;="&amp;K$4),
_xlpm.planned,SUMIFS(Planned!$F:$F,Planned!$B:$B,$B49,Planned!$E:$E,"&gt;="&amp;K$4,Planned!$E:$E,"&lt;="&amp;EOMONTH(K$4,0)),
IFERROR(_xlpm.recurring,0)+IFERROR(_xlpm.planned,0))</f>
        <v>0</v>
      </c>
      <c r="L49" s="105">
        <f ca="1">_xlfn.LET(
_xlpm.recurring,SUMIFS(INDEX(recurring_master!$A:$AF,,MATCH($B49,recurring_master!$A$1:$AF$1,0)),recurring_master!$A:$A,"&lt;="&amp;EOMONTH(L$4,0),recurring_master!$A:$A,"&gt;="&amp;L$4),
_xlpm.planned,SUMIFS(Planned!$F:$F,Planned!$B:$B,$B49,Planned!$E:$E,"&gt;="&amp;L$4,Planned!$E:$E,"&lt;="&amp;EOMONTH(L$4,0)),
IFERROR(_xlpm.recurring,0)+IFERROR(_xlpm.planned,0))</f>
        <v>0</v>
      </c>
      <c r="M49" s="105">
        <f ca="1">_xlfn.LET(
_xlpm.recurring,SUMIFS(INDEX(recurring_master!$A:$AF,,MATCH($B49,recurring_master!$A$1:$AF$1,0)),recurring_master!$A:$A,"&lt;="&amp;EOMONTH(M$4,0),recurring_master!$A:$A,"&gt;="&amp;M$4),
_xlpm.planned,SUMIFS(Planned!$F:$F,Planned!$B:$B,$B49,Planned!$E:$E,"&gt;="&amp;M$4,Planned!$E:$E,"&lt;="&amp;EOMONTH(M$4,0)),
IFERROR(_xlpm.recurring,0)+IFERROR(_xlpm.planned,0))</f>
        <v>0</v>
      </c>
      <c r="N49" s="105">
        <f ca="1">_xlfn.LET(
_xlpm.recurring,SUMIFS(INDEX(recurring_master!$A:$AF,,MATCH($B49,recurring_master!$A$1:$AF$1,0)),recurring_master!$A:$A,"&lt;="&amp;EOMONTH(N$4,0),recurring_master!$A:$A,"&gt;="&amp;N$4),
_xlpm.planned,SUMIFS(Planned!$F:$F,Planned!$B:$B,$B49,Planned!$E:$E,"&gt;="&amp;N$4,Planned!$E:$E,"&lt;="&amp;EOMONTH(N$4,0)),
IFERROR(_xlpm.recurring,0)+IFERROR(_xlpm.planned,0))</f>
        <v>0</v>
      </c>
      <c r="O49" s="96"/>
      <c r="P49" s="106">
        <f t="shared" ca="1" si="13"/>
        <v>0</v>
      </c>
      <c r="Q49" s="51"/>
      <c r="R49" s="42" t="s">
        <v>329</v>
      </c>
      <c r="U49" s="22"/>
    </row>
    <row r="50" spans="1:23" ht="12.75" customHeight="1" x14ac:dyDescent="0.2">
      <c r="A50" s="226"/>
      <c r="B50" s="161" t="s">
        <v>304</v>
      </c>
      <c r="C50" s="105">
        <f ca="1">_xlfn.LET(
_xlpm.recurring,SUMIFS(INDEX(recurring_master!$A:$AF,,MATCH($B50,recurring_master!$A$1:$AF$1,0)),recurring_master!$A:$A,"&lt;="&amp;EOMONTH(C$4,0),recurring_master!$A:$A,"&gt;="&amp;C$4),
_xlpm.planned,SUMIFS(Planned!$F:$F,Planned!$B:$B,$B50,Planned!$E:$E,"&gt;="&amp;C$4,Planned!$E:$E,"&lt;="&amp;EOMONTH(C$4,0)),
IFERROR(_xlpm.recurring,0)+IFERROR(_xlpm.planned,0))</f>
        <v>0</v>
      </c>
      <c r="D50" s="105">
        <f ca="1">_xlfn.LET(
_xlpm.recurring,SUMIFS(INDEX(recurring_master!$A:$AF,,MATCH($B50,recurring_master!$A$1:$AF$1,0)),recurring_master!$A:$A,"&lt;="&amp;EOMONTH(D$4,0),recurring_master!$A:$A,"&gt;="&amp;D$4),
_xlpm.planned,SUMIFS(Planned!$F:$F,Planned!$B:$B,$B50,Planned!$E:$E,"&gt;="&amp;D$4,Planned!$E:$E,"&lt;="&amp;EOMONTH(D$4,0)),
IFERROR(_xlpm.recurring,0)+IFERROR(_xlpm.planned,0))</f>
        <v>0</v>
      </c>
      <c r="E50" s="105">
        <f ca="1">_xlfn.LET(
_xlpm.recurring,SUMIFS(INDEX(recurring_master!$A:$AF,,MATCH($B50,recurring_master!$A$1:$AF$1,0)),recurring_master!$A:$A,"&lt;="&amp;EOMONTH(E$4,0),recurring_master!$A:$A,"&gt;="&amp;E$4),
_xlpm.planned,SUMIFS(Planned!$F:$F,Planned!$B:$B,$B50,Planned!$E:$E,"&gt;="&amp;E$4,Planned!$E:$E,"&lt;="&amp;EOMONTH(E$4,0)),
IFERROR(_xlpm.recurring,0)+IFERROR(_xlpm.planned,0))</f>
        <v>0</v>
      </c>
      <c r="F50" s="105">
        <f ca="1">_xlfn.LET(
_xlpm.recurring,SUMIFS(INDEX(recurring_master!$A:$AF,,MATCH($B50,recurring_master!$A$1:$AF$1,0)),recurring_master!$A:$A,"&lt;="&amp;EOMONTH(F$4,0),recurring_master!$A:$A,"&gt;="&amp;F$4),
_xlpm.planned,SUMIFS(Planned!$F:$F,Planned!$B:$B,$B50,Planned!$E:$E,"&gt;="&amp;F$4,Planned!$E:$E,"&lt;="&amp;EOMONTH(F$4,0)),
IFERROR(_xlpm.recurring,0)+IFERROR(_xlpm.planned,0))</f>
        <v>0</v>
      </c>
      <c r="G50" s="105">
        <f ca="1">_xlfn.LET(
_xlpm.recurring,SUMIFS(INDEX(recurring_master!$A:$AF,,MATCH($B50,recurring_master!$A$1:$AF$1,0)),recurring_master!$A:$A,"&lt;="&amp;EOMONTH(G$4,0),recurring_master!$A:$A,"&gt;="&amp;G$4),
_xlpm.planned,SUMIFS(Planned!$F:$F,Planned!$B:$B,$B50,Planned!$E:$E,"&gt;="&amp;G$4,Planned!$E:$E,"&lt;="&amp;EOMONTH(G$4,0)),
IFERROR(_xlpm.recurring,0)+IFERROR(_xlpm.planned,0))</f>
        <v>0</v>
      </c>
      <c r="H50" s="105">
        <f ca="1">_xlfn.LET(
_xlpm.recurring,SUMIFS(INDEX(recurring_master!$A:$AF,,MATCH($B50,recurring_master!$A$1:$AF$1,0)),recurring_master!$A:$A,"&lt;="&amp;EOMONTH(H$4,0),recurring_master!$A:$A,"&gt;="&amp;H$4),
_xlpm.planned,SUMIFS(Planned!$F:$F,Planned!$B:$B,$B50,Planned!$E:$E,"&gt;="&amp;H$4,Planned!$E:$E,"&lt;="&amp;EOMONTH(H$4,0)),
IFERROR(_xlpm.recurring,0)+IFERROR(_xlpm.planned,0))</f>
        <v>0</v>
      </c>
      <c r="I50" s="105">
        <f ca="1">_xlfn.LET(
_xlpm.recurring,SUMIFS(INDEX(recurring_master!$A:$AF,,MATCH($B50,recurring_master!$A$1:$AF$1,0)),recurring_master!$A:$A,"&lt;="&amp;EOMONTH(I$4,0),recurring_master!$A:$A,"&gt;="&amp;I$4),
_xlpm.planned,SUMIFS(Planned!$F:$F,Planned!$B:$B,$B50,Planned!$E:$E,"&gt;="&amp;I$4,Planned!$E:$E,"&lt;="&amp;EOMONTH(I$4,0)),
IFERROR(_xlpm.recurring,0)+IFERROR(_xlpm.planned,0))</f>
        <v>0</v>
      </c>
      <c r="J50" s="105">
        <f ca="1">_xlfn.LET(
_xlpm.recurring,SUMIFS(INDEX(recurring_master!$A:$AF,,MATCH($B50,recurring_master!$A$1:$AF$1,0)),recurring_master!$A:$A,"&lt;="&amp;EOMONTH(J$4,0),recurring_master!$A:$A,"&gt;="&amp;J$4),
_xlpm.planned,SUMIFS(Planned!$F:$F,Planned!$B:$B,$B50,Planned!$E:$E,"&gt;="&amp;J$4,Planned!$E:$E,"&lt;="&amp;EOMONTH(J$4,0)),
IFERROR(_xlpm.recurring,0)+IFERROR(_xlpm.planned,0))</f>
        <v>0</v>
      </c>
      <c r="K50" s="105">
        <f ca="1">_xlfn.LET(
_xlpm.recurring,SUMIFS(INDEX(recurring_master!$A:$AF,,MATCH($B50,recurring_master!$A$1:$AF$1,0)),recurring_master!$A:$A,"&lt;="&amp;EOMONTH(K$4,0),recurring_master!$A:$A,"&gt;="&amp;K$4),
_xlpm.planned,SUMIFS(Planned!$F:$F,Planned!$B:$B,$B50,Planned!$E:$E,"&gt;="&amp;K$4,Planned!$E:$E,"&lt;="&amp;EOMONTH(K$4,0)),
IFERROR(_xlpm.recurring,0)+IFERROR(_xlpm.planned,0))</f>
        <v>0</v>
      </c>
      <c r="L50" s="105">
        <f ca="1">_xlfn.LET(
_xlpm.recurring,SUMIFS(INDEX(recurring_master!$A:$AF,,MATCH($B50,recurring_master!$A$1:$AF$1,0)),recurring_master!$A:$A,"&lt;="&amp;EOMONTH(L$4,0),recurring_master!$A:$A,"&gt;="&amp;L$4),
_xlpm.planned,SUMIFS(Planned!$F:$F,Planned!$B:$B,$B50,Planned!$E:$E,"&gt;="&amp;L$4,Planned!$E:$E,"&lt;="&amp;EOMONTH(L$4,0)),
IFERROR(_xlpm.recurring,0)+IFERROR(_xlpm.planned,0))</f>
        <v>0</v>
      </c>
      <c r="M50" s="105">
        <f ca="1">_xlfn.LET(
_xlpm.recurring,SUMIFS(INDEX(recurring_master!$A:$AF,,MATCH($B50,recurring_master!$A$1:$AF$1,0)),recurring_master!$A:$A,"&lt;="&amp;EOMONTH(M$4,0),recurring_master!$A:$A,"&gt;="&amp;M$4),
_xlpm.planned,SUMIFS(Planned!$F:$F,Planned!$B:$B,$B50,Planned!$E:$E,"&gt;="&amp;M$4,Planned!$E:$E,"&lt;="&amp;EOMONTH(M$4,0)),
IFERROR(_xlpm.recurring,0)+IFERROR(_xlpm.planned,0))</f>
        <v>0</v>
      </c>
      <c r="N50" s="105">
        <f ca="1">_xlfn.LET(
_xlpm.recurring,SUMIFS(INDEX(recurring_master!$A:$AF,,MATCH($B50,recurring_master!$A$1:$AF$1,0)),recurring_master!$A:$A,"&lt;="&amp;EOMONTH(N$4,0),recurring_master!$A:$A,"&gt;="&amp;N$4),
_xlpm.planned,SUMIFS(Planned!$F:$F,Planned!$B:$B,$B50,Planned!$E:$E,"&gt;="&amp;N$4,Planned!$E:$E,"&lt;="&amp;EOMONTH(N$4,0)),
IFERROR(_xlpm.recurring,0)+IFERROR(_xlpm.planned,0))</f>
        <v>0</v>
      </c>
      <c r="O50" s="96"/>
      <c r="P50" s="106">
        <f t="shared" ca="1" si="13"/>
        <v>0</v>
      </c>
      <c r="Q50" s="51"/>
      <c r="R50" s="42"/>
      <c r="U50" s="22"/>
    </row>
    <row r="51" spans="1:23" ht="5.0999999999999996" customHeight="1" x14ac:dyDescent="0.2">
      <c r="A51" s="226"/>
      <c r="B51" s="69"/>
      <c r="C51" s="96"/>
      <c r="D51" s="96"/>
      <c r="E51" s="96"/>
      <c r="F51" s="96"/>
      <c r="G51" s="96"/>
      <c r="H51" s="96"/>
      <c r="I51" s="96"/>
      <c r="J51" s="96"/>
      <c r="K51" s="96"/>
      <c r="L51" s="96"/>
      <c r="M51" s="96"/>
      <c r="N51" s="96"/>
      <c r="O51" s="96"/>
      <c r="P51" s="106"/>
      <c r="Q51" s="51"/>
      <c r="R51" s="42"/>
      <c r="W51" s="18"/>
    </row>
    <row r="52" spans="1:23" ht="12.75" customHeight="1" x14ac:dyDescent="0.2">
      <c r="A52" s="226"/>
      <c r="B52" s="79" t="s">
        <v>35</v>
      </c>
      <c r="C52" s="113">
        <f ca="1">SUM(C45:C51)</f>
        <v>0</v>
      </c>
      <c r="D52" s="113">
        <f t="shared" ref="D52:N52" ca="1" si="14">SUM(D45:D51)</f>
        <v>0</v>
      </c>
      <c r="E52" s="113">
        <f t="shared" ca="1" si="14"/>
        <v>0</v>
      </c>
      <c r="F52" s="113">
        <f t="shared" ca="1" si="14"/>
        <v>0</v>
      </c>
      <c r="G52" s="113">
        <f t="shared" ca="1" si="14"/>
        <v>0</v>
      </c>
      <c r="H52" s="113">
        <f t="shared" ca="1" si="14"/>
        <v>0</v>
      </c>
      <c r="I52" s="113">
        <f t="shared" ca="1" si="14"/>
        <v>0</v>
      </c>
      <c r="J52" s="113">
        <f t="shared" ca="1" si="14"/>
        <v>0</v>
      </c>
      <c r="K52" s="113">
        <f t="shared" ca="1" si="14"/>
        <v>0</v>
      </c>
      <c r="L52" s="113">
        <f t="shared" ca="1" si="14"/>
        <v>0</v>
      </c>
      <c r="M52" s="113">
        <f t="shared" ca="1" si="14"/>
        <v>0</v>
      </c>
      <c r="N52" s="114">
        <f t="shared" ca="1" si="14"/>
        <v>0</v>
      </c>
      <c r="O52" s="113"/>
      <c r="P52" s="115">
        <f ca="1">SUM(P49:P49)</f>
        <v>0</v>
      </c>
      <c r="Q52" s="51"/>
      <c r="R52" s="42"/>
      <c r="U52" s="22"/>
    </row>
    <row r="53" spans="1:23" ht="5.0999999999999996" customHeight="1" x14ac:dyDescent="0.2">
      <c r="A53" s="226"/>
      <c r="B53" s="67"/>
      <c r="C53" s="96"/>
      <c r="D53" s="96"/>
      <c r="E53" s="96"/>
      <c r="F53" s="96"/>
      <c r="G53" s="96"/>
      <c r="H53" s="96"/>
      <c r="I53" s="96"/>
      <c r="J53" s="96"/>
      <c r="K53" s="96"/>
      <c r="L53" s="96"/>
      <c r="M53" s="96"/>
      <c r="N53" s="96"/>
      <c r="O53" s="96"/>
      <c r="P53" s="96"/>
      <c r="Q53" s="51"/>
      <c r="R53" s="42"/>
    </row>
    <row r="54" spans="1:23" ht="12.75" customHeight="1" x14ac:dyDescent="0.2">
      <c r="A54" s="226"/>
      <c r="B54" s="76" t="s">
        <v>33</v>
      </c>
      <c r="C54" s="159"/>
      <c r="D54" s="159"/>
      <c r="E54" s="159"/>
      <c r="F54" s="159"/>
      <c r="G54" s="159"/>
      <c r="H54" s="159"/>
      <c r="I54" s="159"/>
      <c r="J54" s="159"/>
      <c r="K54" s="159"/>
      <c r="L54" s="159"/>
      <c r="M54" s="159"/>
      <c r="N54" s="159"/>
      <c r="O54" s="159"/>
      <c r="P54" s="160"/>
      <c r="Q54" s="51"/>
      <c r="R54" s="42"/>
      <c r="U54" s="22"/>
    </row>
    <row r="55" spans="1:23" ht="12.75" customHeight="1" x14ac:dyDescent="0.2">
      <c r="A55" s="227"/>
      <c r="B55" s="69" t="s">
        <v>1</v>
      </c>
      <c r="C55" s="105">
        <f ca="1">_xlfn.LET(
_xlpm.recurring,SUMIFS(INDEX(recurring_master!$A:$AF,,MATCH($B55,recurring_master!$A$1:$AF$1,0)),recurring_master!$A:$A,"&lt;="&amp;EOMONTH(C$4,0),recurring_master!$A:$A,"&gt;="&amp;C$4),
_xlpm.planned,SUMIFS(Planned!$F:$F,Planned!$B:$B,$B55,Planned!$E:$E,"&gt;="&amp;C$4,Planned!$E:$E,"&lt;="&amp;EOMONTH(C$4,0)),
IFERROR(_xlpm.recurring,0)+IFERROR(_xlpm.planned,0))</f>
        <v>0</v>
      </c>
      <c r="D55" s="105">
        <f ca="1">_xlfn.LET(
_xlpm.recurring,SUMIFS(INDEX(recurring_master!$A:$AF,,MATCH($B55,recurring_master!$A$1:$AF$1,0)),recurring_master!$A:$A,"&lt;="&amp;EOMONTH(D$4,0),recurring_master!$A:$A,"&gt;="&amp;D$4),
_xlpm.planned,SUMIFS(Planned!$F:$F,Planned!$B:$B,$B55,Planned!$E:$E,"&gt;="&amp;D$4,Planned!$E:$E,"&lt;="&amp;EOMONTH(D$4,0)),
IFERROR(_xlpm.recurring,0)+IFERROR(_xlpm.planned,0))</f>
        <v>0</v>
      </c>
      <c r="E55" s="105">
        <f ca="1">_xlfn.LET(
_xlpm.recurring,SUMIFS(INDEX(recurring_master!$A:$AF,,MATCH($B55,recurring_master!$A$1:$AF$1,0)),recurring_master!$A:$A,"&lt;="&amp;EOMONTH(E$4,0),recurring_master!$A:$A,"&gt;="&amp;E$4),
_xlpm.planned,SUMIFS(Planned!$F:$F,Planned!$B:$B,$B55,Planned!$E:$E,"&gt;="&amp;E$4,Planned!$E:$E,"&lt;="&amp;EOMONTH(E$4,0)),
IFERROR(_xlpm.recurring,0)+IFERROR(_xlpm.planned,0))</f>
        <v>0</v>
      </c>
      <c r="F55" s="105">
        <f ca="1">_xlfn.LET(
_xlpm.recurring,SUMIFS(INDEX(recurring_master!$A:$AF,,MATCH($B55,recurring_master!$A$1:$AF$1,0)),recurring_master!$A:$A,"&lt;="&amp;EOMONTH(F$4,0),recurring_master!$A:$A,"&gt;="&amp;F$4),
_xlpm.planned,SUMIFS(Planned!$F:$F,Planned!$B:$B,$B55,Planned!$E:$E,"&gt;="&amp;F$4,Planned!$E:$E,"&lt;="&amp;EOMONTH(F$4,0)),
IFERROR(_xlpm.recurring,0)+IFERROR(_xlpm.planned,0))</f>
        <v>0</v>
      </c>
      <c r="G55" s="105">
        <f ca="1">_xlfn.LET(
_xlpm.recurring,SUMIFS(INDEX(recurring_master!$A:$AF,,MATCH($B55,recurring_master!$A$1:$AF$1,0)),recurring_master!$A:$A,"&lt;="&amp;EOMONTH(G$4,0),recurring_master!$A:$A,"&gt;="&amp;G$4),
_xlpm.planned,SUMIFS(Planned!$F:$F,Planned!$B:$B,$B55,Planned!$E:$E,"&gt;="&amp;G$4,Planned!$E:$E,"&lt;="&amp;EOMONTH(G$4,0)),
IFERROR(_xlpm.recurring,0)+IFERROR(_xlpm.planned,0))</f>
        <v>0</v>
      </c>
      <c r="H55" s="105">
        <f ca="1">_xlfn.LET(
_xlpm.recurring,SUMIFS(INDEX(recurring_master!$A:$AF,,MATCH($B55,recurring_master!$A$1:$AF$1,0)),recurring_master!$A:$A,"&lt;="&amp;EOMONTH(H$4,0),recurring_master!$A:$A,"&gt;="&amp;H$4),
_xlpm.planned,SUMIFS(Planned!$F:$F,Planned!$B:$B,$B55,Planned!$E:$E,"&gt;="&amp;H$4,Planned!$E:$E,"&lt;="&amp;EOMONTH(H$4,0)),
IFERROR(_xlpm.recurring,0)+IFERROR(_xlpm.planned,0))</f>
        <v>0</v>
      </c>
      <c r="I55" s="105">
        <f ca="1">_xlfn.LET(
_xlpm.recurring,SUMIFS(INDEX(recurring_master!$A:$AF,,MATCH($B55,recurring_master!$A$1:$AF$1,0)),recurring_master!$A:$A,"&lt;="&amp;EOMONTH(I$4,0),recurring_master!$A:$A,"&gt;="&amp;I$4),
_xlpm.planned,SUMIFS(Planned!$F:$F,Planned!$B:$B,$B55,Planned!$E:$E,"&gt;="&amp;I$4,Planned!$E:$E,"&lt;="&amp;EOMONTH(I$4,0)),
IFERROR(_xlpm.recurring,0)+IFERROR(_xlpm.planned,0))</f>
        <v>0</v>
      </c>
      <c r="J55" s="105">
        <f ca="1">_xlfn.LET(
_xlpm.recurring,SUMIFS(INDEX(recurring_master!$A:$AF,,MATCH($B55,recurring_master!$A$1:$AF$1,0)),recurring_master!$A:$A,"&lt;="&amp;EOMONTH(J$4,0),recurring_master!$A:$A,"&gt;="&amp;J$4),
_xlpm.planned,SUMIFS(Planned!$F:$F,Planned!$B:$B,$B55,Planned!$E:$E,"&gt;="&amp;J$4,Planned!$E:$E,"&lt;="&amp;EOMONTH(J$4,0)),
IFERROR(_xlpm.recurring,0)+IFERROR(_xlpm.planned,0))</f>
        <v>0</v>
      </c>
      <c r="K55" s="105">
        <f ca="1">_xlfn.LET(
_xlpm.recurring,SUMIFS(INDEX(recurring_master!$A:$AF,,MATCH($B55,recurring_master!$A$1:$AF$1,0)),recurring_master!$A:$A,"&lt;="&amp;EOMONTH(K$4,0),recurring_master!$A:$A,"&gt;="&amp;K$4),
_xlpm.planned,SUMIFS(Planned!$F:$F,Planned!$B:$B,$B55,Planned!$E:$E,"&gt;="&amp;K$4,Planned!$E:$E,"&lt;="&amp;EOMONTH(K$4,0)),
IFERROR(_xlpm.recurring,0)+IFERROR(_xlpm.planned,0))</f>
        <v>0</v>
      </c>
      <c r="L55" s="105">
        <f ca="1">_xlfn.LET(
_xlpm.recurring,SUMIFS(INDEX(recurring_master!$A:$AF,,MATCH($B55,recurring_master!$A$1:$AF$1,0)),recurring_master!$A:$A,"&lt;="&amp;EOMONTH(L$4,0),recurring_master!$A:$A,"&gt;="&amp;L$4),
_xlpm.planned,SUMIFS(Planned!$F:$F,Planned!$B:$B,$B55,Planned!$E:$E,"&gt;="&amp;L$4,Planned!$E:$E,"&lt;="&amp;EOMONTH(L$4,0)),
IFERROR(_xlpm.recurring,0)+IFERROR(_xlpm.planned,0))</f>
        <v>0</v>
      </c>
      <c r="M55" s="105">
        <f ca="1">_xlfn.LET(
_xlpm.recurring,SUMIFS(INDEX(recurring_master!$A:$AF,,MATCH($B55,recurring_master!$A$1:$AF$1,0)),recurring_master!$A:$A,"&lt;="&amp;EOMONTH(M$4,0),recurring_master!$A:$A,"&gt;="&amp;M$4),
_xlpm.planned,SUMIFS(Planned!$F:$F,Planned!$B:$B,$B55,Planned!$E:$E,"&gt;="&amp;M$4,Planned!$E:$E,"&lt;="&amp;EOMONTH(M$4,0)),
IFERROR(_xlpm.recurring,0)+IFERROR(_xlpm.planned,0))</f>
        <v>0</v>
      </c>
      <c r="N55" s="105">
        <f ca="1">_xlfn.LET(
_xlpm.recurring,SUMIFS(INDEX(recurring_master!$A:$AF,,MATCH($B55,recurring_master!$A$1:$AF$1,0)),recurring_master!$A:$A,"&lt;="&amp;EOMONTH(N$4,0),recurring_master!$A:$A,"&gt;="&amp;N$4),
_xlpm.planned,SUMIFS(Planned!$F:$F,Planned!$B:$B,$B55,Planned!$E:$E,"&gt;="&amp;N$4,Planned!$E:$E,"&lt;="&amp;EOMONTH(N$4,0)),
IFERROR(_xlpm.recurring,0)+IFERROR(_xlpm.planned,0))</f>
        <v>0</v>
      </c>
      <c r="O55" s="96"/>
      <c r="P55" s="106">
        <f t="shared" ref="P55:P61" ca="1" si="15">SUM(C55:N55)</f>
        <v>0</v>
      </c>
      <c r="Q55" s="52"/>
      <c r="R55" s="42"/>
      <c r="U55" s="22"/>
    </row>
    <row r="56" spans="1:23" ht="12.75" customHeight="1" x14ac:dyDescent="0.2">
      <c r="A56" s="227"/>
      <c r="B56" s="69" t="s">
        <v>2</v>
      </c>
      <c r="C56" s="105">
        <f ca="1">_xlfn.LET(
_xlpm.recurring,SUMIFS(INDEX(recurring_master!$A:$AF,,MATCH($B56,recurring_master!$A$1:$AF$1,0)),recurring_master!$A:$A,"&lt;="&amp;EOMONTH(C$4,0),recurring_master!$A:$A,"&gt;="&amp;C$4),
_xlpm.planned,SUMIFS(Planned!$F:$F,Planned!$B:$B,$B56,Planned!$E:$E,"&gt;="&amp;C$4,Planned!$E:$E,"&lt;="&amp;EOMONTH(C$4,0)),
IFERROR(_xlpm.recurring,0)+IFERROR(_xlpm.planned,0))</f>
        <v>0</v>
      </c>
      <c r="D56" s="105">
        <f ca="1">_xlfn.LET(
_xlpm.recurring,SUMIFS(INDEX(recurring_master!$A:$AF,,MATCH($B56,recurring_master!$A$1:$AF$1,0)),recurring_master!$A:$A,"&lt;="&amp;EOMONTH(D$4,0),recurring_master!$A:$A,"&gt;="&amp;D$4),
_xlpm.planned,SUMIFS(Planned!$F:$F,Planned!$B:$B,$B56,Planned!$E:$E,"&gt;="&amp;D$4,Planned!$E:$E,"&lt;="&amp;EOMONTH(D$4,0)),
IFERROR(_xlpm.recurring,0)+IFERROR(_xlpm.planned,0))</f>
        <v>0</v>
      </c>
      <c r="E56" s="105">
        <f ca="1">_xlfn.LET(
_xlpm.recurring,SUMIFS(INDEX(recurring_master!$A:$AF,,MATCH($B56,recurring_master!$A$1:$AF$1,0)),recurring_master!$A:$A,"&lt;="&amp;EOMONTH(E$4,0),recurring_master!$A:$A,"&gt;="&amp;E$4),
_xlpm.planned,SUMIFS(Planned!$F:$F,Planned!$B:$B,$B56,Planned!$E:$E,"&gt;="&amp;E$4,Planned!$E:$E,"&lt;="&amp;EOMONTH(E$4,0)),
IFERROR(_xlpm.recurring,0)+IFERROR(_xlpm.planned,0))</f>
        <v>0</v>
      </c>
      <c r="F56" s="105">
        <f ca="1">_xlfn.LET(
_xlpm.recurring,SUMIFS(INDEX(recurring_master!$A:$AF,,MATCH($B56,recurring_master!$A$1:$AF$1,0)),recurring_master!$A:$A,"&lt;="&amp;EOMONTH(F$4,0),recurring_master!$A:$A,"&gt;="&amp;F$4),
_xlpm.planned,SUMIFS(Planned!$F:$F,Planned!$B:$B,$B56,Planned!$E:$E,"&gt;="&amp;F$4,Planned!$E:$E,"&lt;="&amp;EOMONTH(F$4,0)),
IFERROR(_xlpm.recurring,0)+IFERROR(_xlpm.planned,0))</f>
        <v>0</v>
      </c>
      <c r="G56" s="105">
        <f ca="1">_xlfn.LET(
_xlpm.recurring,SUMIFS(INDEX(recurring_master!$A:$AF,,MATCH($B56,recurring_master!$A$1:$AF$1,0)),recurring_master!$A:$A,"&lt;="&amp;EOMONTH(G$4,0),recurring_master!$A:$A,"&gt;="&amp;G$4),
_xlpm.planned,SUMIFS(Planned!$F:$F,Planned!$B:$B,$B56,Planned!$E:$E,"&gt;="&amp;G$4,Planned!$E:$E,"&lt;="&amp;EOMONTH(G$4,0)),
IFERROR(_xlpm.recurring,0)+IFERROR(_xlpm.planned,0))</f>
        <v>0</v>
      </c>
      <c r="H56" s="105">
        <f ca="1">_xlfn.LET(
_xlpm.recurring,SUMIFS(INDEX(recurring_master!$A:$AF,,MATCH($B56,recurring_master!$A$1:$AF$1,0)),recurring_master!$A:$A,"&lt;="&amp;EOMONTH(H$4,0),recurring_master!$A:$A,"&gt;="&amp;H$4),
_xlpm.planned,SUMIFS(Planned!$F:$F,Planned!$B:$B,$B56,Planned!$E:$E,"&gt;="&amp;H$4,Planned!$E:$E,"&lt;="&amp;EOMONTH(H$4,0)),
IFERROR(_xlpm.recurring,0)+IFERROR(_xlpm.planned,0))</f>
        <v>0</v>
      </c>
      <c r="I56" s="105">
        <f ca="1">_xlfn.LET(
_xlpm.recurring,SUMIFS(INDEX(recurring_master!$A:$AF,,MATCH($B56,recurring_master!$A$1:$AF$1,0)),recurring_master!$A:$A,"&lt;="&amp;EOMONTH(I$4,0),recurring_master!$A:$A,"&gt;="&amp;I$4),
_xlpm.planned,SUMIFS(Planned!$F:$F,Planned!$B:$B,$B56,Planned!$E:$E,"&gt;="&amp;I$4,Planned!$E:$E,"&lt;="&amp;EOMONTH(I$4,0)),
IFERROR(_xlpm.recurring,0)+IFERROR(_xlpm.planned,0))</f>
        <v>0</v>
      </c>
      <c r="J56" s="105">
        <f ca="1">_xlfn.LET(
_xlpm.recurring,SUMIFS(INDEX(recurring_master!$A:$AF,,MATCH($B56,recurring_master!$A$1:$AF$1,0)),recurring_master!$A:$A,"&lt;="&amp;EOMONTH(J$4,0),recurring_master!$A:$A,"&gt;="&amp;J$4),
_xlpm.planned,SUMIFS(Planned!$F:$F,Planned!$B:$B,$B56,Planned!$E:$E,"&gt;="&amp;J$4,Planned!$E:$E,"&lt;="&amp;EOMONTH(J$4,0)),
IFERROR(_xlpm.recurring,0)+IFERROR(_xlpm.planned,0))</f>
        <v>0</v>
      </c>
      <c r="K56" s="105">
        <f ca="1">_xlfn.LET(
_xlpm.recurring,SUMIFS(INDEX(recurring_master!$A:$AF,,MATCH($B56,recurring_master!$A$1:$AF$1,0)),recurring_master!$A:$A,"&lt;="&amp;EOMONTH(K$4,0),recurring_master!$A:$A,"&gt;="&amp;K$4),
_xlpm.planned,SUMIFS(Planned!$F:$F,Planned!$B:$B,$B56,Planned!$E:$E,"&gt;="&amp;K$4,Planned!$E:$E,"&lt;="&amp;EOMONTH(K$4,0)),
IFERROR(_xlpm.recurring,0)+IFERROR(_xlpm.planned,0))</f>
        <v>0</v>
      </c>
      <c r="L56" s="105">
        <f ca="1">_xlfn.LET(
_xlpm.recurring,SUMIFS(INDEX(recurring_master!$A:$AF,,MATCH($B56,recurring_master!$A$1:$AF$1,0)),recurring_master!$A:$A,"&lt;="&amp;EOMONTH(L$4,0),recurring_master!$A:$A,"&gt;="&amp;L$4),
_xlpm.planned,SUMIFS(Planned!$F:$F,Planned!$B:$B,$B56,Planned!$E:$E,"&gt;="&amp;L$4,Planned!$E:$E,"&lt;="&amp;EOMONTH(L$4,0)),
IFERROR(_xlpm.recurring,0)+IFERROR(_xlpm.planned,0))</f>
        <v>0</v>
      </c>
      <c r="M56" s="105">
        <f ca="1">_xlfn.LET(
_xlpm.recurring,SUMIFS(INDEX(recurring_master!$A:$AF,,MATCH($B56,recurring_master!$A$1:$AF$1,0)),recurring_master!$A:$A,"&lt;="&amp;EOMONTH(M$4,0),recurring_master!$A:$A,"&gt;="&amp;M$4),
_xlpm.planned,SUMIFS(Planned!$F:$F,Planned!$B:$B,$B56,Planned!$E:$E,"&gt;="&amp;M$4,Planned!$E:$E,"&lt;="&amp;EOMONTH(M$4,0)),
IFERROR(_xlpm.recurring,0)+IFERROR(_xlpm.planned,0))</f>
        <v>0</v>
      </c>
      <c r="N56" s="105">
        <f ca="1">_xlfn.LET(
_xlpm.recurring,SUMIFS(INDEX(recurring_master!$A:$AF,,MATCH($B56,recurring_master!$A$1:$AF$1,0)),recurring_master!$A:$A,"&lt;="&amp;EOMONTH(N$4,0),recurring_master!$A:$A,"&gt;="&amp;N$4),
_xlpm.planned,SUMIFS(Planned!$F:$F,Planned!$B:$B,$B56,Planned!$E:$E,"&gt;="&amp;N$4,Planned!$E:$E,"&lt;="&amp;EOMONTH(N$4,0)),
IFERROR(_xlpm.recurring,0)+IFERROR(_xlpm.planned,0))</f>
        <v>0</v>
      </c>
      <c r="O56" s="96"/>
      <c r="P56" s="106">
        <f t="shared" ca="1" si="15"/>
        <v>0</v>
      </c>
      <c r="Q56" s="52"/>
      <c r="R56" s="42"/>
      <c r="U56" s="22"/>
    </row>
    <row r="57" spans="1:23" ht="12.75" customHeight="1" x14ac:dyDescent="0.2">
      <c r="A57" s="226"/>
      <c r="B57" s="69" t="s">
        <v>263</v>
      </c>
      <c r="C57" s="105">
        <f ca="1">_xlfn.LET(
_xlpm.recurring,SUMIFS(INDEX(recurring_master!$A:$AF,,MATCH($B57,recurring_master!$A$1:$AF$1,0)),recurring_master!$A:$A,"&lt;="&amp;EOMONTH(C$4,0),recurring_master!$A:$A,"&gt;="&amp;C$4),
_xlpm.planned,SUMIFS(Planned!$F:$F,Planned!$B:$B,$B57,Planned!$E:$E,"&gt;="&amp;C$4,Planned!$E:$E,"&lt;="&amp;EOMONTH(C$4,0)),
IFERROR(_xlpm.recurring,0)+IFERROR(_xlpm.planned,0))</f>
        <v>0</v>
      </c>
      <c r="D57" s="105">
        <f ca="1">_xlfn.LET(
_xlpm.recurring,SUMIFS(INDEX(recurring_master!$A:$AF,,MATCH($B57,recurring_master!$A$1:$AF$1,0)),recurring_master!$A:$A,"&lt;="&amp;EOMONTH(D$4,0),recurring_master!$A:$A,"&gt;="&amp;D$4),
_xlpm.planned,SUMIFS(Planned!$F:$F,Planned!$B:$B,$B57,Planned!$E:$E,"&gt;="&amp;D$4,Planned!$E:$E,"&lt;="&amp;EOMONTH(D$4,0)),
IFERROR(_xlpm.recurring,0)+IFERROR(_xlpm.planned,0))</f>
        <v>0</v>
      </c>
      <c r="E57" s="105">
        <f ca="1">_xlfn.LET(
_xlpm.recurring,SUMIFS(INDEX(recurring_master!$A:$AF,,MATCH($B57,recurring_master!$A$1:$AF$1,0)),recurring_master!$A:$A,"&lt;="&amp;EOMONTH(E$4,0),recurring_master!$A:$A,"&gt;="&amp;E$4),
_xlpm.planned,SUMIFS(Planned!$F:$F,Planned!$B:$B,$B57,Planned!$E:$E,"&gt;="&amp;E$4,Planned!$E:$E,"&lt;="&amp;EOMONTH(E$4,0)),
IFERROR(_xlpm.recurring,0)+IFERROR(_xlpm.planned,0))</f>
        <v>0</v>
      </c>
      <c r="F57" s="105">
        <f ca="1">_xlfn.LET(
_xlpm.recurring,SUMIFS(INDEX(recurring_master!$A:$AF,,MATCH($B57,recurring_master!$A$1:$AF$1,0)),recurring_master!$A:$A,"&lt;="&amp;EOMONTH(F$4,0),recurring_master!$A:$A,"&gt;="&amp;F$4),
_xlpm.planned,SUMIFS(Planned!$F:$F,Planned!$B:$B,$B57,Planned!$E:$E,"&gt;="&amp;F$4,Planned!$E:$E,"&lt;="&amp;EOMONTH(F$4,0)),
IFERROR(_xlpm.recurring,0)+IFERROR(_xlpm.planned,0))</f>
        <v>0</v>
      </c>
      <c r="G57" s="105">
        <f ca="1">_xlfn.LET(
_xlpm.recurring,SUMIFS(INDEX(recurring_master!$A:$AF,,MATCH($B57,recurring_master!$A$1:$AF$1,0)),recurring_master!$A:$A,"&lt;="&amp;EOMONTH(G$4,0),recurring_master!$A:$A,"&gt;="&amp;G$4),
_xlpm.planned,SUMIFS(Planned!$F:$F,Planned!$B:$B,$B57,Planned!$E:$E,"&gt;="&amp;G$4,Planned!$E:$E,"&lt;="&amp;EOMONTH(G$4,0)),
IFERROR(_xlpm.recurring,0)+IFERROR(_xlpm.planned,0))</f>
        <v>0</v>
      </c>
      <c r="H57" s="105">
        <f ca="1">_xlfn.LET(
_xlpm.recurring,SUMIFS(INDEX(recurring_master!$A:$AF,,MATCH($B57,recurring_master!$A$1:$AF$1,0)),recurring_master!$A:$A,"&lt;="&amp;EOMONTH(H$4,0),recurring_master!$A:$A,"&gt;="&amp;H$4),
_xlpm.planned,SUMIFS(Planned!$F:$F,Planned!$B:$B,$B57,Planned!$E:$E,"&gt;="&amp;H$4,Planned!$E:$E,"&lt;="&amp;EOMONTH(H$4,0)),
IFERROR(_xlpm.recurring,0)+IFERROR(_xlpm.planned,0))</f>
        <v>0</v>
      </c>
      <c r="I57" s="105">
        <f ca="1">_xlfn.LET(
_xlpm.recurring,SUMIFS(INDEX(recurring_master!$A:$AF,,MATCH($B57,recurring_master!$A$1:$AF$1,0)),recurring_master!$A:$A,"&lt;="&amp;EOMONTH(I$4,0),recurring_master!$A:$A,"&gt;="&amp;I$4),
_xlpm.planned,SUMIFS(Planned!$F:$F,Planned!$B:$B,$B57,Planned!$E:$E,"&gt;="&amp;I$4,Planned!$E:$E,"&lt;="&amp;EOMONTH(I$4,0)),
IFERROR(_xlpm.recurring,0)+IFERROR(_xlpm.planned,0))</f>
        <v>0</v>
      </c>
      <c r="J57" s="105">
        <f ca="1">_xlfn.LET(
_xlpm.recurring,SUMIFS(INDEX(recurring_master!$A:$AF,,MATCH($B57,recurring_master!$A$1:$AF$1,0)),recurring_master!$A:$A,"&lt;="&amp;EOMONTH(J$4,0),recurring_master!$A:$A,"&gt;="&amp;J$4),
_xlpm.planned,SUMIFS(Planned!$F:$F,Planned!$B:$B,$B57,Planned!$E:$E,"&gt;="&amp;J$4,Planned!$E:$E,"&lt;="&amp;EOMONTH(J$4,0)),
IFERROR(_xlpm.recurring,0)+IFERROR(_xlpm.planned,0))</f>
        <v>0</v>
      </c>
      <c r="K57" s="105">
        <f ca="1">_xlfn.LET(
_xlpm.recurring,SUMIFS(INDEX(recurring_master!$A:$AF,,MATCH($B57,recurring_master!$A$1:$AF$1,0)),recurring_master!$A:$A,"&lt;="&amp;EOMONTH(K$4,0),recurring_master!$A:$A,"&gt;="&amp;K$4),
_xlpm.planned,SUMIFS(Planned!$F:$F,Planned!$B:$B,$B57,Planned!$E:$E,"&gt;="&amp;K$4,Planned!$E:$E,"&lt;="&amp;EOMONTH(K$4,0)),
IFERROR(_xlpm.recurring,0)+IFERROR(_xlpm.planned,0))</f>
        <v>0</v>
      </c>
      <c r="L57" s="105">
        <f ca="1">_xlfn.LET(
_xlpm.recurring,SUMIFS(INDEX(recurring_master!$A:$AF,,MATCH($B57,recurring_master!$A$1:$AF$1,0)),recurring_master!$A:$A,"&lt;="&amp;EOMONTH(L$4,0),recurring_master!$A:$A,"&gt;="&amp;L$4),
_xlpm.planned,SUMIFS(Planned!$F:$F,Planned!$B:$B,$B57,Planned!$E:$E,"&gt;="&amp;L$4,Planned!$E:$E,"&lt;="&amp;EOMONTH(L$4,0)),
IFERROR(_xlpm.recurring,0)+IFERROR(_xlpm.planned,0))</f>
        <v>0</v>
      </c>
      <c r="M57" s="105">
        <f ca="1">_xlfn.LET(
_xlpm.recurring,SUMIFS(INDEX(recurring_master!$A:$AF,,MATCH($B57,recurring_master!$A$1:$AF$1,0)),recurring_master!$A:$A,"&lt;="&amp;EOMONTH(M$4,0),recurring_master!$A:$A,"&gt;="&amp;M$4),
_xlpm.planned,SUMIFS(Planned!$F:$F,Planned!$B:$B,$B57,Planned!$E:$E,"&gt;="&amp;M$4,Planned!$E:$E,"&lt;="&amp;EOMONTH(M$4,0)),
IFERROR(_xlpm.recurring,0)+IFERROR(_xlpm.planned,0))</f>
        <v>0</v>
      </c>
      <c r="N57" s="105">
        <f ca="1">_xlfn.LET(
_xlpm.recurring,SUMIFS(INDEX(recurring_master!$A:$AF,,MATCH($B57,recurring_master!$A$1:$AF$1,0)),recurring_master!$A:$A,"&lt;="&amp;EOMONTH(N$4,0),recurring_master!$A:$A,"&gt;="&amp;N$4),
_xlpm.planned,SUMIFS(Planned!$F:$F,Planned!$B:$B,$B57,Planned!$E:$E,"&gt;="&amp;N$4,Planned!$E:$E,"&lt;="&amp;EOMONTH(N$4,0)),
IFERROR(_xlpm.recurring,0)+IFERROR(_xlpm.planned,0))</f>
        <v>0</v>
      </c>
      <c r="O57" s="96"/>
      <c r="P57" s="106">
        <f t="shared" ca="1" si="15"/>
        <v>0</v>
      </c>
      <c r="Q57" s="51"/>
      <c r="R57" s="42" t="s">
        <v>340</v>
      </c>
      <c r="U57" s="22"/>
    </row>
    <row r="58" spans="1:23" ht="12.75" customHeight="1" x14ac:dyDescent="0.2">
      <c r="A58" s="226"/>
      <c r="B58" s="69" t="s">
        <v>289</v>
      </c>
      <c r="C58" s="105">
        <f ca="1">_xlfn.LET(
_xlpm.recurring,SUMIFS(INDEX(recurring_master!$A:$AF,,MATCH($B58,recurring_master!$A$1:$AF$1,0)),recurring_master!$A:$A,"&lt;="&amp;EOMONTH(C$4,0),recurring_master!$A:$A,"&gt;="&amp;C$4),
_xlpm.planned,SUMIFS(Planned!$F:$F,Planned!$B:$B,$B58,Planned!$E:$E,"&gt;="&amp;C$4,Planned!$E:$E,"&lt;="&amp;EOMONTH(C$4,0)),
IFERROR(_xlpm.recurring,0)+IFERROR(_xlpm.planned,0))</f>
        <v>0</v>
      </c>
      <c r="D58" s="105">
        <f ca="1">_xlfn.LET(
_xlpm.recurring,SUMIFS(INDEX(recurring_master!$A:$AF,,MATCH($B58,recurring_master!$A$1:$AF$1,0)),recurring_master!$A:$A,"&lt;="&amp;EOMONTH(D$4,0),recurring_master!$A:$A,"&gt;="&amp;D$4),
_xlpm.planned,SUMIFS(Planned!$F:$F,Planned!$B:$B,$B58,Planned!$E:$E,"&gt;="&amp;D$4,Planned!$E:$E,"&lt;="&amp;EOMONTH(D$4,0)),
IFERROR(_xlpm.recurring,0)+IFERROR(_xlpm.planned,0))</f>
        <v>0</v>
      </c>
      <c r="E58" s="105">
        <f ca="1">_xlfn.LET(
_xlpm.recurring,SUMIFS(INDEX(recurring_master!$A:$AF,,MATCH($B58,recurring_master!$A$1:$AF$1,0)),recurring_master!$A:$A,"&lt;="&amp;EOMONTH(E$4,0),recurring_master!$A:$A,"&gt;="&amp;E$4),
_xlpm.planned,SUMIFS(Planned!$F:$F,Planned!$B:$B,$B58,Planned!$E:$E,"&gt;="&amp;E$4,Planned!$E:$E,"&lt;="&amp;EOMONTH(E$4,0)),
IFERROR(_xlpm.recurring,0)+IFERROR(_xlpm.planned,0))</f>
        <v>0</v>
      </c>
      <c r="F58" s="105">
        <f ca="1">_xlfn.LET(
_xlpm.recurring,SUMIFS(INDEX(recurring_master!$A:$AF,,MATCH($B58,recurring_master!$A$1:$AF$1,0)),recurring_master!$A:$A,"&lt;="&amp;EOMONTH(F$4,0),recurring_master!$A:$A,"&gt;="&amp;F$4),
_xlpm.planned,SUMIFS(Planned!$F:$F,Planned!$B:$B,$B58,Planned!$E:$E,"&gt;="&amp;F$4,Planned!$E:$E,"&lt;="&amp;EOMONTH(F$4,0)),
IFERROR(_xlpm.recurring,0)+IFERROR(_xlpm.planned,0))</f>
        <v>0</v>
      </c>
      <c r="G58" s="105">
        <f ca="1">_xlfn.LET(
_xlpm.recurring,SUMIFS(INDEX(recurring_master!$A:$AF,,MATCH($B58,recurring_master!$A$1:$AF$1,0)),recurring_master!$A:$A,"&lt;="&amp;EOMONTH(G$4,0),recurring_master!$A:$A,"&gt;="&amp;G$4),
_xlpm.planned,SUMIFS(Planned!$F:$F,Planned!$B:$B,$B58,Planned!$E:$E,"&gt;="&amp;G$4,Planned!$E:$E,"&lt;="&amp;EOMONTH(G$4,0)),
IFERROR(_xlpm.recurring,0)+IFERROR(_xlpm.planned,0))</f>
        <v>0</v>
      </c>
      <c r="H58" s="105">
        <f ca="1">_xlfn.LET(
_xlpm.recurring,SUMIFS(INDEX(recurring_master!$A:$AF,,MATCH($B58,recurring_master!$A$1:$AF$1,0)),recurring_master!$A:$A,"&lt;="&amp;EOMONTH(H$4,0),recurring_master!$A:$A,"&gt;="&amp;H$4),
_xlpm.planned,SUMIFS(Planned!$F:$F,Planned!$B:$B,$B58,Planned!$E:$E,"&gt;="&amp;H$4,Planned!$E:$E,"&lt;="&amp;EOMONTH(H$4,0)),
IFERROR(_xlpm.recurring,0)+IFERROR(_xlpm.planned,0))</f>
        <v>0</v>
      </c>
      <c r="I58" s="105">
        <f ca="1">_xlfn.LET(
_xlpm.recurring,SUMIFS(INDEX(recurring_master!$A:$AF,,MATCH($B58,recurring_master!$A$1:$AF$1,0)),recurring_master!$A:$A,"&lt;="&amp;EOMONTH(I$4,0),recurring_master!$A:$A,"&gt;="&amp;I$4),
_xlpm.planned,SUMIFS(Planned!$F:$F,Planned!$B:$B,$B58,Planned!$E:$E,"&gt;="&amp;I$4,Planned!$E:$E,"&lt;="&amp;EOMONTH(I$4,0)),
IFERROR(_xlpm.recurring,0)+IFERROR(_xlpm.planned,0))</f>
        <v>0</v>
      </c>
      <c r="J58" s="105">
        <f ca="1">_xlfn.LET(
_xlpm.recurring,SUMIFS(INDEX(recurring_master!$A:$AF,,MATCH($B58,recurring_master!$A$1:$AF$1,0)),recurring_master!$A:$A,"&lt;="&amp;EOMONTH(J$4,0),recurring_master!$A:$A,"&gt;="&amp;J$4),
_xlpm.planned,SUMIFS(Planned!$F:$F,Planned!$B:$B,$B58,Planned!$E:$E,"&gt;="&amp;J$4,Planned!$E:$E,"&lt;="&amp;EOMONTH(J$4,0)),
IFERROR(_xlpm.recurring,0)+IFERROR(_xlpm.planned,0))</f>
        <v>0</v>
      </c>
      <c r="K58" s="105">
        <f ca="1">_xlfn.LET(
_xlpm.recurring,SUMIFS(INDEX(recurring_master!$A:$AF,,MATCH($B58,recurring_master!$A$1:$AF$1,0)),recurring_master!$A:$A,"&lt;="&amp;EOMONTH(K$4,0),recurring_master!$A:$A,"&gt;="&amp;K$4),
_xlpm.planned,SUMIFS(Planned!$F:$F,Planned!$B:$B,$B58,Planned!$E:$E,"&gt;="&amp;K$4,Planned!$E:$E,"&lt;="&amp;EOMONTH(K$4,0)),
IFERROR(_xlpm.recurring,0)+IFERROR(_xlpm.planned,0))</f>
        <v>0</v>
      </c>
      <c r="L58" s="105">
        <f ca="1">_xlfn.LET(
_xlpm.recurring,SUMIFS(INDEX(recurring_master!$A:$AF,,MATCH($B58,recurring_master!$A$1:$AF$1,0)),recurring_master!$A:$A,"&lt;="&amp;EOMONTH(L$4,0),recurring_master!$A:$A,"&gt;="&amp;L$4),
_xlpm.planned,SUMIFS(Planned!$F:$F,Planned!$B:$B,$B58,Planned!$E:$E,"&gt;="&amp;L$4,Planned!$E:$E,"&lt;="&amp;EOMONTH(L$4,0)),
IFERROR(_xlpm.recurring,0)+IFERROR(_xlpm.planned,0))</f>
        <v>0</v>
      </c>
      <c r="M58" s="105">
        <f ca="1">_xlfn.LET(
_xlpm.recurring,SUMIFS(INDEX(recurring_master!$A:$AF,,MATCH($B58,recurring_master!$A$1:$AF$1,0)),recurring_master!$A:$A,"&lt;="&amp;EOMONTH(M$4,0),recurring_master!$A:$A,"&gt;="&amp;M$4),
_xlpm.planned,SUMIFS(Planned!$F:$F,Planned!$B:$B,$B58,Planned!$E:$E,"&gt;="&amp;M$4,Planned!$E:$E,"&lt;="&amp;EOMONTH(M$4,0)),
IFERROR(_xlpm.recurring,0)+IFERROR(_xlpm.planned,0))</f>
        <v>0</v>
      </c>
      <c r="N58" s="105">
        <f ca="1">_xlfn.LET(
_xlpm.recurring,SUMIFS(INDEX(recurring_master!$A:$AF,,MATCH($B58,recurring_master!$A$1:$AF$1,0)),recurring_master!$A:$A,"&lt;="&amp;EOMONTH(N$4,0),recurring_master!$A:$A,"&gt;="&amp;N$4),
_xlpm.planned,SUMIFS(Planned!$F:$F,Planned!$B:$B,$B58,Planned!$E:$E,"&gt;="&amp;N$4,Planned!$E:$E,"&lt;="&amp;EOMONTH(N$4,0)),
IFERROR(_xlpm.recurring,0)+IFERROR(_xlpm.planned,0))</f>
        <v>0</v>
      </c>
      <c r="O58" s="96"/>
      <c r="P58" s="106">
        <f t="shared" ca="1" si="15"/>
        <v>0</v>
      </c>
      <c r="Q58" s="51"/>
      <c r="R58" s="42" t="s">
        <v>341</v>
      </c>
      <c r="U58" s="22"/>
    </row>
    <row r="59" spans="1:23" ht="12.75" customHeight="1" x14ac:dyDescent="0.2">
      <c r="A59" s="226"/>
      <c r="B59" s="69" t="s">
        <v>290</v>
      </c>
      <c r="C59" s="105">
        <f ca="1">_xlfn.LET(
_xlpm.recurring,SUMIFS(INDEX(recurring_master!$A:$AF,,MATCH($B59,recurring_master!$A$1:$AF$1,0)),recurring_master!$A:$A,"&lt;="&amp;EOMONTH(C$4,0),recurring_master!$A:$A,"&gt;="&amp;C$4),
_xlpm.planned,SUMIFS(Planned!$F:$F,Planned!$B:$B,$B59,Planned!$E:$E,"&gt;="&amp;C$4,Planned!$E:$E,"&lt;="&amp;EOMONTH(C$4,0)),
IFERROR(_xlpm.recurring,0)+IFERROR(_xlpm.planned,0))</f>
        <v>0</v>
      </c>
      <c r="D59" s="105">
        <f ca="1">_xlfn.LET(
_xlpm.recurring,SUMIFS(INDEX(recurring_master!$A:$AF,,MATCH($B59,recurring_master!$A$1:$AF$1,0)),recurring_master!$A:$A,"&lt;="&amp;EOMONTH(D$4,0),recurring_master!$A:$A,"&gt;="&amp;D$4),
_xlpm.planned,SUMIFS(Planned!$F:$F,Planned!$B:$B,$B59,Planned!$E:$E,"&gt;="&amp;D$4,Planned!$E:$E,"&lt;="&amp;EOMONTH(D$4,0)),
IFERROR(_xlpm.recurring,0)+IFERROR(_xlpm.planned,0))</f>
        <v>0</v>
      </c>
      <c r="E59" s="105">
        <f ca="1">_xlfn.LET(
_xlpm.recurring,SUMIFS(INDEX(recurring_master!$A:$AF,,MATCH($B59,recurring_master!$A$1:$AF$1,0)),recurring_master!$A:$A,"&lt;="&amp;EOMONTH(E$4,0),recurring_master!$A:$A,"&gt;="&amp;E$4),
_xlpm.planned,SUMIFS(Planned!$F:$F,Planned!$B:$B,$B59,Planned!$E:$E,"&gt;="&amp;E$4,Planned!$E:$E,"&lt;="&amp;EOMONTH(E$4,0)),
IFERROR(_xlpm.recurring,0)+IFERROR(_xlpm.planned,0))</f>
        <v>0</v>
      </c>
      <c r="F59" s="105">
        <f ca="1">_xlfn.LET(
_xlpm.recurring,SUMIFS(INDEX(recurring_master!$A:$AF,,MATCH($B59,recurring_master!$A$1:$AF$1,0)),recurring_master!$A:$A,"&lt;="&amp;EOMONTH(F$4,0),recurring_master!$A:$A,"&gt;="&amp;F$4),
_xlpm.planned,SUMIFS(Planned!$F:$F,Planned!$B:$B,$B59,Planned!$E:$E,"&gt;="&amp;F$4,Planned!$E:$E,"&lt;="&amp;EOMONTH(F$4,0)),
IFERROR(_xlpm.recurring,0)+IFERROR(_xlpm.planned,0))</f>
        <v>0</v>
      </c>
      <c r="G59" s="105">
        <f ca="1">_xlfn.LET(
_xlpm.recurring,SUMIFS(INDEX(recurring_master!$A:$AF,,MATCH($B59,recurring_master!$A$1:$AF$1,0)),recurring_master!$A:$A,"&lt;="&amp;EOMONTH(G$4,0),recurring_master!$A:$A,"&gt;="&amp;G$4),
_xlpm.planned,SUMIFS(Planned!$F:$F,Planned!$B:$B,$B59,Planned!$E:$E,"&gt;="&amp;G$4,Planned!$E:$E,"&lt;="&amp;EOMONTH(G$4,0)),
IFERROR(_xlpm.recurring,0)+IFERROR(_xlpm.planned,0))</f>
        <v>0</v>
      </c>
      <c r="H59" s="105">
        <f ca="1">_xlfn.LET(
_xlpm.recurring,SUMIFS(INDEX(recurring_master!$A:$AF,,MATCH($B59,recurring_master!$A$1:$AF$1,0)),recurring_master!$A:$A,"&lt;="&amp;EOMONTH(H$4,0),recurring_master!$A:$A,"&gt;="&amp;H$4),
_xlpm.planned,SUMIFS(Planned!$F:$F,Planned!$B:$B,$B59,Planned!$E:$E,"&gt;="&amp;H$4,Planned!$E:$E,"&lt;="&amp;EOMONTH(H$4,0)),
IFERROR(_xlpm.recurring,0)+IFERROR(_xlpm.planned,0))</f>
        <v>0</v>
      </c>
      <c r="I59" s="105">
        <f ca="1">_xlfn.LET(
_xlpm.recurring,SUMIFS(INDEX(recurring_master!$A:$AF,,MATCH($B59,recurring_master!$A$1:$AF$1,0)),recurring_master!$A:$A,"&lt;="&amp;EOMONTH(I$4,0),recurring_master!$A:$A,"&gt;="&amp;I$4),
_xlpm.planned,SUMIFS(Planned!$F:$F,Planned!$B:$B,$B59,Planned!$E:$E,"&gt;="&amp;I$4,Planned!$E:$E,"&lt;="&amp;EOMONTH(I$4,0)),
IFERROR(_xlpm.recurring,0)+IFERROR(_xlpm.planned,0))</f>
        <v>0</v>
      </c>
      <c r="J59" s="105">
        <f ca="1">_xlfn.LET(
_xlpm.recurring,SUMIFS(INDEX(recurring_master!$A:$AF,,MATCH($B59,recurring_master!$A$1:$AF$1,0)),recurring_master!$A:$A,"&lt;="&amp;EOMONTH(J$4,0),recurring_master!$A:$A,"&gt;="&amp;J$4),
_xlpm.planned,SUMIFS(Planned!$F:$F,Planned!$B:$B,$B59,Planned!$E:$E,"&gt;="&amp;J$4,Planned!$E:$E,"&lt;="&amp;EOMONTH(J$4,0)),
IFERROR(_xlpm.recurring,0)+IFERROR(_xlpm.planned,0))</f>
        <v>0</v>
      </c>
      <c r="K59" s="105">
        <f ca="1">_xlfn.LET(
_xlpm.recurring,SUMIFS(INDEX(recurring_master!$A:$AF,,MATCH($B59,recurring_master!$A$1:$AF$1,0)),recurring_master!$A:$A,"&lt;="&amp;EOMONTH(K$4,0),recurring_master!$A:$A,"&gt;="&amp;K$4),
_xlpm.planned,SUMIFS(Planned!$F:$F,Planned!$B:$B,$B59,Planned!$E:$E,"&gt;="&amp;K$4,Planned!$E:$E,"&lt;="&amp;EOMONTH(K$4,0)),
IFERROR(_xlpm.recurring,0)+IFERROR(_xlpm.planned,0))</f>
        <v>0</v>
      </c>
      <c r="L59" s="105">
        <f ca="1">_xlfn.LET(
_xlpm.recurring,SUMIFS(INDEX(recurring_master!$A:$AF,,MATCH($B59,recurring_master!$A$1:$AF$1,0)),recurring_master!$A:$A,"&lt;="&amp;EOMONTH(L$4,0),recurring_master!$A:$A,"&gt;="&amp;L$4),
_xlpm.planned,SUMIFS(Planned!$F:$F,Planned!$B:$B,$B59,Planned!$E:$E,"&gt;="&amp;L$4,Planned!$E:$E,"&lt;="&amp;EOMONTH(L$4,0)),
IFERROR(_xlpm.recurring,0)+IFERROR(_xlpm.planned,0))</f>
        <v>0</v>
      </c>
      <c r="M59" s="105">
        <f ca="1">_xlfn.LET(
_xlpm.recurring,SUMIFS(INDEX(recurring_master!$A:$AF,,MATCH($B59,recurring_master!$A$1:$AF$1,0)),recurring_master!$A:$A,"&lt;="&amp;EOMONTH(M$4,0),recurring_master!$A:$A,"&gt;="&amp;M$4),
_xlpm.planned,SUMIFS(Planned!$F:$F,Planned!$B:$B,$B59,Planned!$E:$E,"&gt;="&amp;M$4,Planned!$E:$E,"&lt;="&amp;EOMONTH(M$4,0)),
IFERROR(_xlpm.recurring,0)+IFERROR(_xlpm.planned,0))</f>
        <v>0</v>
      </c>
      <c r="N59" s="105">
        <f ca="1">_xlfn.LET(
_xlpm.recurring,SUMIFS(INDEX(recurring_master!$A:$AF,,MATCH($B59,recurring_master!$A$1:$AF$1,0)),recurring_master!$A:$A,"&lt;="&amp;EOMONTH(N$4,0),recurring_master!$A:$A,"&gt;="&amp;N$4),
_xlpm.planned,SUMIFS(Planned!$F:$F,Planned!$B:$B,$B59,Planned!$E:$E,"&gt;="&amp;N$4,Planned!$E:$E,"&lt;="&amp;EOMONTH(N$4,0)),
IFERROR(_xlpm.recurring,0)+IFERROR(_xlpm.planned,0))</f>
        <v>0</v>
      </c>
      <c r="O59" s="96"/>
      <c r="P59" s="106">
        <f t="shared" ca="1" si="15"/>
        <v>0</v>
      </c>
      <c r="Q59" s="51"/>
      <c r="R59" s="42" t="s">
        <v>330</v>
      </c>
      <c r="U59" s="22"/>
    </row>
    <row r="60" spans="1:23" ht="12.75" customHeight="1" x14ac:dyDescent="0.2">
      <c r="A60" s="226"/>
      <c r="B60" s="69" t="s">
        <v>277</v>
      </c>
      <c r="C60" s="105">
        <f ca="1">_xlfn.LET(
_xlpm.recurring,SUMIFS(INDEX(recurring_master!$A:$AF,,MATCH($B60,recurring_master!$A$1:$AF$1,0)),recurring_master!$A:$A,"&lt;="&amp;EOMONTH(C$4,0),recurring_master!$A:$A,"&gt;="&amp;C$4),
_xlpm.planned,SUMIFS(Planned!$F:$F,Planned!$B:$B,$B60,Planned!$E:$E,"&gt;="&amp;C$4,Planned!$E:$E,"&lt;="&amp;EOMONTH(C$4,0)),
IFERROR(_xlpm.recurring,0)+IFERROR(_xlpm.planned,0))</f>
        <v>0</v>
      </c>
      <c r="D60" s="105">
        <f ca="1">_xlfn.LET(
_xlpm.recurring,SUMIFS(INDEX(recurring_master!$A:$AF,,MATCH($B60,recurring_master!$A$1:$AF$1,0)),recurring_master!$A:$A,"&lt;="&amp;EOMONTH(D$4,0),recurring_master!$A:$A,"&gt;="&amp;D$4),
_xlpm.planned,SUMIFS(Planned!$F:$F,Planned!$B:$B,$B60,Planned!$E:$E,"&gt;="&amp;D$4,Planned!$E:$E,"&lt;="&amp;EOMONTH(D$4,0)),
IFERROR(_xlpm.recurring,0)+IFERROR(_xlpm.planned,0))</f>
        <v>0</v>
      </c>
      <c r="E60" s="105">
        <f ca="1">_xlfn.LET(
_xlpm.recurring,SUMIFS(INDEX(recurring_master!$A:$AF,,MATCH($B60,recurring_master!$A$1:$AF$1,0)),recurring_master!$A:$A,"&lt;="&amp;EOMONTH(E$4,0),recurring_master!$A:$A,"&gt;="&amp;E$4),
_xlpm.planned,SUMIFS(Planned!$F:$F,Planned!$B:$B,$B60,Planned!$E:$E,"&gt;="&amp;E$4,Planned!$E:$E,"&lt;="&amp;EOMONTH(E$4,0)),
IFERROR(_xlpm.recurring,0)+IFERROR(_xlpm.planned,0))</f>
        <v>0</v>
      </c>
      <c r="F60" s="105">
        <f ca="1">_xlfn.LET(
_xlpm.recurring,SUMIFS(INDEX(recurring_master!$A:$AF,,MATCH($B60,recurring_master!$A$1:$AF$1,0)),recurring_master!$A:$A,"&lt;="&amp;EOMONTH(F$4,0),recurring_master!$A:$A,"&gt;="&amp;F$4),
_xlpm.planned,SUMIFS(Planned!$F:$F,Planned!$B:$B,$B60,Planned!$E:$E,"&gt;="&amp;F$4,Planned!$E:$E,"&lt;="&amp;EOMONTH(F$4,0)),
IFERROR(_xlpm.recurring,0)+IFERROR(_xlpm.planned,0))</f>
        <v>0</v>
      </c>
      <c r="G60" s="105">
        <f ca="1">_xlfn.LET(
_xlpm.recurring,SUMIFS(INDEX(recurring_master!$A:$AF,,MATCH($B60,recurring_master!$A$1:$AF$1,0)),recurring_master!$A:$A,"&lt;="&amp;EOMONTH(G$4,0),recurring_master!$A:$A,"&gt;="&amp;G$4),
_xlpm.planned,SUMIFS(Planned!$F:$F,Planned!$B:$B,$B60,Planned!$E:$E,"&gt;="&amp;G$4,Planned!$E:$E,"&lt;="&amp;EOMONTH(G$4,0)),
IFERROR(_xlpm.recurring,0)+IFERROR(_xlpm.planned,0))</f>
        <v>0</v>
      </c>
      <c r="H60" s="105">
        <f ca="1">_xlfn.LET(
_xlpm.recurring,SUMIFS(INDEX(recurring_master!$A:$AF,,MATCH($B60,recurring_master!$A$1:$AF$1,0)),recurring_master!$A:$A,"&lt;="&amp;EOMONTH(H$4,0),recurring_master!$A:$A,"&gt;="&amp;H$4),
_xlpm.planned,SUMIFS(Planned!$F:$F,Planned!$B:$B,$B60,Planned!$E:$E,"&gt;="&amp;H$4,Planned!$E:$E,"&lt;="&amp;EOMONTH(H$4,0)),
IFERROR(_xlpm.recurring,0)+IFERROR(_xlpm.planned,0))</f>
        <v>0</v>
      </c>
      <c r="I60" s="105">
        <f ca="1">_xlfn.LET(
_xlpm.recurring,SUMIFS(INDEX(recurring_master!$A:$AF,,MATCH($B60,recurring_master!$A$1:$AF$1,0)),recurring_master!$A:$A,"&lt;="&amp;EOMONTH(I$4,0),recurring_master!$A:$A,"&gt;="&amp;I$4),
_xlpm.planned,SUMIFS(Planned!$F:$F,Planned!$B:$B,$B60,Planned!$E:$E,"&gt;="&amp;I$4,Planned!$E:$E,"&lt;="&amp;EOMONTH(I$4,0)),
IFERROR(_xlpm.recurring,0)+IFERROR(_xlpm.planned,0))</f>
        <v>0</v>
      </c>
      <c r="J60" s="105">
        <f ca="1">_xlfn.LET(
_xlpm.recurring,SUMIFS(INDEX(recurring_master!$A:$AF,,MATCH($B60,recurring_master!$A$1:$AF$1,0)),recurring_master!$A:$A,"&lt;="&amp;EOMONTH(J$4,0),recurring_master!$A:$A,"&gt;="&amp;J$4),
_xlpm.planned,SUMIFS(Planned!$F:$F,Planned!$B:$B,$B60,Planned!$E:$E,"&gt;="&amp;J$4,Planned!$E:$E,"&lt;="&amp;EOMONTH(J$4,0)),
IFERROR(_xlpm.recurring,0)+IFERROR(_xlpm.planned,0))</f>
        <v>0</v>
      </c>
      <c r="K60" s="105">
        <f ca="1">_xlfn.LET(
_xlpm.recurring,SUMIFS(INDEX(recurring_master!$A:$AF,,MATCH($B60,recurring_master!$A$1:$AF$1,0)),recurring_master!$A:$A,"&lt;="&amp;EOMONTH(K$4,0),recurring_master!$A:$A,"&gt;="&amp;K$4),
_xlpm.planned,SUMIFS(Planned!$F:$F,Planned!$B:$B,$B60,Planned!$E:$E,"&gt;="&amp;K$4,Planned!$E:$E,"&lt;="&amp;EOMONTH(K$4,0)),
IFERROR(_xlpm.recurring,0)+IFERROR(_xlpm.planned,0))</f>
        <v>0</v>
      </c>
      <c r="L60" s="105">
        <f ca="1">_xlfn.LET(
_xlpm.recurring,SUMIFS(INDEX(recurring_master!$A:$AF,,MATCH($B60,recurring_master!$A$1:$AF$1,0)),recurring_master!$A:$A,"&lt;="&amp;EOMONTH(L$4,0),recurring_master!$A:$A,"&gt;="&amp;L$4),
_xlpm.planned,SUMIFS(Planned!$F:$F,Planned!$B:$B,$B60,Planned!$E:$E,"&gt;="&amp;L$4,Planned!$E:$E,"&lt;="&amp;EOMONTH(L$4,0)),
IFERROR(_xlpm.recurring,0)+IFERROR(_xlpm.planned,0))</f>
        <v>0</v>
      </c>
      <c r="M60" s="105">
        <f ca="1">_xlfn.LET(
_xlpm.recurring,SUMIFS(INDEX(recurring_master!$A:$AF,,MATCH($B60,recurring_master!$A$1:$AF$1,0)),recurring_master!$A:$A,"&lt;="&amp;EOMONTH(M$4,0),recurring_master!$A:$A,"&gt;="&amp;M$4),
_xlpm.planned,SUMIFS(Planned!$F:$F,Planned!$B:$B,$B60,Planned!$E:$E,"&gt;="&amp;M$4,Planned!$E:$E,"&lt;="&amp;EOMONTH(M$4,0)),
IFERROR(_xlpm.recurring,0)+IFERROR(_xlpm.planned,0))</f>
        <v>0</v>
      </c>
      <c r="N60" s="105">
        <f ca="1">_xlfn.LET(
_xlpm.recurring,SUMIFS(INDEX(recurring_master!$A:$AF,,MATCH($B60,recurring_master!$A$1:$AF$1,0)),recurring_master!$A:$A,"&lt;="&amp;EOMONTH(N$4,0),recurring_master!$A:$A,"&gt;="&amp;N$4),
_xlpm.planned,SUMIFS(Planned!$F:$F,Planned!$B:$B,$B60,Planned!$E:$E,"&gt;="&amp;N$4,Planned!$E:$E,"&lt;="&amp;EOMONTH(N$4,0)),
IFERROR(_xlpm.recurring,0)+IFERROR(_xlpm.planned,0))</f>
        <v>0</v>
      </c>
      <c r="O60" s="96"/>
      <c r="P60" s="106">
        <f t="shared" ca="1" si="15"/>
        <v>0</v>
      </c>
      <c r="Q60" s="52"/>
      <c r="R60" s="42"/>
    </row>
    <row r="61" spans="1:23" ht="12.75" customHeight="1" x14ac:dyDescent="0.2">
      <c r="A61" s="226"/>
      <c r="B61" s="78" t="s">
        <v>292</v>
      </c>
      <c r="C61" s="105">
        <f ca="1">_xlfn.LET(
_xlpm.recurring,SUMIFS(INDEX(recurring_master!$A:$AF,,MATCH($B61,recurring_master!$A$1:$AF$1,0)),recurring_master!$A:$A,"&lt;="&amp;EOMONTH(C$4,0),recurring_master!$A:$A,"&gt;="&amp;C$4),
_xlpm.planned,SUMIFS(Planned!$F:$F,Planned!$B:$B,$B61,Planned!$E:$E,"&gt;="&amp;C$4,Planned!$E:$E,"&lt;="&amp;EOMONTH(C$4,0)),
IFERROR(_xlpm.recurring,0)+IFERROR(_xlpm.planned,0))</f>
        <v>0</v>
      </c>
      <c r="D61" s="105">
        <f ca="1">_xlfn.LET(
_xlpm.recurring,SUMIFS(INDEX(recurring_master!$A:$AF,,MATCH($B61,recurring_master!$A$1:$AF$1,0)),recurring_master!$A:$A,"&lt;="&amp;EOMONTH(D$4,0),recurring_master!$A:$A,"&gt;="&amp;D$4),
_xlpm.planned,SUMIFS(Planned!$F:$F,Planned!$B:$B,$B61,Planned!$E:$E,"&gt;="&amp;D$4,Planned!$E:$E,"&lt;="&amp;EOMONTH(D$4,0)),
IFERROR(_xlpm.recurring,0)+IFERROR(_xlpm.planned,0))</f>
        <v>0</v>
      </c>
      <c r="E61" s="105">
        <f ca="1">_xlfn.LET(
_xlpm.recurring,SUMIFS(INDEX(recurring_master!$A:$AF,,MATCH($B61,recurring_master!$A$1:$AF$1,0)),recurring_master!$A:$A,"&lt;="&amp;EOMONTH(E$4,0),recurring_master!$A:$A,"&gt;="&amp;E$4),
_xlpm.planned,SUMIFS(Planned!$F:$F,Planned!$B:$B,$B61,Planned!$E:$E,"&gt;="&amp;E$4,Planned!$E:$E,"&lt;="&amp;EOMONTH(E$4,0)),
IFERROR(_xlpm.recurring,0)+IFERROR(_xlpm.planned,0))</f>
        <v>0</v>
      </c>
      <c r="F61" s="105">
        <f ca="1">_xlfn.LET(
_xlpm.recurring,SUMIFS(INDEX(recurring_master!$A:$AF,,MATCH($B61,recurring_master!$A$1:$AF$1,0)),recurring_master!$A:$A,"&lt;="&amp;EOMONTH(F$4,0),recurring_master!$A:$A,"&gt;="&amp;F$4),
_xlpm.planned,SUMIFS(Planned!$F:$F,Planned!$B:$B,$B61,Planned!$E:$E,"&gt;="&amp;F$4,Planned!$E:$E,"&lt;="&amp;EOMONTH(F$4,0)),
IFERROR(_xlpm.recurring,0)+IFERROR(_xlpm.planned,0))</f>
        <v>0</v>
      </c>
      <c r="G61" s="105">
        <f ca="1">_xlfn.LET(
_xlpm.recurring,SUMIFS(INDEX(recurring_master!$A:$AF,,MATCH($B61,recurring_master!$A$1:$AF$1,0)),recurring_master!$A:$A,"&lt;="&amp;EOMONTH(G$4,0),recurring_master!$A:$A,"&gt;="&amp;G$4),
_xlpm.planned,SUMIFS(Planned!$F:$F,Planned!$B:$B,$B61,Planned!$E:$E,"&gt;="&amp;G$4,Planned!$E:$E,"&lt;="&amp;EOMONTH(G$4,0)),
IFERROR(_xlpm.recurring,0)+IFERROR(_xlpm.planned,0))</f>
        <v>0</v>
      </c>
      <c r="H61" s="105">
        <f ca="1">_xlfn.LET(
_xlpm.recurring,SUMIFS(INDEX(recurring_master!$A:$AF,,MATCH($B61,recurring_master!$A$1:$AF$1,0)),recurring_master!$A:$A,"&lt;="&amp;EOMONTH(H$4,0),recurring_master!$A:$A,"&gt;="&amp;H$4),
_xlpm.planned,SUMIFS(Planned!$F:$F,Planned!$B:$B,$B61,Planned!$E:$E,"&gt;="&amp;H$4,Planned!$E:$E,"&lt;="&amp;EOMONTH(H$4,0)),
IFERROR(_xlpm.recurring,0)+IFERROR(_xlpm.planned,0))</f>
        <v>0</v>
      </c>
      <c r="I61" s="105">
        <f ca="1">_xlfn.LET(
_xlpm.recurring,SUMIFS(INDEX(recurring_master!$A:$AF,,MATCH($B61,recurring_master!$A$1:$AF$1,0)),recurring_master!$A:$A,"&lt;="&amp;EOMONTH(I$4,0),recurring_master!$A:$A,"&gt;="&amp;I$4),
_xlpm.planned,SUMIFS(Planned!$F:$F,Planned!$B:$B,$B61,Planned!$E:$E,"&gt;="&amp;I$4,Planned!$E:$E,"&lt;="&amp;EOMONTH(I$4,0)),
IFERROR(_xlpm.recurring,0)+IFERROR(_xlpm.planned,0))</f>
        <v>0</v>
      </c>
      <c r="J61" s="105">
        <f ca="1">_xlfn.LET(
_xlpm.recurring,SUMIFS(INDEX(recurring_master!$A:$AF,,MATCH($B61,recurring_master!$A$1:$AF$1,0)),recurring_master!$A:$A,"&lt;="&amp;EOMONTH(J$4,0),recurring_master!$A:$A,"&gt;="&amp;J$4),
_xlpm.planned,SUMIFS(Planned!$F:$F,Planned!$B:$B,$B61,Planned!$E:$E,"&gt;="&amp;J$4,Planned!$E:$E,"&lt;="&amp;EOMONTH(J$4,0)),
IFERROR(_xlpm.recurring,0)+IFERROR(_xlpm.planned,0))</f>
        <v>0</v>
      </c>
      <c r="K61" s="105">
        <f ca="1">_xlfn.LET(
_xlpm.recurring,SUMIFS(INDEX(recurring_master!$A:$AF,,MATCH($B61,recurring_master!$A$1:$AF$1,0)),recurring_master!$A:$A,"&lt;="&amp;EOMONTH(K$4,0),recurring_master!$A:$A,"&gt;="&amp;K$4),
_xlpm.planned,SUMIFS(Planned!$F:$F,Planned!$B:$B,$B61,Planned!$E:$E,"&gt;="&amp;K$4,Planned!$E:$E,"&lt;="&amp;EOMONTH(K$4,0)),
IFERROR(_xlpm.recurring,0)+IFERROR(_xlpm.planned,0))</f>
        <v>0</v>
      </c>
      <c r="L61" s="105">
        <f ca="1">_xlfn.LET(
_xlpm.recurring,SUMIFS(INDEX(recurring_master!$A:$AF,,MATCH($B61,recurring_master!$A$1:$AF$1,0)),recurring_master!$A:$A,"&lt;="&amp;EOMONTH(L$4,0),recurring_master!$A:$A,"&gt;="&amp;L$4),
_xlpm.planned,SUMIFS(Planned!$F:$F,Planned!$B:$B,$B61,Planned!$E:$E,"&gt;="&amp;L$4,Planned!$E:$E,"&lt;="&amp;EOMONTH(L$4,0)),
IFERROR(_xlpm.recurring,0)+IFERROR(_xlpm.planned,0))</f>
        <v>0</v>
      </c>
      <c r="M61" s="105">
        <f ca="1">_xlfn.LET(
_xlpm.recurring,SUMIFS(INDEX(recurring_master!$A:$AF,,MATCH($B61,recurring_master!$A$1:$AF$1,0)),recurring_master!$A:$A,"&lt;="&amp;EOMONTH(M$4,0),recurring_master!$A:$A,"&gt;="&amp;M$4),
_xlpm.planned,SUMIFS(Planned!$F:$F,Planned!$B:$B,$B61,Planned!$E:$E,"&gt;="&amp;M$4,Planned!$E:$E,"&lt;="&amp;EOMONTH(M$4,0)),
IFERROR(_xlpm.recurring,0)+IFERROR(_xlpm.planned,0))</f>
        <v>0</v>
      </c>
      <c r="N61" s="105">
        <f ca="1">_xlfn.LET(
_xlpm.recurring,SUMIFS(INDEX(recurring_master!$A:$AF,,MATCH($B61,recurring_master!$A$1:$AF$1,0)),recurring_master!$A:$A,"&lt;="&amp;EOMONTH(N$4,0),recurring_master!$A:$A,"&gt;="&amp;N$4),
_xlpm.planned,SUMIFS(Planned!$F:$F,Planned!$B:$B,$B61,Planned!$E:$E,"&gt;="&amp;N$4,Planned!$E:$E,"&lt;="&amp;EOMONTH(N$4,0)),
IFERROR(_xlpm.recurring,0)+IFERROR(_xlpm.planned,0))</f>
        <v>0</v>
      </c>
      <c r="O61" s="96"/>
      <c r="P61" s="106">
        <f t="shared" ca="1" si="15"/>
        <v>0</v>
      </c>
      <c r="Q61" s="51"/>
      <c r="R61" s="42" t="s">
        <v>331</v>
      </c>
      <c r="U61" s="22"/>
    </row>
    <row r="62" spans="1:23" ht="5.0999999999999996" customHeight="1" x14ac:dyDescent="0.2">
      <c r="A62" s="226"/>
      <c r="B62" s="69"/>
      <c r="C62" s="96"/>
      <c r="D62" s="96"/>
      <c r="E62" s="96"/>
      <c r="F62" s="96"/>
      <c r="G62" s="96"/>
      <c r="H62" s="96"/>
      <c r="I62" s="96"/>
      <c r="J62" s="96"/>
      <c r="K62" s="96"/>
      <c r="L62" s="96"/>
      <c r="M62" s="96"/>
      <c r="N62" s="96"/>
      <c r="O62" s="96"/>
      <c r="P62" s="106"/>
      <c r="Q62" s="51"/>
      <c r="R62" s="42"/>
      <c r="W62" s="18"/>
    </row>
    <row r="63" spans="1:23" ht="12.75" customHeight="1" x14ac:dyDescent="0.2">
      <c r="A63" s="226"/>
      <c r="B63" s="79" t="str">
        <f>"Total "&amp;B54</f>
        <v>Total FLEXIBLE OUTFLOWS</v>
      </c>
      <c r="C63" s="113">
        <f t="shared" ref="C63:N63" ca="1" si="16">SUM(C54:C62)</f>
        <v>0</v>
      </c>
      <c r="D63" s="113">
        <f t="shared" ca="1" si="16"/>
        <v>0</v>
      </c>
      <c r="E63" s="113">
        <f t="shared" ca="1" si="16"/>
        <v>0</v>
      </c>
      <c r="F63" s="113">
        <f t="shared" ca="1" si="16"/>
        <v>0</v>
      </c>
      <c r="G63" s="113">
        <f t="shared" ca="1" si="16"/>
        <v>0</v>
      </c>
      <c r="H63" s="113">
        <f t="shared" ca="1" si="16"/>
        <v>0</v>
      </c>
      <c r="I63" s="113">
        <f t="shared" ca="1" si="16"/>
        <v>0</v>
      </c>
      <c r="J63" s="113">
        <f t="shared" ca="1" si="16"/>
        <v>0</v>
      </c>
      <c r="K63" s="113">
        <f t="shared" ca="1" si="16"/>
        <v>0</v>
      </c>
      <c r="L63" s="113">
        <f t="shared" ca="1" si="16"/>
        <v>0</v>
      </c>
      <c r="M63" s="113">
        <f t="shared" ca="1" si="16"/>
        <v>0</v>
      </c>
      <c r="N63" s="114">
        <f t="shared" ca="1" si="16"/>
        <v>0</v>
      </c>
      <c r="O63" s="113"/>
      <c r="P63" s="115">
        <f ca="1">SUM(P45:P54)</f>
        <v>0</v>
      </c>
      <c r="Q63" s="51"/>
      <c r="R63" s="42"/>
      <c r="U63" s="22"/>
    </row>
    <row r="64" spans="1:23" ht="5.0999999999999996" customHeight="1" x14ac:dyDescent="0.2">
      <c r="A64" s="226"/>
      <c r="B64" s="67"/>
      <c r="C64" s="96"/>
      <c r="D64" s="96"/>
      <c r="E64" s="96"/>
      <c r="F64" s="96"/>
      <c r="G64" s="96"/>
      <c r="H64" s="96"/>
      <c r="I64" s="96"/>
      <c r="J64" s="96"/>
      <c r="K64" s="96"/>
      <c r="L64" s="96"/>
      <c r="M64" s="96"/>
      <c r="N64" s="96"/>
      <c r="O64" s="96"/>
      <c r="P64" s="96"/>
      <c r="Q64" s="51"/>
      <c r="R64" s="42"/>
    </row>
    <row r="65" spans="1:23" ht="12.75" customHeight="1" x14ac:dyDescent="0.2">
      <c r="A65" s="226"/>
      <c r="B65" s="76" t="s">
        <v>13</v>
      </c>
      <c r="C65" s="159"/>
      <c r="D65" s="159"/>
      <c r="E65" s="159"/>
      <c r="F65" s="159"/>
      <c r="G65" s="159"/>
      <c r="H65" s="159"/>
      <c r="I65" s="159"/>
      <c r="J65" s="159"/>
      <c r="K65" s="159"/>
      <c r="L65" s="159"/>
      <c r="M65" s="159"/>
      <c r="N65" s="159"/>
      <c r="O65" s="159"/>
      <c r="P65" s="160"/>
      <c r="Q65" s="51"/>
      <c r="R65" s="42"/>
    </row>
    <row r="66" spans="1:23" ht="12.75" customHeight="1" x14ac:dyDescent="0.2">
      <c r="A66" s="227"/>
      <c r="B66" s="69" t="s">
        <v>88</v>
      </c>
      <c r="C66" s="105">
        <f ca="1">_xlfn.LET(
_xlpm.recurring,SUMIFS(INDEX(recurring_master!$A:$AF,,MATCH($B66,recurring_master!$A$1:$AF$1,0)),recurring_master!$A:$A,"&lt;="&amp;EOMONTH(C$4,0),recurring_master!$A:$A,"&gt;="&amp;C$4),
_xlpm.planned,SUMIFS(Planned!$F:$F,Planned!$B:$B,$B66,Planned!$E:$E,"&gt;="&amp;C$4,Planned!$E:$E,"&lt;="&amp;EOMONTH(C$4,0)),
IFERROR(_xlpm.recurring,0)+IFERROR(_xlpm.planned,0))</f>
        <v>0</v>
      </c>
      <c r="D66" s="105">
        <f ca="1">_xlfn.LET(
_xlpm.recurring,SUMIFS(INDEX(recurring_master!$A:$AF,,MATCH($B66,recurring_master!$A$1:$AF$1,0)),recurring_master!$A:$A,"&lt;="&amp;EOMONTH(D$4,0),recurring_master!$A:$A,"&gt;="&amp;D$4),
_xlpm.planned,SUMIFS(Planned!$F:$F,Planned!$B:$B,$B66,Planned!$E:$E,"&gt;="&amp;D$4,Planned!$E:$E,"&lt;="&amp;EOMONTH(D$4,0)),
IFERROR(_xlpm.recurring,0)+IFERROR(_xlpm.planned,0))</f>
        <v>0</v>
      </c>
      <c r="E66" s="105">
        <f ca="1">_xlfn.LET(
_xlpm.recurring,SUMIFS(INDEX(recurring_master!$A:$AF,,MATCH($B66,recurring_master!$A$1:$AF$1,0)),recurring_master!$A:$A,"&lt;="&amp;EOMONTH(E$4,0),recurring_master!$A:$A,"&gt;="&amp;E$4),
_xlpm.planned,SUMIFS(Planned!$F:$F,Planned!$B:$B,$B66,Planned!$E:$E,"&gt;="&amp;E$4,Planned!$E:$E,"&lt;="&amp;EOMONTH(E$4,0)),
IFERROR(_xlpm.recurring,0)+IFERROR(_xlpm.planned,0))</f>
        <v>0</v>
      </c>
      <c r="F66" s="105">
        <f ca="1">_xlfn.LET(
_xlpm.recurring,SUMIFS(INDEX(recurring_master!$A:$AF,,MATCH($B66,recurring_master!$A$1:$AF$1,0)),recurring_master!$A:$A,"&lt;="&amp;EOMONTH(F$4,0),recurring_master!$A:$A,"&gt;="&amp;F$4),
_xlpm.planned,SUMIFS(Planned!$F:$F,Planned!$B:$B,$B66,Planned!$E:$E,"&gt;="&amp;F$4,Planned!$E:$E,"&lt;="&amp;EOMONTH(F$4,0)),
IFERROR(_xlpm.recurring,0)+IFERROR(_xlpm.planned,0))</f>
        <v>0</v>
      </c>
      <c r="G66" s="105">
        <f ca="1">_xlfn.LET(
_xlpm.recurring,SUMIFS(INDEX(recurring_master!$A:$AF,,MATCH($B66,recurring_master!$A$1:$AF$1,0)),recurring_master!$A:$A,"&lt;="&amp;EOMONTH(G$4,0),recurring_master!$A:$A,"&gt;="&amp;G$4),
_xlpm.planned,SUMIFS(Planned!$F:$F,Planned!$B:$B,$B66,Planned!$E:$E,"&gt;="&amp;G$4,Planned!$E:$E,"&lt;="&amp;EOMONTH(G$4,0)),
IFERROR(_xlpm.recurring,0)+IFERROR(_xlpm.planned,0))</f>
        <v>0</v>
      </c>
      <c r="H66" s="105">
        <f ca="1">_xlfn.LET(
_xlpm.recurring,SUMIFS(INDEX(recurring_master!$A:$AF,,MATCH($B66,recurring_master!$A$1:$AF$1,0)),recurring_master!$A:$A,"&lt;="&amp;EOMONTH(H$4,0),recurring_master!$A:$A,"&gt;="&amp;H$4),
_xlpm.planned,SUMIFS(Planned!$F:$F,Planned!$B:$B,$B66,Planned!$E:$E,"&gt;="&amp;H$4,Planned!$E:$E,"&lt;="&amp;EOMONTH(H$4,0)),
IFERROR(_xlpm.recurring,0)+IFERROR(_xlpm.planned,0))</f>
        <v>0</v>
      </c>
      <c r="I66" s="105">
        <f ca="1">_xlfn.LET(
_xlpm.recurring,SUMIFS(INDEX(recurring_master!$A:$AF,,MATCH($B66,recurring_master!$A$1:$AF$1,0)),recurring_master!$A:$A,"&lt;="&amp;EOMONTH(I$4,0),recurring_master!$A:$A,"&gt;="&amp;I$4),
_xlpm.planned,SUMIFS(Planned!$F:$F,Planned!$B:$B,$B66,Planned!$E:$E,"&gt;="&amp;I$4,Planned!$E:$E,"&lt;="&amp;EOMONTH(I$4,0)),
IFERROR(_xlpm.recurring,0)+IFERROR(_xlpm.planned,0))</f>
        <v>0</v>
      </c>
      <c r="J66" s="105">
        <f ca="1">_xlfn.LET(
_xlpm.recurring,SUMIFS(INDEX(recurring_master!$A:$AF,,MATCH($B66,recurring_master!$A$1:$AF$1,0)),recurring_master!$A:$A,"&lt;="&amp;EOMONTH(J$4,0),recurring_master!$A:$A,"&gt;="&amp;J$4),
_xlpm.planned,SUMIFS(Planned!$F:$F,Planned!$B:$B,$B66,Planned!$E:$E,"&gt;="&amp;J$4,Planned!$E:$E,"&lt;="&amp;EOMONTH(J$4,0)),
IFERROR(_xlpm.recurring,0)+IFERROR(_xlpm.planned,0))</f>
        <v>0</v>
      </c>
      <c r="K66" s="105">
        <f ca="1">_xlfn.LET(
_xlpm.recurring,SUMIFS(INDEX(recurring_master!$A:$AF,,MATCH($B66,recurring_master!$A$1:$AF$1,0)),recurring_master!$A:$A,"&lt;="&amp;EOMONTH(K$4,0),recurring_master!$A:$A,"&gt;="&amp;K$4),
_xlpm.planned,SUMIFS(Planned!$F:$F,Planned!$B:$B,$B66,Planned!$E:$E,"&gt;="&amp;K$4,Planned!$E:$E,"&lt;="&amp;EOMONTH(K$4,0)),
IFERROR(_xlpm.recurring,0)+IFERROR(_xlpm.planned,0))</f>
        <v>0</v>
      </c>
      <c r="L66" s="105">
        <f ca="1">_xlfn.LET(
_xlpm.recurring,SUMIFS(INDEX(recurring_master!$A:$AF,,MATCH($B66,recurring_master!$A$1:$AF$1,0)),recurring_master!$A:$A,"&lt;="&amp;EOMONTH(L$4,0),recurring_master!$A:$A,"&gt;="&amp;L$4),
_xlpm.planned,SUMIFS(Planned!$F:$F,Planned!$B:$B,$B66,Planned!$E:$E,"&gt;="&amp;L$4,Planned!$E:$E,"&lt;="&amp;EOMONTH(L$4,0)),
IFERROR(_xlpm.recurring,0)+IFERROR(_xlpm.planned,0))</f>
        <v>0</v>
      </c>
      <c r="M66" s="105">
        <f ca="1">_xlfn.LET(
_xlpm.recurring,SUMIFS(INDEX(recurring_master!$A:$AF,,MATCH($B66,recurring_master!$A$1:$AF$1,0)),recurring_master!$A:$A,"&lt;="&amp;EOMONTH(M$4,0),recurring_master!$A:$A,"&gt;="&amp;M$4),
_xlpm.planned,SUMIFS(Planned!$F:$F,Planned!$B:$B,$B66,Planned!$E:$E,"&gt;="&amp;M$4,Planned!$E:$E,"&lt;="&amp;EOMONTH(M$4,0)),
IFERROR(_xlpm.recurring,0)+IFERROR(_xlpm.planned,0))</f>
        <v>0</v>
      </c>
      <c r="N66" s="105">
        <f ca="1">_xlfn.LET(
_xlpm.recurring,SUMIFS(INDEX(recurring_master!$A:$AF,,MATCH($B66,recurring_master!$A$1:$AF$1,0)),recurring_master!$A:$A,"&lt;="&amp;EOMONTH(N$4,0),recurring_master!$A:$A,"&gt;="&amp;N$4),
_xlpm.planned,SUMIFS(Planned!$F:$F,Planned!$B:$B,$B66,Planned!$E:$E,"&gt;="&amp;N$4,Planned!$E:$E,"&lt;="&amp;EOMONTH(N$4,0)),
IFERROR(_xlpm.recurring,0)+IFERROR(_xlpm.planned,0))</f>
        <v>0</v>
      </c>
      <c r="O66" s="96"/>
      <c r="P66" s="106">
        <f ca="1">SUM(C66:N66)</f>
        <v>0</v>
      </c>
      <c r="Q66" s="52"/>
      <c r="R66" s="42"/>
    </row>
    <row r="67" spans="1:23" ht="12.75" customHeight="1" x14ac:dyDescent="0.2">
      <c r="A67" s="227"/>
      <c r="B67" s="69" t="s">
        <v>89</v>
      </c>
      <c r="C67" s="105">
        <f ca="1">_xlfn.LET(
_xlpm.recurring,SUMIFS(INDEX(recurring_master!$A:$AF,,MATCH($B67,recurring_master!$A$1:$AF$1,0)),recurring_master!$A:$A,"&lt;="&amp;EOMONTH(C$4,0),recurring_master!$A:$A,"&gt;="&amp;C$4),
_xlpm.planned,SUMIFS(Planned!$F:$F,Planned!$B:$B,$B67,Planned!$E:$E,"&gt;="&amp;C$4,Planned!$E:$E,"&lt;="&amp;EOMONTH(C$4,0)),
IFERROR(_xlpm.recurring,0)+IFERROR(_xlpm.planned,0))</f>
        <v>0</v>
      </c>
      <c r="D67" s="105">
        <f ca="1">_xlfn.LET(
_xlpm.recurring,SUMIFS(INDEX(recurring_master!$A:$AF,,MATCH($B67,recurring_master!$A$1:$AF$1,0)),recurring_master!$A:$A,"&lt;="&amp;EOMONTH(D$4,0),recurring_master!$A:$A,"&gt;="&amp;D$4),
_xlpm.planned,SUMIFS(Planned!$F:$F,Planned!$B:$B,$B67,Planned!$E:$E,"&gt;="&amp;D$4,Planned!$E:$E,"&lt;="&amp;EOMONTH(D$4,0)),
IFERROR(_xlpm.recurring,0)+IFERROR(_xlpm.planned,0))</f>
        <v>0</v>
      </c>
      <c r="E67" s="105">
        <f ca="1">_xlfn.LET(
_xlpm.recurring,SUMIFS(INDEX(recurring_master!$A:$AF,,MATCH($B67,recurring_master!$A$1:$AF$1,0)),recurring_master!$A:$A,"&lt;="&amp;EOMONTH(E$4,0),recurring_master!$A:$A,"&gt;="&amp;E$4),
_xlpm.planned,SUMIFS(Planned!$F:$F,Planned!$B:$B,$B67,Planned!$E:$E,"&gt;="&amp;E$4,Planned!$E:$E,"&lt;="&amp;EOMONTH(E$4,0)),
IFERROR(_xlpm.recurring,0)+IFERROR(_xlpm.planned,0))</f>
        <v>0</v>
      </c>
      <c r="F67" s="105">
        <f ca="1">_xlfn.LET(
_xlpm.recurring,SUMIFS(INDEX(recurring_master!$A:$AF,,MATCH($B67,recurring_master!$A$1:$AF$1,0)),recurring_master!$A:$A,"&lt;="&amp;EOMONTH(F$4,0),recurring_master!$A:$A,"&gt;="&amp;F$4),
_xlpm.planned,SUMIFS(Planned!$F:$F,Planned!$B:$B,$B67,Planned!$E:$E,"&gt;="&amp;F$4,Planned!$E:$E,"&lt;="&amp;EOMONTH(F$4,0)),
IFERROR(_xlpm.recurring,0)+IFERROR(_xlpm.planned,0))</f>
        <v>0</v>
      </c>
      <c r="G67" s="105">
        <f ca="1">_xlfn.LET(
_xlpm.recurring,SUMIFS(INDEX(recurring_master!$A:$AF,,MATCH($B67,recurring_master!$A$1:$AF$1,0)),recurring_master!$A:$A,"&lt;="&amp;EOMONTH(G$4,0),recurring_master!$A:$A,"&gt;="&amp;G$4),
_xlpm.planned,SUMIFS(Planned!$F:$F,Planned!$B:$B,$B67,Planned!$E:$E,"&gt;="&amp;G$4,Planned!$E:$E,"&lt;="&amp;EOMONTH(G$4,0)),
IFERROR(_xlpm.recurring,0)+IFERROR(_xlpm.planned,0))</f>
        <v>0</v>
      </c>
      <c r="H67" s="105">
        <f ca="1">_xlfn.LET(
_xlpm.recurring,SUMIFS(INDEX(recurring_master!$A:$AF,,MATCH($B67,recurring_master!$A$1:$AF$1,0)),recurring_master!$A:$A,"&lt;="&amp;EOMONTH(H$4,0),recurring_master!$A:$A,"&gt;="&amp;H$4),
_xlpm.planned,SUMIFS(Planned!$F:$F,Planned!$B:$B,$B67,Planned!$E:$E,"&gt;="&amp;H$4,Planned!$E:$E,"&lt;="&amp;EOMONTH(H$4,0)),
IFERROR(_xlpm.recurring,0)+IFERROR(_xlpm.planned,0))</f>
        <v>0</v>
      </c>
      <c r="I67" s="105">
        <f ca="1">_xlfn.LET(
_xlpm.recurring,SUMIFS(INDEX(recurring_master!$A:$AF,,MATCH($B67,recurring_master!$A$1:$AF$1,0)),recurring_master!$A:$A,"&lt;="&amp;EOMONTH(I$4,0),recurring_master!$A:$A,"&gt;="&amp;I$4),
_xlpm.planned,SUMIFS(Planned!$F:$F,Planned!$B:$B,$B67,Planned!$E:$E,"&gt;="&amp;I$4,Planned!$E:$E,"&lt;="&amp;EOMONTH(I$4,0)),
IFERROR(_xlpm.recurring,0)+IFERROR(_xlpm.planned,0))</f>
        <v>0</v>
      </c>
      <c r="J67" s="105">
        <f ca="1">_xlfn.LET(
_xlpm.recurring,SUMIFS(INDEX(recurring_master!$A:$AF,,MATCH($B67,recurring_master!$A$1:$AF$1,0)),recurring_master!$A:$A,"&lt;="&amp;EOMONTH(J$4,0),recurring_master!$A:$A,"&gt;="&amp;J$4),
_xlpm.planned,SUMIFS(Planned!$F:$F,Planned!$B:$B,$B67,Planned!$E:$E,"&gt;="&amp;J$4,Planned!$E:$E,"&lt;="&amp;EOMONTH(J$4,0)),
IFERROR(_xlpm.recurring,0)+IFERROR(_xlpm.planned,0))</f>
        <v>0</v>
      </c>
      <c r="K67" s="105">
        <f ca="1">_xlfn.LET(
_xlpm.recurring,SUMIFS(INDEX(recurring_master!$A:$AF,,MATCH($B67,recurring_master!$A$1:$AF$1,0)),recurring_master!$A:$A,"&lt;="&amp;EOMONTH(K$4,0),recurring_master!$A:$A,"&gt;="&amp;K$4),
_xlpm.planned,SUMIFS(Planned!$F:$F,Planned!$B:$B,$B67,Planned!$E:$E,"&gt;="&amp;K$4,Planned!$E:$E,"&lt;="&amp;EOMONTH(K$4,0)),
IFERROR(_xlpm.recurring,0)+IFERROR(_xlpm.planned,0))</f>
        <v>0</v>
      </c>
      <c r="L67" s="105">
        <f ca="1">_xlfn.LET(
_xlpm.recurring,SUMIFS(INDEX(recurring_master!$A:$AF,,MATCH($B67,recurring_master!$A$1:$AF$1,0)),recurring_master!$A:$A,"&lt;="&amp;EOMONTH(L$4,0),recurring_master!$A:$A,"&gt;="&amp;L$4),
_xlpm.planned,SUMIFS(Planned!$F:$F,Planned!$B:$B,$B67,Planned!$E:$E,"&gt;="&amp;L$4,Planned!$E:$E,"&lt;="&amp;EOMONTH(L$4,0)),
IFERROR(_xlpm.recurring,0)+IFERROR(_xlpm.planned,0))</f>
        <v>0</v>
      </c>
      <c r="M67" s="105">
        <f ca="1">_xlfn.LET(
_xlpm.recurring,SUMIFS(INDEX(recurring_master!$A:$AF,,MATCH($B67,recurring_master!$A$1:$AF$1,0)),recurring_master!$A:$A,"&lt;="&amp;EOMONTH(M$4,0),recurring_master!$A:$A,"&gt;="&amp;M$4),
_xlpm.planned,SUMIFS(Planned!$F:$F,Planned!$B:$B,$B67,Planned!$E:$E,"&gt;="&amp;M$4,Planned!$E:$E,"&lt;="&amp;EOMONTH(M$4,0)),
IFERROR(_xlpm.recurring,0)+IFERROR(_xlpm.planned,0))</f>
        <v>0</v>
      </c>
      <c r="N67" s="105">
        <f ca="1">_xlfn.LET(
_xlpm.recurring,SUMIFS(INDEX(recurring_master!$A:$AF,,MATCH($B67,recurring_master!$A$1:$AF$1,0)),recurring_master!$A:$A,"&lt;="&amp;EOMONTH(N$4,0),recurring_master!$A:$A,"&gt;="&amp;N$4),
_xlpm.planned,SUMIFS(Planned!$F:$F,Planned!$B:$B,$B67,Planned!$E:$E,"&gt;="&amp;N$4,Planned!$E:$E,"&lt;="&amp;EOMONTH(N$4,0)),
IFERROR(_xlpm.recurring,0)+IFERROR(_xlpm.planned,0))</f>
        <v>0</v>
      </c>
      <c r="O67" s="96"/>
      <c r="P67" s="106">
        <f ca="1">SUM(C67:N67)</f>
        <v>0</v>
      </c>
      <c r="Q67" s="52"/>
      <c r="R67" s="42"/>
      <c r="W67" s="6"/>
    </row>
    <row r="68" spans="1:23" ht="5.0999999999999996" customHeight="1" x14ac:dyDescent="0.2">
      <c r="A68" s="226"/>
      <c r="B68" s="69"/>
      <c r="C68" s="96"/>
      <c r="D68" s="96"/>
      <c r="E68" s="96"/>
      <c r="F68" s="96"/>
      <c r="G68" s="96"/>
      <c r="H68" s="96"/>
      <c r="I68" s="96"/>
      <c r="J68" s="96"/>
      <c r="K68" s="96"/>
      <c r="L68" s="96"/>
      <c r="M68" s="96"/>
      <c r="N68" s="96"/>
      <c r="O68" s="96"/>
      <c r="P68" s="106"/>
      <c r="Q68" s="51"/>
      <c r="R68" s="42"/>
      <c r="W68" s="18"/>
    </row>
    <row r="69" spans="1:23" ht="12.75" customHeight="1" x14ac:dyDescent="0.2">
      <c r="A69" s="226"/>
      <c r="B69" s="79" t="str">
        <f>"Total "&amp;B65</f>
        <v>Total INVESTMENTS</v>
      </c>
      <c r="C69" s="113">
        <f ca="1">SUM(C66:C68)</f>
        <v>0</v>
      </c>
      <c r="D69" s="113">
        <f t="shared" ref="D69:N69" ca="1" si="17">SUM(D66:D68)</f>
        <v>0</v>
      </c>
      <c r="E69" s="113">
        <f t="shared" ca="1" si="17"/>
        <v>0</v>
      </c>
      <c r="F69" s="113">
        <f t="shared" ca="1" si="17"/>
        <v>0</v>
      </c>
      <c r="G69" s="113">
        <f t="shared" ca="1" si="17"/>
        <v>0</v>
      </c>
      <c r="H69" s="113">
        <f t="shared" ca="1" si="17"/>
        <v>0</v>
      </c>
      <c r="I69" s="113">
        <f t="shared" ca="1" si="17"/>
        <v>0</v>
      </c>
      <c r="J69" s="113">
        <f t="shared" ca="1" si="17"/>
        <v>0</v>
      </c>
      <c r="K69" s="113">
        <f t="shared" ca="1" si="17"/>
        <v>0</v>
      </c>
      <c r="L69" s="113">
        <f t="shared" ca="1" si="17"/>
        <v>0</v>
      </c>
      <c r="M69" s="113">
        <f t="shared" ca="1" si="17"/>
        <v>0</v>
      </c>
      <c r="N69" s="114">
        <f t="shared" ca="1" si="17"/>
        <v>0</v>
      </c>
      <c r="O69" s="113"/>
      <c r="P69" s="115">
        <f t="shared" ref="P69" ca="1" si="18">SUM(P66:P67)</f>
        <v>0</v>
      </c>
      <c r="Q69" s="51"/>
      <c r="R69" s="42"/>
    </row>
    <row r="70" spans="1:23" ht="5.0999999999999996" customHeight="1" x14ac:dyDescent="0.2">
      <c r="A70" s="226"/>
      <c r="B70" s="67"/>
      <c r="C70" s="96"/>
      <c r="D70" s="96"/>
      <c r="E70" s="96"/>
      <c r="F70" s="96"/>
      <c r="G70" s="96"/>
      <c r="H70" s="96"/>
      <c r="I70" s="96"/>
      <c r="J70" s="96"/>
      <c r="K70" s="96"/>
      <c r="L70" s="96"/>
      <c r="M70" s="96"/>
      <c r="N70" s="96"/>
      <c r="O70" s="96"/>
      <c r="P70" s="96"/>
      <c r="Q70" s="51"/>
      <c r="R70" s="42"/>
    </row>
    <row r="71" spans="1:23" s="6" customFormat="1" ht="12.75" customHeight="1" x14ac:dyDescent="0.2">
      <c r="A71" s="226"/>
      <c r="B71" s="76" t="s">
        <v>14</v>
      </c>
      <c r="C71" s="159"/>
      <c r="D71" s="159"/>
      <c r="E71" s="159"/>
      <c r="F71" s="159"/>
      <c r="G71" s="159"/>
      <c r="H71" s="159"/>
      <c r="I71" s="159"/>
      <c r="J71" s="159"/>
      <c r="K71" s="159"/>
      <c r="L71" s="159"/>
      <c r="M71" s="159"/>
      <c r="N71" s="159"/>
      <c r="O71" s="159"/>
      <c r="P71" s="160"/>
      <c r="Q71" s="51"/>
      <c r="R71" s="42"/>
      <c r="S71" s="5"/>
      <c r="T71" s="5"/>
      <c r="U71" s="5"/>
      <c r="W71" s="5"/>
    </row>
    <row r="72" spans="1:23" ht="12.75" customHeight="1" x14ac:dyDescent="0.2">
      <c r="A72" s="227"/>
      <c r="B72" s="69" t="s">
        <v>6</v>
      </c>
      <c r="C72" s="105">
        <f ca="1">_xlfn.LET(
_xlpm.recurring,SUMIFS(INDEX(recurring_master!$A:$AF,,MATCH($B72,recurring_master!$A$1:$AF$1,0)),recurring_master!$A:$A,"&lt;="&amp;EOMONTH(C$4,0),recurring_master!$A:$A,"&gt;="&amp;C$4),
_xlpm.planned,SUMIFS(Planned!$F:$F,Planned!$B:$B,$B72,Planned!$E:$E,"&gt;="&amp;C$4,Planned!$E:$E,"&lt;="&amp;EOMONTH(C$4,0)),
IFERROR(_xlpm.recurring,0)+IFERROR(_xlpm.planned,0))</f>
        <v>0</v>
      </c>
      <c r="D72" s="105">
        <f ca="1">_xlfn.LET(
_xlpm.recurring,SUMIFS(INDEX(recurring_master!$A:$AF,,MATCH($B72,recurring_master!$A$1:$AF$1,0)),recurring_master!$A:$A,"&lt;="&amp;EOMONTH(D$4,0),recurring_master!$A:$A,"&gt;="&amp;D$4),
_xlpm.planned,SUMIFS(Planned!$F:$F,Planned!$B:$B,$B72,Planned!$E:$E,"&gt;="&amp;D$4,Planned!$E:$E,"&lt;="&amp;EOMONTH(D$4,0)),
IFERROR(_xlpm.recurring,0)+IFERROR(_xlpm.planned,0))</f>
        <v>0</v>
      </c>
      <c r="E72" s="105">
        <f ca="1">_xlfn.LET(
_xlpm.recurring,SUMIFS(INDEX(recurring_master!$A:$AF,,MATCH($B72,recurring_master!$A$1:$AF$1,0)),recurring_master!$A:$A,"&lt;="&amp;EOMONTH(E$4,0),recurring_master!$A:$A,"&gt;="&amp;E$4),
_xlpm.planned,SUMIFS(Planned!$F:$F,Planned!$B:$B,$B72,Planned!$E:$E,"&gt;="&amp;E$4,Planned!$E:$E,"&lt;="&amp;EOMONTH(E$4,0)),
IFERROR(_xlpm.recurring,0)+IFERROR(_xlpm.planned,0))</f>
        <v>0</v>
      </c>
      <c r="F72" s="105">
        <f ca="1">_xlfn.LET(
_xlpm.recurring,SUMIFS(INDEX(recurring_master!$A:$AF,,MATCH($B72,recurring_master!$A$1:$AF$1,0)),recurring_master!$A:$A,"&lt;="&amp;EOMONTH(F$4,0),recurring_master!$A:$A,"&gt;="&amp;F$4),
_xlpm.planned,SUMIFS(Planned!$F:$F,Planned!$B:$B,$B72,Planned!$E:$E,"&gt;="&amp;F$4,Planned!$E:$E,"&lt;="&amp;EOMONTH(F$4,0)),
IFERROR(_xlpm.recurring,0)+IFERROR(_xlpm.planned,0))</f>
        <v>0</v>
      </c>
      <c r="G72" s="105">
        <f ca="1">_xlfn.LET(
_xlpm.recurring,SUMIFS(INDEX(recurring_master!$A:$AF,,MATCH($B72,recurring_master!$A$1:$AF$1,0)),recurring_master!$A:$A,"&lt;="&amp;EOMONTH(G$4,0),recurring_master!$A:$A,"&gt;="&amp;G$4),
_xlpm.planned,SUMIFS(Planned!$F:$F,Planned!$B:$B,$B72,Planned!$E:$E,"&gt;="&amp;G$4,Planned!$E:$E,"&lt;="&amp;EOMONTH(G$4,0)),
IFERROR(_xlpm.recurring,0)+IFERROR(_xlpm.planned,0))</f>
        <v>0</v>
      </c>
      <c r="H72" s="105">
        <f ca="1">_xlfn.LET(
_xlpm.recurring,SUMIFS(INDEX(recurring_master!$A:$AF,,MATCH($B72,recurring_master!$A$1:$AF$1,0)),recurring_master!$A:$A,"&lt;="&amp;EOMONTH(H$4,0),recurring_master!$A:$A,"&gt;="&amp;H$4),
_xlpm.planned,SUMIFS(Planned!$F:$F,Planned!$B:$B,$B72,Planned!$E:$E,"&gt;="&amp;H$4,Planned!$E:$E,"&lt;="&amp;EOMONTH(H$4,0)),
IFERROR(_xlpm.recurring,0)+IFERROR(_xlpm.planned,0))</f>
        <v>0</v>
      </c>
      <c r="I72" s="105">
        <f ca="1">_xlfn.LET(
_xlpm.recurring,SUMIFS(INDEX(recurring_master!$A:$AF,,MATCH($B72,recurring_master!$A$1:$AF$1,0)),recurring_master!$A:$A,"&lt;="&amp;EOMONTH(I$4,0),recurring_master!$A:$A,"&gt;="&amp;I$4),
_xlpm.planned,SUMIFS(Planned!$F:$F,Planned!$B:$B,$B72,Planned!$E:$E,"&gt;="&amp;I$4,Planned!$E:$E,"&lt;="&amp;EOMONTH(I$4,0)),
IFERROR(_xlpm.recurring,0)+IFERROR(_xlpm.planned,0))</f>
        <v>0</v>
      </c>
      <c r="J72" s="105">
        <f ca="1">_xlfn.LET(
_xlpm.recurring,SUMIFS(INDEX(recurring_master!$A:$AF,,MATCH($B72,recurring_master!$A$1:$AF$1,0)),recurring_master!$A:$A,"&lt;="&amp;EOMONTH(J$4,0),recurring_master!$A:$A,"&gt;="&amp;J$4),
_xlpm.planned,SUMIFS(Planned!$F:$F,Planned!$B:$B,$B72,Planned!$E:$E,"&gt;="&amp;J$4,Planned!$E:$E,"&lt;="&amp;EOMONTH(J$4,0)),
IFERROR(_xlpm.recurring,0)+IFERROR(_xlpm.planned,0))</f>
        <v>0</v>
      </c>
      <c r="K72" s="105">
        <f ca="1">_xlfn.LET(
_xlpm.recurring,SUMIFS(INDEX(recurring_master!$A:$AF,,MATCH($B72,recurring_master!$A$1:$AF$1,0)),recurring_master!$A:$A,"&lt;="&amp;EOMONTH(K$4,0),recurring_master!$A:$A,"&gt;="&amp;K$4),
_xlpm.planned,SUMIFS(Planned!$F:$F,Planned!$B:$B,$B72,Planned!$E:$E,"&gt;="&amp;K$4,Planned!$E:$E,"&lt;="&amp;EOMONTH(K$4,0)),
IFERROR(_xlpm.recurring,0)+IFERROR(_xlpm.planned,0))</f>
        <v>0</v>
      </c>
      <c r="L72" s="105">
        <f ca="1">_xlfn.LET(
_xlpm.recurring,SUMIFS(INDEX(recurring_master!$A:$AF,,MATCH($B72,recurring_master!$A$1:$AF$1,0)),recurring_master!$A:$A,"&lt;="&amp;EOMONTH(L$4,0),recurring_master!$A:$A,"&gt;="&amp;L$4),
_xlpm.planned,SUMIFS(Planned!$F:$F,Planned!$B:$B,$B72,Planned!$E:$E,"&gt;="&amp;L$4,Planned!$E:$E,"&lt;="&amp;EOMONTH(L$4,0)),
IFERROR(_xlpm.recurring,0)+IFERROR(_xlpm.planned,0))</f>
        <v>0</v>
      </c>
      <c r="M72" s="105">
        <f ca="1">_xlfn.LET(
_xlpm.recurring,SUMIFS(INDEX(recurring_master!$A:$AF,,MATCH($B72,recurring_master!$A$1:$AF$1,0)),recurring_master!$A:$A,"&lt;="&amp;EOMONTH(M$4,0),recurring_master!$A:$A,"&gt;="&amp;M$4),
_xlpm.planned,SUMIFS(Planned!$F:$F,Planned!$B:$B,$B72,Planned!$E:$E,"&gt;="&amp;M$4,Planned!$E:$E,"&lt;="&amp;EOMONTH(M$4,0)),
IFERROR(_xlpm.recurring,0)+IFERROR(_xlpm.planned,0))</f>
        <v>0</v>
      </c>
      <c r="N72" s="105">
        <f ca="1">_xlfn.LET(
_xlpm.recurring,SUMIFS(INDEX(recurring_master!$A:$AF,,MATCH($B72,recurring_master!$A$1:$AF$1,0)),recurring_master!$A:$A,"&lt;="&amp;EOMONTH(N$4,0),recurring_master!$A:$A,"&gt;="&amp;N$4),
_xlpm.planned,SUMIFS(Planned!$F:$F,Planned!$B:$B,$B72,Planned!$E:$E,"&gt;="&amp;N$4,Planned!$E:$E,"&lt;="&amp;EOMONTH(N$4,0)),
IFERROR(_xlpm.recurring,0)+IFERROR(_xlpm.planned,0))</f>
        <v>0</v>
      </c>
      <c r="O72" s="96"/>
      <c r="P72" s="106">
        <f ca="1">SUM(C72:N72)</f>
        <v>0</v>
      </c>
      <c r="Q72" s="52"/>
      <c r="R72" s="42" t="s">
        <v>342</v>
      </c>
    </row>
    <row r="73" spans="1:23" ht="12.75" customHeight="1" x14ac:dyDescent="0.2">
      <c r="A73" s="227"/>
      <c r="B73" s="69" t="s">
        <v>17</v>
      </c>
      <c r="C73" s="105">
        <f ca="1">_xlfn.LET(
_xlpm.recurring,SUMIFS(INDEX(recurring_master!$A:$AF,,MATCH($B73,recurring_master!$A$1:$AF$1,0)),recurring_master!$A:$A,"&lt;="&amp;EOMONTH(C$4,0),recurring_master!$A:$A,"&gt;="&amp;C$4),
_xlpm.planned,SUMIFS(Planned!$F:$F,Planned!$B:$B,$B73,Planned!$E:$E,"&gt;="&amp;C$4,Planned!$E:$E,"&lt;="&amp;EOMONTH(C$4,0)),
IFERROR(_xlpm.recurring,0)+IFERROR(_xlpm.planned,0))</f>
        <v>0</v>
      </c>
      <c r="D73" s="105">
        <f ca="1">_xlfn.LET(
_xlpm.recurring,SUMIFS(INDEX(recurring_master!$A:$AF,,MATCH($B73,recurring_master!$A$1:$AF$1,0)),recurring_master!$A:$A,"&lt;="&amp;EOMONTH(D$4,0),recurring_master!$A:$A,"&gt;="&amp;D$4),
_xlpm.planned,SUMIFS(Planned!$F:$F,Planned!$B:$B,$B73,Planned!$E:$E,"&gt;="&amp;D$4,Planned!$E:$E,"&lt;="&amp;EOMONTH(D$4,0)),
IFERROR(_xlpm.recurring,0)+IFERROR(_xlpm.planned,0))</f>
        <v>0</v>
      </c>
      <c r="E73" s="105">
        <f ca="1">_xlfn.LET(
_xlpm.recurring,SUMIFS(INDEX(recurring_master!$A:$AF,,MATCH($B73,recurring_master!$A$1:$AF$1,0)),recurring_master!$A:$A,"&lt;="&amp;EOMONTH(E$4,0),recurring_master!$A:$A,"&gt;="&amp;E$4),
_xlpm.planned,SUMIFS(Planned!$F:$F,Planned!$B:$B,$B73,Planned!$E:$E,"&gt;="&amp;E$4,Planned!$E:$E,"&lt;="&amp;EOMONTH(E$4,0)),
IFERROR(_xlpm.recurring,0)+IFERROR(_xlpm.planned,0))</f>
        <v>0</v>
      </c>
      <c r="F73" s="105">
        <f ca="1">_xlfn.LET(
_xlpm.recurring,SUMIFS(INDEX(recurring_master!$A:$AF,,MATCH($B73,recurring_master!$A$1:$AF$1,0)),recurring_master!$A:$A,"&lt;="&amp;EOMONTH(F$4,0),recurring_master!$A:$A,"&gt;="&amp;F$4),
_xlpm.planned,SUMIFS(Planned!$F:$F,Planned!$B:$B,$B73,Planned!$E:$E,"&gt;="&amp;F$4,Planned!$E:$E,"&lt;="&amp;EOMONTH(F$4,0)),
IFERROR(_xlpm.recurring,0)+IFERROR(_xlpm.planned,0))</f>
        <v>0</v>
      </c>
      <c r="G73" s="105">
        <f ca="1">_xlfn.LET(
_xlpm.recurring,SUMIFS(INDEX(recurring_master!$A:$AF,,MATCH($B73,recurring_master!$A$1:$AF$1,0)),recurring_master!$A:$A,"&lt;="&amp;EOMONTH(G$4,0),recurring_master!$A:$A,"&gt;="&amp;G$4),
_xlpm.planned,SUMIFS(Planned!$F:$F,Planned!$B:$B,$B73,Planned!$E:$E,"&gt;="&amp;G$4,Planned!$E:$E,"&lt;="&amp;EOMONTH(G$4,0)),
IFERROR(_xlpm.recurring,0)+IFERROR(_xlpm.planned,0))</f>
        <v>0</v>
      </c>
      <c r="H73" s="105">
        <f ca="1">_xlfn.LET(
_xlpm.recurring,SUMIFS(INDEX(recurring_master!$A:$AF,,MATCH($B73,recurring_master!$A$1:$AF$1,0)),recurring_master!$A:$A,"&lt;="&amp;EOMONTH(H$4,0),recurring_master!$A:$A,"&gt;="&amp;H$4),
_xlpm.planned,SUMIFS(Planned!$F:$F,Planned!$B:$B,$B73,Planned!$E:$E,"&gt;="&amp;H$4,Planned!$E:$E,"&lt;="&amp;EOMONTH(H$4,0)),
IFERROR(_xlpm.recurring,0)+IFERROR(_xlpm.planned,0))</f>
        <v>0</v>
      </c>
      <c r="I73" s="105">
        <f ca="1">_xlfn.LET(
_xlpm.recurring,SUMIFS(INDEX(recurring_master!$A:$AF,,MATCH($B73,recurring_master!$A$1:$AF$1,0)),recurring_master!$A:$A,"&lt;="&amp;EOMONTH(I$4,0),recurring_master!$A:$A,"&gt;="&amp;I$4),
_xlpm.planned,SUMIFS(Planned!$F:$F,Planned!$B:$B,$B73,Planned!$E:$E,"&gt;="&amp;I$4,Planned!$E:$E,"&lt;="&amp;EOMONTH(I$4,0)),
IFERROR(_xlpm.recurring,0)+IFERROR(_xlpm.planned,0))</f>
        <v>0</v>
      </c>
      <c r="J73" s="105">
        <f ca="1">_xlfn.LET(
_xlpm.recurring,SUMIFS(INDEX(recurring_master!$A:$AF,,MATCH($B73,recurring_master!$A$1:$AF$1,0)),recurring_master!$A:$A,"&lt;="&amp;EOMONTH(J$4,0),recurring_master!$A:$A,"&gt;="&amp;J$4),
_xlpm.planned,SUMIFS(Planned!$F:$F,Planned!$B:$B,$B73,Planned!$E:$E,"&gt;="&amp;J$4,Planned!$E:$E,"&lt;="&amp;EOMONTH(J$4,0)),
IFERROR(_xlpm.recurring,0)+IFERROR(_xlpm.planned,0))</f>
        <v>0</v>
      </c>
      <c r="K73" s="105">
        <f ca="1">_xlfn.LET(
_xlpm.recurring,SUMIFS(INDEX(recurring_master!$A:$AF,,MATCH($B73,recurring_master!$A$1:$AF$1,0)),recurring_master!$A:$A,"&lt;="&amp;EOMONTH(K$4,0),recurring_master!$A:$A,"&gt;="&amp;K$4),
_xlpm.planned,SUMIFS(Planned!$F:$F,Planned!$B:$B,$B73,Planned!$E:$E,"&gt;="&amp;K$4,Planned!$E:$E,"&lt;="&amp;EOMONTH(K$4,0)),
IFERROR(_xlpm.recurring,0)+IFERROR(_xlpm.planned,0))</f>
        <v>0</v>
      </c>
      <c r="L73" s="105">
        <f ca="1">_xlfn.LET(
_xlpm.recurring,SUMIFS(INDEX(recurring_master!$A:$AF,,MATCH($B73,recurring_master!$A$1:$AF$1,0)),recurring_master!$A:$A,"&lt;="&amp;EOMONTH(L$4,0),recurring_master!$A:$A,"&gt;="&amp;L$4),
_xlpm.planned,SUMIFS(Planned!$F:$F,Planned!$B:$B,$B73,Planned!$E:$E,"&gt;="&amp;L$4,Planned!$E:$E,"&lt;="&amp;EOMONTH(L$4,0)),
IFERROR(_xlpm.recurring,0)+IFERROR(_xlpm.planned,0))</f>
        <v>0</v>
      </c>
      <c r="M73" s="105">
        <f ca="1">_xlfn.LET(
_xlpm.recurring,SUMIFS(INDEX(recurring_master!$A:$AF,,MATCH($B73,recurring_master!$A$1:$AF$1,0)),recurring_master!$A:$A,"&lt;="&amp;EOMONTH(M$4,0),recurring_master!$A:$A,"&gt;="&amp;M$4),
_xlpm.planned,SUMIFS(Planned!$F:$F,Planned!$B:$B,$B73,Planned!$E:$E,"&gt;="&amp;M$4,Planned!$E:$E,"&lt;="&amp;EOMONTH(M$4,0)),
IFERROR(_xlpm.recurring,0)+IFERROR(_xlpm.planned,0))</f>
        <v>0</v>
      </c>
      <c r="N73" s="105">
        <f ca="1">_xlfn.LET(
_xlpm.recurring,SUMIFS(INDEX(recurring_master!$A:$AF,,MATCH($B73,recurring_master!$A$1:$AF$1,0)),recurring_master!$A:$A,"&lt;="&amp;EOMONTH(N$4,0),recurring_master!$A:$A,"&gt;="&amp;N$4),
_xlpm.planned,SUMIFS(Planned!$F:$F,Planned!$B:$B,$B73,Planned!$E:$E,"&gt;="&amp;N$4,Planned!$E:$E,"&lt;="&amp;EOMONTH(N$4,0)),
IFERROR(_xlpm.recurring,0)+IFERROR(_xlpm.planned,0))</f>
        <v>0</v>
      </c>
      <c r="O73" s="96"/>
      <c r="P73" s="106">
        <f ca="1">SUM(C73:N73)</f>
        <v>0</v>
      </c>
      <c r="Q73" s="52"/>
      <c r="R73" s="42" t="s">
        <v>332</v>
      </c>
    </row>
    <row r="74" spans="1:23" ht="5.0999999999999996" customHeight="1" x14ac:dyDescent="0.2">
      <c r="A74" s="226"/>
      <c r="B74" s="69"/>
      <c r="C74" s="96"/>
      <c r="D74" s="96"/>
      <c r="E74" s="96"/>
      <c r="F74" s="96"/>
      <c r="G74" s="96"/>
      <c r="H74" s="96"/>
      <c r="I74" s="96"/>
      <c r="J74" s="96"/>
      <c r="K74" s="96"/>
      <c r="L74" s="96"/>
      <c r="M74" s="96"/>
      <c r="N74" s="96"/>
      <c r="O74" s="96"/>
      <c r="P74" s="106"/>
      <c r="Q74" s="51"/>
      <c r="R74" s="42"/>
      <c r="W74" s="18"/>
    </row>
    <row r="75" spans="1:23" ht="12.75" customHeight="1" x14ac:dyDescent="0.2">
      <c r="A75" s="226"/>
      <c r="B75" s="79" t="str">
        <f>"Total "&amp;B71</f>
        <v>Total DEBT PAYMENTS</v>
      </c>
      <c r="C75" s="113">
        <f ca="1">SUM(C72:C74)</f>
        <v>0</v>
      </c>
      <c r="D75" s="113">
        <f t="shared" ref="D75:N75" ca="1" si="19">SUM(D72:D74)</f>
        <v>0</v>
      </c>
      <c r="E75" s="113">
        <f t="shared" ca="1" si="19"/>
        <v>0</v>
      </c>
      <c r="F75" s="113">
        <f t="shared" ca="1" si="19"/>
        <v>0</v>
      </c>
      <c r="G75" s="113">
        <f t="shared" ca="1" si="19"/>
        <v>0</v>
      </c>
      <c r="H75" s="113">
        <f t="shared" ca="1" si="19"/>
        <v>0</v>
      </c>
      <c r="I75" s="113">
        <f t="shared" ca="1" si="19"/>
        <v>0</v>
      </c>
      <c r="J75" s="113">
        <f t="shared" ca="1" si="19"/>
        <v>0</v>
      </c>
      <c r="K75" s="113">
        <f t="shared" ca="1" si="19"/>
        <v>0</v>
      </c>
      <c r="L75" s="113">
        <f t="shared" ca="1" si="19"/>
        <v>0</v>
      </c>
      <c r="M75" s="113">
        <f t="shared" ca="1" si="19"/>
        <v>0</v>
      </c>
      <c r="N75" s="114">
        <f t="shared" ca="1" si="19"/>
        <v>0</v>
      </c>
      <c r="O75" s="113"/>
      <c r="P75" s="115">
        <f ca="1">SUM(P72:P73)</f>
        <v>0</v>
      </c>
      <c r="Q75" s="51"/>
      <c r="R75" s="42"/>
    </row>
    <row r="76" spans="1:23" ht="5.0999999999999996" customHeight="1" x14ac:dyDescent="0.2">
      <c r="A76" s="226"/>
      <c r="B76" s="70"/>
      <c r="C76" s="96"/>
      <c r="D76" s="96"/>
      <c r="E76" s="96"/>
      <c r="F76" s="96"/>
      <c r="G76" s="96"/>
      <c r="H76" s="96"/>
      <c r="I76" s="96"/>
      <c r="J76" s="96"/>
      <c r="K76" s="96"/>
      <c r="L76" s="96"/>
      <c r="M76" s="96"/>
      <c r="N76" s="96"/>
      <c r="O76" s="96"/>
      <c r="P76" s="96"/>
      <c r="Q76" s="51"/>
      <c r="R76" s="42"/>
    </row>
    <row r="77" spans="1:23" ht="12.75" customHeight="1" x14ac:dyDescent="0.2">
      <c r="A77" s="226"/>
      <c r="B77" s="80" t="s">
        <v>34</v>
      </c>
      <c r="C77" s="117">
        <f t="shared" ref="C77:N77" ca="1" si="20">SUM(C75,C69,C63,C52)</f>
        <v>0</v>
      </c>
      <c r="D77" s="117">
        <f t="shared" ca="1" si="20"/>
        <v>0</v>
      </c>
      <c r="E77" s="117">
        <f t="shared" ca="1" si="20"/>
        <v>0</v>
      </c>
      <c r="F77" s="117">
        <f t="shared" ca="1" si="20"/>
        <v>0</v>
      </c>
      <c r="G77" s="117">
        <f t="shared" ca="1" si="20"/>
        <v>0</v>
      </c>
      <c r="H77" s="117">
        <f t="shared" ca="1" si="20"/>
        <v>0</v>
      </c>
      <c r="I77" s="117">
        <f t="shared" ca="1" si="20"/>
        <v>0</v>
      </c>
      <c r="J77" s="117">
        <f t="shared" ca="1" si="20"/>
        <v>0</v>
      </c>
      <c r="K77" s="117">
        <f t="shared" ca="1" si="20"/>
        <v>0</v>
      </c>
      <c r="L77" s="117">
        <f t="shared" ca="1" si="20"/>
        <v>0</v>
      </c>
      <c r="M77" s="117">
        <f t="shared" ca="1" si="20"/>
        <v>0</v>
      </c>
      <c r="N77" s="117">
        <f t="shared" ca="1" si="20"/>
        <v>0</v>
      </c>
      <c r="O77" s="116"/>
      <c r="P77" s="118">
        <f ca="1">SUM(P75,P69,P63,P52)</f>
        <v>0</v>
      </c>
      <c r="Q77" s="51"/>
      <c r="R77" s="42"/>
    </row>
    <row r="78" spans="1:23" x14ac:dyDescent="0.2">
      <c r="A78" s="226"/>
      <c r="B78" s="70"/>
      <c r="C78" s="96"/>
      <c r="D78" s="96"/>
      <c r="E78" s="96"/>
      <c r="F78" s="96"/>
      <c r="G78" s="96"/>
      <c r="H78" s="96"/>
      <c r="I78" s="96"/>
      <c r="J78" s="96"/>
      <c r="K78" s="96"/>
      <c r="L78" s="96"/>
      <c r="M78" s="96"/>
      <c r="N78" s="96"/>
      <c r="O78" s="96"/>
      <c r="P78" s="96"/>
      <c r="Q78" s="51"/>
      <c r="R78" s="42"/>
      <c r="W78" s="18"/>
    </row>
    <row r="79" spans="1:23" ht="12.75" customHeight="1" x14ac:dyDescent="0.2">
      <c r="A79" s="226"/>
      <c r="B79" s="68" t="s">
        <v>86</v>
      </c>
      <c r="C79" s="103"/>
      <c r="D79" s="103"/>
      <c r="E79" s="103"/>
      <c r="F79" s="103"/>
      <c r="G79" s="103"/>
      <c r="H79" s="103"/>
      <c r="I79" s="103"/>
      <c r="J79" s="103"/>
      <c r="K79" s="103"/>
      <c r="L79" s="103"/>
      <c r="M79" s="103"/>
      <c r="N79" s="103"/>
      <c r="O79" s="103"/>
      <c r="P79" s="104"/>
      <c r="Q79" s="51"/>
      <c r="R79" s="42"/>
    </row>
    <row r="80" spans="1:23" ht="12.75" customHeight="1" x14ac:dyDescent="0.2">
      <c r="A80" s="226"/>
      <c r="B80" s="69" t="s">
        <v>90</v>
      </c>
      <c r="C80" s="200">
        <f ca="1">_xlfn.LET(
_xlpm.recurring,SUMIFS(INDEX(recurring_master!$A:$AF,,MATCH($B80,recurring_master!$A$1:$AF$1,0)),recurring_master!$A:$A,"&lt;="&amp;EOMONTH(C$4,0),recurring_master!$A:$A,"&gt;="&amp;C$4),
_xlpm.planned,SUMIFS(Planned!$F:$F,Planned!$B:$B,$B80,Planned!$E:$E,"&gt;="&amp;C$4,Planned!$E:$E,"&lt;="&amp;EOMONTH(C$4,0)),
_xlpm.precedents,C$19*SUMIFS(Precedents!$E:$E,Precedents!$D:$D,$B$19,Precedents!$B:$B,$B80)+C$20*SUMIFS(Precedents!$E:$E,Precedents!$D:$D,$B$20,Precedents!$B:$B,$B80),
IFERROR(_xlpm.recurring,0)+IFERROR(_xlpm.planned,0)+IFERROR(_xlpm.precedents,0))</f>
        <v>0</v>
      </c>
      <c r="D80" s="200">
        <f ca="1">_xlfn.LET(
_xlpm.recurring,SUMIFS(INDEX(recurring_master!$A:$AF,,MATCH($B80,recurring_master!$A$1:$AF$1,0)),recurring_master!$A:$A,"&lt;="&amp;EOMONTH(D$4,0),recurring_master!$A:$A,"&gt;="&amp;D$4),
_xlpm.planned,SUMIFS(Planned!$F:$F,Planned!$B:$B,$B80,Planned!$E:$E,"&gt;="&amp;D$4,Planned!$E:$E,"&lt;="&amp;EOMONTH(D$4,0)),
_xlpm.precedents,D$19*SUMIFS(Precedents!$E:$E,Precedents!$D:$D,$B$19,Precedents!$B:$B,$B80)+D$20*SUMIFS(Precedents!$E:$E,Precedents!$D:$D,$B$20,Precedents!$B:$B,$B80),
IFERROR(_xlpm.recurring,0)+IFERROR(_xlpm.planned,0)+IFERROR(_xlpm.precedents,0))</f>
        <v>0</v>
      </c>
      <c r="E80" s="200">
        <f ca="1">_xlfn.LET(
_xlpm.recurring,SUMIFS(INDEX(recurring_master!$A:$AF,,MATCH($B80,recurring_master!$A$1:$AF$1,0)),recurring_master!$A:$A,"&lt;="&amp;EOMONTH(E$4,0),recurring_master!$A:$A,"&gt;="&amp;E$4),
_xlpm.planned,SUMIFS(Planned!$F:$F,Planned!$B:$B,$B80,Planned!$E:$E,"&gt;="&amp;E$4,Planned!$E:$E,"&lt;="&amp;EOMONTH(E$4,0)),
_xlpm.precedents,E$19*SUMIFS(Precedents!$E:$E,Precedents!$D:$D,$B$19,Precedents!$B:$B,$B80)+E$20*SUMIFS(Precedents!$E:$E,Precedents!$D:$D,$B$20,Precedents!$B:$B,$B80),
IFERROR(_xlpm.recurring,0)+IFERROR(_xlpm.planned,0)+IFERROR(_xlpm.precedents,0))</f>
        <v>0</v>
      </c>
      <c r="F80" s="200">
        <f ca="1">_xlfn.LET(
_xlpm.recurring,SUMIFS(INDEX(recurring_master!$A:$AF,,MATCH($B80,recurring_master!$A$1:$AF$1,0)),recurring_master!$A:$A,"&lt;="&amp;EOMONTH(F$4,0),recurring_master!$A:$A,"&gt;="&amp;F$4),
_xlpm.planned,SUMIFS(Planned!$F:$F,Planned!$B:$B,$B80,Planned!$E:$E,"&gt;="&amp;F$4,Planned!$E:$E,"&lt;="&amp;EOMONTH(F$4,0)),
_xlpm.precedents,F$19*SUMIFS(Precedents!$E:$E,Precedents!$D:$D,$B$19,Precedents!$B:$B,$B80)+F$20*SUMIFS(Precedents!$E:$E,Precedents!$D:$D,$B$20,Precedents!$B:$B,$B80),
IFERROR(_xlpm.recurring,0)+IFERROR(_xlpm.planned,0)+IFERROR(_xlpm.precedents,0))</f>
        <v>0</v>
      </c>
      <c r="G80" s="200">
        <f ca="1">_xlfn.LET(
_xlpm.recurring,SUMIFS(INDEX(recurring_master!$A:$AF,,MATCH($B80,recurring_master!$A$1:$AF$1,0)),recurring_master!$A:$A,"&lt;="&amp;EOMONTH(G$4,0),recurring_master!$A:$A,"&gt;="&amp;G$4),
_xlpm.planned,SUMIFS(Planned!$F:$F,Planned!$B:$B,$B80,Planned!$E:$E,"&gt;="&amp;G$4,Planned!$E:$E,"&lt;="&amp;EOMONTH(G$4,0)),
_xlpm.precedents,G$19*SUMIFS(Precedents!$E:$E,Precedents!$D:$D,$B$19,Precedents!$B:$B,$B80)+G$20*SUMIFS(Precedents!$E:$E,Precedents!$D:$D,$B$20,Precedents!$B:$B,$B80),
IFERROR(_xlpm.recurring,0)+IFERROR(_xlpm.planned,0)+IFERROR(_xlpm.precedents,0))</f>
        <v>0</v>
      </c>
      <c r="H80" s="200">
        <f ca="1">_xlfn.LET(
_xlpm.recurring,SUMIFS(INDEX(recurring_master!$A:$AF,,MATCH($B80,recurring_master!$A$1:$AF$1,0)),recurring_master!$A:$A,"&lt;="&amp;EOMONTH(H$4,0),recurring_master!$A:$A,"&gt;="&amp;H$4),
_xlpm.planned,SUMIFS(Planned!$F:$F,Planned!$B:$B,$B80,Planned!$E:$E,"&gt;="&amp;H$4,Planned!$E:$E,"&lt;="&amp;EOMONTH(H$4,0)),
_xlpm.precedents,H$19*SUMIFS(Precedents!$E:$E,Precedents!$D:$D,$B$19,Precedents!$B:$B,$B80)+H$20*SUMIFS(Precedents!$E:$E,Precedents!$D:$D,$B$20,Precedents!$B:$B,$B80),
IFERROR(_xlpm.recurring,0)+IFERROR(_xlpm.planned,0)+IFERROR(_xlpm.precedents,0))</f>
        <v>0</v>
      </c>
      <c r="I80" s="200">
        <f ca="1">_xlfn.LET(
_xlpm.recurring,SUMIFS(INDEX(recurring_master!$A:$AF,,MATCH($B80,recurring_master!$A$1:$AF$1,0)),recurring_master!$A:$A,"&lt;="&amp;EOMONTH(I$4,0),recurring_master!$A:$A,"&gt;="&amp;I$4),
_xlpm.planned,SUMIFS(Planned!$F:$F,Planned!$B:$B,$B80,Planned!$E:$E,"&gt;="&amp;I$4,Planned!$E:$E,"&lt;="&amp;EOMONTH(I$4,0)),
_xlpm.precedents,I$19*SUMIFS(Precedents!$E:$E,Precedents!$D:$D,$B$19,Precedents!$B:$B,$B80)+I$20*SUMIFS(Precedents!$E:$E,Precedents!$D:$D,$B$20,Precedents!$B:$B,$B80),
IFERROR(_xlpm.recurring,0)+IFERROR(_xlpm.planned,0)+IFERROR(_xlpm.precedents,0))</f>
        <v>0</v>
      </c>
      <c r="J80" s="200">
        <f ca="1">_xlfn.LET(
_xlpm.recurring,SUMIFS(INDEX(recurring_master!$A:$AF,,MATCH($B80,recurring_master!$A$1:$AF$1,0)),recurring_master!$A:$A,"&lt;="&amp;EOMONTH(J$4,0),recurring_master!$A:$A,"&gt;="&amp;J$4),
_xlpm.planned,SUMIFS(Planned!$F:$F,Planned!$B:$B,$B80,Planned!$E:$E,"&gt;="&amp;J$4,Planned!$E:$E,"&lt;="&amp;EOMONTH(J$4,0)),
_xlpm.precedents,J$19*SUMIFS(Precedents!$E:$E,Precedents!$D:$D,$B$19,Precedents!$B:$B,$B80)+J$20*SUMIFS(Precedents!$E:$E,Precedents!$D:$D,$B$20,Precedents!$B:$B,$B80),
IFERROR(_xlpm.recurring,0)+IFERROR(_xlpm.planned,0)+IFERROR(_xlpm.precedents,0))</f>
        <v>0</v>
      </c>
      <c r="K80" s="200">
        <f ca="1">_xlfn.LET(
_xlpm.recurring,SUMIFS(INDEX(recurring_master!$A:$AF,,MATCH($B80,recurring_master!$A$1:$AF$1,0)),recurring_master!$A:$A,"&lt;="&amp;EOMONTH(K$4,0),recurring_master!$A:$A,"&gt;="&amp;K$4),
_xlpm.planned,SUMIFS(Planned!$F:$F,Planned!$B:$B,$B80,Planned!$E:$E,"&gt;="&amp;K$4,Planned!$E:$E,"&lt;="&amp;EOMONTH(K$4,0)),
_xlpm.precedents,K$19*SUMIFS(Precedents!$E:$E,Precedents!$D:$D,$B$19,Precedents!$B:$B,$B80)+K$20*SUMIFS(Precedents!$E:$E,Precedents!$D:$D,$B$20,Precedents!$B:$B,$B80),
IFERROR(_xlpm.recurring,0)+IFERROR(_xlpm.planned,0)+IFERROR(_xlpm.precedents,0))</f>
        <v>0</v>
      </c>
      <c r="L80" s="200">
        <f ca="1">_xlfn.LET(
_xlpm.recurring,SUMIFS(INDEX(recurring_master!$A:$AF,,MATCH($B80,recurring_master!$A$1:$AF$1,0)),recurring_master!$A:$A,"&lt;="&amp;EOMONTH(L$4,0),recurring_master!$A:$A,"&gt;="&amp;L$4),
_xlpm.planned,SUMIFS(Planned!$F:$F,Planned!$B:$B,$B80,Planned!$E:$E,"&gt;="&amp;L$4,Planned!$E:$E,"&lt;="&amp;EOMONTH(L$4,0)),
_xlpm.precedents,L$19*SUMIFS(Precedents!$E:$E,Precedents!$D:$D,$B$19,Precedents!$B:$B,$B80)+L$20*SUMIFS(Precedents!$E:$E,Precedents!$D:$D,$B$20,Precedents!$B:$B,$B80),
IFERROR(_xlpm.recurring,0)+IFERROR(_xlpm.planned,0)+IFERROR(_xlpm.precedents,0))</f>
        <v>0</v>
      </c>
      <c r="M80" s="200">
        <f ca="1">_xlfn.LET(
_xlpm.recurring,SUMIFS(INDEX(recurring_master!$A:$AF,,MATCH($B80,recurring_master!$A$1:$AF$1,0)),recurring_master!$A:$A,"&lt;="&amp;EOMONTH(M$4,0),recurring_master!$A:$A,"&gt;="&amp;M$4),
_xlpm.planned,SUMIFS(Planned!$F:$F,Planned!$B:$B,$B80,Planned!$E:$E,"&gt;="&amp;M$4,Planned!$E:$E,"&lt;="&amp;EOMONTH(M$4,0)),
_xlpm.precedents,M$19*SUMIFS(Precedents!$E:$E,Precedents!$D:$D,$B$19,Precedents!$B:$B,$B80)+M$20*SUMIFS(Precedents!$E:$E,Precedents!$D:$D,$B$20,Precedents!$B:$B,$B80),
IFERROR(_xlpm.recurring,0)+IFERROR(_xlpm.planned,0)+IFERROR(_xlpm.precedents,0))</f>
        <v>0</v>
      </c>
      <c r="N80" s="200">
        <f ca="1">_xlfn.LET(
_xlpm.recurring,SUMIFS(INDEX(recurring_master!$A:$AF,,MATCH($B80,recurring_master!$A$1:$AF$1,0)),recurring_master!$A:$A,"&lt;="&amp;EOMONTH(N$4,0),recurring_master!$A:$A,"&gt;="&amp;N$4),
_xlpm.planned,SUMIFS(Planned!$F:$F,Planned!$B:$B,$B80,Planned!$E:$E,"&gt;="&amp;N$4,Planned!$E:$E,"&lt;="&amp;EOMONTH(N$4,0)),
_xlpm.precedents,N$19*SUMIFS(Precedents!$E:$E,Precedents!$D:$D,$B$19,Precedents!$B:$B,$B80)+N$20*SUMIFS(Precedents!$E:$E,Precedents!$D:$D,$B$20,Precedents!$B:$B,$B80),
IFERROR(_xlpm.recurring,0)+IFERROR(_xlpm.planned,0)+IFERROR(_xlpm.precedents,0))</f>
        <v>0</v>
      </c>
      <c r="O80" s="96"/>
      <c r="P80" s="106">
        <f ca="1">SUM(C80:N80)</f>
        <v>0</v>
      </c>
      <c r="Q80" s="51"/>
      <c r="R80" s="42"/>
    </row>
    <row r="81" spans="1:23" ht="5.0999999999999996" customHeight="1" x14ac:dyDescent="0.2">
      <c r="A81" s="226"/>
      <c r="B81" s="69"/>
      <c r="C81" s="96"/>
      <c r="D81" s="96"/>
      <c r="E81" s="96"/>
      <c r="F81" s="96"/>
      <c r="G81" s="96"/>
      <c r="H81" s="96"/>
      <c r="I81" s="96"/>
      <c r="J81" s="96"/>
      <c r="K81" s="96"/>
      <c r="L81" s="96"/>
      <c r="M81" s="96"/>
      <c r="N81" s="96"/>
      <c r="O81" s="96"/>
      <c r="P81" s="106"/>
      <c r="Q81" s="51"/>
      <c r="R81" s="42"/>
    </row>
    <row r="82" spans="1:23" ht="12.75" customHeight="1" x14ac:dyDescent="0.2">
      <c r="A82" s="226"/>
      <c r="B82" s="73" t="str">
        <f>"Total "&amp;B79</f>
        <v>Total NON CASH</v>
      </c>
      <c r="C82" s="109">
        <f t="shared" ref="C82:N82" ca="1" si="21">SUM(C80:C81)</f>
        <v>0</v>
      </c>
      <c r="D82" s="109">
        <f t="shared" ca="1" si="21"/>
        <v>0</v>
      </c>
      <c r="E82" s="109">
        <f t="shared" ca="1" si="21"/>
        <v>0</v>
      </c>
      <c r="F82" s="109">
        <f t="shared" ca="1" si="21"/>
        <v>0</v>
      </c>
      <c r="G82" s="109">
        <f t="shared" ca="1" si="21"/>
        <v>0</v>
      </c>
      <c r="H82" s="109">
        <f t="shared" ca="1" si="21"/>
        <v>0</v>
      </c>
      <c r="I82" s="109">
        <f t="shared" ca="1" si="21"/>
        <v>0</v>
      </c>
      <c r="J82" s="109">
        <f t="shared" ca="1" si="21"/>
        <v>0</v>
      </c>
      <c r="K82" s="109">
        <f t="shared" ca="1" si="21"/>
        <v>0</v>
      </c>
      <c r="L82" s="109">
        <f t="shared" ca="1" si="21"/>
        <v>0</v>
      </c>
      <c r="M82" s="109">
        <f t="shared" ca="1" si="21"/>
        <v>0</v>
      </c>
      <c r="N82" s="119">
        <f t="shared" ca="1" si="21"/>
        <v>0</v>
      </c>
      <c r="O82" s="109"/>
      <c r="P82" s="110">
        <f ca="1">SUM(P80:P80)</f>
        <v>0</v>
      </c>
      <c r="Q82" s="51"/>
      <c r="R82" s="42"/>
    </row>
    <row r="83" spans="1:23" x14ac:dyDescent="0.2">
      <c r="A83" s="226"/>
      <c r="B83" s="70"/>
      <c r="C83" s="96"/>
      <c r="D83" s="96"/>
      <c r="E83" s="96"/>
      <c r="F83" s="96"/>
      <c r="G83" s="96"/>
      <c r="H83" s="96"/>
      <c r="I83" s="96"/>
      <c r="J83" s="96"/>
      <c r="K83" s="96"/>
      <c r="L83" s="96"/>
      <c r="M83" s="96"/>
      <c r="N83" s="96"/>
      <c r="O83" s="96"/>
      <c r="P83" s="96"/>
      <c r="Q83" s="51"/>
      <c r="R83" s="42"/>
    </row>
    <row r="84" spans="1:23" ht="12.75" customHeight="1" x14ac:dyDescent="0.2">
      <c r="A84" s="226"/>
      <c r="B84" s="81" t="s">
        <v>42</v>
      </c>
      <c r="C84" s="120"/>
      <c r="D84" s="120"/>
      <c r="E84" s="120"/>
      <c r="F84" s="120"/>
      <c r="G84" s="120"/>
      <c r="H84" s="120"/>
      <c r="I84" s="120"/>
      <c r="J84" s="120"/>
      <c r="K84" s="120"/>
      <c r="L84" s="120"/>
      <c r="M84" s="120"/>
      <c r="N84" s="150"/>
      <c r="O84" s="96"/>
      <c r="P84" s="96"/>
      <c r="Q84" s="51"/>
      <c r="R84" s="42"/>
    </row>
    <row r="85" spans="1:23" ht="12.75" customHeight="1" x14ac:dyDescent="0.2">
      <c r="A85" s="226"/>
      <c r="B85" s="69" t="s">
        <v>211</v>
      </c>
      <c r="C85" s="105">
        <f t="shared" ref="C85:N85" ca="1" si="22">C15</f>
        <v>0</v>
      </c>
      <c r="D85" s="105">
        <f t="shared" ca="1" si="22"/>
        <v>0</v>
      </c>
      <c r="E85" s="105">
        <f t="shared" ca="1" si="22"/>
        <v>0</v>
      </c>
      <c r="F85" s="105">
        <f t="shared" ca="1" si="22"/>
        <v>0</v>
      </c>
      <c r="G85" s="105">
        <f t="shared" ca="1" si="22"/>
        <v>0</v>
      </c>
      <c r="H85" s="105">
        <f t="shared" ca="1" si="22"/>
        <v>0</v>
      </c>
      <c r="I85" s="105">
        <f t="shared" ca="1" si="22"/>
        <v>0</v>
      </c>
      <c r="J85" s="105">
        <f t="shared" ca="1" si="22"/>
        <v>0</v>
      </c>
      <c r="K85" s="105">
        <f t="shared" ca="1" si="22"/>
        <v>0</v>
      </c>
      <c r="L85" s="105">
        <f t="shared" ca="1" si="22"/>
        <v>0</v>
      </c>
      <c r="M85" s="105">
        <f t="shared" ca="1" si="22"/>
        <v>0</v>
      </c>
      <c r="N85" s="147">
        <f t="shared" ca="1" si="22"/>
        <v>0</v>
      </c>
      <c r="O85" s="96"/>
      <c r="P85" s="96"/>
      <c r="Q85" s="51"/>
      <c r="R85" s="42"/>
    </row>
    <row r="86" spans="1:23" ht="12.75" customHeight="1" x14ac:dyDescent="0.2">
      <c r="A86" s="226"/>
      <c r="B86" s="69" t="s">
        <v>212</v>
      </c>
      <c r="C86" s="105">
        <f>'Balances &amp; Actions'!C7</f>
        <v>0</v>
      </c>
      <c r="D86" s="105">
        <f>C86</f>
        <v>0</v>
      </c>
      <c r="E86" s="105">
        <f t="shared" ref="E86:N86" si="23">D86</f>
        <v>0</v>
      </c>
      <c r="F86" s="105">
        <f t="shared" si="23"/>
        <v>0</v>
      </c>
      <c r="G86" s="105">
        <f t="shared" si="23"/>
        <v>0</v>
      </c>
      <c r="H86" s="105">
        <f t="shared" si="23"/>
        <v>0</v>
      </c>
      <c r="I86" s="105">
        <f t="shared" si="23"/>
        <v>0</v>
      </c>
      <c r="J86" s="105">
        <f t="shared" si="23"/>
        <v>0</v>
      </c>
      <c r="K86" s="105">
        <f t="shared" si="23"/>
        <v>0</v>
      </c>
      <c r="L86" s="105">
        <f t="shared" si="23"/>
        <v>0</v>
      </c>
      <c r="M86" s="105">
        <f t="shared" si="23"/>
        <v>0</v>
      </c>
      <c r="N86" s="147">
        <f t="shared" si="23"/>
        <v>0</v>
      </c>
      <c r="O86" s="96"/>
      <c r="P86" s="96"/>
      <c r="Q86" s="51"/>
      <c r="R86" s="42"/>
    </row>
    <row r="87" spans="1:23" ht="5.0999999999999996" customHeight="1" x14ac:dyDescent="0.2">
      <c r="A87" s="226"/>
      <c r="B87" s="69"/>
      <c r="C87" s="96"/>
      <c r="D87" s="96"/>
      <c r="E87" s="96"/>
      <c r="F87" s="96"/>
      <c r="G87" s="96"/>
      <c r="H87" s="96"/>
      <c r="I87" s="96"/>
      <c r="J87" s="96"/>
      <c r="K87" s="96"/>
      <c r="L87" s="96"/>
      <c r="M87" s="96"/>
      <c r="N87" s="106"/>
      <c r="O87" s="96"/>
      <c r="P87" s="96"/>
      <c r="Q87" s="51"/>
      <c r="R87" s="42"/>
      <c r="W87" s="18"/>
    </row>
    <row r="88" spans="1:23" ht="12.75" customHeight="1" x14ac:dyDescent="0.2">
      <c r="A88" s="226"/>
      <c r="B88" s="69" t="s">
        <v>210</v>
      </c>
      <c r="C88" s="105">
        <f ca="1">'Balances &amp; Actions'!C9+C66-C37</f>
        <v>0</v>
      </c>
      <c r="D88" s="105">
        <f t="shared" ref="D88:N88" ca="1" si="24">C88+D66-D37</f>
        <v>0</v>
      </c>
      <c r="E88" s="105">
        <f t="shared" ca="1" si="24"/>
        <v>0</v>
      </c>
      <c r="F88" s="105">
        <f t="shared" ca="1" si="24"/>
        <v>0</v>
      </c>
      <c r="G88" s="105">
        <f t="shared" ca="1" si="24"/>
        <v>0</v>
      </c>
      <c r="H88" s="105">
        <f t="shared" ca="1" si="24"/>
        <v>0</v>
      </c>
      <c r="I88" s="105">
        <f t="shared" ca="1" si="24"/>
        <v>0</v>
      </c>
      <c r="J88" s="105">
        <f t="shared" ca="1" si="24"/>
        <v>0</v>
      </c>
      <c r="K88" s="105">
        <f t="shared" ca="1" si="24"/>
        <v>0</v>
      </c>
      <c r="L88" s="105">
        <f t="shared" ca="1" si="24"/>
        <v>0</v>
      </c>
      <c r="M88" s="105">
        <f t="shared" ca="1" si="24"/>
        <v>0</v>
      </c>
      <c r="N88" s="147">
        <f t="shared" ca="1" si="24"/>
        <v>0</v>
      </c>
      <c r="O88" s="96"/>
      <c r="P88" s="96"/>
      <c r="Q88" s="51"/>
      <c r="R88" s="42"/>
    </row>
    <row r="89" spans="1:23" ht="12.75" customHeight="1" x14ac:dyDescent="0.2">
      <c r="A89" s="226"/>
      <c r="B89" s="69" t="s">
        <v>209</v>
      </c>
      <c r="C89" s="105">
        <f ca="1">'Balances &amp; Actions'!C10+SUM(C67,C27,C80)</f>
        <v>0</v>
      </c>
      <c r="D89" s="105">
        <f t="shared" ref="D89:N89" ca="1" si="25">C89+SUM(D67,D27,D80)</f>
        <v>0</v>
      </c>
      <c r="E89" s="105">
        <f t="shared" ca="1" si="25"/>
        <v>0</v>
      </c>
      <c r="F89" s="105">
        <f t="shared" ca="1" si="25"/>
        <v>0</v>
      </c>
      <c r="G89" s="105">
        <f t="shared" ca="1" si="25"/>
        <v>0</v>
      </c>
      <c r="H89" s="105">
        <f t="shared" ca="1" si="25"/>
        <v>0</v>
      </c>
      <c r="I89" s="105">
        <f t="shared" ca="1" si="25"/>
        <v>0</v>
      </c>
      <c r="J89" s="105">
        <f t="shared" ca="1" si="25"/>
        <v>0</v>
      </c>
      <c r="K89" s="105">
        <f t="shared" ca="1" si="25"/>
        <v>0</v>
      </c>
      <c r="L89" s="105">
        <f t="shared" ca="1" si="25"/>
        <v>0</v>
      </c>
      <c r="M89" s="105">
        <f t="shared" ca="1" si="25"/>
        <v>0</v>
      </c>
      <c r="N89" s="147">
        <f t="shared" ca="1" si="25"/>
        <v>0</v>
      </c>
      <c r="O89" s="96"/>
      <c r="P89" s="96"/>
      <c r="Q89" s="51"/>
      <c r="R89" s="42"/>
    </row>
    <row r="90" spans="1:23" ht="5.0999999999999996" customHeight="1" x14ac:dyDescent="0.2">
      <c r="A90" s="226"/>
      <c r="B90" s="69"/>
      <c r="C90" s="96"/>
      <c r="D90" s="96"/>
      <c r="E90" s="96"/>
      <c r="F90" s="96"/>
      <c r="G90" s="96"/>
      <c r="H90" s="96"/>
      <c r="I90" s="96"/>
      <c r="J90" s="96"/>
      <c r="K90" s="96"/>
      <c r="L90" s="96"/>
      <c r="M90" s="96"/>
      <c r="N90" s="106"/>
      <c r="O90" s="96"/>
      <c r="P90" s="96"/>
      <c r="Q90" s="51"/>
      <c r="R90" s="42"/>
      <c r="W90" s="18"/>
    </row>
    <row r="91" spans="1:23" ht="12.75" customHeight="1" x14ac:dyDescent="0.2">
      <c r="A91" s="226"/>
      <c r="B91" s="69" t="s">
        <v>337</v>
      </c>
      <c r="C91" s="105">
        <f>'Balances &amp; Actions'!C12</f>
        <v>0</v>
      </c>
      <c r="D91" s="105">
        <f>C91</f>
        <v>0</v>
      </c>
      <c r="E91" s="105">
        <f t="shared" ref="E91:N91" si="26">D91</f>
        <v>0</v>
      </c>
      <c r="F91" s="105">
        <f t="shared" si="26"/>
        <v>0</v>
      </c>
      <c r="G91" s="105">
        <f t="shared" si="26"/>
        <v>0</v>
      </c>
      <c r="H91" s="105">
        <f t="shared" si="26"/>
        <v>0</v>
      </c>
      <c r="I91" s="105">
        <f t="shared" si="26"/>
        <v>0</v>
      </c>
      <c r="J91" s="105">
        <f t="shared" si="26"/>
        <v>0</v>
      </c>
      <c r="K91" s="105">
        <f t="shared" si="26"/>
        <v>0</v>
      </c>
      <c r="L91" s="105">
        <f t="shared" si="26"/>
        <v>0</v>
      </c>
      <c r="M91" s="105">
        <f t="shared" si="26"/>
        <v>0</v>
      </c>
      <c r="N91" s="147">
        <f t="shared" si="26"/>
        <v>0</v>
      </c>
      <c r="O91" s="96"/>
      <c r="P91" s="96"/>
      <c r="Q91" s="51"/>
      <c r="R91" s="42"/>
    </row>
    <row r="92" spans="1:23" ht="5.0999999999999996" customHeight="1" x14ac:dyDescent="0.2">
      <c r="A92" s="226"/>
      <c r="B92" s="69"/>
      <c r="C92" s="96"/>
      <c r="D92" s="96"/>
      <c r="E92" s="96"/>
      <c r="F92" s="96"/>
      <c r="G92" s="96"/>
      <c r="H92" s="96"/>
      <c r="I92" s="96"/>
      <c r="J92" s="96"/>
      <c r="K92" s="96"/>
      <c r="L92" s="96"/>
      <c r="M92" s="96"/>
      <c r="N92" s="106"/>
      <c r="O92" s="96"/>
      <c r="P92" s="96"/>
      <c r="Q92" s="51"/>
      <c r="R92" s="42"/>
      <c r="W92" s="18"/>
    </row>
    <row r="93" spans="1:23" ht="12.75" customHeight="1" x14ac:dyDescent="0.2">
      <c r="A93" s="226"/>
      <c r="B93" s="82" t="s">
        <v>100</v>
      </c>
      <c r="C93" s="121">
        <f t="shared" ref="C93:N93" ca="1" si="27">SUM(C85:C90)</f>
        <v>0</v>
      </c>
      <c r="D93" s="121">
        <f t="shared" ca="1" si="27"/>
        <v>0</v>
      </c>
      <c r="E93" s="121">
        <f t="shared" ca="1" si="27"/>
        <v>0</v>
      </c>
      <c r="F93" s="121">
        <f t="shared" ca="1" si="27"/>
        <v>0</v>
      </c>
      <c r="G93" s="121">
        <f t="shared" ca="1" si="27"/>
        <v>0</v>
      </c>
      <c r="H93" s="121">
        <f t="shared" ca="1" si="27"/>
        <v>0</v>
      </c>
      <c r="I93" s="121">
        <f t="shared" ca="1" si="27"/>
        <v>0</v>
      </c>
      <c r="J93" s="121">
        <f t="shared" ca="1" si="27"/>
        <v>0</v>
      </c>
      <c r="K93" s="121">
        <f t="shared" ca="1" si="27"/>
        <v>0</v>
      </c>
      <c r="L93" s="121">
        <f t="shared" ca="1" si="27"/>
        <v>0</v>
      </c>
      <c r="M93" s="121">
        <f t="shared" ca="1" si="27"/>
        <v>0</v>
      </c>
      <c r="N93" s="148">
        <f t="shared" ca="1" si="27"/>
        <v>0</v>
      </c>
      <c r="O93" s="96"/>
      <c r="P93" s="96"/>
      <c r="Q93" s="51"/>
      <c r="R93" s="42"/>
    </row>
    <row r="94" spans="1:23" ht="5.0999999999999996" customHeight="1" x14ac:dyDescent="0.2">
      <c r="A94" s="226"/>
      <c r="B94" s="69"/>
      <c r="C94" s="96"/>
      <c r="D94" s="96"/>
      <c r="E94" s="96"/>
      <c r="F94" s="96"/>
      <c r="G94" s="96"/>
      <c r="H94" s="96"/>
      <c r="I94" s="96"/>
      <c r="J94" s="96"/>
      <c r="K94" s="96"/>
      <c r="L94" s="96"/>
      <c r="M94" s="96"/>
      <c r="N94" s="106"/>
      <c r="O94" s="96"/>
      <c r="P94" s="96"/>
      <c r="Q94" s="51"/>
      <c r="R94" s="42"/>
      <c r="W94" s="18"/>
    </row>
    <row r="95" spans="1:23" ht="12.75" customHeight="1" x14ac:dyDescent="0.2">
      <c r="A95" s="226"/>
      <c r="B95" s="69" t="s">
        <v>208</v>
      </c>
      <c r="C95" s="105">
        <f ca="1">'Balances &amp; Actions'!C16-C72</f>
        <v>0</v>
      </c>
      <c r="D95" s="105">
        <f t="shared" ref="D95:N95" ca="1" si="28">C95-D72</f>
        <v>0</v>
      </c>
      <c r="E95" s="105">
        <f t="shared" ca="1" si="28"/>
        <v>0</v>
      </c>
      <c r="F95" s="105">
        <f t="shared" ca="1" si="28"/>
        <v>0</v>
      </c>
      <c r="G95" s="105">
        <f t="shared" ca="1" si="28"/>
        <v>0</v>
      </c>
      <c r="H95" s="105">
        <f t="shared" ca="1" si="28"/>
        <v>0</v>
      </c>
      <c r="I95" s="105">
        <f t="shared" ca="1" si="28"/>
        <v>0</v>
      </c>
      <c r="J95" s="105">
        <f t="shared" ca="1" si="28"/>
        <v>0</v>
      </c>
      <c r="K95" s="105">
        <f t="shared" ca="1" si="28"/>
        <v>0</v>
      </c>
      <c r="L95" s="105">
        <f t="shared" ca="1" si="28"/>
        <v>0</v>
      </c>
      <c r="M95" s="105">
        <f t="shared" ca="1" si="28"/>
        <v>0</v>
      </c>
      <c r="N95" s="147">
        <f t="shared" ca="1" si="28"/>
        <v>0</v>
      </c>
      <c r="O95" s="96"/>
      <c r="P95" s="96"/>
      <c r="Q95" s="51"/>
      <c r="R95" s="42"/>
    </row>
    <row r="96" spans="1:23" ht="12.75" customHeight="1" x14ac:dyDescent="0.2">
      <c r="A96" s="226"/>
      <c r="B96" s="69" t="s">
        <v>207</v>
      </c>
      <c r="C96" s="105">
        <f ca="1">'Balances &amp; Actions'!C17-C73</f>
        <v>0</v>
      </c>
      <c r="D96" s="105">
        <f t="shared" ref="D96:N96" ca="1" si="29">C96-D73</f>
        <v>0</v>
      </c>
      <c r="E96" s="105">
        <f t="shared" ca="1" si="29"/>
        <v>0</v>
      </c>
      <c r="F96" s="105">
        <f t="shared" ca="1" si="29"/>
        <v>0</v>
      </c>
      <c r="G96" s="105">
        <f t="shared" ca="1" si="29"/>
        <v>0</v>
      </c>
      <c r="H96" s="105">
        <f t="shared" ca="1" si="29"/>
        <v>0</v>
      </c>
      <c r="I96" s="105">
        <f t="shared" ca="1" si="29"/>
        <v>0</v>
      </c>
      <c r="J96" s="105">
        <f t="shared" ca="1" si="29"/>
        <v>0</v>
      </c>
      <c r="K96" s="105">
        <f t="shared" ca="1" si="29"/>
        <v>0</v>
      </c>
      <c r="L96" s="105">
        <f t="shared" ca="1" si="29"/>
        <v>0</v>
      </c>
      <c r="M96" s="105">
        <f t="shared" ca="1" si="29"/>
        <v>0</v>
      </c>
      <c r="N96" s="147">
        <f t="shared" ca="1" si="29"/>
        <v>0</v>
      </c>
      <c r="O96" s="96"/>
      <c r="P96" s="96"/>
      <c r="Q96" s="51"/>
      <c r="R96" s="42"/>
    </row>
    <row r="97" spans="1:23" ht="5.0999999999999996" customHeight="1" x14ac:dyDescent="0.2">
      <c r="A97" s="226"/>
      <c r="B97" s="69"/>
      <c r="C97" s="96"/>
      <c r="D97" s="96"/>
      <c r="E97" s="96"/>
      <c r="F97" s="96"/>
      <c r="G97" s="96"/>
      <c r="H97" s="96"/>
      <c r="I97" s="96"/>
      <c r="J97" s="96"/>
      <c r="K97" s="96"/>
      <c r="L97" s="96"/>
      <c r="M97" s="96"/>
      <c r="N97" s="106"/>
      <c r="O97" s="96"/>
      <c r="P97" s="96"/>
      <c r="Q97" s="51"/>
      <c r="R97" s="42"/>
      <c r="W97" s="18"/>
    </row>
    <row r="98" spans="1:23" ht="12.75" customHeight="1" x14ac:dyDescent="0.2">
      <c r="A98" s="226"/>
      <c r="B98" s="82" t="s">
        <v>101</v>
      </c>
      <c r="C98" s="121">
        <f ca="1">SUM(C94:C97)</f>
        <v>0</v>
      </c>
      <c r="D98" s="121">
        <f t="shared" ref="D98:N98" ca="1" si="30">SUM(D94:D97)</f>
        <v>0</v>
      </c>
      <c r="E98" s="121">
        <f t="shared" ca="1" si="30"/>
        <v>0</v>
      </c>
      <c r="F98" s="121">
        <f t="shared" ca="1" si="30"/>
        <v>0</v>
      </c>
      <c r="G98" s="121">
        <f t="shared" ca="1" si="30"/>
        <v>0</v>
      </c>
      <c r="H98" s="121">
        <f t="shared" ca="1" si="30"/>
        <v>0</v>
      </c>
      <c r="I98" s="121">
        <f t="shared" ca="1" si="30"/>
        <v>0</v>
      </c>
      <c r="J98" s="121">
        <f t="shared" ca="1" si="30"/>
        <v>0</v>
      </c>
      <c r="K98" s="121">
        <f t="shared" ca="1" si="30"/>
        <v>0</v>
      </c>
      <c r="L98" s="121">
        <f t="shared" ca="1" si="30"/>
        <v>0</v>
      </c>
      <c r="M98" s="121">
        <f t="shared" ca="1" si="30"/>
        <v>0</v>
      </c>
      <c r="N98" s="148">
        <f t="shared" ca="1" si="30"/>
        <v>0</v>
      </c>
      <c r="O98" s="96"/>
      <c r="P98" s="96"/>
      <c r="Q98" s="51"/>
      <c r="R98" s="42"/>
    </row>
    <row r="99" spans="1:23" ht="5.0999999999999996" customHeight="1" x14ac:dyDescent="0.2">
      <c r="A99" s="226"/>
      <c r="B99" s="69"/>
      <c r="C99" s="96"/>
      <c r="D99" s="96"/>
      <c r="E99" s="96"/>
      <c r="F99" s="96"/>
      <c r="G99" s="96"/>
      <c r="H99" s="96"/>
      <c r="I99" s="96"/>
      <c r="J99" s="96"/>
      <c r="K99" s="96"/>
      <c r="L99" s="96"/>
      <c r="M99" s="96"/>
      <c r="N99" s="106"/>
      <c r="O99" s="96"/>
      <c r="P99" s="96"/>
      <c r="Q99" s="51"/>
      <c r="R99" s="42"/>
      <c r="W99" s="18"/>
    </row>
    <row r="100" spans="1:23" ht="12.75" customHeight="1" x14ac:dyDescent="0.2">
      <c r="A100" s="226"/>
      <c r="B100" s="83" t="s">
        <v>40</v>
      </c>
      <c r="C100" s="122">
        <f ca="1">C93-C98</f>
        <v>0</v>
      </c>
      <c r="D100" s="122">
        <f t="shared" ref="D100:N100" ca="1" si="31">D93-D98</f>
        <v>0</v>
      </c>
      <c r="E100" s="122">
        <f t="shared" ca="1" si="31"/>
        <v>0</v>
      </c>
      <c r="F100" s="122">
        <f t="shared" ca="1" si="31"/>
        <v>0</v>
      </c>
      <c r="G100" s="122">
        <f t="shared" ca="1" si="31"/>
        <v>0</v>
      </c>
      <c r="H100" s="122">
        <f t="shared" ca="1" si="31"/>
        <v>0</v>
      </c>
      <c r="I100" s="122">
        <f t="shared" ca="1" si="31"/>
        <v>0</v>
      </c>
      <c r="J100" s="122">
        <f t="shared" ca="1" si="31"/>
        <v>0</v>
      </c>
      <c r="K100" s="122">
        <f t="shared" ca="1" si="31"/>
        <v>0</v>
      </c>
      <c r="L100" s="122">
        <f t="shared" ca="1" si="31"/>
        <v>0</v>
      </c>
      <c r="M100" s="122">
        <f t="shared" ca="1" si="31"/>
        <v>0</v>
      </c>
      <c r="N100" s="149">
        <f t="shared" ca="1" si="31"/>
        <v>0</v>
      </c>
      <c r="O100" s="96"/>
      <c r="P100" s="96"/>
      <c r="Q100" s="51"/>
      <c r="R100" s="42"/>
    </row>
    <row r="101" spans="1:23" ht="5.0999999999999996" customHeight="1" x14ac:dyDescent="0.2">
      <c r="A101" s="226" t="s">
        <v>41</v>
      </c>
      <c r="B101" s="62"/>
      <c r="C101" s="51"/>
      <c r="D101" s="51"/>
      <c r="E101" s="51"/>
      <c r="F101" s="51"/>
      <c r="G101" s="51"/>
      <c r="H101" s="51"/>
      <c r="I101" s="51"/>
      <c r="J101" s="51"/>
      <c r="K101" s="51"/>
      <c r="L101" s="51"/>
      <c r="M101" s="51"/>
      <c r="N101" s="51"/>
      <c r="O101" s="96"/>
      <c r="P101" s="96"/>
      <c r="Q101" s="46" t="s">
        <v>41</v>
      </c>
      <c r="R101" s="42"/>
      <c r="U101" s="13"/>
      <c r="V101" s="13"/>
      <c r="W101" s="15"/>
    </row>
    <row r="102" spans="1:23" x14ac:dyDescent="0.2">
      <c r="Q102" s="5"/>
      <c r="R102" s="42"/>
    </row>
    <row r="103" spans="1:23" x14ac:dyDescent="0.2">
      <c r="B103" s="213" t="s">
        <v>168</v>
      </c>
      <c r="C103" s="214">
        <v>1</v>
      </c>
      <c r="D103" s="215">
        <f>C103+1</f>
        <v>2</v>
      </c>
      <c r="E103" s="215">
        <f t="shared" ref="E103:N103" si="32">D103+1</f>
        <v>3</v>
      </c>
      <c r="F103" s="215">
        <f t="shared" si="32"/>
        <v>4</v>
      </c>
      <c r="G103" s="215">
        <f t="shared" si="32"/>
        <v>5</v>
      </c>
      <c r="H103" s="215">
        <f t="shared" si="32"/>
        <v>6</v>
      </c>
      <c r="I103" s="215">
        <f t="shared" si="32"/>
        <v>7</v>
      </c>
      <c r="J103" s="215">
        <f t="shared" si="32"/>
        <v>8</v>
      </c>
      <c r="K103" s="215">
        <f t="shared" si="32"/>
        <v>9</v>
      </c>
      <c r="L103" s="215">
        <f t="shared" si="32"/>
        <v>10</v>
      </c>
      <c r="M103" s="215">
        <f t="shared" si="32"/>
        <v>11</v>
      </c>
      <c r="N103" s="215">
        <f t="shared" si="32"/>
        <v>12</v>
      </c>
      <c r="O103" s="215"/>
      <c r="P103" s="216"/>
      <c r="R103" s="42"/>
      <c r="U103" s="13"/>
      <c r="V103" s="13"/>
      <c r="W103" s="15"/>
    </row>
    <row r="104" spans="1:23" ht="12.75" customHeight="1" x14ac:dyDescent="0.2"/>
    <row r="105" spans="1:23" ht="12.75" customHeight="1" x14ac:dyDescent="0.2"/>
    <row r="106" spans="1:23" ht="12.75" customHeight="1" x14ac:dyDescent="0.2">
      <c r="C106" s="176"/>
    </row>
    <row r="107" spans="1:23" ht="12.75" customHeight="1" x14ac:dyDescent="0.2">
      <c r="C107" s="176"/>
    </row>
    <row r="108" spans="1:23" s="162" customFormat="1" ht="12.75" customHeight="1" x14ac:dyDescent="0.2">
      <c r="A108" s="228"/>
      <c r="C108" s="176"/>
      <c r="D108" s="176"/>
      <c r="E108" s="176"/>
      <c r="F108" s="176"/>
      <c r="G108" s="176"/>
      <c r="H108" s="176"/>
      <c r="I108" s="176"/>
      <c r="J108" s="176"/>
      <c r="K108" s="176"/>
      <c r="L108" s="176"/>
      <c r="M108" s="176"/>
      <c r="N108" s="176"/>
      <c r="Q108" s="175"/>
      <c r="R108" s="175"/>
      <c r="V108" s="176"/>
    </row>
    <row r="109" spans="1:23" s="162" customFormat="1" ht="12.75" customHeight="1" x14ac:dyDescent="0.2">
      <c r="A109" s="228"/>
      <c r="C109" s="176"/>
      <c r="D109" s="176"/>
      <c r="E109" s="176"/>
      <c r="F109" s="176"/>
      <c r="G109" s="176"/>
      <c r="H109" s="176"/>
      <c r="I109" s="176"/>
      <c r="J109" s="176"/>
      <c r="K109" s="176"/>
      <c r="L109" s="176"/>
      <c r="M109" s="176"/>
      <c r="N109" s="176"/>
      <c r="Q109" s="175"/>
      <c r="R109" s="175"/>
      <c r="V109" s="176"/>
    </row>
    <row r="111" spans="1:23" s="162" customFormat="1" ht="12.75" customHeight="1" x14ac:dyDescent="0.2">
      <c r="A111" s="228"/>
      <c r="C111" s="176"/>
      <c r="D111" s="176"/>
      <c r="E111" s="176"/>
      <c r="F111" s="176"/>
      <c r="G111" s="176"/>
      <c r="H111" s="176"/>
      <c r="I111" s="176"/>
      <c r="J111" s="176"/>
      <c r="K111" s="176"/>
      <c r="L111" s="176"/>
      <c r="M111" s="176"/>
      <c r="N111" s="176"/>
      <c r="Q111" s="175"/>
      <c r="R111" s="175"/>
      <c r="V111" s="176"/>
    </row>
    <row r="112" spans="1:23" ht="12.75" customHeight="1" x14ac:dyDescent="0.2">
      <c r="C112" s="176"/>
      <c r="D112" s="6"/>
      <c r="E112" s="6"/>
      <c r="F112" s="6"/>
    </row>
    <row r="113" spans="3:4" ht="12.75" customHeight="1" x14ac:dyDescent="0.2">
      <c r="D113" s="176"/>
    </row>
    <row r="114" spans="3:4" ht="12.75" customHeight="1" x14ac:dyDescent="0.2">
      <c r="C114" s="162"/>
      <c r="D114" s="162"/>
    </row>
    <row r="115" spans="3:4" ht="12.75" customHeight="1" x14ac:dyDescent="0.2">
      <c r="C115" s="177"/>
      <c r="D115" s="177"/>
    </row>
    <row r="116" spans="3:4" ht="12.75" customHeight="1" x14ac:dyDescent="0.2">
      <c r="C116" s="177"/>
      <c r="D116" s="177"/>
    </row>
    <row r="117" spans="3:4" ht="12.75" customHeight="1" x14ac:dyDescent="0.2">
      <c r="C117" s="178"/>
      <c r="D117" s="178"/>
    </row>
    <row r="118" spans="3:4" ht="12.75" customHeight="1" x14ac:dyDescent="0.2">
      <c r="C118" s="178"/>
      <c r="D118" s="178"/>
    </row>
    <row r="119" spans="3:4" ht="12.75" customHeight="1" x14ac:dyDescent="0.2">
      <c r="C119" s="178"/>
      <c r="D119" s="178"/>
    </row>
    <row r="120" spans="3:4" ht="12.75" customHeight="1" x14ac:dyDescent="0.2">
      <c r="C120" s="178"/>
      <c r="D120" s="178"/>
    </row>
    <row r="121" spans="3:4" ht="12.75" customHeight="1" x14ac:dyDescent="0.2">
      <c r="C121" s="178"/>
      <c r="D121" s="178"/>
    </row>
    <row r="122" spans="3:4" ht="12.75" customHeight="1" x14ac:dyDescent="0.2">
      <c r="C122" s="178"/>
      <c r="D122" s="178"/>
    </row>
    <row r="123" spans="3:4" ht="12.75" customHeight="1" x14ac:dyDescent="0.2">
      <c r="C123" s="178"/>
      <c r="D123" s="178"/>
    </row>
    <row r="124" spans="3:4" ht="12.75" customHeight="1" x14ac:dyDescent="0.2">
      <c r="C124" s="178"/>
      <c r="D124" s="178"/>
    </row>
    <row r="125" spans="3:4" ht="12.75" customHeight="1" x14ac:dyDescent="0.2">
      <c r="C125" s="178"/>
      <c r="D125" s="178"/>
    </row>
    <row r="126" spans="3:4" ht="12.75" customHeight="1" x14ac:dyDescent="0.2">
      <c r="C126" s="178"/>
      <c r="D126" s="178"/>
    </row>
    <row r="127" spans="3:4" ht="12.75" customHeight="1" x14ac:dyDescent="0.2">
      <c r="C127" s="178"/>
      <c r="D127" s="178"/>
    </row>
    <row r="128" spans="3:4" ht="12.75" customHeight="1" x14ac:dyDescent="0.2">
      <c r="C128" s="178"/>
      <c r="D128" s="178"/>
    </row>
    <row r="129" spans="3:4" ht="12.75" customHeight="1" x14ac:dyDescent="0.2">
      <c r="C129" s="178"/>
      <c r="D129" s="178"/>
    </row>
    <row r="130" spans="3:4" ht="12.75" customHeight="1" x14ac:dyDescent="0.2">
      <c r="C130" s="178"/>
      <c r="D130" s="178"/>
    </row>
    <row r="131" spans="3:4" ht="12.75" customHeight="1" x14ac:dyDescent="0.2">
      <c r="C131" s="178"/>
      <c r="D131" s="178"/>
    </row>
    <row r="132" spans="3:4" ht="12.75" customHeight="1" x14ac:dyDescent="0.2">
      <c r="C132" s="178"/>
      <c r="D132" s="178"/>
    </row>
    <row r="133" spans="3:4" ht="12.75" customHeight="1" x14ac:dyDescent="0.2">
      <c r="C133" s="178"/>
      <c r="D133" s="178"/>
    </row>
    <row r="134" spans="3:4" ht="12.75" customHeight="1" x14ac:dyDescent="0.2">
      <c r="C134" s="178"/>
      <c r="D134" s="178"/>
    </row>
    <row r="135" spans="3:4" ht="12.75" customHeight="1" x14ac:dyDescent="0.2">
      <c r="C135" s="178"/>
      <c r="D135" s="178"/>
    </row>
    <row r="136" spans="3:4" ht="12.75" customHeight="1" x14ac:dyDescent="0.2">
      <c r="C136" s="178"/>
      <c r="D136" s="178"/>
    </row>
    <row r="137" spans="3:4" ht="12.75" customHeight="1" x14ac:dyDescent="0.2">
      <c r="C137" s="178"/>
      <c r="D137" s="178"/>
    </row>
    <row r="138" spans="3:4" ht="12.75" customHeight="1" x14ac:dyDescent="0.2">
      <c r="C138" s="178"/>
      <c r="D138" s="178"/>
    </row>
    <row r="139" spans="3:4" ht="12.75" customHeight="1" x14ac:dyDescent="0.2">
      <c r="C139" s="178"/>
      <c r="D139" s="178"/>
    </row>
    <row r="140" spans="3:4" ht="12.75" customHeight="1" x14ac:dyDescent="0.2">
      <c r="C140" s="178"/>
      <c r="D140" s="178"/>
    </row>
    <row r="141" spans="3:4" x14ac:dyDescent="0.2">
      <c r="C141" s="178"/>
      <c r="D141" s="178"/>
    </row>
    <row r="142" spans="3:4" x14ac:dyDescent="0.2">
      <c r="C142" s="178"/>
      <c r="D142" s="178"/>
    </row>
    <row r="143" spans="3:4" x14ac:dyDescent="0.2">
      <c r="C143" s="178"/>
      <c r="D143" s="178"/>
    </row>
    <row r="144" spans="3:4" x14ac:dyDescent="0.2">
      <c r="C144" s="178"/>
      <c r="D144" s="178"/>
    </row>
    <row r="145" spans="3:4" x14ac:dyDescent="0.2">
      <c r="C145" s="178"/>
      <c r="D145" s="178"/>
    </row>
    <row r="146" spans="3:4" x14ac:dyDescent="0.2">
      <c r="C146" s="178"/>
      <c r="D146" s="178"/>
    </row>
    <row r="147" spans="3:4" x14ac:dyDescent="0.2">
      <c r="C147" s="178"/>
      <c r="D147" s="178"/>
    </row>
    <row r="148" spans="3:4" x14ac:dyDescent="0.2">
      <c r="C148" s="178"/>
      <c r="D148" s="178"/>
    </row>
    <row r="149" spans="3:4" x14ac:dyDescent="0.2">
      <c r="C149" s="178"/>
      <c r="D149" s="178"/>
    </row>
    <row r="150" spans="3:4" x14ac:dyDescent="0.2">
      <c r="C150" s="178"/>
      <c r="D150" s="178"/>
    </row>
    <row r="151" spans="3:4" x14ac:dyDescent="0.2">
      <c r="C151" s="178"/>
      <c r="D151" s="178"/>
    </row>
    <row r="152" spans="3:4" x14ac:dyDescent="0.2">
      <c r="C152" s="178"/>
      <c r="D152" s="178"/>
    </row>
    <row r="153" spans="3:4" x14ac:dyDescent="0.2">
      <c r="C153" s="178"/>
      <c r="D153" s="178"/>
    </row>
    <row r="154" spans="3:4" x14ac:dyDescent="0.2">
      <c r="C154" s="178"/>
      <c r="D154" s="178"/>
    </row>
    <row r="155" spans="3:4" x14ac:dyDescent="0.2">
      <c r="C155" s="178"/>
      <c r="D155" s="178"/>
    </row>
    <row r="156" spans="3:4" x14ac:dyDescent="0.2">
      <c r="C156" s="178"/>
      <c r="D156" s="178"/>
    </row>
    <row r="157" spans="3:4" x14ac:dyDescent="0.2">
      <c r="C157" s="178"/>
      <c r="D157" s="178"/>
    </row>
    <row r="158" spans="3:4" x14ac:dyDescent="0.2">
      <c r="C158" s="178"/>
      <c r="D158" s="178"/>
    </row>
    <row r="159" spans="3:4" x14ac:dyDescent="0.2">
      <c r="C159" s="178"/>
      <c r="D159" s="178"/>
    </row>
    <row r="160" spans="3:4" x14ac:dyDescent="0.2">
      <c r="C160" s="178"/>
      <c r="D160" s="178"/>
    </row>
    <row r="161" spans="3:4" x14ac:dyDescent="0.2">
      <c r="C161" s="178"/>
      <c r="D161" s="178"/>
    </row>
    <row r="162" spans="3:4" x14ac:dyDescent="0.2">
      <c r="C162" s="178"/>
      <c r="D162" s="178"/>
    </row>
    <row r="163" spans="3:4" x14ac:dyDescent="0.2">
      <c r="C163" s="178"/>
      <c r="D163" s="178"/>
    </row>
    <row r="164" spans="3:4" x14ac:dyDescent="0.2">
      <c r="C164" s="178"/>
      <c r="D164" s="178"/>
    </row>
    <row r="165" spans="3:4" x14ac:dyDescent="0.2">
      <c r="C165" s="178"/>
      <c r="D165" s="178"/>
    </row>
    <row r="166" spans="3:4" x14ac:dyDescent="0.2">
      <c r="C166" s="178"/>
      <c r="D166" s="178"/>
    </row>
    <row r="167" spans="3:4" x14ac:dyDescent="0.2">
      <c r="C167" s="178"/>
      <c r="D167" s="178"/>
    </row>
    <row r="168" spans="3:4" x14ac:dyDescent="0.2">
      <c r="C168" s="178"/>
      <c r="D168" s="178"/>
    </row>
    <row r="169" spans="3:4" x14ac:dyDescent="0.2">
      <c r="C169" s="178"/>
      <c r="D169" s="178"/>
    </row>
    <row r="170" spans="3:4" x14ac:dyDescent="0.2">
      <c r="C170" s="178"/>
      <c r="D170" s="178"/>
    </row>
    <row r="171" spans="3:4" x14ac:dyDescent="0.2">
      <c r="C171" s="178"/>
      <c r="D171" s="178"/>
    </row>
    <row r="172" spans="3:4" x14ac:dyDescent="0.2">
      <c r="C172" s="178"/>
      <c r="D172" s="178"/>
    </row>
    <row r="173" spans="3:4" x14ac:dyDescent="0.2">
      <c r="C173" s="178"/>
      <c r="D173" s="178"/>
    </row>
    <row r="174" spans="3:4" x14ac:dyDescent="0.2">
      <c r="C174" s="178"/>
      <c r="D174" s="178"/>
    </row>
    <row r="175" spans="3:4" x14ac:dyDescent="0.2">
      <c r="C175" s="178"/>
      <c r="D175" s="178"/>
    </row>
    <row r="176" spans="3:4" x14ac:dyDescent="0.2">
      <c r="C176" s="178"/>
      <c r="D176" s="178"/>
    </row>
    <row r="177" spans="3:4" x14ac:dyDescent="0.2">
      <c r="C177" s="178"/>
      <c r="D177" s="178"/>
    </row>
    <row r="178" spans="3:4" x14ac:dyDescent="0.2">
      <c r="C178" s="178"/>
      <c r="D178" s="178"/>
    </row>
    <row r="179" spans="3:4" x14ac:dyDescent="0.2">
      <c r="C179" s="178"/>
      <c r="D179" s="178"/>
    </row>
    <row r="180" spans="3:4" x14ac:dyDescent="0.2">
      <c r="C180" s="178"/>
      <c r="D180" s="178"/>
    </row>
    <row r="181" spans="3:4" x14ac:dyDescent="0.2">
      <c r="C181" s="178"/>
      <c r="D181" s="178"/>
    </row>
    <row r="182" spans="3:4" x14ac:dyDescent="0.2">
      <c r="C182" s="178"/>
      <c r="D182" s="178"/>
    </row>
    <row r="183" spans="3:4" x14ac:dyDescent="0.2">
      <c r="C183" s="178"/>
      <c r="D183" s="178"/>
    </row>
    <row r="184" spans="3:4" x14ac:dyDescent="0.2">
      <c r="C184" s="178"/>
      <c r="D184" s="178"/>
    </row>
    <row r="185" spans="3:4" x14ac:dyDescent="0.2">
      <c r="C185" s="178"/>
      <c r="D185" s="178"/>
    </row>
    <row r="186" spans="3:4" x14ac:dyDescent="0.2">
      <c r="C186" s="178"/>
      <c r="D186" s="178"/>
    </row>
    <row r="187" spans="3:4" x14ac:dyDescent="0.2">
      <c r="C187" s="178"/>
      <c r="D187" s="178"/>
    </row>
    <row r="188" spans="3:4" x14ac:dyDescent="0.2">
      <c r="C188" s="178"/>
      <c r="D188" s="178"/>
    </row>
    <row r="189" spans="3:4" x14ac:dyDescent="0.2">
      <c r="C189" s="178"/>
      <c r="D189" s="178"/>
    </row>
    <row r="190" spans="3:4" x14ac:dyDescent="0.2">
      <c r="C190" s="178"/>
      <c r="D190" s="178"/>
    </row>
    <row r="191" spans="3:4" x14ac:dyDescent="0.2">
      <c r="C191" s="178"/>
      <c r="D191" s="178"/>
    </row>
    <row r="192" spans="3:4" x14ac:dyDescent="0.2">
      <c r="C192" s="178"/>
      <c r="D192" s="178"/>
    </row>
    <row r="193" spans="3:4" x14ac:dyDescent="0.2">
      <c r="C193" s="178"/>
      <c r="D193" s="178"/>
    </row>
    <row r="194" spans="3:4" x14ac:dyDescent="0.2">
      <c r="C194" s="178"/>
      <c r="D194" s="178"/>
    </row>
    <row r="195" spans="3:4" x14ac:dyDescent="0.2">
      <c r="C195" s="178"/>
      <c r="D195" s="178"/>
    </row>
    <row r="196" spans="3:4" x14ac:dyDescent="0.2">
      <c r="C196" s="178"/>
      <c r="D196" s="178"/>
    </row>
    <row r="197" spans="3:4" x14ac:dyDescent="0.2">
      <c r="C197" s="178"/>
      <c r="D197" s="178"/>
    </row>
    <row r="198" spans="3:4" x14ac:dyDescent="0.2">
      <c r="C198" s="178"/>
      <c r="D198" s="178"/>
    </row>
    <row r="199" spans="3:4" x14ac:dyDescent="0.2">
      <c r="C199" s="178"/>
      <c r="D199" s="178"/>
    </row>
    <row r="200" spans="3:4" x14ac:dyDescent="0.2">
      <c r="C200" s="178"/>
      <c r="D200" s="178"/>
    </row>
    <row r="201" spans="3:4" x14ac:dyDescent="0.2">
      <c r="C201" s="178"/>
      <c r="D201" s="178"/>
    </row>
    <row r="202" spans="3:4" x14ac:dyDescent="0.2">
      <c r="C202" s="178"/>
      <c r="D202" s="178"/>
    </row>
    <row r="203" spans="3:4" x14ac:dyDescent="0.2">
      <c r="C203" s="178"/>
      <c r="D203" s="178"/>
    </row>
    <row r="204" spans="3:4" x14ac:dyDescent="0.2">
      <c r="C204" s="178"/>
      <c r="D204" s="178"/>
    </row>
    <row r="205" spans="3:4" x14ac:dyDescent="0.2">
      <c r="C205" s="178"/>
      <c r="D205" s="178"/>
    </row>
    <row r="206" spans="3:4" x14ac:dyDescent="0.2">
      <c r="C206" s="178"/>
      <c r="D206" s="178"/>
    </row>
    <row r="207" spans="3:4" x14ac:dyDescent="0.2">
      <c r="C207" s="178"/>
      <c r="D207" s="178"/>
    </row>
    <row r="208" spans="3:4" x14ac:dyDescent="0.2">
      <c r="C208" s="178"/>
      <c r="D208" s="178"/>
    </row>
    <row r="209" spans="3:4" x14ac:dyDescent="0.2">
      <c r="C209" s="178"/>
      <c r="D209" s="178"/>
    </row>
    <row r="210" spans="3:4" x14ac:dyDescent="0.2">
      <c r="C210" s="178"/>
      <c r="D210" s="178"/>
    </row>
    <row r="211" spans="3:4" x14ac:dyDescent="0.2">
      <c r="C211" s="178"/>
      <c r="D211" s="178"/>
    </row>
    <row r="212" spans="3:4" x14ac:dyDescent="0.2">
      <c r="C212" s="178"/>
      <c r="D212" s="178"/>
    </row>
    <row r="213" spans="3:4" x14ac:dyDescent="0.2">
      <c r="C213" s="178"/>
      <c r="D213" s="178"/>
    </row>
    <row r="214" spans="3:4" x14ac:dyDescent="0.2">
      <c r="C214" s="178"/>
      <c r="D214" s="178"/>
    </row>
    <row r="215" spans="3:4" x14ac:dyDescent="0.2">
      <c r="C215" s="178"/>
      <c r="D215" s="178"/>
    </row>
    <row r="216" spans="3:4" x14ac:dyDescent="0.2">
      <c r="C216" s="178"/>
      <c r="D216" s="178"/>
    </row>
    <row r="217" spans="3:4" x14ac:dyDescent="0.2">
      <c r="C217" s="178"/>
      <c r="D217" s="178"/>
    </row>
    <row r="218" spans="3:4" x14ac:dyDescent="0.2">
      <c r="C218" s="178"/>
      <c r="D218" s="178"/>
    </row>
    <row r="219" spans="3:4" x14ac:dyDescent="0.2">
      <c r="C219" s="178"/>
      <c r="D219" s="178"/>
    </row>
    <row r="220" spans="3:4" x14ac:dyDescent="0.2">
      <c r="C220" s="178"/>
      <c r="D220" s="178"/>
    </row>
    <row r="221" spans="3:4" x14ac:dyDescent="0.2">
      <c r="C221" s="178"/>
      <c r="D221" s="178"/>
    </row>
    <row r="222" spans="3:4" x14ac:dyDescent="0.2">
      <c r="C222" s="178"/>
      <c r="D222" s="178"/>
    </row>
    <row r="223" spans="3:4" x14ac:dyDescent="0.2">
      <c r="C223" s="178"/>
      <c r="D223" s="178"/>
    </row>
    <row r="224" spans="3:4" x14ac:dyDescent="0.2">
      <c r="C224" s="178"/>
      <c r="D224" s="178"/>
    </row>
    <row r="225" spans="3:4" x14ac:dyDescent="0.2">
      <c r="C225" s="178"/>
      <c r="D225" s="178"/>
    </row>
    <row r="226" spans="3:4" x14ac:dyDescent="0.2">
      <c r="C226" s="178"/>
      <c r="D226" s="178"/>
    </row>
    <row r="227" spans="3:4" x14ac:dyDescent="0.2">
      <c r="C227" s="178"/>
      <c r="D227" s="178"/>
    </row>
    <row r="228" spans="3:4" x14ac:dyDescent="0.2">
      <c r="C228" s="178"/>
      <c r="D228" s="178"/>
    </row>
    <row r="229" spans="3:4" x14ac:dyDescent="0.2">
      <c r="C229" s="178"/>
      <c r="D229" s="178"/>
    </row>
    <row r="230" spans="3:4" x14ac:dyDescent="0.2">
      <c r="C230" s="178"/>
      <c r="D230" s="178"/>
    </row>
    <row r="231" spans="3:4" x14ac:dyDescent="0.2">
      <c r="C231" s="178"/>
      <c r="D231" s="178"/>
    </row>
    <row r="232" spans="3:4" x14ac:dyDescent="0.2">
      <c r="C232" s="178"/>
      <c r="D232" s="178"/>
    </row>
    <row r="233" spans="3:4" x14ac:dyDescent="0.2">
      <c r="C233" s="178"/>
      <c r="D233" s="178"/>
    </row>
    <row r="234" spans="3:4" x14ac:dyDescent="0.2">
      <c r="C234" s="178"/>
      <c r="D234" s="178"/>
    </row>
    <row r="235" spans="3:4" x14ac:dyDescent="0.2">
      <c r="C235" s="178"/>
      <c r="D235" s="178"/>
    </row>
    <row r="236" spans="3:4" x14ac:dyDescent="0.2">
      <c r="C236" s="178"/>
      <c r="D236" s="178"/>
    </row>
    <row r="237" spans="3:4" x14ac:dyDescent="0.2">
      <c r="C237" s="178"/>
      <c r="D237" s="178"/>
    </row>
    <row r="238" spans="3:4" x14ac:dyDescent="0.2">
      <c r="C238" s="178"/>
      <c r="D238" s="178"/>
    </row>
    <row r="239" spans="3:4" x14ac:dyDescent="0.2">
      <c r="C239" s="178"/>
      <c r="D239" s="178"/>
    </row>
    <row r="240" spans="3:4" x14ac:dyDescent="0.2">
      <c r="C240" s="178"/>
      <c r="D240" s="178"/>
    </row>
    <row r="241" spans="3:4" x14ac:dyDescent="0.2">
      <c r="C241" s="178"/>
      <c r="D241" s="178"/>
    </row>
    <row r="242" spans="3:4" x14ac:dyDescent="0.2">
      <c r="C242" s="178"/>
      <c r="D242" s="178"/>
    </row>
    <row r="243" spans="3:4" x14ac:dyDescent="0.2">
      <c r="C243" s="178"/>
      <c r="D243" s="178"/>
    </row>
    <row r="244" spans="3:4" x14ac:dyDescent="0.2">
      <c r="C244" s="178"/>
      <c r="D244" s="178"/>
    </row>
    <row r="245" spans="3:4" x14ac:dyDescent="0.2">
      <c r="C245" s="178"/>
      <c r="D245" s="178"/>
    </row>
    <row r="246" spans="3:4" x14ac:dyDescent="0.2">
      <c r="C246" s="178"/>
      <c r="D246" s="178"/>
    </row>
    <row r="247" spans="3:4" x14ac:dyDescent="0.2">
      <c r="C247" s="178"/>
      <c r="D247" s="178"/>
    </row>
    <row r="248" spans="3:4" x14ac:dyDescent="0.2">
      <c r="C248" s="178"/>
      <c r="D248" s="178"/>
    </row>
    <row r="249" spans="3:4" x14ac:dyDescent="0.2">
      <c r="C249" s="178"/>
      <c r="D249" s="178"/>
    </row>
    <row r="250" spans="3:4" x14ac:dyDescent="0.2">
      <c r="C250" s="178"/>
      <c r="D250" s="178"/>
    </row>
    <row r="251" spans="3:4" x14ac:dyDescent="0.2">
      <c r="C251" s="178"/>
      <c r="D251" s="178"/>
    </row>
    <row r="252" spans="3:4" x14ac:dyDescent="0.2">
      <c r="C252" s="178"/>
      <c r="D252" s="178"/>
    </row>
    <row r="253" spans="3:4" x14ac:dyDescent="0.2">
      <c r="C253" s="178"/>
      <c r="D253" s="178"/>
    </row>
    <row r="254" spans="3:4" x14ac:dyDescent="0.2">
      <c r="C254" s="178"/>
      <c r="D254" s="178"/>
    </row>
    <row r="255" spans="3:4" x14ac:dyDescent="0.2">
      <c r="C255" s="178"/>
      <c r="D255" s="178"/>
    </row>
    <row r="256" spans="3:4" x14ac:dyDescent="0.2">
      <c r="C256" s="178"/>
      <c r="D256" s="178"/>
    </row>
    <row r="257" spans="3:4" x14ac:dyDescent="0.2">
      <c r="C257" s="178"/>
      <c r="D257" s="178"/>
    </row>
    <row r="258" spans="3:4" x14ac:dyDescent="0.2">
      <c r="C258" s="178"/>
      <c r="D258" s="178"/>
    </row>
    <row r="259" spans="3:4" x14ac:dyDescent="0.2">
      <c r="C259" s="178"/>
      <c r="D259" s="178"/>
    </row>
    <row r="260" spans="3:4" x14ac:dyDescent="0.2">
      <c r="C260" s="178"/>
      <c r="D260" s="178"/>
    </row>
    <row r="261" spans="3:4" x14ac:dyDescent="0.2">
      <c r="C261" s="178"/>
      <c r="D261" s="178"/>
    </row>
    <row r="262" spans="3:4" x14ac:dyDescent="0.2">
      <c r="C262" s="178"/>
      <c r="D262" s="178"/>
    </row>
    <row r="263" spans="3:4" x14ac:dyDescent="0.2">
      <c r="C263" s="178"/>
      <c r="D263" s="178"/>
    </row>
    <row r="264" spans="3:4" x14ac:dyDescent="0.2">
      <c r="C264" s="178"/>
      <c r="D264" s="178"/>
    </row>
    <row r="265" spans="3:4" x14ac:dyDescent="0.2">
      <c r="C265" s="178"/>
      <c r="D265" s="178"/>
    </row>
    <row r="266" spans="3:4" x14ac:dyDescent="0.2">
      <c r="C266" s="178"/>
      <c r="D266" s="178"/>
    </row>
    <row r="267" spans="3:4" x14ac:dyDescent="0.2">
      <c r="C267" s="178"/>
      <c r="D267" s="178"/>
    </row>
    <row r="268" spans="3:4" x14ac:dyDescent="0.2">
      <c r="C268" s="178"/>
      <c r="D268" s="178"/>
    </row>
    <row r="269" spans="3:4" x14ac:dyDescent="0.2">
      <c r="C269" s="178"/>
      <c r="D269" s="178"/>
    </row>
    <row r="270" spans="3:4" x14ac:dyDescent="0.2">
      <c r="C270" s="178"/>
      <c r="D270" s="178"/>
    </row>
    <row r="271" spans="3:4" x14ac:dyDescent="0.2">
      <c r="C271" s="178"/>
      <c r="D271" s="178"/>
    </row>
    <row r="272" spans="3:4" x14ac:dyDescent="0.2">
      <c r="C272" s="178"/>
      <c r="D272" s="178"/>
    </row>
    <row r="273" spans="3:4" x14ac:dyDescent="0.2">
      <c r="C273" s="178"/>
      <c r="D273" s="178"/>
    </row>
    <row r="274" spans="3:4" x14ac:dyDescent="0.2">
      <c r="C274" s="178"/>
      <c r="D274" s="178"/>
    </row>
    <row r="275" spans="3:4" x14ac:dyDescent="0.2">
      <c r="C275" s="178"/>
      <c r="D275" s="178"/>
    </row>
    <row r="276" spans="3:4" x14ac:dyDescent="0.2">
      <c r="C276" s="178"/>
      <c r="D276" s="178"/>
    </row>
    <row r="277" spans="3:4" x14ac:dyDescent="0.2">
      <c r="C277" s="178"/>
      <c r="D277" s="178"/>
    </row>
    <row r="278" spans="3:4" x14ac:dyDescent="0.2">
      <c r="C278" s="178"/>
      <c r="D278" s="178"/>
    </row>
    <row r="279" spans="3:4" x14ac:dyDescent="0.2">
      <c r="C279" s="178"/>
      <c r="D279" s="178"/>
    </row>
    <row r="280" spans="3:4" x14ac:dyDescent="0.2">
      <c r="C280" s="178"/>
      <c r="D280" s="178"/>
    </row>
    <row r="281" spans="3:4" x14ac:dyDescent="0.2">
      <c r="C281" s="178"/>
      <c r="D281" s="178"/>
    </row>
    <row r="282" spans="3:4" x14ac:dyDescent="0.2">
      <c r="C282" s="178"/>
      <c r="D282" s="178"/>
    </row>
    <row r="283" spans="3:4" x14ac:dyDescent="0.2">
      <c r="C283" s="178"/>
      <c r="D283" s="178"/>
    </row>
    <row r="284" spans="3:4" x14ac:dyDescent="0.2">
      <c r="C284" s="178"/>
      <c r="D284" s="178"/>
    </row>
    <row r="285" spans="3:4" x14ac:dyDescent="0.2">
      <c r="C285" s="178"/>
      <c r="D285" s="178"/>
    </row>
    <row r="286" spans="3:4" x14ac:dyDescent="0.2">
      <c r="C286" s="178"/>
      <c r="D286" s="178"/>
    </row>
    <row r="287" spans="3:4" x14ac:dyDescent="0.2">
      <c r="C287" s="178"/>
      <c r="D287" s="178"/>
    </row>
    <row r="288" spans="3:4" x14ac:dyDescent="0.2">
      <c r="C288" s="178"/>
      <c r="D288" s="178"/>
    </row>
    <row r="289" spans="3:4" x14ac:dyDescent="0.2">
      <c r="C289" s="178"/>
      <c r="D289" s="178"/>
    </row>
    <row r="290" spans="3:4" x14ac:dyDescent="0.2">
      <c r="C290" s="178"/>
      <c r="D290" s="178"/>
    </row>
    <row r="291" spans="3:4" x14ac:dyDescent="0.2">
      <c r="C291" s="178"/>
      <c r="D291" s="178"/>
    </row>
    <row r="292" spans="3:4" x14ac:dyDescent="0.2">
      <c r="C292" s="178"/>
      <c r="D292" s="178"/>
    </row>
    <row r="293" spans="3:4" x14ac:dyDescent="0.2">
      <c r="C293" s="178"/>
      <c r="D293" s="178"/>
    </row>
    <row r="294" spans="3:4" x14ac:dyDescent="0.2">
      <c r="C294" s="178"/>
      <c r="D294" s="178"/>
    </row>
    <row r="295" spans="3:4" x14ac:dyDescent="0.2">
      <c r="C295" s="178"/>
      <c r="D295" s="178"/>
    </row>
    <row r="296" spans="3:4" x14ac:dyDescent="0.2">
      <c r="C296" s="178"/>
      <c r="D296" s="178"/>
    </row>
    <row r="297" spans="3:4" x14ac:dyDescent="0.2">
      <c r="C297" s="178"/>
      <c r="D297" s="178"/>
    </row>
    <row r="298" spans="3:4" x14ac:dyDescent="0.2">
      <c r="C298" s="178"/>
      <c r="D298" s="178"/>
    </row>
    <row r="299" spans="3:4" x14ac:dyDescent="0.2">
      <c r="C299" s="178"/>
      <c r="D299" s="178"/>
    </row>
    <row r="300" spans="3:4" x14ac:dyDescent="0.2">
      <c r="C300" s="178"/>
      <c r="D300" s="178"/>
    </row>
    <row r="301" spans="3:4" x14ac:dyDescent="0.2">
      <c r="C301" s="178"/>
      <c r="D301" s="178"/>
    </row>
    <row r="302" spans="3:4" x14ac:dyDescent="0.2">
      <c r="C302" s="178"/>
      <c r="D302" s="178"/>
    </row>
    <row r="303" spans="3:4" x14ac:dyDescent="0.2">
      <c r="C303" s="178"/>
      <c r="D303" s="178"/>
    </row>
    <row r="304" spans="3:4" x14ac:dyDescent="0.2">
      <c r="C304" s="178"/>
      <c r="D304" s="178"/>
    </row>
    <row r="305" spans="3:4" x14ac:dyDescent="0.2">
      <c r="C305" s="178"/>
      <c r="D305" s="178"/>
    </row>
    <row r="306" spans="3:4" x14ac:dyDescent="0.2">
      <c r="C306" s="178"/>
      <c r="D306" s="178"/>
    </row>
    <row r="307" spans="3:4" x14ac:dyDescent="0.2">
      <c r="C307" s="178"/>
      <c r="D307" s="178"/>
    </row>
    <row r="308" spans="3:4" x14ac:dyDescent="0.2">
      <c r="C308" s="178"/>
      <c r="D308" s="178"/>
    </row>
    <row r="309" spans="3:4" x14ac:dyDescent="0.2">
      <c r="C309" s="178"/>
      <c r="D309" s="178"/>
    </row>
    <row r="310" spans="3:4" x14ac:dyDescent="0.2">
      <c r="C310" s="178"/>
      <c r="D310" s="178"/>
    </row>
    <row r="311" spans="3:4" x14ac:dyDescent="0.2">
      <c r="C311" s="178"/>
      <c r="D311" s="178"/>
    </row>
    <row r="312" spans="3:4" x14ac:dyDescent="0.2">
      <c r="C312" s="178"/>
      <c r="D312" s="178"/>
    </row>
    <row r="313" spans="3:4" x14ac:dyDescent="0.2">
      <c r="C313" s="178"/>
      <c r="D313" s="178"/>
    </row>
    <row r="314" spans="3:4" x14ac:dyDescent="0.2">
      <c r="C314" s="178"/>
      <c r="D314" s="178"/>
    </row>
    <row r="315" spans="3:4" x14ac:dyDescent="0.2">
      <c r="C315" s="178"/>
      <c r="D315" s="178"/>
    </row>
    <row r="316" spans="3:4" x14ac:dyDescent="0.2">
      <c r="C316" s="178"/>
      <c r="D316" s="178"/>
    </row>
    <row r="317" spans="3:4" x14ac:dyDescent="0.2">
      <c r="C317" s="178"/>
      <c r="D317" s="178"/>
    </row>
    <row r="318" spans="3:4" x14ac:dyDescent="0.2">
      <c r="C318" s="178"/>
      <c r="D318" s="178"/>
    </row>
    <row r="319" spans="3:4" x14ac:dyDescent="0.2">
      <c r="C319" s="178"/>
      <c r="D319" s="178"/>
    </row>
    <row r="320" spans="3:4" x14ac:dyDescent="0.2">
      <c r="C320" s="178"/>
      <c r="D320" s="178"/>
    </row>
    <row r="321" spans="3:4" x14ac:dyDescent="0.2">
      <c r="C321" s="178"/>
      <c r="D321" s="178"/>
    </row>
    <row r="322" spans="3:4" x14ac:dyDescent="0.2">
      <c r="C322" s="178"/>
      <c r="D322" s="178"/>
    </row>
    <row r="323" spans="3:4" x14ac:dyDescent="0.2">
      <c r="C323" s="178"/>
      <c r="D323" s="178"/>
    </row>
    <row r="324" spans="3:4" x14ac:dyDescent="0.2">
      <c r="C324" s="178"/>
      <c r="D324" s="178"/>
    </row>
    <row r="325" spans="3:4" x14ac:dyDescent="0.2">
      <c r="C325" s="178"/>
      <c r="D325" s="178"/>
    </row>
    <row r="326" spans="3:4" x14ac:dyDescent="0.2">
      <c r="C326" s="178"/>
      <c r="D326" s="178"/>
    </row>
    <row r="327" spans="3:4" x14ac:dyDescent="0.2">
      <c r="C327" s="178"/>
      <c r="D327" s="178"/>
    </row>
    <row r="328" spans="3:4" x14ac:dyDescent="0.2">
      <c r="C328" s="178"/>
      <c r="D328" s="178"/>
    </row>
    <row r="329" spans="3:4" x14ac:dyDescent="0.2">
      <c r="C329" s="178"/>
      <c r="D329" s="178"/>
    </row>
    <row r="330" spans="3:4" x14ac:dyDescent="0.2">
      <c r="C330" s="178"/>
      <c r="D330" s="178"/>
    </row>
    <row r="331" spans="3:4" x14ac:dyDescent="0.2">
      <c r="C331" s="178"/>
      <c r="D331" s="178"/>
    </row>
    <row r="332" spans="3:4" x14ac:dyDescent="0.2">
      <c r="C332" s="178"/>
      <c r="D332" s="178"/>
    </row>
    <row r="333" spans="3:4" x14ac:dyDescent="0.2">
      <c r="C333" s="178"/>
      <c r="D333" s="178"/>
    </row>
    <row r="334" spans="3:4" x14ac:dyDescent="0.2">
      <c r="C334" s="178"/>
      <c r="D334" s="178"/>
    </row>
    <row r="335" spans="3:4" x14ac:dyDescent="0.2">
      <c r="C335" s="178"/>
      <c r="D335" s="178"/>
    </row>
    <row r="336" spans="3:4" x14ac:dyDescent="0.2">
      <c r="C336" s="178"/>
      <c r="D336" s="178"/>
    </row>
    <row r="337" spans="3:4" x14ac:dyDescent="0.2">
      <c r="C337" s="178"/>
      <c r="D337" s="178"/>
    </row>
    <row r="338" spans="3:4" x14ac:dyDescent="0.2">
      <c r="C338" s="178"/>
      <c r="D338" s="178"/>
    </row>
    <row r="339" spans="3:4" x14ac:dyDescent="0.2">
      <c r="C339" s="178"/>
      <c r="D339" s="178"/>
    </row>
    <row r="340" spans="3:4" x14ac:dyDescent="0.2">
      <c r="C340" s="178"/>
      <c r="D340" s="178"/>
    </row>
    <row r="341" spans="3:4" x14ac:dyDescent="0.2">
      <c r="C341" s="178"/>
      <c r="D341" s="178"/>
    </row>
    <row r="342" spans="3:4" x14ac:dyDescent="0.2">
      <c r="C342" s="178"/>
      <c r="D342" s="178"/>
    </row>
    <row r="343" spans="3:4" x14ac:dyDescent="0.2">
      <c r="C343" s="178"/>
      <c r="D343" s="178"/>
    </row>
    <row r="344" spans="3:4" x14ac:dyDescent="0.2">
      <c r="C344" s="178"/>
      <c r="D344" s="178"/>
    </row>
    <row r="345" spans="3:4" x14ac:dyDescent="0.2">
      <c r="C345" s="178"/>
      <c r="D345" s="178"/>
    </row>
    <row r="346" spans="3:4" x14ac:dyDescent="0.2">
      <c r="C346" s="178"/>
      <c r="D346" s="178"/>
    </row>
    <row r="347" spans="3:4" x14ac:dyDescent="0.2">
      <c r="C347" s="178"/>
      <c r="D347" s="178"/>
    </row>
    <row r="348" spans="3:4" x14ac:dyDescent="0.2">
      <c r="C348" s="178"/>
      <c r="D348" s="178"/>
    </row>
    <row r="349" spans="3:4" x14ac:dyDescent="0.2">
      <c r="C349" s="178"/>
      <c r="D349" s="178"/>
    </row>
    <row r="350" spans="3:4" x14ac:dyDescent="0.2">
      <c r="C350" s="178"/>
      <c r="D350" s="178"/>
    </row>
    <row r="351" spans="3:4" x14ac:dyDescent="0.2">
      <c r="C351" s="178"/>
      <c r="D351" s="178"/>
    </row>
    <row r="352" spans="3:4" x14ac:dyDescent="0.2">
      <c r="C352" s="178"/>
      <c r="D352" s="178"/>
    </row>
    <row r="353" spans="3:4" x14ac:dyDescent="0.2">
      <c r="C353" s="178"/>
      <c r="D353" s="178"/>
    </row>
    <row r="354" spans="3:4" x14ac:dyDescent="0.2">
      <c r="C354" s="178"/>
      <c r="D354" s="178"/>
    </row>
    <row r="355" spans="3:4" x14ac:dyDescent="0.2">
      <c r="C355" s="178"/>
      <c r="D355" s="178"/>
    </row>
    <row r="356" spans="3:4" x14ac:dyDescent="0.2">
      <c r="C356" s="178"/>
      <c r="D356" s="178"/>
    </row>
    <row r="357" spans="3:4" x14ac:dyDescent="0.2">
      <c r="C357" s="178"/>
      <c r="D357" s="178"/>
    </row>
    <row r="358" spans="3:4" x14ac:dyDescent="0.2">
      <c r="C358" s="178"/>
      <c r="D358" s="178"/>
    </row>
    <row r="359" spans="3:4" x14ac:dyDescent="0.2">
      <c r="C359" s="178"/>
      <c r="D359" s="178"/>
    </row>
    <row r="360" spans="3:4" x14ac:dyDescent="0.2">
      <c r="C360" s="178"/>
      <c r="D360" s="178"/>
    </row>
    <row r="361" spans="3:4" x14ac:dyDescent="0.2">
      <c r="C361" s="178"/>
      <c r="D361" s="178"/>
    </row>
    <row r="362" spans="3:4" x14ac:dyDescent="0.2">
      <c r="C362" s="178"/>
      <c r="D362" s="178"/>
    </row>
    <row r="363" spans="3:4" x14ac:dyDescent="0.2">
      <c r="C363" s="178"/>
      <c r="D363" s="178"/>
    </row>
    <row r="364" spans="3:4" x14ac:dyDescent="0.2">
      <c r="C364" s="178"/>
      <c r="D364" s="178"/>
    </row>
    <row r="365" spans="3:4" x14ac:dyDescent="0.2">
      <c r="C365" s="178"/>
      <c r="D365" s="178"/>
    </row>
    <row r="366" spans="3:4" x14ac:dyDescent="0.2">
      <c r="C366" s="178"/>
      <c r="D366" s="178"/>
    </row>
    <row r="367" spans="3:4" x14ac:dyDescent="0.2">
      <c r="C367" s="178"/>
      <c r="D367" s="178"/>
    </row>
    <row r="368" spans="3:4" x14ac:dyDescent="0.2">
      <c r="C368" s="178"/>
      <c r="D368" s="178"/>
    </row>
    <row r="369" spans="3:4" x14ac:dyDescent="0.2">
      <c r="C369" s="178"/>
      <c r="D369" s="178"/>
    </row>
    <row r="370" spans="3:4" x14ac:dyDescent="0.2">
      <c r="C370" s="178"/>
      <c r="D370" s="178"/>
    </row>
    <row r="371" spans="3:4" x14ac:dyDescent="0.2">
      <c r="C371" s="178"/>
      <c r="D371" s="178"/>
    </row>
    <row r="372" spans="3:4" x14ac:dyDescent="0.2">
      <c r="C372" s="178"/>
      <c r="D372" s="178"/>
    </row>
    <row r="373" spans="3:4" x14ac:dyDescent="0.2">
      <c r="C373" s="178"/>
      <c r="D373" s="178"/>
    </row>
    <row r="374" spans="3:4" x14ac:dyDescent="0.2">
      <c r="C374" s="178"/>
      <c r="D374" s="178"/>
    </row>
    <row r="375" spans="3:4" x14ac:dyDescent="0.2">
      <c r="C375" s="178"/>
      <c r="D375" s="178"/>
    </row>
    <row r="376" spans="3:4" x14ac:dyDescent="0.2">
      <c r="C376" s="178"/>
      <c r="D376" s="178"/>
    </row>
    <row r="377" spans="3:4" x14ac:dyDescent="0.2">
      <c r="C377" s="178"/>
      <c r="D377" s="178"/>
    </row>
    <row r="378" spans="3:4" x14ac:dyDescent="0.2">
      <c r="C378" s="178"/>
      <c r="D378" s="178"/>
    </row>
    <row r="379" spans="3:4" x14ac:dyDescent="0.2">
      <c r="C379" s="178"/>
      <c r="D379" s="178"/>
    </row>
    <row r="380" spans="3:4" x14ac:dyDescent="0.2">
      <c r="C380" s="178"/>
      <c r="D380" s="178"/>
    </row>
    <row r="381" spans="3:4" x14ac:dyDescent="0.2">
      <c r="C381" s="178"/>
      <c r="D381" s="178"/>
    </row>
    <row r="382" spans="3:4" x14ac:dyDescent="0.2">
      <c r="C382" s="178"/>
      <c r="D382" s="178"/>
    </row>
    <row r="383" spans="3:4" x14ac:dyDescent="0.2">
      <c r="C383" s="178"/>
      <c r="D383" s="178"/>
    </row>
    <row r="384" spans="3:4" x14ac:dyDescent="0.2">
      <c r="C384" s="178"/>
      <c r="D384" s="178"/>
    </row>
    <row r="385" spans="3:4" x14ac:dyDescent="0.2">
      <c r="C385" s="178"/>
      <c r="D385" s="178"/>
    </row>
    <row r="386" spans="3:4" x14ac:dyDescent="0.2">
      <c r="C386" s="178"/>
      <c r="D386" s="178"/>
    </row>
    <row r="387" spans="3:4" x14ac:dyDescent="0.2">
      <c r="C387" s="178"/>
      <c r="D387" s="178"/>
    </row>
    <row r="388" spans="3:4" x14ac:dyDescent="0.2">
      <c r="C388" s="178"/>
      <c r="D388" s="178"/>
    </row>
    <row r="389" spans="3:4" x14ac:dyDescent="0.2">
      <c r="C389" s="178"/>
      <c r="D389" s="178"/>
    </row>
    <row r="390" spans="3:4" x14ac:dyDescent="0.2">
      <c r="C390" s="178"/>
      <c r="D390" s="178"/>
    </row>
    <row r="391" spans="3:4" x14ac:dyDescent="0.2">
      <c r="C391" s="178"/>
      <c r="D391" s="178"/>
    </row>
    <row r="392" spans="3:4" x14ac:dyDescent="0.2">
      <c r="C392" s="178"/>
      <c r="D392" s="178"/>
    </row>
    <row r="393" spans="3:4" x14ac:dyDescent="0.2">
      <c r="C393" s="178"/>
      <c r="D393" s="178"/>
    </row>
    <row r="394" spans="3:4" x14ac:dyDescent="0.2">
      <c r="C394" s="178"/>
      <c r="D394" s="178"/>
    </row>
    <row r="395" spans="3:4" x14ac:dyDescent="0.2">
      <c r="C395" s="178"/>
      <c r="D395" s="178"/>
    </row>
    <row r="396" spans="3:4" x14ac:dyDescent="0.2">
      <c r="C396" s="178"/>
      <c r="D396" s="178"/>
    </row>
    <row r="397" spans="3:4" x14ac:dyDescent="0.2">
      <c r="C397" s="178"/>
      <c r="D397" s="178"/>
    </row>
    <row r="398" spans="3:4" x14ac:dyDescent="0.2">
      <c r="C398" s="178"/>
      <c r="D398" s="178"/>
    </row>
    <row r="399" spans="3:4" x14ac:dyDescent="0.2">
      <c r="C399" s="178"/>
      <c r="D399" s="178"/>
    </row>
    <row r="400" spans="3:4" x14ac:dyDescent="0.2">
      <c r="C400" s="178"/>
      <c r="D400" s="178"/>
    </row>
    <row r="401" spans="3:4" x14ac:dyDescent="0.2">
      <c r="C401" s="178"/>
      <c r="D401" s="178"/>
    </row>
    <row r="402" spans="3:4" x14ac:dyDescent="0.2">
      <c r="C402" s="178"/>
      <c r="D402" s="178"/>
    </row>
    <row r="403" spans="3:4" x14ac:dyDescent="0.2">
      <c r="C403" s="178"/>
      <c r="D403" s="178"/>
    </row>
    <row r="404" spans="3:4" x14ac:dyDescent="0.2">
      <c r="C404" s="178"/>
      <c r="D404" s="178"/>
    </row>
    <row r="405" spans="3:4" x14ac:dyDescent="0.2">
      <c r="C405" s="178"/>
      <c r="D405" s="178"/>
    </row>
    <row r="406" spans="3:4" x14ac:dyDescent="0.2">
      <c r="C406" s="178"/>
      <c r="D406" s="178"/>
    </row>
    <row r="407" spans="3:4" x14ac:dyDescent="0.2">
      <c r="C407" s="178"/>
      <c r="D407" s="178"/>
    </row>
    <row r="408" spans="3:4" x14ac:dyDescent="0.2">
      <c r="C408" s="178"/>
      <c r="D408" s="178"/>
    </row>
    <row r="409" spans="3:4" x14ac:dyDescent="0.2">
      <c r="C409" s="178"/>
      <c r="D409" s="178"/>
    </row>
    <row r="410" spans="3:4" x14ac:dyDescent="0.2">
      <c r="C410" s="178"/>
      <c r="D410" s="178"/>
    </row>
    <row r="411" spans="3:4" x14ac:dyDescent="0.2">
      <c r="C411" s="178"/>
      <c r="D411" s="178"/>
    </row>
    <row r="412" spans="3:4" x14ac:dyDescent="0.2">
      <c r="C412" s="178"/>
      <c r="D412" s="178"/>
    </row>
    <row r="413" spans="3:4" x14ac:dyDescent="0.2">
      <c r="C413" s="178"/>
      <c r="D413" s="178"/>
    </row>
    <row r="414" spans="3:4" x14ac:dyDescent="0.2">
      <c r="C414" s="178"/>
      <c r="D414" s="178"/>
    </row>
    <row r="415" spans="3:4" x14ac:dyDescent="0.2">
      <c r="C415" s="178"/>
      <c r="D415" s="178"/>
    </row>
    <row r="416" spans="3:4" x14ac:dyDescent="0.2">
      <c r="C416" s="178"/>
      <c r="D416" s="178"/>
    </row>
    <row r="417" spans="3:4" x14ac:dyDescent="0.2">
      <c r="C417" s="178"/>
      <c r="D417" s="178"/>
    </row>
    <row r="418" spans="3:4" x14ac:dyDescent="0.2">
      <c r="C418" s="178"/>
      <c r="D418" s="178"/>
    </row>
    <row r="419" spans="3:4" x14ac:dyDescent="0.2">
      <c r="C419" s="178"/>
      <c r="D419" s="178"/>
    </row>
    <row r="420" spans="3:4" x14ac:dyDescent="0.2">
      <c r="C420" s="178"/>
      <c r="D420" s="178"/>
    </row>
    <row r="421" spans="3:4" x14ac:dyDescent="0.2">
      <c r="C421" s="178"/>
      <c r="D421" s="178"/>
    </row>
    <row r="422" spans="3:4" x14ac:dyDescent="0.2">
      <c r="C422" s="178"/>
      <c r="D422" s="178"/>
    </row>
    <row r="423" spans="3:4" x14ac:dyDescent="0.2">
      <c r="C423" s="178"/>
      <c r="D423" s="178"/>
    </row>
    <row r="424" spans="3:4" x14ac:dyDescent="0.2">
      <c r="C424" s="178"/>
      <c r="D424" s="178"/>
    </row>
    <row r="425" spans="3:4" x14ac:dyDescent="0.2">
      <c r="C425" s="178"/>
      <c r="D425" s="178"/>
    </row>
    <row r="426" spans="3:4" x14ac:dyDescent="0.2">
      <c r="C426" s="178"/>
      <c r="D426" s="178"/>
    </row>
    <row r="427" spans="3:4" x14ac:dyDescent="0.2">
      <c r="C427" s="178"/>
      <c r="D427" s="178"/>
    </row>
    <row r="428" spans="3:4" x14ac:dyDescent="0.2">
      <c r="C428" s="178"/>
      <c r="D428" s="178"/>
    </row>
    <row r="429" spans="3:4" x14ac:dyDescent="0.2">
      <c r="C429" s="178"/>
      <c r="D429" s="178"/>
    </row>
    <row r="430" spans="3:4" x14ac:dyDescent="0.2">
      <c r="C430" s="178"/>
      <c r="D430" s="178"/>
    </row>
    <row r="431" spans="3:4" x14ac:dyDescent="0.2">
      <c r="C431" s="178"/>
      <c r="D431" s="178"/>
    </row>
    <row r="432" spans="3:4" x14ac:dyDescent="0.2">
      <c r="C432" s="178"/>
      <c r="D432" s="178"/>
    </row>
    <row r="433" spans="3:4" x14ac:dyDescent="0.2">
      <c r="C433" s="178"/>
      <c r="D433" s="178"/>
    </row>
    <row r="434" spans="3:4" x14ac:dyDescent="0.2">
      <c r="C434" s="178"/>
      <c r="D434" s="178"/>
    </row>
    <row r="435" spans="3:4" x14ac:dyDescent="0.2">
      <c r="C435" s="178"/>
      <c r="D435" s="178"/>
    </row>
    <row r="436" spans="3:4" x14ac:dyDescent="0.2">
      <c r="C436" s="178"/>
      <c r="D436" s="178"/>
    </row>
    <row r="437" spans="3:4" x14ac:dyDescent="0.2">
      <c r="C437" s="178"/>
      <c r="D437" s="178"/>
    </row>
    <row r="438" spans="3:4" x14ac:dyDescent="0.2">
      <c r="C438" s="178"/>
      <c r="D438" s="178"/>
    </row>
    <row r="439" spans="3:4" x14ac:dyDescent="0.2">
      <c r="C439" s="178"/>
      <c r="D439" s="178"/>
    </row>
    <row r="440" spans="3:4" x14ac:dyDescent="0.2">
      <c r="C440" s="178"/>
      <c r="D440" s="178"/>
    </row>
    <row r="441" spans="3:4" x14ac:dyDescent="0.2">
      <c r="C441" s="178"/>
      <c r="D441" s="178"/>
    </row>
    <row r="442" spans="3:4" x14ac:dyDescent="0.2">
      <c r="C442" s="178"/>
      <c r="D442" s="178"/>
    </row>
    <row r="443" spans="3:4" x14ac:dyDescent="0.2">
      <c r="C443" s="178"/>
      <c r="D443" s="178"/>
    </row>
    <row r="444" spans="3:4" x14ac:dyDescent="0.2">
      <c r="C444" s="178"/>
      <c r="D444" s="178"/>
    </row>
    <row r="445" spans="3:4" x14ac:dyDescent="0.2">
      <c r="C445" s="178"/>
      <c r="D445" s="178"/>
    </row>
    <row r="446" spans="3:4" x14ac:dyDescent="0.2">
      <c r="C446" s="178"/>
      <c r="D446" s="178"/>
    </row>
    <row r="447" spans="3:4" x14ac:dyDescent="0.2">
      <c r="C447" s="178"/>
      <c r="D447" s="178"/>
    </row>
    <row r="448" spans="3:4" x14ac:dyDescent="0.2">
      <c r="C448" s="178"/>
      <c r="D448" s="178"/>
    </row>
    <row r="449" spans="3:4" x14ac:dyDescent="0.2">
      <c r="C449" s="178"/>
      <c r="D449" s="178"/>
    </row>
    <row r="450" spans="3:4" x14ac:dyDescent="0.2">
      <c r="C450" s="178"/>
      <c r="D450" s="178"/>
    </row>
    <row r="451" spans="3:4" x14ac:dyDescent="0.2">
      <c r="C451" s="178"/>
      <c r="D451" s="178"/>
    </row>
    <row r="452" spans="3:4" x14ac:dyDescent="0.2">
      <c r="C452" s="178"/>
      <c r="D452" s="178"/>
    </row>
    <row r="453" spans="3:4" x14ac:dyDescent="0.2">
      <c r="C453" s="178"/>
      <c r="D453" s="178"/>
    </row>
    <row r="454" spans="3:4" x14ac:dyDescent="0.2">
      <c r="C454" s="178"/>
      <c r="D454" s="178"/>
    </row>
    <row r="455" spans="3:4" x14ac:dyDescent="0.2">
      <c r="C455" s="178"/>
      <c r="D455" s="178"/>
    </row>
    <row r="456" spans="3:4" x14ac:dyDescent="0.2">
      <c r="C456" s="178"/>
      <c r="D456" s="178"/>
    </row>
    <row r="457" spans="3:4" x14ac:dyDescent="0.2">
      <c r="C457" s="178"/>
      <c r="D457" s="178"/>
    </row>
    <row r="458" spans="3:4" x14ac:dyDescent="0.2">
      <c r="C458" s="178"/>
      <c r="D458" s="178"/>
    </row>
    <row r="459" spans="3:4" x14ac:dyDescent="0.2">
      <c r="C459" s="178"/>
      <c r="D459" s="178"/>
    </row>
    <row r="460" spans="3:4" x14ac:dyDescent="0.2">
      <c r="C460" s="178"/>
      <c r="D460" s="178"/>
    </row>
    <row r="461" spans="3:4" x14ac:dyDescent="0.2">
      <c r="C461" s="178"/>
      <c r="D461" s="178"/>
    </row>
    <row r="462" spans="3:4" x14ac:dyDescent="0.2">
      <c r="C462" s="178"/>
      <c r="D462" s="178"/>
    </row>
    <row r="463" spans="3:4" x14ac:dyDescent="0.2">
      <c r="C463" s="178"/>
      <c r="D463" s="178"/>
    </row>
    <row r="464" spans="3:4" x14ac:dyDescent="0.2">
      <c r="C464" s="178"/>
      <c r="D464" s="178"/>
    </row>
    <row r="465" spans="3:4" x14ac:dyDescent="0.2">
      <c r="C465" s="178"/>
      <c r="D465" s="178"/>
    </row>
    <row r="466" spans="3:4" x14ac:dyDescent="0.2">
      <c r="C466" s="178"/>
      <c r="D466" s="178"/>
    </row>
    <row r="467" spans="3:4" x14ac:dyDescent="0.2">
      <c r="C467" s="178"/>
      <c r="D467" s="178"/>
    </row>
    <row r="468" spans="3:4" x14ac:dyDescent="0.2">
      <c r="C468" s="178"/>
      <c r="D468" s="178"/>
    </row>
    <row r="469" spans="3:4" x14ac:dyDescent="0.2">
      <c r="C469" s="178"/>
      <c r="D469" s="178"/>
    </row>
    <row r="470" spans="3:4" x14ac:dyDescent="0.2">
      <c r="C470" s="178"/>
      <c r="D470" s="178"/>
    </row>
    <row r="471" spans="3:4" x14ac:dyDescent="0.2">
      <c r="C471" s="178"/>
      <c r="D471" s="178"/>
    </row>
    <row r="472" spans="3:4" x14ac:dyDescent="0.2">
      <c r="C472" s="178"/>
      <c r="D472" s="178"/>
    </row>
    <row r="473" spans="3:4" x14ac:dyDescent="0.2">
      <c r="C473" s="178"/>
      <c r="D473" s="178"/>
    </row>
    <row r="474" spans="3:4" x14ac:dyDescent="0.2">
      <c r="C474" s="178"/>
      <c r="D474" s="178"/>
    </row>
    <row r="475" spans="3:4" x14ac:dyDescent="0.2">
      <c r="C475" s="178"/>
      <c r="D475" s="178"/>
    </row>
    <row r="476" spans="3:4" x14ac:dyDescent="0.2">
      <c r="C476" s="178"/>
      <c r="D476" s="178"/>
    </row>
    <row r="477" spans="3:4" x14ac:dyDescent="0.2">
      <c r="C477" s="178"/>
      <c r="D477" s="178"/>
    </row>
    <row r="478" spans="3:4" x14ac:dyDescent="0.2">
      <c r="C478" s="178"/>
      <c r="D478" s="178"/>
    </row>
    <row r="479" spans="3:4" x14ac:dyDescent="0.2">
      <c r="C479" s="178"/>
      <c r="D479" s="178"/>
    </row>
    <row r="480" spans="3:4" x14ac:dyDescent="0.2">
      <c r="C480" s="178"/>
      <c r="D480" s="178"/>
    </row>
    <row r="481" spans="3:4" x14ac:dyDescent="0.2">
      <c r="C481" s="178"/>
      <c r="D481" s="178"/>
    </row>
    <row r="482" spans="3:4" x14ac:dyDescent="0.2">
      <c r="C482" s="178"/>
      <c r="D482" s="178"/>
    </row>
    <row r="483" spans="3:4" x14ac:dyDescent="0.2">
      <c r="C483" s="178"/>
      <c r="D483" s="178"/>
    </row>
    <row r="484" spans="3:4" x14ac:dyDescent="0.2">
      <c r="C484" s="178"/>
      <c r="D484" s="178"/>
    </row>
    <row r="485" spans="3:4" x14ac:dyDescent="0.2">
      <c r="C485" s="178"/>
      <c r="D485" s="178"/>
    </row>
    <row r="486" spans="3:4" x14ac:dyDescent="0.2">
      <c r="C486" s="178"/>
      <c r="D486" s="178"/>
    </row>
    <row r="487" spans="3:4" x14ac:dyDescent="0.2">
      <c r="C487" s="178"/>
      <c r="D487" s="178"/>
    </row>
    <row r="488" spans="3:4" x14ac:dyDescent="0.2">
      <c r="C488" s="178"/>
      <c r="D488" s="178"/>
    </row>
    <row r="489" spans="3:4" x14ac:dyDescent="0.2">
      <c r="C489" s="178"/>
      <c r="D489" s="178"/>
    </row>
    <row r="490" spans="3:4" x14ac:dyDescent="0.2">
      <c r="C490" s="178"/>
      <c r="D490" s="178"/>
    </row>
    <row r="491" spans="3:4" x14ac:dyDescent="0.2">
      <c r="C491" s="178"/>
      <c r="D491" s="178"/>
    </row>
    <row r="492" spans="3:4" x14ac:dyDescent="0.2">
      <c r="C492" s="178"/>
      <c r="D492" s="178"/>
    </row>
    <row r="493" spans="3:4" x14ac:dyDescent="0.2">
      <c r="C493" s="178"/>
      <c r="D493" s="178"/>
    </row>
    <row r="494" spans="3:4" x14ac:dyDescent="0.2">
      <c r="C494" s="178"/>
      <c r="D494" s="178"/>
    </row>
    <row r="495" spans="3:4" x14ac:dyDescent="0.2">
      <c r="C495" s="178"/>
      <c r="D495" s="178"/>
    </row>
    <row r="496" spans="3:4" x14ac:dyDescent="0.2">
      <c r="C496" s="178"/>
      <c r="D496" s="178"/>
    </row>
    <row r="497" spans="3:4" x14ac:dyDescent="0.2">
      <c r="C497" s="178"/>
      <c r="D497" s="178"/>
    </row>
    <row r="498" spans="3:4" x14ac:dyDescent="0.2">
      <c r="C498" s="178"/>
      <c r="D498" s="178"/>
    </row>
    <row r="499" spans="3:4" x14ac:dyDescent="0.2">
      <c r="C499" s="178"/>
      <c r="D499" s="178"/>
    </row>
    <row r="500" spans="3:4" x14ac:dyDescent="0.2">
      <c r="C500" s="178"/>
      <c r="D500" s="178"/>
    </row>
    <row r="501" spans="3:4" x14ac:dyDescent="0.2">
      <c r="C501" s="178"/>
      <c r="D501" s="178"/>
    </row>
    <row r="502" spans="3:4" x14ac:dyDescent="0.2">
      <c r="C502" s="178"/>
      <c r="D502" s="178"/>
    </row>
    <row r="503" spans="3:4" x14ac:dyDescent="0.2">
      <c r="C503" s="178"/>
      <c r="D503" s="178"/>
    </row>
    <row r="504" spans="3:4" x14ac:dyDescent="0.2">
      <c r="C504" s="178"/>
      <c r="D504" s="178"/>
    </row>
    <row r="505" spans="3:4" x14ac:dyDescent="0.2">
      <c r="C505" s="178"/>
      <c r="D505" s="178"/>
    </row>
    <row r="506" spans="3:4" x14ac:dyDescent="0.2">
      <c r="C506" s="178"/>
      <c r="D506" s="178"/>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35B35-C8A2-48BA-AAB4-31AC32581EB8}">
  <sheetPr codeName="Sheet38">
    <tabColor theme="7"/>
  </sheetPr>
  <dimension ref="A1:K41"/>
  <sheetViews>
    <sheetView workbookViewId="0"/>
  </sheetViews>
  <sheetFormatPr defaultRowHeight="12.75" x14ac:dyDescent="0.2"/>
  <cols>
    <col min="1" max="1" width="1" style="34" customWidth="1"/>
    <col min="2" max="2" width="33.28515625" bestFit="1" customWidth="1"/>
    <col min="3" max="4" width="12" customWidth="1"/>
    <col min="5" max="5" width="1" style="34" customWidth="1"/>
  </cols>
  <sheetData>
    <row r="1" spans="1:11" s="5" customFormat="1" ht="5.0999999999999996" customHeight="1" x14ac:dyDescent="0.2">
      <c r="A1" s="46" t="s">
        <v>41</v>
      </c>
      <c r="B1" s="62"/>
      <c r="C1" s="16"/>
      <c r="D1" s="16"/>
      <c r="E1" s="46" t="s">
        <v>41</v>
      </c>
      <c r="I1" s="13"/>
      <c r="J1" s="13"/>
      <c r="K1" s="15"/>
    </row>
    <row r="2" spans="1:11" x14ac:dyDescent="0.2">
      <c r="A2" s="42"/>
      <c r="B2" s="63" t="s">
        <v>92</v>
      </c>
      <c r="C2" s="3"/>
      <c r="D2" s="3"/>
      <c r="E2" s="42"/>
    </row>
    <row r="3" spans="1:11" ht="5.0999999999999996" customHeight="1" thickBot="1" x14ac:dyDescent="0.25">
      <c r="A3" s="46"/>
      <c r="B3" s="62"/>
      <c r="C3" s="16"/>
      <c r="D3" s="16"/>
      <c r="E3" s="46"/>
    </row>
    <row r="4" spans="1:11" ht="13.5" thickBot="1" x14ac:dyDescent="0.25">
      <c r="A4" s="43"/>
      <c r="B4" s="64"/>
      <c r="C4" s="142" t="s">
        <v>136</v>
      </c>
      <c r="D4" s="143" t="s">
        <v>137</v>
      </c>
      <c r="E4" s="43"/>
    </row>
    <row r="5" spans="1:11" ht="5.0999999999999996" customHeight="1" x14ac:dyDescent="0.2">
      <c r="A5" s="43"/>
      <c r="B5" s="62"/>
      <c r="C5" s="16"/>
      <c r="D5" s="16"/>
      <c r="E5" s="43"/>
    </row>
    <row r="6" spans="1:11" x14ac:dyDescent="0.2">
      <c r="A6" s="43"/>
      <c r="B6" s="144" t="s">
        <v>7</v>
      </c>
      <c r="C6" s="145">
        <f>SUMIFS(Assets!$E:$E,Assets!$B:$B,$B6)+SUM('Loyalty Points &amp; Miles'!$H:$H)</f>
        <v>0</v>
      </c>
      <c r="D6" s="146">
        <f ca="1">NTM!N85</f>
        <v>0</v>
      </c>
      <c r="E6" s="43"/>
    </row>
    <row r="7" spans="1:11" x14ac:dyDescent="0.2">
      <c r="A7" s="42"/>
      <c r="B7" s="69" t="s">
        <v>149</v>
      </c>
      <c r="C7" s="105">
        <f>SUM('Loyalty Points &amp; Miles'!$I:$I)</f>
        <v>0</v>
      </c>
      <c r="D7" s="147">
        <f>NTM!N86</f>
        <v>0</v>
      </c>
      <c r="E7" s="42"/>
    </row>
    <row r="8" spans="1:11" ht="5.0999999999999996" customHeight="1" x14ac:dyDescent="0.2">
      <c r="A8" s="42"/>
      <c r="B8" s="69"/>
      <c r="C8" s="96"/>
      <c r="D8" s="106"/>
      <c r="E8" s="42"/>
    </row>
    <row r="9" spans="1:11" x14ac:dyDescent="0.2">
      <c r="A9" s="42"/>
      <c r="B9" s="69" t="s">
        <v>31</v>
      </c>
      <c r="C9" s="105">
        <f>SUMIFS(Assets!$E:$E,Assets!$B:$B,$B9)</f>
        <v>0</v>
      </c>
      <c r="D9" s="147">
        <f ca="1">NTM!N88</f>
        <v>0</v>
      </c>
      <c r="E9" s="42"/>
    </row>
    <row r="10" spans="1:11" x14ac:dyDescent="0.2">
      <c r="A10" s="42"/>
      <c r="B10" s="69" t="s">
        <v>30</v>
      </c>
      <c r="C10" s="105">
        <f>SUMIFS(Assets!$E:$E,Assets!$B:$B,$B10)</f>
        <v>0</v>
      </c>
      <c r="D10" s="147">
        <f ca="1">NTM!N89</f>
        <v>0</v>
      </c>
      <c r="E10" s="42"/>
    </row>
    <row r="11" spans="1:11" ht="5.0999999999999996" customHeight="1" x14ac:dyDescent="0.2">
      <c r="A11" s="42"/>
      <c r="B11" s="69"/>
      <c r="C11" s="96"/>
      <c r="D11" s="106"/>
      <c r="E11" s="42"/>
    </row>
    <row r="12" spans="1:11" x14ac:dyDescent="0.2">
      <c r="A12" s="42"/>
      <c r="B12" s="69" t="s">
        <v>152</v>
      </c>
      <c r="C12" s="105">
        <f>SUMIFS(Assets!$E:$E,Assets!$B:$B,$B12)</f>
        <v>0</v>
      </c>
      <c r="D12" s="147">
        <f>NTM!N91</f>
        <v>0</v>
      </c>
      <c r="E12" s="42"/>
    </row>
    <row r="13" spans="1:11" ht="5.0999999999999996" customHeight="1" x14ac:dyDescent="0.2">
      <c r="A13" s="42"/>
      <c r="B13" s="69"/>
      <c r="C13" s="96"/>
      <c r="D13" s="106"/>
      <c r="E13" s="42"/>
    </row>
    <row r="14" spans="1:11" x14ac:dyDescent="0.2">
      <c r="A14" s="42"/>
      <c r="B14" s="82" t="s">
        <v>100</v>
      </c>
      <c r="C14" s="121">
        <f>SUM(C6:C11)</f>
        <v>0</v>
      </c>
      <c r="D14" s="148">
        <f ca="1">NTM!N93</f>
        <v>0</v>
      </c>
      <c r="E14" s="42"/>
    </row>
    <row r="15" spans="1:11" ht="5.0999999999999996" customHeight="1" x14ac:dyDescent="0.2">
      <c r="A15" s="42"/>
      <c r="B15" s="69"/>
      <c r="C15" s="96"/>
      <c r="D15" s="106"/>
      <c r="E15" s="42"/>
    </row>
    <row r="16" spans="1:11" x14ac:dyDescent="0.2">
      <c r="A16" s="44"/>
      <c r="B16" s="69" t="s">
        <v>6</v>
      </c>
      <c r="C16" s="105">
        <f>SUM(Loans!C:C)</f>
        <v>0</v>
      </c>
      <c r="D16" s="147">
        <f ca="1">NTM!N95</f>
        <v>0</v>
      </c>
      <c r="E16" s="44"/>
    </row>
    <row r="17" spans="1:11" x14ac:dyDescent="0.2">
      <c r="A17" s="44"/>
      <c r="B17" s="69" t="s">
        <v>17</v>
      </c>
      <c r="C17" s="105">
        <f>SUM('Credit Cards'!D:D)</f>
        <v>0</v>
      </c>
      <c r="D17" s="147">
        <f ca="1">NTM!N96</f>
        <v>0</v>
      </c>
      <c r="E17" s="44"/>
    </row>
    <row r="18" spans="1:11" ht="5.0999999999999996" customHeight="1" x14ac:dyDescent="0.2">
      <c r="A18" s="44"/>
      <c r="B18" s="69"/>
      <c r="C18" s="96"/>
      <c r="D18" s="106"/>
      <c r="E18" s="44"/>
    </row>
    <row r="19" spans="1:11" x14ac:dyDescent="0.2">
      <c r="A19" s="42"/>
      <c r="B19" s="82" t="s">
        <v>101</v>
      </c>
      <c r="C19" s="121">
        <f>SUM(C15:C18)</f>
        <v>0</v>
      </c>
      <c r="D19" s="148">
        <f ca="1">NTM!N98</f>
        <v>0</v>
      </c>
      <c r="E19" s="42"/>
    </row>
    <row r="20" spans="1:11" ht="5.0999999999999996" customHeight="1" x14ac:dyDescent="0.2">
      <c r="A20" s="42"/>
      <c r="B20" s="69"/>
      <c r="C20" s="96"/>
      <c r="D20" s="106"/>
      <c r="E20" s="42"/>
    </row>
    <row r="21" spans="1:11" x14ac:dyDescent="0.2">
      <c r="A21" s="42"/>
      <c r="B21" s="83" t="s">
        <v>40</v>
      </c>
      <c r="C21" s="122">
        <f>C14-C19</f>
        <v>0</v>
      </c>
      <c r="D21" s="149">
        <f ca="1">NTM!N100</f>
        <v>0</v>
      </c>
      <c r="E21" s="42"/>
    </row>
    <row r="22" spans="1:11" s="5" customFormat="1" ht="5.0999999999999996" customHeight="1" x14ac:dyDescent="0.2">
      <c r="A22" s="46" t="s">
        <v>41</v>
      </c>
      <c r="B22" s="62"/>
      <c r="C22" s="16"/>
      <c r="D22" s="16"/>
      <c r="E22" s="46" t="s">
        <v>41</v>
      </c>
      <c r="I22" s="13"/>
      <c r="J22" s="13"/>
      <c r="K22" s="15"/>
    </row>
    <row r="23" spans="1:11" x14ac:dyDescent="0.2">
      <c r="A23" s="42"/>
      <c r="B23" s="92" t="s">
        <v>46</v>
      </c>
      <c r="C23" s="93">
        <f>SUMIFS(Assets!$E:$E,Assets!$D:$D,Blanket!$C$3)</f>
        <v>0</v>
      </c>
      <c r="D23" s="209"/>
      <c r="E23" s="42"/>
    </row>
    <row r="24" spans="1:11" x14ac:dyDescent="0.2">
      <c r="A24" s="42"/>
      <c r="B24" s="92" t="s">
        <v>119</v>
      </c>
      <c r="C24" s="93">
        <f>SUMIFS(Assets!$E:$E,Assets!$C:$C,Blanket!C4)-C23</f>
        <v>0</v>
      </c>
      <c r="D24" s="209"/>
      <c r="E24" s="42"/>
    </row>
    <row r="25" spans="1:11" x14ac:dyDescent="0.2">
      <c r="A25" s="42"/>
      <c r="B25" s="92" t="s">
        <v>215</v>
      </c>
      <c r="C25" s="93">
        <f>SUMIFS(Assets!$E:$E,Assets!$B:$B,"Cash")-SUM(C23:C24)</f>
        <v>0</v>
      </c>
      <c r="D25" s="209"/>
      <c r="E25" s="42"/>
    </row>
    <row r="26" spans="1:11" x14ac:dyDescent="0.2">
      <c r="A26" s="42"/>
      <c r="B26" s="92" t="s">
        <v>216</v>
      </c>
      <c r="C26" s="93">
        <f>SUM('Loyalty Points &amp; Miles'!H:H)</f>
        <v>0</v>
      </c>
      <c r="D26" s="209"/>
      <c r="E26" s="42"/>
    </row>
    <row r="27" spans="1:11" x14ac:dyDescent="0.2">
      <c r="A27" s="42"/>
      <c r="B27" s="90" t="s">
        <v>126</v>
      </c>
      <c r="C27" s="91">
        <f>SUM(C23:C26)</f>
        <v>0</v>
      </c>
      <c r="D27" s="209"/>
      <c r="E27" s="42"/>
    </row>
    <row r="28" spans="1:11" s="5" customFormat="1" ht="5.0999999999999996" customHeight="1" x14ac:dyDescent="0.2">
      <c r="A28" s="46" t="s">
        <v>41</v>
      </c>
      <c r="B28" s="62"/>
      <c r="C28" s="16"/>
      <c r="D28" s="16"/>
      <c r="E28" s="46" t="s">
        <v>41</v>
      </c>
      <c r="I28" s="13"/>
      <c r="J28" s="13"/>
      <c r="K28" s="15"/>
    </row>
    <row r="30" spans="1:11" x14ac:dyDescent="0.2">
      <c r="A30"/>
      <c r="B30" s="56" t="s">
        <v>128</v>
      </c>
      <c r="C30" s="57"/>
      <c r="E30"/>
    </row>
    <row r="31" spans="1:11" x14ac:dyDescent="0.2">
      <c r="A31"/>
      <c r="B31" s="92" t="s">
        <v>46</v>
      </c>
      <c r="C31" s="93">
        <f>SUMIFS(NTM!$C$10:$N$10,NTM!$C$103:$N$103,"&lt;="&amp;Blanket!C7)</f>
        <v>0</v>
      </c>
      <c r="E31"/>
    </row>
    <row r="32" spans="1:11" x14ac:dyDescent="0.2">
      <c r="A32"/>
      <c r="B32" s="92" t="s">
        <v>129</v>
      </c>
      <c r="C32" s="93">
        <f>SUMIFS(NTM!$C$10:$N$10,NTM!$C$103:$N$103,"&lt;="&amp;Blanket!C12)-C31</f>
        <v>0</v>
      </c>
      <c r="E32"/>
    </row>
    <row r="33" spans="1:5" x14ac:dyDescent="0.2">
      <c r="A33"/>
      <c r="B33" s="92" t="s">
        <v>103</v>
      </c>
      <c r="C33" s="93">
        <f>SUMIFS(NTM!$C$10:$N$10,NTM!$C$103:$N$103,"&lt;="&amp;Blanket!C13)-SUM(C31:C32)</f>
        <v>0</v>
      </c>
      <c r="E33"/>
    </row>
    <row r="34" spans="1:5" x14ac:dyDescent="0.2">
      <c r="A34"/>
      <c r="E34"/>
    </row>
    <row r="35" spans="1:5" x14ac:dyDescent="0.2">
      <c r="A35"/>
      <c r="B35" s="56" t="s">
        <v>139</v>
      </c>
      <c r="C35" s="57"/>
      <c r="E35"/>
    </row>
    <row r="36" spans="1:5" x14ac:dyDescent="0.2">
      <c r="A36"/>
      <c r="B36" s="94" t="s">
        <v>120</v>
      </c>
      <c r="C36" s="93"/>
      <c r="E36"/>
    </row>
    <row r="37" spans="1:5" x14ac:dyDescent="0.2">
      <c r="A37"/>
      <c r="B37" s="92" t="s">
        <v>45</v>
      </c>
      <c r="C37" s="93">
        <f>'Balances &amp; Actions'!C31-'Balances &amp; Actions'!C23</f>
        <v>0</v>
      </c>
      <c r="E37"/>
    </row>
    <row r="38" spans="1:5" x14ac:dyDescent="0.2">
      <c r="A38"/>
      <c r="B38" s="92" t="s">
        <v>113</v>
      </c>
      <c r="C38" s="93">
        <f>'Balances &amp; Actions'!C32-'Balances &amp; Actions'!C24</f>
        <v>0</v>
      </c>
      <c r="E38"/>
    </row>
    <row r="39" spans="1:5" x14ac:dyDescent="0.2">
      <c r="A39"/>
      <c r="B39" s="90" t="s">
        <v>163</v>
      </c>
      <c r="C39" s="91">
        <f>SUM(C37:C38)</f>
        <v>0</v>
      </c>
      <c r="E39"/>
    </row>
    <row r="40" spans="1:5" x14ac:dyDescent="0.2">
      <c r="A40"/>
      <c r="B40" s="92" t="s">
        <v>116</v>
      </c>
      <c r="C40" s="93">
        <f>'Balances &amp; Actions'!C33-'Balances &amp; Actions'!C25</f>
        <v>0</v>
      </c>
      <c r="E40"/>
    </row>
    <row r="41" spans="1:5" x14ac:dyDescent="0.2">
      <c r="A41"/>
      <c r="E4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ECC09-E2AF-4A4B-B44D-850F09D7B74B}">
  <sheetPr codeName="Sheet11">
    <tabColor theme="7"/>
  </sheetPr>
  <dimension ref="A1:AC18"/>
  <sheetViews>
    <sheetView workbookViewId="0"/>
  </sheetViews>
  <sheetFormatPr defaultRowHeight="12.75" x14ac:dyDescent="0.2"/>
  <cols>
    <col min="1" max="1" width="4" customWidth="1"/>
    <col min="2" max="13" width="10.28515625" customWidth="1"/>
  </cols>
  <sheetData>
    <row r="1" spans="1:29" ht="13.5" thickBot="1" x14ac:dyDescent="0.25"/>
    <row r="2" spans="1:29" s="5" customFormat="1" ht="13.5" thickBot="1" x14ac:dyDescent="0.25">
      <c r="A2" s="218"/>
      <c r="B2" s="142">
        <f ca="1">NTM!C4</f>
        <v>45745</v>
      </c>
      <c r="C2" s="7">
        <f ca="1">NTM!D4</f>
        <v>45748</v>
      </c>
      <c r="D2" s="7">
        <f ca="1">NTM!E4</f>
        <v>45778</v>
      </c>
      <c r="E2" s="7">
        <f ca="1">NTM!F4</f>
        <v>45809</v>
      </c>
      <c r="F2" s="7">
        <f ca="1">NTM!G4</f>
        <v>45839</v>
      </c>
      <c r="G2" s="7">
        <f ca="1">NTM!H4</f>
        <v>45870</v>
      </c>
      <c r="H2" s="7">
        <f ca="1">NTM!I4</f>
        <v>45901</v>
      </c>
      <c r="I2" s="7">
        <f ca="1">NTM!J4</f>
        <v>45931</v>
      </c>
      <c r="J2" s="7">
        <f ca="1">NTM!K4</f>
        <v>45962</v>
      </c>
      <c r="K2" s="7">
        <f ca="1">NTM!L4</f>
        <v>45992</v>
      </c>
      <c r="L2" s="7">
        <f ca="1">NTM!M4</f>
        <v>46023</v>
      </c>
      <c r="M2" s="143">
        <f ca="1">NTM!N4</f>
        <v>46054</v>
      </c>
      <c r="N2" s="218"/>
      <c r="O2" s="34"/>
      <c r="P2" s="162"/>
      <c r="R2" s="8"/>
      <c r="S2" s="9"/>
      <c r="T2" s="10"/>
      <c r="U2" s="11"/>
      <c r="AA2" s="12"/>
      <c r="AB2" s="12"/>
      <c r="AC2" s="12"/>
    </row>
    <row r="4" spans="1:29" x14ac:dyDescent="0.2">
      <c r="B4" s="65" t="s">
        <v>99</v>
      </c>
      <c r="C4" s="65"/>
      <c r="D4" s="65"/>
      <c r="E4" s="65"/>
      <c r="F4" s="65"/>
      <c r="G4" s="65"/>
      <c r="H4" s="65"/>
      <c r="I4" s="65"/>
      <c r="J4" s="65"/>
      <c r="K4" s="65"/>
      <c r="L4" s="65"/>
      <c r="M4" s="65"/>
    </row>
    <row r="11" spans="1:29" x14ac:dyDescent="0.2">
      <c r="B11" s="217" t="s">
        <v>172</v>
      </c>
      <c r="C11" s="217"/>
      <c r="D11" s="217"/>
      <c r="E11" s="217"/>
      <c r="F11" s="217"/>
      <c r="G11" s="217"/>
      <c r="H11" s="217"/>
      <c r="I11" s="217"/>
      <c r="J11" s="217"/>
      <c r="K11" s="217"/>
      <c r="L11" s="217"/>
      <c r="M11" s="217"/>
    </row>
    <row r="18" spans="2:13" x14ac:dyDescent="0.2">
      <c r="B18" s="219" t="s">
        <v>217</v>
      </c>
      <c r="C18" s="219"/>
      <c r="D18" s="219"/>
      <c r="E18" s="219"/>
      <c r="F18" s="219"/>
      <c r="G18" s="219"/>
      <c r="H18" s="219"/>
      <c r="I18" s="219"/>
      <c r="J18" s="219"/>
      <c r="K18" s="219"/>
      <c r="L18" s="219"/>
      <c r="M18" s="21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8F64-B0F0-4F44-809F-E08F8C2497AC}">
  <sheetPr codeName="Sheet34">
    <tabColor theme="7"/>
  </sheetPr>
  <dimension ref="B2:J79"/>
  <sheetViews>
    <sheetView workbookViewId="0">
      <selection activeCell="F21" sqref="F21"/>
    </sheetView>
  </sheetViews>
  <sheetFormatPr defaultColWidth="8" defaultRowHeight="12.75" x14ac:dyDescent="0.2"/>
  <cols>
    <col min="1" max="1" width="3.5703125" style="132" customWidth="1"/>
    <col min="2" max="2" width="9.7109375" style="132" bestFit="1" customWidth="1"/>
    <col min="3" max="3" width="10.140625" style="139" bestFit="1" customWidth="1"/>
    <col min="4" max="9" width="16.5703125" style="140" customWidth="1"/>
    <col min="10" max="10" width="3" style="132" customWidth="1"/>
    <col min="11" max="16384" width="8" style="132"/>
  </cols>
  <sheetData>
    <row r="2" spans="2:10" s="129" customFormat="1" ht="30" x14ac:dyDescent="0.35">
      <c r="C2" s="130" t="s">
        <v>127</v>
      </c>
      <c r="D2" s="131" t="s">
        <v>7</v>
      </c>
      <c r="E2" s="131" t="s">
        <v>131</v>
      </c>
      <c r="F2" s="131" t="s">
        <v>132</v>
      </c>
      <c r="G2" s="131" t="s">
        <v>133</v>
      </c>
      <c r="H2" s="131" t="s">
        <v>134</v>
      </c>
      <c r="I2" s="131" t="s">
        <v>135</v>
      </c>
      <c r="J2" s="132"/>
    </row>
    <row r="3" spans="2:10" s="129" customFormat="1" x14ac:dyDescent="0.2">
      <c r="C3" s="133"/>
      <c r="D3" s="134"/>
      <c r="E3" s="134"/>
      <c r="F3" s="134"/>
      <c r="G3" s="134"/>
      <c r="H3" s="134"/>
      <c r="I3" s="134"/>
      <c r="J3" s="132"/>
    </row>
    <row r="4" spans="2:10" x14ac:dyDescent="0.2">
      <c r="B4" s="135" t="s">
        <v>130</v>
      </c>
      <c r="C4" s="136">
        <f ca="1">TODAY()</f>
        <v>45745</v>
      </c>
      <c r="D4" s="137">
        <f>'Balances &amp; Actions'!$C$6</f>
        <v>0</v>
      </c>
      <c r="E4" s="137">
        <f>SUM('Balances &amp; Actions'!C9:C10)</f>
        <v>0</v>
      </c>
      <c r="F4" s="137">
        <f>SUM(D4:E4)</f>
        <v>0</v>
      </c>
      <c r="G4" s="137">
        <f>'Balances &amp; Actions'!$C$21</f>
        <v>0</v>
      </c>
      <c r="H4" s="137">
        <f ca="1">NTM!$P$15</f>
        <v>0</v>
      </c>
      <c r="I4" s="138">
        <f ca="1">NTM!$N$93</f>
        <v>0</v>
      </c>
    </row>
    <row r="6" spans="2:10" x14ac:dyDescent="0.2">
      <c r="B6"/>
      <c r="C6" s="139">
        <v>45745</v>
      </c>
      <c r="D6" s="140">
        <v>39360</v>
      </c>
      <c r="E6" s="140">
        <v>132000</v>
      </c>
      <c r="F6" s="140">
        <v>171360</v>
      </c>
      <c r="G6" s="140">
        <v>144580</v>
      </c>
      <c r="H6" s="140">
        <v>33350.277624055787</v>
      </c>
      <c r="I6" s="140">
        <v>193624.2776240558</v>
      </c>
    </row>
    <row r="7" spans="2:10" x14ac:dyDescent="0.2">
      <c r="B7"/>
    </row>
    <row r="8" spans="2:10" x14ac:dyDescent="0.2">
      <c r="B8"/>
    </row>
    <row r="9" spans="2:10" x14ac:dyDescent="0.2">
      <c r="B9"/>
    </row>
    <row r="10" spans="2:10" x14ac:dyDescent="0.2">
      <c r="B10"/>
    </row>
    <row r="11" spans="2:10" x14ac:dyDescent="0.2">
      <c r="B11"/>
    </row>
    <row r="12" spans="2:10" x14ac:dyDescent="0.2">
      <c r="B12"/>
    </row>
    <row r="13" spans="2:10" x14ac:dyDescent="0.2">
      <c r="B13"/>
    </row>
    <row r="14" spans="2:10" x14ac:dyDescent="0.2">
      <c r="B14"/>
    </row>
    <row r="15" spans="2:10" x14ac:dyDescent="0.2">
      <c r="B15"/>
    </row>
    <row r="16" spans="2:10"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s="141"/>
    </row>
    <row r="23" spans="2:2" x14ac:dyDescent="0.2">
      <c r="B23" s="141"/>
    </row>
    <row r="24" spans="2:2" x14ac:dyDescent="0.2">
      <c r="B24" s="141"/>
    </row>
    <row r="25" spans="2:2" x14ac:dyDescent="0.2">
      <c r="B25" s="141"/>
    </row>
    <row r="26" spans="2:2" x14ac:dyDescent="0.2">
      <c r="B26" s="141"/>
    </row>
    <row r="27" spans="2:2" x14ac:dyDescent="0.2">
      <c r="B27" s="141"/>
    </row>
    <row r="28" spans="2:2" x14ac:dyDescent="0.2">
      <c r="B28" s="141"/>
    </row>
    <row r="29" spans="2:2" x14ac:dyDescent="0.2">
      <c r="B29" s="141"/>
    </row>
    <row r="30" spans="2:2" x14ac:dyDescent="0.2">
      <c r="B30" s="141"/>
    </row>
    <row r="31" spans="2:2" x14ac:dyDescent="0.2">
      <c r="B31" s="141"/>
    </row>
    <row r="32" spans="2:2" x14ac:dyDescent="0.2">
      <c r="B32" s="141"/>
    </row>
    <row r="33" spans="2:2" x14ac:dyDescent="0.2">
      <c r="B33" s="141"/>
    </row>
    <row r="34" spans="2:2" x14ac:dyDescent="0.2">
      <c r="B34" s="141"/>
    </row>
    <row r="35" spans="2:2" x14ac:dyDescent="0.2">
      <c r="B35" s="141"/>
    </row>
    <row r="36" spans="2:2" x14ac:dyDescent="0.2">
      <c r="B36" s="141"/>
    </row>
    <row r="37" spans="2:2" x14ac:dyDescent="0.2">
      <c r="B37" s="141"/>
    </row>
    <row r="38" spans="2:2" x14ac:dyDescent="0.2">
      <c r="B38" s="141"/>
    </row>
    <row r="39" spans="2:2" x14ac:dyDescent="0.2">
      <c r="B39" s="141"/>
    </row>
    <row r="40" spans="2:2" x14ac:dyDescent="0.2">
      <c r="B40" s="141"/>
    </row>
    <row r="41" spans="2:2" x14ac:dyDescent="0.2">
      <c r="B41" s="141"/>
    </row>
    <row r="42" spans="2:2" x14ac:dyDescent="0.2">
      <c r="B42" s="141"/>
    </row>
    <row r="43" spans="2:2" x14ac:dyDescent="0.2">
      <c r="B43" s="141"/>
    </row>
    <row r="44" spans="2:2" x14ac:dyDescent="0.2">
      <c r="B44" s="141"/>
    </row>
    <row r="46" spans="2:2" x14ac:dyDescent="0.2">
      <c r="B46" s="141"/>
    </row>
    <row r="47" spans="2:2" x14ac:dyDescent="0.2">
      <c r="B47" s="141"/>
    </row>
    <row r="48" spans="2:2" x14ac:dyDescent="0.2">
      <c r="B48" s="141"/>
    </row>
    <row r="49" spans="2:2" x14ac:dyDescent="0.2">
      <c r="B49" s="141"/>
    </row>
    <row r="50" spans="2:2" x14ac:dyDescent="0.2">
      <c r="B50" s="141"/>
    </row>
    <row r="51" spans="2:2" x14ac:dyDescent="0.2">
      <c r="B51" s="141"/>
    </row>
    <row r="52" spans="2:2" x14ac:dyDescent="0.2">
      <c r="B52" s="141"/>
    </row>
    <row r="53" spans="2:2" x14ac:dyDescent="0.2">
      <c r="B53" s="141"/>
    </row>
    <row r="54" spans="2:2" x14ac:dyDescent="0.2">
      <c r="B54" s="141"/>
    </row>
    <row r="55" spans="2:2" x14ac:dyDescent="0.2">
      <c r="B55" s="141"/>
    </row>
    <row r="56" spans="2:2" x14ac:dyDescent="0.2">
      <c r="B56" s="141"/>
    </row>
    <row r="57" spans="2:2" x14ac:dyDescent="0.2">
      <c r="B57" s="141"/>
    </row>
    <row r="58" spans="2:2" x14ac:dyDescent="0.2">
      <c r="B58" s="141"/>
    </row>
    <row r="59" spans="2:2" x14ac:dyDescent="0.2">
      <c r="B59" s="141"/>
    </row>
    <row r="60" spans="2:2" x14ac:dyDescent="0.2">
      <c r="B60" s="141"/>
    </row>
    <row r="61" spans="2:2" x14ac:dyDescent="0.2">
      <c r="B61" s="141"/>
    </row>
    <row r="62" spans="2:2" x14ac:dyDescent="0.2">
      <c r="B62" s="141"/>
    </row>
    <row r="63" spans="2:2" x14ac:dyDescent="0.2">
      <c r="B63" s="141"/>
    </row>
    <row r="64" spans="2:2" x14ac:dyDescent="0.2">
      <c r="B64" s="141"/>
    </row>
    <row r="65" spans="2:2" x14ac:dyDescent="0.2">
      <c r="B65" s="141"/>
    </row>
    <row r="66" spans="2:2" x14ac:dyDescent="0.2">
      <c r="B66" s="141"/>
    </row>
    <row r="67" spans="2:2" x14ac:dyDescent="0.2">
      <c r="B67" s="141"/>
    </row>
    <row r="68" spans="2:2" x14ac:dyDescent="0.2">
      <c r="B68" s="141"/>
    </row>
    <row r="69" spans="2:2" x14ac:dyDescent="0.2">
      <c r="B69" s="141"/>
    </row>
    <row r="70" spans="2:2" x14ac:dyDescent="0.2">
      <c r="B70" s="141"/>
    </row>
    <row r="71" spans="2:2" x14ac:dyDescent="0.2">
      <c r="B71" s="141"/>
    </row>
    <row r="72" spans="2:2" x14ac:dyDescent="0.2">
      <c r="B72" s="141"/>
    </row>
    <row r="73" spans="2:2" x14ac:dyDescent="0.2">
      <c r="B73" s="141"/>
    </row>
    <row r="74" spans="2:2" x14ac:dyDescent="0.2">
      <c r="B74" s="141"/>
    </row>
    <row r="75" spans="2:2" x14ac:dyDescent="0.2">
      <c r="B75" s="141"/>
    </row>
    <row r="76" spans="2:2" x14ac:dyDescent="0.2">
      <c r="B76" s="141"/>
    </row>
    <row r="77" spans="2:2" x14ac:dyDescent="0.2">
      <c r="B77" s="141"/>
    </row>
    <row r="78" spans="2:2" x14ac:dyDescent="0.2">
      <c r="B78" s="141"/>
    </row>
    <row r="79" spans="2:2" x14ac:dyDescent="0.2">
      <c r="B79" s="141"/>
    </row>
  </sheetData>
  <conditionalFormatting sqref="D5:D84">
    <cfRule type="colorScale" priority="22">
      <colorScale>
        <cfvo type="min"/>
        <cfvo type="percentile" val="50"/>
        <cfvo type="max"/>
        <color rgb="FFFDCFD0"/>
        <color rgb="FFFFF7CD"/>
        <color rgb="FFDCF0E1"/>
      </colorScale>
    </cfRule>
  </conditionalFormatting>
  <conditionalFormatting sqref="E5:E84">
    <cfRule type="colorScale" priority="24">
      <colorScale>
        <cfvo type="min"/>
        <cfvo type="percentile" val="50"/>
        <cfvo type="max"/>
        <color rgb="FFFDCFD0"/>
        <color rgb="FFFFF7CD"/>
        <color rgb="FFDCF0E1"/>
      </colorScale>
    </cfRule>
  </conditionalFormatting>
  <conditionalFormatting sqref="F5:F84">
    <cfRule type="colorScale" priority="26">
      <colorScale>
        <cfvo type="min"/>
        <cfvo type="percentile" val="50"/>
        <cfvo type="max"/>
        <color rgb="FFFDCFD0"/>
        <color rgb="FFFFF7CD"/>
        <color rgb="FFDCF0E1"/>
      </colorScale>
    </cfRule>
  </conditionalFormatting>
  <conditionalFormatting sqref="G5:G84">
    <cfRule type="colorScale" priority="28">
      <colorScale>
        <cfvo type="min"/>
        <cfvo type="percentile" val="50"/>
        <cfvo type="max"/>
        <color rgb="FFFDCFD0"/>
        <color rgb="FFFFF7CD"/>
        <color rgb="FFDCF0E1"/>
      </colorScale>
    </cfRule>
  </conditionalFormatting>
  <conditionalFormatting sqref="H5:H84">
    <cfRule type="colorScale" priority="30">
      <colorScale>
        <cfvo type="min"/>
        <cfvo type="percentile" val="50"/>
        <cfvo type="max"/>
        <color rgb="FFFDCFD0"/>
        <color rgb="FFFFF7CD"/>
        <color rgb="FFDCF0E1"/>
      </colorScale>
    </cfRule>
  </conditionalFormatting>
  <conditionalFormatting sqref="I5:I84">
    <cfRule type="colorScale" priority="34">
      <colorScale>
        <cfvo type="min"/>
        <cfvo type="percentile" val="50"/>
        <cfvo type="max"/>
        <color rgb="FFFDCFD0"/>
        <color rgb="FFFFF7CD"/>
        <color rgb="FFDCF0E1"/>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rchive">
                <anchor moveWithCells="1">
                  <from>
                    <xdr:col>0</xdr:col>
                    <xdr:colOff>104775</xdr:colOff>
                    <xdr:row>1</xdr:row>
                    <xdr:rowOff>57150</xdr:rowOff>
                  </from>
                  <to>
                    <xdr:col>1</xdr:col>
                    <xdr:colOff>581025</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heetViews>
  <sheetFormatPr defaultRowHeight="12.75" x14ac:dyDescent="0.2"/>
  <cols>
    <col min="1" max="16384" width="9.140625" style="27"/>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5454-6767-4ABA-99C6-F62C66F166FD}">
  <sheetPr codeName="Sheet12">
    <tabColor rgb="FF0000FF"/>
  </sheetPr>
  <dimension ref="B1:E21"/>
  <sheetViews>
    <sheetView tabSelected="1" workbookViewId="0">
      <selection activeCell="D5" sqref="D5"/>
    </sheetView>
  </sheetViews>
  <sheetFormatPr defaultRowHeight="12.75" x14ac:dyDescent="0.2"/>
  <cols>
    <col min="1" max="1" width="2.140625" customWidth="1"/>
    <col min="2" max="2" width="14" bestFit="1" customWidth="1"/>
    <col min="3" max="3" width="20.42578125" bestFit="1" customWidth="1"/>
    <col min="4" max="4" width="24" bestFit="1" customWidth="1"/>
    <col min="5" max="5" width="17.28515625" style="2" bestFit="1" customWidth="1"/>
  </cols>
  <sheetData>
    <row r="1" spans="2:5" x14ac:dyDescent="0.2">
      <c r="B1" s="87" t="s">
        <v>107</v>
      </c>
      <c r="C1" s="87" t="s">
        <v>107</v>
      </c>
      <c r="D1" s="87" t="s">
        <v>107</v>
      </c>
      <c r="E1" s="29" t="s">
        <v>108</v>
      </c>
    </row>
    <row r="3" spans="2:5" s="23" customFormat="1" ht="15" x14ac:dyDescent="0.35">
      <c r="B3" s="23" t="s">
        <v>21</v>
      </c>
      <c r="C3" s="23" t="s">
        <v>117</v>
      </c>
      <c r="D3" s="23" t="s">
        <v>3</v>
      </c>
      <c r="E3" s="26" t="s">
        <v>4</v>
      </c>
    </row>
    <row r="4" spans="2:5" x14ac:dyDescent="0.2">
      <c r="B4" s="28"/>
      <c r="C4" s="28"/>
      <c r="D4" s="28"/>
    </row>
    <row r="5" spans="2:5" x14ac:dyDescent="0.2">
      <c r="B5" s="28"/>
      <c r="C5" s="28"/>
      <c r="D5" s="123"/>
    </row>
    <row r="6" spans="2:5" x14ac:dyDescent="0.2">
      <c r="B6" s="28"/>
      <c r="C6" s="28"/>
      <c r="D6" s="123"/>
    </row>
    <row r="7" spans="2:5" x14ac:dyDescent="0.2">
      <c r="B7" s="28"/>
      <c r="C7" s="28"/>
      <c r="D7" s="123"/>
    </row>
    <row r="8" spans="2:5" x14ac:dyDescent="0.2">
      <c r="B8" s="28"/>
      <c r="C8" s="28"/>
      <c r="E8" s="195"/>
    </row>
    <row r="9" spans="2:5" x14ac:dyDescent="0.2">
      <c r="B9" s="28"/>
      <c r="E9" s="195"/>
    </row>
    <row r="10" spans="2:5" x14ac:dyDescent="0.2">
      <c r="B10" s="28"/>
      <c r="C10" s="28"/>
      <c r="D10" s="232"/>
    </row>
    <row r="11" spans="2:5" x14ac:dyDescent="0.2">
      <c r="B11" s="28"/>
      <c r="C11" s="28"/>
      <c r="D11" s="232"/>
    </row>
    <row r="12" spans="2:5" x14ac:dyDescent="0.2">
      <c r="B12" s="28"/>
      <c r="C12" s="28"/>
      <c r="D12" s="232"/>
    </row>
    <row r="13" spans="2:5" x14ac:dyDescent="0.2">
      <c r="B13" s="28"/>
      <c r="C13" s="28"/>
      <c r="D13" s="232"/>
    </row>
    <row r="14" spans="2:5" x14ac:dyDescent="0.2">
      <c r="B14" s="28"/>
      <c r="C14" s="28"/>
      <c r="D14" s="232"/>
    </row>
    <row r="15" spans="2:5" x14ac:dyDescent="0.2">
      <c r="B15" s="28"/>
      <c r="C15" s="28"/>
      <c r="D15" s="232"/>
    </row>
    <row r="16" spans="2:5" x14ac:dyDescent="0.2">
      <c r="B16" s="28"/>
      <c r="C16" s="28"/>
      <c r="D16" s="232"/>
    </row>
    <row r="17" spans="2:4" x14ac:dyDescent="0.2">
      <c r="B17" s="28"/>
      <c r="C17" s="28"/>
      <c r="D17" s="232"/>
    </row>
    <row r="18" spans="2:4" x14ac:dyDescent="0.2">
      <c r="B18" s="28"/>
      <c r="C18" s="28"/>
      <c r="D18" s="232"/>
    </row>
    <row r="19" spans="2:4" x14ac:dyDescent="0.2">
      <c r="B19" s="28"/>
      <c r="C19" s="28"/>
      <c r="D19" s="232"/>
    </row>
    <row r="20" spans="2:4" x14ac:dyDescent="0.2">
      <c r="B20" s="28"/>
      <c r="C20" s="28"/>
      <c r="D20" s="232"/>
    </row>
    <row r="21" spans="2:4" x14ac:dyDescent="0.2">
      <c r="B21" s="28"/>
      <c r="C21" s="28"/>
      <c r="D21" s="28"/>
    </row>
  </sheetData>
  <autoFilter ref="B3:E15" xr:uid="{22E25454-6767-4ABA-99C6-F62C66F166FD}"/>
  <sortState xmlns:xlrd2="http://schemas.microsoft.com/office/spreadsheetml/2017/richdata2" ref="B8:E21">
    <sortCondition descending="1" ref="C3:C21"/>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5B49D0-1C7B-4F05-807E-8C3545264DCA}">
          <x14:formula1>
            <xm:f>'Data Validation'!$A$2:$A$99</xm:f>
          </x14:formula1>
          <xm:sqref>B4:B99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7E42D-8A38-44D8-B035-BDB07D6DC655}">
  <sheetPr codeName="Sheet13">
    <tabColor rgb="FF0000FF"/>
  </sheetPr>
  <dimension ref="B1:K24"/>
  <sheetViews>
    <sheetView workbookViewId="0">
      <selection activeCell="F4" sqref="B4:F8"/>
    </sheetView>
  </sheetViews>
  <sheetFormatPr defaultRowHeight="12.75" x14ac:dyDescent="0.2"/>
  <cols>
    <col min="1" max="1" width="1.85546875" customWidth="1"/>
    <col min="2" max="2" width="42.7109375" bestFit="1" customWidth="1"/>
    <col min="3" max="3" width="15.42578125" style="1" customWidth="1"/>
    <col min="4" max="5" width="15.42578125" style="2" customWidth="1"/>
    <col min="6" max="6" width="20.5703125" style="2" bestFit="1" customWidth="1"/>
    <col min="7" max="7" width="2.140625" style="2" customWidth="1"/>
    <col min="8" max="8" width="16.85546875" style="2" customWidth="1"/>
    <col min="9" max="9" width="16.7109375" style="31" bestFit="1" customWidth="1"/>
    <col min="10" max="10" width="15.42578125" style="31" customWidth="1"/>
    <col min="11" max="11" width="10.28515625" style="37" bestFit="1" customWidth="1"/>
  </cols>
  <sheetData>
    <row r="1" spans="2:11" x14ac:dyDescent="0.2">
      <c r="B1" s="87" t="s">
        <v>107</v>
      </c>
      <c r="C1" s="87" t="s">
        <v>107</v>
      </c>
      <c r="D1" s="29" t="s">
        <v>108</v>
      </c>
      <c r="E1" s="29" t="s">
        <v>108</v>
      </c>
      <c r="F1" s="29" t="s">
        <v>108</v>
      </c>
      <c r="H1" s="86" t="s">
        <v>96</v>
      </c>
      <c r="I1" s="86" t="s">
        <v>96</v>
      </c>
      <c r="J1" s="86" t="s">
        <v>96</v>
      </c>
    </row>
    <row r="2" spans="2:11" x14ac:dyDescent="0.2">
      <c r="B2" s="28"/>
    </row>
    <row r="3" spans="2:11" s="23" customFormat="1" ht="15" x14ac:dyDescent="0.35">
      <c r="B3" s="23" t="s">
        <v>3</v>
      </c>
      <c r="C3" s="24" t="s">
        <v>36</v>
      </c>
      <c r="D3" s="26" t="s">
        <v>4</v>
      </c>
      <c r="E3" s="26" t="s">
        <v>5</v>
      </c>
      <c r="F3" s="26" t="s">
        <v>191</v>
      </c>
      <c r="G3" s="26"/>
      <c r="H3" s="26" t="s">
        <v>189</v>
      </c>
      <c r="I3" s="36" t="s">
        <v>190</v>
      </c>
      <c r="J3" s="36" t="s">
        <v>192</v>
      </c>
      <c r="K3" s="37"/>
    </row>
    <row r="4" spans="2:11" x14ac:dyDescent="0.2">
      <c r="C4" s="41"/>
      <c r="H4" s="2" cm="1">
        <f t="array" ref="H4:H24">D4:D24-F4:F24</f>
        <v>0</v>
      </c>
      <c r="I4" s="37" cm="1">
        <f t="array" aca="1" ref="I4:I24" ca="1">IF(DATE(YEAR(TODAY()),MONTH(TODAY()),C4:C24)&gt;=TODAY(),DATE(YEAR(TODAY()),MONTH(TODAY()),C4:C24),DATE(YEAR(EOMONTH(TODAY(),1)),MONTH(EOMONTH(TODAY(),1)),C4:C24))</f>
        <v>45747</v>
      </c>
      <c r="J4" s="37" cm="1">
        <f t="array" aca="1" ref="J4:J24" ca="1">EDATE(INDEX(I4:I24,_xlfn.SEQUENCE(COUNTA(I4:I24))),1)</f>
        <v>45777</v>
      </c>
    </row>
    <row r="5" spans="2:11" x14ac:dyDescent="0.2">
      <c r="C5" s="41"/>
      <c r="H5" s="2">
        <v>0</v>
      </c>
      <c r="I5" s="37">
        <f ca="1"/>
        <v>45747</v>
      </c>
      <c r="J5" s="37">
        <f ca="1"/>
        <v>45777</v>
      </c>
    </row>
    <row r="6" spans="2:11" x14ac:dyDescent="0.2">
      <c r="C6" s="41"/>
      <c r="H6" s="2">
        <v>0</v>
      </c>
      <c r="I6" s="37">
        <f ca="1"/>
        <v>45747</v>
      </c>
      <c r="J6" s="37">
        <f ca="1"/>
        <v>45777</v>
      </c>
    </row>
    <row r="7" spans="2:11" x14ac:dyDescent="0.2">
      <c r="B7" s="28"/>
      <c r="C7" s="41"/>
      <c r="H7" s="2">
        <v>0</v>
      </c>
      <c r="I7" s="37">
        <f ca="1"/>
        <v>45747</v>
      </c>
      <c r="J7" s="37">
        <f ca="1"/>
        <v>45777</v>
      </c>
    </row>
    <row r="8" spans="2:11" x14ac:dyDescent="0.2">
      <c r="C8" s="41"/>
      <c r="H8" s="2">
        <v>0</v>
      </c>
      <c r="I8" s="37">
        <f ca="1"/>
        <v>45747</v>
      </c>
      <c r="J8" s="37">
        <f ca="1"/>
        <v>45777</v>
      </c>
    </row>
    <row r="9" spans="2:11" x14ac:dyDescent="0.2">
      <c r="H9" s="2">
        <v>0</v>
      </c>
      <c r="I9" s="31">
        <f ca="1"/>
        <v>45747</v>
      </c>
      <c r="J9" s="31">
        <f ca="1"/>
        <v>45777</v>
      </c>
    </row>
    <row r="10" spans="2:11" x14ac:dyDescent="0.2">
      <c r="H10" s="2">
        <v>0</v>
      </c>
      <c r="I10" s="31">
        <f ca="1"/>
        <v>45747</v>
      </c>
      <c r="J10" s="31">
        <f ca="1"/>
        <v>45777</v>
      </c>
    </row>
    <row r="11" spans="2:11" x14ac:dyDescent="0.2">
      <c r="H11" s="2">
        <v>0</v>
      </c>
      <c r="I11" s="31">
        <f ca="1"/>
        <v>45747</v>
      </c>
      <c r="J11" s="31">
        <f ca="1"/>
        <v>45777</v>
      </c>
    </row>
    <row r="12" spans="2:11" x14ac:dyDescent="0.2">
      <c r="H12" s="2">
        <v>0</v>
      </c>
      <c r="I12" s="31">
        <f ca="1"/>
        <v>45747</v>
      </c>
      <c r="J12" s="31">
        <f ca="1"/>
        <v>45777</v>
      </c>
    </row>
    <row r="13" spans="2:11" x14ac:dyDescent="0.2">
      <c r="H13" s="2">
        <v>0</v>
      </c>
      <c r="I13" s="31">
        <f ca="1"/>
        <v>45747</v>
      </c>
      <c r="J13" s="31">
        <f ca="1"/>
        <v>45777</v>
      </c>
    </row>
    <row r="14" spans="2:11" x14ac:dyDescent="0.2">
      <c r="H14" s="2">
        <v>0</v>
      </c>
      <c r="I14" s="31">
        <f ca="1"/>
        <v>45747</v>
      </c>
      <c r="J14" s="31">
        <f ca="1"/>
        <v>45777</v>
      </c>
    </row>
    <row r="15" spans="2:11" x14ac:dyDescent="0.2">
      <c r="H15" s="2">
        <v>0</v>
      </c>
      <c r="I15" s="31">
        <f ca="1"/>
        <v>45747</v>
      </c>
      <c r="J15" s="31">
        <f ca="1"/>
        <v>45777</v>
      </c>
    </row>
    <row r="16" spans="2:11" x14ac:dyDescent="0.2">
      <c r="H16" s="2">
        <v>0</v>
      </c>
      <c r="I16" s="31">
        <f ca="1"/>
        <v>45747</v>
      </c>
      <c r="J16" s="31">
        <f ca="1"/>
        <v>45777</v>
      </c>
    </row>
    <row r="17" spans="8:10" x14ac:dyDescent="0.2">
      <c r="H17" s="2">
        <v>0</v>
      </c>
      <c r="I17" s="31">
        <f ca="1"/>
        <v>45747</v>
      </c>
      <c r="J17" s="31">
        <f ca="1"/>
        <v>45777</v>
      </c>
    </row>
    <row r="18" spans="8:10" x14ac:dyDescent="0.2">
      <c r="H18" s="2">
        <v>0</v>
      </c>
      <c r="I18" s="31">
        <f ca="1"/>
        <v>45747</v>
      </c>
      <c r="J18" s="31">
        <f ca="1"/>
        <v>45777</v>
      </c>
    </row>
    <row r="19" spans="8:10" x14ac:dyDescent="0.2">
      <c r="H19" s="2">
        <v>0</v>
      </c>
      <c r="I19" s="31">
        <f ca="1"/>
        <v>45747</v>
      </c>
      <c r="J19" s="31">
        <f ca="1"/>
        <v>45777</v>
      </c>
    </row>
    <row r="20" spans="8:10" x14ac:dyDescent="0.2">
      <c r="H20" s="2">
        <v>0</v>
      </c>
      <c r="I20" s="31">
        <f ca="1"/>
        <v>45747</v>
      </c>
      <c r="J20" s="31">
        <f ca="1"/>
        <v>45777</v>
      </c>
    </row>
    <row r="21" spans="8:10" x14ac:dyDescent="0.2">
      <c r="H21" s="2">
        <v>0</v>
      </c>
      <c r="I21" s="31">
        <f ca="1"/>
        <v>45747</v>
      </c>
      <c r="J21" s="31">
        <f ca="1"/>
        <v>45777</v>
      </c>
    </row>
    <row r="22" spans="8:10" x14ac:dyDescent="0.2">
      <c r="H22" s="2">
        <v>0</v>
      </c>
      <c r="I22" s="31">
        <f ca="1"/>
        <v>45747</v>
      </c>
      <c r="J22" s="31">
        <f ca="1"/>
        <v>45777</v>
      </c>
    </row>
    <row r="23" spans="8:10" x14ac:dyDescent="0.2">
      <c r="H23" s="2">
        <v>0</v>
      </c>
      <c r="I23" s="31">
        <f ca="1"/>
        <v>45747</v>
      </c>
      <c r="J23" s="31">
        <f ca="1"/>
        <v>45777</v>
      </c>
    </row>
    <row r="24" spans="8:10" x14ac:dyDescent="0.2">
      <c r="H24" s="2">
        <v>0</v>
      </c>
      <c r="I24" s="31">
        <f ca="1"/>
        <v>45747</v>
      </c>
      <c r="J24" s="31">
        <f ca="1"/>
        <v>45777</v>
      </c>
    </row>
  </sheetData>
  <autoFilter ref="B3:J6" xr:uid="{B267E42D-8A38-44D8-B035-BDB07D6DC65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886F-EC50-4885-A26B-FECB62B6DE05}">
  <sheetPr codeName="Sheet14">
    <tabColor rgb="FF0000FF"/>
  </sheetPr>
  <dimension ref="B1:C5"/>
  <sheetViews>
    <sheetView workbookViewId="0">
      <selection activeCell="B4" sqref="B4:C5"/>
    </sheetView>
  </sheetViews>
  <sheetFormatPr defaultRowHeight="12.75" x14ac:dyDescent="0.2"/>
  <cols>
    <col min="1" max="1" width="2.140625" customWidth="1"/>
    <col min="2" max="2" width="23" customWidth="1"/>
    <col min="3" max="3" width="15.42578125" style="2" customWidth="1"/>
  </cols>
  <sheetData>
    <row r="1" spans="2:3" x14ac:dyDescent="0.2">
      <c r="B1" s="87" t="s">
        <v>107</v>
      </c>
      <c r="C1" s="29" t="s">
        <v>108</v>
      </c>
    </row>
    <row r="3" spans="2:3" s="23" customFormat="1" ht="15" x14ac:dyDescent="0.35">
      <c r="B3" s="23" t="s">
        <v>3</v>
      </c>
      <c r="C3" s="124" t="s">
        <v>4</v>
      </c>
    </row>
    <row r="4" spans="2:3" x14ac:dyDescent="0.2">
      <c r="B4" s="28"/>
      <c r="C4" s="196"/>
    </row>
    <row r="5" spans="2:3" x14ac:dyDescent="0.2">
      <c r="B5" s="28"/>
      <c r="C5" s="196"/>
    </row>
  </sheetData>
  <autoFilter ref="B3:C5" xr:uid="{097D886F-EC50-4885-A26B-FECB62B6DE0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CF7C3-12C6-4848-B376-9685294E2411}">
  <sheetPr codeName="Sheet15">
    <tabColor rgb="FF0000FF"/>
  </sheetPr>
  <dimension ref="B1:I53"/>
  <sheetViews>
    <sheetView workbookViewId="0">
      <selection activeCell="B4" sqref="B4:F12"/>
    </sheetView>
  </sheetViews>
  <sheetFormatPr defaultRowHeight="12.75" x14ac:dyDescent="0.2"/>
  <cols>
    <col min="1" max="1" width="2.140625" customWidth="1"/>
    <col min="2" max="2" width="35" bestFit="1" customWidth="1"/>
    <col min="3" max="3" width="19" bestFit="1" customWidth="1"/>
    <col min="4" max="4" width="26" style="196" bestFit="1" customWidth="1"/>
    <col min="5" max="5" width="19" style="196" customWidth="1"/>
    <col min="6" max="6" width="14.7109375" style="2" bestFit="1" customWidth="1"/>
    <col min="7" max="7" width="2.140625" style="2" customWidth="1"/>
    <col min="8" max="8" width="12" style="2" bestFit="1" customWidth="1"/>
    <col min="9" max="9" width="14.7109375" style="2" bestFit="1" customWidth="1"/>
  </cols>
  <sheetData>
    <row r="1" spans="2:9" x14ac:dyDescent="0.2">
      <c r="B1" s="87" t="s">
        <v>107</v>
      </c>
      <c r="C1" s="87" t="s">
        <v>107</v>
      </c>
      <c r="D1" s="87" t="s">
        <v>107</v>
      </c>
      <c r="E1" s="87" t="s">
        <v>107</v>
      </c>
      <c r="F1" s="29" t="s">
        <v>108</v>
      </c>
      <c r="H1" s="86" t="s">
        <v>96</v>
      </c>
      <c r="I1" s="86" t="s">
        <v>96</v>
      </c>
    </row>
    <row r="3" spans="2:9" s="23" customFormat="1" ht="15" x14ac:dyDescent="0.35">
      <c r="B3" s="23" t="s">
        <v>3</v>
      </c>
      <c r="C3" s="23" t="s">
        <v>104</v>
      </c>
      <c r="D3" s="210" t="s">
        <v>248</v>
      </c>
      <c r="E3" s="210" t="s">
        <v>15</v>
      </c>
      <c r="F3" s="26" t="s">
        <v>4</v>
      </c>
      <c r="G3" s="26"/>
      <c r="H3" s="26" t="s">
        <v>106</v>
      </c>
      <c r="I3" s="26" t="s">
        <v>105</v>
      </c>
    </row>
    <row r="4" spans="2:9" x14ac:dyDescent="0.2">
      <c r="H4" s="2" cm="1">
        <f t="array" ref="H4:H53">(D4:D53/100)*F4:F53</f>
        <v>0</v>
      </c>
      <c r="I4" s="2" cm="1">
        <f t="array" ref="I4:I53">(E4:E53/100)*F4:F53-H4:H53</f>
        <v>0</v>
      </c>
    </row>
    <row r="5" spans="2:9" x14ac:dyDescent="0.2">
      <c r="C5" s="28"/>
      <c r="H5" s="2">
        <v>0</v>
      </c>
      <c r="I5" s="2">
        <v>0</v>
      </c>
    </row>
    <row r="6" spans="2:9" x14ac:dyDescent="0.2">
      <c r="H6" s="2">
        <v>0</v>
      </c>
      <c r="I6" s="2">
        <v>0</v>
      </c>
    </row>
    <row r="7" spans="2:9" x14ac:dyDescent="0.2">
      <c r="E7" s="211"/>
      <c r="H7" s="2">
        <v>0</v>
      </c>
      <c r="I7" s="2">
        <v>0</v>
      </c>
    </row>
    <row r="8" spans="2:9" x14ac:dyDescent="0.2">
      <c r="B8" s="123"/>
      <c r="E8" s="211"/>
      <c r="H8" s="2">
        <v>0</v>
      </c>
      <c r="I8" s="2">
        <v>0</v>
      </c>
    </row>
    <row r="9" spans="2:9" x14ac:dyDescent="0.2">
      <c r="B9" s="123"/>
      <c r="H9" s="2">
        <v>0</v>
      </c>
      <c r="I9" s="2">
        <v>0</v>
      </c>
    </row>
    <row r="10" spans="2:9" x14ac:dyDescent="0.2">
      <c r="B10" s="123"/>
      <c r="C10" s="123"/>
      <c r="H10" s="2">
        <v>0</v>
      </c>
      <c r="I10" s="2">
        <v>0</v>
      </c>
    </row>
    <row r="11" spans="2:9" x14ac:dyDescent="0.2">
      <c r="B11" s="123"/>
      <c r="C11" s="123"/>
      <c r="H11" s="2">
        <v>0</v>
      </c>
      <c r="I11" s="2">
        <v>0</v>
      </c>
    </row>
    <row r="12" spans="2:9" x14ac:dyDescent="0.2">
      <c r="B12" s="123"/>
      <c r="C12" s="123"/>
      <c r="H12" s="2">
        <v>0</v>
      </c>
      <c r="I12" s="2">
        <v>0</v>
      </c>
    </row>
    <row r="13" spans="2:9" x14ac:dyDescent="0.2">
      <c r="H13" s="2">
        <v>0</v>
      </c>
      <c r="I13" s="2">
        <v>0</v>
      </c>
    </row>
    <row r="14" spans="2:9" x14ac:dyDescent="0.2">
      <c r="H14" s="2">
        <v>0</v>
      </c>
      <c r="I14" s="2">
        <v>0</v>
      </c>
    </row>
    <row r="15" spans="2:9" x14ac:dyDescent="0.2">
      <c r="H15" s="2">
        <v>0</v>
      </c>
      <c r="I15" s="2">
        <v>0</v>
      </c>
    </row>
    <row r="16" spans="2:9" x14ac:dyDescent="0.2">
      <c r="H16" s="2">
        <v>0</v>
      </c>
      <c r="I16" s="2">
        <v>0</v>
      </c>
    </row>
    <row r="17" spans="8:9" x14ac:dyDescent="0.2">
      <c r="H17" s="2">
        <v>0</v>
      </c>
      <c r="I17" s="2">
        <v>0</v>
      </c>
    </row>
    <row r="18" spans="8:9" x14ac:dyDescent="0.2">
      <c r="H18" s="2">
        <v>0</v>
      </c>
      <c r="I18" s="2">
        <v>0</v>
      </c>
    </row>
    <row r="19" spans="8:9" x14ac:dyDescent="0.2">
      <c r="H19" s="2">
        <v>0</v>
      </c>
      <c r="I19" s="2">
        <v>0</v>
      </c>
    </row>
    <row r="20" spans="8:9" x14ac:dyDescent="0.2">
      <c r="H20" s="2">
        <v>0</v>
      </c>
      <c r="I20" s="2">
        <v>0</v>
      </c>
    </row>
    <row r="21" spans="8:9" x14ac:dyDescent="0.2">
      <c r="H21" s="2">
        <v>0</v>
      </c>
      <c r="I21" s="2">
        <v>0</v>
      </c>
    </row>
    <row r="22" spans="8:9" x14ac:dyDescent="0.2">
      <c r="H22" s="2">
        <v>0</v>
      </c>
      <c r="I22" s="2">
        <v>0</v>
      </c>
    </row>
    <row r="23" spans="8:9" x14ac:dyDescent="0.2">
      <c r="H23" s="2">
        <v>0</v>
      </c>
      <c r="I23" s="2">
        <v>0</v>
      </c>
    </row>
    <row r="24" spans="8:9" x14ac:dyDescent="0.2">
      <c r="H24" s="2">
        <v>0</v>
      </c>
      <c r="I24" s="2">
        <v>0</v>
      </c>
    </row>
    <row r="25" spans="8:9" x14ac:dyDescent="0.2">
      <c r="H25" s="2">
        <v>0</v>
      </c>
      <c r="I25" s="2">
        <v>0</v>
      </c>
    </row>
    <row r="26" spans="8:9" x14ac:dyDescent="0.2">
      <c r="H26" s="2">
        <v>0</v>
      </c>
      <c r="I26" s="2">
        <v>0</v>
      </c>
    </row>
    <row r="27" spans="8:9" x14ac:dyDescent="0.2">
      <c r="H27" s="2">
        <v>0</v>
      </c>
      <c r="I27" s="2">
        <v>0</v>
      </c>
    </row>
    <row r="28" spans="8:9" x14ac:dyDescent="0.2">
      <c r="H28" s="2">
        <v>0</v>
      </c>
      <c r="I28" s="2">
        <v>0</v>
      </c>
    </row>
    <row r="29" spans="8:9" x14ac:dyDescent="0.2">
      <c r="H29" s="2">
        <v>0</v>
      </c>
      <c r="I29" s="2">
        <v>0</v>
      </c>
    </row>
    <row r="30" spans="8:9" x14ac:dyDescent="0.2">
      <c r="H30" s="2">
        <v>0</v>
      </c>
      <c r="I30" s="2">
        <v>0</v>
      </c>
    </row>
    <row r="31" spans="8:9" x14ac:dyDescent="0.2">
      <c r="H31" s="2">
        <v>0</v>
      </c>
      <c r="I31" s="2">
        <v>0</v>
      </c>
    </row>
    <row r="32" spans="8:9" x14ac:dyDescent="0.2">
      <c r="H32" s="2">
        <v>0</v>
      </c>
      <c r="I32" s="2">
        <v>0</v>
      </c>
    </row>
    <row r="33" spans="8:9" x14ac:dyDescent="0.2">
      <c r="H33" s="2">
        <v>0</v>
      </c>
      <c r="I33" s="2">
        <v>0</v>
      </c>
    </row>
    <row r="34" spans="8:9" x14ac:dyDescent="0.2">
      <c r="H34" s="2">
        <v>0</v>
      </c>
      <c r="I34" s="2">
        <v>0</v>
      </c>
    </row>
    <row r="35" spans="8:9" x14ac:dyDescent="0.2">
      <c r="H35" s="2">
        <v>0</v>
      </c>
      <c r="I35" s="2">
        <v>0</v>
      </c>
    </row>
    <row r="36" spans="8:9" x14ac:dyDescent="0.2">
      <c r="H36" s="2">
        <v>0</v>
      </c>
      <c r="I36" s="2">
        <v>0</v>
      </c>
    </row>
    <row r="37" spans="8:9" x14ac:dyDescent="0.2">
      <c r="H37" s="2">
        <v>0</v>
      </c>
      <c r="I37" s="2">
        <v>0</v>
      </c>
    </row>
    <row r="38" spans="8:9" x14ac:dyDescent="0.2">
      <c r="H38" s="2">
        <v>0</v>
      </c>
      <c r="I38" s="2">
        <v>0</v>
      </c>
    </row>
    <row r="39" spans="8:9" x14ac:dyDescent="0.2">
      <c r="H39" s="2">
        <v>0</v>
      </c>
      <c r="I39" s="2">
        <v>0</v>
      </c>
    </row>
    <row r="40" spans="8:9" x14ac:dyDescent="0.2">
      <c r="H40" s="2">
        <v>0</v>
      </c>
      <c r="I40" s="2">
        <v>0</v>
      </c>
    </row>
    <row r="41" spans="8:9" x14ac:dyDescent="0.2">
      <c r="H41" s="2">
        <v>0</v>
      </c>
      <c r="I41" s="2">
        <v>0</v>
      </c>
    </row>
    <row r="42" spans="8:9" x14ac:dyDescent="0.2">
      <c r="H42" s="2">
        <v>0</v>
      </c>
      <c r="I42" s="2">
        <v>0</v>
      </c>
    </row>
    <row r="43" spans="8:9" x14ac:dyDescent="0.2">
      <c r="H43" s="2">
        <v>0</v>
      </c>
      <c r="I43" s="2">
        <v>0</v>
      </c>
    </row>
    <row r="44" spans="8:9" x14ac:dyDescent="0.2">
      <c r="H44" s="2">
        <v>0</v>
      </c>
      <c r="I44" s="2">
        <v>0</v>
      </c>
    </row>
    <row r="45" spans="8:9" x14ac:dyDescent="0.2">
      <c r="H45" s="2">
        <v>0</v>
      </c>
      <c r="I45" s="2">
        <v>0</v>
      </c>
    </row>
    <row r="46" spans="8:9" x14ac:dyDescent="0.2">
      <c r="H46" s="2">
        <v>0</v>
      </c>
      <c r="I46" s="2">
        <v>0</v>
      </c>
    </row>
    <row r="47" spans="8:9" x14ac:dyDescent="0.2">
      <c r="H47" s="2">
        <v>0</v>
      </c>
      <c r="I47" s="2">
        <v>0</v>
      </c>
    </row>
    <row r="48" spans="8:9" x14ac:dyDescent="0.2">
      <c r="H48" s="2">
        <v>0</v>
      </c>
      <c r="I48" s="2">
        <v>0</v>
      </c>
    </row>
    <row r="49" spans="8:9" x14ac:dyDescent="0.2">
      <c r="H49" s="2">
        <v>0</v>
      </c>
      <c r="I49" s="2">
        <v>0</v>
      </c>
    </row>
    <row r="50" spans="8:9" x14ac:dyDescent="0.2">
      <c r="H50" s="2">
        <v>0</v>
      </c>
      <c r="I50" s="2">
        <v>0</v>
      </c>
    </row>
    <row r="51" spans="8:9" x14ac:dyDescent="0.2">
      <c r="H51" s="2">
        <v>0</v>
      </c>
      <c r="I51" s="2">
        <v>0</v>
      </c>
    </row>
    <row r="52" spans="8:9" x14ac:dyDescent="0.2">
      <c r="H52" s="2">
        <v>0</v>
      </c>
      <c r="I52" s="2">
        <v>0</v>
      </c>
    </row>
    <row r="53" spans="8:9" x14ac:dyDescent="0.2">
      <c r="H53" s="2">
        <v>0</v>
      </c>
      <c r="I53" s="2">
        <v>0</v>
      </c>
    </row>
  </sheetData>
  <autoFilter ref="B3:I7" xr:uid="{1A4CF7C3-12C6-4848-B376-9685294E241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rgb="FF0000FF"/>
  </sheetPr>
  <dimension ref="B1:P54"/>
  <sheetViews>
    <sheetView workbookViewId="0">
      <selection activeCell="B4" sqref="B4:G30"/>
    </sheetView>
  </sheetViews>
  <sheetFormatPr defaultRowHeight="12.75" x14ac:dyDescent="0.2"/>
  <cols>
    <col min="1" max="1" width="2.42578125" customWidth="1"/>
    <col min="2" max="3" width="32.140625" customWidth="1"/>
    <col min="4" max="4" width="15.5703125" style="2" customWidth="1"/>
    <col min="5" max="5" width="21.140625" style="168" bestFit="1" customWidth="1"/>
    <col min="6" max="6" width="19.28515625" style="180" customWidth="1"/>
    <col min="7" max="7" width="16.42578125" style="1" bestFit="1" customWidth="1"/>
    <col min="8" max="8" width="2.28515625" style="1" customWidth="1"/>
    <col min="9" max="9" width="19" bestFit="1" customWidth="1"/>
    <col min="10" max="10" width="10.140625" bestFit="1" customWidth="1"/>
    <col min="15" max="15" width="14.140625" style="31" bestFit="1" customWidth="1"/>
  </cols>
  <sheetData>
    <row r="1" spans="2:16" x14ac:dyDescent="0.2">
      <c r="B1" s="87" t="s">
        <v>107</v>
      </c>
      <c r="C1" s="87" t="s">
        <v>107</v>
      </c>
      <c r="D1" s="125" t="s">
        <v>107</v>
      </c>
      <c r="E1" s="167" t="s">
        <v>107</v>
      </c>
      <c r="F1" s="190" t="s">
        <v>107</v>
      </c>
      <c r="G1" s="190" t="s">
        <v>107</v>
      </c>
      <c r="H1" s="205"/>
      <c r="I1" s="61" t="s">
        <v>96</v>
      </c>
    </row>
    <row r="2" spans="2:16" x14ac:dyDescent="0.2">
      <c r="F2" s="191"/>
      <c r="G2" s="205"/>
      <c r="H2" s="205"/>
    </row>
    <row r="3" spans="2:16" s="23" customFormat="1" ht="15" x14ac:dyDescent="0.35">
      <c r="B3" s="23" t="s">
        <v>21</v>
      </c>
      <c r="C3" s="38" t="s">
        <v>43</v>
      </c>
      <c r="D3" s="124" t="s">
        <v>44</v>
      </c>
      <c r="E3" s="169" t="s">
        <v>249</v>
      </c>
      <c r="F3" s="192" t="s">
        <v>232</v>
      </c>
      <c r="G3" s="39" t="s">
        <v>233</v>
      </c>
      <c r="H3" s="39" t="s">
        <v>41</v>
      </c>
      <c r="I3" s="23" t="s">
        <v>160</v>
      </c>
      <c r="O3" s="36"/>
    </row>
    <row r="4" spans="2:16" x14ac:dyDescent="0.2">
      <c r="B4" s="28"/>
      <c r="C4" s="28"/>
      <c r="D4" s="196"/>
      <c r="G4" s="41"/>
      <c r="H4" s="41"/>
      <c r="I4" s="31" t="str"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J4" s="31"/>
    </row>
    <row r="5" spans="2:16" x14ac:dyDescent="0.2">
      <c r="B5" s="28"/>
      <c r="C5" s="233"/>
      <c r="D5" s="196"/>
      <c r="G5" s="41"/>
      <c r="H5" s="41"/>
      <c r="I5" s="31" t="str"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5" s="193"/>
      <c r="P5" s="207"/>
    </row>
    <row r="6" spans="2:16" s="40" customFormat="1" x14ac:dyDescent="0.2">
      <c r="B6" s="28"/>
      <c r="C6"/>
      <c r="D6" s="196"/>
      <c r="E6" s="168"/>
      <c r="F6" s="180"/>
      <c r="G6" s="41"/>
      <c r="H6" s="41"/>
      <c r="I6" s="31" t="str"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6" s="193"/>
      <c r="P6" s="207"/>
    </row>
    <row r="7" spans="2:16" s="126" customFormat="1" x14ac:dyDescent="0.2">
      <c r="B7" s="28"/>
      <c r="C7"/>
      <c r="D7" s="196"/>
      <c r="E7" s="168"/>
      <c r="F7" s="180"/>
      <c r="G7" s="41"/>
      <c r="H7" s="41"/>
      <c r="I7" s="31" t="str"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7" s="41"/>
      <c r="P7" s="207"/>
    </row>
    <row r="8" spans="2:16" s="40" customFormat="1" x14ac:dyDescent="0.2">
      <c r="B8" s="28"/>
      <c r="C8"/>
      <c r="D8" s="196"/>
      <c r="E8" s="168"/>
      <c r="F8" s="180"/>
      <c r="G8" s="41"/>
      <c r="H8" s="41"/>
      <c r="I8" s="31" t="str"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8" s="234"/>
    </row>
    <row r="9" spans="2:16" s="40" customFormat="1" x14ac:dyDescent="0.2">
      <c r="B9" s="28"/>
      <c r="C9"/>
      <c r="D9" s="196"/>
      <c r="E9" s="168"/>
      <c r="F9" s="180"/>
      <c r="G9" s="41"/>
      <c r="H9" s="41"/>
      <c r="I9" s="31" t="str"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9" s="35"/>
    </row>
    <row r="10" spans="2:16" x14ac:dyDescent="0.2">
      <c r="B10" s="28"/>
      <c r="C10" s="28"/>
      <c r="D10" s="196"/>
      <c r="E10" s="170"/>
      <c r="F10" s="194"/>
      <c r="G10" s="206"/>
      <c r="H10" s="206"/>
      <c r="I10" s="31" t="str"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1" spans="2:16" x14ac:dyDescent="0.2">
      <c r="B11" s="28"/>
      <c r="C11" s="28"/>
      <c r="D11" s="196"/>
      <c r="E11" s="170"/>
      <c r="G11" s="206"/>
      <c r="H11" s="206"/>
      <c r="I11" s="31" t="str"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2" spans="2:16" x14ac:dyDescent="0.2">
      <c r="B12" s="28"/>
      <c r="C12" s="28"/>
      <c r="D12" s="196"/>
      <c r="E12" s="170"/>
      <c r="G12" s="206"/>
      <c r="H12" s="206"/>
      <c r="I12" s="31" t="str"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3" spans="2:16" x14ac:dyDescent="0.2">
      <c r="B13" s="28"/>
      <c r="C13" s="28"/>
      <c r="D13" s="196"/>
      <c r="E13" s="170"/>
      <c r="G13" s="206"/>
      <c r="H13" s="206"/>
      <c r="I13" s="31" t="str"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4" spans="2:16" x14ac:dyDescent="0.2">
      <c r="B14" s="28"/>
      <c r="C14" s="40"/>
      <c r="D14" s="196"/>
      <c r="E14" s="170"/>
      <c r="F14" s="193"/>
      <c r="G14" s="206"/>
      <c r="H14" s="206"/>
      <c r="I14" s="31" t="str"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5" spans="2:16" x14ac:dyDescent="0.2">
      <c r="B15" s="28"/>
      <c r="C15" s="40"/>
      <c r="D15" s="196"/>
      <c r="E15" s="170"/>
      <c r="F15" s="194"/>
      <c r="G15" s="206"/>
      <c r="H15" s="206"/>
      <c r="I15" s="31" t="str"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6" spans="2:16" x14ac:dyDescent="0.2">
      <c r="B16" s="28"/>
      <c r="C16" s="28"/>
      <c r="D16" s="196"/>
      <c r="E16" s="170"/>
      <c r="F16" s="194"/>
      <c r="G16" s="206"/>
      <c r="H16" s="206"/>
      <c r="I16" s="31" t="str"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7" spans="2:9" x14ac:dyDescent="0.2">
      <c r="B17" s="28"/>
      <c r="C17" s="28"/>
      <c r="E17" s="170"/>
      <c r="F17" s="194"/>
      <c r="G17" s="206"/>
      <c r="H17" s="206"/>
      <c r="I17" s="31" t="str"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8" spans="2:9" x14ac:dyDescent="0.2">
      <c r="B18" s="28"/>
      <c r="C18" s="28"/>
      <c r="D18" s="196"/>
      <c r="E18" s="170"/>
      <c r="F18" s="194"/>
      <c r="G18" s="206"/>
      <c r="H18" s="206"/>
      <c r="I18" s="31" t="str"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9" spans="2:9" x14ac:dyDescent="0.2">
      <c r="B19" s="28"/>
      <c r="C19" s="28"/>
      <c r="E19" s="170"/>
      <c r="F19" s="194"/>
      <c r="G19" s="206"/>
      <c r="H19" s="206"/>
      <c r="I19" s="31" t="str"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0" spans="2:9" x14ac:dyDescent="0.2">
      <c r="B20" s="28"/>
      <c r="E20" s="170"/>
      <c r="F20" s="194"/>
      <c r="G20" s="206"/>
      <c r="H20" s="206"/>
      <c r="I20" s="35" t="str"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1" spans="2:9" x14ac:dyDescent="0.2">
      <c r="B21" s="28"/>
      <c r="E21" s="170"/>
      <c r="F21" s="194"/>
      <c r="G21" s="206"/>
      <c r="H21" s="206"/>
      <c r="I21" s="35" t="str"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2" spans="2:9" x14ac:dyDescent="0.2">
      <c r="B22" s="28"/>
      <c r="C22" s="28"/>
      <c r="D22" s="196"/>
      <c r="G22" s="41"/>
      <c r="H22" s="41"/>
      <c r="I22" s="35" t="str"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3" spans="2:9" x14ac:dyDescent="0.2">
      <c r="B23" s="28"/>
      <c r="C23" s="233"/>
      <c r="D23" s="204"/>
      <c r="E23" s="208"/>
      <c r="G23" s="207"/>
      <c r="H23" s="207"/>
      <c r="I23" s="31" t="str"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4" spans="2:9" x14ac:dyDescent="0.2">
      <c r="B24" s="28"/>
      <c r="C24" s="28"/>
      <c r="E24" s="208"/>
      <c r="G24" s="207"/>
      <c r="H24" s="207"/>
      <c r="I24" s="31" t="str"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5" spans="2:9" x14ac:dyDescent="0.2">
      <c r="B25" s="28"/>
      <c r="C25" s="28"/>
      <c r="E25" s="208"/>
      <c r="G25" s="207"/>
      <c r="H25" s="207"/>
      <c r="I25" s="31" t="str"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6" spans="2:9" x14ac:dyDescent="0.2">
      <c r="B26" s="28"/>
      <c r="C26" s="28"/>
      <c r="G26" s="41"/>
      <c r="H26" s="41"/>
      <c r="I26" s="31" t="str"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7" spans="2:9" x14ac:dyDescent="0.2">
      <c r="B27" s="28"/>
      <c r="C27" s="28"/>
      <c r="G27" s="41"/>
      <c r="H27" s="207"/>
      <c r="I27" s="31" t="str"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8" spans="2:9" x14ac:dyDescent="0.2">
      <c r="B28" s="28"/>
      <c r="C28" s="28"/>
      <c r="E28" s="208"/>
      <c r="G28" s="207"/>
      <c r="H28" s="207"/>
      <c r="I28" s="31" t="str"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9" spans="2:9" x14ac:dyDescent="0.2">
      <c r="B29" s="28"/>
      <c r="C29" s="28"/>
      <c r="E29" s="208"/>
      <c r="G29" s="207"/>
      <c r="H29" s="207"/>
      <c r="I29" s="31" t="str"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0" spans="2:9" x14ac:dyDescent="0.2">
      <c r="B30" s="40"/>
      <c r="C30" s="28"/>
      <c r="E30" s="236"/>
      <c r="G30" s="207"/>
      <c r="H30" s="207"/>
      <c r="I30" s="31" t="str"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1" spans="2:9" x14ac:dyDescent="0.2">
      <c r="B31" s="28"/>
      <c r="C31" s="28"/>
      <c r="E31" s="208"/>
      <c r="G31" s="207"/>
      <c r="H31" s="207"/>
      <c r="I31" s="31"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8"/>
      <c r="C32" s="28"/>
      <c r="E32" s="208"/>
      <c r="G32" s="207"/>
      <c r="H32" s="207"/>
      <c r="I32" s="31"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8"/>
      <c r="C33" s="28"/>
      <c r="E33" s="208"/>
      <c r="G33" s="207"/>
      <c r="H33" s="207"/>
      <c r="I33" s="31"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8"/>
      <c r="C34" s="28"/>
      <c r="E34" s="208"/>
      <c r="H34" s="207"/>
      <c r="I34" s="31" t="str" cm="1">
        <f t="array" aca="1" ref="I34" ca="1">_xlfn.LET(
    _xlpm.frequency_type,$E34,
    _xlpm.frequency_value,$P5,
    _xlpm.start_date,$O5,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8"/>
      <c r="C35" s="28"/>
      <c r="E35" s="208"/>
      <c r="H35" s="207"/>
      <c r="I35" s="31" t="str" cm="1">
        <f t="array" aca="1" ref="I35" ca="1">_xlfn.LET(
    _xlpm.frequency_type,$E35,
    _xlpm.frequency_value,$P6,
    _xlpm.start_date,$O7,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8"/>
      <c r="C36" s="28"/>
      <c r="E36" s="208"/>
      <c r="H36" s="207"/>
      <c r="I36" s="31" t="str" cm="1">
        <f t="array" aca="1" ref="I36" ca="1">_xlfn.LET(
    _xlpm.frequency_type,$E36,
    _xlpm.frequency_value,$P7,
    _xlpm.start_date,#REF!,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8"/>
      <c r="C37" s="28"/>
      <c r="E37" s="208"/>
      <c r="G37" s="207"/>
      <c r="H37" s="207"/>
      <c r="I37" s="31"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8"/>
      <c r="E38" s="208"/>
      <c r="G38" s="207"/>
      <c r="H38" s="207"/>
      <c r="I38" s="31"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8"/>
      <c r="E39" s="208"/>
      <c r="G39" s="207"/>
      <c r="H39" s="207"/>
      <c r="I39" s="31"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8"/>
      <c r="E40" s="208"/>
      <c r="G40" s="207"/>
      <c r="H40" s="207"/>
      <c r="I40" s="31"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8"/>
      <c r="E41" s="208"/>
      <c r="G41" s="207"/>
      <c r="H41" s="207"/>
      <c r="I41" s="31"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8"/>
      <c r="E42" s="208"/>
      <c r="G42" s="207"/>
      <c r="H42" s="207"/>
      <c r="I42" s="31"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31"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31"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31"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31"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31"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31"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31"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31"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31"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31"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31"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31"/>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62D5DBB-5C5A-45CD-8E59-8E612BB7063C}">
          <x14:formula1>
            <xm:f>'Data Validation'!$B$1:$B$99</xm:f>
          </x14:formula1>
          <xm:sqref>B4:B53</xm:sqref>
        </x14:dataValidation>
        <x14:dataValidation type="list" allowBlank="1" showInputMessage="1" showErrorMessage="1" xr:uid="{34B3FCA0-78D1-4CFF-9ECD-F34943CBAF10}">
          <x14:formula1>
            <xm:f>'Data Validation'!$C$2:$C$9</xm:f>
          </x14:formula1>
          <xm:sqref>E4:E53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F666B-B883-454C-B506-3E9C2D4F2687}">
  <sheetPr codeName="Sheet17">
    <tabColor rgb="FF0000FF"/>
  </sheetPr>
  <dimension ref="B1:F99"/>
  <sheetViews>
    <sheetView workbookViewId="0">
      <selection activeCell="B4" sqref="B4:E15"/>
    </sheetView>
  </sheetViews>
  <sheetFormatPr defaultRowHeight="12.75" x14ac:dyDescent="0.2"/>
  <cols>
    <col min="1" max="1" width="2" customWidth="1"/>
    <col min="2" max="2" width="30.5703125" bestFit="1" customWidth="1"/>
    <col min="3" max="3" width="24.140625" bestFit="1" customWidth="1"/>
    <col min="4" max="4" width="18.28515625" bestFit="1" customWidth="1"/>
    <col min="5" max="5" width="11.42578125" style="25" bestFit="1" customWidth="1"/>
  </cols>
  <sheetData>
    <row r="1" spans="2:6" x14ac:dyDescent="0.2">
      <c r="B1" s="87" t="s">
        <v>107</v>
      </c>
      <c r="C1" s="87" t="s">
        <v>107</v>
      </c>
      <c r="D1" s="87" t="s">
        <v>107</v>
      </c>
      <c r="E1" s="89" t="s">
        <v>107</v>
      </c>
    </row>
    <row r="3" spans="2:6" s="23" customFormat="1" ht="15" x14ac:dyDescent="0.35">
      <c r="B3" s="23" t="s">
        <v>21</v>
      </c>
      <c r="C3" s="23" t="s">
        <v>43</v>
      </c>
      <c r="D3" s="23" t="s">
        <v>250</v>
      </c>
      <c r="E3" s="30" t="s">
        <v>47</v>
      </c>
    </row>
    <row r="4" spans="2:6" x14ac:dyDescent="0.2">
      <c r="B4" s="28"/>
      <c r="C4" s="28"/>
      <c r="D4" s="28"/>
      <c r="E4" s="197"/>
    </row>
    <row r="5" spans="2:6" x14ac:dyDescent="0.2">
      <c r="B5" s="28"/>
      <c r="C5" s="28"/>
      <c r="D5" s="28"/>
      <c r="E5" s="197"/>
    </row>
    <row r="6" spans="2:6" x14ac:dyDescent="0.2">
      <c r="B6" s="28"/>
      <c r="C6" s="28"/>
      <c r="D6" s="28"/>
      <c r="E6" s="197"/>
    </row>
    <row r="7" spans="2:6" x14ac:dyDescent="0.2">
      <c r="B7" s="28"/>
      <c r="C7" s="28"/>
      <c r="D7" s="28"/>
      <c r="E7" s="197"/>
    </row>
    <row r="8" spans="2:6" x14ac:dyDescent="0.2">
      <c r="B8" s="28"/>
      <c r="C8" s="28"/>
      <c r="D8" s="28"/>
      <c r="E8" s="197"/>
      <c r="F8" s="126"/>
    </row>
    <row r="9" spans="2:6" x14ac:dyDescent="0.2">
      <c r="B9" s="28"/>
      <c r="C9" s="28"/>
      <c r="D9" s="28"/>
      <c r="E9" s="197"/>
      <c r="F9" s="126"/>
    </row>
    <row r="10" spans="2:6" x14ac:dyDescent="0.2">
      <c r="B10" s="28"/>
      <c r="C10" s="28"/>
      <c r="D10" s="28"/>
      <c r="E10" s="197"/>
      <c r="F10" s="126"/>
    </row>
    <row r="11" spans="2:6" x14ac:dyDescent="0.2">
      <c r="B11" s="28"/>
      <c r="C11" s="28"/>
      <c r="D11" s="28"/>
      <c r="E11" s="197"/>
      <c r="F11" s="126"/>
    </row>
    <row r="12" spans="2:6" x14ac:dyDescent="0.2">
      <c r="B12" s="28"/>
      <c r="C12" s="28"/>
      <c r="D12" s="28"/>
      <c r="E12" s="197"/>
    </row>
    <row r="13" spans="2:6" x14ac:dyDescent="0.2">
      <c r="B13" s="28"/>
      <c r="C13" s="28"/>
      <c r="D13" s="28"/>
      <c r="E13" s="197"/>
    </row>
    <row r="14" spans="2:6" x14ac:dyDescent="0.2">
      <c r="B14" s="28"/>
      <c r="C14" s="28"/>
      <c r="D14" s="28"/>
      <c r="E14" s="197"/>
    </row>
    <row r="15" spans="2:6" x14ac:dyDescent="0.2">
      <c r="B15" s="28"/>
      <c r="C15" s="28"/>
      <c r="D15" s="28"/>
      <c r="E15" s="197"/>
    </row>
    <row r="16" spans="2:6" x14ac:dyDescent="0.2">
      <c r="D16" s="28"/>
    </row>
    <row r="17" spans="4:4" x14ac:dyDescent="0.2">
      <c r="D17" s="28"/>
    </row>
    <row r="18" spans="4:4" x14ac:dyDescent="0.2">
      <c r="D18" s="28"/>
    </row>
    <row r="19" spans="4:4" x14ac:dyDescent="0.2">
      <c r="D19" s="28"/>
    </row>
    <row r="20" spans="4:4" x14ac:dyDescent="0.2">
      <c r="D20" s="28"/>
    </row>
    <row r="21" spans="4:4" x14ac:dyDescent="0.2">
      <c r="D21" s="28"/>
    </row>
    <row r="22" spans="4:4" x14ac:dyDescent="0.2">
      <c r="D22" s="28"/>
    </row>
    <row r="23" spans="4:4" x14ac:dyDescent="0.2">
      <c r="D23" s="28"/>
    </row>
    <row r="24" spans="4:4" x14ac:dyDescent="0.2">
      <c r="D24" s="28"/>
    </row>
    <row r="25" spans="4:4" x14ac:dyDescent="0.2">
      <c r="D25" s="28"/>
    </row>
    <row r="26" spans="4:4" x14ac:dyDescent="0.2">
      <c r="D26" s="28"/>
    </row>
    <row r="27" spans="4:4" x14ac:dyDescent="0.2">
      <c r="D27" s="28"/>
    </row>
    <row r="28" spans="4:4" x14ac:dyDescent="0.2">
      <c r="D28" s="28"/>
    </row>
    <row r="29" spans="4:4" x14ac:dyDescent="0.2">
      <c r="D29" s="28"/>
    </row>
    <row r="30" spans="4:4" x14ac:dyDescent="0.2">
      <c r="D30" s="28"/>
    </row>
    <row r="31" spans="4:4" x14ac:dyDescent="0.2">
      <c r="D31" s="28"/>
    </row>
    <row r="32" spans="4:4" x14ac:dyDescent="0.2">
      <c r="D32" s="28"/>
    </row>
    <row r="33" spans="4:4" x14ac:dyDescent="0.2">
      <c r="D33" s="28"/>
    </row>
    <row r="34" spans="4:4" x14ac:dyDescent="0.2">
      <c r="D34" s="28"/>
    </row>
    <row r="35" spans="4:4" x14ac:dyDescent="0.2">
      <c r="D35" s="28"/>
    </row>
    <row r="36" spans="4:4" x14ac:dyDescent="0.2">
      <c r="D36" s="28"/>
    </row>
    <row r="37" spans="4:4" x14ac:dyDescent="0.2">
      <c r="D37" s="28"/>
    </row>
    <row r="38" spans="4:4" x14ac:dyDescent="0.2">
      <c r="D38" s="28"/>
    </row>
    <row r="39" spans="4:4" x14ac:dyDescent="0.2">
      <c r="D39" s="28"/>
    </row>
    <row r="40" spans="4:4" x14ac:dyDescent="0.2">
      <c r="D40" s="28"/>
    </row>
    <row r="41" spans="4:4" x14ac:dyDescent="0.2">
      <c r="D41" s="28"/>
    </row>
    <row r="42" spans="4:4" x14ac:dyDescent="0.2">
      <c r="D42" s="28"/>
    </row>
    <row r="43" spans="4:4" x14ac:dyDescent="0.2">
      <c r="D43" s="28"/>
    </row>
    <row r="44" spans="4:4" x14ac:dyDescent="0.2">
      <c r="D44" s="28"/>
    </row>
    <row r="45" spans="4:4" x14ac:dyDescent="0.2">
      <c r="D45" s="28"/>
    </row>
    <row r="46" spans="4:4" x14ac:dyDescent="0.2">
      <c r="D46" s="28"/>
    </row>
    <row r="47" spans="4:4" x14ac:dyDescent="0.2">
      <c r="D47" s="28"/>
    </row>
    <row r="48" spans="4:4" x14ac:dyDescent="0.2">
      <c r="D48" s="28"/>
    </row>
    <row r="49" spans="4:4" x14ac:dyDescent="0.2">
      <c r="D49" s="28"/>
    </row>
    <row r="50" spans="4:4" x14ac:dyDescent="0.2">
      <c r="D50" s="28"/>
    </row>
    <row r="51" spans="4:4" x14ac:dyDescent="0.2">
      <c r="D51" s="28"/>
    </row>
    <row r="52" spans="4:4" x14ac:dyDescent="0.2">
      <c r="D52" s="28"/>
    </row>
    <row r="53" spans="4:4" x14ac:dyDescent="0.2">
      <c r="D53" s="28"/>
    </row>
    <row r="54" spans="4:4" x14ac:dyDescent="0.2">
      <c r="D54" s="28"/>
    </row>
    <row r="55" spans="4:4" x14ac:dyDescent="0.2">
      <c r="D55" s="28"/>
    </row>
    <row r="56" spans="4:4" x14ac:dyDescent="0.2">
      <c r="D56" s="28"/>
    </row>
    <row r="57" spans="4:4" x14ac:dyDescent="0.2">
      <c r="D57" s="28"/>
    </row>
    <row r="58" spans="4:4" x14ac:dyDescent="0.2">
      <c r="D58" s="28"/>
    </row>
    <row r="59" spans="4:4" x14ac:dyDescent="0.2">
      <c r="D59" s="28"/>
    </row>
    <row r="60" spans="4:4" x14ac:dyDescent="0.2">
      <c r="D60" s="28"/>
    </row>
    <row r="61" spans="4:4" x14ac:dyDescent="0.2">
      <c r="D61" s="28"/>
    </row>
    <row r="62" spans="4:4" x14ac:dyDescent="0.2">
      <c r="D62" s="28"/>
    </row>
    <row r="63" spans="4:4" x14ac:dyDescent="0.2">
      <c r="D63" s="28"/>
    </row>
    <row r="64" spans="4:4" x14ac:dyDescent="0.2">
      <c r="D64" s="28"/>
    </row>
    <row r="65" spans="4:4" x14ac:dyDescent="0.2">
      <c r="D65" s="28"/>
    </row>
    <row r="66" spans="4:4" x14ac:dyDescent="0.2">
      <c r="D66" s="28"/>
    </row>
    <row r="67" spans="4:4" x14ac:dyDescent="0.2">
      <c r="D67" s="28"/>
    </row>
    <row r="68" spans="4:4" x14ac:dyDescent="0.2">
      <c r="D68" s="28"/>
    </row>
    <row r="69" spans="4:4" x14ac:dyDescent="0.2">
      <c r="D69" s="28"/>
    </row>
    <row r="70" spans="4:4" x14ac:dyDescent="0.2">
      <c r="D70" s="28"/>
    </row>
    <row r="71" spans="4:4" x14ac:dyDescent="0.2">
      <c r="D71" s="28"/>
    </row>
    <row r="72" spans="4:4" x14ac:dyDescent="0.2">
      <c r="D72" s="28"/>
    </row>
    <row r="73" spans="4:4" x14ac:dyDescent="0.2">
      <c r="D73" s="28"/>
    </row>
    <row r="74" spans="4:4" x14ac:dyDescent="0.2">
      <c r="D74" s="28"/>
    </row>
    <row r="75" spans="4:4" x14ac:dyDescent="0.2">
      <c r="D75" s="28"/>
    </row>
    <row r="76" spans="4:4" x14ac:dyDescent="0.2">
      <c r="D76" s="28"/>
    </row>
    <row r="77" spans="4:4" x14ac:dyDescent="0.2">
      <c r="D77" s="28"/>
    </row>
    <row r="78" spans="4:4" x14ac:dyDescent="0.2">
      <c r="D78" s="28"/>
    </row>
    <row r="79" spans="4:4" x14ac:dyDescent="0.2">
      <c r="D79" s="28"/>
    </row>
    <row r="80" spans="4:4" x14ac:dyDescent="0.2">
      <c r="D80" s="28"/>
    </row>
    <row r="81" spans="4:4" x14ac:dyDescent="0.2">
      <c r="D81" s="28"/>
    </row>
    <row r="82" spans="4:4" x14ac:dyDescent="0.2">
      <c r="D82" s="28"/>
    </row>
    <row r="83" spans="4:4" x14ac:dyDescent="0.2">
      <c r="D83" s="28"/>
    </row>
    <row r="84" spans="4:4" x14ac:dyDescent="0.2">
      <c r="D84" s="28"/>
    </row>
    <row r="85" spans="4:4" x14ac:dyDescent="0.2">
      <c r="D85" s="28"/>
    </row>
    <row r="86" spans="4:4" x14ac:dyDescent="0.2">
      <c r="D86" s="28"/>
    </row>
    <row r="87" spans="4:4" x14ac:dyDescent="0.2">
      <c r="D87" s="28"/>
    </row>
    <row r="88" spans="4:4" x14ac:dyDescent="0.2">
      <c r="D88" s="28"/>
    </row>
    <row r="89" spans="4:4" x14ac:dyDescent="0.2">
      <c r="D89" s="28"/>
    </row>
    <row r="90" spans="4:4" x14ac:dyDescent="0.2">
      <c r="D90" s="28"/>
    </row>
    <row r="91" spans="4:4" x14ac:dyDescent="0.2">
      <c r="D91" s="28"/>
    </row>
    <row r="92" spans="4:4" x14ac:dyDescent="0.2">
      <c r="D92" s="28"/>
    </row>
    <row r="93" spans="4:4" x14ac:dyDescent="0.2">
      <c r="D93" s="28"/>
    </row>
    <row r="94" spans="4:4" x14ac:dyDescent="0.2">
      <c r="D94" s="28"/>
    </row>
    <row r="95" spans="4:4" x14ac:dyDescent="0.2">
      <c r="D95" s="28"/>
    </row>
    <row r="96" spans="4:4" x14ac:dyDescent="0.2">
      <c r="D96" s="28"/>
    </row>
    <row r="97" spans="4:4" x14ac:dyDescent="0.2">
      <c r="D97" s="28"/>
    </row>
    <row r="98" spans="4:4" x14ac:dyDescent="0.2">
      <c r="D98" s="28"/>
    </row>
    <row r="99" spans="4:4" x14ac:dyDescent="0.2">
      <c r="D99" s="28"/>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E0F38C-18EB-43A9-A16F-F530FFBEAA9F}">
          <x14:formula1>
            <xm:f>'Data Validation'!#REF!</xm:f>
          </x14:formula1>
          <xm:sqref>D100:D1048576</xm:sqref>
        </x14:dataValidation>
        <x14:dataValidation type="list" allowBlank="1" showInputMessage="1" showErrorMessage="1" xr:uid="{D4B8C51A-E404-4A7D-96AB-49D68AC6C359}">
          <x14:formula1>
            <xm:f>'Data Validation'!$B$1:$B$99</xm:f>
          </x14:formula1>
          <xm:sqref>B4:B99 D4:D99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14B2-1527-4A93-9B9E-D57A0533804D}">
  <sheetPr codeName="Sheet20">
    <tabColor rgb="FF0000FF"/>
  </sheetPr>
  <dimension ref="B1:J42"/>
  <sheetViews>
    <sheetView workbookViewId="0">
      <selection activeCell="B4" sqref="B4:G7"/>
    </sheetView>
  </sheetViews>
  <sheetFormatPr defaultRowHeight="12.75" x14ac:dyDescent="0.2"/>
  <cols>
    <col min="1" max="1" width="2.42578125" style="40" customWidth="1"/>
    <col min="2" max="2" width="20" style="40" bestFit="1" customWidth="1"/>
    <col min="3" max="3" width="23.140625" style="40" bestFit="1" customWidth="1"/>
    <col min="4" max="4" width="15.7109375" style="41" bestFit="1" customWidth="1"/>
    <col min="5" max="6" width="17" style="40" customWidth="1"/>
    <col min="7" max="7" width="13.140625" style="171" customWidth="1"/>
    <col min="8" max="8" width="2.28515625" style="1" customWidth="1"/>
    <col min="9" max="9" width="17" style="41" customWidth="1"/>
    <col min="10" max="10" width="9.140625" style="59"/>
    <col min="11" max="16384" width="9.140625" style="40"/>
  </cols>
  <sheetData>
    <row r="1" spans="2:10" x14ac:dyDescent="0.2">
      <c r="B1" s="87" t="s">
        <v>107</v>
      </c>
      <c r="C1" s="87" t="s">
        <v>107</v>
      </c>
      <c r="D1" s="235" t="s">
        <v>107</v>
      </c>
      <c r="E1" s="87" t="s">
        <v>107</v>
      </c>
      <c r="F1" s="87" t="s">
        <v>107</v>
      </c>
      <c r="G1" s="87" t="s">
        <v>107</v>
      </c>
      <c r="H1" s="205"/>
      <c r="I1" s="61" t="s">
        <v>96</v>
      </c>
    </row>
    <row r="2" spans="2:10" ht="15" x14ac:dyDescent="0.35">
      <c r="D2" s="58"/>
      <c r="E2" s="58"/>
      <c r="G2" s="174"/>
      <c r="H2" s="205"/>
    </row>
    <row r="3" spans="2:10" s="38" customFormat="1" ht="15" x14ac:dyDescent="0.35">
      <c r="B3" s="38" t="s">
        <v>21</v>
      </c>
      <c r="C3" s="38" t="s">
        <v>43</v>
      </c>
      <c r="D3" s="39" t="s">
        <v>164</v>
      </c>
      <c r="E3" s="38" t="s">
        <v>249</v>
      </c>
      <c r="F3" s="38" t="s">
        <v>22</v>
      </c>
      <c r="G3" s="39" t="s">
        <v>233</v>
      </c>
      <c r="H3" s="39"/>
      <c r="I3" s="39" t="s">
        <v>91</v>
      </c>
      <c r="J3" s="60"/>
    </row>
    <row r="4" spans="2:10" x14ac:dyDescent="0.2">
      <c r="E4" s="170"/>
      <c r="F4" s="127"/>
      <c r="G4" s="173"/>
      <c r="H4" s="41"/>
      <c r="I4" s="41" t="str" cm="1">
        <f t="array" ref="I4:I23">TEXT(F4:F23,"mmm")&amp;" "&amp;C4:C23</f>
        <v xml:space="preserve">Jan </v>
      </c>
    </row>
    <row r="5" spans="2:10" x14ac:dyDescent="0.2">
      <c r="E5" s="170"/>
      <c r="F5" s="35"/>
      <c r="G5" s="173"/>
      <c r="H5" s="41"/>
      <c r="I5" s="41" t="str">
        <v xml:space="preserve">Jan </v>
      </c>
    </row>
    <row r="6" spans="2:10" x14ac:dyDescent="0.2">
      <c r="E6" s="170"/>
      <c r="F6" s="35"/>
      <c r="G6" s="173"/>
      <c r="H6" s="41"/>
      <c r="I6" s="41" t="str">
        <v xml:space="preserve">Jan </v>
      </c>
    </row>
    <row r="7" spans="2:10" x14ac:dyDescent="0.2">
      <c r="E7" s="170"/>
      <c r="F7" s="35"/>
      <c r="G7" s="173"/>
      <c r="H7" s="41"/>
      <c r="I7" s="41" t="str">
        <v xml:space="preserve">Jan </v>
      </c>
    </row>
    <row r="8" spans="2:10" x14ac:dyDescent="0.2">
      <c r="E8" s="170"/>
      <c r="G8" s="173"/>
      <c r="H8" s="41"/>
      <c r="I8" s="41" t="str">
        <v xml:space="preserve">Jan </v>
      </c>
    </row>
    <row r="9" spans="2:10" x14ac:dyDescent="0.2">
      <c r="E9" s="170"/>
      <c r="G9" s="173"/>
      <c r="H9" s="41"/>
      <c r="I9" s="41" t="str">
        <v xml:space="preserve">Jan </v>
      </c>
    </row>
    <row r="10" spans="2:10" x14ac:dyDescent="0.2">
      <c r="E10" s="170"/>
      <c r="G10" s="173"/>
      <c r="H10" s="206"/>
      <c r="I10" s="41" t="str">
        <v xml:space="preserve">Jan </v>
      </c>
    </row>
    <row r="11" spans="2:10" x14ac:dyDescent="0.2">
      <c r="E11" s="170"/>
      <c r="G11" s="173"/>
      <c r="H11" s="206"/>
      <c r="I11" s="41" t="str">
        <v xml:space="preserve">Jan </v>
      </c>
    </row>
    <row r="12" spans="2:10" x14ac:dyDescent="0.2">
      <c r="E12" s="170"/>
      <c r="G12" s="173"/>
      <c r="H12" s="206"/>
      <c r="I12" s="41" t="str">
        <v xml:space="preserve">Jan </v>
      </c>
    </row>
    <row r="13" spans="2:10" x14ac:dyDescent="0.2">
      <c r="E13" s="170"/>
      <c r="G13" s="173"/>
      <c r="H13" s="206"/>
      <c r="I13" s="41" t="str">
        <v xml:space="preserve">Jan </v>
      </c>
    </row>
    <row r="14" spans="2:10" x14ac:dyDescent="0.2">
      <c r="E14" s="170"/>
      <c r="G14" s="173"/>
      <c r="H14" s="206"/>
      <c r="I14" s="41" t="str">
        <v xml:space="preserve">Jan </v>
      </c>
    </row>
    <row r="15" spans="2:10" x14ac:dyDescent="0.2">
      <c r="E15" s="170"/>
      <c r="G15" s="173"/>
      <c r="H15" s="206"/>
      <c r="I15" s="41" t="str">
        <v xml:space="preserve">Jan </v>
      </c>
    </row>
    <row r="16" spans="2:10" x14ac:dyDescent="0.2">
      <c r="E16" s="170"/>
      <c r="G16" s="173"/>
      <c r="H16" s="206"/>
      <c r="I16" s="41" t="str">
        <v xml:space="preserve">Jan </v>
      </c>
    </row>
    <row r="17" spans="5:9" x14ac:dyDescent="0.2">
      <c r="E17" s="170"/>
      <c r="G17" s="173"/>
      <c r="H17" s="206"/>
      <c r="I17" s="41" t="str">
        <v xml:space="preserve">Jan </v>
      </c>
    </row>
    <row r="18" spans="5:9" x14ac:dyDescent="0.2">
      <c r="E18" s="170"/>
      <c r="G18" s="173"/>
      <c r="H18" s="206"/>
      <c r="I18" s="41" t="str">
        <v xml:space="preserve">Jan </v>
      </c>
    </row>
    <row r="19" spans="5:9" x14ac:dyDescent="0.2">
      <c r="E19" s="170"/>
      <c r="G19" s="173"/>
      <c r="H19" s="206"/>
      <c r="I19" s="41" t="str">
        <v xml:space="preserve">Jan </v>
      </c>
    </row>
    <row r="20" spans="5:9" x14ac:dyDescent="0.2">
      <c r="E20" s="170"/>
      <c r="G20" s="172"/>
      <c r="H20" s="206"/>
      <c r="I20" s="41" t="str">
        <v xml:space="preserve">Jan </v>
      </c>
    </row>
    <row r="21" spans="5:9" x14ac:dyDescent="0.2">
      <c r="E21" s="170"/>
      <c r="G21" s="172"/>
      <c r="H21" s="206"/>
      <c r="I21" s="41" t="str">
        <v xml:space="preserve">Jan </v>
      </c>
    </row>
    <row r="22" spans="5:9" x14ac:dyDescent="0.2">
      <c r="E22" s="170"/>
      <c r="G22" s="172"/>
      <c r="H22" s="41"/>
      <c r="I22" s="41" t="str">
        <v xml:space="preserve">Jan </v>
      </c>
    </row>
    <row r="23" spans="5:9" x14ac:dyDescent="0.2">
      <c r="E23" s="170"/>
      <c r="G23" s="172"/>
      <c r="H23" s="207"/>
      <c r="I23" s="41" t="str">
        <v xml:space="preserve">Jan </v>
      </c>
    </row>
    <row r="24" spans="5:9" x14ac:dyDescent="0.2">
      <c r="G24" s="172"/>
      <c r="H24" s="207"/>
    </row>
    <row r="25" spans="5:9" x14ac:dyDescent="0.2">
      <c r="G25" s="172"/>
      <c r="H25" s="207"/>
    </row>
    <row r="26" spans="5:9" x14ac:dyDescent="0.2">
      <c r="G26" s="172"/>
      <c r="H26" s="41"/>
    </row>
    <row r="27" spans="5:9" x14ac:dyDescent="0.2">
      <c r="G27" s="172"/>
      <c r="H27" s="207"/>
    </row>
    <row r="28" spans="5:9" x14ac:dyDescent="0.2">
      <c r="H28" s="207"/>
    </row>
    <row r="29" spans="5:9" x14ac:dyDescent="0.2">
      <c r="H29" s="207"/>
    </row>
    <row r="30" spans="5:9" x14ac:dyDescent="0.2">
      <c r="H30" s="207"/>
    </row>
    <row r="31" spans="5:9" x14ac:dyDescent="0.2">
      <c r="H31" s="207"/>
    </row>
    <row r="32" spans="5:9" x14ac:dyDescent="0.2">
      <c r="H32" s="207"/>
    </row>
    <row r="33" spans="8:8" x14ac:dyDescent="0.2">
      <c r="H33" s="207"/>
    </row>
    <row r="34" spans="8:8" x14ac:dyDescent="0.2">
      <c r="H34" s="207"/>
    </row>
    <row r="35" spans="8:8" x14ac:dyDescent="0.2">
      <c r="H35" s="207"/>
    </row>
    <row r="36" spans="8:8" x14ac:dyDescent="0.2">
      <c r="H36" s="207"/>
    </row>
    <row r="37" spans="8:8" x14ac:dyDescent="0.2">
      <c r="H37" s="207"/>
    </row>
    <row r="38" spans="8:8" x14ac:dyDescent="0.2">
      <c r="H38" s="207"/>
    </row>
    <row r="39" spans="8:8" x14ac:dyDescent="0.2">
      <c r="H39" s="207"/>
    </row>
    <row r="40" spans="8:8" x14ac:dyDescent="0.2">
      <c r="H40" s="207"/>
    </row>
    <row r="41" spans="8:8" x14ac:dyDescent="0.2">
      <c r="H41" s="207"/>
    </row>
    <row r="42" spans="8:8" x14ac:dyDescent="0.2">
      <c r="H42" s="207"/>
    </row>
  </sheetData>
  <autoFilter ref="B3:G6" xr:uid="{2E8A14B2-1527-4A93-9B9E-D57A0533804D}"/>
  <conditionalFormatting sqref="E1:H1048576">
    <cfRule type="cellIs" priority="1" operator="greaterThan">
      <formula>TODAY()</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AFAE3-0895-4486-A25A-A74D1F3DA1AE}">
          <x14:formula1>
            <xm:f>'Data Validation'!$B$1:$B$99</xm:f>
          </x14:formula1>
          <xm:sqref>B4:B99</xm:sqref>
        </x14:dataValidation>
        <x14:dataValidation type="list" allowBlank="1" showInputMessage="1" showErrorMessage="1" xr:uid="{5462493F-E33B-4468-AE63-48C2A74F02B1}">
          <x14:formula1>
            <xm:f>'Data Validation'!$C$2:$C$9</xm:f>
          </x14:formula1>
          <xm:sqref>E4:E99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DD182-16A1-43FC-91B8-3BB7D2013D2B}">
  <sheetPr codeName="Sheet21">
    <tabColor rgb="FF0000FF"/>
  </sheetPr>
  <dimension ref="B1:H54"/>
  <sheetViews>
    <sheetView workbookViewId="0">
      <selection activeCell="B4" sqref="B4:F19"/>
    </sheetView>
  </sheetViews>
  <sheetFormatPr defaultRowHeight="12.75" x14ac:dyDescent="0.2"/>
  <cols>
    <col min="1" max="1" width="2.5703125" customWidth="1"/>
    <col min="2" max="2" width="20.85546875" bestFit="1" customWidth="1"/>
    <col min="3" max="3" width="25" bestFit="1" customWidth="1"/>
    <col min="4" max="4" width="40.28515625" bestFit="1" customWidth="1"/>
    <col min="5" max="5" width="13.7109375" style="35" bestFit="1" customWidth="1"/>
    <col min="6" max="6" width="15.5703125" style="41" customWidth="1"/>
    <col min="7" max="7" width="2.140625" style="2" customWidth="1"/>
    <col min="8" max="8" width="24.28515625" bestFit="1" customWidth="1"/>
  </cols>
  <sheetData>
    <row r="1" spans="2:8" x14ac:dyDescent="0.2">
      <c r="B1" s="87" t="s">
        <v>107</v>
      </c>
      <c r="C1" s="87" t="s">
        <v>107</v>
      </c>
      <c r="D1" s="87" t="s">
        <v>107</v>
      </c>
      <c r="E1" s="87" t="s">
        <v>107</v>
      </c>
      <c r="F1" s="87" t="s">
        <v>107</v>
      </c>
      <c r="H1" s="61" t="s">
        <v>96</v>
      </c>
    </row>
    <row r="3" spans="2:8" s="23" customFormat="1" ht="15" x14ac:dyDescent="0.35">
      <c r="B3" s="38" t="s">
        <v>21</v>
      </c>
      <c r="C3" s="38" t="s">
        <v>43</v>
      </c>
      <c r="D3" s="38" t="s">
        <v>3</v>
      </c>
      <c r="E3" s="38" t="s">
        <v>22</v>
      </c>
      <c r="F3" s="39" t="s">
        <v>8</v>
      </c>
      <c r="G3" s="26"/>
      <c r="H3" s="38" t="s">
        <v>91</v>
      </c>
    </row>
    <row r="4" spans="2:8" x14ac:dyDescent="0.2">
      <c r="B4" s="40"/>
      <c r="C4" s="40"/>
      <c r="D4" s="40"/>
      <c r="F4" s="198"/>
      <c r="H4" s="40" t="str" cm="1">
        <f t="array" ref="H4:H54">TEXT(E4:E54,"mmm")&amp;" "&amp;C4:C54</f>
        <v xml:space="preserve">Jan </v>
      </c>
    </row>
    <row r="5" spans="2:8" x14ac:dyDescent="0.2">
      <c r="B5" s="40"/>
      <c r="C5" s="40"/>
      <c r="D5" s="40"/>
      <c r="H5" s="40" t="str">
        <v xml:space="preserve">Jan </v>
      </c>
    </row>
    <row r="6" spans="2:8" x14ac:dyDescent="0.2">
      <c r="B6" s="40"/>
      <c r="C6" s="40"/>
      <c r="D6" s="40"/>
      <c r="H6" s="40" t="str">
        <v xml:space="preserve">Jan </v>
      </c>
    </row>
    <row r="7" spans="2:8" x14ac:dyDescent="0.2">
      <c r="B7" s="40"/>
      <c r="C7" s="40"/>
      <c r="D7" s="40"/>
      <c r="H7" s="40" t="str">
        <v xml:space="preserve">Jan </v>
      </c>
    </row>
    <row r="8" spans="2:8" x14ac:dyDescent="0.2">
      <c r="B8" s="40"/>
      <c r="C8" s="40"/>
      <c r="D8" s="28"/>
      <c r="H8" s="40" t="str">
        <v xml:space="preserve">Jan </v>
      </c>
    </row>
    <row r="9" spans="2:8" x14ac:dyDescent="0.2">
      <c r="B9" s="40"/>
      <c r="C9" s="40"/>
      <c r="H9" s="40" t="str">
        <v xml:space="preserve">Jan </v>
      </c>
    </row>
    <row r="10" spans="2:8" x14ac:dyDescent="0.2">
      <c r="B10" s="40"/>
      <c r="C10" s="40"/>
      <c r="H10" s="40" t="str">
        <v xml:space="preserve">Jan </v>
      </c>
    </row>
    <row r="11" spans="2:8" x14ac:dyDescent="0.2">
      <c r="B11" s="40"/>
      <c r="C11" s="40"/>
      <c r="H11" s="40" t="str">
        <v xml:space="preserve">Jan </v>
      </c>
    </row>
    <row r="12" spans="2:8" x14ac:dyDescent="0.2">
      <c r="B12" s="40"/>
      <c r="C12" s="40"/>
      <c r="H12" t="str">
        <v xml:space="preserve">Jan </v>
      </c>
    </row>
    <row r="13" spans="2:8" x14ac:dyDescent="0.2">
      <c r="B13" s="40"/>
      <c r="C13" s="40"/>
      <c r="H13" t="str">
        <v xml:space="preserve">Jan </v>
      </c>
    </row>
    <row r="14" spans="2:8" x14ac:dyDescent="0.2">
      <c r="B14" s="40"/>
      <c r="C14" s="40"/>
      <c r="H14" t="str">
        <v xml:space="preserve">Jan </v>
      </c>
    </row>
    <row r="15" spans="2:8" x14ac:dyDescent="0.2">
      <c r="H15" t="str">
        <v xml:space="preserve">Jan </v>
      </c>
    </row>
    <row r="16" spans="2:8" x14ac:dyDescent="0.2">
      <c r="B16" s="40"/>
      <c r="C16" s="40"/>
      <c r="H16" t="str">
        <v xml:space="preserve">Jan </v>
      </c>
    </row>
    <row r="17" spans="2:8" x14ac:dyDescent="0.2">
      <c r="C17" s="40"/>
      <c r="H17" t="str">
        <v xml:space="preserve">Jan </v>
      </c>
    </row>
    <row r="18" spans="2:8" x14ac:dyDescent="0.2">
      <c r="C18" s="40"/>
      <c r="H18" t="str">
        <v xml:space="preserve">Jan </v>
      </c>
    </row>
    <row r="19" spans="2:8" x14ac:dyDescent="0.2">
      <c r="B19" s="28"/>
      <c r="C19" s="40"/>
      <c r="H19" t="str">
        <v xml:space="preserve">Jan </v>
      </c>
    </row>
    <row r="20" spans="2:8" x14ac:dyDescent="0.2">
      <c r="H20" t="str">
        <v xml:space="preserve">Jan </v>
      </c>
    </row>
    <row r="21" spans="2:8" x14ac:dyDescent="0.2">
      <c r="H21" t="str">
        <v xml:space="preserve">Jan </v>
      </c>
    </row>
    <row r="22" spans="2:8" x14ac:dyDescent="0.2">
      <c r="H22" t="str">
        <v xml:space="preserve">Jan </v>
      </c>
    </row>
    <row r="23" spans="2:8" x14ac:dyDescent="0.2">
      <c r="H23" t="str">
        <v xml:space="preserve">Jan </v>
      </c>
    </row>
    <row r="24" spans="2:8" x14ac:dyDescent="0.2">
      <c r="H24" t="str">
        <v xml:space="preserve">Jan </v>
      </c>
    </row>
    <row r="25" spans="2:8" x14ac:dyDescent="0.2">
      <c r="H25" t="str">
        <v xml:space="preserve">Jan </v>
      </c>
    </row>
    <row r="26" spans="2:8" x14ac:dyDescent="0.2">
      <c r="H26" t="str">
        <v xml:space="preserve">Jan </v>
      </c>
    </row>
    <row r="27" spans="2:8" x14ac:dyDescent="0.2">
      <c r="H27" t="str">
        <v xml:space="preserve">Jan </v>
      </c>
    </row>
    <row r="28" spans="2:8" x14ac:dyDescent="0.2">
      <c r="H28" t="str">
        <v xml:space="preserve">Jan </v>
      </c>
    </row>
    <row r="29" spans="2:8" x14ac:dyDescent="0.2">
      <c r="H29" t="str">
        <v xml:space="preserve">Jan </v>
      </c>
    </row>
    <row r="30" spans="2:8" x14ac:dyDescent="0.2">
      <c r="H30" t="str">
        <v xml:space="preserve">Jan </v>
      </c>
    </row>
    <row r="31" spans="2:8" x14ac:dyDescent="0.2">
      <c r="H31" t="str">
        <v xml:space="preserve">Jan </v>
      </c>
    </row>
    <row r="32" spans="2:8" x14ac:dyDescent="0.2">
      <c r="H32" t="str">
        <v xml:space="preserve">Jan </v>
      </c>
    </row>
    <row r="33" spans="8:8" x14ac:dyDescent="0.2">
      <c r="H33" t="str">
        <v xml:space="preserve">Jan </v>
      </c>
    </row>
    <row r="34" spans="8:8" x14ac:dyDescent="0.2">
      <c r="H34" t="str">
        <v xml:space="preserve">Jan </v>
      </c>
    </row>
    <row r="35" spans="8:8" x14ac:dyDescent="0.2">
      <c r="H35" t="str">
        <v xml:space="preserve">Jan </v>
      </c>
    </row>
    <row r="36" spans="8:8" x14ac:dyDescent="0.2">
      <c r="H36" t="str">
        <v xml:space="preserve">Jan </v>
      </c>
    </row>
    <row r="37" spans="8:8" x14ac:dyDescent="0.2">
      <c r="H37" t="str">
        <v xml:space="preserve">Jan </v>
      </c>
    </row>
    <row r="38" spans="8:8" x14ac:dyDescent="0.2">
      <c r="H38" t="str">
        <v xml:space="preserve">Jan </v>
      </c>
    </row>
    <row r="39" spans="8:8" x14ac:dyDescent="0.2">
      <c r="H39" t="str">
        <v xml:space="preserve">Jan </v>
      </c>
    </row>
    <row r="40" spans="8:8" x14ac:dyDescent="0.2">
      <c r="H40" t="str">
        <v xml:space="preserve">Jan </v>
      </c>
    </row>
    <row r="41" spans="8:8" x14ac:dyDescent="0.2">
      <c r="H41" t="str">
        <v xml:space="preserve">Jan </v>
      </c>
    </row>
    <row r="42" spans="8:8" x14ac:dyDescent="0.2">
      <c r="H42" t="str">
        <v xml:space="preserve">Jan </v>
      </c>
    </row>
    <row r="43" spans="8:8" x14ac:dyDescent="0.2">
      <c r="H43" t="str">
        <v xml:space="preserve">Jan </v>
      </c>
    </row>
    <row r="44" spans="8:8" x14ac:dyDescent="0.2">
      <c r="H44" t="str">
        <v xml:space="preserve">Jan </v>
      </c>
    </row>
    <row r="45" spans="8:8" x14ac:dyDescent="0.2">
      <c r="H45" t="str">
        <v xml:space="preserve">Jan </v>
      </c>
    </row>
    <row r="46" spans="8:8" x14ac:dyDescent="0.2">
      <c r="H46" t="str">
        <v xml:space="preserve">Jan </v>
      </c>
    </row>
    <row r="47" spans="8:8" x14ac:dyDescent="0.2">
      <c r="H47" t="str">
        <v xml:space="preserve">Jan </v>
      </c>
    </row>
    <row r="48" spans="8:8" x14ac:dyDescent="0.2">
      <c r="H48" t="str">
        <v xml:space="preserve">Jan </v>
      </c>
    </row>
    <row r="49" spans="8:8" x14ac:dyDescent="0.2">
      <c r="H49" t="str">
        <v xml:space="preserve">Jan </v>
      </c>
    </row>
    <row r="50" spans="8:8" x14ac:dyDescent="0.2">
      <c r="H50" t="str">
        <v xml:space="preserve">Jan </v>
      </c>
    </row>
    <row r="51" spans="8:8" x14ac:dyDescent="0.2">
      <c r="H51" t="str">
        <v xml:space="preserve">Jan </v>
      </c>
    </row>
    <row r="52" spans="8:8" x14ac:dyDescent="0.2">
      <c r="H52" t="str">
        <v xml:space="preserve">Jan </v>
      </c>
    </row>
    <row r="53" spans="8:8" x14ac:dyDescent="0.2">
      <c r="H53" t="str">
        <v xml:space="preserve">Jan </v>
      </c>
    </row>
    <row r="54" spans="8:8" x14ac:dyDescent="0.2">
      <c r="H54" t="str">
        <v xml:space="preserve">Jan </v>
      </c>
    </row>
  </sheetData>
  <autoFilter ref="B3:F5" xr:uid="{42BDD182-16A1-43FC-91B8-3BB7D2013D2B}"/>
  <conditionalFormatting sqref="G1:G1048576">
    <cfRule type="cellIs" priority="1" operator="greaterThan">
      <formula>TODAY()</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21C2ECA-701E-4E92-BA86-EA94B487F473}">
          <x14:formula1>
            <xm:f>'Data Validation'!$B$2:$B$50</xm:f>
          </x14:formula1>
          <xm:sqref>B55:B1048576</xm:sqref>
        </x14:dataValidation>
        <x14:dataValidation type="list" allowBlank="1" showInputMessage="1" showErrorMessage="1" xr:uid="{40EC9BB8-BACF-4841-B6FB-552706D2CC49}">
          <x14:formula1>
            <xm:f>'Credit Cards'!$B$4:$B$24</xm:f>
          </x14:formula1>
          <xm:sqref>D55:D1048576</xm:sqref>
        </x14:dataValidation>
        <x14:dataValidation type="list" allowBlank="1" showInputMessage="1" showErrorMessage="1" xr:uid="{851AFF35-3F41-4AD2-AFF8-2845223741BA}">
          <x14:formula1>
            <xm:f>'Data Validation'!$B$1:$B$99</xm:f>
          </x14:formula1>
          <xm:sqref>B4:B54</xm:sqref>
        </x14:dataValidation>
        <x14:dataValidation type="list" allowBlank="1" showInputMessage="1" showErrorMessage="1" xr:uid="{AEDFBB97-E379-405C-BBBB-B9698788473A}">
          <x14:formula1>
            <xm:f>'Data Validation'!$D$2:$D$99</xm:f>
          </x14:formula1>
          <xm:sqref>D4:D54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9487-D0F6-4DEB-84E5-CD9AF42CC274}">
  <sheetPr codeName="Sheet22">
    <tabColor rgb="FF0000FF"/>
  </sheetPr>
  <dimension ref="B1:D13"/>
  <sheetViews>
    <sheetView workbookViewId="0">
      <selection activeCell="C3" sqref="C3:C9"/>
    </sheetView>
  </sheetViews>
  <sheetFormatPr defaultRowHeight="12.75" x14ac:dyDescent="0.2"/>
  <cols>
    <col min="1" max="1" width="1.28515625" customWidth="1"/>
    <col min="2" max="2" width="37.42578125" bestFit="1" customWidth="1"/>
    <col min="3" max="3" width="24" bestFit="1" customWidth="1"/>
  </cols>
  <sheetData>
    <row r="1" spans="2:4" x14ac:dyDescent="0.2">
      <c r="C1" s="87" t="s">
        <v>107</v>
      </c>
    </row>
    <row r="3" spans="2:4" x14ac:dyDescent="0.2">
      <c r="B3" s="28" t="s">
        <v>102</v>
      </c>
      <c r="C3" s="123"/>
    </row>
    <row r="4" spans="2:4" x14ac:dyDescent="0.2">
      <c r="B4" s="28" t="s">
        <v>115</v>
      </c>
      <c r="C4" s="28"/>
    </row>
    <row r="6" spans="2:4" x14ac:dyDescent="0.2">
      <c r="B6" s="28" t="s">
        <v>114</v>
      </c>
    </row>
    <row r="7" spans="2:4" x14ac:dyDescent="0.2">
      <c r="B7" s="28" t="s">
        <v>109</v>
      </c>
      <c r="D7" s="28"/>
    </row>
    <row r="8" spans="2:4" x14ac:dyDescent="0.2">
      <c r="B8" s="88" t="s">
        <v>121</v>
      </c>
    </row>
    <row r="9" spans="2:4" x14ac:dyDescent="0.2">
      <c r="B9" s="88" t="s">
        <v>122</v>
      </c>
    </row>
    <row r="11" spans="2:4" x14ac:dyDescent="0.2">
      <c r="B11" s="28" t="s">
        <v>123</v>
      </c>
    </row>
    <row r="12" spans="2:4" x14ac:dyDescent="0.2">
      <c r="B12" s="28" t="s">
        <v>124</v>
      </c>
      <c r="C12" s="153">
        <f>SUM($C$7:C8)</f>
        <v>0</v>
      </c>
    </row>
    <row r="13" spans="2:4" x14ac:dyDescent="0.2">
      <c r="B13" s="28" t="s">
        <v>125</v>
      </c>
      <c r="C13" s="153">
        <f>SUM($C$7:C9)</f>
        <v>0</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election activeCell="I34" sqref="I34"/>
    </sheetView>
  </sheetViews>
  <sheetFormatPr defaultRowHeight="12.75" x14ac:dyDescent="0.2"/>
  <cols>
    <col min="1" max="16384" width="9.140625" style="27"/>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heetViews>
  <sheetFormatPr defaultRowHeight="12.75" x14ac:dyDescent="0.2"/>
  <cols>
    <col min="1" max="1" width="24.5703125" customWidth="1"/>
    <col min="2" max="2" width="24.5703125" bestFit="1" customWidth="1"/>
    <col min="3" max="14" width="17" customWidth="1"/>
  </cols>
  <sheetData>
    <row r="1" spans="1:14" s="225" customFormat="1" ht="15" x14ac:dyDescent="0.35">
      <c r="A1" s="225" t="s">
        <v>21</v>
      </c>
      <c r="B1" s="225" t="s">
        <v>288</v>
      </c>
      <c r="C1" s="225" t="s">
        <v>312</v>
      </c>
      <c r="D1" s="225" t="s">
        <v>314</v>
      </c>
      <c r="E1" s="225" t="s">
        <v>313</v>
      </c>
      <c r="F1" s="225" t="s">
        <v>309</v>
      </c>
      <c r="G1" s="225" t="s">
        <v>315</v>
      </c>
      <c r="H1" s="225" t="s">
        <v>316</v>
      </c>
      <c r="I1" s="225" t="s">
        <v>311</v>
      </c>
      <c r="J1" s="225" t="s">
        <v>317</v>
      </c>
      <c r="K1" s="225" t="s">
        <v>318</v>
      </c>
      <c r="L1" s="225" t="s">
        <v>310</v>
      </c>
      <c r="M1" s="225" t="s">
        <v>319</v>
      </c>
      <c r="N1" s="225" t="s">
        <v>320</v>
      </c>
    </row>
    <row r="2" spans="1:14" x14ac:dyDescent="0.2">
      <c r="A2" s="28" t="s">
        <v>303</v>
      </c>
      <c r="B2" t="s">
        <v>267</v>
      </c>
      <c r="C2" s="224">
        <f ca="1">_xlfn.LET(_xlpm.end_date,MAX(Raw!$H$3:$H$9149),
_xlpm.start_date,_xlpm.end_date-30,
_xlpm.NTM_day_count,EDATE(TODAY(),12)-TODAY(),
_xlpm.total_spend,SUMIFS(Raw!$F$3:$F$9149,Raw!$H$3:$H$9149,"&gt;="&amp;_xlpm.start_date,Raw!$D$3:$D$9149,'Ref Data'!$B2),
_xlpm.one_day_spend,_xlpm.total_spend/30,
_xlpm.one_day_spend*_xlpm.NTM_day_count)</f>
        <v>0</v>
      </c>
      <c r="D2" s="224">
        <f>_xlfn.LET(_xlpm.end_date,MAX(Raw!$H$3:$H$9149),
_xlpm.start_date,EOMONTH(_xlpm.end_date,-12),
_xlpm.nbr_days,_xlpm.end_date-_xlpm.start_date,
_xlpm.ltm_spend,SUMIFS(Raw!$F$3:$F$9149,Raw!$H$3:$H$9149,"&gt;="&amp;_xlpm.start_date,Raw!$D$3:$D$9149,'Ref Data'!$B2),
_xlpm.ltm_spend)</f>
        <v>0</v>
      </c>
      <c r="E2" s="224" t="e">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#DIV/0!</v>
      </c>
      <c r="F2" s="224">
        <f>_xlfn.LET(_xlpm.end_date,MAX(Raw!$H$3:$H$9149),
_xlpm.start_date,_xlpm.end_date-30,
SUMIFS(Raw!$F$3:$F$9149,Raw!$H$3:$H$9149,"&gt;="&amp;_xlpm.start_date,Raw!$D$3:$D$9149,'Ref Data'!$B2))</f>
        <v>0</v>
      </c>
      <c r="G2" s="224" t="e">
        <f>_xlfn.LET(_xlpm.end_date,MAX(Raw!$H$3:$H$9149),
_xlpm.start_date,EOMONTH(_xlpm.end_date,-12),
_xlpm.nbr_days,_xlpm.end_date-_xlpm.start_date,
_xlpm.ltm_spend,SUMIFS(Raw!$F$3:$F$9149,Raw!$H$3:$H$9149,"&gt;="&amp;_xlpm.start_date,Raw!$D$3:$D$9149,'Ref Data'!$B2),
_xlpm.one_day_spend,_xlpm.ltm_spend/_xlpm.nbr_days,
_xlpm.one_day_spend*30)</f>
        <v>#NUM!</v>
      </c>
      <c r="H2" s="224" t="e">
        <f>_xlfn.LET(_xlpm.total_spend,SUMIFS(Raw!$F$3:$F$9149,Raw!$D$3:$D$9149,'Ref Data'!$B2),
_xlpm.start_date,MIN(Raw!$H$3:$H$9149),
_xlpm.end_date,MAX(Raw!$H$3:$H$9149),
_xlpm.nbr_days,_xlpm.end_date-_xlpm.start_date,
_xlpm.one_day_spend,_xlpm.total_spend/_xlpm.nbr_days,
_xlpm.one_day_spend*30)</f>
        <v>#DIV/0!</v>
      </c>
      <c r="I2" s="224">
        <f>_xlfn.LET(_xlpm.end_date,MAX(Raw!$H$3:$H$9149),
_xlpm.start_date,_xlpm.end_date-30,
SUMIFS(Raw!$F$3:$F$9149,Raw!$H$3:$H$9149,"&gt;="&amp;_xlpm.start_date,Raw!$D$3:$D$9149,'Ref Data'!$B2)/30*7)</f>
        <v>0</v>
      </c>
      <c r="J2" s="224" t="e">
        <f>_xlfn.LET(_xlpm.end_date,MAX(Raw!$H$3:$H$9149),
_xlpm.start_date,EOMONTH(_xlpm.end_date,-12),
_xlpm.nbr_days,_xlpm.end_date-_xlpm.start_date,
_xlpm.ltm_spend,SUMIFS(Raw!$F$3:$F$9149,Raw!$H$3:$H$9149,"&gt;="&amp;_xlpm.start_date,Raw!$D$3:$D$9149,'Ref Data'!$B2),
_xlpm.one_day_spend,_xlpm.ltm_spend/_xlpm.nbr_days,
_xlpm.one_day_spend*7)</f>
        <v>#NUM!</v>
      </c>
      <c r="K2" s="224" t="e">
        <f>_xlfn.LET(_xlpm.total_spend,SUMIFS(Raw!$F$3:$F$9149,Raw!$D$3:$D$9149,'Ref Data'!$B2),
_xlpm.start_date,MIN(Raw!$H$3:$H$9149),
_xlpm.end_date,MAX(Raw!$H$3:$H$9149),
_xlpm.nbr_days,_xlpm.end_date-_xlpm.start_date,
_xlpm.one_day_spend,_xlpm.total_spend/_xlpm.nbr_days,
_xlpm.one_day_spend*7)</f>
        <v>#DIV/0!</v>
      </c>
      <c r="L2" s="224">
        <f>_xlfn.LET(_xlpm.end_date,MAX(Raw!$H$3:$H$9149),
_xlpm.start_date,_xlpm.end_date-30,
SUMIFS(Raw!$F$3:$F$9149,Raw!$H$3:$H$9149,"&gt;="&amp;_xlpm.start_date,Raw!$D$3:$D$9149,'Ref Data'!$B2)/30)</f>
        <v>0</v>
      </c>
      <c r="M2" s="224" t="e">
        <f>_xlfn.LET(_xlpm.end_date,MAX(Raw!$H$3:$H$9149),
_xlpm.start_date,EOMONTH(_xlpm.end_date,-12),
_xlpm.nbr_days,_xlpm.end_date-_xlpm.start_date,
_xlpm.ltm_spend,SUMIFS(Raw!$F$3:$F$9149,Raw!$H$3:$H$9149,"&gt;="&amp;_xlpm.start_date,Raw!$D$3:$D$9149,'Ref Data'!$B2),
_xlpm.one_day_spend,_xlpm.ltm_spend/_xlpm.nbr_days,
_xlpm.one_day_spend)</f>
        <v>#NUM!</v>
      </c>
      <c r="N2" s="224" t="e">
        <f>_xlfn.LET(_xlpm.total_spend,SUMIFS(Raw!$F$3:$F$9149,Raw!$D$3:$D$9149,'Ref Data'!$B2),
_xlpm.start_date,MIN(Raw!$H$3:$H$9149),
_xlpm.end_date,MAX(Raw!$H$3:$H$9149),
_xlpm.nbr_days,_xlpm.end_date-_xlpm.start_date,
_xlpm.one_day_spend,_xlpm.total_spend/_xlpm.nbr_days,
_xlpm.one_day_spend)</f>
        <v>#DIV/0!</v>
      </c>
    </row>
    <row r="3" spans="1:14" x14ac:dyDescent="0.2">
      <c r="A3" t="s">
        <v>277</v>
      </c>
      <c r="B3" t="s">
        <v>269</v>
      </c>
      <c r="C3" s="224">
        <f ca="1">_xlfn.LET(_xlpm.end_date,MAX(Raw!$H$3:$H$9149),
_xlpm.start_date,_xlpm.end_date-30,
_xlpm.NTM_day_count,EDATE(TODAY(),12)-TODAY(),
_xlpm.total_spend,SUMIFS(Raw!$F$3:$F$9149,Raw!$H$3:$H$9149,"&gt;="&amp;_xlpm.start_date,Raw!$D$3:$D$9149,'Ref Data'!$B3),
_xlpm.one_day_spend,_xlpm.total_spend/30,
_xlpm.one_day_spend*_xlpm.NTM_day_count)</f>
        <v>0</v>
      </c>
      <c r="D3" s="224">
        <f>_xlfn.LET(_xlpm.end_date,MAX(Raw!$H$3:$H$9149),
_xlpm.start_date,EOMONTH(_xlpm.end_date,-12),
_xlpm.nbr_days,_xlpm.end_date-_xlpm.start_date,
_xlpm.ltm_spend,SUMIFS(Raw!$F$3:$F$9149,Raw!$H$3:$H$9149,"&gt;="&amp;_xlpm.start_date,Raw!$D$3:$D$9149,'Ref Data'!$B3),
_xlpm.ltm_spend)</f>
        <v>0</v>
      </c>
      <c r="E3" s="224" t="e">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#DIV/0!</v>
      </c>
      <c r="F3" s="224">
        <f>_xlfn.LET(_xlpm.end_date,MAX(Raw!$H$3:$H$9149),
_xlpm.start_date,_xlpm.end_date-30,
SUMIFS(Raw!$F$3:$F$9149,Raw!$H$3:$H$9149,"&gt;="&amp;_xlpm.start_date,Raw!$D$3:$D$9149,'Ref Data'!$B3))</f>
        <v>0</v>
      </c>
      <c r="G3" s="224" t="e">
        <f>_xlfn.LET(_xlpm.end_date,MAX(Raw!$H$3:$H$9149),
_xlpm.start_date,EOMONTH(_xlpm.end_date,-12),
_xlpm.nbr_days,_xlpm.end_date-_xlpm.start_date,
_xlpm.ltm_spend,SUMIFS(Raw!$F$3:$F$9149,Raw!$H$3:$H$9149,"&gt;="&amp;_xlpm.start_date,Raw!$D$3:$D$9149,'Ref Data'!$B3),
_xlpm.one_day_spend,_xlpm.ltm_spend/_xlpm.nbr_days,
_xlpm.one_day_spend*30)</f>
        <v>#NUM!</v>
      </c>
      <c r="H3" s="224" t="e">
        <f>_xlfn.LET(_xlpm.total_spend,SUMIFS(Raw!$F$3:$F$9149,Raw!$D$3:$D$9149,'Ref Data'!$B3),
_xlpm.start_date,MIN(Raw!$H$3:$H$9149),
_xlpm.end_date,MAX(Raw!$H$3:$H$9149),
_xlpm.nbr_days,_xlpm.end_date-_xlpm.start_date,
_xlpm.one_day_spend,_xlpm.total_spend/_xlpm.nbr_days,
_xlpm.one_day_spend*30)</f>
        <v>#DIV/0!</v>
      </c>
      <c r="I3" s="224">
        <f>_xlfn.LET(_xlpm.end_date,MAX(Raw!$H$3:$H$9149),
_xlpm.start_date,_xlpm.end_date-30,
SUMIFS(Raw!$F$3:$F$9149,Raw!$H$3:$H$9149,"&gt;="&amp;_xlpm.start_date,Raw!$D$3:$D$9149,'Ref Data'!$B3)/30*7)</f>
        <v>0</v>
      </c>
      <c r="J3" s="224" t="e">
        <f>_xlfn.LET(_xlpm.end_date,MAX(Raw!$H$3:$H$9149),
_xlpm.start_date,EOMONTH(_xlpm.end_date,-12),
_xlpm.nbr_days,_xlpm.end_date-_xlpm.start_date,
_xlpm.ltm_spend,SUMIFS(Raw!$F$3:$F$9149,Raw!$H$3:$H$9149,"&gt;="&amp;_xlpm.start_date,Raw!$D$3:$D$9149,'Ref Data'!$B3),
_xlpm.one_day_spend,_xlpm.ltm_spend/_xlpm.nbr_days,
_xlpm.one_day_spend*7)</f>
        <v>#NUM!</v>
      </c>
      <c r="K3" s="224" t="e">
        <f>_xlfn.LET(_xlpm.total_spend,SUMIFS(Raw!$F$3:$F$9149,Raw!$D$3:$D$9149,'Ref Data'!$B3),
_xlpm.start_date,MIN(Raw!$H$3:$H$9149),
_xlpm.end_date,MAX(Raw!$H$3:$H$9149),
_xlpm.nbr_days,_xlpm.end_date-_xlpm.start_date,
_xlpm.one_day_spend,_xlpm.total_spend/_xlpm.nbr_days,
_xlpm.one_day_spend*7)</f>
        <v>#DIV/0!</v>
      </c>
      <c r="L3" s="224">
        <f>_xlfn.LET(_xlpm.end_date,MAX(Raw!$H$3:$H$9149),
_xlpm.start_date,_xlpm.end_date-30,
SUMIFS(Raw!$F$3:$F$9149,Raw!$H$3:$H$9149,"&gt;="&amp;_xlpm.start_date,Raw!$D$3:$D$9149,'Ref Data'!$B3)/30)</f>
        <v>0</v>
      </c>
      <c r="M3" s="224" t="e">
        <f>_xlfn.LET(_xlpm.end_date,MAX(Raw!$H$3:$H$9149),
_xlpm.start_date,EOMONTH(_xlpm.end_date,-12),
_xlpm.nbr_days,_xlpm.end_date-_xlpm.start_date,
_xlpm.ltm_spend,SUMIFS(Raw!$F$3:$F$9149,Raw!$H$3:$H$9149,"&gt;="&amp;_xlpm.start_date,Raw!$D$3:$D$9149,'Ref Data'!$B3),
_xlpm.one_day_spend,_xlpm.ltm_spend/_xlpm.nbr_days,
_xlpm.one_day_spend)</f>
        <v>#NUM!</v>
      </c>
      <c r="N3" s="224" t="e">
        <f>_xlfn.LET(_xlpm.total_spend,SUMIFS(Raw!$F$3:$F$9149,Raw!$D$3:$D$9149,'Ref Data'!$B3),
_xlpm.start_date,MIN(Raw!$H$3:$H$9149),
_xlpm.end_date,MAX(Raw!$H$3:$H$9149),
_xlpm.nbr_days,_xlpm.end_date-_xlpm.start_date,
_xlpm.one_day_spend,_xlpm.total_spend/_xlpm.nbr_days,
_xlpm.one_day_spend)</f>
        <v>#DIV/0!</v>
      </c>
    </row>
    <row r="4" spans="1:14" x14ac:dyDescent="0.2">
      <c r="A4" t="s">
        <v>277</v>
      </c>
      <c r="B4" t="s">
        <v>277</v>
      </c>
      <c r="C4" s="224">
        <f ca="1">_xlfn.LET(_xlpm.end_date,MAX(Raw!$H$3:$H$9149),
_xlpm.start_date,_xlpm.end_date-30,
_xlpm.NTM_day_count,EDATE(TODAY(),12)-TODAY(),
_xlpm.total_spend,SUMIFS(Raw!$F$3:$F$9149,Raw!$H$3:$H$9149,"&gt;="&amp;_xlpm.start_date,Raw!$D$3:$D$9149,'Ref Data'!$B4),
_xlpm.one_day_spend,_xlpm.total_spend/30,
_xlpm.one_day_spend*_xlpm.NTM_day_count)</f>
        <v>0</v>
      </c>
      <c r="D4" s="224">
        <f>_xlfn.LET(_xlpm.end_date,MAX(Raw!$H$3:$H$9149),
_xlpm.start_date,EOMONTH(_xlpm.end_date,-12),
_xlpm.nbr_days,_xlpm.end_date-_xlpm.start_date,
_xlpm.ltm_spend,SUMIFS(Raw!$F$3:$F$9149,Raw!$H$3:$H$9149,"&gt;="&amp;_xlpm.start_date,Raw!$D$3:$D$9149,'Ref Data'!$B4),
_xlpm.ltm_spend)</f>
        <v>0</v>
      </c>
      <c r="E4" s="224" t="e">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#DIV/0!</v>
      </c>
      <c r="F4" s="224">
        <f>_xlfn.LET(_xlpm.end_date,MAX(Raw!$H$3:$H$9149),
_xlpm.start_date,_xlpm.end_date-30,
SUMIFS(Raw!$F$3:$F$9149,Raw!$H$3:$H$9149,"&gt;="&amp;_xlpm.start_date,Raw!$D$3:$D$9149,'Ref Data'!$B4))</f>
        <v>0</v>
      </c>
      <c r="G4" s="224" t="e">
        <f>_xlfn.LET(_xlpm.end_date,MAX(Raw!$H$3:$H$9149),
_xlpm.start_date,EOMONTH(_xlpm.end_date,-12),
_xlpm.nbr_days,_xlpm.end_date-_xlpm.start_date,
_xlpm.ltm_spend,SUMIFS(Raw!$F$3:$F$9149,Raw!$H$3:$H$9149,"&gt;="&amp;_xlpm.start_date,Raw!$D$3:$D$9149,'Ref Data'!$B4),
_xlpm.one_day_spend,_xlpm.ltm_spend/_xlpm.nbr_days,
_xlpm.one_day_spend*30)</f>
        <v>#NUM!</v>
      </c>
      <c r="H4" s="224" t="e">
        <f>_xlfn.LET(_xlpm.total_spend,SUMIFS(Raw!$F$3:$F$9149,Raw!$D$3:$D$9149,'Ref Data'!$B4),
_xlpm.start_date,MIN(Raw!$H$3:$H$9149),
_xlpm.end_date,MAX(Raw!$H$3:$H$9149),
_xlpm.nbr_days,_xlpm.end_date-_xlpm.start_date,
_xlpm.one_day_spend,_xlpm.total_spend/_xlpm.nbr_days,
_xlpm.one_day_spend*30)</f>
        <v>#DIV/0!</v>
      </c>
      <c r="I4" s="224">
        <f>_xlfn.LET(_xlpm.end_date,MAX(Raw!$H$3:$H$9149),
_xlpm.start_date,_xlpm.end_date-30,
SUMIFS(Raw!$F$3:$F$9149,Raw!$H$3:$H$9149,"&gt;="&amp;_xlpm.start_date,Raw!$D$3:$D$9149,'Ref Data'!$B4)/30*7)</f>
        <v>0</v>
      </c>
      <c r="J4" s="224" t="e">
        <f>_xlfn.LET(_xlpm.end_date,MAX(Raw!$H$3:$H$9149),
_xlpm.start_date,EOMONTH(_xlpm.end_date,-12),
_xlpm.nbr_days,_xlpm.end_date-_xlpm.start_date,
_xlpm.ltm_spend,SUMIFS(Raw!$F$3:$F$9149,Raw!$H$3:$H$9149,"&gt;="&amp;_xlpm.start_date,Raw!$D$3:$D$9149,'Ref Data'!$B4),
_xlpm.one_day_spend,_xlpm.ltm_spend/_xlpm.nbr_days,
_xlpm.one_day_spend*7)</f>
        <v>#NUM!</v>
      </c>
      <c r="K4" s="224" t="e">
        <f>_xlfn.LET(_xlpm.total_spend,SUMIFS(Raw!$F$3:$F$9149,Raw!$D$3:$D$9149,'Ref Data'!$B4),
_xlpm.start_date,MIN(Raw!$H$3:$H$9149),
_xlpm.end_date,MAX(Raw!$H$3:$H$9149),
_xlpm.nbr_days,_xlpm.end_date-_xlpm.start_date,
_xlpm.one_day_spend,_xlpm.total_spend/_xlpm.nbr_days,
_xlpm.one_day_spend*7)</f>
        <v>#DIV/0!</v>
      </c>
      <c r="L4" s="224">
        <f>_xlfn.LET(_xlpm.end_date,MAX(Raw!$H$3:$H$9149),
_xlpm.start_date,_xlpm.end_date-30,
SUMIFS(Raw!$F$3:$F$9149,Raw!$H$3:$H$9149,"&gt;="&amp;_xlpm.start_date,Raw!$D$3:$D$9149,'Ref Data'!$B4)/30)</f>
        <v>0</v>
      </c>
      <c r="M4" s="224" t="e">
        <f>_xlfn.LET(_xlpm.end_date,MAX(Raw!$H$3:$H$9149),
_xlpm.start_date,EOMONTH(_xlpm.end_date,-12),
_xlpm.nbr_days,_xlpm.end_date-_xlpm.start_date,
_xlpm.ltm_spend,SUMIFS(Raw!$F$3:$F$9149,Raw!$H$3:$H$9149,"&gt;="&amp;_xlpm.start_date,Raw!$D$3:$D$9149,'Ref Data'!$B4),
_xlpm.one_day_spend,_xlpm.ltm_spend/_xlpm.nbr_days,
_xlpm.one_day_spend)</f>
        <v>#NUM!</v>
      </c>
      <c r="N4" s="224" t="e">
        <f>_xlfn.LET(_xlpm.total_spend,SUMIFS(Raw!$F$3:$F$9149,Raw!$D$3:$D$9149,'Ref Data'!$B4),
_xlpm.start_date,MIN(Raw!$H$3:$H$9149),
_xlpm.end_date,MAX(Raw!$H$3:$H$9149),
_xlpm.nbr_days,_xlpm.end_date-_xlpm.start_date,
_xlpm.one_day_spend,_xlpm.total_spend/_xlpm.nbr_days,
_xlpm.one_day_spend)</f>
        <v>#DIV/0!</v>
      </c>
    </row>
    <row r="5" spans="1:14" x14ac:dyDescent="0.2">
      <c r="A5" s="28" t="s">
        <v>289</v>
      </c>
      <c r="B5" t="s">
        <v>261</v>
      </c>
      <c r="C5" s="224">
        <f ca="1">_xlfn.LET(_xlpm.end_date,MAX(Raw!$H$3:$H$9149),
_xlpm.start_date,_xlpm.end_date-30,
_xlpm.NTM_day_count,EDATE(TODAY(),12)-TODAY(),
_xlpm.total_spend,SUMIFS(Raw!$F$3:$F$9149,Raw!$H$3:$H$9149,"&gt;="&amp;_xlpm.start_date,Raw!$D$3:$D$9149,'Ref Data'!$B5),
_xlpm.one_day_spend,_xlpm.total_spend/30,
_xlpm.one_day_spend*_xlpm.NTM_day_count)</f>
        <v>0</v>
      </c>
      <c r="D5" s="224">
        <f>_xlfn.LET(_xlpm.end_date,MAX(Raw!$H$3:$H$9149),
_xlpm.start_date,EOMONTH(_xlpm.end_date,-12),
_xlpm.nbr_days,_xlpm.end_date-_xlpm.start_date,
_xlpm.ltm_spend,SUMIFS(Raw!$F$3:$F$9149,Raw!$H$3:$H$9149,"&gt;="&amp;_xlpm.start_date,Raw!$D$3:$D$9149,'Ref Data'!$B5),
_xlpm.ltm_spend)</f>
        <v>0</v>
      </c>
      <c r="E5" s="224" t="e">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#DIV/0!</v>
      </c>
      <c r="F5" s="224">
        <f>_xlfn.LET(_xlpm.end_date,MAX(Raw!$H$3:$H$9149),
_xlpm.start_date,_xlpm.end_date-30,
SUMIFS(Raw!$F$3:$F$9149,Raw!$H$3:$H$9149,"&gt;="&amp;_xlpm.start_date,Raw!$D$3:$D$9149,'Ref Data'!$B5))</f>
        <v>0</v>
      </c>
      <c r="G5" s="224" t="e">
        <f>_xlfn.LET(_xlpm.end_date,MAX(Raw!$H$3:$H$9149),
_xlpm.start_date,EOMONTH(_xlpm.end_date,-12),
_xlpm.nbr_days,_xlpm.end_date-_xlpm.start_date,
_xlpm.ltm_spend,SUMIFS(Raw!$F$3:$F$9149,Raw!$H$3:$H$9149,"&gt;="&amp;_xlpm.start_date,Raw!$D$3:$D$9149,'Ref Data'!$B5),
_xlpm.one_day_spend,_xlpm.ltm_spend/_xlpm.nbr_days,
_xlpm.one_day_spend*30)</f>
        <v>#NUM!</v>
      </c>
      <c r="H5" s="224" t="e">
        <f>_xlfn.LET(_xlpm.total_spend,SUMIFS(Raw!$F$3:$F$9149,Raw!$D$3:$D$9149,'Ref Data'!$B5),
_xlpm.start_date,MIN(Raw!$H$3:$H$9149),
_xlpm.end_date,MAX(Raw!$H$3:$H$9149),
_xlpm.nbr_days,_xlpm.end_date-_xlpm.start_date,
_xlpm.one_day_spend,_xlpm.total_spend/_xlpm.nbr_days,
_xlpm.one_day_spend*30)</f>
        <v>#DIV/0!</v>
      </c>
      <c r="I5" s="224">
        <f>_xlfn.LET(_xlpm.end_date,MAX(Raw!$H$3:$H$9149),
_xlpm.start_date,_xlpm.end_date-30,
SUMIFS(Raw!$F$3:$F$9149,Raw!$H$3:$H$9149,"&gt;="&amp;_xlpm.start_date,Raw!$D$3:$D$9149,'Ref Data'!$B5)/30*7)</f>
        <v>0</v>
      </c>
      <c r="J5" s="224" t="e">
        <f>_xlfn.LET(_xlpm.end_date,MAX(Raw!$H$3:$H$9149),
_xlpm.start_date,EOMONTH(_xlpm.end_date,-12),
_xlpm.nbr_days,_xlpm.end_date-_xlpm.start_date,
_xlpm.ltm_spend,SUMIFS(Raw!$F$3:$F$9149,Raw!$H$3:$H$9149,"&gt;="&amp;_xlpm.start_date,Raw!$D$3:$D$9149,'Ref Data'!$B5),
_xlpm.one_day_spend,_xlpm.ltm_spend/_xlpm.nbr_days,
_xlpm.one_day_spend*7)</f>
        <v>#NUM!</v>
      </c>
      <c r="K5" s="224" t="e">
        <f>_xlfn.LET(_xlpm.total_spend,SUMIFS(Raw!$F$3:$F$9149,Raw!$D$3:$D$9149,'Ref Data'!$B5),
_xlpm.start_date,MIN(Raw!$H$3:$H$9149),
_xlpm.end_date,MAX(Raw!$H$3:$H$9149),
_xlpm.nbr_days,_xlpm.end_date-_xlpm.start_date,
_xlpm.one_day_spend,_xlpm.total_spend/_xlpm.nbr_days,
_xlpm.one_day_spend*7)</f>
        <v>#DIV/0!</v>
      </c>
      <c r="L5" s="224">
        <f>_xlfn.LET(_xlpm.end_date,MAX(Raw!$H$3:$H$9149),
_xlpm.start_date,_xlpm.end_date-30,
SUMIFS(Raw!$F$3:$F$9149,Raw!$H$3:$H$9149,"&gt;="&amp;_xlpm.start_date,Raw!$D$3:$D$9149,'Ref Data'!$B5)/30)</f>
        <v>0</v>
      </c>
      <c r="M5" s="224" t="e">
        <f>_xlfn.LET(_xlpm.end_date,MAX(Raw!$H$3:$H$9149),
_xlpm.start_date,EOMONTH(_xlpm.end_date,-12),
_xlpm.nbr_days,_xlpm.end_date-_xlpm.start_date,
_xlpm.ltm_spend,SUMIFS(Raw!$F$3:$F$9149,Raw!$H$3:$H$9149,"&gt;="&amp;_xlpm.start_date,Raw!$D$3:$D$9149,'Ref Data'!$B5),
_xlpm.one_day_spend,_xlpm.ltm_spend/_xlpm.nbr_days,
_xlpm.one_day_spend)</f>
        <v>#NUM!</v>
      </c>
      <c r="N5" s="224" t="e">
        <f>_xlfn.LET(_xlpm.total_spend,SUMIFS(Raw!$F$3:$F$9149,Raw!$D$3:$D$9149,'Ref Data'!$B5),
_xlpm.start_date,MIN(Raw!$H$3:$H$9149),
_xlpm.end_date,MAX(Raw!$H$3:$H$9149),
_xlpm.nbr_days,_xlpm.end_date-_xlpm.start_date,
_xlpm.one_day_spend,_xlpm.total_spend/_xlpm.nbr_days,
_xlpm.one_day_spend)</f>
        <v>#DIV/0!</v>
      </c>
    </row>
    <row r="6" spans="1:14" x14ac:dyDescent="0.2">
      <c r="A6" s="28" t="s">
        <v>2</v>
      </c>
      <c r="B6" t="s">
        <v>259</v>
      </c>
      <c r="C6" s="224">
        <f ca="1">_xlfn.LET(_xlpm.end_date,MAX(Raw!$H$3:$H$9149),
_xlpm.start_date,_xlpm.end_date-30,
_xlpm.NTM_day_count,EDATE(TODAY(),12)-TODAY(),
_xlpm.total_spend,SUMIFS(Raw!$F$3:$F$9149,Raw!$H$3:$H$9149,"&gt;="&amp;_xlpm.start_date,Raw!$D$3:$D$9149,'Ref Data'!$B6),
_xlpm.one_day_spend,_xlpm.total_spend/30,
_xlpm.one_day_spend*_xlpm.NTM_day_count)</f>
        <v>0</v>
      </c>
      <c r="D6" s="224">
        <f>_xlfn.LET(_xlpm.end_date,MAX(Raw!$H$3:$H$9149),
_xlpm.start_date,EOMONTH(_xlpm.end_date,-12),
_xlpm.nbr_days,_xlpm.end_date-_xlpm.start_date,
_xlpm.ltm_spend,SUMIFS(Raw!$F$3:$F$9149,Raw!$H$3:$H$9149,"&gt;="&amp;_xlpm.start_date,Raw!$D$3:$D$9149,'Ref Data'!$B6),
_xlpm.ltm_spend)</f>
        <v>0</v>
      </c>
      <c r="E6" s="224" t="e">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#DIV/0!</v>
      </c>
      <c r="F6" s="224">
        <f>_xlfn.LET(_xlpm.end_date,MAX(Raw!$H$3:$H$9149),
_xlpm.start_date,_xlpm.end_date-30,
SUMIFS(Raw!$F$3:$F$9149,Raw!$H$3:$H$9149,"&gt;="&amp;_xlpm.start_date,Raw!$D$3:$D$9149,'Ref Data'!$B6))</f>
        <v>0</v>
      </c>
      <c r="G6" s="224" t="e">
        <f>_xlfn.LET(_xlpm.end_date,MAX(Raw!$H$3:$H$9149),
_xlpm.start_date,EOMONTH(_xlpm.end_date,-12),
_xlpm.nbr_days,_xlpm.end_date-_xlpm.start_date,
_xlpm.ltm_spend,SUMIFS(Raw!$F$3:$F$9149,Raw!$H$3:$H$9149,"&gt;="&amp;_xlpm.start_date,Raw!$D$3:$D$9149,'Ref Data'!$B6),
_xlpm.one_day_spend,_xlpm.ltm_spend/_xlpm.nbr_days,
_xlpm.one_day_spend*30)</f>
        <v>#NUM!</v>
      </c>
      <c r="H6" s="224" t="e">
        <f>_xlfn.LET(_xlpm.total_spend,SUMIFS(Raw!$F$3:$F$9149,Raw!$D$3:$D$9149,'Ref Data'!$B6),
_xlpm.start_date,MIN(Raw!$H$3:$H$9149),
_xlpm.end_date,MAX(Raw!$H$3:$H$9149),
_xlpm.nbr_days,_xlpm.end_date-_xlpm.start_date,
_xlpm.one_day_spend,_xlpm.total_spend/_xlpm.nbr_days,
_xlpm.one_day_spend*30)</f>
        <v>#DIV/0!</v>
      </c>
      <c r="I6" s="224">
        <f>_xlfn.LET(_xlpm.end_date,MAX(Raw!$H$3:$H$9149),
_xlpm.start_date,_xlpm.end_date-30,
SUMIFS(Raw!$F$3:$F$9149,Raw!$H$3:$H$9149,"&gt;="&amp;_xlpm.start_date,Raw!$D$3:$D$9149,'Ref Data'!$B6)/30*7)</f>
        <v>0</v>
      </c>
      <c r="J6" s="224" t="e">
        <f>_xlfn.LET(_xlpm.end_date,MAX(Raw!$H$3:$H$9149),
_xlpm.start_date,EOMONTH(_xlpm.end_date,-12),
_xlpm.nbr_days,_xlpm.end_date-_xlpm.start_date,
_xlpm.ltm_spend,SUMIFS(Raw!$F$3:$F$9149,Raw!$H$3:$H$9149,"&gt;="&amp;_xlpm.start_date,Raw!$D$3:$D$9149,'Ref Data'!$B6),
_xlpm.one_day_spend,_xlpm.ltm_spend/_xlpm.nbr_days,
_xlpm.one_day_spend*7)</f>
        <v>#NUM!</v>
      </c>
      <c r="K6" s="224" t="e">
        <f>_xlfn.LET(_xlpm.total_spend,SUMIFS(Raw!$F$3:$F$9149,Raw!$D$3:$D$9149,'Ref Data'!$B6),
_xlpm.start_date,MIN(Raw!$H$3:$H$9149),
_xlpm.end_date,MAX(Raw!$H$3:$H$9149),
_xlpm.nbr_days,_xlpm.end_date-_xlpm.start_date,
_xlpm.one_day_spend,_xlpm.total_spend/_xlpm.nbr_days,
_xlpm.one_day_spend*7)</f>
        <v>#DIV/0!</v>
      </c>
      <c r="L6" s="224">
        <f>_xlfn.LET(_xlpm.end_date,MAX(Raw!$H$3:$H$9149),
_xlpm.start_date,_xlpm.end_date-30,
SUMIFS(Raw!$F$3:$F$9149,Raw!$H$3:$H$9149,"&gt;="&amp;_xlpm.start_date,Raw!$D$3:$D$9149,'Ref Data'!$B6)/30)</f>
        <v>0</v>
      </c>
      <c r="M6" s="224" t="e">
        <f>_xlfn.LET(_xlpm.end_date,MAX(Raw!$H$3:$H$9149),
_xlpm.start_date,EOMONTH(_xlpm.end_date,-12),
_xlpm.nbr_days,_xlpm.end_date-_xlpm.start_date,
_xlpm.ltm_spend,SUMIFS(Raw!$F$3:$F$9149,Raw!$H$3:$H$9149,"&gt;="&amp;_xlpm.start_date,Raw!$D$3:$D$9149,'Ref Data'!$B6),
_xlpm.one_day_spend,_xlpm.ltm_spend/_xlpm.nbr_days,
_xlpm.one_day_spend)</f>
        <v>#NUM!</v>
      </c>
      <c r="N6" s="224" t="e">
        <f>_xlfn.LET(_xlpm.total_spend,SUMIFS(Raw!$F$3:$F$9149,Raw!$D$3:$D$9149,'Ref Data'!$B6),
_xlpm.start_date,MIN(Raw!$H$3:$H$9149),
_xlpm.end_date,MAX(Raw!$H$3:$H$9149),
_xlpm.nbr_days,_xlpm.end_date-_xlpm.start_date,
_xlpm.one_day_spend,_xlpm.total_spend/_xlpm.nbr_days,
_xlpm.one_day_spend)</f>
        <v>#DIV/0!</v>
      </c>
    </row>
    <row r="7" spans="1:14" x14ac:dyDescent="0.2">
      <c r="A7" t="s">
        <v>1</v>
      </c>
      <c r="B7" t="s">
        <v>1</v>
      </c>
      <c r="C7" s="224">
        <f ca="1">_xlfn.LET(_xlpm.end_date,MAX(Raw!$H$3:$H$9149),
_xlpm.start_date,_xlpm.end_date-30,
_xlpm.NTM_day_count,EDATE(TODAY(),12)-TODAY(),
_xlpm.total_spend,SUMIFS(Raw!$F$3:$F$9149,Raw!$H$3:$H$9149,"&gt;="&amp;_xlpm.start_date,Raw!$D$3:$D$9149,'Ref Data'!$B7),
_xlpm.one_day_spend,_xlpm.total_spend/30,
_xlpm.one_day_spend*_xlpm.NTM_day_count)</f>
        <v>0</v>
      </c>
      <c r="D7" s="224">
        <f>_xlfn.LET(_xlpm.end_date,MAX(Raw!$H$3:$H$9149),
_xlpm.start_date,EOMONTH(_xlpm.end_date,-12),
_xlpm.nbr_days,_xlpm.end_date-_xlpm.start_date,
_xlpm.ltm_spend,SUMIFS(Raw!$F$3:$F$9149,Raw!$H$3:$H$9149,"&gt;="&amp;_xlpm.start_date,Raw!$D$3:$D$9149,'Ref Data'!$B7),
_xlpm.ltm_spend)</f>
        <v>0</v>
      </c>
      <c r="E7" s="224" t="e">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#DIV/0!</v>
      </c>
      <c r="F7" s="224">
        <f>_xlfn.LET(_xlpm.end_date,MAX(Raw!$H$3:$H$9149),
_xlpm.start_date,_xlpm.end_date-30,
SUMIFS(Raw!$F$3:$F$9149,Raw!$H$3:$H$9149,"&gt;="&amp;_xlpm.start_date,Raw!$D$3:$D$9149,'Ref Data'!$B7))</f>
        <v>0</v>
      </c>
      <c r="G7" s="224" t="e">
        <f>_xlfn.LET(_xlpm.end_date,MAX(Raw!$H$3:$H$9149),
_xlpm.start_date,EOMONTH(_xlpm.end_date,-12),
_xlpm.nbr_days,_xlpm.end_date-_xlpm.start_date,
_xlpm.ltm_spend,SUMIFS(Raw!$F$3:$F$9149,Raw!$H$3:$H$9149,"&gt;="&amp;_xlpm.start_date,Raw!$D$3:$D$9149,'Ref Data'!$B7),
_xlpm.one_day_spend,_xlpm.ltm_spend/_xlpm.nbr_days,
_xlpm.one_day_spend*30)</f>
        <v>#NUM!</v>
      </c>
      <c r="H7" s="224" t="e">
        <f>_xlfn.LET(_xlpm.total_spend,SUMIFS(Raw!$F$3:$F$9149,Raw!$D$3:$D$9149,'Ref Data'!$B7),
_xlpm.start_date,MIN(Raw!$H$3:$H$9149),
_xlpm.end_date,MAX(Raw!$H$3:$H$9149),
_xlpm.nbr_days,_xlpm.end_date-_xlpm.start_date,
_xlpm.one_day_spend,_xlpm.total_spend/_xlpm.nbr_days,
_xlpm.one_day_spend*30)</f>
        <v>#DIV/0!</v>
      </c>
      <c r="I7" s="224">
        <f>_xlfn.LET(_xlpm.end_date,MAX(Raw!$H$3:$H$9149),
_xlpm.start_date,_xlpm.end_date-30,
SUMIFS(Raw!$F$3:$F$9149,Raw!$H$3:$H$9149,"&gt;="&amp;_xlpm.start_date,Raw!$D$3:$D$9149,'Ref Data'!$B7)/30*7)</f>
        <v>0</v>
      </c>
      <c r="J7" s="224" t="e">
        <f>_xlfn.LET(_xlpm.end_date,MAX(Raw!$H$3:$H$9149),
_xlpm.start_date,EOMONTH(_xlpm.end_date,-12),
_xlpm.nbr_days,_xlpm.end_date-_xlpm.start_date,
_xlpm.ltm_spend,SUMIFS(Raw!$F$3:$F$9149,Raw!$H$3:$H$9149,"&gt;="&amp;_xlpm.start_date,Raw!$D$3:$D$9149,'Ref Data'!$B7),
_xlpm.one_day_spend,_xlpm.ltm_spend/_xlpm.nbr_days,
_xlpm.one_day_spend*7)</f>
        <v>#NUM!</v>
      </c>
      <c r="K7" s="224" t="e">
        <f>_xlfn.LET(_xlpm.total_spend,SUMIFS(Raw!$F$3:$F$9149,Raw!$D$3:$D$9149,'Ref Data'!$B7),
_xlpm.start_date,MIN(Raw!$H$3:$H$9149),
_xlpm.end_date,MAX(Raw!$H$3:$H$9149),
_xlpm.nbr_days,_xlpm.end_date-_xlpm.start_date,
_xlpm.one_day_spend,_xlpm.total_spend/_xlpm.nbr_days,
_xlpm.one_day_spend*7)</f>
        <v>#DIV/0!</v>
      </c>
      <c r="L7" s="224">
        <f>_xlfn.LET(_xlpm.end_date,MAX(Raw!$H$3:$H$9149),
_xlpm.start_date,_xlpm.end_date-30,
SUMIFS(Raw!$F$3:$F$9149,Raw!$H$3:$H$9149,"&gt;="&amp;_xlpm.start_date,Raw!$D$3:$D$9149,'Ref Data'!$B7)/30)</f>
        <v>0</v>
      </c>
      <c r="M7" s="224" t="e">
        <f>_xlfn.LET(_xlpm.end_date,MAX(Raw!$H$3:$H$9149),
_xlpm.start_date,EOMONTH(_xlpm.end_date,-12),
_xlpm.nbr_days,_xlpm.end_date-_xlpm.start_date,
_xlpm.ltm_spend,SUMIFS(Raw!$F$3:$F$9149,Raw!$H$3:$H$9149,"&gt;="&amp;_xlpm.start_date,Raw!$D$3:$D$9149,'Ref Data'!$B7),
_xlpm.one_day_spend,_xlpm.ltm_spend/_xlpm.nbr_days,
_xlpm.one_day_spend)</f>
        <v>#NUM!</v>
      </c>
      <c r="N7" s="224" t="e">
        <f>_xlfn.LET(_xlpm.total_spend,SUMIFS(Raw!$F$3:$F$9149,Raw!$D$3:$D$9149,'Ref Data'!$B7),
_xlpm.start_date,MIN(Raw!$H$3:$H$9149),
_xlpm.end_date,MAX(Raw!$H$3:$H$9149),
_xlpm.nbr_days,_xlpm.end_date-_xlpm.start_date,
_xlpm.one_day_spend,_xlpm.total_spend/_xlpm.nbr_days,
_xlpm.one_day_spend)</f>
        <v>#DIV/0!</v>
      </c>
    </row>
    <row r="8" spans="1:14" x14ac:dyDescent="0.2">
      <c r="A8" s="28" t="s">
        <v>291</v>
      </c>
      <c r="B8" t="s">
        <v>266</v>
      </c>
      <c r="C8" s="224">
        <f ca="1">_xlfn.LET(_xlpm.end_date,MAX(Raw!$H$3:$H$9149),
_xlpm.start_date,_xlpm.end_date-30,
_xlpm.NTM_day_count,EDATE(TODAY(),12)-TODAY(),
_xlpm.total_spend,SUMIFS(Raw!$F$3:$F$9149,Raw!$H$3:$H$9149,"&gt;="&amp;_xlpm.start_date,Raw!$D$3:$D$9149,'Ref Data'!$B8),
_xlpm.one_day_spend,_xlpm.total_spend/30,
_xlpm.one_day_spend*_xlpm.NTM_day_count)</f>
        <v>0</v>
      </c>
      <c r="D8" s="224">
        <f>_xlfn.LET(_xlpm.end_date,MAX(Raw!$H$3:$H$9149),
_xlpm.start_date,EOMONTH(_xlpm.end_date,-12),
_xlpm.nbr_days,_xlpm.end_date-_xlpm.start_date,
_xlpm.ltm_spend,SUMIFS(Raw!$F$3:$F$9149,Raw!$H$3:$H$9149,"&gt;="&amp;_xlpm.start_date,Raw!$D$3:$D$9149,'Ref Data'!$B8),
_xlpm.ltm_spend)</f>
        <v>0</v>
      </c>
      <c r="E8" s="224" t="e">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#DIV/0!</v>
      </c>
      <c r="F8" s="224">
        <f>_xlfn.LET(_xlpm.end_date,MAX(Raw!$H$3:$H$9149),
_xlpm.start_date,_xlpm.end_date-30,
SUMIFS(Raw!$F$3:$F$9149,Raw!$H$3:$H$9149,"&gt;="&amp;_xlpm.start_date,Raw!$D$3:$D$9149,'Ref Data'!$B8))</f>
        <v>0</v>
      </c>
      <c r="G8" s="224" t="e">
        <f>_xlfn.LET(_xlpm.end_date,MAX(Raw!$H$3:$H$9149),
_xlpm.start_date,EOMONTH(_xlpm.end_date,-12),
_xlpm.nbr_days,_xlpm.end_date-_xlpm.start_date,
_xlpm.ltm_spend,SUMIFS(Raw!$F$3:$F$9149,Raw!$H$3:$H$9149,"&gt;="&amp;_xlpm.start_date,Raw!$D$3:$D$9149,'Ref Data'!$B8),
_xlpm.one_day_spend,_xlpm.ltm_spend/_xlpm.nbr_days,
_xlpm.one_day_spend*30)</f>
        <v>#NUM!</v>
      </c>
      <c r="H8" s="224" t="e">
        <f>_xlfn.LET(_xlpm.total_spend,SUMIFS(Raw!$F$3:$F$9149,Raw!$D$3:$D$9149,'Ref Data'!$B8),
_xlpm.start_date,MIN(Raw!$H$3:$H$9149),
_xlpm.end_date,MAX(Raw!$H$3:$H$9149),
_xlpm.nbr_days,_xlpm.end_date-_xlpm.start_date,
_xlpm.one_day_spend,_xlpm.total_spend/_xlpm.nbr_days,
_xlpm.one_day_spend*30)</f>
        <v>#DIV/0!</v>
      </c>
      <c r="I8" s="224">
        <f>_xlfn.LET(_xlpm.end_date,MAX(Raw!$H$3:$H$9149),
_xlpm.start_date,_xlpm.end_date-30,
SUMIFS(Raw!$F$3:$F$9149,Raw!$H$3:$H$9149,"&gt;="&amp;_xlpm.start_date,Raw!$D$3:$D$9149,'Ref Data'!$B8)/30*7)</f>
        <v>0</v>
      </c>
      <c r="J8" s="224" t="e">
        <f>_xlfn.LET(_xlpm.end_date,MAX(Raw!$H$3:$H$9149),
_xlpm.start_date,EOMONTH(_xlpm.end_date,-12),
_xlpm.nbr_days,_xlpm.end_date-_xlpm.start_date,
_xlpm.ltm_spend,SUMIFS(Raw!$F$3:$F$9149,Raw!$H$3:$H$9149,"&gt;="&amp;_xlpm.start_date,Raw!$D$3:$D$9149,'Ref Data'!$B8),
_xlpm.one_day_spend,_xlpm.ltm_spend/_xlpm.nbr_days,
_xlpm.one_day_spend*7)</f>
        <v>#NUM!</v>
      </c>
      <c r="K8" s="224" t="e">
        <f>_xlfn.LET(_xlpm.total_spend,SUMIFS(Raw!$F$3:$F$9149,Raw!$D$3:$D$9149,'Ref Data'!$B8),
_xlpm.start_date,MIN(Raw!$H$3:$H$9149),
_xlpm.end_date,MAX(Raw!$H$3:$H$9149),
_xlpm.nbr_days,_xlpm.end_date-_xlpm.start_date,
_xlpm.one_day_spend,_xlpm.total_spend/_xlpm.nbr_days,
_xlpm.one_day_spend*7)</f>
        <v>#DIV/0!</v>
      </c>
      <c r="L8" s="224">
        <f>_xlfn.LET(_xlpm.end_date,MAX(Raw!$H$3:$H$9149),
_xlpm.start_date,_xlpm.end_date-30,
SUMIFS(Raw!$F$3:$F$9149,Raw!$H$3:$H$9149,"&gt;="&amp;_xlpm.start_date,Raw!$D$3:$D$9149,'Ref Data'!$B8)/30)</f>
        <v>0</v>
      </c>
      <c r="M8" s="224" t="e">
        <f>_xlfn.LET(_xlpm.end_date,MAX(Raw!$H$3:$H$9149),
_xlpm.start_date,EOMONTH(_xlpm.end_date,-12),
_xlpm.nbr_days,_xlpm.end_date-_xlpm.start_date,
_xlpm.ltm_spend,SUMIFS(Raw!$F$3:$F$9149,Raw!$H$3:$H$9149,"&gt;="&amp;_xlpm.start_date,Raw!$D$3:$D$9149,'Ref Data'!$B8),
_xlpm.one_day_spend,_xlpm.ltm_spend/_xlpm.nbr_days,
_xlpm.one_day_spend)</f>
        <v>#NUM!</v>
      </c>
      <c r="N8" s="224" t="e">
        <f>_xlfn.LET(_xlpm.total_spend,SUMIFS(Raw!$F$3:$F$9149,Raw!$D$3:$D$9149,'Ref Data'!$B8),
_xlpm.start_date,MIN(Raw!$H$3:$H$9149),
_xlpm.end_date,MAX(Raw!$H$3:$H$9149),
_xlpm.nbr_days,_xlpm.end_date-_xlpm.start_date,
_xlpm.one_day_spend,_xlpm.total_spend/_xlpm.nbr_days,
_xlpm.one_day_spend)</f>
        <v>#DIV/0!</v>
      </c>
    </row>
    <row r="9" spans="1:14" x14ac:dyDescent="0.2">
      <c r="A9" s="28" t="s">
        <v>291</v>
      </c>
      <c r="B9" t="s">
        <v>275</v>
      </c>
      <c r="C9" s="224">
        <f ca="1">_xlfn.LET(_xlpm.end_date,MAX(Raw!$H$3:$H$9149),
_xlpm.start_date,_xlpm.end_date-30,
_xlpm.NTM_day_count,EDATE(TODAY(),12)-TODAY(),
_xlpm.total_spend,SUMIFS(Raw!$F$3:$F$9149,Raw!$H$3:$H$9149,"&gt;="&amp;_xlpm.start_date,Raw!$D$3:$D$9149,'Ref Data'!$B9),
_xlpm.one_day_spend,_xlpm.total_spend/30,
_xlpm.one_day_spend*_xlpm.NTM_day_count)</f>
        <v>0</v>
      </c>
      <c r="D9" s="224">
        <f>_xlfn.LET(_xlpm.end_date,MAX(Raw!$H$3:$H$9149),
_xlpm.start_date,EOMONTH(_xlpm.end_date,-12),
_xlpm.nbr_days,_xlpm.end_date-_xlpm.start_date,
_xlpm.ltm_spend,SUMIFS(Raw!$F$3:$F$9149,Raw!$H$3:$H$9149,"&gt;="&amp;_xlpm.start_date,Raw!$D$3:$D$9149,'Ref Data'!$B9),
_xlpm.ltm_spend)</f>
        <v>0</v>
      </c>
      <c r="E9" s="224" t="e">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#DIV/0!</v>
      </c>
      <c r="F9" s="224">
        <f>_xlfn.LET(_xlpm.end_date,MAX(Raw!$H$3:$H$9149),
_xlpm.start_date,_xlpm.end_date-30,
SUMIFS(Raw!$F$3:$F$9149,Raw!$H$3:$H$9149,"&gt;="&amp;_xlpm.start_date,Raw!$D$3:$D$9149,'Ref Data'!$B9))</f>
        <v>0</v>
      </c>
      <c r="G9" s="224" t="e">
        <f>_xlfn.LET(_xlpm.end_date,MAX(Raw!$H$3:$H$9149),
_xlpm.start_date,EOMONTH(_xlpm.end_date,-12),
_xlpm.nbr_days,_xlpm.end_date-_xlpm.start_date,
_xlpm.ltm_spend,SUMIFS(Raw!$F$3:$F$9149,Raw!$H$3:$H$9149,"&gt;="&amp;_xlpm.start_date,Raw!$D$3:$D$9149,'Ref Data'!$B9),
_xlpm.one_day_spend,_xlpm.ltm_spend/_xlpm.nbr_days,
_xlpm.one_day_spend*30)</f>
        <v>#NUM!</v>
      </c>
      <c r="H9" s="224" t="e">
        <f>_xlfn.LET(_xlpm.total_spend,SUMIFS(Raw!$F$3:$F$9149,Raw!$D$3:$D$9149,'Ref Data'!$B9),
_xlpm.start_date,MIN(Raw!$H$3:$H$9149),
_xlpm.end_date,MAX(Raw!$H$3:$H$9149),
_xlpm.nbr_days,_xlpm.end_date-_xlpm.start_date,
_xlpm.one_day_spend,_xlpm.total_spend/_xlpm.nbr_days,
_xlpm.one_day_spend*30)</f>
        <v>#DIV/0!</v>
      </c>
      <c r="I9" s="224">
        <f>_xlfn.LET(_xlpm.end_date,MAX(Raw!$H$3:$H$9149),
_xlpm.start_date,_xlpm.end_date-30,
SUMIFS(Raw!$F$3:$F$9149,Raw!$H$3:$H$9149,"&gt;="&amp;_xlpm.start_date,Raw!$D$3:$D$9149,'Ref Data'!$B9)/30*7)</f>
        <v>0</v>
      </c>
      <c r="J9" s="224" t="e">
        <f>_xlfn.LET(_xlpm.end_date,MAX(Raw!$H$3:$H$9149),
_xlpm.start_date,EOMONTH(_xlpm.end_date,-12),
_xlpm.nbr_days,_xlpm.end_date-_xlpm.start_date,
_xlpm.ltm_spend,SUMIFS(Raw!$F$3:$F$9149,Raw!$H$3:$H$9149,"&gt;="&amp;_xlpm.start_date,Raw!$D$3:$D$9149,'Ref Data'!$B9),
_xlpm.one_day_spend,_xlpm.ltm_spend/_xlpm.nbr_days,
_xlpm.one_day_spend*7)</f>
        <v>#NUM!</v>
      </c>
      <c r="K9" s="224" t="e">
        <f>_xlfn.LET(_xlpm.total_spend,SUMIFS(Raw!$F$3:$F$9149,Raw!$D$3:$D$9149,'Ref Data'!$B9),
_xlpm.start_date,MIN(Raw!$H$3:$H$9149),
_xlpm.end_date,MAX(Raw!$H$3:$H$9149),
_xlpm.nbr_days,_xlpm.end_date-_xlpm.start_date,
_xlpm.one_day_spend,_xlpm.total_spend/_xlpm.nbr_days,
_xlpm.one_day_spend*7)</f>
        <v>#DIV/0!</v>
      </c>
      <c r="L9" s="224">
        <f>_xlfn.LET(_xlpm.end_date,MAX(Raw!$H$3:$H$9149),
_xlpm.start_date,_xlpm.end_date-30,
SUMIFS(Raw!$F$3:$F$9149,Raw!$H$3:$H$9149,"&gt;="&amp;_xlpm.start_date,Raw!$D$3:$D$9149,'Ref Data'!$B9)/30)</f>
        <v>0</v>
      </c>
      <c r="M9" s="224" t="e">
        <f>_xlfn.LET(_xlpm.end_date,MAX(Raw!$H$3:$H$9149),
_xlpm.start_date,EOMONTH(_xlpm.end_date,-12),
_xlpm.nbr_days,_xlpm.end_date-_xlpm.start_date,
_xlpm.ltm_spend,SUMIFS(Raw!$F$3:$F$9149,Raw!$H$3:$H$9149,"&gt;="&amp;_xlpm.start_date,Raw!$D$3:$D$9149,'Ref Data'!$B9),
_xlpm.one_day_spend,_xlpm.ltm_spend/_xlpm.nbr_days,
_xlpm.one_day_spend)</f>
        <v>#NUM!</v>
      </c>
      <c r="N9" s="224" t="e">
        <f>_xlfn.LET(_xlpm.total_spend,SUMIFS(Raw!$F$3:$F$9149,Raw!$D$3:$D$9149,'Ref Data'!$B9),
_xlpm.start_date,MIN(Raw!$H$3:$H$9149),
_xlpm.end_date,MAX(Raw!$H$3:$H$9149),
_xlpm.nbr_days,_xlpm.end_date-_xlpm.start_date,
_xlpm.one_day_spend,_xlpm.total_spend/_xlpm.nbr_days,
_xlpm.one_day_spend)</f>
        <v>#DIV/0!</v>
      </c>
    </row>
    <row r="10" spans="1:14" x14ac:dyDescent="0.2">
      <c r="A10" s="28" t="s">
        <v>291</v>
      </c>
      <c r="B10" t="s">
        <v>280</v>
      </c>
      <c r="C10" s="224">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224">
        <f>_xlfn.LET(_xlpm.end_date,MAX(Raw!$H$3:$H$9149),
_xlpm.start_date,EOMONTH(_xlpm.end_date,-12),
_xlpm.nbr_days,_xlpm.end_date-_xlpm.start_date,
_xlpm.ltm_spend,SUMIFS(Raw!$F$3:$F$9149,Raw!$H$3:$H$9149,"&gt;="&amp;_xlpm.start_date,Raw!$D$3:$D$9149,'Ref Data'!$B10),
_xlpm.ltm_spend)</f>
        <v>0</v>
      </c>
      <c r="E10" s="224" t="e">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#DIV/0!</v>
      </c>
      <c r="F10" s="224">
        <f>_xlfn.LET(_xlpm.end_date,MAX(Raw!$H$3:$H$9149),
_xlpm.start_date,_xlpm.end_date-30,
SUMIFS(Raw!$F$3:$F$9149,Raw!$H$3:$H$9149,"&gt;="&amp;_xlpm.start_date,Raw!$D$3:$D$9149,'Ref Data'!$B10))</f>
        <v>0</v>
      </c>
      <c r="G10" s="224" t="e">
        <f>_xlfn.LET(_xlpm.end_date,MAX(Raw!$H$3:$H$9149),
_xlpm.start_date,EOMONTH(_xlpm.end_date,-12),
_xlpm.nbr_days,_xlpm.end_date-_xlpm.start_date,
_xlpm.ltm_spend,SUMIFS(Raw!$F$3:$F$9149,Raw!$H$3:$H$9149,"&gt;="&amp;_xlpm.start_date,Raw!$D$3:$D$9149,'Ref Data'!$B10),
_xlpm.one_day_spend,_xlpm.ltm_spend/_xlpm.nbr_days,
_xlpm.one_day_spend*30)</f>
        <v>#NUM!</v>
      </c>
      <c r="H10" s="224" t="e">
        <f>_xlfn.LET(_xlpm.total_spend,SUMIFS(Raw!$F$3:$F$9149,Raw!$D$3:$D$9149,'Ref Data'!$B10),
_xlpm.start_date,MIN(Raw!$H$3:$H$9149),
_xlpm.end_date,MAX(Raw!$H$3:$H$9149),
_xlpm.nbr_days,_xlpm.end_date-_xlpm.start_date,
_xlpm.one_day_spend,_xlpm.total_spend/_xlpm.nbr_days,
_xlpm.one_day_spend*30)</f>
        <v>#DIV/0!</v>
      </c>
      <c r="I10" s="224">
        <f>_xlfn.LET(_xlpm.end_date,MAX(Raw!$H$3:$H$9149),
_xlpm.start_date,_xlpm.end_date-30,
SUMIFS(Raw!$F$3:$F$9149,Raw!$H$3:$H$9149,"&gt;="&amp;_xlpm.start_date,Raw!$D$3:$D$9149,'Ref Data'!$B10)/30*7)</f>
        <v>0</v>
      </c>
      <c r="J10" s="224" t="e">
        <f>_xlfn.LET(_xlpm.end_date,MAX(Raw!$H$3:$H$9149),
_xlpm.start_date,EOMONTH(_xlpm.end_date,-12),
_xlpm.nbr_days,_xlpm.end_date-_xlpm.start_date,
_xlpm.ltm_spend,SUMIFS(Raw!$F$3:$F$9149,Raw!$H$3:$H$9149,"&gt;="&amp;_xlpm.start_date,Raw!$D$3:$D$9149,'Ref Data'!$B10),
_xlpm.one_day_spend,_xlpm.ltm_spend/_xlpm.nbr_days,
_xlpm.one_day_spend*7)</f>
        <v>#NUM!</v>
      </c>
      <c r="K10" s="224" t="e">
        <f>_xlfn.LET(_xlpm.total_spend,SUMIFS(Raw!$F$3:$F$9149,Raw!$D$3:$D$9149,'Ref Data'!$B10),
_xlpm.start_date,MIN(Raw!$H$3:$H$9149),
_xlpm.end_date,MAX(Raw!$H$3:$H$9149),
_xlpm.nbr_days,_xlpm.end_date-_xlpm.start_date,
_xlpm.one_day_spend,_xlpm.total_spend/_xlpm.nbr_days,
_xlpm.one_day_spend*7)</f>
        <v>#DIV/0!</v>
      </c>
      <c r="L10" s="224">
        <f>_xlfn.LET(_xlpm.end_date,MAX(Raw!$H$3:$H$9149),
_xlpm.start_date,_xlpm.end_date-30,
SUMIFS(Raw!$F$3:$F$9149,Raw!$H$3:$H$9149,"&gt;="&amp;_xlpm.start_date,Raw!$D$3:$D$9149,'Ref Data'!$B10)/30)</f>
        <v>0</v>
      </c>
      <c r="M10" s="224" t="e">
        <f>_xlfn.LET(_xlpm.end_date,MAX(Raw!$H$3:$H$9149),
_xlpm.start_date,EOMONTH(_xlpm.end_date,-12),
_xlpm.nbr_days,_xlpm.end_date-_xlpm.start_date,
_xlpm.ltm_spend,SUMIFS(Raw!$F$3:$F$9149,Raw!$H$3:$H$9149,"&gt;="&amp;_xlpm.start_date,Raw!$D$3:$D$9149,'Ref Data'!$B10),
_xlpm.one_day_spend,_xlpm.ltm_spend/_xlpm.nbr_days,
_xlpm.one_day_spend)</f>
        <v>#NUM!</v>
      </c>
      <c r="N10" s="224" t="e">
        <f>_xlfn.LET(_xlpm.total_spend,SUMIFS(Raw!$F$3:$F$9149,Raw!$D$3:$D$9149,'Ref Data'!$B10),
_xlpm.start_date,MIN(Raw!$H$3:$H$9149),
_xlpm.end_date,MAX(Raw!$H$3:$H$9149),
_xlpm.nbr_days,_xlpm.end_date-_xlpm.start_date,
_xlpm.one_day_spend,_xlpm.total_spend/_xlpm.nbr_days,
_xlpm.one_day_spend)</f>
        <v>#DIV/0!</v>
      </c>
    </row>
    <row r="11" spans="1:14" x14ac:dyDescent="0.2">
      <c r="A11" s="28" t="s">
        <v>32</v>
      </c>
      <c r="B11" t="s">
        <v>270</v>
      </c>
      <c r="C11" s="224">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224">
        <f>_xlfn.LET(_xlpm.end_date,MAX(Raw!$H$3:$H$9149),
_xlpm.start_date,EOMONTH(_xlpm.end_date,-12),
_xlpm.nbr_days,_xlpm.end_date-_xlpm.start_date,
_xlpm.ltm_spend,SUMIFS(Raw!$F$3:$F$9149,Raw!$H$3:$H$9149,"&gt;="&amp;_xlpm.start_date,Raw!$D$3:$D$9149,'Ref Data'!$B11),
_xlpm.ltm_spend)</f>
        <v>0</v>
      </c>
      <c r="E11" s="224" t="e">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#DIV/0!</v>
      </c>
      <c r="F11" s="224">
        <f>_xlfn.LET(_xlpm.end_date,MAX(Raw!$H$3:$H$9149),
_xlpm.start_date,_xlpm.end_date-30,
SUMIFS(Raw!$F$3:$F$9149,Raw!$H$3:$H$9149,"&gt;="&amp;_xlpm.start_date,Raw!$D$3:$D$9149,'Ref Data'!$B11))</f>
        <v>0</v>
      </c>
      <c r="G11" s="224" t="e">
        <f>_xlfn.LET(_xlpm.end_date,MAX(Raw!$H$3:$H$9149),
_xlpm.start_date,EOMONTH(_xlpm.end_date,-12),
_xlpm.nbr_days,_xlpm.end_date-_xlpm.start_date,
_xlpm.ltm_spend,SUMIFS(Raw!$F$3:$F$9149,Raw!$H$3:$H$9149,"&gt;="&amp;_xlpm.start_date,Raw!$D$3:$D$9149,'Ref Data'!$B11),
_xlpm.one_day_spend,_xlpm.ltm_spend/_xlpm.nbr_days,
_xlpm.one_day_spend*30)</f>
        <v>#NUM!</v>
      </c>
      <c r="H11" s="224" t="e">
        <f>_xlfn.LET(_xlpm.total_spend,SUMIFS(Raw!$F$3:$F$9149,Raw!$D$3:$D$9149,'Ref Data'!$B11),
_xlpm.start_date,MIN(Raw!$H$3:$H$9149),
_xlpm.end_date,MAX(Raw!$H$3:$H$9149),
_xlpm.nbr_days,_xlpm.end_date-_xlpm.start_date,
_xlpm.one_day_spend,_xlpm.total_spend/_xlpm.nbr_days,
_xlpm.one_day_spend*30)</f>
        <v>#DIV/0!</v>
      </c>
      <c r="I11" s="224">
        <f>_xlfn.LET(_xlpm.end_date,MAX(Raw!$H$3:$H$9149),
_xlpm.start_date,_xlpm.end_date-30,
SUMIFS(Raw!$F$3:$F$9149,Raw!$H$3:$H$9149,"&gt;="&amp;_xlpm.start_date,Raw!$D$3:$D$9149,'Ref Data'!$B11)/30*7)</f>
        <v>0</v>
      </c>
      <c r="J11" s="224" t="e">
        <f>_xlfn.LET(_xlpm.end_date,MAX(Raw!$H$3:$H$9149),
_xlpm.start_date,EOMONTH(_xlpm.end_date,-12),
_xlpm.nbr_days,_xlpm.end_date-_xlpm.start_date,
_xlpm.ltm_spend,SUMIFS(Raw!$F$3:$F$9149,Raw!$H$3:$H$9149,"&gt;="&amp;_xlpm.start_date,Raw!$D$3:$D$9149,'Ref Data'!$B11),
_xlpm.one_day_spend,_xlpm.ltm_spend/_xlpm.nbr_days,
_xlpm.one_day_spend*7)</f>
        <v>#NUM!</v>
      </c>
      <c r="K11" s="224" t="e">
        <f>_xlfn.LET(_xlpm.total_spend,SUMIFS(Raw!$F$3:$F$9149,Raw!$D$3:$D$9149,'Ref Data'!$B11),
_xlpm.start_date,MIN(Raw!$H$3:$H$9149),
_xlpm.end_date,MAX(Raw!$H$3:$H$9149),
_xlpm.nbr_days,_xlpm.end_date-_xlpm.start_date,
_xlpm.one_day_spend,_xlpm.total_spend/_xlpm.nbr_days,
_xlpm.one_day_spend*7)</f>
        <v>#DIV/0!</v>
      </c>
      <c r="L11" s="224">
        <f>_xlfn.LET(_xlpm.end_date,MAX(Raw!$H$3:$H$9149),
_xlpm.start_date,_xlpm.end_date-30,
SUMIFS(Raw!$F$3:$F$9149,Raw!$H$3:$H$9149,"&gt;="&amp;_xlpm.start_date,Raw!$D$3:$D$9149,'Ref Data'!$B11)/30)</f>
        <v>0</v>
      </c>
      <c r="M11" s="224" t="e">
        <f>_xlfn.LET(_xlpm.end_date,MAX(Raw!$H$3:$H$9149),
_xlpm.start_date,EOMONTH(_xlpm.end_date,-12),
_xlpm.nbr_days,_xlpm.end_date-_xlpm.start_date,
_xlpm.ltm_spend,SUMIFS(Raw!$F$3:$F$9149,Raw!$H$3:$H$9149,"&gt;="&amp;_xlpm.start_date,Raw!$D$3:$D$9149,'Ref Data'!$B11),
_xlpm.one_day_spend,_xlpm.ltm_spend/_xlpm.nbr_days,
_xlpm.one_day_spend)</f>
        <v>#NUM!</v>
      </c>
      <c r="N11" s="224" t="e">
        <f>_xlfn.LET(_xlpm.total_spend,SUMIFS(Raw!$F$3:$F$9149,Raw!$D$3:$D$9149,'Ref Data'!$B11),
_xlpm.start_date,MIN(Raw!$H$3:$H$9149),
_xlpm.end_date,MAX(Raw!$H$3:$H$9149),
_xlpm.nbr_days,_xlpm.end_date-_xlpm.start_date,
_xlpm.one_day_spend,_xlpm.total_spend/_xlpm.nbr_days,
_xlpm.one_day_spend)</f>
        <v>#DIV/0!</v>
      </c>
    </row>
    <row r="12" spans="1:14" x14ac:dyDescent="0.2">
      <c r="A12" s="28" t="s">
        <v>32</v>
      </c>
      <c r="B12" t="s">
        <v>0</v>
      </c>
      <c r="C12" s="224">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224">
        <f>_xlfn.LET(_xlpm.end_date,MAX(Raw!$H$3:$H$9149),
_xlpm.start_date,EOMONTH(_xlpm.end_date,-12),
_xlpm.nbr_days,_xlpm.end_date-_xlpm.start_date,
_xlpm.ltm_spend,SUMIFS(Raw!$F$3:$F$9149,Raw!$H$3:$H$9149,"&gt;="&amp;_xlpm.start_date,Raw!$D$3:$D$9149,'Ref Data'!$B12),
_xlpm.ltm_spend)</f>
        <v>0</v>
      </c>
      <c r="E12" s="224" t="e">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#DIV/0!</v>
      </c>
      <c r="F12" s="224">
        <f>_xlfn.LET(_xlpm.end_date,MAX(Raw!$H$3:$H$9149),
_xlpm.start_date,_xlpm.end_date-30,
SUMIFS(Raw!$F$3:$F$9149,Raw!$H$3:$H$9149,"&gt;="&amp;_xlpm.start_date,Raw!$D$3:$D$9149,'Ref Data'!$B12))</f>
        <v>0</v>
      </c>
      <c r="G12" s="224" t="e">
        <f>_xlfn.LET(_xlpm.end_date,MAX(Raw!$H$3:$H$9149),
_xlpm.start_date,EOMONTH(_xlpm.end_date,-12),
_xlpm.nbr_days,_xlpm.end_date-_xlpm.start_date,
_xlpm.ltm_spend,SUMIFS(Raw!$F$3:$F$9149,Raw!$H$3:$H$9149,"&gt;="&amp;_xlpm.start_date,Raw!$D$3:$D$9149,'Ref Data'!$B12),
_xlpm.one_day_spend,_xlpm.ltm_spend/_xlpm.nbr_days,
_xlpm.one_day_spend*30)</f>
        <v>#NUM!</v>
      </c>
      <c r="H12" s="224" t="e">
        <f>_xlfn.LET(_xlpm.total_spend,SUMIFS(Raw!$F$3:$F$9149,Raw!$D$3:$D$9149,'Ref Data'!$B12),
_xlpm.start_date,MIN(Raw!$H$3:$H$9149),
_xlpm.end_date,MAX(Raw!$H$3:$H$9149),
_xlpm.nbr_days,_xlpm.end_date-_xlpm.start_date,
_xlpm.one_day_spend,_xlpm.total_spend/_xlpm.nbr_days,
_xlpm.one_day_spend*30)</f>
        <v>#DIV/0!</v>
      </c>
      <c r="I12" s="224">
        <f>_xlfn.LET(_xlpm.end_date,MAX(Raw!$H$3:$H$9149),
_xlpm.start_date,_xlpm.end_date-30,
SUMIFS(Raw!$F$3:$F$9149,Raw!$H$3:$H$9149,"&gt;="&amp;_xlpm.start_date,Raw!$D$3:$D$9149,'Ref Data'!$B12)/30*7)</f>
        <v>0</v>
      </c>
      <c r="J12" s="224" t="e">
        <f>_xlfn.LET(_xlpm.end_date,MAX(Raw!$H$3:$H$9149),
_xlpm.start_date,EOMONTH(_xlpm.end_date,-12),
_xlpm.nbr_days,_xlpm.end_date-_xlpm.start_date,
_xlpm.ltm_spend,SUMIFS(Raw!$F$3:$F$9149,Raw!$H$3:$H$9149,"&gt;="&amp;_xlpm.start_date,Raw!$D$3:$D$9149,'Ref Data'!$B12),
_xlpm.one_day_spend,_xlpm.ltm_spend/_xlpm.nbr_days,
_xlpm.one_day_spend*7)</f>
        <v>#NUM!</v>
      </c>
      <c r="K12" s="224" t="e">
        <f>_xlfn.LET(_xlpm.total_spend,SUMIFS(Raw!$F$3:$F$9149,Raw!$D$3:$D$9149,'Ref Data'!$B12),
_xlpm.start_date,MIN(Raw!$H$3:$H$9149),
_xlpm.end_date,MAX(Raw!$H$3:$H$9149),
_xlpm.nbr_days,_xlpm.end_date-_xlpm.start_date,
_xlpm.one_day_spend,_xlpm.total_spend/_xlpm.nbr_days,
_xlpm.one_day_spend*7)</f>
        <v>#DIV/0!</v>
      </c>
      <c r="L12" s="224">
        <f>_xlfn.LET(_xlpm.end_date,MAX(Raw!$H$3:$H$9149),
_xlpm.start_date,_xlpm.end_date-30,
SUMIFS(Raw!$F$3:$F$9149,Raw!$H$3:$H$9149,"&gt;="&amp;_xlpm.start_date,Raw!$D$3:$D$9149,'Ref Data'!$B12)/30)</f>
        <v>0</v>
      </c>
      <c r="M12" s="224" t="e">
        <f>_xlfn.LET(_xlpm.end_date,MAX(Raw!$H$3:$H$9149),
_xlpm.start_date,EOMONTH(_xlpm.end_date,-12),
_xlpm.nbr_days,_xlpm.end_date-_xlpm.start_date,
_xlpm.ltm_spend,SUMIFS(Raw!$F$3:$F$9149,Raw!$H$3:$H$9149,"&gt;="&amp;_xlpm.start_date,Raw!$D$3:$D$9149,'Ref Data'!$B12),
_xlpm.one_day_spend,_xlpm.ltm_spend/_xlpm.nbr_days,
_xlpm.one_day_spend)</f>
        <v>#NUM!</v>
      </c>
      <c r="N12" s="224" t="e">
        <f>_xlfn.LET(_xlpm.total_spend,SUMIFS(Raw!$F$3:$F$9149,Raw!$D$3:$D$9149,'Ref Data'!$B12),
_xlpm.start_date,MIN(Raw!$H$3:$H$9149),
_xlpm.end_date,MAX(Raw!$H$3:$H$9149),
_xlpm.nbr_days,_xlpm.end_date-_xlpm.start_date,
_xlpm.one_day_spend,_xlpm.total_spend/_xlpm.nbr_days,
_xlpm.one_day_spend)</f>
        <v>#DIV/0!</v>
      </c>
    </row>
    <row r="13" spans="1:14" x14ac:dyDescent="0.2">
      <c r="A13" s="28" t="s">
        <v>32</v>
      </c>
      <c r="B13" t="s">
        <v>77</v>
      </c>
      <c r="C13" s="224">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224">
        <f>_xlfn.LET(_xlpm.end_date,MAX(Raw!$H$3:$H$9149),
_xlpm.start_date,EOMONTH(_xlpm.end_date,-12),
_xlpm.nbr_days,_xlpm.end_date-_xlpm.start_date,
_xlpm.ltm_spend,SUMIFS(Raw!$F$3:$F$9149,Raw!$H$3:$H$9149,"&gt;="&amp;_xlpm.start_date,Raw!$D$3:$D$9149,'Ref Data'!$B13),
_xlpm.ltm_spend)</f>
        <v>0</v>
      </c>
      <c r="E13" s="224" t="e">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#DIV/0!</v>
      </c>
      <c r="F13" s="224">
        <f>_xlfn.LET(_xlpm.end_date,MAX(Raw!$H$3:$H$9149),
_xlpm.start_date,_xlpm.end_date-30,
SUMIFS(Raw!$F$3:$F$9149,Raw!$H$3:$H$9149,"&gt;="&amp;_xlpm.start_date,Raw!$D$3:$D$9149,'Ref Data'!$B13))</f>
        <v>0</v>
      </c>
      <c r="G13" s="224" t="e">
        <f>_xlfn.LET(_xlpm.end_date,MAX(Raw!$H$3:$H$9149),
_xlpm.start_date,EOMONTH(_xlpm.end_date,-12),
_xlpm.nbr_days,_xlpm.end_date-_xlpm.start_date,
_xlpm.ltm_spend,SUMIFS(Raw!$F$3:$F$9149,Raw!$H$3:$H$9149,"&gt;="&amp;_xlpm.start_date,Raw!$D$3:$D$9149,'Ref Data'!$B13),
_xlpm.one_day_spend,_xlpm.ltm_spend/_xlpm.nbr_days,
_xlpm.one_day_spend*30)</f>
        <v>#NUM!</v>
      </c>
      <c r="H13" s="224" t="e">
        <f>_xlfn.LET(_xlpm.total_spend,SUMIFS(Raw!$F$3:$F$9149,Raw!$D$3:$D$9149,'Ref Data'!$B13),
_xlpm.start_date,MIN(Raw!$H$3:$H$9149),
_xlpm.end_date,MAX(Raw!$H$3:$H$9149),
_xlpm.nbr_days,_xlpm.end_date-_xlpm.start_date,
_xlpm.one_day_spend,_xlpm.total_spend/_xlpm.nbr_days,
_xlpm.one_day_spend*30)</f>
        <v>#DIV/0!</v>
      </c>
      <c r="I13" s="224">
        <f>_xlfn.LET(_xlpm.end_date,MAX(Raw!$H$3:$H$9149),
_xlpm.start_date,_xlpm.end_date-30,
SUMIFS(Raw!$F$3:$F$9149,Raw!$H$3:$H$9149,"&gt;="&amp;_xlpm.start_date,Raw!$D$3:$D$9149,'Ref Data'!$B13)/30*7)</f>
        <v>0</v>
      </c>
      <c r="J13" s="224" t="e">
        <f>_xlfn.LET(_xlpm.end_date,MAX(Raw!$H$3:$H$9149),
_xlpm.start_date,EOMONTH(_xlpm.end_date,-12),
_xlpm.nbr_days,_xlpm.end_date-_xlpm.start_date,
_xlpm.ltm_spend,SUMIFS(Raw!$F$3:$F$9149,Raw!$H$3:$H$9149,"&gt;="&amp;_xlpm.start_date,Raw!$D$3:$D$9149,'Ref Data'!$B13),
_xlpm.one_day_spend,_xlpm.ltm_spend/_xlpm.nbr_days,
_xlpm.one_day_spend*7)</f>
        <v>#NUM!</v>
      </c>
      <c r="K13" s="224" t="e">
        <f>_xlfn.LET(_xlpm.total_spend,SUMIFS(Raw!$F$3:$F$9149,Raw!$D$3:$D$9149,'Ref Data'!$B13),
_xlpm.start_date,MIN(Raw!$H$3:$H$9149),
_xlpm.end_date,MAX(Raw!$H$3:$H$9149),
_xlpm.nbr_days,_xlpm.end_date-_xlpm.start_date,
_xlpm.one_day_spend,_xlpm.total_spend/_xlpm.nbr_days,
_xlpm.one_day_spend*7)</f>
        <v>#DIV/0!</v>
      </c>
      <c r="L13" s="224">
        <f>_xlfn.LET(_xlpm.end_date,MAX(Raw!$H$3:$H$9149),
_xlpm.start_date,_xlpm.end_date-30,
SUMIFS(Raw!$F$3:$F$9149,Raw!$H$3:$H$9149,"&gt;="&amp;_xlpm.start_date,Raw!$D$3:$D$9149,'Ref Data'!$B13)/30)</f>
        <v>0</v>
      </c>
      <c r="M13" s="224" t="e">
        <f>_xlfn.LET(_xlpm.end_date,MAX(Raw!$H$3:$H$9149),
_xlpm.start_date,EOMONTH(_xlpm.end_date,-12),
_xlpm.nbr_days,_xlpm.end_date-_xlpm.start_date,
_xlpm.ltm_spend,SUMIFS(Raw!$F$3:$F$9149,Raw!$H$3:$H$9149,"&gt;="&amp;_xlpm.start_date,Raw!$D$3:$D$9149,'Ref Data'!$B13),
_xlpm.one_day_spend,_xlpm.ltm_spend/_xlpm.nbr_days,
_xlpm.one_day_spend)</f>
        <v>#NUM!</v>
      </c>
      <c r="N13" s="224" t="e">
        <f>_xlfn.LET(_xlpm.total_spend,SUMIFS(Raw!$F$3:$F$9149,Raw!$D$3:$D$9149,'Ref Data'!$B13),
_xlpm.start_date,MIN(Raw!$H$3:$H$9149),
_xlpm.end_date,MAX(Raw!$H$3:$H$9149),
_xlpm.nbr_days,_xlpm.end_date-_xlpm.start_date,
_xlpm.one_day_spend,_xlpm.total_spend/_xlpm.nbr_days,
_xlpm.one_day_spend)</f>
        <v>#DIV/0!</v>
      </c>
    </row>
    <row r="14" spans="1:14" x14ac:dyDescent="0.2">
      <c r="A14" s="28" t="s">
        <v>32</v>
      </c>
      <c r="B14" t="s">
        <v>281</v>
      </c>
      <c r="C14" s="224">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224">
        <f>_xlfn.LET(_xlpm.end_date,MAX(Raw!$H$3:$H$9149),
_xlpm.start_date,EOMONTH(_xlpm.end_date,-12),
_xlpm.nbr_days,_xlpm.end_date-_xlpm.start_date,
_xlpm.ltm_spend,SUMIFS(Raw!$F$3:$F$9149,Raw!$H$3:$H$9149,"&gt;="&amp;_xlpm.start_date,Raw!$D$3:$D$9149,'Ref Data'!$B14),
_xlpm.ltm_spend)</f>
        <v>0</v>
      </c>
      <c r="E14" s="224" t="e">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#DIV/0!</v>
      </c>
      <c r="F14" s="224">
        <f>_xlfn.LET(_xlpm.end_date,MAX(Raw!$H$3:$H$9149),
_xlpm.start_date,_xlpm.end_date-30,
SUMIFS(Raw!$F$3:$F$9149,Raw!$H$3:$H$9149,"&gt;="&amp;_xlpm.start_date,Raw!$D$3:$D$9149,'Ref Data'!$B14))</f>
        <v>0</v>
      </c>
      <c r="G14" s="224" t="e">
        <f>_xlfn.LET(_xlpm.end_date,MAX(Raw!$H$3:$H$9149),
_xlpm.start_date,EOMONTH(_xlpm.end_date,-12),
_xlpm.nbr_days,_xlpm.end_date-_xlpm.start_date,
_xlpm.ltm_spend,SUMIFS(Raw!$F$3:$F$9149,Raw!$H$3:$H$9149,"&gt;="&amp;_xlpm.start_date,Raw!$D$3:$D$9149,'Ref Data'!$B14),
_xlpm.one_day_spend,_xlpm.ltm_spend/_xlpm.nbr_days,
_xlpm.one_day_spend*30)</f>
        <v>#NUM!</v>
      </c>
      <c r="H14" s="224" t="e">
        <f>_xlfn.LET(_xlpm.total_spend,SUMIFS(Raw!$F$3:$F$9149,Raw!$D$3:$D$9149,'Ref Data'!$B14),
_xlpm.start_date,MIN(Raw!$H$3:$H$9149),
_xlpm.end_date,MAX(Raw!$H$3:$H$9149),
_xlpm.nbr_days,_xlpm.end_date-_xlpm.start_date,
_xlpm.one_day_spend,_xlpm.total_spend/_xlpm.nbr_days,
_xlpm.one_day_spend*30)</f>
        <v>#DIV/0!</v>
      </c>
      <c r="I14" s="224">
        <f>_xlfn.LET(_xlpm.end_date,MAX(Raw!$H$3:$H$9149),
_xlpm.start_date,_xlpm.end_date-30,
SUMIFS(Raw!$F$3:$F$9149,Raw!$H$3:$H$9149,"&gt;="&amp;_xlpm.start_date,Raw!$D$3:$D$9149,'Ref Data'!$B14)/30*7)</f>
        <v>0</v>
      </c>
      <c r="J14" s="224" t="e">
        <f>_xlfn.LET(_xlpm.end_date,MAX(Raw!$H$3:$H$9149),
_xlpm.start_date,EOMONTH(_xlpm.end_date,-12),
_xlpm.nbr_days,_xlpm.end_date-_xlpm.start_date,
_xlpm.ltm_spend,SUMIFS(Raw!$F$3:$F$9149,Raw!$H$3:$H$9149,"&gt;="&amp;_xlpm.start_date,Raw!$D$3:$D$9149,'Ref Data'!$B14),
_xlpm.one_day_spend,_xlpm.ltm_spend/_xlpm.nbr_days,
_xlpm.one_day_spend*7)</f>
        <v>#NUM!</v>
      </c>
      <c r="K14" s="224" t="e">
        <f>_xlfn.LET(_xlpm.total_spend,SUMIFS(Raw!$F$3:$F$9149,Raw!$D$3:$D$9149,'Ref Data'!$B14),
_xlpm.start_date,MIN(Raw!$H$3:$H$9149),
_xlpm.end_date,MAX(Raw!$H$3:$H$9149),
_xlpm.nbr_days,_xlpm.end_date-_xlpm.start_date,
_xlpm.one_day_spend,_xlpm.total_spend/_xlpm.nbr_days,
_xlpm.one_day_spend*7)</f>
        <v>#DIV/0!</v>
      </c>
      <c r="L14" s="224">
        <f>_xlfn.LET(_xlpm.end_date,MAX(Raw!$H$3:$H$9149),
_xlpm.start_date,_xlpm.end_date-30,
SUMIFS(Raw!$F$3:$F$9149,Raw!$H$3:$H$9149,"&gt;="&amp;_xlpm.start_date,Raw!$D$3:$D$9149,'Ref Data'!$B14)/30)</f>
        <v>0</v>
      </c>
      <c r="M14" s="224" t="e">
        <f>_xlfn.LET(_xlpm.end_date,MAX(Raw!$H$3:$H$9149),
_xlpm.start_date,EOMONTH(_xlpm.end_date,-12),
_xlpm.nbr_days,_xlpm.end_date-_xlpm.start_date,
_xlpm.ltm_spend,SUMIFS(Raw!$F$3:$F$9149,Raw!$H$3:$H$9149,"&gt;="&amp;_xlpm.start_date,Raw!$D$3:$D$9149,'Ref Data'!$B14),
_xlpm.one_day_spend,_xlpm.ltm_spend/_xlpm.nbr_days,
_xlpm.one_day_spend)</f>
        <v>#NUM!</v>
      </c>
      <c r="N14" s="224" t="e">
        <f>_xlfn.LET(_xlpm.total_spend,SUMIFS(Raw!$F$3:$F$9149,Raw!$D$3:$D$9149,'Ref Data'!$B14),
_xlpm.start_date,MIN(Raw!$H$3:$H$9149),
_xlpm.end_date,MAX(Raw!$H$3:$H$9149),
_xlpm.nbr_days,_xlpm.end_date-_xlpm.start_date,
_xlpm.one_day_spend,_xlpm.total_spend/_xlpm.nbr_days,
_xlpm.one_day_spend)</f>
        <v>#DIV/0!</v>
      </c>
    </row>
    <row r="15" spans="1:14" x14ac:dyDescent="0.2">
      <c r="A15" t="s">
        <v>6</v>
      </c>
      <c r="B15" t="s">
        <v>6</v>
      </c>
      <c r="C15" s="224">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224">
        <f>_xlfn.LET(_xlpm.end_date,MAX(Raw!$H$3:$H$9149),
_xlpm.start_date,EOMONTH(_xlpm.end_date,-12),
_xlpm.nbr_days,_xlpm.end_date-_xlpm.start_date,
_xlpm.ltm_spend,SUMIFS(Raw!$F$3:$F$9149,Raw!$H$3:$H$9149,"&gt;="&amp;_xlpm.start_date,Raw!$D$3:$D$9149,'Ref Data'!$B15),
_xlpm.ltm_spend)</f>
        <v>0</v>
      </c>
      <c r="E15" s="224" t="e">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#DIV/0!</v>
      </c>
      <c r="F15" s="224">
        <f>_xlfn.LET(_xlpm.end_date,MAX(Raw!$H$3:$H$9149),
_xlpm.start_date,_xlpm.end_date-30,
SUMIFS(Raw!$F$3:$F$9149,Raw!$H$3:$H$9149,"&gt;="&amp;_xlpm.start_date,Raw!$D$3:$D$9149,'Ref Data'!$B15))</f>
        <v>0</v>
      </c>
      <c r="G15" s="224" t="e">
        <f>_xlfn.LET(_xlpm.end_date,MAX(Raw!$H$3:$H$9149),
_xlpm.start_date,EOMONTH(_xlpm.end_date,-12),
_xlpm.nbr_days,_xlpm.end_date-_xlpm.start_date,
_xlpm.ltm_spend,SUMIFS(Raw!$F$3:$F$9149,Raw!$H$3:$H$9149,"&gt;="&amp;_xlpm.start_date,Raw!$D$3:$D$9149,'Ref Data'!$B15),
_xlpm.one_day_spend,_xlpm.ltm_spend/_xlpm.nbr_days,
_xlpm.one_day_spend*30)</f>
        <v>#NUM!</v>
      </c>
      <c r="H15" s="224" t="e">
        <f>_xlfn.LET(_xlpm.total_spend,SUMIFS(Raw!$F$3:$F$9149,Raw!$D$3:$D$9149,'Ref Data'!$B15),
_xlpm.start_date,MIN(Raw!$H$3:$H$9149),
_xlpm.end_date,MAX(Raw!$H$3:$H$9149),
_xlpm.nbr_days,_xlpm.end_date-_xlpm.start_date,
_xlpm.one_day_spend,_xlpm.total_spend/_xlpm.nbr_days,
_xlpm.one_day_spend*30)</f>
        <v>#DIV/0!</v>
      </c>
      <c r="I15" s="224">
        <f>_xlfn.LET(_xlpm.end_date,MAX(Raw!$H$3:$H$9149),
_xlpm.start_date,_xlpm.end_date-30,
SUMIFS(Raw!$F$3:$F$9149,Raw!$H$3:$H$9149,"&gt;="&amp;_xlpm.start_date,Raw!$D$3:$D$9149,'Ref Data'!$B15)/30*7)</f>
        <v>0</v>
      </c>
      <c r="J15" s="224" t="e">
        <f>_xlfn.LET(_xlpm.end_date,MAX(Raw!$H$3:$H$9149),
_xlpm.start_date,EOMONTH(_xlpm.end_date,-12),
_xlpm.nbr_days,_xlpm.end_date-_xlpm.start_date,
_xlpm.ltm_spend,SUMIFS(Raw!$F$3:$F$9149,Raw!$H$3:$H$9149,"&gt;="&amp;_xlpm.start_date,Raw!$D$3:$D$9149,'Ref Data'!$B15),
_xlpm.one_day_spend,_xlpm.ltm_spend/_xlpm.nbr_days,
_xlpm.one_day_spend*7)</f>
        <v>#NUM!</v>
      </c>
      <c r="K15" s="224" t="e">
        <f>_xlfn.LET(_xlpm.total_spend,SUMIFS(Raw!$F$3:$F$9149,Raw!$D$3:$D$9149,'Ref Data'!$B15),
_xlpm.start_date,MIN(Raw!$H$3:$H$9149),
_xlpm.end_date,MAX(Raw!$H$3:$H$9149),
_xlpm.nbr_days,_xlpm.end_date-_xlpm.start_date,
_xlpm.one_day_spend,_xlpm.total_spend/_xlpm.nbr_days,
_xlpm.one_day_spend*7)</f>
        <v>#DIV/0!</v>
      </c>
      <c r="L15" s="224">
        <f>_xlfn.LET(_xlpm.end_date,MAX(Raw!$H$3:$H$9149),
_xlpm.start_date,_xlpm.end_date-30,
SUMIFS(Raw!$F$3:$F$9149,Raw!$H$3:$H$9149,"&gt;="&amp;_xlpm.start_date,Raw!$D$3:$D$9149,'Ref Data'!$B15)/30)</f>
        <v>0</v>
      </c>
      <c r="M15" s="224" t="e">
        <f>_xlfn.LET(_xlpm.end_date,MAX(Raw!$H$3:$H$9149),
_xlpm.start_date,EOMONTH(_xlpm.end_date,-12),
_xlpm.nbr_days,_xlpm.end_date-_xlpm.start_date,
_xlpm.ltm_spend,SUMIFS(Raw!$F$3:$F$9149,Raw!$H$3:$H$9149,"&gt;="&amp;_xlpm.start_date,Raw!$D$3:$D$9149,'Ref Data'!$B15),
_xlpm.one_day_spend,_xlpm.ltm_spend/_xlpm.nbr_days,
_xlpm.one_day_spend)</f>
        <v>#NUM!</v>
      </c>
      <c r="N15" s="224" t="e">
        <f>_xlfn.LET(_xlpm.total_spend,SUMIFS(Raw!$F$3:$F$9149,Raw!$D$3:$D$9149,'Ref Data'!$B15),
_xlpm.start_date,MIN(Raw!$H$3:$H$9149),
_xlpm.end_date,MAX(Raw!$H$3:$H$9149),
_xlpm.nbr_days,_xlpm.end_date-_xlpm.start_date,
_xlpm.one_day_spend,_xlpm.total_spend/_xlpm.nbr_days,
_xlpm.one_day_spend)</f>
        <v>#DIV/0!</v>
      </c>
    </row>
    <row r="16" spans="1:14" x14ac:dyDescent="0.2">
      <c r="A16" s="28" t="s">
        <v>290</v>
      </c>
      <c r="B16" t="s">
        <v>264</v>
      </c>
      <c r="C16" s="224">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224">
        <f>_xlfn.LET(_xlpm.end_date,MAX(Raw!$H$3:$H$9149),
_xlpm.start_date,EOMONTH(_xlpm.end_date,-12),
_xlpm.nbr_days,_xlpm.end_date-_xlpm.start_date,
_xlpm.ltm_spend,SUMIFS(Raw!$F$3:$F$9149,Raw!$H$3:$H$9149,"&gt;="&amp;_xlpm.start_date,Raw!$D$3:$D$9149,'Ref Data'!$B16),
_xlpm.ltm_spend)</f>
        <v>0</v>
      </c>
      <c r="E16" s="224" t="e">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#DIV/0!</v>
      </c>
      <c r="F16" s="224">
        <f>_xlfn.LET(_xlpm.end_date,MAX(Raw!$H$3:$H$9149),
_xlpm.start_date,_xlpm.end_date-30,
SUMIFS(Raw!$F$3:$F$9149,Raw!$H$3:$H$9149,"&gt;="&amp;_xlpm.start_date,Raw!$D$3:$D$9149,'Ref Data'!$B16))</f>
        <v>0</v>
      </c>
      <c r="G16" s="224" t="e">
        <f>_xlfn.LET(_xlpm.end_date,MAX(Raw!$H$3:$H$9149),
_xlpm.start_date,EOMONTH(_xlpm.end_date,-12),
_xlpm.nbr_days,_xlpm.end_date-_xlpm.start_date,
_xlpm.ltm_spend,SUMIFS(Raw!$F$3:$F$9149,Raw!$H$3:$H$9149,"&gt;="&amp;_xlpm.start_date,Raw!$D$3:$D$9149,'Ref Data'!$B16),
_xlpm.one_day_spend,_xlpm.ltm_spend/_xlpm.nbr_days,
_xlpm.one_day_spend*30)</f>
        <v>#NUM!</v>
      </c>
      <c r="H16" s="224" t="e">
        <f>_xlfn.LET(_xlpm.total_spend,SUMIFS(Raw!$F$3:$F$9149,Raw!$D$3:$D$9149,'Ref Data'!$B16),
_xlpm.start_date,MIN(Raw!$H$3:$H$9149),
_xlpm.end_date,MAX(Raw!$H$3:$H$9149),
_xlpm.nbr_days,_xlpm.end_date-_xlpm.start_date,
_xlpm.one_day_spend,_xlpm.total_spend/_xlpm.nbr_days,
_xlpm.one_day_spend*30)</f>
        <v>#DIV/0!</v>
      </c>
      <c r="I16" s="224">
        <f>_xlfn.LET(_xlpm.end_date,MAX(Raw!$H$3:$H$9149),
_xlpm.start_date,_xlpm.end_date-30,
SUMIFS(Raw!$F$3:$F$9149,Raw!$H$3:$H$9149,"&gt;="&amp;_xlpm.start_date,Raw!$D$3:$D$9149,'Ref Data'!$B16)/30*7)</f>
        <v>0</v>
      </c>
      <c r="J16" s="224" t="e">
        <f>_xlfn.LET(_xlpm.end_date,MAX(Raw!$H$3:$H$9149),
_xlpm.start_date,EOMONTH(_xlpm.end_date,-12),
_xlpm.nbr_days,_xlpm.end_date-_xlpm.start_date,
_xlpm.ltm_spend,SUMIFS(Raw!$F$3:$F$9149,Raw!$H$3:$H$9149,"&gt;="&amp;_xlpm.start_date,Raw!$D$3:$D$9149,'Ref Data'!$B16),
_xlpm.one_day_spend,_xlpm.ltm_spend/_xlpm.nbr_days,
_xlpm.one_day_spend*7)</f>
        <v>#NUM!</v>
      </c>
      <c r="K16" s="224" t="e">
        <f>_xlfn.LET(_xlpm.total_spend,SUMIFS(Raw!$F$3:$F$9149,Raw!$D$3:$D$9149,'Ref Data'!$B16),
_xlpm.start_date,MIN(Raw!$H$3:$H$9149),
_xlpm.end_date,MAX(Raw!$H$3:$H$9149),
_xlpm.nbr_days,_xlpm.end_date-_xlpm.start_date,
_xlpm.one_day_spend,_xlpm.total_spend/_xlpm.nbr_days,
_xlpm.one_day_spend*7)</f>
        <v>#DIV/0!</v>
      </c>
      <c r="L16" s="224">
        <f>_xlfn.LET(_xlpm.end_date,MAX(Raw!$H$3:$H$9149),
_xlpm.start_date,_xlpm.end_date-30,
SUMIFS(Raw!$F$3:$F$9149,Raw!$H$3:$H$9149,"&gt;="&amp;_xlpm.start_date,Raw!$D$3:$D$9149,'Ref Data'!$B16)/30)</f>
        <v>0</v>
      </c>
      <c r="M16" s="224" t="e">
        <f>_xlfn.LET(_xlpm.end_date,MAX(Raw!$H$3:$H$9149),
_xlpm.start_date,EOMONTH(_xlpm.end_date,-12),
_xlpm.nbr_days,_xlpm.end_date-_xlpm.start_date,
_xlpm.ltm_spend,SUMIFS(Raw!$F$3:$F$9149,Raw!$H$3:$H$9149,"&gt;="&amp;_xlpm.start_date,Raw!$D$3:$D$9149,'Ref Data'!$B16),
_xlpm.one_day_spend,_xlpm.ltm_spend/_xlpm.nbr_days,
_xlpm.one_day_spend)</f>
        <v>#NUM!</v>
      </c>
      <c r="N16" s="224" t="e">
        <f>_xlfn.LET(_xlpm.total_spend,SUMIFS(Raw!$F$3:$F$9149,Raw!$D$3:$D$9149,'Ref Data'!$B16),
_xlpm.start_date,MIN(Raw!$H$3:$H$9149),
_xlpm.end_date,MAX(Raw!$H$3:$H$9149),
_xlpm.nbr_days,_xlpm.end_date-_xlpm.start_date,
_xlpm.one_day_spend,_xlpm.total_spend/_xlpm.nbr_days,
_xlpm.one_day_spend)</f>
        <v>#DIV/0!</v>
      </c>
    </row>
    <row r="17" spans="1:14" x14ac:dyDescent="0.2">
      <c r="A17" s="28" t="s">
        <v>290</v>
      </c>
      <c r="B17" t="s">
        <v>265</v>
      </c>
      <c r="C17" s="224">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224">
        <f>_xlfn.LET(_xlpm.end_date,MAX(Raw!$H$3:$H$9149),
_xlpm.start_date,EOMONTH(_xlpm.end_date,-12),
_xlpm.nbr_days,_xlpm.end_date-_xlpm.start_date,
_xlpm.ltm_spend,SUMIFS(Raw!$F$3:$F$9149,Raw!$H$3:$H$9149,"&gt;="&amp;_xlpm.start_date,Raw!$D$3:$D$9149,'Ref Data'!$B17),
_xlpm.ltm_spend)</f>
        <v>0</v>
      </c>
      <c r="E17" s="224" t="e">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#DIV/0!</v>
      </c>
      <c r="F17" s="224">
        <f>_xlfn.LET(_xlpm.end_date,MAX(Raw!$H$3:$H$9149),
_xlpm.start_date,_xlpm.end_date-30,
SUMIFS(Raw!$F$3:$F$9149,Raw!$H$3:$H$9149,"&gt;="&amp;_xlpm.start_date,Raw!$D$3:$D$9149,'Ref Data'!$B17))</f>
        <v>0</v>
      </c>
      <c r="G17" s="224" t="e">
        <f>_xlfn.LET(_xlpm.end_date,MAX(Raw!$H$3:$H$9149),
_xlpm.start_date,EOMONTH(_xlpm.end_date,-12),
_xlpm.nbr_days,_xlpm.end_date-_xlpm.start_date,
_xlpm.ltm_spend,SUMIFS(Raw!$F$3:$F$9149,Raw!$H$3:$H$9149,"&gt;="&amp;_xlpm.start_date,Raw!$D$3:$D$9149,'Ref Data'!$B17),
_xlpm.one_day_spend,_xlpm.ltm_spend/_xlpm.nbr_days,
_xlpm.one_day_spend*30)</f>
        <v>#NUM!</v>
      </c>
      <c r="H17" s="224" t="e">
        <f>_xlfn.LET(_xlpm.total_spend,SUMIFS(Raw!$F$3:$F$9149,Raw!$D$3:$D$9149,'Ref Data'!$B17),
_xlpm.start_date,MIN(Raw!$H$3:$H$9149),
_xlpm.end_date,MAX(Raw!$H$3:$H$9149),
_xlpm.nbr_days,_xlpm.end_date-_xlpm.start_date,
_xlpm.one_day_spend,_xlpm.total_spend/_xlpm.nbr_days,
_xlpm.one_day_spend*30)</f>
        <v>#DIV/0!</v>
      </c>
      <c r="I17" s="224">
        <f>_xlfn.LET(_xlpm.end_date,MAX(Raw!$H$3:$H$9149),
_xlpm.start_date,_xlpm.end_date-30,
SUMIFS(Raw!$F$3:$F$9149,Raw!$H$3:$H$9149,"&gt;="&amp;_xlpm.start_date,Raw!$D$3:$D$9149,'Ref Data'!$B17)/30*7)</f>
        <v>0</v>
      </c>
      <c r="J17" s="224" t="e">
        <f>_xlfn.LET(_xlpm.end_date,MAX(Raw!$H$3:$H$9149),
_xlpm.start_date,EOMONTH(_xlpm.end_date,-12),
_xlpm.nbr_days,_xlpm.end_date-_xlpm.start_date,
_xlpm.ltm_spend,SUMIFS(Raw!$F$3:$F$9149,Raw!$H$3:$H$9149,"&gt;="&amp;_xlpm.start_date,Raw!$D$3:$D$9149,'Ref Data'!$B17),
_xlpm.one_day_spend,_xlpm.ltm_spend/_xlpm.nbr_days,
_xlpm.one_day_spend*7)</f>
        <v>#NUM!</v>
      </c>
      <c r="K17" s="224" t="e">
        <f>_xlfn.LET(_xlpm.total_spend,SUMIFS(Raw!$F$3:$F$9149,Raw!$D$3:$D$9149,'Ref Data'!$B17),
_xlpm.start_date,MIN(Raw!$H$3:$H$9149),
_xlpm.end_date,MAX(Raw!$H$3:$H$9149),
_xlpm.nbr_days,_xlpm.end_date-_xlpm.start_date,
_xlpm.one_day_spend,_xlpm.total_spend/_xlpm.nbr_days,
_xlpm.one_day_spend*7)</f>
        <v>#DIV/0!</v>
      </c>
      <c r="L17" s="224">
        <f>_xlfn.LET(_xlpm.end_date,MAX(Raw!$H$3:$H$9149),
_xlpm.start_date,_xlpm.end_date-30,
SUMIFS(Raw!$F$3:$F$9149,Raw!$H$3:$H$9149,"&gt;="&amp;_xlpm.start_date,Raw!$D$3:$D$9149,'Ref Data'!$B17)/30)</f>
        <v>0</v>
      </c>
      <c r="M17" s="224" t="e">
        <f>_xlfn.LET(_xlpm.end_date,MAX(Raw!$H$3:$H$9149),
_xlpm.start_date,EOMONTH(_xlpm.end_date,-12),
_xlpm.nbr_days,_xlpm.end_date-_xlpm.start_date,
_xlpm.ltm_spend,SUMIFS(Raw!$F$3:$F$9149,Raw!$H$3:$H$9149,"&gt;="&amp;_xlpm.start_date,Raw!$D$3:$D$9149,'Ref Data'!$B17),
_xlpm.one_day_spend,_xlpm.ltm_spend/_xlpm.nbr_days,
_xlpm.one_day_spend)</f>
        <v>#NUM!</v>
      </c>
      <c r="N17" s="224" t="e">
        <f>_xlfn.LET(_xlpm.total_spend,SUMIFS(Raw!$F$3:$F$9149,Raw!$D$3:$D$9149,'Ref Data'!$B17),
_xlpm.start_date,MIN(Raw!$H$3:$H$9149),
_xlpm.end_date,MAX(Raw!$H$3:$H$9149),
_xlpm.nbr_days,_xlpm.end_date-_xlpm.start_date,
_xlpm.one_day_spend,_xlpm.total_spend/_xlpm.nbr_days,
_xlpm.one_day_spend)</f>
        <v>#DIV/0!</v>
      </c>
    </row>
    <row r="18" spans="1:14" x14ac:dyDescent="0.2">
      <c r="A18" s="28" t="s">
        <v>290</v>
      </c>
      <c r="B18" t="s">
        <v>271</v>
      </c>
      <c r="C18" s="224">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224">
        <f>_xlfn.LET(_xlpm.end_date,MAX(Raw!$H$3:$H$9149),
_xlpm.start_date,EOMONTH(_xlpm.end_date,-12),
_xlpm.nbr_days,_xlpm.end_date-_xlpm.start_date,
_xlpm.ltm_spend,SUMIFS(Raw!$F$3:$F$9149,Raw!$H$3:$H$9149,"&gt;="&amp;_xlpm.start_date,Raw!$D$3:$D$9149,'Ref Data'!$B18),
_xlpm.ltm_spend)</f>
        <v>0</v>
      </c>
      <c r="E18" s="224" t="e">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#DIV/0!</v>
      </c>
      <c r="F18" s="224">
        <f>_xlfn.LET(_xlpm.end_date,MAX(Raw!$H$3:$H$9149),
_xlpm.start_date,_xlpm.end_date-30,
SUMIFS(Raw!$F$3:$F$9149,Raw!$H$3:$H$9149,"&gt;="&amp;_xlpm.start_date,Raw!$D$3:$D$9149,'Ref Data'!$B18))</f>
        <v>0</v>
      </c>
      <c r="G18" s="224" t="e">
        <f>_xlfn.LET(_xlpm.end_date,MAX(Raw!$H$3:$H$9149),
_xlpm.start_date,EOMONTH(_xlpm.end_date,-12),
_xlpm.nbr_days,_xlpm.end_date-_xlpm.start_date,
_xlpm.ltm_spend,SUMIFS(Raw!$F$3:$F$9149,Raw!$H$3:$H$9149,"&gt;="&amp;_xlpm.start_date,Raw!$D$3:$D$9149,'Ref Data'!$B18),
_xlpm.one_day_spend,_xlpm.ltm_spend/_xlpm.nbr_days,
_xlpm.one_day_spend*30)</f>
        <v>#NUM!</v>
      </c>
      <c r="H18" s="224" t="e">
        <f>_xlfn.LET(_xlpm.total_spend,SUMIFS(Raw!$F$3:$F$9149,Raw!$D$3:$D$9149,'Ref Data'!$B18),
_xlpm.start_date,MIN(Raw!$H$3:$H$9149),
_xlpm.end_date,MAX(Raw!$H$3:$H$9149),
_xlpm.nbr_days,_xlpm.end_date-_xlpm.start_date,
_xlpm.one_day_spend,_xlpm.total_spend/_xlpm.nbr_days,
_xlpm.one_day_spend*30)</f>
        <v>#DIV/0!</v>
      </c>
      <c r="I18" s="224">
        <f>_xlfn.LET(_xlpm.end_date,MAX(Raw!$H$3:$H$9149),
_xlpm.start_date,_xlpm.end_date-30,
SUMIFS(Raw!$F$3:$F$9149,Raw!$H$3:$H$9149,"&gt;="&amp;_xlpm.start_date,Raw!$D$3:$D$9149,'Ref Data'!$B18)/30*7)</f>
        <v>0</v>
      </c>
      <c r="J18" s="224" t="e">
        <f>_xlfn.LET(_xlpm.end_date,MAX(Raw!$H$3:$H$9149),
_xlpm.start_date,EOMONTH(_xlpm.end_date,-12),
_xlpm.nbr_days,_xlpm.end_date-_xlpm.start_date,
_xlpm.ltm_spend,SUMIFS(Raw!$F$3:$F$9149,Raw!$H$3:$H$9149,"&gt;="&amp;_xlpm.start_date,Raw!$D$3:$D$9149,'Ref Data'!$B18),
_xlpm.one_day_spend,_xlpm.ltm_spend/_xlpm.nbr_days,
_xlpm.one_day_spend*7)</f>
        <v>#NUM!</v>
      </c>
      <c r="K18" s="224" t="e">
        <f>_xlfn.LET(_xlpm.total_spend,SUMIFS(Raw!$F$3:$F$9149,Raw!$D$3:$D$9149,'Ref Data'!$B18),
_xlpm.start_date,MIN(Raw!$H$3:$H$9149),
_xlpm.end_date,MAX(Raw!$H$3:$H$9149),
_xlpm.nbr_days,_xlpm.end_date-_xlpm.start_date,
_xlpm.one_day_spend,_xlpm.total_spend/_xlpm.nbr_days,
_xlpm.one_day_spend*7)</f>
        <v>#DIV/0!</v>
      </c>
      <c r="L18" s="224">
        <f>_xlfn.LET(_xlpm.end_date,MAX(Raw!$H$3:$H$9149),
_xlpm.start_date,_xlpm.end_date-30,
SUMIFS(Raw!$F$3:$F$9149,Raw!$H$3:$H$9149,"&gt;="&amp;_xlpm.start_date,Raw!$D$3:$D$9149,'Ref Data'!$B18)/30)</f>
        <v>0</v>
      </c>
      <c r="M18" s="224" t="e">
        <f>_xlfn.LET(_xlpm.end_date,MAX(Raw!$H$3:$H$9149),
_xlpm.start_date,EOMONTH(_xlpm.end_date,-12),
_xlpm.nbr_days,_xlpm.end_date-_xlpm.start_date,
_xlpm.ltm_spend,SUMIFS(Raw!$F$3:$F$9149,Raw!$H$3:$H$9149,"&gt;="&amp;_xlpm.start_date,Raw!$D$3:$D$9149,'Ref Data'!$B18),
_xlpm.one_day_spend,_xlpm.ltm_spend/_xlpm.nbr_days,
_xlpm.one_day_spend)</f>
        <v>#NUM!</v>
      </c>
      <c r="N18" s="224" t="e">
        <f>_xlfn.LET(_xlpm.total_spend,SUMIFS(Raw!$F$3:$F$9149,Raw!$D$3:$D$9149,'Ref Data'!$B18),
_xlpm.start_date,MIN(Raw!$H$3:$H$9149),
_xlpm.end_date,MAX(Raw!$H$3:$H$9149),
_xlpm.nbr_days,_xlpm.end_date-_xlpm.start_date,
_xlpm.one_day_spend,_xlpm.total_spend/_xlpm.nbr_days,
_xlpm.one_day_spend)</f>
        <v>#DIV/0!</v>
      </c>
    </row>
    <row r="19" spans="1:14" x14ac:dyDescent="0.2">
      <c r="A19" s="28" t="s">
        <v>290</v>
      </c>
      <c r="B19" t="s">
        <v>278</v>
      </c>
      <c r="C19" s="224">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224">
        <f>_xlfn.LET(_xlpm.end_date,MAX(Raw!$H$3:$H$9149),
_xlpm.start_date,EOMONTH(_xlpm.end_date,-12),
_xlpm.nbr_days,_xlpm.end_date-_xlpm.start_date,
_xlpm.ltm_spend,SUMIFS(Raw!$F$3:$F$9149,Raw!$H$3:$H$9149,"&gt;="&amp;_xlpm.start_date,Raw!$D$3:$D$9149,'Ref Data'!$B19),
_xlpm.ltm_spend)</f>
        <v>0</v>
      </c>
      <c r="E19" s="224" t="e">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#DIV/0!</v>
      </c>
      <c r="F19" s="224">
        <f>_xlfn.LET(_xlpm.end_date,MAX(Raw!$H$3:$H$9149),
_xlpm.start_date,_xlpm.end_date-30,
SUMIFS(Raw!$F$3:$F$9149,Raw!$H$3:$H$9149,"&gt;="&amp;_xlpm.start_date,Raw!$D$3:$D$9149,'Ref Data'!$B19))</f>
        <v>0</v>
      </c>
      <c r="G19" s="224" t="e">
        <f>_xlfn.LET(_xlpm.end_date,MAX(Raw!$H$3:$H$9149),
_xlpm.start_date,EOMONTH(_xlpm.end_date,-12),
_xlpm.nbr_days,_xlpm.end_date-_xlpm.start_date,
_xlpm.ltm_spend,SUMIFS(Raw!$F$3:$F$9149,Raw!$H$3:$H$9149,"&gt;="&amp;_xlpm.start_date,Raw!$D$3:$D$9149,'Ref Data'!$B19),
_xlpm.one_day_spend,_xlpm.ltm_spend/_xlpm.nbr_days,
_xlpm.one_day_spend*30)</f>
        <v>#NUM!</v>
      </c>
      <c r="H19" s="224" t="e">
        <f>_xlfn.LET(_xlpm.total_spend,SUMIFS(Raw!$F$3:$F$9149,Raw!$D$3:$D$9149,'Ref Data'!$B19),
_xlpm.start_date,MIN(Raw!$H$3:$H$9149),
_xlpm.end_date,MAX(Raw!$H$3:$H$9149),
_xlpm.nbr_days,_xlpm.end_date-_xlpm.start_date,
_xlpm.one_day_spend,_xlpm.total_spend/_xlpm.nbr_days,
_xlpm.one_day_spend*30)</f>
        <v>#DIV/0!</v>
      </c>
      <c r="I19" s="224">
        <f>_xlfn.LET(_xlpm.end_date,MAX(Raw!$H$3:$H$9149),
_xlpm.start_date,_xlpm.end_date-30,
SUMIFS(Raw!$F$3:$F$9149,Raw!$H$3:$H$9149,"&gt;="&amp;_xlpm.start_date,Raw!$D$3:$D$9149,'Ref Data'!$B19)/30*7)</f>
        <v>0</v>
      </c>
      <c r="J19" s="224" t="e">
        <f>_xlfn.LET(_xlpm.end_date,MAX(Raw!$H$3:$H$9149),
_xlpm.start_date,EOMONTH(_xlpm.end_date,-12),
_xlpm.nbr_days,_xlpm.end_date-_xlpm.start_date,
_xlpm.ltm_spend,SUMIFS(Raw!$F$3:$F$9149,Raw!$H$3:$H$9149,"&gt;="&amp;_xlpm.start_date,Raw!$D$3:$D$9149,'Ref Data'!$B19),
_xlpm.one_day_spend,_xlpm.ltm_spend/_xlpm.nbr_days,
_xlpm.one_day_spend*7)</f>
        <v>#NUM!</v>
      </c>
      <c r="K19" s="224" t="e">
        <f>_xlfn.LET(_xlpm.total_spend,SUMIFS(Raw!$F$3:$F$9149,Raw!$D$3:$D$9149,'Ref Data'!$B19),
_xlpm.start_date,MIN(Raw!$H$3:$H$9149),
_xlpm.end_date,MAX(Raw!$H$3:$H$9149),
_xlpm.nbr_days,_xlpm.end_date-_xlpm.start_date,
_xlpm.one_day_spend,_xlpm.total_spend/_xlpm.nbr_days,
_xlpm.one_day_spend*7)</f>
        <v>#DIV/0!</v>
      </c>
      <c r="L19" s="224">
        <f>_xlfn.LET(_xlpm.end_date,MAX(Raw!$H$3:$H$9149),
_xlpm.start_date,_xlpm.end_date-30,
SUMIFS(Raw!$F$3:$F$9149,Raw!$H$3:$H$9149,"&gt;="&amp;_xlpm.start_date,Raw!$D$3:$D$9149,'Ref Data'!$B19)/30)</f>
        <v>0</v>
      </c>
      <c r="M19" s="224" t="e">
        <f>_xlfn.LET(_xlpm.end_date,MAX(Raw!$H$3:$H$9149),
_xlpm.start_date,EOMONTH(_xlpm.end_date,-12),
_xlpm.nbr_days,_xlpm.end_date-_xlpm.start_date,
_xlpm.ltm_spend,SUMIFS(Raw!$F$3:$F$9149,Raw!$H$3:$H$9149,"&gt;="&amp;_xlpm.start_date,Raw!$D$3:$D$9149,'Ref Data'!$B19),
_xlpm.one_day_spend,_xlpm.ltm_spend/_xlpm.nbr_days,
_xlpm.one_day_spend)</f>
        <v>#NUM!</v>
      </c>
      <c r="N19" s="224" t="e">
        <f>_xlfn.LET(_xlpm.total_spend,SUMIFS(Raw!$F$3:$F$9149,Raw!$D$3:$D$9149,'Ref Data'!$B19),
_xlpm.start_date,MIN(Raw!$H$3:$H$9149),
_xlpm.end_date,MAX(Raw!$H$3:$H$9149),
_xlpm.nbr_days,_xlpm.end_date-_xlpm.start_date,
_xlpm.one_day_spend,_xlpm.total_spend/_xlpm.nbr_days,
_xlpm.one_day_spend)</f>
        <v>#DIV/0!</v>
      </c>
    </row>
    <row r="20" spans="1:14" x14ac:dyDescent="0.2">
      <c r="A20" s="28" t="s">
        <v>290</v>
      </c>
      <c r="B20" t="s">
        <v>282</v>
      </c>
      <c r="C20" s="224">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224">
        <f>_xlfn.LET(_xlpm.end_date,MAX(Raw!$H$3:$H$9149),
_xlpm.start_date,EOMONTH(_xlpm.end_date,-12),
_xlpm.nbr_days,_xlpm.end_date-_xlpm.start_date,
_xlpm.ltm_spend,SUMIFS(Raw!$F$3:$F$9149,Raw!$H$3:$H$9149,"&gt;="&amp;_xlpm.start_date,Raw!$D$3:$D$9149,'Ref Data'!$B20),
_xlpm.ltm_spend)</f>
        <v>0</v>
      </c>
      <c r="E20" s="224" t="e">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#DIV/0!</v>
      </c>
      <c r="F20" s="224">
        <f>_xlfn.LET(_xlpm.end_date,MAX(Raw!$H$3:$H$9149),
_xlpm.start_date,_xlpm.end_date-30,
SUMIFS(Raw!$F$3:$F$9149,Raw!$H$3:$H$9149,"&gt;="&amp;_xlpm.start_date,Raw!$D$3:$D$9149,'Ref Data'!$B20))</f>
        <v>0</v>
      </c>
      <c r="G20" s="224" t="e">
        <f>_xlfn.LET(_xlpm.end_date,MAX(Raw!$H$3:$H$9149),
_xlpm.start_date,EOMONTH(_xlpm.end_date,-12),
_xlpm.nbr_days,_xlpm.end_date-_xlpm.start_date,
_xlpm.ltm_spend,SUMIFS(Raw!$F$3:$F$9149,Raw!$H$3:$H$9149,"&gt;="&amp;_xlpm.start_date,Raw!$D$3:$D$9149,'Ref Data'!$B20),
_xlpm.one_day_spend,_xlpm.ltm_spend/_xlpm.nbr_days,
_xlpm.one_day_spend*30)</f>
        <v>#NUM!</v>
      </c>
      <c r="H20" s="224" t="e">
        <f>_xlfn.LET(_xlpm.total_spend,SUMIFS(Raw!$F$3:$F$9149,Raw!$D$3:$D$9149,'Ref Data'!$B20),
_xlpm.start_date,MIN(Raw!$H$3:$H$9149),
_xlpm.end_date,MAX(Raw!$H$3:$H$9149),
_xlpm.nbr_days,_xlpm.end_date-_xlpm.start_date,
_xlpm.one_day_spend,_xlpm.total_spend/_xlpm.nbr_days,
_xlpm.one_day_spend*30)</f>
        <v>#DIV/0!</v>
      </c>
      <c r="I20" s="224">
        <f>_xlfn.LET(_xlpm.end_date,MAX(Raw!$H$3:$H$9149),
_xlpm.start_date,_xlpm.end_date-30,
SUMIFS(Raw!$F$3:$F$9149,Raw!$H$3:$H$9149,"&gt;="&amp;_xlpm.start_date,Raw!$D$3:$D$9149,'Ref Data'!$B20)/30*7)</f>
        <v>0</v>
      </c>
      <c r="J20" s="224" t="e">
        <f>_xlfn.LET(_xlpm.end_date,MAX(Raw!$H$3:$H$9149),
_xlpm.start_date,EOMONTH(_xlpm.end_date,-12),
_xlpm.nbr_days,_xlpm.end_date-_xlpm.start_date,
_xlpm.ltm_spend,SUMIFS(Raw!$F$3:$F$9149,Raw!$H$3:$H$9149,"&gt;="&amp;_xlpm.start_date,Raw!$D$3:$D$9149,'Ref Data'!$B20),
_xlpm.one_day_spend,_xlpm.ltm_spend/_xlpm.nbr_days,
_xlpm.one_day_spend*7)</f>
        <v>#NUM!</v>
      </c>
      <c r="K20" s="224" t="e">
        <f>_xlfn.LET(_xlpm.total_spend,SUMIFS(Raw!$F$3:$F$9149,Raw!$D$3:$D$9149,'Ref Data'!$B20),
_xlpm.start_date,MIN(Raw!$H$3:$H$9149),
_xlpm.end_date,MAX(Raw!$H$3:$H$9149),
_xlpm.nbr_days,_xlpm.end_date-_xlpm.start_date,
_xlpm.one_day_spend,_xlpm.total_spend/_xlpm.nbr_days,
_xlpm.one_day_spend*7)</f>
        <v>#DIV/0!</v>
      </c>
      <c r="L20" s="224">
        <f>_xlfn.LET(_xlpm.end_date,MAX(Raw!$H$3:$H$9149),
_xlpm.start_date,_xlpm.end_date-30,
SUMIFS(Raw!$F$3:$F$9149,Raw!$H$3:$H$9149,"&gt;="&amp;_xlpm.start_date,Raw!$D$3:$D$9149,'Ref Data'!$B20)/30)</f>
        <v>0</v>
      </c>
      <c r="M20" s="224" t="e">
        <f>_xlfn.LET(_xlpm.end_date,MAX(Raw!$H$3:$H$9149),
_xlpm.start_date,EOMONTH(_xlpm.end_date,-12),
_xlpm.nbr_days,_xlpm.end_date-_xlpm.start_date,
_xlpm.ltm_spend,SUMIFS(Raw!$F$3:$F$9149,Raw!$H$3:$H$9149,"&gt;="&amp;_xlpm.start_date,Raw!$D$3:$D$9149,'Ref Data'!$B20),
_xlpm.one_day_spend,_xlpm.ltm_spend/_xlpm.nbr_days,
_xlpm.one_day_spend)</f>
        <v>#NUM!</v>
      </c>
      <c r="N20" s="224" t="e">
        <f>_xlfn.LET(_xlpm.total_spend,SUMIFS(Raw!$F$3:$F$9149,Raw!$D$3:$D$9149,'Ref Data'!$B20),
_xlpm.start_date,MIN(Raw!$H$3:$H$9149),
_xlpm.end_date,MAX(Raw!$H$3:$H$9149),
_xlpm.nbr_days,_xlpm.end_date-_xlpm.start_date,
_xlpm.one_day_spend,_xlpm.total_spend/_xlpm.nbr_days,
_xlpm.one_day_spend)</f>
        <v>#DIV/0!</v>
      </c>
    </row>
    <row r="21" spans="1:14" x14ac:dyDescent="0.2">
      <c r="A21" s="28" t="s">
        <v>20</v>
      </c>
      <c r="B21" t="s">
        <v>276</v>
      </c>
      <c r="C21" s="224">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224">
        <f>_xlfn.LET(_xlpm.end_date,MAX(Raw!$H$3:$H$9149),
_xlpm.start_date,EOMONTH(_xlpm.end_date,-12),
_xlpm.nbr_days,_xlpm.end_date-_xlpm.start_date,
_xlpm.ltm_spend,SUMIFS(Raw!$F$3:$F$9149,Raw!$H$3:$H$9149,"&gt;="&amp;_xlpm.start_date,Raw!$D$3:$D$9149,'Ref Data'!$B21),
_xlpm.ltm_spend)</f>
        <v>0</v>
      </c>
      <c r="E21" s="224" t="e">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#DIV/0!</v>
      </c>
      <c r="F21" s="224">
        <f>_xlfn.LET(_xlpm.end_date,MAX(Raw!$H$3:$H$9149),
_xlpm.start_date,_xlpm.end_date-30,
SUMIFS(Raw!$F$3:$F$9149,Raw!$H$3:$H$9149,"&gt;="&amp;_xlpm.start_date,Raw!$D$3:$D$9149,'Ref Data'!$B21))</f>
        <v>0</v>
      </c>
      <c r="G21" s="224" t="e">
        <f>_xlfn.LET(_xlpm.end_date,MAX(Raw!$H$3:$H$9149),
_xlpm.start_date,EOMONTH(_xlpm.end_date,-12),
_xlpm.nbr_days,_xlpm.end_date-_xlpm.start_date,
_xlpm.ltm_spend,SUMIFS(Raw!$F$3:$F$9149,Raw!$H$3:$H$9149,"&gt;="&amp;_xlpm.start_date,Raw!$D$3:$D$9149,'Ref Data'!$B21),
_xlpm.one_day_spend,_xlpm.ltm_spend/_xlpm.nbr_days,
_xlpm.one_day_spend*30)</f>
        <v>#NUM!</v>
      </c>
      <c r="H21" s="224" t="e">
        <f>_xlfn.LET(_xlpm.total_spend,SUMIFS(Raw!$F$3:$F$9149,Raw!$D$3:$D$9149,'Ref Data'!$B21),
_xlpm.start_date,MIN(Raw!$H$3:$H$9149),
_xlpm.end_date,MAX(Raw!$H$3:$H$9149),
_xlpm.nbr_days,_xlpm.end_date-_xlpm.start_date,
_xlpm.one_day_spend,_xlpm.total_spend/_xlpm.nbr_days,
_xlpm.one_day_spend*30)</f>
        <v>#DIV/0!</v>
      </c>
      <c r="I21" s="224">
        <f>_xlfn.LET(_xlpm.end_date,MAX(Raw!$H$3:$H$9149),
_xlpm.start_date,_xlpm.end_date-30,
SUMIFS(Raw!$F$3:$F$9149,Raw!$H$3:$H$9149,"&gt;="&amp;_xlpm.start_date,Raw!$D$3:$D$9149,'Ref Data'!$B21)/30*7)</f>
        <v>0</v>
      </c>
      <c r="J21" s="224" t="e">
        <f>_xlfn.LET(_xlpm.end_date,MAX(Raw!$H$3:$H$9149),
_xlpm.start_date,EOMONTH(_xlpm.end_date,-12),
_xlpm.nbr_days,_xlpm.end_date-_xlpm.start_date,
_xlpm.ltm_spend,SUMIFS(Raw!$F$3:$F$9149,Raw!$H$3:$H$9149,"&gt;="&amp;_xlpm.start_date,Raw!$D$3:$D$9149,'Ref Data'!$B21),
_xlpm.one_day_spend,_xlpm.ltm_spend/_xlpm.nbr_days,
_xlpm.one_day_spend*7)</f>
        <v>#NUM!</v>
      </c>
      <c r="K21" s="224" t="e">
        <f>_xlfn.LET(_xlpm.total_spend,SUMIFS(Raw!$F$3:$F$9149,Raw!$D$3:$D$9149,'Ref Data'!$B21),
_xlpm.start_date,MIN(Raw!$H$3:$H$9149),
_xlpm.end_date,MAX(Raw!$H$3:$H$9149),
_xlpm.nbr_days,_xlpm.end_date-_xlpm.start_date,
_xlpm.one_day_spend,_xlpm.total_spend/_xlpm.nbr_days,
_xlpm.one_day_spend*7)</f>
        <v>#DIV/0!</v>
      </c>
      <c r="L21" s="224">
        <f>_xlfn.LET(_xlpm.end_date,MAX(Raw!$H$3:$H$9149),
_xlpm.start_date,_xlpm.end_date-30,
SUMIFS(Raw!$F$3:$F$9149,Raw!$H$3:$H$9149,"&gt;="&amp;_xlpm.start_date,Raw!$D$3:$D$9149,'Ref Data'!$B21)/30)</f>
        <v>0</v>
      </c>
      <c r="M21" s="224" t="e">
        <f>_xlfn.LET(_xlpm.end_date,MAX(Raw!$H$3:$H$9149),
_xlpm.start_date,EOMONTH(_xlpm.end_date,-12),
_xlpm.nbr_days,_xlpm.end_date-_xlpm.start_date,
_xlpm.ltm_spend,SUMIFS(Raw!$F$3:$F$9149,Raw!$H$3:$H$9149,"&gt;="&amp;_xlpm.start_date,Raw!$D$3:$D$9149,'Ref Data'!$B21),
_xlpm.one_day_spend,_xlpm.ltm_spend/_xlpm.nbr_days,
_xlpm.one_day_spend)</f>
        <v>#NUM!</v>
      </c>
      <c r="N21" s="224" t="e">
        <f>_xlfn.LET(_xlpm.total_spend,SUMIFS(Raw!$F$3:$F$9149,Raw!$D$3:$D$9149,'Ref Data'!$B21),
_xlpm.start_date,MIN(Raw!$H$3:$H$9149),
_xlpm.end_date,MAX(Raw!$H$3:$H$9149),
_xlpm.nbr_days,_xlpm.end_date-_xlpm.start_date,
_xlpm.one_day_spend,_xlpm.total_spend/_xlpm.nbr_days,
_xlpm.one_day_spend)</f>
        <v>#DIV/0!</v>
      </c>
    </row>
    <row r="22" spans="1:14" x14ac:dyDescent="0.2">
      <c r="A22" t="s">
        <v>263</v>
      </c>
      <c r="B22" t="s">
        <v>263</v>
      </c>
      <c r="C22" s="224">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224">
        <f>_xlfn.LET(_xlpm.end_date,MAX(Raw!$H$3:$H$9149),
_xlpm.start_date,EOMONTH(_xlpm.end_date,-12),
_xlpm.nbr_days,_xlpm.end_date-_xlpm.start_date,
_xlpm.ltm_spend,SUMIFS(Raw!$F$3:$F$9149,Raw!$H$3:$H$9149,"&gt;="&amp;_xlpm.start_date,Raw!$D$3:$D$9149,'Ref Data'!$B22),
_xlpm.ltm_spend)</f>
        <v>0</v>
      </c>
      <c r="E22" s="224" t="e">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#DIV/0!</v>
      </c>
      <c r="F22" s="224">
        <f>_xlfn.LET(_xlpm.end_date,MAX(Raw!$H$3:$H$9149),
_xlpm.start_date,_xlpm.end_date-30,
SUMIFS(Raw!$F$3:$F$9149,Raw!$H$3:$H$9149,"&gt;="&amp;_xlpm.start_date,Raw!$D$3:$D$9149,'Ref Data'!$B22))</f>
        <v>0</v>
      </c>
      <c r="G22" s="224" t="e">
        <f>_xlfn.LET(_xlpm.end_date,MAX(Raw!$H$3:$H$9149),
_xlpm.start_date,EOMONTH(_xlpm.end_date,-12),
_xlpm.nbr_days,_xlpm.end_date-_xlpm.start_date,
_xlpm.ltm_spend,SUMIFS(Raw!$F$3:$F$9149,Raw!$H$3:$H$9149,"&gt;="&amp;_xlpm.start_date,Raw!$D$3:$D$9149,'Ref Data'!$B22),
_xlpm.one_day_spend,_xlpm.ltm_spend/_xlpm.nbr_days,
_xlpm.one_day_spend*30)</f>
        <v>#NUM!</v>
      </c>
      <c r="H22" s="224" t="e">
        <f>_xlfn.LET(_xlpm.total_spend,SUMIFS(Raw!$F$3:$F$9149,Raw!$D$3:$D$9149,'Ref Data'!$B22),
_xlpm.start_date,MIN(Raw!$H$3:$H$9149),
_xlpm.end_date,MAX(Raw!$H$3:$H$9149),
_xlpm.nbr_days,_xlpm.end_date-_xlpm.start_date,
_xlpm.one_day_spend,_xlpm.total_spend/_xlpm.nbr_days,
_xlpm.one_day_spend*30)</f>
        <v>#DIV/0!</v>
      </c>
      <c r="I22" s="224">
        <f>_xlfn.LET(_xlpm.end_date,MAX(Raw!$H$3:$H$9149),
_xlpm.start_date,_xlpm.end_date-30,
SUMIFS(Raw!$F$3:$F$9149,Raw!$H$3:$H$9149,"&gt;="&amp;_xlpm.start_date,Raw!$D$3:$D$9149,'Ref Data'!$B22)/30*7)</f>
        <v>0</v>
      </c>
      <c r="J22" s="224" t="e">
        <f>_xlfn.LET(_xlpm.end_date,MAX(Raw!$H$3:$H$9149),
_xlpm.start_date,EOMONTH(_xlpm.end_date,-12),
_xlpm.nbr_days,_xlpm.end_date-_xlpm.start_date,
_xlpm.ltm_spend,SUMIFS(Raw!$F$3:$F$9149,Raw!$H$3:$H$9149,"&gt;="&amp;_xlpm.start_date,Raw!$D$3:$D$9149,'Ref Data'!$B22),
_xlpm.one_day_spend,_xlpm.ltm_spend/_xlpm.nbr_days,
_xlpm.one_day_spend*7)</f>
        <v>#NUM!</v>
      </c>
      <c r="K22" s="224" t="e">
        <f>_xlfn.LET(_xlpm.total_spend,SUMIFS(Raw!$F$3:$F$9149,Raw!$D$3:$D$9149,'Ref Data'!$B22),
_xlpm.start_date,MIN(Raw!$H$3:$H$9149),
_xlpm.end_date,MAX(Raw!$H$3:$H$9149),
_xlpm.nbr_days,_xlpm.end_date-_xlpm.start_date,
_xlpm.one_day_spend,_xlpm.total_spend/_xlpm.nbr_days,
_xlpm.one_day_spend*7)</f>
        <v>#DIV/0!</v>
      </c>
      <c r="L22" s="224">
        <f>_xlfn.LET(_xlpm.end_date,MAX(Raw!$H$3:$H$9149),
_xlpm.start_date,_xlpm.end_date-30,
SUMIFS(Raw!$F$3:$F$9149,Raw!$H$3:$H$9149,"&gt;="&amp;_xlpm.start_date,Raw!$D$3:$D$9149,'Ref Data'!$B22)/30)</f>
        <v>0</v>
      </c>
      <c r="M22" s="224" t="e">
        <f>_xlfn.LET(_xlpm.end_date,MAX(Raw!$H$3:$H$9149),
_xlpm.start_date,EOMONTH(_xlpm.end_date,-12),
_xlpm.nbr_days,_xlpm.end_date-_xlpm.start_date,
_xlpm.ltm_spend,SUMIFS(Raw!$F$3:$F$9149,Raw!$H$3:$H$9149,"&gt;="&amp;_xlpm.start_date,Raw!$D$3:$D$9149,'Ref Data'!$B22),
_xlpm.one_day_spend,_xlpm.ltm_spend/_xlpm.nbr_days,
_xlpm.one_day_spend)</f>
        <v>#NUM!</v>
      </c>
      <c r="N22" s="224" t="e">
        <f>_xlfn.LET(_xlpm.total_spend,SUMIFS(Raw!$F$3:$F$9149,Raw!$D$3:$D$9149,'Ref Data'!$B22),
_xlpm.start_date,MIN(Raw!$H$3:$H$9149),
_xlpm.end_date,MAX(Raw!$H$3:$H$9149),
_xlpm.nbr_days,_xlpm.end_date-_xlpm.start_date,
_xlpm.one_day_spend,_xlpm.total_spend/_xlpm.nbr_days,
_xlpm.one_day_spend)</f>
        <v>#DIV/0!</v>
      </c>
    </row>
    <row r="23" spans="1:14" x14ac:dyDescent="0.2">
      <c r="A23" t="s">
        <v>292</v>
      </c>
      <c r="B23" t="s">
        <v>274</v>
      </c>
      <c r="C23" s="224">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224">
        <f>_xlfn.LET(_xlpm.end_date,MAX(Raw!$H$3:$H$9149),
_xlpm.start_date,EOMONTH(_xlpm.end_date,-12),
_xlpm.nbr_days,_xlpm.end_date-_xlpm.start_date,
_xlpm.ltm_spend,SUMIFS(Raw!$F$3:$F$9149,Raw!$H$3:$H$9149,"&gt;="&amp;_xlpm.start_date,Raw!$D$3:$D$9149,'Ref Data'!$B23),
_xlpm.ltm_spend)</f>
        <v>0</v>
      </c>
      <c r="E23" s="224" t="e">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#DIV/0!</v>
      </c>
      <c r="F23" s="224">
        <f>_xlfn.LET(_xlpm.end_date,MAX(Raw!$H$3:$H$9149),
_xlpm.start_date,_xlpm.end_date-30,
SUMIFS(Raw!$F$3:$F$9149,Raw!$H$3:$H$9149,"&gt;="&amp;_xlpm.start_date,Raw!$D$3:$D$9149,'Ref Data'!$B23))</f>
        <v>0</v>
      </c>
      <c r="G23" s="224" t="e">
        <f>_xlfn.LET(_xlpm.end_date,MAX(Raw!$H$3:$H$9149),
_xlpm.start_date,EOMONTH(_xlpm.end_date,-12),
_xlpm.nbr_days,_xlpm.end_date-_xlpm.start_date,
_xlpm.ltm_spend,SUMIFS(Raw!$F$3:$F$9149,Raw!$H$3:$H$9149,"&gt;="&amp;_xlpm.start_date,Raw!$D$3:$D$9149,'Ref Data'!$B23),
_xlpm.one_day_spend,_xlpm.ltm_spend/_xlpm.nbr_days,
_xlpm.one_day_spend*30)</f>
        <v>#NUM!</v>
      </c>
      <c r="H23" s="224" t="e">
        <f>_xlfn.LET(_xlpm.total_spend,SUMIFS(Raw!$F$3:$F$9149,Raw!$D$3:$D$9149,'Ref Data'!$B23),
_xlpm.start_date,MIN(Raw!$H$3:$H$9149),
_xlpm.end_date,MAX(Raw!$H$3:$H$9149),
_xlpm.nbr_days,_xlpm.end_date-_xlpm.start_date,
_xlpm.one_day_spend,_xlpm.total_spend/_xlpm.nbr_days,
_xlpm.one_day_spend*30)</f>
        <v>#DIV/0!</v>
      </c>
      <c r="I23" s="224">
        <f>_xlfn.LET(_xlpm.end_date,MAX(Raw!$H$3:$H$9149),
_xlpm.start_date,_xlpm.end_date-30,
SUMIFS(Raw!$F$3:$F$9149,Raw!$H$3:$H$9149,"&gt;="&amp;_xlpm.start_date,Raw!$D$3:$D$9149,'Ref Data'!$B23)/30*7)</f>
        <v>0</v>
      </c>
      <c r="J23" s="224" t="e">
        <f>_xlfn.LET(_xlpm.end_date,MAX(Raw!$H$3:$H$9149),
_xlpm.start_date,EOMONTH(_xlpm.end_date,-12),
_xlpm.nbr_days,_xlpm.end_date-_xlpm.start_date,
_xlpm.ltm_spend,SUMIFS(Raw!$F$3:$F$9149,Raw!$H$3:$H$9149,"&gt;="&amp;_xlpm.start_date,Raw!$D$3:$D$9149,'Ref Data'!$B23),
_xlpm.one_day_spend,_xlpm.ltm_spend/_xlpm.nbr_days,
_xlpm.one_day_spend*7)</f>
        <v>#NUM!</v>
      </c>
      <c r="K23" s="224" t="e">
        <f>_xlfn.LET(_xlpm.total_spend,SUMIFS(Raw!$F$3:$F$9149,Raw!$D$3:$D$9149,'Ref Data'!$B23),
_xlpm.start_date,MIN(Raw!$H$3:$H$9149),
_xlpm.end_date,MAX(Raw!$H$3:$H$9149),
_xlpm.nbr_days,_xlpm.end_date-_xlpm.start_date,
_xlpm.one_day_spend,_xlpm.total_spend/_xlpm.nbr_days,
_xlpm.one_day_spend*7)</f>
        <v>#DIV/0!</v>
      </c>
      <c r="L23" s="224">
        <f>_xlfn.LET(_xlpm.end_date,MAX(Raw!$H$3:$H$9149),
_xlpm.start_date,_xlpm.end_date-30,
SUMIFS(Raw!$F$3:$F$9149,Raw!$H$3:$H$9149,"&gt;="&amp;_xlpm.start_date,Raw!$D$3:$D$9149,'Ref Data'!$B23)/30)</f>
        <v>0</v>
      </c>
      <c r="M23" s="224" t="e">
        <f>_xlfn.LET(_xlpm.end_date,MAX(Raw!$H$3:$H$9149),
_xlpm.start_date,EOMONTH(_xlpm.end_date,-12),
_xlpm.nbr_days,_xlpm.end_date-_xlpm.start_date,
_xlpm.ltm_spend,SUMIFS(Raw!$F$3:$F$9149,Raw!$H$3:$H$9149,"&gt;="&amp;_xlpm.start_date,Raw!$D$3:$D$9149,'Ref Data'!$B23),
_xlpm.one_day_spend,_xlpm.ltm_spend/_xlpm.nbr_days,
_xlpm.one_day_spend)</f>
        <v>#NUM!</v>
      </c>
      <c r="N23" s="224" t="e">
        <f>_xlfn.LET(_xlpm.total_spend,SUMIFS(Raw!$F$3:$F$9149,Raw!$D$3:$D$9149,'Ref Data'!$B23),
_xlpm.start_date,MIN(Raw!$H$3:$H$9149),
_xlpm.end_date,MAX(Raw!$H$3:$H$9149),
_xlpm.nbr_days,_xlpm.end_date-_xlpm.start_date,
_xlpm.one_day_spend,_xlpm.total_spend/_xlpm.nbr_days,
_xlpm.one_day_spend)</f>
        <v>#DIV/0!</v>
      </c>
    </row>
    <row r="24" spans="1:14" x14ac:dyDescent="0.2">
      <c r="A24" s="28" t="s">
        <v>118</v>
      </c>
      <c r="B24" t="s">
        <v>260</v>
      </c>
      <c r="C24" s="224">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224">
        <f>_xlfn.LET(_xlpm.end_date,MAX(Raw!$H$3:$H$9149),
_xlpm.start_date,EOMONTH(_xlpm.end_date,-12),
_xlpm.nbr_days,_xlpm.end_date-_xlpm.start_date,
_xlpm.ltm_spend,SUMIFS(Raw!$F$3:$F$9149,Raw!$H$3:$H$9149,"&gt;="&amp;_xlpm.start_date,Raw!$D$3:$D$9149,'Ref Data'!$B24),
_xlpm.ltm_spend)</f>
        <v>0</v>
      </c>
      <c r="E24" s="224" t="e">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#DIV/0!</v>
      </c>
      <c r="F24" s="224">
        <f>_xlfn.LET(_xlpm.end_date,MAX(Raw!$H$3:$H$9149),
_xlpm.start_date,_xlpm.end_date-30,
SUMIFS(Raw!$F$3:$F$9149,Raw!$H$3:$H$9149,"&gt;="&amp;_xlpm.start_date,Raw!$D$3:$D$9149,'Ref Data'!$B24))</f>
        <v>0</v>
      </c>
      <c r="G24" s="224" t="e">
        <f>_xlfn.LET(_xlpm.end_date,MAX(Raw!$H$3:$H$9149),
_xlpm.start_date,EOMONTH(_xlpm.end_date,-12),
_xlpm.nbr_days,_xlpm.end_date-_xlpm.start_date,
_xlpm.ltm_spend,SUMIFS(Raw!$F$3:$F$9149,Raw!$H$3:$H$9149,"&gt;="&amp;_xlpm.start_date,Raw!$D$3:$D$9149,'Ref Data'!$B24),
_xlpm.one_day_spend,_xlpm.ltm_spend/_xlpm.nbr_days,
_xlpm.one_day_spend*30)</f>
        <v>#NUM!</v>
      </c>
      <c r="H24" s="224" t="e">
        <f>_xlfn.LET(_xlpm.total_spend,SUMIFS(Raw!$F$3:$F$9149,Raw!$D$3:$D$9149,'Ref Data'!$B24),
_xlpm.start_date,MIN(Raw!$H$3:$H$9149),
_xlpm.end_date,MAX(Raw!$H$3:$H$9149),
_xlpm.nbr_days,_xlpm.end_date-_xlpm.start_date,
_xlpm.one_day_spend,_xlpm.total_spend/_xlpm.nbr_days,
_xlpm.one_day_spend*30)</f>
        <v>#DIV/0!</v>
      </c>
      <c r="I24" s="224">
        <f>_xlfn.LET(_xlpm.end_date,MAX(Raw!$H$3:$H$9149),
_xlpm.start_date,_xlpm.end_date-30,
SUMIFS(Raw!$F$3:$F$9149,Raw!$H$3:$H$9149,"&gt;="&amp;_xlpm.start_date,Raw!$D$3:$D$9149,'Ref Data'!$B24)/30*7)</f>
        <v>0</v>
      </c>
      <c r="J24" s="224" t="e">
        <f>_xlfn.LET(_xlpm.end_date,MAX(Raw!$H$3:$H$9149),
_xlpm.start_date,EOMONTH(_xlpm.end_date,-12),
_xlpm.nbr_days,_xlpm.end_date-_xlpm.start_date,
_xlpm.ltm_spend,SUMIFS(Raw!$F$3:$F$9149,Raw!$H$3:$H$9149,"&gt;="&amp;_xlpm.start_date,Raw!$D$3:$D$9149,'Ref Data'!$B24),
_xlpm.one_day_spend,_xlpm.ltm_spend/_xlpm.nbr_days,
_xlpm.one_day_spend*7)</f>
        <v>#NUM!</v>
      </c>
      <c r="K24" s="224" t="e">
        <f>_xlfn.LET(_xlpm.total_spend,SUMIFS(Raw!$F$3:$F$9149,Raw!$D$3:$D$9149,'Ref Data'!$B24),
_xlpm.start_date,MIN(Raw!$H$3:$H$9149),
_xlpm.end_date,MAX(Raw!$H$3:$H$9149),
_xlpm.nbr_days,_xlpm.end_date-_xlpm.start_date,
_xlpm.one_day_spend,_xlpm.total_spend/_xlpm.nbr_days,
_xlpm.one_day_spend*7)</f>
        <v>#DIV/0!</v>
      </c>
      <c r="L24" s="224">
        <f>_xlfn.LET(_xlpm.end_date,MAX(Raw!$H$3:$H$9149),
_xlpm.start_date,_xlpm.end_date-30,
SUMIFS(Raw!$F$3:$F$9149,Raw!$H$3:$H$9149,"&gt;="&amp;_xlpm.start_date,Raw!$D$3:$D$9149,'Ref Data'!$B24)/30)</f>
        <v>0</v>
      </c>
      <c r="M24" s="224" t="e">
        <f>_xlfn.LET(_xlpm.end_date,MAX(Raw!$H$3:$H$9149),
_xlpm.start_date,EOMONTH(_xlpm.end_date,-12),
_xlpm.nbr_days,_xlpm.end_date-_xlpm.start_date,
_xlpm.ltm_spend,SUMIFS(Raw!$F$3:$F$9149,Raw!$H$3:$H$9149,"&gt;="&amp;_xlpm.start_date,Raw!$D$3:$D$9149,'Ref Data'!$B24),
_xlpm.one_day_spend,_xlpm.ltm_spend/_xlpm.nbr_days,
_xlpm.one_day_spend)</f>
        <v>#NUM!</v>
      </c>
      <c r="N24" s="224" t="e">
        <f>_xlfn.LET(_xlpm.total_spend,SUMIFS(Raw!$F$3:$F$9149,Raw!$D$3:$D$9149,'Ref Data'!$B24),
_xlpm.start_date,MIN(Raw!$H$3:$H$9149),
_xlpm.end_date,MAX(Raw!$H$3:$H$9149),
_xlpm.nbr_days,_xlpm.end_date-_xlpm.start_date,
_xlpm.one_day_spend,_xlpm.total_spend/_xlpm.nbr_days,
_xlpm.one_day_spend)</f>
        <v>#DIV/0!</v>
      </c>
    </row>
    <row r="25" spans="1:14" x14ac:dyDescent="0.2">
      <c r="A25" s="28" t="s">
        <v>118</v>
      </c>
      <c r="B25" t="s">
        <v>262</v>
      </c>
      <c r="C25" s="224">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224">
        <f>_xlfn.LET(_xlpm.end_date,MAX(Raw!$H$3:$H$9149),
_xlpm.start_date,EOMONTH(_xlpm.end_date,-12),
_xlpm.nbr_days,_xlpm.end_date-_xlpm.start_date,
_xlpm.ltm_spend,SUMIFS(Raw!$F$3:$F$9149,Raw!$H$3:$H$9149,"&gt;="&amp;_xlpm.start_date,Raw!$D$3:$D$9149,'Ref Data'!$B25),
_xlpm.ltm_spend)</f>
        <v>0</v>
      </c>
      <c r="E25" s="224" t="e">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#DIV/0!</v>
      </c>
      <c r="F25" s="224">
        <f>_xlfn.LET(_xlpm.end_date,MAX(Raw!$H$3:$H$9149),
_xlpm.start_date,_xlpm.end_date-30,
SUMIFS(Raw!$F$3:$F$9149,Raw!$H$3:$H$9149,"&gt;="&amp;_xlpm.start_date,Raw!$D$3:$D$9149,'Ref Data'!$B25))</f>
        <v>0</v>
      </c>
      <c r="G25" s="224" t="e">
        <f>_xlfn.LET(_xlpm.end_date,MAX(Raw!$H$3:$H$9149),
_xlpm.start_date,EOMONTH(_xlpm.end_date,-12),
_xlpm.nbr_days,_xlpm.end_date-_xlpm.start_date,
_xlpm.ltm_spend,SUMIFS(Raw!$F$3:$F$9149,Raw!$H$3:$H$9149,"&gt;="&amp;_xlpm.start_date,Raw!$D$3:$D$9149,'Ref Data'!$B25),
_xlpm.one_day_spend,_xlpm.ltm_spend/_xlpm.nbr_days,
_xlpm.one_day_spend*30)</f>
        <v>#NUM!</v>
      </c>
      <c r="H25" s="224" t="e">
        <f>_xlfn.LET(_xlpm.total_spend,SUMIFS(Raw!$F$3:$F$9149,Raw!$D$3:$D$9149,'Ref Data'!$B25),
_xlpm.start_date,MIN(Raw!$H$3:$H$9149),
_xlpm.end_date,MAX(Raw!$H$3:$H$9149),
_xlpm.nbr_days,_xlpm.end_date-_xlpm.start_date,
_xlpm.one_day_spend,_xlpm.total_spend/_xlpm.nbr_days,
_xlpm.one_day_spend*30)</f>
        <v>#DIV/0!</v>
      </c>
      <c r="I25" s="224">
        <f>_xlfn.LET(_xlpm.end_date,MAX(Raw!$H$3:$H$9149),
_xlpm.start_date,_xlpm.end_date-30,
SUMIFS(Raw!$F$3:$F$9149,Raw!$H$3:$H$9149,"&gt;="&amp;_xlpm.start_date,Raw!$D$3:$D$9149,'Ref Data'!$B25)/30*7)</f>
        <v>0</v>
      </c>
      <c r="J25" s="224" t="e">
        <f>_xlfn.LET(_xlpm.end_date,MAX(Raw!$H$3:$H$9149),
_xlpm.start_date,EOMONTH(_xlpm.end_date,-12),
_xlpm.nbr_days,_xlpm.end_date-_xlpm.start_date,
_xlpm.ltm_spend,SUMIFS(Raw!$F$3:$F$9149,Raw!$H$3:$H$9149,"&gt;="&amp;_xlpm.start_date,Raw!$D$3:$D$9149,'Ref Data'!$B25),
_xlpm.one_day_spend,_xlpm.ltm_spend/_xlpm.nbr_days,
_xlpm.one_day_spend*7)</f>
        <v>#NUM!</v>
      </c>
      <c r="K25" s="224" t="e">
        <f>_xlfn.LET(_xlpm.total_spend,SUMIFS(Raw!$F$3:$F$9149,Raw!$D$3:$D$9149,'Ref Data'!$B25),
_xlpm.start_date,MIN(Raw!$H$3:$H$9149),
_xlpm.end_date,MAX(Raw!$H$3:$H$9149),
_xlpm.nbr_days,_xlpm.end_date-_xlpm.start_date,
_xlpm.one_day_spend,_xlpm.total_spend/_xlpm.nbr_days,
_xlpm.one_day_spend*7)</f>
        <v>#DIV/0!</v>
      </c>
      <c r="L25" s="224">
        <f>_xlfn.LET(_xlpm.end_date,MAX(Raw!$H$3:$H$9149),
_xlpm.start_date,_xlpm.end_date-30,
SUMIFS(Raw!$F$3:$F$9149,Raw!$H$3:$H$9149,"&gt;="&amp;_xlpm.start_date,Raw!$D$3:$D$9149,'Ref Data'!$B25)/30)</f>
        <v>0</v>
      </c>
      <c r="M25" s="224" t="e">
        <f>_xlfn.LET(_xlpm.end_date,MAX(Raw!$H$3:$H$9149),
_xlpm.start_date,EOMONTH(_xlpm.end_date,-12),
_xlpm.nbr_days,_xlpm.end_date-_xlpm.start_date,
_xlpm.ltm_spend,SUMIFS(Raw!$F$3:$F$9149,Raw!$H$3:$H$9149,"&gt;="&amp;_xlpm.start_date,Raw!$D$3:$D$9149,'Ref Data'!$B25),
_xlpm.one_day_spend,_xlpm.ltm_spend/_xlpm.nbr_days,
_xlpm.one_day_spend)</f>
        <v>#NUM!</v>
      </c>
      <c r="N25" s="224" t="e">
        <f>_xlfn.LET(_xlpm.total_spend,SUMIFS(Raw!$F$3:$F$9149,Raw!$D$3:$D$9149,'Ref Data'!$B25),
_xlpm.start_date,MIN(Raw!$H$3:$H$9149),
_xlpm.end_date,MAX(Raw!$H$3:$H$9149),
_xlpm.nbr_days,_xlpm.end_date-_xlpm.start_date,
_xlpm.one_day_spend,_xlpm.total_spend/_xlpm.nbr_days,
_xlpm.one_day_spend)</f>
        <v>#DIV/0!</v>
      </c>
    </row>
    <row r="26" spans="1:14" x14ac:dyDescent="0.2">
      <c r="A26" s="28" t="s">
        <v>118</v>
      </c>
      <c r="B26" t="s">
        <v>268</v>
      </c>
      <c r="C26" s="224">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224">
        <f>_xlfn.LET(_xlpm.end_date,MAX(Raw!$H$3:$H$9149),
_xlpm.start_date,EOMONTH(_xlpm.end_date,-12),
_xlpm.nbr_days,_xlpm.end_date-_xlpm.start_date,
_xlpm.ltm_spend,SUMIFS(Raw!$F$3:$F$9149,Raw!$H$3:$H$9149,"&gt;="&amp;_xlpm.start_date,Raw!$D$3:$D$9149,'Ref Data'!$B26),
_xlpm.ltm_spend)</f>
        <v>0</v>
      </c>
      <c r="E26" s="224" t="e">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#DIV/0!</v>
      </c>
      <c r="F26" s="224">
        <f>_xlfn.LET(_xlpm.end_date,MAX(Raw!$H$3:$H$9149),
_xlpm.start_date,_xlpm.end_date-30,
SUMIFS(Raw!$F$3:$F$9149,Raw!$H$3:$H$9149,"&gt;="&amp;_xlpm.start_date,Raw!$D$3:$D$9149,'Ref Data'!$B26))</f>
        <v>0</v>
      </c>
      <c r="G26" s="224" t="e">
        <f>_xlfn.LET(_xlpm.end_date,MAX(Raw!$H$3:$H$9149),
_xlpm.start_date,EOMONTH(_xlpm.end_date,-12),
_xlpm.nbr_days,_xlpm.end_date-_xlpm.start_date,
_xlpm.ltm_spend,SUMIFS(Raw!$F$3:$F$9149,Raw!$H$3:$H$9149,"&gt;="&amp;_xlpm.start_date,Raw!$D$3:$D$9149,'Ref Data'!$B26),
_xlpm.one_day_spend,_xlpm.ltm_spend/_xlpm.nbr_days,
_xlpm.one_day_spend*30)</f>
        <v>#NUM!</v>
      </c>
      <c r="H26" s="224" t="e">
        <f>_xlfn.LET(_xlpm.total_spend,SUMIFS(Raw!$F$3:$F$9149,Raw!$D$3:$D$9149,'Ref Data'!$B26),
_xlpm.start_date,MIN(Raw!$H$3:$H$9149),
_xlpm.end_date,MAX(Raw!$H$3:$H$9149),
_xlpm.nbr_days,_xlpm.end_date-_xlpm.start_date,
_xlpm.one_day_spend,_xlpm.total_spend/_xlpm.nbr_days,
_xlpm.one_day_spend*30)</f>
        <v>#DIV/0!</v>
      </c>
      <c r="I26" s="224">
        <f>_xlfn.LET(_xlpm.end_date,MAX(Raw!$H$3:$H$9149),
_xlpm.start_date,_xlpm.end_date-30,
SUMIFS(Raw!$F$3:$F$9149,Raw!$H$3:$H$9149,"&gt;="&amp;_xlpm.start_date,Raw!$D$3:$D$9149,'Ref Data'!$B26)/30*7)</f>
        <v>0</v>
      </c>
      <c r="J26" s="224" t="e">
        <f>_xlfn.LET(_xlpm.end_date,MAX(Raw!$H$3:$H$9149),
_xlpm.start_date,EOMONTH(_xlpm.end_date,-12),
_xlpm.nbr_days,_xlpm.end_date-_xlpm.start_date,
_xlpm.ltm_spend,SUMIFS(Raw!$F$3:$F$9149,Raw!$H$3:$H$9149,"&gt;="&amp;_xlpm.start_date,Raw!$D$3:$D$9149,'Ref Data'!$B26),
_xlpm.one_day_spend,_xlpm.ltm_spend/_xlpm.nbr_days,
_xlpm.one_day_spend*7)</f>
        <v>#NUM!</v>
      </c>
      <c r="K26" s="224" t="e">
        <f>_xlfn.LET(_xlpm.total_spend,SUMIFS(Raw!$F$3:$F$9149,Raw!$D$3:$D$9149,'Ref Data'!$B26),
_xlpm.start_date,MIN(Raw!$H$3:$H$9149),
_xlpm.end_date,MAX(Raw!$H$3:$H$9149),
_xlpm.nbr_days,_xlpm.end_date-_xlpm.start_date,
_xlpm.one_day_spend,_xlpm.total_spend/_xlpm.nbr_days,
_xlpm.one_day_spend*7)</f>
        <v>#DIV/0!</v>
      </c>
      <c r="L26" s="224">
        <f>_xlfn.LET(_xlpm.end_date,MAX(Raw!$H$3:$H$9149),
_xlpm.start_date,_xlpm.end_date-30,
SUMIFS(Raw!$F$3:$F$9149,Raw!$H$3:$H$9149,"&gt;="&amp;_xlpm.start_date,Raw!$D$3:$D$9149,'Ref Data'!$B26)/30)</f>
        <v>0</v>
      </c>
      <c r="M26" s="224" t="e">
        <f>_xlfn.LET(_xlpm.end_date,MAX(Raw!$H$3:$H$9149),
_xlpm.start_date,EOMONTH(_xlpm.end_date,-12),
_xlpm.nbr_days,_xlpm.end_date-_xlpm.start_date,
_xlpm.ltm_spend,SUMIFS(Raw!$F$3:$F$9149,Raw!$H$3:$H$9149,"&gt;="&amp;_xlpm.start_date,Raw!$D$3:$D$9149,'Ref Data'!$B26),
_xlpm.one_day_spend,_xlpm.ltm_spend/_xlpm.nbr_days,
_xlpm.one_day_spend)</f>
        <v>#NUM!</v>
      </c>
      <c r="N26" s="224" t="e">
        <f>_xlfn.LET(_xlpm.total_spend,SUMIFS(Raw!$F$3:$F$9149,Raw!$D$3:$D$9149,'Ref Data'!$B26),
_xlpm.start_date,MIN(Raw!$H$3:$H$9149),
_xlpm.end_date,MAX(Raw!$H$3:$H$9149),
_xlpm.nbr_days,_xlpm.end_date-_xlpm.start_date,
_xlpm.one_day_spend,_xlpm.total_spend/_xlpm.nbr_days,
_xlpm.one_day_spend)</f>
        <v>#DIV/0!</v>
      </c>
    </row>
    <row r="27" spans="1:14" x14ac:dyDescent="0.2">
      <c r="A27" s="28" t="s">
        <v>118</v>
      </c>
      <c r="B27" t="s">
        <v>272</v>
      </c>
      <c r="C27" s="224">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224">
        <f>_xlfn.LET(_xlpm.end_date,MAX(Raw!$H$3:$H$9149),
_xlpm.start_date,EOMONTH(_xlpm.end_date,-12),
_xlpm.nbr_days,_xlpm.end_date-_xlpm.start_date,
_xlpm.ltm_spend,SUMIFS(Raw!$F$3:$F$9149,Raw!$H$3:$H$9149,"&gt;="&amp;_xlpm.start_date,Raw!$D$3:$D$9149,'Ref Data'!$B27),
_xlpm.ltm_spend)</f>
        <v>0</v>
      </c>
      <c r="E27" s="224" t="e">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#DIV/0!</v>
      </c>
      <c r="F27" s="224">
        <f>_xlfn.LET(_xlpm.end_date,MAX(Raw!$H$3:$H$9149),
_xlpm.start_date,_xlpm.end_date-30,
SUMIFS(Raw!$F$3:$F$9149,Raw!$H$3:$H$9149,"&gt;="&amp;_xlpm.start_date,Raw!$D$3:$D$9149,'Ref Data'!$B27))</f>
        <v>0</v>
      </c>
      <c r="G27" s="224" t="e">
        <f>_xlfn.LET(_xlpm.end_date,MAX(Raw!$H$3:$H$9149),
_xlpm.start_date,EOMONTH(_xlpm.end_date,-12),
_xlpm.nbr_days,_xlpm.end_date-_xlpm.start_date,
_xlpm.ltm_spend,SUMIFS(Raw!$F$3:$F$9149,Raw!$H$3:$H$9149,"&gt;="&amp;_xlpm.start_date,Raw!$D$3:$D$9149,'Ref Data'!$B27),
_xlpm.one_day_spend,_xlpm.ltm_spend/_xlpm.nbr_days,
_xlpm.one_day_spend*30)</f>
        <v>#NUM!</v>
      </c>
      <c r="H27" s="224" t="e">
        <f>_xlfn.LET(_xlpm.total_spend,SUMIFS(Raw!$F$3:$F$9149,Raw!$D$3:$D$9149,'Ref Data'!$B27),
_xlpm.start_date,MIN(Raw!$H$3:$H$9149),
_xlpm.end_date,MAX(Raw!$H$3:$H$9149),
_xlpm.nbr_days,_xlpm.end_date-_xlpm.start_date,
_xlpm.one_day_spend,_xlpm.total_spend/_xlpm.nbr_days,
_xlpm.one_day_spend*30)</f>
        <v>#DIV/0!</v>
      </c>
      <c r="I27" s="224">
        <f>_xlfn.LET(_xlpm.end_date,MAX(Raw!$H$3:$H$9149),
_xlpm.start_date,_xlpm.end_date-30,
SUMIFS(Raw!$F$3:$F$9149,Raw!$H$3:$H$9149,"&gt;="&amp;_xlpm.start_date,Raw!$D$3:$D$9149,'Ref Data'!$B27)/30*7)</f>
        <v>0</v>
      </c>
      <c r="J27" s="224" t="e">
        <f>_xlfn.LET(_xlpm.end_date,MAX(Raw!$H$3:$H$9149),
_xlpm.start_date,EOMONTH(_xlpm.end_date,-12),
_xlpm.nbr_days,_xlpm.end_date-_xlpm.start_date,
_xlpm.ltm_spend,SUMIFS(Raw!$F$3:$F$9149,Raw!$H$3:$H$9149,"&gt;="&amp;_xlpm.start_date,Raw!$D$3:$D$9149,'Ref Data'!$B27),
_xlpm.one_day_spend,_xlpm.ltm_spend/_xlpm.nbr_days,
_xlpm.one_day_spend*7)</f>
        <v>#NUM!</v>
      </c>
      <c r="K27" s="224" t="e">
        <f>_xlfn.LET(_xlpm.total_spend,SUMIFS(Raw!$F$3:$F$9149,Raw!$D$3:$D$9149,'Ref Data'!$B27),
_xlpm.start_date,MIN(Raw!$H$3:$H$9149),
_xlpm.end_date,MAX(Raw!$H$3:$H$9149),
_xlpm.nbr_days,_xlpm.end_date-_xlpm.start_date,
_xlpm.one_day_spend,_xlpm.total_spend/_xlpm.nbr_days,
_xlpm.one_day_spend*7)</f>
        <v>#DIV/0!</v>
      </c>
      <c r="L27" s="224">
        <f>_xlfn.LET(_xlpm.end_date,MAX(Raw!$H$3:$H$9149),
_xlpm.start_date,_xlpm.end_date-30,
SUMIFS(Raw!$F$3:$F$9149,Raw!$H$3:$H$9149,"&gt;="&amp;_xlpm.start_date,Raw!$D$3:$D$9149,'Ref Data'!$B27)/30)</f>
        <v>0</v>
      </c>
      <c r="M27" s="224" t="e">
        <f>_xlfn.LET(_xlpm.end_date,MAX(Raw!$H$3:$H$9149),
_xlpm.start_date,EOMONTH(_xlpm.end_date,-12),
_xlpm.nbr_days,_xlpm.end_date-_xlpm.start_date,
_xlpm.ltm_spend,SUMIFS(Raw!$F$3:$F$9149,Raw!$H$3:$H$9149,"&gt;="&amp;_xlpm.start_date,Raw!$D$3:$D$9149,'Ref Data'!$B27),
_xlpm.one_day_spend,_xlpm.ltm_spend/_xlpm.nbr_days,
_xlpm.one_day_spend)</f>
        <v>#NUM!</v>
      </c>
      <c r="N27" s="224" t="e">
        <f>_xlfn.LET(_xlpm.total_spend,SUMIFS(Raw!$F$3:$F$9149,Raw!$D$3:$D$9149,'Ref Data'!$B27),
_xlpm.start_date,MIN(Raw!$H$3:$H$9149),
_xlpm.end_date,MAX(Raw!$H$3:$H$9149),
_xlpm.nbr_days,_xlpm.end_date-_xlpm.start_date,
_xlpm.one_day_spend,_xlpm.total_spend/_xlpm.nbr_days,
_xlpm.one_day_spend)</f>
        <v>#DIV/0!</v>
      </c>
    </row>
    <row r="28" spans="1:14" x14ac:dyDescent="0.2">
      <c r="A28" s="28" t="s">
        <v>118</v>
      </c>
      <c r="B28" t="s">
        <v>273</v>
      </c>
      <c r="C28" s="224">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224">
        <f>_xlfn.LET(_xlpm.end_date,MAX(Raw!$H$3:$H$9149),
_xlpm.start_date,EOMONTH(_xlpm.end_date,-12),
_xlpm.nbr_days,_xlpm.end_date-_xlpm.start_date,
_xlpm.ltm_spend,SUMIFS(Raw!$F$3:$F$9149,Raw!$H$3:$H$9149,"&gt;="&amp;_xlpm.start_date,Raw!$D$3:$D$9149,'Ref Data'!$B28),
_xlpm.ltm_spend)</f>
        <v>0</v>
      </c>
      <c r="E28" s="224" t="e">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#DIV/0!</v>
      </c>
      <c r="F28" s="224">
        <f>_xlfn.LET(_xlpm.end_date,MAX(Raw!$H$3:$H$9149),
_xlpm.start_date,_xlpm.end_date-30,
SUMIFS(Raw!$F$3:$F$9149,Raw!$H$3:$H$9149,"&gt;="&amp;_xlpm.start_date,Raw!$D$3:$D$9149,'Ref Data'!$B28))</f>
        <v>0</v>
      </c>
      <c r="G28" s="224" t="e">
        <f>_xlfn.LET(_xlpm.end_date,MAX(Raw!$H$3:$H$9149),
_xlpm.start_date,EOMONTH(_xlpm.end_date,-12),
_xlpm.nbr_days,_xlpm.end_date-_xlpm.start_date,
_xlpm.ltm_spend,SUMIFS(Raw!$F$3:$F$9149,Raw!$H$3:$H$9149,"&gt;="&amp;_xlpm.start_date,Raw!$D$3:$D$9149,'Ref Data'!$B28),
_xlpm.one_day_spend,_xlpm.ltm_spend/_xlpm.nbr_days,
_xlpm.one_day_spend*30)</f>
        <v>#NUM!</v>
      </c>
      <c r="H28" s="224" t="e">
        <f>_xlfn.LET(_xlpm.total_spend,SUMIFS(Raw!$F$3:$F$9149,Raw!$D$3:$D$9149,'Ref Data'!$B28),
_xlpm.start_date,MIN(Raw!$H$3:$H$9149),
_xlpm.end_date,MAX(Raw!$H$3:$H$9149),
_xlpm.nbr_days,_xlpm.end_date-_xlpm.start_date,
_xlpm.one_day_spend,_xlpm.total_spend/_xlpm.nbr_days,
_xlpm.one_day_spend*30)</f>
        <v>#DIV/0!</v>
      </c>
      <c r="I28" s="224">
        <f>_xlfn.LET(_xlpm.end_date,MAX(Raw!$H$3:$H$9149),
_xlpm.start_date,_xlpm.end_date-30,
SUMIFS(Raw!$F$3:$F$9149,Raw!$H$3:$H$9149,"&gt;="&amp;_xlpm.start_date,Raw!$D$3:$D$9149,'Ref Data'!$B28)/30*7)</f>
        <v>0</v>
      </c>
      <c r="J28" s="224" t="e">
        <f>_xlfn.LET(_xlpm.end_date,MAX(Raw!$H$3:$H$9149),
_xlpm.start_date,EOMONTH(_xlpm.end_date,-12),
_xlpm.nbr_days,_xlpm.end_date-_xlpm.start_date,
_xlpm.ltm_spend,SUMIFS(Raw!$F$3:$F$9149,Raw!$H$3:$H$9149,"&gt;="&amp;_xlpm.start_date,Raw!$D$3:$D$9149,'Ref Data'!$B28),
_xlpm.one_day_spend,_xlpm.ltm_spend/_xlpm.nbr_days,
_xlpm.one_day_spend*7)</f>
        <v>#NUM!</v>
      </c>
      <c r="K28" s="224" t="e">
        <f>_xlfn.LET(_xlpm.total_spend,SUMIFS(Raw!$F$3:$F$9149,Raw!$D$3:$D$9149,'Ref Data'!$B28),
_xlpm.start_date,MIN(Raw!$H$3:$H$9149),
_xlpm.end_date,MAX(Raw!$H$3:$H$9149),
_xlpm.nbr_days,_xlpm.end_date-_xlpm.start_date,
_xlpm.one_day_spend,_xlpm.total_spend/_xlpm.nbr_days,
_xlpm.one_day_spend*7)</f>
        <v>#DIV/0!</v>
      </c>
      <c r="L28" s="224">
        <f>_xlfn.LET(_xlpm.end_date,MAX(Raw!$H$3:$H$9149),
_xlpm.start_date,_xlpm.end_date-30,
SUMIFS(Raw!$F$3:$F$9149,Raw!$H$3:$H$9149,"&gt;="&amp;_xlpm.start_date,Raw!$D$3:$D$9149,'Ref Data'!$B28)/30)</f>
        <v>0</v>
      </c>
      <c r="M28" s="224" t="e">
        <f>_xlfn.LET(_xlpm.end_date,MAX(Raw!$H$3:$H$9149),
_xlpm.start_date,EOMONTH(_xlpm.end_date,-12),
_xlpm.nbr_days,_xlpm.end_date-_xlpm.start_date,
_xlpm.ltm_spend,SUMIFS(Raw!$F$3:$F$9149,Raw!$H$3:$H$9149,"&gt;="&amp;_xlpm.start_date,Raw!$D$3:$D$9149,'Ref Data'!$B28),
_xlpm.one_day_spend,_xlpm.ltm_spend/_xlpm.nbr_days,
_xlpm.one_day_spend)</f>
        <v>#NUM!</v>
      </c>
      <c r="N28" s="224" t="e">
        <f>_xlfn.LET(_xlpm.total_spend,SUMIFS(Raw!$F$3:$F$9149,Raw!$D$3:$D$9149,'Ref Data'!$B28),
_xlpm.start_date,MIN(Raw!$H$3:$H$9149),
_xlpm.end_date,MAX(Raw!$H$3:$H$9149),
_xlpm.nbr_days,_xlpm.end_date-_xlpm.start_date,
_xlpm.one_day_spend,_xlpm.total_spend/_xlpm.nbr_days,
_xlpm.one_day_spend)</f>
        <v>#DIV/0!</v>
      </c>
    </row>
    <row r="29" spans="1:14" x14ac:dyDescent="0.2">
      <c r="A29" s="28" t="s">
        <v>118</v>
      </c>
      <c r="B29" t="s">
        <v>23</v>
      </c>
      <c r="C29" s="224">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224">
        <f>_xlfn.LET(_xlpm.end_date,MAX(Raw!$H$3:$H$9149),
_xlpm.start_date,EOMONTH(_xlpm.end_date,-12),
_xlpm.nbr_days,_xlpm.end_date-_xlpm.start_date,
_xlpm.ltm_spend,SUMIFS(Raw!$F$3:$F$9149,Raw!$H$3:$H$9149,"&gt;="&amp;_xlpm.start_date,Raw!$D$3:$D$9149,'Ref Data'!$B29),
_xlpm.ltm_spend)</f>
        <v>0</v>
      </c>
      <c r="E29" s="224" t="e">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#DIV/0!</v>
      </c>
      <c r="F29" s="224">
        <f>_xlfn.LET(_xlpm.end_date,MAX(Raw!$H$3:$H$9149),
_xlpm.start_date,_xlpm.end_date-30,
SUMIFS(Raw!$F$3:$F$9149,Raw!$H$3:$H$9149,"&gt;="&amp;_xlpm.start_date,Raw!$D$3:$D$9149,'Ref Data'!$B29))</f>
        <v>0</v>
      </c>
      <c r="G29" s="224" t="e">
        <f>_xlfn.LET(_xlpm.end_date,MAX(Raw!$H$3:$H$9149),
_xlpm.start_date,EOMONTH(_xlpm.end_date,-12),
_xlpm.nbr_days,_xlpm.end_date-_xlpm.start_date,
_xlpm.ltm_spend,SUMIFS(Raw!$F$3:$F$9149,Raw!$H$3:$H$9149,"&gt;="&amp;_xlpm.start_date,Raw!$D$3:$D$9149,'Ref Data'!$B29),
_xlpm.one_day_spend,_xlpm.ltm_spend/_xlpm.nbr_days,
_xlpm.one_day_spend*30)</f>
        <v>#NUM!</v>
      </c>
      <c r="H29" s="224" t="e">
        <f>_xlfn.LET(_xlpm.total_spend,SUMIFS(Raw!$F$3:$F$9149,Raw!$D$3:$D$9149,'Ref Data'!$B29),
_xlpm.start_date,MIN(Raw!$H$3:$H$9149),
_xlpm.end_date,MAX(Raw!$H$3:$H$9149),
_xlpm.nbr_days,_xlpm.end_date-_xlpm.start_date,
_xlpm.one_day_spend,_xlpm.total_spend/_xlpm.nbr_days,
_xlpm.one_day_spend*30)</f>
        <v>#DIV/0!</v>
      </c>
      <c r="I29" s="224">
        <f>_xlfn.LET(_xlpm.end_date,MAX(Raw!$H$3:$H$9149),
_xlpm.start_date,_xlpm.end_date-30,
SUMIFS(Raw!$F$3:$F$9149,Raw!$H$3:$H$9149,"&gt;="&amp;_xlpm.start_date,Raw!$D$3:$D$9149,'Ref Data'!$B29)/30*7)</f>
        <v>0</v>
      </c>
      <c r="J29" s="224" t="e">
        <f>_xlfn.LET(_xlpm.end_date,MAX(Raw!$H$3:$H$9149),
_xlpm.start_date,EOMONTH(_xlpm.end_date,-12),
_xlpm.nbr_days,_xlpm.end_date-_xlpm.start_date,
_xlpm.ltm_spend,SUMIFS(Raw!$F$3:$F$9149,Raw!$H$3:$H$9149,"&gt;="&amp;_xlpm.start_date,Raw!$D$3:$D$9149,'Ref Data'!$B29),
_xlpm.one_day_spend,_xlpm.ltm_spend/_xlpm.nbr_days,
_xlpm.one_day_spend*7)</f>
        <v>#NUM!</v>
      </c>
      <c r="K29" s="224" t="e">
        <f>_xlfn.LET(_xlpm.total_spend,SUMIFS(Raw!$F$3:$F$9149,Raw!$D$3:$D$9149,'Ref Data'!$B29),
_xlpm.start_date,MIN(Raw!$H$3:$H$9149),
_xlpm.end_date,MAX(Raw!$H$3:$H$9149),
_xlpm.nbr_days,_xlpm.end_date-_xlpm.start_date,
_xlpm.one_day_spend,_xlpm.total_spend/_xlpm.nbr_days,
_xlpm.one_day_spend*7)</f>
        <v>#DIV/0!</v>
      </c>
      <c r="L29" s="224">
        <f>_xlfn.LET(_xlpm.end_date,MAX(Raw!$H$3:$H$9149),
_xlpm.start_date,_xlpm.end_date-30,
SUMIFS(Raw!$F$3:$F$9149,Raw!$H$3:$H$9149,"&gt;="&amp;_xlpm.start_date,Raw!$D$3:$D$9149,'Ref Data'!$B29)/30)</f>
        <v>0</v>
      </c>
      <c r="M29" s="224" t="e">
        <f>_xlfn.LET(_xlpm.end_date,MAX(Raw!$H$3:$H$9149),
_xlpm.start_date,EOMONTH(_xlpm.end_date,-12),
_xlpm.nbr_days,_xlpm.end_date-_xlpm.start_date,
_xlpm.ltm_spend,SUMIFS(Raw!$F$3:$F$9149,Raw!$H$3:$H$9149,"&gt;="&amp;_xlpm.start_date,Raw!$D$3:$D$9149,'Ref Data'!$B29),
_xlpm.one_day_spend,_xlpm.ltm_spend/_xlpm.nbr_days,
_xlpm.one_day_spend)</f>
        <v>#NUM!</v>
      </c>
      <c r="N29" s="224" t="e">
        <f>_xlfn.LET(_xlpm.total_spend,SUMIFS(Raw!$F$3:$F$9149,Raw!$D$3:$D$9149,'Ref Data'!$B29),
_xlpm.start_date,MIN(Raw!$H$3:$H$9149),
_xlpm.end_date,MAX(Raw!$H$3:$H$9149),
_xlpm.nbr_days,_xlpm.end_date-_xlpm.start_date,
_xlpm.one_day_spend,_xlpm.total_spend/_xlpm.nbr_days,
_xlpm.one_day_spend)</f>
        <v>#DIV/0!</v>
      </c>
    </row>
    <row r="30" spans="1:14" x14ac:dyDescent="0.2">
      <c r="A30" s="28" t="s">
        <v>118</v>
      </c>
      <c r="B30" t="s">
        <v>279</v>
      </c>
      <c r="C30" s="224">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224">
        <f>_xlfn.LET(_xlpm.end_date,MAX(Raw!$H$3:$H$9149),
_xlpm.start_date,EOMONTH(_xlpm.end_date,-12),
_xlpm.nbr_days,_xlpm.end_date-_xlpm.start_date,
_xlpm.ltm_spend,SUMIFS(Raw!$F$3:$F$9149,Raw!$H$3:$H$9149,"&gt;="&amp;_xlpm.start_date,Raw!$D$3:$D$9149,'Ref Data'!$B30),
_xlpm.ltm_spend)</f>
        <v>0</v>
      </c>
      <c r="E30" s="224" t="e">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#DIV/0!</v>
      </c>
      <c r="F30" s="224">
        <f>_xlfn.LET(_xlpm.end_date,MAX(Raw!$H$3:$H$9149),
_xlpm.start_date,_xlpm.end_date-30,
SUMIFS(Raw!$F$3:$F$9149,Raw!$H$3:$H$9149,"&gt;="&amp;_xlpm.start_date,Raw!$D$3:$D$9149,'Ref Data'!$B30))</f>
        <v>0</v>
      </c>
      <c r="G30" s="224" t="e">
        <f>_xlfn.LET(_xlpm.end_date,MAX(Raw!$H$3:$H$9149),
_xlpm.start_date,EOMONTH(_xlpm.end_date,-12),
_xlpm.nbr_days,_xlpm.end_date-_xlpm.start_date,
_xlpm.ltm_spend,SUMIFS(Raw!$F$3:$F$9149,Raw!$H$3:$H$9149,"&gt;="&amp;_xlpm.start_date,Raw!$D$3:$D$9149,'Ref Data'!$B30),
_xlpm.one_day_spend,_xlpm.ltm_spend/_xlpm.nbr_days,
_xlpm.one_day_spend*30)</f>
        <v>#NUM!</v>
      </c>
      <c r="H30" s="224" t="e">
        <f>_xlfn.LET(_xlpm.total_spend,SUMIFS(Raw!$F$3:$F$9149,Raw!$D$3:$D$9149,'Ref Data'!$B30),
_xlpm.start_date,MIN(Raw!$H$3:$H$9149),
_xlpm.end_date,MAX(Raw!$H$3:$H$9149),
_xlpm.nbr_days,_xlpm.end_date-_xlpm.start_date,
_xlpm.one_day_spend,_xlpm.total_spend/_xlpm.nbr_days,
_xlpm.one_day_spend*30)</f>
        <v>#DIV/0!</v>
      </c>
      <c r="I30" s="224">
        <f>_xlfn.LET(_xlpm.end_date,MAX(Raw!$H$3:$H$9149),
_xlpm.start_date,_xlpm.end_date-30,
SUMIFS(Raw!$F$3:$F$9149,Raw!$H$3:$H$9149,"&gt;="&amp;_xlpm.start_date,Raw!$D$3:$D$9149,'Ref Data'!$B30)/30*7)</f>
        <v>0</v>
      </c>
      <c r="J30" s="224" t="e">
        <f>_xlfn.LET(_xlpm.end_date,MAX(Raw!$H$3:$H$9149),
_xlpm.start_date,EOMONTH(_xlpm.end_date,-12),
_xlpm.nbr_days,_xlpm.end_date-_xlpm.start_date,
_xlpm.ltm_spend,SUMIFS(Raw!$F$3:$F$9149,Raw!$H$3:$H$9149,"&gt;="&amp;_xlpm.start_date,Raw!$D$3:$D$9149,'Ref Data'!$B30),
_xlpm.one_day_spend,_xlpm.ltm_spend/_xlpm.nbr_days,
_xlpm.one_day_spend*7)</f>
        <v>#NUM!</v>
      </c>
      <c r="K30" s="224" t="e">
        <f>_xlfn.LET(_xlpm.total_spend,SUMIFS(Raw!$F$3:$F$9149,Raw!$D$3:$D$9149,'Ref Data'!$B30),
_xlpm.start_date,MIN(Raw!$H$3:$H$9149),
_xlpm.end_date,MAX(Raw!$H$3:$H$9149),
_xlpm.nbr_days,_xlpm.end_date-_xlpm.start_date,
_xlpm.one_day_spend,_xlpm.total_spend/_xlpm.nbr_days,
_xlpm.one_day_spend*7)</f>
        <v>#DIV/0!</v>
      </c>
      <c r="L30" s="224">
        <f>_xlfn.LET(_xlpm.end_date,MAX(Raw!$H$3:$H$9149),
_xlpm.start_date,_xlpm.end_date-30,
SUMIFS(Raw!$F$3:$F$9149,Raw!$H$3:$H$9149,"&gt;="&amp;_xlpm.start_date,Raw!$D$3:$D$9149,'Ref Data'!$B30)/30)</f>
        <v>0</v>
      </c>
      <c r="M30" s="224" t="e">
        <f>_xlfn.LET(_xlpm.end_date,MAX(Raw!$H$3:$H$9149),
_xlpm.start_date,EOMONTH(_xlpm.end_date,-12),
_xlpm.nbr_days,_xlpm.end_date-_xlpm.start_date,
_xlpm.ltm_spend,SUMIFS(Raw!$F$3:$F$9149,Raw!$H$3:$H$9149,"&gt;="&amp;_xlpm.start_date,Raw!$D$3:$D$9149,'Ref Data'!$B30),
_xlpm.one_day_spend,_xlpm.ltm_spend/_xlpm.nbr_days,
_xlpm.one_day_spend)</f>
        <v>#NUM!</v>
      </c>
      <c r="N30" s="224" t="e">
        <f>_xlfn.LET(_xlpm.total_spend,SUMIFS(Raw!$F$3:$F$9149,Raw!$D$3:$D$9149,'Ref Data'!$B30),
_xlpm.start_date,MIN(Raw!$H$3:$H$9149),
_xlpm.end_date,MAX(Raw!$H$3:$H$9149),
_xlpm.nbr_days,_xlpm.end_date-_xlpm.start_date,
_xlpm.one_day_spend,_xlpm.total_spend/_xlpm.nbr_days,
_xlpm.one_day_spend)</f>
        <v>#DIV/0!</v>
      </c>
    </row>
    <row r="31" spans="1:14" x14ac:dyDescent="0.2">
      <c r="A31" s="28" t="s">
        <v>118</v>
      </c>
      <c r="B31" t="s">
        <v>284</v>
      </c>
      <c r="C31" s="224">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224">
        <f>_xlfn.LET(_xlpm.end_date,MAX(Raw!$H$3:$H$9149),
_xlpm.start_date,EOMONTH(_xlpm.end_date,-12),
_xlpm.nbr_days,_xlpm.end_date-_xlpm.start_date,
_xlpm.ltm_spend,SUMIFS(Raw!$F$3:$F$9149,Raw!$H$3:$H$9149,"&gt;="&amp;_xlpm.start_date,Raw!$D$3:$D$9149,'Ref Data'!$B31),
_xlpm.ltm_spend)</f>
        <v>0</v>
      </c>
      <c r="E31" s="224" t="e">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#DIV/0!</v>
      </c>
      <c r="F31" s="224">
        <f>_xlfn.LET(_xlpm.end_date,MAX(Raw!$H$3:$H$9149),
_xlpm.start_date,_xlpm.end_date-30,
SUMIFS(Raw!$F$3:$F$9149,Raw!$H$3:$H$9149,"&gt;="&amp;_xlpm.start_date,Raw!$D$3:$D$9149,'Ref Data'!$B31))</f>
        <v>0</v>
      </c>
      <c r="G31" s="224" t="e">
        <f>_xlfn.LET(_xlpm.end_date,MAX(Raw!$H$3:$H$9149),
_xlpm.start_date,EOMONTH(_xlpm.end_date,-12),
_xlpm.nbr_days,_xlpm.end_date-_xlpm.start_date,
_xlpm.ltm_spend,SUMIFS(Raw!$F$3:$F$9149,Raw!$H$3:$H$9149,"&gt;="&amp;_xlpm.start_date,Raw!$D$3:$D$9149,'Ref Data'!$B31),
_xlpm.one_day_spend,_xlpm.ltm_spend/_xlpm.nbr_days,
_xlpm.one_day_spend*30)</f>
        <v>#NUM!</v>
      </c>
      <c r="H31" s="224" t="e">
        <f>_xlfn.LET(_xlpm.total_spend,SUMIFS(Raw!$F$3:$F$9149,Raw!$D$3:$D$9149,'Ref Data'!$B31),
_xlpm.start_date,MIN(Raw!$H$3:$H$9149),
_xlpm.end_date,MAX(Raw!$H$3:$H$9149),
_xlpm.nbr_days,_xlpm.end_date-_xlpm.start_date,
_xlpm.one_day_spend,_xlpm.total_spend/_xlpm.nbr_days,
_xlpm.one_day_spend*30)</f>
        <v>#DIV/0!</v>
      </c>
      <c r="I31" s="224">
        <f>_xlfn.LET(_xlpm.end_date,MAX(Raw!$H$3:$H$9149),
_xlpm.start_date,_xlpm.end_date-30,
SUMIFS(Raw!$F$3:$F$9149,Raw!$H$3:$H$9149,"&gt;="&amp;_xlpm.start_date,Raw!$D$3:$D$9149,'Ref Data'!$B31)/30*7)</f>
        <v>0</v>
      </c>
      <c r="J31" s="224" t="e">
        <f>_xlfn.LET(_xlpm.end_date,MAX(Raw!$H$3:$H$9149),
_xlpm.start_date,EOMONTH(_xlpm.end_date,-12),
_xlpm.nbr_days,_xlpm.end_date-_xlpm.start_date,
_xlpm.ltm_spend,SUMIFS(Raw!$F$3:$F$9149,Raw!$H$3:$H$9149,"&gt;="&amp;_xlpm.start_date,Raw!$D$3:$D$9149,'Ref Data'!$B31),
_xlpm.one_day_spend,_xlpm.ltm_spend/_xlpm.nbr_days,
_xlpm.one_day_spend*7)</f>
        <v>#NUM!</v>
      </c>
      <c r="K31" s="224" t="e">
        <f>_xlfn.LET(_xlpm.total_spend,SUMIFS(Raw!$F$3:$F$9149,Raw!$D$3:$D$9149,'Ref Data'!$B31),
_xlpm.start_date,MIN(Raw!$H$3:$H$9149),
_xlpm.end_date,MAX(Raw!$H$3:$H$9149),
_xlpm.nbr_days,_xlpm.end_date-_xlpm.start_date,
_xlpm.one_day_spend,_xlpm.total_spend/_xlpm.nbr_days,
_xlpm.one_day_spend*7)</f>
        <v>#DIV/0!</v>
      </c>
      <c r="L31" s="224">
        <f>_xlfn.LET(_xlpm.end_date,MAX(Raw!$H$3:$H$9149),
_xlpm.start_date,_xlpm.end_date-30,
SUMIFS(Raw!$F$3:$F$9149,Raw!$H$3:$H$9149,"&gt;="&amp;_xlpm.start_date,Raw!$D$3:$D$9149,'Ref Data'!$B31)/30)</f>
        <v>0</v>
      </c>
      <c r="M31" s="224" t="e">
        <f>_xlfn.LET(_xlpm.end_date,MAX(Raw!$H$3:$H$9149),
_xlpm.start_date,EOMONTH(_xlpm.end_date,-12),
_xlpm.nbr_days,_xlpm.end_date-_xlpm.start_date,
_xlpm.ltm_spend,SUMIFS(Raw!$F$3:$F$9149,Raw!$H$3:$H$9149,"&gt;="&amp;_xlpm.start_date,Raw!$D$3:$D$9149,'Ref Data'!$B31),
_xlpm.one_day_spend,_xlpm.ltm_spend/_xlpm.nbr_days,
_xlpm.one_day_spend)</f>
        <v>#NUM!</v>
      </c>
      <c r="N31" s="224" t="e">
        <f>_xlfn.LET(_xlpm.total_spend,SUMIFS(Raw!$F$3:$F$9149,Raw!$D$3:$D$9149,'Ref Data'!$B31),
_xlpm.start_date,MIN(Raw!$H$3:$H$9149),
_xlpm.end_date,MAX(Raw!$H$3:$H$9149),
_xlpm.nbr_days,_xlpm.end_date-_xlpm.start_date,
_xlpm.one_day_spend,_xlpm.total_spend/_xlpm.nbr_days,
_xlpm.one_day_spend)</f>
        <v>#DIV/0!</v>
      </c>
    </row>
    <row r="32" spans="1:14" x14ac:dyDescent="0.2">
      <c r="A32" s="28" t="s">
        <v>118</v>
      </c>
      <c r="B32" t="s">
        <v>285</v>
      </c>
      <c r="C32" s="224">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224">
        <f>_xlfn.LET(_xlpm.end_date,MAX(Raw!$H$3:$H$9149),
_xlpm.start_date,EOMONTH(_xlpm.end_date,-12),
_xlpm.nbr_days,_xlpm.end_date-_xlpm.start_date,
_xlpm.ltm_spend,SUMIFS(Raw!$F$3:$F$9149,Raw!$H$3:$H$9149,"&gt;="&amp;_xlpm.start_date,Raw!$D$3:$D$9149,'Ref Data'!$B32),
_xlpm.ltm_spend)</f>
        <v>0</v>
      </c>
      <c r="E32" s="224" t="e">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#DIV/0!</v>
      </c>
      <c r="F32" s="224">
        <f>_xlfn.LET(_xlpm.end_date,MAX(Raw!$H$3:$H$9149),
_xlpm.start_date,_xlpm.end_date-30,
SUMIFS(Raw!$F$3:$F$9149,Raw!$H$3:$H$9149,"&gt;="&amp;_xlpm.start_date,Raw!$D$3:$D$9149,'Ref Data'!$B32))</f>
        <v>0</v>
      </c>
      <c r="G32" s="224" t="e">
        <f>_xlfn.LET(_xlpm.end_date,MAX(Raw!$H$3:$H$9149),
_xlpm.start_date,EOMONTH(_xlpm.end_date,-12),
_xlpm.nbr_days,_xlpm.end_date-_xlpm.start_date,
_xlpm.ltm_spend,SUMIFS(Raw!$F$3:$F$9149,Raw!$H$3:$H$9149,"&gt;="&amp;_xlpm.start_date,Raw!$D$3:$D$9149,'Ref Data'!$B32),
_xlpm.one_day_spend,_xlpm.ltm_spend/_xlpm.nbr_days,
_xlpm.one_day_spend*30)</f>
        <v>#NUM!</v>
      </c>
      <c r="H32" s="224" t="e">
        <f>_xlfn.LET(_xlpm.total_spend,SUMIFS(Raw!$F$3:$F$9149,Raw!$D$3:$D$9149,'Ref Data'!$B32),
_xlpm.start_date,MIN(Raw!$H$3:$H$9149),
_xlpm.end_date,MAX(Raw!$H$3:$H$9149),
_xlpm.nbr_days,_xlpm.end_date-_xlpm.start_date,
_xlpm.one_day_spend,_xlpm.total_spend/_xlpm.nbr_days,
_xlpm.one_day_spend*30)</f>
        <v>#DIV/0!</v>
      </c>
      <c r="I32" s="224">
        <f>_xlfn.LET(_xlpm.end_date,MAX(Raw!$H$3:$H$9149),
_xlpm.start_date,_xlpm.end_date-30,
SUMIFS(Raw!$F$3:$F$9149,Raw!$H$3:$H$9149,"&gt;="&amp;_xlpm.start_date,Raw!$D$3:$D$9149,'Ref Data'!$B32)/30*7)</f>
        <v>0</v>
      </c>
      <c r="J32" s="224" t="e">
        <f>_xlfn.LET(_xlpm.end_date,MAX(Raw!$H$3:$H$9149),
_xlpm.start_date,EOMONTH(_xlpm.end_date,-12),
_xlpm.nbr_days,_xlpm.end_date-_xlpm.start_date,
_xlpm.ltm_spend,SUMIFS(Raw!$F$3:$F$9149,Raw!$H$3:$H$9149,"&gt;="&amp;_xlpm.start_date,Raw!$D$3:$D$9149,'Ref Data'!$B32),
_xlpm.one_day_spend,_xlpm.ltm_spend/_xlpm.nbr_days,
_xlpm.one_day_spend*7)</f>
        <v>#NUM!</v>
      </c>
      <c r="K32" s="224" t="e">
        <f>_xlfn.LET(_xlpm.total_spend,SUMIFS(Raw!$F$3:$F$9149,Raw!$D$3:$D$9149,'Ref Data'!$B32),
_xlpm.start_date,MIN(Raw!$H$3:$H$9149),
_xlpm.end_date,MAX(Raw!$H$3:$H$9149),
_xlpm.nbr_days,_xlpm.end_date-_xlpm.start_date,
_xlpm.one_day_spend,_xlpm.total_spend/_xlpm.nbr_days,
_xlpm.one_day_spend*7)</f>
        <v>#DIV/0!</v>
      </c>
      <c r="L32" s="224">
        <f>_xlfn.LET(_xlpm.end_date,MAX(Raw!$H$3:$H$9149),
_xlpm.start_date,_xlpm.end_date-30,
SUMIFS(Raw!$F$3:$F$9149,Raw!$H$3:$H$9149,"&gt;="&amp;_xlpm.start_date,Raw!$D$3:$D$9149,'Ref Data'!$B32)/30)</f>
        <v>0</v>
      </c>
      <c r="M32" s="224" t="e">
        <f>_xlfn.LET(_xlpm.end_date,MAX(Raw!$H$3:$H$9149),
_xlpm.start_date,EOMONTH(_xlpm.end_date,-12),
_xlpm.nbr_days,_xlpm.end_date-_xlpm.start_date,
_xlpm.ltm_spend,SUMIFS(Raw!$F$3:$F$9149,Raw!$H$3:$H$9149,"&gt;="&amp;_xlpm.start_date,Raw!$D$3:$D$9149,'Ref Data'!$B32),
_xlpm.one_day_spend,_xlpm.ltm_spend/_xlpm.nbr_days,
_xlpm.one_day_spend)</f>
        <v>#NUM!</v>
      </c>
      <c r="N32" s="224" t="e">
        <f>_xlfn.LET(_xlpm.total_spend,SUMIFS(Raw!$F$3:$F$9149,Raw!$D$3:$D$9149,'Ref Data'!$B32),
_xlpm.start_date,MIN(Raw!$H$3:$H$9149),
_xlpm.end_date,MAX(Raw!$H$3:$H$9149),
_xlpm.nbr_days,_xlpm.end_date-_xlpm.start_date,
_xlpm.one_day_spend,_xlpm.total_spend/_xlpm.nbr_days,
_xlpm.one_day_spend)</f>
        <v>#DIV/0!</v>
      </c>
    </row>
    <row r="33" spans="1:14" x14ac:dyDescent="0.2">
      <c r="A33" s="28" t="s">
        <v>118</v>
      </c>
      <c r="B33" t="s">
        <v>283</v>
      </c>
      <c r="C33" s="224">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224">
        <f>_xlfn.LET(_xlpm.end_date,MAX(Raw!$H$3:$H$9149),
_xlpm.start_date,EOMONTH(_xlpm.end_date,-12),
_xlpm.nbr_days,_xlpm.end_date-_xlpm.start_date,
_xlpm.ltm_spend,SUMIFS(Raw!$F$3:$F$9149,Raw!$H$3:$H$9149,"&gt;="&amp;_xlpm.start_date,Raw!$D$3:$D$9149,'Ref Data'!$B33),
_xlpm.ltm_spend)</f>
        <v>0</v>
      </c>
      <c r="E33" s="224" t="e">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#DIV/0!</v>
      </c>
      <c r="F33" s="224">
        <f>_xlfn.LET(_xlpm.end_date,MAX(Raw!$H$3:$H$9149),
_xlpm.start_date,_xlpm.end_date-30,
SUMIFS(Raw!$F$3:$F$9149,Raw!$H$3:$H$9149,"&gt;="&amp;_xlpm.start_date,Raw!$D$3:$D$9149,'Ref Data'!$B33))</f>
        <v>0</v>
      </c>
      <c r="G33" s="224" t="e">
        <f>_xlfn.LET(_xlpm.end_date,MAX(Raw!$H$3:$H$9149),
_xlpm.start_date,EOMONTH(_xlpm.end_date,-12),
_xlpm.nbr_days,_xlpm.end_date-_xlpm.start_date,
_xlpm.ltm_spend,SUMIFS(Raw!$F$3:$F$9149,Raw!$H$3:$H$9149,"&gt;="&amp;_xlpm.start_date,Raw!$D$3:$D$9149,'Ref Data'!$B33),
_xlpm.one_day_spend,_xlpm.ltm_spend/_xlpm.nbr_days,
_xlpm.one_day_spend*30)</f>
        <v>#NUM!</v>
      </c>
      <c r="H33" s="224" t="e">
        <f>_xlfn.LET(_xlpm.total_spend,SUMIFS(Raw!$F$3:$F$9149,Raw!$D$3:$D$9149,'Ref Data'!$B33),
_xlpm.start_date,MIN(Raw!$H$3:$H$9149),
_xlpm.end_date,MAX(Raw!$H$3:$H$9149),
_xlpm.nbr_days,_xlpm.end_date-_xlpm.start_date,
_xlpm.one_day_spend,_xlpm.total_spend/_xlpm.nbr_days,
_xlpm.one_day_spend*30)</f>
        <v>#DIV/0!</v>
      </c>
      <c r="I33" s="224">
        <f>_xlfn.LET(_xlpm.end_date,MAX(Raw!$H$3:$H$9149),
_xlpm.start_date,_xlpm.end_date-30,
SUMIFS(Raw!$F$3:$F$9149,Raw!$H$3:$H$9149,"&gt;="&amp;_xlpm.start_date,Raw!$D$3:$D$9149,'Ref Data'!$B33)/30*7)</f>
        <v>0</v>
      </c>
      <c r="J33" s="224" t="e">
        <f>_xlfn.LET(_xlpm.end_date,MAX(Raw!$H$3:$H$9149),
_xlpm.start_date,EOMONTH(_xlpm.end_date,-12),
_xlpm.nbr_days,_xlpm.end_date-_xlpm.start_date,
_xlpm.ltm_spend,SUMIFS(Raw!$F$3:$F$9149,Raw!$H$3:$H$9149,"&gt;="&amp;_xlpm.start_date,Raw!$D$3:$D$9149,'Ref Data'!$B33),
_xlpm.one_day_spend,_xlpm.ltm_spend/_xlpm.nbr_days,
_xlpm.one_day_spend*7)</f>
        <v>#NUM!</v>
      </c>
      <c r="K33" s="224" t="e">
        <f>_xlfn.LET(_xlpm.total_spend,SUMIFS(Raw!$F$3:$F$9149,Raw!$D$3:$D$9149,'Ref Data'!$B33),
_xlpm.start_date,MIN(Raw!$H$3:$H$9149),
_xlpm.end_date,MAX(Raw!$H$3:$H$9149),
_xlpm.nbr_days,_xlpm.end_date-_xlpm.start_date,
_xlpm.one_day_spend,_xlpm.total_spend/_xlpm.nbr_days,
_xlpm.one_day_spend*7)</f>
        <v>#DIV/0!</v>
      </c>
      <c r="L33" s="224">
        <f>_xlfn.LET(_xlpm.end_date,MAX(Raw!$H$3:$H$9149),
_xlpm.start_date,_xlpm.end_date-30,
SUMIFS(Raw!$F$3:$F$9149,Raw!$H$3:$H$9149,"&gt;="&amp;_xlpm.start_date,Raw!$D$3:$D$9149,'Ref Data'!$B33)/30)</f>
        <v>0</v>
      </c>
      <c r="M33" s="224" t="e">
        <f>_xlfn.LET(_xlpm.end_date,MAX(Raw!$H$3:$H$9149),
_xlpm.start_date,EOMONTH(_xlpm.end_date,-12),
_xlpm.nbr_days,_xlpm.end_date-_xlpm.start_date,
_xlpm.ltm_spend,SUMIFS(Raw!$F$3:$F$9149,Raw!$H$3:$H$9149,"&gt;="&amp;_xlpm.start_date,Raw!$D$3:$D$9149,'Ref Data'!$B33),
_xlpm.one_day_spend,_xlpm.ltm_spend/_xlpm.nbr_days,
_xlpm.one_day_spend)</f>
        <v>#NUM!</v>
      </c>
      <c r="N33" s="224" t="e">
        <f>_xlfn.LET(_xlpm.total_spend,SUMIFS(Raw!$F$3:$F$9149,Raw!$D$3:$D$9149,'Ref Data'!$B33),
_xlpm.start_date,MIN(Raw!$H$3:$H$9149),
_xlpm.end_date,MAX(Raw!$H$3:$H$9149),
_xlpm.nbr_days,_xlpm.end_date-_xlpm.start_date,
_xlpm.one_day_spend,_xlpm.total_spend/_xlpm.nbr_days,
_xlpm.one_day_spend)</f>
        <v>#DIV/0!</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selection activeCell="F28" sqref="F28"/>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222" t="s">
        <v>286</v>
      </c>
      <c r="B1" s="222" t="s">
        <v>286</v>
      </c>
      <c r="C1" s="222" t="s">
        <v>286</v>
      </c>
      <c r="D1" s="222" t="s">
        <v>286</v>
      </c>
      <c r="E1" s="222" t="s">
        <v>286</v>
      </c>
      <c r="F1" s="222" t="s">
        <v>286</v>
      </c>
      <c r="H1" s="223" t="s">
        <v>96</v>
      </c>
    </row>
    <row r="3" spans="1:9" s="23" customFormat="1" ht="15" x14ac:dyDescent="0.35">
      <c r="A3" s="23" t="s">
        <v>127</v>
      </c>
      <c r="B3" s="23" t="s">
        <v>3</v>
      </c>
      <c r="C3" s="23" t="s">
        <v>256</v>
      </c>
      <c r="D3" s="23" t="s">
        <v>257</v>
      </c>
      <c r="E3" s="23" t="s">
        <v>258</v>
      </c>
      <c r="F3" s="24" t="s">
        <v>8</v>
      </c>
      <c r="G3" s="24"/>
      <c r="H3" s="23" t="s">
        <v>287</v>
      </c>
    </row>
    <row r="4" spans="1:9" x14ac:dyDescent="0.2">
      <c r="C4" s="28"/>
      <c r="H4" s="31"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0</v>
      </c>
      <c r="I4" s="31"/>
    </row>
    <row r="5" spans="1:9" x14ac:dyDescent="0.2">
      <c r="H5" s="31">
        <v>0</v>
      </c>
    </row>
    <row r="6" spans="1:9" x14ac:dyDescent="0.2">
      <c r="H6" s="31">
        <v>0</v>
      </c>
    </row>
    <row r="7" spans="1:9" x14ac:dyDescent="0.2">
      <c r="H7" s="31">
        <v>0</v>
      </c>
    </row>
    <row r="8" spans="1:9" x14ac:dyDescent="0.2">
      <c r="H8" s="31">
        <v>0</v>
      </c>
    </row>
    <row r="9" spans="1:9" x14ac:dyDescent="0.2">
      <c r="C9" s="28"/>
      <c r="H9" s="31">
        <v>0</v>
      </c>
    </row>
    <row r="10" spans="1:9" x14ac:dyDescent="0.2">
      <c r="H10" s="31">
        <v>0</v>
      </c>
    </row>
    <row r="11" spans="1:9" x14ac:dyDescent="0.2">
      <c r="H11" s="31">
        <v>0</v>
      </c>
    </row>
    <row r="12" spans="1:9" x14ac:dyDescent="0.2">
      <c r="H12" s="31">
        <v>0</v>
      </c>
    </row>
    <row r="13" spans="1:9" x14ac:dyDescent="0.2">
      <c r="H13" s="31">
        <v>0</v>
      </c>
    </row>
    <row r="14" spans="1:9" x14ac:dyDescent="0.2">
      <c r="H14" s="31">
        <v>0</v>
      </c>
    </row>
    <row r="15" spans="1:9" x14ac:dyDescent="0.2">
      <c r="H15" s="31">
        <v>0</v>
      </c>
    </row>
    <row r="16" spans="1:9" x14ac:dyDescent="0.2">
      <c r="H16" s="31">
        <v>0</v>
      </c>
    </row>
    <row r="17" spans="3:8" x14ac:dyDescent="0.2">
      <c r="H17" s="31">
        <v>0</v>
      </c>
    </row>
    <row r="18" spans="3:8" x14ac:dyDescent="0.2">
      <c r="H18" s="31">
        <v>0</v>
      </c>
    </row>
    <row r="19" spans="3:8" x14ac:dyDescent="0.2">
      <c r="H19" s="31">
        <v>0</v>
      </c>
    </row>
    <row r="20" spans="3:8" x14ac:dyDescent="0.2">
      <c r="H20" s="31">
        <v>0</v>
      </c>
    </row>
    <row r="21" spans="3:8" x14ac:dyDescent="0.2">
      <c r="H21" s="31">
        <v>0</v>
      </c>
    </row>
    <row r="22" spans="3:8" x14ac:dyDescent="0.2">
      <c r="H22" s="31">
        <v>0</v>
      </c>
    </row>
    <row r="23" spans="3:8" x14ac:dyDescent="0.2">
      <c r="H23" s="31">
        <v>0</v>
      </c>
    </row>
    <row r="24" spans="3:8" x14ac:dyDescent="0.2">
      <c r="H24" s="31">
        <v>0</v>
      </c>
    </row>
    <row r="25" spans="3:8" x14ac:dyDescent="0.2">
      <c r="H25" s="31">
        <v>0</v>
      </c>
    </row>
    <row r="26" spans="3:8" x14ac:dyDescent="0.2">
      <c r="H26" s="31">
        <v>0</v>
      </c>
    </row>
    <row r="27" spans="3:8" x14ac:dyDescent="0.2">
      <c r="H27" s="31">
        <v>0</v>
      </c>
    </row>
    <row r="28" spans="3:8" x14ac:dyDescent="0.2">
      <c r="H28" s="31">
        <v>0</v>
      </c>
    </row>
    <row r="29" spans="3:8" x14ac:dyDescent="0.2">
      <c r="H29" s="31">
        <v>0</v>
      </c>
    </row>
    <row r="30" spans="3:8" x14ac:dyDescent="0.2">
      <c r="H30" s="31">
        <v>0</v>
      </c>
    </row>
    <row r="31" spans="3:8" x14ac:dyDescent="0.2">
      <c r="C31" s="28"/>
      <c r="H31" s="31">
        <v>0</v>
      </c>
    </row>
    <row r="32" spans="3:8" x14ac:dyDescent="0.2">
      <c r="C32" s="28"/>
      <c r="H32" s="31">
        <v>0</v>
      </c>
    </row>
    <row r="33" spans="3:8" x14ac:dyDescent="0.2">
      <c r="C33" s="28"/>
      <c r="H33" s="31">
        <v>0</v>
      </c>
    </row>
    <row r="34" spans="3:8" x14ac:dyDescent="0.2">
      <c r="C34" s="28"/>
      <c r="H34" s="31">
        <v>0</v>
      </c>
    </row>
    <row r="35" spans="3:8" x14ac:dyDescent="0.2">
      <c r="H35" s="31">
        <v>0</v>
      </c>
    </row>
    <row r="36" spans="3:8" x14ac:dyDescent="0.2">
      <c r="C36" s="28"/>
      <c r="H36" s="31">
        <v>0</v>
      </c>
    </row>
    <row r="37" spans="3:8" x14ac:dyDescent="0.2">
      <c r="C37" s="28"/>
      <c r="H37" s="31">
        <v>0</v>
      </c>
    </row>
    <row r="38" spans="3:8" x14ac:dyDescent="0.2">
      <c r="C38" s="28"/>
      <c r="H38" s="31">
        <v>0</v>
      </c>
    </row>
    <row r="39" spans="3:8" x14ac:dyDescent="0.2">
      <c r="H39" s="31">
        <v>0</v>
      </c>
    </row>
    <row r="40" spans="3:8" x14ac:dyDescent="0.2">
      <c r="H40" s="31">
        <v>0</v>
      </c>
    </row>
    <row r="41" spans="3:8" x14ac:dyDescent="0.2">
      <c r="H41" s="31">
        <v>0</v>
      </c>
    </row>
    <row r="42" spans="3:8" x14ac:dyDescent="0.2">
      <c r="H42" s="31">
        <v>0</v>
      </c>
    </row>
    <row r="43" spans="3:8" x14ac:dyDescent="0.2">
      <c r="H43">
        <v>0</v>
      </c>
    </row>
    <row r="44" spans="3:8" x14ac:dyDescent="0.2">
      <c r="H44">
        <v>0</v>
      </c>
    </row>
    <row r="45" spans="3:8" x14ac:dyDescent="0.2">
      <c r="H45">
        <v>0</v>
      </c>
    </row>
    <row r="46" spans="3:8" x14ac:dyDescent="0.2">
      <c r="H46">
        <v>0</v>
      </c>
    </row>
    <row r="47" spans="3:8" x14ac:dyDescent="0.2">
      <c r="H47">
        <v>0</v>
      </c>
    </row>
    <row r="48" spans="3: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8"/>
  <sheetViews>
    <sheetView workbookViewId="0"/>
  </sheetViews>
  <sheetFormatPr defaultRowHeight="12.75" x14ac:dyDescent="0.2"/>
  <cols>
    <col min="1" max="1" width="1.85546875" customWidth="1"/>
    <col min="2" max="2" width="2" bestFit="1" customWidth="1"/>
  </cols>
  <sheetData>
    <row r="2" spans="2:3" x14ac:dyDescent="0.2">
      <c r="B2" s="212" t="s">
        <v>255</v>
      </c>
    </row>
    <row r="3" spans="2:3" x14ac:dyDescent="0.2">
      <c r="B3" s="28" t="s">
        <v>197</v>
      </c>
      <c r="C3" s="28" t="s">
        <v>321</v>
      </c>
    </row>
    <row r="4" spans="2:3" x14ac:dyDescent="0.2">
      <c r="B4" s="28" t="s">
        <v>197</v>
      </c>
      <c r="C4" s="28" t="s">
        <v>322</v>
      </c>
    </row>
    <row r="5" spans="2:3" x14ac:dyDescent="0.2">
      <c r="B5" s="28" t="s">
        <v>197</v>
      </c>
      <c r="C5" s="28" t="s">
        <v>333</v>
      </c>
    </row>
    <row r="6" spans="2:3" x14ac:dyDescent="0.2">
      <c r="B6" s="28" t="s">
        <v>197</v>
      </c>
      <c r="C6" s="28" t="s">
        <v>334</v>
      </c>
    </row>
    <row r="7" spans="2:3" x14ac:dyDescent="0.2">
      <c r="B7" s="28" t="s">
        <v>197</v>
      </c>
      <c r="C7" s="28" t="s">
        <v>335</v>
      </c>
    </row>
    <row r="8" spans="2:3" x14ac:dyDescent="0.2">
      <c r="B8" s="28" t="s">
        <v>197</v>
      </c>
      <c r="C8" s="28" t="s">
        <v>336</v>
      </c>
    </row>
    <row r="10" spans="2:3" x14ac:dyDescent="0.2">
      <c r="B10" s="212" t="s">
        <v>254</v>
      </c>
    </row>
    <row r="11" spans="2:3" x14ac:dyDescent="0.2">
      <c r="B11" s="28" t="s">
        <v>197</v>
      </c>
      <c r="C11" s="28" t="s">
        <v>198</v>
      </c>
    </row>
    <row r="12" spans="2:3" x14ac:dyDescent="0.2">
      <c r="B12" s="28" t="s">
        <v>197</v>
      </c>
      <c r="C12" s="28" t="s">
        <v>203</v>
      </c>
    </row>
    <row r="13" spans="2:3" x14ac:dyDescent="0.2">
      <c r="B13" s="28" t="s">
        <v>197</v>
      </c>
      <c r="C13" s="28" t="s">
        <v>199</v>
      </c>
    </row>
    <row r="14" spans="2:3" x14ac:dyDescent="0.2">
      <c r="B14" s="28" t="s">
        <v>197</v>
      </c>
      <c r="C14" s="28" t="s">
        <v>205</v>
      </c>
    </row>
    <row r="15" spans="2:3" x14ac:dyDescent="0.2">
      <c r="B15" s="28" t="s">
        <v>197</v>
      </c>
      <c r="C15" s="28" t="s">
        <v>200</v>
      </c>
    </row>
    <row r="16" spans="2:3" x14ac:dyDescent="0.2">
      <c r="B16" s="28" t="s">
        <v>197</v>
      </c>
      <c r="C16" s="28" t="s">
        <v>201</v>
      </c>
    </row>
    <row r="17" spans="2:3" x14ac:dyDescent="0.2">
      <c r="B17" s="28" t="s">
        <v>197</v>
      </c>
      <c r="C17" s="28" t="s">
        <v>202</v>
      </c>
    </row>
    <row r="18" spans="2:3" x14ac:dyDescent="0.2">
      <c r="B18" s="28" t="s">
        <v>197</v>
      </c>
      <c r="C18" s="28" t="s">
        <v>204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220"/>
  </cols>
  <sheetData>
    <row r="2" spans="2:3" x14ac:dyDescent="0.2">
      <c r="B2" s="28" t="s">
        <v>185</v>
      </c>
    </row>
    <row r="3" spans="2:3" x14ac:dyDescent="0.2">
      <c r="B3" s="28" t="s">
        <v>176</v>
      </c>
    </row>
    <row r="4" spans="2:3" x14ac:dyDescent="0.2">
      <c r="B4" s="28" t="s">
        <v>186</v>
      </c>
    </row>
    <row r="5" spans="2:3" x14ac:dyDescent="0.2">
      <c r="B5" s="28" t="s">
        <v>252</v>
      </c>
    </row>
    <row r="6" spans="2:3" x14ac:dyDescent="0.2">
      <c r="B6" s="28" t="s">
        <v>175</v>
      </c>
    </row>
    <row r="7" spans="2:3" x14ac:dyDescent="0.2">
      <c r="B7" s="28" t="s">
        <v>196</v>
      </c>
    </row>
    <row r="8" spans="2:3" x14ac:dyDescent="0.2">
      <c r="B8" s="28" t="s">
        <v>251</v>
      </c>
    </row>
    <row r="11" spans="2:3" x14ac:dyDescent="0.2">
      <c r="B11" s="151" t="s">
        <v>218</v>
      </c>
    </row>
    <row r="12" spans="2:3" x14ac:dyDescent="0.2">
      <c r="B12" s="28" t="s">
        <v>194</v>
      </c>
      <c r="C12" s="221" t="s">
        <v>344</v>
      </c>
    </row>
    <row r="13" spans="2:3" x14ac:dyDescent="0.2">
      <c r="B13" s="28" t="s">
        <v>17</v>
      </c>
      <c r="C13" s="220">
        <v>20</v>
      </c>
    </row>
    <row r="14" spans="2:3" x14ac:dyDescent="0.2">
      <c r="B14" s="28" t="s">
        <v>6</v>
      </c>
      <c r="C14" s="221" t="s">
        <v>344</v>
      </c>
    </row>
    <row r="15" spans="2:3" x14ac:dyDescent="0.2">
      <c r="B15" s="28" t="s">
        <v>219</v>
      </c>
      <c r="C15" s="220">
        <v>50</v>
      </c>
    </row>
    <row r="16" spans="2:3" x14ac:dyDescent="0.2">
      <c r="B16" s="28" t="s">
        <v>93</v>
      </c>
      <c r="C16" s="220">
        <v>50</v>
      </c>
    </row>
    <row r="17" spans="2:3" x14ac:dyDescent="0.2">
      <c r="B17" s="28" t="s">
        <v>220</v>
      </c>
      <c r="C17" s="221" t="s">
        <v>344</v>
      </c>
    </row>
    <row r="18" spans="2:3" x14ac:dyDescent="0.2">
      <c r="B18" s="28" t="s">
        <v>221</v>
      </c>
      <c r="C18" s="220">
        <v>20</v>
      </c>
    </row>
    <row r="19" spans="2:3" x14ac:dyDescent="0.2">
      <c r="B19" s="28" t="s">
        <v>94</v>
      </c>
      <c r="C19" s="220">
        <v>50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heetViews>
  <sheetFormatPr defaultColWidth="8" defaultRowHeight="11.25" x14ac:dyDescent="0.2"/>
  <cols>
    <col min="1" max="1" width="17.28515625" style="181" bestFit="1" customWidth="1"/>
    <col min="2" max="51" width="15.7109375" style="181" customWidth="1"/>
    <col min="52" max="16384" width="8" style="181"/>
  </cols>
  <sheetData>
    <row r="1" spans="1:51" x14ac:dyDescent="0.2">
      <c r="B1" s="181">
        <v>1</v>
      </c>
      <c r="C1" s="181">
        <f>B1+1</f>
        <v>2</v>
      </c>
      <c r="D1" s="181">
        <f t="shared" ref="D1:AY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c r="V1" s="181">
        <f t="shared" si="0"/>
        <v>21</v>
      </c>
      <c r="W1" s="181">
        <f t="shared" si="0"/>
        <v>22</v>
      </c>
      <c r="X1" s="181">
        <f t="shared" si="0"/>
        <v>23</v>
      </c>
      <c r="Y1" s="181">
        <f t="shared" si="0"/>
        <v>24</v>
      </c>
      <c r="Z1" s="181">
        <f t="shared" si="0"/>
        <v>25</v>
      </c>
      <c r="AA1" s="181">
        <f t="shared" si="0"/>
        <v>26</v>
      </c>
      <c r="AB1" s="181">
        <f t="shared" si="0"/>
        <v>27</v>
      </c>
      <c r="AC1" s="181">
        <f t="shared" si="0"/>
        <v>28</v>
      </c>
      <c r="AD1" s="181">
        <f t="shared" si="0"/>
        <v>29</v>
      </c>
      <c r="AE1" s="181">
        <f t="shared" si="0"/>
        <v>30</v>
      </c>
      <c r="AF1" s="181">
        <f t="shared" si="0"/>
        <v>31</v>
      </c>
      <c r="AG1" s="181">
        <f t="shared" si="0"/>
        <v>32</v>
      </c>
      <c r="AH1" s="181">
        <f t="shared" si="0"/>
        <v>33</v>
      </c>
      <c r="AI1" s="181">
        <f t="shared" si="0"/>
        <v>34</v>
      </c>
      <c r="AJ1" s="181">
        <f t="shared" si="0"/>
        <v>35</v>
      </c>
      <c r="AK1" s="181">
        <f t="shared" si="0"/>
        <v>36</v>
      </c>
      <c r="AL1" s="181">
        <f t="shared" si="0"/>
        <v>37</v>
      </c>
      <c r="AM1" s="181">
        <f t="shared" si="0"/>
        <v>38</v>
      </c>
      <c r="AN1" s="181">
        <f t="shared" si="0"/>
        <v>39</v>
      </c>
      <c r="AO1" s="181">
        <f t="shared" si="0"/>
        <v>40</v>
      </c>
      <c r="AP1" s="181">
        <f t="shared" si="0"/>
        <v>41</v>
      </c>
      <c r="AQ1" s="181">
        <f t="shared" si="0"/>
        <v>42</v>
      </c>
      <c r="AR1" s="181">
        <f t="shared" si="0"/>
        <v>43</v>
      </c>
      <c r="AS1" s="181">
        <f t="shared" si="0"/>
        <v>44</v>
      </c>
      <c r="AT1" s="181">
        <f t="shared" si="0"/>
        <v>45</v>
      </c>
      <c r="AU1" s="181">
        <f t="shared" si="0"/>
        <v>46</v>
      </c>
      <c r="AV1" s="181">
        <f t="shared" si="0"/>
        <v>47</v>
      </c>
      <c r="AW1" s="181">
        <f t="shared" si="0"/>
        <v>48</v>
      </c>
      <c r="AX1" s="181">
        <f t="shared" si="0"/>
        <v>49</v>
      </c>
      <c r="AY1" s="181">
        <f t="shared" si="0"/>
        <v>50</v>
      </c>
    </row>
    <row r="2" spans="1:51" x14ac:dyDescent="0.2">
      <c r="A2" s="181" t="s">
        <v>182</v>
      </c>
      <c r="B2" s="199" t="e" cm="1" vm="1">
        <f t="array" ref="B2">TRANSPOSE(_xlfn._xlws.FILTER(Recurring!$B$4:$B$53,ISNUMBER(Recurring!$G$4:$G$53)))</f>
        <v>#VALUE!</v>
      </c>
    </row>
    <row r="3" spans="1:51" x14ac:dyDescent="0.2">
      <c r="A3" s="181" t="s">
        <v>234</v>
      </c>
      <c r="B3" s="182" t="e" cm="1" vm="1">
        <f t="array" ref="B3">TRANSPOSE(_xlfn._xlws.FILTER(Recurring!$E$4:$E$53,ISNUMBER(Recurring!$G$4:$G$53)))</f>
        <v>#VALUE!</v>
      </c>
    </row>
    <row r="4" spans="1:51" s="183" customFormat="1" x14ac:dyDescent="0.2">
      <c r="A4" s="183" t="s">
        <v>235</v>
      </c>
      <c r="B4" s="184" t="e" cm="1" vm="1">
        <f t="array" ref="B4">TRANSPOSE(_xlfn._xlws.FILTER(Recurring!$G$4:$G$53,ISNUMBER(Recurring!$G$4:$G$53)))</f>
        <v>#VALUE!</v>
      </c>
    </row>
    <row r="5" spans="1:51" s="185" customFormat="1" x14ac:dyDescent="0.2">
      <c r="A5" s="185" t="s">
        <v>183</v>
      </c>
      <c r="B5" s="186" t="e" cm="1" vm="1">
        <f t="array" ref="B5">TRANSPOSE(_xlfn._xlws.FILTER(Recurring!$I$4:$I$53,ISNUMBER(Recurring!$G$4:$G$53)))</f>
        <v>#VALUE!</v>
      </c>
    </row>
    <row r="6" spans="1:51" s="185" customFormat="1" x14ac:dyDescent="0.2"/>
    <row r="7" spans="1:5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V7" s="187" t="str" cm="1">
        <f t="array" ref="V7">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W7" s="187" t="str" cm="1">
        <f t="array" ref="W7">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X7" s="187" t="str" cm="1">
        <f t="array" ref="X7">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Y7" s="187" t="str" cm="1">
        <f t="array" ref="Y7">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Z7" s="187" t="str" cm="1">
        <f t="array" ref="Z7">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A7" s="187" t="str" cm="1">
        <f t="array" ref="AA7">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B7" s="187" t="str" cm="1">
        <f t="array" ref="AB7">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C7" s="187"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87"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87"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87"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87"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87"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87"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87"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87"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87"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87"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87"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87"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87"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87"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87"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87"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87"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87"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87"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87"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87"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87"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85" customFormat="1" x14ac:dyDescent="0.2">
      <c r="B8" s="188"/>
      <c r="C8" s="188"/>
      <c r="D8" s="188"/>
      <c r="E8" s="188"/>
      <c r="F8" s="188"/>
      <c r="G8" s="188"/>
    </row>
    <row r="9" spans="1:51" s="185" customFormat="1" x14ac:dyDescent="0.2"/>
    <row r="10" spans="1:51" s="185" customFormat="1" x14ac:dyDescent="0.2"/>
    <row r="11" spans="1:51" s="185" customFormat="1" x14ac:dyDescent="0.2"/>
    <row r="12" spans="1:51" s="185" customFormat="1" x14ac:dyDescent="0.2">
      <c r="G12" s="189"/>
    </row>
    <row r="13" spans="1:51" s="185" customFormat="1" x14ac:dyDescent="0.2"/>
    <row r="14" spans="1:51" s="185" customFormat="1" x14ac:dyDescent="0.2"/>
    <row r="15" spans="1:51" s="185" customFormat="1" x14ac:dyDescent="0.2"/>
    <row r="16" spans="1:5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3" bestFit="1" customWidth="1"/>
    <col min="27" max="16384" width="8" style="33"/>
  </cols>
  <sheetData>
    <row r="1" spans="1:51" x14ac:dyDescent="0.2">
      <c r="B1" s="33" t="e" cm="1" vm="1">
        <f t="array" ref="B1">TRANSPOSE(_xlfn._xlws.FILTER(Recurring!$B$4:$B$53,ISNUMBER(Recurring!$G$4:$G$53)))</f>
        <v>#VALUE!</v>
      </c>
    </row>
    <row r="2" spans="1:51" s="179" customFormat="1" x14ac:dyDescent="0.2">
      <c r="B2" s="179" t="e" cm="1" vm="1">
        <f t="array" ref="B2">TRANSPOSE(_xlfn._xlws.FILTER(Recurring!$D$4:$D$53,ISNUMBER(Recurring!$G$4:$G$53)))</f>
        <v>#VALUE!</v>
      </c>
    </row>
    <row r="3" spans="1:51" x14ac:dyDescent="0.2">
      <c r="A3" s="32" t="str">
        <f ca="1">TEXT(TODAY(),"yyyy-mm-dd")</f>
        <v>2025-03-29</v>
      </c>
      <c r="B3" s="179">
        <f ca="1">IF(ISNUMBER(MATCH(DATEVALUE($A3),'recurring1_based on steps'!B$1:B$400,0)),B$2,)</f>
        <v>0</v>
      </c>
      <c r="C3" s="179">
        <f ca="1">IF(ISNUMBER(MATCH(DATEVALUE($A3),'recurring1_based on steps'!C$1:C$400,0)),C$2,)</f>
        <v>0</v>
      </c>
      <c r="D3" s="179">
        <f ca="1">IF(ISNUMBER(MATCH(DATEVALUE($A3),'recurring1_based on steps'!D$1:D$400,0)),D$2,)</f>
        <v>0</v>
      </c>
      <c r="E3" s="179">
        <f ca="1">IF(ISNUMBER(MATCH(DATEVALUE($A3),'recurring1_based on steps'!E$1:E$400,0)),E$2,)</f>
        <v>0</v>
      </c>
      <c r="F3" s="179">
        <f ca="1">IF(ISNUMBER(MATCH(DATEVALUE($A3),'recurring1_based on steps'!F$1:F$400,0)),F$2,)</f>
        <v>0</v>
      </c>
      <c r="G3" s="179">
        <f ca="1">IF(ISNUMBER(MATCH(DATEVALUE($A3),'recurring1_based on steps'!G$1:G$400,0)),G$2,)</f>
        <v>0</v>
      </c>
      <c r="H3" s="179">
        <f ca="1">IF(ISNUMBER(MATCH(DATEVALUE($A3),'recurring1_based on steps'!H$1:H$400,0)),H$2,)</f>
        <v>0</v>
      </c>
      <c r="I3" s="179">
        <f ca="1">IF(ISNUMBER(MATCH(DATEVALUE($A3),'recurring1_based on steps'!I$1:I$400,0)),I$2,)</f>
        <v>0</v>
      </c>
      <c r="J3" s="179">
        <f ca="1">IF(ISNUMBER(MATCH(DATEVALUE($A3),'recurring1_based on steps'!J$1:J$400,0)),J$2,)</f>
        <v>0</v>
      </c>
      <c r="K3" s="179">
        <f ca="1">IF(ISNUMBER(MATCH(DATEVALUE($A3),'recurring1_based on steps'!K$1:K$400,0)),K$2,)</f>
        <v>0</v>
      </c>
      <c r="L3" s="179">
        <f ca="1">IF(ISNUMBER(MATCH(DATEVALUE($A3),'recurring1_based on steps'!L$1:L$400,0)),L$2,)</f>
        <v>0</v>
      </c>
      <c r="M3" s="179">
        <f ca="1">IF(ISNUMBER(MATCH(DATEVALUE($A3),'recurring1_based on steps'!M$1:M$400,0)),M$2,)</f>
        <v>0</v>
      </c>
      <c r="N3" s="179">
        <f ca="1">IF(ISNUMBER(MATCH(DATEVALUE($A3),'recurring1_based on steps'!N$1:N$400,0)),N$2,)</f>
        <v>0</v>
      </c>
      <c r="O3" s="179">
        <f ca="1">IF(ISNUMBER(MATCH(DATEVALUE($A3),'recurring1_based on steps'!O$1:O$400,0)),O$2,)</f>
        <v>0</v>
      </c>
      <c r="P3" s="179">
        <f ca="1">IF(ISNUMBER(MATCH(DATEVALUE($A3),'recurring1_based on steps'!P$1:P$400,0)),P$2,)</f>
        <v>0</v>
      </c>
      <c r="Q3" s="179">
        <f ca="1">IF(ISNUMBER(MATCH(DATEVALUE($A3),'recurring1_based on steps'!Q$1:Q$400,0)),Q$2,)</f>
        <v>0</v>
      </c>
      <c r="R3" s="179">
        <f ca="1">IF(ISNUMBER(MATCH(DATEVALUE($A3),'recurring1_based on steps'!R$1:R$400,0)),R$2,)</f>
        <v>0</v>
      </c>
      <c r="S3" s="179">
        <f ca="1">IF(ISNUMBER(MATCH(DATEVALUE($A3),'recurring1_based on steps'!S$1:S$400,0)),S$2,)</f>
        <v>0</v>
      </c>
      <c r="T3" s="179">
        <f ca="1">IF(ISNUMBER(MATCH(DATEVALUE($A3),'recurring1_based on steps'!T$1:T$400,0)),T$2,)</f>
        <v>0</v>
      </c>
      <c r="U3" s="179">
        <f ca="1">IF(ISNUMBER(MATCH(DATEVALUE($A3),'recurring1_based on steps'!U$1:U$400,0)),U$2,)</f>
        <v>0</v>
      </c>
      <c r="V3" s="179">
        <f ca="1">IF(ISNUMBER(MATCH(DATEVALUE($A3),'recurring1_based on steps'!V$1:V$400,0)),V$2,)</f>
        <v>0</v>
      </c>
      <c r="W3" s="179">
        <f ca="1">IF(ISNUMBER(MATCH(DATEVALUE($A3),'recurring1_based on steps'!W$1:W$400,0)),W$2,)</f>
        <v>0</v>
      </c>
      <c r="X3" s="179">
        <f ca="1">IF(ISNUMBER(MATCH(DATEVALUE($A3),'recurring1_based on steps'!X$1:X$400,0)),X$2,)</f>
        <v>0</v>
      </c>
      <c r="Y3" s="179">
        <f ca="1">IF(ISNUMBER(MATCH(DATEVALUE($A3),'recurring1_based on steps'!Y$1:Y$400,0)),Y$2,)</f>
        <v>0</v>
      </c>
      <c r="Z3" s="179">
        <f ca="1">IF(ISNUMBER(MATCH(DATEVALUE($A3),'recurring1_based on steps'!Z$1:Z$400,0)),Z$2,)</f>
        <v>0</v>
      </c>
      <c r="AA3" s="179">
        <f ca="1">IF(ISNUMBER(MATCH(DATEVALUE($A3),'recurring1_based on steps'!AA$1:AA$400,0)),AA$2,)</f>
        <v>0</v>
      </c>
      <c r="AB3" s="179">
        <f ca="1">IF(ISNUMBER(MATCH(DATEVALUE($A3),'recurring1_based on steps'!AB$1:AB$400,0)),AB$2,)</f>
        <v>0</v>
      </c>
      <c r="AC3" s="179">
        <f ca="1">IF(ISNUMBER(MATCH(DATEVALUE($A3),'recurring1_based on steps'!AC$1:AC$400,0)),AC$2,)</f>
        <v>0</v>
      </c>
      <c r="AD3" s="179">
        <f ca="1">IF(ISNUMBER(MATCH(DATEVALUE($A3),'recurring1_based on steps'!AD$1:AD$400,0)),AD$2,)</f>
        <v>0</v>
      </c>
      <c r="AE3" s="179">
        <f ca="1">IF(ISNUMBER(MATCH(DATEVALUE($A3),'recurring1_based on steps'!AE$1:AE$400,0)),AE$2,)</f>
        <v>0</v>
      </c>
      <c r="AF3" s="179">
        <f ca="1">IF(ISNUMBER(MATCH(DATEVALUE($A3),'recurring1_based on steps'!AF$1:AF$400,0)),AF$2,)</f>
        <v>0</v>
      </c>
      <c r="AG3" s="179">
        <f ca="1">IF(ISNUMBER(MATCH(DATEVALUE($A3),'recurring1_based on steps'!AG$1:AG$400,0)),AG$2,)</f>
        <v>0</v>
      </c>
      <c r="AH3" s="179">
        <f ca="1">IF(ISNUMBER(MATCH(DATEVALUE($A3),'recurring1_based on steps'!AH$1:AH$400,0)),AH$2,)</f>
        <v>0</v>
      </c>
      <c r="AI3" s="179">
        <f ca="1">IF(ISNUMBER(MATCH(DATEVALUE($A3),'recurring1_based on steps'!AI$1:AI$400,0)),AI$2,)</f>
        <v>0</v>
      </c>
      <c r="AJ3" s="179">
        <f ca="1">IF(ISNUMBER(MATCH(DATEVALUE($A3),'recurring1_based on steps'!AJ$1:AJ$400,0)),AJ$2,)</f>
        <v>0</v>
      </c>
      <c r="AK3" s="179">
        <f ca="1">IF(ISNUMBER(MATCH(DATEVALUE($A3),'recurring1_based on steps'!AK$1:AK$400,0)),AK$2,)</f>
        <v>0</v>
      </c>
      <c r="AL3" s="179">
        <f ca="1">IF(ISNUMBER(MATCH(DATEVALUE($A3),'recurring1_based on steps'!AL$1:AL$400,0)),AL$2,)</f>
        <v>0</v>
      </c>
      <c r="AM3" s="179">
        <f ca="1">IF(ISNUMBER(MATCH(DATEVALUE($A3),'recurring1_based on steps'!AM$1:AM$400,0)),AM$2,)</f>
        <v>0</v>
      </c>
      <c r="AN3" s="179">
        <f ca="1">IF(ISNUMBER(MATCH(DATEVALUE($A3),'recurring1_based on steps'!AN$1:AN$400,0)),AN$2,)</f>
        <v>0</v>
      </c>
      <c r="AO3" s="179">
        <f ca="1">IF(ISNUMBER(MATCH(DATEVALUE($A3),'recurring1_based on steps'!AO$1:AO$400,0)),AO$2,)</f>
        <v>0</v>
      </c>
      <c r="AP3" s="179">
        <f ca="1">IF(ISNUMBER(MATCH(DATEVALUE($A3),'recurring1_based on steps'!AP$1:AP$400,0)),AP$2,)</f>
        <v>0</v>
      </c>
      <c r="AQ3" s="179">
        <f ca="1">IF(ISNUMBER(MATCH(DATEVALUE($A3),'recurring1_based on steps'!AQ$1:AQ$400,0)),AQ$2,)</f>
        <v>0</v>
      </c>
      <c r="AR3" s="179">
        <f ca="1">IF(ISNUMBER(MATCH(DATEVALUE($A3),'recurring1_based on steps'!AR$1:AR$400,0)),AR$2,)</f>
        <v>0</v>
      </c>
      <c r="AS3" s="179">
        <f ca="1">IF(ISNUMBER(MATCH(DATEVALUE($A3),'recurring1_based on steps'!AS$1:AS$400,0)),AS$2,)</f>
        <v>0</v>
      </c>
      <c r="AT3" s="179">
        <f ca="1">IF(ISNUMBER(MATCH(DATEVALUE($A3),'recurring1_based on steps'!AT$1:AT$400,0)),AT$2,)</f>
        <v>0</v>
      </c>
      <c r="AU3" s="179">
        <f ca="1">IF(ISNUMBER(MATCH(DATEVALUE($A3),'recurring1_based on steps'!AU$1:AU$400,0)),AU$2,)</f>
        <v>0</v>
      </c>
      <c r="AV3" s="179">
        <f ca="1">IF(ISNUMBER(MATCH(DATEVALUE($A3),'recurring1_based on steps'!AV$1:AV$400,0)),AV$2,)</f>
        <v>0</v>
      </c>
      <c r="AW3" s="179">
        <f ca="1">IF(ISNUMBER(MATCH(DATEVALUE($A3),'recurring1_based on steps'!AW$1:AW$400,0)),AW$2,)</f>
        <v>0</v>
      </c>
      <c r="AX3" s="179">
        <f ca="1">IF(ISNUMBER(MATCH(DATEVALUE($A3),'recurring1_based on steps'!AX$1:AX$400,0)),AX$2,)</f>
        <v>0</v>
      </c>
      <c r="AY3" s="179">
        <f ca="1">IF(ISNUMBER(MATCH(DATEVALUE($A3),'recurring1_based on steps'!AY$1:AY$400,0)),AY$2,)</f>
        <v>0</v>
      </c>
    </row>
    <row r="4" spans="1:51" x14ac:dyDescent="0.2">
      <c r="A4" s="32" t="str">
        <f ca="1">TEXT(DATEVALUE(A3)+1,"yyyy-mm-dd")</f>
        <v>2025-03-30</v>
      </c>
      <c r="B4" s="179">
        <f ca="1">IF(ISNUMBER(MATCH(DATEVALUE($A4),'recurring1_based on steps'!B$1:B$400,0)),B$2,)</f>
        <v>0</v>
      </c>
      <c r="C4" s="179">
        <f ca="1">IF(ISNUMBER(MATCH(DATEVALUE($A4),'recurring1_based on steps'!C$1:C$400,0)),C$2,)</f>
        <v>0</v>
      </c>
      <c r="D4" s="179">
        <f ca="1">IF(ISNUMBER(MATCH(DATEVALUE($A4),'recurring1_based on steps'!D$1:D$400,0)),D$2,)</f>
        <v>0</v>
      </c>
      <c r="E4" s="179">
        <f ca="1">IF(ISNUMBER(MATCH(DATEVALUE($A4),'recurring1_based on steps'!E$1:E$400,0)),E$2,)</f>
        <v>0</v>
      </c>
      <c r="F4" s="179">
        <f ca="1">IF(ISNUMBER(MATCH(DATEVALUE($A4),'recurring1_based on steps'!F$1:F$400,0)),F$2,)</f>
        <v>0</v>
      </c>
      <c r="G4" s="179">
        <f ca="1">IF(ISNUMBER(MATCH(DATEVALUE($A4),'recurring1_based on steps'!G$1:G$400,0)),G$2,)</f>
        <v>0</v>
      </c>
      <c r="H4" s="179">
        <f ca="1">IF(ISNUMBER(MATCH(DATEVALUE($A4),'recurring1_based on steps'!H$1:H$400,0)),H$2,)</f>
        <v>0</v>
      </c>
      <c r="I4" s="179">
        <f ca="1">IF(ISNUMBER(MATCH(DATEVALUE($A4),'recurring1_based on steps'!I$1:I$400,0)),I$2,)</f>
        <v>0</v>
      </c>
      <c r="J4" s="179">
        <f ca="1">IF(ISNUMBER(MATCH(DATEVALUE($A4),'recurring1_based on steps'!J$1:J$400,0)),J$2,)</f>
        <v>0</v>
      </c>
      <c r="K4" s="179">
        <f ca="1">IF(ISNUMBER(MATCH(DATEVALUE($A4),'recurring1_based on steps'!K$1:K$400,0)),K$2,)</f>
        <v>0</v>
      </c>
      <c r="L4" s="179">
        <f ca="1">IF(ISNUMBER(MATCH(DATEVALUE($A4),'recurring1_based on steps'!L$1:L$400,0)),L$2,)</f>
        <v>0</v>
      </c>
      <c r="M4" s="179">
        <f ca="1">IF(ISNUMBER(MATCH(DATEVALUE($A4),'recurring1_based on steps'!M$1:M$400,0)),M$2,)</f>
        <v>0</v>
      </c>
      <c r="N4" s="179">
        <f ca="1">IF(ISNUMBER(MATCH(DATEVALUE($A4),'recurring1_based on steps'!N$1:N$400,0)),N$2,)</f>
        <v>0</v>
      </c>
      <c r="O4" s="179">
        <f ca="1">IF(ISNUMBER(MATCH(DATEVALUE($A4),'recurring1_based on steps'!O$1:O$400,0)),O$2,)</f>
        <v>0</v>
      </c>
      <c r="P4" s="179">
        <f ca="1">IF(ISNUMBER(MATCH(DATEVALUE($A4),'recurring1_based on steps'!P$1:P$400,0)),P$2,)</f>
        <v>0</v>
      </c>
      <c r="Q4" s="179">
        <f ca="1">IF(ISNUMBER(MATCH(DATEVALUE($A4),'recurring1_based on steps'!Q$1:Q$400,0)),Q$2,)</f>
        <v>0</v>
      </c>
      <c r="R4" s="179">
        <f ca="1">IF(ISNUMBER(MATCH(DATEVALUE($A4),'recurring1_based on steps'!R$1:R$400,0)),R$2,)</f>
        <v>0</v>
      </c>
      <c r="S4" s="179">
        <f ca="1">IF(ISNUMBER(MATCH(DATEVALUE($A4),'recurring1_based on steps'!S$1:S$400,0)),S$2,)</f>
        <v>0</v>
      </c>
      <c r="T4" s="179">
        <f ca="1">IF(ISNUMBER(MATCH(DATEVALUE($A4),'recurring1_based on steps'!T$1:T$400,0)),T$2,)</f>
        <v>0</v>
      </c>
      <c r="U4" s="179">
        <f ca="1">IF(ISNUMBER(MATCH(DATEVALUE($A4),'recurring1_based on steps'!U$1:U$400,0)),U$2,)</f>
        <v>0</v>
      </c>
      <c r="V4" s="179">
        <f ca="1">IF(ISNUMBER(MATCH(DATEVALUE($A4),'recurring1_based on steps'!V$1:V$400,0)),V$2,)</f>
        <v>0</v>
      </c>
      <c r="W4" s="179">
        <f ca="1">IF(ISNUMBER(MATCH(DATEVALUE($A4),'recurring1_based on steps'!W$1:W$400,0)),W$2,)</f>
        <v>0</v>
      </c>
      <c r="X4" s="179">
        <f ca="1">IF(ISNUMBER(MATCH(DATEVALUE($A4),'recurring1_based on steps'!X$1:X$400,0)),X$2,)</f>
        <v>0</v>
      </c>
      <c r="Y4" s="179">
        <f ca="1">IF(ISNUMBER(MATCH(DATEVALUE($A4),'recurring1_based on steps'!Y$1:Y$400,0)),Y$2,)</f>
        <v>0</v>
      </c>
      <c r="Z4" s="179">
        <f ca="1">IF(ISNUMBER(MATCH(DATEVALUE($A4),'recurring1_based on steps'!Z$1:Z$400,0)),Z$2,)</f>
        <v>0</v>
      </c>
      <c r="AA4" s="179">
        <f ca="1">IF(ISNUMBER(MATCH(DATEVALUE($A4),'recurring1_based on steps'!AA$1:AA$400,0)),AA$2,)</f>
        <v>0</v>
      </c>
      <c r="AB4" s="179">
        <f ca="1">IF(ISNUMBER(MATCH(DATEVALUE($A4),'recurring1_based on steps'!AB$1:AB$400,0)),AB$2,)</f>
        <v>0</v>
      </c>
      <c r="AC4" s="179">
        <f ca="1">IF(ISNUMBER(MATCH(DATEVALUE($A4),'recurring1_based on steps'!AC$1:AC$400,0)),AC$2,)</f>
        <v>0</v>
      </c>
      <c r="AD4" s="179">
        <f ca="1">IF(ISNUMBER(MATCH(DATEVALUE($A4),'recurring1_based on steps'!AD$1:AD$400,0)),AD$2,)</f>
        <v>0</v>
      </c>
      <c r="AE4" s="179">
        <f ca="1">IF(ISNUMBER(MATCH(DATEVALUE($A4),'recurring1_based on steps'!AE$1:AE$400,0)),AE$2,)</f>
        <v>0</v>
      </c>
      <c r="AF4" s="179">
        <f ca="1">IF(ISNUMBER(MATCH(DATEVALUE($A4),'recurring1_based on steps'!AF$1:AF$400,0)),AF$2,)</f>
        <v>0</v>
      </c>
      <c r="AG4" s="179">
        <f ca="1">IF(ISNUMBER(MATCH(DATEVALUE($A4),'recurring1_based on steps'!AG$1:AG$400,0)),AG$2,)</f>
        <v>0</v>
      </c>
      <c r="AH4" s="179">
        <f ca="1">IF(ISNUMBER(MATCH(DATEVALUE($A4),'recurring1_based on steps'!AH$1:AH$400,0)),AH$2,)</f>
        <v>0</v>
      </c>
      <c r="AI4" s="179">
        <f ca="1">IF(ISNUMBER(MATCH(DATEVALUE($A4),'recurring1_based on steps'!AI$1:AI$400,0)),AI$2,)</f>
        <v>0</v>
      </c>
      <c r="AJ4" s="179">
        <f ca="1">IF(ISNUMBER(MATCH(DATEVALUE($A4),'recurring1_based on steps'!AJ$1:AJ$400,0)),AJ$2,)</f>
        <v>0</v>
      </c>
      <c r="AK4" s="179">
        <f ca="1">IF(ISNUMBER(MATCH(DATEVALUE($A4),'recurring1_based on steps'!AK$1:AK$400,0)),AK$2,)</f>
        <v>0</v>
      </c>
      <c r="AL4" s="179">
        <f ca="1">IF(ISNUMBER(MATCH(DATEVALUE($A4),'recurring1_based on steps'!AL$1:AL$400,0)),AL$2,)</f>
        <v>0</v>
      </c>
      <c r="AM4" s="179">
        <f ca="1">IF(ISNUMBER(MATCH(DATEVALUE($A4),'recurring1_based on steps'!AM$1:AM$400,0)),AM$2,)</f>
        <v>0</v>
      </c>
      <c r="AN4" s="179">
        <f ca="1">IF(ISNUMBER(MATCH(DATEVALUE($A4),'recurring1_based on steps'!AN$1:AN$400,0)),AN$2,)</f>
        <v>0</v>
      </c>
      <c r="AO4" s="179">
        <f ca="1">IF(ISNUMBER(MATCH(DATEVALUE($A4),'recurring1_based on steps'!AO$1:AO$400,0)),AO$2,)</f>
        <v>0</v>
      </c>
      <c r="AP4" s="179">
        <f ca="1">IF(ISNUMBER(MATCH(DATEVALUE($A4),'recurring1_based on steps'!AP$1:AP$400,0)),AP$2,)</f>
        <v>0</v>
      </c>
      <c r="AQ4" s="179">
        <f ca="1">IF(ISNUMBER(MATCH(DATEVALUE($A4),'recurring1_based on steps'!AQ$1:AQ$400,0)),AQ$2,)</f>
        <v>0</v>
      </c>
      <c r="AR4" s="179">
        <f ca="1">IF(ISNUMBER(MATCH(DATEVALUE($A4),'recurring1_based on steps'!AR$1:AR$400,0)),AR$2,)</f>
        <v>0</v>
      </c>
      <c r="AS4" s="179">
        <f ca="1">IF(ISNUMBER(MATCH(DATEVALUE($A4),'recurring1_based on steps'!AS$1:AS$400,0)),AS$2,)</f>
        <v>0</v>
      </c>
      <c r="AT4" s="179">
        <f ca="1">IF(ISNUMBER(MATCH(DATEVALUE($A4),'recurring1_based on steps'!AT$1:AT$400,0)),AT$2,)</f>
        <v>0</v>
      </c>
      <c r="AU4" s="179">
        <f ca="1">IF(ISNUMBER(MATCH(DATEVALUE($A4),'recurring1_based on steps'!AU$1:AU$400,0)),AU$2,)</f>
        <v>0</v>
      </c>
      <c r="AV4" s="179">
        <f ca="1">IF(ISNUMBER(MATCH(DATEVALUE($A4),'recurring1_based on steps'!AV$1:AV$400,0)),AV$2,)</f>
        <v>0</v>
      </c>
      <c r="AW4" s="179">
        <f ca="1">IF(ISNUMBER(MATCH(DATEVALUE($A4),'recurring1_based on steps'!AW$1:AW$400,0)),AW$2,)</f>
        <v>0</v>
      </c>
      <c r="AX4" s="179">
        <f ca="1">IF(ISNUMBER(MATCH(DATEVALUE($A4),'recurring1_based on steps'!AX$1:AX$400,0)),AX$2,)</f>
        <v>0</v>
      </c>
      <c r="AY4" s="179">
        <f ca="1">IF(ISNUMBER(MATCH(DATEVALUE($A4),'recurring1_based on steps'!AY$1:AY$400,0)),AY$2,)</f>
        <v>0</v>
      </c>
    </row>
    <row r="5" spans="1:51" x14ac:dyDescent="0.2">
      <c r="A5" s="32" t="str">
        <f t="shared" ref="A5:A68" ca="1" si="0">TEXT(DATEVALUE(A4)+1,"yyyy-mm-dd")</f>
        <v>2025-03-31</v>
      </c>
      <c r="B5" s="179">
        <f ca="1">IF(ISNUMBER(MATCH(DATEVALUE($A5),'recurring1_based on steps'!B$1:B$400,0)),B$2,)</f>
        <v>0</v>
      </c>
      <c r="C5" s="179">
        <f ca="1">IF(ISNUMBER(MATCH(DATEVALUE($A5),'recurring1_based on steps'!C$1:C$400,0)),C$2,)</f>
        <v>0</v>
      </c>
      <c r="D5" s="179">
        <f ca="1">IF(ISNUMBER(MATCH(DATEVALUE($A5),'recurring1_based on steps'!D$1:D$400,0)),D$2,)</f>
        <v>0</v>
      </c>
      <c r="E5" s="179">
        <f ca="1">IF(ISNUMBER(MATCH(DATEVALUE($A5),'recurring1_based on steps'!E$1:E$400,0)),E$2,)</f>
        <v>0</v>
      </c>
      <c r="F5" s="179">
        <f ca="1">IF(ISNUMBER(MATCH(DATEVALUE($A5),'recurring1_based on steps'!F$1:F$400,0)),F$2,)</f>
        <v>0</v>
      </c>
      <c r="G5" s="179">
        <f ca="1">IF(ISNUMBER(MATCH(DATEVALUE($A5),'recurring1_based on steps'!G$1:G$400,0)),G$2,)</f>
        <v>0</v>
      </c>
      <c r="H5" s="179">
        <f ca="1">IF(ISNUMBER(MATCH(DATEVALUE($A5),'recurring1_based on steps'!H$1:H$400,0)),H$2,)</f>
        <v>0</v>
      </c>
      <c r="I5" s="179">
        <f ca="1">IF(ISNUMBER(MATCH(DATEVALUE($A5),'recurring1_based on steps'!I$1:I$400,0)),I$2,)</f>
        <v>0</v>
      </c>
      <c r="J5" s="179">
        <f ca="1">IF(ISNUMBER(MATCH(DATEVALUE($A5),'recurring1_based on steps'!J$1:J$400,0)),J$2,)</f>
        <v>0</v>
      </c>
      <c r="K5" s="179">
        <f ca="1">IF(ISNUMBER(MATCH(DATEVALUE($A5),'recurring1_based on steps'!K$1:K$400,0)),K$2,)</f>
        <v>0</v>
      </c>
      <c r="L5" s="179">
        <f ca="1">IF(ISNUMBER(MATCH(DATEVALUE($A5),'recurring1_based on steps'!L$1:L$400,0)),L$2,)</f>
        <v>0</v>
      </c>
      <c r="M5" s="179">
        <f ca="1">IF(ISNUMBER(MATCH(DATEVALUE($A5),'recurring1_based on steps'!M$1:M$400,0)),M$2,)</f>
        <v>0</v>
      </c>
      <c r="N5" s="179">
        <f ca="1">IF(ISNUMBER(MATCH(DATEVALUE($A5),'recurring1_based on steps'!N$1:N$400,0)),N$2,)</f>
        <v>0</v>
      </c>
      <c r="O5" s="179">
        <f ca="1">IF(ISNUMBER(MATCH(DATEVALUE($A5),'recurring1_based on steps'!O$1:O$400,0)),O$2,)</f>
        <v>0</v>
      </c>
      <c r="P5" s="179">
        <f ca="1">IF(ISNUMBER(MATCH(DATEVALUE($A5),'recurring1_based on steps'!P$1:P$400,0)),P$2,)</f>
        <v>0</v>
      </c>
      <c r="Q5" s="179">
        <f ca="1">IF(ISNUMBER(MATCH(DATEVALUE($A5),'recurring1_based on steps'!Q$1:Q$400,0)),Q$2,)</f>
        <v>0</v>
      </c>
      <c r="R5" s="179">
        <f ca="1">IF(ISNUMBER(MATCH(DATEVALUE($A5),'recurring1_based on steps'!R$1:R$400,0)),R$2,)</f>
        <v>0</v>
      </c>
      <c r="S5" s="179">
        <f ca="1">IF(ISNUMBER(MATCH(DATEVALUE($A5),'recurring1_based on steps'!S$1:S$400,0)),S$2,)</f>
        <v>0</v>
      </c>
      <c r="T5" s="179">
        <f ca="1">IF(ISNUMBER(MATCH(DATEVALUE($A5),'recurring1_based on steps'!T$1:T$400,0)),T$2,)</f>
        <v>0</v>
      </c>
      <c r="U5" s="179">
        <f ca="1">IF(ISNUMBER(MATCH(DATEVALUE($A5),'recurring1_based on steps'!U$1:U$400,0)),U$2,)</f>
        <v>0</v>
      </c>
      <c r="V5" s="179">
        <f ca="1">IF(ISNUMBER(MATCH(DATEVALUE($A5),'recurring1_based on steps'!V$1:V$400,0)),V$2,)</f>
        <v>0</v>
      </c>
      <c r="W5" s="179">
        <f ca="1">IF(ISNUMBER(MATCH(DATEVALUE($A5),'recurring1_based on steps'!W$1:W$400,0)),W$2,)</f>
        <v>0</v>
      </c>
      <c r="X5" s="179">
        <f ca="1">IF(ISNUMBER(MATCH(DATEVALUE($A5),'recurring1_based on steps'!X$1:X$400,0)),X$2,)</f>
        <v>0</v>
      </c>
      <c r="Y5" s="179">
        <f ca="1">IF(ISNUMBER(MATCH(DATEVALUE($A5),'recurring1_based on steps'!Y$1:Y$400,0)),Y$2,)</f>
        <v>0</v>
      </c>
      <c r="Z5" s="179">
        <f ca="1">IF(ISNUMBER(MATCH(DATEVALUE($A5),'recurring1_based on steps'!Z$1:Z$400,0)),Z$2,)</f>
        <v>0</v>
      </c>
      <c r="AA5" s="179">
        <f ca="1">IF(ISNUMBER(MATCH(DATEVALUE($A5),'recurring1_based on steps'!AA$1:AA$400,0)),AA$2,)</f>
        <v>0</v>
      </c>
      <c r="AB5" s="179">
        <f ca="1">IF(ISNUMBER(MATCH(DATEVALUE($A5),'recurring1_based on steps'!AB$1:AB$400,0)),AB$2,)</f>
        <v>0</v>
      </c>
      <c r="AC5" s="179">
        <f ca="1">IF(ISNUMBER(MATCH(DATEVALUE($A5),'recurring1_based on steps'!AC$1:AC$400,0)),AC$2,)</f>
        <v>0</v>
      </c>
      <c r="AD5" s="179">
        <f ca="1">IF(ISNUMBER(MATCH(DATEVALUE($A5),'recurring1_based on steps'!AD$1:AD$400,0)),AD$2,)</f>
        <v>0</v>
      </c>
      <c r="AE5" s="179">
        <f ca="1">IF(ISNUMBER(MATCH(DATEVALUE($A5),'recurring1_based on steps'!AE$1:AE$400,0)),AE$2,)</f>
        <v>0</v>
      </c>
      <c r="AF5" s="179">
        <f ca="1">IF(ISNUMBER(MATCH(DATEVALUE($A5),'recurring1_based on steps'!AF$1:AF$400,0)),AF$2,)</f>
        <v>0</v>
      </c>
      <c r="AG5" s="179">
        <f ca="1">IF(ISNUMBER(MATCH(DATEVALUE($A5),'recurring1_based on steps'!AG$1:AG$400,0)),AG$2,)</f>
        <v>0</v>
      </c>
      <c r="AH5" s="179">
        <f ca="1">IF(ISNUMBER(MATCH(DATEVALUE($A5),'recurring1_based on steps'!AH$1:AH$400,0)),AH$2,)</f>
        <v>0</v>
      </c>
      <c r="AI5" s="179">
        <f ca="1">IF(ISNUMBER(MATCH(DATEVALUE($A5),'recurring1_based on steps'!AI$1:AI$400,0)),AI$2,)</f>
        <v>0</v>
      </c>
      <c r="AJ5" s="179">
        <f ca="1">IF(ISNUMBER(MATCH(DATEVALUE($A5),'recurring1_based on steps'!AJ$1:AJ$400,0)),AJ$2,)</f>
        <v>0</v>
      </c>
      <c r="AK5" s="179">
        <f ca="1">IF(ISNUMBER(MATCH(DATEVALUE($A5),'recurring1_based on steps'!AK$1:AK$400,0)),AK$2,)</f>
        <v>0</v>
      </c>
      <c r="AL5" s="179">
        <f ca="1">IF(ISNUMBER(MATCH(DATEVALUE($A5),'recurring1_based on steps'!AL$1:AL$400,0)),AL$2,)</f>
        <v>0</v>
      </c>
      <c r="AM5" s="179">
        <f ca="1">IF(ISNUMBER(MATCH(DATEVALUE($A5),'recurring1_based on steps'!AM$1:AM$400,0)),AM$2,)</f>
        <v>0</v>
      </c>
      <c r="AN5" s="179">
        <f ca="1">IF(ISNUMBER(MATCH(DATEVALUE($A5),'recurring1_based on steps'!AN$1:AN$400,0)),AN$2,)</f>
        <v>0</v>
      </c>
      <c r="AO5" s="179">
        <f ca="1">IF(ISNUMBER(MATCH(DATEVALUE($A5),'recurring1_based on steps'!AO$1:AO$400,0)),AO$2,)</f>
        <v>0</v>
      </c>
      <c r="AP5" s="179">
        <f ca="1">IF(ISNUMBER(MATCH(DATEVALUE($A5),'recurring1_based on steps'!AP$1:AP$400,0)),AP$2,)</f>
        <v>0</v>
      </c>
      <c r="AQ5" s="179">
        <f ca="1">IF(ISNUMBER(MATCH(DATEVALUE($A5),'recurring1_based on steps'!AQ$1:AQ$400,0)),AQ$2,)</f>
        <v>0</v>
      </c>
      <c r="AR5" s="179">
        <f ca="1">IF(ISNUMBER(MATCH(DATEVALUE($A5),'recurring1_based on steps'!AR$1:AR$400,0)),AR$2,)</f>
        <v>0</v>
      </c>
      <c r="AS5" s="179">
        <f ca="1">IF(ISNUMBER(MATCH(DATEVALUE($A5),'recurring1_based on steps'!AS$1:AS$400,0)),AS$2,)</f>
        <v>0</v>
      </c>
      <c r="AT5" s="179">
        <f ca="1">IF(ISNUMBER(MATCH(DATEVALUE($A5),'recurring1_based on steps'!AT$1:AT$400,0)),AT$2,)</f>
        <v>0</v>
      </c>
      <c r="AU5" s="179">
        <f ca="1">IF(ISNUMBER(MATCH(DATEVALUE($A5),'recurring1_based on steps'!AU$1:AU$400,0)),AU$2,)</f>
        <v>0</v>
      </c>
      <c r="AV5" s="179">
        <f ca="1">IF(ISNUMBER(MATCH(DATEVALUE($A5),'recurring1_based on steps'!AV$1:AV$400,0)),AV$2,)</f>
        <v>0</v>
      </c>
      <c r="AW5" s="179">
        <f ca="1">IF(ISNUMBER(MATCH(DATEVALUE($A5),'recurring1_based on steps'!AW$1:AW$400,0)),AW$2,)</f>
        <v>0</v>
      </c>
      <c r="AX5" s="179">
        <f ca="1">IF(ISNUMBER(MATCH(DATEVALUE($A5),'recurring1_based on steps'!AX$1:AX$400,0)),AX$2,)</f>
        <v>0</v>
      </c>
      <c r="AY5" s="179">
        <f ca="1">IF(ISNUMBER(MATCH(DATEVALUE($A5),'recurring1_based on steps'!AY$1:AY$400,0)),AY$2,)</f>
        <v>0</v>
      </c>
    </row>
    <row r="6" spans="1:51" x14ac:dyDescent="0.2">
      <c r="A6" s="32" t="str">
        <f t="shared" ca="1" si="0"/>
        <v>2025-04-01</v>
      </c>
      <c r="B6" s="179">
        <f ca="1">IF(ISNUMBER(MATCH(DATEVALUE($A6),'recurring1_based on steps'!B$1:B$400,0)),B$2,)</f>
        <v>0</v>
      </c>
      <c r="C6" s="179">
        <f ca="1">IF(ISNUMBER(MATCH(DATEVALUE($A6),'recurring1_based on steps'!C$1:C$400,0)),C$2,)</f>
        <v>0</v>
      </c>
      <c r="D6" s="179">
        <f ca="1">IF(ISNUMBER(MATCH(DATEVALUE($A6),'recurring1_based on steps'!D$1:D$400,0)),D$2,)</f>
        <v>0</v>
      </c>
      <c r="E6" s="179">
        <f ca="1">IF(ISNUMBER(MATCH(DATEVALUE($A6),'recurring1_based on steps'!E$1:E$400,0)),E$2,)</f>
        <v>0</v>
      </c>
      <c r="F6" s="179">
        <f ca="1">IF(ISNUMBER(MATCH(DATEVALUE($A6),'recurring1_based on steps'!F$1:F$400,0)),F$2,)</f>
        <v>0</v>
      </c>
      <c r="G6" s="179">
        <f ca="1">IF(ISNUMBER(MATCH(DATEVALUE($A6),'recurring1_based on steps'!G$1:G$400,0)),G$2,)</f>
        <v>0</v>
      </c>
      <c r="H6" s="179">
        <f ca="1">IF(ISNUMBER(MATCH(DATEVALUE($A6),'recurring1_based on steps'!H$1:H$400,0)),H$2,)</f>
        <v>0</v>
      </c>
      <c r="I6" s="179">
        <f ca="1">IF(ISNUMBER(MATCH(DATEVALUE($A6),'recurring1_based on steps'!I$1:I$400,0)),I$2,)</f>
        <v>0</v>
      </c>
      <c r="J6" s="179">
        <f ca="1">IF(ISNUMBER(MATCH(DATEVALUE($A6),'recurring1_based on steps'!J$1:J$400,0)),J$2,)</f>
        <v>0</v>
      </c>
      <c r="K6" s="179">
        <f ca="1">IF(ISNUMBER(MATCH(DATEVALUE($A6),'recurring1_based on steps'!K$1:K$400,0)),K$2,)</f>
        <v>0</v>
      </c>
      <c r="L6" s="179">
        <f ca="1">IF(ISNUMBER(MATCH(DATEVALUE($A6),'recurring1_based on steps'!L$1:L$400,0)),L$2,)</f>
        <v>0</v>
      </c>
      <c r="M6" s="179">
        <f ca="1">IF(ISNUMBER(MATCH(DATEVALUE($A6),'recurring1_based on steps'!M$1:M$400,0)),M$2,)</f>
        <v>0</v>
      </c>
      <c r="N6" s="179">
        <f ca="1">IF(ISNUMBER(MATCH(DATEVALUE($A6),'recurring1_based on steps'!N$1:N$400,0)),N$2,)</f>
        <v>0</v>
      </c>
      <c r="O6" s="179">
        <f ca="1">IF(ISNUMBER(MATCH(DATEVALUE($A6),'recurring1_based on steps'!O$1:O$400,0)),O$2,)</f>
        <v>0</v>
      </c>
      <c r="P6" s="179">
        <f ca="1">IF(ISNUMBER(MATCH(DATEVALUE($A6),'recurring1_based on steps'!P$1:P$400,0)),P$2,)</f>
        <v>0</v>
      </c>
      <c r="Q6" s="179">
        <f ca="1">IF(ISNUMBER(MATCH(DATEVALUE($A6),'recurring1_based on steps'!Q$1:Q$400,0)),Q$2,)</f>
        <v>0</v>
      </c>
      <c r="R6" s="179">
        <f ca="1">IF(ISNUMBER(MATCH(DATEVALUE($A6),'recurring1_based on steps'!R$1:R$400,0)),R$2,)</f>
        <v>0</v>
      </c>
      <c r="S6" s="179">
        <f ca="1">IF(ISNUMBER(MATCH(DATEVALUE($A6),'recurring1_based on steps'!S$1:S$400,0)),S$2,)</f>
        <v>0</v>
      </c>
      <c r="T6" s="179">
        <f ca="1">IF(ISNUMBER(MATCH(DATEVALUE($A6),'recurring1_based on steps'!T$1:T$400,0)),T$2,)</f>
        <v>0</v>
      </c>
      <c r="U6" s="179">
        <f ca="1">IF(ISNUMBER(MATCH(DATEVALUE($A6),'recurring1_based on steps'!U$1:U$400,0)),U$2,)</f>
        <v>0</v>
      </c>
      <c r="V6" s="179">
        <f ca="1">IF(ISNUMBER(MATCH(DATEVALUE($A6),'recurring1_based on steps'!V$1:V$400,0)),V$2,)</f>
        <v>0</v>
      </c>
      <c r="W6" s="179">
        <f ca="1">IF(ISNUMBER(MATCH(DATEVALUE($A6),'recurring1_based on steps'!W$1:W$400,0)),W$2,)</f>
        <v>0</v>
      </c>
      <c r="X6" s="179">
        <f ca="1">IF(ISNUMBER(MATCH(DATEVALUE($A6),'recurring1_based on steps'!X$1:X$400,0)),X$2,)</f>
        <v>0</v>
      </c>
      <c r="Y6" s="179">
        <f ca="1">IF(ISNUMBER(MATCH(DATEVALUE($A6),'recurring1_based on steps'!Y$1:Y$400,0)),Y$2,)</f>
        <v>0</v>
      </c>
      <c r="Z6" s="179">
        <f ca="1">IF(ISNUMBER(MATCH(DATEVALUE($A6),'recurring1_based on steps'!Z$1:Z$400,0)),Z$2,)</f>
        <v>0</v>
      </c>
      <c r="AA6" s="179">
        <f ca="1">IF(ISNUMBER(MATCH(DATEVALUE($A6),'recurring1_based on steps'!AA$1:AA$400,0)),AA$2,)</f>
        <v>0</v>
      </c>
      <c r="AB6" s="179">
        <f ca="1">IF(ISNUMBER(MATCH(DATEVALUE($A6),'recurring1_based on steps'!AB$1:AB$400,0)),AB$2,)</f>
        <v>0</v>
      </c>
      <c r="AC6" s="179">
        <f ca="1">IF(ISNUMBER(MATCH(DATEVALUE($A6),'recurring1_based on steps'!AC$1:AC$400,0)),AC$2,)</f>
        <v>0</v>
      </c>
      <c r="AD6" s="179">
        <f ca="1">IF(ISNUMBER(MATCH(DATEVALUE($A6),'recurring1_based on steps'!AD$1:AD$400,0)),AD$2,)</f>
        <v>0</v>
      </c>
      <c r="AE6" s="179">
        <f ca="1">IF(ISNUMBER(MATCH(DATEVALUE($A6),'recurring1_based on steps'!AE$1:AE$400,0)),AE$2,)</f>
        <v>0</v>
      </c>
      <c r="AF6" s="179">
        <f ca="1">IF(ISNUMBER(MATCH(DATEVALUE($A6),'recurring1_based on steps'!AF$1:AF$400,0)),AF$2,)</f>
        <v>0</v>
      </c>
      <c r="AG6" s="179">
        <f ca="1">IF(ISNUMBER(MATCH(DATEVALUE($A6),'recurring1_based on steps'!AG$1:AG$400,0)),AG$2,)</f>
        <v>0</v>
      </c>
      <c r="AH6" s="179">
        <f ca="1">IF(ISNUMBER(MATCH(DATEVALUE($A6),'recurring1_based on steps'!AH$1:AH$400,0)),AH$2,)</f>
        <v>0</v>
      </c>
      <c r="AI6" s="179">
        <f ca="1">IF(ISNUMBER(MATCH(DATEVALUE($A6),'recurring1_based on steps'!AI$1:AI$400,0)),AI$2,)</f>
        <v>0</v>
      </c>
      <c r="AJ6" s="179">
        <f ca="1">IF(ISNUMBER(MATCH(DATEVALUE($A6),'recurring1_based on steps'!AJ$1:AJ$400,0)),AJ$2,)</f>
        <v>0</v>
      </c>
      <c r="AK6" s="179">
        <f ca="1">IF(ISNUMBER(MATCH(DATEVALUE($A6),'recurring1_based on steps'!AK$1:AK$400,0)),AK$2,)</f>
        <v>0</v>
      </c>
      <c r="AL6" s="179">
        <f ca="1">IF(ISNUMBER(MATCH(DATEVALUE($A6),'recurring1_based on steps'!AL$1:AL$400,0)),AL$2,)</f>
        <v>0</v>
      </c>
      <c r="AM6" s="179">
        <f ca="1">IF(ISNUMBER(MATCH(DATEVALUE($A6),'recurring1_based on steps'!AM$1:AM$400,0)),AM$2,)</f>
        <v>0</v>
      </c>
      <c r="AN6" s="179">
        <f ca="1">IF(ISNUMBER(MATCH(DATEVALUE($A6),'recurring1_based on steps'!AN$1:AN$400,0)),AN$2,)</f>
        <v>0</v>
      </c>
      <c r="AO6" s="179">
        <f ca="1">IF(ISNUMBER(MATCH(DATEVALUE($A6),'recurring1_based on steps'!AO$1:AO$400,0)),AO$2,)</f>
        <v>0</v>
      </c>
      <c r="AP6" s="179">
        <f ca="1">IF(ISNUMBER(MATCH(DATEVALUE($A6),'recurring1_based on steps'!AP$1:AP$400,0)),AP$2,)</f>
        <v>0</v>
      </c>
      <c r="AQ6" s="179">
        <f ca="1">IF(ISNUMBER(MATCH(DATEVALUE($A6),'recurring1_based on steps'!AQ$1:AQ$400,0)),AQ$2,)</f>
        <v>0</v>
      </c>
      <c r="AR6" s="179">
        <f ca="1">IF(ISNUMBER(MATCH(DATEVALUE($A6),'recurring1_based on steps'!AR$1:AR$400,0)),AR$2,)</f>
        <v>0</v>
      </c>
      <c r="AS6" s="179">
        <f ca="1">IF(ISNUMBER(MATCH(DATEVALUE($A6),'recurring1_based on steps'!AS$1:AS$400,0)),AS$2,)</f>
        <v>0</v>
      </c>
      <c r="AT6" s="179">
        <f ca="1">IF(ISNUMBER(MATCH(DATEVALUE($A6),'recurring1_based on steps'!AT$1:AT$400,0)),AT$2,)</f>
        <v>0</v>
      </c>
      <c r="AU6" s="179">
        <f ca="1">IF(ISNUMBER(MATCH(DATEVALUE($A6),'recurring1_based on steps'!AU$1:AU$400,0)),AU$2,)</f>
        <v>0</v>
      </c>
      <c r="AV6" s="179">
        <f ca="1">IF(ISNUMBER(MATCH(DATEVALUE($A6),'recurring1_based on steps'!AV$1:AV$400,0)),AV$2,)</f>
        <v>0</v>
      </c>
      <c r="AW6" s="179">
        <f ca="1">IF(ISNUMBER(MATCH(DATEVALUE($A6),'recurring1_based on steps'!AW$1:AW$400,0)),AW$2,)</f>
        <v>0</v>
      </c>
      <c r="AX6" s="179">
        <f ca="1">IF(ISNUMBER(MATCH(DATEVALUE($A6),'recurring1_based on steps'!AX$1:AX$400,0)),AX$2,)</f>
        <v>0</v>
      </c>
      <c r="AY6" s="179">
        <f ca="1">IF(ISNUMBER(MATCH(DATEVALUE($A6),'recurring1_based on steps'!AY$1:AY$400,0)),AY$2,)</f>
        <v>0</v>
      </c>
    </row>
    <row r="7" spans="1:51" x14ac:dyDescent="0.2">
      <c r="A7" s="32" t="str">
        <f t="shared" ca="1" si="0"/>
        <v>2025-04-02</v>
      </c>
      <c r="B7" s="179">
        <f ca="1">IF(ISNUMBER(MATCH(DATEVALUE($A7),'recurring1_based on steps'!B$1:B$400,0)),B$2,)</f>
        <v>0</v>
      </c>
      <c r="C7" s="179">
        <f ca="1">IF(ISNUMBER(MATCH(DATEVALUE($A7),'recurring1_based on steps'!C$1:C$400,0)),C$2,)</f>
        <v>0</v>
      </c>
      <c r="D7" s="179">
        <f ca="1">IF(ISNUMBER(MATCH(DATEVALUE($A7),'recurring1_based on steps'!D$1:D$400,0)),D$2,)</f>
        <v>0</v>
      </c>
      <c r="E7" s="179">
        <f ca="1">IF(ISNUMBER(MATCH(DATEVALUE($A7),'recurring1_based on steps'!E$1:E$400,0)),E$2,)</f>
        <v>0</v>
      </c>
      <c r="F7" s="179">
        <f ca="1">IF(ISNUMBER(MATCH(DATEVALUE($A7),'recurring1_based on steps'!F$1:F$400,0)),F$2,)</f>
        <v>0</v>
      </c>
      <c r="G7" s="179">
        <f ca="1">IF(ISNUMBER(MATCH(DATEVALUE($A7),'recurring1_based on steps'!G$1:G$400,0)),G$2,)</f>
        <v>0</v>
      </c>
      <c r="H7" s="179">
        <f ca="1">IF(ISNUMBER(MATCH(DATEVALUE($A7),'recurring1_based on steps'!H$1:H$400,0)),H$2,)</f>
        <v>0</v>
      </c>
      <c r="I7" s="179">
        <f ca="1">IF(ISNUMBER(MATCH(DATEVALUE($A7),'recurring1_based on steps'!I$1:I$400,0)),I$2,)</f>
        <v>0</v>
      </c>
      <c r="J7" s="179">
        <f ca="1">IF(ISNUMBER(MATCH(DATEVALUE($A7),'recurring1_based on steps'!J$1:J$400,0)),J$2,)</f>
        <v>0</v>
      </c>
      <c r="K7" s="179">
        <f ca="1">IF(ISNUMBER(MATCH(DATEVALUE($A7),'recurring1_based on steps'!K$1:K$400,0)),K$2,)</f>
        <v>0</v>
      </c>
      <c r="L7" s="179">
        <f ca="1">IF(ISNUMBER(MATCH(DATEVALUE($A7),'recurring1_based on steps'!L$1:L$400,0)),L$2,)</f>
        <v>0</v>
      </c>
      <c r="M7" s="179">
        <f ca="1">IF(ISNUMBER(MATCH(DATEVALUE($A7),'recurring1_based on steps'!M$1:M$400,0)),M$2,)</f>
        <v>0</v>
      </c>
      <c r="N7" s="179">
        <f ca="1">IF(ISNUMBER(MATCH(DATEVALUE($A7),'recurring1_based on steps'!N$1:N$400,0)),N$2,)</f>
        <v>0</v>
      </c>
      <c r="O7" s="179">
        <f ca="1">IF(ISNUMBER(MATCH(DATEVALUE($A7),'recurring1_based on steps'!O$1:O$400,0)),O$2,)</f>
        <v>0</v>
      </c>
      <c r="P7" s="179">
        <f ca="1">IF(ISNUMBER(MATCH(DATEVALUE($A7),'recurring1_based on steps'!P$1:P$400,0)),P$2,)</f>
        <v>0</v>
      </c>
      <c r="Q7" s="179">
        <f ca="1">IF(ISNUMBER(MATCH(DATEVALUE($A7),'recurring1_based on steps'!Q$1:Q$400,0)),Q$2,)</f>
        <v>0</v>
      </c>
      <c r="R7" s="179">
        <f ca="1">IF(ISNUMBER(MATCH(DATEVALUE($A7),'recurring1_based on steps'!R$1:R$400,0)),R$2,)</f>
        <v>0</v>
      </c>
      <c r="S7" s="179">
        <f ca="1">IF(ISNUMBER(MATCH(DATEVALUE($A7),'recurring1_based on steps'!S$1:S$400,0)),S$2,)</f>
        <v>0</v>
      </c>
      <c r="T7" s="179">
        <f ca="1">IF(ISNUMBER(MATCH(DATEVALUE($A7),'recurring1_based on steps'!T$1:T$400,0)),T$2,)</f>
        <v>0</v>
      </c>
      <c r="U7" s="179">
        <f ca="1">IF(ISNUMBER(MATCH(DATEVALUE($A7),'recurring1_based on steps'!U$1:U$400,0)),U$2,)</f>
        <v>0</v>
      </c>
      <c r="V7" s="179">
        <f ca="1">IF(ISNUMBER(MATCH(DATEVALUE($A7),'recurring1_based on steps'!V$1:V$400,0)),V$2,)</f>
        <v>0</v>
      </c>
      <c r="W7" s="179">
        <f ca="1">IF(ISNUMBER(MATCH(DATEVALUE($A7),'recurring1_based on steps'!W$1:W$400,0)),W$2,)</f>
        <v>0</v>
      </c>
      <c r="X7" s="179">
        <f ca="1">IF(ISNUMBER(MATCH(DATEVALUE($A7),'recurring1_based on steps'!X$1:X$400,0)),X$2,)</f>
        <v>0</v>
      </c>
      <c r="Y7" s="179">
        <f ca="1">IF(ISNUMBER(MATCH(DATEVALUE($A7),'recurring1_based on steps'!Y$1:Y$400,0)),Y$2,)</f>
        <v>0</v>
      </c>
      <c r="Z7" s="179">
        <f ca="1">IF(ISNUMBER(MATCH(DATEVALUE($A7),'recurring1_based on steps'!Z$1:Z$400,0)),Z$2,)</f>
        <v>0</v>
      </c>
      <c r="AA7" s="179">
        <f ca="1">IF(ISNUMBER(MATCH(DATEVALUE($A7),'recurring1_based on steps'!AA$1:AA$400,0)),AA$2,)</f>
        <v>0</v>
      </c>
      <c r="AB7" s="179">
        <f ca="1">IF(ISNUMBER(MATCH(DATEVALUE($A7),'recurring1_based on steps'!AB$1:AB$400,0)),AB$2,)</f>
        <v>0</v>
      </c>
      <c r="AC7" s="179">
        <f ca="1">IF(ISNUMBER(MATCH(DATEVALUE($A7),'recurring1_based on steps'!AC$1:AC$400,0)),AC$2,)</f>
        <v>0</v>
      </c>
      <c r="AD7" s="179">
        <f ca="1">IF(ISNUMBER(MATCH(DATEVALUE($A7),'recurring1_based on steps'!AD$1:AD$400,0)),AD$2,)</f>
        <v>0</v>
      </c>
      <c r="AE7" s="179">
        <f ca="1">IF(ISNUMBER(MATCH(DATEVALUE($A7),'recurring1_based on steps'!AE$1:AE$400,0)),AE$2,)</f>
        <v>0</v>
      </c>
      <c r="AF7" s="179">
        <f ca="1">IF(ISNUMBER(MATCH(DATEVALUE($A7),'recurring1_based on steps'!AF$1:AF$400,0)),AF$2,)</f>
        <v>0</v>
      </c>
      <c r="AG7" s="179">
        <f ca="1">IF(ISNUMBER(MATCH(DATEVALUE($A7),'recurring1_based on steps'!AG$1:AG$400,0)),AG$2,)</f>
        <v>0</v>
      </c>
      <c r="AH7" s="179">
        <f ca="1">IF(ISNUMBER(MATCH(DATEVALUE($A7),'recurring1_based on steps'!AH$1:AH$400,0)),AH$2,)</f>
        <v>0</v>
      </c>
      <c r="AI7" s="179">
        <f ca="1">IF(ISNUMBER(MATCH(DATEVALUE($A7),'recurring1_based on steps'!AI$1:AI$400,0)),AI$2,)</f>
        <v>0</v>
      </c>
      <c r="AJ7" s="179">
        <f ca="1">IF(ISNUMBER(MATCH(DATEVALUE($A7),'recurring1_based on steps'!AJ$1:AJ$400,0)),AJ$2,)</f>
        <v>0</v>
      </c>
      <c r="AK7" s="179">
        <f ca="1">IF(ISNUMBER(MATCH(DATEVALUE($A7),'recurring1_based on steps'!AK$1:AK$400,0)),AK$2,)</f>
        <v>0</v>
      </c>
      <c r="AL7" s="179">
        <f ca="1">IF(ISNUMBER(MATCH(DATEVALUE($A7),'recurring1_based on steps'!AL$1:AL$400,0)),AL$2,)</f>
        <v>0</v>
      </c>
      <c r="AM7" s="179">
        <f ca="1">IF(ISNUMBER(MATCH(DATEVALUE($A7),'recurring1_based on steps'!AM$1:AM$400,0)),AM$2,)</f>
        <v>0</v>
      </c>
      <c r="AN7" s="179">
        <f ca="1">IF(ISNUMBER(MATCH(DATEVALUE($A7),'recurring1_based on steps'!AN$1:AN$400,0)),AN$2,)</f>
        <v>0</v>
      </c>
      <c r="AO7" s="179">
        <f ca="1">IF(ISNUMBER(MATCH(DATEVALUE($A7),'recurring1_based on steps'!AO$1:AO$400,0)),AO$2,)</f>
        <v>0</v>
      </c>
      <c r="AP7" s="179">
        <f ca="1">IF(ISNUMBER(MATCH(DATEVALUE($A7),'recurring1_based on steps'!AP$1:AP$400,0)),AP$2,)</f>
        <v>0</v>
      </c>
      <c r="AQ7" s="179">
        <f ca="1">IF(ISNUMBER(MATCH(DATEVALUE($A7),'recurring1_based on steps'!AQ$1:AQ$400,0)),AQ$2,)</f>
        <v>0</v>
      </c>
      <c r="AR7" s="179">
        <f ca="1">IF(ISNUMBER(MATCH(DATEVALUE($A7),'recurring1_based on steps'!AR$1:AR$400,0)),AR$2,)</f>
        <v>0</v>
      </c>
      <c r="AS7" s="179">
        <f ca="1">IF(ISNUMBER(MATCH(DATEVALUE($A7),'recurring1_based on steps'!AS$1:AS$400,0)),AS$2,)</f>
        <v>0</v>
      </c>
      <c r="AT7" s="179">
        <f ca="1">IF(ISNUMBER(MATCH(DATEVALUE($A7),'recurring1_based on steps'!AT$1:AT$400,0)),AT$2,)</f>
        <v>0</v>
      </c>
      <c r="AU7" s="179">
        <f ca="1">IF(ISNUMBER(MATCH(DATEVALUE($A7),'recurring1_based on steps'!AU$1:AU$400,0)),AU$2,)</f>
        <v>0</v>
      </c>
      <c r="AV7" s="179">
        <f ca="1">IF(ISNUMBER(MATCH(DATEVALUE($A7),'recurring1_based on steps'!AV$1:AV$400,0)),AV$2,)</f>
        <v>0</v>
      </c>
      <c r="AW7" s="179">
        <f ca="1">IF(ISNUMBER(MATCH(DATEVALUE($A7),'recurring1_based on steps'!AW$1:AW$400,0)),AW$2,)</f>
        <v>0</v>
      </c>
      <c r="AX7" s="179">
        <f ca="1">IF(ISNUMBER(MATCH(DATEVALUE($A7),'recurring1_based on steps'!AX$1:AX$400,0)),AX$2,)</f>
        <v>0</v>
      </c>
      <c r="AY7" s="179">
        <f ca="1">IF(ISNUMBER(MATCH(DATEVALUE($A7),'recurring1_based on steps'!AY$1:AY$400,0)),AY$2,)</f>
        <v>0</v>
      </c>
    </row>
    <row r="8" spans="1:51" x14ac:dyDescent="0.2">
      <c r="A8" s="32" t="str">
        <f t="shared" ca="1" si="0"/>
        <v>2025-04-03</v>
      </c>
      <c r="B8" s="179">
        <f ca="1">IF(ISNUMBER(MATCH(DATEVALUE($A8),'recurring1_based on steps'!B$1:B$400,0)),B$2,)</f>
        <v>0</v>
      </c>
      <c r="C8" s="179">
        <f ca="1">IF(ISNUMBER(MATCH(DATEVALUE($A8),'recurring1_based on steps'!C$1:C$400,0)),C$2,)</f>
        <v>0</v>
      </c>
      <c r="D8" s="179">
        <f ca="1">IF(ISNUMBER(MATCH(DATEVALUE($A8),'recurring1_based on steps'!D$1:D$400,0)),D$2,)</f>
        <v>0</v>
      </c>
      <c r="E8" s="179">
        <f ca="1">IF(ISNUMBER(MATCH(DATEVALUE($A8),'recurring1_based on steps'!E$1:E$400,0)),E$2,)</f>
        <v>0</v>
      </c>
      <c r="F8" s="179">
        <f ca="1">IF(ISNUMBER(MATCH(DATEVALUE($A8),'recurring1_based on steps'!F$1:F$400,0)),F$2,)</f>
        <v>0</v>
      </c>
      <c r="G8" s="179">
        <f ca="1">IF(ISNUMBER(MATCH(DATEVALUE($A8),'recurring1_based on steps'!G$1:G$400,0)),G$2,)</f>
        <v>0</v>
      </c>
      <c r="H8" s="179">
        <f ca="1">IF(ISNUMBER(MATCH(DATEVALUE($A8),'recurring1_based on steps'!H$1:H$400,0)),H$2,)</f>
        <v>0</v>
      </c>
      <c r="I8" s="179">
        <f ca="1">IF(ISNUMBER(MATCH(DATEVALUE($A8),'recurring1_based on steps'!I$1:I$400,0)),I$2,)</f>
        <v>0</v>
      </c>
      <c r="J8" s="179">
        <f ca="1">IF(ISNUMBER(MATCH(DATEVALUE($A8),'recurring1_based on steps'!J$1:J$400,0)),J$2,)</f>
        <v>0</v>
      </c>
      <c r="K8" s="179">
        <f ca="1">IF(ISNUMBER(MATCH(DATEVALUE($A8),'recurring1_based on steps'!K$1:K$400,0)),K$2,)</f>
        <v>0</v>
      </c>
      <c r="L8" s="179">
        <f ca="1">IF(ISNUMBER(MATCH(DATEVALUE($A8),'recurring1_based on steps'!L$1:L$400,0)),L$2,)</f>
        <v>0</v>
      </c>
      <c r="M8" s="179">
        <f ca="1">IF(ISNUMBER(MATCH(DATEVALUE($A8),'recurring1_based on steps'!M$1:M$400,0)),M$2,)</f>
        <v>0</v>
      </c>
      <c r="N8" s="179">
        <f ca="1">IF(ISNUMBER(MATCH(DATEVALUE($A8),'recurring1_based on steps'!N$1:N$400,0)),N$2,)</f>
        <v>0</v>
      </c>
      <c r="O8" s="179">
        <f ca="1">IF(ISNUMBER(MATCH(DATEVALUE($A8),'recurring1_based on steps'!O$1:O$400,0)),O$2,)</f>
        <v>0</v>
      </c>
      <c r="P8" s="179">
        <f ca="1">IF(ISNUMBER(MATCH(DATEVALUE($A8),'recurring1_based on steps'!P$1:P$400,0)),P$2,)</f>
        <v>0</v>
      </c>
      <c r="Q8" s="179">
        <f ca="1">IF(ISNUMBER(MATCH(DATEVALUE($A8),'recurring1_based on steps'!Q$1:Q$400,0)),Q$2,)</f>
        <v>0</v>
      </c>
      <c r="R8" s="179">
        <f ca="1">IF(ISNUMBER(MATCH(DATEVALUE($A8),'recurring1_based on steps'!R$1:R$400,0)),R$2,)</f>
        <v>0</v>
      </c>
      <c r="S8" s="179">
        <f ca="1">IF(ISNUMBER(MATCH(DATEVALUE($A8),'recurring1_based on steps'!S$1:S$400,0)),S$2,)</f>
        <v>0</v>
      </c>
      <c r="T8" s="179">
        <f ca="1">IF(ISNUMBER(MATCH(DATEVALUE($A8),'recurring1_based on steps'!T$1:T$400,0)),T$2,)</f>
        <v>0</v>
      </c>
      <c r="U8" s="179">
        <f ca="1">IF(ISNUMBER(MATCH(DATEVALUE($A8),'recurring1_based on steps'!U$1:U$400,0)),U$2,)</f>
        <v>0</v>
      </c>
      <c r="V8" s="179">
        <f ca="1">IF(ISNUMBER(MATCH(DATEVALUE($A8),'recurring1_based on steps'!V$1:V$400,0)),V$2,)</f>
        <v>0</v>
      </c>
      <c r="W8" s="179">
        <f ca="1">IF(ISNUMBER(MATCH(DATEVALUE($A8),'recurring1_based on steps'!W$1:W$400,0)),W$2,)</f>
        <v>0</v>
      </c>
      <c r="X8" s="179">
        <f ca="1">IF(ISNUMBER(MATCH(DATEVALUE($A8),'recurring1_based on steps'!X$1:X$400,0)),X$2,)</f>
        <v>0</v>
      </c>
      <c r="Y8" s="179">
        <f ca="1">IF(ISNUMBER(MATCH(DATEVALUE($A8),'recurring1_based on steps'!Y$1:Y$400,0)),Y$2,)</f>
        <v>0</v>
      </c>
      <c r="Z8" s="179">
        <f ca="1">IF(ISNUMBER(MATCH(DATEVALUE($A8),'recurring1_based on steps'!Z$1:Z$400,0)),Z$2,)</f>
        <v>0</v>
      </c>
      <c r="AA8" s="179">
        <f ca="1">IF(ISNUMBER(MATCH(DATEVALUE($A8),'recurring1_based on steps'!AA$1:AA$400,0)),AA$2,)</f>
        <v>0</v>
      </c>
      <c r="AB8" s="179">
        <f ca="1">IF(ISNUMBER(MATCH(DATEVALUE($A8),'recurring1_based on steps'!AB$1:AB$400,0)),AB$2,)</f>
        <v>0</v>
      </c>
      <c r="AC8" s="179">
        <f ca="1">IF(ISNUMBER(MATCH(DATEVALUE($A8),'recurring1_based on steps'!AC$1:AC$400,0)),AC$2,)</f>
        <v>0</v>
      </c>
      <c r="AD8" s="179">
        <f ca="1">IF(ISNUMBER(MATCH(DATEVALUE($A8),'recurring1_based on steps'!AD$1:AD$400,0)),AD$2,)</f>
        <v>0</v>
      </c>
      <c r="AE8" s="179">
        <f ca="1">IF(ISNUMBER(MATCH(DATEVALUE($A8),'recurring1_based on steps'!AE$1:AE$400,0)),AE$2,)</f>
        <v>0</v>
      </c>
      <c r="AF8" s="179">
        <f ca="1">IF(ISNUMBER(MATCH(DATEVALUE($A8),'recurring1_based on steps'!AF$1:AF$400,0)),AF$2,)</f>
        <v>0</v>
      </c>
      <c r="AG8" s="179">
        <f ca="1">IF(ISNUMBER(MATCH(DATEVALUE($A8),'recurring1_based on steps'!AG$1:AG$400,0)),AG$2,)</f>
        <v>0</v>
      </c>
      <c r="AH8" s="179">
        <f ca="1">IF(ISNUMBER(MATCH(DATEVALUE($A8),'recurring1_based on steps'!AH$1:AH$400,0)),AH$2,)</f>
        <v>0</v>
      </c>
      <c r="AI8" s="179">
        <f ca="1">IF(ISNUMBER(MATCH(DATEVALUE($A8),'recurring1_based on steps'!AI$1:AI$400,0)),AI$2,)</f>
        <v>0</v>
      </c>
      <c r="AJ8" s="179">
        <f ca="1">IF(ISNUMBER(MATCH(DATEVALUE($A8),'recurring1_based on steps'!AJ$1:AJ$400,0)),AJ$2,)</f>
        <v>0</v>
      </c>
      <c r="AK8" s="179">
        <f ca="1">IF(ISNUMBER(MATCH(DATEVALUE($A8),'recurring1_based on steps'!AK$1:AK$400,0)),AK$2,)</f>
        <v>0</v>
      </c>
      <c r="AL8" s="179">
        <f ca="1">IF(ISNUMBER(MATCH(DATEVALUE($A8),'recurring1_based on steps'!AL$1:AL$400,0)),AL$2,)</f>
        <v>0</v>
      </c>
      <c r="AM8" s="179">
        <f ca="1">IF(ISNUMBER(MATCH(DATEVALUE($A8),'recurring1_based on steps'!AM$1:AM$400,0)),AM$2,)</f>
        <v>0</v>
      </c>
      <c r="AN8" s="179">
        <f ca="1">IF(ISNUMBER(MATCH(DATEVALUE($A8),'recurring1_based on steps'!AN$1:AN$400,0)),AN$2,)</f>
        <v>0</v>
      </c>
      <c r="AO8" s="179">
        <f ca="1">IF(ISNUMBER(MATCH(DATEVALUE($A8),'recurring1_based on steps'!AO$1:AO$400,0)),AO$2,)</f>
        <v>0</v>
      </c>
      <c r="AP8" s="179">
        <f ca="1">IF(ISNUMBER(MATCH(DATEVALUE($A8),'recurring1_based on steps'!AP$1:AP$400,0)),AP$2,)</f>
        <v>0</v>
      </c>
      <c r="AQ8" s="179">
        <f ca="1">IF(ISNUMBER(MATCH(DATEVALUE($A8),'recurring1_based on steps'!AQ$1:AQ$400,0)),AQ$2,)</f>
        <v>0</v>
      </c>
      <c r="AR8" s="179">
        <f ca="1">IF(ISNUMBER(MATCH(DATEVALUE($A8),'recurring1_based on steps'!AR$1:AR$400,0)),AR$2,)</f>
        <v>0</v>
      </c>
      <c r="AS8" s="179">
        <f ca="1">IF(ISNUMBER(MATCH(DATEVALUE($A8),'recurring1_based on steps'!AS$1:AS$400,0)),AS$2,)</f>
        <v>0</v>
      </c>
      <c r="AT8" s="179">
        <f ca="1">IF(ISNUMBER(MATCH(DATEVALUE($A8),'recurring1_based on steps'!AT$1:AT$400,0)),AT$2,)</f>
        <v>0</v>
      </c>
      <c r="AU8" s="179">
        <f ca="1">IF(ISNUMBER(MATCH(DATEVALUE($A8),'recurring1_based on steps'!AU$1:AU$400,0)),AU$2,)</f>
        <v>0</v>
      </c>
      <c r="AV8" s="179">
        <f ca="1">IF(ISNUMBER(MATCH(DATEVALUE($A8),'recurring1_based on steps'!AV$1:AV$400,0)),AV$2,)</f>
        <v>0</v>
      </c>
      <c r="AW8" s="179">
        <f ca="1">IF(ISNUMBER(MATCH(DATEVALUE($A8),'recurring1_based on steps'!AW$1:AW$400,0)),AW$2,)</f>
        <v>0</v>
      </c>
      <c r="AX8" s="179">
        <f ca="1">IF(ISNUMBER(MATCH(DATEVALUE($A8),'recurring1_based on steps'!AX$1:AX$400,0)),AX$2,)</f>
        <v>0</v>
      </c>
      <c r="AY8" s="179">
        <f ca="1">IF(ISNUMBER(MATCH(DATEVALUE($A8),'recurring1_based on steps'!AY$1:AY$400,0)),AY$2,)</f>
        <v>0</v>
      </c>
    </row>
    <row r="9" spans="1:51" x14ac:dyDescent="0.2">
      <c r="A9" s="32" t="str">
        <f t="shared" ca="1" si="0"/>
        <v>2025-04-04</v>
      </c>
      <c r="B9" s="179">
        <f ca="1">IF(ISNUMBER(MATCH(DATEVALUE($A9),'recurring1_based on steps'!B$1:B$400,0)),B$2,)</f>
        <v>0</v>
      </c>
      <c r="C9" s="179">
        <f ca="1">IF(ISNUMBER(MATCH(DATEVALUE($A9),'recurring1_based on steps'!C$1:C$400,0)),C$2,)</f>
        <v>0</v>
      </c>
      <c r="D9" s="179">
        <f ca="1">IF(ISNUMBER(MATCH(DATEVALUE($A9),'recurring1_based on steps'!D$1:D$400,0)),D$2,)</f>
        <v>0</v>
      </c>
      <c r="E9" s="179">
        <f ca="1">IF(ISNUMBER(MATCH(DATEVALUE($A9),'recurring1_based on steps'!E$1:E$400,0)),E$2,)</f>
        <v>0</v>
      </c>
      <c r="F9" s="179">
        <f ca="1">IF(ISNUMBER(MATCH(DATEVALUE($A9),'recurring1_based on steps'!F$1:F$400,0)),F$2,)</f>
        <v>0</v>
      </c>
      <c r="G9" s="179">
        <f ca="1">IF(ISNUMBER(MATCH(DATEVALUE($A9),'recurring1_based on steps'!G$1:G$400,0)),G$2,)</f>
        <v>0</v>
      </c>
      <c r="H9" s="179">
        <f ca="1">IF(ISNUMBER(MATCH(DATEVALUE($A9),'recurring1_based on steps'!H$1:H$400,0)),H$2,)</f>
        <v>0</v>
      </c>
      <c r="I9" s="179">
        <f ca="1">IF(ISNUMBER(MATCH(DATEVALUE($A9),'recurring1_based on steps'!I$1:I$400,0)),I$2,)</f>
        <v>0</v>
      </c>
      <c r="J9" s="179">
        <f ca="1">IF(ISNUMBER(MATCH(DATEVALUE($A9),'recurring1_based on steps'!J$1:J$400,0)),J$2,)</f>
        <v>0</v>
      </c>
      <c r="K9" s="179">
        <f ca="1">IF(ISNUMBER(MATCH(DATEVALUE($A9),'recurring1_based on steps'!K$1:K$400,0)),K$2,)</f>
        <v>0</v>
      </c>
      <c r="L9" s="179">
        <f ca="1">IF(ISNUMBER(MATCH(DATEVALUE($A9),'recurring1_based on steps'!L$1:L$400,0)),L$2,)</f>
        <v>0</v>
      </c>
      <c r="M9" s="179">
        <f ca="1">IF(ISNUMBER(MATCH(DATEVALUE($A9),'recurring1_based on steps'!M$1:M$400,0)),M$2,)</f>
        <v>0</v>
      </c>
      <c r="N9" s="179">
        <f ca="1">IF(ISNUMBER(MATCH(DATEVALUE($A9),'recurring1_based on steps'!N$1:N$400,0)),N$2,)</f>
        <v>0</v>
      </c>
      <c r="O9" s="179">
        <f ca="1">IF(ISNUMBER(MATCH(DATEVALUE($A9),'recurring1_based on steps'!O$1:O$400,0)),O$2,)</f>
        <v>0</v>
      </c>
      <c r="P9" s="179">
        <f ca="1">IF(ISNUMBER(MATCH(DATEVALUE($A9),'recurring1_based on steps'!P$1:P$400,0)),P$2,)</f>
        <v>0</v>
      </c>
      <c r="Q9" s="179">
        <f ca="1">IF(ISNUMBER(MATCH(DATEVALUE($A9),'recurring1_based on steps'!Q$1:Q$400,0)),Q$2,)</f>
        <v>0</v>
      </c>
      <c r="R9" s="179">
        <f ca="1">IF(ISNUMBER(MATCH(DATEVALUE($A9),'recurring1_based on steps'!R$1:R$400,0)),R$2,)</f>
        <v>0</v>
      </c>
      <c r="S9" s="179">
        <f ca="1">IF(ISNUMBER(MATCH(DATEVALUE($A9),'recurring1_based on steps'!S$1:S$400,0)),S$2,)</f>
        <v>0</v>
      </c>
      <c r="T9" s="179">
        <f ca="1">IF(ISNUMBER(MATCH(DATEVALUE($A9),'recurring1_based on steps'!T$1:T$400,0)),T$2,)</f>
        <v>0</v>
      </c>
      <c r="U9" s="179">
        <f ca="1">IF(ISNUMBER(MATCH(DATEVALUE($A9),'recurring1_based on steps'!U$1:U$400,0)),U$2,)</f>
        <v>0</v>
      </c>
      <c r="V9" s="179">
        <f ca="1">IF(ISNUMBER(MATCH(DATEVALUE($A9),'recurring1_based on steps'!V$1:V$400,0)),V$2,)</f>
        <v>0</v>
      </c>
      <c r="W9" s="179">
        <f ca="1">IF(ISNUMBER(MATCH(DATEVALUE($A9),'recurring1_based on steps'!W$1:W$400,0)),W$2,)</f>
        <v>0</v>
      </c>
      <c r="X9" s="179">
        <f ca="1">IF(ISNUMBER(MATCH(DATEVALUE($A9),'recurring1_based on steps'!X$1:X$400,0)),X$2,)</f>
        <v>0</v>
      </c>
      <c r="Y9" s="179">
        <f ca="1">IF(ISNUMBER(MATCH(DATEVALUE($A9),'recurring1_based on steps'!Y$1:Y$400,0)),Y$2,)</f>
        <v>0</v>
      </c>
      <c r="Z9" s="179">
        <f ca="1">IF(ISNUMBER(MATCH(DATEVALUE($A9),'recurring1_based on steps'!Z$1:Z$400,0)),Z$2,)</f>
        <v>0</v>
      </c>
      <c r="AA9" s="179">
        <f ca="1">IF(ISNUMBER(MATCH(DATEVALUE($A9),'recurring1_based on steps'!AA$1:AA$400,0)),AA$2,)</f>
        <v>0</v>
      </c>
      <c r="AB9" s="179">
        <f ca="1">IF(ISNUMBER(MATCH(DATEVALUE($A9),'recurring1_based on steps'!AB$1:AB$400,0)),AB$2,)</f>
        <v>0</v>
      </c>
      <c r="AC9" s="179">
        <f ca="1">IF(ISNUMBER(MATCH(DATEVALUE($A9),'recurring1_based on steps'!AC$1:AC$400,0)),AC$2,)</f>
        <v>0</v>
      </c>
      <c r="AD9" s="179">
        <f ca="1">IF(ISNUMBER(MATCH(DATEVALUE($A9),'recurring1_based on steps'!AD$1:AD$400,0)),AD$2,)</f>
        <v>0</v>
      </c>
      <c r="AE9" s="179">
        <f ca="1">IF(ISNUMBER(MATCH(DATEVALUE($A9),'recurring1_based on steps'!AE$1:AE$400,0)),AE$2,)</f>
        <v>0</v>
      </c>
      <c r="AF9" s="179">
        <f ca="1">IF(ISNUMBER(MATCH(DATEVALUE($A9),'recurring1_based on steps'!AF$1:AF$400,0)),AF$2,)</f>
        <v>0</v>
      </c>
      <c r="AG9" s="179">
        <f ca="1">IF(ISNUMBER(MATCH(DATEVALUE($A9),'recurring1_based on steps'!AG$1:AG$400,0)),AG$2,)</f>
        <v>0</v>
      </c>
      <c r="AH9" s="179">
        <f ca="1">IF(ISNUMBER(MATCH(DATEVALUE($A9),'recurring1_based on steps'!AH$1:AH$400,0)),AH$2,)</f>
        <v>0</v>
      </c>
      <c r="AI9" s="179">
        <f ca="1">IF(ISNUMBER(MATCH(DATEVALUE($A9),'recurring1_based on steps'!AI$1:AI$400,0)),AI$2,)</f>
        <v>0</v>
      </c>
      <c r="AJ9" s="179">
        <f ca="1">IF(ISNUMBER(MATCH(DATEVALUE($A9),'recurring1_based on steps'!AJ$1:AJ$400,0)),AJ$2,)</f>
        <v>0</v>
      </c>
      <c r="AK9" s="179">
        <f ca="1">IF(ISNUMBER(MATCH(DATEVALUE($A9),'recurring1_based on steps'!AK$1:AK$400,0)),AK$2,)</f>
        <v>0</v>
      </c>
      <c r="AL9" s="179">
        <f ca="1">IF(ISNUMBER(MATCH(DATEVALUE($A9),'recurring1_based on steps'!AL$1:AL$400,0)),AL$2,)</f>
        <v>0</v>
      </c>
      <c r="AM9" s="179">
        <f ca="1">IF(ISNUMBER(MATCH(DATEVALUE($A9),'recurring1_based on steps'!AM$1:AM$400,0)),AM$2,)</f>
        <v>0</v>
      </c>
      <c r="AN9" s="179">
        <f ca="1">IF(ISNUMBER(MATCH(DATEVALUE($A9),'recurring1_based on steps'!AN$1:AN$400,0)),AN$2,)</f>
        <v>0</v>
      </c>
      <c r="AO9" s="179">
        <f ca="1">IF(ISNUMBER(MATCH(DATEVALUE($A9),'recurring1_based on steps'!AO$1:AO$400,0)),AO$2,)</f>
        <v>0</v>
      </c>
      <c r="AP9" s="179">
        <f ca="1">IF(ISNUMBER(MATCH(DATEVALUE($A9),'recurring1_based on steps'!AP$1:AP$400,0)),AP$2,)</f>
        <v>0</v>
      </c>
      <c r="AQ9" s="179">
        <f ca="1">IF(ISNUMBER(MATCH(DATEVALUE($A9),'recurring1_based on steps'!AQ$1:AQ$400,0)),AQ$2,)</f>
        <v>0</v>
      </c>
      <c r="AR9" s="179">
        <f ca="1">IF(ISNUMBER(MATCH(DATEVALUE($A9),'recurring1_based on steps'!AR$1:AR$400,0)),AR$2,)</f>
        <v>0</v>
      </c>
      <c r="AS9" s="179">
        <f ca="1">IF(ISNUMBER(MATCH(DATEVALUE($A9),'recurring1_based on steps'!AS$1:AS$400,0)),AS$2,)</f>
        <v>0</v>
      </c>
      <c r="AT9" s="179">
        <f ca="1">IF(ISNUMBER(MATCH(DATEVALUE($A9),'recurring1_based on steps'!AT$1:AT$400,0)),AT$2,)</f>
        <v>0</v>
      </c>
      <c r="AU9" s="179">
        <f ca="1">IF(ISNUMBER(MATCH(DATEVALUE($A9),'recurring1_based on steps'!AU$1:AU$400,0)),AU$2,)</f>
        <v>0</v>
      </c>
      <c r="AV9" s="179">
        <f ca="1">IF(ISNUMBER(MATCH(DATEVALUE($A9),'recurring1_based on steps'!AV$1:AV$400,0)),AV$2,)</f>
        <v>0</v>
      </c>
      <c r="AW9" s="179">
        <f ca="1">IF(ISNUMBER(MATCH(DATEVALUE($A9),'recurring1_based on steps'!AW$1:AW$400,0)),AW$2,)</f>
        <v>0</v>
      </c>
      <c r="AX9" s="179">
        <f ca="1">IF(ISNUMBER(MATCH(DATEVALUE($A9),'recurring1_based on steps'!AX$1:AX$400,0)),AX$2,)</f>
        <v>0</v>
      </c>
      <c r="AY9" s="179">
        <f ca="1">IF(ISNUMBER(MATCH(DATEVALUE($A9),'recurring1_based on steps'!AY$1:AY$400,0)),AY$2,)</f>
        <v>0</v>
      </c>
    </row>
    <row r="10" spans="1:51" x14ac:dyDescent="0.2">
      <c r="A10" s="32" t="str">
        <f t="shared" ca="1" si="0"/>
        <v>2025-04-05</v>
      </c>
      <c r="B10" s="179">
        <f ca="1">IF(ISNUMBER(MATCH(DATEVALUE($A10),'recurring1_based on steps'!B$1:B$400,0)),B$2,)</f>
        <v>0</v>
      </c>
      <c r="C10" s="179">
        <f ca="1">IF(ISNUMBER(MATCH(DATEVALUE($A10),'recurring1_based on steps'!C$1:C$400,0)),C$2,)</f>
        <v>0</v>
      </c>
      <c r="D10" s="179">
        <f ca="1">IF(ISNUMBER(MATCH(DATEVALUE($A10),'recurring1_based on steps'!D$1:D$400,0)),D$2,)</f>
        <v>0</v>
      </c>
      <c r="E10" s="179">
        <f ca="1">IF(ISNUMBER(MATCH(DATEVALUE($A10),'recurring1_based on steps'!E$1:E$400,0)),E$2,)</f>
        <v>0</v>
      </c>
      <c r="F10" s="179">
        <f ca="1">IF(ISNUMBER(MATCH(DATEVALUE($A10),'recurring1_based on steps'!F$1:F$400,0)),F$2,)</f>
        <v>0</v>
      </c>
      <c r="G10" s="179">
        <f ca="1">IF(ISNUMBER(MATCH(DATEVALUE($A10),'recurring1_based on steps'!G$1:G$400,0)),G$2,)</f>
        <v>0</v>
      </c>
      <c r="H10" s="179">
        <f ca="1">IF(ISNUMBER(MATCH(DATEVALUE($A10),'recurring1_based on steps'!H$1:H$400,0)),H$2,)</f>
        <v>0</v>
      </c>
      <c r="I10" s="179">
        <f ca="1">IF(ISNUMBER(MATCH(DATEVALUE($A10),'recurring1_based on steps'!I$1:I$400,0)),I$2,)</f>
        <v>0</v>
      </c>
      <c r="J10" s="179">
        <f ca="1">IF(ISNUMBER(MATCH(DATEVALUE($A10),'recurring1_based on steps'!J$1:J$400,0)),J$2,)</f>
        <v>0</v>
      </c>
      <c r="K10" s="179">
        <f ca="1">IF(ISNUMBER(MATCH(DATEVALUE($A10),'recurring1_based on steps'!K$1:K$400,0)),K$2,)</f>
        <v>0</v>
      </c>
      <c r="L10" s="179">
        <f ca="1">IF(ISNUMBER(MATCH(DATEVALUE($A10),'recurring1_based on steps'!L$1:L$400,0)),L$2,)</f>
        <v>0</v>
      </c>
      <c r="M10" s="179">
        <f ca="1">IF(ISNUMBER(MATCH(DATEVALUE($A10),'recurring1_based on steps'!M$1:M$400,0)),M$2,)</f>
        <v>0</v>
      </c>
      <c r="N10" s="179">
        <f ca="1">IF(ISNUMBER(MATCH(DATEVALUE($A10),'recurring1_based on steps'!N$1:N$400,0)),N$2,)</f>
        <v>0</v>
      </c>
      <c r="O10" s="179">
        <f ca="1">IF(ISNUMBER(MATCH(DATEVALUE($A10),'recurring1_based on steps'!O$1:O$400,0)),O$2,)</f>
        <v>0</v>
      </c>
      <c r="P10" s="179">
        <f ca="1">IF(ISNUMBER(MATCH(DATEVALUE($A10),'recurring1_based on steps'!P$1:P$400,0)),P$2,)</f>
        <v>0</v>
      </c>
      <c r="Q10" s="179">
        <f ca="1">IF(ISNUMBER(MATCH(DATEVALUE($A10),'recurring1_based on steps'!Q$1:Q$400,0)),Q$2,)</f>
        <v>0</v>
      </c>
      <c r="R10" s="179">
        <f ca="1">IF(ISNUMBER(MATCH(DATEVALUE($A10),'recurring1_based on steps'!R$1:R$400,0)),R$2,)</f>
        <v>0</v>
      </c>
      <c r="S10" s="179">
        <f ca="1">IF(ISNUMBER(MATCH(DATEVALUE($A10),'recurring1_based on steps'!S$1:S$400,0)),S$2,)</f>
        <v>0</v>
      </c>
      <c r="T10" s="179">
        <f ca="1">IF(ISNUMBER(MATCH(DATEVALUE($A10),'recurring1_based on steps'!T$1:T$400,0)),T$2,)</f>
        <v>0</v>
      </c>
      <c r="U10" s="179">
        <f ca="1">IF(ISNUMBER(MATCH(DATEVALUE($A10),'recurring1_based on steps'!U$1:U$400,0)),U$2,)</f>
        <v>0</v>
      </c>
      <c r="V10" s="179">
        <f ca="1">IF(ISNUMBER(MATCH(DATEVALUE($A10),'recurring1_based on steps'!V$1:V$400,0)),V$2,)</f>
        <v>0</v>
      </c>
      <c r="W10" s="179">
        <f ca="1">IF(ISNUMBER(MATCH(DATEVALUE($A10),'recurring1_based on steps'!W$1:W$400,0)),W$2,)</f>
        <v>0</v>
      </c>
      <c r="X10" s="179">
        <f ca="1">IF(ISNUMBER(MATCH(DATEVALUE($A10),'recurring1_based on steps'!X$1:X$400,0)),X$2,)</f>
        <v>0</v>
      </c>
      <c r="Y10" s="179">
        <f ca="1">IF(ISNUMBER(MATCH(DATEVALUE($A10),'recurring1_based on steps'!Y$1:Y$400,0)),Y$2,)</f>
        <v>0</v>
      </c>
      <c r="Z10" s="179">
        <f ca="1">IF(ISNUMBER(MATCH(DATEVALUE($A10),'recurring1_based on steps'!Z$1:Z$400,0)),Z$2,)</f>
        <v>0</v>
      </c>
      <c r="AA10" s="179">
        <f ca="1">IF(ISNUMBER(MATCH(DATEVALUE($A10),'recurring1_based on steps'!AA$1:AA$400,0)),AA$2,)</f>
        <v>0</v>
      </c>
      <c r="AB10" s="179">
        <f ca="1">IF(ISNUMBER(MATCH(DATEVALUE($A10),'recurring1_based on steps'!AB$1:AB$400,0)),AB$2,)</f>
        <v>0</v>
      </c>
      <c r="AC10" s="179">
        <f ca="1">IF(ISNUMBER(MATCH(DATEVALUE($A10),'recurring1_based on steps'!AC$1:AC$400,0)),AC$2,)</f>
        <v>0</v>
      </c>
      <c r="AD10" s="179">
        <f ca="1">IF(ISNUMBER(MATCH(DATEVALUE($A10),'recurring1_based on steps'!AD$1:AD$400,0)),AD$2,)</f>
        <v>0</v>
      </c>
      <c r="AE10" s="179">
        <f ca="1">IF(ISNUMBER(MATCH(DATEVALUE($A10),'recurring1_based on steps'!AE$1:AE$400,0)),AE$2,)</f>
        <v>0</v>
      </c>
      <c r="AF10" s="179">
        <f ca="1">IF(ISNUMBER(MATCH(DATEVALUE($A10),'recurring1_based on steps'!AF$1:AF$400,0)),AF$2,)</f>
        <v>0</v>
      </c>
      <c r="AG10" s="179">
        <f ca="1">IF(ISNUMBER(MATCH(DATEVALUE($A10),'recurring1_based on steps'!AG$1:AG$400,0)),AG$2,)</f>
        <v>0</v>
      </c>
      <c r="AH10" s="179">
        <f ca="1">IF(ISNUMBER(MATCH(DATEVALUE($A10),'recurring1_based on steps'!AH$1:AH$400,0)),AH$2,)</f>
        <v>0</v>
      </c>
      <c r="AI10" s="179">
        <f ca="1">IF(ISNUMBER(MATCH(DATEVALUE($A10),'recurring1_based on steps'!AI$1:AI$400,0)),AI$2,)</f>
        <v>0</v>
      </c>
      <c r="AJ10" s="179">
        <f ca="1">IF(ISNUMBER(MATCH(DATEVALUE($A10),'recurring1_based on steps'!AJ$1:AJ$400,0)),AJ$2,)</f>
        <v>0</v>
      </c>
      <c r="AK10" s="179">
        <f ca="1">IF(ISNUMBER(MATCH(DATEVALUE($A10),'recurring1_based on steps'!AK$1:AK$400,0)),AK$2,)</f>
        <v>0</v>
      </c>
      <c r="AL10" s="179">
        <f ca="1">IF(ISNUMBER(MATCH(DATEVALUE($A10),'recurring1_based on steps'!AL$1:AL$400,0)),AL$2,)</f>
        <v>0</v>
      </c>
      <c r="AM10" s="179">
        <f ca="1">IF(ISNUMBER(MATCH(DATEVALUE($A10),'recurring1_based on steps'!AM$1:AM$400,0)),AM$2,)</f>
        <v>0</v>
      </c>
      <c r="AN10" s="179">
        <f ca="1">IF(ISNUMBER(MATCH(DATEVALUE($A10),'recurring1_based on steps'!AN$1:AN$400,0)),AN$2,)</f>
        <v>0</v>
      </c>
      <c r="AO10" s="179">
        <f ca="1">IF(ISNUMBER(MATCH(DATEVALUE($A10),'recurring1_based on steps'!AO$1:AO$400,0)),AO$2,)</f>
        <v>0</v>
      </c>
      <c r="AP10" s="179">
        <f ca="1">IF(ISNUMBER(MATCH(DATEVALUE($A10),'recurring1_based on steps'!AP$1:AP$400,0)),AP$2,)</f>
        <v>0</v>
      </c>
      <c r="AQ10" s="179">
        <f ca="1">IF(ISNUMBER(MATCH(DATEVALUE($A10),'recurring1_based on steps'!AQ$1:AQ$400,0)),AQ$2,)</f>
        <v>0</v>
      </c>
      <c r="AR10" s="179">
        <f ca="1">IF(ISNUMBER(MATCH(DATEVALUE($A10),'recurring1_based on steps'!AR$1:AR$400,0)),AR$2,)</f>
        <v>0</v>
      </c>
      <c r="AS10" s="179">
        <f ca="1">IF(ISNUMBER(MATCH(DATEVALUE($A10),'recurring1_based on steps'!AS$1:AS$400,0)),AS$2,)</f>
        <v>0</v>
      </c>
      <c r="AT10" s="179">
        <f ca="1">IF(ISNUMBER(MATCH(DATEVALUE($A10),'recurring1_based on steps'!AT$1:AT$400,0)),AT$2,)</f>
        <v>0</v>
      </c>
      <c r="AU10" s="179">
        <f ca="1">IF(ISNUMBER(MATCH(DATEVALUE($A10),'recurring1_based on steps'!AU$1:AU$400,0)),AU$2,)</f>
        <v>0</v>
      </c>
      <c r="AV10" s="179">
        <f ca="1">IF(ISNUMBER(MATCH(DATEVALUE($A10),'recurring1_based on steps'!AV$1:AV$400,0)),AV$2,)</f>
        <v>0</v>
      </c>
      <c r="AW10" s="179">
        <f ca="1">IF(ISNUMBER(MATCH(DATEVALUE($A10),'recurring1_based on steps'!AW$1:AW$400,0)),AW$2,)</f>
        <v>0</v>
      </c>
      <c r="AX10" s="179">
        <f ca="1">IF(ISNUMBER(MATCH(DATEVALUE($A10),'recurring1_based on steps'!AX$1:AX$400,0)),AX$2,)</f>
        <v>0</v>
      </c>
      <c r="AY10" s="179">
        <f ca="1">IF(ISNUMBER(MATCH(DATEVALUE($A10),'recurring1_based on steps'!AY$1:AY$400,0)),AY$2,)</f>
        <v>0</v>
      </c>
    </row>
    <row r="11" spans="1:51" x14ac:dyDescent="0.2">
      <c r="A11" s="32" t="str">
        <f t="shared" ca="1" si="0"/>
        <v>2025-04-06</v>
      </c>
      <c r="B11" s="179">
        <f ca="1">IF(ISNUMBER(MATCH(DATEVALUE($A11),'recurring1_based on steps'!B$1:B$400,0)),B$2,)</f>
        <v>0</v>
      </c>
      <c r="C11" s="179">
        <f ca="1">IF(ISNUMBER(MATCH(DATEVALUE($A11),'recurring1_based on steps'!C$1:C$400,0)),C$2,)</f>
        <v>0</v>
      </c>
      <c r="D11" s="179">
        <f ca="1">IF(ISNUMBER(MATCH(DATEVALUE($A11),'recurring1_based on steps'!D$1:D$400,0)),D$2,)</f>
        <v>0</v>
      </c>
      <c r="E11" s="179">
        <f ca="1">IF(ISNUMBER(MATCH(DATEVALUE($A11),'recurring1_based on steps'!E$1:E$400,0)),E$2,)</f>
        <v>0</v>
      </c>
      <c r="F11" s="179">
        <f ca="1">IF(ISNUMBER(MATCH(DATEVALUE($A11),'recurring1_based on steps'!F$1:F$400,0)),F$2,)</f>
        <v>0</v>
      </c>
      <c r="G11" s="179">
        <f ca="1">IF(ISNUMBER(MATCH(DATEVALUE($A11),'recurring1_based on steps'!G$1:G$400,0)),G$2,)</f>
        <v>0</v>
      </c>
      <c r="H11" s="179">
        <f ca="1">IF(ISNUMBER(MATCH(DATEVALUE($A11),'recurring1_based on steps'!H$1:H$400,0)),H$2,)</f>
        <v>0</v>
      </c>
      <c r="I11" s="179">
        <f ca="1">IF(ISNUMBER(MATCH(DATEVALUE($A11),'recurring1_based on steps'!I$1:I$400,0)),I$2,)</f>
        <v>0</v>
      </c>
      <c r="J11" s="179">
        <f ca="1">IF(ISNUMBER(MATCH(DATEVALUE($A11),'recurring1_based on steps'!J$1:J$400,0)),J$2,)</f>
        <v>0</v>
      </c>
      <c r="K11" s="179">
        <f ca="1">IF(ISNUMBER(MATCH(DATEVALUE($A11),'recurring1_based on steps'!K$1:K$400,0)),K$2,)</f>
        <v>0</v>
      </c>
      <c r="L11" s="179">
        <f ca="1">IF(ISNUMBER(MATCH(DATEVALUE($A11),'recurring1_based on steps'!L$1:L$400,0)),L$2,)</f>
        <v>0</v>
      </c>
      <c r="M11" s="179">
        <f ca="1">IF(ISNUMBER(MATCH(DATEVALUE($A11),'recurring1_based on steps'!M$1:M$400,0)),M$2,)</f>
        <v>0</v>
      </c>
      <c r="N11" s="179">
        <f ca="1">IF(ISNUMBER(MATCH(DATEVALUE($A11),'recurring1_based on steps'!N$1:N$400,0)),N$2,)</f>
        <v>0</v>
      </c>
      <c r="O11" s="179">
        <f ca="1">IF(ISNUMBER(MATCH(DATEVALUE($A11),'recurring1_based on steps'!O$1:O$400,0)),O$2,)</f>
        <v>0</v>
      </c>
      <c r="P11" s="179">
        <f ca="1">IF(ISNUMBER(MATCH(DATEVALUE($A11),'recurring1_based on steps'!P$1:P$400,0)),P$2,)</f>
        <v>0</v>
      </c>
      <c r="Q11" s="179">
        <f ca="1">IF(ISNUMBER(MATCH(DATEVALUE($A11),'recurring1_based on steps'!Q$1:Q$400,0)),Q$2,)</f>
        <v>0</v>
      </c>
      <c r="R11" s="179">
        <f ca="1">IF(ISNUMBER(MATCH(DATEVALUE($A11),'recurring1_based on steps'!R$1:R$400,0)),R$2,)</f>
        <v>0</v>
      </c>
      <c r="S11" s="179">
        <f ca="1">IF(ISNUMBER(MATCH(DATEVALUE($A11),'recurring1_based on steps'!S$1:S$400,0)),S$2,)</f>
        <v>0</v>
      </c>
      <c r="T11" s="179">
        <f ca="1">IF(ISNUMBER(MATCH(DATEVALUE($A11),'recurring1_based on steps'!T$1:T$400,0)),T$2,)</f>
        <v>0</v>
      </c>
      <c r="U11" s="179">
        <f ca="1">IF(ISNUMBER(MATCH(DATEVALUE($A11),'recurring1_based on steps'!U$1:U$400,0)),U$2,)</f>
        <v>0</v>
      </c>
      <c r="V11" s="179">
        <f ca="1">IF(ISNUMBER(MATCH(DATEVALUE($A11),'recurring1_based on steps'!V$1:V$400,0)),V$2,)</f>
        <v>0</v>
      </c>
      <c r="W11" s="179">
        <f ca="1">IF(ISNUMBER(MATCH(DATEVALUE($A11),'recurring1_based on steps'!W$1:W$400,0)),W$2,)</f>
        <v>0</v>
      </c>
      <c r="X11" s="179">
        <f ca="1">IF(ISNUMBER(MATCH(DATEVALUE($A11),'recurring1_based on steps'!X$1:X$400,0)),X$2,)</f>
        <v>0</v>
      </c>
      <c r="Y11" s="179">
        <f ca="1">IF(ISNUMBER(MATCH(DATEVALUE($A11),'recurring1_based on steps'!Y$1:Y$400,0)),Y$2,)</f>
        <v>0</v>
      </c>
      <c r="Z11" s="179">
        <f ca="1">IF(ISNUMBER(MATCH(DATEVALUE($A11),'recurring1_based on steps'!Z$1:Z$400,0)),Z$2,)</f>
        <v>0</v>
      </c>
      <c r="AA11" s="179">
        <f ca="1">IF(ISNUMBER(MATCH(DATEVALUE($A11),'recurring1_based on steps'!AA$1:AA$400,0)),AA$2,)</f>
        <v>0</v>
      </c>
      <c r="AB11" s="179">
        <f ca="1">IF(ISNUMBER(MATCH(DATEVALUE($A11),'recurring1_based on steps'!AB$1:AB$400,0)),AB$2,)</f>
        <v>0</v>
      </c>
      <c r="AC11" s="179">
        <f ca="1">IF(ISNUMBER(MATCH(DATEVALUE($A11),'recurring1_based on steps'!AC$1:AC$400,0)),AC$2,)</f>
        <v>0</v>
      </c>
      <c r="AD11" s="179">
        <f ca="1">IF(ISNUMBER(MATCH(DATEVALUE($A11),'recurring1_based on steps'!AD$1:AD$400,0)),AD$2,)</f>
        <v>0</v>
      </c>
      <c r="AE11" s="179">
        <f ca="1">IF(ISNUMBER(MATCH(DATEVALUE($A11),'recurring1_based on steps'!AE$1:AE$400,0)),AE$2,)</f>
        <v>0</v>
      </c>
      <c r="AF11" s="179">
        <f ca="1">IF(ISNUMBER(MATCH(DATEVALUE($A11),'recurring1_based on steps'!AF$1:AF$400,0)),AF$2,)</f>
        <v>0</v>
      </c>
      <c r="AG11" s="179">
        <f ca="1">IF(ISNUMBER(MATCH(DATEVALUE($A11),'recurring1_based on steps'!AG$1:AG$400,0)),AG$2,)</f>
        <v>0</v>
      </c>
      <c r="AH11" s="179">
        <f ca="1">IF(ISNUMBER(MATCH(DATEVALUE($A11),'recurring1_based on steps'!AH$1:AH$400,0)),AH$2,)</f>
        <v>0</v>
      </c>
      <c r="AI11" s="179">
        <f ca="1">IF(ISNUMBER(MATCH(DATEVALUE($A11),'recurring1_based on steps'!AI$1:AI$400,0)),AI$2,)</f>
        <v>0</v>
      </c>
      <c r="AJ11" s="179">
        <f ca="1">IF(ISNUMBER(MATCH(DATEVALUE($A11),'recurring1_based on steps'!AJ$1:AJ$400,0)),AJ$2,)</f>
        <v>0</v>
      </c>
      <c r="AK11" s="179">
        <f ca="1">IF(ISNUMBER(MATCH(DATEVALUE($A11),'recurring1_based on steps'!AK$1:AK$400,0)),AK$2,)</f>
        <v>0</v>
      </c>
      <c r="AL11" s="179">
        <f ca="1">IF(ISNUMBER(MATCH(DATEVALUE($A11),'recurring1_based on steps'!AL$1:AL$400,0)),AL$2,)</f>
        <v>0</v>
      </c>
      <c r="AM11" s="179">
        <f ca="1">IF(ISNUMBER(MATCH(DATEVALUE($A11),'recurring1_based on steps'!AM$1:AM$400,0)),AM$2,)</f>
        <v>0</v>
      </c>
      <c r="AN11" s="179">
        <f ca="1">IF(ISNUMBER(MATCH(DATEVALUE($A11),'recurring1_based on steps'!AN$1:AN$400,0)),AN$2,)</f>
        <v>0</v>
      </c>
      <c r="AO11" s="179">
        <f ca="1">IF(ISNUMBER(MATCH(DATEVALUE($A11),'recurring1_based on steps'!AO$1:AO$400,0)),AO$2,)</f>
        <v>0</v>
      </c>
      <c r="AP11" s="179">
        <f ca="1">IF(ISNUMBER(MATCH(DATEVALUE($A11),'recurring1_based on steps'!AP$1:AP$400,0)),AP$2,)</f>
        <v>0</v>
      </c>
      <c r="AQ11" s="179">
        <f ca="1">IF(ISNUMBER(MATCH(DATEVALUE($A11),'recurring1_based on steps'!AQ$1:AQ$400,0)),AQ$2,)</f>
        <v>0</v>
      </c>
      <c r="AR11" s="179">
        <f ca="1">IF(ISNUMBER(MATCH(DATEVALUE($A11),'recurring1_based on steps'!AR$1:AR$400,0)),AR$2,)</f>
        <v>0</v>
      </c>
      <c r="AS11" s="179">
        <f ca="1">IF(ISNUMBER(MATCH(DATEVALUE($A11),'recurring1_based on steps'!AS$1:AS$400,0)),AS$2,)</f>
        <v>0</v>
      </c>
      <c r="AT11" s="179">
        <f ca="1">IF(ISNUMBER(MATCH(DATEVALUE($A11),'recurring1_based on steps'!AT$1:AT$400,0)),AT$2,)</f>
        <v>0</v>
      </c>
      <c r="AU11" s="179">
        <f ca="1">IF(ISNUMBER(MATCH(DATEVALUE($A11),'recurring1_based on steps'!AU$1:AU$400,0)),AU$2,)</f>
        <v>0</v>
      </c>
      <c r="AV11" s="179">
        <f ca="1">IF(ISNUMBER(MATCH(DATEVALUE($A11),'recurring1_based on steps'!AV$1:AV$400,0)),AV$2,)</f>
        <v>0</v>
      </c>
      <c r="AW11" s="179">
        <f ca="1">IF(ISNUMBER(MATCH(DATEVALUE($A11),'recurring1_based on steps'!AW$1:AW$400,0)),AW$2,)</f>
        <v>0</v>
      </c>
      <c r="AX11" s="179">
        <f ca="1">IF(ISNUMBER(MATCH(DATEVALUE($A11),'recurring1_based on steps'!AX$1:AX$400,0)),AX$2,)</f>
        <v>0</v>
      </c>
      <c r="AY11" s="179">
        <f ca="1">IF(ISNUMBER(MATCH(DATEVALUE($A11),'recurring1_based on steps'!AY$1:AY$400,0)),AY$2,)</f>
        <v>0</v>
      </c>
    </row>
    <row r="12" spans="1:51" x14ac:dyDescent="0.2">
      <c r="A12" s="32" t="str">
        <f t="shared" ca="1" si="0"/>
        <v>2025-04-07</v>
      </c>
      <c r="B12" s="179">
        <f ca="1">IF(ISNUMBER(MATCH(DATEVALUE($A12),'recurring1_based on steps'!B$1:B$400,0)),B$2,)</f>
        <v>0</v>
      </c>
      <c r="C12" s="179">
        <f ca="1">IF(ISNUMBER(MATCH(DATEVALUE($A12),'recurring1_based on steps'!C$1:C$400,0)),C$2,)</f>
        <v>0</v>
      </c>
      <c r="D12" s="179">
        <f ca="1">IF(ISNUMBER(MATCH(DATEVALUE($A12),'recurring1_based on steps'!D$1:D$400,0)),D$2,)</f>
        <v>0</v>
      </c>
      <c r="E12" s="179">
        <f ca="1">IF(ISNUMBER(MATCH(DATEVALUE($A12),'recurring1_based on steps'!E$1:E$400,0)),E$2,)</f>
        <v>0</v>
      </c>
      <c r="F12" s="179">
        <f ca="1">IF(ISNUMBER(MATCH(DATEVALUE($A12),'recurring1_based on steps'!F$1:F$400,0)),F$2,)</f>
        <v>0</v>
      </c>
      <c r="G12" s="179">
        <f ca="1">IF(ISNUMBER(MATCH(DATEVALUE($A12),'recurring1_based on steps'!G$1:G$400,0)),G$2,)</f>
        <v>0</v>
      </c>
      <c r="H12" s="179">
        <f ca="1">IF(ISNUMBER(MATCH(DATEVALUE($A12),'recurring1_based on steps'!H$1:H$400,0)),H$2,)</f>
        <v>0</v>
      </c>
      <c r="I12" s="179">
        <f ca="1">IF(ISNUMBER(MATCH(DATEVALUE($A12),'recurring1_based on steps'!I$1:I$400,0)),I$2,)</f>
        <v>0</v>
      </c>
      <c r="J12" s="179">
        <f ca="1">IF(ISNUMBER(MATCH(DATEVALUE($A12),'recurring1_based on steps'!J$1:J$400,0)),J$2,)</f>
        <v>0</v>
      </c>
      <c r="K12" s="179">
        <f ca="1">IF(ISNUMBER(MATCH(DATEVALUE($A12),'recurring1_based on steps'!K$1:K$400,0)),K$2,)</f>
        <v>0</v>
      </c>
      <c r="L12" s="179">
        <f ca="1">IF(ISNUMBER(MATCH(DATEVALUE($A12),'recurring1_based on steps'!L$1:L$400,0)),L$2,)</f>
        <v>0</v>
      </c>
      <c r="M12" s="179">
        <f ca="1">IF(ISNUMBER(MATCH(DATEVALUE($A12),'recurring1_based on steps'!M$1:M$400,0)),M$2,)</f>
        <v>0</v>
      </c>
      <c r="N12" s="179">
        <f ca="1">IF(ISNUMBER(MATCH(DATEVALUE($A12),'recurring1_based on steps'!N$1:N$400,0)),N$2,)</f>
        <v>0</v>
      </c>
      <c r="O12" s="179">
        <f ca="1">IF(ISNUMBER(MATCH(DATEVALUE($A12),'recurring1_based on steps'!O$1:O$400,0)),O$2,)</f>
        <v>0</v>
      </c>
      <c r="P12" s="179">
        <f ca="1">IF(ISNUMBER(MATCH(DATEVALUE($A12),'recurring1_based on steps'!P$1:P$400,0)),P$2,)</f>
        <v>0</v>
      </c>
      <c r="Q12" s="179">
        <f ca="1">IF(ISNUMBER(MATCH(DATEVALUE($A12),'recurring1_based on steps'!Q$1:Q$400,0)),Q$2,)</f>
        <v>0</v>
      </c>
      <c r="R12" s="179">
        <f ca="1">IF(ISNUMBER(MATCH(DATEVALUE($A12),'recurring1_based on steps'!R$1:R$400,0)),R$2,)</f>
        <v>0</v>
      </c>
      <c r="S12" s="179">
        <f ca="1">IF(ISNUMBER(MATCH(DATEVALUE($A12),'recurring1_based on steps'!S$1:S$400,0)),S$2,)</f>
        <v>0</v>
      </c>
      <c r="T12" s="179">
        <f ca="1">IF(ISNUMBER(MATCH(DATEVALUE($A12),'recurring1_based on steps'!T$1:T$400,0)),T$2,)</f>
        <v>0</v>
      </c>
      <c r="U12" s="179">
        <f ca="1">IF(ISNUMBER(MATCH(DATEVALUE($A12),'recurring1_based on steps'!U$1:U$400,0)),U$2,)</f>
        <v>0</v>
      </c>
      <c r="V12" s="179">
        <f ca="1">IF(ISNUMBER(MATCH(DATEVALUE($A12),'recurring1_based on steps'!V$1:V$400,0)),V$2,)</f>
        <v>0</v>
      </c>
      <c r="W12" s="179">
        <f ca="1">IF(ISNUMBER(MATCH(DATEVALUE($A12),'recurring1_based on steps'!W$1:W$400,0)),W$2,)</f>
        <v>0</v>
      </c>
      <c r="X12" s="179">
        <f ca="1">IF(ISNUMBER(MATCH(DATEVALUE($A12),'recurring1_based on steps'!X$1:X$400,0)),X$2,)</f>
        <v>0</v>
      </c>
      <c r="Y12" s="179">
        <f ca="1">IF(ISNUMBER(MATCH(DATEVALUE($A12),'recurring1_based on steps'!Y$1:Y$400,0)),Y$2,)</f>
        <v>0</v>
      </c>
      <c r="Z12" s="179">
        <f ca="1">IF(ISNUMBER(MATCH(DATEVALUE($A12),'recurring1_based on steps'!Z$1:Z$400,0)),Z$2,)</f>
        <v>0</v>
      </c>
      <c r="AA12" s="179">
        <f ca="1">IF(ISNUMBER(MATCH(DATEVALUE($A12),'recurring1_based on steps'!AA$1:AA$400,0)),AA$2,)</f>
        <v>0</v>
      </c>
      <c r="AB12" s="179">
        <f ca="1">IF(ISNUMBER(MATCH(DATEVALUE($A12),'recurring1_based on steps'!AB$1:AB$400,0)),AB$2,)</f>
        <v>0</v>
      </c>
      <c r="AC12" s="179">
        <f ca="1">IF(ISNUMBER(MATCH(DATEVALUE($A12),'recurring1_based on steps'!AC$1:AC$400,0)),AC$2,)</f>
        <v>0</v>
      </c>
      <c r="AD12" s="179">
        <f ca="1">IF(ISNUMBER(MATCH(DATEVALUE($A12),'recurring1_based on steps'!AD$1:AD$400,0)),AD$2,)</f>
        <v>0</v>
      </c>
      <c r="AE12" s="179">
        <f ca="1">IF(ISNUMBER(MATCH(DATEVALUE($A12),'recurring1_based on steps'!AE$1:AE$400,0)),AE$2,)</f>
        <v>0</v>
      </c>
      <c r="AF12" s="179">
        <f ca="1">IF(ISNUMBER(MATCH(DATEVALUE($A12),'recurring1_based on steps'!AF$1:AF$400,0)),AF$2,)</f>
        <v>0</v>
      </c>
      <c r="AG12" s="179">
        <f ca="1">IF(ISNUMBER(MATCH(DATEVALUE($A12),'recurring1_based on steps'!AG$1:AG$400,0)),AG$2,)</f>
        <v>0</v>
      </c>
      <c r="AH12" s="179">
        <f ca="1">IF(ISNUMBER(MATCH(DATEVALUE($A12),'recurring1_based on steps'!AH$1:AH$400,0)),AH$2,)</f>
        <v>0</v>
      </c>
      <c r="AI12" s="179">
        <f ca="1">IF(ISNUMBER(MATCH(DATEVALUE($A12),'recurring1_based on steps'!AI$1:AI$400,0)),AI$2,)</f>
        <v>0</v>
      </c>
      <c r="AJ12" s="179">
        <f ca="1">IF(ISNUMBER(MATCH(DATEVALUE($A12),'recurring1_based on steps'!AJ$1:AJ$400,0)),AJ$2,)</f>
        <v>0</v>
      </c>
      <c r="AK12" s="179">
        <f ca="1">IF(ISNUMBER(MATCH(DATEVALUE($A12),'recurring1_based on steps'!AK$1:AK$400,0)),AK$2,)</f>
        <v>0</v>
      </c>
      <c r="AL12" s="179">
        <f ca="1">IF(ISNUMBER(MATCH(DATEVALUE($A12),'recurring1_based on steps'!AL$1:AL$400,0)),AL$2,)</f>
        <v>0</v>
      </c>
      <c r="AM12" s="179">
        <f ca="1">IF(ISNUMBER(MATCH(DATEVALUE($A12),'recurring1_based on steps'!AM$1:AM$400,0)),AM$2,)</f>
        <v>0</v>
      </c>
      <c r="AN12" s="179">
        <f ca="1">IF(ISNUMBER(MATCH(DATEVALUE($A12),'recurring1_based on steps'!AN$1:AN$400,0)),AN$2,)</f>
        <v>0</v>
      </c>
      <c r="AO12" s="179">
        <f ca="1">IF(ISNUMBER(MATCH(DATEVALUE($A12),'recurring1_based on steps'!AO$1:AO$400,0)),AO$2,)</f>
        <v>0</v>
      </c>
      <c r="AP12" s="179">
        <f ca="1">IF(ISNUMBER(MATCH(DATEVALUE($A12),'recurring1_based on steps'!AP$1:AP$400,0)),AP$2,)</f>
        <v>0</v>
      </c>
      <c r="AQ12" s="179">
        <f ca="1">IF(ISNUMBER(MATCH(DATEVALUE($A12),'recurring1_based on steps'!AQ$1:AQ$400,0)),AQ$2,)</f>
        <v>0</v>
      </c>
      <c r="AR12" s="179">
        <f ca="1">IF(ISNUMBER(MATCH(DATEVALUE($A12),'recurring1_based on steps'!AR$1:AR$400,0)),AR$2,)</f>
        <v>0</v>
      </c>
      <c r="AS12" s="179">
        <f ca="1">IF(ISNUMBER(MATCH(DATEVALUE($A12),'recurring1_based on steps'!AS$1:AS$400,0)),AS$2,)</f>
        <v>0</v>
      </c>
      <c r="AT12" s="179">
        <f ca="1">IF(ISNUMBER(MATCH(DATEVALUE($A12),'recurring1_based on steps'!AT$1:AT$400,0)),AT$2,)</f>
        <v>0</v>
      </c>
      <c r="AU12" s="179">
        <f ca="1">IF(ISNUMBER(MATCH(DATEVALUE($A12),'recurring1_based on steps'!AU$1:AU$400,0)),AU$2,)</f>
        <v>0</v>
      </c>
      <c r="AV12" s="179">
        <f ca="1">IF(ISNUMBER(MATCH(DATEVALUE($A12),'recurring1_based on steps'!AV$1:AV$400,0)),AV$2,)</f>
        <v>0</v>
      </c>
      <c r="AW12" s="179">
        <f ca="1">IF(ISNUMBER(MATCH(DATEVALUE($A12),'recurring1_based on steps'!AW$1:AW$400,0)),AW$2,)</f>
        <v>0</v>
      </c>
      <c r="AX12" s="179">
        <f ca="1">IF(ISNUMBER(MATCH(DATEVALUE($A12),'recurring1_based on steps'!AX$1:AX$400,0)),AX$2,)</f>
        <v>0</v>
      </c>
      <c r="AY12" s="179">
        <f ca="1">IF(ISNUMBER(MATCH(DATEVALUE($A12),'recurring1_based on steps'!AY$1:AY$400,0)),AY$2,)</f>
        <v>0</v>
      </c>
    </row>
    <row r="13" spans="1:51" x14ac:dyDescent="0.2">
      <c r="A13" s="32" t="str">
        <f t="shared" ca="1" si="0"/>
        <v>2025-04-08</v>
      </c>
      <c r="B13" s="179">
        <f ca="1">IF(ISNUMBER(MATCH(DATEVALUE($A13),'recurring1_based on steps'!B$1:B$400,0)),B$2,)</f>
        <v>0</v>
      </c>
      <c r="C13" s="179">
        <f ca="1">IF(ISNUMBER(MATCH(DATEVALUE($A13),'recurring1_based on steps'!C$1:C$400,0)),C$2,)</f>
        <v>0</v>
      </c>
      <c r="D13" s="179">
        <f ca="1">IF(ISNUMBER(MATCH(DATEVALUE($A13),'recurring1_based on steps'!D$1:D$400,0)),D$2,)</f>
        <v>0</v>
      </c>
      <c r="E13" s="179">
        <f ca="1">IF(ISNUMBER(MATCH(DATEVALUE($A13),'recurring1_based on steps'!E$1:E$400,0)),E$2,)</f>
        <v>0</v>
      </c>
      <c r="F13" s="179">
        <f ca="1">IF(ISNUMBER(MATCH(DATEVALUE($A13),'recurring1_based on steps'!F$1:F$400,0)),F$2,)</f>
        <v>0</v>
      </c>
      <c r="G13" s="179">
        <f ca="1">IF(ISNUMBER(MATCH(DATEVALUE($A13),'recurring1_based on steps'!G$1:G$400,0)),G$2,)</f>
        <v>0</v>
      </c>
      <c r="H13" s="179">
        <f ca="1">IF(ISNUMBER(MATCH(DATEVALUE($A13),'recurring1_based on steps'!H$1:H$400,0)),H$2,)</f>
        <v>0</v>
      </c>
      <c r="I13" s="179">
        <f ca="1">IF(ISNUMBER(MATCH(DATEVALUE($A13),'recurring1_based on steps'!I$1:I$400,0)),I$2,)</f>
        <v>0</v>
      </c>
      <c r="J13" s="179">
        <f ca="1">IF(ISNUMBER(MATCH(DATEVALUE($A13),'recurring1_based on steps'!J$1:J$400,0)),J$2,)</f>
        <v>0</v>
      </c>
      <c r="K13" s="179">
        <f ca="1">IF(ISNUMBER(MATCH(DATEVALUE($A13),'recurring1_based on steps'!K$1:K$400,0)),K$2,)</f>
        <v>0</v>
      </c>
      <c r="L13" s="179">
        <f ca="1">IF(ISNUMBER(MATCH(DATEVALUE($A13),'recurring1_based on steps'!L$1:L$400,0)),L$2,)</f>
        <v>0</v>
      </c>
      <c r="M13" s="179">
        <f ca="1">IF(ISNUMBER(MATCH(DATEVALUE($A13),'recurring1_based on steps'!M$1:M$400,0)),M$2,)</f>
        <v>0</v>
      </c>
      <c r="N13" s="179">
        <f ca="1">IF(ISNUMBER(MATCH(DATEVALUE($A13),'recurring1_based on steps'!N$1:N$400,0)),N$2,)</f>
        <v>0</v>
      </c>
      <c r="O13" s="179">
        <f ca="1">IF(ISNUMBER(MATCH(DATEVALUE($A13),'recurring1_based on steps'!O$1:O$400,0)),O$2,)</f>
        <v>0</v>
      </c>
      <c r="P13" s="179">
        <f ca="1">IF(ISNUMBER(MATCH(DATEVALUE($A13),'recurring1_based on steps'!P$1:P$400,0)),P$2,)</f>
        <v>0</v>
      </c>
      <c r="Q13" s="179">
        <f ca="1">IF(ISNUMBER(MATCH(DATEVALUE($A13),'recurring1_based on steps'!Q$1:Q$400,0)),Q$2,)</f>
        <v>0</v>
      </c>
      <c r="R13" s="179">
        <f ca="1">IF(ISNUMBER(MATCH(DATEVALUE($A13),'recurring1_based on steps'!R$1:R$400,0)),R$2,)</f>
        <v>0</v>
      </c>
      <c r="S13" s="179">
        <f ca="1">IF(ISNUMBER(MATCH(DATEVALUE($A13),'recurring1_based on steps'!S$1:S$400,0)),S$2,)</f>
        <v>0</v>
      </c>
      <c r="T13" s="179">
        <f ca="1">IF(ISNUMBER(MATCH(DATEVALUE($A13),'recurring1_based on steps'!T$1:T$400,0)),T$2,)</f>
        <v>0</v>
      </c>
      <c r="U13" s="179">
        <f ca="1">IF(ISNUMBER(MATCH(DATEVALUE($A13),'recurring1_based on steps'!U$1:U$400,0)),U$2,)</f>
        <v>0</v>
      </c>
      <c r="V13" s="179">
        <f ca="1">IF(ISNUMBER(MATCH(DATEVALUE($A13),'recurring1_based on steps'!V$1:V$400,0)),V$2,)</f>
        <v>0</v>
      </c>
      <c r="W13" s="179">
        <f ca="1">IF(ISNUMBER(MATCH(DATEVALUE($A13),'recurring1_based on steps'!W$1:W$400,0)),W$2,)</f>
        <v>0</v>
      </c>
      <c r="X13" s="179">
        <f ca="1">IF(ISNUMBER(MATCH(DATEVALUE($A13),'recurring1_based on steps'!X$1:X$400,0)),X$2,)</f>
        <v>0</v>
      </c>
      <c r="Y13" s="179">
        <f ca="1">IF(ISNUMBER(MATCH(DATEVALUE($A13),'recurring1_based on steps'!Y$1:Y$400,0)),Y$2,)</f>
        <v>0</v>
      </c>
      <c r="Z13" s="179">
        <f ca="1">IF(ISNUMBER(MATCH(DATEVALUE($A13),'recurring1_based on steps'!Z$1:Z$400,0)),Z$2,)</f>
        <v>0</v>
      </c>
      <c r="AA13" s="179">
        <f ca="1">IF(ISNUMBER(MATCH(DATEVALUE($A13),'recurring1_based on steps'!AA$1:AA$400,0)),AA$2,)</f>
        <v>0</v>
      </c>
      <c r="AB13" s="179">
        <f ca="1">IF(ISNUMBER(MATCH(DATEVALUE($A13),'recurring1_based on steps'!AB$1:AB$400,0)),AB$2,)</f>
        <v>0</v>
      </c>
      <c r="AC13" s="179">
        <f ca="1">IF(ISNUMBER(MATCH(DATEVALUE($A13),'recurring1_based on steps'!AC$1:AC$400,0)),AC$2,)</f>
        <v>0</v>
      </c>
      <c r="AD13" s="179">
        <f ca="1">IF(ISNUMBER(MATCH(DATEVALUE($A13),'recurring1_based on steps'!AD$1:AD$400,0)),AD$2,)</f>
        <v>0</v>
      </c>
      <c r="AE13" s="179">
        <f ca="1">IF(ISNUMBER(MATCH(DATEVALUE($A13),'recurring1_based on steps'!AE$1:AE$400,0)),AE$2,)</f>
        <v>0</v>
      </c>
      <c r="AF13" s="179">
        <f ca="1">IF(ISNUMBER(MATCH(DATEVALUE($A13),'recurring1_based on steps'!AF$1:AF$400,0)),AF$2,)</f>
        <v>0</v>
      </c>
      <c r="AG13" s="179">
        <f ca="1">IF(ISNUMBER(MATCH(DATEVALUE($A13),'recurring1_based on steps'!AG$1:AG$400,0)),AG$2,)</f>
        <v>0</v>
      </c>
      <c r="AH13" s="179">
        <f ca="1">IF(ISNUMBER(MATCH(DATEVALUE($A13),'recurring1_based on steps'!AH$1:AH$400,0)),AH$2,)</f>
        <v>0</v>
      </c>
      <c r="AI13" s="179">
        <f ca="1">IF(ISNUMBER(MATCH(DATEVALUE($A13),'recurring1_based on steps'!AI$1:AI$400,0)),AI$2,)</f>
        <v>0</v>
      </c>
      <c r="AJ13" s="179">
        <f ca="1">IF(ISNUMBER(MATCH(DATEVALUE($A13),'recurring1_based on steps'!AJ$1:AJ$400,0)),AJ$2,)</f>
        <v>0</v>
      </c>
      <c r="AK13" s="179">
        <f ca="1">IF(ISNUMBER(MATCH(DATEVALUE($A13),'recurring1_based on steps'!AK$1:AK$400,0)),AK$2,)</f>
        <v>0</v>
      </c>
      <c r="AL13" s="179">
        <f ca="1">IF(ISNUMBER(MATCH(DATEVALUE($A13),'recurring1_based on steps'!AL$1:AL$400,0)),AL$2,)</f>
        <v>0</v>
      </c>
      <c r="AM13" s="179">
        <f ca="1">IF(ISNUMBER(MATCH(DATEVALUE($A13),'recurring1_based on steps'!AM$1:AM$400,0)),AM$2,)</f>
        <v>0</v>
      </c>
      <c r="AN13" s="179">
        <f ca="1">IF(ISNUMBER(MATCH(DATEVALUE($A13),'recurring1_based on steps'!AN$1:AN$400,0)),AN$2,)</f>
        <v>0</v>
      </c>
      <c r="AO13" s="179">
        <f ca="1">IF(ISNUMBER(MATCH(DATEVALUE($A13),'recurring1_based on steps'!AO$1:AO$400,0)),AO$2,)</f>
        <v>0</v>
      </c>
      <c r="AP13" s="179">
        <f ca="1">IF(ISNUMBER(MATCH(DATEVALUE($A13),'recurring1_based on steps'!AP$1:AP$400,0)),AP$2,)</f>
        <v>0</v>
      </c>
      <c r="AQ13" s="179">
        <f ca="1">IF(ISNUMBER(MATCH(DATEVALUE($A13),'recurring1_based on steps'!AQ$1:AQ$400,0)),AQ$2,)</f>
        <v>0</v>
      </c>
      <c r="AR13" s="179">
        <f ca="1">IF(ISNUMBER(MATCH(DATEVALUE($A13),'recurring1_based on steps'!AR$1:AR$400,0)),AR$2,)</f>
        <v>0</v>
      </c>
      <c r="AS13" s="179">
        <f ca="1">IF(ISNUMBER(MATCH(DATEVALUE($A13),'recurring1_based on steps'!AS$1:AS$400,0)),AS$2,)</f>
        <v>0</v>
      </c>
      <c r="AT13" s="179">
        <f ca="1">IF(ISNUMBER(MATCH(DATEVALUE($A13),'recurring1_based on steps'!AT$1:AT$400,0)),AT$2,)</f>
        <v>0</v>
      </c>
      <c r="AU13" s="179">
        <f ca="1">IF(ISNUMBER(MATCH(DATEVALUE($A13),'recurring1_based on steps'!AU$1:AU$400,0)),AU$2,)</f>
        <v>0</v>
      </c>
      <c r="AV13" s="179">
        <f ca="1">IF(ISNUMBER(MATCH(DATEVALUE($A13),'recurring1_based on steps'!AV$1:AV$400,0)),AV$2,)</f>
        <v>0</v>
      </c>
      <c r="AW13" s="179">
        <f ca="1">IF(ISNUMBER(MATCH(DATEVALUE($A13),'recurring1_based on steps'!AW$1:AW$400,0)),AW$2,)</f>
        <v>0</v>
      </c>
      <c r="AX13" s="179">
        <f ca="1">IF(ISNUMBER(MATCH(DATEVALUE($A13),'recurring1_based on steps'!AX$1:AX$400,0)),AX$2,)</f>
        <v>0</v>
      </c>
      <c r="AY13" s="179">
        <f ca="1">IF(ISNUMBER(MATCH(DATEVALUE($A13),'recurring1_based on steps'!AY$1:AY$400,0)),AY$2,)</f>
        <v>0</v>
      </c>
    </row>
    <row r="14" spans="1:51" x14ac:dyDescent="0.2">
      <c r="A14" s="32" t="str">
        <f t="shared" ca="1" si="0"/>
        <v>2025-04-09</v>
      </c>
      <c r="B14" s="179">
        <f ca="1">IF(ISNUMBER(MATCH(DATEVALUE($A14),'recurring1_based on steps'!B$1:B$400,0)),B$2,)</f>
        <v>0</v>
      </c>
      <c r="C14" s="179">
        <f ca="1">IF(ISNUMBER(MATCH(DATEVALUE($A14),'recurring1_based on steps'!C$1:C$400,0)),C$2,)</f>
        <v>0</v>
      </c>
      <c r="D14" s="179">
        <f ca="1">IF(ISNUMBER(MATCH(DATEVALUE($A14),'recurring1_based on steps'!D$1:D$400,0)),D$2,)</f>
        <v>0</v>
      </c>
      <c r="E14" s="179">
        <f ca="1">IF(ISNUMBER(MATCH(DATEVALUE($A14),'recurring1_based on steps'!E$1:E$400,0)),E$2,)</f>
        <v>0</v>
      </c>
      <c r="F14" s="179">
        <f ca="1">IF(ISNUMBER(MATCH(DATEVALUE($A14),'recurring1_based on steps'!F$1:F$400,0)),F$2,)</f>
        <v>0</v>
      </c>
      <c r="G14" s="179">
        <f ca="1">IF(ISNUMBER(MATCH(DATEVALUE($A14),'recurring1_based on steps'!G$1:G$400,0)),G$2,)</f>
        <v>0</v>
      </c>
      <c r="H14" s="179">
        <f ca="1">IF(ISNUMBER(MATCH(DATEVALUE($A14),'recurring1_based on steps'!H$1:H$400,0)),H$2,)</f>
        <v>0</v>
      </c>
      <c r="I14" s="179">
        <f ca="1">IF(ISNUMBER(MATCH(DATEVALUE($A14),'recurring1_based on steps'!I$1:I$400,0)),I$2,)</f>
        <v>0</v>
      </c>
      <c r="J14" s="179">
        <f ca="1">IF(ISNUMBER(MATCH(DATEVALUE($A14),'recurring1_based on steps'!J$1:J$400,0)),J$2,)</f>
        <v>0</v>
      </c>
      <c r="K14" s="179">
        <f ca="1">IF(ISNUMBER(MATCH(DATEVALUE($A14),'recurring1_based on steps'!K$1:K$400,0)),K$2,)</f>
        <v>0</v>
      </c>
      <c r="L14" s="179">
        <f ca="1">IF(ISNUMBER(MATCH(DATEVALUE($A14),'recurring1_based on steps'!L$1:L$400,0)),L$2,)</f>
        <v>0</v>
      </c>
      <c r="M14" s="179">
        <f ca="1">IF(ISNUMBER(MATCH(DATEVALUE($A14),'recurring1_based on steps'!M$1:M$400,0)),M$2,)</f>
        <v>0</v>
      </c>
      <c r="N14" s="179">
        <f ca="1">IF(ISNUMBER(MATCH(DATEVALUE($A14),'recurring1_based on steps'!N$1:N$400,0)),N$2,)</f>
        <v>0</v>
      </c>
      <c r="O14" s="179">
        <f ca="1">IF(ISNUMBER(MATCH(DATEVALUE($A14),'recurring1_based on steps'!O$1:O$400,0)),O$2,)</f>
        <v>0</v>
      </c>
      <c r="P14" s="179">
        <f ca="1">IF(ISNUMBER(MATCH(DATEVALUE($A14),'recurring1_based on steps'!P$1:P$400,0)),P$2,)</f>
        <v>0</v>
      </c>
      <c r="Q14" s="179">
        <f ca="1">IF(ISNUMBER(MATCH(DATEVALUE($A14),'recurring1_based on steps'!Q$1:Q$400,0)),Q$2,)</f>
        <v>0</v>
      </c>
      <c r="R14" s="179">
        <f ca="1">IF(ISNUMBER(MATCH(DATEVALUE($A14),'recurring1_based on steps'!R$1:R$400,0)),R$2,)</f>
        <v>0</v>
      </c>
      <c r="S14" s="179">
        <f ca="1">IF(ISNUMBER(MATCH(DATEVALUE($A14),'recurring1_based on steps'!S$1:S$400,0)),S$2,)</f>
        <v>0</v>
      </c>
      <c r="T14" s="179">
        <f ca="1">IF(ISNUMBER(MATCH(DATEVALUE($A14),'recurring1_based on steps'!T$1:T$400,0)),T$2,)</f>
        <v>0</v>
      </c>
      <c r="U14" s="179">
        <f ca="1">IF(ISNUMBER(MATCH(DATEVALUE($A14),'recurring1_based on steps'!U$1:U$400,0)),U$2,)</f>
        <v>0</v>
      </c>
      <c r="V14" s="179">
        <f ca="1">IF(ISNUMBER(MATCH(DATEVALUE($A14),'recurring1_based on steps'!V$1:V$400,0)),V$2,)</f>
        <v>0</v>
      </c>
      <c r="W14" s="179">
        <f ca="1">IF(ISNUMBER(MATCH(DATEVALUE($A14),'recurring1_based on steps'!W$1:W$400,0)),W$2,)</f>
        <v>0</v>
      </c>
      <c r="X14" s="179">
        <f ca="1">IF(ISNUMBER(MATCH(DATEVALUE($A14),'recurring1_based on steps'!X$1:X$400,0)),X$2,)</f>
        <v>0</v>
      </c>
      <c r="Y14" s="179">
        <f ca="1">IF(ISNUMBER(MATCH(DATEVALUE($A14),'recurring1_based on steps'!Y$1:Y$400,0)),Y$2,)</f>
        <v>0</v>
      </c>
      <c r="Z14" s="179">
        <f ca="1">IF(ISNUMBER(MATCH(DATEVALUE($A14),'recurring1_based on steps'!Z$1:Z$400,0)),Z$2,)</f>
        <v>0</v>
      </c>
      <c r="AA14" s="179">
        <f ca="1">IF(ISNUMBER(MATCH(DATEVALUE($A14),'recurring1_based on steps'!AA$1:AA$400,0)),AA$2,)</f>
        <v>0</v>
      </c>
      <c r="AB14" s="179">
        <f ca="1">IF(ISNUMBER(MATCH(DATEVALUE($A14),'recurring1_based on steps'!AB$1:AB$400,0)),AB$2,)</f>
        <v>0</v>
      </c>
      <c r="AC14" s="179">
        <f ca="1">IF(ISNUMBER(MATCH(DATEVALUE($A14),'recurring1_based on steps'!AC$1:AC$400,0)),AC$2,)</f>
        <v>0</v>
      </c>
      <c r="AD14" s="179">
        <f ca="1">IF(ISNUMBER(MATCH(DATEVALUE($A14),'recurring1_based on steps'!AD$1:AD$400,0)),AD$2,)</f>
        <v>0</v>
      </c>
      <c r="AE14" s="179">
        <f ca="1">IF(ISNUMBER(MATCH(DATEVALUE($A14),'recurring1_based on steps'!AE$1:AE$400,0)),AE$2,)</f>
        <v>0</v>
      </c>
      <c r="AF14" s="179">
        <f ca="1">IF(ISNUMBER(MATCH(DATEVALUE($A14),'recurring1_based on steps'!AF$1:AF$400,0)),AF$2,)</f>
        <v>0</v>
      </c>
      <c r="AG14" s="179">
        <f ca="1">IF(ISNUMBER(MATCH(DATEVALUE($A14),'recurring1_based on steps'!AG$1:AG$400,0)),AG$2,)</f>
        <v>0</v>
      </c>
      <c r="AH14" s="179">
        <f ca="1">IF(ISNUMBER(MATCH(DATEVALUE($A14),'recurring1_based on steps'!AH$1:AH$400,0)),AH$2,)</f>
        <v>0</v>
      </c>
      <c r="AI14" s="179">
        <f ca="1">IF(ISNUMBER(MATCH(DATEVALUE($A14),'recurring1_based on steps'!AI$1:AI$400,0)),AI$2,)</f>
        <v>0</v>
      </c>
      <c r="AJ14" s="179">
        <f ca="1">IF(ISNUMBER(MATCH(DATEVALUE($A14),'recurring1_based on steps'!AJ$1:AJ$400,0)),AJ$2,)</f>
        <v>0</v>
      </c>
      <c r="AK14" s="179">
        <f ca="1">IF(ISNUMBER(MATCH(DATEVALUE($A14),'recurring1_based on steps'!AK$1:AK$400,0)),AK$2,)</f>
        <v>0</v>
      </c>
      <c r="AL14" s="179">
        <f ca="1">IF(ISNUMBER(MATCH(DATEVALUE($A14),'recurring1_based on steps'!AL$1:AL$400,0)),AL$2,)</f>
        <v>0</v>
      </c>
      <c r="AM14" s="179">
        <f ca="1">IF(ISNUMBER(MATCH(DATEVALUE($A14),'recurring1_based on steps'!AM$1:AM$400,0)),AM$2,)</f>
        <v>0</v>
      </c>
      <c r="AN14" s="179">
        <f ca="1">IF(ISNUMBER(MATCH(DATEVALUE($A14),'recurring1_based on steps'!AN$1:AN$400,0)),AN$2,)</f>
        <v>0</v>
      </c>
      <c r="AO14" s="179">
        <f ca="1">IF(ISNUMBER(MATCH(DATEVALUE($A14),'recurring1_based on steps'!AO$1:AO$400,0)),AO$2,)</f>
        <v>0</v>
      </c>
      <c r="AP14" s="179">
        <f ca="1">IF(ISNUMBER(MATCH(DATEVALUE($A14),'recurring1_based on steps'!AP$1:AP$400,0)),AP$2,)</f>
        <v>0</v>
      </c>
      <c r="AQ14" s="179">
        <f ca="1">IF(ISNUMBER(MATCH(DATEVALUE($A14),'recurring1_based on steps'!AQ$1:AQ$400,0)),AQ$2,)</f>
        <v>0</v>
      </c>
      <c r="AR14" s="179">
        <f ca="1">IF(ISNUMBER(MATCH(DATEVALUE($A14),'recurring1_based on steps'!AR$1:AR$400,0)),AR$2,)</f>
        <v>0</v>
      </c>
      <c r="AS14" s="179">
        <f ca="1">IF(ISNUMBER(MATCH(DATEVALUE($A14),'recurring1_based on steps'!AS$1:AS$400,0)),AS$2,)</f>
        <v>0</v>
      </c>
      <c r="AT14" s="179">
        <f ca="1">IF(ISNUMBER(MATCH(DATEVALUE($A14),'recurring1_based on steps'!AT$1:AT$400,0)),AT$2,)</f>
        <v>0</v>
      </c>
      <c r="AU14" s="179">
        <f ca="1">IF(ISNUMBER(MATCH(DATEVALUE($A14),'recurring1_based on steps'!AU$1:AU$400,0)),AU$2,)</f>
        <v>0</v>
      </c>
      <c r="AV14" s="179">
        <f ca="1">IF(ISNUMBER(MATCH(DATEVALUE($A14),'recurring1_based on steps'!AV$1:AV$400,0)),AV$2,)</f>
        <v>0</v>
      </c>
      <c r="AW14" s="179">
        <f ca="1">IF(ISNUMBER(MATCH(DATEVALUE($A14),'recurring1_based on steps'!AW$1:AW$400,0)),AW$2,)</f>
        <v>0</v>
      </c>
      <c r="AX14" s="179">
        <f ca="1">IF(ISNUMBER(MATCH(DATEVALUE($A14),'recurring1_based on steps'!AX$1:AX$400,0)),AX$2,)</f>
        <v>0</v>
      </c>
      <c r="AY14" s="179">
        <f ca="1">IF(ISNUMBER(MATCH(DATEVALUE($A14),'recurring1_based on steps'!AY$1:AY$400,0)),AY$2,)</f>
        <v>0</v>
      </c>
    </row>
    <row r="15" spans="1:51" x14ac:dyDescent="0.2">
      <c r="A15" s="32" t="str">
        <f t="shared" ca="1" si="0"/>
        <v>2025-04-10</v>
      </c>
      <c r="B15" s="179">
        <f ca="1">IF(ISNUMBER(MATCH(DATEVALUE($A15),'recurring1_based on steps'!B$1:B$400,0)),B$2,)</f>
        <v>0</v>
      </c>
      <c r="C15" s="179">
        <f ca="1">IF(ISNUMBER(MATCH(DATEVALUE($A15),'recurring1_based on steps'!C$1:C$400,0)),C$2,)</f>
        <v>0</v>
      </c>
      <c r="D15" s="179">
        <f ca="1">IF(ISNUMBER(MATCH(DATEVALUE($A15),'recurring1_based on steps'!D$1:D$400,0)),D$2,)</f>
        <v>0</v>
      </c>
      <c r="E15" s="179">
        <f ca="1">IF(ISNUMBER(MATCH(DATEVALUE($A15),'recurring1_based on steps'!E$1:E$400,0)),E$2,)</f>
        <v>0</v>
      </c>
      <c r="F15" s="179">
        <f ca="1">IF(ISNUMBER(MATCH(DATEVALUE($A15),'recurring1_based on steps'!F$1:F$400,0)),F$2,)</f>
        <v>0</v>
      </c>
      <c r="G15" s="179">
        <f ca="1">IF(ISNUMBER(MATCH(DATEVALUE($A15),'recurring1_based on steps'!G$1:G$400,0)),G$2,)</f>
        <v>0</v>
      </c>
      <c r="H15" s="179">
        <f ca="1">IF(ISNUMBER(MATCH(DATEVALUE($A15),'recurring1_based on steps'!H$1:H$400,0)),H$2,)</f>
        <v>0</v>
      </c>
      <c r="I15" s="179">
        <f ca="1">IF(ISNUMBER(MATCH(DATEVALUE($A15),'recurring1_based on steps'!I$1:I$400,0)),I$2,)</f>
        <v>0</v>
      </c>
      <c r="J15" s="179">
        <f ca="1">IF(ISNUMBER(MATCH(DATEVALUE($A15),'recurring1_based on steps'!J$1:J$400,0)),J$2,)</f>
        <v>0</v>
      </c>
      <c r="K15" s="179">
        <f ca="1">IF(ISNUMBER(MATCH(DATEVALUE($A15),'recurring1_based on steps'!K$1:K$400,0)),K$2,)</f>
        <v>0</v>
      </c>
      <c r="L15" s="179">
        <f ca="1">IF(ISNUMBER(MATCH(DATEVALUE($A15),'recurring1_based on steps'!L$1:L$400,0)),L$2,)</f>
        <v>0</v>
      </c>
      <c r="M15" s="179">
        <f ca="1">IF(ISNUMBER(MATCH(DATEVALUE($A15),'recurring1_based on steps'!M$1:M$400,0)),M$2,)</f>
        <v>0</v>
      </c>
      <c r="N15" s="179">
        <f ca="1">IF(ISNUMBER(MATCH(DATEVALUE($A15),'recurring1_based on steps'!N$1:N$400,0)),N$2,)</f>
        <v>0</v>
      </c>
      <c r="O15" s="179">
        <f ca="1">IF(ISNUMBER(MATCH(DATEVALUE($A15),'recurring1_based on steps'!O$1:O$400,0)),O$2,)</f>
        <v>0</v>
      </c>
      <c r="P15" s="179">
        <f ca="1">IF(ISNUMBER(MATCH(DATEVALUE($A15),'recurring1_based on steps'!P$1:P$400,0)),P$2,)</f>
        <v>0</v>
      </c>
      <c r="Q15" s="179">
        <f ca="1">IF(ISNUMBER(MATCH(DATEVALUE($A15),'recurring1_based on steps'!Q$1:Q$400,0)),Q$2,)</f>
        <v>0</v>
      </c>
      <c r="R15" s="179">
        <f ca="1">IF(ISNUMBER(MATCH(DATEVALUE($A15),'recurring1_based on steps'!R$1:R$400,0)),R$2,)</f>
        <v>0</v>
      </c>
      <c r="S15" s="179">
        <f ca="1">IF(ISNUMBER(MATCH(DATEVALUE($A15),'recurring1_based on steps'!S$1:S$400,0)),S$2,)</f>
        <v>0</v>
      </c>
      <c r="T15" s="179">
        <f ca="1">IF(ISNUMBER(MATCH(DATEVALUE($A15),'recurring1_based on steps'!T$1:T$400,0)),T$2,)</f>
        <v>0</v>
      </c>
      <c r="U15" s="179">
        <f ca="1">IF(ISNUMBER(MATCH(DATEVALUE($A15),'recurring1_based on steps'!U$1:U$400,0)),U$2,)</f>
        <v>0</v>
      </c>
      <c r="V15" s="179">
        <f ca="1">IF(ISNUMBER(MATCH(DATEVALUE($A15),'recurring1_based on steps'!V$1:V$400,0)),V$2,)</f>
        <v>0</v>
      </c>
      <c r="W15" s="179">
        <f ca="1">IF(ISNUMBER(MATCH(DATEVALUE($A15),'recurring1_based on steps'!W$1:W$400,0)),W$2,)</f>
        <v>0</v>
      </c>
      <c r="X15" s="179">
        <f ca="1">IF(ISNUMBER(MATCH(DATEVALUE($A15),'recurring1_based on steps'!X$1:X$400,0)),X$2,)</f>
        <v>0</v>
      </c>
      <c r="Y15" s="179">
        <f ca="1">IF(ISNUMBER(MATCH(DATEVALUE($A15),'recurring1_based on steps'!Y$1:Y$400,0)),Y$2,)</f>
        <v>0</v>
      </c>
      <c r="Z15" s="179">
        <f ca="1">IF(ISNUMBER(MATCH(DATEVALUE($A15),'recurring1_based on steps'!Z$1:Z$400,0)),Z$2,)</f>
        <v>0</v>
      </c>
      <c r="AA15" s="179">
        <f ca="1">IF(ISNUMBER(MATCH(DATEVALUE($A15),'recurring1_based on steps'!AA$1:AA$400,0)),AA$2,)</f>
        <v>0</v>
      </c>
      <c r="AB15" s="179">
        <f ca="1">IF(ISNUMBER(MATCH(DATEVALUE($A15),'recurring1_based on steps'!AB$1:AB$400,0)),AB$2,)</f>
        <v>0</v>
      </c>
      <c r="AC15" s="179">
        <f ca="1">IF(ISNUMBER(MATCH(DATEVALUE($A15),'recurring1_based on steps'!AC$1:AC$400,0)),AC$2,)</f>
        <v>0</v>
      </c>
      <c r="AD15" s="179">
        <f ca="1">IF(ISNUMBER(MATCH(DATEVALUE($A15),'recurring1_based on steps'!AD$1:AD$400,0)),AD$2,)</f>
        <v>0</v>
      </c>
      <c r="AE15" s="179">
        <f ca="1">IF(ISNUMBER(MATCH(DATEVALUE($A15),'recurring1_based on steps'!AE$1:AE$400,0)),AE$2,)</f>
        <v>0</v>
      </c>
      <c r="AF15" s="179">
        <f ca="1">IF(ISNUMBER(MATCH(DATEVALUE($A15),'recurring1_based on steps'!AF$1:AF$400,0)),AF$2,)</f>
        <v>0</v>
      </c>
      <c r="AG15" s="179">
        <f ca="1">IF(ISNUMBER(MATCH(DATEVALUE($A15),'recurring1_based on steps'!AG$1:AG$400,0)),AG$2,)</f>
        <v>0</v>
      </c>
      <c r="AH15" s="179">
        <f ca="1">IF(ISNUMBER(MATCH(DATEVALUE($A15),'recurring1_based on steps'!AH$1:AH$400,0)),AH$2,)</f>
        <v>0</v>
      </c>
      <c r="AI15" s="179">
        <f ca="1">IF(ISNUMBER(MATCH(DATEVALUE($A15),'recurring1_based on steps'!AI$1:AI$400,0)),AI$2,)</f>
        <v>0</v>
      </c>
      <c r="AJ15" s="179">
        <f ca="1">IF(ISNUMBER(MATCH(DATEVALUE($A15),'recurring1_based on steps'!AJ$1:AJ$400,0)),AJ$2,)</f>
        <v>0</v>
      </c>
      <c r="AK15" s="179">
        <f ca="1">IF(ISNUMBER(MATCH(DATEVALUE($A15),'recurring1_based on steps'!AK$1:AK$400,0)),AK$2,)</f>
        <v>0</v>
      </c>
      <c r="AL15" s="179">
        <f ca="1">IF(ISNUMBER(MATCH(DATEVALUE($A15),'recurring1_based on steps'!AL$1:AL$400,0)),AL$2,)</f>
        <v>0</v>
      </c>
      <c r="AM15" s="179">
        <f ca="1">IF(ISNUMBER(MATCH(DATEVALUE($A15),'recurring1_based on steps'!AM$1:AM$400,0)),AM$2,)</f>
        <v>0</v>
      </c>
      <c r="AN15" s="179">
        <f ca="1">IF(ISNUMBER(MATCH(DATEVALUE($A15),'recurring1_based on steps'!AN$1:AN$400,0)),AN$2,)</f>
        <v>0</v>
      </c>
      <c r="AO15" s="179">
        <f ca="1">IF(ISNUMBER(MATCH(DATEVALUE($A15),'recurring1_based on steps'!AO$1:AO$400,0)),AO$2,)</f>
        <v>0</v>
      </c>
      <c r="AP15" s="179">
        <f ca="1">IF(ISNUMBER(MATCH(DATEVALUE($A15),'recurring1_based on steps'!AP$1:AP$400,0)),AP$2,)</f>
        <v>0</v>
      </c>
      <c r="AQ15" s="179">
        <f ca="1">IF(ISNUMBER(MATCH(DATEVALUE($A15),'recurring1_based on steps'!AQ$1:AQ$400,0)),AQ$2,)</f>
        <v>0</v>
      </c>
      <c r="AR15" s="179">
        <f ca="1">IF(ISNUMBER(MATCH(DATEVALUE($A15),'recurring1_based on steps'!AR$1:AR$400,0)),AR$2,)</f>
        <v>0</v>
      </c>
      <c r="AS15" s="179">
        <f ca="1">IF(ISNUMBER(MATCH(DATEVALUE($A15),'recurring1_based on steps'!AS$1:AS$400,0)),AS$2,)</f>
        <v>0</v>
      </c>
      <c r="AT15" s="179">
        <f ca="1">IF(ISNUMBER(MATCH(DATEVALUE($A15),'recurring1_based on steps'!AT$1:AT$400,0)),AT$2,)</f>
        <v>0</v>
      </c>
      <c r="AU15" s="179">
        <f ca="1">IF(ISNUMBER(MATCH(DATEVALUE($A15),'recurring1_based on steps'!AU$1:AU$400,0)),AU$2,)</f>
        <v>0</v>
      </c>
      <c r="AV15" s="179">
        <f ca="1">IF(ISNUMBER(MATCH(DATEVALUE($A15),'recurring1_based on steps'!AV$1:AV$400,0)),AV$2,)</f>
        <v>0</v>
      </c>
      <c r="AW15" s="179">
        <f ca="1">IF(ISNUMBER(MATCH(DATEVALUE($A15),'recurring1_based on steps'!AW$1:AW$400,0)),AW$2,)</f>
        <v>0</v>
      </c>
      <c r="AX15" s="179">
        <f ca="1">IF(ISNUMBER(MATCH(DATEVALUE($A15),'recurring1_based on steps'!AX$1:AX$400,0)),AX$2,)</f>
        <v>0</v>
      </c>
      <c r="AY15" s="179">
        <f ca="1">IF(ISNUMBER(MATCH(DATEVALUE($A15),'recurring1_based on steps'!AY$1:AY$400,0)),AY$2,)</f>
        <v>0</v>
      </c>
    </row>
    <row r="16" spans="1:51" x14ac:dyDescent="0.2">
      <c r="A16" s="32" t="str">
        <f t="shared" ca="1" si="0"/>
        <v>2025-04-11</v>
      </c>
      <c r="B16" s="179">
        <f ca="1">IF(ISNUMBER(MATCH(DATEVALUE($A16),'recurring1_based on steps'!B$1:B$400,0)),B$2,)</f>
        <v>0</v>
      </c>
      <c r="C16" s="179">
        <f ca="1">IF(ISNUMBER(MATCH(DATEVALUE($A16),'recurring1_based on steps'!C$1:C$400,0)),C$2,)</f>
        <v>0</v>
      </c>
      <c r="D16" s="179">
        <f ca="1">IF(ISNUMBER(MATCH(DATEVALUE($A16),'recurring1_based on steps'!D$1:D$400,0)),D$2,)</f>
        <v>0</v>
      </c>
      <c r="E16" s="179">
        <f ca="1">IF(ISNUMBER(MATCH(DATEVALUE($A16),'recurring1_based on steps'!E$1:E$400,0)),E$2,)</f>
        <v>0</v>
      </c>
      <c r="F16" s="179">
        <f ca="1">IF(ISNUMBER(MATCH(DATEVALUE($A16),'recurring1_based on steps'!F$1:F$400,0)),F$2,)</f>
        <v>0</v>
      </c>
      <c r="G16" s="179">
        <f ca="1">IF(ISNUMBER(MATCH(DATEVALUE($A16),'recurring1_based on steps'!G$1:G$400,0)),G$2,)</f>
        <v>0</v>
      </c>
      <c r="H16" s="179">
        <f ca="1">IF(ISNUMBER(MATCH(DATEVALUE($A16),'recurring1_based on steps'!H$1:H$400,0)),H$2,)</f>
        <v>0</v>
      </c>
      <c r="I16" s="179">
        <f ca="1">IF(ISNUMBER(MATCH(DATEVALUE($A16),'recurring1_based on steps'!I$1:I$400,0)),I$2,)</f>
        <v>0</v>
      </c>
      <c r="J16" s="179">
        <f ca="1">IF(ISNUMBER(MATCH(DATEVALUE($A16),'recurring1_based on steps'!J$1:J$400,0)),J$2,)</f>
        <v>0</v>
      </c>
      <c r="K16" s="179">
        <f ca="1">IF(ISNUMBER(MATCH(DATEVALUE($A16),'recurring1_based on steps'!K$1:K$400,0)),K$2,)</f>
        <v>0</v>
      </c>
      <c r="L16" s="179">
        <f ca="1">IF(ISNUMBER(MATCH(DATEVALUE($A16),'recurring1_based on steps'!L$1:L$400,0)),L$2,)</f>
        <v>0</v>
      </c>
      <c r="M16" s="179">
        <f ca="1">IF(ISNUMBER(MATCH(DATEVALUE($A16),'recurring1_based on steps'!M$1:M$400,0)),M$2,)</f>
        <v>0</v>
      </c>
      <c r="N16" s="179">
        <f ca="1">IF(ISNUMBER(MATCH(DATEVALUE($A16),'recurring1_based on steps'!N$1:N$400,0)),N$2,)</f>
        <v>0</v>
      </c>
      <c r="O16" s="179">
        <f ca="1">IF(ISNUMBER(MATCH(DATEVALUE($A16),'recurring1_based on steps'!O$1:O$400,0)),O$2,)</f>
        <v>0</v>
      </c>
      <c r="P16" s="179">
        <f ca="1">IF(ISNUMBER(MATCH(DATEVALUE($A16),'recurring1_based on steps'!P$1:P$400,0)),P$2,)</f>
        <v>0</v>
      </c>
      <c r="Q16" s="179">
        <f ca="1">IF(ISNUMBER(MATCH(DATEVALUE($A16),'recurring1_based on steps'!Q$1:Q$400,0)),Q$2,)</f>
        <v>0</v>
      </c>
      <c r="R16" s="179">
        <f ca="1">IF(ISNUMBER(MATCH(DATEVALUE($A16),'recurring1_based on steps'!R$1:R$400,0)),R$2,)</f>
        <v>0</v>
      </c>
      <c r="S16" s="179">
        <f ca="1">IF(ISNUMBER(MATCH(DATEVALUE($A16),'recurring1_based on steps'!S$1:S$400,0)),S$2,)</f>
        <v>0</v>
      </c>
      <c r="T16" s="179">
        <f ca="1">IF(ISNUMBER(MATCH(DATEVALUE($A16),'recurring1_based on steps'!T$1:T$400,0)),T$2,)</f>
        <v>0</v>
      </c>
      <c r="U16" s="179">
        <f ca="1">IF(ISNUMBER(MATCH(DATEVALUE($A16),'recurring1_based on steps'!U$1:U$400,0)),U$2,)</f>
        <v>0</v>
      </c>
      <c r="V16" s="179">
        <f ca="1">IF(ISNUMBER(MATCH(DATEVALUE($A16),'recurring1_based on steps'!V$1:V$400,0)),V$2,)</f>
        <v>0</v>
      </c>
      <c r="W16" s="179">
        <f ca="1">IF(ISNUMBER(MATCH(DATEVALUE($A16),'recurring1_based on steps'!W$1:W$400,0)),W$2,)</f>
        <v>0</v>
      </c>
      <c r="X16" s="179">
        <f ca="1">IF(ISNUMBER(MATCH(DATEVALUE($A16),'recurring1_based on steps'!X$1:X$400,0)),X$2,)</f>
        <v>0</v>
      </c>
      <c r="Y16" s="179">
        <f ca="1">IF(ISNUMBER(MATCH(DATEVALUE($A16),'recurring1_based on steps'!Y$1:Y$400,0)),Y$2,)</f>
        <v>0</v>
      </c>
      <c r="Z16" s="179">
        <f ca="1">IF(ISNUMBER(MATCH(DATEVALUE($A16),'recurring1_based on steps'!Z$1:Z$400,0)),Z$2,)</f>
        <v>0</v>
      </c>
      <c r="AA16" s="179">
        <f ca="1">IF(ISNUMBER(MATCH(DATEVALUE($A16),'recurring1_based on steps'!AA$1:AA$400,0)),AA$2,)</f>
        <v>0</v>
      </c>
      <c r="AB16" s="179">
        <f ca="1">IF(ISNUMBER(MATCH(DATEVALUE($A16),'recurring1_based on steps'!AB$1:AB$400,0)),AB$2,)</f>
        <v>0</v>
      </c>
      <c r="AC16" s="179">
        <f ca="1">IF(ISNUMBER(MATCH(DATEVALUE($A16),'recurring1_based on steps'!AC$1:AC$400,0)),AC$2,)</f>
        <v>0</v>
      </c>
      <c r="AD16" s="179">
        <f ca="1">IF(ISNUMBER(MATCH(DATEVALUE($A16),'recurring1_based on steps'!AD$1:AD$400,0)),AD$2,)</f>
        <v>0</v>
      </c>
      <c r="AE16" s="179">
        <f ca="1">IF(ISNUMBER(MATCH(DATEVALUE($A16),'recurring1_based on steps'!AE$1:AE$400,0)),AE$2,)</f>
        <v>0</v>
      </c>
      <c r="AF16" s="179">
        <f ca="1">IF(ISNUMBER(MATCH(DATEVALUE($A16),'recurring1_based on steps'!AF$1:AF$400,0)),AF$2,)</f>
        <v>0</v>
      </c>
      <c r="AG16" s="179">
        <f ca="1">IF(ISNUMBER(MATCH(DATEVALUE($A16),'recurring1_based on steps'!AG$1:AG$400,0)),AG$2,)</f>
        <v>0</v>
      </c>
      <c r="AH16" s="179">
        <f ca="1">IF(ISNUMBER(MATCH(DATEVALUE($A16),'recurring1_based on steps'!AH$1:AH$400,0)),AH$2,)</f>
        <v>0</v>
      </c>
      <c r="AI16" s="179">
        <f ca="1">IF(ISNUMBER(MATCH(DATEVALUE($A16),'recurring1_based on steps'!AI$1:AI$400,0)),AI$2,)</f>
        <v>0</v>
      </c>
      <c r="AJ16" s="179">
        <f ca="1">IF(ISNUMBER(MATCH(DATEVALUE($A16),'recurring1_based on steps'!AJ$1:AJ$400,0)),AJ$2,)</f>
        <v>0</v>
      </c>
      <c r="AK16" s="179">
        <f ca="1">IF(ISNUMBER(MATCH(DATEVALUE($A16),'recurring1_based on steps'!AK$1:AK$400,0)),AK$2,)</f>
        <v>0</v>
      </c>
      <c r="AL16" s="179">
        <f ca="1">IF(ISNUMBER(MATCH(DATEVALUE($A16),'recurring1_based on steps'!AL$1:AL$400,0)),AL$2,)</f>
        <v>0</v>
      </c>
      <c r="AM16" s="179">
        <f ca="1">IF(ISNUMBER(MATCH(DATEVALUE($A16),'recurring1_based on steps'!AM$1:AM$400,0)),AM$2,)</f>
        <v>0</v>
      </c>
      <c r="AN16" s="179">
        <f ca="1">IF(ISNUMBER(MATCH(DATEVALUE($A16),'recurring1_based on steps'!AN$1:AN$400,0)),AN$2,)</f>
        <v>0</v>
      </c>
      <c r="AO16" s="179">
        <f ca="1">IF(ISNUMBER(MATCH(DATEVALUE($A16),'recurring1_based on steps'!AO$1:AO$400,0)),AO$2,)</f>
        <v>0</v>
      </c>
      <c r="AP16" s="179">
        <f ca="1">IF(ISNUMBER(MATCH(DATEVALUE($A16),'recurring1_based on steps'!AP$1:AP$400,0)),AP$2,)</f>
        <v>0</v>
      </c>
      <c r="AQ16" s="179">
        <f ca="1">IF(ISNUMBER(MATCH(DATEVALUE($A16),'recurring1_based on steps'!AQ$1:AQ$400,0)),AQ$2,)</f>
        <v>0</v>
      </c>
      <c r="AR16" s="179">
        <f ca="1">IF(ISNUMBER(MATCH(DATEVALUE($A16),'recurring1_based on steps'!AR$1:AR$400,0)),AR$2,)</f>
        <v>0</v>
      </c>
      <c r="AS16" s="179">
        <f ca="1">IF(ISNUMBER(MATCH(DATEVALUE($A16),'recurring1_based on steps'!AS$1:AS$400,0)),AS$2,)</f>
        <v>0</v>
      </c>
      <c r="AT16" s="179">
        <f ca="1">IF(ISNUMBER(MATCH(DATEVALUE($A16),'recurring1_based on steps'!AT$1:AT$400,0)),AT$2,)</f>
        <v>0</v>
      </c>
      <c r="AU16" s="179">
        <f ca="1">IF(ISNUMBER(MATCH(DATEVALUE($A16),'recurring1_based on steps'!AU$1:AU$400,0)),AU$2,)</f>
        <v>0</v>
      </c>
      <c r="AV16" s="179">
        <f ca="1">IF(ISNUMBER(MATCH(DATEVALUE($A16),'recurring1_based on steps'!AV$1:AV$400,0)),AV$2,)</f>
        <v>0</v>
      </c>
      <c r="AW16" s="179">
        <f ca="1">IF(ISNUMBER(MATCH(DATEVALUE($A16),'recurring1_based on steps'!AW$1:AW$400,0)),AW$2,)</f>
        <v>0</v>
      </c>
      <c r="AX16" s="179">
        <f ca="1">IF(ISNUMBER(MATCH(DATEVALUE($A16),'recurring1_based on steps'!AX$1:AX$400,0)),AX$2,)</f>
        <v>0</v>
      </c>
      <c r="AY16" s="179">
        <f ca="1">IF(ISNUMBER(MATCH(DATEVALUE($A16),'recurring1_based on steps'!AY$1:AY$400,0)),AY$2,)</f>
        <v>0</v>
      </c>
    </row>
    <row r="17" spans="1:51" x14ac:dyDescent="0.2">
      <c r="A17" s="32" t="str">
        <f t="shared" ca="1" si="0"/>
        <v>2025-04-12</v>
      </c>
      <c r="B17" s="179">
        <f ca="1">IF(ISNUMBER(MATCH(DATEVALUE($A17),'recurring1_based on steps'!B$1:B$400,0)),B$2,)</f>
        <v>0</v>
      </c>
      <c r="C17" s="179">
        <f ca="1">IF(ISNUMBER(MATCH(DATEVALUE($A17),'recurring1_based on steps'!C$1:C$400,0)),C$2,)</f>
        <v>0</v>
      </c>
      <c r="D17" s="179">
        <f ca="1">IF(ISNUMBER(MATCH(DATEVALUE($A17),'recurring1_based on steps'!D$1:D$400,0)),D$2,)</f>
        <v>0</v>
      </c>
      <c r="E17" s="179">
        <f ca="1">IF(ISNUMBER(MATCH(DATEVALUE($A17),'recurring1_based on steps'!E$1:E$400,0)),E$2,)</f>
        <v>0</v>
      </c>
      <c r="F17" s="179">
        <f ca="1">IF(ISNUMBER(MATCH(DATEVALUE($A17),'recurring1_based on steps'!F$1:F$400,0)),F$2,)</f>
        <v>0</v>
      </c>
      <c r="G17" s="179">
        <f ca="1">IF(ISNUMBER(MATCH(DATEVALUE($A17),'recurring1_based on steps'!G$1:G$400,0)),G$2,)</f>
        <v>0</v>
      </c>
      <c r="H17" s="179">
        <f ca="1">IF(ISNUMBER(MATCH(DATEVALUE($A17),'recurring1_based on steps'!H$1:H$400,0)),H$2,)</f>
        <v>0</v>
      </c>
      <c r="I17" s="179">
        <f ca="1">IF(ISNUMBER(MATCH(DATEVALUE($A17),'recurring1_based on steps'!I$1:I$400,0)),I$2,)</f>
        <v>0</v>
      </c>
      <c r="J17" s="179">
        <f ca="1">IF(ISNUMBER(MATCH(DATEVALUE($A17),'recurring1_based on steps'!J$1:J$400,0)),J$2,)</f>
        <v>0</v>
      </c>
      <c r="K17" s="179">
        <f ca="1">IF(ISNUMBER(MATCH(DATEVALUE($A17),'recurring1_based on steps'!K$1:K$400,0)),K$2,)</f>
        <v>0</v>
      </c>
      <c r="L17" s="179">
        <f ca="1">IF(ISNUMBER(MATCH(DATEVALUE($A17),'recurring1_based on steps'!L$1:L$400,0)),L$2,)</f>
        <v>0</v>
      </c>
      <c r="M17" s="179">
        <f ca="1">IF(ISNUMBER(MATCH(DATEVALUE($A17),'recurring1_based on steps'!M$1:M$400,0)),M$2,)</f>
        <v>0</v>
      </c>
      <c r="N17" s="179">
        <f ca="1">IF(ISNUMBER(MATCH(DATEVALUE($A17),'recurring1_based on steps'!N$1:N$400,0)),N$2,)</f>
        <v>0</v>
      </c>
      <c r="O17" s="179">
        <f ca="1">IF(ISNUMBER(MATCH(DATEVALUE($A17),'recurring1_based on steps'!O$1:O$400,0)),O$2,)</f>
        <v>0</v>
      </c>
      <c r="P17" s="179">
        <f ca="1">IF(ISNUMBER(MATCH(DATEVALUE($A17),'recurring1_based on steps'!P$1:P$400,0)),P$2,)</f>
        <v>0</v>
      </c>
      <c r="Q17" s="179">
        <f ca="1">IF(ISNUMBER(MATCH(DATEVALUE($A17),'recurring1_based on steps'!Q$1:Q$400,0)),Q$2,)</f>
        <v>0</v>
      </c>
      <c r="R17" s="179">
        <f ca="1">IF(ISNUMBER(MATCH(DATEVALUE($A17),'recurring1_based on steps'!R$1:R$400,0)),R$2,)</f>
        <v>0</v>
      </c>
      <c r="S17" s="179">
        <f ca="1">IF(ISNUMBER(MATCH(DATEVALUE($A17),'recurring1_based on steps'!S$1:S$400,0)),S$2,)</f>
        <v>0</v>
      </c>
      <c r="T17" s="179">
        <f ca="1">IF(ISNUMBER(MATCH(DATEVALUE($A17),'recurring1_based on steps'!T$1:T$400,0)),T$2,)</f>
        <v>0</v>
      </c>
      <c r="U17" s="179">
        <f ca="1">IF(ISNUMBER(MATCH(DATEVALUE($A17),'recurring1_based on steps'!U$1:U$400,0)),U$2,)</f>
        <v>0</v>
      </c>
      <c r="V17" s="179">
        <f ca="1">IF(ISNUMBER(MATCH(DATEVALUE($A17),'recurring1_based on steps'!V$1:V$400,0)),V$2,)</f>
        <v>0</v>
      </c>
      <c r="W17" s="179">
        <f ca="1">IF(ISNUMBER(MATCH(DATEVALUE($A17),'recurring1_based on steps'!W$1:W$400,0)),W$2,)</f>
        <v>0</v>
      </c>
      <c r="X17" s="179">
        <f ca="1">IF(ISNUMBER(MATCH(DATEVALUE($A17),'recurring1_based on steps'!X$1:X$400,0)),X$2,)</f>
        <v>0</v>
      </c>
      <c r="Y17" s="179">
        <f ca="1">IF(ISNUMBER(MATCH(DATEVALUE($A17),'recurring1_based on steps'!Y$1:Y$400,0)),Y$2,)</f>
        <v>0</v>
      </c>
      <c r="Z17" s="179">
        <f ca="1">IF(ISNUMBER(MATCH(DATEVALUE($A17),'recurring1_based on steps'!Z$1:Z$400,0)),Z$2,)</f>
        <v>0</v>
      </c>
      <c r="AA17" s="179">
        <f ca="1">IF(ISNUMBER(MATCH(DATEVALUE($A17),'recurring1_based on steps'!AA$1:AA$400,0)),AA$2,)</f>
        <v>0</v>
      </c>
      <c r="AB17" s="179">
        <f ca="1">IF(ISNUMBER(MATCH(DATEVALUE($A17),'recurring1_based on steps'!AB$1:AB$400,0)),AB$2,)</f>
        <v>0</v>
      </c>
      <c r="AC17" s="179">
        <f ca="1">IF(ISNUMBER(MATCH(DATEVALUE($A17),'recurring1_based on steps'!AC$1:AC$400,0)),AC$2,)</f>
        <v>0</v>
      </c>
      <c r="AD17" s="179">
        <f ca="1">IF(ISNUMBER(MATCH(DATEVALUE($A17),'recurring1_based on steps'!AD$1:AD$400,0)),AD$2,)</f>
        <v>0</v>
      </c>
      <c r="AE17" s="179">
        <f ca="1">IF(ISNUMBER(MATCH(DATEVALUE($A17),'recurring1_based on steps'!AE$1:AE$400,0)),AE$2,)</f>
        <v>0</v>
      </c>
      <c r="AF17" s="179">
        <f ca="1">IF(ISNUMBER(MATCH(DATEVALUE($A17),'recurring1_based on steps'!AF$1:AF$400,0)),AF$2,)</f>
        <v>0</v>
      </c>
      <c r="AG17" s="179">
        <f ca="1">IF(ISNUMBER(MATCH(DATEVALUE($A17),'recurring1_based on steps'!AG$1:AG$400,0)),AG$2,)</f>
        <v>0</v>
      </c>
      <c r="AH17" s="179">
        <f ca="1">IF(ISNUMBER(MATCH(DATEVALUE($A17),'recurring1_based on steps'!AH$1:AH$400,0)),AH$2,)</f>
        <v>0</v>
      </c>
      <c r="AI17" s="179">
        <f ca="1">IF(ISNUMBER(MATCH(DATEVALUE($A17),'recurring1_based on steps'!AI$1:AI$400,0)),AI$2,)</f>
        <v>0</v>
      </c>
      <c r="AJ17" s="179">
        <f ca="1">IF(ISNUMBER(MATCH(DATEVALUE($A17),'recurring1_based on steps'!AJ$1:AJ$400,0)),AJ$2,)</f>
        <v>0</v>
      </c>
      <c r="AK17" s="179">
        <f ca="1">IF(ISNUMBER(MATCH(DATEVALUE($A17),'recurring1_based on steps'!AK$1:AK$400,0)),AK$2,)</f>
        <v>0</v>
      </c>
      <c r="AL17" s="179">
        <f ca="1">IF(ISNUMBER(MATCH(DATEVALUE($A17),'recurring1_based on steps'!AL$1:AL$400,0)),AL$2,)</f>
        <v>0</v>
      </c>
      <c r="AM17" s="179">
        <f ca="1">IF(ISNUMBER(MATCH(DATEVALUE($A17),'recurring1_based on steps'!AM$1:AM$400,0)),AM$2,)</f>
        <v>0</v>
      </c>
      <c r="AN17" s="179">
        <f ca="1">IF(ISNUMBER(MATCH(DATEVALUE($A17),'recurring1_based on steps'!AN$1:AN$400,0)),AN$2,)</f>
        <v>0</v>
      </c>
      <c r="AO17" s="179">
        <f ca="1">IF(ISNUMBER(MATCH(DATEVALUE($A17),'recurring1_based on steps'!AO$1:AO$400,0)),AO$2,)</f>
        <v>0</v>
      </c>
      <c r="AP17" s="179">
        <f ca="1">IF(ISNUMBER(MATCH(DATEVALUE($A17),'recurring1_based on steps'!AP$1:AP$400,0)),AP$2,)</f>
        <v>0</v>
      </c>
      <c r="AQ17" s="179">
        <f ca="1">IF(ISNUMBER(MATCH(DATEVALUE($A17),'recurring1_based on steps'!AQ$1:AQ$400,0)),AQ$2,)</f>
        <v>0</v>
      </c>
      <c r="AR17" s="179">
        <f ca="1">IF(ISNUMBER(MATCH(DATEVALUE($A17),'recurring1_based on steps'!AR$1:AR$400,0)),AR$2,)</f>
        <v>0</v>
      </c>
      <c r="AS17" s="179">
        <f ca="1">IF(ISNUMBER(MATCH(DATEVALUE($A17),'recurring1_based on steps'!AS$1:AS$400,0)),AS$2,)</f>
        <v>0</v>
      </c>
      <c r="AT17" s="179">
        <f ca="1">IF(ISNUMBER(MATCH(DATEVALUE($A17),'recurring1_based on steps'!AT$1:AT$400,0)),AT$2,)</f>
        <v>0</v>
      </c>
      <c r="AU17" s="179">
        <f ca="1">IF(ISNUMBER(MATCH(DATEVALUE($A17),'recurring1_based on steps'!AU$1:AU$400,0)),AU$2,)</f>
        <v>0</v>
      </c>
      <c r="AV17" s="179">
        <f ca="1">IF(ISNUMBER(MATCH(DATEVALUE($A17),'recurring1_based on steps'!AV$1:AV$400,0)),AV$2,)</f>
        <v>0</v>
      </c>
      <c r="AW17" s="179">
        <f ca="1">IF(ISNUMBER(MATCH(DATEVALUE($A17),'recurring1_based on steps'!AW$1:AW$400,0)),AW$2,)</f>
        <v>0</v>
      </c>
      <c r="AX17" s="179">
        <f ca="1">IF(ISNUMBER(MATCH(DATEVALUE($A17),'recurring1_based on steps'!AX$1:AX$400,0)),AX$2,)</f>
        <v>0</v>
      </c>
      <c r="AY17" s="179">
        <f ca="1">IF(ISNUMBER(MATCH(DATEVALUE($A17),'recurring1_based on steps'!AY$1:AY$400,0)),AY$2,)</f>
        <v>0</v>
      </c>
    </row>
    <row r="18" spans="1:51" x14ac:dyDescent="0.2">
      <c r="A18" s="32" t="str">
        <f t="shared" ca="1" si="0"/>
        <v>2025-04-13</v>
      </c>
      <c r="B18" s="179">
        <f ca="1">IF(ISNUMBER(MATCH(DATEVALUE($A18),'recurring1_based on steps'!B$1:B$400,0)),B$2,)</f>
        <v>0</v>
      </c>
      <c r="C18" s="179">
        <f ca="1">IF(ISNUMBER(MATCH(DATEVALUE($A18),'recurring1_based on steps'!C$1:C$400,0)),C$2,)</f>
        <v>0</v>
      </c>
      <c r="D18" s="179">
        <f ca="1">IF(ISNUMBER(MATCH(DATEVALUE($A18),'recurring1_based on steps'!D$1:D$400,0)),D$2,)</f>
        <v>0</v>
      </c>
      <c r="E18" s="179">
        <f ca="1">IF(ISNUMBER(MATCH(DATEVALUE($A18),'recurring1_based on steps'!E$1:E$400,0)),E$2,)</f>
        <v>0</v>
      </c>
      <c r="F18" s="179">
        <f ca="1">IF(ISNUMBER(MATCH(DATEVALUE($A18),'recurring1_based on steps'!F$1:F$400,0)),F$2,)</f>
        <v>0</v>
      </c>
      <c r="G18" s="179">
        <f ca="1">IF(ISNUMBER(MATCH(DATEVALUE($A18),'recurring1_based on steps'!G$1:G$400,0)),G$2,)</f>
        <v>0</v>
      </c>
      <c r="H18" s="179">
        <f ca="1">IF(ISNUMBER(MATCH(DATEVALUE($A18),'recurring1_based on steps'!H$1:H$400,0)),H$2,)</f>
        <v>0</v>
      </c>
      <c r="I18" s="179">
        <f ca="1">IF(ISNUMBER(MATCH(DATEVALUE($A18),'recurring1_based on steps'!I$1:I$400,0)),I$2,)</f>
        <v>0</v>
      </c>
      <c r="J18" s="179">
        <f ca="1">IF(ISNUMBER(MATCH(DATEVALUE($A18),'recurring1_based on steps'!J$1:J$400,0)),J$2,)</f>
        <v>0</v>
      </c>
      <c r="K18" s="179">
        <f ca="1">IF(ISNUMBER(MATCH(DATEVALUE($A18),'recurring1_based on steps'!K$1:K$400,0)),K$2,)</f>
        <v>0</v>
      </c>
      <c r="L18" s="179">
        <f ca="1">IF(ISNUMBER(MATCH(DATEVALUE($A18),'recurring1_based on steps'!L$1:L$400,0)),L$2,)</f>
        <v>0</v>
      </c>
      <c r="M18" s="179">
        <f ca="1">IF(ISNUMBER(MATCH(DATEVALUE($A18),'recurring1_based on steps'!M$1:M$400,0)),M$2,)</f>
        <v>0</v>
      </c>
      <c r="N18" s="179">
        <f ca="1">IF(ISNUMBER(MATCH(DATEVALUE($A18),'recurring1_based on steps'!N$1:N$400,0)),N$2,)</f>
        <v>0</v>
      </c>
      <c r="O18" s="179">
        <f ca="1">IF(ISNUMBER(MATCH(DATEVALUE($A18),'recurring1_based on steps'!O$1:O$400,0)),O$2,)</f>
        <v>0</v>
      </c>
      <c r="P18" s="179">
        <f ca="1">IF(ISNUMBER(MATCH(DATEVALUE($A18),'recurring1_based on steps'!P$1:P$400,0)),P$2,)</f>
        <v>0</v>
      </c>
      <c r="Q18" s="179">
        <f ca="1">IF(ISNUMBER(MATCH(DATEVALUE($A18),'recurring1_based on steps'!Q$1:Q$400,0)),Q$2,)</f>
        <v>0</v>
      </c>
      <c r="R18" s="179">
        <f ca="1">IF(ISNUMBER(MATCH(DATEVALUE($A18),'recurring1_based on steps'!R$1:R$400,0)),R$2,)</f>
        <v>0</v>
      </c>
      <c r="S18" s="179">
        <f ca="1">IF(ISNUMBER(MATCH(DATEVALUE($A18),'recurring1_based on steps'!S$1:S$400,0)),S$2,)</f>
        <v>0</v>
      </c>
      <c r="T18" s="179">
        <f ca="1">IF(ISNUMBER(MATCH(DATEVALUE($A18),'recurring1_based on steps'!T$1:T$400,0)),T$2,)</f>
        <v>0</v>
      </c>
      <c r="U18" s="179">
        <f ca="1">IF(ISNUMBER(MATCH(DATEVALUE($A18),'recurring1_based on steps'!U$1:U$400,0)),U$2,)</f>
        <v>0</v>
      </c>
      <c r="V18" s="179">
        <f ca="1">IF(ISNUMBER(MATCH(DATEVALUE($A18),'recurring1_based on steps'!V$1:V$400,0)),V$2,)</f>
        <v>0</v>
      </c>
      <c r="W18" s="179">
        <f ca="1">IF(ISNUMBER(MATCH(DATEVALUE($A18),'recurring1_based on steps'!W$1:W$400,0)),W$2,)</f>
        <v>0</v>
      </c>
      <c r="X18" s="179">
        <f ca="1">IF(ISNUMBER(MATCH(DATEVALUE($A18),'recurring1_based on steps'!X$1:X$400,0)),X$2,)</f>
        <v>0</v>
      </c>
      <c r="Y18" s="179">
        <f ca="1">IF(ISNUMBER(MATCH(DATEVALUE($A18),'recurring1_based on steps'!Y$1:Y$400,0)),Y$2,)</f>
        <v>0</v>
      </c>
      <c r="Z18" s="179">
        <f ca="1">IF(ISNUMBER(MATCH(DATEVALUE($A18),'recurring1_based on steps'!Z$1:Z$400,0)),Z$2,)</f>
        <v>0</v>
      </c>
      <c r="AA18" s="179">
        <f ca="1">IF(ISNUMBER(MATCH(DATEVALUE($A18),'recurring1_based on steps'!AA$1:AA$400,0)),AA$2,)</f>
        <v>0</v>
      </c>
      <c r="AB18" s="179">
        <f ca="1">IF(ISNUMBER(MATCH(DATEVALUE($A18),'recurring1_based on steps'!AB$1:AB$400,0)),AB$2,)</f>
        <v>0</v>
      </c>
      <c r="AC18" s="179">
        <f ca="1">IF(ISNUMBER(MATCH(DATEVALUE($A18),'recurring1_based on steps'!AC$1:AC$400,0)),AC$2,)</f>
        <v>0</v>
      </c>
      <c r="AD18" s="179">
        <f ca="1">IF(ISNUMBER(MATCH(DATEVALUE($A18),'recurring1_based on steps'!AD$1:AD$400,0)),AD$2,)</f>
        <v>0</v>
      </c>
      <c r="AE18" s="179">
        <f ca="1">IF(ISNUMBER(MATCH(DATEVALUE($A18),'recurring1_based on steps'!AE$1:AE$400,0)),AE$2,)</f>
        <v>0</v>
      </c>
      <c r="AF18" s="179">
        <f ca="1">IF(ISNUMBER(MATCH(DATEVALUE($A18),'recurring1_based on steps'!AF$1:AF$400,0)),AF$2,)</f>
        <v>0</v>
      </c>
      <c r="AG18" s="179">
        <f ca="1">IF(ISNUMBER(MATCH(DATEVALUE($A18),'recurring1_based on steps'!AG$1:AG$400,0)),AG$2,)</f>
        <v>0</v>
      </c>
      <c r="AH18" s="179">
        <f ca="1">IF(ISNUMBER(MATCH(DATEVALUE($A18),'recurring1_based on steps'!AH$1:AH$400,0)),AH$2,)</f>
        <v>0</v>
      </c>
      <c r="AI18" s="179">
        <f ca="1">IF(ISNUMBER(MATCH(DATEVALUE($A18),'recurring1_based on steps'!AI$1:AI$400,0)),AI$2,)</f>
        <v>0</v>
      </c>
      <c r="AJ18" s="179">
        <f ca="1">IF(ISNUMBER(MATCH(DATEVALUE($A18),'recurring1_based on steps'!AJ$1:AJ$400,0)),AJ$2,)</f>
        <v>0</v>
      </c>
      <c r="AK18" s="179">
        <f ca="1">IF(ISNUMBER(MATCH(DATEVALUE($A18),'recurring1_based on steps'!AK$1:AK$400,0)),AK$2,)</f>
        <v>0</v>
      </c>
      <c r="AL18" s="179">
        <f ca="1">IF(ISNUMBER(MATCH(DATEVALUE($A18),'recurring1_based on steps'!AL$1:AL$400,0)),AL$2,)</f>
        <v>0</v>
      </c>
      <c r="AM18" s="179">
        <f ca="1">IF(ISNUMBER(MATCH(DATEVALUE($A18),'recurring1_based on steps'!AM$1:AM$400,0)),AM$2,)</f>
        <v>0</v>
      </c>
      <c r="AN18" s="179">
        <f ca="1">IF(ISNUMBER(MATCH(DATEVALUE($A18),'recurring1_based on steps'!AN$1:AN$400,0)),AN$2,)</f>
        <v>0</v>
      </c>
      <c r="AO18" s="179">
        <f ca="1">IF(ISNUMBER(MATCH(DATEVALUE($A18),'recurring1_based on steps'!AO$1:AO$400,0)),AO$2,)</f>
        <v>0</v>
      </c>
      <c r="AP18" s="179">
        <f ca="1">IF(ISNUMBER(MATCH(DATEVALUE($A18),'recurring1_based on steps'!AP$1:AP$400,0)),AP$2,)</f>
        <v>0</v>
      </c>
      <c r="AQ18" s="179">
        <f ca="1">IF(ISNUMBER(MATCH(DATEVALUE($A18),'recurring1_based on steps'!AQ$1:AQ$400,0)),AQ$2,)</f>
        <v>0</v>
      </c>
      <c r="AR18" s="179">
        <f ca="1">IF(ISNUMBER(MATCH(DATEVALUE($A18),'recurring1_based on steps'!AR$1:AR$400,0)),AR$2,)</f>
        <v>0</v>
      </c>
      <c r="AS18" s="179">
        <f ca="1">IF(ISNUMBER(MATCH(DATEVALUE($A18),'recurring1_based on steps'!AS$1:AS$400,0)),AS$2,)</f>
        <v>0</v>
      </c>
      <c r="AT18" s="179">
        <f ca="1">IF(ISNUMBER(MATCH(DATEVALUE($A18),'recurring1_based on steps'!AT$1:AT$400,0)),AT$2,)</f>
        <v>0</v>
      </c>
      <c r="AU18" s="179">
        <f ca="1">IF(ISNUMBER(MATCH(DATEVALUE($A18),'recurring1_based on steps'!AU$1:AU$400,0)),AU$2,)</f>
        <v>0</v>
      </c>
      <c r="AV18" s="179">
        <f ca="1">IF(ISNUMBER(MATCH(DATEVALUE($A18),'recurring1_based on steps'!AV$1:AV$400,0)),AV$2,)</f>
        <v>0</v>
      </c>
      <c r="AW18" s="179">
        <f ca="1">IF(ISNUMBER(MATCH(DATEVALUE($A18),'recurring1_based on steps'!AW$1:AW$400,0)),AW$2,)</f>
        <v>0</v>
      </c>
      <c r="AX18" s="179">
        <f ca="1">IF(ISNUMBER(MATCH(DATEVALUE($A18),'recurring1_based on steps'!AX$1:AX$400,0)),AX$2,)</f>
        <v>0</v>
      </c>
      <c r="AY18" s="179">
        <f ca="1">IF(ISNUMBER(MATCH(DATEVALUE($A18),'recurring1_based on steps'!AY$1:AY$400,0)),AY$2,)</f>
        <v>0</v>
      </c>
    </row>
    <row r="19" spans="1:51" x14ac:dyDescent="0.2">
      <c r="A19" s="32" t="str">
        <f t="shared" ca="1" si="0"/>
        <v>2025-04-14</v>
      </c>
      <c r="B19" s="179">
        <f ca="1">IF(ISNUMBER(MATCH(DATEVALUE($A19),'recurring1_based on steps'!B$1:B$400,0)),B$2,)</f>
        <v>0</v>
      </c>
      <c r="C19" s="179">
        <f ca="1">IF(ISNUMBER(MATCH(DATEVALUE($A19),'recurring1_based on steps'!C$1:C$400,0)),C$2,)</f>
        <v>0</v>
      </c>
      <c r="D19" s="179">
        <f ca="1">IF(ISNUMBER(MATCH(DATEVALUE($A19),'recurring1_based on steps'!D$1:D$400,0)),D$2,)</f>
        <v>0</v>
      </c>
      <c r="E19" s="179">
        <f ca="1">IF(ISNUMBER(MATCH(DATEVALUE($A19),'recurring1_based on steps'!E$1:E$400,0)),E$2,)</f>
        <v>0</v>
      </c>
      <c r="F19" s="179">
        <f ca="1">IF(ISNUMBER(MATCH(DATEVALUE($A19),'recurring1_based on steps'!F$1:F$400,0)),F$2,)</f>
        <v>0</v>
      </c>
      <c r="G19" s="179">
        <f ca="1">IF(ISNUMBER(MATCH(DATEVALUE($A19),'recurring1_based on steps'!G$1:G$400,0)),G$2,)</f>
        <v>0</v>
      </c>
      <c r="H19" s="179">
        <f ca="1">IF(ISNUMBER(MATCH(DATEVALUE($A19),'recurring1_based on steps'!H$1:H$400,0)),H$2,)</f>
        <v>0</v>
      </c>
      <c r="I19" s="179">
        <f ca="1">IF(ISNUMBER(MATCH(DATEVALUE($A19),'recurring1_based on steps'!I$1:I$400,0)),I$2,)</f>
        <v>0</v>
      </c>
      <c r="J19" s="179">
        <f ca="1">IF(ISNUMBER(MATCH(DATEVALUE($A19),'recurring1_based on steps'!J$1:J$400,0)),J$2,)</f>
        <v>0</v>
      </c>
      <c r="K19" s="179">
        <f ca="1">IF(ISNUMBER(MATCH(DATEVALUE($A19),'recurring1_based on steps'!K$1:K$400,0)),K$2,)</f>
        <v>0</v>
      </c>
      <c r="L19" s="179">
        <f ca="1">IF(ISNUMBER(MATCH(DATEVALUE($A19),'recurring1_based on steps'!L$1:L$400,0)),L$2,)</f>
        <v>0</v>
      </c>
      <c r="M19" s="179">
        <f ca="1">IF(ISNUMBER(MATCH(DATEVALUE($A19),'recurring1_based on steps'!M$1:M$400,0)),M$2,)</f>
        <v>0</v>
      </c>
      <c r="N19" s="179">
        <f ca="1">IF(ISNUMBER(MATCH(DATEVALUE($A19),'recurring1_based on steps'!N$1:N$400,0)),N$2,)</f>
        <v>0</v>
      </c>
      <c r="O19" s="179">
        <f ca="1">IF(ISNUMBER(MATCH(DATEVALUE($A19),'recurring1_based on steps'!O$1:O$400,0)),O$2,)</f>
        <v>0</v>
      </c>
      <c r="P19" s="179">
        <f ca="1">IF(ISNUMBER(MATCH(DATEVALUE($A19),'recurring1_based on steps'!P$1:P$400,0)),P$2,)</f>
        <v>0</v>
      </c>
      <c r="Q19" s="179">
        <f ca="1">IF(ISNUMBER(MATCH(DATEVALUE($A19),'recurring1_based on steps'!Q$1:Q$400,0)),Q$2,)</f>
        <v>0</v>
      </c>
      <c r="R19" s="179">
        <f ca="1">IF(ISNUMBER(MATCH(DATEVALUE($A19),'recurring1_based on steps'!R$1:R$400,0)),R$2,)</f>
        <v>0</v>
      </c>
      <c r="S19" s="179">
        <f ca="1">IF(ISNUMBER(MATCH(DATEVALUE($A19),'recurring1_based on steps'!S$1:S$400,0)),S$2,)</f>
        <v>0</v>
      </c>
      <c r="T19" s="179">
        <f ca="1">IF(ISNUMBER(MATCH(DATEVALUE($A19),'recurring1_based on steps'!T$1:T$400,0)),T$2,)</f>
        <v>0</v>
      </c>
      <c r="U19" s="179">
        <f ca="1">IF(ISNUMBER(MATCH(DATEVALUE($A19),'recurring1_based on steps'!U$1:U$400,0)),U$2,)</f>
        <v>0</v>
      </c>
      <c r="V19" s="179">
        <f ca="1">IF(ISNUMBER(MATCH(DATEVALUE($A19),'recurring1_based on steps'!V$1:V$400,0)),V$2,)</f>
        <v>0</v>
      </c>
      <c r="W19" s="179">
        <f ca="1">IF(ISNUMBER(MATCH(DATEVALUE($A19),'recurring1_based on steps'!W$1:W$400,0)),W$2,)</f>
        <v>0</v>
      </c>
      <c r="X19" s="179">
        <f ca="1">IF(ISNUMBER(MATCH(DATEVALUE($A19),'recurring1_based on steps'!X$1:X$400,0)),X$2,)</f>
        <v>0</v>
      </c>
      <c r="Y19" s="179">
        <f ca="1">IF(ISNUMBER(MATCH(DATEVALUE($A19),'recurring1_based on steps'!Y$1:Y$400,0)),Y$2,)</f>
        <v>0</v>
      </c>
      <c r="Z19" s="179">
        <f ca="1">IF(ISNUMBER(MATCH(DATEVALUE($A19),'recurring1_based on steps'!Z$1:Z$400,0)),Z$2,)</f>
        <v>0</v>
      </c>
      <c r="AA19" s="179">
        <f ca="1">IF(ISNUMBER(MATCH(DATEVALUE($A19),'recurring1_based on steps'!AA$1:AA$400,0)),AA$2,)</f>
        <v>0</v>
      </c>
      <c r="AB19" s="179">
        <f ca="1">IF(ISNUMBER(MATCH(DATEVALUE($A19),'recurring1_based on steps'!AB$1:AB$400,0)),AB$2,)</f>
        <v>0</v>
      </c>
      <c r="AC19" s="179">
        <f ca="1">IF(ISNUMBER(MATCH(DATEVALUE($A19),'recurring1_based on steps'!AC$1:AC$400,0)),AC$2,)</f>
        <v>0</v>
      </c>
      <c r="AD19" s="179">
        <f ca="1">IF(ISNUMBER(MATCH(DATEVALUE($A19),'recurring1_based on steps'!AD$1:AD$400,0)),AD$2,)</f>
        <v>0</v>
      </c>
      <c r="AE19" s="179">
        <f ca="1">IF(ISNUMBER(MATCH(DATEVALUE($A19),'recurring1_based on steps'!AE$1:AE$400,0)),AE$2,)</f>
        <v>0</v>
      </c>
      <c r="AF19" s="179">
        <f ca="1">IF(ISNUMBER(MATCH(DATEVALUE($A19),'recurring1_based on steps'!AF$1:AF$400,0)),AF$2,)</f>
        <v>0</v>
      </c>
      <c r="AG19" s="179">
        <f ca="1">IF(ISNUMBER(MATCH(DATEVALUE($A19),'recurring1_based on steps'!AG$1:AG$400,0)),AG$2,)</f>
        <v>0</v>
      </c>
      <c r="AH19" s="179">
        <f ca="1">IF(ISNUMBER(MATCH(DATEVALUE($A19),'recurring1_based on steps'!AH$1:AH$400,0)),AH$2,)</f>
        <v>0</v>
      </c>
      <c r="AI19" s="179">
        <f ca="1">IF(ISNUMBER(MATCH(DATEVALUE($A19),'recurring1_based on steps'!AI$1:AI$400,0)),AI$2,)</f>
        <v>0</v>
      </c>
      <c r="AJ19" s="179">
        <f ca="1">IF(ISNUMBER(MATCH(DATEVALUE($A19),'recurring1_based on steps'!AJ$1:AJ$400,0)),AJ$2,)</f>
        <v>0</v>
      </c>
      <c r="AK19" s="179">
        <f ca="1">IF(ISNUMBER(MATCH(DATEVALUE($A19),'recurring1_based on steps'!AK$1:AK$400,0)),AK$2,)</f>
        <v>0</v>
      </c>
      <c r="AL19" s="179">
        <f ca="1">IF(ISNUMBER(MATCH(DATEVALUE($A19),'recurring1_based on steps'!AL$1:AL$400,0)),AL$2,)</f>
        <v>0</v>
      </c>
      <c r="AM19" s="179">
        <f ca="1">IF(ISNUMBER(MATCH(DATEVALUE($A19),'recurring1_based on steps'!AM$1:AM$400,0)),AM$2,)</f>
        <v>0</v>
      </c>
      <c r="AN19" s="179">
        <f ca="1">IF(ISNUMBER(MATCH(DATEVALUE($A19),'recurring1_based on steps'!AN$1:AN$400,0)),AN$2,)</f>
        <v>0</v>
      </c>
      <c r="AO19" s="179">
        <f ca="1">IF(ISNUMBER(MATCH(DATEVALUE($A19),'recurring1_based on steps'!AO$1:AO$400,0)),AO$2,)</f>
        <v>0</v>
      </c>
      <c r="AP19" s="179">
        <f ca="1">IF(ISNUMBER(MATCH(DATEVALUE($A19),'recurring1_based on steps'!AP$1:AP$400,0)),AP$2,)</f>
        <v>0</v>
      </c>
      <c r="AQ19" s="179">
        <f ca="1">IF(ISNUMBER(MATCH(DATEVALUE($A19),'recurring1_based on steps'!AQ$1:AQ$400,0)),AQ$2,)</f>
        <v>0</v>
      </c>
      <c r="AR19" s="179">
        <f ca="1">IF(ISNUMBER(MATCH(DATEVALUE($A19),'recurring1_based on steps'!AR$1:AR$400,0)),AR$2,)</f>
        <v>0</v>
      </c>
      <c r="AS19" s="179">
        <f ca="1">IF(ISNUMBER(MATCH(DATEVALUE($A19),'recurring1_based on steps'!AS$1:AS$400,0)),AS$2,)</f>
        <v>0</v>
      </c>
      <c r="AT19" s="179">
        <f ca="1">IF(ISNUMBER(MATCH(DATEVALUE($A19),'recurring1_based on steps'!AT$1:AT$400,0)),AT$2,)</f>
        <v>0</v>
      </c>
      <c r="AU19" s="179">
        <f ca="1">IF(ISNUMBER(MATCH(DATEVALUE($A19),'recurring1_based on steps'!AU$1:AU$400,0)),AU$2,)</f>
        <v>0</v>
      </c>
      <c r="AV19" s="179">
        <f ca="1">IF(ISNUMBER(MATCH(DATEVALUE($A19),'recurring1_based on steps'!AV$1:AV$400,0)),AV$2,)</f>
        <v>0</v>
      </c>
      <c r="AW19" s="179">
        <f ca="1">IF(ISNUMBER(MATCH(DATEVALUE($A19),'recurring1_based on steps'!AW$1:AW$400,0)),AW$2,)</f>
        <v>0</v>
      </c>
      <c r="AX19" s="179">
        <f ca="1">IF(ISNUMBER(MATCH(DATEVALUE($A19),'recurring1_based on steps'!AX$1:AX$400,0)),AX$2,)</f>
        <v>0</v>
      </c>
      <c r="AY19" s="179">
        <f ca="1">IF(ISNUMBER(MATCH(DATEVALUE($A19),'recurring1_based on steps'!AY$1:AY$400,0)),AY$2,)</f>
        <v>0</v>
      </c>
    </row>
    <row r="20" spans="1:51" x14ac:dyDescent="0.2">
      <c r="A20" s="32" t="str">
        <f t="shared" ca="1" si="0"/>
        <v>2025-04-15</v>
      </c>
      <c r="B20" s="179">
        <f ca="1">IF(ISNUMBER(MATCH(DATEVALUE($A20),'recurring1_based on steps'!B$1:B$400,0)),B$2,)</f>
        <v>0</v>
      </c>
      <c r="C20" s="179">
        <f ca="1">IF(ISNUMBER(MATCH(DATEVALUE($A20),'recurring1_based on steps'!C$1:C$400,0)),C$2,)</f>
        <v>0</v>
      </c>
      <c r="D20" s="179">
        <f ca="1">IF(ISNUMBER(MATCH(DATEVALUE($A20),'recurring1_based on steps'!D$1:D$400,0)),D$2,)</f>
        <v>0</v>
      </c>
      <c r="E20" s="179">
        <f ca="1">IF(ISNUMBER(MATCH(DATEVALUE($A20),'recurring1_based on steps'!E$1:E$400,0)),E$2,)</f>
        <v>0</v>
      </c>
      <c r="F20" s="179">
        <f ca="1">IF(ISNUMBER(MATCH(DATEVALUE($A20),'recurring1_based on steps'!F$1:F$400,0)),F$2,)</f>
        <v>0</v>
      </c>
      <c r="G20" s="179">
        <f ca="1">IF(ISNUMBER(MATCH(DATEVALUE($A20),'recurring1_based on steps'!G$1:G$400,0)),G$2,)</f>
        <v>0</v>
      </c>
      <c r="H20" s="179">
        <f ca="1">IF(ISNUMBER(MATCH(DATEVALUE($A20),'recurring1_based on steps'!H$1:H$400,0)),H$2,)</f>
        <v>0</v>
      </c>
      <c r="I20" s="179">
        <f ca="1">IF(ISNUMBER(MATCH(DATEVALUE($A20),'recurring1_based on steps'!I$1:I$400,0)),I$2,)</f>
        <v>0</v>
      </c>
      <c r="J20" s="179">
        <f ca="1">IF(ISNUMBER(MATCH(DATEVALUE($A20),'recurring1_based on steps'!J$1:J$400,0)),J$2,)</f>
        <v>0</v>
      </c>
      <c r="K20" s="179">
        <f ca="1">IF(ISNUMBER(MATCH(DATEVALUE($A20),'recurring1_based on steps'!K$1:K$400,0)),K$2,)</f>
        <v>0</v>
      </c>
      <c r="L20" s="179">
        <f ca="1">IF(ISNUMBER(MATCH(DATEVALUE($A20),'recurring1_based on steps'!L$1:L$400,0)),L$2,)</f>
        <v>0</v>
      </c>
      <c r="M20" s="179">
        <f ca="1">IF(ISNUMBER(MATCH(DATEVALUE($A20),'recurring1_based on steps'!M$1:M$400,0)),M$2,)</f>
        <v>0</v>
      </c>
      <c r="N20" s="179">
        <f ca="1">IF(ISNUMBER(MATCH(DATEVALUE($A20),'recurring1_based on steps'!N$1:N$400,0)),N$2,)</f>
        <v>0</v>
      </c>
      <c r="O20" s="179">
        <f ca="1">IF(ISNUMBER(MATCH(DATEVALUE($A20),'recurring1_based on steps'!O$1:O$400,0)),O$2,)</f>
        <v>0</v>
      </c>
      <c r="P20" s="179">
        <f ca="1">IF(ISNUMBER(MATCH(DATEVALUE($A20),'recurring1_based on steps'!P$1:P$400,0)),P$2,)</f>
        <v>0</v>
      </c>
      <c r="Q20" s="179">
        <f ca="1">IF(ISNUMBER(MATCH(DATEVALUE($A20),'recurring1_based on steps'!Q$1:Q$400,0)),Q$2,)</f>
        <v>0</v>
      </c>
      <c r="R20" s="179">
        <f ca="1">IF(ISNUMBER(MATCH(DATEVALUE($A20),'recurring1_based on steps'!R$1:R$400,0)),R$2,)</f>
        <v>0</v>
      </c>
      <c r="S20" s="179">
        <f ca="1">IF(ISNUMBER(MATCH(DATEVALUE($A20),'recurring1_based on steps'!S$1:S$400,0)),S$2,)</f>
        <v>0</v>
      </c>
      <c r="T20" s="179">
        <f ca="1">IF(ISNUMBER(MATCH(DATEVALUE($A20),'recurring1_based on steps'!T$1:T$400,0)),T$2,)</f>
        <v>0</v>
      </c>
      <c r="U20" s="179">
        <f ca="1">IF(ISNUMBER(MATCH(DATEVALUE($A20),'recurring1_based on steps'!U$1:U$400,0)),U$2,)</f>
        <v>0</v>
      </c>
      <c r="V20" s="179">
        <f ca="1">IF(ISNUMBER(MATCH(DATEVALUE($A20),'recurring1_based on steps'!V$1:V$400,0)),V$2,)</f>
        <v>0</v>
      </c>
      <c r="W20" s="179">
        <f ca="1">IF(ISNUMBER(MATCH(DATEVALUE($A20),'recurring1_based on steps'!W$1:W$400,0)),W$2,)</f>
        <v>0</v>
      </c>
      <c r="X20" s="179">
        <f ca="1">IF(ISNUMBER(MATCH(DATEVALUE($A20),'recurring1_based on steps'!X$1:X$400,0)),X$2,)</f>
        <v>0</v>
      </c>
      <c r="Y20" s="179">
        <f ca="1">IF(ISNUMBER(MATCH(DATEVALUE($A20),'recurring1_based on steps'!Y$1:Y$400,0)),Y$2,)</f>
        <v>0</v>
      </c>
      <c r="Z20" s="179">
        <f ca="1">IF(ISNUMBER(MATCH(DATEVALUE($A20),'recurring1_based on steps'!Z$1:Z$400,0)),Z$2,)</f>
        <v>0</v>
      </c>
      <c r="AA20" s="179">
        <f ca="1">IF(ISNUMBER(MATCH(DATEVALUE($A20),'recurring1_based on steps'!AA$1:AA$400,0)),AA$2,)</f>
        <v>0</v>
      </c>
      <c r="AB20" s="179">
        <f ca="1">IF(ISNUMBER(MATCH(DATEVALUE($A20),'recurring1_based on steps'!AB$1:AB$400,0)),AB$2,)</f>
        <v>0</v>
      </c>
      <c r="AC20" s="179">
        <f ca="1">IF(ISNUMBER(MATCH(DATEVALUE($A20),'recurring1_based on steps'!AC$1:AC$400,0)),AC$2,)</f>
        <v>0</v>
      </c>
      <c r="AD20" s="179">
        <f ca="1">IF(ISNUMBER(MATCH(DATEVALUE($A20),'recurring1_based on steps'!AD$1:AD$400,0)),AD$2,)</f>
        <v>0</v>
      </c>
      <c r="AE20" s="179">
        <f ca="1">IF(ISNUMBER(MATCH(DATEVALUE($A20),'recurring1_based on steps'!AE$1:AE$400,0)),AE$2,)</f>
        <v>0</v>
      </c>
      <c r="AF20" s="179">
        <f ca="1">IF(ISNUMBER(MATCH(DATEVALUE($A20),'recurring1_based on steps'!AF$1:AF$400,0)),AF$2,)</f>
        <v>0</v>
      </c>
      <c r="AG20" s="179">
        <f ca="1">IF(ISNUMBER(MATCH(DATEVALUE($A20),'recurring1_based on steps'!AG$1:AG$400,0)),AG$2,)</f>
        <v>0</v>
      </c>
      <c r="AH20" s="179">
        <f ca="1">IF(ISNUMBER(MATCH(DATEVALUE($A20),'recurring1_based on steps'!AH$1:AH$400,0)),AH$2,)</f>
        <v>0</v>
      </c>
      <c r="AI20" s="179">
        <f ca="1">IF(ISNUMBER(MATCH(DATEVALUE($A20),'recurring1_based on steps'!AI$1:AI$400,0)),AI$2,)</f>
        <v>0</v>
      </c>
      <c r="AJ20" s="179">
        <f ca="1">IF(ISNUMBER(MATCH(DATEVALUE($A20),'recurring1_based on steps'!AJ$1:AJ$400,0)),AJ$2,)</f>
        <v>0</v>
      </c>
      <c r="AK20" s="179">
        <f ca="1">IF(ISNUMBER(MATCH(DATEVALUE($A20),'recurring1_based on steps'!AK$1:AK$400,0)),AK$2,)</f>
        <v>0</v>
      </c>
      <c r="AL20" s="179">
        <f ca="1">IF(ISNUMBER(MATCH(DATEVALUE($A20),'recurring1_based on steps'!AL$1:AL$400,0)),AL$2,)</f>
        <v>0</v>
      </c>
      <c r="AM20" s="179">
        <f ca="1">IF(ISNUMBER(MATCH(DATEVALUE($A20),'recurring1_based on steps'!AM$1:AM$400,0)),AM$2,)</f>
        <v>0</v>
      </c>
      <c r="AN20" s="179">
        <f ca="1">IF(ISNUMBER(MATCH(DATEVALUE($A20),'recurring1_based on steps'!AN$1:AN$400,0)),AN$2,)</f>
        <v>0</v>
      </c>
      <c r="AO20" s="179">
        <f ca="1">IF(ISNUMBER(MATCH(DATEVALUE($A20),'recurring1_based on steps'!AO$1:AO$400,0)),AO$2,)</f>
        <v>0</v>
      </c>
      <c r="AP20" s="179">
        <f ca="1">IF(ISNUMBER(MATCH(DATEVALUE($A20),'recurring1_based on steps'!AP$1:AP$400,0)),AP$2,)</f>
        <v>0</v>
      </c>
      <c r="AQ20" s="179">
        <f ca="1">IF(ISNUMBER(MATCH(DATEVALUE($A20),'recurring1_based on steps'!AQ$1:AQ$400,0)),AQ$2,)</f>
        <v>0</v>
      </c>
      <c r="AR20" s="179">
        <f ca="1">IF(ISNUMBER(MATCH(DATEVALUE($A20),'recurring1_based on steps'!AR$1:AR$400,0)),AR$2,)</f>
        <v>0</v>
      </c>
      <c r="AS20" s="179">
        <f ca="1">IF(ISNUMBER(MATCH(DATEVALUE($A20),'recurring1_based on steps'!AS$1:AS$400,0)),AS$2,)</f>
        <v>0</v>
      </c>
      <c r="AT20" s="179">
        <f ca="1">IF(ISNUMBER(MATCH(DATEVALUE($A20),'recurring1_based on steps'!AT$1:AT$400,0)),AT$2,)</f>
        <v>0</v>
      </c>
      <c r="AU20" s="179">
        <f ca="1">IF(ISNUMBER(MATCH(DATEVALUE($A20),'recurring1_based on steps'!AU$1:AU$400,0)),AU$2,)</f>
        <v>0</v>
      </c>
      <c r="AV20" s="179">
        <f ca="1">IF(ISNUMBER(MATCH(DATEVALUE($A20),'recurring1_based on steps'!AV$1:AV$400,0)),AV$2,)</f>
        <v>0</v>
      </c>
      <c r="AW20" s="179">
        <f ca="1">IF(ISNUMBER(MATCH(DATEVALUE($A20),'recurring1_based on steps'!AW$1:AW$400,0)),AW$2,)</f>
        <v>0</v>
      </c>
      <c r="AX20" s="179">
        <f ca="1">IF(ISNUMBER(MATCH(DATEVALUE($A20),'recurring1_based on steps'!AX$1:AX$400,0)),AX$2,)</f>
        <v>0</v>
      </c>
      <c r="AY20" s="179">
        <f ca="1">IF(ISNUMBER(MATCH(DATEVALUE($A20),'recurring1_based on steps'!AY$1:AY$400,0)),AY$2,)</f>
        <v>0</v>
      </c>
    </row>
    <row r="21" spans="1:51" x14ac:dyDescent="0.2">
      <c r="A21" s="32" t="str">
        <f t="shared" ca="1" si="0"/>
        <v>2025-04-16</v>
      </c>
      <c r="B21" s="179">
        <f ca="1">IF(ISNUMBER(MATCH(DATEVALUE($A21),'recurring1_based on steps'!B$1:B$400,0)),B$2,)</f>
        <v>0</v>
      </c>
      <c r="C21" s="179">
        <f ca="1">IF(ISNUMBER(MATCH(DATEVALUE($A21),'recurring1_based on steps'!C$1:C$400,0)),C$2,)</f>
        <v>0</v>
      </c>
      <c r="D21" s="179">
        <f ca="1">IF(ISNUMBER(MATCH(DATEVALUE($A21),'recurring1_based on steps'!D$1:D$400,0)),D$2,)</f>
        <v>0</v>
      </c>
      <c r="E21" s="179">
        <f ca="1">IF(ISNUMBER(MATCH(DATEVALUE($A21),'recurring1_based on steps'!E$1:E$400,0)),E$2,)</f>
        <v>0</v>
      </c>
      <c r="F21" s="179">
        <f ca="1">IF(ISNUMBER(MATCH(DATEVALUE($A21),'recurring1_based on steps'!F$1:F$400,0)),F$2,)</f>
        <v>0</v>
      </c>
      <c r="G21" s="179">
        <f ca="1">IF(ISNUMBER(MATCH(DATEVALUE($A21),'recurring1_based on steps'!G$1:G$400,0)),G$2,)</f>
        <v>0</v>
      </c>
      <c r="H21" s="179">
        <f ca="1">IF(ISNUMBER(MATCH(DATEVALUE($A21),'recurring1_based on steps'!H$1:H$400,0)),H$2,)</f>
        <v>0</v>
      </c>
      <c r="I21" s="179">
        <f ca="1">IF(ISNUMBER(MATCH(DATEVALUE($A21),'recurring1_based on steps'!I$1:I$400,0)),I$2,)</f>
        <v>0</v>
      </c>
      <c r="J21" s="179">
        <f ca="1">IF(ISNUMBER(MATCH(DATEVALUE($A21),'recurring1_based on steps'!J$1:J$400,0)),J$2,)</f>
        <v>0</v>
      </c>
      <c r="K21" s="179">
        <f ca="1">IF(ISNUMBER(MATCH(DATEVALUE($A21),'recurring1_based on steps'!K$1:K$400,0)),K$2,)</f>
        <v>0</v>
      </c>
      <c r="L21" s="179">
        <f ca="1">IF(ISNUMBER(MATCH(DATEVALUE($A21),'recurring1_based on steps'!L$1:L$400,0)),L$2,)</f>
        <v>0</v>
      </c>
      <c r="M21" s="179">
        <f ca="1">IF(ISNUMBER(MATCH(DATEVALUE($A21),'recurring1_based on steps'!M$1:M$400,0)),M$2,)</f>
        <v>0</v>
      </c>
      <c r="N21" s="179">
        <f ca="1">IF(ISNUMBER(MATCH(DATEVALUE($A21),'recurring1_based on steps'!N$1:N$400,0)),N$2,)</f>
        <v>0</v>
      </c>
      <c r="O21" s="179">
        <f ca="1">IF(ISNUMBER(MATCH(DATEVALUE($A21),'recurring1_based on steps'!O$1:O$400,0)),O$2,)</f>
        <v>0</v>
      </c>
      <c r="P21" s="179">
        <f ca="1">IF(ISNUMBER(MATCH(DATEVALUE($A21),'recurring1_based on steps'!P$1:P$400,0)),P$2,)</f>
        <v>0</v>
      </c>
      <c r="Q21" s="179">
        <f ca="1">IF(ISNUMBER(MATCH(DATEVALUE($A21),'recurring1_based on steps'!Q$1:Q$400,0)),Q$2,)</f>
        <v>0</v>
      </c>
      <c r="R21" s="179">
        <f ca="1">IF(ISNUMBER(MATCH(DATEVALUE($A21),'recurring1_based on steps'!R$1:R$400,0)),R$2,)</f>
        <v>0</v>
      </c>
      <c r="S21" s="179">
        <f ca="1">IF(ISNUMBER(MATCH(DATEVALUE($A21),'recurring1_based on steps'!S$1:S$400,0)),S$2,)</f>
        <v>0</v>
      </c>
      <c r="T21" s="179">
        <f ca="1">IF(ISNUMBER(MATCH(DATEVALUE($A21),'recurring1_based on steps'!T$1:T$400,0)),T$2,)</f>
        <v>0</v>
      </c>
      <c r="U21" s="179">
        <f ca="1">IF(ISNUMBER(MATCH(DATEVALUE($A21),'recurring1_based on steps'!U$1:U$400,0)),U$2,)</f>
        <v>0</v>
      </c>
      <c r="V21" s="179">
        <f ca="1">IF(ISNUMBER(MATCH(DATEVALUE($A21),'recurring1_based on steps'!V$1:V$400,0)),V$2,)</f>
        <v>0</v>
      </c>
      <c r="W21" s="179">
        <f ca="1">IF(ISNUMBER(MATCH(DATEVALUE($A21),'recurring1_based on steps'!W$1:W$400,0)),W$2,)</f>
        <v>0</v>
      </c>
      <c r="X21" s="179">
        <f ca="1">IF(ISNUMBER(MATCH(DATEVALUE($A21),'recurring1_based on steps'!X$1:X$400,0)),X$2,)</f>
        <v>0</v>
      </c>
      <c r="Y21" s="179">
        <f ca="1">IF(ISNUMBER(MATCH(DATEVALUE($A21),'recurring1_based on steps'!Y$1:Y$400,0)),Y$2,)</f>
        <v>0</v>
      </c>
      <c r="Z21" s="179">
        <f ca="1">IF(ISNUMBER(MATCH(DATEVALUE($A21),'recurring1_based on steps'!Z$1:Z$400,0)),Z$2,)</f>
        <v>0</v>
      </c>
      <c r="AA21" s="179">
        <f ca="1">IF(ISNUMBER(MATCH(DATEVALUE($A21),'recurring1_based on steps'!AA$1:AA$400,0)),AA$2,)</f>
        <v>0</v>
      </c>
      <c r="AB21" s="179">
        <f ca="1">IF(ISNUMBER(MATCH(DATEVALUE($A21),'recurring1_based on steps'!AB$1:AB$400,0)),AB$2,)</f>
        <v>0</v>
      </c>
      <c r="AC21" s="179">
        <f ca="1">IF(ISNUMBER(MATCH(DATEVALUE($A21),'recurring1_based on steps'!AC$1:AC$400,0)),AC$2,)</f>
        <v>0</v>
      </c>
      <c r="AD21" s="179">
        <f ca="1">IF(ISNUMBER(MATCH(DATEVALUE($A21),'recurring1_based on steps'!AD$1:AD$400,0)),AD$2,)</f>
        <v>0</v>
      </c>
      <c r="AE21" s="179">
        <f ca="1">IF(ISNUMBER(MATCH(DATEVALUE($A21),'recurring1_based on steps'!AE$1:AE$400,0)),AE$2,)</f>
        <v>0</v>
      </c>
      <c r="AF21" s="179">
        <f ca="1">IF(ISNUMBER(MATCH(DATEVALUE($A21),'recurring1_based on steps'!AF$1:AF$400,0)),AF$2,)</f>
        <v>0</v>
      </c>
      <c r="AG21" s="179">
        <f ca="1">IF(ISNUMBER(MATCH(DATEVALUE($A21),'recurring1_based on steps'!AG$1:AG$400,0)),AG$2,)</f>
        <v>0</v>
      </c>
      <c r="AH21" s="179">
        <f ca="1">IF(ISNUMBER(MATCH(DATEVALUE($A21),'recurring1_based on steps'!AH$1:AH$400,0)),AH$2,)</f>
        <v>0</v>
      </c>
      <c r="AI21" s="179">
        <f ca="1">IF(ISNUMBER(MATCH(DATEVALUE($A21),'recurring1_based on steps'!AI$1:AI$400,0)),AI$2,)</f>
        <v>0</v>
      </c>
      <c r="AJ21" s="179">
        <f ca="1">IF(ISNUMBER(MATCH(DATEVALUE($A21),'recurring1_based on steps'!AJ$1:AJ$400,0)),AJ$2,)</f>
        <v>0</v>
      </c>
      <c r="AK21" s="179">
        <f ca="1">IF(ISNUMBER(MATCH(DATEVALUE($A21),'recurring1_based on steps'!AK$1:AK$400,0)),AK$2,)</f>
        <v>0</v>
      </c>
      <c r="AL21" s="179">
        <f ca="1">IF(ISNUMBER(MATCH(DATEVALUE($A21),'recurring1_based on steps'!AL$1:AL$400,0)),AL$2,)</f>
        <v>0</v>
      </c>
      <c r="AM21" s="179">
        <f ca="1">IF(ISNUMBER(MATCH(DATEVALUE($A21),'recurring1_based on steps'!AM$1:AM$400,0)),AM$2,)</f>
        <v>0</v>
      </c>
      <c r="AN21" s="179">
        <f ca="1">IF(ISNUMBER(MATCH(DATEVALUE($A21),'recurring1_based on steps'!AN$1:AN$400,0)),AN$2,)</f>
        <v>0</v>
      </c>
      <c r="AO21" s="179">
        <f ca="1">IF(ISNUMBER(MATCH(DATEVALUE($A21),'recurring1_based on steps'!AO$1:AO$400,0)),AO$2,)</f>
        <v>0</v>
      </c>
      <c r="AP21" s="179">
        <f ca="1">IF(ISNUMBER(MATCH(DATEVALUE($A21),'recurring1_based on steps'!AP$1:AP$400,0)),AP$2,)</f>
        <v>0</v>
      </c>
      <c r="AQ21" s="179">
        <f ca="1">IF(ISNUMBER(MATCH(DATEVALUE($A21),'recurring1_based on steps'!AQ$1:AQ$400,0)),AQ$2,)</f>
        <v>0</v>
      </c>
      <c r="AR21" s="179">
        <f ca="1">IF(ISNUMBER(MATCH(DATEVALUE($A21),'recurring1_based on steps'!AR$1:AR$400,0)),AR$2,)</f>
        <v>0</v>
      </c>
      <c r="AS21" s="179">
        <f ca="1">IF(ISNUMBER(MATCH(DATEVALUE($A21),'recurring1_based on steps'!AS$1:AS$400,0)),AS$2,)</f>
        <v>0</v>
      </c>
      <c r="AT21" s="179">
        <f ca="1">IF(ISNUMBER(MATCH(DATEVALUE($A21),'recurring1_based on steps'!AT$1:AT$400,0)),AT$2,)</f>
        <v>0</v>
      </c>
      <c r="AU21" s="179">
        <f ca="1">IF(ISNUMBER(MATCH(DATEVALUE($A21),'recurring1_based on steps'!AU$1:AU$400,0)),AU$2,)</f>
        <v>0</v>
      </c>
      <c r="AV21" s="179">
        <f ca="1">IF(ISNUMBER(MATCH(DATEVALUE($A21),'recurring1_based on steps'!AV$1:AV$400,0)),AV$2,)</f>
        <v>0</v>
      </c>
      <c r="AW21" s="179">
        <f ca="1">IF(ISNUMBER(MATCH(DATEVALUE($A21),'recurring1_based on steps'!AW$1:AW$400,0)),AW$2,)</f>
        <v>0</v>
      </c>
      <c r="AX21" s="179">
        <f ca="1">IF(ISNUMBER(MATCH(DATEVALUE($A21),'recurring1_based on steps'!AX$1:AX$400,0)),AX$2,)</f>
        <v>0</v>
      </c>
      <c r="AY21" s="179">
        <f ca="1">IF(ISNUMBER(MATCH(DATEVALUE($A21),'recurring1_based on steps'!AY$1:AY$400,0)),AY$2,)</f>
        <v>0</v>
      </c>
    </row>
    <row r="22" spans="1:51" x14ac:dyDescent="0.2">
      <c r="A22" s="32" t="str">
        <f t="shared" ca="1" si="0"/>
        <v>2025-04-17</v>
      </c>
      <c r="B22" s="179">
        <f ca="1">IF(ISNUMBER(MATCH(DATEVALUE($A22),'recurring1_based on steps'!B$1:B$400,0)),B$2,)</f>
        <v>0</v>
      </c>
      <c r="C22" s="179">
        <f ca="1">IF(ISNUMBER(MATCH(DATEVALUE($A22),'recurring1_based on steps'!C$1:C$400,0)),C$2,)</f>
        <v>0</v>
      </c>
      <c r="D22" s="179">
        <f ca="1">IF(ISNUMBER(MATCH(DATEVALUE($A22),'recurring1_based on steps'!D$1:D$400,0)),D$2,)</f>
        <v>0</v>
      </c>
      <c r="E22" s="179">
        <f ca="1">IF(ISNUMBER(MATCH(DATEVALUE($A22),'recurring1_based on steps'!E$1:E$400,0)),E$2,)</f>
        <v>0</v>
      </c>
      <c r="F22" s="179">
        <f ca="1">IF(ISNUMBER(MATCH(DATEVALUE($A22),'recurring1_based on steps'!F$1:F$400,0)),F$2,)</f>
        <v>0</v>
      </c>
      <c r="G22" s="179">
        <f ca="1">IF(ISNUMBER(MATCH(DATEVALUE($A22),'recurring1_based on steps'!G$1:G$400,0)),G$2,)</f>
        <v>0</v>
      </c>
      <c r="H22" s="179">
        <f ca="1">IF(ISNUMBER(MATCH(DATEVALUE($A22),'recurring1_based on steps'!H$1:H$400,0)),H$2,)</f>
        <v>0</v>
      </c>
      <c r="I22" s="179">
        <f ca="1">IF(ISNUMBER(MATCH(DATEVALUE($A22),'recurring1_based on steps'!I$1:I$400,0)),I$2,)</f>
        <v>0</v>
      </c>
      <c r="J22" s="179">
        <f ca="1">IF(ISNUMBER(MATCH(DATEVALUE($A22),'recurring1_based on steps'!J$1:J$400,0)),J$2,)</f>
        <v>0</v>
      </c>
      <c r="K22" s="179">
        <f ca="1">IF(ISNUMBER(MATCH(DATEVALUE($A22),'recurring1_based on steps'!K$1:K$400,0)),K$2,)</f>
        <v>0</v>
      </c>
      <c r="L22" s="179">
        <f ca="1">IF(ISNUMBER(MATCH(DATEVALUE($A22),'recurring1_based on steps'!L$1:L$400,0)),L$2,)</f>
        <v>0</v>
      </c>
      <c r="M22" s="179">
        <f ca="1">IF(ISNUMBER(MATCH(DATEVALUE($A22),'recurring1_based on steps'!M$1:M$400,0)),M$2,)</f>
        <v>0</v>
      </c>
      <c r="N22" s="179">
        <f ca="1">IF(ISNUMBER(MATCH(DATEVALUE($A22),'recurring1_based on steps'!N$1:N$400,0)),N$2,)</f>
        <v>0</v>
      </c>
      <c r="O22" s="179">
        <f ca="1">IF(ISNUMBER(MATCH(DATEVALUE($A22),'recurring1_based on steps'!O$1:O$400,0)),O$2,)</f>
        <v>0</v>
      </c>
      <c r="P22" s="179">
        <f ca="1">IF(ISNUMBER(MATCH(DATEVALUE($A22),'recurring1_based on steps'!P$1:P$400,0)),P$2,)</f>
        <v>0</v>
      </c>
      <c r="Q22" s="179">
        <f ca="1">IF(ISNUMBER(MATCH(DATEVALUE($A22),'recurring1_based on steps'!Q$1:Q$400,0)),Q$2,)</f>
        <v>0</v>
      </c>
      <c r="R22" s="179">
        <f ca="1">IF(ISNUMBER(MATCH(DATEVALUE($A22),'recurring1_based on steps'!R$1:R$400,0)),R$2,)</f>
        <v>0</v>
      </c>
      <c r="S22" s="179">
        <f ca="1">IF(ISNUMBER(MATCH(DATEVALUE($A22),'recurring1_based on steps'!S$1:S$400,0)),S$2,)</f>
        <v>0</v>
      </c>
      <c r="T22" s="179">
        <f ca="1">IF(ISNUMBER(MATCH(DATEVALUE($A22),'recurring1_based on steps'!T$1:T$400,0)),T$2,)</f>
        <v>0</v>
      </c>
      <c r="U22" s="179">
        <f ca="1">IF(ISNUMBER(MATCH(DATEVALUE($A22),'recurring1_based on steps'!U$1:U$400,0)),U$2,)</f>
        <v>0</v>
      </c>
      <c r="V22" s="179">
        <f ca="1">IF(ISNUMBER(MATCH(DATEVALUE($A22),'recurring1_based on steps'!V$1:V$400,0)),V$2,)</f>
        <v>0</v>
      </c>
      <c r="W22" s="179">
        <f ca="1">IF(ISNUMBER(MATCH(DATEVALUE($A22),'recurring1_based on steps'!W$1:W$400,0)),W$2,)</f>
        <v>0</v>
      </c>
      <c r="X22" s="179">
        <f ca="1">IF(ISNUMBER(MATCH(DATEVALUE($A22),'recurring1_based on steps'!X$1:X$400,0)),X$2,)</f>
        <v>0</v>
      </c>
      <c r="Y22" s="179">
        <f ca="1">IF(ISNUMBER(MATCH(DATEVALUE($A22),'recurring1_based on steps'!Y$1:Y$400,0)),Y$2,)</f>
        <v>0</v>
      </c>
      <c r="Z22" s="179">
        <f ca="1">IF(ISNUMBER(MATCH(DATEVALUE($A22),'recurring1_based on steps'!Z$1:Z$400,0)),Z$2,)</f>
        <v>0</v>
      </c>
      <c r="AA22" s="179">
        <f ca="1">IF(ISNUMBER(MATCH(DATEVALUE($A22),'recurring1_based on steps'!AA$1:AA$400,0)),AA$2,)</f>
        <v>0</v>
      </c>
      <c r="AB22" s="179">
        <f ca="1">IF(ISNUMBER(MATCH(DATEVALUE($A22),'recurring1_based on steps'!AB$1:AB$400,0)),AB$2,)</f>
        <v>0</v>
      </c>
      <c r="AC22" s="179">
        <f ca="1">IF(ISNUMBER(MATCH(DATEVALUE($A22),'recurring1_based on steps'!AC$1:AC$400,0)),AC$2,)</f>
        <v>0</v>
      </c>
      <c r="AD22" s="179">
        <f ca="1">IF(ISNUMBER(MATCH(DATEVALUE($A22),'recurring1_based on steps'!AD$1:AD$400,0)),AD$2,)</f>
        <v>0</v>
      </c>
      <c r="AE22" s="179">
        <f ca="1">IF(ISNUMBER(MATCH(DATEVALUE($A22),'recurring1_based on steps'!AE$1:AE$400,0)),AE$2,)</f>
        <v>0</v>
      </c>
      <c r="AF22" s="179">
        <f ca="1">IF(ISNUMBER(MATCH(DATEVALUE($A22),'recurring1_based on steps'!AF$1:AF$400,0)),AF$2,)</f>
        <v>0</v>
      </c>
      <c r="AG22" s="179">
        <f ca="1">IF(ISNUMBER(MATCH(DATEVALUE($A22),'recurring1_based on steps'!AG$1:AG$400,0)),AG$2,)</f>
        <v>0</v>
      </c>
      <c r="AH22" s="179">
        <f ca="1">IF(ISNUMBER(MATCH(DATEVALUE($A22),'recurring1_based on steps'!AH$1:AH$400,0)),AH$2,)</f>
        <v>0</v>
      </c>
      <c r="AI22" s="179">
        <f ca="1">IF(ISNUMBER(MATCH(DATEVALUE($A22),'recurring1_based on steps'!AI$1:AI$400,0)),AI$2,)</f>
        <v>0</v>
      </c>
      <c r="AJ22" s="179">
        <f ca="1">IF(ISNUMBER(MATCH(DATEVALUE($A22),'recurring1_based on steps'!AJ$1:AJ$400,0)),AJ$2,)</f>
        <v>0</v>
      </c>
      <c r="AK22" s="179">
        <f ca="1">IF(ISNUMBER(MATCH(DATEVALUE($A22),'recurring1_based on steps'!AK$1:AK$400,0)),AK$2,)</f>
        <v>0</v>
      </c>
      <c r="AL22" s="179">
        <f ca="1">IF(ISNUMBER(MATCH(DATEVALUE($A22),'recurring1_based on steps'!AL$1:AL$400,0)),AL$2,)</f>
        <v>0</v>
      </c>
      <c r="AM22" s="179">
        <f ca="1">IF(ISNUMBER(MATCH(DATEVALUE($A22),'recurring1_based on steps'!AM$1:AM$400,0)),AM$2,)</f>
        <v>0</v>
      </c>
      <c r="AN22" s="179">
        <f ca="1">IF(ISNUMBER(MATCH(DATEVALUE($A22),'recurring1_based on steps'!AN$1:AN$400,0)),AN$2,)</f>
        <v>0</v>
      </c>
      <c r="AO22" s="179">
        <f ca="1">IF(ISNUMBER(MATCH(DATEVALUE($A22),'recurring1_based on steps'!AO$1:AO$400,0)),AO$2,)</f>
        <v>0</v>
      </c>
      <c r="AP22" s="179">
        <f ca="1">IF(ISNUMBER(MATCH(DATEVALUE($A22),'recurring1_based on steps'!AP$1:AP$400,0)),AP$2,)</f>
        <v>0</v>
      </c>
      <c r="AQ22" s="179">
        <f ca="1">IF(ISNUMBER(MATCH(DATEVALUE($A22),'recurring1_based on steps'!AQ$1:AQ$400,0)),AQ$2,)</f>
        <v>0</v>
      </c>
      <c r="AR22" s="179">
        <f ca="1">IF(ISNUMBER(MATCH(DATEVALUE($A22),'recurring1_based on steps'!AR$1:AR$400,0)),AR$2,)</f>
        <v>0</v>
      </c>
      <c r="AS22" s="179">
        <f ca="1">IF(ISNUMBER(MATCH(DATEVALUE($A22),'recurring1_based on steps'!AS$1:AS$400,0)),AS$2,)</f>
        <v>0</v>
      </c>
      <c r="AT22" s="179">
        <f ca="1">IF(ISNUMBER(MATCH(DATEVALUE($A22),'recurring1_based on steps'!AT$1:AT$400,0)),AT$2,)</f>
        <v>0</v>
      </c>
      <c r="AU22" s="179">
        <f ca="1">IF(ISNUMBER(MATCH(DATEVALUE($A22),'recurring1_based on steps'!AU$1:AU$400,0)),AU$2,)</f>
        <v>0</v>
      </c>
      <c r="AV22" s="179">
        <f ca="1">IF(ISNUMBER(MATCH(DATEVALUE($A22),'recurring1_based on steps'!AV$1:AV$400,0)),AV$2,)</f>
        <v>0</v>
      </c>
      <c r="AW22" s="179">
        <f ca="1">IF(ISNUMBER(MATCH(DATEVALUE($A22),'recurring1_based on steps'!AW$1:AW$400,0)),AW$2,)</f>
        <v>0</v>
      </c>
      <c r="AX22" s="179">
        <f ca="1">IF(ISNUMBER(MATCH(DATEVALUE($A22),'recurring1_based on steps'!AX$1:AX$400,0)),AX$2,)</f>
        <v>0</v>
      </c>
      <c r="AY22" s="179">
        <f ca="1">IF(ISNUMBER(MATCH(DATEVALUE($A22),'recurring1_based on steps'!AY$1:AY$400,0)),AY$2,)</f>
        <v>0</v>
      </c>
    </row>
    <row r="23" spans="1:51" x14ac:dyDescent="0.2">
      <c r="A23" s="32" t="str">
        <f t="shared" ca="1" si="0"/>
        <v>2025-04-18</v>
      </c>
      <c r="B23" s="179">
        <f ca="1">IF(ISNUMBER(MATCH(DATEVALUE($A23),'recurring1_based on steps'!B$1:B$400,0)),B$2,)</f>
        <v>0</v>
      </c>
      <c r="C23" s="179">
        <f ca="1">IF(ISNUMBER(MATCH(DATEVALUE($A23),'recurring1_based on steps'!C$1:C$400,0)),C$2,)</f>
        <v>0</v>
      </c>
      <c r="D23" s="179">
        <f ca="1">IF(ISNUMBER(MATCH(DATEVALUE($A23),'recurring1_based on steps'!D$1:D$400,0)),D$2,)</f>
        <v>0</v>
      </c>
      <c r="E23" s="179">
        <f ca="1">IF(ISNUMBER(MATCH(DATEVALUE($A23),'recurring1_based on steps'!E$1:E$400,0)),E$2,)</f>
        <v>0</v>
      </c>
      <c r="F23" s="179">
        <f ca="1">IF(ISNUMBER(MATCH(DATEVALUE($A23),'recurring1_based on steps'!F$1:F$400,0)),F$2,)</f>
        <v>0</v>
      </c>
      <c r="G23" s="179">
        <f ca="1">IF(ISNUMBER(MATCH(DATEVALUE($A23),'recurring1_based on steps'!G$1:G$400,0)),G$2,)</f>
        <v>0</v>
      </c>
      <c r="H23" s="179">
        <f ca="1">IF(ISNUMBER(MATCH(DATEVALUE($A23),'recurring1_based on steps'!H$1:H$400,0)),H$2,)</f>
        <v>0</v>
      </c>
      <c r="I23" s="179">
        <f ca="1">IF(ISNUMBER(MATCH(DATEVALUE($A23),'recurring1_based on steps'!I$1:I$400,0)),I$2,)</f>
        <v>0</v>
      </c>
      <c r="J23" s="179">
        <f ca="1">IF(ISNUMBER(MATCH(DATEVALUE($A23),'recurring1_based on steps'!J$1:J$400,0)),J$2,)</f>
        <v>0</v>
      </c>
      <c r="K23" s="179">
        <f ca="1">IF(ISNUMBER(MATCH(DATEVALUE($A23),'recurring1_based on steps'!K$1:K$400,0)),K$2,)</f>
        <v>0</v>
      </c>
      <c r="L23" s="179">
        <f ca="1">IF(ISNUMBER(MATCH(DATEVALUE($A23),'recurring1_based on steps'!L$1:L$400,0)),L$2,)</f>
        <v>0</v>
      </c>
      <c r="M23" s="179">
        <f ca="1">IF(ISNUMBER(MATCH(DATEVALUE($A23),'recurring1_based on steps'!M$1:M$400,0)),M$2,)</f>
        <v>0</v>
      </c>
      <c r="N23" s="179">
        <f ca="1">IF(ISNUMBER(MATCH(DATEVALUE($A23),'recurring1_based on steps'!N$1:N$400,0)),N$2,)</f>
        <v>0</v>
      </c>
      <c r="O23" s="179">
        <f ca="1">IF(ISNUMBER(MATCH(DATEVALUE($A23),'recurring1_based on steps'!O$1:O$400,0)),O$2,)</f>
        <v>0</v>
      </c>
      <c r="P23" s="179">
        <f ca="1">IF(ISNUMBER(MATCH(DATEVALUE($A23),'recurring1_based on steps'!P$1:P$400,0)),P$2,)</f>
        <v>0</v>
      </c>
      <c r="Q23" s="179">
        <f ca="1">IF(ISNUMBER(MATCH(DATEVALUE($A23),'recurring1_based on steps'!Q$1:Q$400,0)),Q$2,)</f>
        <v>0</v>
      </c>
      <c r="R23" s="179">
        <f ca="1">IF(ISNUMBER(MATCH(DATEVALUE($A23),'recurring1_based on steps'!R$1:R$400,0)),R$2,)</f>
        <v>0</v>
      </c>
      <c r="S23" s="179">
        <f ca="1">IF(ISNUMBER(MATCH(DATEVALUE($A23),'recurring1_based on steps'!S$1:S$400,0)),S$2,)</f>
        <v>0</v>
      </c>
      <c r="T23" s="179">
        <f ca="1">IF(ISNUMBER(MATCH(DATEVALUE($A23),'recurring1_based on steps'!T$1:T$400,0)),T$2,)</f>
        <v>0</v>
      </c>
      <c r="U23" s="179">
        <f ca="1">IF(ISNUMBER(MATCH(DATEVALUE($A23),'recurring1_based on steps'!U$1:U$400,0)),U$2,)</f>
        <v>0</v>
      </c>
      <c r="V23" s="179">
        <f ca="1">IF(ISNUMBER(MATCH(DATEVALUE($A23),'recurring1_based on steps'!V$1:V$400,0)),V$2,)</f>
        <v>0</v>
      </c>
      <c r="W23" s="179">
        <f ca="1">IF(ISNUMBER(MATCH(DATEVALUE($A23),'recurring1_based on steps'!W$1:W$400,0)),W$2,)</f>
        <v>0</v>
      </c>
      <c r="X23" s="179">
        <f ca="1">IF(ISNUMBER(MATCH(DATEVALUE($A23),'recurring1_based on steps'!X$1:X$400,0)),X$2,)</f>
        <v>0</v>
      </c>
      <c r="Y23" s="179">
        <f ca="1">IF(ISNUMBER(MATCH(DATEVALUE($A23),'recurring1_based on steps'!Y$1:Y$400,0)),Y$2,)</f>
        <v>0</v>
      </c>
      <c r="Z23" s="179">
        <f ca="1">IF(ISNUMBER(MATCH(DATEVALUE($A23),'recurring1_based on steps'!Z$1:Z$400,0)),Z$2,)</f>
        <v>0</v>
      </c>
      <c r="AA23" s="179">
        <f ca="1">IF(ISNUMBER(MATCH(DATEVALUE($A23),'recurring1_based on steps'!AA$1:AA$400,0)),AA$2,)</f>
        <v>0</v>
      </c>
      <c r="AB23" s="179">
        <f ca="1">IF(ISNUMBER(MATCH(DATEVALUE($A23),'recurring1_based on steps'!AB$1:AB$400,0)),AB$2,)</f>
        <v>0</v>
      </c>
      <c r="AC23" s="179">
        <f ca="1">IF(ISNUMBER(MATCH(DATEVALUE($A23),'recurring1_based on steps'!AC$1:AC$400,0)),AC$2,)</f>
        <v>0</v>
      </c>
      <c r="AD23" s="179">
        <f ca="1">IF(ISNUMBER(MATCH(DATEVALUE($A23),'recurring1_based on steps'!AD$1:AD$400,0)),AD$2,)</f>
        <v>0</v>
      </c>
      <c r="AE23" s="179">
        <f ca="1">IF(ISNUMBER(MATCH(DATEVALUE($A23),'recurring1_based on steps'!AE$1:AE$400,0)),AE$2,)</f>
        <v>0</v>
      </c>
      <c r="AF23" s="179">
        <f ca="1">IF(ISNUMBER(MATCH(DATEVALUE($A23),'recurring1_based on steps'!AF$1:AF$400,0)),AF$2,)</f>
        <v>0</v>
      </c>
      <c r="AG23" s="179">
        <f ca="1">IF(ISNUMBER(MATCH(DATEVALUE($A23),'recurring1_based on steps'!AG$1:AG$400,0)),AG$2,)</f>
        <v>0</v>
      </c>
      <c r="AH23" s="179">
        <f ca="1">IF(ISNUMBER(MATCH(DATEVALUE($A23),'recurring1_based on steps'!AH$1:AH$400,0)),AH$2,)</f>
        <v>0</v>
      </c>
      <c r="AI23" s="179">
        <f ca="1">IF(ISNUMBER(MATCH(DATEVALUE($A23),'recurring1_based on steps'!AI$1:AI$400,0)),AI$2,)</f>
        <v>0</v>
      </c>
      <c r="AJ23" s="179">
        <f ca="1">IF(ISNUMBER(MATCH(DATEVALUE($A23),'recurring1_based on steps'!AJ$1:AJ$400,0)),AJ$2,)</f>
        <v>0</v>
      </c>
      <c r="AK23" s="179">
        <f ca="1">IF(ISNUMBER(MATCH(DATEVALUE($A23),'recurring1_based on steps'!AK$1:AK$400,0)),AK$2,)</f>
        <v>0</v>
      </c>
      <c r="AL23" s="179">
        <f ca="1">IF(ISNUMBER(MATCH(DATEVALUE($A23),'recurring1_based on steps'!AL$1:AL$400,0)),AL$2,)</f>
        <v>0</v>
      </c>
      <c r="AM23" s="179">
        <f ca="1">IF(ISNUMBER(MATCH(DATEVALUE($A23),'recurring1_based on steps'!AM$1:AM$400,0)),AM$2,)</f>
        <v>0</v>
      </c>
      <c r="AN23" s="179">
        <f ca="1">IF(ISNUMBER(MATCH(DATEVALUE($A23),'recurring1_based on steps'!AN$1:AN$400,0)),AN$2,)</f>
        <v>0</v>
      </c>
      <c r="AO23" s="179">
        <f ca="1">IF(ISNUMBER(MATCH(DATEVALUE($A23),'recurring1_based on steps'!AO$1:AO$400,0)),AO$2,)</f>
        <v>0</v>
      </c>
      <c r="AP23" s="179">
        <f ca="1">IF(ISNUMBER(MATCH(DATEVALUE($A23),'recurring1_based on steps'!AP$1:AP$400,0)),AP$2,)</f>
        <v>0</v>
      </c>
      <c r="AQ23" s="179">
        <f ca="1">IF(ISNUMBER(MATCH(DATEVALUE($A23),'recurring1_based on steps'!AQ$1:AQ$400,0)),AQ$2,)</f>
        <v>0</v>
      </c>
      <c r="AR23" s="179">
        <f ca="1">IF(ISNUMBER(MATCH(DATEVALUE($A23),'recurring1_based on steps'!AR$1:AR$400,0)),AR$2,)</f>
        <v>0</v>
      </c>
      <c r="AS23" s="179">
        <f ca="1">IF(ISNUMBER(MATCH(DATEVALUE($A23),'recurring1_based on steps'!AS$1:AS$400,0)),AS$2,)</f>
        <v>0</v>
      </c>
      <c r="AT23" s="179">
        <f ca="1">IF(ISNUMBER(MATCH(DATEVALUE($A23),'recurring1_based on steps'!AT$1:AT$400,0)),AT$2,)</f>
        <v>0</v>
      </c>
      <c r="AU23" s="179">
        <f ca="1">IF(ISNUMBER(MATCH(DATEVALUE($A23),'recurring1_based on steps'!AU$1:AU$400,0)),AU$2,)</f>
        <v>0</v>
      </c>
      <c r="AV23" s="179">
        <f ca="1">IF(ISNUMBER(MATCH(DATEVALUE($A23),'recurring1_based on steps'!AV$1:AV$400,0)),AV$2,)</f>
        <v>0</v>
      </c>
      <c r="AW23" s="179">
        <f ca="1">IF(ISNUMBER(MATCH(DATEVALUE($A23),'recurring1_based on steps'!AW$1:AW$400,0)),AW$2,)</f>
        <v>0</v>
      </c>
      <c r="AX23" s="179">
        <f ca="1">IF(ISNUMBER(MATCH(DATEVALUE($A23),'recurring1_based on steps'!AX$1:AX$400,0)),AX$2,)</f>
        <v>0</v>
      </c>
      <c r="AY23" s="179">
        <f ca="1">IF(ISNUMBER(MATCH(DATEVALUE($A23),'recurring1_based on steps'!AY$1:AY$400,0)),AY$2,)</f>
        <v>0</v>
      </c>
    </row>
    <row r="24" spans="1:51" x14ac:dyDescent="0.2">
      <c r="A24" s="32" t="str">
        <f t="shared" ca="1" si="0"/>
        <v>2025-04-19</v>
      </c>
      <c r="B24" s="179">
        <f ca="1">IF(ISNUMBER(MATCH(DATEVALUE($A24),'recurring1_based on steps'!B$1:B$400,0)),B$2,)</f>
        <v>0</v>
      </c>
      <c r="C24" s="179">
        <f ca="1">IF(ISNUMBER(MATCH(DATEVALUE($A24),'recurring1_based on steps'!C$1:C$400,0)),C$2,)</f>
        <v>0</v>
      </c>
      <c r="D24" s="179">
        <f ca="1">IF(ISNUMBER(MATCH(DATEVALUE($A24),'recurring1_based on steps'!D$1:D$400,0)),D$2,)</f>
        <v>0</v>
      </c>
      <c r="E24" s="179">
        <f ca="1">IF(ISNUMBER(MATCH(DATEVALUE($A24),'recurring1_based on steps'!E$1:E$400,0)),E$2,)</f>
        <v>0</v>
      </c>
      <c r="F24" s="179">
        <f ca="1">IF(ISNUMBER(MATCH(DATEVALUE($A24),'recurring1_based on steps'!F$1:F$400,0)),F$2,)</f>
        <v>0</v>
      </c>
      <c r="G24" s="179">
        <f ca="1">IF(ISNUMBER(MATCH(DATEVALUE($A24),'recurring1_based on steps'!G$1:G$400,0)),G$2,)</f>
        <v>0</v>
      </c>
      <c r="H24" s="179">
        <f ca="1">IF(ISNUMBER(MATCH(DATEVALUE($A24),'recurring1_based on steps'!H$1:H$400,0)),H$2,)</f>
        <v>0</v>
      </c>
      <c r="I24" s="179">
        <f ca="1">IF(ISNUMBER(MATCH(DATEVALUE($A24),'recurring1_based on steps'!I$1:I$400,0)),I$2,)</f>
        <v>0</v>
      </c>
      <c r="J24" s="179">
        <f ca="1">IF(ISNUMBER(MATCH(DATEVALUE($A24),'recurring1_based on steps'!J$1:J$400,0)),J$2,)</f>
        <v>0</v>
      </c>
      <c r="K24" s="179">
        <f ca="1">IF(ISNUMBER(MATCH(DATEVALUE($A24),'recurring1_based on steps'!K$1:K$400,0)),K$2,)</f>
        <v>0</v>
      </c>
      <c r="L24" s="179">
        <f ca="1">IF(ISNUMBER(MATCH(DATEVALUE($A24),'recurring1_based on steps'!L$1:L$400,0)),L$2,)</f>
        <v>0</v>
      </c>
      <c r="M24" s="179">
        <f ca="1">IF(ISNUMBER(MATCH(DATEVALUE($A24),'recurring1_based on steps'!M$1:M$400,0)),M$2,)</f>
        <v>0</v>
      </c>
      <c r="N24" s="179">
        <f ca="1">IF(ISNUMBER(MATCH(DATEVALUE($A24),'recurring1_based on steps'!N$1:N$400,0)),N$2,)</f>
        <v>0</v>
      </c>
      <c r="O24" s="179">
        <f ca="1">IF(ISNUMBER(MATCH(DATEVALUE($A24),'recurring1_based on steps'!O$1:O$400,0)),O$2,)</f>
        <v>0</v>
      </c>
      <c r="P24" s="179">
        <f ca="1">IF(ISNUMBER(MATCH(DATEVALUE($A24),'recurring1_based on steps'!P$1:P$400,0)),P$2,)</f>
        <v>0</v>
      </c>
      <c r="Q24" s="179">
        <f ca="1">IF(ISNUMBER(MATCH(DATEVALUE($A24),'recurring1_based on steps'!Q$1:Q$400,0)),Q$2,)</f>
        <v>0</v>
      </c>
      <c r="R24" s="179">
        <f ca="1">IF(ISNUMBER(MATCH(DATEVALUE($A24),'recurring1_based on steps'!R$1:R$400,0)),R$2,)</f>
        <v>0</v>
      </c>
      <c r="S24" s="179">
        <f ca="1">IF(ISNUMBER(MATCH(DATEVALUE($A24),'recurring1_based on steps'!S$1:S$400,0)),S$2,)</f>
        <v>0</v>
      </c>
      <c r="T24" s="179">
        <f ca="1">IF(ISNUMBER(MATCH(DATEVALUE($A24),'recurring1_based on steps'!T$1:T$400,0)),T$2,)</f>
        <v>0</v>
      </c>
      <c r="U24" s="179">
        <f ca="1">IF(ISNUMBER(MATCH(DATEVALUE($A24),'recurring1_based on steps'!U$1:U$400,0)),U$2,)</f>
        <v>0</v>
      </c>
      <c r="V24" s="179">
        <f ca="1">IF(ISNUMBER(MATCH(DATEVALUE($A24),'recurring1_based on steps'!V$1:V$400,0)),V$2,)</f>
        <v>0</v>
      </c>
      <c r="W24" s="179">
        <f ca="1">IF(ISNUMBER(MATCH(DATEVALUE($A24),'recurring1_based on steps'!W$1:W$400,0)),W$2,)</f>
        <v>0</v>
      </c>
      <c r="X24" s="179">
        <f ca="1">IF(ISNUMBER(MATCH(DATEVALUE($A24),'recurring1_based on steps'!X$1:X$400,0)),X$2,)</f>
        <v>0</v>
      </c>
      <c r="Y24" s="179">
        <f ca="1">IF(ISNUMBER(MATCH(DATEVALUE($A24),'recurring1_based on steps'!Y$1:Y$400,0)),Y$2,)</f>
        <v>0</v>
      </c>
      <c r="Z24" s="179">
        <f ca="1">IF(ISNUMBER(MATCH(DATEVALUE($A24),'recurring1_based on steps'!Z$1:Z$400,0)),Z$2,)</f>
        <v>0</v>
      </c>
      <c r="AA24" s="179">
        <f ca="1">IF(ISNUMBER(MATCH(DATEVALUE($A24),'recurring1_based on steps'!AA$1:AA$400,0)),AA$2,)</f>
        <v>0</v>
      </c>
      <c r="AB24" s="179">
        <f ca="1">IF(ISNUMBER(MATCH(DATEVALUE($A24),'recurring1_based on steps'!AB$1:AB$400,0)),AB$2,)</f>
        <v>0</v>
      </c>
      <c r="AC24" s="179">
        <f ca="1">IF(ISNUMBER(MATCH(DATEVALUE($A24),'recurring1_based on steps'!AC$1:AC$400,0)),AC$2,)</f>
        <v>0</v>
      </c>
      <c r="AD24" s="179">
        <f ca="1">IF(ISNUMBER(MATCH(DATEVALUE($A24),'recurring1_based on steps'!AD$1:AD$400,0)),AD$2,)</f>
        <v>0</v>
      </c>
      <c r="AE24" s="179">
        <f ca="1">IF(ISNUMBER(MATCH(DATEVALUE($A24),'recurring1_based on steps'!AE$1:AE$400,0)),AE$2,)</f>
        <v>0</v>
      </c>
      <c r="AF24" s="179">
        <f ca="1">IF(ISNUMBER(MATCH(DATEVALUE($A24),'recurring1_based on steps'!AF$1:AF$400,0)),AF$2,)</f>
        <v>0</v>
      </c>
      <c r="AG24" s="179">
        <f ca="1">IF(ISNUMBER(MATCH(DATEVALUE($A24),'recurring1_based on steps'!AG$1:AG$400,0)),AG$2,)</f>
        <v>0</v>
      </c>
      <c r="AH24" s="179">
        <f ca="1">IF(ISNUMBER(MATCH(DATEVALUE($A24),'recurring1_based on steps'!AH$1:AH$400,0)),AH$2,)</f>
        <v>0</v>
      </c>
      <c r="AI24" s="179">
        <f ca="1">IF(ISNUMBER(MATCH(DATEVALUE($A24),'recurring1_based on steps'!AI$1:AI$400,0)),AI$2,)</f>
        <v>0</v>
      </c>
      <c r="AJ24" s="179">
        <f ca="1">IF(ISNUMBER(MATCH(DATEVALUE($A24),'recurring1_based on steps'!AJ$1:AJ$400,0)),AJ$2,)</f>
        <v>0</v>
      </c>
      <c r="AK24" s="179">
        <f ca="1">IF(ISNUMBER(MATCH(DATEVALUE($A24),'recurring1_based on steps'!AK$1:AK$400,0)),AK$2,)</f>
        <v>0</v>
      </c>
      <c r="AL24" s="179">
        <f ca="1">IF(ISNUMBER(MATCH(DATEVALUE($A24),'recurring1_based on steps'!AL$1:AL$400,0)),AL$2,)</f>
        <v>0</v>
      </c>
      <c r="AM24" s="179">
        <f ca="1">IF(ISNUMBER(MATCH(DATEVALUE($A24),'recurring1_based on steps'!AM$1:AM$400,0)),AM$2,)</f>
        <v>0</v>
      </c>
      <c r="AN24" s="179">
        <f ca="1">IF(ISNUMBER(MATCH(DATEVALUE($A24),'recurring1_based on steps'!AN$1:AN$400,0)),AN$2,)</f>
        <v>0</v>
      </c>
      <c r="AO24" s="179">
        <f ca="1">IF(ISNUMBER(MATCH(DATEVALUE($A24),'recurring1_based on steps'!AO$1:AO$400,0)),AO$2,)</f>
        <v>0</v>
      </c>
      <c r="AP24" s="179">
        <f ca="1">IF(ISNUMBER(MATCH(DATEVALUE($A24),'recurring1_based on steps'!AP$1:AP$400,0)),AP$2,)</f>
        <v>0</v>
      </c>
      <c r="AQ24" s="179">
        <f ca="1">IF(ISNUMBER(MATCH(DATEVALUE($A24),'recurring1_based on steps'!AQ$1:AQ$400,0)),AQ$2,)</f>
        <v>0</v>
      </c>
      <c r="AR24" s="179">
        <f ca="1">IF(ISNUMBER(MATCH(DATEVALUE($A24),'recurring1_based on steps'!AR$1:AR$400,0)),AR$2,)</f>
        <v>0</v>
      </c>
      <c r="AS24" s="179">
        <f ca="1">IF(ISNUMBER(MATCH(DATEVALUE($A24),'recurring1_based on steps'!AS$1:AS$400,0)),AS$2,)</f>
        <v>0</v>
      </c>
      <c r="AT24" s="179">
        <f ca="1">IF(ISNUMBER(MATCH(DATEVALUE($A24),'recurring1_based on steps'!AT$1:AT$400,0)),AT$2,)</f>
        <v>0</v>
      </c>
      <c r="AU24" s="179">
        <f ca="1">IF(ISNUMBER(MATCH(DATEVALUE($A24),'recurring1_based on steps'!AU$1:AU$400,0)),AU$2,)</f>
        <v>0</v>
      </c>
      <c r="AV24" s="179">
        <f ca="1">IF(ISNUMBER(MATCH(DATEVALUE($A24),'recurring1_based on steps'!AV$1:AV$400,0)),AV$2,)</f>
        <v>0</v>
      </c>
      <c r="AW24" s="179">
        <f ca="1">IF(ISNUMBER(MATCH(DATEVALUE($A24),'recurring1_based on steps'!AW$1:AW$400,0)),AW$2,)</f>
        <v>0</v>
      </c>
      <c r="AX24" s="179">
        <f ca="1">IF(ISNUMBER(MATCH(DATEVALUE($A24),'recurring1_based on steps'!AX$1:AX$400,0)),AX$2,)</f>
        <v>0</v>
      </c>
      <c r="AY24" s="179">
        <f ca="1">IF(ISNUMBER(MATCH(DATEVALUE($A24),'recurring1_based on steps'!AY$1:AY$400,0)),AY$2,)</f>
        <v>0</v>
      </c>
    </row>
    <row r="25" spans="1:51" x14ac:dyDescent="0.2">
      <c r="A25" s="32" t="str">
        <f t="shared" ca="1" si="0"/>
        <v>2025-04-20</v>
      </c>
      <c r="B25" s="179">
        <f ca="1">IF(ISNUMBER(MATCH(DATEVALUE($A25),'recurring1_based on steps'!B$1:B$400,0)),B$2,)</f>
        <v>0</v>
      </c>
      <c r="C25" s="179">
        <f ca="1">IF(ISNUMBER(MATCH(DATEVALUE($A25),'recurring1_based on steps'!C$1:C$400,0)),C$2,)</f>
        <v>0</v>
      </c>
      <c r="D25" s="179">
        <f ca="1">IF(ISNUMBER(MATCH(DATEVALUE($A25),'recurring1_based on steps'!D$1:D$400,0)),D$2,)</f>
        <v>0</v>
      </c>
      <c r="E25" s="179">
        <f ca="1">IF(ISNUMBER(MATCH(DATEVALUE($A25),'recurring1_based on steps'!E$1:E$400,0)),E$2,)</f>
        <v>0</v>
      </c>
      <c r="F25" s="179">
        <f ca="1">IF(ISNUMBER(MATCH(DATEVALUE($A25),'recurring1_based on steps'!F$1:F$400,0)),F$2,)</f>
        <v>0</v>
      </c>
      <c r="G25" s="179">
        <f ca="1">IF(ISNUMBER(MATCH(DATEVALUE($A25),'recurring1_based on steps'!G$1:G$400,0)),G$2,)</f>
        <v>0</v>
      </c>
      <c r="H25" s="179">
        <f ca="1">IF(ISNUMBER(MATCH(DATEVALUE($A25),'recurring1_based on steps'!H$1:H$400,0)),H$2,)</f>
        <v>0</v>
      </c>
      <c r="I25" s="179">
        <f ca="1">IF(ISNUMBER(MATCH(DATEVALUE($A25),'recurring1_based on steps'!I$1:I$400,0)),I$2,)</f>
        <v>0</v>
      </c>
      <c r="J25" s="179">
        <f ca="1">IF(ISNUMBER(MATCH(DATEVALUE($A25),'recurring1_based on steps'!J$1:J$400,0)),J$2,)</f>
        <v>0</v>
      </c>
      <c r="K25" s="179">
        <f ca="1">IF(ISNUMBER(MATCH(DATEVALUE($A25),'recurring1_based on steps'!K$1:K$400,0)),K$2,)</f>
        <v>0</v>
      </c>
      <c r="L25" s="179">
        <f ca="1">IF(ISNUMBER(MATCH(DATEVALUE($A25),'recurring1_based on steps'!L$1:L$400,0)),L$2,)</f>
        <v>0</v>
      </c>
      <c r="M25" s="179">
        <f ca="1">IF(ISNUMBER(MATCH(DATEVALUE($A25),'recurring1_based on steps'!M$1:M$400,0)),M$2,)</f>
        <v>0</v>
      </c>
      <c r="N25" s="179">
        <f ca="1">IF(ISNUMBER(MATCH(DATEVALUE($A25),'recurring1_based on steps'!N$1:N$400,0)),N$2,)</f>
        <v>0</v>
      </c>
      <c r="O25" s="179">
        <f ca="1">IF(ISNUMBER(MATCH(DATEVALUE($A25),'recurring1_based on steps'!O$1:O$400,0)),O$2,)</f>
        <v>0</v>
      </c>
      <c r="P25" s="179">
        <f ca="1">IF(ISNUMBER(MATCH(DATEVALUE($A25),'recurring1_based on steps'!P$1:P$400,0)),P$2,)</f>
        <v>0</v>
      </c>
      <c r="Q25" s="179">
        <f ca="1">IF(ISNUMBER(MATCH(DATEVALUE($A25),'recurring1_based on steps'!Q$1:Q$400,0)),Q$2,)</f>
        <v>0</v>
      </c>
      <c r="R25" s="179">
        <f ca="1">IF(ISNUMBER(MATCH(DATEVALUE($A25),'recurring1_based on steps'!R$1:R$400,0)),R$2,)</f>
        <v>0</v>
      </c>
      <c r="S25" s="179">
        <f ca="1">IF(ISNUMBER(MATCH(DATEVALUE($A25),'recurring1_based on steps'!S$1:S$400,0)),S$2,)</f>
        <v>0</v>
      </c>
      <c r="T25" s="179">
        <f ca="1">IF(ISNUMBER(MATCH(DATEVALUE($A25),'recurring1_based on steps'!T$1:T$400,0)),T$2,)</f>
        <v>0</v>
      </c>
      <c r="U25" s="179">
        <f ca="1">IF(ISNUMBER(MATCH(DATEVALUE($A25),'recurring1_based on steps'!U$1:U$400,0)),U$2,)</f>
        <v>0</v>
      </c>
      <c r="V25" s="179">
        <f ca="1">IF(ISNUMBER(MATCH(DATEVALUE($A25),'recurring1_based on steps'!V$1:V$400,0)),V$2,)</f>
        <v>0</v>
      </c>
      <c r="W25" s="179">
        <f ca="1">IF(ISNUMBER(MATCH(DATEVALUE($A25),'recurring1_based on steps'!W$1:W$400,0)),W$2,)</f>
        <v>0</v>
      </c>
      <c r="X25" s="179">
        <f ca="1">IF(ISNUMBER(MATCH(DATEVALUE($A25),'recurring1_based on steps'!X$1:X$400,0)),X$2,)</f>
        <v>0</v>
      </c>
      <c r="Y25" s="179">
        <f ca="1">IF(ISNUMBER(MATCH(DATEVALUE($A25),'recurring1_based on steps'!Y$1:Y$400,0)),Y$2,)</f>
        <v>0</v>
      </c>
      <c r="Z25" s="179">
        <f ca="1">IF(ISNUMBER(MATCH(DATEVALUE($A25),'recurring1_based on steps'!Z$1:Z$400,0)),Z$2,)</f>
        <v>0</v>
      </c>
      <c r="AA25" s="179">
        <f ca="1">IF(ISNUMBER(MATCH(DATEVALUE($A25),'recurring1_based on steps'!AA$1:AA$400,0)),AA$2,)</f>
        <v>0</v>
      </c>
      <c r="AB25" s="179">
        <f ca="1">IF(ISNUMBER(MATCH(DATEVALUE($A25),'recurring1_based on steps'!AB$1:AB$400,0)),AB$2,)</f>
        <v>0</v>
      </c>
      <c r="AC25" s="179">
        <f ca="1">IF(ISNUMBER(MATCH(DATEVALUE($A25),'recurring1_based on steps'!AC$1:AC$400,0)),AC$2,)</f>
        <v>0</v>
      </c>
      <c r="AD25" s="179">
        <f ca="1">IF(ISNUMBER(MATCH(DATEVALUE($A25),'recurring1_based on steps'!AD$1:AD$400,0)),AD$2,)</f>
        <v>0</v>
      </c>
      <c r="AE25" s="179">
        <f ca="1">IF(ISNUMBER(MATCH(DATEVALUE($A25),'recurring1_based on steps'!AE$1:AE$400,0)),AE$2,)</f>
        <v>0</v>
      </c>
      <c r="AF25" s="179">
        <f ca="1">IF(ISNUMBER(MATCH(DATEVALUE($A25),'recurring1_based on steps'!AF$1:AF$400,0)),AF$2,)</f>
        <v>0</v>
      </c>
      <c r="AG25" s="179">
        <f ca="1">IF(ISNUMBER(MATCH(DATEVALUE($A25),'recurring1_based on steps'!AG$1:AG$400,0)),AG$2,)</f>
        <v>0</v>
      </c>
      <c r="AH25" s="179">
        <f ca="1">IF(ISNUMBER(MATCH(DATEVALUE($A25),'recurring1_based on steps'!AH$1:AH$400,0)),AH$2,)</f>
        <v>0</v>
      </c>
      <c r="AI25" s="179">
        <f ca="1">IF(ISNUMBER(MATCH(DATEVALUE($A25),'recurring1_based on steps'!AI$1:AI$400,0)),AI$2,)</f>
        <v>0</v>
      </c>
      <c r="AJ25" s="179">
        <f ca="1">IF(ISNUMBER(MATCH(DATEVALUE($A25),'recurring1_based on steps'!AJ$1:AJ$400,0)),AJ$2,)</f>
        <v>0</v>
      </c>
      <c r="AK25" s="179">
        <f ca="1">IF(ISNUMBER(MATCH(DATEVALUE($A25),'recurring1_based on steps'!AK$1:AK$400,0)),AK$2,)</f>
        <v>0</v>
      </c>
      <c r="AL25" s="179">
        <f ca="1">IF(ISNUMBER(MATCH(DATEVALUE($A25),'recurring1_based on steps'!AL$1:AL$400,0)),AL$2,)</f>
        <v>0</v>
      </c>
      <c r="AM25" s="179">
        <f ca="1">IF(ISNUMBER(MATCH(DATEVALUE($A25),'recurring1_based on steps'!AM$1:AM$400,0)),AM$2,)</f>
        <v>0</v>
      </c>
      <c r="AN25" s="179">
        <f ca="1">IF(ISNUMBER(MATCH(DATEVALUE($A25),'recurring1_based on steps'!AN$1:AN$400,0)),AN$2,)</f>
        <v>0</v>
      </c>
      <c r="AO25" s="179">
        <f ca="1">IF(ISNUMBER(MATCH(DATEVALUE($A25),'recurring1_based on steps'!AO$1:AO$400,0)),AO$2,)</f>
        <v>0</v>
      </c>
      <c r="AP25" s="179">
        <f ca="1">IF(ISNUMBER(MATCH(DATEVALUE($A25),'recurring1_based on steps'!AP$1:AP$400,0)),AP$2,)</f>
        <v>0</v>
      </c>
      <c r="AQ25" s="179">
        <f ca="1">IF(ISNUMBER(MATCH(DATEVALUE($A25),'recurring1_based on steps'!AQ$1:AQ$400,0)),AQ$2,)</f>
        <v>0</v>
      </c>
      <c r="AR25" s="179">
        <f ca="1">IF(ISNUMBER(MATCH(DATEVALUE($A25),'recurring1_based on steps'!AR$1:AR$400,0)),AR$2,)</f>
        <v>0</v>
      </c>
      <c r="AS25" s="179">
        <f ca="1">IF(ISNUMBER(MATCH(DATEVALUE($A25),'recurring1_based on steps'!AS$1:AS$400,0)),AS$2,)</f>
        <v>0</v>
      </c>
      <c r="AT25" s="179">
        <f ca="1">IF(ISNUMBER(MATCH(DATEVALUE($A25),'recurring1_based on steps'!AT$1:AT$400,0)),AT$2,)</f>
        <v>0</v>
      </c>
      <c r="AU25" s="179">
        <f ca="1">IF(ISNUMBER(MATCH(DATEVALUE($A25),'recurring1_based on steps'!AU$1:AU$400,0)),AU$2,)</f>
        <v>0</v>
      </c>
      <c r="AV25" s="179">
        <f ca="1">IF(ISNUMBER(MATCH(DATEVALUE($A25),'recurring1_based on steps'!AV$1:AV$400,0)),AV$2,)</f>
        <v>0</v>
      </c>
      <c r="AW25" s="179">
        <f ca="1">IF(ISNUMBER(MATCH(DATEVALUE($A25),'recurring1_based on steps'!AW$1:AW$400,0)),AW$2,)</f>
        <v>0</v>
      </c>
      <c r="AX25" s="179">
        <f ca="1">IF(ISNUMBER(MATCH(DATEVALUE($A25),'recurring1_based on steps'!AX$1:AX$400,0)),AX$2,)</f>
        <v>0</v>
      </c>
      <c r="AY25" s="179">
        <f ca="1">IF(ISNUMBER(MATCH(DATEVALUE($A25),'recurring1_based on steps'!AY$1:AY$400,0)),AY$2,)</f>
        <v>0</v>
      </c>
    </row>
    <row r="26" spans="1:51" x14ac:dyDescent="0.2">
      <c r="A26" s="32" t="str">
        <f t="shared" ca="1" si="0"/>
        <v>2025-04-21</v>
      </c>
      <c r="B26" s="179">
        <f ca="1">IF(ISNUMBER(MATCH(DATEVALUE($A26),'recurring1_based on steps'!B$1:B$400,0)),B$2,)</f>
        <v>0</v>
      </c>
      <c r="C26" s="179">
        <f ca="1">IF(ISNUMBER(MATCH(DATEVALUE($A26),'recurring1_based on steps'!C$1:C$400,0)),C$2,)</f>
        <v>0</v>
      </c>
      <c r="D26" s="179">
        <f ca="1">IF(ISNUMBER(MATCH(DATEVALUE($A26),'recurring1_based on steps'!D$1:D$400,0)),D$2,)</f>
        <v>0</v>
      </c>
      <c r="E26" s="179">
        <f ca="1">IF(ISNUMBER(MATCH(DATEVALUE($A26),'recurring1_based on steps'!E$1:E$400,0)),E$2,)</f>
        <v>0</v>
      </c>
      <c r="F26" s="179">
        <f ca="1">IF(ISNUMBER(MATCH(DATEVALUE($A26),'recurring1_based on steps'!F$1:F$400,0)),F$2,)</f>
        <v>0</v>
      </c>
      <c r="G26" s="179">
        <f ca="1">IF(ISNUMBER(MATCH(DATEVALUE($A26),'recurring1_based on steps'!G$1:G$400,0)),G$2,)</f>
        <v>0</v>
      </c>
      <c r="H26" s="179">
        <f ca="1">IF(ISNUMBER(MATCH(DATEVALUE($A26),'recurring1_based on steps'!H$1:H$400,0)),H$2,)</f>
        <v>0</v>
      </c>
      <c r="I26" s="179">
        <f ca="1">IF(ISNUMBER(MATCH(DATEVALUE($A26),'recurring1_based on steps'!I$1:I$400,0)),I$2,)</f>
        <v>0</v>
      </c>
      <c r="J26" s="179">
        <f ca="1">IF(ISNUMBER(MATCH(DATEVALUE($A26),'recurring1_based on steps'!J$1:J$400,0)),J$2,)</f>
        <v>0</v>
      </c>
      <c r="K26" s="179">
        <f ca="1">IF(ISNUMBER(MATCH(DATEVALUE($A26),'recurring1_based on steps'!K$1:K$400,0)),K$2,)</f>
        <v>0</v>
      </c>
      <c r="L26" s="179">
        <f ca="1">IF(ISNUMBER(MATCH(DATEVALUE($A26),'recurring1_based on steps'!L$1:L$400,0)),L$2,)</f>
        <v>0</v>
      </c>
      <c r="M26" s="179">
        <f ca="1">IF(ISNUMBER(MATCH(DATEVALUE($A26),'recurring1_based on steps'!M$1:M$400,0)),M$2,)</f>
        <v>0</v>
      </c>
      <c r="N26" s="179">
        <f ca="1">IF(ISNUMBER(MATCH(DATEVALUE($A26),'recurring1_based on steps'!N$1:N$400,0)),N$2,)</f>
        <v>0</v>
      </c>
      <c r="O26" s="179">
        <f ca="1">IF(ISNUMBER(MATCH(DATEVALUE($A26),'recurring1_based on steps'!O$1:O$400,0)),O$2,)</f>
        <v>0</v>
      </c>
      <c r="P26" s="179">
        <f ca="1">IF(ISNUMBER(MATCH(DATEVALUE($A26),'recurring1_based on steps'!P$1:P$400,0)),P$2,)</f>
        <v>0</v>
      </c>
      <c r="Q26" s="179">
        <f ca="1">IF(ISNUMBER(MATCH(DATEVALUE($A26),'recurring1_based on steps'!Q$1:Q$400,0)),Q$2,)</f>
        <v>0</v>
      </c>
      <c r="R26" s="179">
        <f ca="1">IF(ISNUMBER(MATCH(DATEVALUE($A26),'recurring1_based on steps'!R$1:R$400,0)),R$2,)</f>
        <v>0</v>
      </c>
      <c r="S26" s="179">
        <f ca="1">IF(ISNUMBER(MATCH(DATEVALUE($A26),'recurring1_based on steps'!S$1:S$400,0)),S$2,)</f>
        <v>0</v>
      </c>
      <c r="T26" s="179">
        <f ca="1">IF(ISNUMBER(MATCH(DATEVALUE($A26),'recurring1_based on steps'!T$1:T$400,0)),T$2,)</f>
        <v>0</v>
      </c>
      <c r="U26" s="179">
        <f ca="1">IF(ISNUMBER(MATCH(DATEVALUE($A26),'recurring1_based on steps'!U$1:U$400,0)),U$2,)</f>
        <v>0</v>
      </c>
      <c r="V26" s="179">
        <f ca="1">IF(ISNUMBER(MATCH(DATEVALUE($A26),'recurring1_based on steps'!V$1:V$400,0)),V$2,)</f>
        <v>0</v>
      </c>
      <c r="W26" s="179">
        <f ca="1">IF(ISNUMBER(MATCH(DATEVALUE($A26),'recurring1_based on steps'!W$1:W$400,0)),W$2,)</f>
        <v>0</v>
      </c>
      <c r="X26" s="179">
        <f ca="1">IF(ISNUMBER(MATCH(DATEVALUE($A26),'recurring1_based on steps'!X$1:X$400,0)),X$2,)</f>
        <v>0</v>
      </c>
      <c r="Y26" s="179">
        <f ca="1">IF(ISNUMBER(MATCH(DATEVALUE($A26),'recurring1_based on steps'!Y$1:Y$400,0)),Y$2,)</f>
        <v>0</v>
      </c>
      <c r="Z26" s="179">
        <f ca="1">IF(ISNUMBER(MATCH(DATEVALUE($A26),'recurring1_based on steps'!Z$1:Z$400,0)),Z$2,)</f>
        <v>0</v>
      </c>
      <c r="AA26" s="179">
        <f ca="1">IF(ISNUMBER(MATCH(DATEVALUE($A26),'recurring1_based on steps'!AA$1:AA$400,0)),AA$2,)</f>
        <v>0</v>
      </c>
      <c r="AB26" s="179">
        <f ca="1">IF(ISNUMBER(MATCH(DATEVALUE($A26),'recurring1_based on steps'!AB$1:AB$400,0)),AB$2,)</f>
        <v>0</v>
      </c>
      <c r="AC26" s="179">
        <f ca="1">IF(ISNUMBER(MATCH(DATEVALUE($A26),'recurring1_based on steps'!AC$1:AC$400,0)),AC$2,)</f>
        <v>0</v>
      </c>
      <c r="AD26" s="179">
        <f ca="1">IF(ISNUMBER(MATCH(DATEVALUE($A26),'recurring1_based on steps'!AD$1:AD$400,0)),AD$2,)</f>
        <v>0</v>
      </c>
      <c r="AE26" s="179">
        <f ca="1">IF(ISNUMBER(MATCH(DATEVALUE($A26),'recurring1_based on steps'!AE$1:AE$400,0)),AE$2,)</f>
        <v>0</v>
      </c>
      <c r="AF26" s="179">
        <f ca="1">IF(ISNUMBER(MATCH(DATEVALUE($A26),'recurring1_based on steps'!AF$1:AF$400,0)),AF$2,)</f>
        <v>0</v>
      </c>
      <c r="AG26" s="179">
        <f ca="1">IF(ISNUMBER(MATCH(DATEVALUE($A26),'recurring1_based on steps'!AG$1:AG$400,0)),AG$2,)</f>
        <v>0</v>
      </c>
      <c r="AH26" s="179">
        <f ca="1">IF(ISNUMBER(MATCH(DATEVALUE($A26),'recurring1_based on steps'!AH$1:AH$400,0)),AH$2,)</f>
        <v>0</v>
      </c>
      <c r="AI26" s="179">
        <f ca="1">IF(ISNUMBER(MATCH(DATEVALUE($A26),'recurring1_based on steps'!AI$1:AI$400,0)),AI$2,)</f>
        <v>0</v>
      </c>
      <c r="AJ26" s="179">
        <f ca="1">IF(ISNUMBER(MATCH(DATEVALUE($A26),'recurring1_based on steps'!AJ$1:AJ$400,0)),AJ$2,)</f>
        <v>0</v>
      </c>
      <c r="AK26" s="179">
        <f ca="1">IF(ISNUMBER(MATCH(DATEVALUE($A26),'recurring1_based on steps'!AK$1:AK$400,0)),AK$2,)</f>
        <v>0</v>
      </c>
      <c r="AL26" s="179">
        <f ca="1">IF(ISNUMBER(MATCH(DATEVALUE($A26),'recurring1_based on steps'!AL$1:AL$400,0)),AL$2,)</f>
        <v>0</v>
      </c>
      <c r="AM26" s="179">
        <f ca="1">IF(ISNUMBER(MATCH(DATEVALUE($A26),'recurring1_based on steps'!AM$1:AM$400,0)),AM$2,)</f>
        <v>0</v>
      </c>
      <c r="AN26" s="179">
        <f ca="1">IF(ISNUMBER(MATCH(DATEVALUE($A26),'recurring1_based on steps'!AN$1:AN$400,0)),AN$2,)</f>
        <v>0</v>
      </c>
      <c r="AO26" s="179">
        <f ca="1">IF(ISNUMBER(MATCH(DATEVALUE($A26),'recurring1_based on steps'!AO$1:AO$400,0)),AO$2,)</f>
        <v>0</v>
      </c>
      <c r="AP26" s="179">
        <f ca="1">IF(ISNUMBER(MATCH(DATEVALUE($A26),'recurring1_based on steps'!AP$1:AP$400,0)),AP$2,)</f>
        <v>0</v>
      </c>
      <c r="AQ26" s="179">
        <f ca="1">IF(ISNUMBER(MATCH(DATEVALUE($A26),'recurring1_based on steps'!AQ$1:AQ$400,0)),AQ$2,)</f>
        <v>0</v>
      </c>
      <c r="AR26" s="179">
        <f ca="1">IF(ISNUMBER(MATCH(DATEVALUE($A26),'recurring1_based on steps'!AR$1:AR$400,0)),AR$2,)</f>
        <v>0</v>
      </c>
      <c r="AS26" s="179">
        <f ca="1">IF(ISNUMBER(MATCH(DATEVALUE($A26),'recurring1_based on steps'!AS$1:AS$400,0)),AS$2,)</f>
        <v>0</v>
      </c>
      <c r="AT26" s="179">
        <f ca="1">IF(ISNUMBER(MATCH(DATEVALUE($A26),'recurring1_based on steps'!AT$1:AT$400,0)),AT$2,)</f>
        <v>0</v>
      </c>
      <c r="AU26" s="179">
        <f ca="1">IF(ISNUMBER(MATCH(DATEVALUE($A26),'recurring1_based on steps'!AU$1:AU$400,0)),AU$2,)</f>
        <v>0</v>
      </c>
      <c r="AV26" s="179">
        <f ca="1">IF(ISNUMBER(MATCH(DATEVALUE($A26),'recurring1_based on steps'!AV$1:AV$400,0)),AV$2,)</f>
        <v>0</v>
      </c>
      <c r="AW26" s="179">
        <f ca="1">IF(ISNUMBER(MATCH(DATEVALUE($A26),'recurring1_based on steps'!AW$1:AW$400,0)),AW$2,)</f>
        <v>0</v>
      </c>
      <c r="AX26" s="179">
        <f ca="1">IF(ISNUMBER(MATCH(DATEVALUE($A26),'recurring1_based on steps'!AX$1:AX$400,0)),AX$2,)</f>
        <v>0</v>
      </c>
      <c r="AY26" s="179">
        <f ca="1">IF(ISNUMBER(MATCH(DATEVALUE($A26),'recurring1_based on steps'!AY$1:AY$400,0)),AY$2,)</f>
        <v>0</v>
      </c>
    </row>
    <row r="27" spans="1:51" x14ac:dyDescent="0.2">
      <c r="A27" s="32" t="str">
        <f t="shared" ca="1" si="0"/>
        <v>2025-04-22</v>
      </c>
      <c r="B27" s="179">
        <f ca="1">IF(ISNUMBER(MATCH(DATEVALUE($A27),'recurring1_based on steps'!B$1:B$400,0)),B$2,)</f>
        <v>0</v>
      </c>
      <c r="C27" s="179">
        <f ca="1">IF(ISNUMBER(MATCH(DATEVALUE($A27),'recurring1_based on steps'!C$1:C$400,0)),C$2,)</f>
        <v>0</v>
      </c>
      <c r="D27" s="179">
        <f ca="1">IF(ISNUMBER(MATCH(DATEVALUE($A27),'recurring1_based on steps'!D$1:D$400,0)),D$2,)</f>
        <v>0</v>
      </c>
      <c r="E27" s="179">
        <f ca="1">IF(ISNUMBER(MATCH(DATEVALUE($A27),'recurring1_based on steps'!E$1:E$400,0)),E$2,)</f>
        <v>0</v>
      </c>
      <c r="F27" s="179">
        <f ca="1">IF(ISNUMBER(MATCH(DATEVALUE($A27),'recurring1_based on steps'!F$1:F$400,0)),F$2,)</f>
        <v>0</v>
      </c>
      <c r="G27" s="179">
        <f ca="1">IF(ISNUMBER(MATCH(DATEVALUE($A27),'recurring1_based on steps'!G$1:G$400,0)),G$2,)</f>
        <v>0</v>
      </c>
      <c r="H27" s="179">
        <f ca="1">IF(ISNUMBER(MATCH(DATEVALUE($A27),'recurring1_based on steps'!H$1:H$400,0)),H$2,)</f>
        <v>0</v>
      </c>
      <c r="I27" s="179">
        <f ca="1">IF(ISNUMBER(MATCH(DATEVALUE($A27),'recurring1_based on steps'!I$1:I$400,0)),I$2,)</f>
        <v>0</v>
      </c>
      <c r="J27" s="179">
        <f ca="1">IF(ISNUMBER(MATCH(DATEVALUE($A27),'recurring1_based on steps'!J$1:J$400,0)),J$2,)</f>
        <v>0</v>
      </c>
      <c r="K27" s="179">
        <f ca="1">IF(ISNUMBER(MATCH(DATEVALUE($A27),'recurring1_based on steps'!K$1:K$400,0)),K$2,)</f>
        <v>0</v>
      </c>
      <c r="L27" s="179">
        <f ca="1">IF(ISNUMBER(MATCH(DATEVALUE($A27),'recurring1_based on steps'!L$1:L$400,0)),L$2,)</f>
        <v>0</v>
      </c>
      <c r="M27" s="179">
        <f ca="1">IF(ISNUMBER(MATCH(DATEVALUE($A27),'recurring1_based on steps'!M$1:M$400,0)),M$2,)</f>
        <v>0</v>
      </c>
      <c r="N27" s="179">
        <f ca="1">IF(ISNUMBER(MATCH(DATEVALUE($A27),'recurring1_based on steps'!N$1:N$400,0)),N$2,)</f>
        <v>0</v>
      </c>
      <c r="O27" s="179">
        <f ca="1">IF(ISNUMBER(MATCH(DATEVALUE($A27),'recurring1_based on steps'!O$1:O$400,0)),O$2,)</f>
        <v>0</v>
      </c>
      <c r="P27" s="179">
        <f ca="1">IF(ISNUMBER(MATCH(DATEVALUE($A27),'recurring1_based on steps'!P$1:P$400,0)),P$2,)</f>
        <v>0</v>
      </c>
      <c r="Q27" s="179">
        <f ca="1">IF(ISNUMBER(MATCH(DATEVALUE($A27),'recurring1_based on steps'!Q$1:Q$400,0)),Q$2,)</f>
        <v>0</v>
      </c>
      <c r="R27" s="179">
        <f ca="1">IF(ISNUMBER(MATCH(DATEVALUE($A27),'recurring1_based on steps'!R$1:R$400,0)),R$2,)</f>
        <v>0</v>
      </c>
      <c r="S27" s="179">
        <f ca="1">IF(ISNUMBER(MATCH(DATEVALUE($A27),'recurring1_based on steps'!S$1:S$400,0)),S$2,)</f>
        <v>0</v>
      </c>
      <c r="T27" s="179">
        <f ca="1">IF(ISNUMBER(MATCH(DATEVALUE($A27),'recurring1_based on steps'!T$1:T$400,0)),T$2,)</f>
        <v>0</v>
      </c>
      <c r="U27" s="179">
        <f ca="1">IF(ISNUMBER(MATCH(DATEVALUE($A27),'recurring1_based on steps'!U$1:U$400,0)),U$2,)</f>
        <v>0</v>
      </c>
      <c r="V27" s="179">
        <f ca="1">IF(ISNUMBER(MATCH(DATEVALUE($A27),'recurring1_based on steps'!V$1:V$400,0)),V$2,)</f>
        <v>0</v>
      </c>
      <c r="W27" s="179">
        <f ca="1">IF(ISNUMBER(MATCH(DATEVALUE($A27),'recurring1_based on steps'!W$1:W$400,0)),W$2,)</f>
        <v>0</v>
      </c>
      <c r="X27" s="179">
        <f ca="1">IF(ISNUMBER(MATCH(DATEVALUE($A27),'recurring1_based on steps'!X$1:X$400,0)),X$2,)</f>
        <v>0</v>
      </c>
      <c r="Y27" s="179">
        <f ca="1">IF(ISNUMBER(MATCH(DATEVALUE($A27),'recurring1_based on steps'!Y$1:Y$400,0)),Y$2,)</f>
        <v>0</v>
      </c>
      <c r="Z27" s="179">
        <f ca="1">IF(ISNUMBER(MATCH(DATEVALUE($A27),'recurring1_based on steps'!Z$1:Z$400,0)),Z$2,)</f>
        <v>0</v>
      </c>
      <c r="AA27" s="179">
        <f ca="1">IF(ISNUMBER(MATCH(DATEVALUE($A27),'recurring1_based on steps'!AA$1:AA$400,0)),AA$2,)</f>
        <v>0</v>
      </c>
      <c r="AB27" s="179">
        <f ca="1">IF(ISNUMBER(MATCH(DATEVALUE($A27),'recurring1_based on steps'!AB$1:AB$400,0)),AB$2,)</f>
        <v>0</v>
      </c>
      <c r="AC27" s="179">
        <f ca="1">IF(ISNUMBER(MATCH(DATEVALUE($A27),'recurring1_based on steps'!AC$1:AC$400,0)),AC$2,)</f>
        <v>0</v>
      </c>
      <c r="AD27" s="179">
        <f ca="1">IF(ISNUMBER(MATCH(DATEVALUE($A27),'recurring1_based on steps'!AD$1:AD$400,0)),AD$2,)</f>
        <v>0</v>
      </c>
      <c r="AE27" s="179">
        <f ca="1">IF(ISNUMBER(MATCH(DATEVALUE($A27),'recurring1_based on steps'!AE$1:AE$400,0)),AE$2,)</f>
        <v>0</v>
      </c>
      <c r="AF27" s="179">
        <f ca="1">IF(ISNUMBER(MATCH(DATEVALUE($A27),'recurring1_based on steps'!AF$1:AF$400,0)),AF$2,)</f>
        <v>0</v>
      </c>
      <c r="AG27" s="179">
        <f ca="1">IF(ISNUMBER(MATCH(DATEVALUE($A27),'recurring1_based on steps'!AG$1:AG$400,0)),AG$2,)</f>
        <v>0</v>
      </c>
      <c r="AH27" s="179">
        <f ca="1">IF(ISNUMBER(MATCH(DATEVALUE($A27),'recurring1_based on steps'!AH$1:AH$400,0)),AH$2,)</f>
        <v>0</v>
      </c>
      <c r="AI27" s="179">
        <f ca="1">IF(ISNUMBER(MATCH(DATEVALUE($A27),'recurring1_based on steps'!AI$1:AI$400,0)),AI$2,)</f>
        <v>0</v>
      </c>
      <c r="AJ27" s="179">
        <f ca="1">IF(ISNUMBER(MATCH(DATEVALUE($A27),'recurring1_based on steps'!AJ$1:AJ$400,0)),AJ$2,)</f>
        <v>0</v>
      </c>
      <c r="AK27" s="179">
        <f ca="1">IF(ISNUMBER(MATCH(DATEVALUE($A27),'recurring1_based on steps'!AK$1:AK$400,0)),AK$2,)</f>
        <v>0</v>
      </c>
      <c r="AL27" s="179">
        <f ca="1">IF(ISNUMBER(MATCH(DATEVALUE($A27),'recurring1_based on steps'!AL$1:AL$400,0)),AL$2,)</f>
        <v>0</v>
      </c>
      <c r="AM27" s="179">
        <f ca="1">IF(ISNUMBER(MATCH(DATEVALUE($A27),'recurring1_based on steps'!AM$1:AM$400,0)),AM$2,)</f>
        <v>0</v>
      </c>
      <c r="AN27" s="179">
        <f ca="1">IF(ISNUMBER(MATCH(DATEVALUE($A27),'recurring1_based on steps'!AN$1:AN$400,0)),AN$2,)</f>
        <v>0</v>
      </c>
      <c r="AO27" s="179">
        <f ca="1">IF(ISNUMBER(MATCH(DATEVALUE($A27),'recurring1_based on steps'!AO$1:AO$400,0)),AO$2,)</f>
        <v>0</v>
      </c>
      <c r="AP27" s="179">
        <f ca="1">IF(ISNUMBER(MATCH(DATEVALUE($A27),'recurring1_based on steps'!AP$1:AP$400,0)),AP$2,)</f>
        <v>0</v>
      </c>
      <c r="AQ27" s="179">
        <f ca="1">IF(ISNUMBER(MATCH(DATEVALUE($A27),'recurring1_based on steps'!AQ$1:AQ$400,0)),AQ$2,)</f>
        <v>0</v>
      </c>
      <c r="AR27" s="179">
        <f ca="1">IF(ISNUMBER(MATCH(DATEVALUE($A27),'recurring1_based on steps'!AR$1:AR$400,0)),AR$2,)</f>
        <v>0</v>
      </c>
      <c r="AS27" s="179">
        <f ca="1">IF(ISNUMBER(MATCH(DATEVALUE($A27),'recurring1_based on steps'!AS$1:AS$400,0)),AS$2,)</f>
        <v>0</v>
      </c>
      <c r="AT27" s="179">
        <f ca="1">IF(ISNUMBER(MATCH(DATEVALUE($A27),'recurring1_based on steps'!AT$1:AT$400,0)),AT$2,)</f>
        <v>0</v>
      </c>
      <c r="AU27" s="179">
        <f ca="1">IF(ISNUMBER(MATCH(DATEVALUE($A27),'recurring1_based on steps'!AU$1:AU$400,0)),AU$2,)</f>
        <v>0</v>
      </c>
      <c r="AV27" s="179">
        <f ca="1">IF(ISNUMBER(MATCH(DATEVALUE($A27),'recurring1_based on steps'!AV$1:AV$400,0)),AV$2,)</f>
        <v>0</v>
      </c>
      <c r="AW27" s="179">
        <f ca="1">IF(ISNUMBER(MATCH(DATEVALUE($A27),'recurring1_based on steps'!AW$1:AW$400,0)),AW$2,)</f>
        <v>0</v>
      </c>
      <c r="AX27" s="179">
        <f ca="1">IF(ISNUMBER(MATCH(DATEVALUE($A27),'recurring1_based on steps'!AX$1:AX$400,0)),AX$2,)</f>
        <v>0</v>
      </c>
      <c r="AY27" s="179">
        <f ca="1">IF(ISNUMBER(MATCH(DATEVALUE($A27),'recurring1_based on steps'!AY$1:AY$400,0)),AY$2,)</f>
        <v>0</v>
      </c>
    </row>
    <row r="28" spans="1:51" x14ac:dyDescent="0.2">
      <c r="A28" s="32" t="str">
        <f t="shared" ca="1" si="0"/>
        <v>2025-04-23</v>
      </c>
      <c r="B28" s="179">
        <f ca="1">IF(ISNUMBER(MATCH(DATEVALUE($A28),'recurring1_based on steps'!B$1:B$400,0)),B$2,)</f>
        <v>0</v>
      </c>
      <c r="C28" s="179">
        <f ca="1">IF(ISNUMBER(MATCH(DATEVALUE($A28),'recurring1_based on steps'!C$1:C$400,0)),C$2,)</f>
        <v>0</v>
      </c>
      <c r="D28" s="179">
        <f ca="1">IF(ISNUMBER(MATCH(DATEVALUE($A28),'recurring1_based on steps'!D$1:D$400,0)),D$2,)</f>
        <v>0</v>
      </c>
      <c r="E28" s="179">
        <f ca="1">IF(ISNUMBER(MATCH(DATEVALUE($A28),'recurring1_based on steps'!E$1:E$400,0)),E$2,)</f>
        <v>0</v>
      </c>
      <c r="F28" s="179">
        <f ca="1">IF(ISNUMBER(MATCH(DATEVALUE($A28),'recurring1_based on steps'!F$1:F$400,0)),F$2,)</f>
        <v>0</v>
      </c>
      <c r="G28" s="179">
        <f ca="1">IF(ISNUMBER(MATCH(DATEVALUE($A28),'recurring1_based on steps'!G$1:G$400,0)),G$2,)</f>
        <v>0</v>
      </c>
      <c r="H28" s="179">
        <f ca="1">IF(ISNUMBER(MATCH(DATEVALUE($A28),'recurring1_based on steps'!H$1:H$400,0)),H$2,)</f>
        <v>0</v>
      </c>
      <c r="I28" s="179">
        <f ca="1">IF(ISNUMBER(MATCH(DATEVALUE($A28),'recurring1_based on steps'!I$1:I$400,0)),I$2,)</f>
        <v>0</v>
      </c>
      <c r="J28" s="179">
        <f ca="1">IF(ISNUMBER(MATCH(DATEVALUE($A28),'recurring1_based on steps'!J$1:J$400,0)),J$2,)</f>
        <v>0</v>
      </c>
      <c r="K28" s="179">
        <f ca="1">IF(ISNUMBER(MATCH(DATEVALUE($A28),'recurring1_based on steps'!K$1:K$400,0)),K$2,)</f>
        <v>0</v>
      </c>
      <c r="L28" s="179">
        <f ca="1">IF(ISNUMBER(MATCH(DATEVALUE($A28),'recurring1_based on steps'!L$1:L$400,0)),L$2,)</f>
        <v>0</v>
      </c>
      <c r="M28" s="179">
        <f ca="1">IF(ISNUMBER(MATCH(DATEVALUE($A28),'recurring1_based on steps'!M$1:M$400,0)),M$2,)</f>
        <v>0</v>
      </c>
      <c r="N28" s="179">
        <f ca="1">IF(ISNUMBER(MATCH(DATEVALUE($A28),'recurring1_based on steps'!N$1:N$400,0)),N$2,)</f>
        <v>0</v>
      </c>
      <c r="O28" s="179">
        <f ca="1">IF(ISNUMBER(MATCH(DATEVALUE($A28),'recurring1_based on steps'!O$1:O$400,0)),O$2,)</f>
        <v>0</v>
      </c>
      <c r="P28" s="179">
        <f ca="1">IF(ISNUMBER(MATCH(DATEVALUE($A28),'recurring1_based on steps'!P$1:P$400,0)),P$2,)</f>
        <v>0</v>
      </c>
      <c r="Q28" s="179">
        <f ca="1">IF(ISNUMBER(MATCH(DATEVALUE($A28),'recurring1_based on steps'!Q$1:Q$400,0)),Q$2,)</f>
        <v>0</v>
      </c>
      <c r="R28" s="179">
        <f ca="1">IF(ISNUMBER(MATCH(DATEVALUE($A28),'recurring1_based on steps'!R$1:R$400,0)),R$2,)</f>
        <v>0</v>
      </c>
      <c r="S28" s="179">
        <f ca="1">IF(ISNUMBER(MATCH(DATEVALUE($A28),'recurring1_based on steps'!S$1:S$400,0)),S$2,)</f>
        <v>0</v>
      </c>
      <c r="T28" s="179">
        <f ca="1">IF(ISNUMBER(MATCH(DATEVALUE($A28),'recurring1_based on steps'!T$1:T$400,0)),T$2,)</f>
        <v>0</v>
      </c>
      <c r="U28" s="179">
        <f ca="1">IF(ISNUMBER(MATCH(DATEVALUE($A28),'recurring1_based on steps'!U$1:U$400,0)),U$2,)</f>
        <v>0</v>
      </c>
      <c r="V28" s="179">
        <f ca="1">IF(ISNUMBER(MATCH(DATEVALUE($A28),'recurring1_based on steps'!V$1:V$400,0)),V$2,)</f>
        <v>0</v>
      </c>
      <c r="W28" s="179">
        <f ca="1">IF(ISNUMBER(MATCH(DATEVALUE($A28),'recurring1_based on steps'!W$1:W$400,0)),W$2,)</f>
        <v>0</v>
      </c>
      <c r="X28" s="179">
        <f ca="1">IF(ISNUMBER(MATCH(DATEVALUE($A28),'recurring1_based on steps'!X$1:X$400,0)),X$2,)</f>
        <v>0</v>
      </c>
      <c r="Y28" s="179">
        <f ca="1">IF(ISNUMBER(MATCH(DATEVALUE($A28),'recurring1_based on steps'!Y$1:Y$400,0)),Y$2,)</f>
        <v>0</v>
      </c>
      <c r="Z28" s="179">
        <f ca="1">IF(ISNUMBER(MATCH(DATEVALUE($A28),'recurring1_based on steps'!Z$1:Z$400,0)),Z$2,)</f>
        <v>0</v>
      </c>
      <c r="AA28" s="179">
        <f ca="1">IF(ISNUMBER(MATCH(DATEVALUE($A28),'recurring1_based on steps'!AA$1:AA$400,0)),AA$2,)</f>
        <v>0</v>
      </c>
      <c r="AB28" s="179">
        <f ca="1">IF(ISNUMBER(MATCH(DATEVALUE($A28),'recurring1_based on steps'!AB$1:AB$400,0)),AB$2,)</f>
        <v>0</v>
      </c>
      <c r="AC28" s="179">
        <f ca="1">IF(ISNUMBER(MATCH(DATEVALUE($A28),'recurring1_based on steps'!AC$1:AC$400,0)),AC$2,)</f>
        <v>0</v>
      </c>
      <c r="AD28" s="179">
        <f ca="1">IF(ISNUMBER(MATCH(DATEVALUE($A28),'recurring1_based on steps'!AD$1:AD$400,0)),AD$2,)</f>
        <v>0</v>
      </c>
      <c r="AE28" s="179">
        <f ca="1">IF(ISNUMBER(MATCH(DATEVALUE($A28),'recurring1_based on steps'!AE$1:AE$400,0)),AE$2,)</f>
        <v>0</v>
      </c>
      <c r="AF28" s="179">
        <f ca="1">IF(ISNUMBER(MATCH(DATEVALUE($A28),'recurring1_based on steps'!AF$1:AF$400,0)),AF$2,)</f>
        <v>0</v>
      </c>
      <c r="AG28" s="179">
        <f ca="1">IF(ISNUMBER(MATCH(DATEVALUE($A28),'recurring1_based on steps'!AG$1:AG$400,0)),AG$2,)</f>
        <v>0</v>
      </c>
      <c r="AH28" s="179">
        <f ca="1">IF(ISNUMBER(MATCH(DATEVALUE($A28),'recurring1_based on steps'!AH$1:AH$400,0)),AH$2,)</f>
        <v>0</v>
      </c>
      <c r="AI28" s="179">
        <f ca="1">IF(ISNUMBER(MATCH(DATEVALUE($A28),'recurring1_based on steps'!AI$1:AI$400,0)),AI$2,)</f>
        <v>0</v>
      </c>
      <c r="AJ28" s="179">
        <f ca="1">IF(ISNUMBER(MATCH(DATEVALUE($A28),'recurring1_based on steps'!AJ$1:AJ$400,0)),AJ$2,)</f>
        <v>0</v>
      </c>
      <c r="AK28" s="179">
        <f ca="1">IF(ISNUMBER(MATCH(DATEVALUE($A28),'recurring1_based on steps'!AK$1:AK$400,0)),AK$2,)</f>
        <v>0</v>
      </c>
      <c r="AL28" s="179">
        <f ca="1">IF(ISNUMBER(MATCH(DATEVALUE($A28),'recurring1_based on steps'!AL$1:AL$400,0)),AL$2,)</f>
        <v>0</v>
      </c>
      <c r="AM28" s="179">
        <f ca="1">IF(ISNUMBER(MATCH(DATEVALUE($A28),'recurring1_based on steps'!AM$1:AM$400,0)),AM$2,)</f>
        <v>0</v>
      </c>
      <c r="AN28" s="179">
        <f ca="1">IF(ISNUMBER(MATCH(DATEVALUE($A28),'recurring1_based on steps'!AN$1:AN$400,0)),AN$2,)</f>
        <v>0</v>
      </c>
      <c r="AO28" s="179">
        <f ca="1">IF(ISNUMBER(MATCH(DATEVALUE($A28),'recurring1_based on steps'!AO$1:AO$400,0)),AO$2,)</f>
        <v>0</v>
      </c>
      <c r="AP28" s="179">
        <f ca="1">IF(ISNUMBER(MATCH(DATEVALUE($A28),'recurring1_based on steps'!AP$1:AP$400,0)),AP$2,)</f>
        <v>0</v>
      </c>
      <c r="AQ28" s="179">
        <f ca="1">IF(ISNUMBER(MATCH(DATEVALUE($A28),'recurring1_based on steps'!AQ$1:AQ$400,0)),AQ$2,)</f>
        <v>0</v>
      </c>
      <c r="AR28" s="179">
        <f ca="1">IF(ISNUMBER(MATCH(DATEVALUE($A28),'recurring1_based on steps'!AR$1:AR$400,0)),AR$2,)</f>
        <v>0</v>
      </c>
      <c r="AS28" s="179">
        <f ca="1">IF(ISNUMBER(MATCH(DATEVALUE($A28),'recurring1_based on steps'!AS$1:AS$400,0)),AS$2,)</f>
        <v>0</v>
      </c>
      <c r="AT28" s="179">
        <f ca="1">IF(ISNUMBER(MATCH(DATEVALUE($A28),'recurring1_based on steps'!AT$1:AT$400,0)),AT$2,)</f>
        <v>0</v>
      </c>
      <c r="AU28" s="179">
        <f ca="1">IF(ISNUMBER(MATCH(DATEVALUE($A28),'recurring1_based on steps'!AU$1:AU$400,0)),AU$2,)</f>
        <v>0</v>
      </c>
      <c r="AV28" s="179">
        <f ca="1">IF(ISNUMBER(MATCH(DATEVALUE($A28),'recurring1_based on steps'!AV$1:AV$400,0)),AV$2,)</f>
        <v>0</v>
      </c>
      <c r="AW28" s="179">
        <f ca="1">IF(ISNUMBER(MATCH(DATEVALUE($A28),'recurring1_based on steps'!AW$1:AW$400,0)),AW$2,)</f>
        <v>0</v>
      </c>
      <c r="AX28" s="179">
        <f ca="1">IF(ISNUMBER(MATCH(DATEVALUE($A28),'recurring1_based on steps'!AX$1:AX$400,0)),AX$2,)</f>
        <v>0</v>
      </c>
      <c r="AY28" s="179">
        <f ca="1">IF(ISNUMBER(MATCH(DATEVALUE($A28),'recurring1_based on steps'!AY$1:AY$400,0)),AY$2,)</f>
        <v>0</v>
      </c>
    </row>
    <row r="29" spans="1:51" x14ac:dyDescent="0.2">
      <c r="A29" s="32" t="str">
        <f t="shared" ca="1" si="0"/>
        <v>2025-04-24</v>
      </c>
      <c r="B29" s="179">
        <f ca="1">IF(ISNUMBER(MATCH(DATEVALUE($A29),'recurring1_based on steps'!B$1:B$400,0)),B$2,)</f>
        <v>0</v>
      </c>
      <c r="C29" s="179">
        <f ca="1">IF(ISNUMBER(MATCH(DATEVALUE($A29),'recurring1_based on steps'!C$1:C$400,0)),C$2,)</f>
        <v>0</v>
      </c>
      <c r="D29" s="179">
        <f ca="1">IF(ISNUMBER(MATCH(DATEVALUE($A29),'recurring1_based on steps'!D$1:D$400,0)),D$2,)</f>
        <v>0</v>
      </c>
      <c r="E29" s="179">
        <f ca="1">IF(ISNUMBER(MATCH(DATEVALUE($A29),'recurring1_based on steps'!E$1:E$400,0)),E$2,)</f>
        <v>0</v>
      </c>
      <c r="F29" s="179">
        <f ca="1">IF(ISNUMBER(MATCH(DATEVALUE($A29),'recurring1_based on steps'!F$1:F$400,0)),F$2,)</f>
        <v>0</v>
      </c>
      <c r="G29" s="179">
        <f ca="1">IF(ISNUMBER(MATCH(DATEVALUE($A29),'recurring1_based on steps'!G$1:G$400,0)),G$2,)</f>
        <v>0</v>
      </c>
      <c r="H29" s="179">
        <f ca="1">IF(ISNUMBER(MATCH(DATEVALUE($A29),'recurring1_based on steps'!H$1:H$400,0)),H$2,)</f>
        <v>0</v>
      </c>
      <c r="I29" s="179">
        <f ca="1">IF(ISNUMBER(MATCH(DATEVALUE($A29),'recurring1_based on steps'!I$1:I$400,0)),I$2,)</f>
        <v>0</v>
      </c>
      <c r="J29" s="179">
        <f ca="1">IF(ISNUMBER(MATCH(DATEVALUE($A29),'recurring1_based on steps'!J$1:J$400,0)),J$2,)</f>
        <v>0</v>
      </c>
      <c r="K29" s="179">
        <f ca="1">IF(ISNUMBER(MATCH(DATEVALUE($A29),'recurring1_based on steps'!K$1:K$400,0)),K$2,)</f>
        <v>0</v>
      </c>
      <c r="L29" s="179">
        <f ca="1">IF(ISNUMBER(MATCH(DATEVALUE($A29),'recurring1_based on steps'!L$1:L$400,0)),L$2,)</f>
        <v>0</v>
      </c>
      <c r="M29" s="179">
        <f ca="1">IF(ISNUMBER(MATCH(DATEVALUE($A29),'recurring1_based on steps'!M$1:M$400,0)),M$2,)</f>
        <v>0</v>
      </c>
      <c r="N29" s="179">
        <f ca="1">IF(ISNUMBER(MATCH(DATEVALUE($A29),'recurring1_based on steps'!N$1:N$400,0)),N$2,)</f>
        <v>0</v>
      </c>
      <c r="O29" s="179">
        <f ca="1">IF(ISNUMBER(MATCH(DATEVALUE($A29),'recurring1_based on steps'!O$1:O$400,0)),O$2,)</f>
        <v>0</v>
      </c>
      <c r="P29" s="179">
        <f ca="1">IF(ISNUMBER(MATCH(DATEVALUE($A29),'recurring1_based on steps'!P$1:P$400,0)),P$2,)</f>
        <v>0</v>
      </c>
      <c r="Q29" s="179">
        <f ca="1">IF(ISNUMBER(MATCH(DATEVALUE($A29),'recurring1_based on steps'!Q$1:Q$400,0)),Q$2,)</f>
        <v>0</v>
      </c>
      <c r="R29" s="179">
        <f ca="1">IF(ISNUMBER(MATCH(DATEVALUE($A29),'recurring1_based on steps'!R$1:R$400,0)),R$2,)</f>
        <v>0</v>
      </c>
      <c r="S29" s="179">
        <f ca="1">IF(ISNUMBER(MATCH(DATEVALUE($A29),'recurring1_based on steps'!S$1:S$400,0)),S$2,)</f>
        <v>0</v>
      </c>
      <c r="T29" s="179">
        <f ca="1">IF(ISNUMBER(MATCH(DATEVALUE($A29),'recurring1_based on steps'!T$1:T$400,0)),T$2,)</f>
        <v>0</v>
      </c>
      <c r="U29" s="179">
        <f ca="1">IF(ISNUMBER(MATCH(DATEVALUE($A29),'recurring1_based on steps'!U$1:U$400,0)),U$2,)</f>
        <v>0</v>
      </c>
      <c r="V29" s="179">
        <f ca="1">IF(ISNUMBER(MATCH(DATEVALUE($A29),'recurring1_based on steps'!V$1:V$400,0)),V$2,)</f>
        <v>0</v>
      </c>
      <c r="W29" s="179">
        <f ca="1">IF(ISNUMBER(MATCH(DATEVALUE($A29),'recurring1_based on steps'!W$1:W$400,0)),W$2,)</f>
        <v>0</v>
      </c>
      <c r="X29" s="179">
        <f ca="1">IF(ISNUMBER(MATCH(DATEVALUE($A29),'recurring1_based on steps'!X$1:X$400,0)),X$2,)</f>
        <v>0</v>
      </c>
      <c r="Y29" s="179">
        <f ca="1">IF(ISNUMBER(MATCH(DATEVALUE($A29),'recurring1_based on steps'!Y$1:Y$400,0)),Y$2,)</f>
        <v>0</v>
      </c>
      <c r="Z29" s="179">
        <f ca="1">IF(ISNUMBER(MATCH(DATEVALUE($A29),'recurring1_based on steps'!Z$1:Z$400,0)),Z$2,)</f>
        <v>0</v>
      </c>
      <c r="AA29" s="179">
        <f ca="1">IF(ISNUMBER(MATCH(DATEVALUE($A29),'recurring1_based on steps'!AA$1:AA$400,0)),AA$2,)</f>
        <v>0</v>
      </c>
      <c r="AB29" s="179">
        <f ca="1">IF(ISNUMBER(MATCH(DATEVALUE($A29),'recurring1_based on steps'!AB$1:AB$400,0)),AB$2,)</f>
        <v>0</v>
      </c>
      <c r="AC29" s="179">
        <f ca="1">IF(ISNUMBER(MATCH(DATEVALUE($A29),'recurring1_based on steps'!AC$1:AC$400,0)),AC$2,)</f>
        <v>0</v>
      </c>
      <c r="AD29" s="179">
        <f ca="1">IF(ISNUMBER(MATCH(DATEVALUE($A29),'recurring1_based on steps'!AD$1:AD$400,0)),AD$2,)</f>
        <v>0</v>
      </c>
      <c r="AE29" s="179">
        <f ca="1">IF(ISNUMBER(MATCH(DATEVALUE($A29),'recurring1_based on steps'!AE$1:AE$400,0)),AE$2,)</f>
        <v>0</v>
      </c>
      <c r="AF29" s="179">
        <f ca="1">IF(ISNUMBER(MATCH(DATEVALUE($A29),'recurring1_based on steps'!AF$1:AF$400,0)),AF$2,)</f>
        <v>0</v>
      </c>
      <c r="AG29" s="179">
        <f ca="1">IF(ISNUMBER(MATCH(DATEVALUE($A29),'recurring1_based on steps'!AG$1:AG$400,0)),AG$2,)</f>
        <v>0</v>
      </c>
      <c r="AH29" s="179">
        <f ca="1">IF(ISNUMBER(MATCH(DATEVALUE($A29),'recurring1_based on steps'!AH$1:AH$400,0)),AH$2,)</f>
        <v>0</v>
      </c>
      <c r="AI29" s="179">
        <f ca="1">IF(ISNUMBER(MATCH(DATEVALUE($A29),'recurring1_based on steps'!AI$1:AI$400,0)),AI$2,)</f>
        <v>0</v>
      </c>
      <c r="AJ29" s="179">
        <f ca="1">IF(ISNUMBER(MATCH(DATEVALUE($A29),'recurring1_based on steps'!AJ$1:AJ$400,0)),AJ$2,)</f>
        <v>0</v>
      </c>
      <c r="AK29" s="179">
        <f ca="1">IF(ISNUMBER(MATCH(DATEVALUE($A29),'recurring1_based on steps'!AK$1:AK$400,0)),AK$2,)</f>
        <v>0</v>
      </c>
      <c r="AL29" s="179">
        <f ca="1">IF(ISNUMBER(MATCH(DATEVALUE($A29),'recurring1_based on steps'!AL$1:AL$400,0)),AL$2,)</f>
        <v>0</v>
      </c>
      <c r="AM29" s="179">
        <f ca="1">IF(ISNUMBER(MATCH(DATEVALUE($A29),'recurring1_based on steps'!AM$1:AM$400,0)),AM$2,)</f>
        <v>0</v>
      </c>
      <c r="AN29" s="179">
        <f ca="1">IF(ISNUMBER(MATCH(DATEVALUE($A29),'recurring1_based on steps'!AN$1:AN$400,0)),AN$2,)</f>
        <v>0</v>
      </c>
      <c r="AO29" s="179">
        <f ca="1">IF(ISNUMBER(MATCH(DATEVALUE($A29),'recurring1_based on steps'!AO$1:AO$400,0)),AO$2,)</f>
        <v>0</v>
      </c>
      <c r="AP29" s="179">
        <f ca="1">IF(ISNUMBER(MATCH(DATEVALUE($A29),'recurring1_based on steps'!AP$1:AP$400,0)),AP$2,)</f>
        <v>0</v>
      </c>
      <c r="AQ29" s="179">
        <f ca="1">IF(ISNUMBER(MATCH(DATEVALUE($A29),'recurring1_based on steps'!AQ$1:AQ$400,0)),AQ$2,)</f>
        <v>0</v>
      </c>
      <c r="AR29" s="179">
        <f ca="1">IF(ISNUMBER(MATCH(DATEVALUE($A29),'recurring1_based on steps'!AR$1:AR$400,0)),AR$2,)</f>
        <v>0</v>
      </c>
      <c r="AS29" s="179">
        <f ca="1">IF(ISNUMBER(MATCH(DATEVALUE($A29),'recurring1_based on steps'!AS$1:AS$400,0)),AS$2,)</f>
        <v>0</v>
      </c>
      <c r="AT29" s="179">
        <f ca="1">IF(ISNUMBER(MATCH(DATEVALUE($A29),'recurring1_based on steps'!AT$1:AT$400,0)),AT$2,)</f>
        <v>0</v>
      </c>
      <c r="AU29" s="179">
        <f ca="1">IF(ISNUMBER(MATCH(DATEVALUE($A29),'recurring1_based on steps'!AU$1:AU$400,0)),AU$2,)</f>
        <v>0</v>
      </c>
      <c r="AV29" s="179">
        <f ca="1">IF(ISNUMBER(MATCH(DATEVALUE($A29),'recurring1_based on steps'!AV$1:AV$400,0)),AV$2,)</f>
        <v>0</v>
      </c>
      <c r="AW29" s="179">
        <f ca="1">IF(ISNUMBER(MATCH(DATEVALUE($A29),'recurring1_based on steps'!AW$1:AW$400,0)),AW$2,)</f>
        <v>0</v>
      </c>
      <c r="AX29" s="179">
        <f ca="1">IF(ISNUMBER(MATCH(DATEVALUE($A29),'recurring1_based on steps'!AX$1:AX$400,0)),AX$2,)</f>
        <v>0</v>
      </c>
      <c r="AY29" s="179">
        <f ca="1">IF(ISNUMBER(MATCH(DATEVALUE($A29),'recurring1_based on steps'!AY$1:AY$400,0)),AY$2,)</f>
        <v>0</v>
      </c>
    </row>
    <row r="30" spans="1:51" x14ac:dyDescent="0.2">
      <c r="A30" s="32" t="str">
        <f t="shared" ca="1" si="0"/>
        <v>2025-04-25</v>
      </c>
      <c r="B30" s="179">
        <f ca="1">IF(ISNUMBER(MATCH(DATEVALUE($A30),'recurring1_based on steps'!B$1:B$400,0)),B$2,)</f>
        <v>0</v>
      </c>
      <c r="C30" s="179">
        <f ca="1">IF(ISNUMBER(MATCH(DATEVALUE($A30),'recurring1_based on steps'!C$1:C$400,0)),C$2,)</f>
        <v>0</v>
      </c>
      <c r="D30" s="179">
        <f ca="1">IF(ISNUMBER(MATCH(DATEVALUE($A30),'recurring1_based on steps'!D$1:D$400,0)),D$2,)</f>
        <v>0</v>
      </c>
      <c r="E30" s="179">
        <f ca="1">IF(ISNUMBER(MATCH(DATEVALUE($A30),'recurring1_based on steps'!E$1:E$400,0)),E$2,)</f>
        <v>0</v>
      </c>
      <c r="F30" s="179">
        <f ca="1">IF(ISNUMBER(MATCH(DATEVALUE($A30),'recurring1_based on steps'!F$1:F$400,0)),F$2,)</f>
        <v>0</v>
      </c>
      <c r="G30" s="179">
        <f ca="1">IF(ISNUMBER(MATCH(DATEVALUE($A30),'recurring1_based on steps'!G$1:G$400,0)),G$2,)</f>
        <v>0</v>
      </c>
      <c r="H30" s="179">
        <f ca="1">IF(ISNUMBER(MATCH(DATEVALUE($A30),'recurring1_based on steps'!H$1:H$400,0)),H$2,)</f>
        <v>0</v>
      </c>
      <c r="I30" s="179">
        <f ca="1">IF(ISNUMBER(MATCH(DATEVALUE($A30),'recurring1_based on steps'!I$1:I$400,0)),I$2,)</f>
        <v>0</v>
      </c>
      <c r="J30" s="179">
        <f ca="1">IF(ISNUMBER(MATCH(DATEVALUE($A30),'recurring1_based on steps'!J$1:J$400,0)),J$2,)</f>
        <v>0</v>
      </c>
      <c r="K30" s="179">
        <f ca="1">IF(ISNUMBER(MATCH(DATEVALUE($A30),'recurring1_based on steps'!K$1:K$400,0)),K$2,)</f>
        <v>0</v>
      </c>
      <c r="L30" s="179">
        <f ca="1">IF(ISNUMBER(MATCH(DATEVALUE($A30),'recurring1_based on steps'!L$1:L$400,0)),L$2,)</f>
        <v>0</v>
      </c>
      <c r="M30" s="179">
        <f ca="1">IF(ISNUMBER(MATCH(DATEVALUE($A30),'recurring1_based on steps'!M$1:M$400,0)),M$2,)</f>
        <v>0</v>
      </c>
      <c r="N30" s="179">
        <f ca="1">IF(ISNUMBER(MATCH(DATEVALUE($A30),'recurring1_based on steps'!N$1:N$400,0)),N$2,)</f>
        <v>0</v>
      </c>
      <c r="O30" s="179">
        <f ca="1">IF(ISNUMBER(MATCH(DATEVALUE($A30),'recurring1_based on steps'!O$1:O$400,0)),O$2,)</f>
        <v>0</v>
      </c>
      <c r="P30" s="179">
        <f ca="1">IF(ISNUMBER(MATCH(DATEVALUE($A30),'recurring1_based on steps'!P$1:P$400,0)),P$2,)</f>
        <v>0</v>
      </c>
      <c r="Q30" s="179">
        <f ca="1">IF(ISNUMBER(MATCH(DATEVALUE($A30),'recurring1_based on steps'!Q$1:Q$400,0)),Q$2,)</f>
        <v>0</v>
      </c>
      <c r="R30" s="179">
        <f ca="1">IF(ISNUMBER(MATCH(DATEVALUE($A30),'recurring1_based on steps'!R$1:R$400,0)),R$2,)</f>
        <v>0</v>
      </c>
      <c r="S30" s="179">
        <f ca="1">IF(ISNUMBER(MATCH(DATEVALUE($A30),'recurring1_based on steps'!S$1:S$400,0)),S$2,)</f>
        <v>0</v>
      </c>
      <c r="T30" s="179">
        <f ca="1">IF(ISNUMBER(MATCH(DATEVALUE($A30),'recurring1_based on steps'!T$1:T$400,0)),T$2,)</f>
        <v>0</v>
      </c>
      <c r="U30" s="179">
        <f ca="1">IF(ISNUMBER(MATCH(DATEVALUE($A30),'recurring1_based on steps'!U$1:U$400,0)),U$2,)</f>
        <v>0</v>
      </c>
      <c r="V30" s="179">
        <f ca="1">IF(ISNUMBER(MATCH(DATEVALUE($A30),'recurring1_based on steps'!V$1:V$400,0)),V$2,)</f>
        <v>0</v>
      </c>
      <c r="W30" s="179">
        <f ca="1">IF(ISNUMBER(MATCH(DATEVALUE($A30),'recurring1_based on steps'!W$1:W$400,0)),W$2,)</f>
        <v>0</v>
      </c>
      <c r="X30" s="179">
        <f ca="1">IF(ISNUMBER(MATCH(DATEVALUE($A30),'recurring1_based on steps'!X$1:X$400,0)),X$2,)</f>
        <v>0</v>
      </c>
      <c r="Y30" s="179">
        <f ca="1">IF(ISNUMBER(MATCH(DATEVALUE($A30),'recurring1_based on steps'!Y$1:Y$400,0)),Y$2,)</f>
        <v>0</v>
      </c>
      <c r="Z30" s="179">
        <f ca="1">IF(ISNUMBER(MATCH(DATEVALUE($A30),'recurring1_based on steps'!Z$1:Z$400,0)),Z$2,)</f>
        <v>0</v>
      </c>
      <c r="AA30" s="179">
        <f ca="1">IF(ISNUMBER(MATCH(DATEVALUE($A30),'recurring1_based on steps'!AA$1:AA$400,0)),AA$2,)</f>
        <v>0</v>
      </c>
      <c r="AB30" s="179">
        <f ca="1">IF(ISNUMBER(MATCH(DATEVALUE($A30),'recurring1_based on steps'!AB$1:AB$400,0)),AB$2,)</f>
        <v>0</v>
      </c>
      <c r="AC30" s="179">
        <f ca="1">IF(ISNUMBER(MATCH(DATEVALUE($A30),'recurring1_based on steps'!AC$1:AC$400,0)),AC$2,)</f>
        <v>0</v>
      </c>
      <c r="AD30" s="179">
        <f ca="1">IF(ISNUMBER(MATCH(DATEVALUE($A30),'recurring1_based on steps'!AD$1:AD$400,0)),AD$2,)</f>
        <v>0</v>
      </c>
      <c r="AE30" s="179">
        <f ca="1">IF(ISNUMBER(MATCH(DATEVALUE($A30),'recurring1_based on steps'!AE$1:AE$400,0)),AE$2,)</f>
        <v>0</v>
      </c>
      <c r="AF30" s="179">
        <f ca="1">IF(ISNUMBER(MATCH(DATEVALUE($A30),'recurring1_based on steps'!AF$1:AF$400,0)),AF$2,)</f>
        <v>0</v>
      </c>
      <c r="AG30" s="179">
        <f ca="1">IF(ISNUMBER(MATCH(DATEVALUE($A30),'recurring1_based on steps'!AG$1:AG$400,0)),AG$2,)</f>
        <v>0</v>
      </c>
      <c r="AH30" s="179">
        <f ca="1">IF(ISNUMBER(MATCH(DATEVALUE($A30),'recurring1_based on steps'!AH$1:AH$400,0)),AH$2,)</f>
        <v>0</v>
      </c>
      <c r="AI30" s="179">
        <f ca="1">IF(ISNUMBER(MATCH(DATEVALUE($A30),'recurring1_based on steps'!AI$1:AI$400,0)),AI$2,)</f>
        <v>0</v>
      </c>
      <c r="AJ30" s="179">
        <f ca="1">IF(ISNUMBER(MATCH(DATEVALUE($A30),'recurring1_based on steps'!AJ$1:AJ$400,0)),AJ$2,)</f>
        <v>0</v>
      </c>
      <c r="AK30" s="179">
        <f ca="1">IF(ISNUMBER(MATCH(DATEVALUE($A30),'recurring1_based on steps'!AK$1:AK$400,0)),AK$2,)</f>
        <v>0</v>
      </c>
      <c r="AL30" s="179">
        <f ca="1">IF(ISNUMBER(MATCH(DATEVALUE($A30),'recurring1_based on steps'!AL$1:AL$400,0)),AL$2,)</f>
        <v>0</v>
      </c>
      <c r="AM30" s="179">
        <f ca="1">IF(ISNUMBER(MATCH(DATEVALUE($A30),'recurring1_based on steps'!AM$1:AM$400,0)),AM$2,)</f>
        <v>0</v>
      </c>
      <c r="AN30" s="179">
        <f ca="1">IF(ISNUMBER(MATCH(DATEVALUE($A30),'recurring1_based on steps'!AN$1:AN$400,0)),AN$2,)</f>
        <v>0</v>
      </c>
      <c r="AO30" s="179">
        <f ca="1">IF(ISNUMBER(MATCH(DATEVALUE($A30),'recurring1_based on steps'!AO$1:AO$400,0)),AO$2,)</f>
        <v>0</v>
      </c>
      <c r="AP30" s="179">
        <f ca="1">IF(ISNUMBER(MATCH(DATEVALUE($A30),'recurring1_based on steps'!AP$1:AP$400,0)),AP$2,)</f>
        <v>0</v>
      </c>
      <c r="AQ30" s="179">
        <f ca="1">IF(ISNUMBER(MATCH(DATEVALUE($A30),'recurring1_based on steps'!AQ$1:AQ$400,0)),AQ$2,)</f>
        <v>0</v>
      </c>
      <c r="AR30" s="179">
        <f ca="1">IF(ISNUMBER(MATCH(DATEVALUE($A30),'recurring1_based on steps'!AR$1:AR$400,0)),AR$2,)</f>
        <v>0</v>
      </c>
      <c r="AS30" s="179">
        <f ca="1">IF(ISNUMBER(MATCH(DATEVALUE($A30),'recurring1_based on steps'!AS$1:AS$400,0)),AS$2,)</f>
        <v>0</v>
      </c>
      <c r="AT30" s="179">
        <f ca="1">IF(ISNUMBER(MATCH(DATEVALUE($A30),'recurring1_based on steps'!AT$1:AT$400,0)),AT$2,)</f>
        <v>0</v>
      </c>
      <c r="AU30" s="179">
        <f ca="1">IF(ISNUMBER(MATCH(DATEVALUE($A30),'recurring1_based on steps'!AU$1:AU$400,0)),AU$2,)</f>
        <v>0</v>
      </c>
      <c r="AV30" s="179">
        <f ca="1">IF(ISNUMBER(MATCH(DATEVALUE($A30),'recurring1_based on steps'!AV$1:AV$400,0)),AV$2,)</f>
        <v>0</v>
      </c>
      <c r="AW30" s="179">
        <f ca="1">IF(ISNUMBER(MATCH(DATEVALUE($A30),'recurring1_based on steps'!AW$1:AW$400,0)),AW$2,)</f>
        <v>0</v>
      </c>
      <c r="AX30" s="179">
        <f ca="1">IF(ISNUMBER(MATCH(DATEVALUE($A30),'recurring1_based on steps'!AX$1:AX$400,0)),AX$2,)</f>
        <v>0</v>
      </c>
      <c r="AY30" s="179">
        <f ca="1">IF(ISNUMBER(MATCH(DATEVALUE($A30),'recurring1_based on steps'!AY$1:AY$400,0)),AY$2,)</f>
        <v>0</v>
      </c>
    </row>
    <row r="31" spans="1:51" x14ac:dyDescent="0.2">
      <c r="A31" s="32" t="str">
        <f t="shared" ca="1" si="0"/>
        <v>2025-04-26</v>
      </c>
      <c r="B31" s="179">
        <f ca="1">IF(ISNUMBER(MATCH(DATEVALUE($A31),'recurring1_based on steps'!B$1:B$400,0)),B$2,)</f>
        <v>0</v>
      </c>
      <c r="C31" s="179">
        <f ca="1">IF(ISNUMBER(MATCH(DATEVALUE($A31),'recurring1_based on steps'!C$1:C$400,0)),C$2,)</f>
        <v>0</v>
      </c>
      <c r="D31" s="179">
        <f ca="1">IF(ISNUMBER(MATCH(DATEVALUE($A31),'recurring1_based on steps'!D$1:D$400,0)),D$2,)</f>
        <v>0</v>
      </c>
      <c r="E31" s="179">
        <f ca="1">IF(ISNUMBER(MATCH(DATEVALUE($A31),'recurring1_based on steps'!E$1:E$400,0)),E$2,)</f>
        <v>0</v>
      </c>
      <c r="F31" s="179">
        <f ca="1">IF(ISNUMBER(MATCH(DATEVALUE($A31),'recurring1_based on steps'!F$1:F$400,0)),F$2,)</f>
        <v>0</v>
      </c>
      <c r="G31" s="179">
        <f ca="1">IF(ISNUMBER(MATCH(DATEVALUE($A31),'recurring1_based on steps'!G$1:G$400,0)),G$2,)</f>
        <v>0</v>
      </c>
      <c r="H31" s="179">
        <f ca="1">IF(ISNUMBER(MATCH(DATEVALUE($A31),'recurring1_based on steps'!H$1:H$400,0)),H$2,)</f>
        <v>0</v>
      </c>
      <c r="I31" s="179">
        <f ca="1">IF(ISNUMBER(MATCH(DATEVALUE($A31),'recurring1_based on steps'!I$1:I$400,0)),I$2,)</f>
        <v>0</v>
      </c>
      <c r="J31" s="179">
        <f ca="1">IF(ISNUMBER(MATCH(DATEVALUE($A31),'recurring1_based on steps'!J$1:J$400,0)),J$2,)</f>
        <v>0</v>
      </c>
      <c r="K31" s="179">
        <f ca="1">IF(ISNUMBER(MATCH(DATEVALUE($A31),'recurring1_based on steps'!K$1:K$400,0)),K$2,)</f>
        <v>0</v>
      </c>
      <c r="L31" s="179">
        <f ca="1">IF(ISNUMBER(MATCH(DATEVALUE($A31),'recurring1_based on steps'!L$1:L$400,0)),L$2,)</f>
        <v>0</v>
      </c>
      <c r="M31" s="179">
        <f ca="1">IF(ISNUMBER(MATCH(DATEVALUE($A31),'recurring1_based on steps'!M$1:M$400,0)),M$2,)</f>
        <v>0</v>
      </c>
      <c r="N31" s="179">
        <f ca="1">IF(ISNUMBER(MATCH(DATEVALUE($A31),'recurring1_based on steps'!N$1:N$400,0)),N$2,)</f>
        <v>0</v>
      </c>
      <c r="O31" s="179">
        <f ca="1">IF(ISNUMBER(MATCH(DATEVALUE($A31),'recurring1_based on steps'!O$1:O$400,0)),O$2,)</f>
        <v>0</v>
      </c>
      <c r="P31" s="179">
        <f ca="1">IF(ISNUMBER(MATCH(DATEVALUE($A31),'recurring1_based on steps'!P$1:P$400,0)),P$2,)</f>
        <v>0</v>
      </c>
      <c r="Q31" s="179">
        <f ca="1">IF(ISNUMBER(MATCH(DATEVALUE($A31),'recurring1_based on steps'!Q$1:Q$400,0)),Q$2,)</f>
        <v>0</v>
      </c>
      <c r="R31" s="179">
        <f ca="1">IF(ISNUMBER(MATCH(DATEVALUE($A31),'recurring1_based on steps'!R$1:R$400,0)),R$2,)</f>
        <v>0</v>
      </c>
      <c r="S31" s="179">
        <f ca="1">IF(ISNUMBER(MATCH(DATEVALUE($A31),'recurring1_based on steps'!S$1:S$400,0)),S$2,)</f>
        <v>0</v>
      </c>
      <c r="T31" s="179">
        <f ca="1">IF(ISNUMBER(MATCH(DATEVALUE($A31),'recurring1_based on steps'!T$1:T$400,0)),T$2,)</f>
        <v>0</v>
      </c>
      <c r="U31" s="179">
        <f ca="1">IF(ISNUMBER(MATCH(DATEVALUE($A31),'recurring1_based on steps'!U$1:U$400,0)),U$2,)</f>
        <v>0</v>
      </c>
      <c r="V31" s="179">
        <f ca="1">IF(ISNUMBER(MATCH(DATEVALUE($A31),'recurring1_based on steps'!V$1:V$400,0)),V$2,)</f>
        <v>0</v>
      </c>
      <c r="W31" s="179">
        <f ca="1">IF(ISNUMBER(MATCH(DATEVALUE($A31),'recurring1_based on steps'!W$1:W$400,0)),W$2,)</f>
        <v>0</v>
      </c>
      <c r="X31" s="179">
        <f ca="1">IF(ISNUMBER(MATCH(DATEVALUE($A31),'recurring1_based on steps'!X$1:X$400,0)),X$2,)</f>
        <v>0</v>
      </c>
      <c r="Y31" s="179">
        <f ca="1">IF(ISNUMBER(MATCH(DATEVALUE($A31),'recurring1_based on steps'!Y$1:Y$400,0)),Y$2,)</f>
        <v>0</v>
      </c>
      <c r="Z31" s="179">
        <f ca="1">IF(ISNUMBER(MATCH(DATEVALUE($A31),'recurring1_based on steps'!Z$1:Z$400,0)),Z$2,)</f>
        <v>0</v>
      </c>
      <c r="AA31" s="179">
        <f ca="1">IF(ISNUMBER(MATCH(DATEVALUE($A31),'recurring1_based on steps'!AA$1:AA$400,0)),AA$2,)</f>
        <v>0</v>
      </c>
      <c r="AB31" s="179">
        <f ca="1">IF(ISNUMBER(MATCH(DATEVALUE($A31),'recurring1_based on steps'!AB$1:AB$400,0)),AB$2,)</f>
        <v>0</v>
      </c>
      <c r="AC31" s="179">
        <f ca="1">IF(ISNUMBER(MATCH(DATEVALUE($A31),'recurring1_based on steps'!AC$1:AC$400,0)),AC$2,)</f>
        <v>0</v>
      </c>
      <c r="AD31" s="179">
        <f ca="1">IF(ISNUMBER(MATCH(DATEVALUE($A31),'recurring1_based on steps'!AD$1:AD$400,0)),AD$2,)</f>
        <v>0</v>
      </c>
      <c r="AE31" s="179">
        <f ca="1">IF(ISNUMBER(MATCH(DATEVALUE($A31),'recurring1_based on steps'!AE$1:AE$400,0)),AE$2,)</f>
        <v>0</v>
      </c>
      <c r="AF31" s="179">
        <f ca="1">IF(ISNUMBER(MATCH(DATEVALUE($A31),'recurring1_based on steps'!AF$1:AF$400,0)),AF$2,)</f>
        <v>0</v>
      </c>
      <c r="AG31" s="179">
        <f ca="1">IF(ISNUMBER(MATCH(DATEVALUE($A31),'recurring1_based on steps'!AG$1:AG$400,0)),AG$2,)</f>
        <v>0</v>
      </c>
      <c r="AH31" s="179">
        <f ca="1">IF(ISNUMBER(MATCH(DATEVALUE($A31),'recurring1_based on steps'!AH$1:AH$400,0)),AH$2,)</f>
        <v>0</v>
      </c>
      <c r="AI31" s="179">
        <f ca="1">IF(ISNUMBER(MATCH(DATEVALUE($A31),'recurring1_based on steps'!AI$1:AI$400,0)),AI$2,)</f>
        <v>0</v>
      </c>
      <c r="AJ31" s="179">
        <f ca="1">IF(ISNUMBER(MATCH(DATEVALUE($A31),'recurring1_based on steps'!AJ$1:AJ$400,0)),AJ$2,)</f>
        <v>0</v>
      </c>
      <c r="AK31" s="179">
        <f ca="1">IF(ISNUMBER(MATCH(DATEVALUE($A31),'recurring1_based on steps'!AK$1:AK$400,0)),AK$2,)</f>
        <v>0</v>
      </c>
      <c r="AL31" s="179">
        <f ca="1">IF(ISNUMBER(MATCH(DATEVALUE($A31),'recurring1_based on steps'!AL$1:AL$400,0)),AL$2,)</f>
        <v>0</v>
      </c>
      <c r="AM31" s="179">
        <f ca="1">IF(ISNUMBER(MATCH(DATEVALUE($A31),'recurring1_based on steps'!AM$1:AM$400,0)),AM$2,)</f>
        <v>0</v>
      </c>
      <c r="AN31" s="179">
        <f ca="1">IF(ISNUMBER(MATCH(DATEVALUE($A31),'recurring1_based on steps'!AN$1:AN$400,0)),AN$2,)</f>
        <v>0</v>
      </c>
      <c r="AO31" s="179">
        <f ca="1">IF(ISNUMBER(MATCH(DATEVALUE($A31),'recurring1_based on steps'!AO$1:AO$400,0)),AO$2,)</f>
        <v>0</v>
      </c>
      <c r="AP31" s="179">
        <f ca="1">IF(ISNUMBER(MATCH(DATEVALUE($A31),'recurring1_based on steps'!AP$1:AP$400,0)),AP$2,)</f>
        <v>0</v>
      </c>
      <c r="AQ31" s="179">
        <f ca="1">IF(ISNUMBER(MATCH(DATEVALUE($A31),'recurring1_based on steps'!AQ$1:AQ$400,0)),AQ$2,)</f>
        <v>0</v>
      </c>
      <c r="AR31" s="179">
        <f ca="1">IF(ISNUMBER(MATCH(DATEVALUE($A31),'recurring1_based on steps'!AR$1:AR$400,0)),AR$2,)</f>
        <v>0</v>
      </c>
      <c r="AS31" s="179">
        <f ca="1">IF(ISNUMBER(MATCH(DATEVALUE($A31),'recurring1_based on steps'!AS$1:AS$400,0)),AS$2,)</f>
        <v>0</v>
      </c>
      <c r="AT31" s="179">
        <f ca="1">IF(ISNUMBER(MATCH(DATEVALUE($A31),'recurring1_based on steps'!AT$1:AT$400,0)),AT$2,)</f>
        <v>0</v>
      </c>
      <c r="AU31" s="179">
        <f ca="1">IF(ISNUMBER(MATCH(DATEVALUE($A31),'recurring1_based on steps'!AU$1:AU$400,0)),AU$2,)</f>
        <v>0</v>
      </c>
      <c r="AV31" s="179">
        <f ca="1">IF(ISNUMBER(MATCH(DATEVALUE($A31),'recurring1_based on steps'!AV$1:AV$400,0)),AV$2,)</f>
        <v>0</v>
      </c>
      <c r="AW31" s="179">
        <f ca="1">IF(ISNUMBER(MATCH(DATEVALUE($A31),'recurring1_based on steps'!AW$1:AW$400,0)),AW$2,)</f>
        <v>0</v>
      </c>
      <c r="AX31" s="179">
        <f ca="1">IF(ISNUMBER(MATCH(DATEVALUE($A31),'recurring1_based on steps'!AX$1:AX$400,0)),AX$2,)</f>
        <v>0</v>
      </c>
      <c r="AY31" s="179">
        <f ca="1">IF(ISNUMBER(MATCH(DATEVALUE($A31),'recurring1_based on steps'!AY$1:AY$400,0)),AY$2,)</f>
        <v>0</v>
      </c>
    </row>
    <row r="32" spans="1:51" x14ac:dyDescent="0.2">
      <c r="A32" s="32" t="str">
        <f t="shared" ca="1" si="0"/>
        <v>2025-04-27</v>
      </c>
      <c r="B32" s="179">
        <f ca="1">IF(ISNUMBER(MATCH(DATEVALUE($A32),'recurring1_based on steps'!B$1:B$400,0)),B$2,)</f>
        <v>0</v>
      </c>
      <c r="C32" s="179">
        <f ca="1">IF(ISNUMBER(MATCH(DATEVALUE($A32),'recurring1_based on steps'!C$1:C$400,0)),C$2,)</f>
        <v>0</v>
      </c>
      <c r="D32" s="179">
        <f ca="1">IF(ISNUMBER(MATCH(DATEVALUE($A32),'recurring1_based on steps'!D$1:D$400,0)),D$2,)</f>
        <v>0</v>
      </c>
      <c r="E32" s="179">
        <f ca="1">IF(ISNUMBER(MATCH(DATEVALUE($A32),'recurring1_based on steps'!E$1:E$400,0)),E$2,)</f>
        <v>0</v>
      </c>
      <c r="F32" s="179">
        <f ca="1">IF(ISNUMBER(MATCH(DATEVALUE($A32),'recurring1_based on steps'!F$1:F$400,0)),F$2,)</f>
        <v>0</v>
      </c>
      <c r="G32" s="179">
        <f ca="1">IF(ISNUMBER(MATCH(DATEVALUE($A32),'recurring1_based on steps'!G$1:G$400,0)),G$2,)</f>
        <v>0</v>
      </c>
      <c r="H32" s="179">
        <f ca="1">IF(ISNUMBER(MATCH(DATEVALUE($A32),'recurring1_based on steps'!H$1:H$400,0)),H$2,)</f>
        <v>0</v>
      </c>
      <c r="I32" s="179">
        <f ca="1">IF(ISNUMBER(MATCH(DATEVALUE($A32),'recurring1_based on steps'!I$1:I$400,0)),I$2,)</f>
        <v>0</v>
      </c>
      <c r="J32" s="179">
        <f ca="1">IF(ISNUMBER(MATCH(DATEVALUE($A32),'recurring1_based on steps'!J$1:J$400,0)),J$2,)</f>
        <v>0</v>
      </c>
      <c r="K32" s="179">
        <f ca="1">IF(ISNUMBER(MATCH(DATEVALUE($A32),'recurring1_based on steps'!K$1:K$400,0)),K$2,)</f>
        <v>0</v>
      </c>
      <c r="L32" s="179">
        <f ca="1">IF(ISNUMBER(MATCH(DATEVALUE($A32),'recurring1_based on steps'!L$1:L$400,0)),L$2,)</f>
        <v>0</v>
      </c>
      <c r="M32" s="179">
        <f ca="1">IF(ISNUMBER(MATCH(DATEVALUE($A32),'recurring1_based on steps'!M$1:M$400,0)),M$2,)</f>
        <v>0</v>
      </c>
      <c r="N32" s="179">
        <f ca="1">IF(ISNUMBER(MATCH(DATEVALUE($A32),'recurring1_based on steps'!N$1:N$400,0)),N$2,)</f>
        <v>0</v>
      </c>
      <c r="O32" s="179">
        <f ca="1">IF(ISNUMBER(MATCH(DATEVALUE($A32),'recurring1_based on steps'!O$1:O$400,0)),O$2,)</f>
        <v>0</v>
      </c>
      <c r="P32" s="179">
        <f ca="1">IF(ISNUMBER(MATCH(DATEVALUE($A32),'recurring1_based on steps'!P$1:P$400,0)),P$2,)</f>
        <v>0</v>
      </c>
      <c r="Q32" s="179">
        <f ca="1">IF(ISNUMBER(MATCH(DATEVALUE($A32),'recurring1_based on steps'!Q$1:Q$400,0)),Q$2,)</f>
        <v>0</v>
      </c>
      <c r="R32" s="179">
        <f ca="1">IF(ISNUMBER(MATCH(DATEVALUE($A32),'recurring1_based on steps'!R$1:R$400,0)),R$2,)</f>
        <v>0</v>
      </c>
      <c r="S32" s="179">
        <f ca="1">IF(ISNUMBER(MATCH(DATEVALUE($A32),'recurring1_based on steps'!S$1:S$400,0)),S$2,)</f>
        <v>0</v>
      </c>
      <c r="T32" s="179">
        <f ca="1">IF(ISNUMBER(MATCH(DATEVALUE($A32),'recurring1_based on steps'!T$1:T$400,0)),T$2,)</f>
        <v>0</v>
      </c>
      <c r="U32" s="179">
        <f ca="1">IF(ISNUMBER(MATCH(DATEVALUE($A32),'recurring1_based on steps'!U$1:U$400,0)),U$2,)</f>
        <v>0</v>
      </c>
      <c r="V32" s="179">
        <f ca="1">IF(ISNUMBER(MATCH(DATEVALUE($A32),'recurring1_based on steps'!V$1:V$400,0)),V$2,)</f>
        <v>0</v>
      </c>
      <c r="W32" s="179">
        <f ca="1">IF(ISNUMBER(MATCH(DATEVALUE($A32),'recurring1_based on steps'!W$1:W$400,0)),W$2,)</f>
        <v>0</v>
      </c>
      <c r="X32" s="179">
        <f ca="1">IF(ISNUMBER(MATCH(DATEVALUE($A32),'recurring1_based on steps'!X$1:X$400,0)),X$2,)</f>
        <v>0</v>
      </c>
      <c r="Y32" s="179">
        <f ca="1">IF(ISNUMBER(MATCH(DATEVALUE($A32),'recurring1_based on steps'!Y$1:Y$400,0)),Y$2,)</f>
        <v>0</v>
      </c>
      <c r="Z32" s="179">
        <f ca="1">IF(ISNUMBER(MATCH(DATEVALUE($A32),'recurring1_based on steps'!Z$1:Z$400,0)),Z$2,)</f>
        <v>0</v>
      </c>
      <c r="AA32" s="179">
        <f ca="1">IF(ISNUMBER(MATCH(DATEVALUE($A32),'recurring1_based on steps'!AA$1:AA$400,0)),AA$2,)</f>
        <v>0</v>
      </c>
      <c r="AB32" s="179">
        <f ca="1">IF(ISNUMBER(MATCH(DATEVALUE($A32),'recurring1_based on steps'!AB$1:AB$400,0)),AB$2,)</f>
        <v>0</v>
      </c>
      <c r="AC32" s="179">
        <f ca="1">IF(ISNUMBER(MATCH(DATEVALUE($A32),'recurring1_based on steps'!AC$1:AC$400,0)),AC$2,)</f>
        <v>0</v>
      </c>
      <c r="AD32" s="179">
        <f ca="1">IF(ISNUMBER(MATCH(DATEVALUE($A32),'recurring1_based on steps'!AD$1:AD$400,0)),AD$2,)</f>
        <v>0</v>
      </c>
      <c r="AE32" s="179">
        <f ca="1">IF(ISNUMBER(MATCH(DATEVALUE($A32),'recurring1_based on steps'!AE$1:AE$400,0)),AE$2,)</f>
        <v>0</v>
      </c>
      <c r="AF32" s="179">
        <f ca="1">IF(ISNUMBER(MATCH(DATEVALUE($A32),'recurring1_based on steps'!AF$1:AF$400,0)),AF$2,)</f>
        <v>0</v>
      </c>
      <c r="AG32" s="179">
        <f ca="1">IF(ISNUMBER(MATCH(DATEVALUE($A32),'recurring1_based on steps'!AG$1:AG$400,0)),AG$2,)</f>
        <v>0</v>
      </c>
      <c r="AH32" s="179">
        <f ca="1">IF(ISNUMBER(MATCH(DATEVALUE($A32),'recurring1_based on steps'!AH$1:AH$400,0)),AH$2,)</f>
        <v>0</v>
      </c>
      <c r="AI32" s="179">
        <f ca="1">IF(ISNUMBER(MATCH(DATEVALUE($A32),'recurring1_based on steps'!AI$1:AI$400,0)),AI$2,)</f>
        <v>0</v>
      </c>
      <c r="AJ32" s="179">
        <f ca="1">IF(ISNUMBER(MATCH(DATEVALUE($A32),'recurring1_based on steps'!AJ$1:AJ$400,0)),AJ$2,)</f>
        <v>0</v>
      </c>
      <c r="AK32" s="179">
        <f ca="1">IF(ISNUMBER(MATCH(DATEVALUE($A32),'recurring1_based on steps'!AK$1:AK$400,0)),AK$2,)</f>
        <v>0</v>
      </c>
      <c r="AL32" s="179">
        <f ca="1">IF(ISNUMBER(MATCH(DATEVALUE($A32),'recurring1_based on steps'!AL$1:AL$400,0)),AL$2,)</f>
        <v>0</v>
      </c>
      <c r="AM32" s="179">
        <f ca="1">IF(ISNUMBER(MATCH(DATEVALUE($A32),'recurring1_based on steps'!AM$1:AM$400,0)),AM$2,)</f>
        <v>0</v>
      </c>
      <c r="AN32" s="179">
        <f ca="1">IF(ISNUMBER(MATCH(DATEVALUE($A32),'recurring1_based on steps'!AN$1:AN$400,0)),AN$2,)</f>
        <v>0</v>
      </c>
      <c r="AO32" s="179">
        <f ca="1">IF(ISNUMBER(MATCH(DATEVALUE($A32),'recurring1_based on steps'!AO$1:AO$400,0)),AO$2,)</f>
        <v>0</v>
      </c>
      <c r="AP32" s="179">
        <f ca="1">IF(ISNUMBER(MATCH(DATEVALUE($A32),'recurring1_based on steps'!AP$1:AP$400,0)),AP$2,)</f>
        <v>0</v>
      </c>
      <c r="AQ32" s="179">
        <f ca="1">IF(ISNUMBER(MATCH(DATEVALUE($A32),'recurring1_based on steps'!AQ$1:AQ$400,0)),AQ$2,)</f>
        <v>0</v>
      </c>
      <c r="AR32" s="179">
        <f ca="1">IF(ISNUMBER(MATCH(DATEVALUE($A32),'recurring1_based on steps'!AR$1:AR$400,0)),AR$2,)</f>
        <v>0</v>
      </c>
      <c r="AS32" s="179">
        <f ca="1">IF(ISNUMBER(MATCH(DATEVALUE($A32),'recurring1_based on steps'!AS$1:AS$400,0)),AS$2,)</f>
        <v>0</v>
      </c>
      <c r="AT32" s="179">
        <f ca="1">IF(ISNUMBER(MATCH(DATEVALUE($A32),'recurring1_based on steps'!AT$1:AT$400,0)),AT$2,)</f>
        <v>0</v>
      </c>
      <c r="AU32" s="179">
        <f ca="1">IF(ISNUMBER(MATCH(DATEVALUE($A32),'recurring1_based on steps'!AU$1:AU$400,0)),AU$2,)</f>
        <v>0</v>
      </c>
      <c r="AV32" s="179">
        <f ca="1">IF(ISNUMBER(MATCH(DATEVALUE($A32),'recurring1_based on steps'!AV$1:AV$400,0)),AV$2,)</f>
        <v>0</v>
      </c>
      <c r="AW32" s="179">
        <f ca="1">IF(ISNUMBER(MATCH(DATEVALUE($A32),'recurring1_based on steps'!AW$1:AW$400,0)),AW$2,)</f>
        <v>0</v>
      </c>
      <c r="AX32" s="179">
        <f ca="1">IF(ISNUMBER(MATCH(DATEVALUE($A32),'recurring1_based on steps'!AX$1:AX$400,0)),AX$2,)</f>
        <v>0</v>
      </c>
      <c r="AY32" s="179">
        <f ca="1">IF(ISNUMBER(MATCH(DATEVALUE($A32),'recurring1_based on steps'!AY$1:AY$400,0)),AY$2,)</f>
        <v>0</v>
      </c>
    </row>
    <row r="33" spans="1:51" x14ac:dyDescent="0.2">
      <c r="A33" s="32" t="str">
        <f t="shared" ca="1" si="0"/>
        <v>2025-04-28</v>
      </c>
      <c r="B33" s="179">
        <f ca="1">IF(ISNUMBER(MATCH(DATEVALUE($A33),'recurring1_based on steps'!B$1:B$400,0)),B$2,)</f>
        <v>0</v>
      </c>
      <c r="C33" s="179">
        <f ca="1">IF(ISNUMBER(MATCH(DATEVALUE($A33),'recurring1_based on steps'!C$1:C$400,0)),C$2,)</f>
        <v>0</v>
      </c>
      <c r="D33" s="179">
        <f ca="1">IF(ISNUMBER(MATCH(DATEVALUE($A33),'recurring1_based on steps'!D$1:D$400,0)),D$2,)</f>
        <v>0</v>
      </c>
      <c r="E33" s="179">
        <f ca="1">IF(ISNUMBER(MATCH(DATEVALUE($A33),'recurring1_based on steps'!E$1:E$400,0)),E$2,)</f>
        <v>0</v>
      </c>
      <c r="F33" s="179">
        <f ca="1">IF(ISNUMBER(MATCH(DATEVALUE($A33),'recurring1_based on steps'!F$1:F$400,0)),F$2,)</f>
        <v>0</v>
      </c>
      <c r="G33" s="179">
        <f ca="1">IF(ISNUMBER(MATCH(DATEVALUE($A33),'recurring1_based on steps'!G$1:G$400,0)),G$2,)</f>
        <v>0</v>
      </c>
      <c r="H33" s="179">
        <f ca="1">IF(ISNUMBER(MATCH(DATEVALUE($A33),'recurring1_based on steps'!H$1:H$400,0)),H$2,)</f>
        <v>0</v>
      </c>
      <c r="I33" s="179">
        <f ca="1">IF(ISNUMBER(MATCH(DATEVALUE($A33),'recurring1_based on steps'!I$1:I$400,0)),I$2,)</f>
        <v>0</v>
      </c>
      <c r="J33" s="179">
        <f ca="1">IF(ISNUMBER(MATCH(DATEVALUE($A33),'recurring1_based on steps'!J$1:J$400,0)),J$2,)</f>
        <v>0</v>
      </c>
      <c r="K33" s="179">
        <f ca="1">IF(ISNUMBER(MATCH(DATEVALUE($A33),'recurring1_based on steps'!K$1:K$400,0)),K$2,)</f>
        <v>0</v>
      </c>
      <c r="L33" s="179">
        <f ca="1">IF(ISNUMBER(MATCH(DATEVALUE($A33),'recurring1_based on steps'!L$1:L$400,0)),L$2,)</f>
        <v>0</v>
      </c>
      <c r="M33" s="179">
        <f ca="1">IF(ISNUMBER(MATCH(DATEVALUE($A33),'recurring1_based on steps'!M$1:M$400,0)),M$2,)</f>
        <v>0</v>
      </c>
      <c r="N33" s="179">
        <f ca="1">IF(ISNUMBER(MATCH(DATEVALUE($A33),'recurring1_based on steps'!N$1:N$400,0)),N$2,)</f>
        <v>0</v>
      </c>
      <c r="O33" s="179">
        <f ca="1">IF(ISNUMBER(MATCH(DATEVALUE($A33),'recurring1_based on steps'!O$1:O$400,0)),O$2,)</f>
        <v>0</v>
      </c>
      <c r="P33" s="179">
        <f ca="1">IF(ISNUMBER(MATCH(DATEVALUE($A33),'recurring1_based on steps'!P$1:P$400,0)),P$2,)</f>
        <v>0</v>
      </c>
      <c r="Q33" s="179">
        <f ca="1">IF(ISNUMBER(MATCH(DATEVALUE($A33),'recurring1_based on steps'!Q$1:Q$400,0)),Q$2,)</f>
        <v>0</v>
      </c>
      <c r="R33" s="179">
        <f ca="1">IF(ISNUMBER(MATCH(DATEVALUE($A33),'recurring1_based on steps'!R$1:R$400,0)),R$2,)</f>
        <v>0</v>
      </c>
      <c r="S33" s="179">
        <f ca="1">IF(ISNUMBER(MATCH(DATEVALUE($A33),'recurring1_based on steps'!S$1:S$400,0)),S$2,)</f>
        <v>0</v>
      </c>
      <c r="T33" s="179">
        <f ca="1">IF(ISNUMBER(MATCH(DATEVALUE($A33),'recurring1_based on steps'!T$1:T$400,0)),T$2,)</f>
        <v>0</v>
      </c>
      <c r="U33" s="179">
        <f ca="1">IF(ISNUMBER(MATCH(DATEVALUE($A33),'recurring1_based on steps'!U$1:U$400,0)),U$2,)</f>
        <v>0</v>
      </c>
      <c r="V33" s="179">
        <f ca="1">IF(ISNUMBER(MATCH(DATEVALUE($A33),'recurring1_based on steps'!V$1:V$400,0)),V$2,)</f>
        <v>0</v>
      </c>
      <c r="W33" s="179">
        <f ca="1">IF(ISNUMBER(MATCH(DATEVALUE($A33),'recurring1_based on steps'!W$1:W$400,0)),W$2,)</f>
        <v>0</v>
      </c>
      <c r="X33" s="179">
        <f ca="1">IF(ISNUMBER(MATCH(DATEVALUE($A33),'recurring1_based on steps'!X$1:X$400,0)),X$2,)</f>
        <v>0</v>
      </c>
      <c r="Y33" s="179">
        <f ca="1">IF(ISNUMBER(MATCH(DATEVALUE($A33),'recurring1_based on steps'!Y$1:Y$400,0)),Y$2,)</f>
        <v>0</v>
      </c>
      <c r="Z33" s="179">
        <f ca="1">IF(ISNUMBER(MATCH(DATEVALUE($A33),'recurring1_based on steps'!Z$1:Z$400,0)),Z$2,)</f>
        <v>0</v>
      </c>
      <c r="AA33" s="179">
        <f ca="1">IF(ISNUMBER(MATCH(DATEVALUE($A33),'recurring1_based on steps'!AA$1:AA$400,0)),AA$2,)</f>
        <v>0</v>
      </c>
      <c r="AB33" s="179">
        <f ca="1">IF(ISNUMBER(MATCH(DATEVALUE($A33),'recurring1_based on steps'!AB$1:AB$400,0)),AB$2,)</f>
        <v>0</v>
      </c>
      <c r="AC33" s="179">
        <f ca="1">IF(ISNUMBER(MATCH(DATEVALUE($A33),'recurring1_based on steps'!AC$1:AC$400,0)),AC$2,)</f>
        <v>0</v>
      </c>
      <c r="AD33" s="179">
        <f ca="1">IF(ISNUMBER(MATCH(DATEVALUE($A33),'recurring1_based on steps'!AD$1:AD$400,0)),AD$2,)</f>
        <v>0</v>
      </c>
      <c r="AE33" s="179">
        <f ca="1">IF(ISNUMBER(MATCH(DATEVALUE($A33),'recurring1_based on steps'!AE$1:AE$400,0)),AE$2,)</f>
        <v>0</v>
      </c>
      <c r="AF33" s="179">
        <f ca="1">IF(ISNUMBER(MATCH(DATEVALUE($A33),'recurring1_based on steps'!AF$1:AF$400,0)),AF$2,)</f>
        <v>0</v>
      </c>
      <c r="AG33" s="179">
        <f ca="1">IF(ISNUMBER(MATCH(DATEVALUE($A33),'recurring1_based on steps'!AG$1:AG$400,0)),AG$2,)</f>
        <v>0</v>
      </c>
      <c r="AH33" s="179">
        <f ca="1">IF(ISNUMBER(MATCH(DATEVALUE($A33),'recurring1_based on steps'!AH$1:AH$400,0)),AH$2,)</f>
        <v>0</v>
      </c>
      <c r="AI33" s="179">
        <f ca="1">IF(ISNUMBER(MATCH(DATEVALUE($A33),'recurring1_based on steps'!AI$1:AI$400,0)),AI$2,)</f>
        <v>0</v>
      </c>
      <c r="AJ33" s="179">
        <f ca="1">IF(ISNUMBER(MATCH(DATEVALUE($A33),'recurring1_based on steps'!AJ$1:AJ$400,0)),AJ$2,)</f>
        <v>0</v>
      </c>
      <c r="AK33" s="179">
        <f ca="1">IF(ISNUMBER(MATCH(DATEVALUE($A33),'recurring1_based on steps'!AK$1:AK$400,0)),AK$2,)</f>
        <v>0</v>
      </c>
      <c r="AL33" s="179">
        <f ca="1">IF(ISNUMBER(MATCH(DATEVALUE($A33),'recurring1_based on steps'!AL$1:AL$400,0)),AL$2,)</f>
        <v>0</v>
      </c>
      <c r="AM33" s="179">
        <f ca="1">IF(ISNUMBER(MATCH(DATEVALUE($A33),'recurring1_based on steps'!AM$1:AM$400,0)),AM$2,)</f>
        <v>0</v>
      </c>
      <c r="AN33" s="179">
        <f ca="1">IF(ISNUMBER(MATCH(DATEVALUE($A33),'recurring1_based on steps'!AN$1:AN$400,0)),AN$2,)</f>
        <v>0</v>
      </c>
      <c r="AO33" s="179">
        <f ca="1">IF(ISNUMBER(MATCH(DATEVALUE($A33),'recurring1_based on steps'!AO$1:AO$400,0)),AO$2,)</f>
        <v>0</v>
      </c>
      <c r="AP33" s="179">
        <f ca="1">IF(ISNUMBER(MATCH(DATEVALUE($A33),'recurring1_based on steps'!AP$1:AP$400,0)),AP$2,)</f>
        <v>0</v>
      </c>
      <c r="AQ33" s="179">
        <f ca="1">IF(ISNUMBER(MATCH(DATEVALUE($A33),'recurring1_based on steps'!AQ$1:AQ$400,0)),AQ$2,)</f>
        <v>0</v>
      </c>
      <c r="AR33" s="179">
        <f ca="1">IF(ISNUMBER(MATCH(DATEVALUE($A33),'recurring1_based on steps'!AR$1:AR$400,0)),AR$2,)</f>
        <v>0</v>
      </c>
      <c r="AS33" s="179">
        <f ca="1">IF(ISNUMBER(MATCH(DATEVALUE($A33),'recurring1_based on steps'!AS$1:AS$400,0)),AS$2,)</f>
        <v>0</v>
      </c>
      <c r="AT33" s="179">
        <f ca="1">IF(ISNUMBER(MATCH(DATEVALUE($A33),'recurring1_based on steps'!AT$1:AT$400,0)),AT$2,)</f>
        <v>0</v>
      </c>
      <c r="AU33" s="179">
        <f ca="1">IF(ISNUMBER(MATCH(DATEVALUE($A33),'recurring1_based on steps'!AU$1:AU$400,0)),AU$2,)</f>
        <v>0</v>
      </c>
      <c r="AV33" s="179">
        <f ca="1">IF(ISNUMBER(MATCH(DATEVALUE($A33),'recurring1_based on steps'!AV$1:AV$400,0)),AV$2,)</f>
        <v>0</v>
      </c>
      <c r="AW33" s="179">
        <f ca="1">IF(ISNUMBER(MATCH(DATEVALUE($A33),'recurring1_based on steps'!AW$1:AW$400,0)),AW$2,)</f>
        <v>0</v>
      </c>
      <c r="AX33" s="179">
        <f ca="1">IF(ISNUMBER(MATCH(DATEVALUE($A33),'recurring1_based on steps'!AX$1:AX$400,0)),AX$2,)</f>
        <v>0</v>
      </c>
      <c r="AY33" s="179">
        <f ca="1">IF(ISNUMBER(MATCH(DATEVALUE($A33),'recurring1_based on steps'!AY$1:AY$400,0)),AY$2,)</f>
        <v>0</v>
      </c>
    </row>
    <row r="34" spans="1:51" x14ac:dyDescent="0.2">
      <c r="A34" s="32" t="str">
        <f t="shared" ca="1" si="0"/>
        <v>2025-04-29</v>
      </c>
      <c r="B34" s="179">
        <f ca="1">IF(ISNUMBER(MATCH(DATEVALUE($A34),'recurring1_based on steps'!B$1:B$400,0)),B$2,)</f>
        <v>0</v>
      </c>
      <c r="C34" s="179">
        <f ca="1">IF(ISNUMBER(MATCH(DATEVALUE($A34),'recurring1_based on steps'!C$1:C$400,0)),C$2,)</f>
        <v>0</v>
      </c>
      <c r="D34" s="179">
        <f ca="1">IF(ISNUMBER(MATCH(DATEVALUE($A34),'recurring1_based on steps'!D$1:D$400,0)),D$2,)</f>
        <v>0</v>
      </c>
      <c r="E34" s="179">
        <f ca="1">IF(ISNUMBER(MATCH(DATEVALUE($A34),'recurring1_based on steps'!E$1:E$400,0)),E$2,)</f>
        <v>0</v>
      </c>
      <c r="F34" s="179">
        <f ca="1">IF(ISNUMBER(MATCH(DATEVALUE($A34),'recurring1_based on steps'!F$1:F$400,0)),F$2,)</f>
        <v>0</v>
      </c>
      <c r="G34" s="179">
        <f ca="1">IF(ISNUMBER(MATCH(DATEVALUE($A34),'recurring1_based on steps'!G$1:G$400,0)),G$2,)</f>
        <v>0</v>
      </c>
      <c r="H34" s="179">
        <f ca="1">IF(ISNUMBER(MATCH(DATEVALUE($A34),'recurring1_based on steps'!H$1:H$400,0)),H$2,)</f>
        <v>0</v>
      </c>
      <c r="I34" s="179">
        <f ca="1">IF(ISNUMBER(MATCH(DATEVALUE($A34),'recurring1_based on steps'!I$1:I$400,0)),I$2,)</f>
        <v>0</v>
      </c>
      <c r="J34" s="179">
        <f ca="1">IF(ISNUMBER(MATCH(DATEVALUE($A34),'recurring1_based on steps'!J$1:J$400,0)),J$2,)</f>
        <v>0</v>
      </c>
      <c r="K34" s="179">
        <f ca="1">IF(ISNUMBER(MATCH(DATEVALUE($A34),'recurring1_based on steps'!K$1:K$400,0)),K$2,)</f>
        <v>0</v>
      </c>
      <c r="L34" s="179">
        <f ca="1">IF(ISNUMBER(MATCH(DATEVALUE($A34),'recurring1_based on steps'!L$1:L$400,0)),L$2,)</f>
        <v>0</v>
      </c>
      <c r="M34" s="179">
        <f ca="1">IF(ISNUMBER(MATCH(DATEVALUE($A34),'recurring1_based on steps'!M$1:M$400,0)),M$2,)</f>
        <v>0</v>
      </c>
      <c r="N34" s="179">
        <f ca="1">IF(ISNUMBER(MATCH(DATEVALUE($A34),'recurring1_based on steps'!N$1:N$400,0)),N$2,)</f>
        <v>0</v>
      </c>
      <c r="O34" s="179">
        <f ca="1">IF(ISNUMBER(MATCH(DATEVALUE($A34),'recurring1_based on steps'!O$1:O$400,0)),O$2,)</f>
        <v>0</v>
      </c>
      <c r="P34" s="179">
        <f ca="1">IF(ISNUMBER(MATCH(DATEVALUE($A34),'recurring1_based on steps'!P$1:P$400,0)),P$2,)</f>
        <v>0</v>
      </c>
      <c r="Q34" s="179">
        <f ca="1">IF(ISNUMBER(MATCH(DATEVALUE($A34),'recurring1_based on steps'!Q$1:Q$400,0)),Q$2,)</f>
        <v>0</v>
      </c>
      <c r="R34" s="179">
        <f ca="1">IF(ISNUMBER(MATCH(DATEVALUE($A34),'recurring1_based on steps'!R$1:R$400,0)),R$2,)</f>
        <v>0</v>
      </c>
      <c r="S34" s="179">
        <f ca="1">IF(ISNUMBER(MATCH(DATEVALUE($A34),'recurring1_based on steps'!S$1:S$400,0)),S$2,)</f>
        <v>0</v>
      </c>
      <c r="T34" s="179">
        <f ca="1">IF(ISNUMBER(MATCH(DATEVALUE($A34),'recurring1_based on steps'!T$1:T$400,0)),T$2,)</f>
        <v>0</v>
      </c>
      <c r="U34" s="179">
        <f ca="1">IF(ISNUMBER(MATCH(DATEVALUE($A34),'recurring1_based on steps'!U$1:U$400,0)),U$2,)</f>
        <v>0</v>
      </c>
      <c r="V34" s="179">
        <f ca="1">IF(ISNUMBER(MATCH(DATEVALUE($A34),'recurring1_based on steps'!V$1:V$400,0)),V$2,)</f>
        <v>0</v>
      </c>
      <c r="W34" s="179">
        <f ca="1">IF(ISNUMBER(MATCH(DATEVALUE($A34),'recurring1_based on steps'!W$1:W$400,0)),W$2,)</f>
        <v>0</v>
      </c>
      <c r="X34" s="179">
        <f ca="1">IF(ISNUMBER(MATCH(DATEVALUE($A34),'recurring1_based on steps'!X$1:X$400,0)),X$2,)</f>
        <v>0</v>
      </c>
      <c r="Y34" s="179">
        <f ca="1">IF(ISNUMBER(MATCH(DATEVALUE($A34),'recurring1_based on steps'!Y$1:Y$400,0)),Y$2,)</f>
        <v>0</v>
      </c>
      <c r="Z34" s="179">
        <f ca="1">IF(ISNUMBER(MATCH(DATEVALUE($A34),'recurring1_based on steps'!Z$1:Z$400,0)),Z$2,)</f>
        <v>0</v>
      </c>
      <c r="AA34" s="179">
        <f ca="1">IF(ISNUMBER(MATCH(DATEVALUE($A34),'recurring1_based on steps'!AA$1:AA$400,0)),AA$2,)</f>
        <v>0</v>
      </c>
      <c r="AB34" s="179">
        <f ca="1">IF(ISNUMBER(MATCH(DATEVALUE($A34),'recurring1_based on steps'!AB$1:AB$400,0)),AB$2,)</f>
        <v>0</v>
      </c>
      <c r="AC34" s="179">
        <f ca="1">IF(ISNUMBER(MATCH(DATEVALUE($A34),'recurring1_based on steps'!AC$1:AC$400,0)),AC$2,)</f>
        <v>0</v>
      </c>
      <c r="AD34" s="179">
        <f ca="1">IF(ISNUMBER(MATCH(DATEVALUE($A34),'recurring1_based on steps'!AD$1:AD$400,0)),AD$2,)</f>
        <v>0</v>
      </c>
      <c r="AE34" s="179">
        <f ca="1">IF(ISNUMBER(MATCH(DATEVALUE($A34),'recurring1_based on steps'!AE$1:AE$400,0)),AE$2,)</f>
        <v>0</v>
      </c>
      <c r="AF34" s="179">
        <f ca="1">IF(ISNUMBER(MATCH(DATEVALUE($A34),'recurring1_based on steps'!AF$1:AF$400,0)),AF$2,)</f>
        <v>0</v>
      </c>
      <c r="AG34" s="179">
        <f ca="1">IF(ISNUMBER(MATCH(DATEVALUE($A34),'recurring1_based on steps'!AG$1:AG$400,0)),AG$2,)</f>
        <v>0</v>
      </c>
      <c r="AH34" s="179">
        <f ca="1">IF(ISNUMBER(MATCH(DATEVALUE($A34),'recurring1_based on steps'!AH$1:AH$400,0)),AH$2,)</f>
        <v>0</v>
      </c>
      <c r="AI34" s="179">
        <f ca="1">IF(ISNUMBER(MATCH(DATEVALUE($A34),'recurring1_based on steps'!AI$1:AI$400,0)),AI$2,)</f>
        <v>0</v>
      </c>
      <c r="AJ34" s="179">
        <f ca="1">IF(ISNUMBER(MATCH(DATEVALUE($A34),'recurring1_based on steps'!AJ$1:AJ$400,0)),AJ$2,)</f>
        <v>0</v>
      </c>
      <c r="AK34" s="179">
        <f ca="1">IF(ISNUMBER(MATCH(DATEVALUE($A34),'recurring1_based on steps'!AK$1:AK$400,0)),AK$2,)</f>
        <v>0</v>
      </c>
      <c r="AL34" s="179">
        <f ca="1">IF(ISNUMBER(MATCH(DATEVALUE($A34),'recurring1_based on steps'!AL$1:AL$400,0)),AL$2,)</f>
        <v>0</v>
      </c>
      <c r="AM34" s="179">
        <f ca="1">IF(ISNUMBER(MATCH(DATEVALUE($A34),'recurring1_based on steps'!AM$1:AM$400,0)),AM$2,)</f>
        <v>0</v>
      </c>
      <c r="AN34" s="179">
        <f ca="1">IF(ISNUMBER(MATCH(DATEVALUE($A34),'recurring1_based on steps'!AN$1:AN$400,0)),AN$2,)</f>
        <v>0</v>
      </c>
      <c r="AO34" s="179">
        <f ca="1">IF(ISNUMBER(MATCH(DATEVALUE($A34),'recurring1_based on steps'!AO$1:AO$400,0)),AO$2,)</f>
        <v>0</v>
      </c>
      <c r="AP34" s="179">
        <f ca="1">IF(ISNUMBER(MATCH(DATEVALUE($A34),'recurring1_based on steps'!AP$1:AP$400,0)),AP$2,)</f>
        <v>0</v>
      </c>
      <c r="AQ34" s="179">
        <f ca="1">IF(ISNUMBER(MATCH(DATEVALUE($A34),'recurring1_based on steps'!AQ$1:AQ$400,0)),AQ$2,)</f>
        <v>0</v>
      </c>
      <c r="AR34" s="179">
        <f ca="1">IF(ISNUMBER(MATCH(DATEVALUE($A34),'recurring1_based on steps'!AR$1:AR$400,0)),AR$2,)</f>
        <v>0</v>
      </c>
      <c r="AS34" s="179">
        <f ca="1">IF(ISNUMBER(MATCH(DATEVALUE($A34),'recurring1_based on steps'!AS$1:AS$400,0)),AS$2,)</f>
        <v>0</v>
      </c>
      <c r="AT34" s="179">
        <f ca="1">IF(ISNUMBER(MATCH(DATEVALUE($A34),'recurring1_based on steps'!AT$1:AT$400,0)),AT$2,)</f>
        <v>0</v>
      </c>
      <c r="AU34" s="179">
        <f ca="1">IF(ISNUMBER(MATCH(DATEVALUE($A34),'recurring1_based on steps'!AU$1:AU$400,0)),AU$2,)</f>
        <v>0</v>
      </c>
      <c r="AV34" s="179">
        <f ca="1">IF(ISNUMBER(MATCH(DATEVALUE($A34),'recurring1_based on steps'!AV$1:AV$400,0)),AV$2,)</f>
        <v>0</v>
      </c>
      <c r="AW34" s="179">
        <f ca="1">IF(ISNUMBER(MATCH(DATEVALUE($A34),'recurring1_based on steps'!AW$1:AW$400,0)),AW$2,)</f>
        <v>0</v>
      </c>
      <c r="AX34" s="179">
        <f ca="1">IF(ISNUMBER(MATCH(DATEVALUE($A34),'recurring1_based on steps'!AX$1:AX$400,0)),AX$2,)</f>
        <v>0</v>
      </c>
      <c r="AY34" s="179">
        <f ca="1">IF(ISNUMBER(MATCH(DATEVALUE($A34),'recurring1_based on steps'!AY$1:AY$400,0)),AY$2,)</f>
        <v>0</v>
      </c>
    </row>
    <row r="35" spans="1:51" x14ac:dyDescent="0.2">
      <c r="A35" s="32" t="str">
        <f t="shared" ca="1" si="0"/>
        <v>2025-04-30</v>
      </c>
      <c r="B35" s="179">
        <f ca="1">IF(ISNUMBER(MATCH(DATEVALUE($A35),'recurring1_based on steps'!B$1:B$400,0)),B$2,)</f>
        <v>0</v>
      </c>
      <c r="C35" s="179">
        <f ca="1">IF(ISNUMBER(MATCH(DATEVALUE($A35),'recurring1_based on steps'!C$1:C$400,0)),C$2,)</f>
        <v>0</v>
      </c>
      <c r="D35" s="179">
        <f ca="1">IF(ISNUMBER(MATCH(DATEVALUE($A35),'recurring1_based on steps'!D$1:D$400,0)),D$2,)</f>
        <v>0</v>
      </c>
      <c r="E35" s="179">
        <f ca="1">IF(ISNUMBER(MATCH(DATEVALUE($A35),'recurring1_based on steps'!E$1:E$400,0)),E$2,)</f>
        <v>0</v>
      </c>
      <c r="F35" s="179">
        <f ca="1">IF(ISNUMBER(MATCH(DATEVALUE($A35),'recurring1_based on steps'!F$1:F$400,0)),F$2,)</f>
        <v>0</v>
      </c>
      <c r="G35" s="179">
        <f ca="1">IF(ISNUMBER(MATCH(DATEVALUE($A35),'recurring1_based on steps'!G$1:G$400,0)),G$2,)</f>
        <v>0</v>
      </c>
      <c r="H35" s="179">
        <f ca="1">IF(ISNUMBER(MATCH(DATEVALUE($A35),'recurring1_based on steps'!H$1:H$400,0)),H$2,)</f>
        <v>0</v>
      </c>
      <c r="I35" s="179">
        <f ca="1">IF(ISNUMBER(MATCH(DATEVALUE($A35),'recurring1_based on steps'!I$1:I$400,0)),I$2,)</f>
        <v>0</v>
      </c>
      <c r="J35" s="179">
        <f ca="1">IF(ISNUMBER(MATCH(DATEVALUE($A35),'recurring1_based on steps'!J$1:J$400,0)),J$2,)</f>
        <v>0</v>
      </c>
      <c r="K35" s="179">
        <f ca="1">IF(ISNUMBER(MATCH(DATEVALUE($A35),'recurring1_based on steps'!K$1:K$400,0)),K$2,)</f>
        <v>0</v>
      </c>
      <c r="L35" s="179">
        <f ca="1">IF(ISNUMBER(MATCH(DATEVALUE($A35),'recurring1_based on steps'!L$1:L$400,0)),L$2,)</f>
        <v>0</v>
      </c>
      <c r="M35" s="179">
        <f ca="1">IF(ISNUMBER(MATCH(DATEVALUE($A35),'recurring1_based on steps'!M$1:M$400,0)),M$2,)</f>
        <v>0</v>
      </c>
      <c r="N35" s="179">
        <f ca="1">IF(ISNUMBER(MATCH(DATEVALUE($A35),'recurring1_based on steps'!N$1:N$400,0)),N$2,)</f>
        <v>0</v>
      </c>
      <c r="O35" s="179">
        <f ca="1">IF(ISNUMBER(MATCH(DATEVALUE($A35),'recurring1_based on steps'!O$1:O$400,0)),O$2,)</f>
        <v>0</v>
      </c>
      <c r="P35" s="179">
        <f ca="1">IF(ISNUMBER(MATCH(DATEVALUE($A35),'recurring1_based on steps'!P$1:P$400,0)),P$2,)</f>
        <v>0</v>
      </c>
      <c r="Q35" s="179">
        <f ca="1">IF(ISNUMBER(MATCH(DATEVALUE($A35),'recurring1_based on steps'!Q$1:Q$400,0)),Q$2,)</f>
        <v>0</v>
      </c>
      <c r="R35" s="179">
        <f ca="1">IF(ISNUMBER(MATCH(DATEVALUE($A35),'recurring1_based on steps'!R$1:R$400,0)),R$2,)</f>
        <v>0</v>
      </c>
      <c r="S35" s="179">
        <f ca="1">IF(ISNUMBER(MATCH(DATEVALUE($A35),'recurring1_based on steps'!S$1:S$400,0)),S$2,)</f>
        <v>0</v>
      </c>
      <c r="T35" s="179">
        <f ca="1">IF(ISNUMBER(MATCH(DATEVALUE($A35),'recurring1_based on steps'!T$1:T$400,0)),T$2,)</f>
        <v>0</v>
      </c>
      <c r="U35" s="179">
        <f ca="1">IF(ISNUMBER(MATCH(DATEVALUE($A35),'recurring1_based on steps'!U$1:U$400,0)),U$2,)</f>
        <v>0</v>
      </c>
      <c r="V35" s="179">
        <f ca="1">IF(ISNUMBER(MATCH(DATEVALUE($A35),'recurring1_based on steps'!V$1:V$400,0)),V$2,)</f>
        <v>0</v>
      </c>
      <c r="W35" s="179">
        <f ca="1">IF(ISNUMBER(MATCH(DATEVALUE($A35),'recurring1_based on steps'!W$1:W$400,0)),W$2,)</f>
        <v>0</v>
      </c>
      <c r="X35" s="179">
        <f ca="1">IF(ISNUMBER(MATCH(DATEVALUE($A35),'recurring1_based on steps'!X$1:X$400,0)),X$2,)</f>
        <v>0</v>
      </c>
      <c r="Y35" s="179">
        <f ca="1">IF(ISNUMBER(MATCH(DATEVALUE($A35),'recurring1_based on steps'!Y$1:Y$400,0)),Y$2,)</f>
        <v>0</v>
      </c>
      <c r="Z35" s="179">
        <f ca="1">IF(ISNUMBER(MATCH(DATEVALUE($A35),'recurring1_based on steps'!Z$1:Z$400,0)),Z$2,)</f>
        <v>0</v>
      </c>
      <c r="AA35" s="179">
        <f ca="1">IF(ISNUMBER(MATCH(DATEVALUE($A35),'recurring1_based on steps'!AA$1:AA$400,0)),AA$2,)</f>
        <v>0</v>
      </c>
      <c r="AB35" s="179">
        <f ca="1">IF(ISNUMBER(MATCH(DATEVALUE($A35),'recurring1_based on steps'!AB$1:AB$400,0)),AB$2,)</f>
        <v>0</v>
      </c>
      <c r="AC35" s="179">
        <f ca="1">IF(ISNUMBER(MATCH(DATEVALUE($A35),'recurring1_based on steps'!AC$1:AC$400,0)),AC$2,)</f>
        <v>0</v>
      </c>
      <c r="AD35" s="179">
        <f ca="1">IF(ISNUMBER(MATCH(DATEVALUE($A35),'recurring1_based on steps'!AD$1:AD$400,0)),AD$2,)</f>
        <v>0</v>
      </c>
      <c r="AE35" s="179">
        <f ca="1">IF(ISNUMBER(MATCH(DATEVALUE($A35),'recurring1_based on steps'!AE$1:AE$400,0)),AE$2,)</f>
        <v>0</v>
      </c>
      <c r="AF35" s="179">
        <f ca="1">IF(ISNUMBER(MATCH(DATEVALUE($A35),'recurring1_based on steps'!AF$1:AF$400,0)),AF$2,)</f>
        <v>0</v>
      </c>
      <c r="AG35" s="179">
        <f ca="1">IF(ISNUMBER(MATCH(DATEVALUE($A35),'recurring1_based on steps'!AG$1:AG$400,0)),AG$2,)</f>
        <v>0</v>
      </c>
      <c r="AH35" s="179">
        <f ca="1">IF(ISNUMBER(MATCH(DATEVALUE($A35),'recurring1_based on steps'!AH$1:AH$400,0)),AH$2,)</f>
        <v>0</v>
      </c>
      <c r="AI35" s="179">
        <f ca="1">IF(ISNUMBER(MATCH(DATEVALUE($A35),'recurring1_based on steps'!AI$1:AI$400,0)),AI$2,)</f>
        <v>0</v>
      </c>
      <c r="AJ35" s="179">
        <f ca="1">IF(ISNUMBER(MATCH(DATEVALUE($A35),'recurring1_based on steps'!AJ$1:AJ$400,0)),AJ$2,)</f>
        <v>0</v>
      </c>
      <c r="AK35" s="179">
        <f ca="1">IF(ISNUMBER(MATCH(DATEVALUE($A35),'recurring1_based on steps'!AK$1:AK$400,0)),AK$2,)</f>
        <v>0</v>
      </c>
      <c r="AL35" s="179">
        <f ca="1">IF(ISNUMBER(MATCH(DATEVALUE($A35),'recurring1_based on steps'!AL$1:AL$400,0)),AL$2,)</f>
        <v>0</v>
      </c>
      <c r="AM35" s="179">
        <f ca="1">IF(ISNUMBER(MATCH(DATEVALUE($A35),'recurring1_based on steps'!AM$1:AM$400,0)),AM$2,)</f>
        <v>0</v>
      </c>
      <c r="AN35" s="179">
        <f ca="1">IF(ISNUMBER(MATCH(DATEVALUE($A35),'recurring1_based on steps'!AN$1:AN$400,0)),AN$2,)</f>
        <v>0</v>
      </c>
      <c r="AO35" s="179">
        <f ca="1">IF(ISNUMBER(MATCH(DATEVALUE($A35),'recurring1_based on steps'!AO$1:AO$400,0)),AO$2,)</f>
        <v>0</v>
      </c>
      <c r="AP35" s="179">
        <f ca="1">IF(ISNUMBER(MATCH(DATEVALUE($A35),'recurring1_based on steps'!AP$1:AP$400,0)),AP$2,)</f>
        <v>0</v>
      </c>
      <c r="AQ35" s="179">
        <f ca="1">IF(ISNUMBER(MATCH(DATEVALUE($A35),'recurring1_based on steps'!AQ$1:AQ$400,0)),AQ$2,)</f>
        <v>0</v>
      </c>
      <c r="AR35" s="179">
        <f ca="1">IF(ISNUMBER(MATCH(DATEVALUE($A35),'recurring1_based on steps'!AR$1:AR$400,0)),AR$2,)</f>
        <v>0</v>
      </c>
      <c r="AS35" s="179">
        <f ca="1">IF(ISNUMBER(MATCH(DATEVALUE($A35),'recurring1_based on steps'!AS$1:AS$400,0)),AS$2,)</f>
        <v>0</v>
      </c>
      <c r="AT35" s="179">
        <f ca="1">IF(ISNUMBER(MATCH(DATEVALUE($A35),'recurring1_based on steps'!AT$1:AT$400,0)),AT$2,)</f>
        <v>0</v>
      </c>
      <c r="AU35" s="179">
        <f ca="1">IF(ISNUMBER(MATCH(DATEVALUE($A35),'recurring1_based on steps'!AU$1:AU$400,0)),AU$2,)</f>
        <v>0</v>
      </c>
      <c r="AV35" s="179">
        <f ca="1">IF(ISNUMBER(MATCH(DATEVALUE($A35),'recurring1_based on steps'!AV$1:AV$400,0)),AV$2,)</f>
        <v>0</v>
      </c>
      <c r="AW35" s="179">
        <f ca="1">IF(ISNUMBER(MATCH(DATEVALUE($A35),'recurring1_based on steps'!AW$1:AW$400,0)),AW$2,)</f>
        <v>0</v>
      </c>
      <c r="AX35" s="179">
        <f ca="1">IF(ISNUMBER(MATCH(DATEVALUE($A35),'recurring1_based on steps'!AX$1:AX$400,0)),AX$2,)</f>
        <v>0</v>
      </c>
      <c r="AY35" s="179">
        <f ca="1">IF(ISNUMBER(MATCH(DATEVALUE($A35),'recurring1_based on steps'!AY$1:AY$400,0)),AY$2,)</f>
        <v>0</v>
      </c>
    </row>
    <row r="36" spans="1:51" x14ac:dyDescent="0.2">
      <c r="A36" s="32" t="str">
        <f t="shared" ca="1" si="0"/>
        <v>2025-05-01</v>
      </c>
      <c r="B36" s="179">
        <f ca="1">IF(ISNUMBER(MATCH(DATEVALUE($A36),'recurring1_based on steps'!B$1:B$400,0)),B$2,)</f>
        <v>0</v>
      </c>
      <c r="C36" s="179">
        <f ca="1">IF(ISNUMBER(MATCH(DATEVALUE($A36),'recurring1_based on steps'!C$1:C$400,0)),C$2,)</f>
        <v>0</v>
      </c>
      <c r="D36" s="179">
        <f ca="1">IF(ISNUMBER(MATCH(DATEVALUE($A36),'recurring1_based on steps'!D$1:D$400,0)),D$2,)</f>
        <v>0</v>
      </c>
      <c r="E36" s="179">
        <f ca="1">IF(ISNUMBER(MATCH(DATEVALUE($A36),'recurring1_based on steps'!E$1:E$400,0)),E$2,)</f>
        <v>0</v>
      </c>
      <c r="F36" s="179">
        <f ca="1">IF(ISNUMBER(MATCH(DATEVALUE($A36),'recurring1_based on steps'!F$1:F$400,0)),F$2,)</f>
        <v>0</v>
      </c>
      <c r="G36" s="179">
        <f ca="1">IF(ISNUMBER(MATCH(DATEVALUE($A36),'recurring1_based on steps'!G$1:G$400,0)),G$2,)</f>
        <v>0</v>
      </c>
      <c r="H36" s="179">
        <f ca="1">IF(ISNUMBER(MATCH(DATEVALUE($A36),'recurring1_based on steps'!H$1:H$400,0)),H$2,)</f>
        <v>0</v>
      </c>
      <c r="I36" s="179">
        <f ca="1">IF(ISNUMBER(MATCH(DATEVALUE($A36),'recurring1_based on steps'!I$1:I$400,0)),I$2,)</f>
        <v>0</v>
      </c>
      <c r="J36" s="179">
        <f ca="1">IF(ISNUMBER(MATCH(DATEVALUE($A36),'recurring1_based on steps'!J$1:J$400,0)),J$2,)</f>
        <v>0</v>
      </c>
      <c r="K36" s="179">
        <f ca="1">IF(ISNUMBER(MATCH(DATEVALUE($A36),'recurring1_based on steps'!K$1:K$400,0)),K$2,)</f>
        <v>0</v>
      </c>
      <c r="L36" s="179">
        <f ca="1">IF(ISNUMBER(MATCH(DATEVALUE($A36),'recurring1_based on steps'!L$1:L$400,0)),L$2,)</f>
        <v>0</v>
      </c>
      <c r="M36" s="179">
        <f ca="1">IF(ISNUMBER(MATCH(DATEVALUE($A36),'recurring1_based on steps'!M$1:M$400,0)),M$2,)</f>
        <v>0</v>
      </c>
      <c r="N36" s="179">
        <f ca="1">IF(ISNUMBER(MATCH(DATEVALUE($A36),'recurring1_based on steps'!N$1:N$400,0)),N$2,)</f>
        <v>0</v>
      </c>
      <c r="O36" s="179">
        <f ca="1">IF(ISNUMBER(MATCH(DATEVALUE($A36),'recurring1_based on steps'!O$1:O$400,0)),O$2,)</f>
        <v>0</v>
      </c>
      <c r="P36" s="179">
        <f ca="1">IF(ISNUMBER(MATCH(DATEVALUE($A36),'recurring1_based on steps'!P$1:P$400,0)),P$2,)</f>
        <v>0</v>
      </c>
      <c r="Q36" s="179">
        <f ca="1">IF(ISNUMBER(MATCH(DATEVALUE($A36),'recurring1_based on steps'!Q$1:Q$400,0)),Q$2,)</f>
        <v>0</v>
      </c>
      <c r="R36" s="179">
        <f ca="1">IF(ISNUMBER(MATCH(DATEVALUE($A36),'recurring1_based on steps'!R$1:R$400,0)),R$2,)</f>
        <v>0</v>
      </c>
      <c r="S36" s="179">
        <f ca="1">IF(ISNUMBER(MATCH(DATEVALUE($A36),'recurring1_based on steps'!S$1:S$400,0)),S$2,)</f>
        <v>0</v>
      </c>
      <c r="T36" s="179">
        <f ca="1">IF(ISNUMBER(MATCH(DATEVALUE($A36),'recurring1_based on steps'!T$1:T$400,0)),T$2,)</f>
        <v>0</v>
      </c>
      <c r="U36" s="179">
        <f ca="1">IF(ISNUMBER(MATCH(DATEVALUE($A36),'recurring1_based on steps'!U$1:U$400,0)),U$2,)</f>
        <v>0</v>
      </c>
      <c r="V36" s="179">
        <f ca="1">IF(ISNUMBER(MATCH(DATEVALUE($A36),'recurring1_based on steps'!V$1:V$400,0)),V$2,)</f>
        <v>0</v>
      </c>
      <c r="W36" s="179">
        <f ca="1">IF(ISNUMBER(MATCH(DATEVALUE($A36),'recurring1_based on steps'!W$1:W$400,0)),W$2,)</f>
        <v>0</v>
      </c>
      <c r="X36" s="179">
        <f ca="1">IF(ISNUMBER(MATCH(DATEVALUE($A36),'recurring1_based on steps'!X$1:X$400,0)),X$2,)</f>
        <v>0</v>
      </c>
      <c r="Y36" s="179">
        <f ca="1">IF(ISNUMBER(MATCH(DATEVALUE($A36),'recurring1_based on steps'!Y$1:Y$400,0)),Y$2,)</f>
        <v>0</v>
      </c>
      <c r="Z36" s="179">
        <f ca="1">IF(ISNUMBER(MATCH(DATEVALUE($A36),'recurring1_based on steps'!Z$1:Z$400,0)),Z$2,)</f>
        <v>0</v>
      </c>
      <c r="AA36" s="179">
        <f ca="1">IF(ISNUMBER(MATCH(DATEVALUE($A36),'recurring1_based on steps'!AA$1:AA$400,0)),AA$2,)</f>
        <v>0</v>
      </c>
      <c r="AB36" s="179">
        <f ca="1">IF(ISNUMBER(MATCH(DATEVALUE($A36),'recurring1_based on steps'!AB$1:AB$400,0)),AB$2,)</f>
        <v>0</v>
      </c>
      <c r="AC36" s="179">
        <f ca="1">IF(ISNUMBER(MATCH(DATEVALUE($A36),'recurring1_based on steps'!AC$1:AC$400,0)),AC$2,)</f>
        <v>0</v>
      </c>
      <c r="AD36" s="179">
        <f ca="1">IF(ISNUMBER(MATCH(DATEVALUE($A36),'recurring1_based on steps'!AD$1:AD$400,0)),AD$2,)</f>
        <v>0</v>
      </c>
      <c r="AE36" s="179">
        <f ca="1">IF(ISNUMBER(MATCH(DATEVALUE($A36),'recurring1_based on steps'!AE$1:AE$400,0)),AE$2,)</f>
        <v>0</v>
      </c>
      <c r="AF36" s="179">
        <f ca="1">IF(ISNUMBER(MATCH(DATEVALUE($A36),'recurring1_based on steps'!AF$1:AF$400,0)),AF$2,)</f>
        <v>0</v>
      </c>
      <c r="AG36" s="179">
        <f ca="1">IF(ISNUMBER(MATCH(DATEVALUE($A36),'recurring1_based on steps'!AG$1:AG$400,0)),AG$2,)</f>
        <v>0</v>
      </c>
      <c r="AH36" s="179">
        <f ca="1">IF(ISNUMBER(MATCH(DATEVALUE($A36),'recurring1_based on steps'!AH$1:AH$400,0)),AH$2,)</f>
        <v>0</v>
      </c>
      <c r="AI36" s="179">
        <f ca="1">IF(ISNUMBER(MATCH(DATEVALUE($A36),'recurring1_based on steps'!AI$1:AI$400,0)),AI$2,)</f>
        <v>0</v>
      </c>
      <c r="AJ36" s="179">
        <f ca="1">IF(ISNUMBER(MATCH(DATEVALUE($A36),'recurring1_based on steps'!AJ$1:AJ$400,0)),AJ$2,)</f>
        <v>0</v>
      </c>
      <c r="AK36" s="179">
        <f ca="1">IF(ISNUMBER(MATCH(DATEVALUE($A36),'recurring1_based on steps'!AK$1:AK$400,0)),AK$2,)</f>
        <v>0</v>
      </c>
      <c r="AL36" s="179">
        <f ca="1">IF(ISNUMBER(MATCH(DATEVALUE($A36),'recurring1_based on steps'!AL$1:AL$400,0)),AL$2,)</f>
        <v>0</v>
      </c>
      <c r="AM36" s="179">
        <f ca="1">IF(ISNUMBER(MATCH(DATEVALUE($A36),'recurring1_based on steps'!AM$1:AM$400,0)),AM$2,)</f>
        <v>0</v>
      </c>
      <c r="AN36" s="179">
        <f ca="1">IF(ISNUMBER(MATCH(DATEVALUE($A36),'recurring1_based on steps'!AN$1:AN$400,0)),AN$2,)</f>
        <v>0</v>
      </c>
      <c r="AO36" s="179">
        <f ca="1">IF(ISNUMBER(MATCH(DATEVALUE($A36),'recurring1_based on steps'!AO$1:AO$400,0)),AO$2,)</f>
        <v>0</v>
      </c>
      <c r="AP36" s="179">
        <f ca="1">IF(ISNUMBER(MATCH(DATEVALUE($A36),'recurring1_based on steps'!AP$1:AP$400,0)),AP$2,)</f>
        <v>0</v>
      </c>
      <c r="AQ36" s="179">
        <f ca="1">IF(ISNUMBER(MATCH(DATEVALUE($A36),'recurring1_based on steps'!AQ$1:AQ$400,0)),AQ$2,)</f>
        <v>0</v>
      </c>
      <c r="AR36" s="179">
        <f ca="1">IF(ISNUMBER(MATCH(DATEVALUE($A36),'recurring1_based on steps'!AR$1:AR$400,0)),AR$2,)</f>
        <v>0</v>
      </c>
      <c r="AS36" s="179">
        <f ca="1">IF(ISNUMBER(MATCH(DATEVALUE($A36),'recurring1_based on steps'!AS$1:AS$400,0)),AS$2,)</f>
        <v>0</v>
      </c>
      <c r="AT36" s="179">
        <f ca="1">IF(ISNUMBER(MATCH(DATEVALUE($A36),'recurring1_based on steps'!AT$1:AT$400,0)),AT$2,)</f>
        <v>0</v>
      </c>
      <c r="AU36" s="179">
        <f ca="1">IF(ISNUMBER(MATCH(DATEVALUE($A36),'recurring1_based on steps'!AU$1:AU$400,0)),AU$2,)</f>
        <v>0</v>
      </c>
      <c r="AV36" s="179">
        <f ca="1">IF(ISNUMBER(MATCH(DATEVALUE($A36),'recurring1_based on steps'!AV$1:AV$400,0)),AV$2,)</f>
        <v>0</v>
      </c>
      <c r="AW36" s="179">
        <f ca="1">IF(ISNUMBER(MATCH(DATEVALUE($A36),'recurring1_based on steps'!AW$1:AW$400,0)),AW$2,)</f>
        <v>0</v>
      </c>
      <c r="AX36" s="179">
        <f ca="1">IF(ISNUMBER(MATCH(DATEVALUE($A36),'recurring1_based on steps'!AX$1:AX$400,0)),AX$2,)</f>
        <v>0</v>
      </c>
      <c r="AY36" s="179">
        <f ca="1">IF(ISNUMBER(MATCH(DATEVALUE($A36),'recurring1_based on steps'!AY$1:AY$400,0)),AY$2,)</f>
        <v>0</v>
      </c>
    </row>
    <row r="37" spans="1:51" x14ac:dyDescent="0.2">
      <c r="A37" s="32" t="str">
        <f t="shared" ca="1" si="0"/>
        <v>2025-05-02</v>
      </c>
      <c r="B37" s="179">
        <f ca="1">IF(ISNUMBER(MATCH(DATEVALUE($A37),'recurring1_based on steps'!B$1:B$400,0)),B$2,)</f>
        <v>0</v>
      </c>
      <c r="C37" s="179">
        <f ca="1">IF(ISNUMBER(MATCH(DATEVALUE($A37),'recurring1_based on steps'!C$1:C$400,0)),C$2,)</f>
        <v>0</v>
      </c>
      <c r="D37" s="179">
        <f ca="1">IF(ISNUMBER(MATCH(DATEVALUE($A37),'recurring1_based on steps'!D$1:D$400,0)),D$2,)</f>
        <v>0</v>
      </c>
      <c r="E37" s="179">
        <f ca="1">IF(ISNUMBER(MATCH(DATEVALUE($A37),'recurring1_based on steps'!E$1:E$400,0)),E$2,)</f>
        <v>0</v>
      </c>
      <c r="F37" s="179">
        <f ca="1">IF(ISNUMBER(MATCH(DATEVALUE($A37),'recurring1_based on steps'!F$1:F$400,0)),F$2,)</f>
        <v>0</v>
      </c>
      <c r="G37" s="179">
        <f ca="1">IF(ISNUMBER(MATCH(DATEVALUE($A37),'recurring1_based on steps'!G$1:G$400,0)),G$2,)</f>
        <v>0</v>
      </c>
      <c r="H37" s="179">
        <f ca="1">IF(ISNUMBER(MATCH(DATEVALUE($A37),'recurring1_based on steps'!H$1:H$400,0)),H$2,)</f>
        <v>0</v>
      </c>
      <c r="I37" s="179">
        <f ca="1">IF(ISNUMBER(MATCH(DATEVALUE($A37),'recurring1_based on steps'!I$1:I$400,0)),I$2,)</f>
        <v>0</v>
      </c>
      <c r="J37" s="179">
        <f ca="1">IF(ISNUMBER(MATCH(DATEVALUE($A37),'recurring1_based on steps'!J$1:J$400,0)),J$2,)</f>
        <v>0</v>
      </c>
      <c r="K37" s="179">
        <f ca="1">IF(ISNUMBER(MATCH(DATEVALUE($A37),'recurring1_based on steps'!K$1:K$400,0)),K$2,)</f>
        <v>0</v>
      </c>
      <c r="L37" s="179">
        <f ca="1">IF(ISNUMBER(MATCH(DATEVALUE($A37),'recurring1_based on steps'!L$1:L$400,0)),L$2,)</f>
        <v>0</v>
      </c>
      <c r="M37" s="179">
        <f ca="1">IF(ISNUMBER(MATCH(DATEVALUE($A37),'recurring1_based on steps'!M$1:M$400,0)),M$2,)</f>
        <v>0</v>
      </c>
      <c r="N37" s="179">
        <f ca="1">IF(ISNUMBER(MATCH(DATEVALUE($A37),'recurring1_based on steps'!N$1:N$400,0)),N$2,)</f>
        <v>0</v>
      </c>
      <c r="O37" s="179">
        <f ca="1">IF(ISNUMBER(MATCH(DATEVALUE($A37),'recurring1_based on steps'!O$1:O$400,0)),O$2,)</f>
        <v>0</v>
      </c>
      <c r="P37" s="179">
        <f ca="1">IF(ISNUMBER(MATCH(DATEVALUE($A37),'recurring1_based on steps'!P$1:P$400,0)),P$2,)</f>
        <v>0</v>
      </c>
      <c r="Q37" s="179">
        <f ca="1">IF(ISNUMBER(MATCH(DATEVALUE($A37),'recurring1_based on steps'!Q$1:Q$400,0)),Q$2,)</f>
        <v>0</v>
      </c>
      <c r="R37" s="179">
        <f ca="1">IF(ISNUMBER(MATCH(DATEVALUE($A37),'recurring1_based on steps'!R$1:R$400,0)),R$2,)</f>
        <v>0</v>
      </c>
      <c r="S37" s="179">
        <f ca="1">IF(ISNUMBER(MATCH(DATEVALUE($A37),'recurring1_based on steps'!S$1:S$400,0)),S$2,)</f>
        <v>0</v>
      </c>
      <c r="T37" s="179">
        <f ca="1">IF(ISNUMBER(MATCH(DATEVALUE($A37),'recurring1_based on steps'!T$1:T$400,0)),T$2,)</f>
        <v>0</v>
      </c>
      <c r="U37" s="179">
        <f ca="1">IF(ISNUMBER(MATCH(DATEVALUE($A37),'recurring1_based on steps'!U$1:U$400,0)),U$2,)</f>
        <v>0</v>
      </c>
      <c r="V37" s="179">
        <f ca="1">IF(ISNUMBER(MATCH(DATEVALUE($A37),'recurring1_based on steps'!V$1:V$400,0)),V$2,)</f>
        <v>0</v>
      </c>
      <c r="W37" s="179">
        <f ca="1">IF(ISNUMBER(MATCH(DATEVALUE($A37),'recurring1_based on steps'!W$1:W$400,0)),W$2,)</f>
        <v>0</v>
      </c>
      <c r="X37" s="179">
        <f ca="1">IF(ISNUMBER(MATCH(DATEVALUE($A37),'recurring1_based on steps'!X$1:X$400,0)),X$2,)</f>
        <v>0</v>
      </c>
      <c r="Y37" s="179">
        <f ca="1">IF(ISNUMBER(MATCH(DATEVALUE($A37),'recurring1_based on steps'!Y$1:Y$400,0)),Y$2,)</f>
        <v>0</v>
      </c>
      <c r="Z37" s="179">
        <f ca="1">IF(ISNUMBER(MATCH(DATEVALUE($A37),'recurring1_based on steps'!Z$1:Z$400,0)),Z$2,)</f>
        <v>0</v>
      </c>
      <c r="AA37" s="179">
        <f ca="1">IF(ISNUMBER(MATCH(DATEVALUE($A37),'recurring1_based on steps'!AA$1:AA$400,0)),AA$2,)</f>
        <v>0</v>
      </c>
      <c r="AB37" s="179">
        <f ca="1">IF(ISNUMBER(MATCH(DATEVALUE($A37),'recurring1_based on steps'!AB$1:AB$400,0)),AB$2,)</f>
        <v>0</v>
      </c>
      <c r="AC37" s="179">
        <f ca="1">IF(ISNUMBER(MATCH(DATEVALUE($A37),'recurring1_based on steps'!AC$1:AC$400,0)),AC$2,)</f>
        <v>0</v>
      </c>
      <c r="AD37" s="179">
        <f ca="1">IF(ISNUMBER(MATCH(DATEVALUE($A37),'recurring1_based on steps'!AD$1:AD$400,0)),AD$2,)</f>
        <v>0</v>
      </c>
      <c r="AE37" s="179">
        <f ca="1">IF(ISNUMBER(MATCH(DATEVALUE($A37),'recurring1_based on steps'!AE$1:AE$400,0)),AE$2,)</f>
        <v>0</v>
      </c>
      <c r="AF37" s="179">
        <f ca="1">IF(ISNUMBER(MATCH(DATEVALUE($A37),'recurring1_based on steps'!AF$1:AF$400,0)),AF$2,)</f>
        <v>0</v>
      </c>
      <c r="AG37" s="179">
        <f ca="1">IF(ISNUMBER(MATCH(DATEVALUE($A37),'recurring1_based on steps'!AG$1:AG$400,0)),AG$2,)</f>
        <v>0</v>
      </c>
      <c r="AH37" s="179">
        <f ca="1">IF(ISNUMBER(MATCH(DATEVALUE($A37),'recurring1_based on steps'!AH$1:AH$400,0)),AH$2,)</f>
        <v>0</v>
      </c>
      <c r="AI37" s="179">
        <f ca="1">IF(ISNUMBER(MATCH(DATEVALUE($A37),'recurring1_based on steps'!AI$1:AI$400,0)),AI$2,)</f>
        <v>0</v>
      </c>
      <c r="AJ37" s="179">
        <f ca="1">IF(ISNUMBER(MATCH(DATEVALUE($A37),'recurring1_based on steps'!AJ$1:AJ$400,0)),AJ$2,)</f>
        <v>0</v>
      </c>
      <c r="AK37" s="179">
        <f ca="1">IF(ISNUMBER(MATCH(DATEVALUE($A37),'recurring1_based on steps'!AK$1:AK$400,0)),AK$2,)</f>
        <v>0</v>
      </c>
      <c r="AL37" s="179">
        <f ca="1">IF(ISNUMBER(MATCH(DATEVALUE($A37),'recurring1_based on steps'!AL$1:AL$400,0)),AL$2,)</f>
        <v>0</v>
      </c>
      <c r="AM37" s="179">
        <f ca="1">IF(ISNUMBER(MATCH(DATEVALUE($A37),'recurring1_based on steps'!AM$1:AM$400,0)),AM$2,)</f>
        <v>0</v>
      </c>
      <c r="AN37" s="179">
        <f ca="1">IF(ISNUMBER(MATCH(DATEVALUE($A37),'recurring1_based on steps'!AN$1:AN$400,0)),AN$2,)</f>
        <v>0</v>
      </c>
      <c r="AO37" s="179">
        <f ca="1">IF(ISNUMBER(MATCH(DATEVALUE($A37),'recurring1_based on steps'!AO$1:AO$400,0)),AO$2,)</f>
        <v>0</v>
      </c>
      <c r="AP37" s="179">
        <f ca="1">IF(ISNUMBER(MATCH(DATEVALUE($A37),'recurring1_based on steps'!AP$1:AP$400,0)),AP$2,)</f>
        <v>0</v>
      </c>
      <c r="AQ37" s="179">
        <f ca="1">IF(ISNUMBER(MATCH(DATEVALUE($A37),'recurring1_based on steps'!AQ$1:AQ$400,0)),AQ$2,)</f>
        <v>0</v>
      </c>
      <c r="AR37" s="179">
        <f ca="1">IF(ISNUMBER(MATCH(DATEVALUE($A37),'recurring1_based on steps'!AR$1:AR$400,0)),AR$2,)</f>
        <v>0</v>
      </c>
      <c r="AS37" s="179">
        <f ca="1">IF(ISNUMBER(MATCH(DATEVALUE($A37),'recurring1_based on steps'!AS$1:AS$400,0)),AS$2,)</f>
        <v>0</v>
      </c>
      <c r="AT37" s="179">
        <f ca="1">IF(ISNUMBER(MATCH(DATEVALUE($A37),'recurring1_based on steps'!AT$1:AT$400,0)),AT$2,)</f>
        <v>0</v>
      </c>
      <c r="AU37" s="179">
        <f ca="1">IF(ISNUMBER(MATCH(DATEVALUE($A37),'recurring1_based on steps'!AU$1:AU$400,0)),AU$2,)</f>
        <v>0</v>
      </c>
      <c r="AV37" s="179">
        <f ca="1">IF(ISNUMBER(MATCH(DATEVALUE($A37),'recurring1_based on steps'!AV$1:AV$400,0)),AV$2,)</f>
        <v>0</v>
      </c>
      <c r="AW37" s="179">
        <f ca="1">IF(ISNUMBER(MATCH(DATEVALUE($A37),'recurring1_based on steps'!AW$1:AW$400,0)),AW$2,)</f>
        <v>0</v>
      </c>
      <c r="AX37" s="179">
        <f ca="1">IF(ISNUMBER(MATCH(DATEVALUE($A37),'recurring1_based on steps'!AX$1:AX$400,0)),AX$2,)</f>
        <v>0</v>
      </c>
      <c r="AY37" s="179">
        <f ca="1">IF(ISNUMBER(MATCH(DATEVALUE($A37),'recurring1_based on steps'!AY$1:AY$400,0)),AY$2,)</f>
        <v>0</v>
      </c>
    </row>
    <row r="38" spans="1:51" x14ac:dyDescent="0.2">
      <c r="A38" s="32" t="str">
        <f t="shared" ca="1" si="0"/>
        <v>2025-05-03</v>
      </c>
      <c r="B38" s="179">
        <f ca="1">IF(ISNUMBER(MATCH(DATEVALUE($A38),'recurring1_based on steps'!B$1:B$400,0)),B$2,)</f>
        <v>0</v>
      </c>
      <c r="C38" s="179">
        <f ca="1">IF(ISNUMBER(MATCH(DATEVALUE($A38),'recurring1_based on steps'!C$1:C$400,0)),C$2,)</f>
        <v>0</v>
      </c>
      <c r="D38" s="179">
        <f ca="1">IF(ISNUMBER(MATCH(DATEVALUE($A38),'recurring1_based on steps'!D$1:D$400,0)),D$2,)</f>
        <v>0</v>
      </c>
      <c r="E38" s="179">
        <f ca="1">IF(ISNUMBER(MATCH(DATEVALUE($A38),'recurring1_based on steps'!E$1:E$400,0)),E$2,)</f>
        <v>0</v>
      </c>
      <c r="F38" s="179">
        <f ca="1">IF(ISNUMBER(MATCH(DATEVALUE($A38),'recurring1_based on steps'!F$1:F$400,0)),F$2,)</f>
        <v>0</v>
      </c>
      <c r="G38" s="179">
        <f ca="1">IF(ISNUMBER(MATCH(DATEVALUE($A38),'recurring1_based on steps'!G$1:G$400,0)),G$2,)</f>
        <v>0</v>
      </c>
      <c r="H38" s="179">
        <f ca="1">IF(ISNUMBER(MATCH(DATEVALUE($A38),'recurring1_based on steps'!H$1:H$400,0)),H$2,)</f>
        <v>0</v>
      </c>
      <c r="I38" s="179">
        <f ca="1">IF(ISNUMBER(MATCH(DATEVALUE($A38),'recurring1_based on steps'!I$1:I$400,0)),I$2,)</f>
        <v>0</v>
      </c>
      <c r="J38" s="179">
        <f ca="1">IF(ISNUMBER(MATCH(DATEVALUE($A38),'recurring1_based on steps'!J$1:J$400,0)),J$2,)</f>
        <v>0</v>
      </c>
      <c r="K38" s="179">
        <f ca="1">IF(ISNUMBER(MATCH(DATEVALUE($A38),'recurring1_based on steps'!K$1:K$400,0)),K$2,)</f>
        <v>0</v>
      </c>
      <c r="L38" s="179">
        <f ca="1">IF(ISNUMBER(MATCH(DATEVALUE($A38),'recurring1_based on steps'!L$1:L$400,0)),L$2,)</f>
        <v>0</v>
      </c>
      <c r="M38" s="179">
        <f ca="1">IF(ISNUMBER(MATCH(DATEVALUE($A38),'recurring1_based on steps'!M$1:M$400,0)),M$2,)</f>
        <v>0</v>
      </c>
      <c r="N38" s="179">
        <f ca="1">IF(ISNUMBER(MATCH(DATEVALUE($A38),'recurring1_based on steps'!N$1:N$400,0)),N$2,)</f>
        <v>0</v>
      </c>
      <c r="O38" s="179">
        <f ca="1">IF(ISNUMBER(MATCH(DATEVALUE($A38),'recurring1_based on steps'!O$1:O$400,0)),O$2,)</f>
        <v>0</v>
      </c>
      <c r="P38" s="179">
        <f ca="1">IF(ISNUMBER(MATCH(DATEVALUE($A38),'recurring1_based on steps'!P$1:P$400,0)),P$2,)</f>
        <v>0</v>
      </c>
      <c r="Q38" s="179">
        <f ca="1">IF(ISNUMBER(MATCH(DATEVALUE($A38),'recurring1_based on steps'!Q$1:Q$400,0)),Q$2,)</f>
        <v>0</v>
      </c>
      <c r="R38" s="179">
        <f ca="1">IF(ISNUMBER(MATCH(DATEVALUE($A38),'recurring1_based on steps'!R$1:R$400,0)),R$2,)</f>
        <v>0</v>
      </c>
      <c r="S38" s="179">
        <f ca="1">IF(ISNUMBER(MATCH(DATEVALUE($A38),'recurring1_based on steps'!S$1:S$400,0)),S$2,)</f>
        <v>0</v>
      </c>
      <c r="T38" s="179">
        <f ca="1">IF(ISNUMBER(MATCH(DATEVALUE($A38),'recurring1_based on steps'!T$1:T$400,0)),T$2,)</f>
        <v>0</v>
      </c>
      <c r="U38" s="179">
        <f ca="1">IF(ISNUMBER(MATCH(DATEVALUE($A38),'recurring1_based on steps'!U$1:U$400,0)),U$2,)</f>
        <v>0</v>
      </c>
      <c r="V38" s="179">
        <f ca="1">IF(ISNUMBER(MATCH(DATEVALUE($A38),'recurring1_based on steps'!V$1:V$400,0)),V$2,)</f>
        <v>0</v>
      </c>
      <c r="W38" s="179">
        <f ca="1">IF(ISNUMBER(MATCH(DATEVALUE($A38),'recurring1_based on steps'!W$1:W$400,0)),W$2,)</f>
        <v>0</v>
      </c>
      <c r="X38" s="179">
        <f ca="1">IF(ISNUMBER(MATCH(DATEVALUE($A38),'recurring1_based on steps'!X$1:X$400,0)),X$2,)</f>
        <v>0</v>
      </c>
      <c r="Y38" s="179">
        <f ca="1">IF(ISNUMBER(MATCH(DATEVALUE($A38),'recurring1_based on steps'!Y$1:Y$400,0)),Y$2,)</f>
        <v>0</v>
      </c>
      <c r="Z38" s="179">
        <f ca="1">IF(ISNUMBER(MATCH(DATEVALUE($A38),'recurring1_based on steps'!Z$1:Z$400,0)),Z$2,)</f>
        <v>0</v>
      </c>
      <c r="AA38" s="179">
        <f ca="1">IF(ISNUMBER(MATCH(DATEVALUE($A38),'recurring1_based on steps'!AA$1:AA$400,0)),AA$2,)</f>
        <v>0</v>
      </c>
      <c r="AB38" s="179">
        <f ca="1">IF(ISNUMBER(MATCH(DATEVALUE($A38),'recurring1_based on steps'!AB$1:AB$400,0)),AB$2,)</f>
        <v>0</v>
      </c>
      <c r="AC38" s="179">
        <f ca="1">IF(ISNUMBER(MATCH(DATEVALUE($A38),'recurring1_based on steps'!AC$1:AC$400,0)),AC$2,)</f>
        <v>0</v>
      </c>
      <c r="AD38" s="179">
        <f ca="1">IF(ISNUMBER(MATCH(DATEVALUE($A38),'recurring1_based on steps'!AD$1:AD$400,0)),AD$2,)</f>
        <v>0</v>
      </c>
      <c r="AE38" s="179">
        <f ca="1">IF(ISNUMBER(MATCH(DATEVALUE($A38),'recurring1_based on steps'!AE$1:AE$400,0)),AE$2,)</f>
        <v>0</v>
      </c>
      <c r="AF38" s="179">
        <f ca="1">IF(ISNUMBER(MATCH(DATEVALUE($A38),'recurring1_based on steps'!AF$1:AF$400,0)),AF$2,)</f>
        <v>0</v>
      </c>
      <c r="AG38" s="179">
        <f ca="1">IF(ISNUMBER(MATCH(DATEVALUE($A38),'recurring1_based on steps'!AG$1:AG$400,0)),AG$2,)</f>
        <v>0</v>
      </c>
      <c r="AH38" s="179">
        <f ca="1">IF(ISNUMBER(MATCH(DATEVALUE($A38),'recurring1_based on steps'!AH$1:AH$400,0)),AH$2,)</f>
        <v>0</v>
      </c>
      <c r="AI38" s="179">
        <f ca="1">IF(ISNUMBER(MATCH(DATEVALUE($A38),'recurring1_based on steps'!AI$1:AI$400,0)),AI$2,)</f>
        <v>0</v>
      </c>
      <c r="AJ38" s="179">
        <f ca="1">IF(ISNUMBER(MATCH(DATEVALUE($A38),'recurring1_based on steps'!AJ$1:AJ$400,0)),AJ$2,)</f>
        <v>0</v>
      </c>
      <c r="AK38" s="179">
        <f ca="1">IF(ISNUMBER(MATCH(DATEVALUE($A38),'recurring1_based on steps'!AK$1:AK$400,0)),AK$2,)</f>
        <v>0</v>
      </c>
      <c r="AL38" s="179">
        <f ca="1">IF(ISNUMBER(MATCH(DATEVALUE($A38),'recurring1_based on steps'!AL$1:AL$400,0)),AL$2,)</f>
        <v>0</v>
      </c>
      <c r="AM38" s="179">
        <f ca="1">IF(ISNUMBER(MATCH(DATEVALUE($A38),'recurring1_based on steps'!AM$1:AM$400,0)),AM$2,)</f>
        <v>0</v>
      </c>
      <c r="AN38" s="179">
        <f ca="1">IF(ISNUMBER(MATCH(DATEVALUE($A38),'recurring1_based on steps'!AN$1:AN$400,0)),AN$2,)</f>
        <v>0</v>
      </c>
      <c r="AO38" s="179">
        <f ca="1">IF(ISNUMBER(MATCH(DATEVALUE($A38),'recurring1_based on steps'!AO$1:AO$400,0)),AO$2,)</f>
        <v>0</v>
      </c>
      <c r="AP38" s="179">
        <f ca="1">IF(ISNUMBER(MATCH(DATEVALUE($A38),'recurring1_based on steps'!AP$1:AP$400,0)),AP$2,)</f>
        <v>0</v>
      </c>
      <c r="AQ38" s="179">
        <f ca="1">IF(ISNUMBER(MATCH(DATEVALUE($A38),'recurring1_based on steps'!AQ$1:AQ$400,0)),AQ$2,)</f>
        <v>0</v>
      </c>
      <c r="AR38" s="179">
        <f ca="1">IF(ISNUMBER(MATCH(DATEVALUE($A38),'recurring1_based on steps'!AR$1:AR$400,0)),AR$2,)</f>
        <v>0</v>
      </c>
      <c r="AS38" s="179">
        <f ca="1">IF(ISNUMBER(MATCH(DATEVALUE($A38),'recurring1_based on steps'!AS$1:AS$400,0)),AS$2,)</f>
        <v>0</v>
      </c>
      <c r="AT38" s="179">
        <f ca="1">IF(ISNUMBER(MATCH(DATEVALUE($A38),'recurring1_based on steps'!AT$1:AT$400,0)),AT$2,)</f>
        <v>0</v>
      </c>
      <c r="AU38" s="179">
        <f ca="1">IF(ISNUMBER(MATCH(DATEVALUE($A38),'recurring1_based on steps'!AU$1:AU$400,0)),AU$2,)</f>
        <v>0</v>
      </c>
      <c r="AV38" s="179">
        <f ca="1">IF(ISNUMBER(MATCH(DATEVALUE($A38),'recurring1_based on steps'!AV$1:AV$400,0)),AV$2,)</f>
        <v>0</v>
      </c>
      <c r="AW38" s="179">
        <f ca="1">IF(ISNUMBER(MATCH(DATEVALUE($A38),'recurring1_based on steps'!AW$1:AW$400,0)),AW$2,)</f>
        <v>0</v>
      </c>
      <c r="AX38" s="179">
        <f ca="1">IF(ISNUMBER(MATCH(DATEVALUE($A38),'recurring1_based on steps'!AX$1:AX$400,0)),AX$2,)</f>
        <v>0</v>
      </c>
      <c r="AY38" s="179">
        <f ca="1">IF(ISNUMBER(MATCH(DATEVALUE($A38),'recurring1_based on steps'!AY$1:AY$400,0)),AY$2,)</f>
        <v>0</v>
      </c>
    </row>
    <row r="39" spans="1:51" x14ac:dyDescent="0.2">
      <c r="A39" s="32" t="str">
        <f t="shared" ca="1" si="0"/>
        <v>2025-05-04</v>
      </c>
      <c r="B39" s="179">
        <f ca="1">IF(ISNUMBER(MATCH(DATEVALUE($A39),'recurring1_based on steps'!B$1:B$400,0)),B$2,)</f>
        <v>0</v>
      </c>
      <c r="C39" s="179">
        <f ca="1">IF(ISNUMBER(MATCH(DATEVALUE($A39),'recurring1_based on steps'!C$1:C$400,0)),C$2,)</f>
        <v>0</v>
      </c>
      <c r="D39" s="179">
        <f ca="1">IF(ISNUMBER(MATCH(DATEVALUE($A39),'recurring1_based on steps'!D$1:D$400,0)),D$2,)</f>
        <v>0</v>
      </c>
      <c r="E39" s="179">
        <f ca="1">IF(ISNUMBER(MATCH(DATEVALUE($A39),'recurring1_based on steps'!E$1:E$400,0)),E$2,)</f>
        <v>0</v>
      </c>
      <c r="F39" s="179">
        <f ca="1">IF(ISNUMBER(MATCH(DATEVALUE($A39),'recurring1_based on steps'!F$1:F$400,0)),F$2,)</f>
        <v>0</v>
      </c>
      <c r="G39" s="179">
        <f ca="1">IF(ISNUMBER(MATCH(DATEVALUE($A39),'recurring1_based on steps'!G$1:G$400,0)),G$2,)</f>
        <v>0</v>
      </c>
      <c r="H39" s="179">
        <f ca="1">IF(ISNUMBER(MATCH(DATEVALUE($A39),'recurring1_based on steps'!H$1:H$400,0)),H$2,)</f>
        <v>0</v>
      </c>
      <c r="I39" s="179">
        <f ca="1">IF(ISNUMBER(MATCH(DATEVALUE($A39),'recurring1_based on steps'!I$1:I$400,0)),I$2,)</f>
        <v>0</v>
      </c>
      <c r="J39" s="179">
        <f ca="1">IF(ISNUMBER(MATCH(DATEVALUE($A39),'recurring1_based on steps'!J$1:J$400,0)),J$2,)</f>
        <v>0</v>
      </c>
      <c r="K39" s="179">
        <f ca="1">IF(ISNUMBER(MATCH(DATEVALUE($A39),'recurring1_based on steps'!K$1:K$400,0)),K$2,)</f>
        <v>0</v>
      </c>
      <c r="L39" s="179">
        <f ca="1">IF(ISNUMBER(MATCH(DATEVALUE($A39),'recurring1_based on steps'!L$1:L$400,0)),L$2,)</f>
        <v>0</v>
      </c>
      <c r="M39" s="179">
        <f ca="1">IF(ISNUMBER(MATCH(DATEVALUE($A39),'recurring1_based on steps'!M$1:M$400,0)),M$2,)</f>
        <v>0</v>
      </c>
      <c r="N39" s="179">
        <f ca="1">IF(ISNUMBER(MATCH(DATEVALUE($A39),'recurring1_based on steps'!N$1:N$400,0)),N$2,)</f>
        <v>0</v>
      </c>
      <c r="O39" s="179">
        <f ca="1">IF(ISNUMBER(MATCH(DATEVALUE($A39),'recurring1_based on steps'!O$1:O$400,0)),O$2,)</f>
        <v>0</v>
      </c>
      <c r="P39" s="179">
        <f ca="1">IF(ISNUMBER(MATCH(DATEVALUE($A39),'recurring1_based on steps'!P$1:P$400,0)),P$2,)</f>
        <v>0</v>
      </c>
      <c r="Q39" s="179">
        <f ca="1">IF(ISNUMBER(MATCH(DATEVALUE($A39),'recurring1_based on steps'!Q$1:Q$400,0)),Q$2,)</f>
        <v>0</v>
      </c>
      <c r="R39" s="179">
        <f ca="1">IF(ISNUMBER(MATCH(DATEVALUE($A39),'recurring1_based on steps'!R$1:R$400,0)),R$2,)</f>
        <v>0</v>
      </c>
      <c r="S39" s="179">
        <f ca="1">IF(ISNUMBER(MATCH(DATEVALUE($A39),'recurring1_based on steps'!S$1:S$400,0)),S$2,)</f>
        <v>0</v>
      </c>
      <c r="T39" s="179">
        <f ca="1">IF(ISNUMBER(MATCH(DATEVALUE($A39),'recurring1_based on steps'!T$1:T$400,0)),T$2,)</f>
        <v>0</v>
      </c>
      <c r="U39" s="179">
        <f ca="1">IF(ISNUMBER(MATCH(DATEVALUE($A39),'recurring1_based on steps'!U$1:U$400,0)),U$2,)</f>
        <v>0</v>
      </c>
      <c r="V39" s="179">
        <f ca="1">IF(ISNUMBER(MATCH(DATEVALUE($A39),'recurring1_based on steps'!V$1:V$400,0)),V$2,)</f>
        <v>0</v>
      </c>
      <c r="W39" s="179">
        <f ca="1">IF(ISNUMBER(MATCH(DATEVALUE($A39),'recurring1_based on steps'!W$1:W$400,0)),W$2,)</f>
        <v>0</v>
      </c>
      <c r="X39" s="179">
        <f ca="1">IF(ISNUMBER(MATCH(DATEVALUE($A39),'recurring1_based on steps'!X$1:X$400,0)),X$2,)</f>
        <v>0</v>
      </c>
      <c r="Y39" s="179">
        <f ca="1">IF(ISNUMBER(MATCH(DATEVALUE($A39),'recurring1_based on steps'!Y$1:Y$400,0)),Y$2,)</f>
        <v>0</v>
      </c>
      <c r="Z39" s="179">
        <f ca="1">IF(ISNUMBER(MATCH(DATEVALUE($A39),'recurring1_based on steps'!Z$1:Z$400,0)),Z$2,)</f>
        <v>0</v>
      </c>
      <c r="AA39" s="179">
        <f ca="1">IF(ISNUMBER(MATCH(DATEVALUE($A39),'recurring1_based on steps'!AA$1:AA$400,0)),AA$2,)</f>
        <v>0</v>
      </c>
      <c r="AB39" s="179">
        <f ca="1">IF(ISNUMBER(MATCH(DATEVALUE($A39),'recurring1_based on steps'!AB$1:AB$400,0)),AB$2,)</f>
        <v>0</v>
      </c>
      <c r="AC39" s="179">
        <f ca="1">IF(ISNUMBER(MATCH(DATEVALUE($A39),'recurring1_based on steps'!AC$1:AC$400,0)),AC$2,)</f>
        <v>0</v>
      </c>
      <c r="AD39" s="179">
        <f ca="1">IF(ISNUMBER(MATCH(DATEVALUE($A39),'recurring1_based on steps'!AD$1:AD$400,0)),AD$2,)</f>
        <v>0</v>
      </c>
      <c r="AE39" s="179">
        <f ca="1">IF(ISNUMBER(MATCH(DATEVALUE($A39),'recurring1_based on steps'!AE$1:AE$400,0)),AE$2,)</f>
        <v>0</v>
      </c>
      <c r="AF39" s="179">
        <f ca="1">IF(ISNUMBER(MATCH(DATEVALUE($A39),'recurring1_based on steps'!AF$1:AF$400,0)),AF$2,)</f>
        <v>0</v>
      </c>
      <c r="AG39" s="179">
        <f ca="1">IF(ISNUMBER(MATCH(DATEVALUE($A39),'recurring1_based on steps'!AG$1:AG$400,0)),AG$2,)</f>
        <v>0</v>
      </c>
      <c r="AH39" s="179">
        <f ca="1">IF(ISNUMBER(MATCH(DATEVALUE($A39),'recurring1_based on steps'!AH$1:AH$400,0)),AH$2,)</f>
        <v>0</v>
      </c>
      <c r="AI39" s="179">
        <f ca="1">IF(ISNUMBER(MATCH(DATEVALUE($A39),'recurring1_based on steps'!AI$1:AI$400,0)),AI$2,)</f>
        <v>0</v>
      </c>
      <c r="AJ39" s="179">
        <f ca="1">IF(ISNUMBER(MATCH(DATEVALUE($A39),'recurring1_based on steps'!AJ$1:AJ$400,0)),AJ$2,)</f>
        <v>0</v>
      </c>
      <c r="AK39" s="179">
        <f ca="1">IF(ISNUMBER(MATCH(DATEVALUE($A39),'recurring1_based on steps'!AK$1:AK$400,0)),AK$2,)</f>
        <v>0</v>
      </c>
      <c r="AL39" s="179">
        <f ca="1">IF(ISNUMBER(MATCH(DATEVALUE($A39),'recurring1_based on steps'!AL$1:AL$400,0)),AL$2,)</f>
        <v>0</v>
      </c>
      <c r="AM39" s="179">
        <f ca="1">IF(ISNUMBER(MATCH(DATEVALUE($A39),'recurring1_based on steps'!AM$1:AM$400,0)),AM$2,)</f>
        <v>0</v>
      </c>
      <c r="AN39" s="179">
        <f ca="1">IF(ISNUMBER(MATCH(DATEVALUE($A39),'recurring1_based on steps'!AN$1:AN$400,0)),AN$2,)</f>
        <v>0</v>
      </c>
      <c r="AO39" s="179">
        <f ca="1">IF(ISNUMBER(MATCH(DATEVALUE($A39),'recurring1_based on steps'!AO$1:AO$400,0)),AO$2,)</f>
        <v>0</v>
      </c>
      <c r="AP39" s="179">
        <f ca="1">IF(ISNUMBER(MATCH(DATEVALUE($A39),'recurring1_based on steps'!AP$1:AP$400,0)),AP$2,)</f>
        <v>0</v>
      </c>
      <c r="AQ39" s="179">
        <f ca="1">IF(ISNUMBER(MATCH(DATEVALUE($A39),'recurring1_based on steps'!AQ$1:AQ$400,0)),AQ$2,)</f>
        <v>0</v>
      </c>
      <c r="AR39" s="179">
        <f ca="1">IF(ISNUMBER(MATCH(DATEVALUE($A39),'recurring1_based on steps'!AR$1:AR$400,0)),AR$2,)</f>
        <v>0</v>
      </c>
      <c r="AS39" s="179">
        <f ca="1">IF(ISNUMBER(MATCH(DATEVALUE($A39),'recurring1_based on steps'!AS$1:AS$400,0)),AS$2,)</f>
        <v>0</v>
      </c>
      <c r="AT39" s="179">
        <f ca="1">IF(ISNUMBER(MATCH(DATEVALUE($A39),'recurring1_based on steps'!AT$1:AT$400,0)),AT$2,)</f>
        <v>0</v>
      </c>
      <c r="AU39" s="179">
        <f ca="1">IF(ISNUMBER(MATCH(DATEVALUE($A39),'recurring1_based on steps'!AU$1:AU$400,0)),AU$2,)</f>
        <v>0</v>
      </c>
      <c r="AV39" s="179">
        <f ca="1">IF(ISNUMBER(MATCH(DATEVALUE($A39),'recurring1_based on steps'!AV$1:AV$400,0)),AV$2,)</f>
        <v>0</v>
      </c>
      <c r="AW39" s="179">
        <f ca="1">IF(ISNUMBER(MATCH(DATEVALUE($A39),'recurring1_based on steps'!AW$1:AW$400,0)),AW$2,)</f>
        <v>0</v>
      </c>
      <c r="AX39" s="179">
        <f ca="1">IF(ISNUMBER(MATCH(DATEVALUE($A39),'recurring1_based on steps'!AX$1:AX$400,0)),AX$2,)</f>
        <v>0</v>
      </c>
      <c r="AY39" s="179">
        <f ca="1">IF(ISNUMBER(MATCH(DATEVALUE($A39),'recurring1_based on steps'!AY$1:AY$400,0)),AY$2,)</f>
        <v>0</v>
      </c>
    </row>
    <row r="40" spans="1:51" x14ac:dyDescent="0.2">
      <c r="A40" s="32" t="str">
        <f t="shared" ca="1" si="0"/>
        <v>2025-05-05</v>
      </c>
      <c r="B40" s="179">
        <f ca="1">IF(ISNUMBER(MATCH(DATEVALUE($A40),'recurring1_based on steps'!B$1:B$400,0)),B$2,)</f>
        <v>0</v>
      </c>
      <c r="C40" s="179">
        <f ca="1">IF(ISNUMBER(MATCH(DATEVALUE($A40),'recurring1_based on steps'!C$1:C$400,0)),C$2,)</f>
        <v>0</v>
      </c>
      <c r="D40" s="179">
        <f ca="1">IF(ISNUMBER(MATCH(DATEVALUE($A40),'recurring1_based on steps'!D$1:D$400,0)),D$2,)</f>
        <v>0</v>
      </c>
      <c r="E40" s="179">
        <f ca="1">IF(ISNUMBER(MATCH(DATEVALUE($A40),'recurring1_based on steps'!E$1:E$400,0)),E$2,)</f>
        <v>0</v>
      </c>
      <c r="F40" s="179">
        <f ca="1">IF(ISNUMBER(MATCH(DATEVALUE($A40),'recurring1_based on steps'!F$1:F$400,0)),F$2,)</f>
        <v>0</v>
      </c>
      <c r="G40" s="179">
        <f ca="1">IF(ISNUMBER(MATCH(DATEVALUE($A40),'recurring1_based on steps'!G$1:G$400,0)),G$2,)</f>
        <v>0</v>
      </c>
      <c r="H40" s="179">
        <f ca="1">IF(ISNUMBER(MATCH(DATEVALUE($A40),'recurring1_based on steps'!H$1:H$400,0)),H$2,)</f>
        <v>0</v>
      </c>
      <c r="I40" s="179">
        <f ca="1">IF(ISNUMBER(MATCH(DATEVALUE($A40),'recurring1_based on steps'!I$1:I$400,0)),I$2,)</f>
        <v>0</v>
      </c>
      <c r="J40" s="179">
        <f ca="1">IF(ISNUMBER(MATCH(DATEVALUE($A40),'recurring1_based on steps'!J$1:J$400,0)),J$2,)</f>
        <v>0</v>
      </c>
      <c r="K40" s="179">
        <f ca="1">IF(ISNUMBER(MATCH(DATEVALUE($A40),'recurring1_based on steps'!K$1:K$400,0)),K$2,)</f>
        <v>0</v>
      </c>
      <c r="L40" s="179">
        <f ca="1">IF(ISNUMBER(MATCH(DATEVALUE($A40),'recurring1_based on steps'!L$1:L$400,0)),L$2,)</f>
        <v>0</v>
      </c>
      <c r="M40" s="179">
        <f ca="1">IF(ISNUMBER(MATCH(DATEVALUE($A40),'recurring1_based on steps'!M$1:M$400,0)),M$2,)</f>
        <v>0</v>
      </c>
      <c r="N40" s="179">
        <f ca="1">IF(ISNUMBER(MATCH(DATEVALUE($A40),'recurring1_based on steps'!N$1:N$400,0)),N$2,)</f>
        <v>0</v>
      </c>
      <c r="O40" s="179">
        <f ca="1">IF(ISNUMBER(MATCH(DATEVALUE($A40),'recurring1_based on steps'!O$1:O$400,0)),O$2,)</f>
        <v>0</v>
      </c>
      <c r="P40" s="179">
        <f ca="1">IF(ISNUMBER(MATCH(DATEVALUE($A40),'recurring1_based on steps'!P$1:P$400,0)),P$2,)</f>
        <v>0</v>
      </c>
      <c r="Q40" s="179">
        <f ca="1">IF(ISNUMBER(MATCH(DATEVALUE($A40),'recurring1_based on steps'!Q$1:Q$400,0)),Q$2,)</f>
        <v>0</v>
      </c>
      <c r="R40" s="179">
        <f ca="1">IF(ISNUMBER(MATCH(DATEVALUE($A40),'recurring1_based on steps'!R$1:R$400,0)),R$2,)</f>
        <v>0</v>
      </c>
      <c r="S40" s="179">
        <f ca="1">IF(ISNUMBER(MATCH(DATEVALUE($A40),'recurring1_based on steps'!S$1:S$400,0)),S$2,)</f>
        <v>0</v>
      </c>
      <c r="T40" s="179">
        <f ca="1">IF(ISNUMBER(MATCH(DATEVALUE($A40),'recurring1_based on steps'!T$1:T$400,0)),T$2,)</f>
        <v>0</v>
      </c>
      <c r="U40" s="179">
        <f ca="1">IF(ISNUMBER(MATCH(DATEVALUE($A40),'recurring1_based on steps'!U$1:U$400,0)),U$2,)</f>
        <v>0</v>
      </c>
      <c r="V40" s="179">
        <f ca="1">IF(ISNUMBER(MATCH(DATEVALUE($A40),'recurring1_based on steps'!V$1:V$400,0)),V$2,)</f>
        <v>0</v>
      </c>
      <c r="W40" s="179">
        <f ca="1">IF(ISNUMBER(MATCH(DATEVALUE($A40),'recurring1_based on steps'!W$1:W$400,0)),W$2,)</f>
        <v>0</v>
      </c>
      <c r="X40" s="179">
        <f ca="1">IF(ISNUMBER(MATCH(DATEVALUE($A40),'recurring1_based on steps'!X$1:X$400,0)),X$2,)</f>
        <v>0</v>
      </c>
      <c r="Y40" s="179">
        <f ca="1">IF(ISNUMBER(MATCH(DATEVALUE($A40),'recurring1_based on steps'!Y$1:Y$400,0)),Y$2,)</f>
        <v>0</v>
      </c>
      <c r="Z40" s="179">
        <f ca="1">IF(ISNUMBER(MATCH(DATEVALUE($A40),'recurring1_based on steps'!Z$1:Z$400,0)),Z$2,)</f>
        <v>0</v>
      </c>
      <c r="AA40" s="179">
        <f ca="1">IF(ISNUMBER(MATCH(DATEVALUE($A40),'recurring1_based on steps'!AA$1:AA$400,0)),AA$2,)</f>
        <v>0</v>
      </c>
      <c r="AB40" s="179">
        <f ca="1">IF(ISNUMBER(MATCH(DATEVALUE($A40),'recurring1_based on steps'!AB$1:AB$400,0)),AB$2,)</f>
        <v>0</v>
      </c>
      <c r="AC40" s="179">
        <f ca="1">IF(ISNUMBER(MATCH(DATEVALUE($A40),'recurring1_based on steps'!AC$1:AC$400,0)),AC$2,)</f>
        <v>0</v>
      </c>
      <c r="AD40" s="179">
        <f ca="1">IF(ISNUMBER(MATCH(DATEVALUE($A40),'recurring1_based on steps'!AD$1:AD$400,0)),AD$2,)</f>
        <v>0</v>
      </c>
      <c r="AE40" s="179">
        <f ca="1">IF(ISNUMBER(MATCH(DATEVALUE($A40),'recurring1_based on steps'!AE$1:AE$400,0)),AE$2,)</f>
        <v>0</v>
      </c>
      <c r="AF40" s="179">
        <f ca="1">IF(ISNUMBER(MATCH(DATEVALUE($A40),'recurring1_based on steps'!AF$1:AF$400,0)),AF$2,)</f>
        <v>0</v>
      </c>
      <c r="AG40" s="179">
        <f ca="1">IF(ISNUMBER(MATCH(DATEVALUE($A40),'recurring1_based on steps'!AG$1:AG$400,0)),AG$2,)</f>
        <v>0</v>
      </c>
      <c r="AH40" s="179">
        <f ca="1">IF(ISNUMBER(MATCH(DATEVALUE($A40),'recurring1_based on steps'!AH$1:AH$400,0)),AH$2,)</f>
        <v>0</v>
      </c>
      <c r="AI40" s="179">
        <f ca="1">IF(ISNUMBER(MATCH(DATEVALUE($A40),'recurring1_based on steps'!AI$1:AI$400,0)),AI$2,)</f>
        <v>0</v>
      </c>
      <c r="AJ40" s="179">
        <f ca="1">IF(ISNUMBER(MATCH(DATEVALUE($A40),'recurring1_based on steps'!AJ$1:AJ$400,0)),AJ$2,)</f>
        <v>0</v>
      </c>
      <c r="AK40" s="179">
        <f ca="1">IF(ISNUMBER(MATCH(DATEVALUE($A40),'recurring1_based on steps'!AK$1:AK$400,0)),AK$2,)</f>
        <v>0</v>
      </c>
      <c r="AL40" s="179">
        <f ca="1">IF(ISNUMBER(MATCH(DATEVALUE($A40),'recurring1_based on steps'!AL$1:AL$400,0)),AL$2,)</f>
        <v>0</v>
      </c>
      <c r="AM40" s="179">
        <f ca="1">IF(ISNUMBER(MATCH(DATEVALUE($A40),'recurring1_based on steps'!AM$1:AM$400,0)),AM$2,)</f>
        <v>0</v>
      </c>
      <c r="AN40" s="179">
        <f ca="1">IF(ISNUMBER(MATCH(DATEVALUE($A40),'recurring1_based on steps'!AN$1:AN$400,0)),AN$2,)</f>
        <v>0</v>
      </c>
      <c r="AO40" s="179">
        <f ca="1">IF(ISNUMBER(MATCH(DATEVALUE($A40),'recurring1_based on steps'!AO$1:AO$400,0)),AO$2,)</f>
        <v>0</v>
      </c>
      <c r="AP40" s="179">
        <f ca="1">IF(ISNUMBER(MATCH(DATEVALUE($A40),'recurring1_based on steps'!AP$1:AP$400,0)),AP$2,)</f>
        <v>0</v>
      </c>
      <c r="AQ40" s="179">
        <f ca="1">IF(ISNUMBER(MATCH(DATEVALUE($A40),'recurring1_based on steps'!AQ$1:AQ$400,0)),AQ$2,)</f>
        <v>0</v>
      </c>
      <c r="AR40" s="179">
        <f ca="1">IF(ISNUMBER(MATCH(DATEVALUE($A40),'recurring1_based on steps'!AR$1:AR$400,0)),AR$2,)</f>
        <v>0</v>
      </c>
      <c r="AS40" s="179">
        <f ca="1">IF(ISNUMBER(MATCH(DATEVALUE($A40),'recurring1_based on steps'!AS$1:AS$400,0)),AS$2,)</f>
        <v>0</v>
      </c>
      <c r="AT40" s="179">
        <f ca="1">IF(ISNUMBER(MATCH(DATEVALUE($A40),'recurring1_based on steps'!AT$1:AT$400,0)),AT$2,)</f>
        <v>0</v>
      </c>
      <c r="AU40" s="179">
        <f ca="1">IF(ISNUMBER(MATCH(DATEVALUE($A40),'recurring1_based on steps'!AU$1:AU$400,0)),AU$2,)</f>
        <v>0</v>
      </c>
      <c r="AV40" s="179">
        <f ca="1">IF(ISNUMBER(MATCH(DATEVALUE($A40),'recurring1_based on steps'!AV$1:AV$400,0)),AV$2,)</f>
        <v>0</v>
      </c>
      <c r="AW40" s="179">
        <f ca="1">IF(ISNUMBER(MATCH(DATEVALUE($A40),'recurring1_based on steps'!AW$1:AW$400,0)),AW$2,)</f>
        <v>0</v>
      </c>
      <c r="AX40" s="179">
        <f ca="1">IF(ISNUMBER(MATCH(DATEVALUE($A40),'recurring1_based on steps'!AX$1:AX$400,0)),AX$2,)</f>
        <v>0</v>
      </c>
      <c r="AY40" s="179">
        <f ca="1">IF(ISNUMBER(MATCH(DATEVALUE($A40),'recurring1_based on steps'!AY$1:AY$400,0)),AY$2,)</f>
        <v>0</v>
      </c>
    </row>
    <row r="41" spans="1:51" x14ac:dyDescent="0.2">
      <c r="A41" s="32" t="str">
        <f t="shared" ca="1" si="0"/>
        <v>2025-05-06</v>
      </c>
      <c r="B41" s="179">
        <f ca="1">IF(ISNUMBER(MATCH(DATEVALUE($A41),'recurring1_based on steps'!B$1:B$400,0)),B$2,)</f>
        <v>0</v>
      </c>
      <c r="C41" s="179">
        <f ca="1">IF(ISNUMBER(MATCH(DATEVALUE($A41),'recurring1_based on steps'!C$1:C$400,0)),C$2,)</f>
        <v>0</v>
      </c>
      <c r="D41" s="179">
        <f ca="1">IF(ISNUMBER(MATCH(DATEVALUE($A41),'recurring1_based on steps'!D$1:D$400,0)),D$2,)</f>
        <v>0</v>
      </c>
      <c r="E41" s="179">
        <f ca="1">IF(ISNUMBER(MATCH(DATEVALUE($A41),'recurring1_based on steps'!E$1:E$400,0)),E$2,)</f>
        <v>0</v>
      </c>
      <c r="F41" s="179">
        <f ca="1">IF(ISNUMBER(MATCH(DATEVALUE($A41),'recurring1_based on steps'!F$1:F$400,0)),F$2,)</f>
        <v>0</v>
      </c>
      <c r="G41" s="179">
        <f ca="1">IF(ISNUMBER(MATCH(DATEVALUE($A41),'recurring1_based on steps'!G$1:G$400,0)),G$2,)</f>
        <v>0</v>
      </c>
      <c r="H41" s="179">
        <f ca="1">IF(ISNUMBER(MATCH(DATEVALUE($A41),'recurring1_based on steps'!H$1:H$400,0)),H$2,)</f>
        <v>0</v>
      </c>
      <c r="I41" s="179">
        <f ca="1">IF(ISNUMBER(MATCH(DATEVALUE($A41),'recurring1_based on steps'!I$1:I$400,0)),I$2,)</f>
        <v>0</v>
      </c>
      <c r="J41" s="179">
        <f ca="1">IF(ISNUMBER(MATCH(DATEVALUE($A41),'recurring1_based on steps'!J$1:J$400,0)),J$2,)</f>
        <v>0</v>
      </c>
      <c r="K41" s="179">
        <f ca="1">IF(ISNUMBER(MATCH(DATEVALUE($A41),'recurring1_based on steps'!K$1:K$400,0)),K$2,)</f>
        <v>0</v>
      </c>
      <c r="L41" s="179">
        <f ca="1">IF(ISNUMBER(MATCH(DATEVALUE($A41),'recurring1_based on steps'!L$1:L$400,0)),L$2,)</f>
        <v>0</v>
      </c>
      <c r="M41" s="179">
        <f ca="1">IF(ISNUMBER(MATCH(DATEVALUE($A41),'recurring1_based on steps'!M$1:M$400,0)),M$2,)</f>
        <v>0</v>
      </c>
      <c r="N41" s="179">
        <f ca="1">IF(ISNUMBER(MATCH(DATEVALUE($A41),'recurring1_based on steps'!N$1:N$400,0)),N$2,)</f>
        <v>0</v>
      </c>
      <c r="O41" s="179">
        <f ca="1">IF(ISNUMBER(MATCH(DATEVALUE($A41),'recurring1_based on steps'!O$1:O$400,0)),O$2,)</f>
        <v>0</v>
      </c>
      <c r="P41" s="179">
        <f ca="1">IF(ISNUMBER(MATCH(DATEVALUE($A41),'recurring1_based on steps'!P$1:P$400,0)),P$2,)</f>
        <v>0</v>
      </c>
      <c r="Q41" s="179">
        <f ca="1">IF(ISNUMBER(MATCH(DATEVALUE($A41),'recurring1_based on steps'!Q$1:Q$400,0)),Q$2,)</f>
        <v>0</v>
      </c>
      <c r="R41" s="179">
        <f ca="1">IF(ISNUMBER(MATCH(DATEVALUE($A41),'recurring1_based on steps'!R$1:R$400,0)),R$2,)</f>
        <v>0</v>
      </c>
      <c r="S41" s="179">
        <f ca="1">IF(ISNUMBER(MATCH(DATEVALUE($A41),'recurring1_based on steps'!S$1:S$400,0)),S$2,)</f>
        <v>0</v>
      </c>
      <c r="T41" s="179">
        <f ca="1">IF(ISNUMBER(MATCH(DATEVALUE($A41),'recurring1_based on steps'!T$1:T$400,0)),T$2,)</f>
        <v>0</v>
      </c>
      <c r="U41" s="179">
        <f ca="1">IF(ISNUMBER(MATCH(DATEVALUE($A41),'recurring1_based on steps'!U$1:U$400,0)),U$2,)</f>
        <v>0</v>
      </c>
      <c r="V41" s="179">
        <f ca="1">IF(ISNUMBER(MATCH(DATEVALUE($A41),'recurring1_based on steps'!V$1:V$400,0)),V$2,)</f>
        <v>0</v>
      </c>
      <c r="W41" s="179">
        <f ca="1">IF(ISNUMBER(MATCH(DATEVALUE($A41),'recurring1_based on steps'!W$1:W$400,0)),W$2,)</f>
        <v>0</v>
      </c>
      <c r="X41" s="179">
        <f ca="1">IF(ISNUMBER(MATCH(DATEVALUE($A41),'recurring1_based on steps'!X$1:X$400,0)),X$2,)</f>
        <v>0</v>
      </c>
      <c r="Y41" s="179">
        <f ca="1">IF(ISNUMBER(MATCH(DATEVALUE($A41),'recurring1_based on steps'!Y$1:Y$400,0)),Y$2,)</f>
        <v>0</v>
      </c>
      <c r="Z41" s="179">
        <f ca="1">IF(ISNUMBER(MATCH(DATEVALUE($A41),'recurring1_based on steps'!Z$1:Z$400,0)),Z$2,)</f>
        <v>0</v>
      </c>
      <c r="AA41" s="179">
        <f ca="1">IF(ISNUMBER(MATCH(DATEVALUE($A41),'recurring1_based on steps'!AA$1:AA$400,0)),AA$2,)</f>
        <v>0</v>
      </c>
      <c r="AB41" s="179">
        <f ca="1">IF(ISNUMBER(MATCH(DATEVALUE($A41),'recurring1_based on steps'!AB$1:AB$400,0)),AB$2,)</f>
        <v>0</v>
      </c>
      <c r="AC41" s="179">
        <f ca="1">IF(ISNUMBER(MATCH(DATEVALUE($A41),'recurring1_based on steps'!AC$1:AC$400,0)),AC$2,)</f>
        <v>0</v>
      </c>
      <c r="AD41" s="179">
        <f ca="1">IF(ISNUMBER(MATCH(DATEVALUE($A41),'recurring1_based on steps'!AD$1:AD$400,0)),AD$2,)</f>
        <v>0</v>
      </c>
      <c r="AE41" s="179">
        <f ca="1">IF(ISNUMBER(MATCH(DATEVALUE($A41),'recurring1_based on steps'!AE$1:AE$400,0)),AE$2,)</f>
        <v>0</v>
      </c>
      <c r="AF41" s="179">
        <f ca="1">IF(ISNUMBER(MATCH(DATEVALUE($A41),'recurring1_based on steps'!AF$1:AF$400,0)),AF$2,)</f>
        <v>0</v>
      </c>
      <c r="AG41" s="179">
        <f ca="1">IF(ISNUMBER(MATCH(DATEVALUE($A41),'recurring1_based on steps'!AG$1:AG$400,0)),AG$2,)</f>
        <v>0</v>
      </c>
      <c r="AH41" s="179">
        <f ca="1">IF(ISNUMBER(MATCH(DATEVALUE($A41),'recurring1_based on steps'!AH$1:AH$400,0)),AH$2,)</f>
        <v>0</v>
      </c>
      <c r="AI41" s="179">
        <f ca="1">IF(ISNUMBER(MATCH(DATEVALUE($A41),'recurring1_based on steps'!AI$1:AI$400,0)),AI$2,)</f>
        <v>0</v>
      </c>
      <c r="AJ41" s="179">
        <f ca="1">IF(ISNUMBER(MATCH(DATEVALUE($A41),'recurring1_based on steps'!AJ$1:AJ$400,0)),AJ$2,)</f>
        <v>0</v>
      </c>
      <c r="AK41" s="179">
        <f ca="1">IF(ISNUMBER(MATCH(DATEVALUE($A41),'recurring1_based on steps'!AK$1:AK$400,0)),AK$2,)</f>
        <v>0</v>
      </c>
      <c r="AL41" s="179">
        <f ca="1">IF(ISNUMBER(MATCH(DATEVALUE($A41),'recurring1_based on steps'!AL$1:AL$400,0)),AL$2,)</f>
        <v>0</v>
      </c>
      <c r="AM41" s="179">
        <f ca="1">IF(ISNUMBER(MATCH(DATEVALUE($A41),'recurring1_based on steps'!AM$1:AM$400,0)),AM$2,)</f>
        <v>0</v>
      </c>
      <c r="AN41" s="179">
        <f ca="1">IF(ISNUMBER(MATCH(DATEVALUE($A41),'recurring1_based on steps'!AN$1:AN$400,0)),AN$2,)</f>
        <v>0</v>
      </c>
      <c r="AO41" s="179">
        <f ca="1">IF(ISNUMBER(MATCH(DATEVALUE($A41),'recurring1_based on steps'!AO$1:AO$400,0)),AO$2,)</f>
        <v>0</v>
      </c>
      <c r="AP41" s="179">
        <f ca="1">IF(ISNUMBER(MATCH(DATEVALUE($A41),'recurring1_based on steps'!AP$1:AP$400,0)),AP$2,)</f>
        <v>0</v>
      </c>
      <c r="AQ41" s="179">
        <f ca="1">IF(ISNUMBER(MATCH(DATEVALUE($A41),'recurring1_based on steps'!AQ$1:AQ$400,0)),AQ$2,)</f>
        <v>0</v>
      </c>
      <c r="AR41" s="179">
        <f ca="1">IF(ISNUMBER(MATCH(DATEVALUE($A41),'recurring1_based on steps'!AR$1:AR$400,0)),AR$2,)</f>
        <v>0</v>
      </c>
      <c r="AS41" s="179">
        <f ca="1">IF(ISNUMBER(MATCH(DATEVALUE($A41),'recurring1_based on steps'!AS$1:AS$400,0)),AS$2,)</f>
        <v>0</v>
      </c>
      <c r="AT41" s="179">
        <f ca="1">IF(ISNUMBER(MATCH(DATEVALUE($A41),'recurring1_based on steps'!AT$1:AT$400,0)),AT$2,)</f>
        <v>0</v>
      </c>
      <c r="AU41" s="179">
        <f ca="1">IF(ISNUMBER(MATCH(DATEVALUE($A41),'recurring1_based on steps'!AU$1:AU$400,0)),AU$2,)</f>
        <v>0</v>
      </c>
      <c r="AV41" s="179">
        <f ca="1">IF(ISNUMBER(MATCH(DATEVALUE($A41),'recurring1_based on steps'!AV$1:AV$400,0)),AV$2,)</f>
        <v>0</v>
      </c>
      <c r="AW41" s="179">
        <f ca="1">IF(ISNUMBER(MATCH(DATEVALUE($A41),'recurring1_based on steps'!AW$1:AW$400,0)),AW$2,)</f>
        <v>0</v>
      </c>
      <c r="AX41" s="179">
        <f ca="1">IF(ISNUMBER(MATCH(DATEVALUE($A41),'recurring1_based on steps'!AX$1:AX$400,0)),AX$2,)</f>
        <v>0</v>
      </c>
      <c r="AY41" s="179">
        <f ca="1">IF(ISNUMBER(MATCH(DATEVALUE($A41),'recurring1_based on steps'!AY$1:AY$400,0)),AY$2,)</f>
        <v>0</v>
      </c>
    </row>
    <row r="42" spans="1:51" x14ac:dyDescent="0.2">
      <c r="A42" s="32" t="str">
        <f t="shared" ca="1" si="0"/>
        <v>2025-05-07</v>
      </c>
      <c r="B42" s="179">
        <f ca="1">IF(ISNUMBER(MATCH(DATEVALUE($A42),'recurring1_based on steps'!B$1:B$400,0)),B$2,)</f>
        <v>0</v>
      </c>
      <c r="C42" s="179">
        <f ca="1">IF(ISNUMBER(MATCH(DATEVALUE($A42),'recurring1_based on steps'!C$1:C$400,0)),C$2,)</f>
        <v>0</v>
      </c>
      <c r="D42" s="179">
        <f ca="1">IF(ISNUMBER(MATCH(DATEVALUE($A42),'recurring1_based on steps'!D$1:D$400,0)),D$2,)</f>
        <v>0</v>
      </c>
      <c r="E42" s="179">
        <f ca="1">IF(ISNUMBER(MATCH(DATEVALUE($A42),'recurring1_based on steps'!E$1:E$400,0)),E$2,)</f>
        <v>0</v>
      </c>
      <c r="F42" s="179">
        <f ca="1">IF(ISNUMBER(MATCH(DATEVALUE($A42),'recurring1_based on steps'!F$1:F$400,0)),F$2,)</f>
        <v>0</v>
      </c>
      <c r="G42" s="179">
        <f ca="1">IF(ISNUMBER(MATCH(DATEVALUE($A42),'recurring1_based on steps'!G$1:G$400,0)),G$2,)</f>
        <v>0</v>
      </c>
      <c r="H42" s="179">
        <f ca="1">IF(ISNUMBER(MATCH(DATEVALUE($A42),'recurring1_based on steps'!H$1:H$400,0)),H$2,)</f>
        <v>0</v>
      </c>
      <c r="I42" s="179">
        <f ca="1">IF(ISNUMBER(MATCH(DATEVALUE($A42),'recurring1_based on steps'!I$1:I$400,0)),I$2,)</f>
        <v>0</v>
      </c>
      <c r="J42" s="179">
        <f ca="1">IF(ISNUMBER(MATCH(DATEVALUE($A42),'recurring1_based on steps'!J$1:J$400,0)),J$2,)</f>
        <v>0</v>
      </c>
      <c r="K42" s="179">
        <f ca="1">IF(ISNUMBER(MATCH(DATEVALUE($A42),'recurring1_based on steps'!K$1:K$400,0)),K$2,)</f>
        <v>0</v>
      </c>
      <c r="L42" s="179">
        <f ca="1">IF(ISNUMBER(MATCH(DATEVALUE($A42),'recurring1_based on steps'!L$1:L$400,0)),L$2,)</f>
        <v>0</v>
      </c>
      <c r="M42" s="179">
        <f ca="1">IF(ISNUMBER(MATCH(DATEVALUE($A42),'recurring1_based on steps'!M$1:M$400,0)),M$2,)</f>
        <v>0</v>
      </c>
      <c r="N42" s="179">
        <f ca="1">IF(ISNUMBER(MATCH(DATEVALUE($A42),'recurring1_based on steps'!N$1:N$400,0)),N$2,)</f>
        <v>0</v>
      </c>
      <c r="O42" s="179">
        <f ca="1">IF(ISNUMBER(MATCH(DATEVALUE($A42),'recurring1_based on steps'!O$1:O$400,0)),O$2,)</f>
        <v>0</v>
      </c>
      <c r="P42" s="179">
        <f ca="1">IF(ISNUMBER(MATCH(DATEVALUE($A42),'recurring1_based on steps'!P$1:P$400,0)),P$2,)</f>
        <v>0</v>
      </c>
      <c r="Q42" s="179">
        <f ca="1">IF(ISNUMBER(MATCH(DATEVALUE($A42),'recurring1_based on steps'!Q$1:Q$400,0)),Q$2,)</f>
        <v>0</v>
      </c>
      <c r="R42" s="179">
        <f ca="1">IF(ISNUMBER(MATCH(DATEVALUE($A42),'recurring1_based on steps'!R$1:R$400,0)),R$2,)</f>
        <v>0</v>
      </c>
      <c r="S42" s="179">
        <f ca="1">IF(ISNUMBER(MATCH(DATEVALUE($A42),'recurring1_based on steps'!S$1:S$400,0)),S$2,)</f>
        <v>0</v>
      </c>
      <c r="T42" s="179">
        <f ca="1">IF(ISNUMBER(MATCH(DATEVALUE($A42),'recurring1_based on steps'!T$1:T$400,0)),T$2,)</f>
        <v>0</v>
      </c>
      <c r="U42" s="179">
        <f ca="1">IF(ISNUMBER(MATCH(DATEVALUE($A42),'recurring1_based on steps'!U$1:U$400,0)),U$2,)</f>
        <v>0</v>
      </c>
      <c r="V42" s="179">
        <f ca="1">IF(ISNUMBER(MATCH(DATEVALUE($A42),'recurring1_based on steps'!V$1:V$400,0)),V$2,)</f>
        <v>0</v>
      </c>
      <c r="W42" s="179">
        <f ca="1">IF(ISNUMBER(MATCH(DATEVALUE($A42),'recurring1_based on steps'!W$1:W$400,0)),W$2,)</f>
        <v>0</v>
      </c>
      <c r="X42" s="179">
        <f ca="1">IF(ISNUMBER(MATCH(DATEVALUE($A42),'recurring1_based on steps'!X$1:X$400,0)),X$2,)</f>
        <v>0</v>
      </c>
      <c r="Y42" s="179">
        <f ca="1">IF(ISNUMBER(MATCH(DATEVALUE($A42),'recurring1_based on steps'!Y$1:Y$400,0)),Y$2,)</f>
        <v>0</v>
      </c>
      <c r="Z42" s="179">
        <f ca="1">IF(ISNUMBER(MATCH(DATEVALUE($A42),'recurring1_based on steps'!Z$1:Z$400,0)),Z$2,)</f>
        <v>0</v>
      </c>
      <c r="AA42" s="179">
        <f ca="1">IF(ISNUMBER(MATCH(DATEVALUE($A42),'recurring1_based on steps'!AA$1:AA$400,0)),AA$2,)</f>
        <v>0</v>
      </c>
      <c r="AB42" s="179">
        <f ca="1">IF(ISNUMBER(MATCH(DATEVALUE($A42),'recurring1_based on steps'!AB$1:AB$400,0)),AB$2,)</f>
        <v>0</v>
      </c>
      <c r="AC42" s="179">
        <f ca="1">IF(ISNUMBER(MATCH(DATEVALUE($A42),'recurring1_based on steps'!AC$1:AC$400,0)),AC$2,)</f>
        <v>0</v>
      </c>
      <c r="AD42" s="179">
        <f ca="1">IF(ISNUMBER(MATCH(DATEVALUE($A42),'recurring1_based on steps'!AD$1:AD$400,0)),AD$2,)</f>
        <v>0</v>
      </c>
      <c r="AE42" s="179">
        <f ca="1">IF(ISNUMBER(MATCH(DATEVALUE($A42),'recurring1_based on steps'!AE$1:AE$400,0)),AE$2,)</f>
        <v>0</v>
      </c>
      <c r="AF42" s="179">
        <f ca="1">IF(ISNUMBER(MATCH(DATEVALUE($A42),'recurring1_based on steps'!AF$1:AF$400,0)),AF$2,)</f>
        <v>0</v>
      </c>
      <c r="AG42" s="179">
        <f ca="1">IF(ISNUMBER(MATCH(DATEVALUE($A42),'recurring1_based on steps'!AG$1:AG$400,0)),AG$2,)</f>
        <v>0</v>
      </c>
      <c r="AH42" s="179">
        <f ca="1">IF(ISNUMBER(MATCH(DATEVALUE($A42),'recurring1_based on steps'!AH$1:AH$400,0)),AH$2,)</f>
        <v>0</v>
      </c>
      <c r="AI42" s="179">
        <f ca="1">IF(ISNUMBER(MATCH(DATEVALUE($A42),'recurring1_based on steps'!AI$1:AI$400,0)),AI$2,)</f>
        <v>0</v>
      </c>
      <c r="AJ42" s="179">
        <f ca="1">IF(ISNUMBER(MATCH(DATEVALUE($A42),'recurring1_based on steps'!AJ$1:AJ$400,0)),AJ$2,)</f>
        <v>0</v>
      </c>
      <c r="AK42" s="179">
        <f ca="1">IF(ISNUMBER(MATCH(DATEVALUE($A42),'recurring1_based on steps'!AK$1:AK$400,0)),AK$2,)</f>
        <v>0</v>
      </c>
      <c r="AL42" s="179">
        <f ca="1">IF(ISNUMBER(MATCH(DATEVALUE($A42),'recurring1_based on steps'!AL$1:AL$400,0)),AL$2,)</f>
        <v>0</v>
      </c>
      <c r="AM42" s="179">
        <f ca="1">IF(ISNUMBER(MATCH(DATEVALUE($A42),'recurring1_based on steps'!AM$1:AM$400,0)),AM$2,)</f>
        <v>0</v>
      </c>
      <c r="AN42" s="179">
        <f ca="1">IF(ISNUMBER(MATCH(DATEVALUE($A42),'recurring1_based on steps'!AN$1:AN$400,0)),AN$2,)</f>
        <v>0</v>
      </c>
      <c r="AO42" s="179">
        <f ca="1">IF(ISNUMBER(MATCH(DATEVALUE($A42),'recurring1_based on steps'!AO$1:AO$400,0)),AO$2,)</f>
        <v>0</v>
      </c>
      <c r="AP42" s="179">
        <f ca="1">IF(ISNUMBER(MATCH(DATEVALUE($A42),'recurring1_based on steps'!AP$1:AP$400,0)),AP$2,)</f>
        <v>0</v>
      </c>
      <c r="AQ42" s="179">
        <f ca="1">IF(ISNUMBER(MATCH(DATEVALUE($A42),'recurring1_based on steps'!AQ$1:AQ$400,0)),AQ$2,)</f>
        <v>0</v>
      </c>
      <c r="AR42" s="179">
        <f ca="1">IF(ISNUMBER(MATCH(DATEVALUE($A42),'recurring1_based on steps'!AR$1:AR$400,0)),AR$2,)</f>
        <v>0</v>
      </c>
      <c r="AS42" s="179">
        <f ca="1">IF(ISNUMBER(MATCH(DATEVALUE($A42),'recurring1_based on steps'!AS$1:AS$400,0)),AS$2,)</f>
        <v>0</v>
      </c>
      <c r="AT42" s="179">
        <f ca="1">IF(ISNUMBER(MATCH(DATEVALUE($A42),'recurring1_based on steps'!AT$1:AT$400,0)),AT$2,)</f>
        <v>0</v>
      </c>
      <c r="AU42" s="179">
        <f ca="1">IF(ISNUMBER(MATCH(DATEVALUE($A42),'recurring1_based on steps'!AU$1:AU$400,0)),AU$2,)</f>
        <v>0</v>
      </c>
      <c r="AV42" s="179">
        <f ca="1">IF(ISNUMBER(MATCH(DATEVALUE($A42),'recurring1_based on steps'!AV$1:AV$400,0)),AV$2,)</f>
        <v>0</v>
      </c>
      <c r="AW42" s="179">
        <f ca="1">IF(ISNUMBER(MATCH(DATEVALUE($A42),'recurring1_based on steps'!AW$1:AW$400,0)),AW$2,)</f>
        <v>0</v>
      </c>
      <c r="AX42" s="179">
        <f ca="1">IF(ISNUMBER(MATCH(DATEVALUE($A42),'recurring1_based on steps'!AX$1:AX$400,0)),AX$2,)</f>
        <v>0</v>
      </c>
      <c r="AY42" s="179">
        <f ca="1">IF(ISNUMBER(MATCH(DATEVALUE($A42),'recurring1_based on steps'!AY$1:AY$400,0)),AY$2,)</f>
        <v>0</v>
      </c>
    </row>
    <row r="43" spans="1:51" x14ac:dyDescent="0.2">
      <c r="A43" s="32" t="str">
        <f t="shared" ca="1" si="0"/>
        <v>2025-05-08</v>
      </c>
      <c r="B43" s="179">
        <f ca="1">IF(ISNUMBER(MATCH(DATEVALUE($A43),'recurring1_based on steps'!B$1:B$400,0)),B$2,)</f>
        <v>0</v>
      </c>
      <c r="C43" s="179">
        <f ca="1">IF(ISNUMBER(MATCH(DATEVALUE($A43),'recurring1_based on steps'!C$1:C$400,0)),C$2,)</f>
        <v>0</v>
      </c>
      <c r="D43" s="179">
        <f ca="1">IF(ISNUMBER(MATCH(DATEVALUE($A43),'recurring1_based on steps'!D$1:D$400,0)),D$2,)</f>
        <v>0</v>
      </c>
      <c r="E43" s="179">
        <f ca="1">IF(ISNUMBER(MATCH(DATEVALUE($A43),'recurring1_based on steps'!E$1:E$400,0)),E$2,)</f>
        <v>0</v>
      </c>
      <c r="F43" s="179">
        <f ca="1">IF(ISNUMBER(MATCH(DATEVALUE($A43),'recurring1_based on steps'!F$1:F$400,0)),F$2,)</f>
        <v>0</v>
      </c>
      <c r="G43" s="179">
        <f ca="1">IF(ISNUMBER(MATCH(DATEVALUE($A43),'recurring1_based on steps'!G$1:G$400,0)),G$2,)</f>
        <v>0</v>
      </c>
      <c r="H43" s="179">
        <f ca="1">IF(ISNUMBER(MATCH(DATEVALUE($A43),'recurring1_based on steps'!H$1:H$400,0)),H$2,)</f>
        <v>0</v>
      </c>
      <c r="I43" s="179">
        <f ca="1">IF(ISNUMBER(MATCH(DATEVALUE($A43),'recurring1_based on steps'!I$1:I$400,0)),I$2,)</f>
        <v>0</v>
      </c>
      <c r="J43" s="179">
        <f ca="1">IF(ISNUMBER(MATCH(DATEVALUE($A43),'recurring1_based on steps'!J$1:J$400,0)),J$2,)</f>
        <v>0</v>
      </c>
      <c r="K43" s="179">
        <f ca="1">IF(ISNUMBER(MATCH(DATEVALUE($A43),'recurring1_based on steps'!K$1:K$400,0)),K$2,)</f>
        <v>0</v>
      </c>
      <c r="L43" s="179">
        <f ca="1">IF(ISNUMBER(MATCH(DATEVALUE($A43),'recurring1_based on steps'!L$1:L$400,0)),L$2,)</f>
        <v>0</v>
      </c>
      <c r="M43" s="179">
        <f ca="1">IF(ISNUMBER(MATCH(DATEVALUE($A43),'recurring1_based on steps'!M$1:M$400,0)),M$2,)</f>
        <v>0</v>
      </c>
      <c r="N43" s="179">
        <f ca="1">IF(ISNUMBER(MATCH(DATEVALUE($A43),'recurring1_based on steps'!N$1:N$400,0)),N$2,)</f>
        <v>0</v>
      </c>
      <c r="O43" s="179">
        <f ca="1">IF(ISNUMBER(MATCH(DATEVALUE($A43),'recurring1_based on steps'!O$1:O$400,0)),O$2,)</f>
        <v>0</v>
      </c>
      <c r="P43" s="179">
        <f ca="1">IF(ISNUMBER(MATCH(DATEVALUE($A43),'recurring1_based on steps'!P$1:P$400,0)),P$2,)</f>
        <v>0</v>
      </c>
      <c r="Q43" s="179">
        <f ca="1">IF(ISNUMBER(MATCH(DATEVALUE($A43),'recurring1_based on steps'!Q$1:Q$400,0)),Q$2,)</f>
        <v>0</v>
      </c>
      <c r="R43" s="179">
        <f ca="1">IF(ISNUMBER(MATCH(DATEVALUE($A43),'recurring1_based on steps'!R$1:R$400,0)),R$2,)</f>
        <v>0</v>
      </c>
      <c r="S43" s="179">
        <f ca="1">IF(ISNUMBER(MATCH(DATEVALUE($A43),'recurring1_based on steps'!S$1:S$400,0)),S$2,)</f>
        <v>0</v>
      </c>
      <c r="T43" s="179">
        <f ca="1">IF(ISNUMBER(MATCH(DATEVALUE($A43),'recurring1_based on steps'!T$1:T$400,0)),T$2,)</f>
        <v>0</v>
      </c>
      <c r="U43" s="179">
        <f ca="1">IF(ISNUMBER(MATCH(DATEVALUE($A43),'recurring1_based on steps'!U$1:U$400,0)),U$2,)</f>
        <v>0</v>
      </c>
      <c r="V43" s="179">
        <f ca="1">IF(ISNUMBER(MATCH(DATEVALUE($A43),'recurring1_based on steps'!V$1:V$400,0)),V$2,)</f>
        <v>0</v>
      </c>
      <c r="W43" s="179">
        <f ca="1">IF(ISNUMBER(MATCH(DATEVALUE($A43),'recurring1_based on steps'!W$1:W$400,0)),W$2,)</f>
        <v>0</v>
      </c>
      <c r="X43" s="179">
        <f ca="1">IF(ISNUMBER(MATCH(DATEVALUE($A43),'recurring1_based on steps'!X$1:X$400,0)),X$2,)</f>
        <v>0</v>
      </c>
      <c r="Y43" s="179">
        <f ca="1">IF(ISNUMBER(MATCH(DATEVALUE($A43),'recurring1_based on steps'!Y$1:Y$400,0)),Y$2,)</f>
        <v>0</v>
      </c>
      <c r="Z43" s="179">
        <f ca="1">IF(ISNUMBER(MATCH(DATEVALUE($A43),'recurring1_based on steps'!Z$1:Z$400,0)),Z$2,)</f>
        <v>0</v>
      </c>
      <c r="AA43" s="179">
        <f ca="1">IF(ISNUMBER(MATCH(DATEVALUE($A43),'recurring1_based on steps'!AA$1:AA$400,0)),AA$2,)</f>
        <v>0</v>
      </c>
      <c r="AB43" s="179">
        <f ca="1">IF(ISNUMBER(MATCH(DATEVALUE($A43),'recurring1_based on steps'!AB$1:AB$400,0)),AB$2,)</f>
        <v>0</v>
      </c>
      <c r="AC43" s="179">
        <f ca="1">IF(ISNUMBER(MATCH(DATEVALUE($A43),'recurring1_based on steps'!AC$1:AC$400,0)),AC$2,)</f>
        <v>0</v>
      </c>
      <c r="AD43" s="179">
        <f ca="1">IF(ISNUMBER(MATCH(DATEVALUE($A43),'recurring1_based on steps'!AD$1:AD$400,0)),AD$2,)</f>
        <v>0</v>
      </c>
      <c r="AE43" s="179">
        <f ca="1">IF(ISNUMBER(MATCH(DATEVALUE($A43),'recurring1_based on steps'!AE$1:AE$400,0)),AE$2,)</f>
        <v>0</v>
      </c>
      <c r="AF43" s="179">
        <f ca="1">IF(ISNUMBER(MATCH(DATEVALUE($A43),'recurring1_based on steps'!AF$1:AF$400,0)),AF$2,)</f>
        <v>0</v>
      </c>
      <c r="AG43" s="179">
        <f ca="1">IF(ISNUMBER(MATCH(DATEVALUE($A43),'recurring1_based on steps'!AG$1:AG$400,0)),AG$2,)</f>
        <v>0</v>
      </c>
      <c r="AH43" s="179">
        <f ca="1">IF(ISNUMBER(MATCH(DATEVALUE($A43),'recurring1_based on steps'!AH$1:AH$400,0)),AH$2,)</f>
        <v>0</v>
      </c>
      <c r="AI43" s="179">
        <f ca="1">IF(ISNUMBER(MATCH(DATEVALUE($A43),'recurring1_based on steps'!AI$1:AI$400,0)),AI$2,)</f>
        <v>0</v>
      </c>
      <c r="AJ43" s="179">
        <f ca="1">IF(ISNUMBER(MATCH(DATEVALUE($A43),'recurring1_based on steps'!AJ$1:AJ$400,0)),AJ$2,)</f>
        <v>0</v>
      </c>
      <c r="AK43" s="179">
        <f ca="1">IF(ISNUMBER(MATCH(DATEVALUE($A43),'recurring1_based on steps'!AK$1:AK$400,0)),AK$2,)</f>
        <v>0</v>
      </c>
      <c r="AL43" s="179">
        <f ca="1">IF(ISNUMBER(MATCH(DATEVALUE($A43),'recurring1_based on steps'!AL$1:AL$400,0)),AL$2,)</f>
        <v>0</v>
      </c>
      <c r="AM43" s="179">
        <f ca="1">IF(ISNUMBER(MATCH(DATEVALUE($A43),'recurring1_based on steps'!AM$1:AM$400,0)),AM$2,)</f>
        <v>0</v>
      </c>
      <c r="AN43" s="179">
        <f ca="1">IF(ISNUMBER(MATCH(DATEVALUE($A43),'recurring1_based on steps'!AN$1:AN$400,0)),AN$2,)</f>
        <v>0</v>
      </c>
      <c r="AO43" s="179">
        <f ca="1">IF(ISNUMBER(MATCH(DATEVALUE($A43),'recurring1_based on steps'!AO$1:AO$400,0)),AO$2,)</f>
        <v>0</v>
      </c>
      <c r="AP43" s="179">
        <f ca="1">IF(ISNUMBER(MATCH(DATEVALUE($A43),'recurring1_based on steps'!AP$1:AP$400,0)),AP$2,)</f>
        <v>0</v>
      </c>
      <c r="AQ43" s="179">
        <f ca="1">IF(ISNUMBER(MATCH(DATEVALUE($A43),'recurring1_based on steps'!AQ$1:AQ$400,0)),AQ$2,)</f>
        <v>0</v>
      </c>
      <c r="AR43" s="179">
        <f ca="1">IF(ISNUMBER(MATCH(DATEVALUE($A43),'recurring1_based on steps'!AR$1:AR$400,0)),AR$2,)</f>
        <v>0</v>
      </c>
      <c r="AS43" s="179">
        <f ca="1">IF(ISNUMBER(MATCH(DATEVALUE($A43),'recurring1_based on steps'!AS$1:AS$400,0)),AS$2,)</f>
        <v>0</v>
      </c>
      <c r="AT43" s="179">
        <f ca="1">IF(ISNUMBER(MATCH(DATEVALUE($A43),'recurring1_based on steps'!AT$1:AT$400,0)),AT$2,)</f>
        <v>0</v>
      </c>
      <c r="AU43" s="179">
        <f ca="1">IF(ISNUMBER(MATCH(DATEVALUE($A43),'recurring1_based on steps'!AU$1:AU$400,0)),AU$2,)</f>
        <v>0</v>
      </c>
      <c r="AV43" s="179">
        <f ca="1">IF(ISNUMBER(MATCH(DATEVALUE($A43),'recurring1_based on steps'!AV$1:AV$400,0)),AV$2,)</f>
        <v>0</v>
      </c>
      <c r="AW43" s="179">
        <f ca="1">IF(ISNUMBER(MATCH(DATEVALUE($A43),'recurring1_based on steps'!AW$1:AW$400,0)),AW$2,)</f>
        <v>0</v>
      </c>
      <c r="AX43" s="179">
        <f ca="1">IF(ISNUMBER(MATCH(DATEVALUE($A43),'recurring1_based on steps'!AX$1:AX$400,0)),AX$2,)</f>
        <v>0</v>
      </c>
      <c r="AY43" s="179">
        <f ca="1">IF(ISNUMBER(MATCH(DATEVALUE($A43),'recurring1_based on steps'!AY$1:AY$400,0)),AY$2,)</f>
        <v>0</v>
      </c>
    </row>
    <row r="44" spans="1:51" x14ac:dyDescent="0.2">
      <c r="A44" s="32" t="str">
        <f t="shared" ca="1" si="0"/>
        <v>2025-05-09</v>
      </c>
      <c r="B44" s="179">
        <f ca="1">IF(ISNUMBER(MATCH(DATEVALUE($A44),'recurring1_based on steps'!B$1:B$400,0)),B$2,)</f>
        <v>0</v>
      </c>
      <c r="C44" s="179">
        <f ca="1">IF(ISNUMBER(MATCH(DATEVALUE($A44),'recurring1_based on steps'!C$1:C$400,0)),C$2,)</f>
        <v>0</v>
      </c>
      <c r="D44" s="179">
        <f ca="1">IF(ISNUMBER(MATCH(DATEVALUE($A44),'recurring1_based on steps'!D$1:D$400,0)),D$2,)</f>
        <v>0</v>
      </c>
      <c r="E44" s="179">
        <f ca="1">IF(ISNUMBER(MATCH(DATEVALUE($A44),'recurring1_based on steps'!E$1:E$400,0)),E$2,)</f>
        <v>0</v>
      </c>
      <c r="F44" s="179">
        <f ca="1">IF(ISNUMBER(MATCH(DATEVALUE($A44),'recurring1_based on steps'!F$1:F$400,0)),F$2,)</f>
        <v>0</v>
      </c>
      <c r="G44" s="179">
        <f ca="1">IF(ISNUMBER(MATCH(DATEVALUE($A44),'recurring1_based on steps'!G$1:G$400,0)),G$2,)</f>
        <v>0</v>
      </c>
      <c r="H44" s="179">
        <f ca="1">IF(ISNUMBER(MATCH(DATEVALUE($A44),'recurring1_based on steps'!H$1:H$400,0)),H$2,)</f>
        <v>0</v>
      </c>
      <c r="I44" s="179">
        <f ca="1">IF(ISNUMBER(MATCH(DATEVALUE($A44),'recurring1_based on steps'!I$1:I$400,0)),I$2,)</f>
        <v>0</v>
      </c>
      <c r="J44" s="179">
        <f ca="1">IF(ISNUMBER(MATCH(DATEVALUE($A44),'recurring1_based on steps'!J$1:J$400,0)),J$2,)</f>
        <v>0</v>
      </c>
      <c r="K44" s="179">
        <f ca="1">IF(ISNUMBER(MATCH(DATEVALUE($A44),'recurring1_based on steps'!K$1:K$400,0)),K$2,)</f>
        <v>0</v>
      </c>
      <c r="L44" s="179">
        <f ca="1">IF(ISNUMBER(MATCH(DATEVALUE($A44),'recurring1_based on steps'!L$1:L$400,0)),L$2,)</f>
        <v>0</v>
      </c>
      <c r="M44" s="179">
        <f ca="1">IF(ISNUMBER(MATCH(DATEVALUE($A44),'recurring1_based on steps'!M$1:M$400,0)),M$2,)</f>
        <v>0</v>
      </c>
      <c r="N44" s="179">
        <f ca="1">IF(ISNUMBER(MATCH(DATEVALUE($A44),'recurring1_based on steps'!N$1:N$400,0)),N$2,)</f>
        <v>0</v>
      </c>
      <c r="O44" s="179">
        <f ca="1">IF(ISNUMBER(MATCH(DATEVALUE($A44),'recurring1_based on steps'!O$1:O$400,0)),O$2,)</f>
        <v>0</v>
      </c>
      <c r="P44" s="179">
        <f ca="1">IF(ISNUMBER(MATCH(DATEVALUE($A44),'recurring1_based on steps'!P$1:P$400,0)),P$2,)</f>
        <v>0</v>
      </c>
      <c r="Q44" s="179">
        <f ca="1">IF(ISNUMBER(MATCH(DATEVALUE($A44),'recurring1_based on steps'!Q$1:Q$400,0)),Q$2,)</f>
        <v>0</v>
      </c>
      <c r="R44" s="179">
        <f ca="1">IF(ISNUMBER(MATCH(DATEVALUE($A44),'recurring1_based on steps'!R$1:R$400,0)),R$2,)</f>
        <v>0</v>
      </c>
      <c r="S44" s="179">
        <f ca="1">IF(ISNUMBER(MATCH(DATEVALUE($A44),'recurring1_based on steps'!S$1:S$400,0)),S$2,)</f>
        <v>0</v>
      </c>
      <c r="T44" s="179">
        <f ca="1">IF(ISNUMBER(MATCH(DATEVALUE($A44),'recurring1_based on steps'!T$1:T$400,0)),T$2,)</f>
        <v>0</v>
      </c>
      <c r="U44" s="179">
        <f ca="1">IF(ISNUMBER(MATCH(DATEVALUE($A44),'recurring1_based on steps'!U$1:U$400,0)),U$2,)</f>
        <v>0</v>
      </c>
      <c r="V44" s="179">
        <f ca="1">IF(ISNUMBER(MATCH(DATEVALUE($A44),'recurring1_based on steps'!V$1:V$400,0)),V$2,)</f>
        <v>0</v>
      </c>
      <c r="W44" s="179">
        <f ca="1">IF(ISNUMBER(MATCH(DATEVALUE($A44),'recurring1_based on steps'!W$1:W$400,0)),W$2,)</f>
        <v>0</v>
      </c>
      <c r="X44" s="179">
        <f ca="1">IF(ISNUMBER(MATCH(DATEVALUE($A44),'recurring1_based on steps'!X$1:X$400,0)),X$2,)</f>
        <v>0</v>
      </c>
      <c r="Y44" s="179">
        <f ca="1">IF(ISNUMBER(MATCH(DATEVALUE($A44),'recurring1_based on steps'!Y$1:Y$400,0)),Y$2,)</f>
        <v>0</v>
      </c>
      <c r="Z44" s="179">
        <f ca="1">IF(ISNUMBER(MATCH(DATEVALUE($A44),'recurring1_based on steps'!Z$1:Z$400,0)),Z$2,)</f>
        <v>0</v>
      </c>
      <c r="AA44" s="179">
        <f ca="1">IF(ISNUMBER(MATCH(DATEVALUE($A44),'recurring1_based on steps'!AA$1:AA$400,0)),AA$2,)</f>
        <v>0</v>
      </c>
      <c r="AB44" s="179">
        <f ca="1">IF(ISNUMBER(MATCH(DATEVALUE($A44),'recurring1_based on steps'!AB$1:AB$400,0)),AB$2,)</f>
        <v>0</v>
      </c>
      <c r="AC44" s="179">
        <f ca="1">IF(ISNUMBER(MATCH(DATEVALUE($A44),'recurring1_based on steps'!AC$1:AC$400,0)),AC$2,)</f>
        <v>0</v>
      </c>
      <c r="AD44" s="179">
        <f ca="1">IF(ISNUMBER(MATCH(DATEVALUE($A44),'recurring1_based on steps'!AD$1:AD$400,0)),AD$2,)</f>
        <v>0</v>
      </c>
      <c r="AE44" s="179">
        <f ca="1">IF(ISNUMBER(MATCH(DATEVALUE($A44),'recurring1_based on steps'!AE$1:AE$400,0)),AE$2,)</f>
        <v>0</v>
      </c>
      <c r="AF44" s="179">
        <f ca="1">IF(ISNUMBER(MATCH(DATEVALUE($A44),'recurring1_based on steps'!AF$1:AF$400,0)),AF$2,)</f>
        <v>0</v>
      </c>
      <c r="AG44" s="179">
        <f ca="1">IF(ISNUMBER(MATCH(DATEVALUE($A44),'recurring1_based on steps'!AG$1:AG$400,0)),AG$2,)</f>
        <v>0</v>
      </c>
      <c r="AH44" s="179">
        <f ca="1">IF(ISNUMBER(MATCH(DATEVALUE($A44),'recurring1_based on steps'!AH$1:AH$400,0)),AH$2,)</f>
        <v>0</v>
      </c>
      <c r="AI44" s="179">
        <f ca="1">IF(ISNUMBER(MATCH(DATEVALUE($A44),'recurring1_based on steps'!AI$1:AI$400,0)),AI$2,)</f>
        <v>0</v>
      </c>
      <c r="AJ44" s="179">
        <f ca="1">IF(ISNUMBER(MATCH(DATEVALUE($A44),'recurring1_based on steps'!AJ$1:AJ$400,0)),AJ$2,)</f>
        <v>0</v>
      </c>
      <c r="AK44" s="179">
        <f ca="1">IF(ISNUMBER(MATCH(DATEVALUE($A44),'recurring1_based on steps'!AK$1:AK$400,0)),AK$2,)</f>
        <v>0</v>
      </c>
      <c r="AL44" s="179">
        <f ca="1">IF(ISNUMBER(MATCH(DATEVALUE($A44),'recurring1_based on steps'!AL$1:AL$400,0)),AL$2,)</f>
        <v>0</v>
      </c>
      <c r="AM44" s="179">
        <f ca="1">IF(ISNUMBER(MATCH(DATEVALUE($A44),'recurring1_based on steps'!AM$1:AM$400,0)),AM$2,)</f>
        <v>0</v>
      </c>
      <c r="AN44" s="179">
        <f ca="1">IF(ISNUMBER(MATCH(DATEVALUE($A44),'recurring1_based on steps'!AN$1:AN$400,0)),AN$2,)</f>
        <v>0</v>
      </c>
      <c r="AO44" s="179">
        <f ca="1">IF(ISNUMBER(MATCH(DATEVALUE($A44),'recurring1_based on steps'!AO$1:AO$400,0)),AO$2,)</f>
        <v>0</v>
      </c>
      <c r="AP44" s="179">
        <f ca="1">IF(ISNUMBER(MATCH(DATEVALUE($A44),'recurring1_based on steps'!AP$1:AP$400,0)),AP$2,)</f>
        <v>0</v>
      </c>
      <c r="AQ44" s="179">
        <f ca="1">IF(ISNUMBER(MATCH(DATEVALUE($A44),'recurring1_based on steps'!AQ$1:AQ$400,0)),AQ$2,)</f>
        <v>0</v>
      </c>
      <c r="AR44" s="179">
        <f ca="1">IF(ISNUMBER(MATCH(DATEVALUE($A44),'recurring1_based on steps'!AR$1:AR$400,0)),AR$2,)</f>
        <v>0</v>
      </c>
      <c r="AS44" s="179">
        <f ca="1">IF(ISNUMBER(MATCH(DATEVALUE($A44),'recurring1_based on steps'!AS$1:AS$400,0)),AS$2,)</f>
        <v>0</v>
      </c>
      <c r="AT44" s="179">
        <f ca="1">IF(ISNUMBER(MATCH(DATEVALUE($A44),'recurring1_based on steps'!AT$1:AT$400,0)),AT$2,)</f>
        <v>0</v>
      </c>
      <c r="AU44" s="179">
        <f ca="1">IF(ISNUMBER(MATCH(DATEVALUE($A44),'recurring1_based on steps'!AU$1:AU$400,0)),AU$2,)</f>
        <v>0</v>
      </c>
      <c r="AV44" s="179">
        <f ca="1">IF(ISNUMBER(MATCH(DATEVALUE($A44),'recurring1_based on steps'!AV$1:AV$400,0)),AV$2,)</f>
        <v>0</v>
      </c>
      <c r="AW44" s="179">
        <f ca="1">IF(ISNUMBER(MATCH(DATEVALUE($A44),'recurring1_based on steps'!AW$1:AW$400,0)),AW$2,)</f>
        <v>0</v>
      </c>
      <c r="AX44" s="179">
        <f ca="1">IF(ISNUMBER(MATCH(DATEVALUE($A44),'recurring1_based on steps'!AX$1:AX$400,0)),AX$2,)</f>
        <v>0</v>
      </c>
      <c r="AY44" s="179">
        <f ca="1">IF(ISNUMBER(MATCH(DATEVALUE($A44),'recurring1_based on steps'!AY$1:AY$400,0)),AY$2,)</f>
        <v>0</v>
      </c>
    </row>
    <row r="45" spans="1:51" x14ac:dyDescent="0.2">
      <c r="A45" s="32" t="str">
        <f t="shared" ca="1" si="0"/>
        <v>2025-05-10</v>
      </c>
      <c r="B45" s="179">
        <f ca="1">IF(ISNUMBER(MATCH(DATEVALUE($A45),'recurring1_based on steps'!B$1:B$400,0)),B$2,)</f>
        <v>0</v>
      </c>
      <c r="C45" s="179">
        <f ca="1">IF(ISNUMBER(MATCH(DATEVALUE($A45),'recurring1_based on steps'!C$1:C$400,0)),C$2,)</f>
        <v>0</v>
      </c>
      <c r="D45" s="179">
        <f ca="1">IF(ISNUMBER(MATCH(DATEVALUE($A45),'recurring1_based on steps'!D$1:D$400,0)),D$2,)</f>
        <v>0</v>
      </c>
      <c r="E45" s="179">
        <f ca="1">IF(ISNUMBER(MATCH(DATEVALUE($A45),'recurring1_based on steps'!E$1:E$400,0)),E$2,)</f>
        <v>0</v>
      </c>
      <c r="F45" s="179">
        <f ca="1">IF(ISNUMBER(MATCH(DATEVALUE($A45),'recurring1_based on steps'!F$1:F$400,0)),F$2,)</f>
        <v>0</v>
      </c>
      <c r="G45" s="179">
        <f ca="1">IF(ISNUMBER(MATCH(DATEVALUE($A45),'recurring1_based on steps'!G$1:G$400,0)),G$2,)</f>
        <v>0</v>
      </c>
      <c r="H45" s="179">
        <f ca="1">IF(ISNUMBER(MATCH(DATEVALUE($A45),'recurring1_based on steps'!H$1:H$400,0)),H$2,)</f>
        <v>0</v>
      </c>
      <c r="I45" s="179">
        <f ca="1">IF(ISNUMBER(MATCH(DATEVALUE($A45),'recurring1_based on steps'!I$1:I$400,0)),I$2,)</f>
        <v>0</v>
      </c>
      <c r="J45" s="179">
        <f ca="1">IF(ISNUMBER(MATCH(DATEVALUE($A45),'recurring1_based on steps'!J$1:J$400,0)),J$2,)</f>
        <v>0</v>
      </c>
      <c r="K45" s="179">
        <f ca="1">IF(ISNUMBER(MATCH(DATEVALUE($A45),'recurring1_based on steps'!K$1:K$400,0)),K$2,)</f>
        <v>0</v>
      </c>
      <c r="L45" s="179">
        <f ca="1">IF(ISNUMBER(MATCH(DATEVALUE($A45),'recurring1_based on steps'!L$1:L$400,0)),L$2,)</f>
        <v>0</v>
      </c>
      <c r="M45" s="179">
        <f ca="1">IF(ISNUMBER(MATCH(DATEVALUE($A45),'recurring1_based on steps'!M$1:M$400,0)),M$2,)</f>
        <v>0</v>
      </c>
      <c r="N45" s="179">
        <f ca="1">IF(ISNUMBER(MATCH(DATEVALUE($A45),'recurring1_based on steps'!N$1:N$400,0)),N$2,)</f>
        <v>0</v>
      </c>
      <c r="O45" s="179">
        <f ca="1">IF(ISNUMBER(MATCH(DATEVALUE($A45),'recurring1_based on steps'!O$1:O$400,0)),O$2,)</f>
        <v>0</v>
      </c>
      <c r="P45" s="179">
        <f ca="1">IF(ISNUMBER(MATCH(DATEVALUE($A45),'recurring1_based on steps'!P$1:P$400,0)),P$2,)</f>
        <v>0</v>
      </c>
      <c r="Q45" s="179">
        <f ca="1">IF(ISNUMBER(MATCH(DATEVALUE($A45),'recurring1_based on steps'!Q$1:Q$400,0)),Q$2,)</f>
        <v>0</v>
      </c>
      <c r="R45" s="179">
        <f ca="1">IF(ISNUMBER(MATCH(DATEVALUE($A45),'recurring1_based on steps'!R$1:R$400,0)),R$2,)</f>
        <v>0</v>
      </c>
      <c r="S45" s="179">
        <f ca="1">IF(ISNUMBER(MATCH(DATEVALUE($A45),'recurring1_based on steps'!S$1:S$400,0)),S$2,)</f>
        <v>0</v>
      </c>
      <c r="T45" s="179">
        <f ca="1">IF(ISNUMBER(MATCH(DATEVALUE($A45),'recurring1_based on steps'!T$1:T$400,0)),T$2,)</f>
        <v>0</v>
      </c>
      <c r="U45" s="179">
        <f ca="1">IF(ISNUMBER(MATCH(DATEVALUE($A45),'recurring1_based on steps'!U$1:U$400,0)),U$2,)</f>
        <v>0</v>
      </c>
      <c r="V45" s="179">
        <f ca="1">IF(ISNUMBER(MATCH(DATEVALUE($A45),'recurring1_based on steps'!V$1:V$400,0)),V$2,)</f>
        <v>0</v>
      </c>
      <c r="W45" s="179">
        <f ca="1">IF(ISNUMBER(MATCH(DATEVALUE($A45),'recurring1_based on steps'!W$1:W$400,0)),W$2,)</f>
        <v>0</v>
      </c>
      <c r="X45" s="179">
        <f ca="1">IF(ISNUMBER(MATCH(DATEVALUE($A45),'recurring1_based on steps'!X$1:X$400,0)),X$2,)</f>
        <v>0</v>
      </c>
      <c r="Y45" s="179">
        <f ca="1">IF(ISNUMBER(MATCH(DATEVALUE($A45),'recurring1_based on steps'!Y$1:Y$400,0)),Y$2,)</f>
        <v>0</v>
      </c>
      <c r="Z45" s="179">
        <f ca="1">IF(ISNUMBER(MATCH(DATEVALUE($A45),'recurring1_based on steps'!Z$1:Z$400,0)),Z$2,)</f>
        <v>0</v>
      </c>
      <c r="AA45" s="179">
        <f ca="1">IF(ISNUMBER(MATCH(DATEVALUE($A45),'recurring1_based on steps'!AA$1:AA$400,0)),AA$2,)</f>
        <v>0</v>
      </c>
      <c r="AB45" s="179">
        <f ca="1">IF(ISNUMBER(MATCH(DATEVALUE($A45),'recurring1_based on steps'!AB$1:AB$400,0)),AB$2,)</f>
        <v>0</v>
      </c>
      <c r="AC45" s="179">
        <f ca="1">IF(ISNUMBER(MATCH(DATEVALUE($A45),'recurring1_based on steps'!AC$1:AC$400,0)),AC$2,)</f>
        <v>0</v>
      </c>
      <c r="AD45" s="179">
        <f ca="1">IF(ISNUMBER(MATCH(DATEVALUE($A45),'recurring1_based on steps'!AD$1:AD$400,0)),AD$2,)</f>
        <v>0</v>
      </c>
      <c r="AE45" s="179">
        <f ca="1">IF(ISNUMBER(MATCH(DATEVALUE($A45),'recurring1_based on steps'!AE$1:AE$400,0)),AE$2,)</f>
        <v>0</v>
      </c>
      <c r="AF45" s="179">
        <f ca="1">IF(ISNUMBER(MATCH(DATEVALUE($A45),'recurring1_based on steps'!AF$1:AF$400,0)),AF$2,)</f>
        <v>0</v>
      </c>
      <c r="AG45" s="179">
        <f ca="1">IF(ISNUMBER(MATCH(DATEVALUE($A45),'recurring1_based on steps'!AG$1:AG$400,0)),AG$2,)</f>
        <v>0</v>
      </c>
      <c r="AH45" s="179">
        <f ca="1">IF(ISNUMBER(MATCH(DATEVALUE($A45),'recurring1_based on steps'!AH$1:AH$400,0)),AH$2,)</f>
        <v>0</v>
      </c>
      <c r="AI45" s="179">
        <f ca="1">IF(ISNUMBER(MATCH(DATEVALUE($A45),'recurring1_based on steps'!AI$1:AI$400,0)),AI$2,)</f>
        <v>0</v>
      </c>
      <c r="AJ45" s="179">
        <f ca="1">IF(ISNUMBER(MATCH(DATEVALUE($A45),'recurring1_based on steps'!AJ$1:AJ$400,0)),AJ$2,)</f>
        <v>0</v>
      </c>
      <c r="AK45" s="179">
        <f ca="1">IF(ISNUMBER(MATCH(DATEVALUE($A45),'recurring1_based on steps'!AK$1:AK$400,0)),AK$2,)</f>
        <v>0</v>
      </c>
      <c r="AL45" s="179">
        <f ca="1">IF(ISNUMBER(MATCH(DATEVALUE($A45),'recurring1_based on steps'!AL$1:AL$400,0)),AL$2,)</f>
        <v>0</v>
      </c>
      <c r="AM45" s="179">
        <f ca="1">IF(ISNUMBER(MATCH(DATEVALUE($A45),'recurring1_based on steps'!AM$1:AM$400,0)),AM$2,)</f>
        <v>0</v>
      </c>
      <c r="AN45" s="179">
        <f ca="1">IF(ISNUMBER(MATCH(DATEVALUE($A45),'recurring1_based on steps'!AN$1:AN$400,0)),AN$2,)</f>
        <v>0</v>
      </c>
      <c r="AO45" s="179">
        <f ca="1">IF(ISNUMBER(MATCH(DATEVALUE($A45),'recurring1_based on steps'!AO$1:AO$400,0)),AO$2,)</f>
        <v>0</v>
      </c>
      <c r="AP45" s="179">
        <f ca="1">IF(ISNUMBER(MATCH(DATEVALUE($A45),'recurring1_based on steps'!AP$1:AP$400,0)),AP$2,)</f>
        <v>0</v>
      </c>
      <c r="AQ45" s="179">
        <f ca="1">IF(ISNUMBER(MATCH(DATEVALUE($A45),'recurring1_based on steps'!AQ$1:AQ$400,0)),AQ$2,)</f>
        <v>0</v>
      </c>
      <c r="AR45" s="179">
        <f ca="1">IF(ISNUMBER(MATCH(DATEVALUE($A45),'recurring1_based on steps'!AR$1:AR$400,0)),AR$2,)</f>
        <v>0</v>
      </c>
      <c r="AS45" s="179">
        <f ca="1">IF(ISNUMBER(MATCH(DATEVALUE($A45),'recurring1_based on steps'!AS$1:AS$400,0)),AS$2,)</f>
        <v>0</v>
      </c>
      <c r="AT45" s="179">
        <f ca="1">IF(ISNUMBER(MATCH(DATEVALUE($A45),'recurring1_based on steps'!AT$1:AT$400,0)),AT$2,)</f>
        <v>0</v>
      </c>
      <c r="AU45" s="179">
        <f ca="1">IF(ISNUMBER(MATCH(DATEVALUE($A45),'recurring1_based on steps'!AU$1:AU$400,0)),AU$2,)</f>
        <v>0</v>
      </c>
      <c r="AV45" s="179">
        <f ca="1">IF(ISNUMBER(MATCH(DATEVALUE($A45),'recurring1_based on steps'!AV$1:AV$400,0)),AV$2,)</f>
        <v>0</v>
      </c>
      <c r="AW45" s="179">
        <f ca="1">IF(ISNUMBER(MATCH(DATEVALUE($A45),'recurring1_based on steps'!AW$1:AW$400,0)),AW$2,)</f>
        <v>0</v>
      </c>
      <c r="AX45" s="179">
        <f ca="1">IF(ISNUMBER(MATCH(DATEVALUE($A45),'recurring1_based on steps'!AX$1:AX$400,0)),AX$2,)</f>
        <v>0</v>
      </c>
      <c r="AY45" s="179">
        <f ca="1">IF(ISNUMBER(MATCH(DATEVALUE($A45),'recurring1_based on steps'!AY$1:AY$400,0)),AY$2,)</f>
        <v>0</v>
      </c>
    </row>
    <row r="46" spans="1:51" x14ac:dyDescent="0.2">
      <c r="A46" s="32" t="str">
        <f t="shared" ca="1" si="0"/>
        <v>2025-05-11</v>
      </c>
      <c r="B46" s="179">
        <f ca="1">IF(ISNUMBER(MATCH(DATEVALUE($A46),'recurring1_based on steps'!B$1:B$400,0)),B$2,)</f>
        <v>0</v>
      </c>
      <c r="C46" s="179">
        <f ca="1">IF(ISNUMBER(MATCH(DATEVALUE($A46),'recurring1_based on steps'!C$1:C$400,0)),C$2,)</f>
        <v>0</v>
      </c>
      <c r="D46" s="179">
        <f ca="1">IF(ISNUMBER(MATCH(DATEVALUE($A46),'recurring1_based on steps'!D$1:D$400,0)),D$2,)</f>
        <v>0</v>
      </c>
      <c r="E46" s="179">
        <f ca="1">IF(ISNUMBER(MATCH(DATEVALUE($A46),'recurring1_based on steps'!E$1:E$400,0)),E$2,)</f>
        <v>0</v>
      </c>
      <c r="F46" s="179">
        <f ca="1">IF(ISNUMBER(MATCH(DATEVALUE($A46),'recurring1_based on steps'!F$1:F$400,0)),F$2,)</f>
        <v>0</v>
      </c>
      <c r="G46" s="179">
        <f ca="1">IF(ISNUMBER(MATCH(DATEVALUE($A46),'recurring1_based on steps'!G$1:G$400,0)),G$2,)</f>
        <v>0</v>
      </c>
      <c r="H46" s="179">
        <f ca="1">IF(ISNUMBER(MATCH(DATEVALUE($A46),'recurring1_based on steps'!H$1:H$400,0)),H$2,)</f>
        <v>0</v>
      </c>
      <c r="I46" s="179">
        <f ca="1">IF(ISNUMBER(MATCH(DATEVALUE($A46),'recurring1_based on steps'!I$1:I$400,0)),I$2,)</f>
        <v>0</v>
      </c>
      <c r="J46" s="179">
        <f ca="1">IF(ISNUMBER(MATCH(DATEVALUE($A46),'recurring1_based on steps'!J$1:J$400,0)),J$2,)</f>
        <v>0</v>
      </c>
      <c r="K46" s="179">
        <f ca="1">IF(ISNUMBER(MATCH(DATEVALUE($A46),'recurring1_based on steps'!K$1:K$400,0)),K$2,)</f>
        <v>0</v>
      </c>
      <c r="L46" s="179">
        <f ca="1">IF(ISNUMBER(MATCH(DATEVALUE($A46),'recurring1_based on steps'!L$1:L$400,0)),L$2,)</f>
        <v>0</v>
      </c>
      <c r="M46" s="179">
        <f ca="1">IF(ISNUMBER(MATCH(DATEVALUE($A46),'recurring1_based on steps'!M$1:M$400,0)),M$2,)</f>
        <v>0</v>
      </c>
      <c r="N46" s="179">
        <f ca="1">IF(ISNUMBER(MATCH(DATEVALUE($A46),'recurring1_based on steps'!N$1:N$400,0)),N$2,)</f>
        <v>0</v>
      </c>
      <c r="O46" s="179">
        <f ca="1">IF(ISNUMBER(MATCH(DATEVALUE($A46),'recurring1_based on steps'!O$1:O$400,0)),O$2,)</f>
        <v>0</v>
      </c>
      <c r="P46" s="179">
        <f ca="1">IF(ISNUMBER(MATCH(DATEVALUE($A46),'recurring1_based on steps'!P$1:P$400,0)),P$2,)</f>
        <v>0</v>
      </c>
      <c r="Q46" s="179">
        <f ca="1">IF(ISNUMBER(MATCH(DATEVALUE($A46),'recurring1_based on steps'!Q$1:Q$400,0)),Q$2,)</f>
        <v>0</v>
      </c>
      <c r="R46" s="179">
        <f ca="1">IF(ISNUMBER(MATCH(DATEVALUE($A46),'recurring1_based on steps'!R$1:R$400,0)),R$2,)</f>
        <v>0</v>
      </c>
      <c r="S46" s="179">
        <f ca="1">IF(ISNUMBER(MATCH(DATEVALUE($A46),'recurring1_based on steps'!S$1:S$400,0)),S$2,)</f>
        <v>0</v>
      </c>
      <c r="T46" s="179">
        <f ca="1">IF(ISNUMBER(MATCH(DATEVALUE($A46),'recurring1_based on steps'!T$1:T$400,0)),T$2,)</f>
        <v>0</v>
      </c>
      <c r="U46" s="179">
        <f ca="1">IF(ISNUMBER(MATCH(DATEVALUE($A46),'recurring1_based on steps'!U$1:U$400,0)),U$2,)</f>
        <v>0</v>
      </c>
      <c r="V46" s="179">
        <f ca="1">IF(ISNUMBER(MATCH(DATEVALUE($A46),'recurring1_based on steps'!V$1:V$400,0)),V$2,)</f>
        <v>0</v>
      </c>
      <c r="W46" s="179">
        <f ca="1">IF(ISNUMBER(MATCH(DATEVALUE($A46),'recurring1_based on steps'!W$1:W$400,0)),W$2,)</f>
        <v>0</v>
      </c>
      <c r="X46" s="179">
        <f ca="1">IF(ISNUMBER(MATCH(DATEVALUE($A46),'recurring1_based on steps'!X$1:X$400,0)),X$2,)</f>
        <v>0</v>
      </c>
      <c r="Y46" s="179">
        <f ca="1">IF(ISNUMBER(MATCH(DATEVALUE($A46),'recurring1_based on steps'!Y$1:Y$400,0)),Y$2,)</f>
        <v>0</v>
      </c>
      <c r="Z46" s="179">
        <f ca="1">IF(ISNUMBER(MATCH(DATEVALUE($A46),'recurring1_based on steps'!Z$1:Z$400,0)),Z$2,)</f>
        <v>0</v>
      </c>
      <c r="AA46" s="179">
        <f ca="1">IF(ISNUMBER(MATCH(DATEVALUE($A46),'recurring1_based on steps'!AA$1:AA$400,0)),AA$2,)</f>
        <v>0</v>
      </c>
      <c r="AB46" s="179">
        <f ca="1">IF(ISNUMBER(MATCH(DATEVALUE($A46),'recurring1_based on steps'!AB$1:AB$400,0)),AB$2,)</f>
        <v>0</v>
      </c>
      <c r="AC46" s="179">
        <f ca="1">IF(ISNUMBER(MATCH(DATEVALUE($A46),'recurring1_based on steps'!AC$1:AC$400,0)),AC$2,)</f>
        <v>0</v>
      </c>
      <c r="AD46" s="179">
        <f ca="1">IF(ISNUMBER(MATCH(DATEVALUE($A46),'recurring1_based on steps'!AD$1:AD$400,0)),AD$2,)</f>
        <v>0</v>
      </c>
      <c r="AE46" s="179">
        <f ca="1">IF(ISNUMBER(MATCH(DATEVALUE($A46),'recurring1_based on steps'!AE$1:AE$400,0)),AE$2,)</f>
        <v>0</v>
      </c>
      <c r="AF46" s="179">
        <f ca="1">IF(ISNUMBER(MATCH(DATEVALUE($A46),'recurring1_based on steps'!AF$1:AF$400,0)),AF$2,)</f>
        <v>0</v>
      </c>
      <c r="AG46" s="179">
        <f ca="1">IF(ISNUMBER(MATCH(DATEVALUE($A46),'recurring1_based on steps'!AG$1:AG$400,0)),AG$2,)</f>
        <v>0</v>
      </c>
      <c r="AH46" s="179">
        <f ca="1">IF(ISNUMBER(MATCH(DATEVALUE($A46),'recurring1_based on steps'!AH$1:AH$400,0)),AH$2,)</f>
        <v>0</v>
      </c>
      <c r="AI46" s="179">
        <f ca="1">IF(ISNUMBER(MATCH(DATEVALUE($A46),'recurring1_based on steps'!AI$1:AI$400,0)),AI$2,)</f>
        <v>0</v>
      </c>
      <c r="AJ46" s="179">
        <f ca="1">IF(ISNUMBER(MATCH(DATEVALUE($A46),'recurring1_based on steps'!AJ$1:AJ$400,0)),AJ$2,)</f>
        <v>0</v>
      </c>
      <c r="AK46" s="179">
        <f ca="1">IF(ISNUMBER(MATCH(DATEVALUE($A46),'recurring1_based on steps'!AK$1:AK$400,0)),AK$2,)</f>
        <v>0</v>
      </c>
      <c r="AL46" s="179">
        <f ca="1">IF(ISNUMBER(MATCH(DATEVALUE($A46),'recurring1_based on steps'!AL$1:AL$400,0)),AL$2,)</f>
        <v>0</v>
      </c>
      <c r="AM46" s="179">
        <f ca="1">IF(ISNUMBER(MATCH(DATEVALUE($A46),'recurring1_based on steps'!AM$1:AM$400,0)),AM$2,)</f>
        <v>0</v>
      </c>
      <c r="AN46" s="179">
        <f ca="1">IF(ISNUMBER(MATCH(DATEVALUE($A46),'recurring1_based on steps'!AN$1:AN$400,0)),AN$2,)</f>
        <v>0</v>
      </c>
      <c r="AO46" s="179">
        <f ca="1">IF(ISNUMBER(MATCH(DATEVALUE($A46),'recurring1_based on steps'!AO$1:AO$400,0)),AO$2,)</f>
        <v>0</v>
      </c>
      <c r="AP46" s="179">
        <f ca="1">IF(ISNUMBER(MATCH(DATEVALUE($A46),'recurring1_based on steps'!AP$1:AP$400,0)),AP$2,)</f>
        <v>0</v>
      </c>
      <c r="AQ46" s="179">
        <f ca="1">IF(ISNUMBER(MATCH(DATEVALUE($A46),'recurring1_based on steps'!AQ$1:AQ$400,0)),AQ$2,)</f>
        <v>0</v>
      </c>
      <c r="AR46" s="179">
        <f ca="1">IF(ISNUMBER(MATCH(DATEVALUE($A46),'recurring1_based on steps'!AR$1:AR$400,0)),AR$2,)</f>
        <v>0</v>
      </c>
      <c r="AS46" s="179">
        <f ca="1">IF(ISNUMBER(MATCH(DATEVALUE($A46),'recurring1_based on steps'!AS$1:AS$400,0)),AS$2,)</f>
        <v>0</v>
      </c>
      <c r="AT46" s="179">
        <f ca="1">IF(ISNUMBER(MATCH(DATEVALUE($A46),'recurring1_based on steps'!AT$1:AT$400,0)),AT$2,)</f>
        <v>0</v>
      </c>
      <c r="AU46" s="179">
        <f ca="1">IF(ISNUMBER(MATCH(DATEVALUE($A46),'recurring1_based on steps'!AU$1:AU$400,0)),AU$2,)</f>
        <v>0</v>
      </c>
      <c r="AV46" s="179">
        <f ca="1">IF(ISNUMBER(MATCH(DATEVALUE($A46),'recurring1_based on steps'!AV$1:AV$400,0)),AV$2,)</f>
        <v>0</v>
      </c>
      <c r="AW46" s="179">
        <f ca="1">IF(ISNUMBER(MATCH(DATEVALUE($A46),'recurring1_based on steps'!AW$1:AW$400,0)),AW$2,)</f>
        <v>0</v>
      </c>
      <c r="AX46" s="179">
        <f ca="1">IF(ISNUMBER(MATCH(DATEVALUE($A46),'recurring1_based on steps'!AX$1:AX$400,0)),AX$2,)</f>
        <v>0</v>
      </c>
      <c r="AY46" s="179">
        <f ca="1">IF(ISNUMBER(MATCH(DATEVALUE($A46),'recurring1_based on steps'!AY$1:AY$400,0)),AY$2,)</f>
        <v>0</v>
      </c>
    </row>
    <row r="47" spans="1:51" x14ac:dyDescent="0.2">
      <c r="A47" s="32" t="str">
        <f t="shared" ca="1" si="0"/>
        <v>2025-05-12</v>
      </c>
      <c r="B47" s="179">
        <f ca="1">IF(ISNUMBER(MATCH(DATEVALUE($A47),'recurring1_based on steps'!B$1:B$400,0)),B$2,)</f>
        <v>0</v>
      </c>
      <c r="C47" s="179">
        <f ca="1">IF(ISNUMBER(MATCH(DATEVALUE($A47),'recurring1_based on steps'!C$1:C$400,0)),C$2,)</f>
        <v>0</v>
      </c>
      <c r="D47" s="179">
        <f ca="1">IF(ISNUMBER(MATCH(DATEVALUE($A47),'recurring1_based on steps'!D$1:D$400,0)),D$2,)</f>
        <v>0</v>
      </c>
      <c r="E47" s="179">
        <f ca="1">IF(ISNUMBER(MATCH(DATEVALUE($A47),'recurring1_based on steps'!E$1:E$400,0)),E$2,)</f>
        <v>0</v>
      </c>
      <c r="F47" s="179">
        <f ca="1">IF(ISNUMBER(MATCH(DATEVALUE($A47),'recurring1_based on steps'!F$1:F$400,0)),F$2,)</f>
        <v>0</v>
      </c>
      <c r="G47" s="179">
        <f ca="1">IF(ISNUMBER(MATCH(DATEVALUE($A47),'recurring1_based on steps'!G$1:G$400,0)),G$2,)</f>
        <v>0</v>
      </c>
      <c r="H47" s="179">
        <f ca="1">IF(ISNUMBER(MATCH(DATEVALUE($A47),'recurring1_based on steps'!H$1:H$400,0)),H$2,)</f>
        <v>0</v>
      </c>
      <c r="I47" s="179">
        <f ca="1">IF(ISNUMBER(MATCH(DATEVALUE($A47),'recurring1_based on steps'!I$1:I$400,0)),I$2,)</f>
        <v>0</v>
      </c>
      <c r="J47" s="179">
        <f ca="1">IF(ISNUMBER(MATCH(DATEVALUE($A47),'recurring1_based on steps'!J$1:J$400,0)),J$2,)</f>
        <v>0</v>
      </c>
      <c r="K47" s="179">
        <f ca="1">IF(ISNUMBER(MATCH(DATEVALUE($A47),'recurring1_based on steps'!K$1:K$400,0)),K$2,)</f>
        <v>0</v>
      </c>
      <c r="L47" s="179">
        <f ca="1">IF(ISNUMBER(MATCH(DATEVALUE($A47),'recurring1_based on steps'!L$1:L$400,0)),L$2,)</f>
        <v>0</v>
      </c>
      <c r="M47" s="179">
        <f ca="1">IF(ISNUMBER(MATCH(DATEVALUE($A47),'recurring1_based on steps'!M$1:M$400,0)),M$2,)</f>
        <v>0</v>
      </c>
      <c r="N47" s="179">
        <f ca="1">IF(ISNUMBER(MATCH(DATEVALUE($A47),'recurring1_based on steps'!N$1:N$400,0)),N$2,)</f>
        <v>0</v>
      </c>
      <c r="O47" s="179">
        <f ca="1">IF(ISNUMBER(MATCH(DATEVALUE($A47),'recurring1_based on steps'!O$1:O$400,0)),O$2,)</f>
        <v>0</v>
      </c>
      <c r="P47" s="179">
        <f ca="1">IF(ISNUMBER(MATCH(DATEVALUE($A47),'recurring1_based on steps'!P$1:P$400,0)),P$2,)</f>
        <v>0</v>
      </c>
      <c r="Q47" s="179">
        <f ca="1">IF(ISNUMBER(MATCH(DATEVALUE($A47),'recurring1_based on steps'!Q$1:Q$400,0)),Q$2,)</f>
        <v>0</v>
      </c>
      <c r="R47" s="179">
        <f ca="1">IF(ISNUMBER(MATCH(DATEVALUE($A47),'recurring1_based on steps'!R$1:R$400,0)),R$2,)</f>
        <v>0</v>
      </c>
      <c r="S47" s="179">
        <f ca="1">IF(ISNUMBER(MATCH(DATEVALUE($A47),'recurring1_based on steps'!S$1:S$400,0)),S$2,)</f>
        <v>0</v>
      </c>
      <c r="T47" s="179">
        <f ca="1">IF(ISNUMBER(MATCH(DATEVALUE($A47),'recurring1_based on steps'!T$1:T$400,0)),T$2,)</f>
        <v>0</v>
      </c>
      <c r="U47" s="179">
        <f ca="1">IF(ISNUMBER(MATCH(DATEVALUE($A47),'recurring1_based on steps'!U$1:U$400,0)),U$2,)</f>
        <v>0</v>
      </c>
      <c r="V47" s="179">
        <f ca="1">IF(ISNUMBER(MATCH(DATEVALUE($A47),'recurring1_based on steps'!V$1:V$400,0)),V$2,)</f>
        <v>0</v>
      </c>
      <c r="W47" s="179">
        <f ca="1">IF(ISNUMBER(MATCH(DATEVALUE($A47),'recurring1_based on steps'!W$1:W$400,0)),W$2,)</f>
        <v>0</v>
      </c>
      <c r="X47" s="179">
        <f ca="1">IF(ISNUMBER(MATCH(DATEVALUE($A47),'recurring1_based on steps'!X$1:X$400,0)),X$2,)</f>
        <v>0</v>
      </c>
      <c r="Y47" s="179">
        <f ca="1">IF(ISNUMBER(MATCH(DATEVALUE($A47),'recurring1_based on steps'!Y$1:Y$400,0)),Y$2,)</f>
        <v>0</v>
      </c>
      <c r="Z47" s="179">
        <f ca="1">IF(ISNUMBER(MATCH(DATEVALUE($A47),'recurring1_based on steps'!Z$1:Z$400,0)),Z$2,)</f>
        <v>0</v>
      </c>
      <c r="AA47" s="179">
        <f ca="1">IF(ISNUMBER(MATCH(DATEVALUE($A47),'recurring1_based on steps'!AA$1:AA$400,0)),AA$2,)</f>
        <v>0</v>
      </c>
      <c r="AB47" s="179">
        <f ca="1">IF(ISNUMBER(MATCH(DATEVALUE($A47),'recurring1_based on steps'!AB$1:AB$400,0)),AB$2,)</f>
        <v>0</v>
      </c>
      <c r="AC47" s="179">
        <f ca="1">IF(ISNUMBER(MATCH(DATEVALUE($A47),'recurring1_based on steps'!AC$1:AC$400,0)),AC$2,)</f>
        <v>0</v>
      </c>
      <c r="AD47" s="179">
        <f ca="1">IF(ISNUMBER(MATCH(DATEVALUE($A47),'recurring1_based on steps'!AD$1:AD$400,0)),AD$2,)</f>
        <v>0</v>
      </c>
      <c r="AE47" s="179">
        <f ca="1">IF(ISNUMBER(MATCH(DATEVALUE($A47),'recurring1_based on steps'!AE$1:AE$400,0)),AE$2,)</f>
        <v>0</v>
      </c>
      <c r="AF47" s="179">
        <f ca="1">IF(ISNUMBER(MATCH(DATEVALUE($A47),'recurring1_based on steps'!AF$1:AF$400,0)),AF$2,)</f>
        <v>0</v>
      </c>
      <c r="AG47" s="179">
        <f ca="1">IF(ISNUMBER(MATCH(DATEVALUE($A47),'recurring1_based on steps'!AG$1:AG$400,0)),AG$2,)</f>
        <v>0</v>
      </c>
      <c r="AH47" s="179">
        <f ca="1">IF(ISNUMBER(MATCH(DATEVALUE($A47),'recurring1_based on steps'!AH$1:AH$400,0)),AH$2,)</f>
        <v>0</v>
      </c>
      <c r="AI47" s="179">
        <f ca="1">IF(ISNUMBER(MATCH(DATEVALUE($A47),'recurring1_based on steps'!AI$1:AI$400,0)),AI$2,)</f>
        <v>0</v>
      </c>
      <c r="AJ47" s="179">
        <f ca="1">IF(ISNUMBER(MATCH(DATEVALUE($A47),'recurring1_based on steps'!AJ$1:AJ$400,0)),AJ$2,)</f>
        <v>0</v>
      </c>
      <c r="AK47" s="179">
        <f ca="1">IF(ISNUMBER(MATCH(DATEVALUE($A47),'recurring1_based on steps'!AK$1:AK$400,0)),AK$2,)</f>
        <v>0</v>
      </c>
      <c r="AL47" s="179">
        <f ca="1">IF(ISNUMBER(MATCH(DATEVALUE($A47),'recurring1_based on steps'!AL$1:AL$400,0)),AL$2,)</f>
        <v>0</v>
      </c>
      <c r="AM47" s="179">
        <f ca="1">IF(ISNUMBER(MATCH(DATEVALUE($A47),'recurring1_based on steps'!AM$1:AM$400,0)),AM$2,)</f>
        <v>0</v>
      </c>
      <c r="AN47" s="179">
        <f ca="1">IF(ISNUMBER(MATCH(DATEVALUE($A47),'recurring1_based on steps'!AN$1:AN$400,0)),AN$2,)</f>
        <v>0</v>
      </c>
      <c r="AO47" s="179">
        <f ca="1">IF(ISNUMBER(MATCH(DATEVALUE($A47),'recurring1_based on steps'!AO$1:AO$400,0)),AO$2,)</f>
        <v>0</v>
      </c>
      <c r="AP47" s="179">
        <f ca="1">IF(ISNUMBER(MATCH(DATEVALUE($A47),'recurring1_based on steps'!AP$1:AP$400,0)),AP$2,)</f>
        <v>0</v>
      </c>
      <c r="AQ47" s="179">
        <f ca="1">IF(ISNUMBER(MATCH(DATEVALUE($A47),'recurring1_based on steps'!AQ$1:AQ$400,0)),AQ$2,)</f>
        <v>0</v>
      </c>
      <c r="AR47" s="179">
        <f ca="1">IF(ISNUMBER(MATCH(DATEVALUE($A47),'recurring1_based on steps'!AR$1:AR$400,0)),AR$2,)</f>
        <v>0</v>
      </c>
      <c r="AS47" s="179">
        <f ca="1">IF(ISNUMBER(MATCH(DATEVALUE($A47),'recurring1_based on steps'!AS$1:AS$400,0)),AS$2,)</f>
        <v>0</v>
      </c>
      <c r="AT47" s="179">
        <f ca="1">IF(ISNUMBER(MATCH(DATEVALUE($A47),'recurring1_based on steps'!AT$1:AT$400,0)),AT$2,)</f>
        <v>0</v>
      </c>
      <c r="AU47" s="179">
        <f ca="1">IF(ISNUMBER(MATCH(DATEVALUE($A47),'recurring1_based on steps'!AU$1:AU$400,0)),AU$2,)</f>
        <v>0</v>
      </c>
      <c r="AV47" s="179">
        <f ca="1">IF(ISNUMBER(MATCH(DATEVALUE($A47),'recurring1_based on steps'!AV$1:AV$400,0)),AV$2,)</f>
        <v>0</v>
      </c>
      <c r="AW47" s="179">
        <f ca="1">IF(ISNUMBER(MATCH(DATEVALUE($A47),'recurring1_based on steps'!AW$1:AW$400,0)),AW$2,)</f>
        <v>0</v>
      </c>
      <c r="AX47" s="179">
        <f ca="1">IF(ISNUMBER(MATCH(DATEVALUE($A47),'recurring1_based on steps'!AX$1:AX$400,0)),AX$2,)</f>
        <v>0</v>
      </c>
      <c r="AY47" s="179">
        <f ca="1">IF(ISNUMBER(MATCH(DATEVALUE($A47),'recurring1_based on steps'!AY$1:AY$400,0)),AY$2,)</f>
        <v>0</v>
      </c>
    </row>
    <row r="48" spans="1:51" x14ac:dyDescent="0.2">
      <c r="A48" s="32" t="str">
        <f t="shared" ca="1" si="0"/>
        <v>2025-05-13</v>
      </c>
      <c r="B48" s="179">
        <f ca="1">IF(ISNUMBER(MATCH(DATEVALUE($A48),'recurring1_based on steps'!B$1:B$400,0)),B$2,)</f>
        <v>0</v>
      </c>
      <c r="C48" s="179">
        <f ca="1">IF(ISNUMBER(MATCH(DATEVALUE($A48),'recurring1_based on steps'!C$1:C$400,0)),C$2,)</f>
        <v>0</v>
      </c>
      <c r="D48" s="179">
        <f ca="1">IF(ISNUMBER(MATCH(DATEVALUE($A48),'recurring1_based on steps'!D$1:D$400,0)),D$2,)</f>
        <v>0</v>
      </c>
      <c r="E48" s="179">
        <f ca="1">IF(ISNUMBER(MATCH(DATEVALUE($A48),'recurring1_based on steps'!E$1:E$400,0)),E$2,)</f>
        <v>0</v>
      </c>
      <c r="F48" s="179">
        <f ca="1">IF(ISNUMBER(MATCH(DATEVALUE($A48),'recurring1_based on steps'!F$1:F$400,0)),F$2,)</f>
        <v>0</v>
      </c>
      <c r="G48" s="179">
        <f ca="1">IF(ISNUMBER(MATCH(DATEVALUE($A48),'recurring1_based on steps'!G$1:G$400,0)),G$2,)</f>
        <v>0</v>
      </c>
      <c r="H48" s="179">
        <f ca="1">IF(ISNUMBER(MATCH(DATEVALUE($A48),'recurring1_based on steps'!H$1:H$400,0)),H$2,)</f>
        <v>0</v>
      </c>
      <c r="I48" s="179">
        <f ca="1">IF(ISNUMBER(MATCH(DATEVALUE($A48),'recurring1_based on steps'!I$1:I$400,0)),I$2,)</f>
        <v>0</v>
      </c>
      <c r="J48" s="179">
        <f ca="1">IF(ISNUMBER(MATCH(DATEVALUE($A48),'recurring1_based on steps'!J$1:J$400,0)),J$2,)</f>
        <v>0</v>
      </c>
      <c r="K48" s="179">
        <f ca="1">IF(ISNUMBER(MATCH(DATEVALUE($A48),'recurring1_based on steps'!K$1:K$400,0)),K$2,)</f>
        <v>0</v>
      </c>
      <c r="L48" s="179">
        <f ca="1">IF(ISNUMBER(MATCH(DATEVALUE($A48),'recurring1_based on steps'!L$1:L$400,0)),L$2,)</f>
        <v>0</v>
      </c>
      <c r="M48" s="179">
        <f ca="1">IF(ISNUMBER(MATCH(DATEVALUE($A48),'recurring1_based on steps'!M$1:M$400,0)),M$2,)</f>
        <v>0</v>
      </c>
      <c r="N48" s="179">
        <f ca="1">IF(ISNUMBER(MATCH(DATEVALUE($A48),'recurring1_based on steps'!N$1:N$400,0)),N$2,)</f>
        <v>0</v>
      </c>
      <c r="O48" s="179">
        <f ca="1">IF(ISNUMBER(MATCH(DATEVALUE($A48),'recurring1_based on steps'!O$1:O$400,0)),O$2,)</f>
        <v>0</v>
      </c>
      <c r="P48" s="179">
        <f ca="1">IF(ISNUMBER(MATCH(DATEVALUE($A48),'recurring1_based on steps'!P$1:P$400,0)),P$2,)</f>
        <v>0</v>
      </c>
      <c r="Q48" s="179">
        <f ca="1">IF(ISNUMBER(MATCH(DATEVALUE($A48),'recurring1_based on steps'!Q$1:Q$400,0)),Q$2,)</f>
        <v>0</v>
      </c>
      <c r="R48" s="179">
        <f ca="1">IF(ISNUMBER(MATCH(DATEVALUE($A48),'recurring1_based on steps'!R$1:R$400,0)),R$2,)</f>
        <v>0</v>
      </c>
      <c r="S48" s="179">
        <f ca="1">IF(ISNUMBER(MATCH(DATEVALUE($A48),'recurring1_based on steps'!S$1:S$400,0)),S$2,)</f>
        <v>0</v>
      </c>
      <c r="T48" s="179">
        <f ca="1">IF(ISNUMBER(MATCH(DATEVALUE($A48),'recurring1_based on steps'!T$1:T$400,0)),T$2,)</f>
        <v>0</v>
      </c>
      <c r="U48" s="179">
        <f ca="1">IF(ISNUMBER(MATCH(DATEVALUE($A48),'recurring1_based on steps'!U$1:U$400,0)),U$2,)</f>
        <v>0</v>
      </c>
      <c r="V48" s="179">
        <f ca="1">IF(ISNUMBER(MATCH(DATEVALUE($A48),'recurring1_based on steps'!V$1:V$400,0)),V$2,)</f>
        <v>0</v>
      </c>
      <c r="W48" s="179">
        <f ca="1">IF(ISNUMBER(MATCH(DATEVALUE($A48),'recurring1_based on steps'!W$1:W$400,0)),W$2,)</f>
        <v>0</v>
      </c>
      <c r="X48" s="179">
        <f ca="1">IF(ISNUMBER(MATCH(DATEVALUE($A48),'recurring1_based on steps'!X$1:X$400,0)),X$2,)</f>
        <v>0</v>
      </c>
      <c r="Y48" s="179">
        <f ca="1">IF(ISNUMBER(MATCH(DATEVALUE($A48),'recurring1_based on steps'!Y$1:Y$400,0)),Y$2,)</f>
        <v>0</v>
      </c>
      <c r="Z48" s="179">
        <f ca="1">IF(ISNUMBER(MATCH(DATEVALUE($A48),'recurring1_based on steps'!Z$1:Z$400,0)),Z$2,)</f>
        <v>0</v>
      </c>
      <c r="AA48" s="179">
        <f ca="1">IF(ISNUMBER(MATCH(DATEVALUE($A48),'recurring1_based on steps'!AA$1:AA$400,0)),AA$2,)</f>
        <v>0</v>
      </c>
      <c r="AB48" s="179">
        <f ca="1">IF(ISNUMBER(MATCH(DATEVALUE($A48),'recurring1_based on steps'!AB$1:AB$400,0)),AB$2,)</f>
        <v>0</v>
      </c>
      <c r="AC48" s="179">
        <f ca="1">IF(ISNUMBER(MATCH(DATEVALUE($A48),'recurring1_based on steps'!AC$1:AC$400,0)),AC$2,)</f>
        <v>0</v>
      </c>
      <c r="AD48" s="179">
        <f ca="1">IF(ISNUMBER(MATCH(DATEVALUE($A48),'recurring1_based on steps'!AD$1:AD$400,0)),AD$2,)</f>
        <v>0</v>
      </c>
      <c r="AE48" s="179">
        <f ca="1">IF(ISNUMBER(MATCH(DATEVALUE($A48),'recurring1_based on steps'!AE$1:AE$400,0)),AE$2,)</f>
        <v>0</v>
      </c>
      <c r="AF48" s="179">
        <f ca="1">IF(ISNUMBER(MATCH(DATEVALUE($A48),'recurring1_based on steps'!AF$1:AF$400,0)),AF$2,)</f>
        <v>0</v>
      </c>
      <c r="AG48" s="179">
        <f ca="1">IF(ISNUMBER(MATCH(DATEVALUE($A48),'recurring1_based on steps'!AG$1:AG$400,0)),AG$2,)</f>
        <v>0</v>
      </c>
      <c r="AH48" s="179">
        <f ca="1">IF(ISNUMBER(MATCH(DATEVALUE($A48),'recurring1_based on steps'!AH$1:AH$400,0)),AH$2,)</f>
        <v>0</v>
      </c>
      <c r="AI48" s="179">
        <f ca="1">IF(ISNUMBER(MATCH(DATEVALUE($A48),'recurring1_based on steps'!AI$1:AI$400,0)),AI$2,)</f>
        <v>0</v>
      </c>
      <c r="AJ48" s="179">
        <f ca="1">IF(ISNUMBER(MATCH(DATEVALUE($A48),'recurring1_based on steps'!AJ$1:AJ$400,0)),AJ$2,)</f>
        <v>0</v>
      </c>
      <c r="AK48" s="179">
        <f ca="1">IF(ISNUMBER(MATCH(DATEVALUE($A48),'recurring1_based on steps'!AK$1:AK$400,0)),AK$2,)</f>
        <v>0</v>
      </c>
      <c r="AL48" s="179">
        <f ca="1">IF(ISNUMBER(MATCH(DATEVALUE($A48),'recurring1_based on steps'!AL$1:AL$400,0)),AL$2,)</f>
        <v>0</v>
      </c>
      <c r="AM48" s="179">
        <f ca="1">IF(ISNUMBER(MATCH(DATEVALUE($A48),'recurring1_based on steps'!AM$1:AM$400,0)),AM$2,)</f>
        <v>0</v>
      </c>
      <c r="AN48" s="179">
        <f ca="1">IF(ISNUMBER(MATCH(DATEVALUE($A48),'recurring1_based on steps'!AN$1:AN$400,0)),AN$2,)</f>
        <v>0</v>
      </c>
      <c r="AO48" s="179">
        <f ca="1">IF(ISNUMBER(MATCH(DATEVALUE($A48),'recurring1_based on steps'!AO$1:AO$400,0)),AO$2,)</f>
        <v>0</v>
      </c>
      <c r="AP48" s="179">
        <f ca="1">IF(ISNUMBER(MATCH(DATEVALUE($A48),'recurring1_based on steps'!AP$1:AP$400,0)),AP$2,)</f>
        <v>0</v>
      </c>
      <c r="AQ48" s="179">
        <f ca="1">IF(ISNUMBER(MATCH(DATEVALUE($A48),'recurring1_based on steps'!AQ$1:AQ$400,0)),AQ$2,)</f>
        <v>0</v>
      </c>
      <c r="AR48" s="179">
        <f ca="1">IF(ISNUMBER(MATCH(DATEVALUE($A48),'recurring1_based on steps'!AR$1:AR$400,0)),AR$2,)</f>
        <v>0</v>
      </c>
      <c r="AS48" s="179">
        <f ca="1">IF(ISNUMBER(MATCH(DATEVALUE($A48),'recurring1_based on steps'!AS$1:AS$400,0)),AS$2,)</f>
        <v>0</v>
      </c>
      <c r="AT48" s="179">
        <f ca="1">IF(ISNUMBER(MATCH(DATEVALUE($A48),'recurring1_based on steps'!AT$1:AT$400,0)),AT$2,)</f>
        <v>0</v>
      </c>
      <c r="AU48" s="179">
        <f ca="1">IF(ISNUMBER(MATCH(DATEVALUE($A48),'recurring1_based on steps'!AU$1:AU$400,0)),AU$2,)</f>
        <v>0</v>
      </c>
      <c r="AV48" s="179">
        <f ca="1">IF(ISNUMBER(MATCH(DATEVALUE($A48),'recurring1_based on steps'!AV$1:AV$400,0)),AV$2,)</f>
        <v>0</v>
      </c>
      <c r="AW48" s="179">
        <f ca="1">IF(ISNUMBER(MATCH(DATEVALUE($A48),'recurring1_based on steps'!AW$1:AW$400,0)),AW$2,)</f>
        <v>0</v>
      </c>
      <c r="AX48" s="179">
        <f ca="1">IF(ISNUMBER(MATCH(DATEVALUE($A48),'recurring1_based on steps'!AX$1:AX$400,0)),AX$2,)</f>
        <v>0</v>
      </c>
      <c r="AY48" s="179">
        <f ca="1">IF(ISNUMBER(MATCH(DATEVALUE($A48),'recurring1_based on steps'!AY$1:AY$400,0)),AY$2,)</f>
        <v>0</v>
      </c>
    </row>
    <row r="49" spans="1:51" x14ac:dyDescent="0.2">
      <c r="A49" s="32" t="str">
        <f t="shared" ca="1" si="0"/>
        <v>2025-05-14</v>
      </c>
      <c r="B49" s="179">
        <f ca="1">IF(ISNUMBER(MATCH(DATEVALUE($A49),'recurring1_based on steps'!B$1:B$400,0)),B$2,)</f>
        <v>0</v>
      </c>
      <c r="C49" s="179">
        <f ca="1">IF(ISNUMBER(MATCH(DATEVALUE($A49),'recurring1_based on steps'!C$1:C$400,0)),C$2,)</f>
        <v>0</v>
      </c>
      <c r="D49" s="179">
        <f ca="1">IF(ISNUMBER(MATCH(DATEVALUE($A49),'recurring1_based on steps'!D$1:D$400,0)),D$2,)</f>
        <v>0</v>
      </c>
      <c r="E49" s="179">
        <f ca="1">IF(ISNUMBER(MATCH(DATEVALUE($A49),'recurring1_based on steps'!E$1:E$400,0)),E$2,)</f>
        <v>0</v>
      </c>
      <c r="F49" s="179">
        <f ca="1">IF(ISNUMBER(MATCH(DATEVALUE($A49),'recurring1_based on steps'!F$1:F$400,0)),F$2,)</f>
        <v>0</v>
      </c>
      <c r="G49" s="179">
        <f ca="1">IF(ISNUMBER(MATCH(DATEVALUE($A49),'recurring1_based on steps'!G$1:G$400,0)),G$2,)</f>
        <v>0</v>
      </c>
      <c r="H49" s="179">
        <f ca="1">IF(ISNUMBER(MATCH(DATEVALUE($A49),'recurring1_based on steps'!H$1:H$400,0)),H$2,)</f>
        <v>0</v>
      </c>
      <c r="I49" s="179">
        <f ca="1">IF(ISNUMBER(MATCH(DATEVALUE($A49),'recurring1_based on steps'!I$1:I$400,0)),I$2,)</f>
        <v>0</v>
      </c>
      <c r="J49" s="179">
        <f ca="1">IF(ISNUMBER(MATCH(DATEVALUE($A49),'recurring1_based on steps'!J$1:J$400,0)),J$2,)</f>
        <v>0</v>
      </c>
      <c r="K49" s="179">
        <f ca="1">IF(ISNUMBER(MATCH(DATEVALUE($A49),'recurring1_based on steps'!K$1:K$400,0)),K$2,)</f>
        <v>0</v>
      </c>
      <c r="L49" s="179">
        <f ca="1">IF(ISNUMBER(MATCH(DATEVALUE($A49),'recurring1_based on steps'!L$1:L$400,0)),L$2,)</f>
        <v>0</v>
      </c>
      <c r="M49" s="179">
        <f ca="1">IF(ISNUMBER(MATCH(DATEVALUE($A49),'recurring1_based on steps'!M$1:M$400,0)),M$2,)</f>
        <v>0</v>
      </c>
      <c r="N49" s="179">
        <f ca="1">IF(ISNUMBER(MATCH(DATEVALUE($A49),'recurring1_based on steps'!N$1:N$400,0)),N$2,)</f>
        <v>0</v>
      </c>
      <c r="O49" s="179">
        <f ca="1">IF(ISNUMBER(MATCH(DATEVALUE($A49),'recurring1_based on steps'!O$1:O$400,0)),O$2,)</f>
        <v>0</v>
      </c>
      <c r="P49" s="179">
        <f ca="1">IF(ISNUMBER(MATCH(DATEVALUE($A49),'recurring1_based on steps'!P$1:P$400,0)),P$2,)</f>
        <v>0</v>
      </c>
      <c r="Q49" s="179">
        <f ca="1">IF(ISNUMBER(MATCH(DATEVALUE($A49),'recurring1_based on steps'!Q$1:Q$400,0)),Q$2,)</f>
        <v>0</v>
      </c>
      <c r="R49" s="179">
        <f ca="1">IF(ISNUMBER(MATCH(DATEVALUE($A49),'recurring1_based on steps'!R$1:R$400,0)),R$2,)</f>
        <v>0</v>
      </c>
      <c r="S49" s="179">
        <f ca="1">IF(ISNUMBER(MATCH(DATEVALUE($A49),'recurring1_based on steps'!S$1:S$400,0)),S$2,)</f>
        <v>0</v>
      </c>
      <c r="T49" s="179">
        <f ca="1">IF(ISNUMBER(MATCH(DATEVALUE($A49),'recurring1_based on steps'!T$1:T$400,0)),T$2,)</f>
        <v>0</v>
      </c>
      <c r="U49" s="179">
        <f ca="1">IF(ISNUMBER(MATCH(DATEVALUE($A49),'recurring1_based on steps'!U$1:U$400,0)),U$2,)</f>
        <v>0</v>
      </c>
      <c r="V49" s="179">
        <f ca="1">IF(ISNUMBER(MATCH(DATEVALUE($A49),'recurring1_based on steps'!V$1:V$400,0)),V$2,)</f>
        <v>0</v>
      </c>
      <c r="W49" s="179">
        <f ca="1">IF(ISNUMBER(MATCH(DATEVALUE($A49),'recurring1_based on steps'!W$1:W$400,0)),W$2,)</f>
        <v>0</v>
      </c>
      <c r="X49" s="179">
        <f ca="1">IF(ISNUMBER(MATCH(DATEVALUE($A49),'recurring1_based on steps'!X$1:X$400,0)),X$2,)</f>
        <v>0</v>
      </c>
      <c r="Y49" s="179">
        <f ca="1">IF(ISNUMBER(MATCH(DATEVALUE($A49),'recurring1_based on steps'!Y$1:Y$400,0)),Y$2,)</f>
        <v>0</v>
      </c>
      <c r="Z49" s="179">
        <f ca="1">IF(ISNUMBER(MATCH(DATEVALUE($A49),'recurring1_based on steps'!Z$1:Z$400,0)),Z$2,)</f>
        <v>0</v>
      </c>
      <c r="AA49" s="179">
        <f ca="1">IF(ISNUMBER(MATCH(DATEVALUE($A49),'recurring1_based on steps'!AA$1:AA$400,0)),AA$2,)</f>
        <v>0</v>
      </c>
      <c r="AB49" s="179">
        <f ca="1">IF(ISNUMBER(MATCH(DATEVALUE($A49),'recurring1_based on steps'!AB$1:AB$400,0)),AB$2,)</f>
        <v>0</v>
      </c>
      <c r="AC49" s="179">
        <f ca="1">IF(ISNUMBER(MATCH(DATEVALUE($A49),'recurring1_based on steps'!AC$1:AC$400,0)),AC$2,)</f>
        <v>0</v>
      </c>
      <c r="AD49" s="179">
        <f ca="1">IF(ISNUMBER(MATCH(DATEVALUE($A49),'recurring1_based on steps'!AD$1:AD$400,0)),AD$2,)</f>
        <v>0</v>
      </c>
      <c r="AE49" s="179">
        <f ca="1">IF(ISNUMBER(MATCH(DATEVALUE($A49),'recurring1_based on steps'!AE$1:AE$400,0)),AE$2,)</f>
        <v>0</v>
      </c>
      <c r="AF49" s="179">
        <f ca="1">IF(ISNUMBER(MATCH(DATEVALUE($A49),'recurring1_based on steps'!AF$1:AF$400,0)),AF$2,)</f>
        <v>0</v>
      </c>
      <c r="AG49" s="179">
        <f ca="1">IF(ISNUMBER(MATCH(DATEVALUE($A49),'recurring1_based on steps'!AG$1:AG$400,0)),AG$2,)</f>
        <v>0</v>
      </c>
      <c r="AH49" s="179">
        <f ca="1">IF(ISNUMBER(MATCH(DATEVALUE($A49),'recurring1_based on steps'!AH$1:AH$400,0)),AH$2,)</f>
        <v>0</v>
      </c>
      <c r="AI49" s="179">
        <f ca="1">IF(ISNUMBER(MATCH(DATEVALUE($A49),'recurring1_based on steps'!AI$1:AI$400,0)),AI$2,)</f>
        <v>0</v>
      </c>
      <c r="AJ49" s="179">
        <f ca="1">IF(ISNUMBER(MATCH(DATEVALUE($A49),'recurring1_based on steps'!AJ$1:AJ$400,0)),AJ$2,)</f>
        <v>0</v>
      </c>
      <c r="AK49" s="179">
        <f ca="1">IF(ISNUMBER(MATCH(DATEVALUE($A49),'recurring1_based on steps'!AK$1:AK$400,0)),AK$2,)</f>
        <v>0</v>
      </c>
      <c r="AL49" s="179">
        <f ca="1">IF(ISNUMBER(MATCH(DATEVALUE($A49),'recurring1_based on steps'!AL$1:AL$400,0)),AL$2,)</f>
        <v>0</v>
      </c>
      <c r="AM49" s="179">
        <f ca="1">IF(ISNUMBER(MATCH(DATEVALUE($A49),'recurring1_based on steps'!AM$1:AM$400,0)),AM$2,)</f>
        <v>0</v>
      </c>
      <c r="AN49" s="179">
        <f ca="1">IF(ISNUMBER(MATCH(DATEVALUE($A49),'recurring1_based on steps'!AN$1:AN$400,0)),AN$2,)</f>
        <v>0</v>
      </c>
      <c r="AO49" s="179">
        <f ca="1">IF(ISNUMBER(MATCH(DATEVALUE($A49),'recurring1_based on steps'!AO$1:AO$400,0)),AO$2,)</f>
        <v>0</v>
      </c>
      <c r="AP49" s="179">
        <f ca="1">IF(ISNUMBER(MATCH(DATEVALUE($A49),'recurring1_based on steps'!AP$1:AP$400,0)),AP$2,)</f>
        <v>0</v>
      </c>
      <c r="AQ49" s="179">
        <f ca="1">IF(ISNUMBER(MATCH(DATEVALUE($A49),'recurring1_based on steps'!AQ$1:AQ$400,0)),AQ$2,)</f>
        <v>0</v>
      </c>
      <c r="AR49" s="179">
        <f ca="1">IF(ISNUMBER(MATCH(DATEVALUE($A49),'recurring1_based on steps'!AR$1:AR$400,0)),AR$2,)</f>
        <v>0</v>
      </c>
      <c r="AS49" s="179">
        <f ca="1">IF(ISNUMBER(MATCH(DATEVALUE($A49),'recurring1_based on steps'!AS$1:AS$400,0)),AS$2,)</f>
        <v>0</v>
      </c>
      <c r="AT49" s="179">
        <f ca="1">IF(ISNUMBER(MATCH(DATEVALUE($A49),'recurring1_based on steps'!AT$1:AT$400,0)),AT$2,)</f>
        <v>0</v>
      </c>
      <c r="AU49" s="179">
        <f ca="1">IF(ISNUMBER(MATCH(DATEVALUE($A49),'recurring1_based on steps'!AU$1:AU$400,0)),AU$2,)</f>
        <v>0</v>
      </c>
      <c r="AV49" s="179">
        <f ca="1">IF(ISNUMBER(MATCH(DATEVALUE($A49),'recurring1_based on steps'!AV$1:AV$400,0)),AV$2,)</f>
        <v>0</v>
      </c>
      <c r="AW49" s="179">
        <f ca="1">IF(ISNUMBER(MATCH(DATEVALUE($A49),'recurring1_based on steps'!AW$1:AW$400,0)),AW$2,)</f>
        <v>0</v>
      </c>
      <c r="AX49" s="179">
        <f ca="1">IF(ISNUMBER(MATCH(DATEVALUE($A49),'recurring1_based on steps'!AX$1:AX$400,0)),AX$2,)</f>
        <v>0</v>
      </c>
      <c r="AY49" s="179">
        <f ca="1">IF(ISNUMBER(MATCH(DATEVALUE($A49),'recurring1_based on steps'!AY$1:AY$400,0)),AY$2,)</f>
        <v>0</v>
      </c>
    </row>
    <row r="50" spans="1:51" x14ac:dyDescent="0.2">
      <c r="A50" s="32" t="str">
        <f t="shared" ca="1" si="0"/>
        <v>2025-05-15</v>
      </c>
      <c r="B50" s="179">
        <f ca="1">IF(ISNUMBER(MATCH(DATEVALUE($A50),'recurring1_based on steps'!B$1:B$400,0)),B$2,)</f>
        <v>0</v>
      </c>
      <c r="C50" s="179">
        <f ca="1">IF(ISNUMBER(MATCH(DATEVALUE($A50),'recurring1_based on steps'!C$1:C$400,0)),C$2,)</f>
        <v>0</v>
      </c>
      <c r="D50" s="179">
        <f ca="1">IF(ISNUMBER(MATCH(DATEVALUE($A50),'recurring1_based on steps'!D$1:D$400,0)),D$2,)</f>
        <v>0</v>
      </c>
      <c r="E50" s="179">
        <f ca="1">IF(ISNUMBER(MATCH(DATEVALUE($A50),'recurring1_based on steps'!E$1:E$400,0)),E$2,)</f>
        <v>0</v>
      </c>
      <c r="F50" s="179">
        <f ca="1">IF(ISNUMBER(MATCH(DATEVALUE($A50),'recurring1_based on steps'!F$1:F$400,0)),F$2,)</f>
        <v>0</v>
      </c>
      <c r="G50" s="179">
        <f ca="1">IF(ISNUMBER(MATCH(DATEVALUE($A50),'recurring1_based on steps'!G$1:G$400,0)),G$2,)</f>
        <v>0</v>
      </c>
      <c r="H50" s="179">
        <f ca="1">IF(ISNUMBER(MATCH(DATEVALUE($A50),'recurring1_based on steps'!H$1:H$400,0)),H$2,)</f>
        <v>0</v>
      </c>
      <c r="I50" s="179">
        <f ca="1">IF(ISNUMBER(MATCH(DATEVALUE($A50),'recurring1_based on steps'!I$1:I$400,0)),I$2,)</f>
        <v>0</v>
      </c>
      <c r="J50" s="179">
        <f ca="1">IF(ISNUMBER(MATCH(DATEVALUE($A50),'recurring1_based on steps'!J$1:J$400,0)),J$2,)</f>
        <v>0</v>
      </c>
      <c r="K50" s="179">
        <f ca="1">IF(ISNUMBER(MATCH(DATEVALUE($A50),'recurring1_based on steps'!K$1:K$400,0)),K$2,)</f>
        <v>0</v>
      </c>
      <c r="L50" s="179">
        <f ca="1">IF(ISNUMBER(MATCH(DATEVALUE($A50),'recurring1_based on steps'!L$1:L$400,0)),L$2,)</f>
        <v>0</v>
      </c>
      <c r="M50" s="179">
        <f ca="1">IF(ISNUMBER(MATCH(DATEVALUE($A50),'recurring1_based on steps'!M$1:M$400,0)),M$2,)</f>
        <v>0</v>
      </c>
      <c r="N50" s="179">
        <f ca="1">IF(ISNUMBER(MATCH(DATEVALUE($A50),'recurring1_based on steps'!N$1:N$400,0)),N$2,)</f>
        <v>0</v>
      </c>
      <c r="O50" s="179">
        <f ca="1">IF(ISNUMBER(MATCH(DATEVALUE($A50),'recurring1_based on steps'!O$1:O$400,0)),O$2,)</f>
        <v>0</v>
      </c>
      <c r="P50" s="179">
        <f ca="1">IF(ISNUMBER(MATCH(DATEVALUE($A50),'recurring1_based on steps'!P$1:P$400,0)),P$2,)</f>
        <v>0</v>
      </c>
      <c r="Q50" s="179">
        <f ca="1">IF(ISNUMBER(MATCH(DATEVALUE($A50),'recurring1_based on steps'!Q$1:Q$400,0)),Q$2,)</f>
        <v>0</v>
      </c>
      <c r="R50" s="179">
        <f ca="1">IF(ISNUMBER(MATCH(DATEVALUE($A50),'recurring1_based on steps'!R$1:R$400,0)),R$2,)</f>
        <v>0</v>
      </c>
      <c r="S50" s="179">
        <f ca="1">IF(ISNUMBER(MATCH(DATEVALUE($A50),'recurring1_based on steps'!S$1:S$400,0)),S$2,)</f>
        <v>0</v>
      </c>
      <c r="T50" s="179">
        <f ca="1">IF(ISNUMBER(MATCH(DATEVALUE($A50),'recurring1_based on steps'!T$1:T$400,0)),T$2,)</f>
        <v>0</v>
      </c>
      <c r="U50" s="179">
        <f ca="1">IF(ISNUMBER(MATCH(DATEVALUE($A50),'recurring1_based on steps'!U$1:U$400,0)),U$2,)</f>
        <v>0</v>
      </c>
      <c r="V50" s="179">
        <f ca="1">IF(ISNUMBER(MATCH(DATEVALUE($A50),'recurring1_based on steps'!V$1:V$400,0)),V$2,)</f>
        <v>0</v>
      </c>
      <c r="W50" s="179">
        <f ca="1">IF(ISNUMBER(MATCH(DATEVALUE($A50),'recurring1_based on steps'!W$1:W$400,0)),W$2,)</f>
        <v>0</v>
      </c>
      <c r="X50" s="179">
        <f ca="1">IF(ISNUMBER(MATCH(DATEVALUE($A50),'recurring1_based on steps'!X$1:X$400,0)),X$2,)</f>
        <v>0</v>
      </c>
      <c r="Y50" s="179">
        <f ca="1">IF(ISNUMBER(MATCH(DATEVALUE($A50),'recurring1_based on steps'!Y$1:Y$400,0)),Y$2,)</f>
        <v>0</v>
      </c>
      <c r="Z50" s="179">
        <f ca="1">IF(ISNUMBER(MATCH(DATEVALUE($A50),'recurring1_based on steps'!Z$1:Z$400,0)),Z$2,)</f>
        <v>0</v>
      </c>
      <c r="AA50" s="179">
        <f ca="1">IF(ISNUMBER(MATCH(DATEVALUE($A50),'recurring1_based on steps'!AA$1:AA$400,0)),AA$2,)</f>
        <v>0</v>
      </c>
      <c r="AB50" s="179">
        <f ca="1">IF(ISNUMBER(MATCH(DATEVALUE($A50),'recurring1_based on steps'!AB$1:AB$400,0)),AB$2,)</f>
        <v>0</v>
      </c>
      <c r="AC50" s="179">
        <f ca="1">IF(ISNUMBER(MATCH(DATEVALUE($A50),'recurring1_based on steps'!AC$1:AC$400,0)),AC$2,)</f>
        <v>0</v>
      </c>
      <c r="AD50" s="179">
        <f ca="1">IF(ISNUMBER(MATCH(DATEVALUE($A50),'recurring1_based on steps'!AD$1:AD$400,0)),AD$2,)</f>
        <v>0</v>
      </c>
      <c r="AE50" s="179">
        <f ca="1">IF(ISNUMBER(MATCH(DATEVALUE($A50),'recurring1_based on steps'!AE$1:AE$400,0)),AE$2,)</f>
        <v>0</v>
      </c>
      <c r="AF50" s="179">
        <f ca="1">IF(ISNUMBER(MATCH(DATEVALUE($A50),'recurring1_based on steps'!AF$1:AF$400,0)),AF$2,)</f>
        <v>0</v>
      </c>
      <c r="AG50" s="179">
        <f ca="1">IF(ISNUMBER(MATCH(DATEVALUE($A50),'recurring1_based on steps'!AG$1:AG$400,0)),AG$2,)</f>
        <v>0</v>
      </c>
      <c r="AH50" s="179">
        <f ca="1">IF(ISNUMBER(MATCH(DATEVALUE($A50),'recurring1_based on steps'!AH$1:AH$400,0)),AH$2,)</f>
        <v>0</v>
      </c>
      <c r="AI50" s="179">
        <f ca="1">IF(ISNUMBER(MATCH(DATEVALUE($A50),'recurring1_based on steps'!AI$1:AI$400,0)),AI$2,)</f>
        <v>0</v>
      </c>
      <c r="AJ50" s="179">
        <f ca="1">IF(ISNUMBER(MATCH(DATEVALUE($A50),'recurring1_based on steps'!AJ$1:AJ$400,0)),AJ$2,)</f>
        <v>0</v>
      </c>
      <c r="AK50" s="179">
        <f ca="1">IF(ISNUMBER(MATCH(DATEVALUE($A50),'recurring1_based on steps'!AK$1:AK$400,0)),AK$2,)</f>
        <v>0</v>
      </c>
      <c r="AL50" s="179">
        <f ca="1">IF(ISNUMBER(MATCH(DATEVALUE($A50),'recurring1_based on steps'!AL$1:AL$400,0)),AL$2,)</f>
        <v>0</v>
      </c>
      <c r="AM50" s="179">
        <f ca="1">IF(ISNUMBER(MATCH(DATEVALUE($A50),'recurring1_based on steps'!AM$1:AM$400,0)),AM$2,)</f>
        <v>0</v>
      </c>
      <c r="AN50" s="179">
        <f ca="1">IF(ISNUMBER(MATCH(DATEVALUE($A50),'recurring1_based on steps'!AN$1:AN$400,0)),AN$2,)</f>
        <v>0</v>
      </c>
      <c r="AO50" s="179">
        <f ca="1">IF(ISNUMBER(MATCH(DATEVALUE($A50),'recurring1_based on steps'!AO$1:AO$400,0)),AO$2,)</f>
        <v>0</v>
      </c>
      <c r="AP50" s="179">
        <f ca="1">IF(ISNUMBER(MATCH(DATEVALUE($A50),'recurring1_based on steps'!AP$1:AP$400,0)),AP$2,)</f>
        <v>0</v>
      </c>
      <c r="AQ50" s="179">
        <f ca="1">IF(ISNUMBER(MATCH(DATEVALUE($A50),'recurring1_based on steps'!AQ$1:AQ$400,0)),AQ$2,)</f>
        <v>0</v>
      </c>
      <c r="AR50" s="179">
        <f ca="1">IF(ISNUMBER(MATCH(DATEVALUE($A50),'recurring1_based on steps'!AR$1:AR$400,0)),AR$2,)</f>
        <v>0</v>
      </c>
      <c r="AS50" s="179">
        <f ca="1">IF(ISNUMBER(MATCH(DATEVALUE($A50),'recurring1_based on steps'!AS$1:AS$400,0)),AS$2,)</f>
        <v>0</v>
      </c>
      <c r="AT50" s="179">
        <f ca="1">IF(ISNUMBER(MATCH(DATEVALUE($A50),'recurring1_based on steps'!AT$1:AT$400,0)),AT$2,)</f>
        <v>0</v>
      </c>
      <c r="AU50" s="179">
        <f ca="1">IF(ISNUMBER(MATCH(DATEVALUE($A50),'recurring1_based on steps'!AU$1:AU$400,0)),AU$2,)</f>
        <v>0</v>
      </c>
      <c r="AV50" s="179">
        <f ca="1">IF(ISNUMBER(MATCH(DATEVALUE($A50),'recurring1_based on steps'!AV$1:AV$400,0)),AV$2,)</f>
        <v>0</v>
      </c>
      <c r="AW50" s="179">
        <f ca="1">IF(ISNUMBER(MATCH(DATEVALUE($A50),'recurring1_based on steps'!AW$1:AW$400,0)),AW$2,)</f>
        <v>0</v>
      </c>
      <c r="AX50" s="179">
        <f ca="1">IF(ISNUMBER(MATCH(DATEVALUE($A50),'recurring1_based on steps'!AX$1:AX$400,0)),AX$2,)</f>
        <v>0</v>
      </c>
      <c r="AY50" s="179">
        <f ca="1">IF(ISNUMBER(MATCH(DATEVALUE($A50),'recurring1_based on steps'!AY$1:AY$400,0)),AY$2,)</f>
        <v>0</v>
      </c>
    </row>
    <row r="51" spans="1:51" x14ac:dyDescent="0.2">
      <c r="A51" s="32" t="str">
        <f t="shared" ca="1" si="0"/>
        <v>2025-05-16</v>
      </c>
      <c r="B51" s="179">
        <f ca="1">IF(ISNUMBER(MATCH(DATEVALUE($A51),'recurring1_based on steps'!B$1:B$400,0)),B$2,)</f>
        <v>0</v>
      </c>
      <c r="C51" s="179">
        <f ca="1">IF(ISNUMBER(MATCH(DATEVALUE($A51),'recurring1_based on steps'!C$1:C$400,0)),C$2,)</f>
        <v>0</v>
      </c>
      <c r="D51" s="179">
        <f ca="1">IF(ISNUMBER(MATCH(DATEVALUE($A51),'recurring1_based on steps'!D$1:D$400,0)),D$2,)</f>
        <v>0</v>
      </c>
      <c r="E51" s="179">
        <f ca="1">IF(ISNUMBER(MATCH(DATEVALUE($A51),'recurring1_based on steps'!E$1:E$400,0)),E$2,)</f>
        <v>0</v>
      </c>
      <c r="F51" s="179">
        <f ca="1">IF(ISNUMBER(MATCH(DATEVALUE($A51),'recurring1_based on steps'!F$1:F$400,0)),F$2,)</f>
        <v>0</v>
      </c>
      <c r="G51" s="179">
        <f ca="1">IF(ISNUMBER(MATCH(DATEVALUE($A51),'recurring1_based on steps'!G$1:G$400,0)),G$2,)</f>
        <v>0</v>
      </c>
      <c r="H51" s="179">
        <f ca="1">IF(ISNUMBER(MATCH(DATEVALUE($A51),'recurring1_based on steps'!H$1:H$400,0)),H$2,)</f>
        <v>0</v>
      </c>
      <c r="I51" s="179">
        <f ca="1">IF(ISNUMBER(MATCH(DATEVALUE($A51),'recurring1_based on steps'!I$1:I$400,0)),I$2,)</f>
        <v>0</v>
      </c>
      <c r="J51" s="179">
        <f ca="1">IF(ISNUMBER(MATCH(DATEVALUE($A51),'recurring1_based on steps'!J$1:J$400,0)),J$2,)</f>
        <v>0</v>
      </c>
      <c r="K51" s="179">
        <f ca="1">IF(ISNUMBER(MATCH(DATEVALUE($A51),'recurring1_based on steps'!K$1:K$400,0)),K$2,)</f>
        <v>0</v>
      </c>
      <c r="L51" s="179">
        <f ca="1">IF(ISNUMBER(MATCH(DATEVALUE($A51),'recurring1_based on steps'!L$1:L$400,0)),L$2,)</f>
        <v>0</v>
      </c>
      <c r="M51" s="179">
        <f ca="1">IF(ISNUMBER(MATCH(DATEVALUE($A51),'recurring1_based on steps'!M$1:M$400,0)),M$2,)</f>
        <v>0</v>
      </c>
      <c r="N51" s="179">
        <f ca="1">IF(ISNUMBER(MATCH(DATEVALUE($A51),'recurring1_based on steps'!N$1:N$400,0)),N$2,)</f>
        <v>0</v>
      </c>
      <c r="O51" s="179">
        <f ca="1">IF(ISNUMBER(MATCH(DATEVALUE($A51),'recurring1_based on steps'!O$1:O$400,0)),O$2,)</f>
        <v>0</v>
      </c>
      <c r="P51" s="179">
        <f ca="1">IF(ISNUMBER(MATCH(DATEVALUE($A51),'recurring1_based on steps'!P$1:P$400,0)),P$2,)</f>
        <v>0</v>
      </c>
      <c r="Q51" s="179">
        <f ca="1">IF(ISNUMBER(MATCH(DATEVALUE($A51),'recurring1_based on steps'!Q$1:Q$400,0)),Q$2,)</f>
        <v>0</v>
      </c>
      <c r="R51" s="179">
        <f ca="1">IF(ISNUMBER(MATCH(DATEVALUE($A51),'recurring1_based on steps'!R$1:R$400,0)),R$2,)</f>
        <v>0</v>
      </c>
      <c r="S51" s="179">
        <f ca="1">IF(ISNUMBER(MATCH(DATEVALUE($A51),'recurring1_based on steps'!S$1:S$400,0)),S$2,)</f>
        <v>0</v>
      </c>
      <c r="T51" s="179">
        <f ca="1">IF(ISNUMBER(MATCH(DATEVALUE($A51),'recurring1_based on steps'!T$1:T$400,0)),T$2,)</f>
        <v>0</v>
      </c>
      <c r="U51" s="179">
        <f ca="1">IF(ISNUMBER(MATCH(DATEVALUE($A51),'recurring1_based on steps'!U$1:U$400,0)),U$2,)</f>
        <v>0</v>
      </c>
      <c r="V51" s="179">
        <f ca="1">IF(ISNUMBER(MATCH(DATEVALUE($A51),'recurring1_based on steps'!V$1:V$400,0)),V$2,)</f>
        <v>0</v>
      </c>
      <c r="W51" s="179">
        <f ca="1">IF(ISNUMBER(MATCH(DATEVALUE($A51),'recurring1_based on steps'!W$1:W$400,0)),W$2,)</f>
        <v>0</v>
      </c>
      <c r="X51" s="179">
        <f ca="1">IF(ISNUMBER(MATCH(DATEVALUE($A51),'recurring1_based on steps'!X$1:X$400,0)),X$2,)</f>
        <v>0</v>
      </c>
      <c r="Y51" s="179">
        <f ca="1">IF(ISNUMBER(MATCH(DATEVALUE($A51),'recurring1_based on steps'!Y$1:Y$400,0)),Y$2,)</f>
        <v>0</v>
      </c>
      <c r="Z51" s="179">
        <f ca="1">IF(ISNUMBER(MATCH(DATEVALUE($A51),'recurring1_based on steps'!Z$1:Z$400,0)),Z$2,)</f>
        <v>0</v>
      </c>
      <c r="AA51" s="179">
        <f ca="1">IF(ISNUMBER(MATCH(DATEVALUE($A51),'recurring1_based on steps'!AA$1:AA$400,0)),AA$2,)</f>
        <v>0</v>
      </c>
      <c r="AB51" s="179">
        <f ca="1">IF(ISNUMBER(MATCH(DATEVALUE($A51),'recurring1_based on steps'!AB$1:AB$400,0)),AB$2,)</f>
        <v>0</v>
      </c>
      <c r="AC51" s="179">
        <f ca="1">IF(ISNUMBER(MATCH(DATEVALUE($A51),'recurring1_based on steps'!AC$1:AC$400,0)),AC$2,)</f>
        <v>0</v>
      </c>
      <c r="AD51" s="179">
        <f ca="1">IF(ISNUMBER(MATCH(DATEVALUE($A51),'recurring1_based on steps'!AD$1:AD$400,0)),AD$2,)</f>
        <v>0</v>
      </c>
      <c r="AE51" s="179">
        <f ca="1">IF(ISNUMBER(MATCH(DATEVALUE($A51),'recurring1_based on steps'!AE$1:AE$400,0)),AE$2,)</f>
        <v>0</v>
      </c>
      <c r="AF51" s="179">
        <f ca="1">IF(ISNUMBER(MATCH(DATEVALUE($A51),'recurring1_based on steps'!AF$1:AF$400,0)),AF$2,)</f>
        <v>0</v>
      </c>
      <c r="AG51" s="179">
        <f ca="1">IF(ISNUMBER(MATCH(DATEVALUE($A51),'recurring1_based on steps'!AG$1:AG$400,0)),AG$2,)</f>
        <v>0</v>
      </c>
      <c r="AH51" s="179">
        <f ca="1">IF(ISNUMBER(MATCH(DATEVALUE($A51),'recurring1_based on steps'!AH$1:AH$400,0)),AH$2,)</f>
        <v>0</v>
      </c>
      <c r="AI51" s="179">
        <f ca="1">IF(ISNUMBER(MATCH(DATEVALUE($A51),'recurring1_based on steps'!AI$1:AI$400,0)),AI$2,)</f>
        <v>0</v>
      </c>
      <c r="AJ51" s="179">
        <f ca="1">IF(ISNUMBER(MATCH(DATEVALUE($A51),'recurring1_based on steps'!AJ$1:AJ$400,0)),AJ$2,)</f>
        <v>0</v>
      </c>
      <c r="AK51" s="179">
        <f ca="1">IF(ISNUMBER(MATCH(DATEVALUE($A51),'recurring1_based on steps'!AK$1:AK$400,0)),AK$2,)</f>
        <v>0</v>
      </c>
      <c r="AL51" s="179">
        <f ca="1">IF(ISNUMBER(MATCH(DATEVALUE($A51),'recurring1_based on steps'!AL$1:AL$400,0)),AL$2,)</f>
        <v>0</v>
      </c>
      <c r="AM51" s="179">
        <f ca="1">IF(ISNUMBER(MATCH(DATEVALUE($A51),'recurring1_based on steps'!AM$1:AM$400,0)),AM$2,)</f>
        <v>0</v>
      </c>
      <c r="AN51" s="179">
        <f ca="1">IF(ISNUMBER(MATCH(DATEVALUE($A51),'recurring1_based on steps'!AN$1:AN$400,0)),AN$2,)</f>
        <v>0</v>
      </c>
      <c r="AO51" s="179">
        <f ca="1">IF(ISNUMBER(MATCH(DATEVALUE($A51),'recurring1_based on steps'!AO$1:AO$400,0)),AO$2,)</f>
        <v>0</v>
      </c>
      <c r="AP51" s="179">
        <f ca="1">IF(ISNUMBER(MATCH(DATEVALUE($A51),'recurring1_based on steps'!AP$1:AP$400,0)),AP$2,)</f>
        <v>0</v>
      </c>
      <c r="AQ51" s="179">
        <f ca="1">IF(ISNUMBER(MATCH(DATEVALUE($A51),'recurring1_based on steps'!AQ$1:AQ$400,0)),AQ$2,)</f>
        <v>0</v>
      </c>
      <c r="AR51" s="179">
        <f ca="1">IF(ISNUMBER(MATCH(DATEVALUE($A51),'recurring1_based on steps'!AR$1:AR$400,0)),AR$2,)</f>
        <v>0</v>
      </c>
      <c r="AS51" s="179">
        <f ca="1">IF(ISNUMBER(MATCH(DATEVALUE($A51),'recurring1_based on steps'!AS$1:AS$400,0)),AS$2,)</f>
        <v>0</v>
      </c>
      <c r="AT51" s="179">
        <f ca="1">IF(ISNUMBER(MATCH(DATEVALUE($A51),'recurring1_based on steps'!AT$1:AT$400,0)),AT$2,)</f>
        <v>0</v>
      </c>
      <c r="AU51" s="179">
        <f ca="1">IF(ISNUMBER(MATCH(DATEVALUE($A51),'recurring1_based on steps'!AU$1:AU$400,0)),AU$2,)</f>
        <v>0</v>
      </c>
      <c r="AV51" s="179">
        <f ca="1">IF(ISNUMBER(MATCH(DATEVALUE($A51),'recurring1_based on steps'!AV$1:AV$400,0)),AV$2,)</f>
        <v>0</v>
      </c>
      <c r="AW51" s="179">
        <f ca="1">IF(ISNUMBER(MATCH(DATEVALUE($A51),'recurring1_based on steps'!AW$1:AW$400,0)),AW$2,)</f>
        <v>0</v>
      </c>
      <c r="AX51" s="179">
        <f ca="1">IF(ISNUMBER(MATCH(DATEVALUE($A51),'recurring1_based on steps'!AX$1:AX$400,0)),AX$2,)</f>
        <v>0</v>
      </c>
      <c r="AY51" s="179">
        <f ca="1">IF(ISNUMBER(MATCH(DATEVALUE($A51),'recurring1_based on steps'!AY$1:AY$400,0)),AY$2,)</f>
        <v>0</v>
      </c>
    </row>
    <row r="52" spans="1:51" x14ac:dyDescent="0.2">
      <c r="A52" s="32" t="str">
        <f t="shared" ca="1" si="0"/>
        <v>2025-05-17</v>
      </c>
      <c r="B52" s="179">
        <f ca="1">IF(ISNUMBER(MATCH(DATEVALUE($A52),'recurring1_based on steps'!B$1:B$400,0)),B$2,)</f>
        <v>0</v>
      </c>
      <c r="C52" s="179">
        <f ca="1">IF(ISNUMBER(MATCH(DATEVALUE($A52),'recurring1_based on steps'!C$1:C$400,0)),C$2,)</f>
        <v>0</v>
      </c>
      <c r="D52" s="179">
        <f ca="1">IF(ISNUMBER(MATCH(DATEVALUE($A52),'recurring1_based on steps'!D$1:D$400,0)),D$2,)</f>
        <v>0</v>
      </c>
      <c r="E52" s="179">
        <f ca="1">IF(ISNUMBER(MATCH(DATEVALUE($A52),'recurring1_based on steps'!E$1:E$400,0)),E$2,)</f>
        <v>0</v>
      </c>
      <c r="F52" s="179">
        <f ca="1">IF(ISNUMBER(MATCH(DATEVALUE($A52),'recurring1_based on steps'!F$1:F$400,0)),F$2,)</f>
        <v>0</v>
      </c>
      <c r="G52" s="179">
        <f ca="1">IF(ISNUMBER(MATCH(DATEVALUE($A52),'recurring1_based on steps'!G$1:G$400,0)),G$2,)</f>
        <v>0</v>
      </c>
      <c r="H52" s="179">
        <f ca="1">IF(ISNUMBER(MATCH(DATEVALUE($A52),'recurring1_based on steps'!H$1:H$400,0)),H$2,)</f>
        <v>0</v>
      </c>
      <c r="I52" s="179">
        <f ca="1">IF(ISNUMBER(MATCH(DATEVALUE($A52),'recurring1_based on steps'!I$1:I$400,0)),I$2,)</f>
        <v>0</v>
      </c>
      <c r="J52" s="179">
        <f ca="1">IF(ISNUMBER(MATCH(DATEVALUE($A52),'recurring1_based on steps'!J$1:J$400,0)),J$2,)</f>
        <v>0</v>
      </c>
      <c r="K52" s="179">
        <f ca="1">IF(ISNUMBER(MATCH(DATEVALUE($A52),'recurring1_based on steps'!K$1:K$400,0)),K$2,)</f>
        <v>0</v>
      </c>
      <c r="L52" s="179">
        <f ca="1">IF(ISNUMBER(MATCH(DATEVALUE($A52),'recurring1_based on steps'!L$1:L$400,0)),L$2,)</f>
        <v>0</v>
      </c>
      <c r="M52" s="179">
        <f ca="1">IF(ISNUMBER(MATCH(DATEVALUE($A52),'recurring1_based on steps'!M$1:M$400,0)),M$2,)</f>
        <v>0</v>
      </c>
      <c r="N52" s="179">
        <f ca="1">IF(ISNUMBER(MATCH(DATEVALUE($A52),'recurring1_based on steps'!N$1:N$400,0)),N$2,)</f>
        <v>0</v>
      </c>
      <c r="O52" s="179">
        <f ca="1">IF(ISNUMBER(MATCH(DATEVALUE($A52),'recurring1_based on steps'!O$1:O$400,0)),O$2,)</f>
        <v>0</v>
      </c>
      <c r="P52" s="179">
        <f ca="1">IF(ISNUMBER(MATCH(DATEVALUE($A52),'recurring1_based on steps'!P$1:P$400,0)),P$2,)</f>
        <v>0</v>
      </c>
      <c r="Q52" s="179">
        <f ca="1">IF(ISNUMBER(MATCH(DATEVALUE($A52),'recurring1_based on steps'!Q$1:Q$400,0)),Q$2,)</f>
        <v>0</v>
      </c>
      <c r="R52" s="179">
        <f ca="1">IF(ISNUMBER(MATCH(DATEVALUE($A52),'recurring1_based on steps'!R$1:R$400,0)),R$2,)</f>
        <v>0</v>
      </c>
      <c r="S52" s="179">
        <f ca="1">IF(ISNUMBER(MATCH(DATEVALUE($A52),'recurring1_based on steps'!S$1:S$400,0)),S$2,)</f>
        <v>0</v>
      </c>
      <c r="T52" s="179">
        <f ca="1">IF(ISNUMBER(MATCH(DATEVALUE($A52),'recurring1_based on steps'!T$1:T$400,0)),T$2,)</f>
        <v>0</v>
      </c>
      <c r="U52" s="179">
        <f ca="1">IF(ISNUMBER(MATCH(DATEVALUE($A52),'recurring1_based on steps'!U$1:U$400,0)),U$2,)</f>
        <v>0</v>
      </c>
      <c r="V52" s="179">
        <f ca="1">IF(ISNUMBER(MATCH(DATEVALUE($A52),'recurring1_based on steps'!V$1:V$400,0)),V$2,)</f>
        <v>0</v>
      </c>
      <c r="W52" s="179">
        <f ca="1">IF(ISNUMBER(MATCH(DATEVALUE($A52),'recurring1_based on steps'!W$1:W$400,0)),W$2,)</f>
        <v>0</v>
      </c>
      <c r="X52" s="179">
        <f ca="1">IF(ISNUMBER(MATCH(DATEVALUE($A52),'recurring1_based on steps'!X$1:X$400,0)),X$2,)</f>
        <v>0</v>
      </c>
      <c r="Y52" s="179">
        <f ca="1">IF(ISNUMBER(MATCH(DATEVALUE($A52),'recurring1_based on steps'!Y$1:Y$400,0)),Y$2,)</f>
        <v>0</v>
      </c>
      <c r="Z52" s="179">
        <f ca="1">IF(ISNUMBER(MATCH(DATEVALUE($A52),'recurring1_based on steps'!Z$1:Z$400,0)),Z$2,)</f>
        <v>0</v>
      </c>
      <c r="AA52" s="179">
        <f ca="1">IF(ISNUMBER(MATCH(DATEVALUE($A52),'recurring1_based on steps'!AA$1:AA$400,0)),AA$2,)</f>
        <v>0</v>
      </c>
      <c r="AB52" s="179">
        <f ca="1">IF(ISNUMBER(MATCH(DATEVALUE($A52),'recurring1_based on steps'!AB$1:AB$400,0)),AB$2,)</f>
        <v>0</v>
      </c>
      <c r="AC52" s="179">
        <f ca="1">IF(ISNUMBER(MATCH(DATEVALUE($A52),'recurring1_based on steps'!AC$1:AC$400,0)),AC$2,)</f>
        <v>0</v>
      </c>
      <c r="AD52" s="179">
        <f ca="1">IF(ISNUMBER(MATCH(DATEVALUE($A52),'recurring1_based on steps'!AD$1:AD$400,0)),AD$2,)</f>
        <v>0</v>
      </c>
      <c r="AE52" s="179">
        <f ca="1">IF(ISNUMBER(MATCH(DATEVALUE($A52),'recurring1_based on steps'!AE$1:AE$400,0)),AE$2,)</f>
        <v>0</v>
      </c>
      <c r="AF52" s="179">
        <f ca="1">IF(ISNUMBER(MATCH(DATEVALUE($A52),'recurring1_based on steps'!AF$1:AF$400,0)),AF$2,)</f>
        <v>0</v>
      </c>
      <c r="AG52" s="179">
        <f ca="1">IF(ISNUMBER(MATCH(DATEVALUE($A52),'recurring1_based on steps'!AG$1:AG$400,0)),AG$2,)</f>
        <v>0</v>
      </c>
      <c r="AH52" s="179">
        <f ca="1">IF(ISNUMBER(MATCH(DATEVALUE($A52),'recurring1_based on steps'!AH$1:AH$400,0)),AH$2,)</f>
        <v>0</v>
      </c>
      <c r="AI52" s="179">
        <f ca="1">IF(ISNUMBER(MATCH(DATEVALUE($A52),'recurring1_based on steps'!AI$1:AI$400,0)),AI$2,)</f>
        <v>0</v>
      </c>
      <c r="AJ52" s="179">
        <f ca="1">IF(ISNUMBER(MATCH(DATEVALUE($A52),'recurring1_based on steps'!AJ$1:AJ$400,0)),AJ$2,)</f>
        <v>0</v>
      </c>
      <c r="AK52" s="179">
        <f ca="1">IF(ISNUMBER(MATCH(DATEVALUE($A52),'recurring1_based on steps'!AK$1:AK$400,0)),AK$2,)</f>
        <v>0</v>
      </c>
      <c r="AL52" s="179">
        <f ca="1">IF(ISNUMBER(MATCH(DATEVALUE($A52),'recurring1_based on steps'!AL$1:AL$400,0)),AL$2,)</f>
        <v>0</v>
      </c>
      <c r="AM52" s="179">
        <f ca="1">IF(ISNUMBER(MATCH(DATEVALUE($A52),'recurring1_based on steps'!AM$1:AM$400,0)),AM$2,)</f>
        <v>0</v>
      </c>
      <c r="AN52" s="179">
        <f ca="1">IF(ISNUMBER(MATCH(DATEVALUE($A52),'recurring1_based on steps'!AN$1:AN$400,0)),AN$2,)</f>
        <v>0</v>
      </c>
      <c r="AO52" s="179">
        <f ca="1">IF(ISNUMBER(MATCH(DATEVALUE($A52),'recurring1_based on steps'!AO$1:AO$400,0)),AO$2,)</f>
        <v>0</v>
      </c>
      <c r="AP52" s="179">
        <f ca="1">IF(ISNUMBER(MATCH(DATEVALUE($A52),'recurring1_based on steps'!AP$1:AP$400,0)),AP$2,)</f>
        <v>0</v>
      </c>
      <c r="AQ52" s="179">
        <f ca="1">IF(ISNUMBER(MATCH(DATEVALUE($A52),'recurring1_based on steps'!AQ$1:AQ$400,0)),AQ$2,)</f>
        <v>0</v>
      </c>
      <c r="AR52" s="179">
        <f ca="1">IF(ISNUMBER(MATCH(DATEVALUE($A52),'recurring1_based on steps'!AR$1:AR$400,0)),AR$2,)</f>
        <v>0</v>
      </c>
      <c r="AS52" s="179">
        <f ca="1">IF(ISNUMBER(MATCH(DATEVALUE($A52),'recurring1_based on steps'!AS$1:AS$400,0)),AS$2,)</f>
        <v>0</v>
      </c>
      <c r="AT52" s="179">
        <f ca="1">IF(ISNUMBER(MATCH(DATEVALUE($A52),'recurring1_based on steps'!AT$1:AT$400,0)),AT$2,)</f>
        <v>0</v>
      </c>
      <c r="AU52" s="179">
        <f ca="1">IF(ISNUMBER(MATCH(DATEVALUE($A52),'recurring1_based on steps'!AU$1:AU$400,0)),AU$2,)</f>
        <v>0</v>
      </c>
      <c r="AV52" s="179">
        <f ca="1">IF(ISNUMBER(MATCH(DATEVALUE($A52),'recurring1_based on steps'!AV$1:AV$400,0)),AV$2,)</f>
        <v>0</v>
      </c>
      <c r="AW52" s="179">
        <f ca="1">IF(ISNUMBER(MATCH(DATEVALUE($A52),'recurring1_based on steps'!AW$1:AW$400,0)),AW$2,)</f>
        <v>0</v>
      </c>
      <c r="AX52" s="179">
        <f ca="1">IF(ISNUMBER(MATCH(DATEVALUE($A52),'recurring1_based on steps'!AX$1:AX$400,0)),AX$2,)</f>
        <v>0</v>
      </c>
      <c r="AY52" s="179">
        <f ca="1">IF(ISNUMBER(MATCH(DATEVALUE($A52),'recurring1_based on steps'!AY$1:AY$400,0)),AY$2,)</f>
        <v>0</v>
      </c>
    </row>
    <row r="53" spans="1:51" x14ac:dyDescent="0.2">
      <c r="A53" s="32" t="str">
        <f t="shared" ca="1" si="0"/>
        <v>2025-05-18</v>
      </c>
      <c r="B53" s="179">
        <f ca="1">IF(ISNUMBER(MATCH(DATEVALUE($A53),'recurring1_based on steps'!B$1:B$400,0)),B$2,)</f>
        <v>0</v>
      </c>
      <c r="C53" s="179">
        <f ca="1">IF(ISNUMBER(MATCH(DATEVALUE($A53),'recurring1_based on steps'!C$1:C$400,0)),C$2,)</f>
        <v>0</v>
      </c>
      <c r="D53" s="179">
        <f ca="1">IF(ISNUMBER(MATCH(DATEVALUE($A53),'recurring1_based on steps'!D$1:D$400,0)),D$2,)</f>
        <v>0</v>
      </c>
      <c r="E53" s="179">
        <f ca="1">IF(ISNUMBER(MATCH(DATEVALUE($A53),'recurring1_based on steps'!E$1:E$400,0)),E$2,)</f>
        <v>0</v>
      </c>
      <c r="F53" s="179">
        <f ca="1">IF(ISNUMBER(MATCH(DATEVALUE($A53),'recurring1_based on steps'!F$1:F$400,0)),F$2,)</f>
        <v>0</v>
      </c>
      <c r="G53" s="179">
        <f ca="1">IF(ISNUMBER(MATCH(DATEVALUE($A53),'recurring1_based on steps'!G$1:G$400,0)),G$2,)</f>
        <v>0</v>
      </c>
      <c r="H53" s="179">
        <f ca="1">IF(ISNUMBER(MATCH(DATEVALUE($A53),'recurring1_based on steps'!H$1:H$400,0)),H$2,)</f>
        <v>0</v>
      </c>
      <c r="I53" s="179">
        <f ca="1">IF(ISNUMBER(MATCH(DATEVALUE($A53),'recurring1_based on steps'!I$1:I$400,0)),I$2,)</f>
        <v>0</v>
      </c>
      <c r="J53" s="179">
        <f ca="1">IF(ISNUMBER(MATCH(DATEVALUE($A53),'recurring1_based on steps'!J$1:J$400,0)),J$2,)</f>
        <v>0</v>
      </c>
      <c r="K53" s="179">
        <f ca="1">IF(ISNUMBER(MATCH(DATEVALUE($A53),'recurring1_based on steps'!K$1:K$400,0)),K$2,)</f>
        <v>0</v>
      </c>
      <c r="L53" s="179">
        <f ca="1">IF(ISNUMBER(MATCH(DATEVALUE($A53),'recurring1_based on steps'!L$1:L$400,0)),L$2,)</f>
        <v>0</v>
      </c>
      <c r="M53" s="179">
        <f ca="1">IF(ISNUMBER(MATCH(DATEVALUE($A53),'recurring1_based on steps'!M$1:M$400,0)),M$2,)</f>
        <v>0</v>
      </c>
      <c r="N53" s="179">
        <f ca="1">IF(ISNUMBER(MATCH(DATEVALUE($A53),'recurring1_based on steps'!N$1:N$400,0)),N$2,)</f>
        <v>0</v>
      </c>
      <c r="O53" s="179">
        <f ca="1">IF(ISNUMBER(MATCH(DATEVALUE($A53),'recurring1_based on steps'!O$1:O$400,0)),O$2,)</f>
        <v>0</v>
      </c>
      <c r="P53" s="179">
        <f ca="1">IF(ISNUMBER(MATCH(DATEVALUE($A53),'recurring1_based on steps'!P$1:P$400,0)),P$2,)</f>
        <v>0</v>
      </c>
      <c r="Q53" s="179">
        <f ca="1">IF(ISNUMBER(MATCH(DATEVALUE($A53),'recurring1_based on steps'!Q$1:Q$400,0)),Q$2,)</f>
        <v>0</v>
      </c>
      <c r="R53" s="179">
        <f ca="1">IF(ISNUMBER(MATCH(DATEVALUE($A53),'recurring1_based on steps'!R$1:R$400,0)),R$2,)</f>
        <v>0</v>
      </c>
      <c r="S53" s="179">
        <f ca="1">IF(ISNUMBER(MATCH(DATEVALUE($A53),'recurring1_based on steps'!S$1:S$400,0)),S$2,)</f>
        <v>0</v>
      </c>
      <c r="T53" s="179">
        <f ca="1">IF(ISNUMBER(MATCH(DATEVALUE($A53),'recurring1_based on steps'!T$1:T$400,0)),T$2,)</f>
        <v>0</v>
      </c>
      <c r="U53" s="179">
        <f ca="1">IF(ISNUMBER(MATCH(DATEVALUE($A53),'recurring1_based on steps'!U$1:U$400,0)),U$2,)</f>
        <v>0</v>
      </c>
      <c r="V53" s="179">
        <f ca="1">IF(ISNUMBER(MATCH(DATEVALUE($A53),'recurring1_based on steps'!V$1:V$400,0)),V$2,)</f>
        <v>0</v>
      </c>
      <c r="W53" s="179">
        <f ca="1">IF(ISNUMBER(MATCH(DATEVALUE($A53),'recurring1_based on steps'!W$1:W$400,0)),W$2,)</f>
        <v>0</v>
      </c>
      <c r="X53" s="179">
        <f ca="1">IF(ISNUMBER(MATCH(DATEVALUE($A53),'recurring1_based on steps'!X$1:X$400,0)),X$2,)</f>
        <v>0</v>
      </c>
      <c r="Y53" s="179">
        <f ca="1">IF(ISNUMBER(MATCH(DATEVALUE($A53),'recurring1_based on steps'!Y$1:Y$400,0)),Y$2,)</f>
        <v>0</v>
      </c>
      <c r="Z53" s="179">
        <f ca="1">IF(ISNUMBER(MATCH(DATEVALUE($A53),'recurring1_based on steps'!Z$1:Z$400,0)),Z$2,)</f>
        <v>0</v>
      </c>
      <c r="AA53" s="179">
        <f ca="1">IF(ISNUMBER(MATCH(DATEVALUE($A53),'recurring1_based on steps'!AA$1:AA$400,0)),AA$2,)</f>
        <v>0</v>
      </c>
      <c r="AB53" s="179">
        <f ca="1">IF(ISNUMBER(MATCH(DATEVALUE($A53),'recurring1_based on steps'!AB$1:AB$400,0)),AB$2,)</f>
        <v>0</v>
      </c>
      <c r="AC53" s="179">
        <f ca="1">IF(ISNUMBER(MATCH(DATEVALUE($A53),'recurring1_based on steps'!AC$1:AC$400,0)),AC$2,)</f>
        <v>0</v>
      </c>
      <c r="AD53" s="179">
        <f ca="1">IF(ISNUMBER(MATCH(DATEVALUE($A53),'recurring1_based on steps'!AD$1:AD$400,0)),AD$2,)</f>
        <v>0</v>
      </c>
      <c r="AE53" s="179">
        <f ca="1">IF(ISNUMBER(MATCH(DATEVALUE($A53),'recurring1_based on steps'!AE$1:AE$400,0)),AE$2,)</f>
        <v>0</v>
      </c>
      <c r="AF53" s="179">
        <f ca="1">IF(ISNUMBER(MATCH(DATEVALUE($A53),'recurring1_based on steps'!AF$1:AF$400,0)),AF$2,)</f>
        <v>0</v>
      </c>
      <c r="AG53" s="179">
        <f ca="1">IF(ISNUMBER(MATCH(DATEVALUE($A53),'recurring1_based on steps'!AG$1:AG$400,0)),AG$2,)</f>
        <v>0</v>
      </c>
      <c r="AH53" s="179">
        <f ca="1">IF(ISNUMBER(MATCH(DATEVALUE($A53),'recurring1_based on steps'!AH$1:AH$400,0)),AH$2,)</f>
        <v>0</v>
      </c>
      <c r="AI53" s="179">
        <f ca="1">IF(ISNUMBER(MATCH(DATEVALUE($A53),'recurring1_based on steps'!AI$1:AI$400,0)),AI$2,)</f>
        <v>0</v>
      </c>
      <c r="AJ53" s="179">
        <f ca="1">IF(ISNUMBER(MATCH(DATEVALUE($A53),'recurring1_based on steps'!AJ$1:AJ$400,0)),AJ$2,)</f>
        <v>0</v>
      </c>
      <c r="AK53" s="179">
        <f ca="1">IF(ISNUMBER(MATCH(DATEVALUE($A53),'recurring1_based on steps'!AK$1:AK$400,0)),AK$2,)</f>
        <v>0</v>
      </c>
      <c r="AL53" s="179">
        <f ca="1">IF(ISNUMBER(MATCH(DATEVALUE($A53),'recurring1_based on steps'!AL$1:AL$400,0)),AL$2,)</f>
        <v>0</v>
      </c>
      <c r="AM53" s="179">
        <f ca="1">IF(ISNUMBER(MATCH(DATEVALUE($A53),'recurring1_based on steps'!AM$1:AM$400,0)),AM$2,)</f>
        <v>0</v>
      </c>
      <c r="AN53" s="179">
        <f ca="1">IF(ISNUMBER(MATCH(DATEVALUE($A53),'recurring1_based on steps'!AN$1:AN$400,0)),AN$2,)</f>
        <v>0</v>
      </c>
      <c r="AO53" s="179">
        <f ca="1">IF(ISNUMBER(MATCH(DATEVALUE($A53),'recurring1_based on steps'!AO$1:AO$400,0)),AO$2,)</f>
        <v>0</v>
      </c>
      <c r="AP53" s="179">
        <f ca="1">IF(ISNUMBER(MATCH(DATEVALUE($A53),'recurring1_based on steps'!AP$1:AP$400,0)),AP$2,)</f>
        <v>0</v>
      </c>
      <c r="AQ53" s="179">
        <f ca="1">IF(ISNUMBER(MATCH(DATEVALUE($A53),'recurring1_based on steps'!AQ$1:AQ$400,0)),AQ$2,)</f>
        <v>0</v>
      </c>
      <c r="AR53" s="179">
        <f ca="1">IF(ISNUMBER(MATCH(DATEVALUE($A53),'recurring1_based on steps'!AR$1:AR$400,0)),AR$2,)</f>
        <v>0</v>
      </c>
      <c r="AS53" s="179">
        <f ca="1">IF(ISNUMBER(MATCH(DATEVALUE($A53),'recurring1_based on steps'!AS$1:AS$400,0)),AS$2,)</f>
        <v>0</v>
      </c>
      <c r="AT53" s="179">
        <f ca="1">IF(ISNUMBER(MATCH(DATEVALUE($A53),'recurring1_based on steps'!AT$1:AT$400,0)),AT$2,)</f>
        <v>0</v>
      </c>
      <c r="AU53" s="179">
        <f ca="1">IF(ISNUMBER(MATCH(DATEVALUE($A53),'recurring1_based on steps'!AU$1:AU$400,0)),AU$2,)</f>
        <v>0</v>
      </c>
      <c r="AV53" s="179">
        <f ca="1">IF(ISNUMBER(MATCH(DATEVALUE($A53),'recurring1_based on steps'!AV$1:AV$400,0)),AV$2,)</f>
        <v>0</v>
      </c>
      <c r="AW53" s="179">
        <f ca="1">IF(ISNUMBER(MATCH(DATEVALUE($A53),'recurring1_based on steps'!AW$1:AW$400,0)),AW$2,)</f>
        <v>0</v>
      </c>
      <c r="AX53" s="179">
        <f ca="1">IF(ISNUMBER(MATCH(DATEVALUE($A53),'recurring1_based on steps'!AX$1:AX$400,0)),AX$2,)</f>
        <v>0</v>
      </c>
      <c r="AY53" s="179">
        <f ca="1">IF(ISNUMBER(MATCH(DATEVALUE($A53),'recurring1_based on steps'!AY$1:AY$400,0)),AY$2,)</f>
        <v>0</v>
      </c>
    </row>
    <row r="54" spans="1:51" x14ac:dyDescent="0.2">
      <c r="A54" s="32" t="str">
        <f t="shared" ca="1" si="0"/>
        <v>2025-05-19</v>
      </c>
      <c r="B54" s="179">
        <f ca="1">IF(ISNUMBER(MATCH(DATEVALUE($A54),'recurring1_based on steps'!B$1:B$400,0)),B$2,)</f>
        <v>0</v>
      </c>
      <c r="C54" s="179">
        <f ca="1">IF(ISNUMBER(MATCH(DATEVALUE($A54),'recurring1_based on steps'!C$1:C$400,0)),C$2,)</f>
        <v>0</v>
      </c>
      <c r="D54" s="179">
        <f ca="1">IF(ISNUMBER(MATCH(DATEVALUE($A54),'recurring1_based on steps'!D$1:D$400,0)),D$2,)</f>
        <v>0</v>
      </c>
      <c r="E54" s="179">
        <f ca="1">IF(ISNUMBER(MATCH(DATEVALUE($A54),'recurring1_based on steps'!E$1:E$400,0)),E$2,)</f>
        <v>0</v>
      </c>
      <c r="F54" s="179">
        <f ca="1">IF(ISNUMBER(MATCH(DATEVALUE($A54),'recurring1_based on steps'!F$1:F$400,0)),F$2,)</f>
        <v>0</v>
      </c>
      <c r="G54" s="179">
        <f ca="1">IF(ISNUMBER(MATCH(DATEVALUE($A54),'recurring1_based on steps'!G$1:G$400,0)),G$2,)</f>
        <v>0</v>
      </c>
      <c r="H54" s="179">
        <f ca="1">IF(ISNUMBER(MATCH(DATEVALUE($A54),'recurring1_based on steps'!H$1:H$400,0)),H$2,)</f>
        <v>0</v>
      </c>
      <c r="I54" s="179">
        <f ca="1">IF(ISNUMBER(MATCH(DATEVALUE($A54),'recurring1_based on steps'!I$1:I$400,0)),I$2,)</f>
        <v>0</v>
      </c>
      <c r="J54" s="179">
        <f ca="1">IF(ISNUMBER(MATCH(DATEVALUE($A54),'recurring1_based on steps'!J$1:J$400,0)),J$2,)</f>
        <v>0</v>
      </c>
      <c r="K54" s="179">
        <f ca="1">IF(ISNUMBER(MATCH(DATEVALUE($A54),'recurring1_based on steps'!K$1:K$400,0)),K$2,)</f>
        <v>0</v>
      </c>
      <c r="L54" s="179">
        <f ca="1">IF(ISNUMBER(MATCH(DATEVALUE($A54),'recurring1_based on steps'!L$1:L$400,0)),L$2,)</f>
        <v>0</v>
      </c>
      <c r="M54" s="179">
        <f ca="1">IF(ISNUMBER(MATCH(DATEVALUE($A54),'recurring1_based on steps'!M$1:M$400,0)),M$2,)</f>
        <v>0</v>
      </c>
      <c r="N54" s="179">
        <f ca="1">IF(ISNUMBER(MATCH(DATEVALUE($A54),'recurring1_based on steps'!N$1:N$400,0)),N$2,)</f>
        <v>0</v>
      </c>
      <c r="O54" s="179">
        <f ca="1">IF(ISNUMBER(MATCH(DATEVALUE($A54),'recurring1_based on steps'!O$1:O$400,0)),O$2,)</f>
        <v>0</v>
      </c>
      <c r="P54" s="179">
        <f ca="1">IF(ISNUMBER(MATCH(DATEVALUE($A54),'recurring1_based on steps'!P$1:P$400,0)),P$2,)</f>
        <v>0</v>
      </c>
      <c r="Q54" s="179">
        <f ca="1">IF(ISNUMBER(MATCH(DATEVALUE($A54),'recurring1_based on steps'!Q$1:Q$400,0)),Q$2,)</f>
        <v>0</v>
      </c>
      <c r="R54" s="179">
        <f ca="1">IF(ISNUMBER(MATCH(DATEVALUE($A54),'recurring1_based on steps'!R$1:R$400,0)),R$2,)</f>
        <v>0</v>
      </c>
      <c r="S54" s="179">
        <f ca="1">IF(ISNUMBER(MATCH(DATEVALUE($A54),'recurring1_based on steps'!S$1:S$400,0)),S$2,)</f>
        <v>0</v>
      </c>
      <c r="T54" s="179">
        <f ca="1">IF(ISNUMBER(MATCH(DATEVALUE($A54),'recurring1_based on steps'!T$1:T$400,0)),T$2,)</f>
        <v>0</v>
      </c>
      <c r="U54" s="179">
        <f ca="1">IF(ISNUMBER(MATCH(DATEVALUE($A54),'recurring1_based on steps'!U$1:U$400,0)),U$2,)</f>
        <v>0</v>
      </c>
      <c r="V54" s="179">
        <f ca="1">IF(ISNUMBER(MATCH(DATEVALUE($A54),'recurring1_based on steps'!V$1:V$400,0)),V$2,)</f>
        <v>0</v>
      </c>
      <c r="W54" s="179">
        <f ca="1">IF(ISNUMBER(MATCH(DATEVALUE($A54),'recurring1_based on steps'!W$1:W$400,0)),W$2,)</f>
        <v>0</v>
      </c>
      <c r="X54" s="179">
        <f ca="1">IF(ISNUMBER(MATCH(DATEVALUE($A54),'recurring1_based on steps'!X$1:X$400,0)),X$2,)</f>
        <v>0</v>
      </c>
      <c r="Y54" s="179">
        <f ca="1">IF(ISNUMBER(MATCH(DATEVALUE($A54),'recurring1_based on steps'!Y$1:Y$400,0)),Y$2,)</f>
        <v>0</v>
      </c>
      <c r="Z54" s="179">
        <f ca="1">IF(ISNUMBER(MATCH(DATEVALUE($A54),'recurring1_based on steps'!Z$1:Z$400,0)),Z$2,)</f>
        <v>0</v>
      </c>
      <c r="AA54" s="179">
        <f ca="1">IF(ISNUMBER(MATCH(DATEVALUE($A54),'recurring1_based on steps'!AA$1:AA$400,0)),AA$2,)</f>
        <v>0</v>
      </c>
      <c r="AB54" s="179">
        <f ca="1">IF(ISNUMBER(MATCH(DATEVALUE($A54),'recurring1_based on steps'!AB$1:AB$400,0)),AB$2,)</f>
        <v>0</v>
      </c>
      <c r="AC54" s="179">
        <f ca="1">IF(ISNUMBER(MATCH(DATEVALUE($A54),'recurring1_based on steps'!AC$1:AC$400,0)),AC$2,)</f>
        <v>0</v>
      </c>
      <c r="AD54" s="179">
        <f ca="1">IF(ISNUMBER(MATCH(DATEVALUE($A54),'recurring1_based on steps'!AD$1:AD$400,0)),AD$2,)</f>
        <v>0</v>
      </c>
      <c r="AE54" s="179">
        <f ca="1">IF(ISNUMBER(MATCH(DATEVALUE($A54),'recurring1_based on steps'!AE$1:AE$400,0)),AE$2,)</f>
        <v>0</v>
      </c>
      <c r="AF54" s="179">
        <f ca="1">IF(ISNUMBER(MATCH(DATEVALUE($A54),'recurring1_based on steps'!AF$1:AF$400,0)),AF$2,)</f>
        <v>0</v>
      </c>
      <c r="AG54" s="179">
        <f ca="1">IF(ISNUMBER(MATCH(DATEVALUE($A54),'recurring1_based on steps'!AG$1:AG$400,0)),AG$2,)</f>
        <v>0</v>
      </c>
      <c r="AH54" s="179">
        <f ca="1">IF(ISNUMBER(MATCH(DATEVALUE($A54),'recurring1_based on steps'!AH$1:AH$400,0)),AH$2,)</f>
        <v>0</v>
      </c>
      <c r="AI54" s="179">
        <f ca="1">IF(ISNUMBER(MATCH(DATEVALUE($A54),'recurring1_based on steps'!AI$1:AI$400,0)),AI$2,)</f>
        <v>0</v>
      </c>
      <c r="AJ54" s="179">
        <f ca="1">IF(ISNUMBER(MATCH(DATEVALUE($A54),'recurring1_based on steps'!AJ$1:AJ$400,0)),AJ$2,)</f>
        <v>0</v>
      </c>
      <c r="AK54" s="179">
        <f ca="1">IF(ISNUMBER(MATCH(DATEVALUE($A54),'recurring1_based on steps'!AK$1:AK$400,0)),AK$2,)</f>
        <v>0</v>
      </c>
      <c r="AL54" s="179">
        <f ca="1">IF(ISNUMBER(MATCH(DATEVALUE($A54),'recurring1_based on steps'!AL$1:AL$400,0)),AL$2,)</f>
        <v>0</v>
      </c>
      <c r="AM54" s="179">
        <f ca="1">IF(ISNUMBER(MATCH(DATEVALUE($A54),'recurring1_based on steps'!AM$1:AM$400,0)),AM$2,)</f>
        <v>0</v>
      </c>
      <c r="AN54" s="179">
        <f ca="1">IF(ISNUMBER(MATCH(DATEVALUE($A54),'recurring1_based on steps'!AN$1:AN$400,0)),AN$2,)</f>
        <v>0</v>
      </c>
      <c r="AO54" s="179">
        <f ca="1">IF(ISNUMBER(MATCH(DATEVALUE($A54),'recurring1_based on steps'!AO$1:AO$400,0)),AO$2,)</f>
        <v>0</v>
      </c>
      <c r="AP54" s="179">
        <f ca="1">IF(ISNUMBER(MATCH(DATEVALUE($A54),'recurring1_based on steps'!AP$1:AP$400,0)),AP$2,)</f>
        <v>0</v>
      </c>
      <c r="AQ54" s="179">
        <f ca="1">IF(ISNUMBER(MATCH(DATEVALUE($A54),'recurring1_based on steps'!AQ$1:AQ$400,0)),AQ$2,)</f>
        <v>0</v>
      </c>
      <c r="AR54" s="179">
        <f ca="1">IF(ISNUMBER(MATCH(DATEVALUE($A54),'recurring1_based on steps'!AR$1:AR$400,0)),AR$2,)</f>
        <v>0</v>
      </c>
      <c r="AS54" s="179">
        <f ca="1">IF(ISNUMBER(MATCH(DATEVALUE($A54),'recurring1_based on steps'!AS$1:AS$400,0)),AS$2,)</f>
        <v>0</v>
      </c>
      <c r="AT54" s="179">
        <f ca="1">IF(ISNUMBER(MATCH(DATEVALUE($A54),'recurring1_based on steps'!AT$1:AT$400,0)),AT$2,)</f>
        <v>0</v>
      </c>
      <c r="AU54" s="179">
        <f ca="1">IF(ISNUMBER(MATCH(DATEVALUE($A54),'recurring1_based on steps'!AU$1:AU$400,0)),AU$2,)</f>
        <v>0</v>
      </c>
      <c r="AV54" s="179">
        <f ca="1">IF(ISNUMBER(MATCH(DATEVALUE($A54),'recurring1_based on steps'!AV$1:AV$400,0)),AV$2,)</f>
        <v>0</v>
      </c>
      <c r="AW54" s="179">
        <f ca="1">IF(ISNUMBER(MATCH(DATEVALUE($A54),'recurring1_based on steps'!AW$1:AW$400,0)),AW$2,)</f>
        <v>0</v>
      </c>
      <c r="AX54" s="179">
        <f ca="1">IF(ISNUMBER(MATCH(DATEVALUE($A54),'recurring1_based on steps'!AX$1:AX$400,0)),AX$2,)</f>
        <v>0</v>
      </c>
      <c r="AY54" s="179">
        <f ca="1">IF(ISNUMBER(MATCH(DATEVALUE($A54),'recurring1_based on steps'!AY$1:AY$400,0)),AY$2,)</f>
        <v>0</v>
      </c>
    </row>
    <row r="55" spans="1:51" x14ac:dyDescent="0.2">
      <c r="A55" s="32" t="str">
        <f t="shared" ca="1" si="0"/>
        <v>2025-05-20</v>
      </c>
      <c r="B55" s="179">
        <f ca="1">IF(ISNUMBER(MATCH(DATEVALUE($A55),'recurring1_based on steps'!B$1:B$400,0)),B$2,)</f>
        <v>0</v>
      </c>
      <c r="C55" s="179">
        <f ca="1">IF(ISNUMBER(MATCH(DATEVALUE($A55),'recurring1_based on steps'!C$1:C$400,0)),C$2,)</f>
        <v>0</v>
      </c>
      <c r="D55" s="179">
        <f ca="1">IF(ISNUMBER(MATCH(DATEVALUE($A55),'recurring1_based on steps'!D$1:D$400,0)),D$2,)</f>
        <v>0</v>
      </c>
      <c r="E55" s="179">
        <f ca="1">IF(ISNUMBER(MATCH(DATEVALUE($A55),'recurring1_based on steps'!E$1:E$400,0)),E$2,)</f>
        <v>0</v>
      </c>
      <c r="F55" s="179">
        <f ca="1">IF(ISNUMBER(MATCH(DATEVALUE($A55),'recurring1_based on steps'!F$1:F$400,0)),F$2,)</f>
        <v>0</v>
      </c>
      <c r="G55" s="179">
        <f ca="1">IF(ISNUMBER(MATCH(DATEVALUE($A55),'recurring1_based on steps'!G$1:G$400,0)),G$2,)</f>
        <v>0</v>
      </c>
      <c r="H55" s="179">
        <f ca="1">IF(ISNUMBER(MATCH(DATEVALUE($A55),'recurring1_based on steps'!H$1:H$400,0)),H$2,)</f>
        <v>0</v>
      </c>
      <c r="I55" s="179">
        <f ca="1">IF(ISNUMBER(MATCH(DATEVALUE($A55),'recurring1_based on steps'!I$1:I$400,0)),I$2,)</f>
        <v>0</v>
      </c>
      <c r="J55" s="179">
        <f ca="1">IF(ISNUMBER(MATCH(DATEVALUE($A55),'recurring1_based on steps'!J$1:J$400,0)),J$2,)</f>
        <v>0</v>
      </c>
      <c r="K55" s="179">
        <f ca="1">IF(ISNUMBER(MATCH(DATEVALUE($A55),'recurring1_based on steps'!K$1:K$400,0)),K$2,)</f>
        <v>0</v>
      </c>
      <c r="L55" s="179">
        <f ca="1">IF(ISNUMBER(MATCH(DATEVALUE($A55),'recurring1_based on steps'!L$1:L$400,0)),L$2,)</f>
        <v>0</v>
      </c>
      <c r="M55" s="179">
        <f ca="1">IF(ISNUMBER(MATCH(DATEVALUE($A55),'recurring1_based on steps'!M$1:M$400,0)),M$2,)</f>
        <v>0</v>
      </c>
      <c r="N55" s="179">
        <f ca="1">IF(ISNUMBER(MATCH(DATEVALUE($A55),'recurring1_based on steps'!N$1:N$400,0)),N$2,)</f>
        <v>0</v>
      </c>
      <c r="O55" s="179">
        <f ca="1">IF(ISNUMBER(MATCH(DATEVALUE($A55),'recurring1_based on steps'!O$1:O$400,0)),O$2,)</f>
        <v>0</v>
      </c>
      <c r="P55" s="179">
        <f ca="1">IF(ISNUMBER(MATCH(DATEVALUE($A55),'recurring1_based on steps'!P$1:P$400,0)),P$2,)</f>
        <v>0</v>
      </c>
      <c r="Q55" s="179">
        <f ca="1">IF(ISNUMBER(MATCH(DATEVALUE($A55),'recurring1_based on steps'!Q$1:Q$400,0)),Q$2,)</f>
        <v>0</v>
      </c>
      <c r="R55" s="179">
        <f ca="1">IF(ISNUMBER(MATCH(DATEVALUE($A55),'recurring1_based on steps'!R$1:R$400,0)),R$2,)</f>
        <v>0</v>
      </c>
      <c r="S55" s="179">
        <f ca="1">IF(ISNUMBER(MATCH(DATEVALUE($A55),'recurring1_based on steps'!S$1:S$400,0)),S$2,)</f>
        <v>0</v>
      </c>
      <c r="T55" s="179">
        <f ca="1">IF(ISNUMBER(MATCH(DATEVALUE($A55),'recurring1_based on steps'!T$1:T$400,0)),T$2,)</f>
        <v>0</v>
      </c>
      <c r="U55" s="179">
        <f ca="1">IF(ISNUMBER(MATCH(DATEVALUE($A55),'recurring1_based on steps'!U$1:U$400,0)),U$2,)</f>
        <v>0</v>
      </c>
      <c r="V55" s="179">
        <f ca="1">IF(ISNUMBER(MATCH(DATEVALUE($A55),'recurring1_based on steps'!V$1:V$400,0)),V$2,)</f>
        <v>0</v>
      </c>
      <c r="W55" s="179">
        <f ca="1">IF(ISNUMBER(MATCH(DATEVALUE($A55),'recurring1_based on steps'!W$1:W$400,0)),W$2,)</f>
        <v>0</v>
      </c>
      <c r="X55" s="179">
        <f ca="1">IF(ISNUMBER(MATCH(DATEVALUE($A55),'recurring1_based on steps'!X$1:X$400,0)),X$2,)</f>
        <v>0</v>
      </c>
      <c r="Y55" s="179">
        <f ca="1">IF(ISNUMBER(MATCH(DATEVALUE($A55),'recurring1_based on steps'!Y$1:Y$400,0)),Y$2,)</f>
        <v>0</v>
      </c>
      <c r="Z55" s="179">
        <f ca="1">IF(ISNUMBER(MATCH(DATEVALUE($A55),'recurring1_based on steps'!Z$1:Z$400,0)),Z$2,)</f>
        <v>0</v>
      </c>
      <c r="AA55" s="179">
        <f ca="1">IF(ISNUMBER(MATCH(DATEVALUE($A55),'recurring1_based on steps'!AA$1:AA$400,0)),AA$2,)</f>
        <v>0</v>
      </c>
      <c r="AB55" s="179">
        <f ca="1">IF(ISNUMBER(MATCH(DATEVALUE($A55),'recurring1_based on steps'!AB$1:AB$400,0)),AB$2,)</f>
        <v>0</v>
      </c>
      <c r="AC55" s="179">
        <f ca="1">IF(ISNUMBER(MATCH(DATEVALUE($A55),'recurring1_based on steps'!AC$1:AC$400,0)),AC$2,)</f>
        <v>0</v>
      </c>
      <c r="AD55" s="179">
        <f ca="1">IF(ISNUMBER(MATCH(DATEVALUE($A55),'recurring1_based on steps'!AD$1:AD$400,0)),AD$2,)</f>
        <v>0</v>
      </c>
      <c r="AE55" s="179">
        <f ca="1">IF(ISNUMBER(MATCH(DATEVALUE($A55),'recurring1_based on steps'!AE$1:AE$400,0)),AE$2,)</f>
        <v>0</v>
      </c>
      <c r="AF55" s="179">
        <f ca="1">IF(ISNUMBER(MATCH(DATEVALUE($A55),'recurring1_based on steps'!AF$1:AF$400,0)),AF$2,)</f>
        <v>0</v>
      </c>
      <c r="AG55" s="179">
        <f ca="1">IF(ISNUMBER(MATCH(DATEVALUE($A55),'recurring1_based on steps'!AG$1:AG$400,0)),AG$2,)</f>
        <v>0</v>
      </c>
      <c r="AH55" s="179">
        <f ca="1">IF(ISNUMBER(MATCH(DATEVALUE($A55),'recurring1_based on steps'!AH$1:AH$400,0)),AH$2,)</f>
        <v>0</v>
      </c>
      <c r="AI55" s="179">
        <f ca="1">IF(ISNUMBER(MATCH(DATEVALUE($A55),'recurring1_based on steps'!AI$1:AI$400,0)),AI$2,)</f>
        <v>0</v>
      </c>
      <c r="AJ55" s="179">
        <f ca="1">IF(ISNUMBER(MATCH(DATEVALUE($A55),'recurring1_based on steps'!AJ$1:AJ$400,0)),AJ$2,)</f>
        <v>0</v>
      </c>
      <c r="AK55" s="179">
        <f ca="1">IF(ISNUMBER(MATCH(DATEVALUE($A55),'recurring1_based on steps'!AK$1:AK$400,0)),AK$2,)</f>
        <v>0</v>
      </c>
      <c r="AL55" s="179">
        <f ca="1">IF(ISNUMBER(MATCH(DATEVALUE($A55),'recurring1_based on steps'!AL$1:AL$400,0)),AL$2,)</f>
        <v>0</v>
      </c>
      <c r="AM55" s="179">
        <f ca="1">IF(ISNUMBER(MATCH(DATEVALUE($A55),'recurring1_based on steps'!AM$1:AM$400,0)),AM$2,)</f>
        <v>0</v>
      </c>
      <c r="AN55" s="179">
        <f ca="1">IF(ISNUMBER(MATCH(DATEVALUE($A55),'recurring1_based on steps'!AN$1:AN$400,0)),AN$2,)</f>
        <v>0</v>
      </c>
      <c r="AO55" s="179">
        <f ca="1">IF(ISNUMBER(MATCH(DATEVALUE($A55),'recurring1_based on steps'!AO$1:AO$400,0)),AO$2,)</f>
        <v>0</v>
      </c>
      <c r="AP55" s="179">
        <f ca="1">IF(ISNUMBER(MATCH(DATEVALUE($A55),'recurring1_based on steps'!AP$1:AP$400,0)),AP$2,)</f>
        <v>0</v>
      </c>
      <c r="AQ55" s="179">
        <f ca="1">IF(ISNUMBER(MATCH(DATEVALUE($A55),'recurring1_based on steps'!AQ$1:AQ$400,0)),AQ$2,)</f>
        <v>0</v>
      </c>
      <c r="AR55" s="179">
        <f ca="1">IF(ISNUMBER(MATCH(DATEVALUE($A55),'recurring1_based on steps'!AR$1:AR$400,0)),AR$2,)</f>
        <v>0</v>
      </c>
      <c r="AS55" s="179">
        <f ca="1">IF(ISNUMBER(MATCH(DATEVALUE($A55),'recurring1_based on steps'!AS$1:AS$400,0)),AS$2,)</f>
        <v>0</v>
      </c>
      <c r="AT55" s="179">
        <f ca="1">IF(ISNUMBER(MATCH(DATEVALUE($A55),'recurring1_based on steps'!AT$1:AT$400,0)),AT$2,)</f>
        <v>0</v>
      </c>
      <c r="AU55" s="179">
        <f ca="1">IF(ISNUMBER(MATCH(DATEVALUE($A55),'recurring1_based on steps'!AU$1:AU$400,0)),AU$2,)</f>
        <v>0</v>
      </c>
      <c r="AV55" s="179">
        <f ca="1">IF(ISNUMBER(MATCH(DATEVALUE($A55),'recurring1_based on steps'!AV$1:AV$400,0)),AV$2,)</f>
        <v>0</v>
      </c>
      <c r="AW55" s="179">
        <f ca="1">IF(ISNUMBER(MATCH(DATEVALUE($A55),'recurring1_based on steps'!AW$1:AW$400,0)),AW$2,)</f>
        <v>0</v>
      </c>
      <c r="AX55" s="179">
        <f ca="1">IF(ISNUMBER(MATCH(DATEVALUE($A55),'recurring1_based on steps'!AX$1:AX$400,0)),AX$2,)</f>
        <v>0</v>
      </c>
      <c r="AY55" s="179">
        <f ca="1">IF(ISNUMBER(MATCH(DATEVALUE($A55),'recurring1_based on steps'!AY$1:AY$400,0)),AY$2,)</f>
        <v>0</v>
      </c>
    </row>
    <row r="56" spans="1:51" x14ac:dyDescent="0.2">
      <c r="A56" s="32" t="str">
        <f t="shared" ca="1" si="0"/>
        <v>2025-05-21</v>
      </c>
      <c r="B56" s="179">
        <f ca="1">IF(ISNUMBER(MATCH(DATEVALUE($A56),'recurring1_based on steps'!B$1:B$400,0)),B$2,)</f>
        <v>0</v>
      </c>
      <c r="C56" s="179">
        <f ca="1">IF(ISNUMBER(MATCH(DATEVALUE($A56),'recurring1_based on steps'!C$1:C$400,0)),C$2,)</f>
        <v>0</v>
      </c>
      <c r="D56" s="179">
        <f ca="1">IF(ISNUMBER(MATCH(DATEVALUE($A56),'recurring1_based on steps'!D$1:D$400,0)),D$2,)</f>
        <v>0</v>
      </c>
      <c r="E56" s="179">
        <f ca="1">IF(ISNUMBER(MATCH(DATEVALUE($A56),'recurring1_based on steps'!E$1:E$400,0)),E$2,)</f>
        <v>0</v>
      </c>
      <c r="F56" s="179">
        <f ca="1">IF(ISNUMBER(MATCH(DATEVALUE($A56),'recurring1_based on steps'!F$1:F$400,0)),F$2,)</f>
        <v>0</v>
      </c>
      <c r="G56" s="179">
        <f ca="1">IF(ISNUMBER(MATCH(DATEVALUE($A56),'recurring1_based on steps'!G$1:G$400,0)),G$2,)</f>
        <v>0</v>
      </c>
      <c r="H56" s="179">
        <f ca="1">IF(ISNUMBER(MATCH(DATEVALUE($A56),'recurring1_based on steps'!H$1:H$400,0)),H$2,)</f>
        <v>0</v>
      </c>
      <c r="I56" s="179">
        <f ca="1">IF(ISNUMBER(MATCH(DATEVALUE($A56),'recurring1_based on steps'!I$1:I$400,0)),I$2,)</f>
        <v>0</v>
      </c>
      <c r="J56" s="179">
        <f ca="1">IF(ISNUMBER(MATCH(DATEVALUE($A56),'recurring1_based on steps'!J$1:J$400,0)),J$2,)</f>
        <v>0</v>
      </c>
      <c r="K56" s="179">
        <f ca="1">IF(ISNUMBER(MATCH(DATEVALUE($A56),'recurring1_based on steps'!K$1:K$400,0)),K$2,)</f>
        <v>0</v>
      </c>
      <c r="L56" s="179">
        <f ca="1">IF(ISNUMBER(MATCH(DATEVALUE($A56),'recurring1_based on steps'!L$1:L$400,0)),L$2,)</f>
        <v>0</v>
      </c>
      <c r="M56" s="179">
        <f ca="1">IF(ISNUMBER(MATCH(DATEVALUE($A56),'recurring1_based on steps'!M$1:M$400,0)),M$2,)</f>
        <v>0</v>
      </c>
      <c r="N56" s="179">
        <f ca="1">IF(ISNUMBER(MATCH(DATEVALUE($A56),'recurring1_based on steps'!N$1:N$400,0)),N$2,)</f>
        <v>0</v>
      </c>
      <c r="O56" s="179">
        <f ca="1">IF(ISNUMBER(MATCH(DATEVALUE($A56),'recurring1_based on steps'!O$1:O$400,0)),O$2,)</f>
        <v>0</v>
      </c>
      <c r="P56" s="179">
        <f ca="1">IF(ISNUMBER(MATCH(DATEVALUE($A56),'recurring1_based on steps'!P$1:P$400,0)),P$2,)</f>
        <v>0</v>
      </c>
      <c r="Q56" s="179">
        <f ca="1">IF(ISNUMBER(MATCH(DATEVALUE($A56),'recurring1_based on steps'!Q$1:Q$400,0)),Q$2,)</f>
        <v>0</v>
      </c>
      <c r="R56" s="179">
        <f ca="1">IF(ISNUMBER(MATCH(DATEVALUE($A56),'recurring1_based on steps'!R$1:R$400,0)),R$2,)</f>
        <v>0</v>
      </c>
      <c r="S56" s="179">
        <f ca="1">IF(ISNUMBER(MATCH(DATEVALUE($A56),'recurring1_based on steps'!S$1:S$400,0)),S$2,)</f>
        <v>0</v>
      </c>
      <c r="T56" s="179">
        <f ca="1">IF(ISNUMBER(MATCH(DATEVALUE($A56),'recurring1_based on steps'!T$1:T$400,0)),T$2,)</f>
        <v>0</v>
      </c>
      <c r="U56" s="179">
        <f ca="1">IF(ISNUMBER(MATCH(DATEVALUE($A56),'recurring1_based on steps'!U$1:U$400,0)),U$2,)</f>
        <v>0</v>
      </c>
      <c r="V56" s="179">
        <f ca="1">IF(ISNUMBER(MATCH(DATEVALUE($A56),'recurring1_based on steps'!V$1:V$400,0)),V$2,)</f>
        <v>0</v>
      </c>
      <c r="W56" s="179">
        <f ca="1">IF(ISNUMBER(MATCH(DATEVALUE($A56),'recurring1_based on steps'!W$1:W$400,0)),W$2,)</f>
        <v>0</v>
      </c>
      <c r="X56" s="179">
        <f ca="1">IF(ISNUMBER(MATCH(DATEVALUE($A56),'recurring1_based on steps'!X$1:X$400,0)),X$2,)</f>
        <v>0</v>
      </c>
      <c r="Y56" s="179">
        <f ca="1">IF(ISNUMBER(MATCH(DATEVALUE($A56),'recurring1_based on steps'!Y$1:Y$400,0)),Y$2,)</f>
        <v>0</v>
      </c>
      <c r="Z56" s="179">
        <f ca="1">IF(ISNUMBER(MATCH(DATEVALUE($A56),'recurring1_based on steps'!Z$1:Z$400,0)),Z$2,)</f>
        <v>0</v>
      </c>
      <c r="AA56" s="179">
        <f ca="1">IF(ISNUMBER(MATCH(DATEVALUE($A56),'recurring1_based on steps'!AA$1:AA$400,0)),AA$2,)</f>
        <v>0</v>
      </c>
      <c r="AB56" s="179">
        <f ca="1">IF(ISNUMBER(MATCH(DATEVALUE($A56),'recurring1_based on steps'!AB$1:AB$400,0)),AB$2,)</f>
        <v>0</v>
      </c>
      <c r="AC56" s="179">
        <f ca="1">IF(ISNUMBER(MATCH(DATEVALUE($A56),'recurring1_based on steps'!AC$1:AC$400,0)),AC$2,)</f>
        <v>0</v>
      </c>
      <c r="AD56" s="179">
        <f ca="1">IF(ISNUMBER(MATCH(DATEVALUE($A56),'recurring1_based on steps'!AD$1:AD$400,0)),AD$2,)</f>
        <v>0</v>
      </c>
      <c r="AE56" s="179">
        <f ca="1">IF(ISNUMBER(MATCH(DATEVALUE($A56),'recurring1_based on steps'!AE$1:AE$400,0)),AE$2,)</f>
        <v>0</v>
      </c>
      <c r="AF56" s="179">
        <f ca="1">IF(ISNUMBER(MATCH(DATEVALUE($A56),'recurring1_based on steps'!AF$1:AF$400,0)),AF$2,)</f>
        <v>0</v>
      </c>
      <c r="AG56" s="179">
        <f ca="1">IF(ISNUMBER(MATCH(DATEVALUE($A56),'recurring1_based on steps'!AG$1:AG$400,0)),AG$2,)</f>
        <v>0</v>
      </c>
      <c r="AH56" s="179">
        <f ca="1">IF(ISNUMBER(MATCH(DATEVALUE($A56),'recurring1_based on steps'!AH$1:AH$400,0)),AH$2,)</f>
        <v>0</v>
      </c>
      <c r="AI56" s="179">
        <f ca="1">IF(ISNUMBER(MATCH(DATEVALUE($A56),'recurring1_based on steps'!AI$1:AI$400,0)),AI$2,)</f>
        <v>0</v>
      </c>
      <c r="AJ56" s="179">
        <f ca="1">IF(ISNUMBER(MATCH(DATEVALUE($A56),'recurring1_based on steps'!AJ$1:AJ$400,0)),AJ$2,)</f>
        <v>0</v>
      </c>
      <c r="AK56" s="179">
        <f ca="1">IF(ISNUMBER(MATCH(DATEVALUE($A56),'recurring1_based on steps'!AK$1:AK$400,0)),AK$2,)</f>
        <v>0</v>
      </c>
      <c r="AL56" s="179">
        <f ca="1">IF(ISNUMBER(MATCH(DATEVALUE($A56),'recurring1_based on steps'!AL$1:AL$400,0)),AL$2,)</f>
        <v>0</v>
      </c>
      <c r="AM56" s="179">
        <f ca="1">IF(ISNUMBER(MATCH(DATEVALUE($A56),'recurring1_based on steps'!AM$1:AM$400,0)),AM$2,)</f>
        <v>0</v>
      </c>
      <c r="AN56" s="179">
        <f ca="1">IF(ISNUMBER(MATCH(DATEVALUE($A56),'recurring1_based on steps'!AN$1:AN$400,0)),AN$2,)</f>
        <v>0</v>
      </c>
      <c r="AO56" s="179">
        <f ca="1">IF(ISNUMBER(MATCH(DATEVALUE($A56),'recurring1_based on steps'!AO$1:AO$400,0)),AO$2,)</f>
        <v>0</v>
      </c>
      <c r="AP56" s="179">
        <f ca="1">IF(ISNUMBER(MATCH(DATEVALUE($A56),'recurring1_based on steps'!AP$1:AP$400,0)),AP$2,)</f>
        <v>0</v>
      </c>
      <c r="AQ56" s="179">
        <f ca="1">IF(ISNUMBER(MATCH(DATEVALUE($A56),'recurring1_based on steps'!AQ$1:AQ$400,0)),AQ$2,)</f>
        <v>0</v>
      </c>
      <c r="AR56" s="179">
        <f ca="1">IF(ISNUMBER(MATCH(DATEVALUE($A56),'recurring1_based on steps'!AR$1:AR$400,0)),AR$2,)</f>
        <v>0</v>
      </c>
      <c r="AS56" s="179">
        <f ca="1">IF(ISNUMBER(MATCH(DATEVALUE($A56),'recurring1_based on steps'!AS$1:AS$400,0)),AS$2,)</f>
        <v>0</v>
      </c>
      <c r="AT56" s="179">
        <f ca="1">IF(ISNUMBER(MATCH(DATEVALUE($A56),'recurring1_based on steps'!AT$1:AT$400,0)),AT$2,)</f>
        <v>0</v>
      </c>
      <c r="AU56" s="179">
        <f ca="1">IF(ISNUMBER(MATCH(DATEVALUE($A56),'recurring1_based on steps'!AU$1:AU$400,0)),AU$2,)</f>
        <v>0</v>
      </c>
      <c r="AV56" s="179">
        <f ca="1">IF(ISNUMBER(MATCH(DATEVALUE($A56),'recurring1_based on steps'!AV$1:AV$400,0)),AV$2,)</f>
        <v>0</v>
      </c>
      <c r="AW56" s="179">
        <f ca="1">IF(ISNUMBER(MATCH(DATEVALUE($A56),'recurring1_based on steps'!AW$1:AW$400,0)),AW$2,)</f>
        <v>0</v>
      </c>
      <c r="AX56" s="179">
        <f ca="1">IF(ISNUMBER(MATCH(DATEVALUE($A56),'recurring1_based on steps'!AX$1:AX$400,0)),AX$2,)</f>
        <v>0</v>
      </c>
      <c r="AY56" s="179">
        <f ca="1">IF(ISNUMBER(MATCH(DATEVALUE($A56),'recurring1_based on steps'!AY$1:AY$400,0)),AY$2,)</f>
        <v>0</v>
      </c>
    </row>
    <row r="57" spans="1:51" x14ac:dyDescent="0.2">
      <c r="A57" s="32" t="str">
        <f t="shared" ca="1" si="0"/>
        <v>2025-05-22</v>
      </c>
      <c r="B57" s="179">
        <f ca="1">IF(ISNUMBER(MATCH(DATEVALUE($A57),'recurring1_based on steps'!B$1:B$400,0)),B$2,)</f>
        <v>0</v>
      </c>
      <c r="C57" s="179">
        <f ca="1">IF(ISNUMBER(MATCH(DATEVALUE($A57),'recurring1_based on steps'!C$1:C$400,0)),C$2,)</f>
        <v>0</v>
      </c>
      <c r="D57" s="179">
        <f ca="1">IF(ISNUMBER(MATCH(DATEVALUE($A57),'recurring1_based on steps'!D$1:D$400,0)),D$2,)</f>
        <v>0</v>
      </c>
      <c r="E57" s="179">
        <f ca="1">IF(ISNUMBER(MATCH(DATEVALUE($A57),'recurring1_based on steps'!E$1:E$400,0)),E$2,)</f>
        <v>0</v>
      </c>
      <c r="F57" s="179">
        <f ca="1">IF(ISNUMBER(MATCH(DATEVALUE($A57),'recurring1_based on steps'!F$1:F$400,0)),F$2,)</f>
        <v>0</v>
      </c>
      <c r="G57" s="179">
        <f ca="1">IF(ISNUMBER(MATCH(DATEVALUE($A57),'recurring1_based on steps'!G$1:G$400,0)),G$2,)</f>
        <v>0</v>
      </c>
      <c r="H57" s="179">
        <f ca="1">IF(ISNUMBER(MATCH(DATEVALUE($A57),'recurring1_based on steps'!H$1:H$400,0)),H$2,)</f>
        <v>0</v>
      </c>
      <c r="I57" s="179">
        <f ca="1">IF(ISNUMBER(MATCH(DATEVALUE($A57),'recurring1_based on steps'!I$1:I$400,0)),I$2,)</f>
        <v>0</v>
      </c>
      <c r="J57" s="179">
        <f ca="1">IF(ISNUMBER(MATCH(DATEVALUE($A57),'recurring1_based on steps'!J$1:J$400,0)),J$2,)</f>
        <v>0</v>
      </c>
      <c r="K57" s="179">
        <f ca="1">IF(ISNUMBER(MATCH(DATEVALUE($A57),'recurring1_based on steps'!K$1:K$400,0)),K$2,)</f>
        <v>0</v>
      </c>
      <c r="L57" s="179">
        <f ca="1">IF(ISNUMBER(MATCH(DATEVALUE($A57),'recurring1_based on steps'!L$1:L$400,0)),L$2,)</f>
        <v>0</v>
      </c>
      <c r="M57" s="179">
        <f ca="1">IF(ISNUMBER(MATCH(DATEVALUE($A57),'recurring1_based on steps'!M$1:M$400,0)),M$2,)</f>
        <v>0</v>
      </c>
      <c r="N57" s="179">
        <f ca="1">IF(ISNUMBER(MATCH(DATEVALUE($A57),'recurring1_based on steps'!N$1:N$400,0)),N$2,)</f>
        <v>0</v>
      </c>
      <c r="O57" s="179">
        <f ca="1">IF(ISNUMBER(MATCH(DATEVALUE($A57),'recurring1_based on steps'!O$1:O$400,0)),O$2,)</f>
        <v>0</v>
      </c>
      <c r="P57" s="179">
        <f ca="1">IF(ISNUMBER(MATCH(DATEVALUE($A57),'recurring1_based on steps'!P$1:P$400,0)),P$2,)</f>
        <v>0</v>
      </c>
      <c r="Q57" s="179">
        <f ca="1">IF(ISNUMBER(MATCH(DATEVALUE($A57),'recurring1_based on steps'!Q$1:Q$400,0)),Q$2,)</f>
        <v>0</v>
      </c>
      <c r="R57" s="179">
        <f ca="1">IF(ISNUMBER(MATCH(DATEVALUE($A57),'recurring1_based on steps'!R$1:R$400,0)),R$2,)</f>
        <v>0</v>
      </c>
      <c r="S57" s="179">
        <f ca="1">IF(ISNUMBER(MATCH(DATEVALUE($A57),'recurring1_based on steps'!S$1:S$400,0)),S$2,)</f>
        <v>0</v>
      </c>
      <c r="T57" s="179">
        <f ca="1">IF(ISNUMBER(MATCH(DATEVALUE($A57),'recurring1_based on steps'!T$1:T$400,0)),T$2,)</f>
        <v>0</v>
      </c>
      <c r="U57" s="179">
        <f ca="1">IF(ISNUMBER(MATCH(DATEVALUE($A57),'recurring1_based on steps'!U$1:U$400,0)),U$2,)</f>
        <v>0</v>
      </c>
      <c r="V57" s="179">
        <f ca="1">IF(ISNUMBER(MATCH(DATEVALUE($A57),'recurring1_based on steps'!V$1:V$400,0)),V$2,)</f>
        <v>0</v>
      </c>
      <c r="W57" s="179">
        <f ca="1">IF(ISNUMBER(MATCH(DATEVALUE($A57),'recurring1_based on steps'!W$1:W$400,0)),W$2,)</f>
        <v>0</v>
      </c>
      <c r="X57" s="179">
        <f ca="1">IF(ISNUMBER(MATCH(DATEVALUE($A57),'recurring1_based on steps'!X$1:X$400,0)),X$2,)</f>
        <v>0</v>
      </c>
      <c r="Y57" s="179">
        <f ca="1">IF(ISNUMBER(MATCH(DATEVALUE($A57),'recurring1_based on steps'!Y$1:Y$400,0)),Y$2,)</f>
        <v>0</v>
      </c>
      <c r="Z57" s="179">
        <f ca="1">IF(ISNUMBER(MATCH(DATEVALUE($A57),'recurring1_based on steps'!Z$1:Z$400,0)),Z$2,)</f>
        <v>0</v>
      </c>
      <c r="AA57" s="179">
        <f ca="1">IF(ISNUMBER(MATCH(DATEVALUE($A57),'recurring1_based on steps'!AA$1:AA$400,0)),AA$2,)</f>
        <v>0</v>
      </c>
      <c r="AB57" s="179">
        <f ca="1">IF(ISNUMBER(MATCH(DATEVALUE($A57),'recurring1_based on steps'!AB$1:AB$400,0)),AB$2,)</f>
        <v>0</v>
      </c>
      <c r="AC57" s="179">
        <f ca="1">IF(ISNUMBER(MATCH(DATEVALUE($A57),'recurring1_based on steps'!AC$1:AC$400,0)),AC$2,)</f>
        <v>0</v>
      </c>
      <c r="AD57" s="179">
        <f ca="1">IF(ISNUMBER(MATCH(DATEVALUE($A57),'recurring1_based on steps'!AD$1:AD$400,0)),AD$2,)</f>
        <v>0</v>
      </c>
      <c r="AE57" s="179">
        <f ca="1">IF(ISNUMBER(MATCH(DATEVALUE($A57),'recurring1_based on steps'!AE$1:AE$400,0)),AE$2,)</f>
        <v>0</v>
      </c>
      <c r="AF57" s="179">
        <f ca="1">IF(ISNUMBER(MATCH(DATEVALUE($A57),'recurring1_based on steps'!AF$1:AF$400,0)),AF$2,)</f>
        <v>0</v>
      </c>
      <c r="AG57" s="179">
        <f ca="1">IF(ISNUMBER(MATCH(DATEVALUE($A57),'recurring1_based on steps'!AG$1:AG$400,0)),AG$2,)</f>
        <v>0</v>
      </c>
      <c r="AH57" s="179">
        <f ca="1">IF(ISNUMBER(MATCH(DATEVALUE($A57),'recurring1_based on steps'!AH$1:AH$400,0)),AH$2,)</f>
        <v>0</v>
      </c>
      <c r="AI57" s="179">
        <f ca="1">IF(ISNUMBER(MATCH(DATEVALUE($A57),'recurring1_based on steps'!AI$1:AI$400,0)),AI$2,)</f>
        <v>0</v>
      </c>
      <c r="AJ57" s="179">
        <f ca="1">IF(ISNUMBER(MATCH(DATEVALUE($A57),'recurring1_based on steps'!AJ$1:AJ$400,0)),AJ$2,)</f>
        <v>0</v>
      </c>
      <c r="AK57" s="179">
        <f ca="1">IF(ISNUMBER(MATCH(DATEVALUE($A57),'recurring1_based on steps'!AK$1:AK$400,0)),AK$2,)</f>
        <v>0</v>
      </c>
      <c r="AL57" s="179">
        <f ca="1">IF(ISNUMBER(MATCH(DATEVALUE($A57),'recurring1_based on steps'!AL$1:AL$400,0)),AL$2,)</f>
        <v>0</v>
      </c>
      <c r="AM57" s="179">
        <f ca="1">IF(ISNUMBER(MATCH(DATEVALUE($A57),'recurring1_based on steps'!AM$1:AM$400,0)),AM$2,)</f>
        <v>0</v>
      </c>
      <c r="AN57" s="179">
        <f ca="1">IF(ISNUMBER(MATCH(DATEVALUE($A57),'recurring1_based on steps'!AN$1:AN$400,0)),AN$2,)</f>
        <v>0</v>
      </c>
      <c r="AO57" s="179">
        <f ca="1">IF(ISNUMBER(MATCH(DATEVALUE($A57),'recurring1_based on steps'!AO$1:AO$400,0)),AO$2,)</f>
        <v>0</v>
      </c>
      <c r="AP57" s="179">
        <f ca="1">IF(ISNUMBER(MATCH(DATEVALUE($A57),'recurring1_based on steps'!AP$1:AP$400,0)),AP$2,)</f>
        <v>0</v>
      </c>
      <c r="AQ57" s="179">
        <f ca="1">IF(ISNUMBER(MATCH(DATEVALUE($A57),'recurring1_based on steps'!AQ$1:AQ$400,0)),AQ$2,)</f>
        <v>0</v>
      </c>
      <c r="AR57" s="179">
        <f ca="1">IF(ISNUMBER(MATCH(DATEVALUE($A57),'recurring1_based on steps'!AR$1:AR$400,0)),AR$2,)</f>
        <v>0</v>
      </c>
      <c r="AS57" s="179">
        <f ca="1">IF(ISNUMBER(MATCH(DATEVALUE($A57),'recurring1_based on steps'!AS$1:AS$400,0)),AS$2,)</f>
        <v>0</v>
      </c>
      <c r="AT57" s="179">
        <f ca="1">IF(ISNUMBER(MATCH(DATEVALUE($A57),'recurring1_based on steps'!AT$1:AT$400,0)),AT$2,)</f>
        <v>0</v>
      </c>
      <c r="AU57" s="179">
        <f ca="1">IF(ISNUMBER(MATCH(DATEVALUE($A57),'recurring1_based on steps'!AU$1:AU$400,0)),AU$2,)</f>
        <v>0</v>
      </c>
      <c r="AV57" s="179">
        <f ca="1">IF(ISNUMBER(MATCH(DATEVALUE($A57),'recurring1_based on steps'!AV$1:AV$400,0)),AV$2,)</f>
        <v>0</v>
      </c>
      <c r="AW57" s="179">
        <f ca="1">IF(ISNUMBER(MATCH(DATEVALUE($A57),'recurring1_based on steps'!AW$1:AW$400,0)),AW$2,)</f>
        <v>0</v>
      </c>
      <c r="AX57" s="179">
        <f ca="1">IF(ISNUMBER(MATCH(DATEVALUE($A57),'recurring1_based on steps'!AX$1:AX$400,0)),AX$2,)</f>
        <v>0</v>
      </c>
      <c r="AY57" s="179">
        <f ca="1">IF(ISNUMBER(MATCH(DATEVALUE($A57),'recurring1_based on steps'!AY$1:AY$400,0)),AY$2,)</f>
        <v>0</v>
      </c>
    </row>
    <row r="58" spans="1:51" x14ac:dyDescent="0.2">
      <c r="A58" s="32" t="str">
        <f t="shared" ca="1" si="0"/>
        <v>2025-05-23</v>
      </c>
      <c r="B58" s="179">
        <f ca="1">IF(ISNUMBER(MATCH(DATEVALUE($A58),'recurring1_based on steps'!B$1:B$400,0)),B$2,)</f>
        <v>0</v>
      </c>
      <c r="C58" s="179">
        <f ca="1">IF(ISNUMBER(MATCH(DATEVALUE($A58),'recurring1_based on steps'!C$1:C$400,0)),C$2,)</f>
        <v>0</v>
      </c>
      <c r="D58" s="179">
        <f ca="1">IF(ISNUMBER(MATCH(DATEVALUE($A58),'recurring1_based on steps'!D$1:D$400,0)),D$2,)</f>
        <v>0</v>
      </c>
      <c r="E58" s="179">
        <f ca="1">IF(ISNUMBER(MATCH(DATEVALUE($A58),'recurring1_based on steps'!E$1:E$400,0)),E$2,)</f>
        <v>0</v>
      </c>
      <c r="F58" s="179">
        <f ca="1">IF(ISNUMBER(MATCH(DATEVALUE($A58),'recurring1_based on steps'!F$1:F$400,0)),F$2,)</f>
        <v>0</v>
      </c>
      <c r="G58" s="179">
        <f ca="1">IF(ISNUMBER(MATCH(DATEVALUE($A58),'recurring1_based on steps'!G$1:G$400,0)),G$2,)</f>
        <v>0</v>
      </c>
      <c r="H58" s="179">
        <f ca="1">IF(ISNUMBER(MATCH(DATEVALUE($A58),'recurring1_based on steps'!H$1:H$400,0)),H$2,)</f>
        <v>0</v>
      </c>
      <c r="I58" s="179">
        <f ca="1">IF(ISNUMBER(MATCH(DATEVALUE($A58),'recurring1_based on steps'!I$1:I$400,0)),I$2,)</f>
        <v>0</v>
      </c>
      <c r="J58" s="179">
        <f ca="1">IF(ISNUMBER(MATCH(DATEVALUE($A58),'recurring1_based on steps'!J$1:J$400,0)),J$2,)</f>
        <v>0</v>
      </c>
      <c r="K58" s="179">
        <f ca="1">IF(ISNUMBER(MATCH(DATEVALUE($A58),'recurring1_based on steps'!K$1:K$400,0)),K$2,)</f>
        <v>0</v>
      </c>
      <c r="L58" s="179">
        <f ca="1">IF(ISNUMBER(MATCH(DATEVALUE($A58),'recurring1_based on steps'!L$1:L$400,0)),L$2,)</f>
        <v>0</v>
      </c>
      <c r="M58" s="179">
        <f ca="1">IF(ISNUMBER(MATCH(DATEVALUE($A58),'recurring1_based on steps'!M$1:M$400,0)),M$2,)</f>
        <v>0</v>
      </c>
      <c r="N58" s="179">
        <f ca="1">IF(ISNUMBER(MATCH(DATEVALUE($A58),'recurring1_based on steps'!N$1:N$400,0)),N$2,)</f>
        <v>0</v>
      </c>
      <c r="O58" s="179">
        <f ca="1">IF(ISNUMBER(MATCH(DATEVALUE($A58),'recurring1_based on steps'!O$1:O$400,0)),O$2,)</f>
        <v>0</v>
      </c>
      <c r="P58" s="179">
        <f ca="1">IF(ISNUMBER(MATCH(DATEVALUE($A58),'recurring1_based on steps'!P$1:P$400,0)),P$2,)</f>
        <v>0</v>
      </c>
      <c r="Q58" s="179">
        <f ca="1">IF(ISNUMBER(MATCH(DATEVALUE($A58),'recurring1_based on steps'!Q$1:Q$400,0)),Q$2,)</f>
        <v>0</v>
      </c>
      <c r="R58" s="179">
        <f ca="1">IF(ISNUMBER(MATCH(DATEVALUE($A58),'recurring1_based on steps'!R$1:R$400,0)),R$2,)</f>
        <v>0</v>
      </c>
      <c r="S58" s="179">
        <f ca="1">IF(ISNUMBER(MATCH(DATEVALUE($A58),'recurring1_based on steps'!S$1:S$400,0)),S$2,)</f>
        <v>0</v>
      </c>
      <c r="T58" s="179">
        <f ca="1">IF(ISNUMBER(MATCH(DATEVALUE($A58),'recurring1_based on steps'!T$1:T$400,0)),T$2,)</f>
        <v>0</v>
      </c>
      <c r="U58" s="179">
        <f ca="1">IF(ISNUMBER(MATCH(DATEVALUE($A58),'recurring1_based on steps'!U$1:U$400,0)),U$2,)</f>
        <v>0</v>
      </c>
      <c r="V58" s="179">
        <f ca="1">IF(ISNUMBER(MATCH(DATEVALUE($A58),'recurring1_based on steps'!V$1:V$400,0)),V$2,)</f>
        <v>0</v>
      </c>
      <c r="W58" s="179">
        <f ca="1">IF(ISNUMBER(MATCH(DATEVALUE($A58),'recurring1_based on steps'!W$1:W$400,0)),W$2,)</f>
        <v>0</v>
      </c>
      <c r="X58" s="179">
        <f ca="1">IF(ISNUMBER(MATCH(DATEVALUE($A58),'recurring1_based on steps'!X$1:X$400,0)),X$2,)</f>
        <v>0</v>
      </c>
      <c r="Y58" s="179">
        <f ca="1">IF(ISNUMBER(MATCH(DATEVALUE($A58),'recurring1_based on steps'!Y$1:Y$400,0)),Y$2,)</f>
        <v>0</v>
      </c>
      <c r="Z58" s="179">
        <f ca="1">IF(ISNUMBER(MATCH(DATEVALUE($A58),'recurring1_based on steps'!Z$1:Z$400,0)),Z$2,)</f>
        <v>0</v>
      </c>
      <c r="AA58" s="179">
        <f ca="1">IF(ISNUMBER(MATCH(DATEVALUE($A58),'recurring1_based on steps'!AA$1:AA$400,0)),AA$2,)</f>
        <v>0</v>
      </c>
      <c r="AB58" s="179">
        <f ca="1">IF(ISNUMBER(MATCH(DATEVALUE($A58),'recurring1_based on steps'!AB$1:AB$400,0)),AB$2,)</f>
        <v>0</v>
      </c>
      <c r="AC58" s="179">
        <f ca="1">IF(ISNUMBER(MATCH(DATEVALUE($A58),'recurring1_based on steps'!AC$1:AC$400,0)),AC$2,)</f>
        <v>0</v>
      </c>
      <c r="AD58" s="179">
        <f ca="1">IF(ISNUMBER(MATCH(DATEVALUE($A58),'recurring1_based on steps'!AD$1:AD$400,0)),AD$2,)</f>
        <v>0</v>
      </c>
      <c r="AE58" s="179">
        <f ca="1">IF(ISNUMBER(MATCH(DATEVALUE($A58),'recurring1_based on steps'!AE$1:AE$400,0)),AE$2,)</f>
        <v>0</v>
      </c>
      <c r="AF58" s="179">
        <f ca="1">IF(ISNUMBER(MATCH(DATEVALUE($A58),'recurring1_based on steps'!AF$1:AF$400,0)),AF$2,)</f>
        <v>0</v>
      </c>
      <c r="AG58" s="179">
        <f ca="1">IF(ISNUMBER(MATCH(DATEVALUE($A58),'recurring1_based on steps'!AG$1:AG$400,0)),AG$2,)</f>
        <v>0</v>
      </c>
      <c r="AH58" s="179">
        <f ca="1">IF(ISNUMBER(MATCH(DATEVALUE($A58),'recurring1_based on steps'!AH$1:AH$400,0)),AH$2,)</f>
        <v>0</v>
      </c>
      <c r="AI58" s="179">
        <f ca="1">IF(ISNUMBER(MATCH(DATEVALUE($A58),'recurring1_based on steps'!AI$1:AI$400,0)),AI$2,)</f>
        <v>0</v>
      </c>
      <c r="AJ58" s="179">
        <f ca="1">IF(ISNUMBER(MATCH(DATEVALUE($A58),'recurring1_based on steps'!AJ$1:AJ$400,0)),AJ$2,)</f>
        <v>0</v>
      </c>
      <c r="AK58" s="179">
        <f ca="1">IF(ISNUMBER(MATCH(DATEVALUE($A58),'recurring1_based on steps'!AK$1:AK$400,0)),AK$2,)</f>
        <v>0</v>
      </c>
      <c r="AL58" s="179">
        <f ca="1">IF(ISNUMBER(MATCH(DATEVALUE($A58),'recurring1_based on steps'!AL$1:AL$400,0)),AL$2,)</f>
        <v>0</v>
      </c>
      <c r="AM58" s="179">
        <f ca="1">IF(ISNUMBER(MATCH(DATEVALUE($A58),'recurring1_based on steps'!AM$1:AM$400,0)),AM$2,)</f>
        <v>0</v>
      </c>
      <c r="AN58" s="179">
        <f ca="1">IF(ISNUMBER(MATCH(DATEVALUE($A58),'recurring1_based on steps'!AN$1:AN$400,0)),AN$2,)</f>
        <v>0</v>
      </c>
      <c r="AO58" s="179">
        <f ca="1">IF(ISNUMBER(MATCH(DATEVALUE($A58),'recurring1_based on steps'!AO$1:AO$400,0)),AO$2,)</f>
        <v>0</v>
      </c>
      <c r="AP58" s="179">
        <f ca="1">IF(ISNUMBER(MATCH(DATEVALUE($A58),'recurring1_based on steps'!AP$1:AP$400,0)),AP$2,)</f>
        <v>0</v>
      </c>
      <c r="AQ58" s="179">
        <f ca="1">IF(ISNUMBER(MATCH(DATEVALUE($A58),'recurring1_based on steps'!AQ$1:AQ$400,0)),AQ$2,)</f>
        <v>0</v>
      </c>
      <c r="AR58" s="179">
        <f ca="1">IF(ISNUMBER(MATCH(DATEVALUE($A58),'recurring1_based on steps'!AR$1:AR$400,0)),AR$2,)</f>
        <v>0</v>
      </c>
      <c r="AS58" s="179">
        <f ca="1">IF(ISNUMBER(MATCH(DATEVALUE($A58),'recurring1_based on steps'!AS$1:AS$400,0)),AS$2,)</f>
        <v>0</v>
      </c>
      <c r="AT58" s="179">
        <f ca="1">IF(ISNUMBER(MATCH(DATEVALUE($A58),'recurring1_based on steps'!AT$1:AT$400,0)),AT$2,)</f>
        <v>0</v>
      </c>
      <c r="AU58" s="179">
        <f ca="1">IF(ISNUMBER(MATCH(DATEVALUE($A58),'recurring1_based on steps'!AU$1:AU$400,0)),AU$2,)</f>
        <v>0</v>
      </c>
      <c r="AV58" s="179">
        <f ca="1">IF(ISNUMBER(MATCH(DATEVALUE($A58),'recurring1_based on steps'!AV$1:AV$400,0)),AV$2,)</f>
        <v>0</v>
      </c>
      <c r="AW58" s="179">
        <f ca="1">IF(ISNUMBER(MATCH(DATEVALUE($A58),'recurring1_based on steps'!AW$1:AW$400,0)),AW$2,)</f>
        <v>0</v>
      </c>
      <c r="AX58" s="179">
        <f ca="1">IF(ISNUMBER(MATCH(DATEVALUE($A58),'recurring1_based on steps'!AX$1:AX$400,0)),AX$2,)</f>
        <v>0</v>
      </c>
      <c r="AY58" s="179">
        <f ca="1">IF(ISNUMBER(MATCH(DATEVALUE($A58),'recurring1_based on steps'!AY$1:AY$400,0)),AY$2,)</f>
        <v>0</v>
      </c>
    </row>
    <row r="59" spans="1:51" x14ac:dyDescent="0.2">
      <c r="A59" s="32" t="str">
        <f t="shared" ca="1" si="0"/>
        <v>2025-05-24</v>
      </c>
      <c r="B59" s="179">
        <f ca="1">IF(ISNUMBER(MATCH(DATEVALUE($A59),'recurring1_based on steps'!B$1:B$400,0)),B$2,)</f>
        <v>0</v>
      </c>
      <c r="C59" s="179">
        <f ca="1">IF(ISNUMBER(MATCH(DATEVALUE($A59),'recurring1_based on steps'!C$1:C$400,0)),C$2,)</f>
        <v>0</v>
      </c>
      <c r="D59" s="179">
        <f ca="1">IF(ISNUMBER(MATCH(DATEVALUE($A59),'recurring1_based on steps'!D$1:D$400,0)),D$2,)</f>
        <v>0</v>
      </c>
      <c r="E59" s="179">
        <f ca="1">IF(ISNUMBER(MATCH(DATEVALUE($A59),'recurring1_based on steps'!E$1:E$400,0)),E$2,)</f>
        <v>0</v>
      </c>
      <c r="F59" s="179">
        <f ca="1">IF(ISNUMBER(MATCH(DATEVALUE($A59),'recurring1_based on steps'!F$1:F$400,0)),F$2,)</f>
        <v>0</v>
      </c>
      <c r="G59" s="179">
        <f ca="1">IF(ISNUMBER(MATCH(DATEVALUE($A59),'recurring1_based on steps'!G$1:G$400,0)),G$2,)</f>
        <v>0</v>
      </c>
      <c r="H59" s="179">
        <f ca="1">IF(ISNUMBER(MATCH(DATEVALUE($A59),'recurring1_based on steps'!H$1:H$400,0)),H$2,)</f>
        <v>0</v>
      </c>
      <c r="I59" s="179">
        <f ca="1">IF(ISNUMBER(MATCH(DATEVALUE($A59),'recurring1_based on steps'!I$1:I$400,0)),I$2,)</f>
        <v>0</v>
      </c>
      <c r="J59" s="179">
        <f ca="1">IF(ISNUMBER(MATCH(DATEVALUE($A59),'recurring1_based on steps'!J$1:J$400,0)),J$2,)</f>
        <v>0</v>
      </c>
      <c r="K59" s="179">
        <f ca="1">IF(ISNUMBER(MATCH(DATEVALUE($A59),'recurring1_based on steps'!K$1:K$400,0)),K$2,)</f>
        <v>0</v>
      </c>
      <c r="L59" s="179">
        <f ca="1">IF(ISNUMBER(MATCH(DATEVALUE($A59),'recurring1_based on steps'!L$1:L$400,0)),L$2,)</f>
        <v>0</v>
      </c>
      <c r="M59" s="179">
        <f ca="1">IF(ISNUMBER(MATCH(DATEVALUE($A59),'recurring1_based on steps'!M$1:M$400,0)),M$2,)</f>
        <v>0</v>
      </c>
      <c r="N59" s="179">
        <f ca="1">IF(ISNUMBER(MATCH(DATEVALUE($A59),'recurring1_based on steps'!N$1:N$400,0)),N$2,)</f>
        <v>0</v>
      </c>
      <c r="O59" s="179">
        <f ca="1">IF(ISNUMBER(MATCH(DATEVALUE($A59),'recurring1_based on steps'!O$1:O$400,0)),O$2,)</f>
        <v>0</v>
      </c>
      <c r="P59" s="179">
        <f ca="1">IF(ISNUMBER(MATCH(DATEVALUE($A59),'recurring1_based on steps'!P$1:P$400,0)),P$2,)</f>
        <v>0</v>
      </c>
      <c r="Q59" s="179">
        <f ca="1">IF(ISNUMBER(MATCH(DATEVALUE($A59),'recurring1_based on steps'!Q$1:Q$400,0)),Q$2,)</f>
        <v>0</v>
      </c>
      <c r="R59" s="179">
        <f ca="1">IF(ISNUMBER(MATCH(DATEVALUE($A59),'recurring1_based on steps'!R$1:R$400,0)),R$2,)</f>
        <v>0</v>
      </c>
      <c r="S59" s="179">
        <f ca="1">IF(ISNUMBER(MATCH(DATEVALUE($A59),'recurring1_based on steps'!S$1:S$400,0)),S$2,)</f>
        <v>0</v>
      </c>
      <c r="T59" s="179">
        <f ca="1">IF(ISNUMBER(MATCH(DATEVALUE($A59),'recurring1_based on steps'!T$1:T$400,0)),T$2,)</f>
        <v>0</v>
      </c>
      <c r="U59" s="179">
        <f ca="1">IF(ISNUMBER(MATCH(DATEVALUE($A59),'recurring1_based on steps'!U$1:U$400,0)),U$2,)</f>
        <v>0</v>
      </c>
      <c r="V59" s="179">
        <f ca="1">IF(ISNUMBER(MATCH(DATEVALUE($A59),'recurring1_based on steps'!V$1:V$400,0)),V$2,)</f>
        <v>0</v>
      </c>
      <c r="W59" s="179">
        <f ca="1">IF(ISNUMBER(MATCH(DATEVALUE($A59),'recurring1_based on steps'!W$1:W$400,0)),W$2,)</f>
        <v>0</v>
      </c>
      <c r="X59" s="179">
        <f ca="1">IF(ISNUMBER(MATCH(DATEVALUE($A59),'recurring1_based on steps'!X$1:X$400,0)),X$2,)</f>
        <v>0</v>
      </c>
      <c r="Y59" s="179">
        <f ca="1">IF(ISNUMBER(MATCH(DATEVALUE($A59),'recurring1_based on steps'!Y$1:Y$400,0)),Y$2,)</f>
        <v>0</v>
      </c>
      <c r="Z59" s="179">
        <f ca="1">IF(ISNUMBER(MATCH(DATEVALUE($A59),'recurring1_based on steps'!Z$1:Z$400,0)),Z$2,)</f>
        <v>0</v>
      </c>
      <c r="AA59" s="179">
        <f ca="1">IF(ISNUMBER(MATCH(DATEVALUE($A59),'recurring1_based on steps'!AA$1:AA$400,0)),AA$2,)</f>
        <v>0</v>
      </c>
      <c r="AB59" s="179">
        <f ca="1">IF(ISNUMBER(MATCH(DATEVALUE($A59),'recurring1_based on steps'!AB$1:AB$400,0)),AB$2,)</f>
        <v>0</v>
      </c>
      <c r="AC59" s="179">
        <f ca="1">IF(ISNUMBER(MATCH(DATEVALUE($A59),'recurring1_based on steps'!AC$1:AC$400,0)),AC$2,)</f>
        <v>0</v>
      </c>
      <c r="AD59" s="179">
        <f ca="1">IF(ISNUMBER(MATCH(DATEVALUE($A59),'recurring1_based on steps'!AD$1:AD$400,0)),AD$2,)</f>
        <v>0</v>
      </c>
      <c r="AE59" s="179">
        <f ca="1">IF(ISNUMBER(MATCH(DATEVALUE($A59),'recurring1_based on steps'!AE$1:AE$400,0)),AE$2,)</f>
        <v>0</v>
      </c>
      <c r="AF59" s="179">
        <f ca="1">IF(ISNUMBER(MATCH(DATEVALUE($A59),'recurring1_based on steps'!AF$1:AF$400,0)),AF$2,)</f>
        <v>0</v>
      </c>
      <c r="AG59" s="179">
        <f ca="1">IF(ISNUMBER(MATCH(DATEVALUE($A59),'recurring1_based on steps'!AG$1:AG$400,0)),AG$2,)</f>
        <v>0</v>
      </c>
      <c r="AH59" s="179">
        <f ca="1">IF(ISNUMBER(MATCH(DATEVALUE($A59),'recurring1_based on steps'!AH$1:AH$400,0)),AH$2,)</f>
        <v>0</v>
      </c>
      <c r="AI59" s="179">
        <f ca="1">IF(ISNUMBER(MATCH(DATEVALUE($A59),'recurring1_based on steps'!AI$1:AI$400,0)),AI$2,)</f>
        <v>0</v>
      </c>
      <c r="AJ59" s="179">
        <f ca="1">IF(ISNUMBER(MATCH(DATEVALUE($A59),'recurring1_based on steps'!AJ$1:AJ$400,0)),AJ$2,)</f>
        <v>0</v>
      </c>
      <c r="AK59" s="179">
        <f ca="1">IF(ISNUMBER(MATCH(DATEVALUE($A59),'recurring1_based on steps'!AK$1:AK$400,0)),AK$2,)</f>
        <v>0</v>
      </c>
      <c r="AL59" s="179">
        <f ca="1">IF(ISNUMBER(MATCH(DATEVALUE($A59),'recurring1_based on steps'!AL$1:AL$400,0)),AL$2,)</f>
        <v>0</v>
      </c>
      <c r="AM59" s="179">
        <f ca="1">IF(ISNUMBER(MATCH(DATEVALUE($A59),'recurring1_based on steps'!AM$1:AM$400,0)),AM$2,)</f>
        <v>0</v>
      </c>
      <c r="AN59" s="179">
        <f ca="1">IF(ISNUMBER(MATCH(DATEVALUE($A59),'recurring1_based on steps'!AN$1:AN$400,0)),AN$2,)</f>
        <v>0</v>
      </c>
      <c r="AO59" s="179">
        <f ca="1">IF(ISNUMBER(MATCH(DATEVALUE($A59),'recurring1_based on steps'!AO$1:AO$400,0)),AO$2,)</f>
        <v>0</v>
      </c>
      <c r="AP59" s="179">
        <f ca="1">IF(ISNUMBER(MATCH(DATEVALUE($A59),'recurring1_based on steps'!AP$1:AP$400,0)),AP$2,)</f>
        <v>0</v>
      </c>
      <c r="AQ59" s="179">
        <f ca="1">IF(ISNUMBER(MATCH(DATEVALUE($A59),'recurring1_based on steps'!AQ$1:AQ$400,0)),AQ$2,)</f>
        <v>0</v>
      </c>
      <c r="AR59" s="179">
        <f ca="1">IF(ISNUMBER(MATCH(DATEVALUE($A59),'recurring1_based on steps'!AR$1:AR$400,0)),AR$2,)</f>
        <v>0</v>
      </c>
      <c r="AS59" s="179">
        <f ca="1">IF(ISNUMBER(MATCH(DATEVALUE($A59),'recurring1_based on steps'!AS$1:AS$400,0)),AS$2,)</f>
        <v>0</v>
      </c>
      <c r="AT59" s="179">
        <f ca="1">IF(ISNUMBER(MATCH(DATEVALUE($A59),'recurring1_based on steps'!AT$1:AT$400,0)),AT$2,)</f>
        <v>0</v>
      </c>
      <c r="AU59" s="179">
        <f ca="1">IF(ISNUMBER(MATCH(DATEVALUE($A59),'recurring1_based on steps'!AU$1:AU$400,0)),AU$2,)</f>
        <v>0</v>
      </c>
      <c r="AV59" s="179">
        <f ca="1">IF(ISNUMBER(MATCH(DATEVALUE($A59),'recurring1_based on steps'!AV$1:AV$400,0)),AV$2,)</f>
        <v>0</v>
      </c>
      <c r="AW59" s="179">
        <f ca="1">IF(ISNUMBER(MATCH(DATEVALUE($A59),'recurring1_based on steps'!AW$1:AW$400,0)),AW$2,)</f>
        <v>0</v>
      </c>
      <c r="AX59" s="179">
        <f ca="1">IF(ISNUMBER(MATCH(DATEVALUE($A59),'recurring1_based on steps'!AX$1:AX$400,0)),AX$2,)</f>
        <v>0</v>
      </c>
      <c r="AY59" s="179">
        <f ca="1">IF(ISNUMBER(MATCH(DATEVALUE($A59),'recurring1_based on steps'!AY$1:AY$400,0)),AY$2,)</f>
        <v>0</v>
      </c>
    </row>
    <row r="60" spans="1:51" x14ac:dyDescent="0.2">
      <c r="A60" s="32" t="str">
        <f t="shared" ca="1" si="0"/>
        <v>2025-05-25</v>
      </c>
      <c r="B60" s="179">
        <f ca="1">IF(ISNUMBER(MATCH(DATEVALUE($A60),'recurring1_based on steps'!B$1:B$400,0)),B$2,)</f>
        <v>0</v>
      </c>
      <c r="C60" s="179">
        <f ca="1">IF(ISNUMBER(MATCH(DATEVALUE($A60),'recurring1_based on steps'!C$1:C$400,0)),C$2,)</f>
        <v>0</v>
      </c>
      <c r="D60" s="179">
        <f ca="1">IF(ISNUMBER(MATCH(DATEVALUE($A60),'recurring1_based on steps'!D$1:D$400,0)),D$2,)</f>
        <v>0</v>
      </c>
      <c r="E60" s="179">
        <f ca="1">IF(ISNUMBER(MATCH(DATEVALUE($A60),'recurring1_based on steps'!E$1:E$400,0)),E$2,)</f>
        <v>0</v>
      </c>
      <c r="F60" s="179">
        <f ca="1">IF(ISNUMBER(MATCH(DATEVALUE($A60),'recurring1_based on steps'!F$1:F$400,0)),F$2,)</f>
        <v>0</v>
      </c>
      <c r="G60" s="179">
        <f ca="1">IF(ISNUMBER(MATCH(DATEVALUE($A60),'recurring1_based on steps'!G$1:G$400,0)),G$2,)</f>
        <v>0</v>
      </c>
      <c r="H60" s="179">
        <f ca="1">IF(ISNUMBER(MATCH(DATEVALUE($A60),'recurring1_based on steps'!H$1:H$400,0)),H$2,)</f>
        <v>0</v>
      </c>
      <c r="I60" s="179">
        <f ca="1">IF(ISNUMBER(MATCH(DATEVALUE($A60),'recurring1_based on steps'!I$1:I$400,0)),I$2,)</f>
        <v>0</v>
      </c>
      <c r="J60" s="179">
        <f ca="1">IF(ISNUMBER(MATCH(DATEVALUE($A60),'recurring1_based on steps'!J$1:J$400,0)),J$2,)</f>
        <v>0</v>
      </c>
      <c r="K60" s="179">
        <f ca="1">IF(ISNUMBER(MATCH(DATEVALUE($A60),'recurring1_based on steps'!K$1:K$400,0)),K$2,)</f>
        <v>0</v>
      </c>
      <c r="L60" s="179">
        <f ca="1">IF(ISNUMBER(MATCH(DATEVALUE($A60),'recurring1_based on steps'!L$1:L$400,0)),L$2,)</f>
        <v>0</v>
      </c>
      <c r="M60" s="179">
        <f ca="1">IF(ISNUMBER(MATCH(DATEVALUE($A60),'recurring1_based on steps'!M$1:M$400,0)),M$2,)</f>
        <v>0</v>
      </c>
      <c r="N60" s="179">
        <f ca="1">IF(ISNUMBER(MATCH(DATEVALUE($A60),'recurring1_based on steps'!N$1:N$400,0)),N$2,)</f>
        <v>0</v>
      </c>
      <c r="O60" s="179">
        <f ca="1">IF(ISNUMBER(MATCH(DATEVALUE($A60),'recurring1_based on steps'!O$1:O$400,0)),O$2,)</f>
        <v>0</v>
      </c>
      <c r="P60" s="179">
        <f ca="1">IF(ISNUMBER(MATCH(DATEVALUE($A60),'recurring1_based on steps'!P$1:P$400,0)),P$2,)</f>
        <v>0</v>
      </c>
      <c r="Q60" s="179">
        <f ca="1">IF(ISNUMBER(MATCH(DATEVALUE($A60),'recurring1_based on steps'!Q$1:Q$400,0)),Q$2,)</f>
        <v>0</v>
      </c>
      <c r="R60" s="179">
        <f ca="1">IF(ISNUMBER(MATCH(DATEVALUE($A60),'recurring1_based on steps'!R$1:R$400,0)),R$2,)</f>
        <v>0</v>
      </c>
      <c r="S60" s="179">
        <f ca="1">IF(ISNUMBER(MATCH(DATEVALUE($A60),'recurring1_based on steps'!S$1:S$400,0)),S$2,)</f>
        <v>0</v>
      </c>
      <c r="T60" s="179">
        <f ca="1">IF(ISNUMBER(MATCH(DATEVALUE($A60),'recurring1_based on steps'!T$1:T$400,0)),T$2,)</f>
        <v>0</v>
      </c>
      <c r="U60" s="179">
        <f ca="1">IF(ISNUMBER(MATCH(DATEVALUE($A60),'recurring1_based on steps'!U$1:U$400,0)),U$2,)</f>
        <v>0</v>
      </c>
      <c r="V60" s="179">
        <f ca="1">IF(ISNUMBER(MATCH(DATEVALUE($A60),'recurring1_based on steps'!V$1:V$400,0)),V$2,)</f>
        <v>0</v>
      </c>
      <c r="W60" s="179">
        <f ca="1">IF(ISNUMBER(MATCH(DATEVALUE($A60),'recurring1_based on steps'!W$1:W$400,0)),W$2,)</f>
        <v>0</v>
      </c>
      <c r="X60" s="179">
        <f ca="1">IF(ISNUMBER(MATCH(DATEVALUE($A60),'recurring1_based on steps'!X$1:X$400,0)),X$2,)</f>
        <v>0</v>
      </c>
      <c r="Y60" s="179">
        <f ca="1">IF(ISNUMBER(MATCH(DATEVALUE($A60),'recurring1_based on steps'!Y$1:Y$400,0)),Y$2,)</f>
        <v>0</v>
      </c>
      <c r="Z60" s="179">
        <f ca="1">IF(ISNUMBER(MATCH(DATEVALUE($A60),'recurring1_based on steps'!Z$1:Z$400,0)),Z$2,)</f>
        <v>0</v>
      </c>
      <c r="AA60" s="179">
        <f ca="1">IF(ISNUMBER(MATCH(DATEVALUE($A60),'recurring1_based on steps'!AA$1:AA$400,0)),AA$2,)</f>
        <v>0</v>
      </c>
      <c r="AB60" s="179">
        <f ca="1">IF(ISNUMBER(MATCH(DATEVALUE($A60),'recurring1_based on steps'!AB$1:AB$400,0)),AB$2,)</f>
        <v>0</v>
      </c>
      <c r="AC60" s="179">
        <f ca="1">IF(ISNUMBER(MATCH(DATEVALUE($A60),'recurring1_based on steps'!AC$1:AC$400,0)),AC$2,)</f>
        <v>0</v>
      </c>
      <c r="AD60" s="179">
        <f ca="1">IF(ISNUMBER(MATCH(DATEVALUE($A60),'recurring1_based on steps'!AD$1:AD$400,0)),AD$2,)</f>
        <v>0</v>
      </c>
      <c r="AE60" s="179">
        <f ca="1">IF(ISNUMBER(MATCH(DATEVALUE($A60),'recurring1_based on steps'!AE$1:AE$400,0)),AE$2,)</f>
        <v>0</v>
      </c>
      <c r="AF60" s="179">
        <f ca="1">IF(ISNUMBER(MATCH(DATEVALUE($A60),'recurring1_based on steps'!AF$1:AF$400,0)),AF$2,)</f>
        <v>0</v>
      </c>
      <c r="AG60" s="179">
        <f ca="1">IF(ISNUMBER(MATCH(DATEVALUE($A60),'recurring1_based on steps'!AG$1:AG$400,0)),AG$2,)</f>
        <v>0</v>
      </c>
      <c r="AH60" s="179">
        <f ca="1">IF(ISNUMBER(MATCH(DATEVALUE($A60),'recurring1_based on steps'!AH$1:AH$400,0)),AH$2,)</f>
        <v>0</v>
      </c>
      <c r="AI60" s="179">
        <f ca="1">IF(ISNUMBER(MATCH(DATEVALUE($A60),'recurring1_based on steps'!AI$1:AI$400,0)),AI$2,)</f>
        <v>0</v>
      </c>
      <c r="AJ60" s="179">
        <f ca="1">IF(ISNUMBER(MATCH(DATEVALUE($A60),'recurring1_based on steps'!AJ$1:AJ$400,0)),AJ$2,)</f>
        <v>0</v>
      </c>
      <c r="AK60" s="179">
        <f ca="1">IF(ISNUMBER(MATCH(DATEVALUE($A60),'recurring1_based on steps'!AK$1:AK$400,0)),AK$2,)</f>
        <v>0</v>
      </c>
      <c r="AL60" s="179">
        <f ca="1">IF(ISNUMBER(MATCH(DATEVALUE($A60),'recurring1_based on steps'!AL$1:AL$400,0)),AL$2,)</f>
        <v>0</v>
      </c>
      <c r="AM60" s="179">
        <f ca="1">IF(ISNUMBER(MATCH(DATEVALUE($A60),'recurring1_based on steps'!AM$1:AM$400,0)),AM$2,)</f>
        <v>0</v>
      </c>
      <c r="AN60" s="179">
        <f ca="1">IF(ISNUMBER(MATCH(DATEVALUE($A60),'recurring1_based on steps'!AN$1:AN$400,0)),AN$2,)</f>
        <v>0</v>
      </c>
      <c r="AO60" s="179">
        <f ca="1">IF(ISNUMBER(MATCH(DATEVALUE($A60),'recurring1_based on steps'!AO$1:AO$400,0)),AO$2,)</f>
        <v>0</v>
      </c>
      <c r="AP60" s="179">
        <f ca="1">IF(ISNUMBER(MATCH(DATEVALUE($A60),'recurring1_based on steps'!AP$1:AP$400,0)),AP$2,)</f>
        <v>0</v>
      </c>
      <c r="AQ60" s="179">
        <f ca="1">IF(ISNUMBER(MATCH(DATEVALUE($A60),'recurring1_based on steps'!AQ$1:AQ$400,0)),AQ$2,)</f>
        <v>0</v>
      </c>
      <c r="AR60" s="179">
        <f ca="1">IF(ISNUMBER(MATCH(DATEVALUE($A60),'recurring1_based on steps'!AR$1:AR$400,0)),AR$2,)</f>
        <v>0</v>
      </c>
      <c r="AS60" s="179">
        <f ca="1">IF(ISNUMBER(MATCH(DATEVALUE($A60),'recurring1_based on steps'!AS$1:AS$400,0)),AS$2,)</f>
        <v>0</v>
      </c>
      <c r="AT60" s="179">
        <f ca="1">IF(ISNUMBER(MATCH(DATEVALUE($A60),'recurring1_based on steps'!AT$1:AT$400,0)),AT$2,)</f>
        <v>0</v>
      </c>
      <c r="AU60" s="179">
        <f ca="1">IF(ISNUMBER(MATCH(DATEVALUE($A60),'recurring1_based on steps'!AU$1:AU$400,0)),AU$2,)</f>
        <v>0</v>
      </c>
      <c r="AV60" s="179">
        <f ca="1">IF(ISNUMBER(MATCH(DATEVALUE($A60),'recurring1_based on steps'!AV$1:AV$400,0)),AV$2,)</f>
        <v>0</v>
      </c>
      <c r="AW60" s="179">
        <f ca="1">IF(ISNUMBER(MATCH(DATEVALUE($A60),'recurring1_based on steps'!AW$1:AW$400,0)),AW$2,)</f>
        <v>0</v>
      </c>
      <c r="AX60" s="179">
        <f ca="1">IF(ISNUMBER(MATCH(DATEVALUE($A60),'recurring1_based on steps'!AX$1:AX$400,0)),AX$2,)</f>
        <v>0</v>
      </c>
      <c r="AY60" s="179">
        <f ca="1">IF(ISNUMBER(MATCH(DATEVALUE($A60),'recurring1_based on steps'!AY$1:AY$400,0)),AY$2,)</f>
        <v>0</v>
      </c>
    </row>
    <row r="61" spans="1:51" x14ac:dyDescent="0.2">
      <c r="A61" s="32" t="str">
        <f t="shared" ca="1" si="0"/>
        <v>2025-05-26</v>
      </c>
      <c r="B61" s="179">
        <f ca="1">IF(ISNUMBER(MATCH(DATEVALUE($A61),'recurring1_based on steps'!B$1:B$400,0)),B$2,)</f>
        <v>0</v>
      </c>
      <c r="C61" s="179">
        <f ca="1">IF(ISNUMBER(MATCH(DATEVALUE($A61),'recurring1_based on steps'!C$1:C$400,0)),C$2,)</f>
        <v>0</v>
      </c>
      <c r="D61" s="179">
        <f ca="1">IF(ISNUMBER(MATCH(DATEVALUE($A61),'recurring1_based on steps'!D$1:D$400,0)),D$2,)</f>
        <v>0</v>
      </c>
      <c r="E61" s="179">
        <f ca="1">IF(ISNUMBER(MATCH(DATEVALUE($A61),'recurring1_based on steps'!E$1:E$400,0)),E$2,)</f>
        <v>0</v>
      </c>
      <c r="F61" s="179">
        <f ca="1">IF(ISNUMBER(MATCH(DATEVALUE($A61),'recurring1_based on steps'!F$1:F$400,0)),F$2,)</f>
        <v>0</v>
      </c>
      <c r="G61" s="179">
        <f ca="1">IF(ISNUMBER(MATCH(DATEVALUE($A61),'recurring1_based on steps'!G$1:G$400,0)),G$2,)</f>
        <v>0</v>
      </c>
      <c r="H61" s="179">
        <f ca="1">IF(ISNUMBER(MATCH(DATEVALUE($A61),'recurring1_based on steps'!H$1:H$400,0)),H$2,)</f>
        <v>0</v>
      </c>
      <c r="I61" s="179">
        <f ca="1">IF(ISNUMBER(MATCH(DATEVALUE($A61),'recurring1_based on steps'!I$1:I$400,0)),I$2,)</f>
        <v>0</v>
      </c>
      <c r="J61" s="179">
        <f ca="1">IF(ISNUMBER(MATCH(DATEVALUE($A61),'recurring1_based on steps'!J$1:J$400,0)),J$2,)</f>
        <v>0</v>
      </c>
      <c r="K61" s="179">
        <f ca="1">IF(ISNUMBER(MATCH(DATEVALUE($A61),'recurring1_based on steps'!K$1:K$400,0)),K$2,)</f>
        <v>0</v>
      </c>
      <c r="L61" s="179">
        <f ca="1">IF(ISNUMBER(MATCH(DATEVALUE($A61),'recurring1_based on steps'!L$1:L$400,0)),L$2,)</f>
        <v>0</v>
      </c>
      <c r="M61" s="179">
        <f ca="1">IF(ISNUMBER(MATCH(DATEVALUE($A61),'recurring1_based on steps'!M$1:M$400,0)),M$2,)</f>
        <v>0</v>
      </c>
      <c r="N61" s="179">
        <f ca="1">IF(ISNUMBER(MATCH(DATEVALUE($A61),'recurring1_based on steps'!N$1:N$400,0)),N$2,)</f>
        <v>0</v>
      </c>
      <c r="O61" s="179">
        <f ca="1">IF(ISNUMBER(MATCH(DATEVALUE($A61),'recurring1_based on steps'!O$1:O$400,0)),O$2,)</f>
        <v>0</v>
      </c>
      <c r="P61" s="179">
        <f ca="1">IF(ISNUMBER(MATCH(DATEVALUE($A61),'recurring1_based on steps'!P$1:P$400,0)),P$2,)</f>
        <v>0</v>
      </c>
      <c r="Q61" s="179">
        <f ca="1">IF(ISNUMBER(MATCH(DATEVALUE($A61),'recurring1_based on steps'!Q$1:Q$400,0)),Q$2,)</f>
        <v>0</v>
      </c>
      <c r="R61" s="179">
        <f ca="1">IF(ISNUMBER(MATCH(DATEVALUE($A61),'recurring1_based on steps'!R$1:R$400,0)),R$2,)</f>
        <v>0</v>
      </c>
      <c r="S61" s="179">
        <f ca="1">IF(ISNUMBER(MATCH(DATEVALUE($A61),'recurring1_based on steps'!S$1:S$400,0)),S$2,)</f>
        <v>0</v>
      </c>
      <c r="T61" s="179">
        <f ca="1">IF(ISNUMBER(MATCH(DATEVALUE($A61),'recurring1_based on steps'!T$1:T$400,0)),T$2,)</f>
        <v>0</v>
      </c>
      <c r="U61" s="179">
        <f ca="1">IF(ISNUMBER(MATCH(DATEVALUE($A61),'recurring1_based on steps'!U$1:U$400,0)),U$2,)</f>
        <v>0</v>
      </c>
      <c r="V61" s="179">
        <f ca="1">IF(ISNUMBER(MATCH(DATEVALUE($A61),'recurring1_based on steps'!V$1:V$400,0)),V$2,)</f>
        <v>0</v>
      </c>
      <c r="W61" s="179">
        <f ca="1">IF(ISNUMBER(MATCH(DATEVALUE($A61),'recurring1_based on steps'!W$1:W$400,0)),W$2,)</f>
        <v>0</v>
      </c>
      <c r="X61" s="179">
        <f ca="1">IF(ISNUMBER(MATCH(DATEVALUE($A61),'recurring1_based on steps'!X$1:X$400,0)),X$2,)</f>
        <v>0</v>
      </c>
      <c r="Y61" s="179">
        <f ca="1">IF(ISNUMBER(MATCH(DATEVALUE($A61),'recurring1_based on steps'!Y$1:Y$400,0)),Y$2,)</f>
        <v>0</v>
      </c>
      <c r="Z61" s="179">
        <f ca="1">IF(ISNUMBER(MATCH(DATEVALUE($A61),'recurring1_based on steps'!Z$1:Z$400,0)),Z$2,)</f>
        <v>0</v>
      </c>
      <c r="AA61" s="179">
        <f ca="1">IF(ISNUMBER(MATCH(DATEVALUE($A61),'recurring1_based on steps'!AA$1:AA$400,0)),AA$2,)</f>
        <v>0</v>
      </c>
      <c r="AB61" s="179">
        <f ca="1">IF(ISNUMBER(MATCH(DATEVALUE($A61),'recurring1_based on steps'!AB$1:AB$400,0)),AB$2,)</f>
        <v>0</v>
      </c>
      <c r="AC61" s="179">
        <f ca="1">IF(ISNUMBER(MATCH(DATEVALUE($A61),'recurring1_based on steps'!AC$1:AC$400,0)),AC$2,)</f>
        <v>0</v>
      </c>
      <c r="AD61" s="179">
        <f ca="1">IF(ISNUMBER(MATCH(DATEVALUE($A61),'recurring1_based on steps'!AD$1:AD$400,0)),AD$2,)</f>
        <v>0</v>
      </c>
      <c r="AE61" s="179">
        <f ca="1">IF(ISNUMBER(MATCH(DATEVALUE($A61),'recurring1_based on steps'!AE$1:AE$400,0)),AE$2,)</f>
        <v>0</v>
      </c>
      <c r="AF61" s="179">
        <f ca="1">IF(ISNUMBER(MATCH(DATEVALUE($A61),'recurring1_based on steps'!AF$1:AF$400,0)),AF$2,)</f>
        <v>0</v>
      </c>
      <c r="AG61" s="179">
        <f ca="1">IF(ISNUMBER(MATCH(DATEVALUE($A61),'recurring1_based on steps'!AG$1:AG$400,0)),AG$2,)</f>
        <v>0</v>
      </c>
      <c r="AH61" s="179">
        <f ca="1">IF(ISNUMBER(MATCH(DATEVALUE($A61),'recurring1_based on steps'!AH$1:AH$400,0)),AH$2,)</f>
        <v>0</v>
      </c>
      <c r="AI61" s="179">
        <f ca="1">IF(ISNUMBER(MATCH(DATEVALUE($A61),'recurring1_based on steps'!AI$1:AI$400,0)),AI$2,)</f>
        <v>0</v>
      </c>
      <c r="AJ61" s="179">
        <f ca="1">IF(ISNUMBER(MATCH(DATEVALUE($A61),'recurring1_based on steps'!AJ$1:AJ$400,0)),AJ$2,)</f>
        <v>0</v>
      </c>
      <c r="AK61" s="179">
        <f ca="1">IF(ISNUMBER(MATCH(DATEVALUE($A61),'recurring1_based on steps'!AK$1:AK$400,0)),AK$2,)</f>
        <v>0</v>
      </c>
      <c r="AL61" s="179">
        <f ca="1">IF(ISNUMBER(MATCH(DATEVALUE($A61),'recurring1_based on steps'!AL$1:AL$400,0)),AL$2,)</f>
        <v>0</v>
      </c>
      <c r="AM61" s="179">
        <f ca="1">IF(ISNUMBER(MATCH(DATEVALUE($A61),'recurring1_based on steps'!AM$1:AM$400,0)),AM$2,)</f>
        <v>0</v>
      </c>
      <c r="AN61" s="179">
        <f ca="1">IF(ISNUMBER(MATCH(DATEVALUE($A61),'recurring1_based on steps'!AN$1:AN$400,0)),AN$2,)</f>
        <v>0</v>
      </c>
      <c r="AO61" s="179">
        <f ca="1">IF(ISNUMBER(MATCH(DATEVALUE($A61),'recurring1_based on steps'!AO$1:AO$400,0)),AO$2,)</f>
        <v>0</v>
      </c>
      <c r="AP61" s="179">
        <f ca="1">IF(ISNUMBER(MATCH(DATEVALUE($A61),'recurring1_based on steps'!AP$1:AP$400,0)),AP$2,)</f>
        <v>0</v>
      </c>
      <c r="AQ61" s="179">
        <f ca="1">IF(ISNUMBER(MATCH(DATEVALUE($A61),'recurring1_based on steps'!AQ$1:AQ$400,0)),AQ$2,)</f>
        <v>0</v>
      </c>
      <c r="AR61" s="179">
        <f ca="1">IF(ISNUMBER(MATCH(DATEVALUE($A61),'recurring1_based on steps'!AR$1:AR$400,0)),AR$2,)</f>
        <v>0</v>
      </c>
      <c r="AS61" s="179">
        <f ca="1">IF(ISNUMBER(MATCH(DATEVALUE($A61),'recurring1_based on steps'!AS$1:AS$400,0)),AS$2,)</f>
        <v>0</v>
      </c>
      <c r="AT61" s="179">
        <f ca="1">IF(ISNUMBER(MATCH(DATEVALUE($A61),'recurring1_based on steps'!AT$1:AT$400,0)),AT$2,)</f>
        <v>0</v>
      </c>
      <c r="AU61" s="179">
        <f ca="1">IF(ISNUMBER(MATCH(DATEVALUE($A61),'recurring1_based on steps'!AU$1:AU$400,0)),AU$2,)</f>
        <v>0</v>
      </c>
      <c r="AV61" s="179">
        <f ca="1">IF(ISNUMBER(MATCH(DATEVALUE($A61),'recurring1_based on steps'!AV$1:AV$400,0)),AV$2,)</f>
        <v>0</v>
      </c>
      <c r="AW61" s="179">
        <f ca="1">IF(ISNUMBER(MATCH(DATEVALUE($A61),'recurring1_based on steps'!AW$1:AW$400,0)),AW$2,)</f>
        <v>0</v>
      </c>
      <c r="AX61" s="179">
        <f ca="1">IF(ISNUMBER(MATCH(DATEVALUE($A61),'recurring1_based on steps'!AX$1:AX$400,0)),AX$2,)</f>
        <v>0</v>
      </c>
      <c r="AY61" s="179">
        <f ca="1">IF(ISNUMBER(MATCH(DATEVALUE($A61),'recurring1_based on steps'!AY$1:AY$400,0)),AY$2,)</f>
        <v>0</v>
      </c>
    </row>
    <row r="62" spans="1:51" x14ac:dyDescent="0.2">
      <c r="A62" s="32" t="str">
        <f t="shared" ca="1" si="0"/>
        <v>2025-05-27</v>
      </c>
      <c r="B62" s="179">
        <f ca="1">IF(ISNUMBER(MATCH(DATEVALUE($A62),'recurring1_based on steps'!B$1:B$400,0)),B$2,)</f>
        <v>0</v>
      </c>
      <c r="C62" s="179">
        <f ca="1">IF(ISNUMBER(MATCH(DATEVALUE($A62),'recurring1_based on steps'!C$1:C$400,0)),C$2,)</f>
        <v>0</v>
      </c>
      <c r="D62" s="179">
        <f ca="1">IF(ISNUMBER(MATCH(DATEVALUE($A62),'recurring1_based on steps'!D$1:D$400,0)),D$2,)</f>
        <v>0</v>
      </c>
      <c r="E62" s="179">
        <f ca="1">IF(ISNUMBER(MATCH(DATEVALUE($A62),'recurring1_based on steps'!E$1:E$400,0)),E$2,)</f>
        <v>0</v>
      </c>
      <c r="F62" s="179">
        <f ca="1">IF(ISNUMBER(MATCH(DATEVALUE($A62),'recurring1_based on steps'!F$1:F$400,0)),F$2,)</f>
        <v>0</v>
      </c>
      <c r="G62" s="179">
        <f ca="1">IF(ISNUMBER(MATCH(DATEVALUE($A62),'recurring1_based on steps'!G$1:G$400,0)),G$2,)</f>
        <v>0</v>
      </c>
      <c r="H62" s="179">
        <f ca="1">IF(ISNUMBER(MATCH(DATEVALUE($A62),'recurring1_based on steps'!H$1:H$400,0)),H$2,)</f>
        <v>0</v>
      </c>
      <c r="I62" s="179">
        <f ca="1">IF(ISNUMBER(MATCH(DATEVALUE($A62),'recurring1_based on steps'!I$1:I$400,0)),I$2,)</f>
        <v>0</v>
      </c>
      <c r="J62" s="179">
        <f ca="1">IF(ISNUMBER(MATCH(DATEVALUE($A62),'recurring1_based on steps'!J$1:J$400,0)),J$2,)</f>
        <v>0</v>
      </c>
      <c r="K62" s="179">
        <f ca="1">IF(ISNUMBER(MATCH(DATEVALUE($A62),'recurring1_based on steps'!K$1:K$400,0)),K$2,)</f>
        <v>0</v>
      </c>
      <c r="L62" s="179">
        <f ca="1">IF(ISNUMBER(MATCH(DATEVALUE($A62),'recurring1_based on steps'!L$1:L$400,0)),L$2,)</f>
        <v>0</v>
      </c>
      <c r="M62" s="179">
        <f ca="1">IF(ISNUMBER(MATCH(DATEVALUE($A62),'recurring1_based on steps'!M$1:M$400,0)),M$2,)</f>
        <v>0</v>
      </c>
      <c r="N62" s="179">
        <f ca="1">IF(ISNUMBER(MATCH(DATEVALUE($A62),'recurring1_based on steps'!N$1:N$400,0)),N$2,)</f>
        <v>0</v>
      </c>
      <c r="O62" s="179">
        <f ca="1">IF(ISNUMBER(MATCH(DATEVALUE($A62),'recurring1_based on steps'!O$1:O$400,0)),O$2,)</f>
        <v>0</v>
      </c>
      <c r="P62" s="179">
        <f ca="1">IF(ISNUMBER(MATCH(DATEVALUE($A62),'recurring1_based on steps'!P$1:P$400,0)),P$2,)</f>
        <v>0</v>
      </c>
      <c r="Q62" s="179">
        <f ca="1">IF(ISNUMBER(MATCH(DATEVALUE($A62),'recurring1_based on steps'!Q$1:Q$400,0)),Q$2,)</f>
        <v>0</v>
      </c>
      <c r="R62" s="179">
        <f ca="1">IF(ISNUMBER(MATCH(DATEVALUE($A62),'recurring1_based on steps'!R$1:R$400,0)),R$2,)</f>
        <v>0</v>
      </c>
      <c r="S62" s="179">
        <f ca="1">IF(ISNUMBER(MATCH(DATEVALUE($A62),'recurring1_based on steps'!S$1:S$400,0)),S$2,)</f>
        <v>0</v>
      </c>
      <c r="T62" s="179">
        <f ca="1">IF(ISNUMBER(MATCH(DATEVALUE($A62),'recurring1_based on steps'!T$1:T$400,0)),T$2,)</f>
        <v>0</v>
      </c>
      <c r="U62" s="179">
        <f ca="1">IF(ISNUMBER(MATCH(DATEVALUE($A62),'recurring1_based on steps'!U$1:U$400,0)),U$2,)</f>
        <v>0</v>
      </c>
      <c r="V62" s="179">
        <f ca="1">IF(ISNUMBER(MATCH(DATEVALUE($A62),'recurring1_based on steps'!V$1:V$400,0)),V$2,)</f>
        <v>0</v>
      </c>
      <c r="W62" s="179">
        <f ca="1">IF(ISNUMBER(MATCH(DATEVALUE($A62),'recurring1_based on steps'!W$1:W$400,0)),W$2,)</f>
        <v>0</v>
      </c>
      <c r="X62" s="179">
        <f ca="1">IF(ISNUMBER(MATCH(DATEVALUE($A62),'recurring1_based on steps'!X$1:X$400,0)),X$2,)</f>
        <v>0</v>
      </c>
      <c r="Y62" s="179">
        <f ca="1">IF(ISNUMBER(MATCH(DATEVALUE($A62),'recurring1_based on steps'!Y$1:Y$400,0)),Y$2,)</f>
        <v>0</v>
      </c>
      <c r="Z62" s="179">
        <f ca="1">IF(ISNUMBER(MATCH(DATEVALUE($A62),'recurring1_based on steps'!Z$1:Z$400,0)),Z$2,)</f>
        <v>0</v>
      </c>
      <c r="AA62" s="179">
        <f ca="1">IF(ISNUMBER(MATCH(DATEVALUE($A62),'recurring1_based on steps'!AA$1:AA$400,0)),AA$2,)</f>
        <v>0</v>
      </c>
      <c r="AB62" s="179">
        <f ca="1">IF(ISNUMBER(MATCH(DATEVALUE($A62),'recurring1_based on steps'!AB$1:AB$400,0)),AB$2,)</f>
        <v>0</v>
      </c>
      <c r="AC62" s="179">
        <f ca="1">IF(ISNUMBER(MATCH(DATEVALUE($A62),'recurring1_based on steps'!AC$1:AC$400,0)),AC$2,)</f>
        <v>0</v>
      </c>
      <c r="AD62" s="179">
        <f ca="1">IF(ISNUMBER(MATCH(DATEVALUE($A62),'recurring1_based on steps'!AD$1:AD$400,0)),AD$2,)</f>
        <v>0</v>
      </c>
      <c r="AE62" s="179">
        <f ca="1">IF(ISNUMBER(MATCH(DATEVALUE($A62),'recurring1_based on steps'!AE$1:AE$400,0)),AE$2,)</f>
        <v>0</v>
      </c>
      <c r="AF62" s="179">
        <f ca="1">IF(ISNUMBER(MATCH(DATEVALUE($A62),'recurring1_based on steps'!AF$1:AF$400,0)),AF$2,)</f>
        <v>0</v>
      </c>
      <c r="AG62" s="179">
        <f ca="1">IF(ISNUMBER(MATCH(DATEVALUE($A62),'recurring1_based on steps'!AG$1:AG$400,0)),AG$2,)</f>
        <v>0</v>
      </c>
      <c r="AH62" s="179">
        <f ca="1">IF(ISNUMBER(MATCH(DATEVALUE($A62),'recurring1_based on steps'!AH$1:AH$400,0)),AH$2,)</f>
        <v>0</v>
      </c>
      <c r="AI62" s="179">
        <f ca="1">IF(ISNUMBER(MATCH(DATEVALUE($A62),'recurring1_based on steps'!AI$1:AI$400,0)),AI$2,)</f>
        <v>0</v>
      </c>
      <c r="AJ62" s="179">
        <f ca="1">IF(ISNUMBER(MATCH(DATEVALUE($A62),'recurring1_based on steps'!AJ$1:AJ$400,0)),AJ$2,)</f>
        <v>0</v>
      </c>
      <c r="AK62" s="179">
        <f ca="1">IF(ISNUMBER(MATCH(DATEVALUE($A62),'recurring1_based on steps'!AK$1:AK$400,0)),AK$2,)</f>
        <v>0</v>
      </c>
      <c r="AL62" s="179">
        <f ca="1">IF(ISNUMBER(MATCH(DATEVALUE($A62),'recurring1_based on steps'!AL$1:AL$400,0)),AL$2,)</f>
        <v>0</v>
      </c>
      <c r="AM62" s="179">
        <f ca="1">IF(ISNUMBER(MATCH(DATEVALUE($A62),'recurring1_based on steps'!AM$1:AM$400,0)),AM$2,)</f>
        <v>0</v>
      </c>
      <c r="AN62" s="179">
        <f ca="1">IF(ISNUMBER(MATCH(DATEVALUE($A62),'recurring1_based on steps'!AN$1:AN$400,0)),AN$2,)</f>
        <v>0</v>
      </c>
      <c r="AO62" s="179">
        <f ca="1">IF(ISNUMBER(MATCH(DATEVALUE($A62),'recurring1_based on steps'!AO$1:AO$400,0)),AO$2,)</f>
        <v>0</v>
      </c>
      <c r="AP62" s="179">
        <f ca="1">IF(ISNUMBER(MATCH(DATEVALUE($A62),'recurring1_based on steps'!AP$1:AP$400,0)),AP$2,)</f>
        <v>0</v>
      </c>
      <c r="AQ62" s="179">
        <f ca="1">IF(ISNUMBER(MATCH(DATEVALUE($A62),'recurring1_based on steps'!AQ$1:AQ$400,0)),AQ$2,)</f>
        <v>0</v>
      </c>
      <c r="AR62" s="179">
        <f ca="1">IF(ISNUMBER(MATCH(DATEVALUE($A62),'recurring1_based on steps'!AR$1:AR$400,0)),AR$2,)</f>
        <v>0</v>
      </c>
      <c r="AS62" s="179">
        <f ca="1">IF(ISNUMBER(MATCH(DATEVALUE($A62),'recurring1_based on steps'!AS$1:AS$400,0)),AS$2,)</f>
        <v>0</v>
      </c>
      <c r="AT62" s="179">
        <f ca="1">IF(ISNUMBER(MATCH(DATEVALUE($A62),'recurring1_based on steps'!AT$1:AT$400,0)),AT$2,)</f>
        <v>0</v>
      </c>
      <c r="AU62" s="179">
        <f ca="1">IF(ISNUMBER(MATCH(DATEVALUE($A62),'recurring1_based on steps'!AU$1:AU$400,0)),AU$2,)</f>
        <v>0</v>
      </c>
      <c r="AV62" s="179">
        <f ca="1">IF(ISNUMBER(MATCH(DATEVALUE($A62),'recurring1_based on steps'!AV$1:AV$400,0)),AV$2,)</f>
        <v>0</v>
      </c>
      <c r="AW62" s="179">
        <f ca="1">IF(ISNUMBER(MATCH(DATEVALUE($A62),'recurring1_based on steps'!AW$1:AW$400,0)),AW$2,)</f>
        <v>0</v>
      </c>
      <c r="AX62" s="179">
        <f ca="1">IF(ISNUMBER(MATCH(DATEVALUE($A62),'recurring1_based on steps'!AX$1:AX$400,0)),AX$2,)</f>
        <v>0</v>
      </c>
      <c r="AY62" s="179">
        <f ca="1">IF(ISNUMBER(MATCH(DATEVALUE($A62),'recurring1_based on steps'!AY$1:AY$400,0)),AY$2,)</f>
        <v>0</v>
      </c>
    </row>
    <row r="63" spans="1:51" x14ac:dyDescent="0.2">
      <c r="A63" s="32" t="str">
        <f t="shared" ca="1" si="0"/>
        <v>2025-05-28</v>
      </c>
      <c r="B63" s="179">
        <f ca="1">IF(ISNUMBER(MATCH(DATEVALUE($A63),'recurring1_based on steps'!B$1:B$400,0)),B$2,)</f>
        <v>0</v>
      </c>
      <c r="C63" s="179">
        <f ca="1">IF(ISNUMBER(MATCH(DATEVALUE($A63),'recurring1_based on steps'!C$1:C$400,0)),C$2,)</f>
        <v>0</v>
      </c>
      <c r="D63" s="179">
        <f ca="1">IF(ISNUMBER(MATCH(DATEVALUE($A63),'recurring1_based on steps'!D$1:D$400,0)),D$2,)</f>
        <v>0</v>
      </c>
      <c r="E63" s="179">
        <f ca="1">IF(ISNUMBER(MATCH(DATEVALUE($A63),'recurring1_based on steps'!E$1:E$400,0)),E$2,)</f>
        <v>0</v>
      </c>
      <c r="F63" s="179">
        <f ca="1">IF(ISNUMBER(MATCH(DATEVALUE($A63),'recurring1_based on steps'!F$1:F$400,0)),F$2,)</f>
        <v>0</v>
      </c>
      <c r="G63" s="179">
        <f ca="1">IF(ISNUMBER(MATCH(DATEVALUE($A63),'recurring1_based on steps'!G$1:G$400,0)),G$2,)</f>
        <v>0</v>
      </c>
      <c r="H63" s="179">
        <f ca="1">IF(ISNUMBER(MATCH(DATEVALUE($A63),'recurring1_based on steps'!H$1:H$400,0)),H$2,)</f>
        <v>0</v>
      </c>
      <c r="I63" s="179">
        <f ca="1">IF(ISNUMBER(MATCH(DATEVALUE($A63),'recurring1_based on steps'!I$1:I$400,0)),I$2,)</f>
        <v>0</v>
      </c>
      <c r="J63" s="179">
        <f ca="1">IF(ISNUMBER(MATCH(DATEVALUE($A63),'recurring1_based on steps'!J$1:J$400,0)),J$2,)</f>
        <v>0</v>
      </c>
      <c r="K63" s="179">
        <f ca="1">IF(ISNUMBER(MATCH(DATEVALUE($A63),'recurring1_based on steps'!K$1:K$400,0)),K$2,)</f>
        <v>0</v>
      </c>
      <c r="L63" s="179">
        <f ca="1">IF(ISNUMBER(MATCH(DATEVALUE($A63),'recurring1_based on steps'!L$1:L$400,0)),L$2,)</f>
        <v>0</v>
      </c>
      <c r="M63" s="179">
        <f ca="1">IF(ISNUMBER(MATCH(DATEVALUE($A63),'recurring1_based on steps'!M$1:M$400,0)),M$2,)</f>
        <v>0</v>
      </c>
      <c r="N63" s="179">
        <f ca="1">IF(ISNUMBER(MATCH(DATEVALUE($A63),'recurring1_based on steps'!N$1:N$400,0)),N$2,)</f>
        <v>0</v>
      </c>
      <c r="O63" s="179">
        <f ca="1">IF(ISNUMBER(MATCH(DATEVALUE($A63),'recurring1_based on steps'!O$1:O$400,0)),O$2,)</f>
        <v>0</v>
      </c>
      <c r="P63" s="179">
        <f ca="1">IF(ISNUMBER(MATCH(DATEVALUE($A63),'recurring1_based on steps'!P$1:P$400,0)),P$2,)</f>
        <v>0</v>
      </c>
      <c r="Q63" s="179">
        <f ca="1">IF(ISNUMBER(MATCH(DATEVALUE($A63),'recurring1_based on steps'!Q$1:Q$400,0)),Q$2,)</f>
        <v>0</v>
      </c>
      <c r="R63" s="179">
        <f ca="1">IF(ISNUMBER(MATCH(DATEVALUE($A63),'recurring1_based on steps'!R$1:R$400,0)),R$2,)</f>
        <v>0</v>
      </c>
      <c r="S63" s="179">
        <f ca="1">IF(ISNUMBER(MATCH(DATEVALUE($A63),'recurring1_based on steps'!S$1:S$400,0)),S$2,)</f>
        <v>0</v>
      </c>
      <c r="T63" s="179">
        <f ca="1">IF(ISNUMBER(MATCH(DATEVALUE($A63),'recurring1_based on steps'!T$1:T$400,0)),T$2,)</f>
        <v>0</v>
      </c>
      <c r="U63" s="179">
        <f ca="1">IF(ISNUMBER(MATCH(DATEVALUE($A63),'recurring1_based on steps'!U$1:U$400,0)),U$2,)</f>
        <v>0</v>
      </c>
      <c r="V63" s="179">
        <f ca="1">IF(ISNUMBER(MATCH(DATEVALUE($A63),'recurring1_based on steps'!V$1:V$400,0)),V$2,)</f>
        <v>0</v>
      </c>
      <c r="W63" s="179">
        <f ca="1">IF(ISNUMBER(MATCH(DATEVALUE($A63),'recurring1_based on steps'!W$1:W$400,0)),W$2,)</f>
        <v>0</v>
      </c>
      <c r="X63" s="179">
        <f ca="1">IF(ISNUMBER(MATCH(DATEVALUE($A63),'recurring1_based on steps'!X$1:X$400,0)),X$2,)</f>
        <v>0</v>
      </c>
      <c r="Y63" s="179">
        <f ca="1">IF(ISNUMBER(MATCH(DATEVALUE($A63),'recurring1_based on steps'!Y$1:Y$400,0)),Y$2,)</f>
        <v>0</v>
      </c>
      <c r="Z63" s="179">
        <f ca="1">IF(ISNUMBER(MATCH(DATEVALUE($A63),'recurring1_based on steps'!Z$1:Z$400,0)),Z$2,)</f>
        <v>0</v>
      </c>
      <c r="AA63" s="179">
        <f ca="1">IF(ISNUMBER(MATCH(DATEVALUE($A63),'recurring1_based on steps'!AA$1:AA$400,0)),AA$2,)</f>
        <v>0</v>
      </c>
      <c r="AB63" s="179">
        <f ca="1">IF(ISNUMBER(MATCH(DATEVALUE($A63),'recurring1_based on steps'!AB$1:AB$400,0)),AB$2,)</f>
        <v>0</v>
      </c>
      <c r="AC63" s="179">
        <f ca="1">IF(ISNUMBER(MATCH(DATEVALUE($A63),'recurring1_based on steps'!AC$1:AC$400,0)),AC$2,)</f>
        <v>0</v>
      </c>
      <c r="AD63" s="179">
        <f ca="1">IF(ISNUMBER(MATCH(DATEVALUE($A63),'recurring1_based on steps'!AD$1:AD$400,0)),AD$2,)</f>
        <v>0</v>
      </c>
      <c r="AE63" s="179">
        <f ca="1">IF(ISNUMBER(MATCH(DATEVALUE($A63),'recurring1_based on steps'!AE$1:AE$400,0)),AE$2,)</f>
        <v>0</v>
      </c>
      <c r="AF63" s="179">
        <f ca="1">IF(ISNUMBER(MATCH(DATEVALUE($A63),'recurring1_based on steps'!AF$1:AF$400,0)),AF$2,)</f>
        <v>0</v>
      </c>
      <c r="AG63" s="179">
        <f ca="1">IF(ISNUMBER(MATCH(DATEVALUE($A63),'recurring1_based on steps'!AG$1:AG$400,0)),AG$2,)</f>
        <v>0</v>
      </c>
      <c r="AH63" s="179">
        <f ca="1">IF(ISNUMBER(MATCH(DATEVALUE($A63),'recurring1_based on steps'!AH$1:AH$400,0)),AH$2,)</f>
        <v>0</v>
      </c>
      <c r="AI63" s="179">
        <f ca="1">IF(ISNUMBER(MATCH(DATEVALUE($A63),'recurring1_based on steps'!AI$1:AI$400,0)),AI$2,)</f>
        <v>0</v>
      </c>
      <c r="AJ63" s="179">
        <f ca="1">IF(ISNUMBER(MATCH(DATEVALUE($A63),'recurring1_based on steps'!AJ$1:AJ$400,0)),AJ$2,)</f>
        <v>0</v>
      </c>
      <c r="AK63" s="179">
        <f ca="1">IF(ISNUMBER(MATCH(DATEVALUE($A63),'recurring1_based on steps'!AK$1:AK$400,0)),AK$2,)</f>
        <v>0</v>
      </c>
      <c r="AL63" s="179">
        <f ca="1">IF(ISNUMBER(MATCH(DATEVALUE($A63),'recurring1_based on steps'!AL$1:AL$400,0)),AL$2,)</f>
        <v>0</v>
      </c>
      <c r="AM63" s="179">
        <f ca="1">IF(ISNUMBER(MATCH(DATEVALUE($A63),'recurring1_based on steps'!AM$1:AM$400,0)),AM$2,)</f>
        <v>0</v>
      </c>
      <c r="AN63" s="179">
        <f ca="1">IF(ISNUMBER(MATCH(DATEVALUE($A63),'recurring1_based on steps'!AN$1:AN$400,0)),AN$2,)</f>
        <v>0</v>
      </c>
      <c r="AO63" s="179">
        <f ca="1">IF(ISNUMBER(MATCH(DATEVALUE($A63),'recurring1_based on steps'!AO$1:AO$400,0)),AO$2,)</f>
        <v>0</v>
      </c>
      <c r="AP63" s="179">
        <f ca="1">IF(ISNUMBER(MATCH(DATEVALUE($A63),'recurring1_based on steps'!AP$1:AP$400,0)),AP$2,)</f>
        <v>0</v>
      </c>
      <c r="AQ63" s="179">
        <f ca="1">IF(ISNUMBER(MATCH(DATEVALUE($A63),'recurring1_based on steps'!AQ$1:AQ$400,0)),AQ$2,)</f>
        <v>0</v>
      </c>
      <c r="AR63" s="179">
        <f ca="1">IF(ISNUMBER(MATCH(DATEVALUE($A63),'recurring1_based on steps'!AR$1:AR$400,0)),AR$2,)</f>
        <v>0</v>
      </c>
      <c r="AS63" s="179">
        <f ca="1">IF(ISNUMBER(MATCH(DATEVALUE($A63),'recurring1_based on steps'!AS$1:AS$400,0)),AS$2,)</f>
        <v>0</v>
      </c>
      <c r="AT63" s="179">
        <f ca="1">IF(ISNUMBER(MATCH(DATEVALUE($A63),'recurring1_based on steps'!AT$1:AT$400,0)),AT$2,)</f>
        <v>0</v>
      </c>
      <c r="AU63" s="179">
        <f ca="1">IF(ISNUMBER(MATCH(DATEVALUE($A63),'recurring1_based on steps'!AU$1:AU$400,0)),AU$2,)</f>
        <v>0</v>
      </c>
      <c r="AV63" s="179">
        <f ca="1">IF(ISNUMBER(MATCH(DATEVALUE($A63),'recurring1_based on steps'!AV$1:AV$400,0)),AV$2,)</f>
        <v>0</v>
      </c>
      <c r="AW63" s="179">
        <f ca="1">IF(ISNUMBER(MATCH(DATEVALUE($A63),'recurring1_based on steps'!AW$1:AW$400,0)),AW$2,)</f>
        <v>0</v>
      </c>
      <c r="AX63" s="179">
        <f ca="1">IF(ISNUMBER(MATCH(DATEVALUE($A63),'recurring1_based on steps'!AX$1:AX$400,0)),AX$2,)</f>
        <v>0</v>
      </c>
      <c r="AY63" s="179">
        <f ca="1">IF(ISNUMBER(MATCH(DATEVALUE($A63),'recurring1_based on steps'!AY$1:AY$400,0)),AY$2,)</f>
        <v>0</v>
      </c>
    </row>
    <row r="64" spans="1:51" x14ac:dyDescent="0.2">
      <c r="A64" s="32" t="str">
        <f t="shared" ca="1" si="0"/>
        <v>2025-05-29</v>
      </c>
      <c r="B64" s="179">
        <f ca="1">IF(ISNUMBER(MATCH(DATEVALUE($A64),'recurring1_based on steps'!B$1:B$400,0)),B$2,)</f>
        <v>0</v>
      </c>
      <c r="C64" s="179">
        <f ca="1">IF(ISNUMBER(MATCH(DATEVALUE($A64),'recurring1_based on steps'!C$1:C$400,0)),C$2,)</f>
        <v>0</v>
      </c>
      <c r="D64" s="179">
        <f ca="1">IF(ISNUMBER(MATCH(DATEVALUE($A64),'recurring1_based on steps'!D$1:D$400,0)),D$2,)</f>
        <v>0</v>
      </c>
      <c r="E64" s="179">
        <f ca="1">IF(ISNUMBER(MATCH(DATEVALUE($A64),'recurring1_based on steps'!E$1:E$400,0)),E$2,)</f>
        <v>0</v>
      </c>
      <c r="F64" s="179">
        <f ca="1">IF(ISNUMBER(MATCH(DATEVALUE($A64),'recurring1_based on steps'!F$1:F$400,0)),F$2,)</f>
        <v>0</v>
      </c>
      <c r="G64" s="179">
        <f ca="1">IF(ISNUMBER(MATCH(DATEVALUE($A64),'recurring1_based on steps'!G$1:G$400,0)),G$2,)</f>
        <v>0</v>
      </c>
      <c r="H64" s="179">
        <f ca="1">IF(ISNUMBER(MATCH(DATEVALUE($A64),'recurring1_based on steps'!H$1:H$400,0)),H$2,)</f>
        <v>0</v>
      </c>
      <c r="I64" s="179">
        <f ca="1">IF(ISNUMBER(MATCH(DATEVALUE($A64),'recurring1_based on steps'!I$1:I$400,0)),I$2,)</f>
        <v>0</v>
      </c>
      <c r="J64" s="179">
        <f ca="1">IF(ISNUMBER(MATCH(DATEVALUE($A64),'recurring1_based on steps'!J$1:J$400,0)),J$2,)</f>
        <v>0</v>
      </c>
      <c r="K64" s="179">
        <f ca="1">IF(ISNUMBER(MATCH(DATEVALUE($A64),'recurring1_based on steps'!K$1:K$400,0)),K$2,)</f>
        <v>0</v>
      </c>
      <c r="L64" s="179">
        <f ca="1">IF(ISNUMBER(MATCH(DATEVALUE($A64),'recurring1_based on steps'!L$1:L$400,0)),L$2,)</f>
        <v>0</v>
      </c>
      <c r="M64" s="179">
        <f ca="1">IF(ISNUMBER(MATCH(DATEVALUE($A64),'recurring1_based on steps'!M$1:M$400,0)),M$2,)</f>
        <v>0</v>
      </c>
      <c r="N64" s="179">
        <f ca="1">IF(ISNUMBER(MATCH(DATEVALUE($A64),'recurring1_based on steps'!N$1:N$400,0)),N$2,)</f>
        <v>0</v>
      </c>
      <c r="O64" s="179">
        <f ca="1">IF(ISNUMBER(MATCH(DATEVALUE($A64),'recurring1_based on steps'!O$1:O$400,0)),O$2,)</f>
        <v>0</v>
      </c>
      <c r="P64" s="179">
        <f ca="1">IF(ISNUMBER(MATCH(DATEVALUE($A64),'recurring1_based on steps'!P$1:P$400,0)),P$2,)</f>
        <v>0</v>
      </c>
      <c r="Q64" s="179">
        <f ca="1">IF(ISNUMBER(MATCH(DATEVALUE($A64),'recurring1_based on steps'!Q$1:Q$400,0)),Q$2,)</f>
        <v>0</v>
      </c>
      <c r="R64" s="179">
        <f ca="1">IF(ISNUMBER(MATCH(DATEVALUE($A64),'recurring1_based on steps'!R$1:R$400,0)),R$2,)</f>
        <v>0</v>
      </c>
      <c r="S64" s="179">
        <f ca="1">IF(ISNUMBER(MATCH(DATEVALUE($A64),'recurring1_based on steps'!S$1:S$400,0)),S$2,)</f>
        <v>0</v>
      </c>
      <c r="T64" s="179">
        <f ca="1">IF(ISNUMBER(MATCH(DATEVALUE($A64),'recurring1_based on steps'!T$1:T$400,0)),T$2,)</f>
        <v>0</v>
      </c>
      <c r="U64" s="179">
        <f ca="1">IF(ISNUMBER(MATCH(DATEVALUE($A64),'recurring1_based on steps'!U$1:U$400,0)),U$2,)</f>
        <v>0</v>
      </c>
      <c r="V64" s="179">
        <f ca="1">IF(ISNUMBER(MATCH(DATEVALUE($A64),'recurring1_based on steps'!V$1:V$400,0)),V$2,)</f>
        <v>0</v>
      </c>
      <c r="W64" s="179">
        <f ca="1">IF(ISNUMBER(MATCH(DATEVALUE($A64),'recurring1_based on steps'!W$1:W$400,0)),W$2,)</f>
        <v>0</v>
      </c>
      <c r="X64" s="179">
        <f ca="1">IF(ISNUMBER(MATCH(DATEVALUE($A64),'recurring1_based on steps'!X$1:X$400,0)),X$2,)</f>
        <v>0</v>
      </c>
      <c r="Y64" s="179">
        <f ca="1">IF(ISNUMBER(MATCH(DATEVALUE($A64),'recurring1_based on steps'!Y$1:Y$400,0)),Y$2,)</f>
        <v>0</v>
      </c>
      <c r="Z64" s="179">
        <f ca="1">IF(ISNUMBER(MATCH(DATEVALUE($A64),'recurring1_based on steps'!Z$1:Z$400,0)),Z$2,)</f>
        <v>0</v>
      </c>
      <c r="AA64" s="179">
        <f ca="1">IF(ISNUMBER(MATCH(DATEVALUE($A64),'recurring1_based on steps'!AA$1:AA$400,0)),AA$2,)</f>
        <v>0</v>
      </c>
      <c r="AB64" s="179">
        <f ca="1">IF(ISNUMBER(MATCH(DATEVALUE($A64),'recurring1_based on steps'!AB$1:AB$400,0)),AB$2,)</f>
        <v>0</v>
      </c>
      <c r="AC64" s="179">
        <f ca="1">IF(ISNUMBER(MATCH(DATEVALUE($A64),'recurring1_based on steps'!AC$1:AC$400,0)),AC$2,)</f>
        <v>0</v>
      </c>
      <c r="AD64" s="179">
        <f ca="1">IF(ISNUMBER(MATCH(DATEVALUE($A64),'recurring1_based on steps'!AD$1:AD$400,0)),AD$2,)</f>
        <v>0</v>
      </c>
      <c r="AE64" s="179">
        <f ca="1">IF(ISNUMBER(MATCH(DATEVALUE($A64),'recurring1_based on steps'!AE$1:AE$400,0)),AE$2,)</f>
        <v>0</v>
      </c>
      <c r="AF64" s="179">
        <f ca="1">IF(ISNUMBER(MATCH(DATEVALUE($A64),'recurring1_based on steps'!AF$1:AF$400,0)),AF$2,)</f>
        <v>0</v>
      </c>
      <c r="AG64" s="179">
        <f ca="1">IF(ISNUMBER(MATCH(DATEVALUE($A64),'recurring1_based on steps'!AG$1:AG$400,0)),AG$2,)</f>
        <v>0</v>
      </c>
      <c r="AH64" s="179">
        <f ca="1">IF(ISNUMBER(MATCH(DATEVALUE($A64),'recurring1_based on steps'!AH$1:AH$400,0)),AH$2,)</f>
        <v>0</v>
      </c>
      <c r="AI64" s="179">
        <f ca="1">IF(ISNUMBER(MATCH(DATEVALUE($A64),'recurring1_based on steps'!AI$1:AI$400,0)),AI$2,)</f>
        <v>0</v>
      </c>
      <c r="AJ64" s="179">
        <f ca="1">IF(ISNUMBER(MATCH(DATEVALUE($A64),'recurring1_based on steps'!AJ$1:AJ$400,0)),AJ$2,)</f>
        <v>0</v>
      </c>
      <c r="AK64" s="179">
        <f ca="1">IF(ISNUMBER(MATCH(DATEVALUE($A64),'recurring1_based on steps'!AK$1:AK$400,0)),AK$2,)</f>
        <v>0</v>
      </c>
      <c r="AL64" s="179">
        <f ca="1">IF(ISNUMBER(MATCH(DATEVALUE($A64),'recurring1_based on steps'!AL$1:AL$400,0)),AL$2,)</f>
        <v>0</v>
      </c>
      <c r="AM64" s="179">
        <f ca="1">IF(ISNUMBER(MATCH(DATEVALUE($A64),'recurring1_based on steps'!AM$1:AM$400,0)),AM$2,)</f>
        <v>0</v>
      </c>
      <c r="AN64" s="179">
        <f ca="1">IF(ISNUMBER(MATCH(DATEVALUE($A64),'recurring1_based on steps'!AN$1:AN$400,0)),AN$2,)</f>
        <v>0</v>
      </c>
      <c r="AO64" s="179">
        <f ca="1">IF(ISNUMBER(MATCH(DATEVALUE($A64),'recurring1_based on steps'!AO$1:AO$400,0)),AO$2,)</f>
        <v>0</v>
      </c>
      <c r="AP64" s="179">
        <f ca="1">IF(ISNUMBER(MATCH(DATEVALUE($A64),'recurring1_based on steps'!AP$1:AP$400,0)),AP$2,)</f>
        <v>0</v>
      </c>
      <c r="AQ64" s="179">
        <f ca="1">IF(ISNUMBER(MATCH(DATEVALUE($A64),'recurring1_based on steps'!AQ$1:AQ$400,0)),AQ$2,)</f>
        <v>0</v>
      </c>
      <c r="AR64" s="179">
        <f ca="1">IF(ISNUMBER(MATCH(DATEVALUE($A64),'recurring1_based on steps'!AR$1:AR$400,0)),AR$2,)</f>
        <v>0</v>
      </c>
      <c r="AS64" s="179">
        <f ca="1">IF(ISNUMBER(MATCH(DATEVALUE($A64),'recurring1_based on steps'!AS$1:AS$400,0)),AS$2,)</f>
        <v>0</v>
      </c>
      <c r="AT64" s="179">
        <f ca="1">IF(ISNUMBER(MATCH(DATEVALUE($A64),'recurring1_based on steps'!AT$1:AT$400,0)),AT$2,)</f>
        <v>0</v>
      </c>
      <c r="AU64" s="179">
        <f ca="1">IF(ISNUMBER(MATCH(DATEVALUE($A64),'recurring1_based on steps'!AU$1:AU$400,0)),AU$2,)</f>
        <v>0</v>
      </c>
      <c r="AV64" s="179">
        <f ca="1">IF(ISNUMBER(MATCH(DATEVALUE($A64),'recurring1_based on steps'!AV$1:AV$400,0)),AV$2,)</f>
        <v>0</v>
      </c>
      <c r="AW64" s="179">
        <f ca="1">IF(ISNUMBER(MATCH(DATEVALUE($A64),'recurring1_based on steps'!AW$1:AW$400,0)),AW$2,)</f>
        <v>0</v>
      </c>
      <c r="AX64" s="179">
        <f ca="1">IF(ISNUMBER(MATCH(DATEVALUE($A64),'recurring1_based on steps'!AX$1:AX$400,0)),AX$2,)</f>
        <v>0</v>
      </c>
      <c r="AY64" s="179">
        <f ca="1">IF(ISNUMBER(MATCH(DATEVALUE($A64),'recurring1_based on steps'!AY$1:AY$400,0)),AY$2,)</f>
        <v>0</v>
      </c>
    </row>
    <row r="65" spans="1:51" x14ac:dyDescent="0.2">
      <c r="A65" s="32" t="str">
        <f t="shared" ca="1" si="0"/>
        <v>2025-05-30</v>
      </c>
      <c r="B65" s="179">
        <f ca="1">IF(ISNUMBER(MATCH(DATEVALUE($A65),'recurring1_based on steps'!B$1:B$400,0)),B$2,)</f>
        <v>0</v>
      </c>
      <c r="C65" s="179">
        <f ca="1">IF(ISNUMBER(MATCH(DATEVALUE($A65),'recurring1_based on steps'!C$1:C$400,0)),C$2,)</f>
        <v>0</v>
      </c>
      <c r="D65" s="179">
        <f ca="1">IF(ISNUMBER(MATCH(DATEVALUE($A65),'recurring1_based on steps'!D$1:D$400,0)),D$2,)</f>
        <v>0</v>
      </c>
      <c r="E65" s="179">
        <f ca="1">IF(ISNUMBER(MATCH(DATEVALUE($A65),'recurring1_based on steps'!E$1:E$400,0)),E$2,)</f>
        <v>0</v>
      </c>
      <c r="F65" s="179">
        <f ca="1">IF(ISNUMBER(MATCH(DATEVALUE($A65),'recurring1_based on steps'!F$1:F$400,0)),F$2,)</f>
        <v>0</v>
      </c>
      <c r="G65" s="179">
        <f ca="1">IF(ISNUMBER(MATCH(DATEVALUE($A65),'recurring1_based on steps'!G$1:G$400,0)),G$2,)</f>
        <v>0</v>
      </c>
      <c r="H65" s="179">
        <f ca="1">IF(ISNUMBER(MATCH(DATEVALUE($A65),'recurring1_based on steps'!H$1:H$400,0)),H$2,)</f>
        <v>0</v>
      </c>
      <c r="I65" s="179">
        <f ca="1">IF(ISNUMBER(MATCH(DATEVALUE($A65),'recurring1_based on steps'!I$1:I$400,0)),I$2,)</f>
        <v>0</v>
      </c>
      <c r="J65" s="179">
        <f ca="1">IF(ISNUMBER(MATCH(DATEVALUE($A65),'recurring1_based on steps'!J$1:J$400,0)),J$2,)</f>
        <v>0</v>
      </c>
      <c r="K65" s="179">
        <f ca="1">IF(ISNUMBER(MATCH(DATEVALUE($A65),'recurring1_based on steps'!K$1:K$400,0)),K$2,)</f>
        <v>0</v>
      </c>
      <c r="L65" s="179">
        <f ca="1">IF(ISNUMBER(MATCH(DATEVALUE($A65),'recurring1_based on steps'!L$1:L$400,0)),L$2,)</f>
        <v>0</v>
      </c>
      <c r="M65" s="179">
        <f ca="1">IF(ISNUMBER(MATCH(DATEVALUE($A65),'recurring1_based on steps'!M$1:M$400,0)),M$2,)</f>
        <v>0</v>
      </c>
      <c r="N65" s="179">
        <f ca="1">IF(ISNUMBER(MATCH(DATEVALUE($A65),'recurring1_based on steps'!N$1:N$400,0)),N$2,)</f>
        <v>0</v>
      </c>
      <c r="O65" s="179">
        <f ca="1">IF(ISNUMBER(MATCH(DATEVALUE($A65),'recurring1_based on steps'!O$1:O$400,0)),O$2,)</f>
        <v>0</v>
      </c>
      <c r="P65" s="179">
        <f ca="1">IF(ISNUMBER(MATCH(DATEVALUE($A65),'recurring1_based on steps'!P$1:P$400,0)),P$2,)</f>
        <v>0</v>
      </c>
      <c r="Q65" s="179">
        <f ca="1">IF(ISNUMBER(MATCH(DATEVALUE($A65),'recurring1_based on steps'!Q$1:Q$400,0)),Q$2,)</f>
        <v>0</v>
      </c>
      <c r="R65" s="179">
        <f ca="1">IF(ISNUMBER(MATCH(DATEVALUE($A65),'recurring1_based on steps'!R$1:R$400,0)),R$2,)</f>
        <v>0</v>
      </c>
      <c r="S65" s="179">
        <f ca="1">IF(ISNUMBER(MATCH(DATEVALUE($A65),'recurring1_based on steps'!S$1:S$400,0)),S$2,)</f>
        <v>0</v>
      </c>
      <c r="T65" s="179">
        <f ca="1">IF(ISNUMBER(MATCH(DATEVALUE($A65),'recurring1_based on steps'!T$1:T$400,0)),T$2,)</f>
        <v>0</v>
      </c>
      <c r="U65" s="179">
        <f ca="1">IF(ISNUMBER(MATCH(DATEVALUE($A65),'recurring1_based on steps'!U$1:U$400,0)),U$2,)</f>
        <v>0</v>
      </c>
      <c r="V65" s="179">
        <f ca="1">IF(ISNUMBER(MATCH(DATEVALUE($A65),'recurring1_based on steps'!V$1:V$400,0)),V$2,)</f>
        <v>0</v>
      </c>
      <c r="W65" s="179">
        <f ca="1">IF(ISNUMBER(MATCH(DATEVALUE($A65),'recurring1_based on steps'!W$1:W$400,0)),W$2,)</f>
        <v>0</v>
      </c>
      <c r="X65" s="179">
        <f ca="1">IF(ISNUMBER(MATCH(DATEVALUE($A65),'recurring1_based on steps'!X$1:X$400,0)),X$2,)</f>
        <v>0</v>
      </c>
      <c r="Y65" s="179">
        <f ca="1">IF(ISNUMBER(MATCH(DATEVALUE($A65),'recurring1_based on steps'!Y$1:Y$400,0)),Y$2,)</f>
        <v>0</v>
      </c>
      <c r="Z65" s="179">
        <f ca="1">IF(ISNUMBER(MATCH(DATEVALUE($A65),'recurring1_based on steps'!Z$1:Z$400,0)),Z$2,)</f>
        <v>0</v>
      </c>
      <c r="AA65" s="179">
        <f ca="1">IF(ISNUMBER(MATCH(DATEVALUE($A65),'recurring1_based on steps'!AA$1:AA$400,0)),AA$2,)</f>
        <v>0</v>
      </c>
      <c r="AB65" s="179">
        <f ca="1">IF(ISNUMBER(MATCH(DATEVALUE($A65),'recurring1_based on steps'!AB$1:AB$400,0)),AB$2,)</f>
        <v>0</v>
      </c>
      <c r="AC65" s="179">
        <f ca="1">IF(ISNUMBER(MATCH(DATEVALUE($A65),'recurring1_based on steps'!AC$1:AC$400,0)),AC$2,)</f>
        <v>0</v>
      </c>
      <c r="AD65" s="179">
        <f ca="1">IF(ISNUMBER(MATCH(DATEVALUE($A65),'recurring1_based on steps'!AD$1:AD$400,0)),AD$2,)</f>
        <v>0</v>
      </c>
      <c r="AE65" s="179">
        <f ca="1">IF(ISNUMBER(MATCH(DATEVALUE($A65),'recurring1_based on steps'!AE$1:AE$400,0)),AE$2,)</f>
        <v>0</v>
      </c>
      <c r="AF65" s="179">
        <f ca="1">IF(ISNUMBER(MATCH(DATEVALUE($A65),'recurring1_based on steps'!AF$1:AF$400,0)),AF$2,)</f>
        <v>0</v>
      </c>
      <c r="AG65" s="179">
        <f ca="1">IF(ISNUMBER(MATCH(DATEVALUE($A65),'recurring1_based on steps'!AG$1:AG$400,0)),AG$2,)</f>
        <v>0</v>
      </c>
      <c r="AH65" s="179">
        <f ca="1">IF(ISNUMBER(MATCH(DATEVALUE($A65),'recurring1_based on steps'!AH$1:AH$400,0)),AH$2,)</f>
        <v>0</v>
      </c>
      <c r="AI65" s="179">
        <f ca="1">IF(ISNUMBER(MATCH(DATEVALUE($A65),'recurring1_based on steps'!AI$1:AI$400,0)),AI$2,)</f>
        <v>0</v>
      </c>
      <c r="AJ65" s="179">
        <f ca="1">IF(ISNUMBER(MATCH(DATEVALUE($A65),'recurring1_based on steps'!AJ$1:AJ$400,0)),AJ$2,)</f>
        <v>0</v>
      </c>
      <c r="AK65" s="179">
        <f ca="1">IF(ISNUMBER(MATCH(DATEVALUE($A65),'recurring1_based on steps'!AK$1:AK$400,0)),AK$2,)</f>
        <v>0</v>
      </c>
      <c r="AL65" s="179">
        <f ca="1">IF(ISNUMBER(MATCH(DATEVALUE($A65),'recurring1_based on steps'!AL$1:AL$400,0)),AL$2,)</f>
        <v>0</v>
      </c>
      <c r="AM65" s="179">
        <f ca="1">IF(ISNUMBER(MATCH(DATEVALUE($A65),'recurring1_based on steps'!AM$1:AM$400,0)),AM$2,)</f>
        <v>0</v>
      </c>
      <c r="AN65" s="179">
        <f ca="1">IF(ISNUMBER(MATCH(DATEVALUE($A65),'recurring1_based on steps'!AN$1:AN$400,0)),AN$2,)</f>
        <v>0</v>
      </c>
      <c r="AO65" s="179">
        <f ca="1">IF(ISNUMBER(MATCH(DATEVALUE($A65),'recurring1_based on steps'!AO$1:AO$400,0)),AO$2,)</f>
        <v>0</v>
      </c>
      <c r="AP65" s="179">
        <f ca="1">IF(ISNUMBER(MATCH(DATEVALUE($A65),'recurring1_based on steps'!AP$1:AP$400,0)),AP$2,)</f>
        <v>0</v>
      </c>
      <c r="AQ65" s="179">
        <f ca="1">IF(ISNUMBER(MATCH(DATEVALUE($A65),'recurring1_based on steps'!AQ$1:AQ$400,0)),AQ$2,)</f>
        <v>0</v>
      </c>
      <c r="AR65" s="179">
        <f ca="1">IF(ISNUMBER(MATCH(DATEVALUE($A65),'recurring1_based on steps'!AR$1:AR$400,0)),AR$2,)</f>
        <v>0</v>
      </c>
      <c r="AS65" s="179">
        <f ca="1">IF(ISNUMBER(MATCH(DATEVALUE($A65),'recurring1_based on steps'!AS$1:AS$400,0)),AS$2,)</f>
        <v>0</v>
      </c>
      <c r="AT65" s="179">
        <f ca="1">IF(ISNUMBER(MATCH(DATEVALUE($A65),'recurring1_based on steps'!AT$1:AT$400,0)),AT$2,)</f>
        <v>0</v>
      </c>
      <c r="AU65" s="179">
        <f ca="1">IF(ISNUMBER(MATCH(DATEVALUE($A65),'recurring1_based on steps'!AU$1:AU$400,0)),AU$2,)</f>
        <v>0</v>
      </c>
      <c r="AV65" s="179">
        <f ca="1">IF(ISNUMBER(MATCH(DATEVALUE($A65),'recurring1_based on steps'!AV$1:AV$400,0)),AV$2,)</f>
        <v>0</v>
      </c>
      <c r="AW65" s="179">
        <f ca="1">IF(ISNUMBER(MATCH(DATEVALUE($A65),'recurring1_based on steps'!AW$1:AW$400,0)),AW$2,)</f>
        <v>0</v>
      </c>
      <c r="AX65" s="179">
        <f ca="1">IF(ISNUMBER(MATCH(DATEVALUE($A65),'recurring1_based on steps'!AX$1:AX$400,0)),AX$2,)</f>
        <v>0</v>
      </c>
      <c r="AY65" s="179">
        <f ca="1">IF(ISNUMBER(MATCH(DATEVALUE($A65),'recurring1_based on steps'!AY$1:AY$400,0)),AY$2,)</f>
        <v>0</v>
      </c>
    </row>
    <row r="66" spans="1:51" x14ac:dyDescent="0.2">
      <c r="A66" s="32" t="str">
        <f t="shared" ca="1" si="0"/>
        <v>2025-05-31</v>
      </c>
      <c r="B66" s="179">
        <f ca="1">IF(ISNUMBER(MATCH(DATEVALUE($A66),'recurring1_based on steps'!B$1:B$400,0)),B$2,)</f>
        <v>0</v>
      </c>
      <c r="C66" s="179">
        <f ca="1">IF(ISNUMBER(MATCH(DATEVALUE($A66),'recurring1_based on steps'!C$1:C$400,0)),C$2,)</f>
        <v>0</v>
      </c>
      <c r="D66" s="179">
        <f ca="1">IF(ISNUMBER(MATCH(DATEVALUE($A66),'recurring1_based on steps'!D$1:D$400,0)),D$2,)</f>
        <v>0</v>
      </c>
      <c r="E66" s="179">
        <f ca="1">IF(ISNUMBER(MATCH(DATEVALUE($A66),'recurring1_based on steps'!E$1:E$400,0)),E$2,)</f>
        <v>0</v>
      </c>
      <c r="F66" s="179">
        <f ca="1">IF(ISNUMBER(MATCH(DATEVALUE($A66),'recurring1_based on steps'!F$1:F$400,0)),F$2,)</f>
        <v>0</v>
      </c>
      <c r="G66" s="179">
        <f ca="1">IF(ISNUMBER(MATCH(DATEVALUE($A66),'recurring1_based on steps'!G$1:G$400,0)),G$2,)</f>
        <v>0</v>
      </c>
      <c r="H66" s="179">
        <f ca="1">IF(ISNUMBER(MATCH(DATEVALUE($A66),'recurring1_based on steps'!H$1:H$400,0)),H$2,)</f>
        <v>0</v>
      </c>
      <c r="I66" s="179">
        <f ca="1">IF(ISNUMBER(MATCH(DATEVALUE($A66),'recurring1_based on steps'!I$1:I$400,0)),I$2,)</f>
        <v>0</v>
      </c>
      <c r="J66" s="179">
        <f ca="1">IF(ISNUMBER(MATCH(DATEVALUE($A66),'recurring1_based on steps'!J$1:J$400,0)),J$2,)</f>
        <v>0</v>
      </c>
      <c r="K66" s="179">
        <f ca="1">IF(ISNUMBER(MATCH(DATEVALUE($A66),'recurring1_based on steps'!K$1:K$400,0)),K$2,)</f>
        <v>0</v>
      </c>
      <c r="L66" s="179">
        <f ca="1">IF(ISNUMBER(MATCH(DATEVALUE($A66),'recurring1_based on steps'!L$1:L$400,0)),L$2,)</f>
        <v>0</v>
      </c>
      <c r="M66" s="179">
        <f ca="1">IF(ISNUMBER(MATCH(DATEVALUE($A66),'recurring1_based on steps'!M$1:M$400,0)),M$2,)</f>
        <v>0</v>
      </c>
      <c r="N66" s="179">
        <f ca="1">IF(ISNUMBER(MATCH(DATEVALUE($A66),'recurring1_based on steps'!N$1:N$400,0)),N$2,)</f>
        <v>0</v>
      </c>
      <c r="O66" s="179">
        <f ca="1">IF(ISNUMBER(MATCH(DATEVALUE($A66),'recurring1_based on steps'!O$1:O$400,0)),O$2,)</f>
        <v>0</v>
      </c>
      <c r="P66" s="179">
        <f ca="1">IF(ISNUMBER(MATCH(DATEVALUE($A66),'recurring1_based on steps'!P$1:P$400,0)),P$2,)</f>
        <v>0</v>
      </c>
      <c r="Q66" s="179">
        <f ca="1">IF(ISNUMBER(MATCH(DATEVALUE($A66),'recurring1_based on steps'!Q$1:Q$400,0)),Q$2,)</f>
        <v>0</v>
      </c>
      <c r="R66" s="179">
        <f ca="1">IF(ISNUMBER(MATCH(DATEVALUE($A66),'recurring1_based on steps'!R$1:R$400,0)),R$2,)</f>
        <v>0</v>
      </c>
      <c r="S66" s="179">
        <f ca="1">IF(ISNUMBER(MATCH(DATEVALUE($A66),'recurring1_based on steps'!S$1:S$400,0)),S$2,)</f>
        <v>0</v>
      </c>
      <c r="T66" s="179">
        <f ca="1">IF(ISNUMBER(MATCH(DATEVALUE($A66),'recurring1_based on steps'!T$1:T$400,0)),T$2,)</f>
        <v>0</v>
      </c>
      <c r="U66" s="179">
        <f ca="1">IF(ISNUMBER(MATCH(DATEVALUE($A66),'recurring1_based on steps'!U$1:U$400,0)),U$2,)</f>
        <v>0</v>
      </c>
      <c r="V66" s="179">
        <f ca="1">IF(ISNUMBER(MATCH(DATEVALUE($A66),'recurring1_based on steps'!V$1:V$400,0)),V$2,)</f>
        <v>0</v>
      </c>
      <c r="W66" s="179">
        <f ca="1">IF(ISNUMBER(MATCH(DATEVALUE($A66),'recurring1_based on steps'!W$1:W$400,0)),W$2,)</f>
        <v>0</v>
      </c>
      <c r="X66" s="179">
        <f ca="1">IF(ISNUMBER(MATCH(DATEVALUE($A66),'recurring1_based on steps'!X$1:X$400,0)),X$2,)</f>
        <v>0</v>
      </c>
      <c r="Y66" s="179">
        <f ca="1">IF(ISNUMBER(MATCH(DATEVALUE($A66),'recurring1_based on steps'!Y$1:Y$400,0)),Y$2,)</f>
        <v>0</v>
      </c>
      <c r="Z66" s="179">
        <f ca="1">IF(ISNUMBER(MATCH(DATEVALUE($A66),'recurring1_based on steps'!Z$1:Z$400,0)),Z$2,)</f>
        <v>0</v>
      </c>
      <c r="AA66" s="179">
        <f ca="1">IF(ISNUMBER(MATCH(DATEVALUE($A66),'recurring1_based on steps'!AA$1:AA$400,0)),AA$2,)</f>
        <v>0</v>
      </c>
      <c r="AB66" s="179">
        <f ca="1">IF(ISNUMBER(MATCH(DATEVALUE($A66),'recurring1_based on steps'!AB$1:AB$400,0)),AB$2,)</f>
        <v>0</v>
      </c>
      <c r="AC66" s="179">
        <f ca="1">IF(ISNUMBER(MATCH(DATEVALUE($A66),'recurring1_based on steps'!AC$1:AC$400,0)),AC$2,)</f>
        <v>0</v>
      </c>
      <c r="AD66" s="179">
        <f ca="1">IF(ISNUMBER(MATCH(DATEVALUE($A66),'recurring1_based on steps'!AD$1:AD$400,0)),AD$2,)</f>
        <v>0</v>
      </c>
      <c r="AE66" s="179">
        <f ca="1">IF(ISNUMBER(MATCH(DATEVALUE($A66),'recurring1_based on steps'!AE$1:AE$400,0)),AE$2,)</f>
        <v>0</v>
      </c>
      <c r="AF66" s="179">
        <f ca="1">IF(ISNUMBER(MATCH(DATEVALUE($A66),'recurring1_based on steps'!AF$1:AF$400,0)),AF$2,)</f>
        <v>0</v>
      </c>
      <c r="AG66" s="179">
        <f ca="1">IF(ISNUMBER(MATCH(DATEVALUE($A66),'recurring1_based on steps'!AG$1:AG$400,0)),AG$2,)</f>
        <v>0</v>
      </c>
      <c r="AH66" s="179">
        <f ca="1">IF(ISNUMBER(MATCH(DATEVALUE($A66),'recurring1_based on steps'!AH$1:AH$400,0)),AH$2,)</f>
        <v>0</v>
      </c>
      <c r="AI66" s="179">
        <f ca="1">IF(ISNUMBER(MATCH(DATEVALUE($A66),'recurring1_based on steps'!AI$1:AI$400,0)),AI$2,)</f>
        <v>0</v>
      </c>
      <c r="AJ66" s="179">
        <f ca="1">IF(ISNUMBER(MATCH(DATEVALUE($A66),'recurring1_based on steps'!AJ$1:AJ$400,0)),AJ$2,)</f>
        <v>0</v>
      </c>
      <c r="AK66" s="179">
        <f ca="1">IF(ISNUMBER(MATCH(DATEVALUE($A66),'recurring1_based on steps'!AK$1:AK$400,0)),AK$2,)</f>
        <v>0</v>
      </c>
      <c r="AL66" s="179">
        <f ca="1">IF(ISNUMBER(MATCH(DATEVALUE($A66),'recurring1_based on steps'!AL$1:AL$400,0)),AL$2,)</f>
        <v>0</v>
      </c>
      <c r="AM66" s="179">
        <f ca="1">IF(ISNUMBER(MATCH(DATEVALUE($A66),'recurring1_based on steps'!AM$1:AM$400,0)),AM$2,)</f>
        <v>0</v>
      </c>
      <c r="AN66" s="179">
        <f ca="1">IF(ISNUMBER(MATCH(DATEVALUE($A66),'recurring1_based on steps'!AN$1:AN$400,0)),AN$2,)</f>
        <v>0</v>
      </c>
      <c r="AO66" s="179">
        <f ca="1">IF(ISNUMBER(MATCH(DATEVALUE($A66),'recurring1_based on steps'!AO$1:AO$400,0)),AO$2,)</f>
        <v>0</v>
      </c>
      <c r="AP66" s="179">
        <f ca="1">IF(ISNUMBER(MATCH(DATEVALUE($A66),'recurring1_based on steps'!AP$1:AP$400,0)),AP$2,)</f>
        <v>0</v>
      </c>
      <c r="AQ66" s="179">
        <f ca="1">IF(ISNUMBER(MATCH(DATEVALUE($A66),'recurring1_based on steps'!AQ$1:AQ$400,0)),AQ$2,)</f>
        <v>0</v>
      </c>
      <c r="AR66" s="179">
        <f ca="1">IF(ISNUMBER(MATCH(DATEVALUE($A66),'recurring1_based on steps'!AR$1:AR$400,0)),AR$2,)</f>
        <v>0</v>
      </c>
      <c r="AS66" s="179">
        <f ca="1">IF(ISNUMBER(MATCH(DATEVALUE($A66),'recurring1_based on steps'!AS$1:AS$400,0)),AS$2,)</f>
        <v>0</v>
      </c>
      <c r="AT66" s="179">
        <f ca="1">IF(ISNUMBER(MATCH(DATEVALUE($A66),'recurring1_based on steps'!AT$1:AT$400,0)),AT$2,)</f>
        <v>0</v>
      </c>
      <c r="AU66" s="179">
        <f ca="1">IF(ISNUMBER(MATCH(DATEVALUE($A66),'recurring1_based on steps'!AU$1:AU$400,0)),AU$2,)</f>
        <v>0</v>
      </c>
      <c r="AV66" s="179">
        <f ca="1">IF(ISNUMBER(MATCH(DATEVALUE($A66),'recurring1_based on steps'!AV$1:AV$400,0)),AV$2,)</f>
        <v>0</v>
      </c>
      <c r="AW66" s="179">
        <f ca="1">IF(ISNUMBER(MATCH(DATEVALUE($A66),'recurring1_based on steps'!AW$1:AW$400,0)),AW$2,)</f>
        <v>0</v>
      </c>
      <c r="AX66" s="179">
        <f ca="1">IF(ISNUMBER(MATCH(DATEVALUE($A66),'recurring1_based on steps'!AX$1:AX$400,0)),AX$2,)</f>
        <v>0</v>
      </c>
      <c r="AY66" s="179">
        <f ca="1">IF(ISNUMBER(MATCH(DATEVALUE($A66),'recurring1_based on steps'!AY$1:AY$400,0)),AY$2,)</f>
        <v>0</v>
      </c>
    </row>
    <row r="67" spans="1:51" x14ac:dyDescent="0.2">
      <c r="A67" s="32" t="str">
        <f t="shared" ca="1" si="0"/>
        <v>2025-06-01</v>
      </c>
      <c r="B67" s="179">
        <f ca="1">IF(ISNUMBER(MATCH(DATEVALUE($A67),'recurring1_based on steps'!B$1:B$400,0)),B$2,)</f>
        <v>0</v>
      </c>
      <c r="C67" s="179">
        <f ca="1">IF(ISNUMBER(MATCH(DATEVALUE($A67),'recurring1_based on steps'!C$1:C$400,0)),C$2,)</f>
        <v>0</v>
      </c>
      <c r="D67" s="179">
        <f ca="1">IF(ISNUMBER(MATCH(DATEVALUE($A67),'recurring1_based on steps'!D$1:D$400,0)),D$2,)</f>
        <v>0</v>
      </c>
      <c r="E67" s="179">
        <f ca="1">IF(ISNUMBER(MATCH(DATEVALUE($A67),'recurring1_based on steps'!E$1:E$400,0)),E$2,)</f>
        <v>0</v>
      </c>
      <c r="F67" s="179">
        <f ca="1">IF(ISNUMBER(MATCH(DATEVALUE($A67),'recurring1_based on steps'!F$1:F$400,0)),F$2,)</f>
        <v>0</v>
      </c>
      <c r="G67" s="179">
        <f ca="1">IF(ISNUMBER(MATCH(DATEVALUE($A67),'recurring1_based on steps'!G$1:G$400,0)),G$2,)</f>
        <v>0</v>
      </c>
      <c r="H67" s="179">
        <f ca="1">IF(ISNUMBER(MATCH(DATEVALUE($A67),'recurring1_based on steps'!H$1:H$400,0)),H$2,)</f>
        <v>0</v>
      </c>
      <c r="I67" s="179">
        <f ca="1">IF(ISNUMBER(MATCH(DATEVALUE($A67),'recurring1_based on steps'!I$1:I$400,0)),I$2,)</f>
        <v>0</v>
      </c>
      <c r="J67" s="179">
        <f ca="1">IF(ISNUMBER(MATCH(DATEVALUE($A67),'recurring1_based on steps'!J$1:J$400,0)),J$2,)</f>
        <v>0</v>
      </c>
      <c r="K67" s="179">
        <f ca="1">IF(ISNUMBER(MATCH(DATEVALUE($A67),'recurring1_based on steps'!K$1:K$400,0)),K$2,)</f>
        <v>0</v>
      </c>
      <c r="L67" s="179">
        <f ca="1">IF(ISNUMBER(MATCH(DATEVALUE($A67),'recurring1_based on steps'!L$1:L$400,0)),L$2,)</f>
        <v>0</v>
      </c>
      <c r="M67" s="179">
        <f ca="1">IF(ISNUMBER(MATCH(DATEVALUE($A67),'recurring1_based on steps'!M$1:M$400,0)),M$2,)</f>
        <v>0</v>
      </c>
      <c r="N67" s="179">
        <f ca="1">IF(ISNUMBER(MATCH(DATEVALUE($A67),'recurring1_based on steps'!N$1:N$400,0)),N$2,)</f>
        <v>0</v>
      </c>
      <c r="O67" s="179">
        <f ca="1">IF(ISNUMBER(MATCH(DATEVALUE($A67),'recurring1_based on steps'!O$1:O$400,0)),O$2,)</f>
        <v>0</v>
      </c>
      <c r="P67" s="179">
        <f ca="1">IF(ISNUMBER(MATCH(DATEVALUE($A67),'recurring1_based on steps'!P$1:P$400,0)),P$2,)</f>
        <v>0</v>
      </c>
      <c r="Q67" s="179">
        <f ca="1">IF(ISNUMBER(MATCH(DATEVALUE($A67),'recurring1_based on steps'!Q$1:Q$400,0)),Q$2,)</f>
        <v>0</v>
      </c>
      <c r="R67" s="179">
        <f ca="1">IF(ISNUMBER(MATCH(DATEVALUE($A67),'recurring1_based on steps'!R$1:R$400,0)),R$2,)</f>
        <v>0</v>
      </c>
      <c r="S67" s="179">
        <f ca="1">IF(ISNUMBER(MATCH(DATEVALUE($A67),'recurring1_based on steps'!S$1:S$400,0)),S$2,)</f>
        <v>0</v>
      </c>
      <c r="T67" s="179">
        <f ca="1">IF(ISNUMBER(MATCH(DATEVALUE($A67),'recurring1_based on steps'!T$1:T$400,0)),T$2,)</f>
        <v>0</v>
      </c>
      <c r="U67" s="179">
        <f ca="1">IF(ISNUMBER(MATCH(DATEVALUE($A67),'recurring1_based on steps'!U$1:U$400,0)),U$2,)</f>
        <v>0</v>
      </c>
      <c r="V67" s="179">
        <f ca="1">IF(ISNUMBER(MATCH(DATEVALUE($A67),'recurring1_based on steps'!V$1:V$400,0)),V$2,)</f>
        <v>0</v>
      </c>
      <c r="W67" s="179">
        <f ca="1">IF(ISNUMBER(MATCH(DATEVALUE($A67),'recurring1_based on steps'!W$1:W$400,0)),W$2,)</f>
        <v>0</v>
      </c>
      <c r="X67" s="179">
        <f ca="1">IF(ISNUMBER(MATCH(DATEVALUE($A67),'recurring1_based on steps'!X$1:X$400,0)),X$2,)</f>
        <v>0</v>
      </c>
      <c r="Y67" s="179">
        <f ca="1">IF(ISNUMBER(MATCH(DATEVALUE($A67),'recurring1_based on steps'!Y$1:Y$400,0)),Y$2,)</f>
        <v>0</v>
      </c>
      <c r="Z67" s="179">
        <f ca="1">IF(ISNUMBER(MATCH(DATEVALUE($A67),'recurring1_based on steps'!Z$1:Z$400,0)),Z$2,)</f>
        <v>0</v>
      </c>
      <c r="AA67" s="179">
        <f ca="1">IF(ISNUMBER(MATCH(DATEVALUE($A67),'recurring1_based on steps'!AA$1:AA$400,0)),AA$2,)</f>
        <v>0</v>
      </c>
      <c r="AB67" s="179">
        <f ca="1">IF(ISNUMBER(MATCH(DATEVALUE($A67),'recurring1_based on steps'!AB$1:AB$400,0)),AB$2,)</f>
        <v>0</v>
      </c>
      <c r="AC67" s="179">
        <f ca="1">IF(ISNUMBER(MATCH(DATEVALUE($A67),'recurring1_based on steps'!AC$1:AC$400,0)),AC$2,)</f>
        <v>0</v>
      </c>
      <c r="AD67" s="179">
        <f ca="1">IF(ISNUMBER(MATCH(DATEVALUE($A67),'recurring1_based on steps'!AD$1:AD$400,0)),AD$2,)</f>
        <v>0</v>
      </c>
      <c r="AE67" s="179">
        <f ca="1">IF(ISNUMBER(MATCH(DATEVALUE($A67),'recurring1_based on steps'!AE$1:AE$400,0)),AE$2,)</f>
        <v>0</v>
      </c>
      <c r="AF67" s="179">
        <f ca="1">IF(ISNUMBER(MATCH(DATEVALUE($A67),'recurring1_based on steps'!AF$1:AF$400,0)),AF$2,)</f>
        <v>0</v>
      </c>
      <c r="AG67" s="179">
        <f ca="1">IF(ISNUMBER(MATCH(DATEVALUE($A67),'recurring1_based on steps'!AG$1:AG$400,0)),AG$2,)</f>
        <v>0</v>
      </c>
      <c r="AH67" s="179">
        <f ca="1">IF(ISNUMBER(MATCH(DATEVALUE($A67),'recurring1_based on steps'!AH$1:AH$400,0)),AH$2,)</f>
        <v>0</v>
      </c>
      <c r="AI67" s="179">
        <f ca="1">IF(ISNUMBER(MATCH(DATEVALUE($A67),'recurring1_based on steps'!AI$1:AI$400,0)),AI$2,)</f>
        <v>0</v>
      </c>
      <c r="AJ67" s="179">
        <f ca="1">IF(ISNUMBER(MATCH(DATEVALUE($A67),'recurring1_based on steps'!AJ$1:AJ$400,0)),AJ$2,)</f>
        <v>0</v>
      </c>
      <c r="AK67" s="179">
        <f ca="1">IF(ISNUMBER(MATCH(DATEVALUE($A67),'recurring1_based on steps'!AK$1:AK$400,0)),AK$2,)</f>
        <v>0</v>
      </c>
      <c r="AL67" s="179">
        <f ca="1">IF(ISNUMBER(MATCH(DATEVALUE($A67),'recurring1_based on steps'!AL$1:AL$400,0)),AL$2,)</f>
        <v>0</v>
      </c>
      <c r="AM67" s="179">
        <f ca="1">IF(ISNUMBER(MATCH(DATEVALUE($A67),'recurring1_based on steps'!AM$1:AM$400,0)),AM$2,)</f>
        <v>0</v>
      </c>
      <c r="AN67" s="179">
        <f ca="1">IF(ISNUMBER(MATCH(DATEVALUE($A67),'recurring1_based on steps'!AN$1:AN$400,0)),AN$2,)</f>
        <v>0</v>
      </c>
      <c r="AO67" s="179">
        <f ca="1">IF(ISNUMBER(MATCH(DATEVALUE($A67),'recurring1_based on steps'!AO$1:AO$400,0)),AO$2,)</f>
        <v>0</v>
      </c>
      <c r="AP67" s="179">
        <f ca="1">IF(ISNUMBER(MATCH(DATEVALUE($A67),'recurring1_based on steps'!AP$1:AP$400,0)),AP$2,)</f>
        <v>0</v>
      </c>
      <c r="AQ67" s="179">
        <f ca="1">IF(ISNUMBER(MATCH(DATEVALUE($A67),'recurring1_based on steps'!AQ$1:AQ$400,0)),AQ$2,)</f>
        <v>0</v>
      </c>
      <c r="AR67" s="179">
        <f ca="1">IF(ISNUMBER(MATCH(DATEVALUE($A67),'recurring1_based on steps'!AR$1:AR$400,0)),AR$2,)</f>
        <v>0</v>
      </c>
      <c r="AS67" s="179">
        <f ca="1">IF(ISNUMBER(MATCH(DATEVALUE($A67),'recurring1_based on steps'!AS$1:AS$400,0)),AS$2,)</f>
        <v>0</v>
      </c>
      <c r="AT67" s="179">
        <f ca="1">IF(ISNUMBER(MATCH(DATEVALUE($A67),'recurring1_based on steps'!AT$1:AT$400,0)),AT$2,)</f>
        <v>0</v>
      </c>
      <c r="AU67" s="179">
        <f ca="1">IF(ISNUMBER(MATCH(DATEVALUE($A67),'recurring1_based on steps'!AU$1:AU$400,0)),AU$2,)</f>
        <v>0</v>
      </c>
      <c r="AV67" s="179">
        <f ca="1">IF(ISNUMBER(MATCH(DATEVALUE($A67),'recurring1_based on steps'!AV$1:AV$400,0)),AV$2,)</f>
        <v>0</v>
      </c>
      <c r="AW67" s="179">
        <f ca="1">IF(ISNUMBER(MATCH(DATEVALUE($A67),'recurring1_based on steps'!AW$1:AW$400,0)),AW$2,)</f>
        <v>0</v>
      </c>
      <c r="AX67" s="179">
        <f ca="1">IF(ISNUMBER(MATCH(DATEVALUE($A67),'recurring1_based on steps'!AX$1:AX$400,0)),AX$2,)</f>
        <v>0</v>
      </c>
      <c r="AY67" s="179">
        <f ca="1">IF(ISNUMBER(MATCH(DATEVALUE($A67),'recurring1_based on steps'!AY$1:AY$400,0)),AY$2,)</f>
        <v>0</v>
      </c>
    </row>
    <row r="68" spans="1:51" x14ac:dyDescent="0.2">
      <c r="A68" s="32" t="str">
        <f t="shared" ca="1" si="0"/>
        <v>2025-06-02</v>
      </c>
      <c r="B68" s="179">
        <f ca="1">IF(ISNUMBER(MATCH(DATEVALUE($A68),'recurring1_based on steps'!B$1:B$400,0)),B$2,)</f>
        <v>0</v>
      </c>
      <c r="C68" s="179">
        <f ca="1">IF(ISNUMBER(MATCH(DATEVALUE($A68),'recurring1_based on steps'!C$1:C$400,0)),C$2,)</f>
        <v>0</v>
      </c>
      <c r="D68" s="179">
        <f ca="1">IF(ISNUMBER(MATCH(DATEVALUE($A68),'recurring1_based on steps'!D$1:D$400,0)),D$2,)</f>
        <v>0</v>
      </c>
      <c r="E68" s="179">
        <f ca="1">IF(ISNUMBER(MATCH(DATEVALUE($A68),'recurring1_based on steps'!E$1:E$400,0)),E$2,)</f>
        <v>0</v>
      </c>
      <c r="F68" s="179">
        <f ca="1">IF(ISNUMBER(MATCH(DATEVALUE($A68),'recurring1_based on steps'!F$1:F$400,0)),F$2,)</f>
        <v>0</v>
      </c>
      <c r="G68" s="179">
        <f ca="1">IF(ISNUMBER(MATCH(DATEVALUE($A68),'recurring1_based on steps'!G$1:G$400,0)),G$2,)</f>
        <v>0</v>
      </c>
      <c r="H68" s="179">
        <f ca="1">IF(ISNUMBER(MATCH(DATEVALUE($A68),'recurring1_based on steps'!H$1:H$400,0)),H$2,)</f>
        <v>0</v>
      </c>
      <c r="I68" s="179">
        <f ca="1">IF(ISNUMBER(MATCH(DATEVALUE($A68),'recurring1_based on steps'!I$1:I$400,0)),I$2,)</f>
        <v>0</v>
      </c>
      <c r="J68" s="179">
        <f ca="1">IF(ISNUMBER(MATCH(DATEVALUE($A68),'recurring1_based on steps'!J$1:J$400,0)),J$2,)</f>
        <v>0</v>
      </c>
      <c r="K68" s="179">
        <f ca="1">IF(ISNUMBER(MATCH(DATEVALUE($A68),'recurring1_based on steps'!K$1:K$400,0)),K$2,)</f>
        <v>0</v>
      </c>
      <c r="L68" s="179">
        <f ca="1">IF(ISNUMBER(MATCH(DATEVALUE($A68),'recurring1_based on steps'!L$1:L$400,0)),L$2,)</f>
        <v>0</v>
      </c>
      <c r="M68" s="179">
        <f ca="1">IF(ISNUMBER(MATCH(DATEVALUE($A68),'recurring1_based on steps'!M$1:M$400,0)),M$2,)</f>
        <v>0</v>
      </c>
      <c r="N68" s="179">
        <f ca="1">IF(ISNUMBER(MATCH(DATEVALUE($A68),'recurring1_based on steps'!N$1:N$400,0)),N$2,)</f>
        <v>0</v>
      </c>
      <c r="O68" s="179">
        <f ca="1">IF(ISNUMBER(MATCH(DATEVALUE($A68),'recurring1_based on steps'!O$1:O$400,0)),O$2,)</f>
        <v>0</v>
      </c>
      <c r="P68" s="179">
        <f ca="1">IF(ISNUMBER(MATCH(DATEVALUE($A68),'recurring1_based on steps'!P$1:P$400,0)),P$2,)</f>
        <v>0</v>
      </c>
      <c r="Q68" s="179">
        <f ca="1">IF(ISNUMBER(MATCH(DATEVALUE($A68),'recurring1_based on steps'!Q$1:Q$400,0)),Q$2,)</f>
        <v>0</v>
      </c>
      <c r="R68" s="179">
        <f ca="1">IF(ISNUMBER(MATCH(DATEVALUE($A68),'recurring1_based on steps'!R$1:R$400,0)),R$2,)</f>
        <v>0</v>
      </c>
      <c r="S68" s="179">
        <f ca="1">IF(ISNUMBER(MATCH(DATEVALUE($A68),'recurring1_based on steps'!S$1:S$400,0)),S$2,)</f>
        <v>0</v>
      </c>
      <c r="T68" s="179">
        <f ca="1">IF(ISNUMBER(MATCH(DATEVALUE($A68),'recurring1_based on steps'!T$1:T$400,0)),T$2,)</f>
        <v>0</v>
      </c>
      <c r="U68" s="179">
        <f ca="1">IF(ISNUMBER(MATCH(DATEVALUE($A68),'recurring1_based on steps'!U$1:U$400,0)),U$2,)</f>
        <v>0</v>
      </c>
      <c r="V68" s="179">
        <f ca="1">IF(ISNUMBER(MATCH(DATEVALUE($A68),'recurring1_based on steps'!V$1:V$400,0)),V$2,)</f>
        <v>0</v>
      </c>
      <c r="W68" s="179">
        <f ca="1">IF(ISNUMBER(MATCH(DATEVALUE($A68),'recurring1_based on steps'!W$1:W$400,0)),W$2,)</f>
        <v>0</v>
      </c>
      <c r="X68" s="179">
        <f ca="1">IF(ISNUMBER(MATCH(DATEVALUE($A68),'recurring1_based on steps'!X$1:X$400,0)),X$2,)</f>
        <v>0</v>
      </c>
      <c r="Y68" s="179">
        <f ca="1">IF(ISNUMBER(MATCH(DATEVALUE($A68),'recurring1_based on steps'!Y$1:Y$400,0)),Y$2,)</f>
        <v>0</v>
      </c>
      <c r="Z68" s="179">
        <f ca="1">IF(ISNUMBER(MATCH(DATEVALUE($A68),'recurring1_based on steps'!Z$1:Z$400,0)),Z$2,)</f>
        <v>0</v>
      </c>
      <c r="AA68" s="179">
        <f ca="1">IF(ISNUMBER(MATCH(DATEVALUE($A68),'recurring1_based on steps'!AA$1:AA$400,0)),AA$2,)</f>
        <v>0</v>
      </c>
      <c r="AB68" s="179">
        <f ca="1">IF(ISNUMBER(MATCH(DATEVALUE($A68),'recurring1_based on steps'!AB$1:AB$400,0)),AB$2,)</f>
        <v>0</v>
      </c>
      <c r="AC68" s="179">
        <f ca="1">IF(ISNUMBER(MATCH(DATEVALUE($A68),'recurring1_based on steps'!AC$1:AC$400,0)),AC$2,)</f>
        <v>0</v>
      </c>
      <c r="AD68" s="179">
        <f ca="1">IF(ISNUMBER(MATCH(DATEVALUE($A68),'recurring1_based on steps'!AD$1:AD$400,0)),AD$2,)</f>
        <v>0</v>
      </c>
      <c r="AE68" s="179">
        <f ca="1">IF(ISNUMBER(MATCH(DATEVALUE($A68),'recurring1_based on steps'!AE$1:AE$400,0)),AE$2,)</f>
        <v>0</v>
      </c>
      <c r="AF68" s="179">
        <f ca="1">IF(ISNUMBER(MATCH(DATEVALUE($A68),'recurring1_based on steps'!AF$1:AF$400,0)),AF$2,)</f>
        <v>0</v>
      </c>
      <c r="AG68" s="179">
        <f ca="1">IF(ISNUMBER(MATCH(DATEVALUE($A68),'recurring1_based on steps'!AG$1:AG$400,0)),AG$2,)</f>
        <v>0</v>
      </c>
      <c r="AH68" s="179">
        <f ca="1">IF(ISNUMBER(MATCH(DATEVALUE($A68),'recurring1_based on steps'!AH$1:AH$400,0)),AH$2,)</f>
        <v>0</v>
      </c>
      <c r="AI68" s="179">
        <f ca="1">IF(ISNUMBER(MATCH(DATEVALUE($A68),'recurring1_based on steps'!AI$1:AI$400,0)),AI$2,)</f>
        <v>0</v>
      </c>
      <c r="AJ68" s="179">
        <f ca="1">IF(ISNUMBER(MATCH(DATEVALUE($A68),'recurring1_based on steps'!AJ$1:AJ$400,0)),AJ$2,)</f>
        <v>0</v>
      </c>
      <c r="AK68" s="179">
        <f ca="1">IF(ISNUMBER(MATCH(DATEVALUE($A68),'recurring1_based on steps'!AK$1:AK$400,0)),AK$2,)</f>
        <v>0</v>
      </c>
      <c r="AL68" s="179">
        <f ca="1">IF(ISNUMBER(MATCH(DATEVALUE($A68),'recurring1_based on steps'!AL$1:AL$400,0)),AL$2,)</f>
        <v>0</v>
      </c>
      <c r="AM68" s="179">
        <f ca="1">IF(ISNUMBER(MATCH(DATEVALUE($A68),'recurring1_based on steps'!AM$1:AM$400,0)),AM$2,)</f>
        <v>0</v>
      </c>
      <c r="AN68" s="179">
        <f ca="1">IF(ISNUMBER(MATCH(DATEVALUE($A68),'recurring1_based on steps'!AN$1:AN$400,0)),AN$2,)</f>
        <v>0</v>
      </c>
      <c r="AO68" s="179">
        <f ca="1">IF(ISNUMBER(MATCH(DATEVALUE($A68),'recurring1_based on steps'!AO$1:AO$400,0)),AO$2,)</f>
        <v>0</v>
      </c>
      <c r="AP68" s="179">
        <f ca="1">IF(ISNUMBER(MATCH(DATEVALUE($A68),'recurring1_based on steps'!AP$1:AP$400,0)),AP$2,)</f>
        <v>0</v>
      </c>
      <c r="AQ68" s="179">
        <f ca="1">IF(ISNUMBER(MATCH(DATEVALUE($A68),'recurring1_based on steps'!AQ$1:AQ$400,0)),AQ$2,)</f>
        <v>0</v>
      </c>
      <c r="AR68" s="179">
        <f ca="1">IF(ISNUMBER(MATCH(DATEVALUE($A68),'recurring1_based on steps'!AR$1:AR$400,0)),AR$2,)</f>
        <v>0</v>
      </c>
      <c r="AS68" s="179">
        <f ca="1">IF(ISNUMBER(MATCH(DATEVALUE($A68),'recurring1_based on steps'!AS$1:AS$400,0)),AS$2,)</f>
        <v>0</v>
      </c>
      <c r="AT68" s="179">
        <f ca="1">IF(ISNUMBER(MATCH(DATEVALUE($A68),'recurring1_based on steps'!AT$1:AT$400,0)),AT$2,)</f>
        <v>0</v>
      </c>
      <c r="AU68" s="179">
        <f ca="1">IF(ISNUMBER(MATCH(DATEVALUE($A68),'recurring1_based on steps'!AU$1:AU$400,0)),AU$2,)</f>
        <v>0</v>
      </c>
      <c r="AV68" s="179">
        <f ca="1">IF(ISNUMBER(MATCH(DATEVALUE($A68),'recurring1_based on steps'!AV$1:AV$400,0)),AV$2,)</f>
        <v>0</v>
      </c>
      <c r="AW68" s="179">
        <f ca="1">IF(ISNUMBER(MATCH(DATEVALUE($A68),'recurring1_based on steps'!AW$1:AW$400,0)),AW$2,)</f>
        <v>0</v>
      </c>
      <c r="AX68" s="179">
        <f ca="1">IF(ISNUMBER(MATCH(DATEVALUE($A68),'recurring1_based on steps'!AX$1:AX$400,0)),AX$2,)</f>
        <v>0</v>
      </c>
      <c r="AY68" s="179">
        <f ca="1">IF(ISNUMBER(MATCH(DATEVALUE($A68),'recurring1_based on steps'!AY$1:AY$400,0)),AY$2,)</f>
        <v>0</v>
      </c>
    </row>
    <row r="69" spans="1:51" x14ac:dyDescent="0.2">
      <c r="A69" s="32" t="str">
        <f t="shared" ref="A69:A132" ca="1" si="1">TEXT(DATEVALUE(A68)+1,"yyyy-mm-dd")</f>
        <v>2025-06-03</v>
      </c>
      <c r="B69" s="179">
        <f ca="1">IF(ISNUMBER(MATCH(DATEVALUE($A69),'recurring1_based on steps'!B$1:B$400,0)),B$2,)</f>
        <v>0</v>
      </c>
      <c r="C69" s="179">
        <f ca="1">IF(ISNUMBER(MATCH(DATEVALUE($A69),'recurring1_based on steps'!C$1:C$400,0)),C$2,)</f>
        <v>0</v>
      </c>
      <c r="D69" s="179">
        <f ca="1">IF(ISNUMBER(MATCH(DATEVALUE($A69),'recurring1_based on steps'!D$1:D$400,0)),D$2,)</f>
        <v>0</v>
      </c>
      <c r="E69" s="179">
        <f ca="1">IF(ISNUMBER(MATCH(DATEVALUE($A69),'recurring1_based on steps'!E$1:E$400,0)),E$2,)</f>
        <v>0</v>
      </c>
      <c r="F69" s="179">
        <f ca="1">IF(ISNUMBER(MATCH(DATEVALUE($A69),'recurring1_based on steps'!F$1:F$400,0)),F$2,)</f>
        <v>0</v>
      </c>
      <c r="G69" s="179">
        <f ca="1">IF(ISNUMBER(MATCH(DATEVALUE($A69),'recurring1_based on steps'!G$1:G$400,0)),G$2,)</f>
        <v>0</v>
      </c>
      <c r="H69" s="179">
        <f ca="1">IF(ISNUMBER(MATCH(DATEVALUE($A69),'recurring1_based on steps'!H$1:H$400,0)),H$2,)</f>
        <v>0</v>
      </c>
      <c r="I69" s="179">
        <f ca="1">IF(ISNUMBER(MATCH(DATEVALUE($A69),'recurring1_based on steps'!I$1:I$400,0)),I$2,)</f>
        <v>0</v>
      </c>
      <c r="J69" s="179">
        <f ca="1">IF(ISNUMBER(MATCH(DATEVALUE($A69),'recurring1_based on steps'!J$1:J$400,0)),J$2,)</f>
        <v>0</v>
      </c>
      <c r="K69" s="179">
        <f ca="1">IF(ISNUMBER(MATCH(DATEVALUE($A69),'recurring1_based on steps'!K$1:K$400,0)),K$2,)</f>
        <v>0</v>
      </c>
      <c r="L69" s="179">
        <f ca="1">IF(ISNUMBER(MATCH(DATEVALUE($A69),'recurring1_based on steps'!L$1:L$400,0)),L$2,)</f>
        <v>0</v>
      </c>
      <c r="M69" s="179">
        <f ca="1">IF(ISNUMBER(MATCH(DATEVALUE($A69),'recurring1_based on steps'!M$1:M$400,0)),M$2,)</f>
        <v>0</v>
      </c>
      <c r="N69" s="179">
        <f ca="1">IF(ISNUMBER(MATCH(DATEVALUE($A69),'recurring1_based on steps'!N$1:N$400,0)),N$2,)</f>
        <v>0</v>
      </c>
      <c r="O69" s="179">
        <f ca="1">IF(ISNUMBER(MATCH(DATEVALUE($A69),'recurring1_based on steps'!O$1:O$400,0)),O$2,)</f>
        <v>0</v>
      </c>
      <c r="P69" s="179">
        <f ca="1">IF(ISNUMBER(MATCH(DATEVALUE($A69),'recurring1_based on steps'!P$1:P$400,0)),P$2,)</f>
        <v>0</v>
      </c>
      <c r="Q69" s="179">
        <f ca="1">IF(ISNUMBER(MATCH(DATEVALUE($A69),'recurring1_based on steps'!Q$1:Q$400,0)),Q$2,)</f>
        <v>0</v>
      </c>
      <c r="R69" s="179">
        <f ca="1">IF(ISNUMBER(MATCH(DATEVALUE($A69),'recurring1_based on steps'!R$1:R$400,0)),R$2,)</f>
        <v>0</v>
      </c>
      <c r="S69" s="179">
        <f ca="1">IF(ISNUMBER(MATCH(DATEVALUE($A69),'recurring1_based on steps'!S$1:S$400,0)),S$2,)</f>
        <v>0</v>
      </c>
      <c r="T69" s="179">
        <f ca="1">IF(ISNUMBER(MATCH(DATEVALUE($A69),'recurring1_based on steps'!T$1:T$400,0)),T$2,)</f>
        <v>0</v>
      </c>
      <c r="U69" s="179">
        <f ca="1">IF(ISNUMBER(MATCH(DATEVALUE($A69),'recurring1_based on steps'!U$1:U$400,0)),U$2,)</f>
        <v>0</v>
      </c>
      <c r="V69" s="179">
        <f ca="1">IF(ISNUMBER(MATCH(DATEVALUE($A69),'recurring1_based on steps'!V$1:V$400,0)),V$2,)</f>
        <v>0</v>
      </c>
      <c r="W69" s="179">
        <f ca="1">IF(ISNUMBER(MATCH(DATEVALUE($A69),'recurring1_based on steps'!W$1:W$400,0)),W$2,)</f>
        <v>0</v>
      </c>
      <c r="X69" s="179">
        <f ca="1">IF(ISNUMBER(MATCH(DATEVALUE($A69),'recurring1_based on steps'!X$1:X$400,0)),X$2,)</f>
        <v>0</v>
      </c>
      <c r="Y69" s="179">
        <f ca="1">IF(ISNUMBER(MATCH(DATEVALUE($A69),'recurring1_based on steps'!Y$1:Y$400,0)),Y$2,)</f>
        <v>0</v>
      </c>
      <c r="Z69" s="179">
        <f ca="1">IF(ISNUMBER(MATCH(DATEVALUE($A69),'recurring1_based on steps'!Z$1:Z$400,0)),Z$2,)</f>
        <v>0</v>
      </c>
      <c r="AA69" s="179">
        <f ca="1">IF(ISNUMBER(MATCH(DATEVALUE($A69),'recurring1_based on steps'!AA$1:AA$400,0)),AA$2,)</f>
        <v>0</v>
      </c>
      <c r="AB69" s="179">
        <f ca="1">IF(ISNUMBER(MATCH(DATEVALUE($A69),'recurring1_based on steps'!AB$1:AB$400,0)),AB$2,)</f>
        <v>0</v>
      </c>
      <c r="AC69" s="179">
        <f ca="1">IF(ISNUMBER(MATCH(DATEVALUE($A69),'recurring1_based on steps'!AC$1:AC$400,0)),AC$2,)</f>
        <v>0</v>
      </c>
      <c r="AD69" s="179">
        <f ca="1">IF(ISNUMBER(MATCH(DATEVALUE($A69),'recurring1_based on steps'!AD$1:AD$400,0)),AD$2,)</f>
        <v>0</v>
      </c>
      <c r="AE69" s="179">
        <f ca="1">IF(ISNUMBER(MATCH(DATEVALUE($A69),'recurring1_based on steps'!AE$1:AE$400,0)),AE$2,)</f>
        <v>0</v>
      </c>
      <c r="AF69" s="179">
        <f ca="1">IF(ISNUMBER(MATCH(DATEVALUE($A69),'recurring1_based on steps'!AF$1:AF$400,0)),AF$2,)</f>
        <v>0</v>
      </c>
      <c r="AG69" s="179">
        <f ca="1">IF(ISNUMBER(MATCH(DATEVALUE($A69),'recurring1_based on steps'!AG$1:AG$400,0)),AG$2,)</f>
        <v>0</v>
      </c>
      <c r="AH69" s="179">
        <f ca="1">IF(ISNUMBER(MATCH(DATEVALUE($A69),'recurring1_based on steps'!AH$1:AH$400,0)),AH$2,)</f>
        <v>0</v>
      </c>
      <c r="AI69" s="179">
        <f ca="1">IF(ISNUMBER(MATCH(DATEVALUE($A69),'recurring1_based on steps'!AI$1:AI$400,0)),AI$2,)</f>
        <v>0</v>
      </c>
      <c r="AJ69" s="179">
        <f ca="1">IF(ISNUMBER(MATCH(DATEVALUE($A69),'recurring1_based on steps'!AJ$1:AJ$400,0)),AJ$2,)</f>
        <v>0</v>
      </c>
      <c r="AK69" s="179">
        <f ca="1">IF(ISNUMBER(MATCH(DATEVALUE($A69),'recurring1_based on steps'!AK$1:AK$400,0)),AK$2,)</f>
        <v>0</v>
      </c>
      <c r="AL69" s="179">
        <f ca="1">IF(ISNUMBER(MATCH(DATEVALUE($A69),'recurring1_based on steps'!AL$1:AL$400,0)),AL$2,)</f>
        <v>0</v>
      </c>
      <c r="AM69" s="179">
        <f ca="1">IF(ISNUMBER(MATCH(DATEVALUE($A69),'recurring1_based on steps'!AM$1:AM$400,0)),AM$2,)</f>
        <v>0</v>
      </c>
      <c r="AN69" s="179">
        <f ca="1">IF(ISNUMBER(MATCH(DATEVALUE($A69),'recurring1_based on steps'!AN$1:AN$400,0)),AN$2,)</f>
        <v>0</v>
      </c>
      <c r="AO69" s="179">
        <f ca="1">IF(ISNUMBER(MATCH(DATEVALUE($A69),'recurring1_based on steps'!AO$1:AO$400,0)),AO$2,)</f>
        <v>0</v>
      </c>
      <c r="AP69" s="179">
        <f ca="1">IF(ISNUMBER(MATCH(DATEVALUE($A69),'recurring1_based on steps'!AP$1:AP$400,0)),AP$2,)</f>
        <v>0</v>
      </c>
      <c r="AQ69" s="179">
        <f ca="1">IF(ISNUMBER(MATCH(DATEVALUE($A69),'recurring1_based on steps'!AQ$1:AQ$400,0)),AQ$2,)</f>
        <v>0</v>
      </c>
      <c r="AR69" s="179">
        <f ca="1">IF(ISNUMBER(MATCH(DATEVALUE($A69),'recurring1_based on steps'!AR$1:AR$400,0)),AR$2,)</f>
        <v>0</v>
      </c>
      <c r="AS69" s="179">
        <f ca="1">IF(ISNUMBER(MATCH(DATEVALUE($A69),'recurring1_based on steps'!AS$1:AS$400,0)),AS$2,)</f>
        <v>0</v>
      </c>
      <c r="AT69" s="179">
        <f ca="1">IF(ISNUMBER(MATCH(DATEVALUE($A69),'recurring1_based on steps'!AT$1:AT$400,0)),AT$2,)</f>
        <v>0</v>
      </c>
      <c r="AU69" s="179">
        <f ca="1">IF(ISNUMBER(MATCH(DATEVALUE($A69),'recurring1_based on steps'!AU$1:AU$400,0)),AU$2,)</f>
        <v>0</v>
      </c>
      <c r="AV69" s="179">
        <f ca="1">IF(ISNUMBER(MATCH(DATEVALUE($A69),'recurring1_based on steps'!AV$1:AV$400,0)),AV$2,)</f>
        <v>0</v>
      </c>
      <c r="AW69" s="179">
        <f ca="1">IF(ISNUMBER(MATCH(DATEVALUE($A69),'recurring1_based on steps'!AW$1:AW$400,0)),AW$2,)</f>
        <v>0</v>
      </c>
      <c r="AX69" s="179">
        <f ca="1">IF(ISNUMBER(MATCH(DATEVALUE($A69),'recurring1_based on steps'!AX$1:AX$400,0)),AX$2,)</f>
        <v>0</v>
      </c>
      <c r="AY69" s="179">
        <f ca="1">IF(ISNUMBER(MATCH(DATEVALUE($A69),'recurring1_based on steps'!AY$1:AY$400,0)),AY$2,)</f>
        <v>0</v>
      </c>
    </row>
    <row r="70" spans="1:51" x14ac:dyDescent="0.2">
      <c r="A70" s="32" t="str">
        <f t="shared" ca="1" si="1"/>
        <v>2025-06-04</v>
      </c>
      <c r="B70" s="179">
        <f ca="1">IF(ISNUMBER(MATCH(DATEVALUE($A70),'recurring1_based on steps'!B$1:B$400,0)),B$2,)</f>
        <v>0</v>
      </c>
      <c r="C70" s="179">
        <f ca="1">IF(ISNUMBER(MATCH(DATEVALUE($A70),'recurring1_based on steps'!C$1:C$400,0)),C$2,)</f>
        <v>0</v>
      </c>
      <c r="D70" s="179">
        <f ca="1">IF(ISNUMBER(MATCH(DATEVALUE($A70),'recurring1_based on steps'!D$1:D$400,0)),D$2,)</f>
        <v>0</v>
      </c>
      <c r="E70" s="179">
        <f ca="1">IF(ISNUMBER(MATCH(DATEVALUE($A70),'recurring1_based on steps'!E$1:E$400,0)),E$2,)</f>
        <v>0</v>
      </c>
      <c r="F70" s="179">
        <f ca="1">IF(ISNUMBER(MATCH(DATEVALUE($A70),'recurring1_based on steps'!F$1:F$400,0)),F$2,)</f>
        <v>0</v>
      </c>
      <c r="G70" s="179">
        <f ca="1">IF(ISNUMBER(MATCH(DATEVALUE($A70),'recurring1_based on steps'!G$1:G$400,0)),G$2,)</f>
        <v>0</v>
      </c>
      <c r="H70" s="179">
        <f ca="1">IF(ISNUMBER(MATCH(DATEVALUE($A70),'recurring1_based on steps'!H$1:H$400,0)),H$2,)</f>
        <v>0</v>
      </c>
      <c r="I70" s="179">
        <f ca="1">IF(ISNUMBER(MATCH(DATEVALUE($A70),'recurring1_based on steps'!I$1:I$400,0)),I$2,)</f>
        <v>0</v>
      </c>
      <c r="J70" s="179">
        <f ca="1">IF(ISNUMBER(MATCH(DATEVALUE($A70),'recurring1_based on steps'!J$1:J$400,0)),J$2,)</f>
        <v>0</v>
      </c>
      <c r="K70" s="179">
        <f ca="1">IF(ISNUMBER(MATCH(DATEVALUE($A70),'recurring1_based on steps'!K$1:K$400,0)),K$2,)</f>
        <v>0</v>
      </c>
      <c r="L70" s="179">
        <f ca="1">IF(ISNUMBER(MATCH(DATEVALUE($A70),'recurring1_based on steps'!L$1:L$400,0)),L$2,)</f>
        <v>0</v>
      </c>
      <c r="M70" s="179">
        <f ca="1">IF(ISNUMBER(MATCH(DATEVALUE($A70),'recurring1_based on steps'!M$1:M$400,0)),M$2,)</f>
        <v>0</v>
      </c>
      <c r="N70" s="179">
        <f ca="1">IF(ISNUMBER(MATCH(DATEVALUE($A70),'recurring1_based on steps'!N$1:N$400,0)),N$2,)</f>
        <v>0</v>
      </c>
      <c r="O70" s="179">
        <f ca="1">IF(ISNUMBER(MATCH(DATEVALUE($A70),'recurring1_based on steps'!O$1:O$400,0)),O$2,)</f>
        <v>0</v>
      </c>
      <c r="P70" s="179">
        <f ca="1">IF(ISNUMBER(MATCH(DATEVALUE($A70),'recurring1_based on steps'!P$1:P$400,0)),P$2,)</f>
        <v>0</v>
      </c>
      <c r="Q70" s="179">
        <f ca="1">IF(ISNUMBER(MATCH(DATEVALUE($A70),'recurring1_based on steps'!Q$1:Q$400,0)),Q$2,)</f>
        <v>0</v>
      </c>
      <c r="R70" s="179">
        <f ca="1">IF(ISNUMBER(MATCH(DATEVALUE($A70),'recurring1_based on steps'!R$1:R$400,0)),R$2,)</f>
        <v>0</v>
      </c>
      <c r="S70" s="179">
        <f ca="1">IF(ISNUMBER(MATCH(DATEVALUE($A70),'recurring1_based on steps'!S$1:S$400,0)),S$2,)</f>
        <v>0</v>
      </c>
      <c r="T70" s="179">
        <f ca="1">IF(ISNUMBER(MATCH(DATEVALUE($A70),'recurring1_based on steps'!T$1:T$400,0)),T$2,)</f>
        <v>0</v>
      </c>
      <c r="U70" s="179">
        <f ca="1">IF(ISNUMBER(MATCH(DATEVALUE($A70),'recurring1_based on steps'!U$1:U$400,0)),U$2,)</f>
        <v>0</v>
      </c>
      <c r="V70" s="179">
        <f ca="1">IF(ISNUMBER(MATCH(DATEVALUE($A70),'recurring1_based on steps'!V$1:V$400,0)),V$2,)</f>
        <v>0</v>
      </c>
      <c r="W70" s="179">
        <f ca="1">IF(ISNUMBER(MATCH(DATEVALUE($A70),'recurring1_based on steps'!W$1:W$400,0)),W$2,)</f>
        <v>0</v>
      </c>
      <c r="X70" s="179">
        <f ca="1">IF(ISNUMBER(MATCH(DATEVALUE($A70),'recurring1_based on steps'!X$1:X$400,0)),X$2,)</f>
        <v>0</v>
      </c>
      <c r="Y70" s="179">
        <f ca="1">IF(ISNUMBER(MATCH(DATEVALUE($A70),'recurring1_based on steps'!Y$1:Y$400,0)),Y$2,)</f>
        <v>0</v>
      </c>
      <c r="Z70" s="179">
        <f ca="1">IF(ISNUMBER(MATCH(DATEVALUE($A70),'recurring1_based on steps'!Z$1:Z$400,0)),Z$2,)</f>
        <v>0</v>
      </c>
      <c r="AA70" s="179">
        <f ca="1">IF(ISNUMBER(MATCH(DATEVALUE($A70),'recurring1_based on steps'!AA$1:AA$400,0)),AA$2,)</f>
        <v>0</v>
      </c>
      <c r="AB70" s="179">
        <f ca="1">IF(ISNUMBER(MATCH(DATEVALUE($A70),'recurring1_based on steps'!AB$1:AB$400,0)),AB$2,)</f>
        <v>0</v>
      </c>
      <c r="AC70" s="179">
        <f ca="1">IF(ISNUMBER(MATCH(DATEVALUE($A70),'recurring1_based on steps'!AC$1:AC$400,0)),AC$2,)</f>
        <v>0</v>
      </c>
      <c r="AD70" s="179">
        <f ca="1">IF(ISNUMBER(MATCH(DATEVALUE($A70),'recurring1_based on steps'!AD$1:AD$400,0)),AD$2,)</f>
        <v>0</v>
      </c>
      <c r="AE70" s="179">
        <f ca="1">IF(ISNUMBER(MATCH(DATEVALUE($A70),'recurring1_based on steps'!AE$1:AE$400,0)),AE$2,)</f>
        <v>0</v>
      </c>
      <c r="AF70" s="179">
        <f ca="1">IF(ISNUMBER(MATCH(DATEVALUE($A70),'recurring1_based on steps'!AF$1:AF$400,0)),AF$2,)</f>
        <v>0</v>
      </c>
      <c r="AG70" s="179">
        <f ca="1">IF(ISNUMBER(MATCH(DATEVALUE($A70),'recurring1_based on steps'!AG$1:AG$400,0)),AG$2,)</f>
        <v>0</v>
      </c>
      <c r="AH70" s="179">
        <f ca="1">IF(ISNUMBER(MATCH(DATEVALUE($A70),'recurring1_based on steps'!AH$1:AH$400,0)),AH$2,)</f>
        <v>0</v>
      </c>
      <c r="AI70" s="179">
        <f ca="1">IF(ISNUMBER(MATCH(DATEVALUE($A70),'recurring1_based on steps'!AI$1:AI$400,0)),AI$2,)</f>
        <v>0</v>
      </c>
      <c r="AJ70" s="179">
        <f ca="1">IF(ISNUMBER(MATCH(DATEVALUE($A70),'recurring1_based on steps'!AJ$1:AJ$400,0)),AJ$2,)</f>
        <v>0</v>
      </c>
      <c r="AK70" s="179">
        <f ca="1">IF(ISNUMBER(MATCH(DATEVALUE($A70),'recurring1_based on steps'!AK$1:AK$400,0)),AK$2,)</f>
        <v>0</v>
      </c>
      <c r="AL70" s="179">
        <f ca="1">IF(ISNUMBER(MATCH(DATEVALUE($A70),'recurring1_based on steps'!AL$1:AL$400,0)),AL$2,)</f>
        <v>0</v>
      </c>
      <c r="AM70" s="179">
        <f ca="1">IF(ISNUMBER(MATCH(DATEVALUE($A70),'recurring1_based on steps'!AM$1:AM$400,0)),AM$2,)</f>
        <v>0</v>
      </c>
      <c r="AN70" s="179">
        <f ca="1">IF(ISNUMBER(MATCH(DATEVALUE($A70),'recurring1_based on steps'!AN$1:AN$400,0)),AN$2,)</f>
        <v>0</v>
      </c>
      <c r="AO70" s="179">
        <f ca="1">IF(ISNUMBER(MATCH(DATEVALUE($A70),'recurring1_based on steps'!AO$1:AO$400,0)),AO$2,)</f>
        <v>0</v>
      </c>
      <c r="AP70" s="179">
        <f ca="1">IF(ISNUMBER(MATCH(DATEVALUE($A70),'recurring1_based on steps'!AP$1:AP$400,0)),AP$2,)</f>
        <v>0</v>
      </c>
      <c r="AQ70" s="179">
        <f ca="1">IF(ISNUMBER(MATCH(DATEVALUE($A70),'recurring1_based on steps'!AQ$1:AQ$400,0)),AQ$2,)</f>
        <v>0</v>
      </c>
      <c r="AR70" s="179">
        <f ca="1">IF(ISNUMBER(MATCH(DATEVALUE($A70),'recurring1_based on steps'!AR$1:AR$400,0)),AR$2,)</f>
        <v>0</v>
      </c>
      <c r="AS70" s="179">
        <f ca="1">IF(ISNUMBER(MATCH(DATEVALUE($A70),'recurring1_based on steps'!AS$1:AS$400,0)),AS$2,)</f>
        <v>0</v>
      </c>
      <c r="AT70" s="179">
        <f ca="1">IF(ISNUMBER(MATCH(DATEVALUE($A70),'recurring1_based on steps'!AT$1:AT$400,0)),AT$2,)</f>
        <v>0</v>
      </c>
      <c r="AU70" s="179">
        <f ca="1">IF(ISNUMBER(MATCH(DATEVALUE($A70),'recurring1_based on steps'!AU$1:AU$400,0)),AU$2,)</f>
        <v>0</v>
      </c>
      <c r="AV70" s="179">
        <f ca="1">IF(ISNUMBER(MATCH(DATEVALUE($A70),'recurring1_based on steps'!AV$1:AV$400,0)),AV$2,)</f>
        <v>0</v>
      </c>
      <c r="AW70" s="179">
        <f ca="1">IF(ISNUMBER(MATCH(DATEVALUE($A70),'recurring1_based on steps'!AW$1:AW$400,0)),AW$2,)</f>
        <v>0</v>
      </c>
      <c r="AX70" s="179">
        <f ca="1">IF(ISNUMBER(MATCH(DATEVALUE($A70),'recurring1_based on steps'!AX$1:AX$400,0)),AX$2,)</f>
        <v>0</v>
      </c>
      <c r="AY70" s="179">
        <f ca="1">IF(ISNUMBER(MATCH(DATEVALUE($A70),'recurring1_based on steps'!AY$1:AY$400,0)),AY$2,)</f>
        <v>0</v>
      </c>
    </row>
    <row r="71" spans="1:51" x14ac:dyDescent="0.2">
      <c r="A71" s="32" t="str">
        <f t="shared" ca="1" si="1"/>
        <v>2025-06-05</v>
      </c>
      <c r="B71" s="179">
        <f ca="1">IF(ISNUMBER(MATCH(DATEVALUE($A71),'recurring1_based on steps'!B$1:B$400,0)),B$2,)</f>
        <v>0</v>
      </c>
      <c r="C71" s="179">
        <f ca="1">IF(ISNUMBER(MATCH(DATEVALUE($A71),'recurring1_based on steps'!C$1:C$400,0)),C$2,)</f>
        <v>0</v>
      </c>
      <c r="D71" s="179">
        <f ca="1">IF(ISNUMBER(MATCH(DATEVALUE($A71),'recurring1_based on steps'!D$1:D$400,0)),D$2,)</f>
        <v>0</v>
      </c>
      <c r="E71" s="179">
        <f ca="1">IF(ISNUMBER(MATCH(DATEVALUE($A71),'recurring1_based on steps'!E$1:E$400,0)),E$2,)</f>
        <v>0</v>
      </c>
      <c r="F71" s="179">
        <f ca="1">IF(ISNUMBER(MATCH(DATEVALUE($A71),'recurring1_based on steps'!F$1:F$400,0)),F$2,)</f>
        <v>0</v>
      </c>
      <c r="G71" s="179">
        <f ca="1">IF(ISNUMBER(MATCH(DATEVALUE($A71),'recurring1_based on steps'!G$1:G$400,0)),G$2,)</f>
        <v>0</v>
      </c>
      <c r="H71" s="179">
        <f ca="1">IF(ISNUMBER(MATCH(DATEVALUE($A71),'recurring1_based on steps'!H$1:H$400,0)),H$2,)</f>
        <v>0</v>
      </c>
      <c r="I71" s="179">
        <f ca="1">IF(ISNUMBER(MATCH(DATEVALUE($A71),'recurring1_based on steps'!I$1:I$400,0)),I$2,)</f>
        <v>0</v>
      </c>
      <c r="J71" s="179">
        <f ca="1">IF(ISNUMBER(MATCH(DATEVALUE($A71),'recurring1_based on steps'!J$1:J$400,0)),J$2,)</f>
        <v>0</v>
      </c>
      <c r="K71" s="179">
        <f ca="1">IF(ISNUMBER(MATCH(DATEVALUE($A71),'recurring1_based on steps'!K$1:K$400,0)),K$2,)</f>
        <v>0</v>
      </c>
      <c r="L71" s="179">
        <f ca="1">IF(ISNUMBER(MATCH(DATEVALUE($A71),'recurring1_based on steps'!L$1:L$400,0)),L$2,)</f>
        <v>0</v>
      </c>
      <c r="M71" s="179">
        <f ca="1">IF(ISNUMBER(MATCH(DATEVALUE($A71),'recurring1_based on steps'!M$1:M$400,0)),M$2,)</f>
        <v>0</v>
      </c>
      <c r="N71" s="179">
        <f ca="1">IF(ISNUMBER(MATCH(DATEVALUE($A71),'recurring1_based on steps'!N$1:N$400,0)),N$2,)</f>
        <v>0</v>
      </c>
      <c r="O71" s="179">
        <f ca="1">IF(ISNUMBER(MATCH(DATEVALUE($A71),'recurring1_based on steps'!O$1:O$400,0)),O$2,)</f>
        <v>0</v>
      </c>
      <c r="P71" s="179">
        <f ca="1">IF(ISNUMBER(MATCH(DATEVALUE($A71),'recurring1_based on steps'!P$1:P$400,0)),P$2,)</f>
        <v>0</v>
      </c>
      <c r="Q71" s="179">
        <f ca="1">IF(ISNUMBER(MATCH(DATEVALUE($A71),'recurring1_based on steps'!Q$1:Q$400,0)),Q$2,)</f>
        <v>0</v>
      </c>
      <c r="R71" s="179">
        <f ca="1">IF(ISNUMBER(MATCH(DATEVALUE($A71),'recurring1_based on steps'!R$1:R$400,0)),R$2,)</f>
        <v>0</v>
      </c>
      <c r="S71" s="179">
        <f ca="1">IF(ISNUMBER(MATCH(DATEVALUE($A71),'recurring1_based on steps'!S$1:S$400,0)),S$2,)</f>
        <v>0</v>
      </c>
      <c r="T71" s="179">
        <f ca="1">IF(ISNUMBER(MATCH(DATEVALUE($A71),'recurring1_based on steps'!T$1:T$400,0)),T$2,)</f>
        <v>0</v>
      </c>
      <c r="U71" s="179">
        <f ca="1">IF(ISNUMBER(MATCH(DATEVALUE($A71),'recurring1_based on steps'!U$1:U$400,0)),U$2,)</f>
        <v>0</v>
      </c>
      <c r="V71" s="179">
        <f ca="1">IF(ISNUMBER(MATCH(DATEVALUE($A71),'recurring1_based on steps'!V$1:V$400,0)),V$2,)</f>
        <v>0</v>
      </c>
      <c r="W71" s="179">
        <f ca="1">IF(ISNUMBER(MATCH(DATEVALUE($A71),'recurring1_based on steps'!W$1:W$400,0)),W$2,)</f>
        <v>0</v>
      </c>
      <c r="X71" s="179">
        <f ca="1">IF(ISNUMBER(MATCH(DATEVALUE($A71),'recurring1_based on steps'!X$1:X$400,0)),X$2,)</f>
        <v>0</v>
      </c>
      <c r="Y71" s="179">
        <f ca="1">IF(ISNUMBER(MATCH(DATEVALUE($A71),'recurring1_based on steps'!Y$1:Y$400,0)),Y$2,)</f>
        <v>0</v>
      </c>
      <c r="Z71" s="179">
        <f ca="1">IF(ISNUMBER(MATCH(DATEVALUE($A71),'recurring1_based on steps'!Z$1:Z$400,0)),Z$2,)</f>
        <v>0</v>
      </c>
      <c r="AA71" s="179">
        <f ca="1">IF(ISNUMBER(MATCH(DATEVALUE($A71),'recurring1_based on steps'!AA$1:AA$400,0)),AA$2,)</f>
        <v>0</v>
      </c>
      <c r="AB71" s="179">
        <f ca="1">IF(ISNUMBER(MATCH(DATEVALUE($A71),'recurring1_based on steps'!AB$1:AB$400,0)),AB$2,)</f>
        <v>0</v>
      </c>
      <c r="AC71" s="179">
        <f ca="1">IF(ISNUMBER(MATCH(DATEVALUE($A71),'recurring1_based on steps'!AC$1:AC$400,0)),AC$2,)</f>
        <v>0</v>
      </c>
      <c r="AD71" s="179">
        <f ca="1">IF(ISNUMBER(MATCH(DATEVALUE($A71),'recurring1_based on steps'!AD$1:AD$400,0)),AD$2,)</f>
        <v>0</v>
      </c>
      <c r="AE71" s="179">
        <f ca="1">IF(ISNUMBER(MATCH(DATEVALUE($A71),'recurring1_based on steps'!AE$1:AE$400,0)),AE$2,)</f>
        <v>0</v>
      </c>
      <c r="AF71" s="179">
        <f ca="1">IF(ISNUMBER(MATCH(DATEVALUE($A71),'recurring1_based on steps'!AF$1:AF$400,0)),AF$2,)</f>
        <v>0</v>
      </c>
      <c r="AG71" s="179">
        <f ca="1">IF(ISNUMBER(MATCH(DATEVALUE($A71),'recurring1_based on steps'!AG$1:AG$400,0)),AG$2,)</f>
        <v>0</v>
      </c>
      <c r="AH71" s="179">
        <f ca="1">IF(ISNUMBER(MATCH(DATEVALUE($A71),'recurring1_based on steps'!AH$1:AH$400,0)),AH$2,)</f>
        <v>0</v>
      </c>
      <c r="AI71" s="179">
        <f ca="1">IF(ISNUMBER(MATCH(DATEVALUE($A71),'recurring1_based on steps'!AI$1:AI$400,0)),AI$2,)</f>
        <v>0</v>
      </c>
      <c r="AJ71" s="179">
        <f ca="1">IF(ISNUMBER(MATCH(DATEVALUE($A71),'recurring1_based on steps'!AJ$1:AJ$400,0)),AJ$2,)</f>
        <v>0</v>
      </c>
      <c r="AK71" s="179">
        <f ca="1">IF(ISNUMBER(MATCH(DATEVALUE($A71),'recurring1_based on steps'!AK$1:AK$400,0)),AK$2,)</f>
        <v>0</v>
      </c>
      <c r="AL71" s="179">
        <f ca="1">IF(ISNUMBER(MATCH(DATEVALUE($A71),'recurring1_based on steps'!AL$1:AL$400,0)),AL$2,)</f>
        <v>0</v>
      </c>
      <c r="AM71" s="179">
        <f ca="1">IF(ISNUMBER(MATCH(DATEVALUE($A71),'recurring1_based on steps'!AM$1:AM$400,0)),AM$2,)</f>
        <v>0</v>
      </c>
      <c r="AN71" s="179">
        <f ca="1">IF(ISNUMBER(MATCH(DATEVALUE($A71),'recurring1_based on steps'!AN$1:AN$400,0)),AN$2,)</f>
        <v>0</v>
      </c>
      <c r="AO71" s="179">
        <f ca="1">IF(ISNUMBER(MATCH(DATEVALUE($A71),'recurring1_based on steps'!AO$1:AO$400,0)),AO$2,)</f>
        <v>0</v>
      </c>
      <c r="AP71" s="179">
        <f ca="1">IF(ISNUMBER(MATCH(DATEVALUE($A71),'recurring1_based on steps'!AP$1:AP$400,0)),AP$2,)</f>
        <v>0</v>
      </c>
      <c r="AQ71" s="179">
        <f ca="1">IF(ISNUMBER(MATCH(DATEVALUE($A71),'recurring1_based on steps'!AQ$1:AQ$400,0)),AQ$2,)</f>
        <v>0</v>
      </c>
      <c r="AR71" s="179">
        <f ca="1">IF(ISNUMBER(MATCH(DATEVALUE($A71),'recurring1_based on steps'!AR$1:AR$400,0)),AR$2,)</f>
        <v>0</v>
      </c>
      <c r="AS71" s="179">
        <f ca="1">IF(ISNUMBER(MATCH(DATEVALUE($A71),'recurring1_based on steps'!AS$1:AS$400,0)),AS$2,)</f>
        <v>0</v>
      </c>
      <c r="AT71" s="179">
        <f ca="1">IF(ISNUMBER(MATCH(DATEVALUE($A71),'recurring1_based on steps'!AT$1:AT$400,0)),AT$2,)</f>
        <v>0</v>
      </c>
      <c r="AU71" s="179">
        <f ca="1">IF(ISNUMBER(MATCH(DATEVALUE($A71),'recurring1_based on steps'!AU$1:AU$400,0)),AU$2,)</f>
        <v>0</v>
      </c>
      <c r="AV71" s="179">
        <f ca="1">IF(ISNUMBER(MATCH(DATEVALUE($A71),'recurring1_based on steps'!AV$1:AV$400,0)),AV$2,)</f>
        <v>0</v>
      </c>
      <c r="AW71" s="179">
        <f ca="1">IF(ISNUMBER(MATCH(DATEVALUE($A71),'recurring1_based on steps'!AW$1:AW$400,0)),AW$2,)</f>
        <v>0</v>
      </c>
      <c r="AX71" s="179">
        <f ca="1">IF(ISNUMBER(MATCH(DATEVALUE($A71),'recurring1_based on steps'!AX$1:AX$400,0)),AX$2,)</f>
        <v>0</v>
      </c>
      <c r="AY71" s="179">
        <f ca="1">IF(ISNUMBER(MATCH(DATEVALUE($A71),'recurring1_based on steps'!AY$1:AY$400,0)),AY$2,)</f>
        <v>0</v>
      </c>
    </row>
    <row r="72" spans="1:51" x14ac:dyDescent="0.2">
      <c r="A72" s="32" t="str">
        <f t="shared" ca="1" si="1"/>
        <v>2025-06-06</v>
      </c>
      <c r="B72" s="179">
        <f ca="1">IF(ISNUMBER(MATCH(DATEVALUE($A72),'recurring1_based on steps'!B$1:B$400,0)),B$2,)</f>
        <v>0</v>
      </c>
      <c r="C72" s="179">
        <f ca="1">IF(ISNUMBER(MATCH(DATEVALUE($A72),'recurring1_based on steps'!C$1:C$400,0)),C$2,)</f>
        <v>0</v>
      </c>
      <c r="D72" s="179">
        <f ca="1">IF(ISNUMBER(MATCH(DATEVALUE($A72),'recurring1_based on steps'!D$1:D$400,0)),D$2,)</f>
        <v>0</v>
      </c>
      <c r="E72" s="179">
        <f ca="1">IF(ISNUMBER(MATCH(DATEVALUE($A72),'recurring1_based on steps'!E$1:E$400,0)),E$2,)</f>
        <v>0</v>
      </c>
      <c r="F72" s="179">
        <f ca="1">IF(ISNUMBER(MATCH(DATEVALUE($A72),'recurring1_based on steps'!F$1:F$400,0)),F$2,)</f>
        <v>0</v>
      </c>
      <c r="G72" s="179">
        <f ca="1">IF(ISNUMBER(MATCH(DATEVALUE($A72),'recurring1_based on steps'!G$1:G$400,0)),G$2,)</f>
        <v>0</v>
      </c>
      <c r="H72" s="179">
        <f ca="1">IF(ISNUMBER(MATCH(DATEVALUE($A72),'recurring1_based on steps'!H$1:H$400,0)),H$2,)</f>
        <v>0</v>
      </c>
      <c r="I72" s="179">
        <f ca="1">IF(ISNUMBER(MATCH(DATEVALUE($A72),'recurring1_based on steps'!I$1:I$400,0)),I$2,)</f>
        <v>0</v>
      </c>
      <c r="J72" s="179">
        <f ca="1">IF(ISNUMBER(MATCH(DATEVALUE($A72),'recurring1_based on steps'!J$1:J$400,0)),J$2,)</f>
        <v>0</v>
      </c>
      <c r="K72" s="179">
        <f ca="1">IF(ISNUMBER(MATCH(DATEVALUE($A72),'recurring1_based on steps'!K$1:K$400,0)),K$2,)</f>
        <v>0</v>
      </c>
      <c r="L72" s="179">
        <f ca="1">IF(ISNUMBER(MATCH(DATEVALUE($A72),'recurring1_based on steps'!L$1:L$400,0)),L$2,)</f>
        <v>0</v>
      </c>
      <c r="M72" s="179">
        <f ca="1">IF(ISNUMBER(MATCH(DATEVALUE($A72),'recurring1_based on steps'!M$1:M$400,0)),M$2,)</f>
        <v>0</v>
      </c>
      <c r="N72" s="179">
        <f ca="1">IF(ISNUMBER(MATCH(DATEVALUE($A72),'recurring1_based on steps'!N$1:N$400,0)),N$2,)</f>
        <v>0</v>
      </c>
      <c r="O72" s="179">
        <f ca="1">IF(ISNUMBER(MATCH(DATEVALUE($A72),'recurring1_based on steps'!O$1:O$400,0)),O$2,)</f>
        <v>0</v>
      </c>
      <c r="P72" s="179">
        <f ca="1">IF(ISNUMBER(MATCH(DATEVALUE($A72),'recurring1_based on steps'!P$1:P$400,0)),P$2,)</f>
        <v>0</v>
      </c>
      <c r="Q72" s="179">
        <f ca="1">IF(ISNUMBER(MATCH(DATEVALUE($A72),'recurring1_based on steps'!Q$1:Q$400,0)),Q$2,)</f>
        <v>0</v>
      </c>
      <c r="R72" s="179">
        <f ca="1">IF(ISNUMBER(MATCH(DATEVALUE($A72),'recurring1_based on steps'!R$1:R$400,0)),R$2,)</f>
        <v>0</v>
      </c>
      <c r="S72" s="179">
        <f ca="1">IF(ISNUMBER(MATCH(DATEVALUE($A72),'recurring1_based on steps'!S$1:S$400,0)),S$2,)</f>
        <v>0</v>
      </c>
      <c r="T72" s="179">
        <f ca="1">IF(ISNUMBER(MATCH(DATEVALUE($A72),'recurring1_based on steps'!T$1:T$400,0)),T$2,)</f>
        <v>0</v>
      </c>
      <c r="U72" s="179">
        <f ca="1">IF(ISNUMBER(MATCH(DATEVALUE($A72),'recurring1_based on steps'!U$1:U$400,0)),U$2,)</f>
        <v>0</v>
      </c>
      <c r="V72" s="179">
        <f ca="1">IF(ISNUMBER(MATCH(DATEVALUE($A72),'recurring1_based on steps'!V$1:V$400,0)),V$2,)</f>
        <v>0</v>
      </c>
      <c r="W72" s="179">
        <f ca="1">IF(ISNUMBER(MATCH(DATEVALUE($A72),'recurring1_based on steps'!W$1:W$400,0)),W$2,)</f>
        <v>0</v>
      </c>
      <c r="X72" s="179">
        <f ca="1">IF(ISNUMBER(MATCH(DATEVALUE($A72),'recurring1_based on steps'!X$1:X$400,0)),X$2,)</f>
        <v>0</v>
      </c>
      <c r="Y72" s="179">
        <f ca="1">IF(ISNUMBER(MATCH(DATEVALUE($A72),'recurring1_based on steps'!Y$1:Y$400,0)),Y$2,)</f>
        <v>0</v>
      </c>
      <c r="Z72" s="179">
        <f ca="1">IF(ISNUMBER(MATCH(DATEVALUE($A72),'recurring1_based on steps'!Z$1:Z$400,0)),Z$2,)</f>
        <v>0</v>
      </c>
      <c r="AA72" s="179">
        <f ca="1">IF(ISNUMBER(MATCH(DATEVALUE($A72),'recurring1_based on steps'!AA$1:AA$400,0)),AA$2,)</f>
        <v>0</v>
      </c>
      <c r="AB72" s="179">
        <f ca="1">IF(ISNUMBER(MATCH(DATEVALUE($A72),'recurring1_based on steps'!AB$1:AB$400,0)),AB$2,)</f>
        <v>0</v>
      </c>
      <c r="AC72" s="179">
        <f ca="1">IF(ISNUMBER(MATCH(DATEVALUE($A72),'recurring1_based on steps'!AC$1:AC$400,0)),AC$2,)</f>
        <v>0</v>
      </c>
      <c r="AD72" s="179">
        <f ca="1">IF(ISNUMBER(MATCH(DATEVALUE($A72),'recurring1_based on steps'!AD$1:AD$400,0)),AD$2,)</f>
        <v>0</v>
      </c>
      <c r="AE72" s="179">
        <f ca="1">IF(ISNUMBER(MATCH(DATEVALUE($A72),'recurring1_based on steps'!AE$1:AE$400,0)),AE$2,)</f>
        <v>0</v>
      </c>
      <c r="AF72" s="179">
        <f ca="1">IF(ISNUMBER(MATCH(DATEVALUE($A72),'recurring1_based on steps'!AF$1:AF$400,0)),AF$2,)</f>
        <v>0</v>
      </c>
      <c r="AG72" s="179">
        <f ca="1">IF(ISNUMBER(MATCH(DATEVALUE($A72),'recurring1_based on steps'!AG$1:AG$400,0)),AG$2,)</f>
        <v>0</v>
      </c>
      <c r="AH72" s="179">
        <f ca="1">IF(ISNUMBER(MATCH(DATEVALUE($A72),'recurring1_based on steps'!AH$1:AH$400,0)),AH$2,)</f>
        <v>0</v>
      </c>
      <c r="AI72" s="179">
        <f ca="1">IF(ISNUMBER(MATCH(DATEVALUE($A72),'recurring1_based on steps'!AI$1:AI$400,0)),AI$2,)</f>
        <v>0</v>
      </c>
      <c r="AJ72" s="179">
        <f ca="1">IF(ISNUMBER(MATCH(DATEVALUE($A72),'recurring1_based on steps'!AJ$1:AJ$400,0)),AJ$2,)</f>
        <v>0</v>
      </c>
      <c r="AK72" s="179">
        <f ca="1">IF(ISNUMBER(MATCH(DATEVALUE($A72),'recurring1_based on steps'!AK$1:AK$400,0)),AK$2,)</f>
        <v>0</v>
      </c>
      <c r="AL72" s="179">
        <f ca="1">IF(ISNUMBER(MATCH(DATEVALUE($A72),'recurring1_based on steps'!AL$1:AL$400,0)),AL$2,)</f>
        <v>0</v>
      </c>
      <c r="AM72" s="179">
        <f ca="1">IF(ISNUMBER(MATCH(DATEVALUE($A72),'recurring1_based on steps'!AM$1:AM$400,0)),AM$2,)</f>
        <v>0</v>
      </c>
      <c r="AN72" s="179">
        <f ca="1">IF(ISNUMBER(MATCH(DATEVALUE($A72),'recurring1_based on steps'!AN$1:AN$400,0)),AN$2,)</f>
        <v>0</v>
      </c>
      <c r="AO72" s="179">
        <f ca="1">IF(ISNUMBER(MATCH(DATEVALUE($A72),'recurring1_based on steps'!AO$1:AO$400,0)),AO$2,)</f>
        <v>0</v>
      </c>
      <c r="AP72" s="179">
        <f ca="1">IF(ISNUMBER(MATCH(DATEVALUE($A72),'recurring1_based on steps'!AP$1:AP$400,0)),AP$2,)</f>
        <v>0</v>
      </c>
      <c r="AQ72" s="179">
        <f ca="1">IF(ISNUMBER(MATCH(DATEVALUE($A72),'recurring1_based on steps'!AQ$1:AQ$400,0)),AQ$2,)</f>
        <v>0</v>
      </c>
      <c r="AR72" s="179">
        <f ca="1">IF(ISNUMBER(MATCH(DATEVALUE($A72),'recurring1_based on steps'!AR$1:AR$400,0)),AR$2,)</f>
        <v>0</v>
      </c>
      <c r="AS72" s="179">
        <f ca="1">IF(ISNUMBER(MATCH(DATEVALUE($A72),'recurring1_based on steps'!AS$1:AS$400,0)),AS$2,)</f>
        <v>0</v>
      </c>
      <c r="AT72" s="179">
        <f ca="1">IF(ISNUMBER(MATCH(DATEVALUE($A72),'recurring1_based on steps'!AT$1:AT$400,0)),AT$2,)</f>
        <v>0</v>
      </c>
      <c r="AU72" s="179">
        <f ca="1">IF(ISNUMBER(MATCH(DATEVALUE($A72),'recurring1_based on steps'!AU$1:AU$400,0)),AU$2,)</f>
        <v>0</v>
      </c>
      <c r="AV72" s="179">
        <f ca="1">IF(ISNUMBER(MATCH(DATEVALUE($A72),'recurring1_based on steps'!AV$1:AV$400,0)),AV$2,)</f>
        <v>0</v>
      </c>
      <c r="AW72" s="179">
        <f ca="1">IF(ISNUMBER(MATCH(DATEVALUE($A72),'recurring1_based on steps'!AW$1:AW$400,0)),AW$2,)</f>
        <v>0</v>
      </c>
      <c r="AX72" s="179">
        <f ca="1">IF(ISNUMBER(MATCH(DATEVALUE($A72),'recurring1_based on steps'!AX$1:AX$400,0)),AX$2,)</f>
        <v>0</v>
      </c>
      <c r="AY72" s="179">
        <f ca="1">IF(ISNUMBER(MATCH(DATEVALUE($A72),'recurring1_based on steps'!AY$1:AY$400,0)),AY$2,)</f>
        <v>0</v>
      </c>
    </row>
    <row r="73" spans="1:51" x14ac:dyDescent="0.2">
      <c r="A73" s="32" t="str">
        <f t="shared" ca="1" si="1"/>
        <v>2025-06-07</v>
      </c>
      <c r="B73" s="179">
        <f ca="1">IF(ISNUMBER(MATCH(DATEVALUE($A73),'recurring1_based on steps'!B$1:B$400,0)),B$2,)</f>
        <v>0</v>
      </c>
      <c r="C73" s="179">
        <f ca="1">IF(ISNUMBER(MATCH(DATEVALUE($A73),'recurring1_based on steps'!C$1:C$400,0)),C$2,)</f>
        <v>0</v>
      </c>
      <c r="D73" s="179">
        <f ca="1">IF(ISNUMBER(MATCH(DATEVALUE($A73),'recurring1_based on steps'!D$1:D$400,0)),D$2,)</f>
        <v>0</v>
      </c>
      <c r="E73" s="179">
        <f ca="1">IF(ISNUMBER(MATCH(DATEVALUE($A73),'recurring1_based on steps'!E$1:E$400,0)),E$2,)</f>
        <v>0</v>
      </c>
      <c r="F73" s="179">
        <f ca="1">IF(ISNUMBER(MATCH(DATEVALUE($A73),'recurring1_based on steps'!F$1:F$400,0)),F$2,)</f>
        <v>0</v>
      </c>
      <c r="G73" s="179">
        <f ca="1">IF(ISNUMBER(MATCH(DATEVALUE($A73),'recurring1_based on steps'!G$1:G$400,0)),G$2,)</f>
        <v>0</v>
      </c>
      <c r="H73" s="179">
        <f ca="1">IF(ISNUMBER(MATCH(DATEVALUE($A73),'recurring1_based on steps'!H$1:H$400,0)),H$2,)</f>
        <v>0</v>
      </c>
      <c r="I73" s="179">
        <f ca="1">IF(ISNUMBER(MATCH(DATEVALUE($A73),'recurring1_based on steps'!I$1:I$400,0)),I$2,)</f>
        <v>0</v>
      </c>
      <c r="J73" s="179">
        <f ca="1">IF(ISNUMBER(MATCH(DATEVALUE($A73),'recurring1_based on steps'!J$1:J$400,0)),J$2,)</f>
        <v>0</v>
      </c>
      <c r="K73" s="179">
        <f ca="1">IF(ISNUMBER(MATCH(DATEVALUE($A73),'recurring1_based on steps'!K$1:K$400,0)),K$2,)</f>
        <v>0</v>
      </c>
      <c r="L73" s="179">
        <f ca="1">IF(ISNUMBER(MATCH(DATEVALUE($A73),'recurring1_based on steps'!L$1:L$400,0)),L$2,)</f>
        <v>0</v>
      </c>
      <c r="M73" s="179">
        <f ca="1">IF(ISNUMBER(MATCH(DATEVALUE($A73),'recurring1_based on steps'!M$1:M$400,0)),M$2,)</f>
        <v>0</v>
      </c>
      <c r="N73" s="179">
        <f ca="1">IF(ISNUMBER(MATCH(DATEVALUE($A73),'recurring1_based on steps'!N$1:N$400,0)),N$2,)</f>
        <v>0</v>
      </c>
      <c r="O73" s="179">
        <f ca="1">IF(ISNUMBER(MATCH(DATEVALUE($A73),'recurring1_based on steps'!O$1:O$400,0)),O$2,)</f>
        <v>0</v>
      </c>
      <c r="P73" s="179">
        <f ca="1">IF(ISNUMBER(MATCH(DATEVALUE($A73),'recurring1_based on steps'!P$1:P$400,0)),P$2,)</f>
        <v>0</v>
      </c>
      <c r="Q73" s="179">
        <f ca="1">IF(ISNUMBER(MATCH(DATEVALUE($A73),'recurring1_based on steps'!Q$1:Q$400,0)),Q$2,)</f>
        <v>0</v>
      </c>
      <c r="R73" s="179">
        <f ca="1">IF(ISNUMBER(MATCH(DATEVALUE($A73),'recurring1_based on steps'!R$1:R$400,0)),R$2,)</f>
        <v>0</v>
      </c>
      <c r="S73" s="179">
        <f ca="1">IF(ISNUMBER(MATCH(DATEVALUE($A73),'recurring1_based on steps'!S$1:S$400,0)),S$2,)</f>
        <v>0</v>
      </c>
      <c r="T73" s="179">
        <f ca="1">IF(ISNUMBER(MATCH(DATEVALUE($A73),'recurring1_based on steps'!T$1:T$400,0)),T$2,)</f>
        <v>0</v>
      </c>
      <c r="U73" s="179">
        <f ca="1">IF(ISNUMBER(MATCH(DATEVALUE($A73),'recurring1_based on steps'!U$1:U$400,0)),U$2,)</f>
        <v>0</v>
      </c>
      <c r="V73" s="179">
        <f ca="1">IF(ISNUMBER(MATCH(DATEVALUE($A73),'recurring1_based on steps'!V$1:V$400,0)),V$2,)</f>
        <v>0</v>
      </c>
      <c r="W73" s="179">
        <f ca="1">IF(ISNUMBER(MATCH(DATEVALUE($A73),'recurring1_based on steps'!W$1:W$400,0)),W$2,)</f>
        <v>0</v>
      </c>
      <c r="X73" s="179">
        <f ca="1">IF(ISNUMBER(MATCH(DATEVALUE($A73),'recurring1_based on steps'!X$1:X$400,0)),X$2,)</f>
        <v>0</v>
      </c>
      <c r="Y73" s="179">
        <f ca="1">IF(ISNUMBER(MATCH(DATEVALUE($A73),'recurring1_based on steps'!Y$1:Y$400,0)),Y$2,)</f>
        <v>0</v>
      </c>
      <c r="Z73" s="179">
        <f ca="1">IF(ISNUMBER(MATCH(DATEVALUE($A73),'recurring1_based on steps'!Z$1:Z$400,0)),Z$2,)</f>
        <v>0</v>
      </c>
      <c r="AA73" s="179">
        <f ca="1">IF(ISNUMBER(MATCH(DATEVALUE($A73),'recurring1_based on steps'!AA$1:AA$400,0)),AA$2,)</f>
        <v>0</v>
      </c>
      <c r="AB73" s="179">
        <f ca="1">IF(ISNUMBER(MATCH(DATEVALUE($A73),'recurring1_based on steps'!AB$1:AB$400,0)),AB$2,)</f>
        <v>0</v>
      </c>
      <c r="AC73" s="179">
        <f ca="1">IF(ISNUMBER(MATCH(DATEVALUE($A73),'recurring1_based on steps'!AC$1:AC$400,0)),AC$2,)</f>
        <v>0</v>
      </c>
      <c r="AD73" s="179">
        <f ca="1">IF(ISNUMBER(MATCH(DATEVALUE($A73),'recurring1_based on steps'!AD$1:AD$400,0)),AD$2,)</f>
        <v>0</v>
      </c>
      <c r="AE73" s="179">
        <f ca="1">IF(ISNUMBER(MATCH(DATEVALUE($A73),'recurring1_based on steps'!AE$1:AE$400,0)),AE$2,)</f>
        <v>0</v>
      </c>
      <c r="AF73" s="179">
        <f ca="1">IF(ISNUMBER(MATCH(DATEVALUE($A73),'recurring1_based on steps'!AF$1:AF$400,0)),AF$2,)</f>
        <v>0</v>
      </c>
      <c r="AG73" s="179">
        <f ca="1">IF(ISNUMBER(MATCH(DATEVALUE($A73),'recurring1_based on steps'!AG$1:AG$400,0)),AG$2,)</f>
        <v>0</v>
      </c>
      <c r="AH73" s="179">
        <f ca="1">IF(ISNUMBER(MATCH(DATEVALUE($A73),'recurring1_based on steps'!AH$1:AH$400,0)),AH$2,)</f>
        <v>0</v>
      </c>
      <c r="AI73" s="179">
        <f ca="1">IF(ISNUMBER(MATCH(DATEVALUE($A73),'recurring1_based on steps'!AI$1:AI$400,0)),AI$2,)</f>
        <v>0</v>
      </c>
      <c r="AJ73" s="179">
        <f ca="1">IF(ISNUMBER(MATCH(DATEVALUE($A73),'recurring1_based on steps'!AJ$1:AJ$400,0)),AJ$2,)</f>
        <v>0</v>
      </c>
      <c r="AK73" s="179">
        <f ca="1">IF(ISNUMBER(MATCH(DATEVALUE($A73),'recurring1_based on steps'!AK$1:AK$400,0)),AK$2,)</f>
        <v>0</v>
      </c>
      <c r="AL73" s="179">
        <f ca="1">IF(ISNUMBER(MATCH(DATEVALUE($A73),'recurring1_based on steps'!AL$1:AL$400,0)),AL$2,)</f>
        <v>0</v>
      </c>
      <c r="AM73" s="179">
        <f ca="1">IF(ISNUMBER(MATCH(DATEVALUE($A73),'recurring1_based on steps'!AM$1:AM$400,0)),AM$2,)</f>
        <v>0</v>
      </c>
      <c r="AN73" s="179">
        <f ca="1">IF(ISNUMBER(MATCH(DATEVALUE($A73),'recurring1_based on steps'!AN$1:AN$400,0)),AN$2,)</f>
        <v>0</v>
      </c>
      <c r="AO73" s="179">
        <f ca="1">IF(ISNUMBER(MATCH(DATEVALUE($A73),'recurring1_based on steps'!AO$1:AO$400,0)),AO$2,)</f>
        <v>0</v>
      </c>
      <c r="AP73" s="179">
        <f ca="1">IF(ISNUMBER(MATCH(DATEVALUE($A73),'recurring1_based on steps'!AP$1:AP$400,0)),AP$2,)</f>
        <v>0</v>
      </c>
      <c r="AQ73" s="179">
        <f ca="1">IF(ISNUMBER(MATCH(DATEVALUE($A73),'recurring1_based on steps'!AQ$1:AQ$400,0)),AQ$2,)</f>
        <v>0</v>
      </c>
      <c r="AR73" s="179">
        <f ca="1">IF(ISNUMBER(MATCH(DATEVALUE($A73),'recurring1_based on steps'!AR$1:AR$400,0)),AR$2,)</f>
        <v>0</v>
      </c>
      <c r="AS73" s="179">
        <f ca="1">IF(ISNUMBER(MATCH(DATEVALUE($A73),'recurring1_based on steps'!AS$1:AS$400,0)),AS$2,)</f>
        <v>0</v>
      </c>
      <c r="AT73" s="179">
        <f ca="1">IF(ISNUMBER(MATCH(DATEVALUE($A73),'recurring1_based on steps'!AT$1:AT$400,0)),AT$2,)</f>
        <v>0</v>
      </c>
      <c r="AU73" s="179">
        <f ca="1">IF(ISNUMBER(MATCH(DATEVALUE($A73),'recurring1_based on steps'!AU$1:AU$400,0)),AU$2,)</f>
        <v>0</v>
      </c>
      <c r="AV73" s="179">
        <f ca="1">IF(ISNUMBER(MATCH(DATEVALUE($A73),'recurring1_based on steps'!AV$1:AV$400,0)),AV$2,)</f>
        <v>0</v>
      </c>
      <c r="AW73" s="179">
        <f ca="1">IF(ISNUMBER(MATCH(DATEVALUE($A73),'recurring1_based on steps'!AW$1:AW$400,0)),AW$2,)</f>
        <v>0</v>
      </c>
      <c r="AX73" s="179">
        <f ca="1">IF(ISNUMBER(MATCH(DATEVALUE($A73),'recurring1_based on steps'!AX$1:AX$400,0)),AX$2,)</f>
        <v>0</v>
      </c>
      <c r="AY73" s="179">
        <f ca="1">IF(ISNUMBER(MATCH(DATEVALUE($A73),'recurring1_based on steps'!AY$1:AY$400,0)),AY$2,)</f>
        <v>0</v>
      </c>
    </row>
    <row r="74" spans="1:51" x14ac:dyDescent="0.2">
      <c r="A74" s="32" t="str">
        <f t="shared" ca="1" si="1"/>
        <v>2025-06-08</v>
      </c>
      <c r="B74" s="179">
        <f ca="1">IF(ISNUMBER(MATCH(DATEVALUE($A74),'recurring1_based on steps'!B$1:B$400,0)),B$2,)</f>
        <v>0</v>
      </c>
      <c r="C74" s="179">
        <f ca="1">IF(ISNUMBER(MATCH(DATEVALUE($A74),'recurring1_based on steps'!C$1:C$400,0)),C$2,)</f>
        <v>0</v>
      </c>
      <c r="D74" s="179">
        <f ca="1">IF(ISNUMBER(MATCH(DATEVALUE($A74),'recurring1_based on steps'!D$1:D$400,0)),D$2,)</f>
        <v>0</v>
      </c>
      <c r="E74" s="179">
        <f ca="1">IF(ISNUMBER(MATCH(DATEVALUE($A74),'recurring1_based on steps'!E$1:E$400,0)),E$2,)</f>
        <v>0</v>
      </c>
      <c r="F74" s="179">
        <f ca="1">IF(ISNUMBER(MATCH(DATEVALUE($A74),'recurring1_based on steps'!F$1:F$400,0)),F$2,)</f>
        <v>0</v>
      </c>
      <c r="G74" s="179">
        <f ca="1">IF(ISNUMBER(MATCH(DATEVALUE($A74),'recurring1_based on steps'!G$1:G$400,0)),G$2,)</f>
        <v>0</v>
      </c>
      <c r="H74" s="179">
        <f ca="1">IF(ISNUMBER(MATCH(DATEVALUE($A74),'recurring1_based on steps'!H$1:H$400,0)),H$2,)</f>
        <v>0</v>
      </c>
      <c r="I74" s="179">
        <f ca="1">IF(ISNUMBER(MATCH(DATEVALUE($A74),'recurring1_based on steps'!I$1:I$400,0)),I$2,)</f>
        <v>0</v>
      </c>
      <c r="J74" s="179">
        <f ca="1">IF(ISNUMBER(MATCH(DATEVALUE($A74),'recurring1_based on steps'!J$1:J$400,0)),J$2,)</f>
        <v>0</v>
      </c>
      <c r="K74" s="179">
        <f ca="1">IF(ISNUMBER(MATCH(DATEVALUE($A74),'recurring1_based on steps'!K$1:K$400,0)),K$2,)</f>
        <v>0</v>
      </c>
      <c r="L74" s="179">
        <f ca="1">IF(ISNUMBER(MATCH(DATEVALUE($A74),'recurring1_based on steps'!L$1:L$400,0)),L$2,)</f>
        <v>0</v>
      </c>
      <c r="M74" s="179">
        <f ca="1">IF(ISNUMBER(MATCH(DATEVALUE($A74),'recurring1_based on steps'!M$1:M$400,0)),M$2,)</f>
        <v>0</v>
      </c>
      <c r="N74" s="179">
        <f ca="1">IF(ISNUMBER(MATCH(DATEVALUE($A74),'recurring1_based on steps'!N$1:N$400,0)),N$2,)</f>
        <v>0</v>
      </c>
      <c r="O74" s="179">
        <f ca="1">IF(ISNUMBER(MATCH(DATEVALUE($A74),'recurring1_based on steps'!O$1:O$400,0)),O$2,)</f>
        <v>0</v>
      </c>
      <c r="P74" s="179">
        <f ca="1">IF(ISNUMBER(MATCH(DATEVALUE($A74),'recurring1_based on steps'!P$1:P$400,0)),P$2,)</f>
        <v>0</v>
      </c>
      <c r="Q74" s="179">
        <f ca="1">IF(ISNUMBER(MATCH(DATEVALUE($A74),'recurring1_based on steps'!Q$1:Q$400,0)),Q$2,)</f>
        <v>0</v>
      </c>
      <c r="R74" s="179">
        <f ca="1">IF(ISNUMBER(MATCH(DATEVALUE($A74),'recurring1_based on steps'!R$1:R$400,0)),R$2,)</f>
        <v>0</v>
      </c>
      <c r="S74" s="179">
        <f ca="1">IF(ISNUMBER(MATCH(DATEVALUE($A74),'recurring1_based on steps'!S$1:S$400,0)),S$2,)</f>
        <v>0</v>
      </c>
      <c r="T74" s="179">
        <f ca="1">IF(ISNUMBER(MATCH(DATEVALUE($A74),'recurring1_based on steps'!T$1:T$400,0)),T$2,)</f>
        <v>0</v>
      </c>
      <c r="U74" s="179">
        <f ca="1">IF(ISNUMBER(MATCH(DATEVALUE($A74),'recurring1_based on steps'!U$1:U$400,0)),U$2,)</f>
        <v>0</v>
      </c>
      <c r="V74" s="179">
        <f ca="1">IF(ISNUMBER(MATCH(DATEVALUE($A74),'recurring1_based on steps'!V$1:V$400,0)),V$2,)</f>
        <v>0</v>
      </c>
      <c r="W74" s="179">
        <f ca="1">IF(ISNUMBER(MATCH(DATEVALUE($A74),'recurring1_based on steps'!W$1:W$400,0)),W$2,)</f>
        <v>0</v>
      </c>
      <c r="X74" s="179">
        <f ca="1">IF(ISNUMBER(MATCH(DATEVALUE($A74),'recurring1_based on steps'!X$1:X$400,0)),X$2,)</f>
        <v>0</v>
      </c>
      <c r="Y74" s="179">
        <f ca="1">IF(ISNUMBER(MATCH(DATEVALUE($A74),'recurring1_based on steps'!Y$1:Y$400,0)),Y$2,)</f>
        <v>0</v>
      </c>
      <c r="Z74" s="179">
        <f ca="1">IF(ISNUMBER(MATCH(DATEVALUE($A74),'recurring1_based on steps'!Z$1:Z$400,0)),Z$2,)</f>
        <v>0</v>
      </c>
      <c r="AA74" s="179">
        <f ca="1">IF(ISNUMBER(MATCH(DATEVALUE($A74),'recurring1_based on steps'!AA$1:AA$400,0)),AA$2,)</f>
        <v>0</v>
      </c>
      <c r="AB74" s="179">
        <f ca="1">IF(ISNUMBER(MATCH(DATEVALUE($A74),'recurring1_based on steps'!AB$1:AB$400,0)),AB$2,)</f>
        <v>0</v>
      </c>
      <c r="AC74" s="179">
        <f ca="1">IF(ISNUMBER(MATCH(DATEVALUE($A74),'recurring1_based on steps'!AC$1:AC$400,0)),AC$2,)</f>
        <v>0</v>
      </c>
      <c r="AD74" s="179">
        <f ca="1">IF(ISNUMBER(MATCH(DATEVALUE($A74),'recurring1_based on steps'!AD$1:AD$400,0)),AD$2,)</f>
        <v>0</v>
      </c>
      <c r="AE74" s="179">
        <f ca="1">IF(ISNUMBER(MATCH(DATEVALUE($A74),'recurring1_based on steps'!AE$1:AE$400,0)),AE$2,)</f>
        <v>0</v>
      </c>
      <c r="AF74" s="179">
        <f ca="1">IF(ISNUMBER(MATCH(DATEVALUE($A74),'recurring1_based on steps'!AF$1:AF$400,0)),AF$2,)</f>
        <v>0</v>
      </c>
      <c r="AG74" s="179">
        <f ca="1">IF(ISNUMBER(MATCH(DATEVALUE($A74),'recurring1_based on steps'!AG$1:AG$400,0)),AG$2,)</f>
        <v>0</v>
      </c>
      <c r="AH74" s="179">
        <f ca="1">IF(ISNUMBER(MATCH(DATEVALUE($A74),'recurring1_based on steps'!AH$1:AH$400,0)),AH$2,)</f>
        <v>0</v>
      </c>
      <c r="AI74" s="179">
        <f ca="1">IF(ISNUMBER(MATCH(DATEVALUE($A74),'recurring1_based on steps'!AI$1:AI$400,0)),AI$2,)</f>
        <v>0</v>
      </c>
      <c r="AJ74" s="179">
        <f ca="1">IF(ISNUMBER(MATCH(DATEVALUE($A74),'recurring1_based on steps'!AJ$1:AJ$400,0)),AJ$2,)</f>
        <v>0</v>
      </c>
      <c r="AK74" s="179">
        <f ca="1">IF(ISNUMBER(MATCH(DATEVALUE($A74),'recurring1_based on steps'!AK$1:AK$400,0)),AK$2,)</f>
        <v>0</v>
      </c>
      <c r="AL74" s="179">
        <f ca="1">IF(ISNUMBER(MATCH(DATEVALUE($A74),'recurring1_based on steps'!AL$1:AL$400,0)),AL$2,)</f>
        <v>0</v>
      </c>
      <c r="AM74" s="179">
        <f ca="1">IF(ISNUMBER(MATCH(DATEVALUE($A74),'recurring1_based on steps'!AM$1:AM$400,0)),AM$2,)</f>
        <v>0</v>
      </c>
      <c r="AN74" s="179">
        <f ca="1">IF(ISNUMBER(MATCH(DATEVALUE($A74),'recurring1_based on steps'!AN$1:AN$400,0)),AN$2,)</f>
        <v>0</v>
      </c>
      <c r="AO74" s="179">
        <f ca="1">IF(ISNUMBER(MATCH(DATEVALUE($A74),'recurring1_based on steps'!AO$1:AO$400,0)),AO$2,)</f>
        <v>0</v>
      </c>
      <c r="AP74" s="179">
        <f ca="1">IF(ISNUMBER(MATCH(DATEVALUE($A74),'recurring1_based on steps'!AP$1:AP$400,0)),AP$2,)</f>
        <v>0</v>
      </c>
      <c r="AQ74" s="179">
        <f ca="1">IF(ISNUMBER(MATCH(DATEVALUE($A74),'recurring1_based on steps'!AQ$1:AQ$400,0)),AQ$2,)</f>
        <v>0</v>
      </c>
      <c r="AR74" s="179">
        <f ca="1">IF(ISNUMBER(MATCH(DATEVALUE($A74),'recurring1_based on steps'!AR$1:AR$400,0)),AR$2,)</f>
        <v>0</v>
      </c>
      <c r="AS74" s="179">
        <f ca="1">IF(ISNUMBER(MATCH(DATEVALUE($A74),'recurring1_based on steps'!AS$1:AS$400,0)),AS$2,)</f>
        <v>0</v>
      </c>
      <c r="AT74" s="179">
        <f ca="1">IF(ISNUMBER(MATCH(DATEVALUE($A74),'recurring1_based on steps'!AT$1:AT$400,0)),AT$2,)</f>
        <v>0</v>
      </c>
      <c r="AU74" s="179">
        <f ca="1">IF(ISNUMBER(MATCH(DATEVALUE($A74),'recurring1_based on steps'!AU$1:AU$400,0)),AU$2,)</f>
        <v>0</v>
      </c>
      <c r="AV74" s="179">
        <f ca="1">IF(ISNUMBER(MATCH(DATEVALUE($A74),'recurring1_based on steps'!AV$1:AV$400,0)),AV$2,)</f>
        <v>0</v>
      </c>
      <c r="AW74" s="179">
        <f ca="1">IF(ISNUMBER(MATCH(DATEVALUE($A74),'recurring1_based on steps'!AW$1:AW$400,0)),AW$2,)</f>
        <v>0</v>
      </c>
      <c r="AX74" s="179">
        <f ca="1">IF(ISNUMBER(MATCH(DATEVALUE($A74),'recurring1_based on steps'!AX$1:AX$400,0)),AX$2,)</f>
        <v>0</v>
      </c>
      <c r="AY74" s="179">
        <f ca="1">IF(ISNUMBER(MATCH(DATEVALUE($A74),'recurring1_based on steps'!AY$1:AY$400,0)),AY$2,)</f>
        <v>0</v>
      </c>
    </row>
    <row r="75" spans="1:51" x14ac:dyDescent="0.2">
      <c r="A75" s="32" t="str">
        <f t="shared" ca="1" si="1"/>
        <v>2025-06-09</v>
      </c>
      <c r="B75" s="179">
        <f ca="1">IF(ISNUMBER(MATCH(DATEVALUE($A75),'recurring1_based on steps'!B$1:B$400,0)),B$2,)</f>
        <v>0</v>
      </c>
      <c r="C75" s="179">
        <f ca="1">IF(ISNUMBER(MATCH(DATEVALUE($A75),'recurring1_based on steps'!C$1:C$400,0)),C$2,)</f>
        <v>0</v>
      </c>
      <c r="D75" s="179">
        <f ca="1">IF(ISNUMBER(MATCH(DATEVALUE($A75),'recurring1_based on steps'!D$1:D$400,0)),D$2,)</f>
        <v>0</v>
      </c>
      <c r="E75" s="179">
        <f ca="1">IF(ISNUMBER(MATCH(DATEVALUE($A75),'recurring1_based on steps'!E$1:E$400,0)),E$2,)</f>
        <v>0</v>
      </c>
      <c r="F75" s="179">
        <f ca="1">IF(ISNUMBER(MATCH(DATEVALUE($A75),'recurring1_based on steps'!F$1:F$400,0)),F$2,)</f>
        <v>0</v>
      </c>
      <c r="G75" s="179">
        <f ca="1">IF(ISNUMBER(MATCH(DATEVALUE($A75),'recurring1_based on steps'!G$1:G$400,0)),G$2,)</f>
        <v>0</v>
      </c>
      <c r="H75" s="179">
        <f ca="1">IF(ISNUMBER(MATCH(DATEVALUE($A75),'recurring1_based on steps'!H$1:H$400,0)),H$2,)</f>
        <v>0</v>
      </c>
      <c r="I75" s="179">
        <f ca="1">IF(ISNUMBER(MATCH(DATEVALUE($A75),'recurring1_based on steps'!I$1:I$400,0)),I$2,)</f>
        <v>0</v>
      </c>
      <c r="J75" s="179">
        <f ca="1">IF(ISNUMBER(MATCH(DATEVALUE($A75),'recurring1_based on steps'!J$1:J$400,0)),J$2,)</f>
        <v>0</v>
      </c>
      <c r="K75" s="179">
        <f ca="1">IF(ISNUMBER(MATCH(DATEVALUE($A75),'recurring1_based on steps'!K$1:K$400,0)),K$2,)</f>
        <v>0</v>
      </c>
      <c r="L75" s="179">
        <f ca="1">IF(ISNUMBER(MATCH(DATEVALUE($A75),'recurring1_based on steps'!L$1:L$400,0)),L$2,)</f>
        <v>0</v>
      </c>
      <c r="M75" s="179">
        <f ca="1">IF(ISNUMBER(MATCH(DATEVALUE($A75),'recurring1_based on steps'!M$1:M$400,0)),M$2,)</f>
        <v>0</v>
      </c>
      <c r="N75" s="179">
        <f ca="1">IF(ISNUMBER(MATCH(DATEVALUE($A75),'recurring1_based on steps'!N$1:N$400,0)),N$2,)</f>
        <v>0</v>
      </c>
      <c r="O75" s="179">
        <f ca="1">IF(ISNUMBER(MATCH(DATEVALUE($A75),'recurring1_based on steps'!O$1:O$400,0)),O$2,)</f>
        <v>0</v>
      </c>
      <c r="P75" s="179">
        <f ca="1">IF(ISNUMBER(MATCH(DATEVALUE($A75),'recurring1_based on steps'!P$1:P$400,0)),P$2,)</f>
        <v>0</v>
      </c>
      <c r="Q75" s="179">
        <f ca="1">IF(ISNUMBER(MATCH(DATEVALUE($A75),'recurring1_based on steps'!Q$1:Q$400,0)),Q$2,)</f>
        <v>0</v>
      </c>
      <c r="R75" s="179">
        <f ca="1">IF(ISNUMBER(MATCH(DATEVALUE($A75),'recurring1_based on steps'!R$1:R$400,0)),R$2,)</f>
        <v>0</v>
      </c>
      <c r="S75" s="179">
        <f ca="1">IF(ISNUMBER(MATCH(DATEVALUE($A75),'recurring1_based on steps'!S$1:S$400,0)),S$2,)</f>
        <v>0</v>
      </c>
      <c r="T75" s="179">
        <f ca="1">IF(ISNUMBER(MATCH(DATEVALUE($A75),'recurring1_based on steps'!T$1:T$400,0)),T$2,)</f>
        <v>0</v>
      </c>
      <c r="U75" s="179">
        <f ca="1">IF(ISNUMBER(MATCH(DATEVALUE($A75),'recurring1_based on steps'!U$1:U$400,0)),U$2,)</f>
        <v>0</v>
      </c>
      <c r="V75" s="179">
        <f ca="1">IF(ISNUMBER(MATCH(DATEVALUE($A75),'recurring1_based on steps'!V$1:V$400,0)),V$2,)</f>
        <v>0</v>
      </c>
      <c r="W75" s="179">
        <f ca="1">IF(ISNUMBER(MATCH(DATEVALUE($A75),'recurring1_based on steps'!W$1:W$400,0)),W$2,)</f>
        <v>0</v>
      </c>
      <c r="X75" s="179">
        <f ca="1">IF(ISNUMBER(MATCH(DATEVALUE($A75),'recurring1_based on steps'!X$1:X$400,0)),X$2,)</f>
        <v>0</v>
      </c>
      <c r="Y75" s="179">
        <f ca="1">IF(ISNUMBER(MATCH(DATEVALUE($A75),'recurring1_based on steps'!Y$1:Y$400,0)),Y$2,)</f>
        <v>0</v>
      </c>
      <c r="Z75" s="179">
        <f ca="1">IF(ISNUMBER(MATCH(DATEVALUE($A75),'recurring1_based on steps'!Z$1:Z$400,0)),Z$2,)</f>
        <v>0</v>
      </c>
      <c r="AA75" s="179">
        <f ca="1">IF(ISNUMBER(MATCH(DATEVALUE($A75),'recurring1_based on steps'!AA$1:AA$400,0)),AA$2,)</f>
        <v>0</v>
      </c>
      <c r="AB75" s="179">
        <f ca="1">IF(ISNUMBER(MATCH(DATEVALUE($A75),'recurring1_based on steps'!AB$1:AB$400,0)),AB$2,)</f>
        <v>0</v>
      </c>
      <c r="AC75" s="179">
        <f ca="1">IF(ISNUMBER(MATCH(DATEVALUE($A75),'recurring1_based on steps'!AC$1:AC$400,0)),AC$2,)</f>
        <v>0</v>
      </c>
      <c r="AD75" s="179">
        <f ca="1">IF(ISNUMBER(MATCH(DATEVALUE($A75),'recurring1_based on steps'!AD$1:AD$400,0)),AD$2,)</f>
        <v>0</v>
      </c>
      <c r="AE75" s="179">
        <f ca="1">IF(ISNUMBER(MATCH(DATEVALUE($A75),'recurring1_based on steps'!AE$1:AE$400,0)),AE$2,)</f>
        <v>0</v>
      </c>
      <c r="AF75" s="179">
        <f ca="1">IF(ISNUMBER(MATCH(DATEVALUE($A75),'recurring1_based on steps'!AF$1:AF$400,0)),AF$2,)</f>
        <v>0</v>
      </c>
      <c r="AG75" s="179">
        <f ca="1">IF(ISNUMBER(MATCH(DATEVALUE($A75),'recurring1_based on steps'!AG$1:AG$400,0)),AG$2,)</f>
        <v>0</v>
      </c>
      <c r="AH75" s="179">
        <f ca="1">IF(ISNUMBER(MATCH(DATEVALUE($A75),'recurring1_based on steps'!AH$1:AH$400,0)),AH$2,)</f>
        <v>0</v>
      </c>
      <c r="AI75" s="179">
        <f ca="1">IF(ISNUMBER(MATCH(DATEVALUE($A75),'recurring1_based on steps'!AI$1:AI$400,0)),AI$2,)</f>
        <v>0</v>
      </c>
      <c r="AJ75" s="179">
        <f ca="1">IF(ISNUMBER(MATCH(DATEVALUE($A75),'recurring1_based on steps'!AJ$1:AJ$400,0)),AJ$2,)</f>
        <v>0</v>
      </c>
      <c r="AK75" s="179">
        <f ca="1">IF(ISNUMBER(MATCH(DATEVALUE($A75),'recurring1_based on steps'!AK$1:AK$400,0)),AK$2,)</f>
        <v>0</v>
      </c>
      <c r="AL75" s="179">
        <f ca="1">IF(ISNUMBER(MATCH(DATEVALUE($A75),'recurring1_based on steps'!AL$1:AL$400,0)),AL$2,)</f>
        <v>0</v>
      </c>
      <c r="AM75" s="179">
        <f ca="1">IF(ISNUMBER(MATCH(DATEVALUE($A75),'recurring1_based on steps'!AM$1:AM$400,0)),AM$2,)</f>
        <v>0</v>
      </c>
      <c r="AN75" s="179">
        <f ca="1">IF(ISNUMBER(MATCH(DATEVALUE($A75),'recurring1_based on steps'!AN$1:AN$400,0)),AN$2,)</f>
        <v>0</v>
      </c>
      <c r="AO75" s="179">
        <f ca="1">IF(ISNUMBER(MATCH(DATEVALUE($A75),'recurring1_based on steps'!AO$1:AO$400,0)),AO$2,)</f>
        <v>0</v>
      </c>
      <c r="AP75" s="179">
        <f ca="1">IF(ISNUMBER(MATCH(DATEVALUE($A75),'recurring1_based on steps'!AP$1:AP$400,0)),AP$2,)</f>
        <v>0</v>
      </c>
      <c r="AQ75" s="179">
        <f ca="1">IF(ISNUMBER(MATCH(DATEVALUE($A75),'recurring1_based on steps'!AQ$1:AQ$400,0)),AQ$2,)</f>
        <v>0</v>
      </c>
      <c r="AR75" s="179">
        <f ca="1">IF(ISNUMBER(MATCH(DATEVALUE($A75),'recurring1_based on steps'!AR$1:AR$400,0)),AR$2,)</f>
        <v>0</v>
      </c>
      <c r="AS75" s="179">
        <f ca="1">IF(ISNUMBER(MATCH(DATEVALUE($A75),'recurring1_based on steps'!AS$1:AS$400,0)),AS$2,)</f>
        <v>0</v>
      </c>
      <c r="AT75" s="179">
        <f ca="1">IF(ISNUMBER(MATCH(DATEVALUE($A75),'recurring1_based on steps'!AT$1:AT$400,0)),AT$2,)</f>
        <v>0</v>
      </c>
      <c r="AU75" s="179">
        <f ca="1">IF(ISNUMBER(MATCH(DATEVALUE($A75),'recurring1_based on steps'!AU$1:AU$400,0)),AU$2,)</f>
        <v>0</v>
      </c>
      <c r="AV75" s="179">
        <f ca="1">IF(ISNUMBER(MATCH(DATEVALUE($A75),'recurring1_based on steps'!AV$1:AV$400,0)),AV$2,)</f>
        <v>0</v>
      </c>
      <c r="AW75" s="179">
        <f ca="1">IF(ISNUMBER(MATCH(DATEVALUE($A75),'recurring1_based on steps'!AW$1:AW$400,0)),AW$2,)</f>
        <v>0</v>
      </c>
      <c r="AX75" s="179">
        <f ca="1">IF(ISNUMBER(MATCH(DATEVALUE($A75),'recurring1_based on steps'!AX$1:AX$400,0)),AX$2,)</f>
        <v>0</v>
      </c>
      <c r="AY75" s="179">
        <f ca="1">IF(ISNUMBER(MATCH(DATEVALUE($A75),'recurring1_based on steps'!AY$1:AY$400,0)),AY$2,)</f>
        <v>0</v>
      </c>
    </row>
    <row r="76" spans="1:51" x14ac:dyDescent="0.2">
      <c r="A76" s="32" t="str">
        <f t="shared" ca="1" si="1"/>
        <v>2025-06-10</v>
      </c>
      <c r="B76" s="179">
        <f ca="1">IF(ISNUMBER(MATCH(DATEVALUE($A76),'recurring1_based on steps'!B$1:B$400,0)),B$2,)</f>
        <v>0</v>
      </c>
      <c r="C76" s="179">
        <f ca="1">IF(ISNUMBER(MATCH(DATEVALUE($A76),'recurring1_based on steps'!C$1:C$400,0)),C$2,)</f>
        <v>0</v>
      </c>
      <c r="D76" s="179">
        <f ca="1">IF(ISNUMBER(MATCH(DATEVALUE($A76),'recurring1_based on steps'!D$1:D$400,0)),D$2,)</f>
        <v>0</v>
      </c>
      <c r="E76" s="179">
        <f ca="1">IF(ISNUMBER(MATCH(DATEVALUE($A76),'recurring1_based on steps'!E$1:E$400,0)),E$2,)</f>
        <v>0</v>
      </c>
      <c r="F76" s="179">
        <f ca="1">IF(ISNUMBER(MATCH(DATEVALUE($A76),'recurring1_based on steps'!F$1:F$400,0)),F$2,)</f>
        <v>0</v>
      </c>
      <c r="G76" s="179">
        <f ca="1">IF(ISNUMBER(MATCH(DATEVALUE($A76),'recurring1_based on steps'!G$1:G$400,0)),G$2,)</f>
        <v>0</v>
      </c>
      <c r="H76" s="179">
        <f ca="1">IF(ISNUMBER(MATCH(DATEVALUE($A76),'recurring1_based on steps'!H$1:H$400,0)),H$2,)</f>
        <v>0</v>
      </c>
      <c r="I76" s="179">
        <f ca="1">IF(ISNUMBER(MATCH(DATEVALUE($A76),'recurring1_based on steps'!I$1:I$400,0)),I$2,)</f>
        <v>0</v>
      </c>
      <c r="J76" s="179">
        <f ca="1">IF(ISNUMBER(MATCH(DATEVALUE($A76),'recurring1_based on steps'!J$1:J$400,0)),J$2,)</f>
        <v>0</v>
      </c>
      <c r="K76" s="179">
        <f ca="1">IF(ISNUMBER(MATCH(DATEVALUE($A76),'recurring1_based on steps'!K$1:K$400,0)),K$2,)</f>
        <v>0</v>
      </c>
      <c r="L76" s="179">
        <f ca="1">IF(ISNUMBER(MATCH(DATEVALUE($A76),'recurring1_based on steps'!L$1:L$400,0)),L$2,)</f>
        <v>0</v>
      </c>
      <c r="M76" s="179">
        <f ca="1">IF(ISNUMBER(MATCH(DATEVALUE($A76),'recurring1_based on steps'!M$1:M$400,0)),M$2,)</f>
        <v>0</v>
      </c>
      <c r="N76" s="179">
        <f ca="1">IF(ISNUMBER(MATCH(DATEVALUE($A76),'recurring1_based on steps'!N$1:N$400,0)),N$2,)</f>
        <v>0</v>
      </c>
      <c r="O76" s="179">
        <f ca="1">IF(ISNUMBER(MATCH(DATEVALUE($A76),'recurring1_based on steps'!O$1:O$400,0)),O$2,)</f>
        <v>0</v>
      </c>
      <c r="P76" s="179">
        <f ca="1">IF(ISNUMBER(MATCH(DATEVALUE($A76),'recurring1_based on steps'!P$1:P$400,0)),P$2,)</f>
        <v>0</v>
      </c>
      <c r="Q76" s="179">
        <f ca="1">IF(ISNUMBER(MATCH(DATEVALUE($A76),'recurring1_based on steps'!Q$1:Q$400,0)),Q$2,)</f>
        <v>0</v>
      </c>
      <c r="R76" s="179">
        <f ca="1">IF(ISNUMBER(MATCH(DATEVALUE($A76),'recurring1_based on steps'!R$1:R$400,0)),R$2,)</f>
        <v>0</v>
      </c>
      <c r="S76" s="179">
        <f ca="1">IF(ISNUMBER(MATCH(DATEVALUE($A76),'recurring1_based on steps'!S$1:S$400,0)),S$2,)</f>
        <v>0</v>
      </c>
      <c r="T76" s="179">
        <f ca="1">IF(ISNUMBER(MATCH(DATEVALUE($A76),'recurring1_based on steps'!T$1:T$400,0)),T$2,)</f>
        <v>0</v>
      </c>
      <c r="U76" s="179">
        <f ca="1">IF(ISNUMBER(MATCH(DATEVALUE($A76),'recurring1_based on steps'!U$1:U$400,0)),U$2,)</f>
        <v>0</v>
      </c>
      <c r="V76" s="179">
        <f ca="1">IF(ISNUMBER(MATCH(DATEVALUE($A76),'recurring1_based on steps'!V$1:V$400,0)),V$2,)</f>
        <v>0</v>
      </c>
      <c r="W76" s="179">
        <f ca="1">IF(ISNUMBER(MATCH(DATEVALUE($A76),'recurring1_based on steps'!W$1:W$400,0)),W$2,)</f>
        <v>0</v>
      </c>
      <c r="X76" s="179">
        <f ca="1">IF(ISNUMBER(MATCH(DATEVALUE($A76),'recurring1_based on steps'!X$1:X$400,0)),X$2,)</f>
        <v>0</v>
      </c>
      <c r="Y76" s="179">
        <f ca="1">IF(ISNUMBER(MATCH(DATEVALUE($A76),'recurring1_based on steps'!Y$1:Y$400,0)),Y$2,)</f>
        <v>0</v>
      </c>
      <c r="Z76" s="179">
        <f ca="1">IF(ISNUMBER(MATCH(DATEVALUE($A76),'recurring1_based on steps'!Z$1:Z$400,0)),Z$2,)</f>
        <v>0</v>
      </c>
      <c r="AA76" s="179">
        <f ca="1">IF(ISNUMBER(MATCH(DATEVALUE($A76),'recurring1_based on steps'!AA$1:AA$400,0)),AA$2,)</f>
        <v>0</v>
      </c>
      <c r="AB76" s="179">
        <f ca="1">IF(ISNUMBER(MATCH(DATEVALUE($A76),'recurring1_based on steps'!AB$1:AB$400,0)),AB$2,)</f>
        <v>0</v>
      </c>
      <c r="AC76" s="179">
        <f ca="1">IF(ISNUMBER(MATCH(DATEVALUE($A76),'recurring1_based on steps'!AC$1:AC$400,0)),AC$2,)</f>
        <v>0</v>
      </c>
      <c r="AD76" s="179">
        <f ca="1">IF(ISNUMBER(MATCH(DATEVALUE($A76),'recurring1_based on steps'!AD$1:AD$400,0)),AD$2,)</f>
        <v>0</v>
      </c>
      <c r="AE76" s="179">
        <f ca="1">IF(ISNUMBER(MATCH(DATEVALUE($A76),'recurring1_based on steps'!AE$1:AE$400,0)),AE$2,)</f>
        <v>0</v>
      </c>
      <c r="AF76" s="179">
        <f ca="1">IF(ISNUMBER(MATCH(DATEVALUE($A76),'recurring1_based on steps'!AF$1:AF$400,0)),AF$2,)</f>
        <v>0</v>
      </c>
      <c r="AG76" s="179">
        <f ca="1">IF(ISNUMBER(MATCH(DATEVALUE($A76),'recurring1_based on steps'!AG$1:AG$400,0)),AG$2,)</f>
        <v>0</v>
      </c>
      <c r="AH76" s="179">
        <f ca="1">IF(ISNUMBER(MATCH(DATEVALUE($A76),'recurring1_based on steps'!AH$1:AH$400,0)),AH$2,)</f>
        <v>0</v>
      </c>
      <c r="AI76" s="179">
        <f ca="1">IF(ISNUMBER(MATCH(DATEVALUE($A76),'recurring1_based on steps'!AI$1:AI$400,0)),AI$2,)</f>
        <v>0</v>
      </c>
      <c r="AJ76" s="179">
        <f ca="1">IF(ISNUMBER(MATCH(DATEVALUE($A76),'recurring1_based on steps'!AJ$1:AJ$400,0)),AJ$2,)</f>
        <v>0</v>
      </c>
      <c r="AK76" s="179">
        <f ca="1">IF(ISNUMBER(MATCH(DATEVALUE($A76),'recurring1_based on steps'!AK$1:AK$400,0)),AK$2,)</f>
        <v>0</v>
      </c>
      <c r="AL76" s="179">
        <f ca="1">IF(ISNUMBER(MATCH(DATEVALUE($A76),'recurring1_based on steps'!AL$1:AL$400,0)),AL$2,)</f>
        <v>0</v>
      </c>
      <c r="AM76" s="179">
        <f ca="1">IF(ISNUMBER(MATCH(DATEVALUE($A76),'recurring1_based on steps'!AM$1:AM$400,0)),AM$2,)</f>
        <v>0</v>
      </c>
      <c r="AN76" s="179">
        <f ca="1">IF(ISNUMBER(MATCH(DATEVALUE($A76),'recurring1_based on steps'!AN$1:AN$400,0)),AN$2,)</f>
        <v>0</v>
      </c>
      <c r="AO76" s="179">
        <f ca="1">IF(ISNUMBER(MATCH(DATEVALUE($A76),'recurring1_based on steps'!AO$1:AO$400,0)),AO$2,)</f>
        <v>0</v>
      </c>
      <c r="AP76" s="179">
        <f ca="1">IF(ISNUMBER(MATCH(DATEVALUE($A76),'recurring1_based on steps'!AP$1:AP$400,0)),AP$2,)</f>
        <v>0</v>
      </c>
      <c r="AQ76" s="179">
        <f ca="1">IF(ISNUMBER(MATCH(DATEVALUE($A76),'recurring1_based on steps'!AQ$1:AQ$400,0)),AQ$2,)</f>
        <v>0</v>
      </c>
      <c r="AR76" s="179">
        <f ca="1">IF(ISNUMBER(MATCH(DATEVALUE($A76),'recurring1_based on steps'!AR$1:AR$400,0)),AR$2,)</f>
        <v>0</v>
      </c>
      <c r="AS76" s="179">
        <f ca="1">IF(ISNUMBER(MATCH(DATEVALUE($A76),'recurring1_based on steps'!AS$1:AS$400,0)),AS$2,)</f>
        <v>0</v>
      </c>
      <c r="AT76" s="179">
        <f ca="1">IF(ISNUMBER(MATCH(DATEVALUE($A76),'recurring1_based on steps'!AT$1:AT$400,0)),AT$2,)</f>
        <v>0</v>
      </c>
      <c r="AU76" s="179">
        <f ca="1">IF(ISNUMBER(MATCH(DATEVALUE($A76),'recurring1_based on steps'!AU$1:AU$400,0)),AU$2,)</f>
        <v>0</v>
      </c>
      <c r="AV76" s="179">
        <f ca="1">IF(ISNUMBER(MATCH(DATEVALUE($A76),'recurring1_based on steps'!AV$1:AV$400,0)),AV$2,)</f>
        <v>0</v>
      </c>
      <c r="AW76" s="179">
        <f ca="1">IF(ISNUMBER(MATCH(DATEVALUE($A76),'recurring1_based on steps'!AW$1:AW$400,0)),AW$2,)</f>
        <v>0</v>
      </c>
      <c r="AX76" s="179">
        <f ca="1">IF(ISNUMBER(MATCH(DATEVALUE($A76),'recurring1_based on steps'!AX$1:AX$400,0)),AX$2,)</f>
        <v>0</v>
      </c>
      <c r="AY76" s="179">
        <f ca="1">IF(ISNUMBER(MATCH(DATEVALUE($A76),'recurring1_based on steps'!AY$1:AY$400,0)),AY$2,)</f>
        <v>0</v>
      </c>
    </row>
    <row r="77" spans="1:51" x14ac:dyDescent="0.2">
      <c r="A77" s="32" t="str">
        <f t="shared" ca="1" si="1"/>
        <v>2025-06-11</v>
      </c>
      <c r="B77" s="179">
        <f ca="1">IF(ISNUMBER(MATCH(DATEVALUE($A77),'recurring1_based on steps'!B$1:B$400,0)),B$2,)</f>
        <v>0</v>
      </c>
      <c r="C77" s="179">
        <f ca="1">IF(ISNUMBER(MATCH(DATEVALUE($A77),'recurring1_based on steps'!C$1:C$400,0)),C$2,)</f>
        <v>0</v>
      </c>
      <c r="D77" s="179">
        <f ca="1">IF(ISNUMBER(MATCH(DATEVALUE($A77),'recurring1_based on steps'!D$1:D$400,0)),D$2,)</f>
        <v>0</v>
      </c>
      <c r="E77" s="179">
        <f ca="1">IF(ISNUMBER(MATCH(DATEVALUE($A77),'recurring1_based on steps'!E$1:E$400,0)),E$2,)</f>
        <v>0</v>
      </c>
      <c r="F77" s="179">
        <f ca="1">IF(ISNUMBER(MATCH(DATEVALUE($A77),'recurring1_based on steps'!F$1:F$400,0)),F$2,)</f>
        <v>0</v>
      </c>
      <c r="G77" s="179">
        <f ca="1">IF(ISNUMBER(MATCH(DATEVALUE($A77),'recurring1_based on steps'!G$1:G$400,0)),G$2,)</f>
        <v>0</v>
      </c>
      <c r="H77" s="179">
        <f ca="1">IF(ISNUMBER(MATCH(DATEVALUE($A77),'recurring1_based on steps'!H$1:H$400,0)),H$2,)</f>
        <v>0</v>
      </c>
      <c r="I77" s="179">
        <f ca="1">IF(ISNUMBER(MATCH(DATEVALUE($A77),'recurring1_based on steps'!I$1:I$400,0)),I$2,)</f>
        <v>0</v>
      </c>
      <c r="J77" s="179">
        <f ca="1">IF(ISNUMBER(MATCH(DATEVALUE($A77),'recurring1_based on steps'!J$1:J$400,0)),J$2,)</f>
        <v>0</v>
      </c>
      <c r="K77" s="179">
        <f ca="1">IF(ISNUMBER(MATCH(DATEVALUE($A77),'recurring1_based on steps'!K$1:K$400,0)),K$2,)</f>
        <v>0</v>
      </c>
      <c r="L77" s="179">
        <f ca="1">IF(ISNUMBER(MATCH(DATEVALUE($A77),'recurring1_based on steps'!L$1:L$400,0)),L$2,)</f>
        <v>0</v>
      </c>
      <c r="M77" s="179">
        <f ca="1">IF(ISNUMBER(MATCH(DATEVALUE($A77),'recurring1_based on steps'!M$1:M$400,0)),M$2,)</f>
        <v>0</v>
      </c>
      <c r="N77" s="179">
        <f ca="1">IF(ISNUMBER(MATCH(DATEVALUE($A77),'recurring1_based on steps'!N$1:N$400,0)),N$2,)</f>
        <v>0</v>
      </c>
      <c r="O77" s="179">
        <f ca="1">IF(ISNUMBER(MATCH(DATEVALUE($A77),'recurring1_based on steps'!O$1:O$400,0)),O$2,)</f>
        <v>0</v>
      </c>
      <c r="P77" s="179">
        <f ca="1">IF(ISNUMBER(MATCH(DATEVALUE($A77),'recurring1_based on steps'!P$1:P$400,0)),P$2,)</f>
        <v>0</v>
      </c>
      <c r="Q77" s="179">
        <f ca="1">IF(ISNUMBER(MATCH(DATEVALUE($A77),'recurring1_based on steps'!Q$1:Q$400,0)),Q$2,)</f>
        <v>0</v>
      </c>
      <c r="R77" s="179">
        <f ca="1">IF(ISNUMBER(MATCH(DATEVALUE($A77),'recurring1_based on steps'!R$1:R$400,0)),R$2,)</f>
        <v>0</v>
      </c>
      <c r="S77" s="179">
        <f ca="1">IF(ISNUMBER(MATCH(DATEVALUE($A77),'recurring1_based on steps'!S$1:S$400,0)),S$2,)</f>
        <v>0</v>
      </c>
      <c r="T77" s="179">
        <f ca="1">IF(ISNUMBER(MATCH(DATEVALUE($A77),'recurring1_based on steps'!T$1:T$400,0)),T$2,)</f>
        <v>0</v>
      </c>
      <c r="U77" s="179">
        <f ca="1">IF(ISNUMBER(MATCH(DATEVALUE($A77),'recurring1_based on steps'!U$1:U$400,0)),U$2,)</f>
        <v>0</v>
      </c>
      <c r="V77" s="179">
        <f ca="1">IF(ISNUMBER(MATCH(DATEVALUE($A77),'recurring1_based on steps'!V$1:V$400,0)),V$2,)</f>
        <v>0</v>
      </c>
      <c r="W77" s="179">
        <f ca="1">IF(ISNUMBER(MATCH(DATEVALUE($A77),'recurring1_based on steps'!W$1:W$400,0)),W$2,)</f>
        <v>0</v>
      </c>
      <c r="X77" s="179">
        <f ca="1">IF(ISNUMBER(MATCH(DATEVALUE($A77),'recurring1_based on steps'!X$1:X$400,0)),X$2,)</f>
        <v>0</v>
      </c>
      <c r="Y77" s="179">
        <f ca="1">IF(ISNUMBER(MATCH(DATEVALUE($A77),'recurring1_based on steps'!Y$1:Y$400,0)),Y$2,)</f>
        <v>0</v>
      </c>
      <c r="Z77" s="179">
        <f ca="1">IF(ISNUMBER(MATCH(DATEVALUE($A77),'recurring1_based on steps'!Z$1:Z$400,0)),Z$2,)</f>
        <v>0</v>
      </c>
      <c r="AA77" s="179">
        <f ca="1">IF(ISNUMBER(MATCH(DATEVALUE($A77),'recurring1_based on steps'!AA$1:AA$400,0)),AA$2,)</f>
        <v>0</v>
      </c>
      <c r="AB77" s="179">
        <f ca="1">IF(ISNUMBER(MATCH(DATEVALUE($A77),'recurring1_based on steps'!AB$1:AB$400,0)),AB$2,)</f>
        <v>0</v>
      </c>
      <c r="AC77" s="179">
        <f ca="1">IF(ISNUMBER(MATCH(DATEVALUE($A77),'recurring1_based on steps'!AC$1:AC$400,0)),AC$2,)</f>
        <v>0</v>
      </c>
      <c r="AD77" s="179">
        <f ca="1">IF(ISNUMBER(MATCH(DATEVALUE($A77),'recurring1_based on steps'!AD$1:AD$400,0)),AD$2,)</f>
        <v>0</v>
      </c>
      <c r="AE77" s="179">
        <f ca="1">IF(ISNUMBER(MATCH(DATEVALUE($A77),'recurring1_based on steps'!AE$1:AE$400,0)),AE$2,)</f>
        <v>0</v>
      </c>
      <c r="AF77" s="179">
        <f ca="1">IF(ISNUMBER(MATCH(DATEVALUE($A77),'recurring1_based on steps'!AF$1:AF$400,0)),AF$2,)</f>
        <v>0</v>
      </c>
      <c r="AG77" s="179">
        <f ca="1">IF(ISNUMBER(MATCH(DATEVALUE($A77),'recurring1_based on steps'!AG$1:AG$400,0)),AG$2,)</f>
        <v>0</v>
      </c>
      <c r="AH77" s="179">
        <f ca="1">IF(ISNUMBER(MATCH(DATEVALUE($A77),'recurring1_based on steps'!AH$1:AH$400,0)),AH$2,)</f>
        <v>0</v>
      </c>
      <c r="AI77" s="179">
        <f ca="1">IF(ISNUMBER(MATCH(DATEVALUE($A77),'recurring1_based on steps'!AI$1:AI$400,0)),AI$2,)</f>
        <v>0</v>
      </c>
      <c r="AJ77" s="179">
        <f ca="1">IF(ISNUMBER(MATCH(DATEVALUE($A77),'recurring1_based on steps'!AJ$1:AJ$400,0)),AJ$2,)</f>
        <v>0</v>
      </c>
      <c r="AK77" s="179">
        <f ca="1">IF(ISNUMBER(MATCH(DATEVALUE($A77),'recurring1_based on steps'!AK$1:AK$400,0)),AK$2,)</f>
        <v>0</v>
      </c>
      <c r="AL77" s="179">
        <f ca="1">IF(ISNUMBER(MATCH(DATEVALUE($A77),'recurring1_based on steps'!AL$1:AL$400,0)),AL$2,)</f>
        <v>0</v>
      </c>
      <c r="AM77" s="179">
        <f ca="1">IF(ISNUMBER(MATCH(DATEVALUE($A77),'recurring1_based on steps'!AM$1:AM$400,0)),AM$2,)</f>
        <v>0</v>
      </c>
      <c r="AN77" s="179">
        <f ca="1">IF(ISNUMBER(MATCH(DATEVALUE($A77),'recurring1_based on steps'!AN$1:AN$400,0)),AN$2,)</f>
        <v>0</v>
      </c>
      <c r="AO77" s="179">
        <f ca="1">IF(ISNUMBER(MATCH(DATEVALUE($A77),'recurring1_based on steps'!AO$1:AO$400,0)),AO$2,)</f>
        <v>0</v>
      </c>
      <c r="AP77" s="179">
        <f ca="1">IF(ISNUMBER(MATCH(DATEVALUE($A77),'recurring1_based on steps'!AP$1:AP$400,0)),AP$2,)</f>
        <v>0</v>
      </c>
      <c r="AQ77" s="179">
        <f ca="1">IF(ISNUMBER(MATCH(DATEVALUE($A77),'recurring1_based on steps'!AQ$1:AQ$400,0)),AQ$2,)</f>
        <v>0</v>
      </c>
      <c r="AR77" s="179">
        <f ca="1">IF(ISNUMBER(MATCH(DATEVALUE($A77),'recurring1_based on steps'!AR$1:AR$400,0)),AR$2,)</f>
        <v>0</v>
      </c>
      <c r="AS77" s="179">
        <f ca="1">IF(ISNUMBER(MATCH(DATEVALUE($A77),'recurring1_based on steps'!AS$1:AS$400,0)),AS$2,)</f>
        <v>0</v>
      </c>
      <c r="AT77" s="179">
        <f ca="1">IF(ISNUMBER(MATCH(DATEVALUE($A77),'recurring1_based on steps'!AT$1:AT$400,0)),AT$2,)</f>
        <v>0</v>
      </c>
      <c r="AU77" s="179">
        <f ca="1">IF(ISNUMBER(MATCH(DATEVALUE($A77),'recurring1_based on steps'!AU$1:AU$400,0)),AU$2,)</f>
        <v>0</v>
      </c>
      <c r="AV77" s="179">
        <f ca="1">IF(ISNUMBER(MATCH(DATEVALUE($A77),'recurring1_based on steps'!AV$1:AV$400,0)),AV$2,)</f>
        <v>0</v>
      </c>
      <c r="AW77" s="179">
        <f ca="1">IF(ISNUMBER(MATCH(DATEVALUE($A77),'recurring1_based on steps'!AW$1:AW$400,0)),AW$2,)</f>
        <v>0</v>
      </c>
      <c r="AX77" s="179">
        <f ca="1">IF(ISNUMBER(MATCH(DATEVALUE($A77),'recurring1_based on steps'!AX$1:AX$400,0)),AX$2,)</f>
        <v>0</v>
      </c>
      <c r="AY77" s="179">
        <f ca="1">IF(ISNUMBER(MATCH(DATEVALUE($A77),'recurring1_based on steps'!AY$1:AY$400,0)),AY$2,)</f>
        <v>0</v>
      </c>
    </row>
    <row r="78" spans="1:51" x14ac:dyDescent="0.2">
      <c r="A78" s="32" t="str">
        <f t="shared" ca="1" si="1"/>
        <v>2025-06-12</v>
      </c>
      <c r="B78" s="179">
        <f ca="1">IF(ISNUMBER(MATCH(DATEVALUE($A78),'recurring1_based on steps'!B$1:B$400,0)),B$2,)</f>
        <v>0</v>
      </c>
      <c r="C78" s="179">
        <f ca="1">IF(ISNUMBER(MATCH(DATEVALUE($A78),'recurring1_based on steps'!C$1:C$400,0)),C$2,)</f>
        <v>0</v>
      </c>
      <c r="D78" s="179">
        <f ca="1">IF(ISNUMBER(MATCH(DATEVALUE($A78),'recurring1_based on steps'!D$1:D$400,0)),D$2,)</f>
        <v>0</v>
      </c>
      <c r="E78" s="179">
        <f ca="1">IF(ISNUMBER(MATCH(DATEVALUE($A78),'recurring1_based on steps'!E$1:E$400,0)),E$2,)</f>
        <v>0</v>
      </c>
      <c r="F78" s="179">
        <f ca="1">IF(ISNUMBER(MATCH(DATEVALUE($A78),'recurring1_based on steps'!F$1:F$400,0)),F$2,)</f>
        <v>0</v>
      </c>
      <c r="G78" s="179">
        <f ca="1">IF(ISNUMBER(MATCH(DATEVALUE($A78),'recurring1_based on steps'!G$1:G$400,0)),G$2,)</f>
        <v>0</v>
      </c>
      <c r="H78" s="179">
        <f ca="1">IF(ISNUMBER(MATCH(DATEVALUE($A78),'recurring1_based on steps'!H$1:H$400,0)),H$2,)</f>
        <v>0</v>
      </c>
      <c r="I78" s="179">
        <f ca="1">IF(ISNUMBER(MATCH(DATEVALUE($A78),'recurring1_based on steps'!I$1:I$400,0)),I$2,)</f>
        <v>0</v>
      </c>
      <c r="J78" s="179">
        <f ca="1">IF(ISNUMBER(MATCH(DATEVALUE($A78),'recurring1_based on steps'!J$1:J$400,0)),J$2,)</f>
        <v>0</v>
      </c>
      <c r="K78" s="179">
        <f ca="1">IF(ISNUMBER(MATCH(DATEVALUE($A78),'recurring1_based on steps'!K$1:K$400,0)),K$2,)</f>
        <v>0</v>
      </c>
      <c r="L78" s="179">
        <f ca="1">IF(ISNUMBER(MATCH(DATEVALUE($A78),'recurring1_based on steps'!L$1:L$400,0)),L$2,)</f>
        <v>0</v>
      </c>
      <c r="M78" s="179">
        <f ca="1">IF(ISNUMBER(MATCH(DATEVALUE($A78),'recurring1_based on steps'!M$1:M$400,0)),M$2,)</f>
        <v>0</v>
      </c>
      <c r="N78" s="179">
        <f ca="1">IF(ISNUMBER(MATCH(DATEVALUE($A78),'recurring1_based on steps'!N$1:N$400,0)),N$2,)</f>
        <v>0</v>
      </c>
      <c r="O78" s="179">
        <f ca="1">IF(ISNUMBER(MATCH(DATEVALUE($A78),'recurring1_based on steps'!O$1:O$400,0)),O$2,)</f>
        <v>0</v>
      </c>
      <c r="P78" s="179">
        <f ca="1">IF(ISNUMBER(MATCH(DATEVALUE($A78),'recurring1_based on steps'!P$1:P$400,0)),P$2,)</f>
        <v>0</v>
      </c>
      <c r="Q78" s="179">
        <f ca="1">IF(ISNUMBER(MATCH(DATEVALUE($A78),'recurring1_based on steps'!Q$1:Q$400,0)),Q$2,)</f>
        <v>0</v>
      </c>
      <c r="R78" s="179">
        <f ca="1">IF(ISNUMBER(MATCH(DATEVALUE($A78),'recurring1_based on steps'!R$1:R$400,0)),R$2,)</f>
        <v>0</v>
      </c>
      <c r="S78" s="179">
        <f ca="1">IF(ISNUMBER(MATCH(DATEVALUE($A78),'recurring1_based on steps'!S$1:S$400,0)),S$2,)</f>
        <v>0</v>
      </c>
      <c r="T78" s="179">
        <f ca="1">IF(ISNUMBER(MATCH(DATEVALUE($A78),'recurring1_based on steps'!T$1:T$400,0)),T$2,)</f>
        <v>0</v>
      </c>
      <c r="U78" s="179">
        <f ca="1">IF(ISNUMBER(MATCH(DATEVALUE($A78),'recurring1_based on steps'!U$1:U$400,0)),U$2,)</f>
        <v>0</v>
      </c>
      <c r="V78" s="179">
        <f ca="1">IF(ISNUMBER(MATCH(DATEVALUE($A78),'recurring1_based on steps'!V$1:V$400,0)),V$2,)</f>
        <v>0</v>
      </c>
      <c r="W78" s="179">
        <f ca="1">IF(ISNUMBER(MATCH(DATEVALUE($A78),'recurring1_based on steps'!W$1:W$400,0)),W$2,)</f>
        <v>0</v>
      </c>
      <c r="X78" s="179">
        <f ca="1">IF(ISNUMBER(MATCH(DATEVALUE($A78),'recurring1_based on steps'!X$1:X$400,0)),X$2,)</f>
        <v>0</v>
      </c>
      <c r="Y78" s="179">
        <f ca="1">IF(ISNUMBER(MATCH(DATEVALUE($A78),'recurring1_based on steps'!Y$1:Y$400,0)),Y$2,)</f>
        <v>0</v>
      </c>
      <c r="Z78" s="179">
        <f ca="1">IF(ISNUMBER(MATCH(DATEVALUE($A78),'recurring1_based on steps'!Z$1:Z$400,0)),Z$2,)</f>
        <v>0</v>
      </c>
      <c r="AA78" s="179">
        <f ca="1">IF(ISNUMBER(MATCH(DATEVALUE($A78),'recurring1_based on steps'!AA$1:AA$400,0)),AA$2,)</f>
        <v>0</v>
      </c>
      <c r="AB78" s="179">
        <f ca="1">IF(ISNUMBER(MATCH(DATEVALUE($A78),'recurring1_based on steps'!AB$1:AB$400,0)),AB$2,)</f>
        <v>0</v>
      </c>
      <c r="AC78" s="179">
        <f ca="1">IF(ISNUMBER(MATCH(DATEVALUE($A78),'recurring1_based on steps'!AC$1:AC$400,0)),AC$2,)</f>
        <v>0</v>
      </c>
      <c r="AD78" s="179">
        <f ca="1">IF(ISNUMBER(MATCH(DATEVALUE($A78),'recurring1_based on steps'!AD$1:AD$400,0)),AD$2,)</f>
        <v>0</v>
      </c>
      <c r="AE78" s="179">
        <f ca="1">IF(ISNUMBER(MATCH(DATEVALUE($A78),'recurring1_based on steps'!AE$1:AE$400,0)),AE$2,)</f>
        <v>0</v>
      </c>
      <c r="AF78" s="179">
        <f ca="1">IF(ISNUMBER(MATCH(DATEVALUE($A78),'recurring1_based on steps'!AF$1:AF$400,0)),AF$2,)</f>
        <v>0</v>
      </c>
      <c r="AG78" s="179">
        <f ca="1">IF(ISNUMBER(MATCH(DATEVALUE($A78),'recurring1_based on steps'!AG$1:AG$400,0)),AG$2,)</f>
        <v>0</v>
      </c>
      <c r="AH78" s="179">
        <f ca="1">IF(ISNUMBER(MATCH(DATEVALUE($A78),'recurring1_based on steps'!AH$1:AH$400,0)),AH$2,)</f>
        <v>0</v>
      </c>
      <c r="AI78" s="179">
        <f ca="1">IF(ISNUMBER(MATCH(DATEVALUE($A78),'recurring1_based on steps'!AI$1:AI$400,0)),AI$2,)</f>
        <v>0</v>
      </c>
      <c r="AJ78" s="179">
        <f ca="1">IF(ISNUMBER(MATCH(DATEVALUE($A78),'recurring1_based on steps'!AJ$1:AJ$400,0)),AJ$2,)</f>
        <v>0</v>
      </c>
      <c r="AK78" s="179">
        <f ca="1">IF(ISNUMBER(MATCH(DATEVALUE($A78),'recurring1_based on steps'!AK$1:AK$400,0)),AK$2,)</f>
        <v>0</v>
      </c>
      <c r="AL78" s="179">
        <f ca="1">IF(ISNUMBER(MATCH(DATEVALUE($A78),'recurring1_based on steps'!AL$1:AL$400,0)),AL$2,)</f>
        <v>0</v>
      </c>
      <c r="AM78" s="179">
        <f ca="1">IF(ISNUMBER(MATCH(DATEVALUE($A78),'recurring1_based on steps'!AM$1:AM$400,0)),AM$2,)</f>
        <v>0</v>
      </c>
      <c r="AN78" s="179">
        <f ca="1">IF(ISNUMBER(MATCH(DATEVALUE($A78),'recurring1_based on steps'!AN$1:AN$400,0)),AN$2,)</f>
        <v>0</v>
      </c>
      <c r="AO78" s="179">
        <f ca="1">IF(ISNUMBER(MATCH(DATEVALUE($A78),'recurring1_based on steps'!AO$1:AO$400,0)),AO$2,)</f>
        <v>0</v>
      </c>
      <c r="AP78" s="179">
        <f ca="1">IF(ISNUMBER(MATCH(DATEVALUE($A78),'recurring1_based on steps'!AP$1:AP$400,0)),AP$2,)</f>
        <v>0</v>
      </c>
      <c r="AQ78" s="179">
        <f ca="1">IF(ISNUMBER(MATCH(DATEVALUE($A78),'recurring1_based on steps'!AQ$1:AQ$400,0)),AQ$2,)</f>
        <v>0</v>
      </c>
      <c r="AR78" s="179">
        <f ca="1">IF(ISNUMBER(MATCH(DATEVALUE($A78),'recurring1_based on steps'!AR$1:AR$400,0)),AR$2,)</f>
        <v>0</v>
      </c>
      <c r="AS78" s="179">
        <f ca="1">IF(ISNUMBER(MATCH(DATEVALUE($A78),'recurring1_based on steps'!AS$1:AS$400,0)),AS$2,)</f>
        <v>0</v>
      </c>
      <c r="AT78" s="179">
        <f ca="1">IF(ISNUMBER(MATCH(DATEVALUE($A78),'recurring1_based on steps'!AT$1:AT$400,0)),AT$2,)</f>
        <v>0</v>
      </c>
      <c r="AU78" s="179">
        <f ca="1">IF(ISNUMBER(MATCH(DATEVALUE($A78),'recurring1_based on steps'!AU$1:AU$400,0)),AU$2,)</f>
        <v>0</v>
      </c>
      <c r="AV78" s="179">
        <f ca="1">IF(ISNUMBER(MATCH(DATEVALUE($A78),'recurring1_based on steps'!AV$1:AV$400,0)),AV$2,)</f>
        <v>0</v>
      </c>
      <c r="AW78" s="179">
        <f ca="1">IF(ISNUMBER(MATCH(DATEVALUE($A78),'recurring1_based on steps'!AW$1:AW$400,0)),AW$2,)</f>
        <v>0</v>
      </c>
      <c r="AX78" s="179">
        <f ca="1">IF(ISNUMBER(MATCH(DATEVALUE($A78),'recurring1_based on steps'!AX$1:AX$400,0)),AX$2,)</f>
        <v>0</v>
      </c>
      <c r="AY78" s="179">
        <f ca="1">IF(ISNUMBER(MATCH(DATEVALUE($A78),'recurring1_based on steps'!AY$1:AY$400,0)),AY$2,)</f>
        <v>0</v>
      </c>
    </row>
    <row r="79" spans="1:51" x14ac:dyDescent="0.2">
      <c r="A79" s="32" t="str">
        <f t="shared" ca="1" si="1"/>
        <v>2025-06-13</v>
      </c>
      <c r="B79" s="179">
        <f ca="1">IF(ISNUMBER(MATCH(DATEVALUE($A79),'recurring1_based on steps'!B$1:B$400,0)),B$2,)</f>
        <v>0</v>
      </c>
      <c r="C79" s="179">
        <f ca="1">IF(ISNUMBER(MATCH(DATEVALUE($A79),'recurring1_based on steps'!C$1:C$400,0)),C$2,)</f>
        <v>0</v>
      </c>
      <c r="D79" s="179">
        <f ca="1">IF(ISNUMBER(MATCH(DATEVALUE($A79),'recurring1_based on steps'!D$1:D$400,0)),D$2,)</f>
        <v>0</v>
      </c>
      <c r="E79" s="179">
        <f ca="1">IF(ISNUMBER(MATCH(DATEVALUE($A79),'recurring1_based on steps'!E$1:E$400,0)),E$2,)</f>
        <v>0</v>
      </c>
      <c r="F79" s="179">
        <f ca="1">IF(ISNUMBER(MATCH(DATEVALUE($A79),'recurring1_based on steps'!F$1:F$400,0)),F$2,)</f>
        <v>0</v>
      </c>
      <c r="G79" s="179">
        <f ca="1">IF(ISNUMBER(MATCH(DATEVALUE($A79),'recurring1_based on steps'!G$1:G$400,0)),G$2,)</f>
        <v>0</v>
      </c>
      <c r="H79" s="179">
        <f ca="1">IF(ISNUMBER(MATCH(DATEVALUE($A79),'recurring1_based on steps'!H$1:H$400,0)),H$2,)</f>
        <v>0</v>
      </c>
      <c r="I79" s="179">
        <f ca="1">IF(ISNUMBER(MATCH(DATEVALUE($A79),'recurring1_based on steps'!I$1:I$400,0)),I$2,)</f>
        <v>0</v>
      </c>
      <c r="J79" s="179">
        <f ca="1">IF(ISNUMBER(MATCH(DATEVALUE($A79),'recurring1_based on steps'!J$1:J$400,0)),J$2,)</f>
        <v>0</v>
      </c>
      <c r="K79" s="179">
        <f ca="1">IF(ISNUMBER(MATCH(DATEVALUE($A79),'recurring1_based on steps'!K$1:K$400,0)),K$2,)</f>
        <v>0</v>
      </c>
      <c r="L79" s="179">
        <f ca="1">IF(ISNUMBER(MATCH(DATEVALUE($A79),'recurring1_based on steps'!L$1:L$400,0)),L$2,)</f>
        <v>0</v>
      </c>
      <c r="M79" s="179">
        <f ca="1">IF(ISNUMBER(MATCH(DATEVALUE($A79),'recurring1_based on steps'!M$1:M$400,0)),M$2,)</f>
        <v>0</v>
      </c>
      <c r="N79" s="179">
        <f ca="1">IF(ISNUMBER(MATCH(DATEVALUE($A79),'recurring1_based on steps'!N$1:N$400,0)),N$2,)</f>
        <v>0</v>
      </c>
      <c r="O79" s="179">
        <f ca="1">IF(ISNUMBER(MATCH(DATEVALUE($A79),'recurring1_based on steps'!O$1:O$400,0)),O$2,)</f>
        <v>0</v>
      </c>
      <c r="P79" s="179">
        <f ca="1">IF(ISNUMBER(MATCH(DATEVALUE($A79),'recurring1_based on steps'!P$1:P$400,0)),P$2,)</f>
        <v>0</v>
      </c>
      <c r="Q79" s="179">
        <f ca="1">IF(ISNUMBER(MATCH(DATEVALUE($A79),'recurring1_based on steps'!Q$1:Q$400,0)),Q$2,)</f>
        <v>0</v>
      </c>
      <c r="R79" s="179">
        <f ca="1">IF(ISNUMBER(MATCH(DATEVALUE($A79),'recurring1_based on steps'!R$1:R$400,0)),R$2,)</f>
        <v>0</v>
      </c>
      <c r="S79" s="179">
        <f ca="1">IF(ISNUMBER(MATCH(DATEVALUE($A79),'recurring1_based on steps'!S$1:S$400,0)),S$2,)</f>
        <v>0</v>
      </c>
      <c r="T79" s="179">
        <f ca="1">IF(ISNUMBER(MATCH(DATEVALUE($A79),'recurring1_based on steps'!T$1:T$400,0)),T$2,)</f>
        <v>0</v>
      </c>
      <c r="U79" s="179">
        <f ca="1">IF(ISNUMBER(MATCH(DATEVALUE($A79),'recurring1_based on steps'!U$1:U$400,0)),U$2,)</f>
        <v>0</v>
      </c>
      <c r="V79" s="179">
        <f ca="1">IF(ISNUMBER(MATCH(DATEVALUE($A79),'recurring1_based on steps'!V$1:V$400,0)),V$2,)</f>
        <v>0</v>
      </c>
      <c r="W79" s="179">
        <f ca="1">IF(ISNUMBER(MATCH(DATEVALUE($A79),'recurring1_based on steps'!W$1:W$400,0)),W$2,)</f>
        <v>0</v>
      </c>
      <c r="X79" s="179">
        <f ca="1">IF(ISNUMBER(MATCH(DATEVALUE($A79),'recurring1_based on steps'!X$1:X$400,0)),X$2,)</f>
        <v>0</v>
      </c>
      <c r="Y79" s="179">
        <f ca="1">IF(ISNUMBER(MATCH(DATEVALUE($A79),'recurring1_based on steps'!Y$1:Y$400,0)),Y$2,)</f>
        <v>0</v>
      </c>
      <c r="Z79" s="179">
        <f ca="1">IF(ISNUMBER(MATCH(DATEVALUE($A79),'recurring1_based on steps'!Z$1:Z$400,0)),Z$2,)</f>
        <v>0</v>
      </c>
      <c r="AA79" s="179">
        <f ca="1">IF(ISNUMBER(MATCH(DATEVALUE($A79),'recurring1_based on steps'!AA$1:AA$400,0)),AA$2,)</f>
        <v>0</v>
      </c>
      <c r="AB79" s="179">
        <f ca="1">IF(ISNUMBER(MATCH(DATEVALUE($A79),'recurring1_based on steps'!AB$1:AB$400,0)),AB$2,)</f>
        <v>0</v>
      </c>
      <c r="AC79" s="179">
        <f ca="1">IF(ISNUMBER(MATCH(DATEVALUE($A79),'recurring1_based on steps'!AC$1:AC$400,0)),AC$2,)</f>
        <v>0</v>
      </c>
      <c r="AD79" s="179">
        <f ca="1">IF(ISNUMBER(MATCH(DATEVALUE($A79),'recurring1_based on steps'!AD$1:AD$400,0)),AD$2,)</f>
        <v>0</v>
      </c>
      <c r="AE79" s="179">
        <f ca="1">IF(ISNUMBER(MATCH(DATEVALUE($A79),'recurring1_based on steps'!AE$1:AE$400,0)),AE$2,)</f>
        <v>0</v>
      </c>
      <c r="AF79" s="179">
        <f ca="1">IF(ISNUMBER(MATCH(DATEVALUE($A79),'recurring1_based on steps'!AF$1:AF$400,0)),AF$2,)</f>
        <v>0</v>
      </c>
      <c r="AG79" s="179">
        <f ca="1">IF(ISNUMBER(MATCH(DATEVALUE($A79),'recurring1_based on steps'!AG$1:AG$400,0)),AG$2,)</f>
        <v>0</v>
      </c>
      <c r="AH79" s="179">
        <f ca="1">IF(ISNUMBER(MATCH(DATEVALUE($A79),'recurring1_based on steps'!AH$1:AH$400,0)),AH$2,)</f>
        <v>0</v>
      </c>
      <c r="AI79" s="179">
        <f ca="1">IF(ISNUMBER(MATCH(DATEVALUE($A79),'recurring1_based on steps'!AI$1:AI$400,0)),AI$2,)</f>
        <v>0</v>
      </c>
      <c r="AJ79" s="179">
        <f ca="1">IF(ISNUMBER(MATCH(DATEVALUE($A79),'recurring1_based on steps'!AJ$1:AJ$400,0)),AJ$2,)</f>
        <v>0</v>
      </c>
      <c r="AK79" s="179">
        <f ca="1">IF(ISNUMBER(MATCH(DATEVALUE($A79),'recurring1_based on steps'!AK$1:AK$400,0)),AK$2,)</f>
        <v>0</v>
      </c>
      <c r="AL79" s="179">
        <f ca="1">IF(ISNUMBER(MATCH(DATEVALUE($A79),'recurring1_based on steps'!AL$1:AL$400,0)),AL$2,)</f>
        <v>0</v>
      </c>
      <c r="AM79" s="179">
        <f ca="1">IF(ISNUMBER(MATCH(DATEVALUE($A79),'recurring1_based on steps'!AM$1:AM$400,0)),AM$2,)</f>
        <v>0</v>
      </c>
      <c r="AN79" s="179">
        <f ca="1">IF(ISNUMBER(MATCH(DATEVALUE($A79),'recurring1_based on steps'!AN$1:AN$400,0)),AN$2,)</f>
        <v>0</v>
      </c>
      <c r="AO79" s="179">
        <f ca="1">IF(ISNUMBER(MATCH(DATEVALUE($A79),'recurring1_based on steps'!AO$1:AO$400,0)),AO$2,)</f>
        <v>0</v>
      </c>
      <c r="AP79" s="179">
        <f ca="1">IF(ISNUMBER(MATCH(DATEVALUE($A79),'recurring1_based on steps'!AP$1:AP$400,0)),AP$2,)</f>
        <v>0</v>
      </c>
      <c r="AQ79" s="179">
        <f ca="1">IF(ISNUMBER(MATCH(DATEVALUE($A79),'recurring1_based on steps'!AQ$1:AQ$400,0)),AQ$2,)</f>
        <v>0</v>
      </c>
      <c r="AR79" s="179">
        <f ca="1">IF(ISNUMBER(MATCH(DATEVALUE($A79),'recurring1_based on steps'!AR$1:AR$400,0)),AR$2,)</f>
        <v>0</v>
      </c>
      <c r="AS79" s="179">
        <f ca="1">IF(ISNUMBER(MATCH(DATEVALUE($A79),'recurring1_based on steps'!AS$1:AS$400,0)),AS$2,)</f>
        <v>0</v>
      </c>
      <c r="AT79" s="179">
        <f ca="1">IF(ISNUMBER(MATCH(DATEVALUE($A79),'recurring1_based on steps'!AT$1:AT$400,0)),AT$2,)</f>
        <v>0</v>
      </c>
      <c r="AU79" s="179">
        <f ca="1">IF(ISNUMBER(MATCH(DATEVALUE($A79),'recurring1_based on steps'!AU$1:AU$400,0)),AU$2,)</f>
        <v>0</v>
      </c>
      <c r="AV79" s="179">
        <f ca="1">IF(ISNUMBER(MATCH(DATEVALUE($A79),'recurring1_based on steps'!AV$1:AV$400,0)),AV$2,)</f>
        <v>0</v>
      </c>
      <c r="AW79" s="179">
        <f ca="1">IF(ISNUMBER(MATCH(DATEVALUE($A79),'recurring1_based on steps'!AW$1:AW$400,0)),AW$2,)</f>
        <v>0</v>
      </c>
      <c r="AX79" s="179">
        <f ca="1">IF(ISNUMBER(MATCH(DATEVALUE($A79),'recurring1_based on steps'!AX$1:AX$400,0)),AX$2,)</f>
        <v>0</v>
      </c>
      <c r="AY79" s="179">
        <f ca="1">IF(ISNUMBER(MATCH(DATEVALUE($A79),'recurring1_based on steps'!AY$1:AY$400,0)),AY$2,)</f>
        <v>0</v>
      </c>
    </row>
    <row r="80" spans="1:51" x14ac:dyDescent="0.2">
      <c r="A80" s="32" t="str">
        <f t="shared" ca="1" si="1"/>
        <v>2025-06-14</v>
      </c>
      <c r="B80" s="179">
        <f ca="1">IF(ISNUMBER(MATCH(DATEVALUE($A80),'recurring1_based on steps'!B$1:B$400,0)),B$2,)</f>
        <v>0</v>
      </c>
      <c r="C80" s="179">
        <f ca="1">IF(ISNUMBER(MATCH(DATEVALUE($A80),'recurring1_based on steps'!C$1:C$400,0)),C$2,)</f>
        <v>0</v>
      </c>
      <c r="D80" s="179">
        <f ca="1">IF(ISNUMBER(MATCH(DATEVALUE($A80),'recurring1_based on steps'!D$1:D$400,0)),D$2,)</f>
        <v>0</v>
      </c>
      <c r="E80" s="179">
        <f ca="1">IF(ISNUMBER(MATCH(DATEVALUE($A80),'recurring1_based on steps'!E$1:E$400,0)),E$2,)</f>
        <v>0</v>
      </c>
      <c r="F80" s="179">
        <f ca="1">IF(ISNUMBER(MATCH(DATEVALUE($A80),'recurring1_based on steps'!F$1:F$400,0)),F$2,)</f>
        <v>0</v>
      </c>
      <c r="G80" s="179">
        <f ca="1">IF(ISNUMBER(MATCH(DATEVALUE($A80),'recurring1_based on steps'!G$1:G$400,0)),G$2,)</f>
        <v>0</v>
      </c>
      <c r="H80" s="179">
        <f ca="1">IF(ISNUMBER(MATCH(DATEVALUE($A80),'recurring1_based on steps'!H$1:H$400,0)),H$2,)</f>
        <v>0</v>
      </c>
      <c r="I80" s="179">
        <f ca="1">IF(ISNUMBER(MATCH(DATEVALUE($A80),'recurring1_based on steps'!I$1:I$400,0)),I$2,)</f>
        <v>0</v>
      </c>
      <c r="J80" s="179">
        <f ca="1">IF(ISNUMBER(MATCH(DATEVALUE($A80),'recurring1_based on steps'!J$1:J$400,0)),J$2,)</f>
        <v>0</v>
      </c>
      <c r="K80" s="179">
        <f ca="1">IF(ISNUMBER(MATCH(DATEVALUE($A80),'recurring1_based on steps'!K$1:K$400,0)),K$2,)</f>
        <v>0</v>
      </c>
      <c r="L80" s="179">
        <f ca="1">IF(ISNUMBER(MATCH(DATEVALUE($A80),'recurring1_based on steps'!L$1:L$400,0)),L$2,)</f>
        <v>0</v>
      </c>
      <c r="M80" s="179">
        <f ca="1">IF(ISNUMBER(MATCH(DATEVALUE($A80),'recurring1_based on steps'!M$1:M$400,0)),M$2,)</f>
        <v>0</v>
      </c>
      <c r="N80" s="179">
        <f ca="1">IF(ISNUMBER(MATCH(DATEVALUE($A80),'recurring1_based on steps'!N$1:N$400,0)),N$2,)</f>
        <v>0</v>
      </c>
      <c r="O80" s="179">
        <f ca="1">IF(ISNUMBER(MATCH(DATEVALUE($A80),'recurring1_based on steps'!O$1:O$400,0)),O$2,)</f>
        <v>0</v>
      </c>
      <c r="P80" s="179">
        <f ca="1">IF(ISNUMBER(MATCH(DATEVALUE($A80),'recurring1_based on steps'!P$1:P$400,0)),P$2,)</f>
        <v>0</v>
      </c>
      <c r="Q80" s="179">
        <f ca="1">IF(ISNUMBER(MATCH(DATEVALUE($A80),'recurring1_based on steps'!Q$1:Q$400,0)),Q$2,)</f>
        <v>0</v>
      </c>
      <c r="R80" s="179">
        <f ca="1">IF(ISNUMBER(MATCH(DATEVALUE($A80),'recurring1_based on steps'!R$1:R$400,0)),R$2,)</f>
        <v>0</v>
      </c>
      <c r="S80" s="179">
        <f ca="1">IF(ISNUMBER(MATCH(DATEVALUE($A80),'recurring1_based on steps'!S$1:S$400,0)),S$2,)</f>
        <v>0</v>
      </c>
      <c r="T80" s="179">
        <f ca="1">IF(ISNUMBER(MATCH(DATEVALUE($A80),'recurring1_based on steps'!T$1:T$400,0)),T$2,)</f>
        <v>0</v>
      </c>
      <c r="U80" s="179">
        <f ca="1">IF(ISNUMBER(MATCH(DATEVALUE($A80),'recurring1_based on steps'!U$1:U$400,0)),U$2,)</f>
        <v>0</v>
      </c>
      <c r="V80" s="179">
        <f ca="1">IF(ISNUMBER(MATCH(DATEVALUE($A80),'recurring1_based on steps'!V$1:V$400,0)),V$2,)</f>
        <v>0</v>
      </c>
      <c r="W80" s="179">
        <f ca="1">IF(ISNUMBER(MATCH(DATEVALUE($A80),'recurring1_based on steps'!W$1:W$400,0)),W$2,)</f>
        <v>0</v>
      </c>
      <c r="X80" s="179">
        <f ca="1">IF(ISNUMBER(MATCH(DATEVALUE($A80),'recurring1_based on steps'!X$1:X$400,0)),X$2,)</f>
        <v>0</v>
      </c>
      <c r="Y80" s="179">
        <f ca="1">IF(ISNUMBER(MATCH(DATEVALUE($A80),'recurring1_based on steps'!Y$1:Y$400,0)),Y$2,)</f>
        <v>0</v>
      </c>
      <c r="Z80" s="179">
        <f ca="1">IF(ISNUMBER(MATCH(DATEVALUE($A80),'recurring1_based on steps'!Z$1:Z$400,0)),Z$2,)</f>
        <v>0</v>
      </c>
      <c r="AA80" s="179">
        <f ca="1">IF(ISNUMBER(MATCH(DATEVALUE($A80),'recurring1_based on steps'!AA$1:AA$400,0)),AA$2,)</f>
        <v>0</v>
      </c>
      <c r="AB80" s="179">
        <f ca="1">IF(ISNUMBER(MATCH(DATEVALUE($A80),'recurring1_based on steps'!AB$1:AB$400,0)),AB$2,)</f>
        <v>0</v>
      </c>
      <c r="AC80" s="179">
        <f ca="1">IF(ISNUMBER(MATCH(DATEVALUE($A80),'recurring1_based on steps'!AC$1:AC$400,0)),AC$2,)</f>
        <v>0</v>
      </c>
      <c r="AD80" s="179">
        <f ca="1">IF(ISNUMBER(MATCH(DATEVALUE($A80),'recurring1_based on steps'!AD$1:AD$400,0)),AD$2,)</f>
        <v>0</v>
      </c>
      <c r="AE80" s="179">
        <f ca="1">IF(ISNUMBER(MATCH(DATEVALUE($A80),'recurring1_based on steps'!AE$1:AE$400,0)),AE$2,)</f>
        <v>0</v>
      </c>
      <c r="AF80" s="179">
        <f ca="1">IF(ISNUMBER(MATCH(DATEVALUE($A80),'recurring1_based on steps'!AF$1:AF$400,0)),AF$2,)</f>
        <v>0</v>
      </c>
      <c r="AG80" s="179">
        <f ca="1">IF(ISNUMBER(MATCH(DATEVALUE($A80),'recurring1_based on steps'!AG$1:AG$400,0)),AG$2,)</f>
        <v>0</v>
      </c>
      <c r="AH80" s="179">
        <f ca="1">IF(ISNUMBER(MATCH(DATEVALUE($A80),'recurring1_based on steps'!AH$1:AH$400,0)),AH$2,)</f>
        <v>0</v>
      </c>
      <c r="AI80" s="179">
        <f ca="1">IF(ISNUMBER(MATCH(DATEVALUE($A80),'recurring1_based on steps'!AI$1:AI$400,0)),AI$2,)</f>
        <v>0</v>
      </c>
      <c r="AJ80" s="179">
        <f ca="1">IF(ISNUMBER(MATCH(DATEVALUE($A80),'recurring1_based on steps'!AJ$1:AJ$400,0)),AJ$2,)</f>
        <v>0</v>
      </c>
      <c r="AK80" s="179">
        <f ca="1">IF(ISNUMBER(MATCH(DATEVALUE($A80),'recurring1_based on steps'!AK$1:AK$400,0)),AK$2,)</f>
        <v>0</v>
      </c>
      <c r="AL80" s="179">
        <f ca="1">IF(ISNUMBER(MATCH(DATEVALUE($A80),'recurring1_based on steps'!AL$1:AL$400,0)),AL$2,)</f>
        <v>0</v>
      </c>
      <c r="AM80" s="179">
        <f ca="1">IF(ISNUMBER(MATCH(DATEVALUE($A80),'recurring1_based on steps'!AM$1:AM$400,0)),AM$2,)</f>
        <v>0</v>
      </c>
      <c r="AN80" s="179">
        <f ca="1">IF(ISNUMBER(MATCH(DATEVALUE($A80),'recurring1_based on steps'!AN$1:AN$400,0)),AN$2,)</f>
        <v>0</v>
      </c>
      <c r="AO80" s="179">
        <f ca="1">IF(ISNUMBER(MATCH(DATEVALUE($A80),'recurring1_based on steps'!AO$1:AO$400,0)),AO$2,)</f>
        <v>0</v>
      </c>
      <c r="AP80" s="179">
        <f ca="1">IF(ISNUMBER(MATCH(DATEVALUE($A80),'recurring1_based on steps'!AP$1:AP$400,0)),AP$2,)</f>
        <v>0</v>
      </c>
      <c r="AQ80" s="179">
        <f ca="1">IF(ISNUMBER(MATCH(DATEVALUE($A80),'recurring1_based on steps'!AQ$1:AQ$400,0)),AQ$2,)</f>
        <v>0</v>
      </c>
      <c r="AR80" s="179">
        <f ca="1">IF(ISNUMBER(MATCH(DATEVALUE($A80),'recurring1_based on steps'!AR$1:AR$400,0)),AR$2,)</f>
        <v>0</v>
      </c>
      <c r="AS80" s="179">
        <f ca="1">IF(ISNUMBER(MATCH(DATEVALUE($A80),'recurring1_based on steps'!AS$1:AS$400,0)),AS$2,)</f>
        <v>0</v>
      </c>
      <c r="AT80" s="179">
        <f ca="1">IF(ISNUMBER(MATCH(DATEVALUE($A80),'recurring1_based on steps'!AT$1:AT$400,0)),AT$2,)</f>
        <v>0</v>
      </c>
      <c r="AU80" s="179">
        <f ca="1">IF(ISNUMBER(MATCH(DATEVALUE($A80),'recurring1_based on steps'!AU$1:AU$400,0)),AU$2,)</f>
        <v>0</v>
      </c>
      <c r="AV80" s="179">
        <f ca="1">IF(ISNUMBER(MATCH(DATEVALUE($A80),'recurring1_based on steps'!AV$1:AV$400,0)),AV$2,)</f>
        <v>0</v>
      </c>
      <c r="AW80" s="179">
        <f ca="1">IF(ISNUMBER(MATCH(DATEVALUE($A80),'recurring1_based on steps'!AW$1:AW$400,0)),AW$2,)</f>
        <v>0</v>
      </c>
      <c r="AX80" s="179">
        <f ca="1">IF(ISNUMBER(MATCH(DATEVALUE($A80),'recurring1_based on steps'!AX$1:AX$400,0)),AX$2,)</f>
        <v>0</v>
      </c>
      <c r="AY80" s="179">
        <f ca="1">IF(ISNUMBER(MATCH(DATEVALUE($A80),'recurring1_based on steps'!AY$1:AY$400,0)),AY$2,)</f>
        <v>0</v>
      </c>
    </row>
    <row r="81" spans="1:51" x14ac:dyDescent="0.2">
      <c r="A81" s="32" t="str">
        <f t="shared" ca="1" si="1"/>
        <v>2025-06-15</v>
      </c>
      <c r="B81" s="179">
        <f ca="1">IF(ISNUMBER(MATCH(DATEVALUE($A81),'recurring1_based on steps'!B$1:B$400,0)),B$2,)</f>
        <v>0</v>
      </c>
      <c r="C81" s="179">
        <f ca="1">IF(ISNUMBER(MATCH(DATEVALUE($A81),'recurring1_based on steps'!C$1:C$400,0)),C$2,)</f>
        <v>0</v>
      </c>
      <c r="D81" s="179">
        <f ca="1">IF(ISNUMBER(MATCH(DATEVALUE($A81),'recurring1_based on steps'!D$1:D$400,0)),D$2,)</f>
        <v>0</v>
      </c>
      <c r="E81" s="179">
        <f ca="1">IF(ISNUMBER(MATCH(DATEVALUE($A81),'recurring1_based on steps'!E$1:E$400,0)),E$2,)</f>
        <v>0</v>
      </c>
      <c r="F81" s="179">
        <f ca="1">IF(ISNUMBER(MATCH(DATEVALUE($A81),'recurring1_based on steps'!F$1:F$400,0)),F$2,)</f>
        <v>0</v>
      </c>
      <c r="G81" s="179">
        <f ca="1">IF(ISNUMBER(MATCH(DATEVALUE($A81),'recurring1_based on steps'!G$1:G$400,0)),G$2,)</f>
        <v>0</v>
      </c>
      <c r="H81" s="179">
        <f ca="1">IF(ISNUMBER(MATCH(DATEVALUE($A81),'recurring1_based on steps'!H$1:H$400,0)),H$2,)</f>
        <v>0</v>
      </c>
      <c r="I81" s="179">
        <f ca="1">IF(ISNUMBER(MATCH(DATEVALUE($A81),'recurring1_based on steps'!I$1:I$400,0)),I$2,)</f>
        <v>0</v>
      </c>
      <c r="J81" s="179">
        <f ca="1">IF(ISNUMBER(MATCH(DATEVALUE($A81),'recurring1_based on steps'!J$1:J$400,0)),J$2,)</f>
        <v>0</v>
      </c>
      <c r="K81" s="179">
        <f ca="1">IF(ISNUMBER(MATCH(DATEVALUE($A81),'recurring1_based on steps'!K$1:K$400,0)),K$2,)</f>
        <v>0</v>
      </c>
      <c r="L81" s="179">
        <f ca="1">IF(ISNUMBER(MATCH(DATEVALUE($A81),'recurring1_based on steps'!L$1:L$400,0)),L$2,)</f>
        <v>0</v>
      </c>
      <c r="M81" s="179">
        <f ca="1">IF(ISNUMBER(MATCH(DATEVALUE($A81),'recurring1_based on steps'!M$1:M$400,0)),M$2,)</f>
        <v>0</v>
      </c>
      <c r="N81" s="179">
        <f ca="1">IF(ISNUMBER(MATCH(DATEVALUE($A81),'recurring1_based on steps'!N$1:N$400,0)),N$2,)</f>
        <v>0</v>
      </c>
      <c r="O81" s="179">
        <f ca="1">IF(ISNUMBER(MATCH(DATEVALUE($A81),'recurring1_based on steps'!O$1:O$400,0)),O$2,)</f>
        <v>0</v>
      </c>
      <c r="P81" s="179">
        <f ca="1">IF(ISNUMBER(MATCH(DATEVALUE($A81),'recurring1_based on steps'!P$1:P$400,0)),P$2,)</f>
        <v>0</v>
      </c>
      <c r="Q81" s="179">
        <f ca="1">IF(ISNUMBER(MATCH(DATEVALUE($A81),'recurring1_based on steps'!Q$1:Q$400,0)),Q$2,)</f>
        <v>0</v>
      </c>
      <c r="R81" s="179">
        <f ca="1">IF(ISNUMBER(MATCH(DATEVALUE($A81),'recurring1_based on steps'!R$1:R$400,0)),R$2,)</f>
        <v>0</v>
      </c>
      <c r="S81" s="179">
        <f ca="1">IF(ISNUMBER(MATCH(DATEVALUE($A81),'recurring1_based on steps'!S$1:S$400,0)),S$2,)</f>
        <v>0</v>
      </c>
      <c r="T81" s="179">
        <f ca="1">IF(ISNUMBER(MATCH(DATEVALUE($A81),'recurring1_based on steps'!T$1:T$400,0)),T$2,)</f>
        <v>0</v>
      </c>
      <c r="U81" s="179">
        <f ca="1">IF(ISNUMBER(MATCH(DATEVALUE($A81),'recurring1_based on steps'!U$1:U$400,0)),U$2,)</f>
        <v>0</v>
      </c>
      <c r="V81" s="179">
        <f ca="1">IF(ISNUMBER(MATCH(DATEVALUE($A81),'recurring1_based on steps'!V$1:V$400,0)),V$2,)</f>
        <v>0</v>
      </c>
      <c r="W81" s="179">
        <f ca="1">IF(ISNUMBER(MATCH(DATEVALUE($A81),'recurring1_based on steps'!W$1:W$400,0)),W$2,)</f>
        <v>0</v>
      </c>
      <c r="X81" s="179">
        <f ca="1">IF(ISNUMBER(MATCH(DATEVALUE($A81),'recurring1_based on steps'!X$1:X$400,0)),X$2,)</f>
        <v>0</v>
      </c>
      <c r="Y81" s="179">
        <f ca="1">IF(ISNUMBER(MATCH(DATEVALUE($A81),'recurring1_based on steps'!Y$1:Y$400,0)),Y$2,)</f>
        <v>0</v>
      </c>
      <c r="Z81" s="179">
        <f ca="1">IF(ISNUMBER(MATCH(DATEVALUE($A81),'recurring1_based on steps'!Z$1:Z$400,0)),Z$2,)</f>
        <v>0</v>
      </c>
      <c r="AA81" s="179">
        <f ca="1">IF(ISNUMBER(MATCH(DATEVALUE($A81),'recurring1_based on steps'!AA$1:AA$400,0)),AA$2,)</f>
        <v>0</v>
      </c>
      <c r="AB81" s="179">
        <f ca="1">IF(ISNUMBER(MATCH(DATEVALUE($A81),'recurring1_based on steps'!AB$1:AB$400,0)),AB$2,)</f>
        <v>0</v>
      </c>
      <c r="AC81" s="179">
        <f ca="1">IF(ISNUMBER(MATCH(DATEVALUE($A81),'recurring1_based on steps'!AC$1:AC$400,0)),AC$2,)</f>
        <v>0</v>
      </c>
      <c r="AD81" s="179">
        <f ca="1">IF(ISNUMBER(MATCH(DATEVALUE($A81),'recurring1_based on steps'!AD$1:AD$400,0)),AD$2,)</f>
        <v>0</v>
      </c>
      <c r="AE81" s="179">
        <f ca="1">IF(ISNUMBER(MATCH(DATEVALUE($A81),'recurring1_based on steps'!AE$1:AE$400,0)),AE$2,)</f>
        <v>0</v>
      </c>
      <c r="AF81" s="179">
        <f ca="1">IF(ISNUMBER(MATCH(DATEVALUE($A81),'recurring1_based on steps'!AF$1:AF$400,0)),AF$2,)</f>
        <v>0</v>
      </c>
      <c r="AG81" s="179">
        <f ca="1">IF(ISNUMBER(MATCH(DATEVALUE($A81),'recurring1_based on steps'!AG$1:AG$400,0)),AG$2,)</f>
        <v>0</v>
      </c>
      <c r="AH81" s="179">
        <f ca="1">IF(ISNUMBER(MATCH(DATEVALUE($A81),'recurring1_based on steps'!AH$1:AH$400,0)),AH$2,)</f>
        <v>0</v>
      </c>
      <c r="AI81" s="179">
        <f ca="1">IF(ISNUMBER(MATCH(DATEVALUE($A81),'recurring1_based on steps'!AI$1:AI$400,0)),AI$2,)</f>
        <v>0</v>
      </c>
      <c r="AJ81" s="179">
        <f ca="1">IF(ISNUMBER(MATCH(DATEVALUE($A81),'recurring1_based on steps'!AJ$1:AJ$400,0)),AJ$2,)</f>
        <v>0</v>
      </c>
      <c r="AK81" s="179">
        <f ca="1">IF(ISNUMBER(MATCH(DATEVALUE($A81),'recurring1_based on steps'!AK$1:AK$400,0)),AK$2,)</f>
        <v>0</v>
      </c>
      <c r="AL81" s="179">
        <f ca="1">IF(ISNUMBER(MATCH(DATEVALUE($A81),'recurring1_based on steps'!AL$1:AL$400,0)),AL$2,)</f>
        <v>0</v>
      </c>
      <c r="AM81" s="179">
        <f ca="1">IF(ISNUMBER(MATCH(DATEVALUE($A81),'recurring1_based on steps'!AM$1:AM$400,0)),AM$2,)</f>
        <v>0</v>
      </c>
      <c r="AN81" s="179">
        <f ca="1">IF(ISNUMBER(MATCH(DATEVALUE($A81),'recurring1_based on steps'!AN$1:AN$400,0)),AN$2,)</f>
        <v>0</v>
      </c>
      <c r="AO81" s="179">
        <f ca="1">IF(ISNUMBER(MATCH(DATEVALUE($A81),'recurring1_based on steps'!AO$1:AO$400,0)),AO$2,)</f>
        <v>0</v>
      </c>
      <c r="AP81" s="179">
        <f ca="1">IF(ISNUMBER(MATCH(DATEVALUE($A81),'recurring1_based on steps'!AP$1:AP$400,0)),AP$2,)</f>
        <v>0</v>
      </c>
      <c r="AQ81" s="179">
        <f ca="1">IF(ISNUMBER(MATCH(DATEVALUE($A81),'recurring1_based on steps'!AQ$1:AQ$400,0)),AQ$2,)</f>
        <v>0</v>
      </c>
      <c r="AR81" s="179">
        <f ca="1">IF(ISNUMBER(MATCH(DATEVALUE($A81),'recurring1_based on steps'!AR$1:AR$400,0)),AR$2,)</f>
        <v>0</v>
      </c>
      <c r="AS81" s="179">
        <f ca="1">IF(ISNUMBER(MATCH(DATEVALUE($A81),'recurring1_based on steps'!AS$1:AS$400,0)),AS$2,)</f>
        <v>0</v>
      </c>
      <c r="AT81" s="179">
        <f ca="1">IF(ISNUMBER(MATCH(DATEVALUE($A81),'recurring1_based on steps'!AT$1:AT$400,0)),AT$2,)</f>
        <v>0</v>
      </c>
      <c r="AU81" s="179">
        <f ca="1">IF(ISNUMBER(MATCH(DATEVALUE($A81),'recurring1_based on steps'!AU$1:AU$400,0)),AU$2,)</f>
        <v>0</v>
      </c>
      <c r="AV81" s="179">
        <f ca="1">IF(ISNUMBER(MATCH(DATEVALUE($A81),'recurring1_based on steps'!AV$1:AV$400,0)),AV$2,)</f>
        <v>0</v>
      </c>
      <c r="AW81" s="179">
        <f ca="1">IF(ISNUMBER(MATCH(DATEVALUE($A81),'recurring1_based on steps'!AW$1:AW$400,0)),AW$2,)</f>
        <v>0</v>
      </c>
      <c r="AX81" s="179">
        <f ca="1">IF(ISNUMBER(MATCH(DATEVALUE($A81),'recurring1_based on steps'!AX$1:AX$400,0)),AX$2,)</f>
        <v>0</v>
      </c>
      <c r="AY81" s="179">
        <f ca="1">IF(ISNUMBER(MATCH(DATEVALUE($A81),'recurring1_based on steps'!AY$1:AY$400,0)),AY$2,)</f>
        <v>0</v>
      </c>
    </row>
    <row r="82" spans="1:51" x14ac:dyDescent="0.2">
      <c r="A82" s="32" t="str">
        <f t="shared" ca="1" si="1"/>
        <v>2025-06-16</v>
      </c>
      <c r="B82" s="179">
        <f ca="1">IF(ISNUMBER(MATCH(DATEVALUE($A82),'recurring1_based on steps'!B$1:B$400,0)),B$2,)</f>
        <v>0</v>
      </c>
      <c r="C82" s="179">
        <f ca="1">IF(ISNUMBER(MATCH(DATEVALUE($A82),'recurring1_based on steps'!C$1:C$400,0)),C$2,)</f>
        <v>0</v>
      </c>
      <c r="D82" s="179">
        <f ca="1">IF(ISNUMBER(MATCH(DATEVALUE($A82),'recurring1_based on steps'!D$1:D$400,0)),D$2,)</f>
        <v>0</v>
      </c>
      <c r="E82" s="179">
        <f ca="1">IF(ISNUMBER(MATCH(DATEVALUE($A82),'recurring1_based on steps'!E$1:E$400,0)),E$2,)</f>
        <v>0</v>
      </c>
      <c r="F82" s="179">
        <f ca="1">IF(ISNUMBER(MATCH(DATEVALUE($A82),'recurring1_based on steps'!F$1:F$400,0)),F$2,)</f>
        <v>0</v>
      </c>
      <c r="G82" s="179">
        <f ca="1">IF(ISNUMBER(MATCH(DATEVALUE($A82),'recurring1_based on steps'!G$1:G$400,0)),G$2,)</f>
        <v>0</v>
      </c>
      <c r="H82" s="179">
        <f ca="1">IF(ISNUMBER(MATCH(DATEVALUE($A82),'recurring1_based on steps'!H$1:H$400,0)),H$2,)</f>
        <v>0</v>
      </c>
      <c r="I82" s="179">
        <f ca="1">IF(ISNUMBER(MATCH(DATEVALUE($A82),'recurring1_based on steps'!I$1:I$400,0)),I$2,)</f>
        <v>0</v>
      </c>
      <c r="J82" s="179">
        <f ca="1">IF(ISNUMBER(MATCH(DATEVALUE($A82),'recurring1_based on steps'!J$1:J$400,0)),J$2,)</f>
        <v>0</v>
      </c>
      <c r="K82" s="179">
        <f ca="1">IF(ISNUMBER(MATCH(DATEVALUE($A82),'recurring1_based on steps'!K$1:K$400,0)),K$2,)</f>
        <v>0</v>
      </c>
      <c r="L82" s="179">
        <f ca="1">IF(ISNUMBER(MATCH(DATEVALUE($A82),'recurring1_based on steps'!L$1:L$400,0)),L$2,)</f>
        <v>0</v>
      </c>
      <c r="M82" s="179">
        <f ca="1">IF(ISNUMBER(MATCH(DATEVALUE($A82),'recurring1_based on steps'!M$1:M$400,0)),M$2,)</f>
        <v>0</v>
      </c>
      <c r="N82" s="179">
        <f ca="1">IF(ISNUMBER(MATCH(DATEVALUE($A82),'recurring1_based on steps'!N$1:N$400,0)),N$2,)</f>
        <v>0</v>
      </c>
      <c r="O82" s="179">
        <f ca="1">IF(ISNUMBER(MATCH(DATEVALUE($A82),'recurring1_based on steps'!O$1:O$400,0)),O$2,)</f>
        <v>0</v>
      </c>
      <c r="P82" s="179">
        <f ca="1">IF(ISNUMBER(MATCH(DATEVALUE($A82),'recurring1_based on steps'!P$1:P$400,0)),P$2,)</f>
        <v>0</v>
      </c>
      <c r="Q82" s="179">
        <f ca="1">IF(ISNUMBER(MATCH(DATEVALUE($A82),'recurring1_based on steps'!Q$1:Q$400,0)),Q$2,)</f>
        <v>0</v>
      </c>
      <c r="R82" s="179">
        <f ca="1">IF(ISNUMBER(MATCH(DATEVALUE($A82),'recurring1_based on steps'!R$1:R$400,0)),R$2,)</f>
        <v>0</v>
      </c>
      <c r="S82" s="179">
        <f ca="1">IF(ISNUMBER(MATCH(DATEVALUE($A82),'recurring1_based on steps'!S$1:S$400,0)),S$2,)</f>
        <v>0</v>
      </c>
      <c r="T82" s="179">
        <f ca="1">IF(ISNUMBER(MATCH(DATEVALUE($A82),'recurring1_based on steps'!T$1:T$400,0)),T$2,)</f>
        <v>0</v>
      </c>
      <c r="U82" s="179">
        <f ca="1">IF(ISNUMBER(MATCH(DATEVALUE($A82),'recurring1_based on steps'!U$1:U$400,0)),U$2,)</f>
        <v>0</v>
      </c>
      <c r="V82" s="179">
        <f ca="1">IF(ISNUMBER(MATCH(DATEVALUE($A82),'recurring1_based on steps'!V$1:V$400,0)),V$2,)</f>
        <v>0</v>
      </c>
      <c r="W82" s="179">
        <f ca="1">IF(ISNUMBER(MATCH(DATEVALUE($A82),'recurring1_based on steps'!W$1:W$400,0)),W$2,)</f>
        <v>0</v>
      </c>
      <c r="X82" s="179">
        <f ca="1">IF(ISNUMBER(MATCH(DATEVALUE($A82),'recurring1_based on steps'!X$1:X$400,0)),X$2,)</f>
        <v>0</v>
      </c>
      <c r="Y82" s="179">
        <f ca="1">IF(ISNUMBER(MATCH(DATEVALUE($A82),'recurring1_based on steps'!Y$1:Y$400,0)),Y$2,)</f>
        <v>0</v>
      </c>
      <c r="Z82" s="179">
        <f ca="1">IF(ISNUMBER(MATCH(DATEVALUE($A82),'recurring1_based on steps'!Z$1:Z$400,0)),Z$2,)</f>
        <v>0</v>
      </c>
      <c r="AA82" s="179">
        <f ca="1">IF(ISNUMBER(MATCH(DATEVALUE($A82),'recurring1_based on steps'!AA$1:AA$400,0)),AA$2,)</f>
        <v>0</v>
      </c>
      <c r="AB82" s="179">
        <f ca="1">IF(ISNUMBER(MATCH(DATEVALUE($A82),'recurring1_based on steps'!AB$1:AB$400,0)),AB$2,)</f>
        <v>0</v>
      </c>
      <c r="AC82" s="179">
        <f ca="1">IF(ISNUMBER(MATCH(DATEVALUE($A82),'recurring1_based on steps'!AC$1:AC$400,0)),AC$2,)</f>
        <v>0</v>
      </c>
      <c r="AD82" s="179">
        <f ca="1">IF(ISNUMBER(MATCH(DATEVALUE($A82),'recurring1_based on steps'!AD$1:AD$400,0)),AD$2,)</f>
        <v>0</v>
      </c>
      <c r="AE82" s="179">
        <f ca="1">IF(ISNUMBER(MATCH(DATEVALUE($A82),'recurring1_based on steps'!AE$1:AE$400,0)),AE$2,)</f>
        <v>0</v>
      </c>
      <c r="AF82" s="179">
        <f ca="1">IF(ISNUMBER(MATCH(DATEVALUE($A82),'recurring1_based on steps'!AF$1:AF$400,0)),AF$2,)</f>
        <v>0</v>
      </c>
      <c r="AG82" s="179">
        <f ca="1">IF(ISNUMBER(MATCH(DATEVALUE($A82),'recurring1_based on steps'!AG$1:AG$400,0)),AG$2,)</f>
        <v>0</v>
      </c>
      <c r="AH82" s="179">
        <f ca="1">IF(ISNUMBER(MATCH(DATEVALUE($A82),'recurring1_based on steps'!AH$1:AH$400,0)),AH$2,)</f>
        <v>0</v>
      </c>
      <c r="AI82" s="179">
        <f ca="1">IF(ISNUMBER(MATCH(DATEVALUE($A82),'recurring1_based on steps'!AI$1:AI$400,0)),AI$2,)</f>
        <v>0</v>
      </c>
      <c r="AJ82" s="179">
        <f ca="1">IF(ISNUMBER(MATCH(DATEVALUE($A82),'recurring1_based on steps'!AJ$1:AJ$400,0)),AJ$2,)</f>
        <v>0</v>
      </c>
      <c r="AK82" s="179">
        <f ca="1">IF(ISNUMBER(MATCH(DATEVALUE($A82),'recurring1_based on steps'!AK$1:AK$400,0)),AK$2,)</f>
        <v>0</v>
      </c>
      <c r="AL82" s="179">
        <f ca="1">IF(ISNUMBER(MATCH(DATEVALUE($A82),'recurring1_based on steps'!AL$1:AL$400,0)),AL$2,)</f>
        <v>0</v>
      </c>
      <c r="AM82" s="179">
        <f ca="1">IF(ISNUMBER(MATCH(DATEVALUE($A82),'recurring1_based on steps'!AM$1:AM$400,0)),AM$2,)</f>
        <v>0</v>
      </c>
      <c r="AN82" s="179">
        <f ca="1">IF(ISNUMBER(MATCH(DATEVALUE($A82),'recurring1_based on steps'!AN$1:AN$400,0)),AN$2,)</f>
        <v>0</v>
      </c>
      <c r="AO82" s="179">
        <f ca="1">IF(ISNUMBER(MATCH(DATEVALUE($A82),'recurring1_based on steps'!AO$1:AO$400,0)),AO$2,)</f>
        <v>0</v>
      </c>
      <c r="AP82" s="179">
        <f ca="1">IF(ISNUMBER(MATCH(DATEVALUE($A82),'recurring1_based on steps'!AP$1:AP$400,0)),AP$2,)</f>
        <v>0</v>
      </c>
      <c r="AQ82" s="179">
        <f ca="1">IF(ISNUMBER(MATCH(DATEVALUE($A82),'recurring1_based on steps'!AQ$1:AQ$400,0)),AQ$2,)</f>
        <v>0</v>
      </c>
      <c r="AR82" s="179">
        <f ca="1">IF(ISNUMBER(MATCH(DATEVALUE($A82),'recurring1_based on steps'!AR$1:AR$400,0)),AR$2,)</f>
        <v>0</v>
      </c>
      <c r="AS82" s="179">
        <f ca="1">IF(ISNUMBER(MATCH(DATEVALUE($A82),'recurring1_based on steps'!AS$1:AS$400,0)),AS$2,)</f>
        <v>0</v>
      </c>
      <c r="AT82" s="179">
        <f ca="1">IF(ISNUMBER(MATCH(DATEVALUE($A82),'recurring1_based on steps'!AT$1:AT$400,0)),AT$2,)</f>
        <v>0</v>
      </c>
      <c r="AU82" s="179">
        <f ca="1">IF(ISNUMBER(MATCH(DATEVALUE($A82),'recurring1_based on steps'!AU$1:AU$400,0)),AU$2,)</f>
        <v>0</v>
      </c>
      <c r="AV82" s="179">
        <f ca="1">IF(ISNUMBER(MATCH(DATEVALUE($A82),'recurring1_based on steps'!AV$1:AV$400,0)),AV$2,)</f>
        <v>0</v>
      </c>
      <c r="AW82" s="179">
        <f ca="1">IF(ISNUMBER(MATCH(DATEVALUE($A82),'recurring1_based on steps'!AW$1:AW$400,0)),AW$2,)</f>
        <v>0</v>
      </c>
      <c r="AX82" s="179">
        <f ca="1">IF(ISNUMBER(MATCH(DATEVALUE($A82),'recurring1_based on steps'!AX$1:AX$400,0)),AX$2,)</f>
        <v>0</v>
      </c>
      <c r="AY82" s="179">
        <f ca="1">IF(ISNUMBER(MATCH(DATEVALUE($A82),'recurring1_based on steps'!AY$1:AY$400,0)),AY$2,)</f>
        <v>0</v>
      </c>
    </row>
    <row r="83" spans="1:51" x14ac:dyDescent="0.2">
      <c r="A83" s="32" t="str">
        <f t="shared" ca="1" si="1"/>
        <v>2025-06-17</v>
      </c>
      <c r="B83" s="179">
        <f ca="1">IF(ISNUMBER(MATCH(DATEVALUE($A83),'recurring1_based on steps'!B$1:B$400,0)),B$2,)</f>
        <v>0</v>
      </c>
      <c r="C83" s="179">
        <f ca="1">IF(ISNUMBER(MATCH(DATEVALUE($A83),'recurring1_based on steps'!C$1:C$400,0)),C$2,)</f>
        <v>0</v>
      </c>
      <c r="D83" s="179">
        <f ca="1">IF(ISNUMBER(MATCH(DATEVALUE($A83),'recurring1_based on steps'!D$1:D$400,0)),D$2,)</f>
        <v>0</v>
      </c>
      <c r="E83" s="179">
        <f ca="1">IF(ISNUMBER(MATCH(DATEVALUE($A83),'recurring1_based on steps'!E$1:E$400,0)),E$2,)</f>
        <v>0</v>
      </c>
      <c r="F83" s="179">
        <f ca="1">IF(ISNUMBER(MATCH(DATEVALUE($A83),'recurring1_based on steps'!F$1:F$400,0)),F$2,)</f>
        <v>0</v>
      </c>
      <c r="G83" s="179">
        <f ca="1">IF(ISNUMBER(MATCH(DATEVALUE($A83),'recurring1_based on steps'!G$1:G$400,0)),G$2,)</f>
        <v>0</v>
      </c>
      <c r="H83" s="179">
        <f ca="1">IF(ISNUMBER(MATCH(DATEVALUE($A83),'recurring1_based on steps'!H$1:H$400,0)),H$2,)</f>
        <v>0</v>
      </c>
      <c r="I83" s="179">
        <f ca="1">IF(ISNUMBER(MATCH(DATEVALUE($A83),'recurring1_based on steps'!I$1:I$400,0)),I$2,)</f>
        <v>0</v>
      </c>
      <c r="J83" s="179">
        <f ca="1">IF(ISNUMBER(MATCH(DATEVALUE($A83),'recurring1_based on steps'!J$1:J$400,0)),J$2,)</f>
        <v>0</v>
      </c>
      <c r="K83" s="179">
        <f ca="1">IF(ISNUMBER(MATCH(DATEVALUE($A83),'recurring1_based on steps'!K$1:K$400,0)),K$2,)</f>
        <v>0</v>
      </c>
      <c r="L83" s="179">
        <f ca="1">IF(ISNUMBER(MATCH(DATEVALUE($A83),'recurring1_based on steps'!L$1:L$400,0)),L$2,)</f>
        <v>0</v>
      </c>
      <c r="M83" s="179">
        <f ca="1">IF(ISNUMBER(MATCH(DATEVALUE($A83),'recurring1_based on steps'!M$1:M$400,0)),M$2,)</f>
        <v>0</v>
      </c>
      <c r="N83" s="179">
        <f ca="1">IF(ISNUMBER(MATCH(DATEVALUE($A83),'recurring1_based on steps'!N$1:N$400,0)),N$2,)</f>
        <v>0</v>
      </c>
      <c r="O83" s="179">
        <f ca="1">IF(ISNUMBER(MATCH(DATEVALUE($A83),'recurring1_based on steps'!O$1:O$400,0)),O$2,)</f>
        <v>0</v>
      </c>
      <c r="P83" s="179">
        <f ca="1">IF(ISNUMBER(MATCH(DATEVALUE($A83),'recurring1_based on steps'!P$1:P$400,0)),P$2,)</f>
        <v>0</v>
      </c>
      <c r="Q83" s="179">
        <f ca="1">IF(ISNUMBER(MATCH(DATEVALUE($A83),'recurring1_based on steps'!Q$1:Q$400,0)),Q$2,)</f>
        <v>0</v>
      </c>
      <c r="R83" s="179">
        <f ca="1">IF(ISNUMBER(MATCH(DATEVALUE($A83),'recurring1_based on steps'!R$1:R$400,0)),R$2,)</f>
        <v>0</v>
      </c>
      <c r="S83" s="179">
        <f ca="1">IF(ISNUMBER(MATCH(DATEVALUE($A83),'recurring1_based on steps'!S$1:S$400,0)),S$2,)</f>
        <v>0</v>
      </c>
      <c r="T83" s="179">
        <f ca="1">IF(ISNUMBER(MATCH(DATEVALUE($A83),'recurring1_based on steps'!T$1:T$400,0)),T$2,)</f>
        <v>0</v>
      </c>
      <c r="U83" s="179">
        <f ca="1">IF(ISNUMBER(MATCH(DATEVALUE($A83),'recurring1_based on steps'!U$1:U$400,0)),U$2,)</f>
        <v>0</v>
      </c>
      <c r="V83" s="179">
        <f ca="1">IF(ISNUMBER(MATCH(DATEVALUE($A83),'recurring1_based on steps'!V$1:V$400,0)),V$2,)</f>
        <v>0</v>
      </c>
      <c r="W83" s="179">
        <f ca="1">IF(ISNUMBER(MATCH(DATEVALUE($A83),'recurring1_based on steps'!W$1:W$400,0)),W$2,)</f>
        <v>0</v>
      </c>
      <c r="X83" s="179">
        <f ca="1">IF(ISNUMBER(MATCH(DATEVALUE($A83),'recurring1_based on steps'!X$1:X$400,0)),X$2,)</f>
        <v>0</v>
      </c>
      <c r="Y83" s="179">
        <f ca="1">IF(ISNUMBER(MATCH(DATEVALUE($A83),'recurring1_based on steps'!Y$1:Y$400,0)),Y$2,)</f>
        <v>0</v>
      </c>
      <c r="Z83" s="179">
        <f ca="1">IF(ISNUMBER(MATCH(DATEVALUE($A83),'recurring1_based on steps'!Z$1:Z$400,0)),Z$2,)</f>
        <v>0</v>
      </c>
      <c r="AA83" s="179">
        <f ca="1">IF(ISNUMBER(MATCH(DATEVALUE($A83),'recurring1_based on steps'!AA$1:AA$400,0)),AA$2,)</f>
        <v>0</v>
      </c>
      <c r="AB83" s="179">
        <f ca="1">IF(ISNUMBER(MATCH(DATEVALUE($A83),'recurring1_based on steps'!AB$1:AB$400,0)),AB$2,)</f>
        <v>0</v>
      </c>
      <c r="AC83" s="179">
        <f ca="1">IF(ISNUMBER(MATCH(DATEVALUE($A83),'recurring1_based on steps'!AC$1:AC$400,0)),AC$2,)</f>
        <v>0</v>
      </c>
      <c r="AD83" s="179">
        <f ca="1">IF(ISNUMBER(MATCH(DATEVALUE($A83),'recurring1_based on steps'!AD$1:AD$400,0)),AD$2,)</f>
        <v>0</v>
      </c>
      <c r="AE83" s="179">
        <f ca="1">IF(ISNUMBER(MATCH(DATEVALUE($A83),'recurring1_based on steps'!AE$1:AE$400,0)),AE$2,)</f>
        <v>0</v>
      </c>
      <c r="AF83" s="179">
        <f ca="1">IF(ISNUMBER(MATCH(DATEVALUE($A83),'recurring1_based on steps'!AF$1:AF$400,0)),AF$2,)</f>
        <v>0</v>
      </c>
      <c r="AG83" s="179">
        <f ca="1">IF(ISNUMBER(MATCH(DATEVALUE($A83),'recurring1_based on steps'!AG$1:AG$400,0)),AG$2,)</f>
        <v>0</v>
      </c>
      <c r="AH83" s="179">
        <f ca="1">IF(ISNUMBER(MATCH(DATEVALUE($A83),'recurring1_based on steps'!AH$1:AH$400,0)),AH$2,)</f>
        <v>0</v>
      </c>
      <c r="AI83" s="179">
        <f ca="1">IF(ISNUMBER(MATCH(DATEVALUE($A83),'recurring1_based on steps'!AI$1:AI$400,0)),AI$2,)</f>
        <v>0</v>
      </c>
      <c r="AJ83" s="179">
        <f ca="1">IF(ISNUMBER(MATCH(DATEVALUE($A83),'recurring1_based on steps'!AJ$1:AJ$400,0)),AJ$2,)</f>
        <v>0</v>
      </c>
      <c r="AK83" s="179">
        <f ca="1">IF(ISNUMBER(MATCH(DATEVALUE($A83),'recurring1_based on steps'!AK$1:AK$400,0)),AK$2,)</f>
        <v>0</v>
      </c>
      <c r="AL83" s="179">
        <f ca="1">IF(ISNUMBER(MATCH(DATEVALUE($A83),'recurring1_based on steps'!AL$1:AL$400,0)),AL$2,)</f>
        <v>0</v>
      </c>
      <c r="AM83" s="179">
        <f ca="1">IF(ISNUMBER(MATCH(DATEVALUE($A83),'recurring1_based on steps'!AM$1:AM$400,0)),AM$2,)</f>
        <v>0</v>
      </c>
      <c r="AN83" s="179">
        <f ca="1">IF(ISNUMBER(MATCH(DATEVALUE($A83),'recurring1_based on steps'!AN$1:AN$400,0)),AN$2,)</f>
        <v>0</v>
      </c>
      <c r="AO83" s="179">
        <f ca="1">IF(ISNUMBER(MATCH(DATEVALUE($A83),'recurring1_based on steps'!AO$1:AO$400,0)),AO$2,)</f>
        <v>0</v>
      </c>
      <c r="AP83" s="179">
        <f ca="1">IF(ISNUMBER(MATCH(DATEVALUE($A83),'recurring1_based on steps'!AP$1:AP$400,0)),AP$2,)</f>
        <v>0</v>
      </c>
      <c r="AQ83" s="179">
        <f ca="1">IF(ISNUMBER(MATCH(DATEVALUE($A83),'recurring1_based on steps'!AQ$1:AQ$400,0)),AQ$2,)</f>
        <v>0</v>
      </c>
      <c r="AR83" s="179">
        <f ca="1">IF(ISNUMBER(MATCH(DATEVALUE($A83),'recurring1_based on steps'!AR$1:AR$400,0)),AR$2,)</f>
        <v>0</v>
      </c>
      <c r="AS83" s="179">
        <f ca="1">IF(ISNUMBER(MATCH(DATEVALUE($A83),'recurring1_based on steps'!AS$1:AS$400,0)),AS$2,)</f>
        <v>0</v>
      </c>
      <c r="AT83" s="179">
        <f ca="1">IF(ISNUMBER(MATCH(DATEVALUE($A83),'recurring1_based on steps'!AT$1:AT$400,0)),AT$2,)</f>
        <v>0</v>
      </c>
      <c r="AU83" s="179">
        <f ca="1">IF(ISNUMBER(MATCH(DATEVALUE($A83),'recurring1_based on steps'!AU$1:AU$400,0)),AU$2,)</f>
        <v>0</v>
      </c>
      <c r="AV83" s="179">
        <f ca="1">IF(ISNUMBER(MATCH(DATEVALUE($A83),'recurring1_based on steps'!AV$1:AV$400,0)),AV$2,)</f>
        <v>0</v>
      </c>
      <c r="AW83" s="179">
        <f ca="1">IF(ISNUMBER(MATCH(DATEVALUE($A83),'recurring1_based on steps'!AW$1:AW$400,0)),AW$2,)</f>
        <v>0</v>
      </c>
      <c r="AX83" s="179">
        <f ca="1">IF(ISNUMBER(MATCH(DATEVALUE($A83),'recurring1_based on steps'!AX$1:AX$400,0)),AX$2,)</f>
        <v>0</v>
      </c>
      <c r="AY83" s="179">
        <f ca="1">IF(ISNUMBER(MATCH(DATEVALUE($A83),'recurring1_based on steps'!AY$1:AY$400,0)),AY$2,)</f>
        <v>0</v>
      </c>
    </row>
    <row r="84" spans="1:51" x14ac:dyDescent="0.2">
      <c r="A84" s="32" t="str">
        <f t="shared" ca="1" si="1"/>
        <v>2025-06-18</v>
      </c>
      <c r="B84" s="179">
        <f ca="1">IF(ISNUMBER(MATCH(DATEVALUE($A84),'recurring1_based on steps'!B$1:B$400,0)),B$2,)</f>
        <v>0</v>
      </c>
      <c r="C84" s="179">
        <f ca="1">IF(ISNUMBER(MATCH(DATEVALUE($A84),'recurring1_based on steps'!C$1:C$400,0)),C$2,)</f>
        <v>0</v>
      </c>
      <c r="D84" s="179">
        <f ca="1">IF(ISNUMBER(MATCH(DATEVALUE($A84),'recurring1_based on steps'!D$1:D$400,0)),D$2,)</f>
        <v>0</v>
      </c>
      <c r="E84" s="179">
        <f ca="1">IF(ISNUMBER(MATCH(DATEVALUE($A84),'recurring1_based on steps'!E$1:E$400,0)),E$2,)</f>
        <v>0</v>
      </c>
      <c r="F84" s="179">
        <f ca="1">IF(ISNUMBER(MATCH(DATEVALUE($A84),'recurring1_based on steps'!F$1:F$400,0)),F$2,)</f>
        <v>0</v>
      </c>
      <c r="G84" s="179">
        <f ca="1">IF(ISNUMBER(MATCH(DATEVALUE($A84),'recurring1_based on steps'!G$1:G$400,0)),G$2,)</f>
        <v>0</v>
      </c>
      <c r="H84" s="179">
        <f ca="1">IF(ISNUMBER(MATCH(DATEVALUE($A84),'recurring1_based on steps'!H$1:H$400,0)),H$2,)</f>
        <v>0</v>
      </c>
      <c r="I84" s="179">
        <f ca="1">IF(ISNUMBER(MATCH(DATEVALUE($A84),'recurring1_based on steps'!I$1:I$400,0)),I$2,)</f>
        <v>0</v>
      </c>
      <c r="J84" s="179">
        <f ca="1">IF(ISNUMBER(MATCH(DATEVALUE($A84),'recurring1_based on steps'!J$1:J$400,0)),J$2,)</f>
        <v>0</v>
      </c>
      <c r="K84" s="179">
        <f ca="1">IF(ISNUMBER(MATCH(DATEVALUE($A84),'recurring1_based on steps'!K$1:K$400,0)),K$2,)</f>
        <v>0</v>
      </c>
      <c r="L84" s="179">
        <f ca="1">IF(ISNUMBER(MATCH(DATEVALUE($A84),'recurring1_based on steps'!L$1:L$400,0)),L$2,)</f>
        <v>0</v>
      </c>
      <c r="M84" s="179">
        <f ca="1">IF(ISNUMBER(MATCH(DATEVALUE($A84),'recurring1_based on steps'!M$1:M$400,0)),M$2,)</f>
        <v>0</v>
      </c>
      <c r="N84" s="179">
        <f ca="1">IF(ISNUMBER(MATCH(DATEVALUE($A84),'recurring1_based on steps'!N$1:N$400,0)),N$2,)</f>
        <v>0</v>
      </c>
      <c r="O84" s="179">
        <f ca="1">IF(ISNUMBER(MATCH(DATEVALUE($A84),'recurring1_based on steps'!O$1:O$400,0)),O$2,)</f>
        <v>0</v>
      </c>
      <c r="P84" s="179">
        <f ca="1">IF(ISNUMBER(MATCH(DATEVALUE($A84),'recurring1_based on steps'!P$1:P$400,0)),P$2,)</f>
        <v>0</v>
      </c>
      <c r="Q84" s="179">
        <f ca="1">IF(ISNUMBER(MATCH(DATEVALUE($A84),'recurring1_based on steps'!Q$1:Q$400,0)),Q$2,)</f>
        <v>0</v>
      </c>
      <c r="R84" s="179">
        <f ca="1">IF(ISNUMBER(MATCH(DATEVALUE($A84),'recurring1_based on steps'!R$1:R$400,0)),R$2,)</f>
        <v>0</v>
      </c>
      <c r="S84" s="179">
        <f ca="1">IF(ISNUMBER(MATCH(DATEVALUE($A84),'recurring1_based on steps'!S$1:S$400,0)),S$2,)</f>
        <v>0</v>
      </c>
      <c r="T84" s="179">
        <f ca="1">IF(ISNUMBER(MATCH(DATEVALUE($A84),'recurring1_based on steps'!T$1:T$400,0)),T$2,)</f>
        <v>0</v>
      </c>
      <c r="U84" s="179">
        <f ca="1">IF(ISNUMBER(MATCH(DATEVALUE($A84),'recurring1_based on steps'!U$1:U$400,0)),U$2,)</f>
        <v>0</v>
      </c>
      <c r="V84" s="179">
        <f ca="1">IF(ISNUMBER(MATCH(DATEVALUE($A84),'recurring1_based on steps'!V$1:V$400,0)),V$2,)</f>
        <v>0</v>
      </c>
      <c r="W84" s="179">
        <f ca="1">IF(ISNUMBER(MATCH(DATEVALUE($A84),'recurring1_based on steps'!W$1:W$400,0)),W$2,)</f>
        <v>0</v>
      </c>
      <c r="X84" s="179">
        <f ca="1">IF(ISNUMBER(MATCH(DATEVALUE($A84),'recurring1_based on steps'!X$1:X$400,0)),X$2,)</f>
        <v>0</v>
      </c>
      <c r="Y84" s="179">
        <f ca="1">IF(ISNUMBER(MATCH(DATEVALUE($A84),'recurring1_based on steps'!Y$1:Y$400,0)),Y$2,)</f>
        <v>0</v>
      </c>
      <c r="Z84" s="179">
        <f ca="1">IF(ISNUMBER(MATCH(DATEVALUE($A84),'recurring1_based on steps'!Z$1:Z$400,0)),Z$2,)</f>
        <v>0</v>
      </c>
      <c r="AA84" s="179">
        <f ca="1">IF(ISNUMBER(MATCH(DATEVALUE($A84),'recurring1_based on steps'!AA$1:AA$400,0)),AA$2,)</f>
        <v>0</v>
      </c>
      <c r="AB84" s="179">
        <f ca="1">IF(ISNUMBER(MATCH(DATEVALUE($A84),'recurring1_based on steps'!AB$1:AB$400,0)),AB$2,)</f>
        <v>0</v>
      </c>
      <c r="AC84" s="179">
        <f ca="1">IF(ISNUMBER(MATCH(DATEVALUE($A84),'recurring1_based on steps'!AC$1:AC$400,0)),AC$2,)</f>
        <v>0</v>
      </c>
      <c r="AD84" s="179">
        <f ca="1">IF(ISNUMBER(MATCH(DATEVALUE($A84),'recurring1_based on steps'!AD$1:AD$400,0)),AD$2,)</f>
        <v>0</v>
      </c>
      <c r="AE84" s="179">
        <f ca="1">IF(ISNUMBER(MATCH(DATEVALUE($A84),'recurring1_based on steps'!AE$1:AE$400,0)),AE$2,)</f>
        <v>0</v>
      </c>
      <c r="AF84" s="179">
        <f ca="1">IF(ISNUMBER(MATCH(DATEVALUE($A84),'recurring1_based on steps'!AF$1:AF$400,0)),AF$2,)</f>
        <v>0</v>
      </c>
      <c r="AG84" s="179">
        <f ca="1">IF(ISNUMBER(MATCH(DATEVALUE($A84),'recurring1_based on steps'!AG$1:AG$400,0)),AG$2,)</f>
        <v>0</v>
      </c>
      <c r="AH84" s="179">
        <f ca="1">IF(ISNUMBER(MATCH(DATEVALUE($A84),'recurring1_based on steps'!AH$1:AH$400,0)),AH$2,)</f>
        <v>0</v>
      </c>
      <c r="AI84" s="179">
        <f ca="1">IF(ISNUMBER(MATCH(DATEVALUE($A84),'recurring1_based on steps'!AI$1:AI$400,0)),AI$2,)</f>
        <v>0</v>
      </c>
      <c r="AJ84" s="179">
        <f ca="1">IF(ISNUMBER(MATCH(DATEVALUE($A84),'recurring1_based on steps'!AJ$1:AJ$400,0)),AJ$2,)</f>
        <v>0</v>
      </c>
      <c r="AK84" s="179">
        <f ca="1">IF(ISNUMBER(MATCH(DATEVALUE($A84),'recurring1_based on steps'!AK$1:AK$400,0)),AK$2,)</f>
        <v>0</v>
      </c>
      <c r="AL84" s="179">
        <f ca="1">IF(ISNUMBER(MATCH(DATEVALUE($A84),'recurring1_based on steps'!AL$1:AL$400,0)),AL$2,)</f>
        <v>0</v>
      </c>
      <c r="AM84" s="179">
        <f ca="1">IF(ISNUMBER(MATCH(DATEVALUE($A84),'recurring1_based on steps'!AM$1:AM$400,0)),AM$2,)</f>
        <v>0</v>
      </c>
      <c r="AN84" s="179">
        <f ca="1">IF(ISNUMBER(MATCH(DATEVALUE($A84),'recurring1_based on steps'!AN$1:AN$400,0)),AN$2,)</f>
        <v>0</v>
      </c>
      <c r="AO84" s="179">
        <f ca="1">IF(ISNUMBER(MATCH(DATEVALUE($A84),'recurring1_based on steps'!AO$1:AO$400,0)),AO$2,)</f>
        <v>0</v>
      </c>
      <c r="AP84" s="179">
        <f ca="1">IF(ISNUMBER(MATCH(DATEVALUE($A84),'recurring1_based on steps'!AP$1:AP$400,0)),AP$2,)</f>
        <v>0</v>
      </c>
      <c r="AQ84" s="179">
        <f ca="1">IF(ISNUMBER(MATCH(DATEVALUE($A84),'recurring1_based on steps'!AQ$1:AQ$400,0)),AQ$2,)</f>
        <v>0</v>
      </c>
      <c r="AR84" s="179">
        <f ca="1">IF(ISNUMBER(MATCH(DATEVALUE($A84),'recurring1_based on steps'!AR$1:AR$400,0)),AR$2,)</f>
        <v>0</v>
      </c>
      <c r="AS84" s="179">
        <f ca="1">IF(ISNUMBER(MATCH(DATEVALUE($A84),'recurring1_based on steps'!AS$1:AS$400,0)),AS$2,)</f>
        <v>0</v>
      </c>
      <c r="AT84" s="179">
        <f ca="1">IF(ISNUMBER(MATCH(DATEVALUE($A84),'recurring1_based on steps'!AT$1:AT$400,0)),AT$2,)</f>
        <v>0</v>
      </c>
      <c r="AU84" s="179">
        <f ca="1">IF(ISNUMBER(MATCH(DATEVALUE($A84),'recurring1_based on steps'!AU$1:AU$400,0)),AU$2,)</f>
        <v>0</v>
      </c>
      <c r="AV84" s="179">
        <f ca="1">IF(ISNUMBER(MATCH(DATEVALUE($A84),'recurring1_based on steps'!AV$1:AV$400,0)),AV$2,)</f>
        <v>0</v>
      </c>
      <c r="AW84" s="179">
        <f ca="1">IF(ISNUMBER(MATCH(DATEVALUE($A84),'recurring1_based on steps'!AW$1:AW$400,0)),AW$2,)</f>
        <v>0</v>
      </c>
      <c r="AX84" s="179">
        <f ca="1">IF(ISNUMBER(MATCH(DATEVALUE($A84),'recurring1_based on steps'!AX$1:AX$400,0)),AX$2,)</f>
        <v>0</v>
      </c>
      <c r="AY84" s="179">
        <f ca="1">IF(ISNUMBER(MATCH(DATEVALUE($A84),'recurring1_based on steps'!AY$1:AY$400,0)),AY$2,)</f>
        <v>0</v>
      </c>
    </row>
    <row r="85" spans="1:51" x14ac:dyDescent="0.2">
      <c r="A85" s="32" t="str">
        <f t="shared" ca="1" si="1"/>
        <v>2025-06-19</v>
      </c>
      <c r="B85" s="179">
        <f ca="1">IF(ISNUMBER(MATCH(DATEVALUE($A85),'recurring1_based on steps'!B$1:B$400,0)),B$2,)</f>
        <v>0</v>
      </c>
      <c r="C85" s="179">
        <f ca="1">IF(ISNUMBER(MATCH(DATEVALUE($A85),'recurring1_based on steps'!C$1:C$400,0)),C$2,)</f>
        <v>0</v>
      </c>
      <c r="D85" s="179">
        <f ca="1">IF(ISNUMBER(MATCH(DATEVALUE($A85),'recurring1_based on steps'!D$1:D$400,0)),D$2,)</f>
        <v>0</v>
      </c>
      <c r="E85" s="179">
        <f ca="1">IF(ISNUMBER(MATCH(DATEVALUE($A85),'recurring1_based on steps'!E$1:E$400,0)),E$2,)</f>
        <v>0</v>
      </c>
      <c r="F85" s="179">
        <f ca="1">IF(ISNUMBER(MATCH(DATEVALUE($A85),'recurring1_based on steps'!F$1:F$400,0)),F$2,)</f>
        <v>0</v>
      </c>
      <c r="G85" s="179">
        <f ca="1">IF(ISNUMBER(MATCH(DATEVALUE($A85),'recurring1_based on steps'!G$1:G$400,0)),G$2,)</f>
        <v>0</v>
      </c>
      <c r="H85" s="179">
        <f ca="1">IF(ISNUMBER(MATCH(DATEVALUE($A85),'recurring1_based on steps'!H$1:H$400,0)),H$2,)</f>
        <v>0</v>
      </c>
      <c r="I85" s="179">
        <f ca="1">IF(ISNUMBER(MATCH(DATEVALUE($A85),'recurring1_based on steps'!I$1:I$400,0)),I$2,)</f>
        <v>0</v>
      </c>
      <c r="J85" s="179">
        <f ca="1">IF(ISNUMBER(MATCH(DATEVALUE($A85),'recurring1_based on steps'!J$1:J$400,0)),J$2,)</f>
        <v>0</v>
      </c>
      <c r="K85" s="179">
        <f ca="1">IF(ISNUMBER(MATCH(DATEVALUE($A85),'recurring1_based on steps'!K$1:K$400,0)),K$2,)</f>
        <v>0</v>
      </c>
      <c r="L85" s="179">
        <f ca="1">IF(ISNUMBER(MATCH(DATEVALUE($A85),'recurring1_based on steps'!L$1:L$400,0)),L$2,)</f>
        <v>0</v>
      </c>
      <c r="M85" s="179">
        <f ca="1">IF(ISNUMBER(MATCH(DATEVALUE($A85),'recurring1_based on steps'!M$1:M$400,0)),M$2,)</f>
        <v>0</v>
      </c>
      <c r="N85" s="179">
        <f ca="1">IF(ISNUMBER(MATCH(DATEVALUE($A85),'recurring1_based on steps'!N$1:N$400,0)),N$2,)</f>
        <v>0</v>
      </c>
      <c r="O85" s="179">
        <f ca="1">IF(ISNUMBER(MATCH(DATEVALUE($A85),'recurring1_based on steps'!O$1:O$400,0)),O$2,)</f>
        <v>0</v>
      </c>
      <c r="P85" s="179">
        <f ca="1">IF(ISNUMBER(MATCH(DATEVALUE($A85),'recurring1_based on steps'!P$1:P$400,0)),P$2,)</f>
        <v>0</v>
      </c>
      <c r="Q85" s="179">
        <f ca="1">IF(ISNUMBER(MATCH(DATEVALUE($A85),'recurring1_based on steps'!Q$1:Q$400,0)),Q$2,)</f>
        <v>0</v>
      </c>
      <c r="R85" s="179">
        <f ca="1">IF(ISNUMBER(MATCH(DATEVALUE($A85),'recurring1_based on steps'!R$1:R$400,0)),R$2,)</f>
        <v>0</v>
      </c>
      <c r="S85" s="179">
        <f ca="1">IF(ISNUMBER(MATCH(DATEVALUE($A85),'recurring1_based on steps'!S$1:S$400,0)),S$2,)</f>
        <v>0</v>
      </c>
      <c r="T85" s="179">
        <f ca="1">IF(ISNUMBER(MATCH(DATEVALUE($A85),'recurring1_based on steps'!T$1:T$400,0)),T$2,)</f>
        <v>0</v>
      </c>
      <c r="U85" s="179">
        <f ca="1">IF(ISNUMBER(MATCH(DATEVALUE($A85),'recurring1_based on steps'!U$1:U$400,0)),U$2,)</f>
        <v>0</v>
      </c>
      <c r="V85" s="179">
        <f ca="1">IF(ISNUMBER(MATCH(DATEVALUE($A85),'recurring1_based on steps'!V$1:V$400,0)),V$2,)</f>
        <v>0</v>
      </c>
      <c r="W85" s="179">
        <f ca="1">IF(ISNUMBER(MATCH(DATEVALUE($A85),'recurring1_based on steps'!W$1:W$400,0)),W$2,)</f>
        <v>0</v>
      </c>
      <c r="X85" s="179">
        <f ca="1">IF(ISNUMBER(MATCH(DATEVALUE($A85),'recurring1_based on steps'!X$1:X$400,0)),X$2,)</f>
        <v>0</v>
      </c>
      <c r="Y85" s="179">
        <f ca="1">IF(ISNUMBER(MATCH(DATEVALUE($A85),'recurring1_based on steps'!Y$1:Y$400,0)),Y$2,)</f>
        <v>0</v>
      </c>
      <c r="Z85" s="179">
        <f ca="1">IF(ISNUMBER(MATCH(DATEVALUE($A85),'recurring1_based on steps'!Z$1:Z$400,0)),Z$2,)</f>
        <v>0</v>
      </c>
      <c r="AA85" s="179">
        <f ca="1">IF(ISNUMBER(MATCH(DATEVALUE($A85),'recurring1_based on steps'!AA$1:AA$400,0)),AA$2,)</f>
        <v>0</v>
      </c>
      <c r="AB85" s="179">
        <f ca="1">IF(ISNUMBER(MATCH(DATEVALUE($A85),'recurring1_based on steps'!AB$1:AB$400,0)),AB$2,)</f>
        <v>0</v>
      </c>
      <c r="AC85" s="179">
        <f ca="1">IF(ISNUMBER(MATCH(DATEVALUE($A85),'recurring1_based on steps'!AC$1:AC$400,0)),AC$2,)</f>
        <v>0</v>
      </c>
      <c r="AD85" s="179">
        <f ca="1">IF(ISNUMBER(MATCH(DATEVALUE($A85),'recurring1_based on steps'!AD$1:AD$400,0)),AD$2,)</f>
        <v>0</v>
      </c>
      <c r="AE85" s="179">
        <f ca="1">IF(ISNUMBER(MATCH(DATEVALUE($A85),'recurring1_based on steps'!AE$1:AE$400,0)),AE$2,)</f>
        <v>0</v>
      </c>
      <c r="AF85" s="179">
        <f ca="1">IF(ISNUMBER(MATCH(DATEVALUE($A85),'recurring1_based on steps'!AF$1:AF$400,0)),AF$2,)</f>
        <v>0</v>
      </c>
      <c r="AG85" s="179">
        <f ca="1">IF(ISNUMBER(MATCH(DATEVALUE($A85),'recurring1_based on steps'!AG$1:AG$400,0)),AG$2,)</f>
        <v>0</v>
      </c>
      <c r="AH85" s="179">
        <f ca="1">IF(ISNUMBER(MATCH(DATEVALUE($A85),'recurring1_based on steps'!AH$1:AH$400,0)),AH$2,)</f>
        <v>0</v>
      </c>
      <c r="AI85" s="179">
        <f ca="1">IF(ISNUMBER(MATCH(DATEVALUE($A85),'recurring1_based on steps'!AI$1:AI$400,0)),AI$2,)</f>
        <v>0</v>
      </c>
      <c r="AJ85" s="179">
        <f ca="1">IF(ISNUMBER(MATCH(DATEVALUE($A85),'recurring1_based on steps'!AJ$1:AJ$400,0)),AJ$2,)</f>
        <v>0</v>
      </c>
      <c r="AK85" s="179">
        <f ca="1">IF(ISNUMBER(MATCH(DATEVALUE($A85),'recurring1_based on steps'!AK$1:AK$400,0)),AK$2,)</f>
        <v>0</v>
      </c>
      <c r="AL85" s="179">
        <f ca="1">IF(ISNUMBER(MATCH(DATEVALUE($A85),'recurring1_based on steps'!AL$1:AL$400,0)),AL$2,)</f>
        <v>0</v>
      </c>
      <c r="AM85" s="179">
        <f ca="1">IF(ISNUMBER(MATCH(DATEVALUE($A85),'recurring1_based on steps'!AM$1:AM$400,0)),AM$2,)</f>
        <v>0</v>
      </c>
      <c r="AN85" s="179">
        <f ca="1">IF(ISNUMBER(MATCH(DATEVALUE($A85),'recurring1_based on steps'!AN$1:AN$400,0)),AN$2,)</f>
        <v>0</v>
      </c>
      <c r="AO85" s="179">
        <f ca="1">IF(ISNUMBER(MATCH(DATEVALUE($A85),'recurring1_based on steps'!AO$1:AO$400,0)),AO$2,)</f>
        <v>0</v>
      </c>
      <c r="AP85" s="179">
        <f ca="1">IF(ISNUMBER(MATCH(DATEVALUE($A85),'recurring1_based on steps'!AP$1:AP$400,0)),AP$2,)</f>
        <v>0</v>
      </c>
      <c r="AQ85" s="179">
        <f ca="1">IF(ISNUMBER(MATCH(DATEVALUE($A85),'recurring1_based on steps'!AQ$1:AQ$400,0)),AQ$2,)</f>
        <v>0</v>
      </c>
      <c r="AR85" s="179">
        <f ca="1">IF(ISNUMBER(MATCH(DATEVALUE($A85),'recurring1_based on steps'!AR$1:AR$400,0)),AR$2,)</f>
        <v>0</v>
      </c>
      <c r="AS85" s="179">
        <f ca="1">IF(ISNUMBER(MATCH(DATEVALUE($A85),'recurring1_based on steps'!AS$1:AS$400,0)),AS$2,)</f>
        <v>0</v>
      </c>
      <c r="AT85" s="179">
        <f ca="1">IF(ISNUMBER(MATCH(DATEVALUE($A85),'recurring1_based on steps'!AT$1:AT$400,0)),AT$2,)</f>
        <v>0</v>
      </c>
      <c r="AU85" s="179">
        <f ca="1">IF(ISNUMBER(MATCH(DATEVALUE($A85),'recurring1_based on steps'!AU$1:AU$400,0)),AU$2,)</f>
        <v>0</v>
      </c>
      <c r="AV85" s="179">
        <f ca="1">IF(ISNUMBER(MATCH(DATEVALUE($A85),'recurring1_based on steps'!AV$1:AV$400,0)),AV$2,)</f>
        <v>0</v>
      </c>
      <c r="AW85" s="179">
        <f ca="1">IF(ISNUMBER(MATCH(DATEVALUE($A85),'recurring1_based on steps'!AW$1:AW$400,0)),AW$2,)</f>
        <v>0</v>
      </c>
      <c r="AX85" s="179">
        <f ca="1">IF(ISNUMBER(MATCH(DATEVALUE($A85),'recurring1_based on steps'!AX$1:AX$400,0)),AX$2,)</f>
        <v>0</v>
      </c>
      <c r="AY85" s="179">
        <f ca="1">IF(ISNUMBER(MATCH(DATEVALUE($A85),'recurring1_based on steps'!AY$1:AY$400,0)),AY$2,)</f>
        <v>0</v>
      </c>
    </row>
    <row r="86" spans="1:51" x14ac:dyDescent="0.2">
      <c r="A86" s="32" t="str">
        <f t="shared" ca="1" si="1"/>
        <v>2025-06-20</v>
      </c>
      <c r="B86" s="179">
        <f ca="1">IF(ISNUMBER(MATCH(DATEVALUE($A86),'recurring1_based on steps'!B$1:B$400,0)),B$2,)</f>
        <v>0</v>
      </c>
      <c r="C86" s="179">
        <f ca="1">IF(ISNUMBER(MATCH(DATEVALUE($A86),'recurring1_based on steps'!C$1:C$400,0)),C$2,)</f>
        <v>0</v>
      </c>
      <c r="D86" s="179">
        <f ca="1">IF(ISNUMBER(MATCH(DATEVALUE($A86),'recurring1_based on steps'!D$1:D$400,0)),D$2,)</f>
        <v>0</v>
      </c>
      <c r="E86" s="179">
        <f ca="1">IF(ISNUMBER(MATCH(DATEVALUE($A86),'recurring1_based on steps'!E$1:E$400,0)),E$2,)</f>
        <v>0</v>
      </c>
      <c r="F86" s="179">
        <f ca="1">IF(ISNUMBER(MATCH(DATEVALUE($A86),'recurring1_based on steps'!F$1:F$400,0)),F$2,)</f>
        <v>0</v>
      </c>
      <c r="G86" s="179">
        <f ca="1">IF(ISNUMBER(MATCH(DATEVALUE($A86),'recurring1_based on steps'!G$1:G$400,0)),G$2,)</f>
        <v>0</v>
      </c>
      <c r="H86" s="179">
        <f ca="1">IF(ISNUMBER(MATCH(DATEVALUE($A86),'recurring1_based on steps'!H$1:H$400,0)),H$2,)</f>
        <v>0</v>
      </c>
      <c r="I86" s="179">
        <f ca="1">IF(ISNUMBER(MATCH(DATEVALUE($A86),'recurring1_based on steps'!I$1:I$400,0)),I$2,)</f>
        <v>0</v>
      </c>
      <c r="J86" s="179">
        <f ca="1">IF(ISNUMBER(MATCH(DATEVALUE($A86),'recurring1_based on steps'!J$1:J$400,0)),J$2,)</f>
        <v>0</v>
      </c>
      <c r="K86" s="179">
        <f ca="1">IF(ISNUMBER(MATCH(DATEVALUE($A86),'recurring1_based on steps'!K$1:K$400,0)),K$2,)</f>
        <v>0</v>
      </c>
      <c r="L86" s="179">
        <f ca="1">IF(ISNUMBER(MATCH(DATEVALUE($A86),'recurring1_based on steps'!L$1:L$400,0)),L$2,)</f>
        <v>0</v>
      </c>
      <c r="M86" s="179">
        <f ca="1">IF(ISNUMBER(MATCH(DATEVALUE($A86),'recurring1_based on steps'!M$1:M$400,0)),M$2,)</f>
        <v>0</v>
      </c>
      <c r="N86" s="179">
        <f ca="1">IF(ISNUMBER(MATCH(DATEVALUE($A86),'recurring1_based on steps'!N$1:N$400,0)),N$2,)</f>
        <v>0</v>
      </c>
      <c r="O86" s="179">
        <f ca="1">IF(ISNUMBER(MATCH(DATEVALUE($A86),'recurring1_based on steps'!O$1:O$400,0)),O$2,)</f>
        <v>0</v>
      </c>
      <c r="P86" s="179">
        <f ca="1">IF(ISNUMBER(MATCH(DATEVALUE($A86),'recurring1_based on steps'!P$1:P$400,0)),P$2,)</f>
        <v>0</v>
      </c>
      <c r="Q86" s="179">
        <f ca="1">IF(ISNUMBER(MATCH(DATEVALUE($A86),'recurring1_based on steps'!Q$1:Q$400,0)),Q$2,)</f>
        <v>0</v>
      </c>
      <c r="R86" s="179">
        <f ca="1">IF(ISNUMBER(MATCH(DATEVALUE($A86),'recurring1_based on steps'!R$1:R$400,0)),R$2,)</f>
        <v>0</v>
      </c>
      <c r="S86" s="179">
        <f ca="1">IF(ISNUMBER(MATCH(DATEVALUE($A86),'recurring1_based on steps'!S$1:S$400,0)),S$2,)</f>
        <v>0</v>
      </c>
      <c r="T86" s="179">
        <f ca="1">IF(ISNUMBER(MATCH(DATEVALUE($A86),'recurring1_based on steps'!T$1:T$400,0)),T$2,)</f>
        <v>0</v>
      </c>
      <c r="U86" s="179">
        <f ca="1">IF(ISNUMBER(MATCH(DATEVALUE($A86),'recurring1_based on steps'!U$1:U$400,0)),U$2,)</f>
        <v>0</v>
      </c>
      <c r="V86" s="179">
        <f ca="1">IF(ISNUMBER(MATCH(DATEVALUE($A86),'recurring1_based on steps'!V$1:V$400,0)),V$2,)</f>
        <v>0</v>
      </c>
      <c r="W86" s="179">
        <f ca="1">IF(ISNUMBER(MATCH(DATEVALUE($A86),'recurring1_based on steps'!W$1:W$400,0)),W$2,)</f>
        <v>0</v>
      </c>
      <c r="X86" s="179">
        <f ca="1">IF(ISNUMBER(MATCH(DATEVALUE($A86),'recurring1_based on steps'!X$1:X$400,0)),X$2,)</f>
        <v>0</v>
      </c>
      <c r="Y86" s="179">
        <f ca="1">IF(ISNUMBER(MATCH(DATEVALUE($A86),'recurring1_based on steps'!Y$1:Y$400,0)),Y$2,)</f>
        <v>0</v>
      </c>
      <c r="Z86" s="179">
        <f ca="1">IF(ISNUMBER(MATCH(DATEVALUE($A86),'recurring1_based on steps'!Z$1:Z$400,0)),Z$2,)</f>
        <v>0</v>
      </c>
      <c r="AA86" s="179">
        <f ca="1">IF(ISNUMBER(MATCH(DATEVALUE($A86),'recurring1_based on steps'!AA$1:AA$400,0)),AA$2,)</f>
        <v>0</v>
      </c>
      <c r="AB86" s="179">
        <f ca="1">IF(ISNUMBER(MATCH(DATEVALUE($A86),'recurring1_based on steps'!AB$1:AB$400,0)),AB$2,)</f>
        <v>0</v>
      </c>
      <c r="AC86" s="179">
        <f ca="1">IF(ISNUMBER(MATCH(DATEVALUE($A86),'recurring1_based on steps'!AC$1:AC$400,0)),AC$2,)</f>
        <v>0</v>
      </c>
      <c r="AD86" s="179">
        <f ca="1">IF(ISNUMBER(MATCH(DATEVALUE($A86),'recurring1_based on steps'!AD$1:AD$400,0)),AD$2,)</f>
        <v>0</v>
      </c>
      <c r="AE86" s="179">
        <f ca="1">IF(ISNUMBER(MATCH(DATEVALUE($A86),'recurring1_based on steps'!AE$1:AE$400,0)),AE$2,)</f>
        <v>0</v>
      </c>
      <c r="AF86" s="179">
        <f ca="1">IF(ISNUMBER(MATCH(DATEVALUE($A86),'recurring1_based on steps'!AF$1:AF$400,0)),AF$2,)</f>
        <v>0</v>
      </c>
      <c r="AG86" s="179">
        <f ca="1">IF(ISNUMBER(MATCH(DATEVALUE($A86),'recurring1_based on steps'!AG$1:AG$400,0)),AG$2,)</f>
        <v>0</v>
      </c>
      <c r="AH86" s="179">
        <f ca="1">IF(ISNUMBER(MATCH(DATEVALUE($A86),'recurring1_based on steps'!AH$1:AH$400,0)),AH$2,)</f>
        <v>0</v>
      </c>
      <c r="AI86" s="179">
        <f ca="1">IF(ISNUMBER(MATCH(DATEVALUE($A86),'recurring1_based on steps'!AI$1:AI$400,0)),AI$2,)</f>
        <v>0</v>
      </c>
      <c r="AJ86" s="179">
        <f ca="1">IF(ISNUMBER(MATCH(DATEVALUE($A86),'recurring1_based on steps'!AJ$1:AJ$400,0)),AJ$2,)</f>
        <v>0</v>
      </c>
      <c r="AK86" s="179">
        <f ca="1">IF(ISNUMBER(MATCH(DATEVALUE($A86),'recurring1_based on steps'!AK$1:AK$400,0)),AK$2,)</f>
        <v>0</v>
      </c>
      <c r="AL86" s="179">
        <f ca="1">IF(ISNUMBER(MATCH(DATEVALUE($A86),'recurring1_based on steps'!AL$1:AL$400,0)),AL$2,)</f>
        <v>0</v>
      </c>
      <c r="AM86" s="179">
        <f ca="1">IF(ISNUMBER(MATCH(DATEVALUE($A86),'recurring1_based on steps'!AM$1:AM$400,0)),AM$2,)</f>
        <v>0</v>
      </c>
      <c r="AN86" s="179">
        <f ca="1">IF(ISNUMBER(MATCH(DATEVALUE($A86),'recurring1_based on steps'!AN$1:AN$400,0)),AN$2,)</f>
        <v>0</v>
      </c>
      <c r="AO86" s="179">
        <f ca="1">IF(ISNUMBER(MATCH(DATEVALUE($A86),'recurring1_based on steps'!AO$1:AO$400,0)),AO$2,)</f>
        <v>0</v>
      </c>
      <c r="AP86" s="179">
        <f ca="1">IF(ISNUMBER(MATCH(DATEVALUE($A86),'recurring1_based on steps'!AP$1:AP$400,0)),AP$2,)</f>
        <v>0</v>
      </c>
      <c r="AQ86" s="179">
        <f ca="1">IF(ISNUMBER(MATCH(DATEVALUE($A86),'recurring1_based on steps'!AQ$1:AQ$400,0)),AQ$2,)</f>
        <v>0</v>
      </c>
      <c r="AR86" s="179">
        <f ca="1">IF(ISNUMBER(MATCH(DATEVALUE($A86),'recurring1_based on steps'!AR$1:AR$400,0)),AR$2,)</f>
        <v>0</v>
      </c>
      <c r="AS86" s="179">
        <f ca="1">IF(ISNUMBER(MATCH(DATEVALUE($A86),'recurring1_based on steps'!AS$1:AS$400,0)),AS$2,)</f>
        <v>0</v>
      </c>
      <c r="AT86" s="179">
        <f ca="1">IF(ISNUMBER(MATCH(DATEVALUE($A86),'recurring1_based on steps'!AT$1:AT$400,0)),AT$2,)</f>
        <v>0</v>
      </c>
      <c r="AU86" s="179">
        <f ca="1">IF(ISNUMBER(MATCH(DATEVALUE($A86),'recurring1_based on steps'!AU$1:AU$400,0)),AU$2,)</f>
        <v>0</v>
      </c>
      <c r="AV86" s="179">
        <f ca="1">IF(ISNUMBER(MATCH(DATEVALUE($A86),'recurring1_based on steps'!AV$1:AV$400,0)),AV$2,)</f>
        <v>0</v>
      </c>
      <c r="AW86" s="179">
        <f ca="1">IF(ISNUMBER(MATCH(DATEVALUE($A86),'recurring1_based on steps'!AW$1:AW$400,0)),AW$2,)</f>
        <v>0</v>
      </c>
      <c r="AX86" s="179">
        <f ca="1">IF(ISNUMBER(MATCH(DATEVALUE($A86),'recurring1_based on steps'!AX$1:AX$400,0)),AX$2,)</f>
        <v>0</v>
      </c>
      <c r="AY86" s="179">
        <f ca="1">IF(ISNUMBER(MATCH(DATEVALUE($A86),'recurring1_based on steps'!AY$1:AY$400,0)),AY$2,)</f>
        <v>0</v>
      </c>
    </row>
    <row r="87" spans="1:51" x14ac:dyDescent="0.2">
      <c r="A87" s="32" t="str">
        <f t="shared" ca="1" si="1"/>
        <v>2025-06-21</v>
      </c>
      <c r="B87" s="179">
        <f ca="1">IF(ISNUMBER(MATCH(DATEVALUE($A87),'recurring1_based on steps'!B$1:B$400,0)),B$2,)</f>
        <v>0</v>
      </c>
      <c r="C87" s="179">
        <f ca="1">IF(ISNUMBER(MATCH(DATEVALUE($A87),'recurring1_based on steps'!C$1:C$400,0)),C$2,)</f>
        <v>0</v>
      </c>
      <c r="D87" s="179">
        <f ca="1">IF(ISNUMBER(MATCH(DATEVALUE($A87),'recurring1_based on steps'!D$1:D$400,0)),D$2,)</f>
        <v>0</v>
      </c>
      <c r="E87" s="179">
        <f ca="1">IF(ISNUMBER(MATCH(DATEVALUE($A87),'recurring1_based on steps'!E$1:E$400,0)),E$2,)</f>
        <v>0</v>
      </c>
      <c r="F87" s="179">
        <f ca="1">IF(ISNUMBER(MATCH(DATEVALUE($A87),'recurring1_based on steps'!F$1:F$400,0)),F$2,)</f>
        <v>0</v>
      </c>
      <c r="G87" s="179">
        <f ca="1">IF(ISNUMBER(MATCH(DATEVALUE($A87),'recurring1_based on steps'!G$1:G$400,0)),G$2,)</f>
        <v>0</v>
      </c>
      <c r="H87" s="179">
        <f ca="1">IF(ISNUMBER(MATCH(DATEVALUE($A87),'recurring1_based on steps'!H$1:H$400,0)),H$2,)</f>
        <v>0</v>
      </c>
      <c r="I87" s="179">
        <f ca="1">IF(ISNUMBER(MATCH(DATEVALUE($A87),'recurring1_based on steps'!I$1:I$400,0)),I$2,)</f>
        <v>0</v>
      </c>
      <c r="J87" s="179">
        <f ca="1">IF(ISNUMBER(MATCH(DATEVALUE($A87),'recurring1_based on steps'!J$1:J$400,0)),J$2,)</f>
        <v>0</v>
      </c>
      <c r="K87" s="179">
        <f ca="1">IF(ISNUMBER(MATCH(DATEVALUE($A87),'recurring1_based on steps'!K$1:K$400,0)),K$2,)</f>
        <v>0</v>
      </c>
      <c r="L87" s="179">
        <f ca="1">IF(ISNUMBER(MATCH(DATEVALUE($A87),'recurring1_based on steps'!L$1:L$400,0)),L$2,)</f>
        <v>0</v>
      </c>
      <c r="M87" s="179">
        <f ca="1">IF(ISNUMBER(MATCH(DATEVALUE($A87),'recurring1_based on steps'!M$1:M$400,0)),M$2,)</f>
        <v>0</v>
      </c>
      <c r="N87" s="179">
        <f ca="1">IF(ISNUMBER(MATCH(DATEVALUE($A87),'recurring1_based on steps'!N$1:N$400,0)),N$2,)</f>
        <v>0</v>
      </c>
      <c r="O87" s="179">
        <f ca="1">IF(ISNUMBER(MATCH(DATEVALUE($A87),'recurring1_based on steps'!O$1:O$400,0)),O$2,)</f>
        <v>0</v>
      </c>
      <c r="P87" s="179">
        <f ca="1">IF(ISNUMBER(MATCH(DATEVALUE($A87),'recurring1_based on steps'!P$1:P$400,0)),P$2,)</f>
        <v>0</v>
      </c>
      <c r="Q87" s="179">
        <f ca="1">IF(ISNUMBER(MATCH(DATEVALUE($A87),'recurring1_based on steps'!Q$1:Q$400,0)),Q$2,)</f>
        <v>0</v>
      </c>
      <c r="R87" s="179">
        <f ca="1">IF(ISNUMBER(MATCH(DATEVALUE($A87),'recurring1_based on steps'!R$1:R$400,0)),R$2,)</f>
        <v>0</v>
      </c>
      <c r="S87" s="179">
        <f ca="1">IF(ISNUMBER(MATCH(DATEVALUE($A87),'recurring1_based on steps'!S$1:S$400,0)),S$2,)</f>
        <v>0</v>
      </c>
      <c r="T87" s="179">
        <f ca="1">IF(ISNUMBER(MATCH(DATEVALUE($A87),'recurring1_based on steps'!T$1:T$400,0)),T$2,)</f>
        <v>0</v>
      </c>
      <c r="U87" s="179">
        <f ca="1">IF(ISNUMBER(MATCH(DATEVALUE($A87),'recurring1_based on steps'!U$1:U$400,0)),U$2,)</f>
        <v>0</v>
      </c>
      <c r="V87" s="179">
        <f ca="1">IF(ISNUMBER(MATCH(DATEVALUE($A87),'recurring1_based on steps'!V$1:V$400,0)),V$2,)</f>
        <v>0</v>
      </c>
      <c r="W87" s="179">
        <f ca="1">IF(ISNUMBER(MATCH(DATEVALUE($A87),'recurring1_based on steps'!W$1:W$400,0)),W$2,)</f>
        <v>0</v>
      </c>
      <c r="X87" s="179">
        <f ca="1">IF(ISNUMBER(MATCH(DATEVALUE($A87),'recurring1_based on steps'!X$1:X$400,0)),X$2,)</f>
        <v>0</v>
      </c>
      <c r="Y87" s="179">
        <f ca="1">IF(ISNUMBER(MATCH(DATEVALUE($A87),'recurring1_based on steps'!Y$1:Y$400,0)),Y$2,)</f>
        <v>0</v>
      </c>
      <c r="Z87" s="179">
        <f ca="1">IF(ISNUMBER(MATCH(DATEVALUE($A87),'recurring1_based on steps'!Z$1:Z$400,0)),Z$2,)</f>
        <v>0</v>
      </c>
      <c r="AA87" s="179">
        <f ca="1">IF(ISNUMBER(MATCH(DATEVALUE($A87),'recurring1_based on steps'!AA$1:AA$400,0)),AA$2,)</f>
        <v>0</v>
      </c>
      <c r="AB87" s="179">
        <f ca="1">IF(ISNUMBER(MATCH(DATEVALUE($A87),'recurring1_based on steps'!AB$1:AB$400,0)),AB$2,)</f>
        <v>0</v>
      </c>
      <c r="AC87" s="179">
        <f ca="1">IF(ISNUMBER(MATCH(DATEVALUE($A87),'recurring1_based on steps'!AC$1:AC$400,0)),AC$2,)</f>
        <v>0</v>
      </c>
      <c r="AD87" s="179">
        <f ca="1">IF(ISNUMBER(MATCH(DATEVALUE($A87),'recurring1_based on steps'!AD$1:AD$400,0)),AD$2,)</f>
        <v>0</v>
      </c>
      <c r="AE87" s="179">
        <f ca="1">IF(ISNUMBER(MATCH(DATEVALUE($A87),'recurring1_based on steps'!AE$1:AE$400,0)),AE$2,)</f>
        <v>0</v>
      </c>
      <c r="AF87" s="179">
        <f ca="1">IF(ISNUMBER(MATCH(DATEVALUE($A87),'recurring1_based on steps'!AF$1:AF$400,0)),AF$2,)</f>
        <v>0</v>
      </c>
      <c r="AG87" s="179">
        <f ca="1">IF(ISNUMBER(MATCH(DATEVALUE($A87),'recurring1_based on steps'!AG$1:AG$400,0)),AG$2,)</f>
        <v>0</v>
      </c>
      <c r="AH87" s="179">
        <f ca="1">IF(ISNUMBER(MATCH(DATEVALUE($A87),'recurring1_based on steps'!AH$1:AH$400,0)),AH$2,)</f>
        <v>0</v>
      </c>
      <c r="AI87" s="179">
        <f ca="1">IF(ISNUMBER(MATCH(DATEVALUE($A87),'recurring1_based on steps'!AI$1:AI$400,0)),AI$2,)</f>
        <v>0</v>
      </c>
      <c r="AJ87" s="179">
        <f ca="1">IF(ISNUMBER(MATCH(DATEVALUE($A87),'recurring1_based on steps'!AJ$1:AJ$400,0)),AJ$2,)</f>
        <v>0</v>
      </c>
      <c r="AK87" s="179">
        <f ca="1">IF(ISNUMBER(MATCH(DATEVALUE($A87),'recurring1_based on steps'!AK$1:AK$400,0)),AK$2,)</f>
        <v>0</v>
      </c>
      <c r="AL87" s="179">
        <f ca="1">IF(ISNUMBER(MATCH(DATEVALUE($A87),'recurring1_based on steps'!AL$1:AL$400,0)),AL$2,)</f>
        <v>0</v>
      </c>
      <c r="AM87" s="179">
        <f ca="1">IF(ISNUMBER(MATCH(DATEVALUE($A87),'recurring1_based on steps'!AM$1:AM$400,0)),AM$2,)</f>
        <v>0</v>
      </c>
      <c r="AN87" s="179">
        <f ca="1">IF(ISNUMBER(MATCH(DATEVALUE($A87),'recurring1_based on steps'!AN$1:AN$400,0)),AN$2,)</f>
        <v>0</v>
      </c>
      <c r="AO87" s="179">
        <f ca="1">IF(ISNUMBER(MATCH(DATEVALUE($A87),'recurring1_based on steps'!AO$1:AO$400,0)),AO$2,)</f>
        <v>0</v>
      </c>
      <c r="AP87" s="179">
        <f ca="1">IF(ISNUMBER(MATCH(DATEVALUE($A87),'recurring1_based on steps'!AP$1:AP$400,0)),AP$2,)</f>
        <v>0</v>
      </c>
      <c r="AQ87" s="179">
        <f ca="1">IF(ISNUMBER(MATCH(DATEVALUE($A87),'recurring1_based on steps'!AQ$1:AQ$400,0)),AQ$2,)</f>
        <v>0</v>
      </c>
      <c r="AR87" s="179">
        <f ca="1">IF(ISNUMBER(MATCH(DATEVALUE($A87),'recurring1_based on steps'!AR$1:AR$400,0)),AR$2,)</f>
        <v>0</v>
      </c>
      <c r="AS87" s="179">
        <f ca="1">IF(ISNUMBER(MATCH(DATEVALUE($A87),'recurring1_based on steps'!AS$1:AS$400,0)),AS$2,)</f>
        <v>0</v>
      </c>
      <c r="AT87" s="179">
        <f ca="1">IF(ISNUMBER(MATCH(DATEVALUE($A87),'recurring1_based on steps'!AT$1:AT$400,0)),AT$2,)</f>
        <v>0</v>
      </c>
      <c r="AU87" s="179">
        <f ca="1">IF(ISNUMBER(MATCH(DATEVALUE($A87),'recurring1_based on steps'!AU$1:AU$400,0)),AU$2,)</f>
        <v>0</v>
      </c>
      <c r="AV87" s="179">
        <f ca="1">IF(ISNUMBER(MATCH(DATEVALUE($A87),'recurring1_based on steps'!AV$1:AV$400,0)),AV$2,)</f>
        <v>0</v>
      </c>
      <c r="AW87" s="179">
        <f ca="1">IF(ISNUMBER(MATCH(DATEVALUE($A87),'recurring1_based on steps'!AW$1:AW$400,0)),AW$2,)</f>
        <v>0</v>
      </c>
      <c r="AX87" s="179">
        <f ca="1">IF(ISNUMBER(MATCH(DATEVALUE($A87),'recurring1_based on steps'!AX$1:AX$400,0)),AX$2,)</f>
        <v>0</v>
      </c>
      <c r="AY87" s="179">
        <f ca="1">IF(ISNUMBER(MATCH(DATEVALUE($A87),'recurring1_based on steps'!AY$1:AY$400,0)),AY$2,)</f>
        <v>0</v>
      </c>
    </row>
    <row r="88" spans="1:51" x14ac:dyDescent="0.2">
      <c r="A88" s="32" t="str">
        <f t="shared" ca="1" si="1"/>
        <v>2025-06-22</v>
      </c>
      <c r="B88" s="179">
        <f ca="1">IF(ISNUMBER(MATCH(DATEVALUE($A88),'recurring1_based on steps'!B$1:B$400,0)),B$2,)</f>
        <v>0</v>
      </c>
      <c r="C88" s="179">
        <f ca="1">IF(ISNUMBER(MATCH(DATEVALUE($A88),'recurring1_based on steps'!C$1:C$400,0)),C$2,)</f>
        <v>0</v>
      </c>
      <c r="D88" s="179">
        <f ca="1">IF(ISNUMBER(MATCH(DATEVALUE($A88),'recurring1_based on steps'!D$1:D$400,0)),D$2,)</f>
        <v>0</v>
      </c>
      <c r="E88" s="179">
        <f ca="1">IF(ISNUMBER(MATCH(DATEVALUE($A88),'recurring1_based on steps'!E$1:E$400,0)),E$2,)</f>
        <v>0</v>
      </c>
      <c r="F88" s="179">
        <f ca="1">IF(ISNUMBER(MATCH(DATEVALUE($A88),'recurring1_based on steps'!F$1:F$400,0)),F$2,)</f>
        <v>0</v>
      </c>
      <c r="G88" s="179">
        <f ca="1">IF(ISNUMBER(MATCH(DATEVALUE($A88),'recurring1_based on steps'!G$1:G$400,0)),G$2,)</f>
        <v>0</v>
      </c>
      <c r="H88" s="179">
        <f ca="1">IF(ISNUMBER(MATCH(DATEVALUE($A88),'recurring1_based on steps'!H$1:H$400,0)),H$2,)</f>
        <v>0</v>
      </c>
      <c r="I88" s="179">
        <f ca="1">IF(ISNUMBER(MATCH(DATEVALUE($A88),'recurring1_based on steps'!I$1:I$400,0)),I$2,)</f>
        <v>0</v>
      </c>
      <c r="J88" s="179">
        <f ca="1">IF(ISNUMBER(MATCH(DATEVALUE($A88),'recurring1_based on steps'!J$1:J$400,0)),J$2,)</f>
        <v>0</v>
      </c>
      <c r="K88" s="179">
        <f ca="1">IF(ISNUMBER(MATCH(DATEVALUE($A88),'recurring1_based on steps'!K$1:K$400,0)),K$2,)</f>
        <v>0</v>
      </c>
      <c r="L88" s="179">
        <f ca="1">IF(ISNUMBER(MATCH(DATEVALUE($A88),'recurring1_based on steps'!L$1:L$400,0)),L$2,)</f>
        <v>0</v>
      </c>
      <c r="M88" s="179">
        <f ca="1">IF(ISNUMBER(MATCH(DATEVALUE($A88),'recurring1_based on steps'!M$1:M$400,0)),M$2,)</f>
        <v>0</v>
      </c>
      <c r="N88" s="179">
        <f ca="1">IF(ISNUMBER(MATCH(DATEVALUE($A88),'recurring1_based on steps'!N$1:N$400,0)),N$2,)</f>
        <v>0</v>
      </c>
      <c r="O88" s="179">
        <f ca="1">IF(ISNUMBER(MATCH(DATEVALUE($A88),'recurring1_based on steps'!O$1:O$400,0)),O$2,)</f>
        <v>0</v>
      </c>
      <c r="P88" s="179">
        <f ca="1">IF(ISNUMBER(MATCH(DATEVALUE($A88),'recurring1_based on steps'!P$1:P$400,0)),P$2,)</f>
        <v>0</v>
      </c>
      <c r="Q88" s="179">
        <f ca="1">IF(ISNUMBER(MATCH(DATEVALUE($A88),'recurring1_based on steps'!Q$1:Q$400,0)),Q$2,)</f>
        <v>0</v>
      </c>
      <c r="R88" s="179">
        <f ca="1">IF(ISNUMBER(MATCH(DATEVALUE($A88),'recurring1_based on steps'!R$1:R$400,0)),R$2,)</f>
        <v>0</v>
      </c>
      <c r="S88" s="179">
        <f ca="1">IF(ISNUMBER(MATCH(DATEVALUE($A88),'recurring1_based on steps'!S$1:S$400,0)),S$2,)</f>
        <v>0</v>
      </c>
      <c r="T88" s="179">
        <f ca="1">IF(ISNUMBER(MATCH(DATEVALUE($A88),'recurring1_based on steps'!T$1:T$400,0)),T$2,)</f>
        <v>0</v>
      </c>
      <c r="U88" s="179">
        <f ca="1">IF(ISNUMBER(MATCH(DATEVALUE($A88),'recurring1_based on steps'!U$1:U$400,0)),U$2,)</f>
        <v>0</v>
      </c>
      <c r="V88" s="179">
        <f ca="1">IF(ISNUMBER(MATCH(DATEVALUE($A88),'recurring1_based on steps'!V$1:V$400,0)),V$2,)</f>
        <v>0</v>
      </c>
      <c r="W88" s="179">
        <f ca="1">IF(ISNUMBER(MATCH(DATEVALUE($A88),'recurring1_based on steps'!W$1:W$400,0)),W$2,)</f>
        <v>0</v>
      </c>
      <c r="X88" s="179">
        <f ca="1">IF(ISNUMBER(MATCH(DATEVALUE($A88),'recurring1_based on steps'!X$1:X$400,0)),X$2,)</f>
        <v>0</v>
      </c>
      <c r="Y88" s="179">
        <f ca="1">IF(ISNUMBER(MATCH(DATEVALUE($A88),'recurring1_based on steps'!Y$1:Y$400,0)),Y$2,)</f>
        <v>0</v>
      </c>
      <c r="Z88" s="179">
        <f ca="1">IF(ISNUMBER(MATCH(DATEVALUE($A88),'recurring1_based on steps'!Z$1:Z$400,0)),Z$2,)</f>
        <v>0</v>
      </c>
      <c r="AA88" s="179">
        <f ca="1">IF(ISNUMBER(MATCH(DATEVALUE($A88),'recurring1_based on steps'!AA$1:AA$400,0)),AA$2,)</f>
        <v>0</v>
      </c>
      <c r="AB88" s="179">
        <f ca="1">IF(ISNUMBER(MATCH(DATEVALUE($A88),'recurring1_based on steps'!AB$1:AB$400,0)),AB$2,)</f>
        <v>0</v>
      </c>
      <c r="AC88" s="179">
        <f ca="1">IF(ISNUMBER(MATCH(DATEVALUE($A88),'recurring1_based on steps'!AC$1:AC$400,0)),AC$2,)</f>
        <v>0</v>
      </c>
      <c r="AD88" s="179">
        <f ca="1">IF(ISNUMBER(MATCH(DATEVALUE($A88),'recurring1_based on steps'!AD$1:AD$400,0)),AD$2,)</f>
        <v>0</v>
      </c>
      <c r="AE88" s="179">
        <f ca="1">IF(ISNUMBER(MATCH(DATEVALUE($A88),'recurring1_based on steps'!AE$1:AE$400,0)),AE$2,)</f>
        <v>0</v>
      </c>
      <c r="AF88" s="179">
        <f ca="1">IF(ISNUMBER(MATCH(DATEVALUE($A88),'recurring1_based on steps'!AF$1:AF$400,0)),AF$2,)</f>
        <v>0</v>
      </c>
      <c r="AG88" s="179">
        <f ca="1">IF(ISNUMBER(MATCH(DATEVALUE($A88),'recurring1_based on steps'!AG$1:AG$400,0)),AG$2,)</f>
        <v>0</v>
      </c>
      <c r="AH88" s="179">
        <f ca="1">IF(ISNUMBER(MATCH(DATEVALUE($A88),'recurring1_based on steps'!AH$1:AH$400,0)),AH$2,)</f>
        <v>0</v>
      </c>
      <c r="AI88" s="179">
        <f ca="1">IF(ISNUMBER(MATCH(DATEVALUE($A88),'recurring1_based on steps'!AI$1:AI$400,0)),AI$2,)</f>
        <v>0</v>
      </c>
      <c r="AJ88" s="179">
        <f ca="1">IF(ISNUMBER(MATCH(DATEVALUE($A88),'recurring1_based on steps'!AJ$1:AJ$400,0)),AJ$2,)</f>
        <v>0</v>
      </c>
      <c r="AK88" s="179">
        <f ca="1">IF(ISNUMBER(MATCH(DATEVALUE($A88),'recurring1_based on steps'!AK$1:AK$400,0)),AK$2,)</f>
        <v>0</v>
      </c>
      <c r="AL88" s="179">
        <f ca="1">IF(ISNUMBER(MATCH(DATEVALUE($A88),'recurring1_based on steps'!AL$1:AL$400,0)),AL$2,)</f>
        <v>0</v>
      </c>
      <c r="AM88" s="179">
        <f ca="1">IF(ISNUMBER(MATCH(DATEVALUE($A88),'recurring1_based on steps'!AM$1:AM$400,0)),AM$2,)</f>
        <v>0</v>
      </c>
      <c r="AN88" s="179">
        <f ca="1">IF(ISNUMBER(MATCH(DATEVALUE($A88),'recurring1_based on steps'!AN$1:AN$400,0)),AN$2,)</f>
        <v>0</v>
      </c>
      <c r="AO88" s="179">
        <f ca="1">IF(ISNUMBER(MATCH(DATEVALUE($A88),'recurring1_based on steps'!AO$1:AO$400,0)),AO$2,)</f>
        <v>0</v>
      </c>
      <c r="AP88" s="179">
        <f ca="1">IF(ISNUMBER(MATCH(DATEVALUE($A88),'recurring1_based on steps'!AP$1:AP$400,0)),AP$2,)</f>
        <v>0</v>
      </c>
      <c r="AQ88" s="179">
        <f ca="1">IF(ISNUMBER(MATCH(DATEVALUE($A88),'recurring1_based on steps'!AQ$1:AQ$400,0)),AQ$2,)</f>
        <v>0</v>
      </c>
      <c r="AR88" s="179">
        <f ca="1">IF(ISNUMBER(MATCH(DATEVALUE($A88),'recurring1_based on steps'!AR$1:AR$400,0)),AR$2,)</f>
        <v>0</v>
      </c>
      <c r="AS88" s="179">
        <f ca="1">IF(ISNUMBER(MATCH(DATEVALUE($A88),'recurring1_based on steps'!AS$1:AS$400,0)),AS$2,)</f>
        <v>0</v>
      </c>
      <c r="AT88" s="179">
        <f ca="1">IF(ISNUMBER(MATCH(DATEVALUE($A88),'recurring1_based on steps'!AT$1:AT$400,0)),AT$2,)</f>
        <v>0</v>
      </c>
      <c r="AU88" s="179">
        <f ca="1">IF(ISNUMBER(MATCH(DATEVALUE($A88),'recurring1_based on steps'!AU$1:AU$400,0)),AU$2,)</f>
        <v>0</v>
      </c>
      <c r="AV88" s="179">
        <f ca="1">IF(ISNUMBER(MATCH(DATEVALUE($A88),'recurring1_based on steps'!AV$1:AV$400,0)),AV$2,)</f>
        <v>0</v>
      </c>
      <c r="AW88" s="179">
        <f ca="1">IF(ISNUMBER(MATCH(DATEVALUE($A88),'recurring1_based on steps'!AW$1:AW$400,0)),AW$2,)</f>
        <v>0</v>
      </c>
      <c r="AX88" s="179">
        <f ca="1">IF(ISNUMBER(MATCH(DATEVALUE($A88),'recurring1_based on steps'!AX$1:AX$400,0)),AX$2,)</f>
        <v>0</v>
      </c>
      <c r="AY88" s="179">
        <f ca="1">IF(ISNUMBER(MATCH(DATEVALUE($A88),'recurring1_based on steps'!AY$1:AY$400,0)),AY$2,)</f>
        <v>0</v>
      </c>
    </row>
    <row r="89" spans="1:51" x14ac:dyDescent="0.2">
      <c r="A89" s="32" t="str">
        <f t="shared" ca="1" si="1"/>
        <v>2025-06-23</v>
      </c>
      <c r="B89" s="179">
        <f ca="1">IF(ISNUMBER(MATCH(DATEVALUE($A89),'recurring1_based on steps'!B$1:B$400,0)),B$2,)</f>
        <v>0</v>
      </c>
      <c r="C89" s="179">
        <f ca="1">IF(ISNUMBER(MATCH(DATEVALUE($A89),'recurring1_based on steps'!C$1:C$400,0)),C$2,)</f>
        <v>0</v>
      </c>
      <c r="D89" s="179">
        <f ca="1">IF(ISNUMBER(MATCH(DATEVALUE($A89),'recurring1_based on steps'!D$1:D$400,0)),D$2,)</f>
        <v>0</v>
      </c>
      <c r="E89" s="179">
        <f ca="1">IF(ISNUMBER(MATCH(DATEVALUE($A89),'recurring1_based on steps'!E$1:E$400,0)),E$2,)</f>
        <v>0</v>
      </c>
      <c r="F89" s="179">
        <f ca="1">IF(ISNUMBER(MATCH(DATEVALUE($A89),'recurring1_based on steps'!F$1:F$400,0)),F$2,)</f>
        <v>0</v>
      </c>
      <c r="G89" s="179">
        <f ca="1">IF(ISNUMBER(MATCH(DATEVALUE($A89),'recurring1_based on steps'!G$1:G$400,0)),G$2,)</f>
        <v>0</v>
      </c>
      <c r="H89" s="179">
        <f ca="1">IF(ISNUMBER(MATCH(DATEVALUE($A89),'recurring1_based on steps'!H$1:H$400,0)),H$2,)</f>
        <v>0</v>
      </c>
      <c r="I89" s="179">
        <f ca="1">IF(ISNUMBER(MATCH(DATEVALUE($A89),'recurring1_based on steps'!I$1:I$400,0)),I$2,)</f>
        <v>0</v>
      </c>
      <c r="J89" s="179">
        <f ca="1">IF(ISNUMBER(MATCH(DATEVALUE($A89),'recurring1_based on steps'!J$1:J$400,0)),J$2,)</f>
        <v>0</v>
      </c>
      <c r="K89" s="179">
        <f ca="1">IF(ISNUMBER(MATCH(DATEVALUE($A89),'recurring1_based on steps'!K$1:K$400,0)),K$2,)</f>
        <v>0</v>
      </c>
      <c r="L89" s="179">
        <f ca="1">IF(ISNUMBER(MATCH(DATEVALUE($A89),'recurring1_based on steps'!L$1:L$400,0)),L$2,)</f>
        <v>0</v>
      </c>
      <c r="M89" s="179">
        <f ca="1">IF(ISNUMBER(MATCH(DATEVALUE($A89),'recurring1_based on steps'!M$1:M$400,0)),M$2,)</f>
        <v>0</v>
      </c>
      <c r="N89" s="179">
        <f ca="1">IF(ISNUMBER(MATCH(DATEVALUE($A89),'recurring1_based on steps'!N$1:N$400,0)),N$2,)</f>
        <v>0</v>
      </c>
      <c r="O89" s="179">
        <f ca="1">IF(ISNUMBER(MATCH(DATEVALUE($A89),'recurring1_based on steps'!O$1:O$400,0)),O$2,)</f>
        <v>0</v>
      </c>
      <c r="P89" s="179">
        <f ca="1">IF(ISNUMBER(MATCH(DATEVALUE($A89),'recurring1_based on steps'!P$1:P$400,0)),P$2,)</f>
        <v>0</v>
      </c>
      <c r="Q89" s="179">
        <f ca="1">IF(ISNUMBER(MATCH(DATEVALUE($A89),'recurring1_based on steps'!Q$1:Q$400,0)),Q$2,)</f>
        <v>0</v>
      </c>
      <c r="R89" s="179">
        <f ca="1">IF(ISNUMBER(MATCH(DATEVALUE($A89),'recurring1_based on steps'!R$1:R$400,0)),R$2,)</f>
        <v>0</v>
      </c>
      <c r="S89" s="179">
        <f ca="1">IF(ISNUMBER(MATCH(DATEVALUE($A89),'recurring1_based on steps'!S$1:S$400,0)),S$2,)</f>
        <v>0</v>
      </c>
      <c r="T89" s="179">
        <f ca="1">IF(ISNUMBER(MATCH(DATEVALUE($A89),'recurring1_based on steps'!T$1:T$400,0)),T$2,)</f>
        <v>0</v>
      </c>
      <c r="U89" s="179">
        <f ca="1">IF(ISNUMBER(MATCH(DATEVALUE($A89),'recurring1_based on steps'!U$1:U$400,0)),U$2,)</f>
        <v>0</v>
      </c>
      <c r="V89" s="179">
        <f ca="1">IF(ISNUMBER(MATCH(DATEVALUE($A89),'recurring1_based on steps'!V$1:V$400,0)),V$2,)</f>
        <v>0</v>
      </c>
      <c r="W89" s="179">
        <f ca="1">IF(ISNUMBER(MATCH(DATEVALUE($A89),'recurring1_based on steps'!W$1:W$400,0)),W$2,)</f>
        <v>0</v>
      </c>
      <c r="X89" s="179">
        <f ca="1">IF(ISNUMBER(MATCH(DATEVALUE($A89),'recurring1_based on steps'!X$1:X$400,0)),X$2,)</f>
        <v>0</v>
      </c>
      <c r="Y89" s="179">
        <f ca="1">IF(ISNUMBER(MATCH(DATEVALUE($A89),'recurring1_based on steps'!Y$1:Y$400,0)),Y$2,)</f>
        <v>0</v>
      </c>
      <c r="Z89" s="179">
        <f ca="1">IF(ISNUMBER(MATCH(DATEVALUE($A89),'recurring1_based on steps'!Z$1:Z$400,0)),Z$2,)</f>
        <v>0</v>
      </c>
      <c r="AA89" s="179">
        <f ca="1">IF(ISNUMBER(MATCH(DATEVALUE($A89),'recurring1_based on steps'!AA$1:AA$400,0)),AA$2,)</f>
        <v>0</v>
      </c>
      <c r="AB89" s="179">
        <f ca="1">IF(ISNUMBER(MATCH(DATEVALUE($A89),'recurring1_based on steps'!AB$1:AB$400,0)),AB$2,)</f>
        <v>0</v>
      </c>
      <c r="AC89" s="179">
        <f ca="1">IF(ISNUMBER(MATCH(DATEVALUE($A89),'recurring1_based on steps'!AC$1:AC$400,0)),AC$2,)</f>
        <v>0</v>
      </c>
      <c r="AD89" s="179">
        <f ca="1">IF(ISNUMBER(MATCH(DATEVALUE($A89),'recurring1_based on steps'!AD$1:AD$400,0)),AD$2,)</f>
        <v>0</v>
      </c>
      <c r="AE89" s="179">
        <f ca="1">IF(ISNUMBER(MATCH(DATEVALUE($A89),'recurring1_based on steps'!AE$1:AE$400,0)),AE$2,)</f>
        <v>0</v>
      </c>
      <c r="AF89" s="179">
        <f ca="1">IF(ISNUMBER(MATCH(DATEVALUE($A89),'recurring1_based on steps'!AF$1:AF$400,0)),AF$2,)</f>
        <v>0</v>
      </c>
      <c r="AG89" s="179">
        <f ca="1">IF(ISNUMBER(MATCH(DATEVALUE($A89),'recurring1_based on steps'!AG$1:AG$400,0)),AG$2,)</f>
        <v>0</v>
      </c>
      <c r="AH89" s="179">
        <f ca="1">IF(ISNUMBER(MATCH(DATEVALUE($A89),'recurring1_based on steps'!AH$1:AH$400,0)),AH$2,)</f>
        <v>0</v>
      </c>
      <c r="AI89" s="179">
        <f ca="1">IF(ISNUMBER(MATCH(DATEVALUE($A89),'recurring1_based on steps'!AI$1:AI$400,0)),AI$2,)</f>
        <v>0</v>
      </c>
      <c r="AJ89" s="179">
        <f ca="1">IF(ISNUMBER(MATCH(DATEVALUE($A89),'recurring1_based on steps'!AJ$1:AJ$400,0)),AJ$2,)</f>
        <v>0</v>
      </c>
      <c r="AK89" s="179">
        <f ca="1">IF(ISNUMBER(MATCH(DATEVALUE($A89),'recurring1_based on steps'!AK$1:AK$400,0)),AK$2,)</f>
        <v>0</v>
      </c>
      <c r="AL89" s="179">
        <f ca="1">IF(ISNUMBER(MATCH(DATEVALUE($A89),'recurring1_based on steps'!AL$1:AL$400,0)),AL$2,)</f>
        <v>0</v>
      </c>
      <c r="AM89" s="179">
        <f ca="1">IF(ISNUMBER(MATCH(DATEVALUE($A89),'recurring1_based on steps'!AM$1:AM$400,0)),AM$2,)</f>
        <v>0</v>
      </c>
      <c r="AN89" s="179">
        <f ca="1">IF(ISNUMBER(MATCH(DATEVALUE($A89),'recurring1_based on steps'!AN$1:AN$400,0)),AN$2,)</f>
        <v>0</v>
      </c>
      <c r="AO89" s="179">
        <f ca="1">IF(ISNUMBER(MATCH(DATEVALUE($A89),'recurring1_based on steps'!AO$1:AO$400,0)),AO$2,)</f>
        <v>0</v>
      </c>
      <c r="AP89" s="179">
        <f ca="1">IF(ISNUMBER(MATCH(DATEVALUE($A89),'recurring1_based on steps'!AP$1:AP$400,0)),AP$2,)</f>
        <v>0</v>
      </c>
      <c r="AQ89" s="179">
        <f ca="1">IF(ISNUMBER(MATCH(DATEVALUE($A89),'recurring1_based on steps'!AQ$1:AQ$400,0)),AQ$2,)</f>
        <v>0</v>
      </c>
      <c r="AR89" s="179">
        <f ca="1">IF(ISNUMBER(MATCH(DATEVALUE($A89),'recurring1_based on steps'!AR$1:AR$400,0)),AR$2,)</f>
        <v>0</v>
      </c>
      <c r="AS89" s="179">
        <f ca="1">IF(ISNUMBER(MATCH(DATEVALUE($A89),'recurring1_based on steps'!AS$1:AS$400,0)),AS$2,)</f>
        <v>0</v>
      </c>
      <c r="AT89" s="179">
        <f ca="1">IF(ISNUMBER(MATCH(DATEVALUE($A89),'recurring1_based on steps'!AT$1:AT$400,0)),AT$2,)</f>
        <v>0</v>
      </c>
      <c r="AU89" s="179">
        <f ca="1">IF(ISNUMBER(MATCH(DATEVALUE($A89),'recurring1_based on steps'!AU$1:AU$400,0)),AU$2,)</f>
        <v>0</v>
      </c>
      <c r="AV89" s="179">
        <f ca="1">IF(ISNUMBER(MATCH(DATEVALUE($A89),'recurring1_based on steps'!AV$1:AV$400,0)),AV$2,)</f>
        <v>0</v>
      </c>
      <c r="AW89" s="179">
        <f ca="1">IF(ISNUMBER(MATCH(DATEVALUE($A89),'recurring1_based on steps'!AW$1:AW$400,0)),AW$2,)</f>
        <v>0</v>
      </c>
      <c r="AX89" s="179">
        <f ca="1">IF(ISNUMBER(MATCH(DATEVALUE($A89),'recurring1_based on steps'!AX$1:AX$400,0)),AX$2,)</f>
        <v>0</v>
      </c>
      <c r="AY89" s="179">
        <f ca="1">IF(ISNUMBER(MATCH(DATEVALUE($A89),'recurring1_based on steps'!AY$1:AY$400,0)),AY$2,)</f>
        <v>0</v>
      </c>
    </row>
    <row r="90" spans="1:51" x14ac:dyDescent="0.2">
      <c r="A90" s="32" t="str">
        <f t="shared" ca="1" si="1"/>
        <v>2025-06-24</v>
      </c>
      <c r="B90" s="179">
        <f ca="1">IF(ISNUMBER(MATCH(DATEVALUE($A90),'recurring1_based on steps'!B$1:B$400,0)),B$2,)</f>
        <v>0</v>
      </c>
      <c r="C90" s="179">
        <f ca="1">IF(ISNUMBER(MATCH(DATEVALUE($A90),'recurring1_based on steps'!C$1:C$400,0)),C$2,)</f>
        <v>0</v>
      </c>
      <c r="D90" s="179">
        <f ca="1">IF(ISNUMBER(MATCH(DATEVALUE($A90),'recurring1_based on steps'!D$1:D$400,0)),D$2,)</f>
        <v>0</v>
      </c>
      <c r="E90" s="179">
        <f ca="1">IF(ISNUMBER(MATCH(DATEVALUE($A90),'recurring1_based on steps'!E$1:E$400,0)),E$2,)</f>
        <v>0</v>
      </c>
      <c r="F90" s="179">
        <f ca="1">IF(ISNUMBER(MATCH(DATEVALUE($A90),'recurring1_based on steps'!F$1:F$400,0)),F$2,)</f>
        <v>0</v>
      </c>
      <c r="G90" s="179">
        <f ca="1">IF(ISNUMBER(MATCH(DATEVALUE($A90),'recurring1_based on steps'!G$1:G$400,0)),G$2,)</f>
        <v>0</v>
      </c>
      <c r="H90" s="179">
        <f ca="1">IF(ISNUMBER(MATCH(DATEVALUE($A90),'recurring1_based on steps'!H$1:H$400,0)),H$2,)</f>
        <v>0</v>
      </c>
      <c r="I90" s="179">
        <f ca="1">IF(ISNUMBER(MATCH(DATEVALUE($A90),'recurring1_based on steps'!I$1:I$400,0)),I$2,)</f>
        <v>0</v>
      </c>
      <c r="J90" s="179">
        <f ca="1">IF(ISNUMBER(MATCH(DATEVALUE($A90),'recurring1_based on steps'!J$1:J$400,0)),J$2,)</f>
        <v>0</v>
      </c>
      <c r="K90" s="179">
        <f ca="1">IF(ISNUMBER(MATCH(DATEVALUE($A90),'recurring1_based on steps'!K$1:K$400,0)),K$2,)</f>
        <v>0</v>
      </c>
      <c r="L90" s="179">
        <f ca="1">IF(ISNUMBER(MATCH(DATEVALUE($A90),'recurring1_based on steps'!L$1:L$400,0)),L$2,)</f>
        <v>0</v>
      </c>
      <c r="M90" s="179">
        <f ca="1">IF(ISNUMBER(MATCH(DATEVALUE($A90),'recurring1_based on steps'!M$1:M$400,0)),M$2,)</f>
        <v>0</v>
      </c>
      <c r="N90" s="179">
        <f ca="1">IF(ISNUMBER(MATCH(DATEVALUE($A90),'recurring1_based on steps'!N$1:N$400,0)),N$2,)</f>
        <v>0</v>
      </c>
      <c r="O90" s="179">
        <f ca="1">IF(ISNUMBER(MATCH(DATEVALUE($A90),'recurring1_based on steps'!O$1:O$400,0)),O$2,)</f>
        <v>0</v>
      </c>
      <c r="P90" s="179">
        <f ca="1">IF(ISNUMBER(MATCH(DATEVALUE($A90),'recurring1_based on steps'!P$1:P$400,0)),P$2,)</f>
        <v>0</v>
      </c>
      <c r="Q90" s="179">
        <f ca="1">IF(ISNUMBER(MATCH(DATEVALUE($A90),'recurring1_based on steps'!Q$1:Q$400,0)),Q$2,)</f>
        <v>0</v>
      </c>
      <c r="R90" s="179">
        <f ca="1">IF(ISNUMBER(MATCH(DATEVALUE($A90),'recurring1_based on steps'!R$1:R$400,0)),R$2,)</f>
        <v>0</v>
      </c>
      <c r="S90" s="179">
        <f ca="1">IF(ISNUMBER(MATCH(DATEVALUE($A90),'recurring1_based on steps'!S$1:S$400,0)),S$2,)</f>
        <v>0</v>
      </c>
      <c r="T90" s="179">
        <f ca="1">IF(ISNUMBER(MATCH(DATEVALUE($A90),'recurring1_based on steps'!T$1:T$400,0)),T$2,)</f>
        <v>0</v>
      </c>
      <c r="U90" s="179">
        <f ca="1">IF(ISNUMBER(MATCH(DATEVALUE($A90),'recurring1_based on steps'!U$1:U$400,0)),U$2,)</f>
        <v>0</v>
      </c>
      <c r="V90" s="179">
        <f ca="1">IF(ISNUMBER(MATCH(DATEVALUE($A90),'recurring1_based on steps'!V$1:V$400,0)),V$2,)</f>
        <v>0</v>
      </c>
      <c r="W90" s="179">
        <f ca="1">IF(ISNUMBER(MATCH(DATEVALUE($A90),'recurring1_based on steps'!W$1:W$400,0)),W$2,)</f>
        <v>0</v>
      </c>
      <c r="X90" s="179">
        <f ca="1">IF(ISNUMBER(MATCH(DATEVALUE($A90),'recurring1_based on steps'!X$1:X$400,0)),X$2,)</f>
        <v>0</v>
      </c>
      <c r="Y90" s="179">
        <f ca="1">IF(ISNUMBER(MATCH(DATEVALUE($A90),'recurring1_based on steps'!Y$1:Y$400,0)),Y$2,)</f>
        <v>0</v>
      </c>
      <c r="Z90" s="179">
        <f ca="1">IF(ISNUMBER(MATCH(DATEVALUE($A90),'recurring1_based on steps'!Z$1:Z$400,0)),Z$2,)</f>
        <v>0</v>
      </c>
      <c r="AA90" s="179">
        <f ca="1">IF(ISNUMBER(MATCH(DATEVALUE($A90),'recurring1_based on steps'!AA$1:AA$400,0)),AA$2,)</f>
        <v>0</v>
      </c>
      <c r="AB90" s="179">
        <f ca="1">IF(ISNUMBER(MATCH(DATEVALUE($A90),'recurring1_based on steps'!AB$1:AB$400,0)),AB$2,)</f>
        <v>0</v>
      </c>
      <c r="AC90" s="179">
        <f ca="1">IF(ISNUMBER(MATCH(DATEVALUE($A90),'recurring1_based on steps'!AC$1:AC$400,0)),AC$2,)</f>
        <v>0</v>
      </c>
      <c r="AD90" s="179">
        <f ca="1">IF(ISNUMBER(MATCH(DATEVALUE($A90),'recurring1_based on steps'!AD$1:AD$400,0)),AD$2,)</f>
        <v>0</v>
      </c>
      <c r="AE90" s="179">
        <f ca="1">IF(ISNUMBER(MATCH(DATEVALUE($A90),'recurring1_based on steps'!AE$1:AE$400,0)),AE$2,)</f>
        <v>0</v>
      </c>
      <c r="AF90" s="179">
        <f ca="1">IF(ISNUMBER(MATCH(DATEVALUE($A90),'recurring1_based on steps'!AF$1:AF$400,0)),AF$2,)</f>
        <v>0</v>
      </c>
      <c r="AG90" s="179">
        <f ca="1">IF(ISNUMBER(MATCH(DATEVALUE($A90),'recurring1_based on steps'!AG$1:AG$400,0)),AG$2,)</f>
        <v>0</v>
      </c>
      <c r="AH90" s="179">
        <f ca="1">IF(ISNUMBER(MATCH(DATEVALUE($A90),'recurring1_based on steps'!AH$1:AH$400,0)),AH$2,)</f>
        <v>0</v>
      </c>
      <c r="AI90" s="179">
        <f ca="1">IF(ISNUMBER(MATCH(DATEVALUE($A90),'recurring1_based on steps'!AI$1:AI$400,0)),AI$2,)</f>
        <v>0</v>
      </c>
      <c r="AJ90" s="179">
        <f ca="1">IF(ISNUMBER(MATCH(DATEVALUE($A90),'recurring1_based on steps'!AJ$1:AJ$400,0)),AJ$2,)</f>
        <v>0</v>
      </c>
      <c r="AK90" s="179">
        <f ca="1">IF(ISNUMBER(MATCH(DATEVALUE($A90),'recurring1_based on steps'!AK$1:AK$400,0)),AK$2,)</f>
        <v>0</v>
      </c>
      <c r="AL90" s="179">
        <f ca="1">IF(ISNUMBER(MATCH(DATEVALUE($A90),'recurring1_based on steps'!AL$1:AL$400,0)),AL$2,)</f>
        <v>0</v>
      </c>
      <c r="AM90" s="179">
        <f ca="1">IF(ISNUMBER(MATCH(DATEVALUE($A90),'recurring1_based on steps'!AM$1:AM$400,0)),AM$2,)</f>
        <v>0</v>
      </c>
      <c r="AN90" s="179">
        <f ca="1">IF(ISNUMBER(MATCH(DATEVALUE($A90),'recurring1_based on steps'!AN$1:AN$400,0)),AN$2,)</f>
        <v>0</v>
      </c>
      <c r="AO90" s="179">
        <f ca="1">IF(ISNUMBER(MATCH(DATEVALUE($A90),'recurring1_based on steps'!AO$1:AO$400,0)),AO$2,)</f>
        <v>0</v>
      </c>
      <c r="AP90" s="179">
        <f ca="1">IF(ISNUMBER(MATCH(DATEVALUE($A90),'recurring1_based on steps'!AP$1:AP$400,0)),AP$2,)</f>
        <v>0</v>
      </c>
      <c r="AQ90" s="179">
        <f ca="1">IF(ISNUMBER(MATCH(DATEVALUE($A90),'recurring1_based on steps'!AQ$1:AQ$400,0)),AQ$2,)</f>
        <v>0</v>
      </c>
      <c r="AR90" s="179">
        <f ca="1">IF(ISNUMBER(MATCH(DATEVALUE($A90),'recurring1_based on steps'!AR$1:AR$400,0)),AR$2,)</f>
        <v>0</v>
      </c>
      <c r="AS90" s="179">
        <f ca="1">IF(ISNUMBER(MATCH(DATEVALUE($A90),'recurring1_based on steps'!AS$1:AS$400,0)),AS$2,)</f>
        <v>0</v>
      </c>
      <c r="AT90" s="179">
        <f ca="1">IF(ISNUMBER(MATCH(DATEVALUE($A90),'recurring1_based on steps'!AT$1:AT$400,0)),AT$2,)</f>
        <v>0</v>
      </c>
      <c r="AU90" s="179">
        <f ca="1">IF(ISNUMBER(MATCH(DATEVALUE($A90),'recurring1_based on steps'!AU$1:AU$400,0)),AU$2,)</f>
        <v>0</v>
      </c>
      <c r="AV90" s="179">
        <f ca="1">IF(ISNUMBER(MATCH(DATEVALUE($A90),'recurring1_based on steps'!AV$1:AV$400,0)),AV$2,)</f>
        <v>0</v>
      </c>
      <c r="AW90" s="179">
        <f ca="1">IF(ISNUMBER(MATCH(DATEVALUE($A90),'recurring1_based on steps'!AW$1:AW$400,0)),AW$2,)</f>
        <v>0</v>
      </c>
      <c r="AX90" s="179">
        <f ca="1">IF(ISNUMBER(MATCH(DATEVALUE($A90),'recurring1_based on steps'!AX$1:AX$400,0)),AX$2,)</f>
        <v>0</v>
      </c>
      <c r="AY90" s="179">
        <f ca="1">IF(ISNUMBER(MATCH(DATEVALUE($A90),'recurring1_based on steps'!AY$1:AY$400,0)),AY$2,)</f>
        <v>0</v>
      </c>
    </row>
    <row r="91" spans="1:51" x14ac:dyDescent="0.2">
      <c r="A91" s="32" t="str">
        <f t="shared" ca="1" si="1"/>
        <v>2025-06-25</v>
      </c>
      <c r="B91" s="179">
        <f ca="1">IF(ISNUMBER(MATCH(DATEVALUE($A91),'recurring1_based on steps'!B$1:B$400,0)),B$2,)</f>
        <v>0</v>
      </c>
      <c r="C91" s="179">
        <f ca="1">IF(ISNUMBER(MATCH(DATEVALUE($A91),'recurring1_based on steps'!C$1:C$400,0)),C$2,)</f>
        <v>0</v>
      </c>
      <c r="D91" s="179">
        <f ca="1">IF(ISNUMBER(MATCH(DATEVALUE($A91),'recurring1_based on steps'!D$1:D$400,0)),D$2,)</f>
        <v>0</v>
      </c>
      <c r="E91" s="179">
        <f ca="1">IF(ISNUMBER(MATCH(DATEVALUE($A91),'recurring1_based on steps'!E$1:E$400,0)),E$2,)</f>
        <v>0</v>
      </c>
      <c r="F91" s="179">
        <f ca="1">IF(ISNUMBER(MATCH(DATEVALUE($A91),'recurring1_based on steps'!F$1:F$400,0)),F$2,)</f>
        <v>0</v>
      </c>
      <c r="G91" s="179">
        <f ca="1">IF(ISNUMBER(MATCH(DATEVALUE($A91),'recurring1_based on steps'!G$1:G$400,0)),G$2,)</f>
        <v>0</v>
      </c>
      <c r="H91" s="179">
        <f ca="1">IF(ISNUMBER(MATCH(DATEVALUE($A91),'recurring1_based on steps'!H$1:H$400,0)),H$2,)</f>
        <v>0</v>
      </c>
      <c r="I91" s="179">
        <f ca="1">IF(ISNUMBER(MATCH(DATEVALUE($A91),'recurring1_based on steps'!I$1:I$400,0)),I$2,)</f>
        <v>0</v>
      </c>
      <c r="J91" s="179">
        <f ca="1">IF(ISNUMBER(MATCH(DATEVALUE($A91),'recurring1_based on steps'!J$1:J$400,0)),J$2,)</f>
        <v>0</v>
      </c>
      <c r="K91" s="179">
        <f ca="1">IF(ISNUMBER(MATCH(DATEVALUE($A91),'recurring1_based on steps'!K$1:K$400,0)),K$2,)</f>
        <v>0</v>
      </c>
      <c r="L91" s="179">
        <f ca="1">IF(ISNUMBER(MATCH(DATEVALUE($A91),'recurring1_based on steps'!L$1:L$400,0)),L$2,)</f>
        <v>0</v>
      </c>
      <c r="M91" s="179">
        <f ca="1">IF(ISNUMBER(MATCH(DATEVALUE($A91),'recurring1_based on steps'!M$1:M$400,0)),M$2,)</f>
        <v>0</v>
      </c>
      <c r="N91" s="179">
        <f ca="1">IF(ISNUMBER(MATCH(DATEVALUE($A91),'recurring1_based on steps'!N$1:N$400,0)),N$2,)</f>
        <v>0</v>
      </c>
      <c r="O91" s="179">
        <f ca="1">IF(ISNUMBER(MATCH(DATEVALUE($A91),'recurring1_based on steps'!O$1:O$400,0)),O$2,)</f>
        <v>0</v>
      </c>
      <c r="P91" s="179">
        <f ca="1">IF(ISNUMBER(MATCH(DATEVALUE($A91),'recurring1_based on steps'!P$1:P$400,0)),P$2,)</f>
        <v>0</v>
      </c>
      <c r="Q91" s="179">
        <f ca="1">IF(ISNUMBER(MATCH(DATEVALUE($A91),'recurring1_based on steps'!Q$1:Q$400,0)),Q$2,)</f>
        <v>0</v>
      </c>
      <c r="R91" s="179">
        <f ca="1">IF(ISNUMBER(MATCH(DATEVALUE($A91),'recurring1_based on steps'!R$1:R$400,0)),R$2,)</f>
        <v>0</v>
      </c>
      <c r="S91" s="179">
        <f ca="1">IF(ISNUMBER(MATCH(DATEVALUE($A91),'recurring1_based on steps'!S$1:S$400,0)),S$2,)</f>
        <v>0</v>
      </c>
      <c r="T91" s="179">
        <f ca="1">IF(ISNUMBER(MATCH(DATEVALUE($A91),'recurring1_based on steps'!T$1:T$400,0)),T$2,)</f>
        <v>0</v>
      </c>
      <c r="U91" s="179">
        <f ca="1">IF(ISNUMBER(MATCH(DATEVALUE($A91),'recurring1_based on steps'!U$1:U$400,0)),U$2,)</f>
        <v>0</v>
      </c>
      <c r="V91" s="179">
        <f ca="1">IF(ISNUMBER(MATCH(DATEVALUE($A91),'recurring1_based on steps'!V$1:V$400,0)),V$2,)</f>
        <v>0</v>
      </c>
      <c r="W91" s="179">
        <f ca="1">IF(ISNUMBER(MATCH(DATEVALUE($A91),'recurring1_based on steps'!W$1:W$400,0)),W$2,)</f>
        <v>0</v>
      </c>
      <c r="X91" s="179">
        <f ca="1">IF(ISNUMBER(MATCH(DATEVALUE($A91),'recurring1_based on steps'!X$1:X$400,0)),X$2,)</f>
        <v>0</v>
      </c>
      <c r="Y91" s="179">
        <f ca="1">IF(ISNUMBER(MATCH(DATEVALUE($A91),'recurring1_based on steps'!Y$1:Y$400,0)),Y$2,)</f>
        <v>0</v>
      </c>
      <c r="Z91" s="179">
        <f ca="1">IF(ISNUMBER(MATCH(DATEVALUE($A91),'recurring1_based on steps'!Z$1:Z$400,0)),Z$2,)</f>
        <v>0</v>
      </c>
      <c r="AA91" s="179">
        <f ca="1">IF(ISNUMBER(MATCH(DATEVALUE($A91),'recurring1_based on steps'!AA$1:AA$400,0)),AA$2,)</f>
        <v>0</v>
      </c>
      <c r="AB91" s="179">
        <f ca="1">IF(ISNUMBER(MATCH(DATEVALUE($A91),'recurring1_based on steps'!AB$1:AB$400,0)),AB$2,)</f>
        <v>0</v>
      </c>
      <c r="AC91" s="179">
        <f ca="1">IF(ISNUMBER(MATCH(DATEVALUE($A91),'recurring1_based on steps'!AC$1:AC$400,0)),AC$2,)</f>
        <v>0</v>
      </c>
      <c r="AD91" s="179">
        <f ca="1">IF(ISNUMBER(MATCH(DATEVALUE($A91),'recurring1_based on steps'!AD$1:AD$400,0)),AD$2,)</f>
        <v>0</v>
      </c>
      <c r="AE91" s="179">
        <f ca="1">IF(ISNUMBER(MATCH(DATEVALUE($A91),'recurring1_based on steps'!AE$1:AE$400,0)),AE$2,)</f>
        <v>0</v>
      </c>
      <c r="AF91" s="179">
        <f ca="1">IF(ISNUMBER(MATCH(DATEVALUE($A91),'recurring1_based on steps'!AF$1:AF$400,0)),AF$2,)</f>
        <v>0</v>
      </c>
      <c r="AG91" s="179">
        <f ca="1">IF(ISNUMBER(MATCH(DATEVALUE($A91),'recurring1_based on steps'!AG$1:AG$400,0)),AG$2,)</f>
        <v>0</v>
      </c>
      <c r="AH91" s="179">
        <f ca="1">IF(ISNUMBER(MATCH(DATEVALUE($A91),'recurring1_based on steps'!AH$1:AH$400,0)),AH$2,)</f>
        <v>0</v>
      </c>
      <c r="AI91" s="179">
        <f ca="1">IF(ISNUMBER(MATCH(DATEVALUE($A91),'recurring1_based on steps'!AI$1:AI$400,0)),AI$2,)</f>
        <v>0</v>
      </c>
      <c r="AJ91" s="179">
        <f ca="1">IF(ISNUMBER(MATCH(DATEVALUE($A91),'recurring1_based on steps'!AJ$1:AJ$400,0)),AJ$2,)</f>
        <v>0</v>
      </c>
      <c r="AK91" s="179">
        <f ca="1">IF(ISNUMBER(MATCH(DATEVALUE($A91),'recurring1_based on steps'!AK$1:AK$400,0)),AK$2,)</f>
        <v>0</v>
      </c>
      <c r="AL91" s="179">
        <f ca="1">IF(ISNUMBER(MATCH(DATEVALUE($A91),'recurring1_based on steps'!AL$1:AL$400,0)),AL$2,)</f>
        <v>0</v>
      </c>
      <c r="AM91" s="179">
        <f ca="1">IF(ISNUMBER(MATCH(DATEVALUE($A91),'recurring1_based on steps'!AM$1:AM$400,0)),AM$2,)</f>
        <v>0</v>
      </c>
      <c r="AN91" s="179">
        <f ca="1">IF(ISNUMBER(MATCH(DATEVALUE($A91),'recurring1_based on steps'!AN$1:AN$400,0)),AN$2,)</f>
        <v>0</v>
      </c>
      <c r="AO91" s="179">
        <f ca="1">IF(ISNUMBER(MATCH(DATEVALUE($A91),'recurring1_based on steps'!AO$1:AO$400,0)),AO$2,)</f>
        <v>0</v>
      </c>
      <c r="AP91" s="179">
        <f ca="1">IF(ISNUMBER(MATCH(DATEVALUE($A91),'recurring1_based on steps'!AP$1:AP$400,0)),AP$2,)</f>
        <v>0</v>
      </c>
      <c r="AQ91" s="179">
        <f ca="1">IF(ISNUMBER(MATCH(DATEVALUE($A91),'recurring1_based on steps'!AQ$1:AQ$400,0)),AQ$2,)</f>
        <v>0</v>
      </c>
      <c r="AR91" s="179">
        <f ca="1">IF(ISNUMBER(MATCH(DATEVALUE($A91),'recurring1_based on steps'!AR$1:AR$400,0)),AR$2,)</f>
        <v>0</v>
      </c>
      <c r="AS91" s="179">
        <f ca="1">IF(ISNUMBER(MATCH(DATEVALUE($A91),'recurring1_based on steps'!AS$1:AS$400,0)),AS$2,)</f>
        <v>0</v>
      </c>
      <c r="AT91" s="179">
        <f ca="1">IF(ISNUMBER(MATCH(DATEVALUE($A91),'recurring1_based on steps'!AT$1:AT$400,0)),AT$2,)</f>
        <v>0</v>
      </c>
      <c r="AU91" s="179">
        <f ca="1">IF(ISNUMBER(MATCH(DATEVALUE($A91),'recurring1_based on steps'!AU$1:AU$400,0)),AU$2,)</f>
        <v>0</v>
      </c>
      <c r="AV91" s="179">
        <f ca="1">IF(ISNUMBER(MATCH(DATEVALUE($A91),'recurring1_based on steps'!AV$1:AV$400,0)),AV$2,)</f>
        <v>0</v>
      </c>
      <c r="AW91" s="179">
        <f ca="1">IF(ISNUMBER(MATCH(DATEVALUE($A91),'recurring1_based on steps'!AW$1:AW$400,0)),AW$2,)</f>
        <v>0</v>
      </c>
      <c r="AX91" s="179">
        <f ca="1">IF(ISNUMBER(MATCH(DATEVALUE($A91),'recurring1_based on steps'!AX$1:AX$400,0)),AX$2,)</f>
        <v>0</v>
      </c>
      <c r="AY91" s="179">
        <f ca="1">IF(ISNUMBER(MATCH(DATEVALUE($A91),'recurring1_based on steps'!AY$1:AY$400,0)),AY$2,)</f>
        <v>0</v>
      </c>
    </row>
    <row r="92" spans="1:51" x14ac:dyDescent="0.2">
      <c r="A92" s="32" t="str">
        <f t="shared" ca="1" si="1"/>
        <v>2025-06-26</v>
      </c>
      <c r="B92" s="179">
        <f ca="1">IF(ISNUMBER(MATCH(DATEVALUE($A92),'recurring1_based on steps'!B$1:B$400,0)),B$2,)</f>
        <v>0</v>
      </c>
      <c r="C92" s="179">
        <f ca="1">IF(ISNUMBER(MATCH(DATEVALUE($A92),'recurring1_based on steps'!C$1:C$400,0)),C$2,)</f>
        <v>0</v>
      </c>
      <c r="D92" s="179">
        <f ca="1">IF(ISNUMBER(MATCH(DATEVALUE($A92),'recurring1_based on steps'!D$1:D$400,0)),D$2,)</f>
        <v>0</v>
      </c>
      <c r="E92" s="179">
        <f ca="1">IF(ISNUMBER(MATCH(DATEVALUE($A92),'recurring1_based on steps'!E$1:E$400,0)),E$2,)</f>
        <v>0</v>
      </c>
      <c r="F92" s="179">
        <f ca="1">IF(ISNUMBER(MATCH(DATEVALUE($A92),'recurring1_based on steps'!F$1:F$400,0)),F$2,)</f>
        <v>0</v>
      </c>
      <c r="G92" s="179">
        <f ca="1">IF(ISNUMBER(MATCH(DATEVALUE($A92),'recurring1_based on steps'!G$1:G$400,0)),G$2,)</f>
        <v>0</v>
      </c>
      <c r="H92" s="179">
        <f ca="1">IF(ISNUMBER(MATCH(DATEVALUE($A92),'recurring1_based on steps'!H$1:H$400,0)),H$2,)</f>
        <v>0</v>
      </c>
      <c r="I92" s="179">
        <f ca="1">IF(ISNUMBER(MATCH(DATEVALUE($A92),'recurring1_based on steps'!I$1:I$400,0)),I$2,)</f>
        <v>0</v>
      </c>
      <c r="J92" s="179">
        <f ca="1">IF(ISNUMBER(MATCH(DATEVALUE($A92),'recurring1_based on steps'!J$1:J$400,0)),J$2,)</f>
        <v>0</v>
      </c>
      <c r="K92" s="179">
        <f ca="1">IF(ISNUMBER(MATCH(DATEVALUE($A92),'recurring1_based on steps'!K$1:K$400,0)),K$2,)</f>
        <v>0</v>
      </c>
      <c r="L92" s="179">
        <f ca="1">IF(ISNUMBER(MATCH(DATEVALUE($A92),'recurring1_based on steps'!L$1:L$400,0)),L$2,)</f>
        <v>0</v>
      </c>
      <c r="M92" s="179">
        <f ca="1">IF(ISNUMBER(MATCH(DATEVALUE($A92),'recurring1_based on steps'!M$1:M$400,0)),M$2,)</f>
        <v>0</v>
      </c>
      <c r="N92" s="179">
        <f ca="1">IF(ISNUMBER(MATCH(DATEVALUE($A92),'recurring1_based on steps'!N$1:N$400,0)),N$2,)</f>
        <v>0</v>
      </c>
      <c r="O92" s="179">
        <f ca="1">IF(ISNUMBER(MATCH(DATEVALUE($A92),'recurring1_based on steps'!O$1:O$400,0)),O$2,)</f>
        <v>0</v>
      </c>
      <c r="P92" s="179">
        <f ca="1">IF(ISNUMBER(MATCH(DATEVALUE($A92),'recurring1_based on steps'!P$1:P$400,0)),P$2,)</f>
        <v>0</v>
      </c>
      <c r="Q92" s="179">
        <f ca="1">IF(ISNUMBER(MATCH(DATEVALUE($A92),'recurring1_based on steps'!Q$1:Q$400,0)),Q$2,)</f>
        <v>0</v>
      </c>
      <c r="R92" s="179">
        <f ca="1">IF(ISNUMBER(MATCH(DATEVALUE($A92),'recurring1_based on steps'!R$1:R$400,0)),R$2,)</f>
        <v>0</v>
      </c>
      <c r="S92" s="179">
        <f ca="1">IF(ISNUMBER(MATCH(DATEVALUE($A92),'recurring1_based on steps'!S$1:S$400,0)),S$2,)</f>
        <v>0</v>
      </c>
      <c r="T92" s="179">
        <f ca="1">IF(ISNUMBER(MATCH(DATEVALUE($A92),'recurring1_based on steps'!T$1:T$400,0)),T$2,)</f>
        <v>0</v>
      </c>
      <c r="U92" s="179">
        <f ca="1">IF(ISNUMBER(MATCH(DATEVALUE($A92),'recurring1_based on steps'!U$1:U$400,0)),U$2,)</f>
        <v>0</v>
      </c>
      <c r="V92" s="179">
        <f ca="1">IF(ISNUMBER(MATCH(DATEVALUE($A92),'recurring1_based on steps'!V$1:V$400,0)),V$2,)</f>
        <v>0</v>
      </c>
      <c r="W92" s="179">
        <f ca="1">IF(ISNUMBER(MATCH(DATEVALUE($A92),'recurring1_based on steps'!W$1:W$400,0)),W$2,)</f>
        <v>0</v>
      </c>
      <c r="X92" s="179">
        <f ca="1">IF(ISNUMBER(MATCH(DATEVALUE($A92),'recurring1_based on steps'!X$1:X$400,0)),X$2,)</f>
        <v>0</v>
      </c>
      <c r="Y92" s="179">
        <f ca="1">IF(ISNUMBER(MATCH(DATEVALUE($A92),'recurring1_based on steps'!Y$1:Y$400,0)),Y$2,)</f>
        <v>0</v>
      </c>
      <c r="Z92" s="179">
        <f ca="1">IF(ISNUMBER(MATCH(DATEVALUE($A92),'recurring1_based on steps'!Z$1:Z$400,0)),Z$2,)</f>
        <v>0</v>
      </c>
      <c r="AA92" s="179">
        <f ca="1">IF(ISNUMBER(MATCH(DATEVALUE($A92),'recurring1_based on steps'!AA$1:AA$400,0)),AA$2,)</f>
        <v>0</v>
      </c>
      <c r="AB92" s="179">
        <f ca="1">IF(ISNUMBER(MATCH(DATEVALUE($A92),'recurring1_based on steps'!AB$1:AB$400,0)),AB$2,)</f>
        <v>0</v>
      </c>
      <c r="AC92" s="179">
        <f ca="1">IF(ISNUMBER(MATCH(DATEVALUE($A92),'recurring1_based on steps'!AC$1:AC$400,0)),AC$2,)</f>
        <v>0</v>
      </c>
      <c r="AD92" s="179">
        <f ca="1">IF(ISNUMBER(MATCH(DATEVALUE($A92),'recurring1_based on steps'!AD$1:AD$400,0)),AD$2,)</f>
        <v>0</v>
      </c>
      <c r="AE92" s="179">
        <f ca="1">IF(ISNUMBER(MATCH(DATEVALUE($A92),'recurring1_based on steps'!AE$1:AE$400,0)),AE$2,)</f>
        <v>0</v>
      </c>
      <c r="AF92" s="179">
        <f ca="1">IF(ISNUMBER(MATCH(DATEVALUE($A92),'recurring1_based on steps'!AF$1:AF$400,0)),AF$2,)</f>
        <v>0</v>
      </c>
      <c r="AG92" s="179">
        <f ca="1">IF(ISNUMBER(MATCH(DATEVALUE($A92),'recurring1_based on steps'!AG$1:AG$400,0)),AG$2,)</f>
        <v>0</v>
      </c>
      <c r="AH92" s="179">
        <f ca="1">IF(ISNUMBER(MATCH(DATEVALUE($A92),'recurring1_based on steps'!AH$1:AH$400,0)),AH$2,)</f>
        <v>0</v>
      </c>
      <c r="AI92" s="179">
        <f ca="1">IF(ISNUMBER(MATCH(DATEVALUE($A92),'recurring1_based on steps'!AI$1:AI$400,0)),AI$2,)</f>
        <v>0</v>
      </c>
      <c r="AJ92" s="179">
        <f ca="1">IF(ISNUMBER(MATCH(DATEVALUE($A92),'recurring1_based on steps'!AJ$1:AJ$400,0)),AJ$2,)</f>
        <v>0</v>
      </c>
      <c r="AK92" s="179">
        <f ca="1">IF(ISNUMBER(MATCH(DATEVALUE($A92),'recurring1_based on steps'!AK$1:AK$400,0)),AK$2,)</f>
        <v>0</v>
      </c>
      <c r="AL92" s="179">
        <f ca="1">IF(ISNUMBER(MATCH(DATEVALUE($A92),'recurring1_based on steps'!AL$1:AL$400,0)),AL$2,)</f>
        <v>0</v>
      </c>
      <c r="AM92" s="179">
        <f ca="1">IF(ISNUMBER(MATCH(DATEVALUE($A92),'recurring1_based on steps'!AM$1:AM$400,0)),AM$2,)</f>
        <v>0</v>
      </c>
      <c r="AN92" s="179">
        <f ca="1">IF(ISNUMBER(MATCH(DATEVALUE($A92),'recurring1_based on steps'!AN$1:AN$400,0)),AN$2,)</f>
        <v>0</v>
      </c>
      <c r="AO92" s="179">
        <f ca="1">IF(ISNUMBER(MATCH(DATEVALUE($A92),'recurring1_based on steps'!AO$1:AO$400,0)),AO$2,)</f>
        <v>0</v>
      </c>
      <c r="AP92" s="179">
        <f ca="1">IF(ISNUMBER(MATCH(DATEVALUE($A92),'recurring1_based on steps'!AP$1:AP$400,0)),AP$2,)</f>
        <v>0</v>
      </c>
      <c r="AQ92" s="179">
        <f ca="1">IF(ISNUMBER(MATCH(DATEVALUE($A92),'recurring1_based on steps'!AQ$1:AQ$400,0)),AQ$2,)</f>
        <v>0</v>
      </c>
      <c r="AR92" s="179">
        <f ca="1">IF(ISNUMBER(MATCH(DATEVALUE($A92),'recurring1_based on steps'!AR$1:AR$400,0)),AR$2,)</f>
        <v>0</v>
      </c>
      <c r="AS92" s="179">
        <f ca="1">IF(ISNUMBER(MATCH(DATEVALUE($A92),'recurring1_based on steps'!AS$1:AS$400,0)),AS$2,)</f>
        <v>0</v>
      </c>
      <c r="AT92" s="179">
        <f ca="1">IF(ISNUMBER(MATCH(DATEVALUE($A92),'recurring1_based on steps'!AT$1:AT$400,0)),AT$2,)</f>
        <v>0</v>
      </c>
      <c r="AU92" s="179">
        <f ca="1">IF(ISNUMBER(MATCH(DATEVALUE($A92),'recurring1_based on steps'!AU$1:AU$400,0)),AU$2,)</f>
        <v>0</v>
      </c>
      <c r="AV92" s="179">
        <f ca="1">IF(ISNUMBER(MATCH(DATEVALUE($A92),'recurring1_based on steps'!AV$1:AV$400,0)),AV$2,)</f>
        <v>0</v>
      </c>
      <c r="AW92" s="179">
        <f ca="1">IF(ISNUMBER(MATCH(DATEVALUE($A92),'recurring1_based on steps'!AW$1:AW$400,0)),AW$2,)</f>
        <v>0</v>
      </c>
      <c r="AX92" s="179">
        <f ca="1">IF(ISNUMBER(MATCH(DATEVALUE($A92),'recurring1_based on steps'!AX$1:AX$400,0)),AX$2,)</f>
        <v>0</v>
      </c>
      <c r="AY92" s="179">
        <f ca="1">IF(ISNUMBER(MATCH(DATEVALUE($A92),'recurring1_based on steps'!AY$1:AY$400,0)),AY$2,)</f>
        <v>0</v>
      </c>
    </row>
    <row r="93" spans="1:51" x14ac:dyDescent="0.2">
      <c r="A93" s="32" t="str">
        <f t="shared" ca="1" si="1"/>
        <v>2025-06-27</v>
      </c>
      <c r="B93" s="179">
        <f ca="1">IF(ISNUMBER(MATCH(DATEVALUE($A93),'recurring1_based on steps'!B$1:B$400,0)),B$2,)</f>
        <v>0</v>
      </c>
      <c r="C93" s="179">
        <f ca="1">IF(ISNUMBER(MATCH(DATEVALUE($A93),'recurring1_based on steps'!C$1:C$400,0)),C$2,)</f>
        <v>0</v>
      </c>
      <c r="D93" s="179">
        <f ca="1">IF(ISNUMBER(MATCH(DATEVALUE($A93),'recurring1_based on steps'!D$1:D$400,0)),D$2,)</f>
        <v>0</v>
      </c>
      <c r="E93" s="179">
        <f ca="1">IF(ISNUMBER(MATCH(DATEVALUE($A93),'recurring1_based on steps'!E$1:E$400,0)),E$2,)</f>
        <v>0</v>
      </c>
      <c r="F93" s="179">
        <f ca="1">IF(ISNUMBER(MATCH(DATEVALUE($A93),'recurring1_based on steps'!F$1:F$400,0)),F$2,)</f>
        <v>0</v>
      </c>
      <c r="G93" s="179">
        <f ca="1">IF(ISNUMBER(MATCH(DATEVALUE($A93),'recurring1_based on steps'!G$1:G$400,0)),G$2,)</f>
        <v>0</v>
      </c>
      <c r="H93" s="179">
        <f ca="1">IF(ISNUMBER(MATCH(DATEVALUE($A93),'recurring1_based on steps'!H$1:H$400,0)),H$2,)</f>
        <v>0</v>
      </c>
      <c r="I93" s="179">
        <f ca="1">IF(ISNUMBER(MATCH(DATEVALUE($A93),'recurring1_based on steps'!I$1:I$400,0)),I$2,)</f>
        <v>0</v>
      </c>
      <c r="J93" s="179">
        <f ca="1">IF(ISNUMBER(MATCH(DATEVALUE($A93),'recurring1_based on steps'!J$1:J$400,0)),J$2,)</f>
        <v>0</v>
      </c>
      <c r="K93" s="179">
        <f ca="1">IF(ISNUMBER(MATCH(DATEVALUE($A93),'recurring1_based on steps'!K$1:K$400,0)),K$2,)</f>
        <v>0</v>
      </c>
      <c r="L93" s="179">
        <f ca="1">IF(ISNUMBER(MATCH(DATEVALUE($A93),'recurring1_based on steps'!L$1:L$400,0)),L$2,)</f>
        <v>0</v>
      </c>
      <c r="M93" s="179">
        <f ca="1">IF(ISNUMBER(MATCH(DATEVALUE($A93),'recurring1_based on steps'!M$1:M$400,0)),M$2,)</f>
        <v>0</v>
      </c>
      <c r="N93" s="179">
        <f ca="1">IF(ISNUMBER(MATCH(DATEVALUE($A93),'recurring1_based on steps'!N$1:N$400,0)),N$2,)</f>
        <v>0</v>
      </c>
      <c r="O93" s="179">
        <f ca="1">IF(ISNUMBER(MATCH(DATEVALUE($A93),'recurring1_based on steps'!O$1:O$400,0)),O$2,)</f>
        <v>0</v>
      </c>
      <c r="P93" s="179">
        <f ca="1">IF(ISNUMBER(MATCH(DATEVALUE($A93),'recurring1_based on steps'!P$1:P$400,0)),P$2,)</f>
        <v>0</v>
      </c>
      <c r="Q93" s="179">
        <f ca="1">IF(ISNUMBER(MATCH(DATEVALUE($A93),'recurring1_based on steps'!Q$1:Q$400,0)),Q$2,)</f>
        <v>0</v>
      </c>
      <c r="R93" s="179">
        <f ca="1">IF(ISNUMBER(MATCH(DATEVALUE($A93),'recurring1_based on steps'!R$1:R$400,0)),R$2,)</f>
        <v>0</v>
      </c>
      <c r="S93" s="179">
        <f ca="1">IF(ISNUMBER(MATCH(DATEVALUE($A93),'recurring1_based on steps'!S$1:S$400,0)),S$2,)</f>
        <v>0</v>
      </c>
      <c r="T93" s="179">
        <f ca="1">IF(ISNUMBER(MATCH(DATEVALUE($A93),'recurring1_based on steps'!T$1:T$400,0)),T$2,)</f>
        <v>0</v>
      </c>
      <c r="U93" s="179">
        <f ca="1">IF(ISNUMBER(MATCH(DATEVALUE($A93),'recurring1_based on steps'!U$1:U$400,0)),U$2,)</f>
        <v>0</v>
      </c>
      <c r="V93" s="179">
        <f ca="1">IF(ISNUMBER(MATCH(DATEVALUE($A93),'recurring1_based on steps'!V$1:V$400,0)),V$2,)</f>
        <v>0</v>
      </c>
      <c r="W93" s="179">
        <f ca="1">IF(ISNUMBER(MATCH(DATEVALUE($A93),'recurring1_based on steps'!W$1:W$400,0)),W$2,)</f>
        <v>0</v>
      </c>
      <c r="X93" s="179">
        <f ca="1">IF(ISNUMBER(MATCH(DATEVALUE($A93),'recurring1_based on steps'!X$1:X$400,0)),X$2,)</f>
        <v>0</v>
      </c>
      <c r="Y93" s="179">
        <f ca="1">IF(ISNUMBER(MATCH(DATEVALUE($A93),'recurring1_based on steps'!Y$1:Y$400,0)),Y$2,)</f>
        <v>0</v>
      </c>
      <c r="Z93" s="179">
        <f ca="1">IF(ISNUMBER(MATCH(DATEVALUE($A93),'recurring1_based on steps'!Z$1:Z$400,0)),Z$2,)</f>
        <v>0</v>
      </c>
      <c r="AA93" s="179">
        <f ca="1">IF(ISNUMBER(MATCH(DATEVALUE($A93),'recurring1_based on steps'!AA$1:AA$400,0)),AA$2,)</f>
        <v>0</v>
      </c>
      <c r="AB93" s="179">
        <f ca="1">IF(ISNUMBER(MATCH(DATEVALUE($A93),'recurring1_based on steps'!AB$1:AB$400,0)),AB$2,)</f>
        <v>0</v>
      </c>
      <c r="AC93" s="179">
        <f ca="1">IF(ISNUMBER(MATCH(DATEVALUE($A93),'recurring1_based on steps'!AC$1:AC$400,0)),AC$2,)</f>
        <v>0</v>
      </c>
      <c r="AD93" s="179">
        <f ca="1">IF(ISNUMBER(MATCH(DATEVALUE($A93),'recurring1_based on steps'!AD$1:AD$400,0)),AD$2,)</f>
        <v>0</v>
      </c>
      <c r="AE93" s="179">
        <f ca="1">IF(ISNUMBER(MATCH(DATEVALUE($A93),'recurring1_based on steps'!AE$1:AE$400,0)),AE$2,)</f>
        <v>0</v>
      </c>
      <c r="AF93" s="179">
        <f ca="1">IF(ISNUMBER(MATCH(DATEVALUE($A93),'recurring1_based on steps'!AF$1:AF$400,0)),AF$2,)</f>
        <v>0</v>
      </c>
      <c r="AG93" s="179">
        <f ca="1">IF(ISNUMBER(MATCH(DATEVALUE($A93),'recurring1_based on steps'!AG$1:AG$400,0)),AG$2,)</f>
        <v>0</v>
      </c>
      <c r="AH93" s="179">
        <f ca="1">IF(ISNUMBER(MATCH(DATEVALUE($A93),'recurring1_based on steps'!AH$1:AH$400,0)),AH$2,)</f>
        <v>0</v>
      </c>
      <c r="AI93" s="179">
        <f ca="1">IF(ISNUMBER(MATCH(DATEVALUE($A93),'recurring1_based on steps'!AI$1:AI$400,0)),AI$2,)</f>
        <v>0</v>
      </c>
      <c r="AJ93" s="179">
        <f ca="1">IF(ISNUMBER(MATCH(DATEVALUE($A93),'recurring1_based on steps'!AJ$1:AJ$400,0)),AJ$2,)</f>
        <v>0</v>
      </c>
      <c r="AK93" s="179">
        <f ca="1">IF(ISNUMBER(MATCH(DATEVALUE($A93),'recurring1_based on steps'!AK$1:AK$400,0)),AK$2,)</f>
        <v>0</v>
      </c>
      <c r="AL93" s="179">
        <f ca="1">IF(ISNUMBER(MATCH(DATEVALUE($A93),'recurring1_based on steps'!AL$1:AL$400,0)),AL$2,)</f>
        <v>0</v>
      </c>
      <c r="AM93" s="179">
        <f ca="1">IF(ISNUMBER(MATCH(DATEVALUE($A93),'recurring1_based on steps'!AM$1:AM$400,0)),AM$2,)</f>
        <v>0</v>
      </c>
      <c r="AN93" s="179">
        <f ca="1">IF(ISNUMBER(MATCH(DATEVALUE($A93),'recurring1_based on steps'!AN$1:AN$400,0)),AN$2,)</f>
        <v>0</v>
      </c>
      <c r="AO93" s="179">
        <f ca="1">IF(ISNUMBER(MATCH(DATEVALUE($A93),'recurring1_based on steps'!AO$1:AO$400,0)),AO$2,)</f>
        <v>0</v>
      </c>
      <c r="AP93" s="179">
        <f ca="1">IF(ISNUMBER(MATCH(DATEVALUE($A93),'recurring1_based on steps'!AP$1:AP$400,0)),AP$2,)</f>
        <v>0</v>
      </c>
      <c r="AQ93" s="179">
        <f ca="1">IF(ISNUMBER(MATCH(DATEVALUE($A93),'recurring1_based on steps'!AQ$1:AQ$400,0)),AQ$2,)</f>
        <v>0</v>
      </c>
      <c r="AR93" s="179">
        <f ca="1">IF(ISNUMBER(MATCH(DATEVALUE($A93),'recurring1_based on steps'!AR$1:AR$400,0)),AR$2,)</f>
        <v>0</v>
      </c>
      <c r="AS93" s="179">
        <f ca="1">IF(ISNUMBER(MATCH(DATEVALUE($A93),'recurring1_based on steps'!AS$1:AS$400,0)),AS$2,)</f>
        <v>0</v>
      </c>
      <c r="AT93" s="179">
        <f ca="1">IF(ISNUMBER(MATCH(DATEVALUE($A93),'recurring1_based on steps'!AT$1:AT$400,0)),AT$2,)</f>
        <v>0</v>
      </c>
      <c r="AU93" s="179">
        <f ca="1">IF(ISNUMBER(MATCH(DATEVALUE($A93),'recurring1_based on steps'!AU$1:AU$400,0)),AU$2,)</f>
        <v>0</v>
      </c>
      <c r="AV93" s="179">
        <f ca="1">IF(ISNUMBER(MATCH(DATEVALUE($A93),'recurring1_based on steps'!AV$1:AV$400,0)),AV$2,)</f>
        <v>0</v>
      </c>
      <c r="AW93" s="179">
        <f ca="1">IF(ISNUMBER(MATCH(DATEVALUE($A93),'recurring1_based on steps'!AW$1:AW$400,0)),AW$2,)</f>
        <v>0</v>
      </c>
      <c r="AX93" s="179">
        <f ca="1">IF(ISNUMBER(MATCH(DATEVALUE($A93),'recurring1_based on steps'!AX$1:AX$400,0)),AX$2,)</f>
        <v>0</v>
      </c>
      <c r="AY93" s="179">
        <f ca="1">IF(ISNUMBER(MATCH(DATEVALUE($A93),'recurring1_based on steps'!AY$1:AY$400,0)),AY$2,)</f>
        <v>0</v>
      </c>
    </row>
    <row r="94" spans="1:51" x14ac:dyDescent="0.2">
      <c r="A94" s="32" t="str">
        <f t="shared" ca="1" si="1"/>
        <v>2025-06-28</v>
      </c>
      <c r="B94" s="179">
        <f ca="1">IF(ISNUMBER(MATCH(DATEVALUE($A94),'recurring1_based on steps'!B$1:B$400,0)),B$2,)</f>
        <v>0</v>
      </c>
      <c r="C94" s="179">
        <f ca="1">IF(ISNUMBER(MATCH(DATEVALUE($A94),'recurring1_based on steps'!C$1:C$400,0)),C$2,)</f>
        <v>0</v>
      </c>
      <c r="D94" s="179">
        <f ca="1">IF(ISNUMBER(MATCH(DATEVALUE($A94),'recurring1_based on steps'!D$1:D$400,0)),D$2,)</f>
        <v>0</v>
      </c>
      <c r="E94" s="179">
        <f ca="1">IF(ISNUMBER(MATCH(DATEVALUE($A94),'recurring1_based on steps'!E$1:E$400,0)),E$2,)</f>
        <v>0</v>
      </c>
      <c r="F94" s="179">
        <f ca="1">IF(ISNUMBER(MATCH(DATEVALUE($A94),'recurring1_based on steps'!F$1:F$400,0)),F$2,)</f>
        <v>0</v>
      </c>
      <c r="G94" s="179">
        <f ca="1">IF(ISNUMBER(MATCH(DATEVALUE($A94),'recurring1_based on steps'!G$1:G$400,0)),G$2,)</f>
        <v>0</v>
      </c>
      <c r="H94" s="179">
        <f ca="1">IF(ISNUMBER(MATCH(DATEVALUE($A94),'recurring1_based on steps'!H$1:H$400,0)),H$2,)</f>
        <v>0</v>
      </c>
      <c r="I94" s="179">
        <f ca="1">IF(ISNUMBER(MATCH(DATEVALUE($A94),'recurring1_based on steps'!I$1:I$400,0)),I$2,)</f>
        <v>0</v>
      </c>
      <c r="J94" s="179">
        <f ca="1">IF(ISNUMBER(MATCH(DATEVALUE($A94),'recurring1_based on steps'!J$1:J$400,0)),J$2,)</f>
        <v>0</v>
      </c>
      <c r="K94" s="179">
        <f ca="1">IF(ISNUMBER(MATCH(DATEVALUE($A94),'recurring1_based on steps'!K$1:K$400,0)),K$2,)</f>
        <v>0</v>
      </c>
      <c r="L94" s="179">
        <f ca="1">IF(ISNUMBER(MATCH(DATEVALUE($A94),'recurring1_based on steps'!L$1:L$400,0)),L$2,)</f>
        <v>0</v>
      </c>
      <c r="M94" s="179">
        <f ca="1">IF(ISNUMBER(MATCH(DATEVALUE($A94),'recurring1_based on steps'!M$1:M$400,0)),M$2,)</f>
        <v>0</v>
      </c>
      <c r="N94" s="179">
        <f ca="1">IF(ISNUMBER(MATCH(DATEVALUE($A94),'recurring1_based on steps'!N$1:N$400,0)),N$2,)</f>
        <v>0</v>
      </c>
      <c r="O94" s="179">
        <f ca="1">IF(ISNUMBER(MATCH(DATEVALUE($A94),'recurring1_based on steps'!O$1:O$400,0)),O$2,)</f>
        <v>0</v>
      </c>
      <c r="P94" s="179">
        <f ca="1">IF(ISNUMBER(MATCH(DATEVALUE($A94),'recurring1_based on steps'!P$1:P$400,0)),P$2,)</f>
        <v>0</v>
      </c>
      <c r="Q94" s="179">
        <f ca="1">IF(ISNUMBER(MATCH(DATEVALUE($A94),'recurring1_based on steps'!Q$1:Q$400,0)),Q$2,)</f>
        <v>0</v>
      </c>
      <c r="R94" s="179">
        <f ca="1">IF(ISNUMBER(MATCH(DATEVALUE($A94),'recurring1_based on steps'!R$1:R$400,0)),R$2,)</f>
        <v>0</v>
      </c>
      <c r="S94" s="179">
        <f ca="1">IF(ISNUMBER(MATCH(DATEVALUE($A94),'recurring1_based on steps'!S$1:S$400,0)),S$2,)</f>
        <v>0</v>
      </c>
      <c r="T94" s="179">
        <f ca="1">IF(ISNUMBER(MATCH(DATEVALUE($A94),'recurring1_based on steps'!T$1:T$400,0)),T$2,)</f>
        <v>0</v>
      </c>
      <c r="U94" s="179">
        <f ca="1">IF(ISNUMBER(MATCH(DATEVALUE($A94),'recurring1_based on steps'!U$1:U$400,0)),U$2,)</f>
        <v>0</v>
      </c>
      <c r="V94" s="179">
        <f ca="1">IF(ISNUMBER(MATCH(DATEVALUE($A94),'recurring1_based on steps'!V$1:V$400,0)),V$2,)</f>
        <v>0</v>
      </c>
      <c r="W94" s="179">
        <f ca="1">IF(ISNUMBER(MATCH(DATEVALUE($A94),'recurring1_based on steps'!W$1:W$400,0)),W$2,)</f>
        <v>0</v>
      </c>
      <c r="X94" s="179">
        <f ca="1">IF(ISNUMBER(MATCH(DATEVALUE($A94),'recurring1_based on steps'!X$1:X$400,0)),X$2,)</f>
        <v>0</v>
      </c>
      <c r="Y94" s="179">
        <f ca="1">IF(ISNUMBER(MATCH(DATEVALUE($A94),'recurring1_based on steps'!Y$1:Y$400,0)),Y$2,)</f>
        <v>0</v>
      </c>
      <c r="Z94" s="179">
        <f ca="1">IF(ISNUMBER(MATCH(DATEVALUE($A94),'recurring1_based on steps'!Z$1:Z$400,0)),Z$2,)</f>
        <v>0</v>
      </c>
      <c r="AA94" s="179">
        <f ca="1">IF(ISNUMBER(MATCH(DATEVALUE($A94),'recurring1_based on steps'!AA$1:AA$400,0)),AA$2,)</f>
        <v>0</v>
      </c>
      <c r="AB94" s="179">
        <f ca="1">IF(ISNUMBER(MATCH(DATEVALUE($A94),'recurring1_based on steps'!AB$1:AB$400,0)),AB$2,)</f>
        <v>0</v>
      </c>
      <c r="AC94" s="179">
        <f ca="1">IF(ISNUMBER(MATCH(DATEVALUE($A94),'recurring1_based on steps'!AC$1:AC$400,0)),AC$2,)</f>
        <v>0</v>
      </c>
      <c r="AD94" s="179">
        <f ca="1">IF(ISNUMBER(MATCH(DATEVALUE($A94),'recurring1_based on steps'!AD$1:AD$400,0)),AD$2,)</f>
        <v>0</v>
      </c>
      <c r="AE94" s="179">
        <f ca="1">IF(ISNUMBER(MATCH(DATEVALUE($A94),'recurring1_based on steps'!AE$1:AE$400,0)),AE$2,)</f>
        <v>0</v>
      </c>
      <c r="AF94" s="179">
        <f ca="1">IF(ISNUMBER(MATCH(DATEVALUE($A94),'recurring1_based on steps'!AF$1:AF$400,0)),AF$2,)</f>
        <v>0</v>
      </c>
      <c r="AG94" s="179">
        <f ca="1">IF(ISNUMBER(MATCH(DATEVALUE($A94),'recurring1_based on steps'!AG$1:AG$400,0)),AG$2,)</f>
        <v>0</v>
      </c>
      <c r="AH94" s="179">
        <f ca="1">IF(ISNUMBER(MATCH(DATEVALUE($A94),'recurring1_based on steps'!AH$1:AH$400,0)),AH$2,)</f>
        <v>0</v>
      </c>
      <c r="AI94" s="179">
        <f ca="1">IF(ISNUMBER(MATCH(DATEVALUE($A94),'recurring1_based on steps'!AI$1:AI$400,0)),AI$2,)</f>
        <v>0</v>
      </c>
      <c r="AJ94" s="179">
        <f ca="1">IF(ISNUMBER(MATCH(DATEVALUE($A94),'recurring1_based on steps'!AJ$1:AJ$400,0)),AJ$2,)</f>
        <v>0</v>
      </c>
      <c r="AK94" s="179">
        <f ca="1">IF(ISNUMBER(MATCH(DATEVALUE($A94),'recurring1_based on steps'!AK$1:AK$400,0)),AK$2,)</f>
        <v>0</v>
      </c>
      <c r="AL94" s="179">
        <f ca="1">IF(ISNUMBER(MATCH(DATEVALUE($A94),'recurring1_based on steps'!AL$1:AL$400,0)),AL$2,)</f>
        <v>0</v>
      </c>
      <c r="AM94" s="179">
        <f ca="1">IF(ISNUMBER(MATCH(DATEVALUE($A94),'recurring1_based on steps'!AM$1:AM$400,0)),AM$2,)</f>
        <v>0</v>
      </c>
      <c r="AN94" s="179">
        <f ca="1">IF(ISNUMBER(MATCH(DATEVALUE($A94),'recurring1_based on steps'!AN$1:AN$400,0)),AN$2,)</f>
        <v>0</v>
      </c>
      <c r="AO94" s="179">
        <f ca="1">IF(ISNUMBER(MATCH(DATEVALUE($A94),'recurring1_based on steps'!AO$1:AO$400,0)),AO$2,)</f>
        <v>0</v>
      </c>
      <c r="AP94" s="179">
        <f ca="1">IF(ISNUMBER(MATCH(DATEVALUE($A94),'recurring1_based on steps'!AP$1:AP$400,0)),AP$2,)</f>
        <v>0</v>
      </c>
      <c r="AQ94" s="179">
        <f ca="1">IF(ISNUMBER(MATCH(DATEVALUE($A94),'recurring1_based on steps'!AQ$1:AQ$400,0)),AQ$2,)</f>
        <v>0</v>
      </c>
      <c r="AR94" s="179">
        <f ca="1">IF(ISNUMBER(MATCH(DATEVALUE($A94),'recurring1_based on steps'!AR$1:AR$400,0)),AR$2,)</f>
        <v>0</v>
      </c>
      <c r="AS94" s="179">
        <f ca="1">IF(ISNUMBER(MATCH(DATEVALUE($A94),'recurring1_based on steps'!AS$1:AS$400,0)),AS$2,)</f>
        <v>0</v>
      </c>
      <c r="AT94" s="179">
        <f ca="1">IF(ISNUMBER(MATCH(DATEVALUE($A94),'recurring1_based on steps'!AT$1:AT$400,0)),AT$2,)</f>
        <v>0</v>
      </c>
      <c r="AU94" s="179">
        <f ca="1">IF(ISNUMBER(MATCH(DATEVALUE($A94),'recurring1_based on steps'!AU$1:AU$400,0)),AU$2,)</f>
        <v>0</v>
      </c>
      <c r="AV94" s="179">
        <f ca="1">IF(ISNUMBER(MATCH(DATEVALUE($A94),'recurring1_based on steps'!AV$1:AV$400,0)),AV$2,)</f>
        <v>0</v>
      </c>
      <c r="AW94" s="179">
        <f ca="1">IF(ISNUMBER(MATCH(DATEVALUE($A94),'recurring1_based on steps'!AW$1:AW$400,0)),AW$2,)</f>
        <v>0</v>
      </c>
      <c r="AX94" s="179">
        <f ca="1">IF(ISNUMBER(MATCH(DATEVALUE($A94),'recurring1_based on steps'!AX$1:AX$400,0)),AX$2,)</f>
        <v>0</v>
      </c>
      <c r="AY94" s="179">
        <f ca="1">IF(ISNUMBER(MATCH(DATEVALUE($A94),'recurring1_based on steps'!AY$1:AY$400,0)),AY$2,)</f>
        <v>0</v>
      </c>
    </row>
    <row r="95" spans="1:51" x14ac:dyDescent="0.2">
      <c r="A95" s="32" t="str">
        <f t="shared" ca="1" si="1"/>
        <v>2025-06-29</v>
      </c>
      <c r="B95" s="179">
        <f ca="1">IF(ISNUMBER(MATCH(DATEVALUE($A95),'recurring1_based on steps'!B$1:B$400,0)),B$2,)</f>
        <v>0</v>
      </c>
      <c r="C95" s="179">
        <f ca="1">IF(ISNUMBER(MATCH(DATEVALUE($A95),'recurring1_based on steps'!C$1:C$400,0)),C$2,)</f>
        <v>0</v>
      </c>
      <c r="D95" s="179">
        <f ca="1">IF(ISNUMBER(MATCH(DATEVALUE($A95),'recurring1_based on steps'!D$1:D$400,0)),D$2,)</f>
        <v>0</v>
      </c>
      <c r="E95" s="179">
        <f ca="1">IF(ISNUMBER(MATCH(DATEVALUE($A95),'recurring1_based on steps'!E$1:E$400,0)),E$2,)</f>
        <v>0</v>
      </c>
      <c r="F95" s="179">
        <f ca="1">IF(ISNUMBER(MATCH(DATEVALUE($A95),'recurring1_based on steps'!F$1:F$400,0)),F$2,)</f>
        <v>0</v>
      </c>
      <c r="G95" s="179">
        <f ca="1">IF(ISNUMBER(MATCH(DATEVALUE($A95),'recurring1_based on steps'!G$1:G$400,0)),G$2,)</f>
        <v>0</v>
      </c>
      <c r="H95" s="179">
        <f ca="1">IF(ISNUMBER(MATCH(DATEVALUE($A95),'recurring1_based on steps'!H$1:H$400,0)),H$2,)</f>
        <v>0</v>
      </c>
      <c r="I95" s="179">
        <f ca="1">IF(ISNUMBER(MATCH(DATEVALUE($A95),'recurring1_based on steps'!I$1:I$400,0)),I$2,)</f>
        <v>0</v>
      </c>
      <c r="J95" s="179">
        <f ca="1">IF(ISNUMBER(MATCH(DATEVALUE($A95),'recurring1_based on steps'!J$1:J$400,0)),J$2,)</f>
        <v>0</v>
      </c>
      <c r="K95" s="179">
        <f ca="1">IF(ISNUMBER(MATCH(DATEVALUE($A95),'recurring1_based on steps'!K$1:K$400,0)),K$2,)</f>
        <v>0</v>
      </c>
      <c r="L95" s="179">
        <f ca="1">IF(ISNUMBER(MATCH(DATEVALUE($A95),'recurring1_based on steps'!L$1:L$400,0)),L$2,)</f>
        <v>0</v>
      </c>
      <c r="M95" s="179">
        <f ca="1">IF(ISNUMBER(MATCH(DATEVALUE($A95),'recurring1_based on steps'!M$1:M$400,0)),M$2,)</f>
        <v>0</v>
      </c>
      <c r="N95" s="179">
        <f ca="1">IF(ISNUMBER(MATCH(DATEVALUE($A95),'recurring1_based on steps'!N$1:N$400,0)),N$2,)</f>
        <v>0</v>
      </c>
      <c r="O95" s="179">
        <f ca="1">IF(ISNUMBER(MATCH(DATEVALUE($A95),'recurring1_based on steps'!O$1:O$400,0)),O$2,)</f>
        <v>0</v>
      </c>
      <c r="P95" s="179">
        <f ca="1">IF(ISNUMBER(MATCH(DATEVALUE($A95),'recurring1_based on steps'!P$1:P$400,0)),P$2,)</f>
        <v>0</v>
      </c>
      <c r="Q95" s="179">
        <f ca="1">IF(ISNUMBER(MATCH(DATEVALUE($A95),'recurring1_based on steps'!Q$1:Q$400,0)),Q$2,)</f>
        <v>0</v>
      </c>
      <c r="R95" s="179">
        <f ca="1">IF(ISNUMBER(MATCH(DATEVALUE($A95),'recurring1_based on steps'!R$1:R$400,0)),R$2,)</f>
        <v>0</v>
      </c>
      <c r="S95" s="179">
        <f ca="1">IF(ISNUMBER(MATCH(DATEVALUE($A95),'recurring1_based on steps'!S$1:S$400,0)),S$2,)</f>
        <v>0</v>
      </c>
      <c r="T95" s="179">
        <f ca="1">IF(ISNUMBER(MATCH(DATEVALUE($A95),'recurring1_based on steps'!T$1:T$400,0)),T$2,)</f>
        <v>0</v>
      </c>
      <c r="U95" s="179">
        <f ca="1">IF(ISNUMBER(MATCH(DATEVALUE($A95),'recurring1_based on steps'!U$1:U$400,0)),U$2,)</f>
        <v>0</v>
      </c>
      <c r="V95" s="179">
        <f ca="1">IF(ISNUMBER(MATCH(DATEVALUE($A95),'recurring1_based on steps'!V$1:V$400,0)),V$2,)</f>
        <v>0</v>
      </c>
      <c r="W95" s="179">
        <f ca="1">IF(ISNUMBER(MATCH(DATEVALUE($A95),'recurring1_based on steps'!W$1:W$400,0)),W$2,)</f>
        <v>0</v>
      </c>
      <c r="X95" s="179">
        <f ca="1">IF(ISNUMBER(MATCH(DATEVALUE($A95),'recurring1_based on steps'!X$1:X$400,0)),X$2,)</f>
        <v>0</v>
      </c>
      <c r="Y95" s="179">
        <f ca="1">IF(ISNUMBER(MATCH(DATEVALUE($A95),'recurring1_based on steps'!Y$1:Y$400,0)),Y$2,)</f>
        <v>0</v>
      </c>
      <c r="Z95" s="179">
        <f ca="1">IF(ISNUMBER(MATCH(DATEVALUE($A95),'recurring1_based on steps'!Z$1:Z$400,0)),Z$2,)</f>
        <v>0</v>
      </c>
      <c r="AA95" s="179">
        <f ca="1">IF(ISNUMBER(MATCH(DATEVALUE($A95),'recurring1_based on steps'!AA$1:AA$400,0)),AA$2,)</f>
        <v>0</v>
      </c>
      <c r="AB95" s="179">
        <f ca="1">IF(ISNUMBER(MATCH(DATEVALUE($A95),'recurring1_based on steps'!AB$1:AB$400,0)),AB$2,)</f>
        <v>0</v>
      </c>
      <c r="AC95" s="179">
        <f ca="1">IF(ISNUMBER(MATCH(DATEVALUE($A95),'recurring1_based on steps'!AC$1:AC$400,0)),AC$2,)</f>
        <v>0</v>
      </c>
      <c r="AD95" s="179">
        <f ca="1">IF(ISNUMBER(MATCH(DATEVALUE($A95),'recurring1_based on steps'!AD$1:AD$400,0)),AD$2,)</f>
        <v>0</v>
      </c>
      <c r="AE95" s="179">
        <f ca="1">IF(ISNUMBER(MATCH(DATEVALUE($A95),'recurring1_based on steps'!AE$1:AE$400,0)),AE$2,)</f>
        <v>0</v>
      </c>
      <c r="AF95" s="179">
        <f ca="1">IF(ISNUMBER(MATCH(DATEVALUE($A95),'recurring1_based on steps'!AF$1:AF$400,0)),AF$2,)</f>
        <v>0</v>
      </c>
      <c r="AG95" s="179">
        <f ca="1">IF(ISNUMBER(MATCH(DATEVALUE($A95),'recurring1_based on steps'!AG$1:AG$400,0)),AG$2,)</f>
        <v>0</v>
      </c>
      <c r="AH95" s="179">
        <f ca="1">IF(ISNUMBER(MATCH(DATEVALUE($A95),'recurring1_based on steps'!AH$1:AH$400,0)),AH$2,)</f>
        <v>0</v>
      </c>
      <c r="AI95" s="179">
        <f ca="1">IF(ISNUMBER(MATCH(DATEVALUE($A95),'recurring1_based on steps'!AI$1:AI$400,0)),AI$2,)</f>
        <v>0</v>
      </c>
      <c r="AJ95" s="179">
        <f ca="1">IF(ISNUMBER(MATCH(DATEVALUE($A95),'recurring1_based on steps'!AJ$1:AJ$400,0)),AJ$2,)</f>
        <v>0</v>
      </c>
      <c r="AK95" s="179">
        <f ca="1">IF(ISNUMBER(MATCH(DATEVALUE($A95),'recurring1_based on steps'!AK$1:AK$400,0)),AK$2,)</f>
        <v>0</v>
      </c>
      <c r="AL95" s="179">
        <f ca="1">IF(ISNUMBER(MATCH(DATEVALUE($A95),'recurring1_based on steps'!AL$1:AL$400,0)),AL$2,)</f>
        <v>0</v>
      </c>
      <c r="AM95" s="179">
        <f ca="1">IF(ISNUMBER(MATCH(DATEVALUE($A95),'recurring1_based on steps'!AM$1:AM$400,0)),AM$2,)</f>
        <v>0</v>
      </c>
      <c r="AN95" s="179">
        <f ca="1">IF(ISNUMBER(MATCH(DATEVALUE($A95),'recurring1_based on steps'!AN$1:AN$400,0)),AN$2,)</f>
        <v>0</v>
      </c>
      <c r="AO95" s="179">
        <f ca="1">IF(ISNUMBER(MATCH(DATEVALUE($A95),'recurring1_based on steps'!AO$1:AO$400,0)),AO$2,)</f>
        <v>0</v>
      </c>
      <c r="AP95" s="179">
        <f ca="1">IF(ISNUMBER(MATCH(DATEVALUE($A95),'recurring1_based on steps'!AP$1:AP$400,0)),AP$2,)</f>
        <v>0</v>
      </c>
      <c r="AQ95" s="179">
        <f ca="1">IF(ISNUMBER(MATCH(DATEVALUE($A95),'recurring1_based on steps'!AQ$1:AQ$400,0)),AQ$2,)</f>
        <v>0</v>
      </c>
      <c r="AR95" s="179">
        <f ca="1">IF(ISNUMBER(MATCH(DATEVALUE($A95),'recurring1_based on steps'!AR$1:AR$400,0)),AR$2,)</f>
        <v>0</v>
      </c>
      <c r="AS95" s="179">
        <f ca="1">IF(ISNUMBER(MATCH(DATEVALUE($A95),'recurring1_based on steps'!AS$1:AS$400,0)),AS$2,)</f>
        <v>0</v>
      </c>
      <c r="AT95" s="179">
        <f ca="1">IF(ISNUMBER(MATCH(DATEVALUE($A95),'recurring1_based on steps'!AT$1:AT$400,0)),AT$2,)</f>
        <v>0</v>
      </c>
      <c r="AU95" s="179">
        <f ca="1">IF(ISNUMBER(MATCH(DATEVALUE($A95),'recurring1_based on steps'!AU$1:AU$400,0)),AU$2,)</f>
        <v>0</v>
      </c>
      <c r="AV95" s="179">
        <f ca="1">IF(ISNUMBER(MATCH(DATEVALUE($A95),'recurring1_based on steps'!AV$1:AV$400,0)),AV$2,)</f>
        <v>0</v>
      </c>
      <c r="AW95" s="179">
        <f ca="1">IF(ISNUMBER(MATCH(DATEVALUE($A95),'recurring1_based on steps'!AW$1:AW$400,0)),AW$2,)</f>
        <v>0</v>
      </c>
      <c r="AX95" s="179">
        <f ca="1">IF(ISNUMBER(MATCH(DATEVALUE($A95),'recurring1_based on steps'!AX$1:AX$400,0)),AX$2,)</f>
        <v>0</v>
      </c>
      <c r="AY95" s="179">
        <f ca="1">IF(ISNUMBER(MATCH(DATEVALUE($A95),'recurring1_based on steps'!AY$1:AY$400,0)),AY$2,)</f>
        <v>0</v>
      </c>
    </row>
    <row r="96" spans="1:51" x14ac:dyDescent="0.2">
      <c r="A96" s="32" t="str">
        <f t="shared" ca="1" si="1"/>
        <v>2025-06-30</v>
      </c>
      <c r="B96" s="179">
        <f ca="1">IF(ISNUMBER(MATCH(DATEVALUE($A96),'recurring1_based on steps'!B$1:B$400,0)),B$2,)</f>
        <v>0</v>
      </c>
      <c r="C96" s="179">
        <f ca="1">IF(ISNUMBER(MATCH(DATEVALUE($A96),'recurring1_based on steps'!C$1:C$400,0)),C$2,)</f>
        <v>0</v>
      </c>
      <c r="D96" s="179">
        <f ca="1">IF(ISNUMBER(MATCH(DATEVALUE($A96),'recurring1_based on steps'!D$1:D$400,0)),D$2,)</f>
        <v>0</v>
      </c>
      <c r="E96" s="179">
        <f ca="1">IF(ISNUMBER(MATCH(DATEVALUE($A96),'recurring1_based on steps'!E$1:E$400,0)),E$2,)</f>
        <v>0</v>
      </c>
      <c r="F96" s="179">
        <f ca="1">IF(ISNUMBER(MATCH(DATEVALUE($A96),'recurring1_based on steps'!F$1:F$400,0)),F$2,)</f>
        <v>0</v>
      </c>
      <c r="G96" s="179">
        <f ca="1">IF(ISNUMBER(MATCH(DATEVALUE($A96),'recurring1_based on steps'!G$1:G$400,0)),G$2,)</f>
        <v>0</v>
      </c>
      <c r="H96" s="179">
        <f ca="1">IF(ISNUMBER(MATCH(DATEVALUE($A96),'recurring1_based on steps'!H$1:H$400,0)),H$2,)</f>
        <v>0</v>
      </c>
      <c r="I96" s="179">
        <f ca="1">IF(ISNUMBER(MATCH(DATEVALUE($A96),'recurring1_based on steps'!I$1:I$400,0)),I$2,)</f>
        <v>0</v>
      </c>
      <c r="J96" s="179">
        <f ca="1">IF(ISNUMBER(MATCH(DATEVALUE($A96),'recurring1_based on steps'!J$1:J$400,0)),J$2,)</f>
        <v>0</v>
      </c>
      <c r="K96" s="179">
        <f ca="1">IF(ISNUMBER(MATCH(DATEVALUE($A96),'recurring1_based on steps'!K$1:K$400,0)),K$2,)</f>
        <v>0</v>
      </c>
      <c r="L96" s="179">
        <f ca="1">IF(ISNUMBER(MATCH(DATEVALUE($A96),'recurring1_based on steps'!L$1:L$400,0)),L$2,)</f>
        <v>0</v>
      </c>
      <c r="M96" s="179">
        <f ca="1">IF(ISNUMBER(MATCH(DATEVALUE($A96),'recurring1_based on steps'!M$1:M$400,0)),M$2,)</f>
        <v>0</v>
      </c>
      <c r="N96" s="179">
        <f ca="1">IF(ISNUMBER(MATCH(DATEVALUE($A96),'recurring1_based on steps'!N$1:N$400,0)),N$2,)</f>
        <v>0</v>
      </c>
      <c r="O96" s="179">
        <f ca="1">IF(ISNUMBER(MATCH(DATEVALUE($A96),'recurring1_based on steps'!O$1:O$400,0)),O$2,)</f>
        <v>0</v>
      </c>
      <c r="P96" s="179">
        <f ca="1">IF(ISNUMBER(MATCH(DATEVALUE($A96),'recurring1_based on steps'!P$1:P$400,0)),P$2,)</f>
        <v>0</v>
      </c>
      <c r="Q96" s="179">
        <f ca="1">IF(ISNUMBER(MATCH(DATEVALUE($A96),'recurring1_based on steps'!Q$1:Q$400,0)),Q$2,)</f>
        <v>0</v>
      </c>
      <c r="R96" s="179">
        <f ca="1">IF(ISNUMBER(MATCH(DATEVALUE($A96),'recurring1_based on steps'!R$1:R$400,0)),R$2,)</f>
        <v>0</v>
      </c>
      <c r="S96" s="179">
        <f ca="1">IF(ISNUMBER(MATCH(DATEVALUE($A96),'recurring1_based on steps'!S$1:S$400,0)),S$2,)</f>
        <v>0</v>
      </c>
      <c r="T96" s="179">
        <f ca="1">IF(ISNUMBER(MATCH(DATEVALUE($A96),'recurring1_based on steps'!T$1:T$400,0)),T$2,)</f>
        <v>0</v>
      </c>
      <c r="U96" s="179">
        <f ca="1">IF(ISNUMBER(MATCH(DATEVALUE($A96),'recurring1_based on steps'!U$1:U$400,0)),U$2,)</f>
        <v>0</v>
      </c>
      <c r="V96" s="179">
        <f ca="1">IF(ISNUMBER(MATCH(DATEVALUE($A96),'recurring1_based on steps'!V$1:V$400,0)),V$2,)</f>
        <v>0</v>
      </c>
      <c r="W96" s="179">
        <f ca="1">IF(ISNUMBER(MATCH(DATEVALUE($A96),'recurring1_based on steps'!W$1:W$400,0)),W$2,)</f>
        <v>0</v>
      </c>
      <c r="X96" s="179">
        <f ca="1">IF(ISNUMBER(MATCH(DATEVALUE($A96),'recurring1_based on steps'!X$1:X$400,0)),X$2,)</f>
        <v>0</v>
      </c>
      <c r="Y96" s="179">
        <f ca="1">IF(ISNUMBER(MATCH(DATEVALUE($A96),'recurring1_based on steps'!Y$1:Y$400,0)),Y$2,)</f>
        <v>0</v>
      </c>
      <c r="Z96" s="179">
        <f ca="1">IF(ISNUMBER(MATCH(DATEVALUE($A96),'recurring1_based on steps'!Z$1:Z$400,0)),Z$2,)</f>
        <v>0</v>
      </c>
      <c r="AA96" s="179">
        <f ca="1">IF(ISNUMBER(MATCH(DATEVALUE($A96),'recurring1_based on steps'!AA$1:AA$400,0)),AA$2,)</f>
        <v>0</v>
      </c>
      <c r="AB96" s="179">
        <f ca="1">IF(ISNUMBER(MATCH(DATEVALUE($A96),'recurring1_based on steps'!AB$1:AB$400,0)),AB$2,)</f>
        <v>0</v>
      </c>
      <c r="AC96" s="179">
        <f ca="1">IF(ISNUMBER(MATCH(DATEVALUE($A96),'recurring1_based on steps'!AC$1:AC$400,0)),AC$2,)</f>
        <v>0</v>
      </c>
      <c r="AD96" s="179">
        <f ca="1">IF(ISNUMBER(MATCH(DATEVALUE($A96),'recurring1_based on steps'!AD$1:AD$400,0)),AD$2,)</f>
        <v>0</v>
      </c>
      <c r="AE96" s="179">
        <f ca="1">IF(ISNUMBER(MATCH(DATEVALUE($A96),'recurring1_based on steps'!AE$1:AE$400,0)),AE$2,)</f>
        <v>0</v>
      </c>
      <c r="AF96" s="179">
        <f ca="1">IF(ISNUMBER(MATCH(DATEVALUE($A96),'recurring1_based on steps'!AF$1:AF$400,0)),AF$2,)</f>
        <v>0</v>
      </c>
      <c r="AG96" s="179">
        <f ca="1">IF(ISNUMBER(MATCH(DATEVALUE($A96),'recurring1_based on steps'!AG$1:AG$400,0)),AG$2,)</f>
        <v>0</v>
      </c>
      <c r="AH96" s="179">
        <f ca="1">IF(ISNUMBER(MATCH(DATEVALUE($A96),'recurring1_based on steps'!AH$1:AH$400,0)),AH$2,)</f>
        <v>0</v>
      </c>
      <c r="AI96" s="179">
        <f ca="1">IF(ISNUMBER(MATCH(DATEVALUE($A96),'recurring1_based on steps'!AI$1:AI$400,0)),AI$2,)</f>
        <v>0</v>
      </c>
      <c r="AJ96" s="179">
        <f ca="1">IF(ISNUMBER(MATCH(DATEVALUE($A96),'recurring1_based on steps'!AJ$1:AJ$400,0)),AJ$2,)</f>
        <v>0</v>
      </c>
      <c r="AK96" s="179">
        <f ca="1">IF(ISNUMBER(MATCH(DATEVALUE($A96),'recurring1_based on steps'!AK$1:AK$400,0)),AK$2,)</f>
        <v>0</v>
      </c>
      <c r="AL96" s="179">
        <f ca="1">IF(ISNUMBER(MATCH(DATEVALUE($A96),'recurring1_based on steps'!AL$1:AL$400,0)),AL$2,)</f>
        <v>0</v>
      </c>
      <c r="AM96" s="179">
        <f ca="1">IF(ISNUMBER(MATCH(DATEVALUE($A96),'recurring1_based on steps'!AM$1:AM$400,0)),AM$2,)</f>
        <v>0</v>
      </c>
      <c r="AN96" s="179">
        <f ca="1">IF(ISNUMBER(MATCH(DATEVALUE($A96),'recurring1_based on steps'!AN$1:AN$400,0)),AN$2,)</f>
        <v>0</v>
      </c>
      <c r="AO96" s="179">
        <f ca="1">IF(ISNUMBER(MATCH(DATEVALUE($A96),'recurring1_based on steps'!AO$1:AO$400,0)),AO$2,)</f>
        <v>0</v>
      </c>
      <c r="AP96" s="179">
        <f ca="1">IF(ISNUMBER(MATCH(DATEVALUE($A96),'recurring1_based on steps'!AP$1:AP$400,0)),AP$2,)</f>
        <v>0</v>
      </c>
      <c r="AQ96" s="179">
        <f ca="1">IF(ISNUMBER(MATCH(DATEVALUE($A96),'recurring1_based on steps'!AQ$1:AQ$400,0)),AQ$2,)</f>
        <v>0</v>
      </c>
      <c r="AR96" s="179">
        <f ca="1">IF(ISNUMBER(MATCH(DATEVALUE($A96),'recurring1_based on steps'!AR$1:AR$400,0)),AR$2,)</f>
        <v>0</v>
      </c>
      <c r="AS96" s="179">
        <f ca="1">IF(ISNUMBER(MATCH(DATEVALUE($A96),'recurring1_based on steps'!AS$1:AS$400,0)),AS$2,)</f>
        <v>0</v>
      </c>
      <c r="AT96" s="179">
        <f ca="1">IF(ISNUMBER(MATCH(DATEVALUE($A96),'recurring1_based on steps'!AT$1:AT$400,0)),AT$2,)</f>
        <v>0</v>
      </c>
      <c r="AU96" s="179">
        <f ca="1">IF(ISNUMBER(MATCH(DATEVALUE($A96),'recurring1_based on steps'!AU$1:AU$400,0)),AU$2,)</f>
        <v>0</v>
      </c>
      <c r="AV96" s="179">
        <f ca="1">IF(ISNUMBER(MATCH(DATEVALUE($A96),'recurring1_based on steps'!AV$1:AV$400,0)),AV$2,)</f>
        <v>0</v>
      </c>
      <c r="AW96" s="179">
        <f ca="1">IF(ISNUMBER(MATCH(DATEVALUE($A96),'recurring1_based on steps'!AW$1:AW$400,0)),AW$2,)</f>
        <v>0</v>
      </c>
      <c r="AX96" s="179">
        <f ca="1">IF(ISNUMBER(MATCH(DATEVALUE($A96),'recurring1_based on steps'!AX$1:AX$400,0)),AX$2,)</f>
        <v>0</v>
      </c>
      <c r="AY96" s="179">
        <f ca="1">IF(ISNUMBER(MATCH(DATEVALUE($A96),'recurring1_based on steps'!AY$1:AY$400,0)),AY$2,)</f>
        <v>0</v>
      </c>
    </row>
    <row r="97" spans="1:51" x14ac:dyDescent="0.2">
      <c r="A97" s="32" t="str">
        <f t="shared" ca="1" si="1"/>
        <v>2025-07-01</v>
      </c>
      <c r="B97" s="179">
        <f ca="1">IF(ISNUMBER(MATCH(DATEVALUE($A97),'recurring1_based on steps'!B$1:B$400,0)),B$2,)</f>
        <v>0</v>
      </c>
      <c r="C97" s="179">
        <f ca="1">IF(ISNUMBER(MATCH(DATEVALUE($A97),'recurring1_based on steps'!C$1:C$400,0)),C$2,)</f>
        <v>0</v>
      </c>
      <c r="D97" s="179">
        <f ca="1">IF(ISNUMBER(MATCH(DATEVALUE($A97),'recurring1_based on steps'!D$1:D$400,0)),D$2,)</f>
        <v>0</v>
      </c>
      <c r="E97" s="179">
        <f ca="1">IF(ISNUMBER(MATCH(DATEVALUE($A97),'recurring1_based on steps'!E$1:E$400,0)),E$2,)</f>
        <v>0</v>
      </c>
      <c r="F97" s="179">
        <f ca="1">IF(ISNUMBER(MATCH(DATEVALUE($A97),'recurring1_based on steps'!F$1:F$400,0)),F$2,)</f>
        <v>0</v>
      </c>
      <c r="G97" s="179">
        <f ca="1">IF(ISNUMBER(MATCH(DATEVALUE($A97),'recurring1_based on steps'!G$1:G$400,0)),G$2,)</f>
        <v>0</v>
      </c>
      <c r="H97" s="179">
        <f ca="1">IF(ISNUMBER(MATCH(DATEVALUE($A97),'recurring1_based on steps'!H$1:H$400,0)),H$2,)</f>
        <v>0</v>
      </c>
      <c r="I97" s="179">
        <f ca="1">IF(ISNUMBER(MATCH(DATEVALUE($A97),'recurring1_based on steps'!I$1:I$400,0)),I$2,)</f>
        <v>0</v>
      </c>
      <c r="J97" s="179">
        <f ca="1">IF(ISNUMBER(MATCH(DATEVALUE($A97),'recurring1_based on steps'!J$1:J$400,0)),J$2,)</f>
        <v>0</v>
      </c>
      <c r="K97" s="179">
        <f ca="1">IF(ISNUMBER(MATCH(DATEVALUE($A97),'recurring1_based on steps'!K$1:K$400,0)),K$2,)</f>
        <v>0</v>
      </c>
      <c r="L97" s="179">
        <f ca="1">IF(ISNUMBER(MATCH(DATEVALUE($A97),'recurring1_based on steps'!L$1:L$400,0)),L$2,)</f>
        <v>0</v>
      </c>
      <c r="M97" s="179">
        <f ca="1">IF(ISNUMBER(MATCH(DATEVALUE($A97),'recurring1_based on steps'!M$1:M$400,0)),M$2,)</f>
        <v>0</v>
      </c>
      <c r="N97" s="179">
        <f ca="1">IF(ISNUMBER(MATCH(DATEVALUE($A97),'recurring1_based on steps'!N$1:N$400,0)),N$2,)</f>
        <v>0</v>
      </c>
      <c r="O97" s="179">
        <f ca="1">IF(ISNUMBER(MATCH(DATEVALUE($A97),'recurring1_based on steps'!O$1:O$400,0)),O$2,)</f>
        <v>0</v>
      </c>
      <c r="P97" s="179">
        <f ca="1">IF(ISNUMBER(MATCH(DATEVALUE($A97),'recurring1_based on steps'!P$1:P$400,0)),P$2,)</f>
        <v>0</v>
      </c>
      <c r="Q97" s="179">
        <f ca="1">IF(ISNUMBER(MATCH(DATEVALUE($A97),'recurring1_based on steps'!Q$1:Q$400,0)),Q$2,)</f>
        <v>0</v>
      </c>
      <c r="R97" s="179">
        <f ca="1">IF(ISNUMBER(MATCH(DATEVALUE($A97),'recurring1_based on steps'!R$1:R$400,0)),R$2,)</f>
        <v>0</v>
      </c>
      <c r="S97" s="179">
        <f ca="1">IF(ISNUMBER(MATCH(DATEVALUE($A97),'recurring1_based on steps'!S$1:S$400,0)),S$2,)</f>
        <v>0</v>
      </c>
      <c r="T97" s="179">
        <f ca="1">IF(ISNUMBER(MATCH(DATEVALUE($A97),'recurring1_based on steps'!T$1:T$400,0)),T$2,)</f>
        <v>0</v>
      </c>
      <c r="U97" s="179">
        <f ca="1">IF(ISNUMBER(MATCH(DATEVALUE($A97),'recurring1_based on steps'!U$1:U$400,0)),U$2,)</f>
        <v>0</v>
      </c>
      <c r="V97" s="179">
        <f ca="1">IF(ISNUMBER(MATCH(DATEVALUE($A97),'recurring1_based on steps'!V$1:V$400,0)),V$2,)</f>
        <v>0</v>
      </c>
      <c r="W97" s="179">
        <f ca="1">IF(ISNUMBER(MATCH(DATEVALUE($A97),'recurring1_based on steps'!W$1:W$400,0)),W$2,)</f>
        <v>0</v>
      </c>
      <c r="X97" s="179">
        <f ca="1">IF(ISNUMBER(MATCH(DATEVALUE($A97),'recurring1_based on steps'!X$1:X$400,0)),X$2,)</f>
        <v>0</v>
      </c>
      <c r="Y97" s="179">
        <f ca="1">IF(ISNUMBER(MATCH(DATEVALUE($A97),'recurring1_based on steps'!Y$1:Y$400,0)),Y$2,)</f>
        <v>0</v>
      </c>
      <c r="Z97" s="179">
        <f ca="1">IF(ISNUMBER(MATCH(DATEVALUE($A97),'recurring1_based on steps'!Z$1:Z$400,0)),Z$2,)</f>
        <v>0</v>
      </c>
      <c r="AA97" s="179">
        <f ca="1">IF(ISNUMBER(MATCH(DATEVALUE($A97),'recurring1_based on steps'!AA$1:AA$400,0)),AA$2,)</f>
        <v>0</v>
      </c>
      <c r="AB97" s="179">
        <f ca="1">IF(ISNUMBER(MATCH(DATEVALUE($A97),'recurring1_based on steps'!AB$1:AB$400,0)),AB$2,)</f>
        <v>0</v>
      </c>
      <c r="AC97" s="179">
        <f ca="1">IF(ISNUMBER(MATCH(DATEVALUE($A97),'recurring1_based on steps'!AC$1:AC$400,0)),AC$2,)</f>
        <v>0</v>
      </c>
      <c r="AD97" s="179">
        <f ca="1">IF(ISNUMBER(MATCH(DATEVALUE($A97),'recurring1_based on steps'!AD$1:AD$400,0)),AD$2,)</f>
        <v>0</v>
      </c>
      <c r="AE97" s="179">
        <f ca="1">IF(ISNUMBER(MATCH(DATEVALUE($A97),'recurring1_based on steps'!AE$1:AE$400,0)),AE$2,)</f>
        <v>0</v>
      </c>
      <c r="AF97" s="179">
        <f ca="1">IF(ISNUMBER(MATCH(DATEVALUE($A97),'recurring1_based on steps'!AF$1:AF$400,0)),AF$2,)</f>
        <v>0</v>
      </c>
      <c r="AG97" s="179">
        <f ca="1">IF(ISNUMBER(MATCH(DATEVALUE($A97),'recurring1_based on steps'!AG$1:AG$400,0)),AG$2,)</f>
        <v>0</v>
      </c>
      <c r="AH97" s="179">
        <f ca="1">IF(ISNUMBER(MATCH(DATEVALUE($A97),'recurring1_based on steps'!AH$1:AH$400,0)),AH$2,)</f>
        <v>0</v>
      </c>
      <c r="AI97" s="179">
        <f ca="1">IF(ISNUMBER(MATCH(DATEVALUE($A97),'recurring1_based on steps'!AI$1:AI$400,0)),AI$2,)</f>
        <v>0</v>
      </c>
      <c r="AJ97" s="179">
        <f ca="1">IF(ISNUMBER(MATCH(DATEVALUE($A97),'recurring1_based on steps'!AJ$1:AJ$400,0)),AJ$2,)</f>
        <v>0</v>
      </c>
      <c r="AK97" s="179">
        <f ca="1">IF(ISNUMBER(MATCH(DATEVALUE($A97),'recurring1_based on steps'!AK$1:AK$400,0)),AK$2,)</f>
        <v>0</v>
      </c>
      <c r="AL97" s="179">
        <f ca="1">IF(ISNUMBER(MATCH(DATEVALUE($A97),'recurring1_based on steps'!AL$1:AL$400,0)),AL$2,)</f>
        <v>0</v>
      </c>
      <c r="AM97" s="179">
        <f ca="1">IF(ISNUMBER(MATCH(DATEVALUE($A97),'recurring1_based on steps'!AM$1:AM$400,0)),AM$2,)</f>
        <v>0</v>
      </c>
      <c r="AN97" s="179">
        <f ca="1">IF(ISNUMBER(MATCH(DATEVALUE($A97),'recurring1_based on steps'!AN$1:AN$400,0)),AN$2,)</f>
        <v>0</v>
      </c>
      <c r="AO97" s="179">
        <f ca="1">IF(ISNUMBER(MATCH(DATEVALUE($A97),'recurring1_based on steps'!AO$1:AO$400,0)),AO$2,)</f>
        <v>0</v>
      </c>
      <c r="AP97" s="179">
        <f ca="1">IF(ISNUMBER(MATCH(DATEVALUE($A97),'recurring1_based on steps'!AP$1:AP$400,0)),AP$2,)</f>
        <v>0</v>
      </c>
      <c r="AQ97" s="179">
        <f ca="1">IF(ISNUMBER(MATCH(DATEVALUE($A97),'recurring1_based on steps'!AQ$1:AQ$400,0)),AQ$2,)</f>
        <v>0</v>
      </c>
      <c r="AR97" s="179">
        <f ca="1">IF(ISNUMBER(MATCH(DATEVALUE($A97),'recurring1_based on steps'!AR$1:AR$400,0)),AR$2,)</f>
        <v>0</v>
      </c>
      <c r="AS97" s="179">
        <f ca="1">IF(ISNUMBER(MATCH(DATEVALUE($A97),'recurring1_based on steps'!AS$1:AS$400,0)),AS$2,)</f>
        <v>0</v>
      </c>
      <c r="AT97" s="179">
        <f ca="1">IF(ISNUMBER(MATCH(DATEVALUE($A97),'recurring1_based on steps'!AT$1:AT$400,0)),AT$2,)</f>
        <v>0</v>
      </c>
      <c r="AU97" s="179">
        <f ca="1">IF(ISNUMBER(MATCH(DATEVALUE($A97),'recurring1_based on steps'!AU$1:AU$400,0)),AU$2,)</f>
        <v>0</v>
      </c>
      <c r="AV97" s="179">
        <f ca="1">IF(ISNUMBER(MATCH(DATEVALUE($A97),'recurring1_based on steps'!AV$1:AV$400,0)),AV$2,)</f>
        <v>0</v>
      </c>
      <c r="AW97" s="179">
        <f ca="1">IF(ISNUMBER(MATCH(DATEVALUE($A97),'recurring1_based on steps'!AW$1:AW$400,0)),AW$2,)</f>
        <v>0</v>
      </c>
      <c r="AX97" s="179">
        <f ca="1">IF(ISNUMBER(MATCH(DATEVALUE($A97),'recurring1_based on steps'!AX$1:AX$400,0)),AX$2,)</f>
        <v>0</v>
      </c>
      <c r="AY97" s="179">
        <f ca="1">IF(ISNUMBER(MATCH(DATEVALUE($A97),'recurring1_based on steps'!AY$1:AY$400,0)),AY$2,)</f>
        <v>0</v>
      </c>
    </row>
    <row r="98" spans="1:51" x14ac:dyDescent="0.2">
      <c r="A98" s="32" t="str">
        <f t="shared" ca="1" si="1"/>
        <v>2025-07-02</v>
      </c>
      <c r="B98" s="179">
        <f ca="1">IF(ISNUMBER(MATCH(DATEVALUE($A98),'recurring1_based on steps'!B$1:B$400,0)),B$2,)</f>
        <v>0</v>
      </c>
      <c r="C98" s="179">
        <f ca="1">IF(ISNUMBER(MATCH(DATEVALUE($A98),'recurring1_based on steps'!C$1:C$400,0)),C$2,)</f>
        <v>0</v>
      </c>
      <c r="D98" s="179">
        <f ca="1">IF(ISNUMBER(MATCH(DATEVALUE($A98),'recurring1_based on steps'!D$1:D$400,0)),D$2,)</f>
        <v>0</v>
      </c>
      <c r="E98" s="179">
        <f ca="1">IF(ISNUMBER(MATCH(DATEVALUE($A98),'recurring1_based on steps'!E$1:E$400,0)),E$2,)</f>
        <v>0</v>
      </c>
      <c r="F98" s="179">
        <f ca="1">IF(ISNUMBER(MATCH(DATEVALUE($A98),'recurring1_based on steps'!F$1:F$400,0)),F$2,)</f>
        <v>0</v>
      </c>
      <c r="G98" s="179">
        <f ca="1">IF(ISNUMBER(MATCH(DATEVALUE($A98),'recurring1_based on steps'!G$1:G$400,0)),G$2,)</f>
        <v>0</v>
      </c>
      <c r="H98" s="179">
        <f ca="1">IF(ISNUMBER(MATCH(DATEVALUE($A98),'recurring1_based on steps'!H$1:H$400,0)),H$2,)</f>
        <v>0</v>
      </c>
      <c r="I98" s="179">
        <f ca="1">IF(ISNUMBER(MATCH(DATEVALUE($A98),'recurring1_based on steps'!I$1:I$400,0)),I$2,)</f>
        <v>0</v>
      </c>
      <c r="J98" s="179">
        <f ca="1">IF(ISNUMBER(MATCH(DATEVALUE($A98),'recurring1_based on steps'!J$1:J$400,0)),J$2,)</f>
        <v>0</v>
      </c>
      <c r="K98" s="179">
        <f ca="1">IF(ISNUMBER(MATCH(DATEVALUE($A98),'recurring1_based on steps'!K$1:K$400,0)),K$2,)</f>
        <v>0</v>
      </c>
      <c r="L98" s="179">
        <f ca="1">IF(ISNUMBER(MATCH(DATEVALUE($A98),'recurring1_based on steps'!L$1:L$400,0)),L$2,)</f>
        <v>0</v>
      </c>
      <c r="M98" s="179">
        <f ca="1">IF(ISNUMBER(MATCH(DATEVALUE($A98),'recurring1_based on steps'!M$1:M$400,0)),M$2,)</f>
        <v>0</v>
      </c>
      <c r="N98" s="179">
        <f ca="1">IF(ISNUMBER(MATCH(DATEVALUE($A98),'recurring1_based on steps'!N$1:N$400,0)),N$2,)</f>
        <v>0</v>
      </c>
      <c r="O98" s="179">
        <f ca="1">IF(ISNUMBER(MATCH(DATEVALUE($A98),'recurring1_based on steps'!O$1:O$400,0)),O$2,)</f>
        <v>0</v>
      </c>
      <c r="P98" s="179">
        <f ca="1">IF(ISNUMBER(MATCH(DATEVALUE($A98),'recurring1_based on steps'!P$1:P$400,0)),P$2,)</f>
        <v>0</v>
      </c>
      <c r="Q98" s="179">
        <f ca="1">IF(ISNUMBER(MATCH(DATEVALUE($A98),'recurring1_based on steps'!Q$1:Q$400,0)),Q$2,)</f>
        <v>0</v>
      </c>
      <c r="R98" s="179">
        <f ca="1">IF(ISNUMBER(MATCH(DATEVALUE($A98),'recurring1_based on steps'!R$1:R$400,0)),R$2,)</f>
        <v>0</v>
      </c>
      <c r="S98" s="179">
        <f ca="1">IF(ISNUMBER(MATCH(DATEVALUE($A98),'recurring1_based on steps'!S$1:S$400,0)),S$2,)</f>
        <v>0</v>
      </c>
      <c r="T98" s="179">
        <f ca="1">IF(ISNUMBER(MATCH(DATEVALUE($A98),'recurring1_based on steps'!T$1:T$400,0)),T$2,)</f>
        <v>0</v>
      </c>
      <c r="U98" s="179">
        <f ca="1">IF(ISNUMBER(MATCH(DATEVALUE($A98),'recurring1_based on steps'!U$1:U$400,0)),U$2,)</f>
        <v>0</v>
      </c>
      <c r="V98" s="179">
        <f ca="1">IF(ISNUMBER(MATCH(DATEVALUE($A98),'recurring1_based on steps'!V$1:V$400,0)),V$2,)</f>
        <v>0</v>
      </c>
      <c r="W98" s="179">
        <f ca="1">IF(ISNUMBER(MATCH(DATEVALUE($A98),'recurring1_based on steps'!W$1:W$400,0)),W$2,)</f>
        <v>0</v>
      </c>
      <c r="X98" s="179">
        <f ca="1">IF(ISNUMBER(MATCH(DATEVALUE($A98),'recurring1_based on steps'!X$1:X$400,0)),X$2,)</f>
        <v>0</v>
      </c>
      <c r="Y98" s="179">
        <f ca="1">IF(ISNUMBER(MATCH(DATEVALUE($A98),'recurring1_based on steps'!Y$1:Y$400,0)),Y$2,)</f>
        <v>0</v>
      </c>
      <c r="Z98" s="179">
        <f ca="1">IF(ISNUMBER(MATCH(DATEVALUE($A98),'recurring1_based on steps'!Z$1:Z$400,0)),Z$2,)</f>
        <v>0</v>
      </c>
      <c r="AA98" s="179">
        <f ca="1">IF(ISNUMBER(MATCH(DATEVALUE($A98),'recurring1_based on steps'!AA$1:AA$400,0)),AA$2,)</f>
        <v>0</v>
      </c>
      <c r="AB98" s="179">
        <f ca="1">IF(ISNUMBER(MATCH(DATEVALUE($A98),'recurring1_based on steps'!AB$1:AB$400,0)),AB$2,)</f>
        <v>0</v>
      </c>
      <c r="AC98" s="179">
        <f ca="1">IF(ISNUMBER(MATCH(DATEVALUE($A98),'recurring1_based on steps'!AC$1:AC$400,0)),AC$2,)</f>
        <v>0</v>
      </c>
      <c r="AD98" s="179">
        <f ca="1">IF(ISNUMBER(MATCH(DATEVALUE($A98),'recurring1_based on steps'!AD$1:AD$400,0)),AD$2,)</f>
        <v>0</v>
      </c>
      <c r="AE98" s="179">
        <f ca="1">IF(ISNUMBER(MATCH(DATEVALUE($A98),'recurring1_based on steps'!AE$1:AE$400,0)),AE$2,)</f>
        <v>0</v>
      </c>
      <c r="AF98" s="179">
        <f ca="1">IF(ISNUMBER(MATCH(DATEVALUE($A98),'recurring1_based on steps'!AF$1:AF$400,0)),AF$2,)</f>
        <v>0</v>
      </c>
      <c r="AG98" s="179">
        <f ca="1">IF(ISNUMBER(MATCH(DATEVALUE($A98),'recurring1_based on steps'!AG$1:AG$400,0)),AG$2,)</f>
        <v>0</v>
      </c>
      <c r="AH98" s="179">
        <f ca="1">IF(ISNUMBER(MATCH(DATEVALUE($A98),'recurring1_based on steps'!AH$1:AH$400,0)),AH$2,)</f>
        <v>0</v>
      </c>
      <c r="AI98" s="179">
        <f ca="1">IF(ISNUMBER(MATCH(DATEVALUE($A98),'recurring1_based on steps'!AI$1:AI$400,0)),AI$2,)</f>
        <v>0</v>
      </c>
      <c r="AJ98" s="179">
        <f ca="1">IF(ISNUMBER(MATCH(DATEVALUE($A98),'recurring1_based on steps'!AJ$1:AJ$400,0)),AJ$2,)</f>
        <v>0</v>
      </c>
      <c r="AK98" s="179">
        <f ca="1">IF(ISNUMBER(MATCH(DATEVALUE($A98),'recurring1_based on steps'!AK$1:AK$400,0)),AK$2,)</f>
        <v>0</v>
      </c>
      <c r="AL98" s="179">
        <f ca="1">IF(ISNUMBER(MATCH(DATEVALUE($A98),'recurring1_based on steps'!AL$1:AL$400,0)),AL$2,)</f>
        <v>0</v>
      </c>
      <c r="AM98" s="179">
        <f ca="1">IF(ISNUMBER(MATCH(DATEVALUE($A98),'recurring1_based on steps'!AM$1:AM$400,0)),AM$2,)</f>
        <v>0</v>
      </c>
      <c r="AN98" s="179">
        <f ca="1">IF(ISNUMBER(MATCH(DATEVALUE($A98),'recurring1_based on steps'!AN$1:AN$400,0)),AN$2,)</f>
        <v>0</v>
      </c>
      <c r="AO98" s="179">
        <f ca="1">IF(ISNUMBER(MATCH(DATEVALUE($A98),'recurring1_based on steps'!AO$1:AO$400,0)),AO$2,)</f>
        <v>0</v>
      </c>
      <c r="AP98" s="179">
        <f ca="1">IF(ISNUMBER(MATCH(DATEVALUE($A98),'recurring1_based on steps'!AP$1:AP$400,0)),AP$2,)</f>
        <v>0</v>
      </c>
      <c r="AQ98" s="179">
        <f ca="1">IF(ISNUMBER(MATCH(DATEVALUE($A98),'recurring1_based on steps'!AQ$1:AQ$400,0)),AQ$2,)</f>
        <v>0</v>
      </c>
      <c r="AR98" s="179">
        <f ca="1">IF(ISNUMBER(MATCH(DATEVALUE($A98),'recurring1_based on steps'!AR$1:AR$400,0)),AR$2,)</f>
        <v>0</v>
      </c>
      <c r="AS98" s="179">
        <f ca="1">IF(ISNUMBER(MATCH(DATEVALUE($A98),'recurring1_based on steps'!AS$1:AS$400,0)),AS$2,)</f>
        <v>0</v>
      </c>
      <c r="AT98" s="179">
        <f ca="1">IF(ISNUMBER(MATCH(DATEVALUE($A98),'recurring1_based on steps'!AT$1:AT$400,0)),AT$2,)</f>
        <v>0</v>
      </c>
      <c r="AU98" s="179">
        <f ca="1">IF(ISNUMBER(MATCH(DATEVALUE($A98),'recurring1_based on steps'!AU$1:AU$400,0)),AU$2,)</f>
        <v>0</v>
      </c>
      <c r="AV98" s="179">
        <f ca="1">IF(ISNUMBER(MATCH(DATEVALUE($A98),'recurring1_based on steps'!AV$1:AV$400,0)),AV$2,)</f>
        <v>0</v>
      </c>
      <c r="AW98" s="179">
        <f ca="1">IF(ISNUMBER(MATCH(DATEVALUE($A98),'recurring1_based on steps'!AW$1:AW$400,0)),AW$2,)</f>
        <v>0</v>
      </c>
      <c r="AX98" s="179">
        <f ca="1">IF(ISNUMBER(MATCH(DATEVALUE($A98),'recurring1_based on steps'!AX$1:AX$400,0)),AX$2,)</f>
        <v>0</v>
      </c>
      <c r="AY98" s="179">
        <f ca="1">IF(ISNUMBER(MATCH(DATEVALUE($A98),'recurring1_based on steps'!AY$1:AY$400,0)),AY$2,)</f>
        <v>0</v>
      </c>
    </row>
    <row r="99" spans="1:51" x14ac:dyDescent="0.2">
      <c r="A99" s="32" t="str">
        <f t="shared" ca="1" si="1"/>
        <v>2025-07-03</v>
      </c>
      <c r="B99" s="179">
        <f ca="1">IF(ISNUMBER(MATCH(DATEVALUE($A99),'recurring1_based on steps'!B$1:B$400,0)),B$2,)</f>
        <v>0</v>
      </c>
      <c r="C99" s="179">
        <f ca="1">IF(ISNUMBER(MATCH(DATEVALUE($A99),'recurring1_based on steps'!C$1:C$400,0)),C$2,)</f>
        <v>0</v>
      </c>
      <c r="D99" s="179">
        <f ca="1">IF(ISNUMBER(MATCH(DATEVALUE($A99),'recurring1_based on steps'!D$1:D$400,0)),D$2,)</f>
        <v>0</v>
      </c>
      <c r="E99" s="179">
        <f ca="1">IF(ISNUMBER(MATCH(DATEVALUE($A99),'recurring1_based on steps'!E$1:E$400,0)),E$2,)</f>
        <v>0</v>
      </c>
      <c r="F99" s="179">
        <f ca="1">IF(ISNUMBER(MATCH(DATEVALUE($A99),'recurring1_based on steps'!F$1:F$400,0)),F$2,)</f>
        <v>0</v>
      </c>
      <c r="G99" s="179">
        <f ca="1">IF(ISNUMBER(MATCH(DATEVALUE($A99),'recurring1_based on steps'!G$1:G$400,0)),G$2,)</f>
        <v>0</v>
      </c>
      <c r="H99" s="179">
        <f ca="1">IF(ISNUMBER(MATCH(DATEVALUE($A99),'recurring1_based on steps'!H$1:H$400,0)),H$2,)</f>
        <v>0</v>
      </c>
      <c r="I99" s="179">
        <f ca="1">IF(ISNUMBER(MATCH(DATEVALUE($A99),'recurring1_based on steps'!I$1:I$400,0)),I$2,)</f>
        <v>0</v>
      </c>
      <c r="J99" s="179">
        <f ca="1">IF(ISNUMBER(MATCH(DATEVALUE($A99),'recurring1_based on steps'!J$1:J$400,0)),J$2,)</f>
        <v>0</v>
      </c>
      <c r="K99" s="179">
        <f ca="1">IF(ISNUMBER(MATCH(DATEVALUE($A99),'recurring1_based on steps'!K$1:K$400,0)),K$2,)</f>
        <v>0</v>
      </c>
      <c r="L99" s="179">
        <f ca="1">IF(ISNUMBER(MATCH(DATEVALUE($A99),'recurring1_based on steps'!L$1:L$400,0)),L$2,)</f>
        <v>0</v>
      </c>
      <c r="M99" s="179">
        <f ca="1">IF(ISNUMBER(MATCH(DATEVALUE($A99),'recurring1_based on steps'!M$1:M$400,0)),M$2,)</f>
        <v>0</v>
      </c>
      <c r="N99" s="179">
        <f ca="1">IF(ISNUMBER(MATCH(DATEVALUE($A99),'recurring1_based on steps'!N$1:N$400,0)),N$2,)</f>
        <v>0</v>
      </c>
      <c r="O99" s="179">
        <f ca="1">IF(ISNUMBER(MATCH(DATEVALUE($A99),'recurring1_based on steps'!O$1:O$400,0)),O$2,)</f>
        <v>0</v>
      </c>
      <c r="P99" s="179">
        <f ca="1">IF(ISNUMBER(MATCH(DATEVALUE($A99),'recurring1_based on steps'!P$1:P$400,0)),P$2,)</f>
        <v>0</v>
      </c>
      <c r="Q99" s="179">
        <f ca="1">IF(ISNUMBER(MATCH(DATEVALUE($A99),'recurring1_based on steps'!Q$1:Q$400,0)),Q$2,)</f>
        <v>0</v>
      </c>
      <c r="R99" s="179">
        <f ca="1">IF(ISNUMBER(MATCH(DATEVALUE($A99),'recurring1_based on steps'!R$1:R$400,0)),R$2,)</f>
        <v>0</v>
      </c>
      <c r="S99" s="179">
        <f ca="1">IF(ISNUMBER(MATCH(DATEVALUE($A99),'recurring1_based on steps'!S$1:S$400,0)),S$2,)</f>
        <v>0</v>
      </c>
      <c r="T99" s="179">
        <f ca="1">IF(ISNUMBER(MATCH(DATEVALUE($A99),'recurring1_based on steps'!T$1:T$400,0)),T$2,)</f>
        <v>0</v>
      </c>
      <c r="U99" s="179">
        <f ca="1">IF(ISNUMBER(MATCH(DATEVALUE($A99),'recurring1_based on steps'!U$1:U$400,0)),U$2,)</f>
        <v>0</v>
      </c>
      <c r="V99" s="179">
        <f ca="1">IF(ISNUMBER(MATCH(DATEVALUE($A99),'recurring1_based on steps'!V$1:V$400,0)),V$2,)</f>
        <v>0</v>
      </c>
      <c r="W99" s="179">
        <f ca="1">IF(ISNUMBER(MATCH(DATEVALUE($A99),'recurring1_based on steps'!W$1:W$400,0)),W$2,)</f>
        <v>0</v>
      </c>
      <c r="X99" s="179">
        <f ca="1">IF(ISNUMBER(MATCH(DATEVALUE($A99),'recurring1_based on steps'!X$1:X$400,0)),X$2,)</f>
        <v>0</v>
      </c>
      <c r="Y99" s="179">
        <f ca="1">IF(ISNUMBER(MATCH(DATEVALUE($A99),'recurring1_based on steps'!Y$1:Y$400,0)),Y$2,)</f>
        <v>0</v>
      </c>
      <c r="Z99" s="179">
        <f ca="1">IF(ISNUMBER(MATCH(DATEVALUE($A99),'recurring1_based on steps'!Z$1:Z$400,0)),Z$2,)</f>
        <v>0</v>
      </c>
      <c r="AA99" s="179">
        <f ca="1">IF(ISNUMBER(MATCH(DATEVALUE($A99),'recurring1_based on steps'!AA$1:AA$400,0)),AA$2,)</f>
        <v>0</v>
      </c>
      <c r="AB99" s="179">
        <f ca="1">IF(ISNUMBER(MATCH(DATEVALUE($A99),'recurring1_based on steps'!AB$1:AB$400,0)),AB$2,)</f>
        <v>0</v>
      </c>
      <c r="AC99" s="179">
        <f ca="1">IF(ISNUMBER(MATCH(DATEVALUE($A99),'recurring1_based on steps'!AC$1:AC$400,0)),AC$2,)</f>
        <v>0</v>
      </c>
      <c r="AD99" s="179">
        <f ca="1">IF(ISNUMBER(MATCH(DATEVALUE($A99),'recurring1_based on steps'!AD$1:AD$400,0)),AD$2,)</f>
        <v>0</v>
      </c>
      <c r="AE99" s="179">
        <f ca="1">IF(ISNUMBER(MATCH(DATEVALUE($A99),'recurring1_based on steps'!AE$1:AE$400,0)),AE$2,)</f>
        <v>0</v>
      </c>
      <c r="AF99" s="179">
        <f ca="1">IF(ISNUMBER(MATCH(DATEVALUE($A99),'recurring1_based on steps'!AF$1:AF$400,0)),AF$2,)</f>
        <v>0</v>
      </c>
      <c r="AG99" s="179">
        <f ca="1">IF(ISNUMBER(MATCH(DATEVALUE($A99),'recurring1_based on steps'!AG$1:AG$400,0)),AG$2,)</f>
        <v>0</v>
      </c>
      <c r="AH99" s="179">
        <f ca="1">IF(ISNUMBER(MATCH(DATEVALUE($A99),'recurring1_based on steps'!AH$1:AH$400,0)),AH$2,)</f>
        <v>0</v>
      </c>
      <c r="AI99" s="179">
        <f ca="1">IF(ISNUMBER(MATCH(DATEVALUE($A99),'recurring1_based on steps'!AI$1:AI$400,0)),AI$2,)</f>
        <v>0</v>
      </c>
      <c r="AJ99" s="179">
        <f ca="1">IF(ISNUMBER(MATCH(DATEVALUE($A99),'recurring1_based on steps'!AJ$1:AJ$400,0)),AJ$2,)</f>
        <v>0</v>
      </c>
      <c r="AK99" s="179">
        <f ca="1">IF(ISNUMBER(MATCH(DATEVALUE($A99),'recurring1_based on steps'!AK$1:AK$400,0)),AK$2,)</f>
        <v>0</v>
      </c>
      <c r="AL99" s="179">
        <f ca="1">IF(ISNUMBER(MATCH(DATEVALUE($A99),'recurring1_based on steps'!AL$1:AL$400,0)),AL$2,)</f>
        <v>0</v>
      </c>
      <c r="AM99" s="179">
        <f ca="1">IF(ISNUMBER(MATCH(DATEVALUE($A99),'recurring1_based on steps'!AM$1:AM$400,0)),AM$2,)</f>
        <v>0</v>
      </c>
      <c r="AN99" s="179">
        <f ca="1">IF(ISNUMBER(MATCH(DATEVALUE($A99),'recurring1_based on steps'!AN$1:AN$400,0)),AN$2,)</f>
        <v>0</v>
      </c>
      <c r="AO99" s="179">
        <f ca="1">IF(ISNUMBER(MATCH(DATEVALUE($A99),'recurring1_based on steps'!AO$1:AO$400,0)),AO$2,)</f>
        <v>0</v>
      </c>
      <c r="AP99" s="179">
        <f ca="1">IF(ISNUMBER(MATCH(DATEVALUE($A99),'recurring1_based on steps'!AP$1:AP$400,0)),AP$2,)</f>
        <v>0</v>
      </c>
      <c r="AQ99" s="179">
        <f ca="1">IF(ISNUMBER(MATCH(DATEVALUE($A99),'recurring1_based on steps'!AQ$1:AQ$400,0)),AQ$2,)</f>
        <v>0</v>
      </c>
      <c r="AR99" s="179">
        <f ca="1">IF(ISNUMBER(MATCH(DATEVALUE($A99),'recurring1_based on steps'!AR$1:AR$400,0)),AR$2,)</f>
        <v>0</v>
      </c>
      <c r="AS99" s="179">
        <f ca="1">IF(ISNUMBER(MATCH(DATEVALUE($A99),'recurring1_based on steps'!AS$1:AS$400,0)),AS$2,)</f>
        <v>0</v>
      </c>
      <c r="AT99" s="179">
        <f ca="1">IF(ISNUMBER(MATCH(DATEVALUE($A99),'recurring1_based on steps'!AT$1:AT$400,0)),AT$2,)</f>
        <v>0</v>
      </c>
      <c r="AU99" s="179">
        <f ca="1">IF(ISNUMBER(MATCH(DATEVALUE($A99),'recurring1_based on steps'!AU$1:AU$400,0)),AU$2,)</f>
        <v>0</v>
      </c>
      <c r="AV99" s="179">
        <f ca="1">IF(ISNUMBER(MATCH(DATEVALUE($A99),'recurring1_based on steps'!AV$1:AV$400,0)),AV$2,)</f>
        <v>0</v>
      </c>
      <c r="AW99" s="179">
        <f ca="1">IF(ISNUMBER(MATCH(DATEVALUE($A99),'recurring1_based on steps'!AW$1:AW$400,0)),AW$2,)</f>
        <v>0</v>
      </c>
      <c r="AX99" s="179">
        <f ca="1">IF(ISNUMBER(MATCH(DATEVALUE($A99),'recurring1_based on steps'!AX$1:AX$400,0)),AX$2,)</f>
        <v>0</v>
      </c>
      <c r="AY99" s="179">
        <f ca="1">IF(ISNUMBER(MATCH(DATEVALUE($A99),'recurring1_based on steps'!AY$1:AY$400,0)),AY$2,)</f>
        <v>0</v>
      </c>
    </row>
    <row r="100" spans="1:51" x14ac:dyDescent="0.2">
      <c r="A100" s="32" t="str">
        <f t="shared" ca="1" si="1"/>
        <v>2025-07-04</v>
      </c>
      <c r="B100" s="179">
        <f ca="1">IF(ISNUMBER(MATCH(DATEVALUE($A100),'recurring1_based on steps'!B$1:B$400,0)),B$2,)</f>
        <v>0</v>
      </c>
      <c r="C100" s="179">
        <f ca="1">IF(ISNUMBER(MATCH(DATEVALUE($A100),'recurring1_based on steps'!C$1:C$400,0)),C$2,)</f>
        <v>0</v>
      </c>
      <c r="D100" s="179">
        <f ca="1">IF(ISNUMBER(MATCH(DATEVALUE($A100),'recurring1_based on steps'!D$1:D$400,0)),D$2,)</f>
        <v>0</v>
      </c>
      <c r="E100" s="179">
        <f ca="1">IF(ISNUMBER(MATCH(DATEVALUE($A100),'recurring1_based on steps'!E$1:E$400,0)),E$2,)</f>
        <v>0</v>
      </c>
      <c r="F100" s="179">
        <f ca="1">IF(ISNUMBER(MATCH(DATEVALUE($A100),'recurring1_based on steps'!F$1:F$400,0)),F$2,)</f>
        <v>0</v>
      </c>
      <c r="G100" s="179">
        <f ca="1">IF(ISNUMBER(MATCH(DATEVALUE($A100),'recurring1_based on steps'!G$1:G$400,0)),G$2,)</f>
        <v>0</v>
      </c>
      <c r="H100" s="179">
        <f ca="1">IF(ISNUMBER(MATCH(DATEVALUE($A100),'recurring1_based on steps'!H$1:H$400,0)),H$2,)</f>
        <v>0</v>
      </c>
      <c r="I100" s="179">
        <f ca="1">IF(ISNUMBER(MATCH(DATEVALUE($A100),'recurring1_based on steps'!I$1:I$400,0)),I$2,)</f>
        <v>0</v>
      </c>
      <c r="J100" s="179">
        <f ca="1">IF(ISNUMBER(MATCH(DATEVALUE($A100),'recurring1_based on steps'!J$1:J$400,0)),J$2,)</f>
        <v>0</v>
      </c>
      <c r="K100" s="179">
        <f ca="1">IF(ISNUMBER(MATCH(DATEVALUE($A100),'recurring1_based on steps'!K$1:K$400,0)),K$2,)</f>
        <v>0</v>
      </c>
      <c r="L100" s="179">
        <f ca="1">IF(ISNUMBER(MATCH(DATEVALUE($A100),'recurring1_based on steps'!L$1:L$400,0)),L$2,)</f>
        <v>0</v>
      </c>
      <c r="M100" s="179">
        <f ca="1">IF(ISNUMBER(MATCH(DATEVALUE($A100),'recurring1_based on steps'!M$1:M$400,0)),M$2,)</f>
        <v>0</v>
      </c>
      <c r="N100" s="179">
        <f ca="1">IF(ISNUMBER(MATCH(DATEVALUE($A100),'recurring1_based on steps'!N$1:N$400,0)),N$2,)</f>
        <v>0</v>
      </c>
      <c r="O100" s="179">
        <f ca="1">IF(ISNUMBER(MATCH(DATEVALUE($A100),'recurring1_based on steps'!O$1:O$400,0)),O$2,)</f>
        <v>0</v>
      </c>
      <c r="P100" s="179">
        <f ca="1">IF(ISNUMBER(MATCH(DATEVALUE($A100),'recurring1_based on steps'!P$1:P$400,0)),P$2,)</f>
        <v>0</v>
      </c>
      <c r="Q100" s="179">
        <f ca="1">IF(ISNUMBER(MATCH(DATEVALUE($A100),'recurring1_based on steps'!Q$1:Q$400,0)),Q$2,)</f>
        <v>0</v>
      </c>
      <c r="R100" s="179">
        <f ca="1">IF(ISNUMBER(MATCH(DATEVALUE($A100),'recurring1_based on steps'!R$1:R$400,0)),R$2,)</f>
        <v>0</v>
      </c>
      <c r="S100" s="179">
        <f ca="1">IF(ISNUMBER(MATCH(DATEVALUE($A100),'recurring1_based on steps'!S$1:S$400,0)),S$2,)</f>
        <v>0</v>
      </c>
      <c r="T100" s="179">
        <f ca="1">IF(ISNUMBER(MATCH(DATEVALUE($A100),'recurring1_based on steps'!T$1:T$400,0)),T$2,)</f>
        <v>0</v>
      </c>
      <c r="U100" s="179">
        <f ca="1">IF(ISNUMBER(MATCH(DATEVALUE($A100),'recurring1_based on steps'!U$1:U$400,0)),U$2,)</f>
        <v>0</v>
      </c>
      <c r="V100" s="179">
        <f ca="1">IF(ISNUMBER(MATCH(DATEVALUE($A100),'recurring1_based on steps'!V$1:V$400,0)),V$2,)</f>
        <v>0</v>
      </c>
      <c r="W100" s="179">
        <f ca="1">IF(ISNUMBER(MATCH(DATEVALUE($A100),'recurring1_based on steps'!W$1:W$400,0)),W$2,)</f>
        <v>0</v>
      </c>
      <c r="X100" s="179">
        <f ca="1">IF(ISNUMBER(MATCH(DATEVALUE($A100),'recurring1_based on steps'!X$1:X$400,0)),X$2,)</f>
        <v>0</v>
      </c>
      <c r="Y100" s="179">
        <f ca="1">IF(ISNUMBER(MATCH(DATEVALUE($A100),'recurring1_based on steps'!Y$1:Y$400,0)),Y$2,)</f>
        <v>0</v>
      </c>
      <c r="Z100" s="179">
        <f ca="1">IF(ISNUMBER(MATCH(DATEVALUE($A100),'recurring1_based on steps'!Z$1:Z$400,0)),Z$2,)</f>
        <v>0</v>
      </c>
      <c r="AA100" s="179">
        <f ca="1">IF(ISNUMBER(MATCH(DATEVALUE($A100),'recurring1_based on steps'!AA$1:AA$400,0)),AA$2,)</f>
        <v>0</v>
      </c>
      <c r="AB100" s="179">
        <f ca="1">IF(ISNUMBER(MATCH(DATEVALUE($A100),'recurring1_based on steps'!AB$1:AB$400,0)),AB$2,)</f>
        <v>0</v>
      </c>
      <c r="AC100" s="179">
        <f ca="1">IF(ISNUMBER(MATCH(DATEVALUE($A100),'recurring1_based on steps'!AC$1:AC$400,0)),AC$2,)</f>
        <v>0</v>
      </c>
      <c r="AD100" s="179">
        <f ca="1">IF(ISNUMBER(MATCH(DATEVALUE($A100),'recurring1_based on steps'!AD$1:AD$400,0)),AD$2,)</f>
        <v>0</v>
      </c>
      <c r="AE100" s="179">
        <f ca="1">IF(ISNUMBER(MATCH(DATEVALUE($A100),'recurring1_based on steps'!AE$1:AE$400,0)),AE$2,)</f>
        <v>0</v>
      </c>
      <c r="AF100" s="179">
        <f ca="1">IF(ISNUMBER(MATCH(DATEVALUE($A100),'recurring1_based on steps'!AF$1:AF$400,0)),AF$2,)</f>
        <v>0</v>
      </c>
      <c r="AG100" s="179">
        <f ca="1">IF(ISNUMBER(MATCH(DATEVALUE($A100),'recurring1_based on steps'!AG$1:AG$400,0)),AG$2,)</f>
        <v>0</v>
      </c>
      <c r="AH100" s="179">
        <f ca="1">IF(ISNUMBER(MATCH(DATEVALUE($A100),'recurring1_based on steps'!AH$1:AH$400,0)),AH$2,)</f>
        <v>0</v>
      </c>
      <c r="AI100" s="179">
        <f ca="1">IF(ISNUMBER(MATCH(DATEVALUE($A100),'recurring1_based on steps'!AI$1:AI$400,0)),AI$2,)</f>
        <v>0</v>
      </c>
      <c r="AJ100" s="179">
        <f ca="1">IF(ISNUMBER(MATCH(DATEVALUE($A100),'recurring1_based on steps'!AJ$1:AJ$400,0)),AJ$2,)</f>
        <v>0</v>
      </c>
      <c r="AK100" s="179">
        <f ca="1">IF(ISNUMBER(MATCH(DATEVALUE($A100),'recurring1_based on steps'!AK$1:AK$400,0)),AK$2,)</f>
        <v>0</v>
      </c>
      <c r="AL100" s="179">
        <f ca="1">IF(ISNUMBER(MATCH(DATEVALUE($A100),'recurring1_based on steps'!AL$1:AL$400,0)),AL$2,)</f>
        <v>0</v>
      </c>
      <c r="AM100" s="179">
        <f ca="1">IF(ISNUMBER(MATCH(DATEVALUE($A100),'recurring1_based on steps'!AM$1:AM$400,0)),AM$2,)</f>
        <v>0</v>
      </c>
      <c r="AN100" s="179">
        <f ca="1">IF(ISNUMBER(MATCH(DATEVALUE($A100),'recurring1_based on steps'!AN$1:AN$400,0)),AN$2,)</f>
        <v>0</v>
      </c>
      <c r="AO100" s="179">
        <f ca="1">IF(ISNUMBER(MATCH(DATEVALUE($A100),'recurring1_based on steps'!AO$1:AO$400,0)),AO$2,)</f>
        <v>0</v>
      </c>
      <c r="AP100" s="179">
        <f ca="1">IF(ISNUMBER(MATCH(DATEVALUE($A100),'recurring1_based on steps'!AP$1:AP$400,0)),AP$2,)</f>
        <v>0</v>
      </c>
      <c r="AQ100" s="179">
        <f ca="1">IF(ISNUMBER(MATCH(DATEVALUE($A100),'recurring1_based on steps'!AQ$1:AQ$400,0)),AQ$2,)</f>
        <v>0</v>
      </c>
      <c r="AR100" s="179">
        <f ca="1">IF(ISNUMBER(MATCH(DATEVALUE($A100),'recurring1_based on steps'!AR$1:AR$400,0)),AR$2,)</f>
        <v>0</v>
      </c>
      <c r="AS100" s="179">
        <f ca="1">IF(ISNUMBER(MATCH(DATEVALUE($A100),'recurring1_based on steps'!AS$1:AS$400,0)),AS$2,)</f>
        <v>0</v>
      </c>
      <c r="AT100" s="179">
        <f ca="1">IF(ISNUMBER(MATCH(DATEVALUE($A100),'recurring1_based on steps'!AT$1:AT$400,0)),AT$2,)</f>
        <v>0</v>
      </c>
      <c r="AU100" s="179">
        <f ca="1">IF(ISNUMBER(MATCH(DATEVALUE($A100),'recurring1_based on steps'!AU$1:AU$400,0)),AU$2,)</f>
        <v>0</v>
      </c>
      <c r="AV100" s="179">
        <f ca="1">IF(ISNUMBER(MATCH(DATEVALUE($A100),'recurring1_based on steps'!AV$1:AV$400,0)),AV$2,)</f>
        <v>0</v>
      </c>
      <c r="AW100" s="179">
        <f ca="1">IF(ISNUMBER(MATCH(DATEVALUE($A100),'recurring1_based on steps'!AW$1:AW$400,0)),AW$2,)</f>
        <v>0</v>
      </c>
      <c r="AX100" s="179">
        <f ca="1">IF(ISNUMBER(MATCH(DATEVALUE($A100),'recurring1_based on steps'!AX$1:AX$400,0)),AX$2,)</f>
        <v>0</v>
      </c>
      <c r="AY100" s="179">
        <f ca="1">IF(ISNUMBER(MATCH(DATEVALUE($A100),'recurring1_based on steps'!AY$1:AY$400,0)),AY$2,)</f>
        <v>0</v>
      </c>
    </row>
    <row r="101" spans="1:51" x14ac:dyDescent="0.2">
      <c r="A101" s="32" t="str">
        <f t="shared" ca="1" si="1"/>
        <v>2025-07-05</v>
      </c>
      <c r="B101" s="179">
        <f ca="1">IF(ISNUMBER(MATCH(DATEVALUE($A101),'recurring1_based on steps'!B$1:B$400,0)),B$2,)</f>
        <v>0</v>
      </c>
      <c r="C101" s="179">
        <f ca="1">IF(ISNUMBER(MATCH(DATEVALUE($A101),'recurring1_based on steps'!C$1:C$400,0)),C$2,)</f>
        <v>0</v>
      </c>
      <c r="D101" s="179">
        <f ca="1">IF(ISNUMBER(MATCH(DATEVALUE($A101),'recurring1_based on steps'!D$1:D$400,0)),D$2,)</f>
        <v>0</v>
      </c>
      <c r="E101" s="179">
        <f ca="1">IF(ISNUMBER(MATCH(DATEVALUE($A101),'recurring1_based on steps'!E$1:E$400,0)),E$2,)</f>
        <v>0</v>
      </c>
      <c r="F101" s="179">
        <f ca="1">IF(ISNUMBER(MATCH(DATEVALUE($A101),'recurring1_based on steps'!F$1:F$400,0)),F$2,)</f>
        <v>0</v>
      </c>
      <c r="G101" s="179">
        <f ca="1">IF(ISNUMBER(MATCH(DATEVALUE($A101),'recurring1_based on steps'!G$1:G$400,0)),G$2,)</f>
        <v>0</v>
      </c>
      <c r="H101" s="179">
        <f ca="1">IF(ISNUMBER(MATCH(DATEVALUE($A101),'recurring1_based on steps'!H$1:H$400,0)),H$2,)</f>
        <v>0</v>
      </c>
      <c r="I101" s="179">
        <f ca="1">IF(ISNUMBER(MATCH(DATEVALUE($A101),'recurring1_based on steps'!I$1:I$400,0)),I$2,)</f>
        <v>0</v>
      </c>
      <c r="J101" s="179">
        <f ca="1">IF(ISNUMBER(MATCH(DATEVALUE($A101),'recurring1_based on steps'!J$1:J$400,0)),J$2,)</f>
        <v>0</v>
      </c>
      <c r="K101" s="179">
        <f ca="1">IF(ISNUMBER(MATCH(DATEVALUE($A101),'recurring1_based on steps'!K$1:K$400,0)),K$2,)</f>
        <v>0</v>
      </c>
      <c r="L101" s="179">
        <f ca="1">IF(ISNUMBER(MATCH(DATEVALUE($A101),'recurring1_based on steps'!L$1:L$400,0)),L$2,)</f>
        <v>0</v>
      </c>
      <c r="M101" s="179">
        <f ca="1">IF(ISNUMBER(MATCH(DATEVALUE($A101),'recurring1_based on steps'!M$1:M$400,0)),M$2,)</f>
        <v>0</v>
      </c>
      <c r="N101" s="179">
        <f ca="1">IF(ISNUMBER(MATCH(DATEVALUE($A101),'recurring1_based on steps'!N$1:N$400,0)),N$2,)</f>
        <v>0</v>
      </c>
      <c r="O101" s="179">
        <f ca="1">IF(ISNUMBER(MATCH(DATEVALUE($A101),'recurring1_based on steps'!O$1:O$400,0)),O$2,)</f>
        <v>0</v>
      </c>
      <c r="P101" s="179">
        <f ca="1">IF(ISNUMBER(MATCH(DATEVALUE($A101),'recurring1_based on steps'!P$1:P$400,0)),P$2,)</f>
        <v>0</v>
      </c>
      <c r="Q101" s="179">
        <f ca="1">IF(ISNUMBER(MATCH(DATEVALUE($A101),'recurring1_based on steps'!Q$1:Q$400,0)),Q$2,)</f>
        <v>0</v>
      </c>
      <c r="R101" s="179">
        <f ca="1">IF(ISNUMBER(MATCH(DATEVALUE($A101),'recurring1_based on steps'!R$1:R$400,0)),R$2,)</f>
        <v>0</v>
      </c>
      <c r="S101" s="179">
        <f ca="1">IF(ISNUMBER(MATCH(DATEVALUE($A101),'recurring1_based on steps'!S$1:S$400,0)),S$2,)</f>
        <v>0</v>
      </c>
      <c r="T101" s="179">
        <f ca="1">IF(ISNUMBER(MATCH(DATEVALUE($A101),'recurring1_based on steps'!T$1:T$400,0)),T$2,)</f>
        <v>0</v>
      </c>
      <c r="U101" s="179">
        <f ca="1">IF(ISNUMBER(MATCH(DATEVALUE($A101),'recurring1_based on steps'!U$1:U$400,0)),U$2,)</f>
        <v>0</v>
      </c>
      <c r="V101" s="179">
        <f ca="1">IF(ISNUMBER(MATCH(DATEVALUE($A101),'recurring1_based on steps'!V$1:V$400,0)),V$2,)</f>
        <v>0</v>
      </c>
      <c r="W101" s="179">
        <f ca="1">IF(ISNUMBER(MATCH(DATEVALUE($A101),'recurring1_based on steps'!W$1:W$400,0)),W$2,)</f>
        <v>0</v>
      </c>
      <c r="X101" s="179">
        <f ca="1">IF(ISNUMBER(MATCH(DATEVALUE($A101),'recurring1_based on steps'!X$1:X$400,0)),X$2,)</f>
        <v>0</v>
      </c>
      <c r="Y101" s="179">
        <f ca="1">IF(ISNUMBER(MATCH(DATEVALUE($A101),'recurring1_based on steps'!Y$1:Y$400,0)),Y$2,)</f>
        <v>0</v>
      </c>
      <c r="Z101" s="179">
        <f ca="1">IF(ISNUMBER(MATCH(DATEVALUE($A101),'recurring1_based on steps'!Z$1:Z$400,0)),Z$2,)</f>
        <v>0</v>
      </c>
      <c r="AA101" s="179">
        <f ca="1">IF(ISNUMBER(MATCH(DATEVALUE($A101),'recurring1_based on steps'!AA$1:AA$400,0)),AA$2,)</f>
        <v>0</v>
      </c>
      <c r="AB101" s="179">
        <f ca="1">IF(ISNUMBER(MATCH(DATEVALUE($A101),'recurring1_based on steps'!AB$1:AB$400,0)),AB$2,)</f>
        <v>0</v>
      </c>
      <c r="AC101" s="179">
        <f ca="1">IF(ISNUMBER(MATCH(DATEVALUE($A101),'recurring1_based on steps'!AC$1:AC$400,0)),AC$2,)</f>
        <v>0</v>
      </c>
      <c r="AD101" s="179">
        <f ca="1">IF(ISNUMBER(MATCH(DATEVALUE($A101),'recurring1_based on steps'!AD$1:AD$400,0)),AD$2,)</f>
        <v>0</v>
      </c>
      <c r="AE101" s="179">
        <f ca="1">IF(ISNUMBER(MATCH(DATEVALUE($A101),'recurring1_based on steps'!AE$1:AE$400,0)),AE$2,)</f>
        <v>0</v>
      </c>
      <c r="AF101" s="179">
        <f ca="1">IF(ISNUMBER(MATCH(DATEVALUE($A101),'recurring1_based on steps'!AF$1:AF$400,0)),AF$2,)</f>
        <v>0</v>
      </c>
      <c r="AG101" s="179">
        <f ca="1">IF(ISNUMBER(MATCH(DATEVALUE($A101),'recurring1_based on steps'!AG$1:AG$400,0)),AG$2,)</f>
        <v>0</v>
      </c>
      <c r="AH101" s="179">
        <f ca="1">IF(ISNUMBER(MATCH(DATEVALUE($A101),'recurring1_based on steps'!AH$1:AH$400,0)),AH$2,)</f>
        <v>0</v>
      </c>
      <c r="AI101" s="179">
        <f ca="1">IF(ISNUMBER(MATCH(DATEVALUE($A101),'recurring1_based on steps'!AI$1:AI$400,0)),AI$2,)</f>
        <v>0</v>
      </c>
      <c r="AJ101" s="179">
        <f ca="1">IF(ISNUMBER(MATCH(DATEVALUE($A101),'recurring1_based on steps'!AJ$1:AJ$400,0)),AJ$2,)</f>
        <v>0</v>
      </c>
      <c r="AK101" s="179">
        <f ca="1">IF(ISNUMBER(MATCH(DATEVALUE($A101),'recurring1_based on steps'!AK$1:AK$400,0)),AK$2,)</f>
        <v>0</v>
      </c>
      <c r="AL101" s="179">
        <f ca="1">IF(ISNUMBER(MATCH(DATEVALUE($A101),'recurring1_based on steps'!AL$1:AL$400,0)),AL$2,)</f>
        <v>0</v>
      </c>
      <c r="AM101" s="179">
        <f ca="1">IF(ISNUMBER(MATCH(DATEVALUE($A101),'recurring1_based on steps'!AM$1:AM$400,0)),AM$2,)</f>
        <v>0</v>
      </c>
      <c r="AN101" s="179">
        <f ca="1">IF(ISNUMBER(MATCH(DATEVALUE($A101),'recurring1_based on steps'!AN$1:AN$400,0)),AN$2,)</f>
        <v>0</v>
      </c>
      <c r="AO101" s="179">
        <f ca="1">IF(ISNUMBER(MATCH(DATEVALUE($A101),'recurring1_based on steps'!AO$1:AO$400,0)),AO$2,)</f>
        <v>0</v>
      </c>
      <c r="AP101" s="179">
        <f ca="1">IF(ISNUMBER(MATCH(DATEVALUE($A101),'recurring1_based on steps'!AP$1:AP$400,0)),AP$2,)</f>
        <v>0</v>
      </c>
      <c r="AQ101" s="179">
        <f ca="1">IF(ISNUMBER(MATCH(DATEVALUE($A101),'recurring1_based on steps'!AQ$1:AQ$400,0)),AQ$2,)</f>
        <v>0</v>
      </c>
      <c r="AR101" s="179">
        <f ca="1">IF(ISNUMBER(MATCH(DATEVALUE($A101),'recurring1_based on steps'!AR$1:AR$400,0)),AR$2,)</f>
        <v>0</v>
      </c>
      <c r="AS101" s="179">
        <f ca="1">IF(ISNUMBER(MATCH(DATEVALUE($A101),'recurring1_based on steps'!AS$1:AS$400,0)),AS$2,)</f>
        <v>0</v>
      </c>
      <c r="AT101" s="179">
        <f ca="1">IF(ISNUMBER(MATCH(DATEVALUE($A101),'recurring1_based on steps'!AT$1:AT$400,0)),AT$2,)</f>
        <v>0</v>
      </c>
      <c r="AU101" s="179">
        <f ca="1">IF(ISNUMBER(MATCH(DATEVALUE($A101),'recurring1_based on steps'!AU$1:AU$400,0)),AU$2,)</f>
        <v>0</v>
      </c>
      <c r="AV101" s="179">
        <f ca="1">IF(ISNUMBER(MATCH(DATEVALUE($A101),'recurring1_based on steps'!AV$1:AV$400,0)),AV$2,)</f>
        <v>0</v>
      </c>
      <c r="AW101" s="179">
        <f ca="1">IF(ISNUMBER(MATCH(DATEVALUE($A101),'recurring1_based on steps'!AW$1:AW$400,0)),AW$2,)</f>
        <v>0</v>
      </c>
      <c r="AX101" s="179">
        <f ca="1">IF(ISNUMBER(MATCH(DATEVALUE($A101),'recurring1_based on steps'!AX$1:AX$400,0)),AX$2,)</f>
        <v>0</v>
      </c>
      <c r="AY101" s="179">
        <f ca="1">IF(ISNUMBER(MATCH(DATEVALUE($A101),'recurring1_based on steps'!AY$1:AY$400,0)),AY$2,)</f>
        <v>0</v>
      </c>
    </row>
    <row r="102" spans="1:51" x14ac:dyDescent="0.2">
      <c r="A102" s="32" t="str">
        <f t="shared" ca="1" si="1"/>
        <v>2025-07-06</v>
      </c>
      <c r="B102" s="179">
        <f ca="1">IF(ISNUMBER(MATCH(DATEVALUE($A102),'recurring1_based on steps'!B$1:B$400,0)),B$2,)</f>
        <v>0</v>
      </c>
      <c r="C102" s="179">
        <f ca="1">IF(ISNUMBER(MATCH(DATEVALUE($A102),'recurring1_based on steps'!C$1:C$400,0)),C$2,)</f>
        <v>0</v>
      </c>
      <c r="D102" s="179">
        <f ca="1">IF(ISNUMBER(MATCH(DATEVALUE($A102),'recurring1_based on steps'!D$1:D$400,0)),D$2,)</f>
        <v>0</v>
      </c>
      <c r="E102" s="179">
        <f ca="1">IF(ISNUMBER(MATCH(DATEVALUE($A102),'recurring1_based on steps'!E$1:E$400,0)),E$2,)</f>
        <v>0</v>
      </c>
      <c r="F102" s="179">
        <f ca="1">IF(ISNUMBER(MATCH(DATEVALUE($A102),'recurring1_based on steps'!F$1:F$400,0)),F$2,)</f>
        <v>0</v>
      </c>
      <c r="G102" s="179">
        <f ca="1">IF(ISNUMBER(MATCH(DATEVALUE($A102),'recurring1_based on steps'!G$1:G$400,0)),G$2,)</f>
        <v>0</v>
      </c>
      <c r="H102" s="179">
        <f ca="1">IF(ISNUMBER(MATCH(DATEVALUE($A102),'recurring1_based on steps'!H$1:H$400,0)),H$2,)</f>
        <v>0</v>
      </c>
      <c r="I102" s="179">
        <f ca="1">IF(ISNUMBER(MATCH(DATEVALUE($A102),'recurring1_based on steps'!I$1:I$400,0)),I$2,)</f>
        <v>0</v>
      </c>
      <c r="J102" s="179">
        <f ca="1">IF(ISNUMBER(MATCH(DATEVALUE($A102),'recurring1_based on steps'!J$1:J$400,0)),J$2,)</f>
        <v>0</v>
      </c>
      <c r="K102" s="179">
        <f ca="1">IF(ISNUMBER(MATCH(DATEVALUE($A102),'recurring1_based on steps'!K$1:K$400,0)),K$2,)</f>
        <v>0</v>
      </c>
      <c r="L102" s="179">
        <f ca="1">IF(ISNUMBER(MATCH(DATEVALUE($A102),'recurring1_based on steps'!L$1:L$400,0)),L$2,)</f>
        <v>0</v>
      </c>
      <c r="M102" s="179">
        <f ca="1">IF(ISNUMBER(MATCH(DATEVALUE($A102),'recurring1_based on steps'!M$1:M$400,0)),M$2,)</f>
        <v>0</v>
      </c>
      <c r="N102" s="179">
        <f ca="1">IF(ISNUMBER(MATCH(DATEVALUE($A102),'recurring1_based on steps'!N$1:N$400,0)),N$2,)</f>
        <v>0</v>
      </c>
      <c r="O102" s="179">
        <f ca="1">IF(ISNUMBER(MATCH(DATEVALUE($A102),'recurring1_based on steps'!O$1:O$400,0)),O$2,)</f>
        <v>0</v>
      </c>
      <c r="P102" s="179">
        <f ca="1">IF(ISNUMBER(MATCH(DATEVALUE($A102),'recurring1_based on steps'!P$1:P$400,0)),P$2,)</f>
        <v>0</v>
      </c>
      <c r="Q102" s="179">
        <f ca="1">IF(ISNUMBER(MATCH(DATEVALUE($A102),'recurring1_based on steps'!Q$1:Q$400,0)),Q$2,)</f>
        <v>0</v>
      </c>
      <c r="R102" s="179">
        <f ca="1">IF(ISNUMBER(MATCH(DATEVALUE($A102),'recurring1_based on steps'!R$1:R$400,0)),R$2,)</f>
        <v>0</v>
      </c>
      <c r="S102" s="179">
        <f ca="1">IF(ISNUMBER(MATCH(DATEVALUE($A102),'recurring1_based on steps'!S$1:S$400,0)),S$2,)</f>
        <v>0</v>
      </c>
      <c r="T102" s="179">
        <f ca="1">IF(ISNUMBER(MATCH(DATEVALUE($A102),'recurring1_based on steps'!T$1:T$400,0)),T$2,)</f>
        <v>0</v>
      </c>
      <c r="U102" s="179">
        <f ca="1">IF(ISNUMBER(MATCH(DATEVALUE($A102),'recurring1_based on steps'!U$1:U$400,0)),U$2,)</f>
        <v>0</v>
      </c>
      <c r="V102" s="179">
        <f ca="1">IF(ISNUMBER(MATCH(DATEVALUE($A102),'recurring1_based on steps'!V$1:V$400,0)),V$2,)</f>
        <v>0</v>
      </c>
      <c r="W102" s="179">
        <f ca="1">IF(ISNUMBER(MATCH(DATEVALUE($A102),'recurring1_based on steps'!W$1:W$400,0)),W$2,)</f>
        <v>0</v>
      </c>
      <c r="X102" s="179">
        <f ca="1">IF(ISNUMBER(MATCH(DATEVALUE($A102),'recurring1_based on steps'!X$1:X$400,0)),X$2,)</f>
        <v>0</v>
      </c>
      <c r="Y102" s="179">
        <f ca="1">IF(ISNUMBER(MATCH(DATEVALUE($A102),'recurring1_based on steps'!Y$1:Y$400,0)),Y$2,)</f>
        <v>0</v>
      </c>
      <c r="Z102" s="179">
        <f ca="1">IF(ISNUMBER(MATCH(DATEVALUE($A102),'recurring1_based on steps'!Z$1:Z$400,0)),Z$2,)</f>
        <v>0</v>
      </c>
      <c r="AA102" s="179">
        <f ca="1">IF(ISNUMBER(MATCH(DATEVALUE($A102),'recurring1_based on steps'!AA$1:AA$400,0)),AA$2,)</f>
        <v>0</v>
      </c>
      <c r="AB102" s="179">
        <f ca="1">IF(ISNUMBER(MATCH(DATEVALUE($A102),'recurring1_based on steps'!AB$1:AB$400,0)),AB$2,)</f>
        <v>0</v>
      </c>
      <c r="AC102" s="179">
        <f ca="1">IF(ISNUMBER(MATCH(DATEVALUE($A102),'recurring1_based on steps'!AC$1:AC$400,0)),AC$2,)</f>
        <v>0</v>
      </c>
      <c r="AD102" s="179">
        <f ca="1">IF(ISNUMBER(MATCH(DATEVALUE($A102),'recurring1_based on steps'!AD$1:AD$400,0)),AD$2,)</f>
        <v>0</v>
      </c>
      <c r="AE102" s="179">
        <f ca="1">IF(ISNUMBER(MATCH(DATEVALUE($A102),'recurring1_based on steps'!AE$1:AE$400,0)),AE$2,)</f>
        <v>0</v>
      </c>
      <c r="AF102" s="179">
        <f ca="1">IF(ISNUMBER(MATCH(DATEVALUE($A102),'recurring1_based on steps'!AF$1:AF$400,0)),AF$2,)</f>
        <v>0</v>
      </c>
      <c r="AG102" s="179">
        <f ca="1">IF(ISNUMBER(MATCH(DATEVALUE($A102),'recurring1_based on steps'!AG$1:AG$400,0)),AG$2,)</f>
        <v>0</v>
      </c>
      <c r="AH102" s="179">
        <f ca="1">IF(ISNUMBER(MATCH(DATEVALUE($A102),'recurring1_based on steps'!AH$1:AH$400,0)),AH$2,)</f>
        <v>0</v>
      </c>
      <c r="AI102" s="179">
        <f ca="1">IF(ISNUMBER(MATCH(DATEVALUE($A102),'recurring1_based on steps'!AI$1:AI$400,0)),AI$2,)</f>
        <v>0</v>
      </c>
      <c r="AJ102" s="179">
        <f ca="1">IF(ISNUMBER(MATCH(DATEVALUE($A102),'recurring1_based on steps'!AJ$1:AJ$400,0)),AJ$2,)</f>
        <v>0</v>
      </c>
      <c r="AK102" s="179">
        <f ca="1">IF(ISNUMBER(MATCH(DATEVALUE($A102),'recurring1_based on steps'!AK$1:AK$400,0)),AK$2,)</f>
        <v>0</v>
      </c>
      <c r="AL102" s="179">
        <f ca="1">IF(ISNUMBER(MATCH(DATEVALUE($A102),'recurring1_based on steps'!AL$1:AL$400,0)),AL$2,)</f>
        <v>0</v>
      </c>
      <c r="AM102" s="179">
        <f ca="1">IF(ISNUMBER(MATCH(DATEVALUE($A102),'recurring1_based on steps'!AM$1:AM$400,0)),AM$2,)</f>
        <v>0</v>
      </c>
      <c r="AN102" s="179">
        <f ca="1">IF(ISNUMBER(MATCH(DATEVALUE($A102),'recurring1_based on steps'!AN$1:AN$400,0)),AN$2,)</f>
        <v>0</v>
      </c>
      <c r="AO102" s="179">
        <f ca="1">IF(ISNUMBER(MATCH(DATEVALUE($A102),'recurring1_based on steps'!AO$1:AO$400,0)),AO$2,)</f>
        <v>0</v>
      </c>
      <c r="AP102" s="179">
        <f ca="1">IF(ISNUMBER(MATCH(DATEVALUE($A102),'recurring1_based on steps'!AP$1:AP$400,0)),AP$2,)</f>
        <v>0</v>
      </c>
      <c r="AQ102" s="179">
        <f ca="1">IF(ISNUMBER(MATCH(DATEVALUE($A102),'recurring1_based on steps'!AQ$1:AQ$400,0)),AQ$2,)</f>
        <v>0</v>
      </c>
      <c r="AR102" s="179">
        <f ca="1">IF(ISNUMBER(MATCH(DATEVALUE($A102),'recurring1_based on steps'!AR$1:AR$400,0)),AR$2,)</f>
        <v>0</v>
      </c>
      <c r="AS102" s="179">
        <f ca="1">IF(ISNUMBER(MATCH(DATEVALUE($A102),'recurring1_based on steps'!AS$1:AS$400,0)),AS$2,)</f>
        <v>0</v>
      </c>
      <c r="AT102" s="179">
        <f ca="1">IF(ISNUMBER(MATCH(DATEVALUE($A102),'recurring1_based on steps'!AT$1:AT$400,0)),AT$2,)</f>
        <v>0</v>
      </c>
      <c r="AU102" s="179">
        <f ca="1">IF(ISNUMBER(MATCH(DATEVALUE($A102),'recurring1_based on steps'!AU$1:AU$400,0)),AU$2,)</f>
        <v>0</v>
      </c>
      <c r="AV102" s="179">
        <f ca="1">IF(ISNUMBER(MATCH(DATEVALUE($A102),'recurring1_based on steps'!AV$1:AV$400,0)),AV$2,)</f>
        <v>0</v>
      </c>
      <c r="AW102" s="179">
        <f ca="1">IF(ISNUMBER(MATCH(DATEVALUE($A102),'recurring1_based on steps'!AW$1:AW$400,0)),AW$2,)</f>
        <v>0</v>
      </c>
      <c r="AX102" s="179">
        <f ca="1">IF(ISNUMBER(MATCH(DATEVALUE($A102),'recurring1_based on steps'!AX$1:AX$400,0)),AX$2,)</f>
        <v>0</v>
      </c>
      <c r="AY102" s="179">
        <f ca="1">IF(ISNUMBER(MATCH(DATEVALUE($A102),'recurring1_based on steps'!AY$1:AY$400,0)),AY$2,)</f>
        <v>0</v>
      </c>
    </row>
    <row r="103" spans="1:51" x14ac:dyDescent="0.2">
      <c r="A103" s="32" t="str">
        <f t="shared" ca="1" si="1"/>
        <v>2025-07-07</v>
      </c>
      <c r="B103" s="179">
        <f ca="1">IF(ISNUMBER(MATCH(DATEVALUE($A103),'recurring1_based on steps'!B$1:B$400,0)),B$2,)</f>
        <v>0</v>
      </c>
      <c r="C103" s="179">
        <f ca="1">IF(ISNUMBER(MATCH(DATEVALUE($A103),'recurring1_based on steps'!C$1:C$400,0)),C$2,)</f>
        <v>0</v>
      </c>
      <c r="D103" s="179">
        <f ca="1">IF(ISNUMBER(MATCH(DATEVALUE($A103),'recurring1_based on steps'!D$1:D$400,0)),D$2,)</f>
        <v>0</v>
      </c>
      <c r="E103" s="179">
        <f ca="1">IF(ISNUMBER(MATCH(DATEVALUE($A103),'recurring1_based on steps'!E$1:E$400,0)),E$2,)</f>
        <v>0</v>
      </c>
      <c r="F103" s="179">
        <f ca="1">IF(ISNUMBER(MATCH(DATEVALUE($A103),'recurring1_based on steps'!F$1:F$400,0)),F$2,)</f>
        <v>0</v>
      </c>
      <c r="G103" s="179">
        <f ca="1">IF(ISNUMBER(MATCH(DATEVALUE($A103),'recurring1_based on steps'!G$1:G$400,0)),G$2,)</f>
        <v>0</v>
      </c>
      <c r="H103" s="179">
        <f ca="1">IF(ISNUMBER(MATCH(DATEVALUE($A103),'recurring1_based on steps'!H$1:H$400,0)),H$2,)</f>
        <v>0</v>
      </c>
      <c r="I103" s="179">
        <f ca="1">IF(ISNUMBER(MATCH(DATEVALUE($A103),'recurring1_based on steps'!I$1:I$400,0)),I$2,)</f>
        <v>0</v>
      </c>
      <c r="J103" s="179">
        <f ca="1">IF(ISNUMBER(MATCH(DATEVALUE($A103),'recurring1_based on steps'!J$1:J$400,0)),J$2,)</f>
        <v>0</v>
      </c>
      <c r="K103" s="179">
        <f ca="1">IF(ISNUMBER(MATCH(DATEVALUE($A103),'recurring1_based on steps'!K$1:K$400,0)),K$2,)</f>
        <v>0</v>
      </c>
      <c r="L103" s="179">
        <f ca="1">IF(ISNUMBER(MATCH(DATEVALUE($A103),'recurring1_based on steps'!L$1:L$400,0)),L$2,)</f>
        <v>0</v>
      </c>
      <c r="M103" s="179">
        <f ca="1">IF(ISNUMBER(MATCH(DATEVALUE($A103),'recurring1_based on steps'!M$1:M$400,0)),M$2,)</f>
        <v>0</v>
      </c>
      <c r="N103" s="179">
        <f ca="1">IF(ISNUMBER(MATCH(DATEVALUE($A103),'recurring1_based on steps'!N$1:N$400,0)),N$2,)</f>
        <v>0</v>
      </c>
      <c r="O103" s="179">
        <f ca="1">IF(ISNUMBER(MATCH(DATEVALUE($A103),'recurring1_based on steps'!O$1:O$400,0)),O$2,)</f>
        <v>0</v>
      </c>
      <c r="P103" s="179">
        <f ca="1">IF(ISNUMBER(MATCH(DATEVALUE($A103),'recurring1_based on steps'!P$1:P$400,0)),P$2,)</f>
        <v>0</v>
      </c>
      <c r="Q103" s="179">
        <f ca="1">IF(ISNUMBER(MATCH(DATEVALUE($A103),'recurring1_based on steps'!Q$1:Q$400,0)),Q$2,)</f>
        <v>0</v>
      </c>
      <c r="R103" s="179">
        <f ca="1">IF(ISNUMBER(MATCH(DATEVALUE($A103),'recurring1_based on steps'!R$1:R$400,0)),R$2,)</f>
        <v>0</v>
      </c>
      <c r="S103" s="179">
        <f ca="1">IF(ISNUMBER(MATCH(DATEVALUE($A103),'recurring1_based on steps'!S$1:S$400,0)),S$2,)</f>
        <v>0</v>
      </c>
      <c r="T103" s="179">
        <f ca="1">IF(ISNUMBER(MATCH(DATEVALUE($A103),'recurring1_based on steps'!T$1:T$400,0)),T$2,)</f>
        <v>0</v>
      </c>
      <c r="U103" s="179">
        <f ca="1">IF(ISNUMBER(MATCH(DATEVALUE($A103),'recurring1_based on steps'!U$1:U$400,0)),U$2,)</f>
        <v>0</v>
      </c>
      <c r="V103" s="179">
        <f ca="1">IF(ISNUMBER(MATCH(DATEVALUE($A103),'recurring1_based on steps'!V$1:V$400,0)),V$2,)</f>
        <v>0</v>
      </c>
      <c r="W103" s="179">
        <f ca="1">IF(ISNUMBER(MATCH(DATEVALUE($A103),'recurring1_based on steps'!W$1:W$400,0)),W$2,)</f>
        <v>0</v>
      </c>
      <c r="X103" s="179">
        <f ca="1">IF(ISNUMBER(MATCH(DATEVALUE($A103),'recurring1_based on steps'!X$1:X$400,0)),X$2,)</f>
        <v>0</v>
      </c>
      <c r="Y103" s="179">
        <f ca="1">IF(ISNUMBER(MATCH(DATEVALUE($A103),'recurring1_based on steps'!Y$1:Y$400,0)),Y$2,)</f>
        <v>0</v>
      </c>
      <c r="Z103" s="179">
        <f ca="1">IF(ISNUMBER(MATCH(DATEVALUE($A103),'recurring1_based on steps'!Z$1:Z$400,0)),Z$2,)</f>
        <v>0</v>
      </c>
      <c r="AA103" s="179">
        <f ca="1">IF(ISNUMBER(MATCH(DATEVALUE($A103),'recurring1_based on steps'!AA$1:AA$400,0)),AA$2,)</f>
        <v>0</v>
      </c>
      <c r="AB103" s="179">
        <f ca="1">IF(ISNUMBER(MATCH(DATEVALUE($A103),'recurring1_based on steps'!AB$1:AB$400,0)),AB$2,)</f>
        <v>0</v>
      </c>
      <c r="AC103" s="179">
        <f ca="1">IF(ISNUMBER(MATCH(DATEVALUE($A103),'recurring1_based on steps'!AC$1:AC$400,0)),AC$2,)</f>
        <v>0</v>
      </c>
      <c r="AD103" s="179">
        <f ca="1">IF(ISNUMBER(MATCH(DATEVALUE($A103),'recurring1_based on steps'!AD$1:AD$400,0)),AD$2,)</f>
        <v>0</v>
      </c>
      <c r="AE103" s="179">
        <f ca="1">IF(ISNUMBER(MATCH(DATEVALUE($A103),'recurring1_based on steps'!AE$1:AE$400,0)),AE$2,)</f>
        <v>0</v>
      </c>
      <c r="AF103" s="179">
        <f ca="1">IF(ISNUMBER(MATCH(DATEVALUE($A103),'recurring1_based on steps'!AF$1:AF$400,0)),AF$2,)</f>
        <v>0</v>
      </c>
      <c r="AG103" s="179">
        <f ca="1">IF(ISNUMBER(MATCH(DATEVALUE($A103),'recurring1_based on steps'!AG$1:AG$400,0)),AG$2,)</f>
        <v>0</v>
      </c>
      <c r="AH103" s="179">
        <f ca="1">IF(ISNUMBER(MATCH(DATEVALUE($A103),'recurring1_based on steps'!AH$1:AH$400,0)),AH$2,)</f>
        <v>0</v>
      </c>
      <c r="AI103" s="179">
        <f ca="1">IF(ISNUMBER(MATCH(DATEVALUE($A103),'recurring1_based on steps'!AI$1:AI$400,0)),AI$2,)</f>
        <v>0</v>
      </c>
      <c r="AJ103" s="179">
        <f ca="1">IF(ISNUMBER(MATCH(DATEVALUE($A103),'recurring1_based on steps'!AJ$1:AJ$400,0)),AJ$2,)</f>
        <v>0</v>
      </c>
      <c r="AK103" s="179">
        <f ca="1">IF(ISNUMBER(MATCH(DATEVALUE($A103),'recurring1_based on steps'!AK$1:AK$400,0)),AK$2,)</f>
        <v>0</v>
      </c>
      <c r="AL103" s="179">
        <f ca="1">IF(ISNUMBER(MATCH(DATEVALUE($A103),'recurring1_based on steps'!AL$1:AL$400,0)),AL$2,)</f>
        <v>0</v>
      </c>
      <c r="AM103" s="179">
        <f ca="1">IF(ISNUMBER(MATCH(DATEVALUE($A103),'recurring1_based on steps'!AM$1:AM$400,0)),AM$2,)</f>
        <v>0</v>
      </c>
      <c r="AN103" s="179">
        <f ca="1">IF(ISNUMBER(MATCH(DATEVALUE($A103),'recurring1_based on steps'!AN$1:AN$400,0)),AN$2,)</f>
        <v>0</v>
      </c>
      <c r="AO103" s="179">
        <f ca="1">IF(ISNUMBER(MATCH(DATEVALUE($A103),'recurring1_based on steps'!AO$1:AO$400,0)),AO$2,)</f>
        <v>0</v>
      </c>
      <c r="AP103" s="179">
        <f ca="1">IF(ISNUMBER(MATCH(DATEVALUE($A103),'recurring1_based on steps'!AP$1:AP$400,0)),AP$2,)</f>
        <v>0</v>
      </c>
      <c r="AQ103" s="179">
        <f ca="1">IF(ISNUMBER(MATCH(DATEVALUE($A103),'recurring1_based on steps'!AQ$1:AQ$400,0)),AQ$2,)</f>
        <v>0</v>
      </c>
      <c r="AR103" s="179">
        <f ca="1">IF(ISNUMBER(MATCH(DATEVALUE($A103),'recurring1_based on steps'!AR$1:AR$400,0)),AR$2,)</f>
        <v>0</v>
      </c>
      <c r="AS103" s="179">
        <f ca="1">IF(ISNUMBER(MATCH(DATEVALUE($A103),'recurring1_based on steps'!AS$1:AS$400,0)),AS$2,)</f>
        <v>0</v>
      </c>
      <c r="AT103" s="179">
        <f ca="1">IF(ISNUMBER(MATCH(DATEVALUE($A103),'recurring1_based on steps'!AT$1:AT$400,0)),AT$2,)</f>
        <v>0</v>
      </c>
      <c r="AU103" s="179">
        <f ca="1">IF(ISNUMBER(MATCH(DATEVALUE($A103),'recurring1_based on steps'!AU$1:AU$400,0)),AU$2,)</f>
        <v>0</v>
      </c>
      <c r="AV103" s="179">
        <f ca="1">IF(ISNUMBER(MATCH(DATEVALUE($A103),'recurring1_based on steps'!AV$1:AV$400,0)),AV$2,)</f>
        <v>0</v>
      </c>
      <c r="AW103" s="179">
        <f ca="1">IF(ISNUMBER(MATCH(DATEVALUE($A103),'recurring1_based on steps'!AW$1:AW$400,0)),AW$2,)</f>
        <v>0</v>
      </c>
      <c r="AX103" s="179">
        <f ca="1">IF(ISNUMBER(MATCH(DATEVALUE($A103),'recurring1_based on steps'!AX$1:AX$400,0)),AX$2,)</f>
        <v>0</v>
      </c>
      <c r="AY103" s="179">
        <f ca="1">IF(ISNUMBER(MATCH(DATEVALUE($A103),'recurring1_based on steps'!AY$1:AY$400,0)),AY$2,)</f>
        <v>0</v>
      </c>
    </row>
    <row r="104" spans="1:51" x14ac:dyDescent="0.2">
      <c r="A104" s="32" t="str">
        <f t="shared" ca="1" si="1"/>
        <v>2025-07-08</v>
      </c>
      <c r="B104" s="179">
        <f ca="1">IF(ISNUMBER(MATCH(DATEVALUE($A104),'recurring1_based on steps'!B$1:B$400,0)),B$2,)</f>
        <v>0</v>
      </c>
      <c r="C104" s="179">
        <f ca="1">IF(ISNUMBER(MATCH(DATEVALUE($A104),'recurring1_based on steps'!C$1:C$400,0)),C$2,)</f>
        <v>0</v>
      </c>
      <c r="D104" s="179">
        <f ca="1">IF(ISNUMBER(MATCH(DATEVALUE($A104),'recurring1_based on steps'!D$1:D$400,0)),D$2,)</f>
        <v>0</v>
      </c>
      <c r="E104" s="179">
        <f ca="1">IF(ISNUMBER(MATCH(DATEVALUE($A104),'recurring1_based on steps'!E$1:E$400,0)),E$2,)</f>
        <v>0</v>
      </c>
      <c r="F104" s="179">
        <f ca="1">IF(ISNUMBER(MATCH(DATEVALUE($A104),'recurring1_based on steps'!F$1:F$400,0)),F$2,)</f>
        <v>0</v>
      </c>
      <c r="G104" s="179">
        <f ca="1">IF(ISNUMBER(MATCH(DATEVALUE($A104),'recurring1_based on steps'!G$1:G$400,0)),G$2,)</f>
        <v>0</v>
      </c>
      <c r="H104" s="179">
        <f ca="1">IF(ISNUMBER(MATCH(DATEVALUE($A104),'recurring1_based on steps'!H$1:H$400,0)),H$2,)</f>
        <v>0</v>
      </c>
      <c r="I104" s="179">
        <f ca="1">IF(ISNUMBER(MATCH(DATEVALUE($A104),'recurring1_based on steps'!I$1:I$400,0)),I$2,)</f>
        <v>0</v>
      </c>
      <c r="J104" s="179">
        <f ca="1">IF(ISNUMBER(MATCH(DATEVALUE($A104),'recurring1_based on steps'!J$1:J$400,0)),J$2,)</f>
        <v>0</v>
      </c>
      <c r="K104" s="179">
        <f ca="1">IF(ISNUMBER(MATCH(DATEVALUE($A104),'recurring1_based on steps'!K$1:K$400,0)),K$2,)</f>
        <v>0</v>
      </c>
      <c r="L104" s="179">
        <f ca="1">IF(ISNUMBER(MATCH(DATEVALUE($A104),'recurring1_based on steps'!L$1:L$400,0)),L$2,)</f>
        <v>0</v>
      </c>
      <c r="M104" s="179">
        <f ca="1">IF(ISNUMBER(MATCH(DATEVALUE($A104),'recurring1_based on steps'!M$1:M$400,0)),M$2,)</f>
        <v>0</v>
      </c>
      <c r="N104" s="179">
        <f ca="1">IF(ISNUMBER(MATCH(DATEVALUE($A104),'recurring1_based on steps'!N$1:N$400,0)),N$2,)</f>
        <v>0</v>
      </c>
      <c r="O104" s="179">
        <f ca="1">IF(ISNUMBER(MATCH(DATEVALUE($A104),'recurring1_based on steps'!O$1:O$400,0)),O$2,)</f>
        <v>0</v>
      </c>
      <c r="P104" s="179">
        <f ca="1">IF(ISNUMBER(MATCH(DATEVALUE($A104),'recurring1_based on steps'!P$1:P$400,0)),P$2,)</f>
        <v>0</v>
      </c>
      <c r="Q104" s="179">
        <f ca="1">IF(ISNUMBER(MATCH(DATEVALUE($A104),'recurring1_based on steps'!Q$1:Q$400,0)),Q$2,)</f>
        <v>0</v>
      </c>
      <c r="R104" s="179">
        <f ca="1">IF(ISNUMBER(MATCH(DATEVALUE($A104),'recurring1_based on steps'!R$1:R$400,0)),R$2,)</f>
        <v>0</v>
      </c>
      <c r="S104" s="179">
        <f ca="1">IF(ISNUMBER(MATCH(DATEVALUE($A104),'recurring1_based on steps'!S$1:S$400,0)),S$2,)</f>
        <v>0</v>
      </c>
      <c r="T104" s="179">
        <f ca="1">IF(ISNUMBER(MATCH(DATEVALUE($A104),'recurring1_based on steps'!T$1:T$400,0)),T$2,)</f>
        <v>0</v>
      </c>
      <c r="U104" s="179">
        <f ca="1">IF(ISNUMBER(MATCH(DATEVALUE($A104),'recurring1_based on steps'!U$1:U$400,0)),U$2,)</f>
        <v>0</v>
      </c>
      <c r="V104" s="179">
        <f ca="1">IF(ISNUMBER(MATCH(DATEVALUE($A104),'recurring1_based on steps'!V$1:V$400,0)),V$2,)</f>
        <v>0</v>
      </c>
      <c r="W104" s="179">
        <f ca="1">IF(ISNUMBER(MATCH(DATEVALUE($A104),'recurring1_based on steps'!W$1:W$400,0)),W$2,)</f>
        <v>0</v>
      </c>
      <c r="X104" s="179">
        <f ca="1">IF(ISNUMBER(MATCH(DATEVALUE($A104),'recurring1_based on steps'!X$1:X$400,0)),X$2,)</f>
        <v>0</v>
      </c>
      <c r="Y104" s="179">
        <f ca="1">IF(ISNUMBER(MATCH(DATEVALUE($A104),'recurring1_based on steps'!Y$1:Y$400,0)),Y$2,)</f>
        <v>0</v>
      </c>
      <c r="Z104" s="179">
        <f ca="1">IF(ISNUMBER(MATCH(DATEVALUE($A104),'recurring1_based on steps'!Z$1:Z$400,0)),Z$2,)</f>
        <v>0</v>
      </c>
      <c r="AA104" s="179">
        <f ca="1">IF(ISNUMBER(MATCH(DATEVALUE($A104),'recurring1_based on steps'!AA$1:AA$400,0)),AA$2,)</f>
        <v>0</v>
      </c>
      <c r="AB104" s="179">
        <f ca="1">IF(ISNUMBER(MATCH(DATEVALUE($A104),'recurring1_based on steps'!AB$1:AB$400,0)),AB$2,)</f>
        <v>0</v>
      </c>
      <c r="AC104" s="179">
        <f ca="1">IF(ISNUMBER(MATCH(DATEVALUE($A104),'recurring1_based on steps'!AC$1:AC$400,0)),AC$2,)</f>
        <v>0</v>
      </c>
      <c r="AD104" s="179">
        <f ca="1">IF(ISNUMBER(MATCH(DATEVALUE($A104),'recurring1_based on steps'!AD$1:AD$400,0)),AD$2,)</f>
        <v>0</v>
      </c>
      <c r="AE104" s="179">
        <f ca="1">IF(ISNUMBER(MATCH(DATEVALUE($A104),'recurring1_based on steps'!AE$1:AE$400,0)),AE$2,)</f>
        <v>0</v>
      </c>
      <c r="AF104" s="179">
        <f ca="1">IF(ISNUMBER(MATCH(DATEVALUE($A104),'recurring1_based on steps'!AF$1:AF$400,0)),AF$2,)</f>
        <v>0</v>
      </c>
      <c r="AG104" s="179">
        <f ca="1">IF(ISNUMBER(MATCH(DATEVALUE($A104),'recurring1_based on steps'!AG$1:AG$400,0)),AG$2,)</f>
        <v>0</v>
      </c>
      <c r="AH104" s="179">
        <f ca="1">IF(ISNUMBER(MATCH(DATEVALUE($A104),'recurring1_based on steps'!AH$1:AH$400,0)),AH$2,)</f>
        <v>0</v>
      </c>
      <c r="AI104" s="179">
        <f ca="1">IF(ISNUMBER(MATCH(DATEVALUE($A104),'recurring1_based on steps'!AI$1:AI$400,0)),AI$2,)</f>
        <v>0</v>
      </c>
      <c r="AJ104" s="179">
        <f ca="1">IF(ISNUMBER(MATCH(DATEVALUE($A104),'recurring1_based on steps'!AJ$1:AJ$400,0)),AJ$2,)</f>
        <v>0</v>
      </c>
      <c r="AK104" s="179">
        <f ca="1">IF(ISNUMBER(MATCH(DATEVALUE($A104),'recurring1_based on steps'!AK$1:AK$400,0)),AK$2,)</f>
        <v>0</v>
      </c>
      <c r="AL104" s="179">
        <f ca="1">IF(ISNUMBER(MATCH(DATEVALUE($A104),'recurring1_based on steps'!AL$1:AL$400,0)),AL$2,)</f>
        <v>0</v>
      </c>
      <c r="AM104" s="179">
        <f ca="1">IF(ISNUMBER(MATCH(DATEVALUE($A104),'recurring1_based on steps'!AM$1:AM$400,0)),AM$2,)</f>
        <v>0</v>
      </c>
      <c r="AN104" s="179">
        <f ca="1">IF(ISNUMBER(MATCH(DATEVALUE($A104),'recurring1_based on steps'!AN$1:AN$400,0)),AN$2,)</f>
        <v>0</v>
      </c>
      <c r="AO104" s="179">
        <f ca="1">IF(ISNUMBER(MATCH(DATEVALUE($A104),'recurring1_based on steps'!AO$1:AO$400,0)),AO$2,)</f>
        <v>0</v>
      </c>
      <c r="AP104" s="179">
        <f ca="1">IF(ISNUMBER(MATCH(DATEVALUE($A104),'recurring1_based on steps'!AP$1:AP$400,0)),AP$2,)</f>
        <v>0</v>
      </c>
      <c r="AQ104" s="179">
        <f ca="1">IF(ISNUMBER(MATCH(DATEVALUE($A104),'recurring1_based on steps'!AQ$1:AQ$400,0)),AQ$2,)</f>
        <v>0</v>
      </c>
      <c r="AR104" s="179">
        <f ca="1">IF(ISNUMBER(MATCH(DATEVALUE($A104),'recurring1_based on steps'!AR$1:AR$400,0)),AR$2,)</f>
        <v>0</v>
      </c>
      <c r="AS104" s="179">
        <f ca="1">IF(ISNUMBER(MATCH(DATEVALUE($A104),'recurring1_based on steps'!AS$1:AS$400,0)),AS$2,)</f>
        <v>0</v>
      </c>
      <c r="AT104" s="179">
        <f ca="1">IF(ISNUMBER(MATCH(DATEVALUE($A104),'recurring1_based on steps'!AT$1:AT$400,0)),AT$2,)</f>
        <v>0</v>
      </c>
      <c r="AU104" s="179">
        <f ca="1">IF(ISNUMBER(MATCH(DATEVALUE($A104),'recurring1_based on steps'!AU$1:AU$400,0)),AU$2,)</f>
        <v>0</v>
      </c>
      <c r="AV104" s="179">
        <f ca="1">IF(ISNUMBER(MATCH(DATEVALUE($A104),'recurring1_based on steps'!AV$1:AV$400,0)),AV$2,)</f>
        <v>0</v>
      </c>
      <c r="AW104" s="179">
        <f ca="1">IF(ISNUMBER(MATCH(DATEVALUE($A104),'recurring1_based on steps'!AW$1:AW$400,0)),AW$2,)</f>
        <v>0</v>
      </c>
      <c r="AX104" s="179">
        <f ca="1">IF(ISNUMBER(MATCH(DATEVALUE($A104),'recurring1_based on steps'!AX$1:AX$400,0)),AX$2,)</f>
        <v>0</v>
      </c>
      <c r="AY104" s="179">
        <f ca="1">IF(ISNUMBER(MATCH(DATEVALUE($A104),'recurring1_based on steps'!AY$1:AY$400,0)),AY$2,)</f>
        <v>0</v>
      </c>
    </row>
    <row r="105" spans="1:51" x14ac:dyDescent="0.2">
      <c r="A105" s="32" t="str">
        <f t="shared" ca="1" si="1"/>
        <v>2025-07-09</v>
      </c>
      <c r="B105" s="179">
        <f ca="1">IF(ISNUMBER(MATCH(DATEVALUE($A105),'recurring1_based on steps'!B$1:B$400,0)),B$2,)</f>
        <v>0</v>
      </c>
      <c r="C105" s="179">
        <f ca="1">IF(ISNUMBER(MATCH(DATEVALUE($A105),'recurring1_based on steps'!C$1:C$400,0)),C$2,)</f>
        <v>0</v>
      </c>
      <c r="D105" s="179">
        <f ca="1">IF(ISNUMBER(MATCH(DATEVALUE($A105),'recurring1_based on steps'!D$1:D$400,0)),D$2,)</f>
        <v>0</v>
      </c>
      <c r="E105" s="179">
        <f ca="1">IF(ISNUMBER(MATCH(DATEVALUE($A105),'recurring1_based on steps'!E$1:E$400,0)),E$2,)</f>
        <v>0</v>
      </c>
      <c r="F105" s="179">
        <f ca="1">IF(ISNUMBER(MATCH(DATEVALUE($A105),'recurring1_based on steps'!F$1:F$400,0)),F$2,)</f>
        <v>0</v>
      </c>
      <c r="G105" s="179">
        <f ca="1">IF(ISNUMBER(MATCH(DATEVALUE($A105),'recurring1_based on steps'!G$1:G$400,0)),G$2,)</f>
        <v>0</v>
      </c>
      <c r="H105" s="179">
        <f ca="1">IF(ISNUMBER(MATCH(DATEVALUE($A105),'recurring1_based on steps'!H$1:H$400,0)),H$2,)</f>
        <v>0</v>
      </c>
      <c r="I105" s="179">
        <f ca="1">IF(ISNUMBER(MATCH(DATEVALUE($A105),'recurring1_based on steps'!I$1:I$400,0)),I$2,)</f>
        <v>0</v>
      </c>
      <c r="J105" s="179">
        <f ca="1">IF(ISNUMBER(MATCH(DATEVALUE($A105),'recurring1_based on steps'!J$1:J$400,0)),J$2,)</f>
        <v>0</v>
      </c>
      <c r="K105" s="179">
        <f ca="1">IF(ISNUMBER(MATCH(DATEVALUE($A105),'recurring1_based on steps'!K$1:K$400,0)),K$2,)</f>
        <v>0</v>
      </c>
      <c r="L105" s="179">
        <f ca="1">IF(ISNUMBER(MATCH(DATEVALUE($A105),'recurring1_based on steps'!L$1:L$400,0)),L$2,)</f>
        <v>0</v>
      </c>
      <c r="M105" s="179">
        <f ca="1">IF(ISNUMBER(MATCH(DATEVALUE($A105),'recurring1_based on steps'!M$1:M$400,0)),M$2,)</f>
        <v>0</v>
      </c>
      <c r="N105" s="179">
        <f ca="1">IF(ISNUMBER(MATCH(DATEVALUE($A105),'recurring1_based on steps'!N$1:N$400,0)),N$2,)</f>
        <v>0</v>
      </c>
      <c r="O105" s="179">
        <f ca="1">IF(ISNUMBER(MATCH(DATEVALUE($A105),'recurring1_based on steps'!O$1:O$400,0)),O$2,)</f>
        <v>0</v>
      </c>
      <c r="P105" s="179">
        <f ca="1">IF(ISNUMBER(MATCH(DATEVALUE($A105),'recurring1_based on steps'!P$1:P$400,0)),P$2,)</f>
        <v>0</v>
      </c>
      <c r="Q105" s="179">
        <f ca="1">IF(ISNUMBER(MATCH(DATEVALUE($A105),'recurring1_based on steps'!Q$1:Q$400,0)),Q$2,)</f>
        <v>0</v>
      </c>
      <c r="R105" s="179">
        <f ca="1">IF(ISNUMBER(MATCH(DATEVALUE($A105),'recurring1_based on steps'!R$1:R$400,0)),R$2,)</f>
        <v>0</v>
      </c>
      <c r="S105" s="179">
        <f ca="1">IF(ISNUMBER(MATCH(DATEVALUE($A105),'recurring1_based on steps'!S$1:S$400,0)),S$2,)</f>
        <v>0</v>
      </c>
      <c r="T105" s="179">
        <f ca="1">IF(ISNUMBER(MATCH(DATEVALUE($A105),'recurring1_based on steps'!T$1:T$400,0)),T$2,)</f>
        <v>0</v>
      </c>
      <c r="U105" s="179">
        <f ca="1">IF(ISNUMBER(MATCH(DATEVALUE($A105),'recurring1_based on steps'!U$1:U$400,0)),U$2,)</f>
        <v>0</v>
      </c>
      <c r="V105" s="179">
        <f ca="1">IF(ISNUMBER(MATCH(DATEVALUE($A105),'recurring1_based on steps'!V$1:V$400,0)),V$2,)</f>
        <v>0</v>
      </c>
      <c r="W105" s="179">
        <f ca="1">IF(ISNUMBER(MATCH(DATEVALUE($A105),'recurring1_based on steps'!W$1:W$400,0)),W$2,)</f>
        <v>0</v>
      </c>
      <c r="X105" s="179">
        <f ca="1">IF(ISNUMBER(MATCH(DATEVALUE($A105),'recurring1_based on steps'!X$1:X$400,0)),X$2,)</f>
        <v>0</v>
      </c>
      <c r="Y105" s="179">
        <f ca="1">IF(ISNUMBER(MATCH(DATEVALUE($A105),'recurring1_based on steps'!Y$1:Y$400,0)),Y$2,)</f>
        <v>0</v>
      </c>
      <c r="Z105" s="179">
        <f ca="1">IF(ISNUMBER(MATCH(DATEVALUE($A105),'recurring1_based on steps'!Z$1:Z$400,0)),Z$2,)</f>
        <v>0</v>
      </c>
      <c r="AA105" s="179">
        <f ca="1">IF(ISNUMBER(MATCH(DATEVALUE($A105),'recurring1_based on steps'!AA$1:AA$400,0)),AA$2,)</f>
        <v>0</v>
      </c>
      <c r="AB105" s="179">
        <f ca="1">IF(ISNUMBER(MATCH(DATEVALUE($A105),'recurring1_based on steps'!AB$1:AB$400,0)),AB$2,)</f>
        <v>0</v>
      </c>
      <c r="AC105" s="179">
        <f ca="1">IF(ISNUMBER(MATCH(DATEVALUE($A105),'recurring1_based on steps'!AC$1:AC$400,0)),AC$2,)</f>
        <v>0</v>
      </c>
      <c r="AD105" s="179">
        <f ca="1">IF(ISNUMBER(MATCH(DATEVALUE($A105),'recurring1_based on steps'!AD$1:AD$400,0)),AD$2,)</f>
        <v>0</v>
      </c>
      <c r="AE105" s="179">
        <f ca="1">IF(ISNUMBER(MATCH(DATEVALUE($A105),'recurring1_based on steps'!AE$1:AE$400,0)),AE$2,)</f>
        <v>0</v>
      </c>
      <c r="AF105" s="179">
        <f ca="1">IF(ISNUMBER(MATCH(DATEVALUE($A105),'recurring1_based on steps'!AF$1:AF$400,0)),AF$2,)</f>
        <v>0</v>
      </c>
      <c r="AG105" s="179">
        <f ca="1">IF(ISNUMBER(MATCH(DATEVALUE($A105),'recurring1_based on steps'!AG$1:AG$400,0)),AG$2,)</f>
        <v>0</v>
      </c>
      <c r="AH105" s="179">
        <f ca="1">IF(ISNUMBER(MATCH(DATEVALUE($A105),'recurring1_based on steps'!AH$1:AH$400,0)),AH$2,)</f>
        <v>0</v>
      </c>
      <c r="AI105" s="179">
        <f ca="1">IF(ISNUMBER(MATCH(DATEVALUE($A105),'recurring1_based on steps'!AI$1:AI$400,0)),AI$2,)</f>
        <v>0</v>
      </c>
      <c r="AJ105" s="179">
        <f ca="1">IF(ISNUMBER(MATCH(DATEVALUE($A105),'recurring1_based on steps'!AJ$1:AJ$400,0)),AJ$2,)</f>
        <v>0</v>
      </c>
      <c r="AK105" s="179">
        <f ca="1">IF(ISNUMBER(MATCH(DATEVALUE($A105),'recurring1_based on steps'!AK$1:AK$400,0)),AK$2,)</f>
        <v>0</v>
      </c>
      <c r="AL105" s="179">
        <f ca="1">IF(ISNUMBER(MATCH(DATEVALUE($A105),'recurring1_based on steps'!AL$1:AL$400,0)),AL$2,)</f>
        <v>0</v>
      </c>
      <c r="AM105" s="179">
        <f ca="1">IF(ISNUMBER(MATCH(DATEVALUE($A105),'recurring1_based on steps'!AM$1:AM$400,0)),AM$2,)</f>
        <v>0</v>
      </c>
      <c r="AN105" s="179">
        <f ca="1">IF(ISNUMBER(MATCH(DATEVALUE($A105),'recurring1_based on steps'!AN$1:AN$400,0)),AN$2,)</f>
        <v>0</v>
      </c>
      <c r="AO105" s="179">
        <f ca="1">IF(ISNUMBER(MATCH(DATEVALUE($A105),'recurring1_based on steps'!AO$1:AO$400,0)),AO$2,)</f>
        <v>0</v>
      </c>
      <c r="AP105" s="179">
        <f ca="1">IF(ISNUMBER(MATCH(DATEVALUE($A105),'recurring1_based on steps'!AP$1:AP$400,0)),AP$2,)</f>
        <v>0</v>
      </c>
      <c r="AQ105" s="179">
        <f ca="1">IF(ISNUMBER(MATCH(DATEVALUE($A105),'recurring1_based on steps'!AQ$1:AQ$400,0)),AQ$2,)</f>
        <v>0</v>
      </c>
      <c r="AR105" s="179">
        <f ca="1">IF(ISNUMBER(MATCH(DATEVALUE($A105),'recurring1_based on steps'!AR$1:AR$400,0)),AR$2,)</f>
        <v>0</v>
      </c>
      <c r="AS105" s="179">
        <f ca="1">IF(ISNUMBER(MATCH(DATEVALUE($A105),'recurring1_based on steps'!AS$1:AS$400,0)),AS$2,)</f>
        <v>0</v>
      </c>
      <c r="AT105" s="179">
        <f ca="1">IF(ISNUMBER(MATCH(DATEVALUE($A105),'recurring1_based on steps'!AT$1:AT$400,0)),AT$2,)</f>
        <v>0</v>
      </c>
      <c r="AU105" s="179">
        <f ca="1">IF(ISNUMBER(MATCH(DATEVALUE($A105),'recurring1_based on steps'!AU$1:AU$400,0)),AU$2,)</f>
        <v>0</v>
      </c>
      <c r="AV105" s="179">
        <f ca="1">IF(ISNUMBER(MATCH(DATEVALUE($A105),'recurring1_based on steps'!AV$1:AV$400,0)),AV$2,)</f>
        <v>0</v>
      </c>
      <c r="AW105" s="179">
        <f ca="1">IF(ISNUMBER(MATCH(DATEVALUE($A105),'recurring1_based on steps'!AW$1:AW$400,0)),AW$2,)</f>
        <v>0</v>
      </c>
      <c r="AX105" s="179">
        <f ca="1">IF(ISNUMBER(MATCH(DATEVALUE($A105),'recurring1_based on steps'!AX$1:AX$400,0)),AX$2,)</f>
        <v>0</v>
      </c>
      <c r="AY105" s="179">
        <f ca="1">IF(ISNUMBER(MATCH(DATEVALUE($A105),'recurring1_based on steps'!AY$1:AY$400,0)),AY$2,)</f>
        <v>0</v>
      </c>
    </row>
    <row r="106" spans="1:51" x14ac:dyDescent="0.2">
      <c r="A106" s="32" t="str">
        <f t="shared" ca="1" si="1"/>
        <v>2025-07-10</v>
      </c>
      <c r="B106" s="179">
        <f ca="1">IF(ISNUMBER(MATCH(DATEVALUE($A106),'recurring1_based on steps'!B$1:B$400,0)),B$2,)</f>
        <v>0</v>
      </c>
      <c r="C106" s="179">
        <f ca="1">IF(ISNUMBER(MATCH(DATEVALUE($A106),'recurring1_based on steps'!C$1:C$400,0)),C$2,)</f>
        <v>0</v>
      </c>
      <c r="D106" s="179">
        <f ca="1">IF(ISNUMBER(MATCH(DATEVALUE($A106),'recurring1_based on steps'!D$1:D$400,0)),D$2,)</f>
        <v>0</v>
      </c>
      <c r="E106" s="179">
        <f ca="1">IF(ISNUMBER(MATCH(DATEVALUE($A106),'recurring1_based on steps'!E$1:E$400,0)),E$2,)</f>
        <v>0</v>
      </c>
      <c r="F106" s="179">
        <f ca="1">IF(ISNUMBER(MATCH(DATEVALUE($A106),'recurring1_based on steps'!F$1:F$400,0)),F$2,)</f>
        <v>0</v>
      </c>
      <c r="G106" s="179">
        <f ca="1">IF(ISNUMBER(MATCH(DATEVALUE($A106),'recurring1_based on steps'!G$1:G$400,0)),G$2,)</f>
        <v>0</v>
      </c>
      <c r="H106" s="179">
        <f ca="1">IF(ISNUMBER(MATCH(DATEVALUE($A106),'recurring1_based on steps'!H$1:H$400,0)),H$2,)</f>
        <v>0</v>
      </c>
      <c r="I106" s="179">
        <f ca="1">IF(ISNUMBER(MATCH(DATEVALUE($A106),'recurring1_based on steps'!I$1:I$400,0)),I$2,)</f>
        <v>0</v>
      </c>
      <c r="J106" s="179">
        <f ca="1">IF(ISNUMBER(MATCH(DATEVALUE($A106),'recurring1_based on steps'!J$1:J$400,0)),J$2,)</f>
        <v>0</v>
      </c>
      <c r="K106" s="179">
        <f ca="1">IF(ISNUMBER(MATCH(DATEVALUE($A106),'recurring1_based on steps'!K$1:K$400,0)),K$2,)</f>
        <v>0</v>
      </c>
      <c r="L106" s="179">
        <f ca="1">IF(ISNUMBER(MATCH(DATEVALUE($A106),'recurring1_based on steps'!L$1:L$400,0)),L$2,)</f>
        <v>0</v>
      </c>
      <c r="M106" s="179">
        <f ca="1">IF(ISNUMBER(MATCH(DATEVALUE($A106),'recurring1_based on steps'!M$1:M$400,0)),M$2,)</f>
        <v>0</v>
      </c>
      <c r="N106" s="179">
        <f ca="1">IF(ISNUMBER(MATCH(DATEVALUE($A106),'recurring1_based on steps'!N$1:N$400,0)),N$2,)</f>
        <v>0</v>
      </c>
      <c r="O106" s="179">
        <f ca="1">IF(ISNUMBER(MATCH(DATEVALUE($A106),'recurring1_based on steps'!O$1:O$400,0)),O$2,)</f>
        <v>0</v>
      </c>
      <c r="P106" s="179">
        <f ca="1">IF(ISNUMBER(MATCH(DATEVALUE($A106),'recurring1_based on steps'!P$1:P$400,0)),P$2,)</f>
        <v>0</v>
      </c>
      <c r="Q106" s="179">
        <f ca="1">IF(ISNUMBER(MATCH(DATEVALUE($A106),'recurring1_based on steps'!Q$1:Q$400,0)),Q$2,)</f>
        <v>0</v>
      </c>
      <c r="R106" s="179">
        <f ca="1">IF(ISNUMBER(MATCH(DATEVALUE($A106),'recurring1_based on steps'!R$1:R$400,0)),R$2,)</f>
        <v>0</v>
      </c>
      <c r="S106" s="179">
        <f ca="1">IF(ISNUMBER(MATCH(DATEVALUE($A106),'recurring1_based on steps'!S$1:S$400,0)),S$2,)</f>
        <v>0</v>
      </c>
      <c r="T106" s="179">
        <f ca="1">IF(ISNUMBER(MATCH(DATEVALUE($A106),'recurring1_based on steps'!T$1:T$400,0)),T$2,)</f>
        <v>0</v>
      </c>
      <c r="U106" s="179">
        <f ca="1">IF(ISNUMBER(MATCH(DATEVALUE($A106),'recurring1_based on steps'!U$1:U$400,0)),U$2,)</f>
        <v>0</v>
      </c>
      <c r="V106" s="179">
        <f ca="1">IF(ISNUMBER(MATCH(DATEVALUE($A106),'recurring1_based on steps'!V$1:V$400,0)),V$2,)</f>
        <v>0</v>
      </c>
      <c r="W106" s="179">
        <f ca="1">IF(ISNUMBER(MATCH(DATEVALUE($A106),'recurring1_based on steps'!W$1:W$400,0)),W$2,)</f>
        <v>0</v>
      </c>
      <c r="X106" s="179">
        <f ca="1">IF(ISNUMBER(MATCH(DATEVALUE($A106),'recurring1_based on steps'!X$1:X$400,0)),X$2,)</f>
        <v>0</v>
      </c>
      <c r="Y106" s="179">
        <f ca="1">IF(ISNUMBER(MATCH(DATEVALUE($A106),'recurring1_based on steps'!Y$1:Y$400,0)),Y$2,)</f>
        <v>0</v>
      </c>
      <c r="Z106" s="179">
        <f ca="1">IF(ISNUMBER(MATCH(DATEVALUE($A106),'recurring1_based on steps'!Z$1:Z$400,0)),Z$2,)</f>
        <v>0</v>
      </c>
      <c r="AA106" s="179">
        <f ca="1">IF(ISNUMBER(MATCH(DATEVALUE($A106),'recurring1_based on steps'!AA$1:AA$400,0)),AA$2,)</f>
        <v>0</v>
      </c>
      <c r="AB106" s="179">
        <f ca="1">IF(ISNUMBER(MATCH(DATEVALUE($A106),'recurring1_based on steps'!AB$1:AB$400,0)),AB$2,)</f>
        <v>0</v>
      </c>
      <c r="AC106" s="179">
        <f ca="1">IF(ISNUMBER(MATCH(DATEVALUE($A106),'recurring1_based on steps'!AC$1:AC$400,0)),AC$2,)</f>
        <v>0</v>
      </c>
      <c r="AD106" s="179">
        <f ca="1">IF(ISNUMBER(MATCH(DATEVALUE($A106),'recurring1_based on steps'!AD$1:AD$400,0)),AD$2,)</f>
        <v>0</v>
      </c>
      <c r="AE106" s="179">
        <f ca="1">IF(ISNUMBER(MATCH(DATEVALUE($A106),'recurring1_based on steps'!AE$1:AE$400,0)),AE$2,)</f>
        <v>0</v>
      </c>
      <c r="AF106" s="179">
        <f ca="1">IF(ISNUMBER(MATCH(DATEVALUE($A106),'recurring1_based on steps'!AF$1:AF$400,0)),AF$2,)</f>
        <v>0</v>
      </c>
      <c r="AG106" s="179">
        <f ca="1">IF(ISNUMBER(MATCH(DATEVALUE($A106),'recurring1_based on steps'!AG$1:AG$400,0)),AG$2,)</f>
        <v>0</v>
      </c>
      <c r="AH106" s="179">
        <f ca="1">IF(ISNUMBER(MATCH(DATEVALUE($A106),'recurring1_based on steps'!AH$1:AH$400,0)),AH$2,)</f>
        <v>0</v>
      </c>
      <c r="AI106" s="179">
        <f ca="1">IF(ISNUMBER(MATCH(DATEVALUE($A106),'recurring1_based on steps'!AI$1:AI$400,0)),AI$2,)</f>
        <v>0</v>
      </c>
      <c r="AJ106" s="179">
        <f ca="1">IF(ISNUMBER(MATCH(DATEVALUE($A106),'recurring1_based on steps'!AJ$1:AJ$400,0)),AJ$2,)</f>
        <v>0</v>
      </c>
      <c r="AK106" s="179">
        <f ca="1">IF(ISNUMBER(MATCH(DATEVALUE($A106),'recurring1_based on steps'!AK$1:AK$400,0)),AK$2,)</f>
        <v>0</v>
      </c>
      <c r="AL106" s="179">
        <f ca="1">IF(ISNUMBER(MATCH(DATEVALUE($A106),'recurring1_based on steps'!AL$1:AL$400,0)),AL$2,)</f>
        <v>0</v>
      </c>
      <c r="AM106" s="179">
        <f ca="1">IF(ISNUMBER(MATCH(DATEVALUE($A106),'recurring1_based on steps'!AM$1:AM$400,0)),AM$2,)</f>
        <v>0</v>
      </c>
      <c r="AN106" s="179">
        <f ca="1">IF(ISNUMBER(MATCH(DATEVALUE($A106),'recurring1_based on steps'!AN$1:AN$400,0)),AN$2,)</f>
        <v>0</v>
      </c>
      <c r="AO106" s="179">
        <f ca="1">IF(ISNUMBER(MATCH(DATEVALUE($A106),'recurring1_based on steps'!AO$1:AO$400,0)),AO$2,)</f>
        <v>0</v>
      </c>
      <c r="AP106" s="179">
        <f ca="1">IF(ISNUMBER(MATCH(DATEVALUE($A106),'recurring1_based on steps'!AP$1:AP$400,0)),AP$2,)</f>
        <v>0</v>
      </c>
      <c r="AQ106" s="179">
        <f ca="1">IF(ISNUMBER(MATCH(DATEVALUE($A106),'recurring1_based on steps'!AQ$1:AQ$400,0)),AQ$2,)</f>
        <v>0</v>
      </c>
      <c r="AR106" s="179">
        <f ca="1">IF(ISNUMBER(MATCH(DATEVALUE($A106),'recurring1_based on steps'!AR$1:AR$400,0)),AR$2,)</f>
        <v>0</v>
      </c>
      <c r="AS106" s="179">
        <f ca="1">IF(ISNUMBER(MATCH(DATEVALUE($A106),'recurring1_based on steps'!AS$1:AS$400,0)),AS$2,)</f>
        <v>0</v>
      </c>
      <c r="AT106" s="179">
        <f ca="1">IF(ISNUMBER(MATCH(DATEVALUE($A106),'recurring1_based on steps'!AT$1:AT$400,0)),AT$2,)</f>
        <v>0</v>
      </c>
      <c r="AU106" s="179">
        <f ca="1">IF(ISNUMBER(MATCH(DATEVALUE($A106),'recurring1_based on steps'!AU$1:AU$400,0)),AU$2,)</f>
        <v>0</v>
      </c>
      <c r="AV106" s="179">
        <f ca="1">IF(ISNUMBER(MATCH(DATEVALUE($A106),'recurring1_based on steps'!AV$1:AV$400,0)),AV$2,)</f>
        <v>0</v>
      </c>
      <c r="AW106" s="179">
        <f ca="1">IF(ISNUMBER(MATCH(DATEVALUE($A106),'recurring1_based on steps'!AW$1:AW$400,0)),AW$2,)</f>
        <v>0</v>
      </c>
      <c r="AX106" s="179">
        <f ca="1">IF(ISNUMBER(MATCH(DATEVALUE($A106),'recurring1_based on steps'!AX$1:AX$400,0)),AX$2,)</f>
        <v>0</v>
      </c>
      <c r="AY106" s="179">
        <f ca="1">IF(ISNUMBER(MATCH(DATEVALUE($A106),'recurring1_based on steps'!AY$1:AY$400,0)),AY$2,)</f>
        <v>0</v>
      </c>
    </row>
    <row r="107" spans="1:51" x14ac:dyDescent="0.2">
      <c r="A107" s="32" t="str">
        <f t="shared" ca="1" si="1"/>
        <v>2025-07-11</v>
      </c>
      <c r="B107" s="179">
        <f ca="1">IF(ISNUMBER(MATCH(DATEVALUE($A107),'recurring1_based on steps'!B$1:B$400,0)),B$2,)</f>
        <v>0</v>
      </c>
      <c r="C107" s="179">
        <f ca="1">IF(ISNUMBER(MATCH(DATEVALUE($A107),'recurring1_based on steps'!C$1:C$400,0)),C$2,)</f>
        <v>0</v>
      </c>
      <c r="D107" s="179">
        <f ca="1">IF(ISNUMBER(MATCH(DATEVALUE($A107),'recurring1_based on steps'!D$1:D$400,0)),D$2,)</f>
        <v>0</v>
      </c>
      <c r="E107" s="179">
        <f ca="1">IF(ISNUMBER(MATCH(DATEVALUE($A107),'recurring1_based on steps'!E$1:E$400,0)),E$2,)</f>
        <v>0</v>
      </c>
      <c r="F107" s="179">
        <f ca="1">IF(ISNUMBER(MATCH(DATEVALUE($A107),'recurring1_based on steps'!F$1:F$400,0)),F$2,)</f>
        <v>0</v>
      </c>
      <c r="G107" s="179">
        <f ca="1">IF(ISNUMBER(MATCH(DATEVALUE($A107),'recurring1_based on steps'!G$1:G$400,0)),G$2,)</f>
        <v>0</v>
      </c>
      <c r="H107" s="179">
        <f ca="1">IF(ISNUMBER(MATCH(DATEVALUE($A107),'recurring1_based on steps'!H$1:H$400,0)),H$2,)</f>
        <v>0</v>
      </c>
      <c r="I107" s="179">
        <f ca="1">IF(ISNUMBER(MATCH(DATEVALUE($A107),'recurring1_based on steps'!I$1:I$400,0)),I$2,)</f>
        <v>0</v>
      </c>
      <c r="J107" s="179">
        <f ca="1">IF(ISNUMBER(MATCH(DATEVALUE($A107),'recurring1_based on steps'!J$1:J$400,0)),J$2,)</f>
        <v>0</v>
      </c>
      <c r="K107" s="179">
        <f ca="1">IF(ISNUMBER(MATCH(DATEVALUE($A107),'recurring1_based on steps'!K$1:K$400,0)),K$2,)</f>
        <v>0</v>
      </c>
      <c r="L107" s="179">
        <f ca="1">IF(ISNUMBER(MATCH(DATEVALUE($A107),'recurring1_based on steps'!L$1:L$400,0)),L$2,)</f>
        <v>0</v>
      </c>
      <c r="M107" s="179">
        <f ca="1">IF(ISNUMBER(MATCH(DATEVALUE($A107),'recurring1_based on steps'!M$1:M$400,0)),M$2,)</f>
        <v>0</v>
      </c>
      <c r="N107" s="179">
        <f ca="1">IF(ISNUMBER(MATCH(DATEVALUE($A107),'recurring1_based on steps'!N$1:N$400,0)),N$2,)</f>
        <v>0</v>
      </c>
      <c r="O107" s="179">
        <f ca="1">IF(ISNUMBER(MATCH(DATEVALUE($A107),'recurring1_based on steps'!O$1:O$400,0)),O$2,)</f>
        <v>0</v>
      </c>
      <c r="P107" s="179">
        <f ca="1">IF(ISNUMBER(MATCH(DATEVALUE($A107),'recurring1_based on steps'!P$1:P$400,0)),P$2,)</f>
        <v>0</v>
      </c>
      <c r="Q107" s="179">
        <f ca="1">IF(ISNUMBER(MATCH(DATEVALUE($A107),'recurring1_based on steps'!Q$1:Q$400,0)),Q$2,)</f>
        <v>0</v>
      </c>
      <c r="R107" s="179">
        <f ca="1">IF(ISNUMBER(MATCH(DATEVALUE($A107),'recurring1_based on steps'!R$1:R$400,0)),R$2,)</f>
        <v>0</v>
      </c>
      <c r="S107" s="179">
        <f ca="1">IF(ISNUMBER(MATCH(DATEVALUE($A107),'recurring1_based on steps'!S$1:S$400,0)),S$2,)</f>
        <v>0</v>
      </c>
      <c r="T107" s="179">
        <f ca="1">IF(ISNUMBER(MATCH(DATEVALUE($A107),'recurring1_based on steps'!T$1:T$400,0)),T$2,)</f>
        <v>0</v>
      </c>
      <c r="U107" s="179">
        <f ca="1">IF(ISNUMBER(MATCH(DATEVALUE($A107),'recurring1_based on steps'!U$1:U$400,0)),U$2,)</f>
        <v>0</v>
      </c>
      <c r="V107" s="179">
        <f ca="1">IF(ISNUMBER(MATCH(DATEVALUE($A107),'recurring1_based on steps'!V$1:V$400,0)),V$2,)</f>
        <v>0</v>
      </c>
      <c r="W107" s="179">
        <f ca="1">IF(ISNUMBER(MATCH(DATEVALUE($A107),'recurring1_based on steps'!W$1:W$400,0)),W$2,)</f>
        <v>0</v>
      </c>
      <c r="X107" s="179">
        <f ca="1">IF(ISNUMBER(MATCH(DATEVALUE($A107),'recurring1_based on steps'!X$1:X$400,0)),X$2,)</f>
        <v>0</v>
      </c>
      <c r="Y107" s="179">
        <f ca="1">IF(ISNUMBER(MATCH(DATEVALUE($A107),'recurring1_based on steps'!Y$1:Y$400,0)),Y$2,)</f>
        <v>0</v>
      </c>
      <c r="Z107" s="179">
        <f ca="1">IF(ISNUMBER(MATCH(DATEVALUE($A107),'recurring1_based on steps'!Z$1:Z$400,0)),Z$2,)</f>
        <v>0</v>
      </c>
      <c r="AA107" s="179">
        <f ca="1">IF(ISNUMBER(MATCH(DATEVALUE($A107),'recurring1_based on steps'!AA$1:AA$400,0)),AA$2,)</f>
        <v>0</v>
      </c>
      <c r="AB107" s="179">
        <f ca="1">IF(ISNUMBER(MATCH(DATEVALUE($A107),'recurring1_based on steps'!AB$1:AB$400,0)),AB$2,)</f>
        <v>0</v>
      </c>
      <c r="AC107" s="179">
        <f ca="1">IF(ISNUMBER(MATCH(DATEVALUE($A107),'recurring1_based on steps'!AC$1:AC$400,0)),AC$2,)</f>
        <v>0</v>
      </c>
      <c r="AD107" s="179">
        <f ca="1">IF(ISNUMBER(MATCH(DATEVALUE($A107),'recurring1_based on steps'!AD$1:AD$400,0)),AD$2,)</f>
        <v>0</v>
      </c>
      <c r="AE107" s="179">
        <f ca="1">IF(ISNUMBER(MATCH(DATEVALUE($A107),'recurring1_based on steps'!AE$1:AE$400,0)),AE$2,)</f>
        <v>0</v>
      </c>
      <c r="AF107" s="179">
        <f ca="1">IF(ISNUMBER(MATCH(DATEVALUE($A107),'recurring1_based on steps'!AF$1:AF$400,0)),AF$2,)</f>
        <v>0</v>
      </c>
      <c r="AG107" s="179">
        <f ca="1">IF(ISNUMBER(MATCH(DATEVALUE($A107),'recurring1_based on steps'!AG$1:AG$400,0)),AG$2,)</f>
        <v>0</v>
      </c>
      <c r="AH107" s="179">
        <f ca="1">IF(ISNUMBER(MATCH(DATEVALUE($A107),'recurring1_based on steps'!AH$1:AH$400,0)),AH$2,)</f>
        <v>0</v>
      </c>
      <c r="AI107" s="179">
        <f ca="1">IF(ISNUMBER(MATCH(DATEVALUE($A107),'recurring1_based on steps'!AI$1:AI$400,0)),AI$2,)</f>
        <v>0</v>
      </c>
      <c r="AJ107" s="179">
        <f ca="1">IF(ISNUMBER(MATCH(DATEVALUE($A107),'recurring1_based on steps'!AJ$1:AJ$400,0)),AJ$2,)</f>
        <v>0</v>
      </c>
      <c r="AK107" s="179">
        <f ca="1">IF(ISNUMBER(MATCH(DATEVALUE($A107),'recurring1_based on steps'!AK$1:AK$400,0)),AK$2,)</f>
        <v>0</v>
      </c>
      <c r="AL107" s="179">
        <f ca="1">IF(ISNUMBER(MATCH(DATEVALUE($A107),'recurring1_based on steps'!AL$1:AL$400,0)),AL$2,)</f>
        <v>0</v>
      </c>
      <c r="AM107" s="179">
        <f ca="1">IF(ISNUMBER(MATCH(DATEVALUE($A107),'recurring1_based on steps'!AM$1:AM$400,0)),AM$2,)</f>
        <v>0</v>
      </c>
      <c r="AN107" s="179">
        <f ca="1">IF(ISNUMBER(MATCH(DATEVALUE($A107),'recurring1_based on steps'!AN$1:AN$400,0)),AN$2,)</f>
        <v>0</v>
      </c>
      <c r="AO107" s="179">
        <f ca="1">IF(ISNUMBER(MATCH(DATEVALUE($A107),'recurring1_based on steps'!AO$1:AO$400,0)),AO$2,)</f>
        <v>0</v>
      </c>
      <c r="AP107" s="179">
        <f ca="1">IF(ISNUMBER(MATCH(DATEVALUE($A107),'recurring1_based on steps'!AP$1:AP$400,0)),AP$2,)</f>
        <v>0</v>
      </c>
      <c r="AQ107" s="179">
        <f ca="1">IF(ISNUMBER(MATCH(DATEVALUE($A107),'recurring1_based on steps'!AQ$1:AQ$400,0)),AQ$2,)</f>
        <v>0</v>
      </c>
      <c r="AR107" s="179">
        <f ca="1">IF(ISNUMBER(MATCH(DATEVALUE($A107),'recurring1_based on steps'!AR$1:AR$400,0)),AR$2,)</f>
        <v>0</v>
      </c>
      <c r="AS107" s="179">
        <f ca="1">IF(ISNUMBER(MATCH(DATEVALUE($A107),'recurring1_based on steps'!AS$1:AS$400,0)),AS$2,)</f>
        <v>0</v>
      </c>
      <c r="AT107" s="179">
        <f ca="1">IF(ISNUMBER(MATCH(DATEVALUE($A107),'recurring1_based on steps'!AT$1:AT$400,0)),AT$2,)</f>
        <v>0</v>
      </c>
      <c r="AU107" s="179">
        <f ca="1">IF(ISNUMBER(MATCH(DATEVALUE($A107),'recurring1_based on steps'!AU$1:AU$400,0)),AU$2,)</f>
        <v>0</v>
      </c>
      <c r="AV107" s="179">
        <f ca="1">IF(ISNUMBER(MATCH(DATEVALUE($A107),'recurring1_based on steps'!AV$1:AV$400,0)),AV$2,)</f>
        <v>0</v>
      </c>
      <c r="AW107" s="179">
        <f ca="1">IF(ISNUMBER(MATCH(DATEVALUE($A107),'recurring1_based on steps'!AW$1:AW$400,0)),AW$2,)</f>
        <v>0</v>
      </c>
      <c r="AX107" s="179">
        <f ca="1">IF(ISNUMBER(MATCH(DATEVALUE($A107),'recurring1_based on steps'!AX$1:AX$400,0)),AX$2,)</f>
        <v>0</v>
      </c>
      <c r="AY107" s="179">
        <f ca="1">IF(ISNUMBER(MATCH(DATEVALUE($A107),'recurring1_based on steps'!AY$1:AY$400,0)),AY$2,)</f>
        <v>0</v>
      </c>
    </row>
    <row r="108" spans="1:51" x14ac:dyDescent="0.2">
      <c r="A108" s="32" t="str">
        <f t="shared" ca="1" si="1"/>
        <v>2025-07-12</v>
      </c>
      <c r="B108" s="179">
        <f ca="1">IF(ISNUMBER(MATCH(DATEVALUE($A108),'recurring1_based on steps'!B$1:B$400,0)),B$2,)</f>
        <v>0</v>
      </c>
      <c r="C108" s="179">
        <f ca="1">IF(ISNUMBER(MATCH(DATEVALUE($A108),'recurring1_based on steps'!C$1:C$400,0)),C$2,)</f>
        <v>0</v>
      </c>
      <c r="D108" s="179">
        <f ca="1">IF(ISNUMBER(MATCH(DATEVALUE($A108),'recurring1_based on steps'!D$1:D$400,0)),D$2,)</f>
        <v>0</v>
      </c>
      <c r="E108" s="179">
        <f ca="1">IF(ISNUMBER(MATCH(DATEVALUE($A108),'recurring1_based on steps'!E$1:E$400,0)),E$2,)</f>
        <v>0</v>
      </c>
      <c r="F108" s="179">
        <f ca="1">IF(ISNUMBER(MATCH(DATEVALUE($A108),'recurring1_based on steps'!F$1:F$400,0)),F$2,)</f>
        <v>0</v>
      </c>
      <c r="G108" s="179">
        <f ca="1">IF(ISNUMBER(MATCH(DATEVALUE($A108),'recurring1_based on steps'!G$1:G$400,0)),G$2,)</f>
        <v>0</v>
      </c>
      <c r="H108" s="179">
        <f ca="1">IF(ISNUMBER(MATCH(DATEVALUE($A108),'recurring1_based on steps'!H$1:H$400,0)),H$2,)</f>
        <v>0</v>
      </c>
      <c r="I108" s="179">
        <f ca="1">IF(ISNUMBER(MATCH(DATEVALUE($A108),'recurring1_based on steps'!I$1:I$400,0)),I$2,)</f>
        <v>0</v>
      </c>
      <c r="J108" s="179">
        <f ca="1">IF(ISNUMBER(MATCH(DATEVALUE($A108),'recurring1_based on steps'!J$1:J$400,0)),J$2,)</f>
        <v>0</v>
      </c>
      <c r="K108" s="179">
        <f ca="1">IF(ISNUMBER(MATCH(DATEVALUE($A108),'recurring1_based on steps'!K$1:K$400,0)),K$2,)</f>
        <v>0</v>
      </c>
      <c r="L108" s="179">
        <f ca="1">IF(ISNUMBER(MATCH(DATEVALUE($A108),'recurring1_based on steps'!L$1:L$400,0)),L$2,)</f>
        <v>0</v>
      </c>
      <c r="M108" s="179">
        <f ca="1">IF(ISNUMBER(MATCH(DATEVALUE($A108),'recurring1_based on steps'!M$1:M$400,0)),M$2,)</f>
        <v>0</v>
      </c>
      <c r="N108" s="179">
        <f ca="1">IF(ISNUMBER(MATCH(DATEVALUE($A108),'recurring1_based on steps'!N$1:N$400,0)),N$2,)</f>
        <v>0</v>
      </c>
      <c r="O108" s="179">
        <f ca="1">IF(ISNUMBER(MATCH(DATEVALUE($A108),'recurring1_based on steps'!O$1:O$400,0)),O$2,)</f>
        <v>0</v>
      </c>
      <c r="P108" s="179">
        <f ca="1">IF(ISNUMBER(MATCH(DATEVALUE($A108),'recurring1_based on steps'!P$1:P$400,0)),P$2,)</f>
        <v>0</v>
      </c>
      <c r="Q108" s="179">
        <f ca="1">IF(ISNUMBER(MATCH(DATEVALUE($A108),'recurring1_based on steps'!Q$1:Q$400,0)),Q$2,)</f>
        <v>0</v>
      </c>
      <c r="R108" s="179">
        <f ca="1">IF(ISNUMBER(MATCH(DATEVALUE($A108),'recurring1_based on steps'!R$1:R$400,0)),R$2,)</f>
        <v>0</v>
      </c>
      <c r="S108" s="179">
        <f ca="1">IF(ISNUMBER(MATCH(DATEVALUE($A108),'recurring1_based on steps'!S$1:S$400,0)),S$2,)</f>
        <v>0</v>
      </c>
      <c r="T108" s="179">
        <f ca="1">IF(ISNUMBER(MATCH(DATEVALUE($A108),'recurring1_based on steps'!T$1:T$400,0)),T$2,)</f>
        <v>0</v>
      </c>
      <c r="U108" s="179">
        <f ca="1">IF(ISNUMBER(MATCH(DATEVALUE($A108),'recurring1_based on steps'!U$1:U$400,0)),U$2,)</f>
        <v>0</v>
      </c>
      <c r="V108" s="179">
        <f ca="1">IF(ISNUMBER(MATCH(DATEVALUE($A108),'recurring1_based on steps'!V$1:V$400,0)),V$2,)</f>
        <v>0</v>
      </c>
      <c r="W108" s="179">
        <f ca="1">IF(ISNUMBER(MATCH(DATEVALUE($A108),'recurring1_based on steps'!W$1:W$400,0)),W$2,)</f>
        <v>0</v>
      </c>
      <c r="X108" s="179">
        <f ca="1">IF(ISNUMBER(MATCH(DATEVALUE($A108),'recurring1_based on steps'!X$1:X$400,0)),X$2,)</f>
        <v>0</v>
      </c>
      <c r="Y108" s="179">
        <f ca="1">IF(ISNUMBER(MATCH(DATEVALUE($A108),'recurring1_based on steps'!Y$1:Y$400,0)),Y$2,)</f>
        <v>0</v>
      </c>
      <c r="Z108" s="179">
        <f ca="1">IF(ISNUMBER(MATCH(DATEVALUE($A108),'recurring1_based on steps'!Z$1:Z$400,0)),Z$2,)</f>
        <v>0</v>
      </c>
      <c r="AA108" s="179">
        <f ca="1">IF(ISNUMBER(MATCH(DATEVALUE($A108),'recurring1_based on steps'!AA$1:AA$400,0)),AA$2,)</f>
        <v>0</v>
      </c>
      <c r="AB108" s="179">
        <f ca="1">IF(ISNUMBER(MATCH(DATEVALUE($A108),'recurring1_based on steps'!AB$1:AB$400,0)),AB$2,)</f>
        <v>0</v>
      </c>
      <c r="AC108" s="179">
        <f ca="1">IF(ISNUMBER(MATCH(DATEVALUE($A108),'recurring1_based on steps'!AC$1:AC$400,0)),AC$2,)</f>
        <v>0</v>
      </c>
      <c r="AD108" s="179">
        <f ca="1">IF(ISNUMBER(MATCH(DATEVALUE($A108),'recurring1_based on steps'!AD$1:AD$400,0)),AD$2,)</f>
        <v>0</v>
      </c>
      <c r="AE108" s="179">
        <f ca="1">IF(ISNUMBER(MATCH(DATEVALUE($A108),'recurring1_based on steps'!AE$1:AE$400,0)),AE$2,)</f>
        <v>0</v>
      </c>
      <c r="AF108" s="179">
        <f ca="1">IF(ISNUMBER(MATCH(DATEVALUE($A108),'recurring1_based on steps'!AF$1:AF$400,0)),AF$2,)</f>
        <v>0</v>
      </c>
      <c r="AG108" s="179">
        <f ca="1">IF(ISNUMBER(MATCH(DATEVALUE($A108),'recurring1_based on steps'!AG$1:AG$400,0)),AG$2,)</f>
        <v>0</v>
      </c>
      <c r="AH108" s="179">
        <f ca="1">IF(ISNUMBER(MATCH(DATEVALUE($A108),'recurring1_based on steps'!AH$1:AH$400,0)),AH$2,)</f>
        <v>0</v>
      </c>
      <c r="AI108" s="179">
        <f ca="1">IF(ISNUMBER(MATCH(DATEVALUE($A108),'recurring1_based on steps'!AI$1:AI$400,0)),AI$2,)</f>
        <v>0</v>
      </c>
      <c r="AJ108" s="179">
        <f ca="1">IF(ISNUMBER(MATCH(DATEVALUE($A108),'recurring1_based on steps'!AJ$1:AJ$400,0)),AJ$2,)</f>
        <v>0</v>
      </c>
      <c r="AK108" s="179">
        <f ca="1">IF(ISNUMBER(MATCH(DATEVALUE($A108),'recurring1_based on steps'!AK$1:AK$400,0)),AK$2,)</f>
        <v>0</v>
      </c>
      <c r="AL108" s="179">
        <f ca="1">IF(ISNUMBER(MATCH(DATEVALUE($A108),'recurring1_based on steps'!AL$1:AL$400,0)),AL$2,)</f>
        <v>0</v>
      </c>
      <c r="AM108" s="179">
        <f ca="1">IF(ISNUMBER(MATCH(DATEVALUE($A108),'recurring1_based on steps'!AM$1:AM$400,0)),AM$2,)</f>
        <v>0</v>
      </c>
      <c r="AN108" s="179">
        <f ca="1">IF(ISNUMBER(MATCH(DATEVALUE($A108),'recurring1_based on steps'!AN$1:AN$400,0)),AN$2,)</f>
        <v>0</v>
      </c>
      <c r="AO108" s="179">
        <f ca="1">IF(ISNUMBER(MATCH(DATEVALUE($A108),'recurring1_based on steps'!AO$1:AO$400,0)),AO$2,)</f>
        <v>0</v>
      </c>
      <c r="AP108" s="179">
        <f ca="1">IF(ISNUMBER(MATCH(DATEVALUE($A108),'recurring1_based on steps'!AP$1:AP$400,0)),AP$2,)</f>
        <v>0</v>
      </c>
      <c r="AQ108" s="179">
        <f ca="1">IF(ISNUMBER(MATCH(DATEVALUE($A108),'recurring1_based on steps'!AQ$1:AQ$400,0)),AQ$2,)</f>
        <v>0</v>
      </c>
      <c r="AR108" s="179">
        <f ca="1">IF(ISNUMBER(MATCH(DATEVALUE($A108),'recurring1_based on steps'!AR$1:AR$400,0)),AR$2,)</f>
        <v>0</v>
      </c>
      <c r="AS108" s="179">
        <f ca="1">IF(ISNUMBER(MATCH(DATEVALUE($A108),'recurring1_based on steps'!AS$1:AS$400,0)),AS$2,)</f>
        <v>0</v>
      </c>
      <c r="AT108" s="179">
        <f ca="1">IF(ISNUMBER(MATCH(DATEVALUE($A108),'recurring1_based on steps'!AT$1:AT$400,0)),AT$2,)</f>
        <v>0</v>
      </c>
      <c r="AU108" s="179">
        <f ca="1">IF(ISNUMBER(MATCH(DATEVALUE($A108),'recurring1_based on steps'!AU$1:AU$400,0)),AU$2,)</f>
        <v>0</v>
      </c>
      <c r="AV108" s="179">
        <f ca="1">IF(ISNUMBER(MATCH(DATEVALUE($A108),'recurring1_based on steps'!AV$1:AV$400,0)),AV$2,)</f>
        <v>0</v>
      </c>
      <c r="AW108" s="179">
        <f ca="1">IF(ISNUMBER(MATCH(DATEVALUE($A108),'recurring1_based on steps'!AW$1:AW$400,0)),AW$2,)</f>
        <v>0</v>
      </c>
      <c r="AX108" s="179">
        <f ca="1">IF(ISNUMBER(MATCH(DATEVALUE($A108),'recurring1_based on steps'!AX$1:AX$400,0)),AX$2,)</f>
        <v>0</v>
      </c>
      <c r="AY108" s="179">
        <f ca="1">IF(ISNUMBER(MATCH(DATEVALUE($A108),'recurring1_based on steps'!AY$1:AY$400,0)),AY$2,)</f>
        <v>0</v>
      </c>
    </row>
    <row r="109" spans="1:51" x14ac:dyDescent="0.2">
      <c r="A109" s="32" t="str">
        <f t="shared" ca="1" si="1"/>
        <v>2025-07-13</v>
      </c>
      <c r="B109" s="179">
        <f ca="1">IF(ISNUMBER(MATCH(DATEVALUE($A109),'recurring1_based on steps'!B$1:B$400,0)),B$2,)</f>
        <v>0</v>
      </c>
      <c r="C109" s="179">
        <f ca="1">IF(ISNUMBER(MATCH(DATEVALUE($A109),'recurring1_based on steps'!C$1:C$400,0)),C$2,)</f>
        <v>0</v>
      </c>
      <c r="D109" s="179">
        <f ca="1">IF(ISNUMBER(MATCH(DATEVALUE($A109),'recurring1_based on steps'!D$1:D$400,0)),D$2,)</f>
        <v>0</v>
      </c>
      <c r="E109" s="179">
        <f ca="1">IF(ISNUMBER(MATCH(DATEVALUE($A109),'recurring1_based on steps'!E$1:E$400,0)),E$2,)</f>
        <v>0</v>
      </c>
      <c r="F109" s="179">
        <f ca="1">IF(ISNUMBER(MATCH(DATEVALUE($A109),'recurring1_based on steps'!F$1:F$400,0)),F$2,)</f>
        <v>0</v>
      </c>
      <c r="G109" s="179">
        <f ca="1">IF(ISNUMBER(MATCH(DATEVALUE($A109),'recurring1_based on steps'!G$1:G$400,0)),G$2,)</f>
        <v>0</v>
      </c>
      <c r="H109" s="179">
        <f ca="1">IF(ISNUMBER(MATCH(DATEVALUE($A109),'recurring1_based on steps'!H$1:H$400,0)),H$2,)</f>
        <v>0</v>
      </c>
      <c r="I109" s="179">
        <f ca="1">IF(ISNUMBER(MATCH(DATEVALUE($A109),'recurring1_based on steps'!I$1:I$400,0)),I$2,)</f>
        <v>0</v>
      </c>
      <c r="J109" s="179">
        <f ca="1">IF(ISNUMBER(MATCH(DATEVALUE($A109),'recurring1_based on steps'!J$1:J$400,0)),J$2,)</f>
        <v>0</v>
      </c>
      <c r="K109" s="179">
        <f ca="1">IF(ISNUMBER(MATCH(DATEVALUE($A109),'recurring1_based on steps'!K$1:K$400,0)),K$2,)</f>
        <v>0</v>
      </c>
      <c r="L109" s="179">
        <f ca="1">IF(ISNUMBER(MATCH(DATEVALUE($A109),'recurring1_based on steps'!L$1:L$400,0)),L$2,)</f>
        <v>0</v>
      </c>
      <c r="M109" s="179">
        <f ca="1">IF(ISNUMBER(MATCH(DATEVALUE($A109),'recurring1_based on steps'!M$1:M$400,0)),M$2,)</f>
        <v>0</v>
      </c>
      <c r="N109" s="179">
        <f ca="1">IF(ISNUMBER(MATCH(DATEVALUE($A109),'recurring1_based on steps'!N$1:N$400,0)),N$2,)</f>
        <v>0</v>
      </c>
      <c r="O109" s="179">
        <f ca="1">IF(ISNUMBER(MATCH(DATEVALUE($A109),'recurring1_based on steps'!O$1:O$400,0)),O$2,)</f>
        <v>0</v>
      </c>
      <c r="P109" s="179">
        <f ca="1">IF(ISNUMBER(MATCH(DATEVALUE($A109),'recurring1_based on steps'!P$1:P$400,0)),P$2,)</f>
        <v>0</v>
      </c>
      <c r="Q109" s="179">
        <f ca="1">IF(ISNUMBER(MATCH(DATEVALUE($A109),'recurring1_based on steps'!Q$1:Q$400,0)),Q$2,)</f>
        <v>0</v>
      </c>
      <c r="R109" s="179">
        <f ca="1">IF(ISNUMBER(MATCH(DATEVALUE($A109),'recurring1_based on steps'!R$1:R$400,0)),R$2,)</f>
        <v>0</v>
      </c>
      <c r="S109" s="179">
        <f ca="1">IF(ISNUMBER(MATCH(DATEVALUE($A109),'recurring1_based on steps'!S$1:S$400,0)),S$2,)</f>
        <v>0</v>
      </c>
      <c r="T109" s="179">
        <f ca="1">IF(ISNUMBER(MATCH(DATEVALUE($A109),'recurring1_based on steps'!T$1:T$400,0)),T$2,)</f>
        <v>0</v>
      </c>
      <c r="U109" s="179">
        <f ca="1">IF(ISNUMBER(MATCH(DATEVALUE($A109),'recurring1_based on steps'!U$1:U$400,0)),U$2,)</f>
        <v>0</v>
      </c>
      <c r="V109" s="179">
        <f ca="1">IF(ISNUMBER(MATCH(DATEVALUE($A109),'recurring1_based on steps'!V$1:V$400,0)),V$2,)</f>
        <v>0</v>
      </c>
      <c r="W109" s="179">
        <f ca="1">IF(ISNUMBER(MATCH(DATEVALUE($A109),'recurring1_based on steps'!W$1:W$400,0)),W$2,)</f>
        <v>0</v>
      </c>
      <c r="X109" s="179">
        <f ca="1">IF(ISNUMBER(MATCH(DATEVALUE($A109),'recurring1_based on steps'!X$1:X$400,0)),X$2,)</f>
        <v>0</v>
      </c>
      <c r="Y109" s="179">
        <f ca="1">IF(ISNUMBER(MATCH(DATEVALUE($A109),'recurring1_based on steps'!Y$1:Y$400,0)),Y$2,)</f>
        <v>0</v>
      </c>
      <c r="Z109" s="179">
        <f ca="1">IF(ISNUMBER(MATCH(DATEVALUE($A109),'recurring1_based on steps'!Z$1:Z$400,0)),Z$2,)</f>
        <v>0</v>
      </c>
      <c r="AA109" s="179">
        <f ca="1">IF(ISNUMBER(MATCH(DATEVALUE($A109),'recurring1_based on steps'!AA$1:AA$400,0)),AA$2,)</f>
        <v>0</v>
      </c>
      <c r="AB109" s="179">
        <f ca="1">IF(ISNUMBER(MATCH(DATEVALUE($A109),'recurring1_based on steps'!AB$1:AB$400,0)),AB$2,)</f>
        <v>0</v>
      </c>
      <c r="AC109" s="179">
        <f ca="1">IF(ISNUMBER(MATCH(DATEVALUE($A109),'recurring1_based on steps'!AC$1:AC$400,0)),AC$2,)</f>
        <v>0</v>
      </c>
      <c r="AD109" s="179">
        <f ca="1">IF(ISNUMBER(MATCH(DATEVALUE($A109),'recurring1_based on steps'!AD$1:AD$400,0)),AD$2,)</f>
        <v>0</v>
      </c>
      <c r="AE109" s="179">
        <f ca="1">IF(ISNUMBER(MATCH(DATEVALUE($A109),'recurring1_based on steps'!AE$1:AE$400,0)),AE$2,)</f>
        <v>0</v>
      </c>
      <c r="AF109" s="179">
        <f ca="1">IF(ISNUMBER(MATCH(DATEVALUE($A109),'recurring1_based on steps'!AF$1:AF$400,0)),AF$2,)</f>
        <v>0</v>
      </c>
      <c r="AG109" s="179">
        <f ca="1">IF(ISNUMBER(MATCH(DATEVALUE($A109),'recurring1_based on steps'!AG$1:AG$400,0)),AG$2,)</f>
        <v>0</v>
      </c>
      <c r="AH109" s="179">
        <f ca="1">IF(ISNUMBER(MATCH(DATEVALUE($A109),'recurring1_based on steps'!AH$1:AH$400,0)),AH$2,)</f>
        <v>0</v>
      </c>
      <c r="AI109" s="179">
        <f ca="1">IF(ISNUMBER(MATCH(DATEVALUE($A109),'recurring1_based on steps'!AI$1:AI$400,0)),AI$2,)</f>
        <v>0</v>
      </c>
      <c r="AJ109" s="179">
        <f ca="1">IF(ISNUMBER(MATCH(DATEVALUE($A109),'recurring1_based on steps'!AJ$1:AJ$400,0)),AJ$2,)</f>
        <v>0</v>
      </c>
      <c r="AK109" s="179">
        <f ca="1">IF(ISNUMBER(MATCH(DATEVALUE($A109),'recurring1_based on steps'!AK$1:AK$400,0)),AK$2,)</f>
        <v>0</v>
      </c>
      <c r="AL109" s="179">
        <f ca="1">IF(ISNUMBER(MATCH(DATEVALUE($A109),'recurring1_based on steps'!AL$1:AL$400,0)),AL$2,)</f>
        <v>0</v>
      </c>
      <c r="AM109" s="179">
        <f ca="1">IF(ISNUMBER(MATCH(DATEVALUE($A109),'recurring1_based on steps'!AM$1:AM$400,0)),AM$2,)</f>
        <v>0</v>
      </c>
      <c r="AN109" s="179">
        <f ca="1">IF(ISNUMBER(MATCH(DATEVALUE($A109),'recurring1_based on steps'!AN$1:AN$400,0)),AN$2,)</f>
        <v>0</v>
      </c>
      <c r="AO109" s="179">
        <f ca="1">IF(ISNUMBER(MATCH(DATEVALUE($A109),'recurring1_based on steps'!AO$1:AO$400,0)),AO$2,)</f>
        <v>0</v>
      </c>
      <c r="AP109" s="179">
        <f ca="1">IF(ISNUMBER(MATCH(DATEVALUE($A109),'recurring1_based on steps'!AP$1:AP$400,0)),AP$2,)</f>
        <v>0</v>
      </c>
      <c r="AQ109" s="179">
        <f ca="1">IF(ISNUMBER(MATCH(DATEVALUE($A109),'recurring1_based on steps'!AQ$1:AQ$400,0)),AQ$2,)</f>
        <v>0</v>
      </c>
      <c r="AR109" s="179">
        <f ca="1">IF(ISNUMBER(MATCH(DATEVALUE($A109),'recurring1_based on steps'!AR$1:AR$400,0)),AR$2,)</f>
        <v>0</v>
      </c>
      <c r="AS109" s="179">
        <f ca="1">IF(ISNUMBER(MATCH(DATEVALUE($A109),'recurring1_based on steps'!AS$1:AS$400,0)),AS$2,)</f>
        <v>0</v>
      </c>
      <c r="AT109" s="179">
        <f ca="1">IF(ISNUMBER(MATCH(DATEVALUE($A109),'recurring1_based on steps'!AT$1:AT$400,0)),AT$2,)</f>
        <v>0</v>
      </c>
      <c r="AU109" s="179">
        <f ca="1">IF(ISNUMBER(MATCH(DATEVALUE($A109),'recurring1_based on steps'!AU$1:AU$400,0)),AU$2,)</f>
        <v>0</v>
      </c>
      <c r="AV109" s="179">
        <f ca="1">IF(ISNUMBER(MATCH(DATEVALUE($A109),'recurring1_based on steps'!AV$1:AV$400,0)),AV$2,)</f>
        <v>0</v>
      </c>
      <c r="AW109" s="179">
        <f ca="1">IF(ISNUMBER(MATCH(DATEVALUE($A109),'recurring1_based on steps'!AW$1:AW$400,0)),AW$2,)</f>
        <v>0</v>
      </c>
      <c r="AX109" s="179">
        <f ca="1">IF(ISNUMBER(MATCH(DATEVALUE($A109),'recurring1_based on steps'!AX$1:AX$400,0)),AX$2,)</f>
        <v>0</v>
      </c>
      <c r="AY109" s="179">
        <f ca="1">IF(ISNUMBER(MATCH(DATEVALUE($A109),'recurring1_based on steps'!AY$1:AY$400,0)),AY$2,)</f>
        <v>0</v>
      </c>
    </row>
    <row r="110" spans="1:51" x14ac:dyDescent="0.2">
      <c r="A110" s="32" t="str">
        <f t="shared" ca="1" si="1"/>
        <v>2025-07-14</v>
      </c>
      <c r="B110" s="179">
        <f ca="1">IF(ISNUMBER(MATCH(DATEVALUE($A110),'recurring1_based on steps'!B$1:B$400,0)),B$2,)</f>
        <v>0</v>
      </c>
      <c r="C110" s="179">
        <f ca="1">IF(ISNUMBER(MATCH(DATEVALUE($A110),'recurring1_based on steps'!C$1:C$400,0)),C$2,)</f>
        <v>0</v>
      </c>
      <c r="D110" s="179">
        <f ca="1">IF(ISNUMBER(MATCH(DATEVALUE($A110),'recurring1_based on steps'!D$1:D$400,0)),D$2,)</f>
        <v>0</v>
      </c>
      <c r="E110" s="179">
        <f ca="1">IF(ISNUMBER(MATCH(DATEVALUE($A110),'recurring1_based on steps'!E$1:E$400,0)),E$2,)</f>
        <v>0</v>
      </c>
      <c r="F110" s="179">
        <f ca="1">IF(ISNUMBER(MATCH(DATEVALUE($A110),'recurring1_based on steps'!F$1:F$400,0)),F$2,)</f>
        <v>0</v>
      </c>
      <c r="G110" s="179">
        <f ca="1">IF(ISNUMBER(MATCH(DATEVALUE($A110),'recurring1_based on steps'!G$1:G$400,0)),G$2,)</f>
        <v>0</v>
      </c>
      <c r="H110" s="179">
        <f ca="1">IF(ISNUMBER(MATCH(DATEVALUE($A110),'recurring1_based on steps'!H$1:H$400,0)),H$2,)</f>
        <v>0</v>
      </c>
      <c r="I110" s="179">
        <f ca="1">IF(ISNUMBER(MATCH(DATEVALUE($A110),'recurring1_based on steps'!I$1:I$400,0)),I$2,)</f>
        <v>0</v>
      </c>
      <c r="J110" s="179">
        <f ca="1">IF(ISNUMBER(MATCH(DATEVALUE($A110),'recurring1_based on steps'!J$1:J$400,0)),J$2,)</f>
        <v>0</v>
      </c>
      <c r="K110" s="179">
        <f ca="1">IF(ISNUMBER(MATCH(DATEVALUE($A110),'recurring1_based on steps'!K$1:K$400,0)),K$2,)</f>
        <v>0</v>
      </c>
      <c r="L110" s="179">
        <f ca="1">IF(ISNUMBER(MATCH(DATEVALUE($A110),'recurring1_based on steps'!L$1:L$400,0)),L$2,)</f>
        <v>0</v>
      </c>
      <c r="M110" s="179">
        <f ca="1">IF(ISNUMBER(MATCH(DATEVALUE($A110),'recurring1_based on steps'!M$1:M$400,0)),M$2,)</f>
        <v>0</v>
      </c>
      <c r="N110" s="179">
        <f ca="1">IF(ISNUMBER(MATCH(DATEVALUE($A110),'recurring1_based on steps'!N$1:N$400,0)),N$2,)</f>
        <v>0</v>
      </c>
      <c r="O110" s="179">
        <f ca="1">IF(ISNUMBER(MATCH(DATEVALUE($A110),'recurring1_based on steps'!O$1:O$400,0)),O$2,)</f>
        <v>0</v>
      </c>
      <c r="P110" s="179">
        <f ca="1">IF(ISNUMBER(MATCH(DATEVALUE($A110),'recurring1_based on steps'!P$1:P$400,0)),P$2,)</f>
        <v>0</v>
      </c>
      <c r="Q110" s="179">
        <f ca="1">IF(ISNUMBER(MATCH(DATEVALUE($A110),'recurring1_based on steps'!Q$1:Q$400,0)),Q$2,)</f>
        <v>0</v>
      </c>
      <c r="R110" s="179">
        <f ca="1">IF(ISNUMBER(MATCH(DATEVALUE($A110),'recurring1_based on steps'!R$1:R$400,0)),R$2,)</f>
        <v>0</v>
      </c>
      <c r="S110" s="179">
        <f ca="1">IF(ISNUMBER(MATCH(DATEVALUE($A110),'recurring1_based on steps'!S$1:S$400,0)),S$2,)</f>
        <v>0</v>
      </c>
      <c r="T110" s="179">
        <f ca="1">IF(ISNUMBER(MATCH(DATEVALUE($A110),'recurring1_based on steps'!T$1:T$400,0)),T$2,)</f>
        <v>0</v>
      </c>
      <c r="U110" s="179">
        <f ca="1">IF(ISNUMBER(MATCH(DATEVALUE($A110),'recurring1_based on steps'!U$1:U$400,0)),U$2,)</f>
        <v>0</v>
      </c>
      <c r="V110" s="179">
        <f ca="1">IF(ISNUMBER(MATCH(DATEVALUE($A110),'recurring1_based on steps'!V$1:V$400,0)),V$2,)</f>
        <v>0</v>
      </c>
      <c r="W110" s="179">
        <f ca="1">IF(ISNUMBER(MATCH(DATEVALUE($A110),'recurring1_based on steps'!W$1:W$400,0)),W$2,)</f>
        <v>0</v>
      </c>
      <c r="X110" s="179">
        <f ca="1">IF(ISNUMBER(MATCH(DATEVALUE($A110),'recurring1_based on steps'!X$1:X$400,0)),X$2,)</f>
        <v>0</v>
      </c>
      <c r="Y110" s="179">
        <f ca="1">IF(ISNUMBER(MATCH(DATEVALUE($A110),'recurring1_based on steps'!Y$1:Y$400,0)),Y$2,)</f>
        <v>0</v>
      </c>
      <c r="Z110" s="179">
        <f ca="1">IF(ISNUMBER(MATCH(DATEVALUE($A110),'recurring1_based on steps'!Z$1:Z$400,0)),Z$2,)</f>
        <v>0</v>
      </c>
      <c r="AA110" s="179">
        <f ca="1">IF(ISNUMBER(MATCH(DATEVALUE($A110),'recurring1_based on steps'!AA$1:AA$400,0)),AA$2,)</f>
        <v>0</v>
      </c>
      <c r="AB110" s="179">
        <f ca="1">IF(ISNUMBER(MATCH(DATEVALUE($A110),'recurring1_based on steps'!AB$1:AB$400,0)),AB$2,)</f>
        <v>0</v>
      </c>
      <c r="AC110" s="179">
        <f ca="1">IF(ISNUMBER(MATCH(DATEVALUE($A110),'recurring1_based on steps'!AC$1:AC$400,0)),AC$2,)</f>
        <v>0</v>
      </c>
      <c r="AD110" s="179">
        <f ca="1">IF(ISNUMBER(MATCH(DATEVALUE($A110),'recurring1_based on steps'!AD$1:AD$400,0)),AD$2,)</f>
        <v>0</v>
      </c>
      <c r="AE110" s="179">
        <f ca="1">IF(ISNUMBER(MATCH(DATEVALUE($A110),'recurring1_based on steps'!AE$1:AE$400,0)),AE$2,)</f>
        <v>0</v>
      </c>
      <c r="AF110" s="179">
        <f ca="1">IF(ISNUMBER(MATCH(DATEVALUE($A110),'recurring1_based on steps'!AF$1:AF$400,0)),AF$2,)</f>
        <v>0</v>
      </c>
      <c r="AG110" s="179">
        <f ca="1">IF(ISNUMBER(MATCH(DATEVALUE($A110),'recurring1_based on steps'!AG$1:AG$400,0)),AG$2,)</f>
        <v>0</v>
      </c>
      <c r="AH110" s="179">
        <f ca="1">IF(ISNUMBER(MATCH(DATEVALUE($A110),'recurring1_based on steps'!AH$1:AH$400,0)),AH$2,)</f>
        <v>0</v>
      </c>
      <c r="AI110" s="179">
        <f ca="1">IF(ISNUMBER(MATCH(DATEVALUE($A110),'recurring1_based on steps'!AI$1:AI$400,0)),AI$2,)</f>
        <v>0</v>
      </c>
      <c r="AJ110" s="179">
        <f ca="1">IF(ISNUMBER(MATCH(DATEVALUE($A110),'recurring1_based on steps'!AJ$1:AJ$400,0)),AJ$2,)</f>
        <v>0</v>
      </c>
      <c r="AK110" s="179">
        <f ca="1">IF(ISNUMBER(MATCH(DATEVALUE($A110),'recurring1_based on steps'!AK$1:AK$400,0)),AK$2,)</f>
        <v>0</v>
      </c>
      <c r="AL110" s="179">
        <f ca="1">IF(ISNUMBER(MATCH(DATEVALUE($A110),'recurring1_based on steps'!AL$1:AL$400,0)),AL$2,)</f>
        <v>0</v>
      </c>
      <c r="AM110" s="179">
        <f ca="1">IF(ISNUMBER(MATCH(DATEVALUE($A110),'recurring1_based on steps'!AM$1:AM$400,0)),AM$2,)</f>
        <v>0</v>
      </c>
      <c r="AN110" s="179">
        <f ca="1">IF(ISNUMBER(MATCH(DATEVALUE($A110),'recurring1_based on steps'!AN$1:AN$400,0)),AN$2,)</f>
        <v>0</v>
      </c>
      <c r="AO110" s="179">
        <f ca="1">IF(ISNUMBER(MATCH(DATEVALUE($A110),'recurring1_based on steps'!AO$1:AO$400,0)),AO$2,)</f>
        <v>0</v>
      </c>
      <c r="AP110" s="179">
        <f ca="1">IF(ISNUMBER(MATCH(DATEVALUE($A110),'recurring1_based on steps'!AP$1:AP$400,0)),AP$2,)</f>
        <v>0</v>
      </c>
      <c r="AQ110" s="179">
        <f ca="1">IF(ISNUMBER(MATCH(DATEVALUE($A110),'recurring1_based on steps'!AQ$1:AQ$400,0)),AQ$2,)</f>
        <v>0</v>
      </c>
      <c r="AR110" s="179">
        <f ca="1">IF(ISNUMBER(MATCH(DATEVALUE($A110),'recurring1_based on steps'!AR$1:AR$400,0)),AR$2,)</f>
        <v>0</v>
      </c>
      <c r="AS110" s="179">
        <f ca="1">IF(ISNUMBER(MATCH(DATEVALUE($A110),'recurring1_based on steps'!AS$1:AS$400,0)),AS$2,)</f>
        <v>0</v>
      </c>
      <c r="AT110" s="179">
        <f ca="1">IF(ISNUMBER(MATCH(DATEVALUE($A110),'recurring1_based on steps'!AT$1:AT$400,0)),AT$2,)</f>
        <v>0</v>
      </c>
      <c r="AU110" s="179">
        <f ca="1">IF(ISNUMBER(MATCH(DATEVALUE($A110),'recurring1_based on steps'!AU$1:AU$400,0)),AU$2,)</f>
        <v>0</v>
      </c>
      <c r="AV110" s="179">
        <f ca="1">IF(ISNUMBER(MATCH(DATEVALUE($A110),'recurring1_based on steps'!AV$1:AV$400,0)),AV$2,)</f>
        <v>0</v>
      </c>
      <c r="AW110" s="179">
        <f ca="1">IF(ISNUMBER(MATCH(DATEVALUE($A110),'recurring1_based on steps'!AW$1:AW$400,0)),AW$2,)</f>
        <v>0</v>
      </c>
      <c r="AX110" s="179">
        <f ca="1">IF(ISNUMBER(MATCH(DATEVALUE($A110),'recurring1_based on steps'!AX$1:AX$400,0)),AX$2,)</f>
        <v>0</v>
      </c>
      <c r="AY110" s="179">
        <f ca="1">IF(ISNUMBER(MATCH(DATEVALUE($A110),'recurring1_based on steps'!AY$1:AY$400,0)),AY$2,)</f>
        <v>0</v>
      </c>
    </row>
    <row r="111" spans="1:51" x14ac:dyDescent="0.2">
      <c r="A111" s="32" t="str">
        <f t="shared" ca="1" si="1"/>
        <v>2025-07-15</v>
      </c>
      <c r="B111" s="179">
        <f ca="1">IF(ISNUMBER(MATCH(DATEVALUE($A111),'recurring1_based on steps'!B$1:B$400,0)),B$2,)</f>
        <v>0</v>
      </c>
      <c r="C111" s="179">
        <f ca="1">IF(ISNUMBER(MATCH(DATEVALUE($A111),'recurring1_based on steps'!C$1:C$400,0)),C$2,)</f>
        <v>0</v>
      </c>
      <c r="D111" s="179">
        <f ca="1">IF(ISNUMBER(MATCH(DATEVALUE($A111),'recurring1_based on steps'!D$1:D$400,0)),D$2,)</f>
        <v>0</v>
      </c>
      <c r="E111" s="179">
        <f ca="1">IF(ISNUMBER(MATCH(DATEVALUE($A111),'recurring1_based on steps'!E$1:E$400,0)),E$2,)</f>
        <v>0</v>
      </c>
      <c r="F111" s="179">
        <f ca="1">IF(ISNUMBER(MATCH(DATEVALUE($A111),'recurring1_based on steps'!F$1:F$400,0)),F$2,)</f>
        <v>0</v>
      </c>
      <c r="G111" s="179">
        <f ca="1">IF(ISNUMBER(MATCH(DATEVALUE($A111),'recurring1_based on steps'!G$1:G$400,0)),G$2,)</f>
        <v>0</v>
      </c>
      <c r="H111" s="179">
        <f ca="1">IF(ISNUMBER(MATCH(DATEVALUE($A111),'recurring1_based on steps'!H$1:H$400,0)),H$2,)</f>
        <v>0</v>
      </c>
      <c r="I111" s="179">
        <f ca="1">IF(ISNUMBER(MATCH(DATEVALUE($A111),'recurring1_based on steps'!I$1:I$400,0)),I$2,)</f>
        <v>0</v>
      </c>
      <c r="J111" s="179">
        <f ca="1">IF(ISNUMBER(MATCH(DATEVALUE($A111),'recurring1_based on steps'!J$1:J$400,0)),J$2,)</f>
        <v>0</v>
      </c>
      <c r="K111" s="179">
        <f ca="1">IF(ISNUMBER(MATCH(DATEVALUE($A111),'recurring1_based on steps'!K$1:K$400,0)),K$2,)</f>
        <v>0</v>
      </c>
      <c r="L111" s="179">
        <f ca="1">IF(ISNUMBER(MATCH(DATEVALUE($A111),'recurring1_based on steps'!L$1:L$400,0)),L$2,)</f>
        <v>0</v>
      </c>
      <c r="M111" s="179">
        <f ca="1">IF(ISNUMBER(MATCH(DATEVALUE($A111),'recurring1_based on steps'!M$1:M$400,0)),M$2,)</f>
        <v>0</v>
      </c>
      <c r="N111" s="179">
        <f ca="1">IF(ISNUMBER(MATCH(DATEVALUE($A111),'recurring1_based on steps'!N$1:N$400,0)),N$2,)</f>
        <v>0</v>
      </c>
      <c r="O111" s="179">
        <f ca="1">IF(ISNUMBER(MATCH(DATEVALUE($A111),'recurring1_based on steps'!O$1:O$400,0)),O$2,)</f>
        <v>0</v>
      </c>
      <c r="P111" s="179">
        <f ca="1">IF(ISNUMBER(MATCH(DATEVALUE($A111),'recurring1_based on steps'!P$1:P$400,0)),P$2,)</f>
        <v>0</v>
      </c>
      <c r="Q111" s="179">
        <f ca="1">IF(ISNUMBER(MATCH(DATEVALUE($A111),'recurring1_based on steps'!Q$1:Q$400,0)),Q$2,)</f>
        <v>0</v>
      </c>
      <c r="R111" s="179">
        <f ca="1">IF(ISNUMBER(MATCH(DATEVALUE($A111),'recurring1_based on steps'!R$1:R$400,0)),R$2,)</f>
        <v>0</v>
      </c>
      <c r="S111" s="179">
        <f ca="1">IF(ISNUMBER(MATCH(DATEVALUE($A111),'recurring1_based on steps'!S$1:S$400,0)),S$2,)</f>
        <v>0</v>
      </c>
      <c r="T111" s="179">
        <f ca="1">IF(ISNUMBER(MATCH(DATEVALUE($A111),'recurring1_based on steps'!T$1:T$400,0)),T$2,)</f>
        <v>0</v>
      </c>
      <c r="U111" s="179">
        <f ca="1">IF(ISNUMBER(MATCH(DATEVALUE($A111),'recurring1_based on steps'!U$1:U$400,0)),U$2,)</f>
        <v>0</v>
      </c>
      <c r="V111" s="179">
        <f ca="1">IF(ISNUMBER(MATCH(DATEVALUE($A111),'recurring1_based on steps'!V$1:V$400,0)),V$2,)</f>
        <v>0</v>
      </c>
      <c r="W111" s="179">
        <f ca="1">IF(ISNUMBER(MATCH(DATEVALUE($A111),'recurring1_based on steps'!W$1:W$400,0)),W$2,)</f>
        <v>0</v>
      </c>
      <c r="X111" s="179">
        <f ca="1">IF(ISNUMBER(MATCH(DATEVALUE($A111),'recurring1_based on steps'!X$1:X$400,0)),X$2,)</f>
        <v>0</v>
      </c>
      <c r="Y111" s="179">
        <f ca="1">IF(ISNUMBER(MATCH(DATEVALUE($A111),'recurring1_based on steps'!Y$1:Y$400,0)),Y$2,)</f>
        <v>0</v>
      </c>
      <c r="Z111" s="179">
        <f ca="1">IF(ISNUMBER(MATCH(DATEVALUE($A111),'recurring1_based on steps'!Z$1:Z$400,0)),Z$2,)</f>
        <v>0</v>
      </c>
      <c r="AA111" s="179">
        <f ca="1">IF(ISNUMBER(MATCH(DATEVALUE($A111),'recurring1_based on steps'!AA$1:AA$400,0)),AA$2,)</f>
        <v>0</v>
      </c>
      <c r="AB111" s="179">
        <f ca="1">IF(ISNUMBER(MATCH(DATEVALUE($A111),'recurring1_based on steps'!AB$1:AB$400,0)),AB$2,)</f>
        <v>0</v>
      </c>
      <c r="AC111" s="179">
        <f ca="1">IF(ISNUMBER(MATCH(DATEVALUE($A111),'recurring1_based on steps'!AC$1:AC$400,0)),AC$2,)</f>
        <v>0</v>
      </c>
      <c r="AD111" s="179">
        <f ca="1">IF(ISNUMBER(MATCH(DATEVALUE($A111),'recurring1_based on steps'!AD$1:AD$400,0)),AD$2,)</f>
        <v>0</v>
      </c>
      <c r="AE111" s="179">
        <f ca="1">IF(ISNUMBER(MATCH(DATEVALUE($A111),'recurring1_based on steps'!AE$1:AE$400,0)),AE$2,)</f>
        <v>0</v>
      </c>
      <c r="AF111" s="179">
        <f ca="1">IF(ISNUMBER(MATCH(DATEVALUE($A111),'recurring1_based on steps'!AF$1:AF$400,0)),AF$2,)</f>
        <v>0</v>
      </c>
      <c r="AG111" s="179">
        <f ca="1">IF(ISNUMBER(MATCH(DATEVALUE($A111),'recurring1_based on steps'!AG$1:AG$400,0)),AG$2,)</f>
        <v>0</v>
      </c>
      <c r="AH111" s="179">
        <f ca="1">IF(ISNUMBER(MATCH(DATEVALUE($A111),'recurring1_based on steps'!AH$1:AH$400,0)),AH$2,)</f>
        <v>0</v>
      </c>
      <c r="AI111" s="179">
        <f ca="1">IF(ISNUMBER(MATCH(DATEVALUE($A111),'recurring1_based on steps'!AI$1:AI$400,0)),AI$2,)</f>
        <v>0</v>
      </c>
      <c r="AJ111" s="179">
        <f ca="1">IF(ISNUMBER(MATCH(DATEVALUE($A111),'recurring1_based on steps'!AJ$1:AJ$400,0)),AJ$2,)</f>
        <v>0</v>
      </c>
      <c r="AK111" s="179">
        <f ca="1">IF(ISNUMBER(MATCH(DATEVALUE($A111),'recurring1_based on steps'!AK$1:AK$400,0)),AK$2,)</f>
        <v>0</v>
      </c>
      <c r="AL111" s="179">
        <f ca="1">IF(ISNUMBER(MATCH(DATEVALUE($A111),'recurring1_based on steps'!AL$1:AL$400,0)),AL$2,)</f>
        <v>0</v>
      </c>
      <c r="AM111" s="179">
        <f ca="1">IF(ISNUMBER(MATCH(DATEVALUE($A111),'recurring1_based on steps'!AM$1:AM$400,0)),AM$2,)</f>
        <v>0</v>
      </c>
      <c r="AN111" s="179">
        <f ca="1">IF(ISNUMBER(MATCH(DATEVALUE($A111),'recurring1_based on steps'!AN$1:AN$400,0)),AN$2,)</f>
        <v>0</v>
      </c>
      <c r="AO111" s="179">
        <f ca="1">IF(ISNUMBER(MATCH(DATEVALUE($A111),'recurring1_based on steps'!AO$1:AO$400,0)),AO$2,)</f>
        <v>0</v>
      </c>
      <c r="AP111" s="179">
        <f ca="1">IF(ISNUMBER(MATCH(DATEVALUE($A111),'recurring1_based on steps'!AP$1:AP$400,0)),AP$2,)</f>
        <v>0</v>
      </c>
      <c r="AQ111" s="179">
        <f ca="1">IF(ISNUMBER(MATCH(DATEVALUE($A111),'recurring1_based on steps'!AQ$1:AQ$400,0)),AQ$2,)</f>
        <v>0</v>
      </c>
      <c r="AR111" s="179">
        <f ca="1">IF(ISNUMBER(MATCH(DATEVALUE($A111),'recurring1_based on steps'!AR$1:AR$400,0)),AR$2,)</f>
        <v>0</v>
      </c>
      <c r="AS111" s="179">
        <f ca="1">IF(ISNUMBER(MATCH(DATEVALUE($A111),'recurring1_based on steps'!AS$1:AS$400,0)),AS$2,)</f>
        <v>0</v>
      </c>
      <c r="AT111" s="179">
        <f ca="1">IF(ISNUMBER(MATCH(DATEVALUE($A111),'recurring1_based on steps'!AT$1:AT$400,0)),AT$2,)</f>
        <v>0</v>
      </c>
      <c r="AU111" s="179">
        <f ca="1">IF(ISNUMBER(MATCH(DATEVALUE($A111),'recurring1_based on steps'!AU$1:AU$400,0)),AU$2,)</f>
        <v>0</v>
      </c>
      <c r="AV111" s="179">
        <f ca="1">IF(ISNUMBER(MATCH(DATEVALUE($A111),'recurring1_based on steps'!AV$1:AV$400,0)),AV$2,)</f>
        <v>0</v>
      </c>
      <c r="AW111" s="179">
        <f ca="1">IF(ISNUMBER(MATCH(DATEVALUE($A111),'recurring1_based on steps'!AW$1:AW$400,0)),AW$2,)</f>
        <v>0</v>
      </c>
      <c r="AX111" s="179">
        <f ca="1">IF(ISNUMBER(MATCH(DATEVALUE($A111),'recurring1_based on steps'!AX$1:AX$400,0)),AX$2,)</f>
        <v>0</v>
      </c>
      <c r="AY111" s="179">
        <f ca="1">IF(ISNUMBER(MATCH(DATEVALUE($A111),'recurring1_based on steps'!AY$1:AY$400,0)),AY$2,)</f>
        <v>0</v>
      </c>
    </row>
    <row r="112" spans="1:51" x14ac:dyDescent="0.2">
      <c r="A112" s="32" t="str">
        <f t="shared" ca="1" si="1"/>
        <v>2025-07-16</v>
      </c>
      <c r="B112" s="179">
        <f ca="1">IF(ISNUMBER(MATCH(DATEVALUE($A112),'recurring1_based on steps'!B$1:B$400,0)),B$2,)</f>
        <v>0</v>
      </c>
      <c r="C112" s="179">
        <f ca="1">IF(ISNUMBER(MATCH(DATEVALUE($A112),'recurring1_based on steps'!C$1:C$400,0)),C$2,)</f>
        <v>0</v>
      </c>
      <c r="D112" s="179">
        <f ca="1">IF(ISNUMBER(MATCH(DATEVALUE($A112),'recurring1_based on steps'!D$1:D$400,0)),D$2,)</f>
        <v>0</v>
      </c>
      <c r="E112" s="179">
        <f ca="1">IF(ISNUMBER(MATCH(DATEVALUE($A112),'recurring1_based on steps'!E$1:E$400,0)),E$2,)</f>
        <v>0</v>
      </c>
      <c r="F112" s="179">
        <f ca="1">IF(ISNUMBER(MATCH(DATEVALUE($A112),'recurring1_based on steps'!F$1:F$400,0)),F$2,)</f>
        <v>0</v>
      </c>
      <c r="G112" s="179">
        <f ca="1">IF(ISNUMBER(MATCH(DATEVALUE($A112),'recurring1_based on steps'!G$1:G$400,0)),G$2,)</f>
        <v>0</v>
      </c>
      <c r="H112" s="179">
        <f ca="1">IF(ISNUMBER(MATCH(DATEVALUE($A112),'recurring1_based on steps'!H$1:H$400,0)),H$2,)</f>
        <v>0</v>
      </c>
      <c r="I112" s="179">
        <f ca="1">IF(ISNUMBER(MATCH(DATEVALUE($A112),'recurring1_based on steps'!I$1:I$400,0)),I$2,)</f>
        <v>0</v>
      </c>
      <c r="J112" s="179">
        <f ca="1">IF(ISNUMBER(MATCH(DATEVALUE($A112),'recurring1_based on steps'!J$1:J$400,0)),J$2,)</f>
        <v>0</v>
      </c>
      <c r="K112" s="179">
        <f ca="1">IF(ISNUMBER(MATCH(DATEVALUE($A112),'recurring1_based on steps'!K$1:K$400,0)),K$2,)</f>
        <v>0</v>
      </c>
      <c r="L112" s="179">
        <f ca="1">IF(ISNUMBER(MATCH(DATEVALUE($A112),'recurring1_based on steps'!L$1:L$400,0)),L$2,)</f>
        <v>0</v>
      </c>
      <c r="M112" s="179">
        <f ca="1">IF(ISNUMBER(MATCH(DATEVALUE($A112),'recurring1_based on steps'!M$1:M$400,0)),M$2,)</f>
        <v>0</v>
      </c>
      <c r="N112" s="179">
        <f ca="1">IF(ISNUMBER(MATCH(DATEVALUE($A112),'recurring1_based on steps'!N$1:N$400,0)),N$2,)</f>
        <v>0</v>
      </c>
      <c r="O112" s="179">
        <f ca="1">IF(ISNUMBER(MATCH(DATEVALUE($A112),'recurring1_based on steps'!O$1:O$400,0)),O$2,)</f>
        <v>0</v>
      </c>
      <c r="P112" s="179">
        <f ca="1">IF(ISNUMBER(MATCH(DATEVALUE($A112),'recurring1_based on steps'!P$1:P$400,0)),P$2,)</f>
        <v>0</v>
      </c>
      <c r="Q112" s="179">
        <f ca="1">IF(ISNUMBER(MATCH(DATEVALUE($A112),'recurring1_based on steps'!Q$1:Q$400,0)),Q$2,)</f>
        <v>0</v>
      </c>
      <c r="R112" s="179">
        <f ca="1">IF(ISNUMBER(MATCH(DATEVALUE($A112),'recurring1_based on steps'!R$1:R$400,0)),R$2,)</f>
        <v>0</v>
      </c>
      <c r="S112" s="179">
        <f ca="1">IF(ISNUMBER(MATCH(DATEVALUE($A112),'recurring1_based on steps'!S$1:S$400,0)),S$2,)</f>
        <v>0</v>
      </c>
      <c r="T112" s="179">
        <f ca="1">IF(ISNUMBER(MATCH(DATEVALUE($A112),'recurring1_based on steps'!T$1:T$400,0)),T$2,)</f>
        <v>0</v>
      </c>
      <c r="U112" s="179">
        <f ca="1">IF(ISNUMBER(MATCH(DATEVALUE($A112),'recurring1_based on steps'!U$1:U$400,0)),U$2,)</f>
        <v>0</v>
      </c>
      <c r="V112" s="179">
        <f ca="1">IF(ISNUMBER(MATCH(DATEVALUE($A112),'recurring1_based on steps'!V$1:V$400,0)),V$2,)</f>
        <v>0</v>
      </c>
      <c r="W112" s="179">
        <f ca="1">IF(ISNUMBER(MATCH(DATEVALUE($A112),'recurring1_based on steps'!W$1:W$400,0)),W$2,)</f>
        <v>0</v>
      </c>
      <c r="X112" s="179">
        <f ca="1">IF(ISNUMBER(MATCH(DATEVALUE($A112),'recurring1_based on steps'!X$1:X$400,0)),X$2,)</f>
        <v>0</v>
      </c>
      <c r="Y112" s="179">
        <f ca="1">IF(ISNUMBER(MATCH(DATEVALUE($A112),'recurring1_based on steps'!Y$1:Y$400,0)),Y$2,)</f>
        <v>0</v>
      </c>
      <c r="Z112" s="179">
        <f ca="1">IF(ISNUMBER(MATCH(DATEVALUE($A112),'recurring1_based on steps'!Z$1:Z$400,0)),Z$2,)</f>
        <v>0</v>
      </c>
      <c r="AA112" s="179">
        <f ca="1">IF(ISNUMBER(MATCH(DATEVALUE($A112),'recurring1_based on steps'!AA$1:AA$400,0)),AA$2,)</f>
        <v>0</v>
      </c>
      <c r="AB112" s="179">
        <f ca="1">IF(ISNUMBER(MATCH(DATEVALUE($A112),'recurring1_based on steps'!AB$1:AB$400,0)),AB$2,)</f>
        <v>0</v>
      </c>
      <c r="AC112" s="179">
        <f ca="1">IF(ISNUMBER(MATCH(DATEVALUE($A112),'recurring1_based on steps'!AC$1:AC$400,0)),AC$2,)</f>
        <v>0</v>
      </c>
      <c r="AD112" s="179">
        <f ca="1">IF(ISNUMBER(MATCH(DATEVALUE($A112),'recurring1_based on steps'!AD$1:AD$400,0)),AD$2,)</f>
        <v>0</v>
      </c>
      <c r="AE112" s="179">
        <f ca="1">IF(ISNUMBER(MATCH(DATEVALUE($A112),'recurring1_based on steps'!AE$1:AE$400,0)),AE$2,)</f>
        <v>0</v>
      </c>
      <c r="AF112" s="179">
        <f ca="1">IF(ISNUMBER(MATCH(DATEVALUE($A112),'recurring1_based on steps'!AF$1:AF$400,0)),AF$2,)</f>
        <v>0</v>
      </c>
      <c r="AG112" s="179">
        <f ca="1">IF(ISNUMBER(MATCH(DATEVALUE($A112),'recurring1_based on steps'!AG$1:AG$400,0)),AG$2,)</f>
        <v>0</v>
      </c>
      <c r="AH112" s="179">
        <f ca="1">IF(ISNUMBER(MATCH(DATEVALUE($A112),'recurring1_based on steps'!AH$1:AH$400,0)),AH$2,)</f>
        <v>0</v>
      </c>
      <c r="AI112" s="179">
        <f ca="1">IF(ISNUMBER(MATCH(DATEVALUE($A112),'recurring1_based on steps'!AI$1:AI$400,0)),AI$2,)</f>
        <v>0</v>
      </c>
      <c r="AJ112" s="179">
        <f ca="1">IF(ISNUMBER(MATCH(DATEVALUE($A112),'recurring1_based on steps'!AJ$1:AJ$400,0)),AJ$2,)</f>
        <v>0</v>
      </c>
      <c r="AK112" s="179">
        <f ca="1">IF(ISNUMBER(MATCH(DATEVALUE($A112),'recurring1_based on steps'!AK$1:AK$400,0)),AK$2,)</f>
        <v>0</v>
      </c>
      <c r="AL112" s="179">
        <f ca="1">IF(ISNUMBER(MATCH(DATEVALUE($A112),'recurring1_based on steps'!AL$1:AL$400,0)),AL$2,)</f>
        <v>0</v>
      </c>
      <c r="AM112" s="179">
        <f ca="1">IF(ISNUMBER(MATCH(DATEVALUE($A112),'recurring1_based on steps'!AM$1:AM$400,0)),AM$2,)</f>
        <v>0</v>
      </c>
      <c r="AN112" s="179">
        <f ca="1">IF(ISNUMBER(MATCH(DATEVALUE($A112),'recurring1_based on steps'!AN$1:AN$400,0)),AN$2,)</f>
        <v>0</v>
      </c>
      <c r="AO112" s="179">
        <f ca="1">IF(ISNUMBER(MATCH(DATEVALUE($A112),'recurring1_based on steps'!AO$1:AO$400,0)),AO$2,)</f>
        <v>0</v>
      </c>
      <c r="AP112" s="179">
        <f ca="1">IF(ISNUMBER(MATCH(DATEVALUE($A112),'recurring1_based on steps'!AP$1:AP$400,0)),AP$2,)</f>
        <v>0</v>
      </c>
      <c r="AQ112" s="179">
        <f ca="1">IF(ISNUMBER(MATCH(DATEVALUE($A112),'recurring1_based on steps'!AQ$1:AQ$400,0)),AQ$2,)</f>
        <v>0</v>
      </c>
      <c r="AR112" s="179">
        <f ca="1">IF(ISNUMBER(MATCH(DATEVALUE($A112),'recurring1_based on steps'!AR$1:AR$400,0)),AR$2,)</f>
        <v>0</v>
      </c>
      <c r="AS112" s="179">
        <f ca="1">IF(ISNUMBER(MATCH(DATEVALUE($A112),'recurring1_based on steps'!AS$1:AS$400,0)),AS$2,)</f>
        <v>0</v>
      </c>
      <c r="AT112" s="179">
        <f ca="1">IF(ISNUMBER(MATCH(DATEVALUE($A112),'recurring1_based on steps'!AT$1:AT$400,0)),AT$2,)</f>
        <v>0</v>
      </c>
      <c r="AU112" s="179">
        <f ca="1">IF(ISNUMBER(MATCH(DATEVALUE($A112),'recurring1_based on steps'!AU$1:AU$400,0)),AU$2,)</f>
        <v>0</v>
      </c>
      <c r="AV112" s="179">
        <f ca="1">IF(ISNUMBER(MATCH(DATEVALUE($A112),'recurring1_based on steps'!AV$1:AV$400,0)),AV$2,)</f>
        <v>0</v>
      </c>
      <c r="AW112" s="179">
        <f ca="1">IF(ISNUMBER(MATCH(DATEVALUE($A112),'recurring1_based on steps'!AW$1:AW$400,0)),AW$2,)</f>
        <v>0</v>
      </c>
      <c r="AX112" s="179">
        <f ca="1">IF(ISNUMBER(MATCH(DATEVALUE($A112),'recurring1_based on steps'!AX$1:AX$400,0)),AX$2,)</f>
        <v>0</v>
      </c>
      <c r="AY112" s="179">
        <f ca="1">IF(ISNUMBER(MATCH(DATEVALUE($A112),'recurring1_based on steps'!AY$1:AY$400,0)),AY$2,)</f>
        <v>0</v>
      </c>
    </row>
    <row r="113" spans="1:51" x14ac:dyDescent="0.2">
      <c r="A113" s="32" t="str">
        <f t="shared" ca="1" si="1"/>
        <v>2025-07-17</v>
      </c>
      <c r="B113" s="179">
        <f ca="1">IF(ISNUMBER(MATCH(DATEVALUE($A113),'recurring1_based on steps'!B$1:B$400,0)),B$2,)</f>
        <v>0</v>
      </c>
      <c r="C113" s="179">
        <f ca="1">IF(ISNUMBER(MATCH(DATEVALUE($A113),'recurring1_based on steps'!C$1:C$400,0)),C$2,)</f>
        <v>0</v>
      </c>
      <c r="D113" s="179">
        <f ca="1">IF(ISNUMBER(MATCH(DATEVALUE($A113),'recurring1_based on steps'!D$1:D$400,0)),D$2,)</f>
        <v>0</v>
      </c>
      <c r="E113" s="179">
        <f ca="1">IF(ISNUMBER(MATCH(DATEVALUE($A113),'recurring1_based on steps'!E$1:E$400,0)),E$2,)</f>
        <v>0</v>
      </c>
      <c r="F113" s="179">
        <f ca="1">IF(ISNUMBER(MATCH(DATEVALUE($A113),'recurring1_based on steps'!F$1:F$400,0)),F$2,)</f>
        <v>0</v>
      </c>
      <c r="G113" s="179">
        <f ca="1">IF(ISNUMBER(MATCH(DATEVALUE($A113),'recurring1_based on steps'!G$1:G$400,0)),G$2,)</f>
        <v>0</v>
      </c>
      <c r="H113" s="179">
        <f ca="1">IF(ISNUMBER(MATCH(DATEVALUE($A113),'recurring1_based on steps'!H$1:H$400,0)),H$2,)</f>
        <v>0</v>
      </c>
      <c r="I113" s="179">
        <f ca="1">IF(ISNUMBER(MATCH(DATEVALUE($A113),'recurring1_based on steps'!I$1:I$400,0)),I$2,)</f>
        <v>0</v>
      </c>
      <c r="J113" s="179">
        <f ca="1">IF(ISNUMBER(MATCH(DATEVALUE($A113),'recurring1_based on steps'!J$1:J$400,0)),J$2,)</f>
        <v>0</v>
      </c>
      <c r="K113" s="179">
        <f ca="1">IF(ISNUMBER(MATCH(DATEVALUE($A113),'recurring1_based on steps'!K$1:K$400,0)),K$2,)</f>
        <v>0</v>
      </c>
      <c r="L113" s="179">
        <f ca="1">IF(ISNUMBER(MATCH(DATEVALUE($A113),'recurring1_based on steps'!L$1:L$400,0)),L$2,)</f>
        <v>0</v>
      </c>
      <c r="M113" s="179">
        <f ca="1">IF(ISNUMBER(MATCH(DATEVALUE($A113),'recurring1_based on steps'!M$1:M$400,0)),M$2,)</f>
        <v>0</v>
      </c>
      <c r="N113" s="179">
        <f ca="1">IF(ISNUMBER(MATCH(DATEVALUE($A113),'recurring1_based on steps'!N$1:N$400,0)),N$2,)</f>
        <v>0</v>
      </c>
      <c r="O113" s="179">
        <f ca="1">IF(ISNUMBER(MATCH(DATEVALUE($A113),'recurring1_based on steps'!O$1:O$400,0)),O$2,)</f>
        <v>0</v>
      </c>
      <c r="P113" s="179">
        <f ca="1">IF(ISNUMBER(MATCH(DATEVALUE($A113),'recurring1_based on steps'!P$1:P$400,0)),P$2,)</f>
        <v>0</v>
      </c>
      <c r="Q113" s="179">
        <f ca="1">IF(ISNUMBER(MATCH(DATEVALUE($A113),'recurring1_based on steps'!Q$1:Q$400,0)),Q$2,)</f>
        <v>0</v>
      </c>
      <c r="R113" s="179">
        <f ca="1">IF(ISNUMBER(MATCH(DATEVALUE($A113),'recurring1_based on steps'!R$1:R$400,0)),R$2,)</f>
        <v>0</v>
      </c>
      <c r="S113" s="179">
        <f ca="1">IF(ISNUMBER(MATCH(DATEVALUE($A113),'recurring1_based on steps'!S$1:S$400,0)),S$2,)</f>
        <v>0</v>
      </c>
      <c r="T113" s="179">
        <f ca="1">IF(ISNUMBER(MATCH(DATEVALUE($A113),'recurring1_based on steps'!T$1:T$400,0)),T$2,)</f>
        <v>0</v>
      </c>
      <c r="U113" s="179">
        <f ca="1">IF(ISNUMBER(MATCH(DATEVALUE($A113),'recurring1_based on steps'!U$1:U$400,0)),U$2,)</f>
        <v>0</v>
      </c>
      <c r="V113" s="179">
        <f ca="1">IF(ISNUMBER(MATCH(DATEVALUE($A113),'recurring1_based on steps'!V$1:V$400,0)),V$2,)</f>
        <v>0</v>
      </c>
      <c r="W113" s="179">
        <f ca="1">IF(ISNUMBER(MATCH(DATEVALUE($A113),'recurring1_based on steps'!W$1:W$400,0)),W$2,)</f>
        <v>0</v>
      </c>
      <c r="X113" s="179">
        <f ca="1">IF(ISNUMBER(MATCH(DATEVALUE($A113),'recurring1_based on steps'!X$1:X$400,0)),X$2,)</f>
        <v>0</v>
      </c>
      <c r="Y113" s="179">
        <f ca="1">IF(ISNUMBER(MATCH(DATEVALUE($A113),'recurring1_based on steps'!Y$1:Y$400,0)),Y$2,)</f>
        <v>0</v>
      </c>
      <c r="Z113" s="179">
        <f ca="1">IF(ISNUMBER(MATCH(DATEVALUE($A113),'recurring1_based on steps'!Z$1:Z$400,0)),Z$2,)</f>
        <v>0</v>
      </c>
      <c r="AA113" s="179">
        <f ca="1">IF(ISNUMBER(MATCH(DATEVALUE($A113),'recurring1_based on steps'!AA$1:AA$400,0)),AA$2,)</f>
        <v>0</v>
      </c>
      <c r="AB113" s="179">
        <f ca="1">IF(ISNUMBER(MATCH(DATEVALUE($A113),'recurring1_based on steps'!AB$1:AB$400,0)),AB$2,)</f>
        <v>0</v>
      </c>
      <c r="AC113" s="179">
        <f ca="1">IF(ISNUMBER(MATCH(DATEVALUE($A113),'recurring1_based on steps'!AC$1:AC$400,0)),AC$2,)</f>
        <v>0</v>
      </c>
      <c r="AD113" s="179">
        <f ca="1">IF(ISNUMBER(MATCH(DATEVALUE($A113),'recurring1_based on steps'!AD$1:AD$400,0)),AD$2,)</f>
        <v>0</v>
      </c>
      <c r="AE113" s="179">
        <f ca="1">IF(ISNUMBER(MATCH(DATEVALUE($A113),'recurring1_based on steps'!AE$1:AE$400,0)),AE$2,)</f>
        <v>0</v>
      </c>
      <c r="AF113" s="179">
        <f ca="1">IF(ISNUMBER(MATCH(DATEVALUE($A113),'recurring1_based on steps'!AF$1:AF$400,0)),AF$2,)</f>
        <v>0</v>
      </c>
      <c r="AG113" s="179">
        <f ca="1">IF(ISNUMBER(MATCH(DATEVALUE($A113),'recurring1_based on steps'!AG$1:AG$400,0)),AG$2,)</f>
        <v>0</v>
      </c>
      <c r="AH113" s="179">
        <f ca="1">IF(ISNUMBER(MATCH(DATEVALUE($A113),'recurring1_based on steps'!AH$1:AH$400,0)),AH$2,)</f>
        <v>0</v>
      </c>
      <c r="AI113" s="179">
        <f ca="1">IF(ISNUMBER(MATCH(DATEVALUE($A113),'recurring1_based on steps'!AI$1:AI$400,0)),AI$2,)</f>
        <v>0</v>
      </c>
      <c r="AJ113" s="179">
        <f ca="1">IF(ISNUMBER(MATCH(DATEVALUE($A113),'recurring1_based on steps'!AJ$1:AJ$400,0)),AJ$2,)</f>
        <v>0</v>
      </c>
      <c r="AK113" s="179">
        <f ca="1">IF(ISNUMBER(MATCH(DATEVALUE($A113),'recurring1_based on steps'!AK$1:AK$400,0)),AK$2,)</f>
        <v>0</v>
      </c>
      <c r="AL113" s="179">
        <f ca="1">IF(ISNUMBER(MATCH(DATEVALUE($A113),'recurring1_based on steps'!AL$1:AL$400,0)),AL$2,)</f>
        <v>0</v>
      </c>
      <c r="AM113" s="179">
        <f ca="1">IF(ISNUMBER(MATCH(DATEVALUE($A113),'recurring1_based on steps'!AM$1:AM$400,0)),AM$2,)</f>
        <v>0</v>
      </c>
      <c r="AN113" s="179">
        <f ca="1">IF(ISNUMBER(MATCH(DATEVALUE($A113),'recurring1_based on steps'!AN$1:AN$400,0)),AN$2,)</f>
        <v>0</v>
      </c>
      <c r="AO113" s="179">
        <f ca="1">IF(ISNUMBER(MATCH(DATEVALUE($A113),'recurring1_based on steps'!AO$1:AO$400,0)),AO$2,)</f>
        <v>0</v>
      </c>
      <c r="AP113" s="179">
        <f ca="1">IF(ISNUMBER(MATCH(DATEVALUE($A113),'recurring1_based on steps'!AP$1:AP$400,0)),AP$2,)</f>
        <v>0</v>
      </c>
      <c r="AQ113" s="179">
        <f ca="1">IF(ISNUMBER(MATCH(DATEVALUE($A113),'recurring1_based on steps'!AQ$1:AQ$400,0)),AQ$2,)</f>
        <v>0</v>
      </c>
      <c r="AR113" s="179">
        <f ca="1">IF(ISNUMBER(MATCH(DATEVALUE($A113),'recurring1_based on steps'!AR$1:AR$400,0)),AR$2,)</f>
        <v>0</v>
      </c>
      <c r="AS113" s="179">
        <f ca="1">IF(ISNUMBER(MATCH(DATEVALUE($A113),'recurring1_based on steps'!AS$1:AS$400,0)),AS$2,)</f>
        <v>0</v>
      </c>
      <c r="AT113" s="179">
        <f ca="1">IF(ISNUMBER(MATCH(DATEVALUE($A113),'recurring1_based on steps'!AT$1:AT$400,0)),AT$2,)</f>
        <v>0</v>
      </c>
      <c r="AU113" s="179">
        <f ca="1">IF(ISNUMBER(MATCH(DATEVALUE($A113),'recurring1_based on steps'!AU$1:AU$400,0)),AU$2,)</f>
        <v>0</v>
      </c>
      <c r="AV113" s="179">
        <f ca="1">IF(ISNUMBER(MATCH(DATEVALUE($A113),'recurring1_based on steps'!AV$1:AV$400,0)),AV$2,)</f>
        <v>0</v>
      </c>
      <c r="AW113" s="179">
        <f ca="1">IF(ISNUMBER(MATCH(DATEVALUE($A113),'recurring1_based on steps'!AW$1:AW$400,0)),AW$2,)</f>
        <v>0</v>
      </c>
      <c r="AX113" s="179">
        <f ca="1">IF(ISNUMBER(MATCH(DATEVALUE($A113),'recurring1_based on steps'!AX$1:AX$400,0)),AX$2,)</f>
        <v>0</v>
      </c>
      <c r="AY113" s="179">
        <f ca="1">IF(ISNUMBER(MATCH(DATEVALUE($A113),'recurring1_based on steps'!AY$1:AY$400,0)),AY$2,)</f>
        <v>0</v>
      </c>
    </row>
    <row r="114" spans="1:51" x14ac:dyDescent="0.2">
      <c r="A114" s="32" t="str">
        <f t="shared" ca="1" si="1"/>
        <v>2025-07-18</v>
      </c>
      <c r="B114" s="179">
        <f ca="1">IF(ISNUMBER(MATCH(DATEVALUE($A114),'recurring1_based on steps'!B$1:B$400,0)),B$2,)</f>
        <v>0</v>
      </c>
      <c r="C114" s="179">
        <f ca="1">IF(ISNUMBER(MATCH(DATEVALUE($A114),'recurring1_based on steps'!C$1:C$400,0)),C$2,)</f>
        <v>0</v>
      </c>
      <c r="D114" s="179">
        <f ca="1">IF(ISNUMBER(MATCH(DATEVALUE($A114),'recurring1_based on steps'!D$1:D$400,0)),D$2,)</f>
        <v>0</v>
      </c>
      <c r="E114" s="179">
        <f ca="1">IF(ISNUMBER(MATCH(DATEVALUE($A114),'recurring1_based on steps'!E$1:E$400,0)),E$2,)</f>
        <v>0</v>
      </c>
      <c r="F114" s="179">
        <f ca="1">IF(ISNUMBER(MATCH(DATEVALUE($A114),'recurring1_based on steps'!F$1:F$400,0)),F$2,)</f>
        <v>0</v>
      </c>
      <c r="G114" s="179">
        <f ca="1">IF(ISNUMBER(MATCH(DATEVALUE($A114),'recurring1_based on steps'!G$1:G$400,0)),G$2,)</f>
        <v>0</v>
      </c>
      <c r="H114" s="179">
        <f ca="1">IF(ISNUMBER(MATCH(DATEVALUE($A114),'recurring1_based on steps'!H$1:H$400,0)),H$2,)</f>
        <v>0</v>
      </c>
      <c r="I114" s="179">
        <f ca="1">IF(ISNUMBER(MATCH(DATEVALUE($A114),'recurring1_based on steps'!I$1:I$400,0)),I$2,)</f>
        <v>0</v>
      </c>
      <c r="J114" s="179">
        <f ca="1">IF(ISNUMBER(MATCH(DATEVALUE($A114),'recurring1_based on steps'!J$1:J$400,0)),J$2,)</f>
        <v>0</v>
      </c>
      <c r="K114" s="179">
        <f ca="1">IF(ISNUMBER(MATCH(DATEVALUE($A114),'recurring1_based on steps'!K$1:K$400,0)),K$2,)</f>
        <v>0</v>
      </c>
      <c r="L114" s="179">
        <f ca="1">IF(ISNUMBER(MATCH(DATEVALUE($A114),'recurring1_based on steps'!L$1:L$400,0)),L$2,)</f>
        <v>0</v>
      </c>
      <c r="M114" s="179">
        <f ca="1">IF(ISNUMBER(MATCH(DATEVALUE($A114),'recurring1_based on steps'!M$1:M$400,0)),M$2,)</f>
        <v>0</v>
      </c>
      <c r="N114" s="179">
        <f ca="1">IF(ISNUMBER(MATCH(DATEVALUE($A114),'recurring1_based on steps'!N$1:N$400,0)),N$2,)</f>
        <v>0</v>
      </c>
      <c r="O114" s="179">
        <f ca="1">IF(ISNUMBER(MATCH(DATEVALUE($A114),'recurring1_based on steps'!O$1:O$400,0)),O$2,)</f>
        <v>0</v>
      </c>
      <c r="P114" s="179">
        <f ca="1">IF(ISNUMBER(MATCH(DATEVALUE($A114),'recurring1_based on steps'!P$1:P$400,0)),P$2,)</f>
        <v>0</v>
      </c>
      <c r="Q114" s="179">
        <f ca="1">IF(ISNUMBER(MATCH(DATEVALUE($A114),'recurring1_based on steps'!Q$1:Q$400,0)),Q$2,)</f>
        <v>0</v>
      </c>
      <c r="R114" s="179">
        <f ca="1">IF(ISNUMBER(MATCH(DATEVALUE($A114),'recurring1_based on steps'!R$1:R$400,0)),R$2,)</f>
        <v>0</v>
      </c>
      <c r="S114" s="179">
        <f ca="1">IF(ISNUMBER(MATCH(DATEVALUE($A114),'recurring1_based on steps'!S$1:S$400,0)),S$2,)</f>
        <v>0</v>
      </c>
      <c r="T114" s="179">
        <f ca="1">IF(ISNUMBER(MATCH(DATEVALUE($A114),'recurring1_based on steps'!T$1:T$400,0)),T$2,)</f>
        <v>0</v>
      </c>
      <c r="U114" s="179">
        <f ca="1">IF(ISNUMBER(MATCH(DATEVALUE($A114),'recurring1_based on steps'!U$1:U$400,0)),U$2,)</f>
        <v>0</v>
      </c>
      <c r="V114" s="179">
        <f ca="1">IF(ISNUMBER(MATCH(DATEVALUE($A114),'recurring1_based on steps'!V$1:V$400,0)),V$2,)</f>
        <v>0</v>
      </c>
      <c r="W114" s="179">
        <f ca="1">IF(ISNUMBER(MATCH(DATEVALUE($A114),'recurring1_based on steps'!W$1:W$400,0)),W$2,)</f>
        <v>0</v>
      </c>
      <c r="X114" s="179">
        <f ca="1">IF(ISNUMBER(MATCH(DATEVALUE($A114),'recurring1_based on steps'!X$1:X$400,0)),X$2,)</f>
        <v>0</v>
      </c>
      <c r="Y114" s="179">
        <f ca="1">IF(ISNUMBER(MATCH(DATEVALUE($A114),'recurring1_based on steps'!Y$1:Y$400,0)),Y$2,)</f>
        <v>0</v>
      </c>
      <c r="Z114" s="179">
        <f ca="1">IF(ISNUMBER(MATCH(DATEVALUE($A114),'recurring1_based on steps'!Z$1:Z$400,0)),Z$2,)</f>
        <v>0</v>
      </c>
      <c r="AA114" s="179">
        <f ca="1">IF(ISNUMBER(MATCH(DATEVALUE($A114),'recurring1_based on steps'!AA$1:AA$400,0)),AA$2,)</f>
        <v>0</v>
      </c>
      <c r="AB114" s="179">
        <f ca="1">IF(ISNUMBER(MATCH(DATEVALUE($A114),'recurring1_based on steps'!AB$1:AB$400,0)),AB$2,)</f>
        <v>0</v>
      </c>
      <c r="AC114" s="179">
        <f ca="1">IF(ISNUMBER(MATCH(DATEVALUE($A114),'recurring1_based on steps'!AC$1:AC$400,0)),AC$2,)</f>
        <v>0</v>
      </c>
      <c r="AD114" s="179">
        <f ca="1">IF(ISNUMBER(MATCH(DATEVALUE($A114),'recurring1_based on steps'!AD$1:AD$400,0)),AD$2,)</f>
        <v>0</v>
      </c>
      <c r="AE114" s="179">
        <f ca="1">IF(ISNUMBER(MATCH(DATEVALUE($A114),'recurring1_based on steps'!AE$1:AE$400,0)),AE$2,)</f>
        <v>0</v>
      </c>
      <c r="AF114" s="179">
        <f ca="1">IF(ISNUMBER(MATCH(DATEVALUE($A114),'recurring1_based on steps'!AF$1:AF$400,0)),AF$2,)</f>
        <v>0</v>
      </c>
      <c r="AG114" s="179">
        <f ca="1">IF(ISNUMBER(MATCH(DATEVALUE($A114),'recurring1_based on steps'!AG$1:AG$400,0)),AG$2,)</f>
        <v>0</v>
      </c>
      <c r="AH114" s="179">
        <f ca="1">IF(ISNUMBER(MATCH(DATEVALUE($A114),'recurring1_based on steps'!AH$1:AH$400,0)),AH$2,)</f>
        <v>0</v>
      </c>
      <c r="AI114" s="179">
        <f ca="1">IF(ISNUMBER(MATCH(DATEVALUE($A114),'recurring1_based on steps'!AI$1:AI$400,0)),AI$2,)</f>
        <v>0</v>
      </c>
      <c r="AJ114" s="179">
        <f ca="1">IF(ISNUMBER(MATCH(DATEVALUE($A114),'recurring1_based on steps'!AJ$1:AJ$400,0)),AJ$2,)</f>
        <v>0</v>
      </c>
      <c r="AK114" s="179">
        <f ca="1">IF(ISNUMBER(MATCH(DATEVALUE($A114),'recurring1_based on steps'!AK$1:AK$400,0)),AK$2,)</f>
        <v>0</v>
      </c>
      <c r="AL114" s="179">
        <f ca="1">IF(ISNUMBER(MATCH(DATEVALUE($A114),'recurring1_based on steps'!AL$1:AL$400,0)),AL$2,)</f>
        <v>0</v>
      </c>
      <c r="AM114" s="179">
        <f ca="1">IF(ISNUMBER(MATCH(DATEVALUE($A114),'recurring1_based on steps'!AM$1:AM$400,0)),AM$2,)</f>
        <v>0</v>
      </c>
      <c r="AN114" s="179">
        <f ca="1">IF(ISNUMBER(MATCH(DATEVALUE($A114),'recurring1_based on steps'!AN$1:AN$400,0)),AN$2,)</f>
        <v>0</v>
      </c>
      <c r="AO114" s="179">
        <f ca="1">IF(ISNUMBER(MATCH(DATEVALUE($A114),'recurring1_based on steps'!AO$1:AO$400,0)),AO$2,)</f>
        <v>0</v>
      </c>
      <c r="AP114" s="179">
        <f ca="1">IF(ISNUMBER(MATCH(DATEVALUE($A114),'recurring1_based on steps'!AP$1:AP$400,0)),AP$2,)</f>
        <v>0</v>
      </c>
      <c r="AQ114" s="179">
        <f ca="1">IF(ISNUMBER(MATCH(DATEVALUE($A114),'recurring1_based on steps'!AQ$1:AQ$400,0)),AQ$2,)</f>
        <v>0</v>
      </c>
      <c r="AR114" s="179">
        <f ca="1">IF(ISNUMBER(MATCH(DATEVALUE($A114),'recurring1_based on steps'!AR$1:AR$400,0)),AR$2,)</f>
        <v>0</v>
      </c>
      <c r="AS114" s="179">
        <f ca="1">IF(ISNUMBER(MATCH(DATEVALUE($A114),'recurring1_based on steps'!AS$1:AS$400,0)),AS$2,)</f>
        <v>0</v>
      </c>
      <c r="AT114" s="179">
        <f ca="1">IF(ISNUMBER(MATCH(DATEVALUE($A114),'recurring1_based on steps'!AT$1:AT$400,0)),AT$2,)</f>
        <v>0</v>
      </c>
      <c r="AU114" s="179">
        <f ca="1">IF(ISNUMBER(MATCH(DATEVALUE($A114),'recurring1_based on steps'!AU$1:AU$400,0)),AU$2,)</f>
        <v>0</v>
      </c>
      <c r="AV114" s="179">
        <f ca="1">IF(ISNUMBER(MATCH(DATEVALUE($A114),'recurring1_based on steps'!AV$1:AV$400,0)),AV$2,)</f>
        <v>0</v>
      </c>
      <c r="AW114" s="179">
        <f ca="1">IF(ISNUMBER(MATCH(DATEVALUE($A114),'recurring1_based on steps'!AW$1:AW$400,0)),AW$2,)</f>
        <v>0</v>
      </c>
      <c r="AX114" s="179">
        <f ca="1">IF(ISNUMBER(MATCH(DATEVALUE($A114),'recurring1_based on steps'!AX$1:AX$400,0)),AX$2,)</f>
        <v>0</v>
      </c>
      <c r="AY114" s="179">
        <f ca="1">IF(ISNUMBER(MATCH(DATEVALUE($A114),'recurring1_based on steps'!AY$1:AY$400,0)),AY$2,)</f>
        <v>0</v>
      </c>
    </row>
    <row r="115" spans="1:51" x14ac:dyDescent="0.2">
      <c r="A115" s="32" t="str">
        <f t="shared" ca="1" si="1"/>
        <v>2025-07-19</v>
      </c>
      <c r="B115" s="179">
        <f ca="1">IF(ISNUMBER(MATCH(DATEVALUE($A115),'recurring1_based on steps'!B$1:B$400,0)),B$2,)</f>
        <v>0</v>
      </c>
      <c r="C115" s="179">
        <f ca="1">IF(ISNUMBER(MATCH(DATEVALUE($A115),'recurring1_based on steps'!C$1:C$400,0)),C$2,)</f>
        <v>0</v>
      </c>
      <c r="D115" s="179">
        <f ca="1">IF(ISNUMBER(MATCH(DATEVALUE($A115),'recurring1_based on steps'!D$1:D$400,0)),D$2,)</f>
        <v>0</v>
      </c>
      <c r="E115" s="179">
        <f ca="1">IF(ISNUMBER(MATCH(DATEVALUE($A115),'recurring1_based on steps'!E$1:E$400,0)),E$2,)</f>
        <v>0</v>
      </c>
      <c r="F115" s="179">
        <f ca="1">IF(ISNUMBER(MATCH(DATEVALUE($A115),'recurring1_based on steps'!F$1:F$400,0)),F$2,)</f>
        <v>0</v>
      </c>
      <c r="G115" s="179">
        <f ca="1">IF(ISNUMBER(MATCH(DATEVALUE($A115),'recurring1_based on steps'!G$1:G$400,0)),G$2,)</f>
        <v>0</v>
      </c>
      <c r="H115" s="179">
        <f ca="1">IF(ISNUMBER(MATCH(DATEVALUE($A115),'recurring1_based on steps'!H$1:H$400,0)),H$2,)</f>
        <v>0</v>
      </c>
      <c r="I115" s="179">
        <f ca="1">IF(ISNUMBER(MATCH(DATEVALUE($A115),'recurring1_based on steps'!I$1:I$400,0)),I$2,)</f>
        <v>0</v>
      </c>
      <c r="J115" s="179">
        <f ca="1">IF(ISNUMBER(MATCH(DATEVALUE($A115),'recurring1_based on steps'!J$1:J$400,0)),J$2,)</f>
        <v>0</v>
      </c>
      <c r="K115" s="179">
        <f ca="1">IF(ISNUMBER(MATCH(DATEVALUE($A115),'recurring1_based on steps'!K$1:K$400,0)),K$2,)</f>
        <v>0</v>
      </c>
      <c r="L115" s="179">
        <f ca="1">IF(ISNUMBER(MATCH(DATEVALUE($A115),'recurring1_based on steps'!L$1:L$400,0)),L$2,)</f>
        <v>0</v>
      </c>
      <c r="M115" s="179">
        <f ca="1">IF(ISNUMBER(MATCH(DATEVALUE($A115),'recurring1_based on steps'!M$1:M$400,0)),M$2,)</f>
        <v>0</v>
      </c>
      <c r="N115" s="179">
        <f ca="1">IF(ISNUMBER(MATCH(DATEVALUE($A115),'recurring1_based on steps'!N$1:N$400,0)),N$2,)</f>
        <v>0</v>
      </c>
      <c r="O115" s="179">
        <f ca="1">IF(ISNUMBER(MATCH(DATEVALUE($A115),'recurring1_based on steps'!O$1:O$400,0)),O$2,)</f>
        <v>0</v>
      </c>
      <c r="P115" s="179">
        <f ca="1">IF(ISNUMBER(MATCH(DATEVALUE($A115),'recurring1_based on steps'!P$1:P$400,0)),P$2,)</f>
        <v>0</v>
      </c>
      <c r="Q115" s="179">
        <f ca="1">IF(ISNUMBER(MATCH(DATEVALUE($A115),'recurring1_based on steps'!Q$1:Q$400,0)),Q$2,)</f>
        <v>0</v>
      </c>
      <c r="R115" s="179">
        <f ca="1">IF(ISNUMBER(MATCH(DATEVALUE($A115),'recurring1_based on steps'!R$1:R$400,0)),R$2,)</f>
        <v>0</v>
      </c>
      <c r="S115" s="179">
        <f ca="1">IF(ISNUMBER(MATCH(DATEVALUE($A115),'recurring1_based on steps'!S$1:S$400,0)),S$2,)</f>
        <v>0</v>
      </c>
      <c r="T115" s="179">
        <f ca="1">IF(ISNUMBER(MATCH(DATEVALUE($A115),'recurring1_based on steps'!T$1:T$400,0)),T$2,)</f>
        <v>0</v>
      </c>
      <c r="U115" s="179">
        <f ca="1">IF(ISNUMBER(MATCH(DATEVALUE($A115),'recurring1_based on steps'!U$1:U$400,0)),U$2,)</f>
        <v>0</v>
      </c>
      <c r="V115" s="179">
        <f ca="1">IF(ISNUMBER(MATCH(DATEVALUE($A115),'recurring1_based on steps'!V$1:V$400,0)),V$2,)</f>
        <v>0</v>
      </c>
      <c r="W115" s="179">
        <f ca="1">IF(ISNUMBER(MATCH(DATEVALUE($A115),'recurring1_based on steps'!W$1:W$400,0)),W$2,)</f>
        <v>0</v>
      </c>
      <c r="X115" s="179">
        <f ca="1">IF(ISNUMBER(MATCH(DATEVALUE($A115),'recurring1_based on steps'!X$1:X$400,0)),X$2,)</f>
        <v>0</v>
      </c>
      <c r="Y115" s="179">
        <f ca="1">IF(ISNUMBER(MATCH(DATEVALUE($A115),'recurring1_based on steps'!Y$1:Y$400,0)),Y$2,)</f>
        <v>0</v>
      </c>
      <c r="Z115" s="179">
        <f ca="1">IF(ISNUMBER(MATCH(DATEVALUE($A115),'recurring1_based on steps'!Z$1:Z$400,0)),Z$2,)</f>
        <v>0</v>
      </c>
      <c r="AA115" s="179">
        <f ca="1">IF(ISNUMBER(MATCH(DATEVALUE($A115),'recurring1_based on steps'!AA$1:AA$400,0)),AA$2,)</f>
        <v>0</v>
      </c>
      <c r="AB115" s="179">
        <f ca="1">IF(ISNUMBER(MATCH(DATEVALUE($A115),'recurring1_based on steps'!AB$1:AB$400,0)),AB$2,)</f>
        <v>0</v>
      </c>
      <c r="AC115" s="179">
        <f ca="1">IF(ISNUMBER(MATCH(DATEVALUE($A115),'recurring1_based on steps'!AC$1:AC$400,0)),AC$2,)</f>
        <v>0</v>
      </c>
      <c r="AD115" s="179">
        <f ca="1">IF(ISNUMBER(MATCH(DATEVALUE($A115),'recurring1_based on steps'!AD$1:AD$400,0)),AD$2,)</f>
        <v>0</v>
      </c>
      <c r="AE115" s="179">
        <f ca="1">IF(ISNUMBER(MATCH(DATEVALUE($A115),'recurring1_based on steps'!AE$1:AE$400,0)),AE$2,)</f>
        <v>0</v>
      </c>
      <c r="AF115" s="179">
        <f ca="1">IF(ISNUMBER(MATCH(DATEVALUE($A115),'recurring1_based on steps'!AF$1:AF$400,0)),AF$2,)</f>
        <v>0</v>
      </c>
      <c r="AG115" s="179">
        <f ca="1">IF(ISNUMBER(MATCH(DATEVALUE($A115),'recurring1_based on steps'!AG$1:AG$400,0)),AG$2,)</f>
        <v>0</v>
      </c>
      <c r="AH115" s="179">
        <f ca="1">IF(ISNUMBER(MATCH(DATEVALUE($A115),'recurring1_based on steps'!AH$1:AH$400,0)),AH$2,)</f>
        <v>0</v>
      </c>
      <c r="AI115" s="179">
        <f ca="1">IF(ISNUMBER(MATCH(DATEVALUE($A115),'recurring1_based on steps'!AI$1:AI$400,0)),AI$2,)</f>
        <v>0</v>
      </c>
      <c r="AJ115" s="179">
        <f ca="1">IF(ISNUMBER(MATCH(DATEVALUE($A115),'recurring1_based on steps'!AJ$1:AJ$400,0)),AJ$2,)</f>
        <v>0</v>
      </c>
      <c r="AK115" s="179">
        <f ca="1">IF(ISNUMBER(MATCH(DATEVALUE($A115),'recurring1_based on steps'!AK$1:AK$400,0)),AK$2,)</f>
        <v>0</v>
      </c>
      <c r="AL115" s="179">
        <f ca="1">IF(ISNUMBER(MATCH(DATEVALUE($A115),'recurring1_based on steps'!AL$1:AL$400,0)),AL$2,)</f>
        <v>0</v>
      </c>
      <c r="AM115" s="179">
        <f ca="1">IF(ISNUMBER(MATCH(DATEVALUE($A115),'recurring1_based on steps'!AM$1:AM$400,0)),AM$2,)</f>
        <v>0</v>
      </c>
      <c r="AN115" s="179">
        <f ca="1">IF(ISNUMBER(MATCH(DATEVALUE($A115),'recurring1_based on steps'!AN$1:AN$400,0)),AN$2,)</f>
        <v>0</v>
      </c>
      <c r="AO115" s="179">
        <f ca="1">IF(ISNUMBER(MATCH(DATEVALUE($A115),'recurring1_based on steps'!AO$1:AO$400,0)),AO$2,)</f>
        <v>0</v>
      </c>
      <c r="AP115" s="179">
        <f ca="1">IF(ISNUMBER(MATCH(DATEVALUE($A115),'recurring1_based on steps'!AP$1:AP$400,0)),AP$2,)</f>
        <v>0</v>
      </c>
      <c r="AQ115" s="179">
        <f ca="1">IF(ISNUMBER(MATCH(DATEVALUE($A115),'recurring1_based on steps'!AQ$1:AQ$400,0)),AQ$2,)</f>
        <v>0</v>
      </c>
      <c r="AR115" s="179">
        <f ca="1">IF(ISNUMBER(MATCH(DATEVALUE($A115),'recurring1_based on steps'!AR$1:AR$400,0)),AR$2,)</f>
        <v>0</v>
      </c>
      <c r="AS115" s="179">
        <f ca="1">IF(ISNUMBER(MATCH(DATEVALUE($A115),'recurring1_based on steps'!AS$1:AS$400,0)),AS$2,)</f>
        <v>0</v>
      </c>
      <c r="AT115" s="179">
        <f ca="1">IF(ISNUMBER(MATCH(DATEVALUE($A115),'recurring1_based on steps'!AT$1:AT$400,0)),AT$2,)</f>
        <v>0</v>
      </c>
      <c r="AU115" s="179">
        <f ca="1">IF(ISNUMBER(MATCH(DATEVALUE($A115),'recurring1_based on steps'!AU$1:AU$400,0)),AU$2,)</f>
        <v>0</v>
      </c>
      <c r="AV115" s="179">
        <f ca="1">IF(ISNUMBER(MATCH(DATEVALUE($A115),'recurring1_based on steps'!AV$1:AV$400,0)),AV$2,)</f>
        <v>0</v>
      </c>
      <c r="AW115" s="179">
        <f ca="1">IF(ISNUMBER(MATCH(DATEVALUE($A115),'recurring1_based on steps'!AW$1:AW$400,0)),AW$2,)</f>
        <v>0</v>
      </c>
      <c r="AX115" s="179">
        <f ca="1">IF(ISNUMBER(MATCH(DATEVALUE($A115),'recurring1_based on steps'!AX$1:AX$400,0)),AX$2,)</f>
        <v>0</v>
      </c>
      <c r="AY115" s="179">
        <f ca="1">IF(ISNUMBER(MATCH(DATEVALUE($A115),'recurring1_based on steps'!AY$1:AY$400,0)),AY$2,)</f>
        <v>0</v>
      </c>
    </row>
    <row r="116" spans="1:51" x14ac:dyDescent="0.2">
      <c r="A116" s="32" t="str">
        <f t="shared" ca="1" si="1"/>
        <v>2025-07-20</v>
      </c>
      <c r="B116" s="179">
        <f ca="1">IF(ISNUMBER(MATCH(DATEVALUE($A116),'recurring1_based on steps'!B$1:B$400,0)),B$2,)</f>
        <v>0</v>
      </c>
      <c r="C116" s="179">
        <f ca="1">IF(ISNUMBER(MATCH(DATEVALUE($A116),'recurring1_based on steps'!C$1:C$400,0)),C$2,)</f>
        <v>0</v>
      </c>
      <c r="D116" s="179">
        <f ca="1">IF(ISNUMBER(MATCH(DATEVALUE($A116),'recurring1_based on steps'!D$1:D$400,0)),D$2,)</f>
        <v>0</v>
      </c>
      <c r="E116" s="179">
        <f ca="1">IF(ISNUMBER(MATCH(DATEVALUE($A116),'recurring1_based on steps'!E$1:E$400,0)),E$2,)</f>
        <v>0</v>
      </c>
      <c r="F116" s="179">
        <f ca="1">IF(ISNUMBER(MATCH(DATEVALUE($A116),'recurring1_based on steps'!F$1:F$400,0)),F$2,)</f>
        <v>0</v>
      </c>
      <c r="G116" s="179">
        <f ca="1">IF(ISNUMBER(MATCH(DATEVALUE($A116),'recurring1_based on steps'!G$1:G$400,0)),G$2,)</f>
        <v>0</v>
      </c>
      <c r="H116" s="179">
        <f ca="1">IF(ISNUMBER(MATCH(DATEVALUE($A116),'recurring1_based on steps'!H$1:H$400,0)),H$2,)</f>
        <v>0</v>
      </c>
      <c r="I116" s="179">
        <f ca="1">IF(ISNUMBER(MATCH(DATEVALUE($A116),'recurring1_based on steps'!I$1:I$400,0)),I$2,)</f>
        <v>0</v>
      </c>
      <c r="J116" s="179">
        <f ca="1">IF(ISNUMBER(MATCH(DATEVALUE($A116),'recurring1_based on steps'!J$1:J$400,0)),J$2,)</f>
        <v>0</v>
      </c>
      <c r="K116" s="179">
        <f ca="1">IF(ISNUMBER(MATCH(DATEVALUE($A116),'recurring1_based on steps'!K$1:K$400,0)),K$2,)</f>
        <v>0</v>
      </c>
      <c r="L116" s="179">
        <f ca="1">IF(ISNUMBER(MATCH(DATEVALUE($A116),'recurring1_based on steps'!L$1:L$400,0)),L$2,)</f>
        <v>0</v>
      </c>
      <c r="M116" s="179">
        <f ca="1">IF(ISNUMBER(MATCH(DATEVALUE($A116),'recurring1_based on steps'!M$1:M$400,0)),M$2,)</f>
        <v>0</v>
      </c>
      <c r="N116" s="179">
        <f ca="1">IF(ISNUMBER(MATCH(DATEVALUE($A116),'recurring1_based on steps'!N$1:N$400,0)),N$2,)</f>
        <v>0</v>
      </c>
      <c r="O116" s="179">
        <f ca="1">IF(ISNUMBER(MATCH(DATEVALUE($A116),'recurring1_based on steps'!O$1:O$400,0)),O$2,)</f>
        <v>0</v>
      </c>
      <c r="P116" s="179">
        <f ca="1">IF(ISNUMBER(MATCH(DATEVALUE($A116),'recurring1_based on steps'!P$1:P$400,0)),P$2,)</f>
        <v>0</v>
      </c>
      <c r="Q116" s="179">
        <f ca="1">IF(ISNUMBER(MATCH(DATEVALUE($A116),'recurring1_based on steps'!Q$1:Q$400,0)),Q$2,)</f>
        <v>0</v>
      </c>
      <c r="R116" s="179">
        <f ca="1">IF(ISNUMBER(MATCH(DATEVALUE($A116),'recurring1_based on steps'!R$1:R$400,0)),R$2,)</f>
        <v>0</v>
      </c>
      <c r="S116" s="179">
        <f ca="1">IF(ISNUMBER(MATCH(DATEVALUE($A116),'recurring1_based on steps'!S$1:S$400,0)),S$2,)</f>
        <v>0</v>
      </c>
      <c r="T116" s="179">
        <f ca="1">IF(ISNUMBER(MATCH(DATEVALUE($A116),'recurring1_based on steps'!T$1:T$400,0)),T$2,)</f>
        <v>0</v>
      </c>
      <c r="U116" s="179">
        <f ca="1">IF(ISNUMBER(MATCH(DATEVALUE($A116),'recurring1_based on steps'!U$1:U$400,0)),U$2,)</f>
        <v>0</v>
      </c>
      <c r="V116" s="179">
        <f ca="1">IF(ISNUMBER(MATCH(DATEVALUE($A116),'recurring1_based on steps'!V$1:V$400,0)),V$2,)</f>
        <v>0</v>
      </c>
      <c r="W116" s="179">
        <f ca="1">IF(ISNUMBER(MATCH(DATEVALUE($A116),'recurring1_based on steps'!W$1:W$400,0)),W$2,)</f>
        <v>0</v>
      </c>
      <c r="X116" s="179">
        <f ca="1">IF(ISNUMBER(MATCH(DATEVALUE($A116),'recurring1_based on steps'!X$1:X$400,0)),X$2,)</f>
        <v>0</v>
      </c>
      <c r="Y116" s="179">
        <f ca="1">IF(ISNUMBER(MATCH(DATEVALUE($A116),'recurring1_based on steps'!Y$1:Y$400,0)),Y$2,)</f>
        <v>0</v>
      </c>
      <c r="Z116" s="179">
        <f ca="1">IF(ISNUMBER(MATCH(DATEVALUE($A116),'recurring1_based on steps'!Z$1:Z$400,0)),Z$2,)</f>
        <v>0</v>
      </c>
      <c r="AA116" s="179">
        <f ca="1">IF(ISNUMBER(MATCH(DATEVALUE($A116),'recurring1_based on steps'!AA$1:AA$400,0)),AA$2,)</f>
        <v>0</v>
      </c>
      <c r="AB116" s="179">
        <f ca="1">IF(ISNUMBER(MATCH(DATEVALUE($A116),'recurring1_based on steps'!AB$1:AB$400,0)),AB$2,)</f>
        <v>0</v>
      </c>
      <c r="AC116" s="179">
        <f ca="1">IF(ISNUMBER(MATCH(DATEVALUE($A116),'recurring1_based on steps'!AC$1:AC$400,0)),AC$2,)</f>
        <v>0</v>
      </c>
      <c r="AD116" s="179">
        <f ca="1">IF(ISNUMBER(MATCH(DATEVALUE($A116),'recurring1_based on steps'!AD$1:AD$400,0)),AD$2,)</f>
        <v>0</v>
      </c>
      <c r="AE116" s="179">
        <f ca="1">IF(ISNUMBER(MATCH(DATEVALUE($A116),'recurring1_based on steps'!AE$1:AE$400,0)),AE$2,)</f>
        <v>0</v>
      </c>
      <c r="AF116" s="179">
        <f ca="1">IF(ISNUMBER(MATCH(DATEVALUE($A116),'recurring1_based on steps'!AF$1:AF$400,0)),AF$2,)</f>
        <v>0</v>
      </c>
      <c r="AG116" s="179">
        <f ca="1">IF(ISNUMBER(MATCH(DATEVALUE($A116),'recurring1_based on steps'!AG$1:AG$400,0)),AG$2,)</f>
        <v>0</v>
      </c>
      <c r="AH116" s="179">
        <f ca="1">IF(ISNUMBER(MATCH(DATEVALUE($A116),'recurring1_based on steps'!AH$1:AH$400,0)),AH$2,)</f>
        <v>0</v>
      </c>
      <c r="AI116" s="179">
        <f ca="1">IF(ISNUMBER(MATCH(DATEVALUE($A116),'recurring1_based on steps'!AI$1:AI$400,0)),AI$2,)</f>
        <v>0</v>
      </c>
      <c r="AJ116" s="179">
        <f ca="1">IF(ISNUMBER(MATCH(DATEVALUE($A116),'recurring1_based on steps'!AJ$1:AJ$400,0)),AJ$2,)</f>
        <v>0</v>
      </c>
      <c r="AK116" s="179">
        <f ca="1">IF(ISNUMBER(MATCH(DATEVALUE($A116),'recurring1_based on steps'!AK$1:AK$400,0)),AK$2,)</f>
        <v>0</v>
      </c>
      <c r="AL116" s="179">
        <f ca="1">IF(ISNUMBER(MATCH(DATEVALUE($A116),'recurring1_based on steps'!AL$1:AL$400,0)),AL$2,)</f>
        <v>0</v>
      </c>
      <c r="AM116" s="179">
        <f ca="1">IF(ISNUMBER(MATCH(DATEVALUE($A116),'recurring1_based on steps'!AM$1:AM$400,0)),AM$2,)</f>
        <v>0</v>
      </c>
      <c r="AN116" s="179">
        <f ca="1">IF(ISNUMBER(MATCH(DATEVALUE($A116),'recurring1_based on steps'!AN$1:AN$400,0)),AN$2,)</f>
        <v>0</v>
      </c>
      <c r="AO116" s="179">
        <f ca="1">IF(ISNUMBER(MATCH(DATEVALUE($A116),'recurring1_based on steps'!AO$1:AO$400,0)),AO$2,)</f>
        <v>0</v>
      </c>
      <c r="AP116" s="179">
        <f ca="1">IF(ISNUMBER(MATCH(DATEVALUE($A116),'recurring1_based on steps'!AP$1:AP$400,0)),AP$2,)</f>
        <v>0</v>
      </c>
      <c r="AQ116" s="179">
        <f ca="1">IF(ISNUMBER(MATCH(DATEVALUE($A116),'recurring1_based on steps'!AQ$1:AQ$400,0)),AQ$2,)</f>
        <v>0</v>
      </c>
      <c r="AR116" s="179">
        <f ca="1">IF(ISNUMBER(MATCH(DATEVALUE($A116),'recurring1_based on steps'!AR$1:AR$400,0)),AR$2,)</f>
        <v>0</v>
      </c>
      <c r="AS116" s="179">
        <f ca="1">IF(ISNUMBER(MATCH(DATEVALUE($A116),'recurring1_based on steps'!AS$1:AS$400,0)),AS$2,)</f>
        <v>0</v>
      </c>
      <c r="AT116" s="179">
        <f ca="1">IF(ISNUMBER(MATCH(DATEVALUE($A116),'recurring1_based on steps'!AT$1:AT$400,0)),AT$2,)</f>
        <v>0</v>
      </c>
      <c r="AU116" s="179">
        <f ca="1">IF(ISNUMBER(MATCH(DATEVALUE($A116),'recurring1_based on steps'!AU$1:AU$400,0)),AU$2,)</f>
        <v>0</v>
      </c>
      <c r="AV116" s="179">
        <f ca="1">IF(ISNUMBER(MATCH(DATEVALUE($A116),'recurring1_based on steps'!AV$1:AV$400,0)),AV$2,)</f>
        <v>0</v>
      </c>
      <c r="AW116" s="179">
        <f ca="1">IF(ISNUMBER(MATCH(DATEVALUE($A116),'recurring1_based on steps'!AW$1:AW$400,0)),AW$2,)</f>
        <v>0</v>
      </c>
      <c r="AX116" s="179">
        <f ca="1">IF(ISNUMBER(MATCH(DATEVALUE($A116),'recurring1_based on steps'!AX$1:AX$400,0)),AX$2,)</f>
        <v>0</v>
      </c>
      <c r="AY116" s="179">
        <f ca="1">IF(ISNUMBER(MATCH(DATEVALUE($A116),'recurring1_based on steps'!AY$1:AY$400,0)),AY$2,)</f>
        <v>0</v>
      </c>
    </row>
    <row r="117" spans="1:51" x14ac:dyDescent="0.2">
      <c r="A117" s="32" t="str">
        <f t="shared" ca="1" si="1"/>
        <v>2025-07-21</v>
      </c>
      <c r="B117" s="179">
        <f ca="1">IF(ISNUMBER(MATCH(DATEVALUE($A117),'recurring1_based on steps'!B$1:B$400,0)),B$2,)</f>
        <v>0</v>
      </c>
      <c r="C117" s="179">
        <f ca="1">IF(ISNUMBER(MATCH(DATEVALUE($A117),'recurring1_based on steps'!C$1:C$400,0)),C$2,)</f>
        <v>0</v>
      </c>
      <c r="D117" s="179">
        <f ca="1">IF(ISNUMBER(MATCH(DATEVALUE($A117),'recurring1_based on steps'!D$1:D$400,0)),D$2,)</f>
        <v>0</v>
      </c>
      <c r="E117" s="179">
        <f ca="1">IF(ISNUMBER(MATCH(DATEVALUE($A117),'recurring1_based on steps'!E$1:E$400,0)),E$2,)</f>
        <v>0</v>
      </c>
      <c r="F117" s="179">
        <f ca="1">IF(ISNUMBER(MATCH(DATEVALUE($A117),'recurring1_based on steps'!F$1:F$400,0)),F$2,)</f>
        <v>0</v>
      </c>
      <c r="G117" s="179">
        <f ca="1">IF(ISNUMBER(MATCH(DATEVALUE($A117),'recurring1_based on steps'!G$1:G$400,0)),G$2,)</f>
        <v>0</v>
      </c>
      <c r="H117" s="179">
        <f ca="1">IF(ISNUMBER(MATCH(DATEVALUE($A117),'recurring1_based on steps'!H$1:H$400,0)),H$2,)</f>
        <v>0</v>
      </c>
      <c r="I117" s="179">
        <f ca="1">IF(ISNUMBER(MATCH(DATEVALUE($A117),'recurring1_based on steps'!I$1:I$400,0)),I$2,)</f>
        <v>0</v>
      </c>
      <c r="J117" s="179">
        <f ca="1">IF(ISNUMBER(MATCH(DATEVALUE($A117),'recurring1_based on steps'!J$1:J$400,0)),J$2,)</f>
        <v>0</v>
      </c>
      <c r="K117" s="179">
        <f ca="1">IF(ISNUMBER(MATCH(DATEVALUE($A117),'recurring1_based on steps'!K$1:K$400,0)),K$2,)</f>
        <v>0</v>
      </c>
      <c r="L117" s="179">
        <f ca="1">IF(ISNUMBER(MATCH(DATEVALUE($A117),'recurring1_based on steps'!L$1:L$400,0)),L$2,)</f>
        <v>0</v>
      </c>
      <c r="M117" s="179">
        <f ca="1">IF(ISNUMBER(MATCH(DATEVALUE($A117),'recurring1_based on steps'!M$1:M$400,0)),M$2,)</f>
        <v>0</v>
      </c>
      <c r="N117" s="179">
        <f ca="1">IF(ISNUMBER(MATCH(DATEVALUE($A117),'recurring1_based on steps'!N$1:N$400,0)),N$2,)</f>
        <v>0</v>
      </c>
      <c r="O117" s="179">
        <f ca="1">IF(ISNUMBER(MATCH(DATEVALUE($A117),'recurring1_based on steps'!O$1:O$400,0)),O$2,)</f>
        <v>0</v>
      </c>
      <c r="P117" s="179">
        <f ca="1">IF(ISNUMBER(MATCH(DATEVALUE($A117),'recurring1_based on steps'!P$1:P$400,0)),P$2,)</f>
        <v>0</v>
      </c>
      <c r="Q117" s="179">
        <f ca="1">IF(ISNUMBER(MATCH(DATEVALUE($A117),'recurring1_based on steps'!Q$1:Q$400,0)),Q$2,)</f>
        <v>0</v>
      </c>
      <c r="R117" s="179">
        <f ca="1">IF(ISNUMBER(MATCH(DATEVALUE($A117),'recurring1_based on steps'!R$1:R$400,0)),R$2,)</f>
        <v>0</v>
      </c>
      <c r="S117" s="179">
        <f ca="1">IF(ISNUMBER(MATCH(DATEVALUE($A117),'recurring1_based on steps'!S$1:S$400,0)),S$2,)</f>
        <v>0</v>
      </c>
      <c r="T117" s="179">
        <f ca="1">IF(ISNUMBER(MATCH(DATEVALUE($A117),'recurring1_based on steps'!T$1:T$400,0)),T$2,)</f>
        <v>0</v>
      </c>
      <c r="U117" s="179">
        <f ca="1">IF(ISNUMBER(MATCH(DATEVALUE($A117),'recurring1_based on steps'!U$1:U$400,0)),U$2,)</f>
        <v>0</v>
      </c>
      <c r="V117" s="179">
        <f ca="1">IF(ISNUMBER(MATCH(DATEVALUE($A117),'recurring1_based on steps'!V$1:V$400,0)),V$2,)</f>
        <v>0</v>
      </c>
      <c r="W117" s="179">
        <f ca="1">IF(ISNUMBER(MATCH(DATEVALUE($A117),'recurring1_based on steps'!W$1:W$400,0)),W$2,)</f>
        <v>0</v>
      </c>
      <c r="X117" s="179">
        <f ca="1">IF(ISNUMBER(MATCH(DATEVALUE($A117),'recurring1_based on steps'!X$1:X$400,0)),X$2,)</f>
        <v>0</v>
      </c>
      <c r="Y117" s="179">
        <f ca="1">IF(ISNUMBER(MATCH(DATEVALUE($A117),'recurring1_based on steps'!Y$1:Y$400,0)),Y$2,)</f>
        <v>0</v>
      </c>
      <c r="Z117" s="179">
        <f ca="1">IF(ISNUMBER(MATCH(DATEVALUE($A117),'recurring1_based on steps'!Z$1:Z$400,0)),Z$2,)</f>
        <v>0</v>
      </c>
      <c r="AA117" s="179">
        <f ca="1">IF(ISNUMBER(MATCH(DATEVALUE($A117),'recurring1_based on steps'!AA$1:AA$400,0)),AA$2,)</f>
        <v>0</v>
      </c>
      <c r="AB117" s="179">
        <f ca="1">IF(ISNUMBER(MATCH(DATEVALUE($A117),'recurring1_based on steps'!AB$1:AB$400,0)),AB$2,)</f>
        <v>0</v>
      </c>
      <c r="AC117" s="179">
        <f ca="1">IF(ISNUMBER(MATCH(DATEVALUE($A117),'recurring1_based on steps'!AC$1:AC$400,0)),AC$2,)</f>
        <v>0</v>
      </c>
      <c r="AD117" s="179">
        <f ca="1">IF(ISNUMBER(MATCH(DATEVALUE($A117),'recurring1_based on steps'!AD$1:AD$400,0)),AD$2,)</f>
        <v>0</v>
      </c>
      <c r="AE117" s="179">
        <f ca="1">IF(ISNUMBER(MATCH(DATEVALUE($A117),'recurring1_based on steps'!AE$1:AE$400,0)),AE$2,)</f>
        <v>0</v>
      </c>
      <c r="AF117" s="179">
        <f ca="1">IF(ISNUMBER(MATCH(DATEVALUE($A117),'recurring1_based on steps'!AF$1:AF$400,0)),AF$2,)</f>
        <v>0</v>
      </c>
      <c r="AG117" s="179">
        <f ca="1">IF(ISNUMBER(MATCH(DATEVALUE($A117),'recurring1_based on steps'!AG$1:AG$400,0)),AG$2,)</f>
        <v>0</v>
      </c>
      <c r="AH117" s="179">
        <f ca="1">IF(ISNUMBER(MATCH(DATEVALUE($A117),'recurring1_based on steps'!AH$1:AH$400,0)),AH$2,)</f>
        <v>0</v>
      </c>
      <c r="AI117" s="179">
        <f ca="1">IF(ISNUMBER(MATCH(DATEVALUE($A117),'recurring1_based on steps'!AI$1:AI$400,0)),AI$2,)</f>
        <v>0</v>
      </c>
      <c r="AJ117" s="179">
        <f ca="1">IF(ISNUMBER(MATCH(DATEVALUE($A117),'recurring1_based on steps'!AJ$1:AJ$400,0)),AJ$2,)</f>
        <v>0</v>
      </c>
      <c r="AK117" s="179">
        <f ca="1">IF(ISNUMBER(MATCH(DATEVALUE($A117),'recurring1_based on steps'!AK$1:AK$400,0)),AK$2,)</f>
        <v>0</v>
      </c>
      <c r="AL117" s="179">
        <f ca="1">IF(ISNUMBER(MATCH(DATEVALUE($A117),'recurring1_based on steps'!AL$1:AL$400,0)),AL$2,)</f>
        <v>0</v>
      </c>
      <c r="AM117" s="179">
        <f ca="1">IF(ISNUMBER(MATCH(DATEVALUE($A117),'recurring1_based on steps'!AM$1:AM$400,0)),AM$2,)</f>
        <v>0</v>
      </c>
      <c r="AN117" s="179">
        <f ca="1">IF(ISNUMBER(MATCH(DATEVALUE($A117),'recurring1_based on steps'!AN$1:AN$400,0)),AN$2,)</f>
        <v>0</v>
      </c>
      <c r="AO117" s="179">
        <f ca="1">IF(ISNUMBER(MATCH(DATEVALUE($A117),'recurring1_based on steps'!AO$1:AO$400,0)),AO$2,)</f>
        <v>0</v>
      </c>
      <c r="AP117" s="179">
        <f ca="1">IF(ISNUMBER(MATCH(DATEVALUE($A117),'recurring1_based on steps'!AP$1:AP$400,0)),AP$2,)</f>
        <v>0</v>
      </c>
      <c r="AQ117" s="179">
        <f ca="1">IF(ISNUMBER(MATCH(DATEVALUE($A117),'recurring1_based on steps'!AQ$1:AQ$400,0)),AQ$2,)</f>
        <v>0</v>
      </c>
      <c r="AR117" s="179">
        <f ca="1">IF(ISNUMBER(MATCH(DATEVALUE($A117),'recurring1_based on steps'!AR$1:AR$400,0)),AR$2,)</f>
        <v>0</v>
      </c>
      <c r="AS117" s="179">
        <f ca="1">IF(ISNUMBER(MATCH(DATEVALUE($A117),'recurring1_based on steps'!AS$1:AS$400,0)),AS$2,)</f>
        <v>0</v>
      </c>
      <c r="AT117" s="179">
        <f ca="1">IF(ISNUMBER(MATCH(DATEVALUE($A117),'recurring1_based on steps'!AT$1:AT$400,0)),AT$2,)</f>
        <v>0</v>
      </c>
      <c r="AU117" s="179">
        <f ca="1">IF(ISNUMBER(MATCH(DATEVALUE($A117),'recurring1_based on steps'!AU$1:AU$400,0)),AU$2,)</f>
        <v>0</v>
      </c>
      <c r="AV117" s="179">
        <f ca="1">IF(ISNUMBER(MATCH(DATEVALUE($A117),'recurring1_based on steps'!AV$1:AV$400,0)),AV$2,)</f>
        <v>0</v>
      </c>
      <c r="AW117" s="179">
        <f ca="1">IF(ISNUMBER(MATCH(DATEVALUE($A117),'recurring1_based on steps'!AW$1:AW$400,0)),AW$2,)</f>
        <v>0</v>
      </c>
      <c r="AX117" s="179">
        <f ca="1">IF(ISNUMBER(MATCH(DATEVALUE($A117),'recurring1_based on steps'!AX$1:AX$400,0)),AX$2,)</f>
        <v>0</v>
      </c>
      <c r="AY117" s="179">
        <f ca="1">IF(ISNUMBER(MATCH(DATEVALUE($A117),'recurring1_based on steps'!AY$1:AY$400,0)),AY$2,)</f>
        <v>0</v>
      </c>
    </row>
    <row r="118" spans="1:51" x14ac:dyDescent="0.2">
      <c r="A118" s="32" t="str">
        <f t="shared" ca="1" si="1"/>
        <v>2025-07-22</v>
      </c>
      <c r="B118" s="179">
        <f ca="1">IF(ISNUMBER(MATCH(DATEVALUE($A118),'recurring1_based on steps'!B$1:B$400,0)),B$2,)</f>
        <v>0</v>
      </c>
      <c r="C118" s="179">
        <f ca="1">IF(ISNUMBER(MATCH(DATEVALUE($A118),'recurring1_based on steps'!C$1:C$400,0)),C$2,)</f>
        <v>0</v>
      </c>
      <c r="D118" s="179">
        <f ca="1">IF(ISNUMBER(MATCH(DATEVALUE($A118),'recurring1_based on steps'!D$1:D$400,0)),D$2,)</f>
        <v>0</v>
      </c>
      <c r="E118" s="179">
        <f ca="1">IF(ISNUMBER(MATCH(DATEVALUE($A118),'recurring1_based on steps'!E$1:E$400,0)),E$2,)</f>
        <v>0</v>
      </c>
      <c r="F118" s="179">
        <f ca="1">IF(ISNUMBER(MATCH(DATEVALUE($A118),'recurring1_based on steps'!F$1:F$400,0)),F$2,)</f>
        <v>0</v>
      </c>
      <c r="G118" s="179">
        <f ca="1">IF(ISNUMBER(MATCH(DATEVALUE($A118),'recurring1_based on steps'!G$1:G$400,0)),G$2,)</f>
        <v>0</v>
      </c>
      <c r="H118" s="179">
        <f ca="1">IF(ISNUMBER(MATCH(DATEVALUE($A118),'recurring1_based on steps'!H$1:H$400,0)),H$2,)</f>
        <v>0</v>
      </c>
      <c r="I118" s="179">
        <f ca="1">IF(ISNUMBER(MATCH(DATEVALUE($A118),'recurring1_based on steps'!I$1:I$400,0)),I$2,)</f>
        <v>0</v>
      </c>
      <c r="J118" s="179">
        <f ca="1">IF(ISNUMBER(MATCH(DATEVALUE($A118),'recurring1_based on steps'!J$1:J$400,0)),J$2,)</f>
        <v>0</v>
      </c>
      <c r="K118" s="179">
        <f ca="1">IF(ISNUMBER(MATCH(DATEVALUE($A118),'recurring1_based on steps'!K$1:K$400,0)),K$2,)</f>
        <v>0</v>
      </c>
      <c r="L118" s="179">
        <f ca="1">IF(ISNUMBER(MATCH(DATEVALUE($A118),'recurring1_based on steps'!L$1:L$400,0)),L$2,)</f>
        <v>0</v>
      </c>
      <c r="M118" s="179">
        <f ca="1">IF(ISNUMBER(MATCH(DATEVALUE($A118),'recurring1_based on steps'!M$1:M$400,0)),M$2,)</f>
        <v>0</v>
      </c>
      <c r="N118" s="179">
        <f ca="1">IF(ISNUMBER(MATCH(DATEVALUE($A118),'recurring1_based on steps'!N$1:N$400,0)),N$2,)</f>
        <v>0</v>
      </c>
      <c r="O118" s="179">
        <f ca="1">IF(ISNUMBER(MATCH(DATEVALUE($A118),'recurring1_based on steps'!O$1:O$400,0)),O$2,)</f>
        <v>0</v>
      </c>
      <c r="P118" s="179">
        <f ca="1">IF(ISNUMBER(MATCH(DATEVALUE($A118),'recurring1_based on steps'!P$1:P$400,0)),P$2,)</f>
        <v>0</v>
      </c>
      <c r="Q118" s="179">
        <f ca="1">IF(ISNUMBER(MATCH(DATEVALUE($A118),'recurring1_based on steps'!Q$1:Q$400,0)),Q$2,)</f>
        <v>0</v>
      </c>
      <c r="R118" s="179">
        <f ca="1">IF(ISNUMBER(MATCH(DATEVALUE($A118),'recurring1_based on steps'!R$1:R$400,0)),R$2,)</f>
        <v>0</v>
      </c>
      <c r="S118" s="179">
        <f ca="1">IF(ISNUMBER(MATCH(DATEVALUE($A118),'recurring1_based on steps'!S$1:S$400,0)),S$2,)</f>
        <v>0</v>
      </c>
      <c r="T118" s="179">
        <f ca="1">IF(ISNUMBER(MATCH(DATEVALUE($A118),'recurring1_based on steps'!T$1:T$400,0)),T$2,)</f>
        <v>0</v>
      </c>
      <c r="U118" s="179">
        <f ca="1">IF(ISNUMBER(MATCH(DATEVALUE($A118),'recurring1_based on steps'!U$1:U$400,0)),U$2,)</f>
        <v>0</v>
      </c>
      <c r="V118" s="179">
        <f ca="1">IF(ISNUMBER(MATCH(DATEVALUE($A118),'recurring1_based on steps'!V$1:V$400,0)),V$2,)</f>
        <v>0</v>
      </c>
      <c r="W118" s="179">
        <f ca="1">IF(ISNUMBER(MATCH(DATEVALUE($A118),'recurring1_based on steps'!W$1:W$400,0)),W$2,)</f>
        <v>0</v>
      </c>
      <c r="X118" s="179">
        <f ca="1">IF(ISNUMBER(MATCH(DATEVALUE($A118),'recurring1_based on steps'!X$1:X$400,0)),X$2,)</f>
        <v>0</v>
      </c>
      <c r="Y118" s="179">
        <f ca="1">IF(ISNUMBER(MATCH(DATEVALUE($A118),'recurring1_based on steps'!Y$1:Y$400,0)),Y$2,)</f>
        <v>0</v>
      </c>
      <c r="Z118" s="179">
        <f ca="1">IF(ISNUMBER(MATCH(DATEVALUE($A118),'recurring1_based on steps'!Z$1:Z$400,0)),Z$2,)</f>
        <v>0</v>
      </c>
      <c r="AA118" s="179">
        <f ca="1">IF(ISNUMBER(MATCH(DATEVALUE($A118),'recurring1_based on steps'!AA$1:AA$400,0)),AA$2,)</f>
        <v>0</v>
      </c>
      <c r="AB118" s="179">
        <f ca="1">IF(ISNUMBER(MATCH(DATEVALUE($A118),'recurring1_based on steps'!AB$1:AB$400,0)),AB$2,)</f>
        <v>0</v>
      </c>
      <c r="AC118" s="179">
        <f ca="1">IF(ISNUMBER(MATCH(DATEVALUE($A118),'recurring1_based on steps'!AC$1:AC$400,0)),AC$2,)</f>
        <v>0</v>
      </c>
      <c r="AD118" s="179">
        <f ca="1">IF(ISNUMBER(MATCH(DATEVALUE($A118),'recurring1_based on steps'!AD$1:AD$400,0)),AD$2,)</f>
        <v>0</v>
      </c>
      <c r="AE118" s="179">
        <f ca="1">IF(ISNUMBER(MATCH(DATEVALUE($A118),'recurring1_based on steps'!AE$1:AE$400,0)),AE$2,)</f>
        <v>0</v>
      </c>
      <c r="AF118" s="179">
        <f ca="1">IF(ISNUMBER(MATCH(DATEVALUE($A118),'recurring1_based on steps'!AF$1:AF$400,0)),AF$2,)</f>
        <v>0</v>
      </c>
      <c r="AG118" s="179">
        <f ca="1">IF(ISNUMBER(MATCH(DATEVALUE($A118),'recurring1_based on steps'!AG$1:AG$400,0)),AG$2,)</f>
        <v>0</v>
      </c>
      <c r="AH118" s="179">
        <f ca="1">IF(ISNUMBER(MATCH(DATEVALUE($A118),'recurring1_based on steps'!AH$1:AH$400,0)),AH$2,)</f>
        <v>0</v>
      </c>
      <c r="AI118" s="179">
        <f ca="1">IF(ISNUMBER(MATCH(DATEVALUE($A118),'recurring1_based on steps'!AI$1:AI$400,0)),AI$2,)</f>
        <v>0</v>
      </c>
      <c r="AJ118" s="179">
        <f ca="1">IF(ISNUMBER(MATCH(DATEVALUE($A118),'recurring1_based on steps'!AJ$1:AJ$400,0)),AJ$2,)</f>
        <v>0</v>
      </c>
      <c r="AK118" s="179">
        <f ca="1">IF(ISNUMBER(MATCH(DATEVALUE($A118),'recurring1_based on steps'!AK$1:AK$400,0)),AK$2,)</f>
        <v>0</v>
      </c>
      <c r="AL118" s="179">
        <f ca="1">IF(ISNUMBER(MATCH(DATEVALUE($A118),'recurring1_based on steps'!AL$1:AL$400,0)),AL$2,)</f>
        <v>0</v>
      </c>
      <c r="AM118" s="179">
        <f ca="1">IF(ISNUMBER(MATCH(DATEVALUE($A118),'recurring1_based on steps'!AM$1:AM$400,0)),AM$2,)</f>
        <v>0</v>
      </c>
      <c r="AN118" s="179">
        <f ca="1">IF(ISNUMBER(MATCH(DATEVALUE($A118),'recurring1_based on steps'!AN$1:AN$400,0)),AN$2,)</f>
        <v>0</v>
      </c>
      <c r="AO118" s="179">
        <f ca="1">IF(ISNUMBER(MATCH(DATEVALUE($A118),'recurring1_based on steps'!AO$1:AO$400,0)),AO$2,)</f>
        <v>0</v>
      </c>
      <c r="AP118" s="179">
        <f ca="1">IF(ISNUMBER(MATCH(DATEVALUE($A118),'recurring1_based on steps'!AP$1:AP$400,0)),AP$2,)</f>
        <v>0</v>
      </c>
      <c r="AQ118" s="179">
        <f ca="1">IF(ISNUMBER(MATCH(DATEVALUE($A118),'recurring1_based on steps'!AQ$1:AQ$400,0)),AQ$2,)</f>
        <v>0</v>
      </c>
      <c r="AR118" s="179">
        <f ca="1">IF(ISNUMBER(MATCH(DATEVALUE($A118),'recurring1_based on steps'!AR$1:AR$400,0)),AR$2,)</f>
        <v>0</v>
      </c>
      <c r="AS118" s="179">
        <f ca="1">IF(ISNUMBER(MATCH(DATEVALUE($A118),'recurring1_based on steps'!AS$1:AS$400,0)),AS$2,)</f>
        <v>0</v>
      </c>
      <c r="AT118" s="179">
        <f ca="1">IF(ISNUMBER(MATCH(DATEVALUE($A118),'recurring1_based on steps'!AT$1:AT$400,0)),AT$2,)</f>
        <v>0</v>
      </c>
      <c r="AU118" s="179">
        <f ca="1">IF(ISNUMBER(MATCH(DATEVALUE($A118),'recurring1_based on steps'!AU$1:AU$400,0)),AU$2,)</f>
        <v>0</v>
      </c>
      <c r="AV118" s="179">
        <f ca="1">IF(ISNUMBER(MATCH(DATEVALUE($A118),'recurring1_based on steps'!AV$1:AV$400,0)),AV$2,)</f>
        <v>0</v>
      </c>
      <c r="AW118" s="179">
        <f ca="1">IF(ISNUMBER(MATCH(DATEVALUE($A118),'recurring1_based on steps'!AW$1:AW$400,0)),AW$2,)</f>
        <v>0</v>
      </c>
      <c r="AX118" s="179">
        <f ca="1">IF(ISNUMBER(MATCH(DATEVALUE($A118),'recurring1_based on steps'!AX$1:AX$400,0)),AX$2,)</f>
        <v>0</v>
      </c>
      <c r="AY118" s="179">
        <f ca="1">IF(ISNUMBER(MATCH(DATEVALUE($A118),'recurring1_based on steps'!AY$1:AY$400,0)),AY$2,)</f>
        <v>0</v>
      </c>
    </row>
    <row r="119" spans="1:51" x14ac:dyDescent="0.2">
      <c r="A119" s="32" t="str">
        <f t="shared" ca="1" si="1"/>
        <v>2025-07-23</v>
      </c>
      <c r="B119" s="179">
        <f ca="1">IF(ISNUMBER(MATCH(DATEVALUE($A119),'recurring1_based on steps'!B$1:B$400,0)),B$2,)</f>
        <v>0</v>
      </c>
      <c r="C119" s="179">
        <f ca="1">IF(ISNUMBER(MATCH(DATEVALUE($A119),'recurring1_based on steps'!C$1:C$400,0)),C$2,)</f>
        <v>0</v>
      </c>
      <c r="D119" s="179">
        <f ca="1">IF(ISNUMBER(MATCH(DATEVALUE($A119),'recurring1_based on steps'!D$1:D$400,0)),D$2,)</f>
        <v>0</v>
      </c>
      <c r="E119" s="179">
        <f ca="1">IF(ISNUMBER(MATCH(DATEVALUE($A119),'recurring1_based on steps'!E$1:E$400,0)),E$2,)</f>
        <v>0</v>
      </c>
      <c r="F119" s="179">
        <f ca="1">IF(ISNUMBER(MATCH(DATEVALUE($A119),'recurring1_based on steps'!F$1:F$400,0)),F$2,)</f>
        <v>0</v>
      </c>
      <c r="G119" s="179">
        <f ca="1">IF(ISNUMBER(MATCH(DATEVALUE($A119),'recurring1_based on steps'!G$1:G$400,0)),G$2,)</f>
        <v>0</v>
      </c>
      <c r="H119" s="179">
        <f ca="1">IF(ISNUMBER(MATCH(DATEVALUE($A119),'recurring1_based on steps'!H$1:H$400,0)),H$2,)</f>
        <v>0</v>
      </c>
      <c r="I119" s="179">
        <f ca="1">IF(ISNUMBER(MATCH(DATEVALUE($A119),'recurring1_based on steps'!I$1:I$400,0)),I$2,)</f>
        <v>0</v>
      </c>
      <c r="J119" s="179">
        <f ca="1">IF(ISNUMBER(MATCH(DATEVALUE($A119),'recurring1_based on steps'!J$1:J$400,0)),J$2,)</f>
        <v>0</v>
      </c>
      <c r="K119" s="179">
        <f ca="1">IF(ISNUMBER(MATCH(DATEVALUE($A119),'recurring1_based on steps'!K$1:K$400,0)),K$2,)</f>
        <v>0</v>
      </c>
      <c r="L119" s="179">
        <f ca="1">IF(ISNUMBER(MATCH(DATEVALUE($A119),'recurring1_based on steps'!L$1:L$400,0)),L$2,)</f>
        <v>0</v>
      </c>
      <c r="M119" s="179">
        <f ca="1">IF(ISNUMBER(MATCH(DATEVALUE($A119),'recurring1_based on steps'!M$1:M$400,0)),M$2,)</f>
        <v>0</v>
      </c>
      <c r="N119" s="179">
        <f ca="1">IF(ISNUMBER(MATCH(DATEVALUE($A119),'recurring1_based on steps'!N$1:N$400,0)),N$2,)</f>
        <v>0</v>
      </c>
      <c r="O119" s="179">
        <f ca="1">IF(ISNUMBER(MATCH(DATEVALUE($A119),'recurring1_based on steps'!O$1:O$400,0)),O$2,)</f>
        <v>0</v>
      </c>
      <c r="P119" s="179">
        <f ca="1">IF(ISNUMBER(MATCH(DATEVALUE($A119),'recurring1_based on steps'!P$1:P$400,0)),P$2,)</f>
        <v>0</v>
      </c>
      <c r="Q119" s="179">
        <f ca="1">IF(ISNUMBER(MATCH(DATEVALUE($A119),'recurring1_based on steps'!Q$1:Q$400,0)),Q$2,)</f>
        <v>0</v>
      </c>
      <c r="R119" s="179">
        <f ca="1">IF(ISNUMBER(MATCH(DATEVALUE($A119),'recurring1_based on steps'!R$1:R$400,0)),R$2,)</f>
        <v>0</v>
      </c>
      <c r="S119" s="179">
        <f ca="1">IF(ISNUMBER(MATCH(DATEVALUE($A119),'recurring1_based on steps'!S$1:S$400,0)),S$2,)</f>
        <v>0</v>
      </c>
      <c r="T119" s="179">
        <f ca="1">IF(ISNUMBER(MATCH(DATEVALUE($A119),'recurring1_based on steps'!T$1:T$400,0)),T$2,)</f>
        <v>0</v>
      </c>
      <c r="U119" s="179">
        <f ca="1">IF(ISNUMBER(MATCH(DATEVALUE($A119),'recurring1_based on steps'!U$1:U$400,0)),U$2,)</f>
        <v>0</v>
      </c>
      <c r="V119" s="179">
        <f ca="1">IF(ISNUMBER(MATCH(DATEVALUE($A119),'recurring1_based on steps'!V$1:V$400,0)),V$2,)</f>
        <v>0</v>
      </c>
      <c r="W119" s="179">
        <f ca="1">IF(ISNUMBER(MATCH(DATEVALUE($A119),'recurring1_based on steps'!W$1:W$400,0)),W$2,)</f>
        <v>0</v>
      </c>
      <c r="X119" s="179">
        <f ca="1">IF(ISNUMBER(MATCH(DATEVALUE($A119),'recurring1_based on steps'!X$1:X$400,0)),X$2,)</f>
        <v>0</v>
      </c>
      <c r="Y119" s="179">
        <f ca="1">IF(ISNUMBER(MATCH(DATEVALUE($A119),'recurring1_based on steps'!Y$1:Y$400,0)),Y$2,)</f>
        <v>0</v>
      </c>
      <c r="Z119" s="179">
        <f ca="1">IF(ISNUMBER(MATCH(DATEVALUE($A119),'recurring1_based on steps'!Z$1:Z$400,0)),Z$2,)</f>
        <v>0</v>
      </c>
      <c r="AA119" s="179">
        <f ca="1">IF(ISNUMBER(MATCH(DATEVALUE($A119),'recurring1_based on steps'!AA$1:AA$400,0)),AA$2,)</f>
        <v>0</v>
      </c>
      <c r="AB119" s="179">
        <f ca="1">IF(ISNUMBER(MATCH(DATEVALUE($A119),'recurring1_based on steps'!AB$1:AB$400,0)),AB$2,)</f>
        <v>0</v>
      </c>
      <c r="AC119" s="179">
        <f ca="1">IF(ISNUMBER(MATCH(DATEVALUE($A119),'recurring1_based on steps'!AC$1:AC$400,0)),AC$2,)</f>
        <v>0</v>
      </c>
      <c r="AD119" s="179">
        <f ca="1">IF(ISNUMBER(MATCH(DATEVALUE($A119),'recurring1_based on steps'!AD$1:AD$400,0)),AD$2,)</f>
        <v>0</v>
      </c>
      <c r="AE119" s="179">
        <f ca="1">IF(ISNUMBER(MATCH(DATEVALUE($A119),'recurring1_based on steps'!AE$1:AE$400,0)),AE$2,)</f>
        <v>0</v>
      </c>
      <c r="AF119" s="179">
        <f ca="1">IF(ISNUMBER(MATCH(DATEVALUE($A119),'recurring1_based on steps'!AF$1:AF$400,0)),AF$2,)</f>
        <v>0</v>
      </c>
      <c r="AG119" s="179">
        <f ca="1">IF(ISNUMBER(MATCH(DATEVALUE($A119),'recurring1_based on steps'!AG$1:AG$400,0)),AG$2,)</f>
        <v>0</v>
      </c>
      <c r="AH119" s="179">
        <f ca="1">IF(ISNUMBER(MATCH(DATEVALUE($A119),'recurring1_based on steps'!AH$1:AH$400,0)),AH$2,)</f>
        <v>0</v>
      </c>
      <c r="AI119" s="179">
        <f ca="1">IF(ISNUMBER(MATCH(DATEVALUE($A119),'recurring1_based on steps'!AI$1:AI$400,0)),AI$2,)</f>
        <v>0</v>
      </c>
      <c r="AJ119" s="179">
        <f ca="1">IF(ISNUMBER(MATCH(DATEVALUE($A119),'recurring1_based on steps'!AJ$1:AJ$400,0)),AJ$2,)</f>
        <v>0</v>
      </c>
      <c r="AK119" s="179">
        <f ca="1">IF(ISNUMBER(MATCH(DATEVALUE($A119),'recurring1_based on steps'!AK$1:AK$400,0)),AK$2,)</f>
        <v>0</v>
      </c>
      <c r="AL119" s="179">
        <f ca="1">IF(ISNUMBER(MATCH(DATEVALUE($A119),'recurring1_based on steps'!AL$1:AL$400,0)),AL$2,)</f>
        <v>0</v>
      </c>
      <c r="AM119" s="179">
        <f ca="1">IF(ISNUMBER(MATCH(DATEVALUE($A119),'recurring1_based on steps'!AM$1:AM$400,0)),AM$2,)</f>
        <v>0</v>
      </c>
      <c r="AN119" s="179">
        <f ca="1">IF(ISNUMBER(MATCH(DATEVALUE($A119),'recurring1_based on steps'!AN$1:AN$400,0)),AN$2,)</f>
        <v>0</v>
      </c>
      <c r="AO119" s="179">
        <f ca="1">IF(ISNUMBER(MATCH(DATEVALUE($A119),'recurring1_based on steps'!AO$1:AO$400,0)),AO$2,)</f>
        <v>0</v>
      </c>
      <c r="AP119" s="179">
        <f ca="1">IF(ISNUMBER(MATCH(DATEVALUE($A119),'recurring1_based on steps'!AP$1:AP$400,0)),AP$2,)</f>
        <v>0</v>
      </c>
      <c r="AQ119" s="179">
        <f ca="1">IF(ISNUMBER(MATCH(DATEVALUE($A119),'recurring1_based on steps'!AQ$1:AQ$400,0)),AQ$2,)</f>
        <v>0</v>
      </c>
      <c r="AR119" s="179">
        <f ca="1">IF(ISNUMBER(MATCH(DATEVALUE($A119),'recurring1_based on steps'!AR$1:AR$400,0)),AR$2,)</f>
        <v>0</v>
      </c>
      <c r="AS119" s="179">
        <f ca="1">IF(ISNUMBER(MATCH(DATEVALUE($A119),'recurring1_based on steps'!AS$1:AS$400,0)),AS$2,)</f>
        <v>0</v>
      </c>
      <c r="AT119" s="179">
        <f ca="1">IF(ISNUMBER(MATCH(DATEVALUE($A119),'recurring1_based on steps'!AT$1:AT$400,0)),AT$2,)</f>
        <v>0</v>
      </c>
      <c r="AU119" s="179">
        <f ca="1">IF(ISNUMBER(MATCH(DATEVALUE($A119),'recurring1_based on steps'!AU$1:AU$400,0)),AU$2,)</f>
        <v>0</v>
      </c>
      <c r="AV119" s="179">
        <f ca="1">IF(ISNUMBER(MATCH(DATEVALUE($A119),'recurring1_based on steps'!AV$1:AV$400,0)),AV$2,)</f>
        <v>0</v>
      </c>
      <c r="AW119" s="179">
        <f ca="1">IF(ISNUMBER(MATCH(DATEVALUE($A119),'recurring1_based on steps'!AW$1:AW$400,0)),AW$2,)</f>
        <v>0</v>
      </c>
      <c r="AX119" s="179">
        <f ca="1">IF(ISNUMBER(MATCH(DATEVALUE($A119),'recurring1_based on steps'!AX$1:AX$400,0)),AX$2,)</f>
        <v>0</v>
      </c>
      <c r="AY119" s="179">
        <f ca="1">IF(ISNUMBER(MATCH(DATEVALUE($A119),'recurring1_based on steps'!AY$1:AY$400,0)),AY$2,)</f>
        <v>0</v>
      </c>
    </row>
    <row r="120" spans="1:51" x14ac:dyDescent="0.2">
      <c r="A120" s="32" t="str">
        <f t="shared" ca="1" si="1"/>
        <v>2025-07-24</v>
      </c>
      <c r="B120" s="179">
        <f ca="1">IF(ISNUMBER(MATCH(DATEVALUE($A120),'recurring1_based on steps'!B$1:B$400,0)),B$2,)</f>
        <v>0</v>
      </c>
      <c r="C120" s="179">
        <f ca="1">IF(ISNUMBER(MATCH(DATEVALUE($A120),'recurring1_based on steps'!C$1:C$400,0)),C$2,)</f>
        <v>0</v>
      </c>
      <c r="D120" s="179">
        <f ca="1">IF(ISNUMBER(MATCH(DATEVALUE($A120),'recurring1_based on steps'!D$1:D$400,0)),D$2,)</f>
        <v>0</v>
      </c>
      <c r="E120" s="179">
        <f ca="1">IF(ISNUMBER(MATCH(DATEVALUE($A120),'recurring1_based on steps'!E$1:E$400,0)),E$2,)</f>
        <v>0</v>
      </c>
      <c r="F120" s="179">
        <f ca="1">IF(ISNUMBER(MATCH(DATEVALUE($A120),'recurring1_based on steps'!F$1:F$400,0)),F$2,)</f>
        <v>0</v>
      </c>
      <c r="G120" s="179">
        <f ca="1">IF(ISNUMBER(MATCH(DATEVALUE($A120),'recurring1_based on steps'!G$1:G$400,0)),G$2,)</f>
        <v>0</v>
      </c>
      <c r="H120" s="179">
        <f ca="1">IF(ISNUMBER(MATCH(DATEVALUE($A120),'recurring1_based on steps'!H$1:H$400,0)),H$2,)</f>
        <v>0</v>
      </c>
      <c r="I120" s="179">
        <f ca="1">IF(ISNUMBER(MATCH(DATEVALUE($A120),'recurring1_based on steps'!I$1:I$400,0)),I$2,)</f>
        <v>0</v>
      </c>
      <c r="J120" s="179">
        <f ca="1">IF(ISNUMBER(MATCH(DATEVALUE($A120),'recurring1_based on steps'!J$1:J$400,0)),J$2,)</f>
        <v>0</v>
      </c>
      <c r="K120" s="179">
        <f ca="1">IF(ISNUMBER(MATCH(DATEVALUE($A120),'recurring1_based on steps'!K$1:K$400,0)),K$2,)</f>
        <v>0</v>
      </c>
      <c r="L120" s="179">
        <f ca="1">IF(ISNUMBER(MATCH(DATEVALUE($A120),'recurring1_based on steps'!L$1:L$400,0)),L$2,)</f>
        <v>0</v>
      </c>
      <c r="M120" s="179">
        <f ca="1">IF(ISNUMBER(MATCH(DATEVALUE($A120),'recurring1_based on steps'!M$1:M$400,0)),M$2,)</f>
        <v>0</v>
      </c>
      <c r="N120" s="179">
        <f ca="1">IF(ISNUMBER(MATCH(DATEVALUE($A120),'recurring1_based on steps'!N$1:N$400,0)),N$2,)</f>
        <v>0</v>
      </c>
      <c r="O120" s="179">
        <f ca="1">IF(ISNUMBER(MATCH(DATEVALUE($A120),'recurring1_based on steps'!O$1:O$400,0)),O$2,)</f>
        <v>0</v>
      </c>
      <c r="P120" s="179">
        <f ca="1">IF(ISNUMBER(MATCH(DATEVALUE($A120),'recurring1_based on steps'!P$1:P$400,0)),P$2,)</f>
        <v>0</v>
      </c>
      <c r="Q120" s="179">
        <f ca="1">IF(ISNUMBER(MATCH(DATEVALUE($A120),'recurring1_based on steps'!Q$1:Q$400,0)),Q$2,)</f>
        <v>0</v>
      </c>
      <c r="R120" s="179">
        <f ca="1">IF(ISNUMBER(MATCH(DATEVALUE($A120),'recurring1_based on steps'!R$1:R$400,0)),R$2,)</f>
        <v>0</v>
      </c>
      <c r="S120" s="179">
        <f ca="1">IF(ISNUMBER(MATCH(DATEVALUE($A120),'recurring1_based on steps'!S$1:S$400,0)),S$2,)</f>
        <v>0</v>
      </c>
      <c r="T120" s="179">
        <f ca="1">IF(ISNUMBER(MATCH(DATEVALUE($A120),'recurring1_based on steps'!T$1:T$400,0)),T$2,)</f>
        <v>0</v>
      </c>
      <c r="U120" s="179">
        <f ca="1">IF(ISNUMBER(MATCH(DATEVALUE($A120),'recurring1_based on steps'!U$1:U$400,0)),U$2,)</f>
        <v>0</v>
      </c>
      <c r="V120" s="179">
        <f ca="1">IF(ISNUMBER(MATCH(DATEVALUE($A120),'recurring1_based on steps'!V$1:V$400,0)),V$2,)</f>
        <v>0</v>
      </c>
      <c r="W120" s="179">
        <f ca="1">IF(ISNUMBER(MATCH(DATEVALUE($A120),'recurring1_based on steps'!W$1:W$400,0)),W$2,)</f>
        <v>0</v>
      </c>
      <c r="X120" s="179">
        <f ca="1">IF(ISNUMBER(MATCH(DATEVALUE($A120),'recurring1_based on steps'!X$1:X$400,0)),X$2,)</f>
        <v>0</v>
      </c>
      <c r="Y120" s="179">
        <f ca="1">IF(ISNUMBER(MATCH(DATEVALUE($A120),'recurring1_based on steps'!Y$1:Y$400,0)),Y$2,)</f>
        <v>0</v>
      </c>
      <c r="Z120" s="179">
        <f ca="1">IF(ISNUMBER(MATCH(DATEVALUE($A120),'recurring1_based on steps'!Z$1:Z$400,0)),Z$2,)</f>
        <v>0</v>
      </c>
      <c r="AA120" s="179">
        <f ca="1">IF(ISNUMBER(MATCH(DATEVALUE($A120),'recurring1_based on steps'!AA$1:AA$400,0)),AA$2,)</f>
        <v>0</v>
      </c>
      <c r="AB120" s="179">
        <f ca="1">IF(ISNUMBER(MATCH(DATEVALUE($A120),'recurring1_based on steps'!AB$1:AB$400,0)),AB$2,)</f>
        <v>0</v>
      </c>
      <c r="AC120" s="179">
        <f ca="1">IF(ISNUMBER(MATCH(DATEVALUE($A120),'recurring1_based on steps'!AC$1:AC$400,0)),AC$2,)</f>
        <v>0</v>
      </c>
      <c r="AD120" s="179">
        <f ca="1">IF(ISNUMBER(MATCH(DATEVALUE($A120),'recurring1_based on steps'!AD$1:AD$400,0)),AD$2,)</f>
        <v>0</v>
      </c>
      <c r="AE120" s="179">
        <f ca="1">IF(ISNUMBER(MATCH(DATEVALUE($A120),'recurring1_based on steps'!AE$1:AE$400,0)),AE$2,)</f>
        <v>0</v>
      </c>
      <c r="AF120" s="179">
        <f ca="1">IF(ISNUMBER(MATCH(DATEVALUE($A120),'recurring1_based on steps'!AF$1:AF$400,0)),AF$2,)</f>
        <v>0</v>
      </c>
      <c r="AG120" s="179">
        <f ca="1">IF(ISNUMBER(MATCH(DATEVALUE($A120),'recurring1_based on steps'!AG$1:AG$400,0)),AG$2,)</f>
        <v>0</v>
      </c>
      <c r="AH120" s="179">
        <f ca="1">IF(ISNUMBER(MATCH(DATEVALUE($A120),'recurring1_based on steps'!AH$1:AH$400,0)),AH$2,)</f>
        <v>0</v>
      </c>
      <c r="AI120" s="179">
        <f ca="1">IF(ISNUMBER(MATCH(DATEVALUE($A120),'recurring1_based on steps'!AI$1:AI$400,0)),AI$2,)</f>
        <v>0</v>
      </c>
      <c r="AJ120" s="179">
        <f ca="1">IF(ISNUMBER(MATCH(DATEVALUE($A120),'recurring1_based on steps'!AJ$1:AJ$400,0)),AJ$2,)</f>
        <v>0</v>
      </c>
      <c r="AK120" s="179">
        <f ca="1">IF(ISNUMBER(MATCH(DATEVALUE($A120),'recurring1_based on steps'!AK$1:AK$400,0)),AK$2,)</f>
        <v>0</v>
      </c>
      <c r="AL120" s="179">
        <f ca="1">IF(ISNUMBER(MATCH(DATEVALUE($A120),'recurring1_based on steps'!AL$1:AL$400,0)),AL$2,)</f>
        <v>0</v>
      </c>
      <c r="AM120" s="179">
        <f ca="1">IF(ISNUMBER(MATCH(DATEVALUE($A120),'recurring1_based on steps'!AM$1:AM$400,0)),AM$2,)</f>
        <v>0</v>
      </c>
      <c r="AN120" s="179">
        <f ca="1">IF(ISNUMBER(MATCH(DATEVALUE($A120),'recurring1_based on steps'!AN$1:AN$400,0)),AN$2,)</f>
        <v>0</v>
      </c>
      <c r="AO120" s="179">
        <f ca="1">IF(ISNUMBER(MATCH(DATEVALUE($A120),'recurring1_based on steps'!AO$1:AO$400,0)),AO$2,)</f>
        <v>0</v>
      </c>
      <c r="AP120" s="179">
        <f ca="1">IF(ISNUMBER(MATCH(DATEVALUE($A120),'recurring1_based on steps'!AP$1:AP$400,0)),AP$2,)</f>
        <v>0</v>
      </c>
      <c r="AQ120" s="179">
        <f ca="1">IF(ISNUMBER(MATCH(DATEVALUE($A120),'recurring1_based on steps'!AQ$1:AQ$400,0)),AQ$2,)</f>
        <v>0</v>
      </c>
      <c r="AR120" s="179">
        <f ca="1">IF(ISNUMBER(MATCH(DATEVALUE($A120),'recurring1_based on steps'!AR$1:AR$400,0)),AR$2,)</f>
        <v>0</v>
      </c>
      <c r="AS120" s="179">
        <f ca="1">IF(ISNUMBER(MATCH(DATEVALUE($A120),'recurring1_based on steps'!AS$1:AS$400,0)),AS$2,)</f>
        <v>0</v>
      </c>
      <c r="AT120" s="179">
        <f ca="1">IF(ISNUMBER(MATCH(DATEVALUE($A120),'recurring1_based on steps'!AT$1:AT$400,0)),AT$2,)</f>
        <v>0</v>
      </c>
      <c r="AU120" s="179">
        <f ca="1">IF(ISNUMBER(MATCH(DATEVALUE($A120),'recurring1_based on steps'!AU$1:AU$400,0)),AU$2,)</f>
        <v>0</v>
      </c>
      <c r="AV120" s="179">
        <f ca="1">IF(ISNUMBER(MATCH(DATEVALUE($A120),'recurring1_based on steps'!AV$1:AV$400,0)),AV$2,)</f>
        <v>0</v>
      </c>
      <c r="AW120" s="179">
        <f ca="1">IF(ISNUMBER(MATCH(DATEVALUE($A120),'recurring1_based on steps'!AW$1:AW$400,0)),AW$2,)</f>
        <v>0</v>
      </c>
      <c r="AX120" s="179">
        <f ca="1">IF(ISNUMBER(MATCH(DATEVALUE($A120),'recurring1_based on steps'!AX$1:AX$400,0)),AX$2,)</f>
        <v>0</v>
      </c>
      <c r="AY120" s="179">
        <f ca="1">IF(ISNUMBER(MATCH(DATEVALUE($A120),'recurring1_based on steps'!AY$1:AY$400,0)),AY$2,)</f>
        <v>0</v>
      </c>
    </row>
    <row r="121" spans="1:51" x14ac:dyDescent="0.2">
      <c r="A121" s="32" t="str">
        <f t="shared" ca="1" si="1"/>
        <v>2025-07-25</v>
      </c>
      <c r="B121" s="179">
        <f ca="1">IF(ISNUMBER(MATCH(DATEVALUE($A121),'recurring1_based on steps'!B$1:B$400,0)),B$2,)</f>
        <v>0</v>
      </c>
      <c r="C121" s="179">
        <f ca="1">IF(ISNUMBER(MATCH(DATEVALUE($A121),'recurring1_based on steps'!C$1:C$400,0)),C$2,)</f>
        <v>0</v>
      </c>
      <c r="D121" s="179">
        <f ca="1">IF(ISNUMBER(MATCH(DATEVALUE($A121),'recurring1_based on steps'!D$1:D$400,0)),D$2,)</f>
        <v>0</v>
      </c>
      <c r="E121" s="179">
        <f ca="1">IF(ISNUMBER(MATCH(DATEVALUE($A121),'recurring1_based on steps'!E$1:E$400,0)),E$2,)</f>
        <v>0</v>
      </c>
      <c r="F121" s="179">
        <f ca="1">IF(ISNUMBER(MATCH(DATEVALUE($A121),'recurring1_based on steps'!F$1:F$400,0)),F$2,)</f>
        <v>0</v>
      </c>
      <c r="G121" s="179">
        <f ca="1">IF(ISNUMBER(MATCH(DATEVALUE($A121),'recurring1_based on steps'!G$1:G$400,0)),G$2,)</f>
        <v>0</v>
      </c>
      <c r="H121" s="179">
        <f ca="1">IF(ISNUMBER(MATCH(DATEVALUE($A121),'recurring1_based on steps'!H$1:H$400,0)),H$2,)</f>
        <v>0</v>
      </c>
      <c r="I121" s="179">
        <f ca="1">IF(ISNUMBER(MATCH(DATEVALUE($A121),'recurring1_based on steps'!I$1:I$400,0)),I$2,)</f>
        <v>0</v>
      </c>
      <c r="J121" s="179">
        <f ca="1">IF(ISNUMBER(MATCH(DATEVALUE($A121),'recurring1_based on steps'!J$1:J$400,0)),J$2,)</f>
        <v>0</v>
      </c>
      <c r="K121" s="179">
        <f ca="1">IF(ISNUMBER(MATCH(DATEVALUE($A121),'recurring1_based on steps'!K$1:K$400,0)),K$2,)</f>
        <v>0</v>
      </c>
      <c r="L121" s="179">
        <f ca="1">IF(ISNUMBER(MATCH(DATEVALUE($A121),'recurring1_based on steps'!L$1:L$400,0)),L$2,)</f>
        <v>0</v>
      </c>
      <c r="M121" s="179">
        <f ca="1">IF(ISNUMBER(MATCH(DATEVALUE($A121),'recurring1_based on steps'!M$1:M$400,0)),M$2,)</f>
        <v>0</v>
      </c>
      <c r="N121" s="179">
        <f ca="1">IF(ISNUMBER(MATCH(DATEVALUE($A121),'recurring1_based on steps'!N$1:N$400,0)),N$2,)</f>
        <v>0</v>
      </c>
      <c r="O121" s="179">
        <f ca="1">IF(ISNUMBER(MATCH(DATEVALUE($A121),'recurring1_based on steps'!O$1:O$400,0)),O$2,)</f>
        <v>0</v>
      </c>
      <c r="P121" s="179">
        <f ca="1">IF(ISNUMBER(MATCH(DATEVALUE($A121),'recurring1_based on steps'!P$1:P$400,0)),P$2,)</f>
        <v>0</v>
      </c>
      <c r="Q121" s="179">
        <f ca="1">IF(ISNUMBER(MATCH(DATEVALUE($A121),'recurring1_based on steps'!Q$1:Q$400,0)),Q$2,)</f>
        <v>0</v>
      </c>
      <c r="R121" s="179">
        <f ca="1">IF(ISNUMBER(MATCH(DATEVALUE($A121),'recurring1_based on steps'!R$1:R$400,0)),R$2,)</f>
        <v>0</v>
      </c>
      <c r="S121" s="179">
        <f ca="1">IF(ISNUMBER(MATCH(DATEVALUE($A121),'recurring1_based on steps'!S$1:S$400,0)),S$2,)</f>
        <v>0</v>
      </c>
      <c r="T121" s="179">
        <f ca="1">IF(ISNUMBER(MATCH(DATEVALUE($A121),'recurring1_based on steps'!T$1:T$400,0)),T$2,)</f>
        <v>0</v>
      </c>
      <c r="U121" s="179">
        <f ca="1">IF(ISNUMBER(MATCH(DATEVALUE($A121),'recurring1_based on steps'!U$1:U$400,0)),U$2,)</f>
        <v>0</v>
      </c>
      <c r="V121" s="179">
        <f ca="1">IF(ISNUMBER(MATCH(DATEVALUE($A121),'recurring1_based on steps'!V$1:V$400,0)),V$2,)</f>
        <v>0</v>
      </c>
      <c r="W121" s="179">
        <f ca="1">IF(ISNUMBER(MATCH(DATEVALUE($A121),'recurring1_based on steps'!W$1:W$400,0)),W$2,)</f>
        <v>0</v>
      </c>
      <c r="X121" s="179">
        <f ca="1">IF(ISNUMBER(MATCH(DATEVALUE($A121),'recurring1_based on steps'!X$1:X$400,0)),X$2,)</f>
        <v>0</v>
      </c>
      <c r="Y121" s="179">
        <f ca="1">IF(ISNUMBER(MATCH(DATEVALUE($A121),'recurring1_based on steps'!Y$1:Y$400,0)),Y$2,)</f>
        <v>0</v>
      </c>
      <c r="Z121" s="179">
        <f ca="1">IF(ISNUMBER(MATCH(DATEVALUE($A121),'recurring1_based on steps'!Z$1:Z$400,0)),Z$2,)</f>
        <v>0</v>
      </c>
      <c r="AA121" s="179">
        <f ca="1">IF(ISNUMBER(MATCH(DATEVALUE($A121),'recurring1_based on steps'!AA$1:AA$400,0)),AA$2,)</f>
        <v>0</v>
      </c>
      <c r="AB121" s="179">
        <f ca="1">IF(ISNUMBER(MATCH(DATEVALUE($A121),'recurring1_based on steps'!AB$1:AB$400,0)),AB$2,)</f>
        <v>0</v>
      </c>
      <c r="AC121" s="179">
        <f ca="1">IF(ISNUMBER(MATCH(DATEVALUE($A121),'recurring1_based on steps'!AC$1:AC$400,0)),AC$2,)</f>
        <v>0</v>
      </c>
      <c r="AD121" s="179">
        <f ca="1">IF(ISNUMBER(MATCH(DATEVALUE($A121),'recurring1_based on steps'!AD$1:AD$400,0)),AD$2,)</f>
        <v>0</v>
      </c>
      <c r="AE121" s="179">
        <f ca="1">IF(ISNUMBER(MATCH(DATEVALUE($A121),'recurring1_based on steps'!AE$1:AE$400,0)),AE$2,)</f>
        <v>0</v>
      </c>
      <c r="AF121" s="179">
        <f ca="1">IF(ISNUMBER(MATCH(DATEVALUE($A121),'recurring1_based on steps'!AF$1:AF$400,0)),AF$2,)</f>
        <v>0</v>
      </c>
      <c r="AG121" s="179">
        <f ca="1">IF(ISNUMBER(MATCH(DATEVALUE($A121),'recurring1_based on steps'!AG$1:AG$400,0)),AG$2,)</f>
        <v>0</v>
      </c>
      <c r="AH121" s="179">
        <f ca="1">IF(ISNUMBER(MATCH(DATEVALUE($A121),'recurring1_based on steps'!AH$1:AH$400,0)),AH$2,)</f>
        <v>0</v>
      </c>
      <c r="AI121" s="179">
        <f ca="1">IF(ISNUMBER(MATCH(DATEVALUE($A121),'recurring1_based on steps'!AI$1:AI$400,0)),AI$2,)</f>
        <v>0</v>
      </c>
      <c r="AJ121" s="179">
        <f ca="1">IF(ISNUMBER(MATCH(DATEVALUE($A121),'recurring1_based on steps'!AJ$1:AJ$400,0)),AJ$2,)</f>
        <v>0</v>
      </c>
      <c r="AK121" s="179">
        <f ca="1">IF(ISNUMBER(MATCH(DATEVALUE($A121),'recurring1_based on steps'!AK$1:AK$400,0)),AK$2,)</f>
        <v>0</v>
      </c>
      <c r="AL121" s="179">
        <f ca="1">IF(ISNUMBER(MATCH(DATEVALUE($A121),'recurring1_based on steps'!AL$1:AL$400,0)),AL$2,)</f>
        <v>0</v>
      </c>
      <c r="AM121" s="179">
        <f ca="1">IF(ISNUMBER(MATCH(DATEVALUE($A121),'recurring1_based on steps'!AM$1:AM$400,0)),AM$2,)</f>
        <v>0</v>
      </c>
      <c r="AN121" s="179">
        <f ca="1">IF(ISNUMBER(MATCH(DATEVALUE($A121),'recurring1_based on steps'!AN$1:AN$400,0)),AN$2,)</f>
        <v>0</v>
      </c>
      <c r="AO121" s="179">
        <f ca="1">IF(ISNUMBER(MATCH(DATEVALUE($A121),'recurring1_based on steps'!AO$1:AO$400,0)),AO$2,)</f>
        <v>0</v>
      </c>
      <c r="AP121" s="179">
        <f ca="1">IF(ISNUMBER(MATCH(DATEVALUE($A121),'recurring1_based on steps'!AP$1:AP$400,0)),AP$2,)</f>
        <v>0</v>
      </c>
      <c r="AQ121" s="179">
        <f ca="1">IF(ISNUMBER(MATCH(DATEVALUE($A121),'recurring1_based on steps'!AQ$1:AQ$400,0)),AQ$2,)</f>
        <v>0</v>
      </c>
      <c r="AR121" s="179">
        <f ca="1">IF(ISNUMBER(MATCH(DATEVALUE($A121),'recurring1_based on steps'!AR$1:AR$400,0)),AR$2,)</f>
        <v>0</v>
      </c>
      <c r="AS121" s="179">
        <f ca="1">IF(ISNUMBER(MATCH(DATEVALUE($A121),'recurring1_based on steps'!AS$1:AS$400,0)),AS$2,)</f>
        <v>0</v>
      </c>
      <c r="AT121" s="179">
        <f ca="1">IF(ISNUMBER(MATCH(DATEVALUE($A121),'recurring1_based on steps'!AT$1:AT$400,0)),AT$2,)</f>
        <v>0</v>
      </c>
      <c r="AU121" s="179">
        <f ca="1">IF(ISNUMBER(MATCH(DATEVALUE($A121),'recurring1_based on steps'!AU$1:AU$400,0)),AU$2,)</f>
        <v>0</v>
      </c>
      <c r="AV121" s="179">
        <f ca="1">IF(ISNUMBER(MATCH(DATEVALUE($A121),'recurring1_based on steps'!AV$1:AV$400,0)),AV$2,)</f>
        <v>0</v>
      </c>
      <c r="AW121" s="179">
        <f ca="1">IF(ISNUMBER(MATCH(DATEVALUE($A121),'recurring1_based on steps'!AW$1:AW$400,0)),AW$2,)</f>
        <v>0</v>
      </c>
      <c r="AX121" s="179">
        <f ca="1">IF(ISNUMBER(MATCH(DATEVALUE($A121),'recurring1_based on steps'!AX$1:AX$400,0)),AX$2,)</f>
        <v>0</v>
      </c>
      <c r="AY121" s="179">
        <f ca="1">IF(ISNUMBER(MATCH(DATEVALUE($A121),'recurring1_based on steps'!AY$1:AY$400,0)),AY$2,)</f>
        <v>0</v>
      </c>
    </row>
    <row r="122" spans="1:51" x14ac:dyDescent="0.2">
      <c r="A122" s="32" t="str">
        <f t="shared" ca="1" si="1"/>
        <v>2025-07-26</v>
      </c>
      <c r="B122" s="179">
        <f ca="1">IF(ISNUMBER(MATCH(DATEVALUE($A122),'recurring1_based on steps'!B$1:B$400,0)),B$2,)</f>
        <v>0</v>
      </c>
      <c r="C122" s="179">
        <f ca="1">IF(ISNUMBER(MATCH(DATEVALUE($A122),'recurring1_based on steps'!C$1:C$400,0)),C$2,)</f>
        <v>0</v>
      </c>
      <c r="D122" s="179">
        <f ca="1">IF(ISNUMBER(MATCH(DATEVALUE($A122),'recurring1_based on steps'!D$1:D$400,0)),D$2,)</f>
        <v>0</v>
      </c>
      <c r="E122" s="179">
        <f ca="1">IF(ISNUMBER(MATCH(DATEVALUE($A122),'recurring1_based on steps'!E$1:E$400,0)),E$2,)</f>
        <v>0</v>
      </c>
      <c r="F122" s="179">
        <f ca="1">IF(ISNUMBER(MATCH(DATEVALUE($A122),'recurring1_based on steps'!F$1:F$400,0)),F$2,)</f>
        <v>0</v>
      </c>
      <c r="G122" s="179">
        <f ca="1">IF(ISNUMBER(MATCH(DATEVALUE($A122),'recurring1_based on steps'!G$1:G$400,0)),G$2,)</f>
        <v>0</v>
      </c>
      <c r="H122" s="179">
        <f ca="1">IF(ISNUMBER(MATCH(DATEVALUE($A122),'recurring1_based on steps'!H$1:H$400,0)),H$2,)</f>
        <v>0</v>
      </c>
      <c r="I122" s="179">
        <f ca="1">IF(ISNUMBER(MATCH(DATEVALUE($A122),'recurring1_based on steps'!I$1:I$400,0)),I$2,)</f>
        <v>0</v>
      </c>
      <c r="J122" s="179">
        <f ca="1">IF(ISNUMBER(MATCH(DATEVALUE($A122),'recurring1_based on steps'!J$1:J$400,0)),J$2,)</f>
        <v>0</v>
      </c>
      <c r="K122" s="179">
        <f ca="1">IF(ISNUMBER(MATCH(DATEVALUE($A122),'recurring1_based on steps'!K$1:K$400,0)),K$2,)</f>
        <v>0</v>
      </c>
      <c r="L122" s="179">
        <f ca="1">IF(ISNUMBER(MATCH(DATEVALUE($A122),'recurring1_based on steps'!L$1:L$400,0)),L$2,)</f>
        <v>0</v>
      </c>
      <c r="M122" s="179">
        <f ca="1">IF(ISNUMBER(MATCH(DATEVALUE($A122),'recurring1_based on steps'!M$1:M$400,0)),M$2,)</f>
        <v>0</v>
      </c>
      <c r="N122" s="179">
        <f ca="1">IF(ISNUMBER(MATCH(DATEVALUE($A122),'recurring1_based on steps'!N$1:N$400,0)),N$2,)</f>
        <v>0</v>
      </c>
      <c r="O122" s="179">
        <f ca="1">IF(ISNUMBER(MATCH(DATEVALUE($A122),'recurring1_based on steps'!O$1:O$400,0)),O$2,)</f>
        <v>0</v>
      </c>
      <c r="P122" s="179">
        <f ca="1">IF(ISNUMBER(MATCH(DATEVALUE($A122),'recurring1_based on steps'!P$1:P$400,0)),P$2,)</f>
        <v>0</v>
      </c>
      <c r="Q122" s="179">
        <f ca="1">IF(ISNUMBER(MATCH(DATEVALUE($A122),'recurring1_based on steps'!Q$1:Q$400,0)),Q$2,)</f>
        <v>0</v>
      </c>
      <c r="R122" s="179">
        <f ca="1">IF(ISNUMBER(MATCH(DATEVALUE($A122),'recurring1_based on steps'!R$1:R$400,0)),R$2,)</f>
        <v>0</v>
      </c>
      <c r="S122" s="179">
        <f ca="1">IF(ISNUMBER(MATCH(DATEVALUE($A122),'recurring1_based on steps'!S$1:S$400,0)),S$2,)</f>
        <v>0</v>
      </c>
      <c r="T122" s="179">
        <f ca="1">IF(ISNUMBER(MATCH(DATEVALUE($A122),'recurring1_based on steps'!T$1:T$400,0)),T$2,)</f>
        <v>0</v>
      </c>
      <c r="U122" s="179">
        <f ca="1">IF(ISNUMBER(MATCH(DATEVALUE($A122),'recurring1_based on steps'!U$1:U$400,0)),U$2,)</f>
        <v>0</v>
      </c>
      <c r="V122" s="179">
        <f ca="1">IF(ISNUMBER(MATCH(DATEVALUE($A122),'recurring1_based on steps'!V$1:V$400,0)),V$2,)</f>
        <v>0</v>
      </c>
      <c r="W122" s="179">
        <f ca="1">IF(ISNUMBER(MATCH(DATEVALUE($A122),'recurring1_based on steps'!W$1:W$400,0)),W$2,)</f>
        <v>0</v>
      </c>
      <c r="X122" s="179">
        <f ca="1">IF(ISNUMBER(MATCH(DATEVALUE($A122),'recurring1_based on steps'!X$1:X$400,0)),X$2,)</f>
        <v>0</v>
      </c>
      <c r="Y122" s="179">
        <f ca="1">IF(ISNUMBER(MATCH(DATEVALUE($A122),'recurring1_based on steps'!Y$1:Y$400,0)),Y$2,)</f>
        <v>0</v>
      </c>
      <c r="Z122" s="179">
        <f ca="1">IF(ISNUMBER(MATCH(DATEVALUE($A122),'recurring1_based on steps'!Z$1:Z$400,0)),Z$2,)</f>
        <v>0</v>
      </c>
      <c r="AA122" s="179">
        <f ca="1">IF(ISNUMBER(MATCH(DATEVALUE($A122),'recurring1_based on steps'!AA$1:AA$400,0)),AA$2,)</f>
        <v>0</v>
      </c>
      <c r="AB122" s="179">
        <f ca="1">IF(ISNUMBER(MATCH(DATEVALUE($A122),'recurring1_based on steps'!AB$1:AB$400,0)),AB$2,)</f>
        <v>0</v>
      </c>
      <c r="AC122" s="179">
        <f ca="1">IF(ISNUMBER(MATCH(DATEVALUE($A122),'recurring1_based on steps'!AC$1:AC$400,0)),AC$2,)</f>
        <v>0</v>
      </c>
      <c r="AD122" s="179">
        <f ca="1">IF(ISNUMBER(MATCH(DATEVALUE($A122),'recurring1_based on steps'!AD$1:AD$400,0)),AD$2,)</f>
        <v>0</v>
      </c>
      <c r="AE122" s="179">
        <f ca="1">IF(ISNUMBER(MATCH(DATEVALUE($A122),'recurring1_based on steps'!AE$1:AE$400,0)),AE$2,)</f>
        <v>0</v>
      </c>
      <c r="AF122" s="179">
        <f ca="1">IF(ISNUMBER(MATCH(DATEVALUE($A122),'recurring1_based on steps'!AF$1:AF$400,0)),AF$2,)</f>
        <v>0</v>
      </c>
      <c r="AG122" s="179">
        <f ca="1">IF(ISNUMBER(MATCH(DATEVALUE($A122),'recurring1_based on steps'!AG$1:AG$400,0)),AG$2,)</f>
        <v>0</v>
      </c>
      <c r="AH122" s="179">
        <f ca="1">IF(ISNUMBER(MATCH(DATEVALUE($A122),'recurring1_based on steps'!AH$1:AH$400,0)),AH$2,)</f>
        <v>0</v>
      </c>
      <c r="AI122" s="179">
        <f ca="1">IF(ISNUMBER(MATCH(DATEVALUE($A122),'recurring1_based on steps'!AI$1:AI$400,0)),AI$2,)</f>
        <v>0</v>
      </c>
      <c r="AJ122" s="179">
        <f ca="1">IF(ISNUMBER(MATCH(DATEVALUE($A122),'recurring1_based on steps'!AJ$1:AJ$400,0)),AJ$2,)</f>
        <v>0</v>
      </c>
      <c r="AK122" s="179">
        <f ca="1">IF(ISNUMBER(MATCH(DATEVALUE($A122),'recurring1_based on steps'!AK$1:AK$400,0)),AK$2,)</f>
        <v>0</v>
      </c>
      <c r="AL122" s="179">
        <f ca="1">IF(ISNUMBER(MATCH(DATEVALUE($A122),'recurring1_based on steps'!AL$1:AL$400,0)),AL$2,)</f>
        <v>0</v>
      </c>
      <c r="AM122" s="179">
        <f ca="1">IF(ISNUMBER(MATCH(DATEVALUE($A122),'recurring1_based on steps'!AM$1:AM$400,0)),AM$2,)</f>
        <v>0</v>
      </c>
      <c r="AN122" s="179">
        <f ca="1">IF(ISNUMBER(MATCH(DATEVALUE($A122),'recurring1_based on steps'!AN$1:AN$400,0)),AN$2,)</f>
        <v>0</v>
      </c>
      <c r="AO122" s="179">
        <f ca="1">IF(ISNUMBER(MATCH(DATEVALUE($A122),'recurring1_based on steps'!AO$1:AO$400,0)),AO$2,)</f>
        <v>0</v>
      </c>
      <c r="AP122" s="179">
        <f ca="1">IF(ISNUMBER(MATCH(DATEVALUE($A122),'recurring1_based on steps'!AP$1:AP$400,0)),AP$2,)</f>
        <v>0</v>
      </c>
      <c r="AQ122" s="179">
        <f ca="1">IF(ISNUMBER(MATCH(DATEVALUE($A122),'recurring1_based on steps'!AQ$1:AQ$400,0)),AQ$2,)</f>
        <v>0</v>
      </c>
      <c r="AR122" s="179">
        <f ca="1">IF(ISNUMBER(MATCH(DATEVALUE($A122),'recurring1_based on steps'!AR$1:AR$400,0)),AR$2,)</f>
        <v>0</v>
      </c>
      <c r="AS122" s="179">
        <f ca="1">IF(ISNUMBER(MATCH(DATEVALUE($A122),'recurring1_based on steps'!AS$1:AS$400,0)),AS$2,)</f>
        <v>0</v>
      </c>
      <c r="AT122" s="179">
        <f ca="1">IF(ISNUMBER(MATCH(DATEVALUE($A122),'recurring1_based on steps'!AT$1:AT$400,0)),AT$2,)</f>
        <v>0</v>
      </c>
      <c r="AU122" s="179">
        <f ca="1">IF(ISNUMBER(MATCH(DATEVALUE($A122),'recurring1_based on steps'!AU$1:AU$400,0)),AU$2,)</f>
        <v>0</v>
      </c>
      <c r="AV122" s="179">
        <f ca="1">IF(ISNUMBER(MATCH(DATEVALUE($A122),'recurring1_based on steps'!AV$1:AV$400,0)),AV$2,)</f>
        <v>0</v>
      </c>
      <c r="AW122" s="179">
        <f ca="1">IF(ISNUMBER(MATCH(DATEVALUE($A122),'recurring1_based on steps'!AW$1:AW$400,0)),AW$2,)</f>
        <v>0</v>
      </c>
      <c r="AX122" s="179">
        <f ca="1">IF(ISNUMBER(MATCH(DATEVALUE($A122),'recurring1_based on steps'!AX$1:AX$400,0)),AX$2,)</f>
        <v>0</v>
      </c>
      <c r="AY122" s="179">
        <f ca="1">IF(ISNUMBER(MATCH(DATEVALUE($A122),'recurring1_based on steps'!AY$1:AY$400,0)),AY$2,)</f>
        <v>0</v>
      </c>
    </row>
    <row r="123" spans="1:51" x14ac:dyDescent="0.2">
      <c r="A123" s="32" t="str">
        <f t="shared" ca="1" si="1"/>
        <v>2025-07-27</v>
      </c>
      <c r="B123" s="179">
        <f ca="1">IF(ISNUMBER(MATCH(DATEVALUE($A123),'recurring1_based on steps'!B$1:B$400,0)),B$2,)</f>
        <v>0</v>
      </c>
      <c r="C123" s="179">
        <f ca="1">IF(ISNUMBER(MATCH(DATEVALUE($A123),'recurring1_based on steps'!C$1:C$400,0)),C$2,)</f>
        <v>0</v>
      </c>
      <c r="D123" s="179">
        <f ca="1">IF(ISNUMBER(MATCH(DATEVALUE($A123),'recurring1_based on steps'!D$1:D$400,0)),D$2,)</f>
        <v>0</v>
      </c>
      <c r="E123" s="179">
        <f ca="1">IF(ISNUMBER(MATCH(DATEVALUE($A123),'recurring1_based on steps'!E$1:E$400,0)),E$2,)</f>
        <v>0</v>
      </c>
      <c r="F123" s="179">
        <f ca="1">IF(ISNUMBER(MATCH(DATEVALUE($A123),'recurring1_based on steps'!F$1:F$400,0)),F$2,)</f>
        <v>0</v>
      </c>
      <c r="G123" s="179">
        <f ca="1">IF(ISNUMBER(MATCH(DATEVALUE($A123),'recurring1_based on steps'!G$1:G$400,0)),G$2,)</f>
        <v>0</v>
      </c>
      <c r="H123" s="179">
        <f ca="1">IF(ISNUMBER(MATCH(DATEVALUE($A123),'recurring1_based on steps'!H$1:H$400,0)),H$2,)</f>
        <v>0</v>
      </c>
      <c r="I123" s="179">
        <f ca="1">IF(ISNUMBER(MATCH(DATEVALUE($A123),'recurring1_based on steps'!I$1:I$400,0)),I$2,)</f>
        <v>0</v>
      </c>
      <c r="J123" s="179">
        <f ca="1">IF(ISNUMBER(MATCH(DATEVALUE($A123),'recurring1_based on steps'!J$1:J$400,0)),J$2,)</f>
        <v>0</v>
      </c>
      <c r="K123" s="179">
        <f ca="1">IF(ISNUMBER(MATCH(DATEVALUE($A123),'recurring1_based on steps'!K$1:K$400,0)),K$2,)</f>
        <v>0</v>
      </c>
      <c r="L123" s="179">
        <f ca="1">IF(ISNUMBER(MATCH(DATEVALUE($A123),'recurring1_based on steps'!L$1:L$400,0)),L$2,)</f>
        <v>0</v>
      </c>
      <c r="M123" s="179">
        <f ca="1">IF(ISNUMBER(MATCH(DATEVALUE($A123),'recurring1_based on steps'!M$1:M$400,0)),M$2,)</f>
        <v>0</v>
      </c>
      <c r="N123" s="179">
        <f ca="1">IF(ISNUMBER(MATCH(DATEVALUE($A123),'recurring1_based on steps'!N$1:N$400,0)),N$2,)</f>
        <v>0</v>
      </c>
      <c r="O123" s="179">
        <f ca="1">IF(ISNUMBER(MATCH(DATEVALUE($A123),'recurring1_based on steps'!O$1:O$400,0)),O$2,)</f>
        <v>0</v>
      </c>
      <c r="P123" s="179">
        <f ca="1">IF(ISNUMBER(MATCH(DATEVALUE($A123),'recurring1_based on steps'!P$1:P$400,0)),P$2,)</f>
        <v>0</v>
      </c>
      <c r="Q123" s="179">
        <f ca="1">IF(ISNUMBER(MATCH(DATEVALUE($A123),'recurring1_based on steps'!Q$1:Q$400,0)),Q$2,)</f>
        <v>0</v>
      </c>
      <c r="R123" s="179">
        <f ca="1">IF(ISNUMBER(MATCH(DATEVALUE($A123),'recurring1_based on steps'!R$1:R$400,0)),R$2,)</f>
        <v>0</v>
      </c>
      <c r="S123" s="179">
        <f ca="1">IF(ISNUMBER(MATCH(DATEVALUE($A123),'recurring1_based on steps'!S$1:S$400,0)),S$2,)</f>
        <v>0</v>
      </c>
      <c r="T123" s="179">
        <f ca="1">IF(ISNUMBER(MATCH(DATEVALUE($A123),'recurring1_based on steps'!T$1:T$400,0)),T$2,)</f>
        <v>0</v>
      </c>
      <c r="U123" s="179">
        <f ca="1">IF(ISNUMBER(MATCH(DATEVALUE($A123),'recurring1_based on steps'!U$1:U$400,0)),U$2,)</f>
        <v>0</v>
      </c>
      <c r="V123" s="179">
        <f ca="1">IF(ISNUMBER(MATCH(DATEVALUE($A123),'recurring1_based on steps'!V$1:V$400,0)),V$2,)</f>
        <v>0</v>
      </c>
      <c r="W123" s="179">
        <f ca="1">IF(ISNUMBER(MATCH(DATEVALUE($A123),'recurring1_based on steps'!W$1:W$400,0)),W$2,)</f>
        <v>0</v>
      </c>
      <c r="X123" s="179">
        <f ca="1">IF(ISNUMBER(MATCH(DATEVALUE($A123),'recurring1_based on steps'!X$1:X$400,0)),X$2,)</f>
        <v>0</v>
      </c>
      <c r="Y123" s="179">
        <f ca="1">IF(ISNUMBER(MATCH(DATEVALUE($A123),'recurring1_based on steps'!Y$1:Y$400,0)),Y$2,)</f>
        <v>0</v>
      </c>
      <c r="Z123" s="179">
        <f ca="1">IF(ISNUMBER(MATCH(DATEVALUE($A123),'recurring1_based on steps'!Z$1:Z$400,0)),Z$2,)</f>
        <v>0</v>
      </c>
      <c r="AA123" s="179">
        <f ca="1">IF(ISNUMBER(MATCH(DATEVALUE($A123),'recurring1_based on steps'!AA$1:AA$400,0)),AA$2,)</f>
        <v>0</v>
      </c>
      <c r="AB123" s="179">
        <f ca="1">IF(ISNUMBER(MATCH(DATEVALUE($A123),'recurring1_based on steps'!AB$1:AB$400,0)),AB$2,)</f>
        <v>0</v>
      </c>
      <c r="AC123" s="179">
        <f ca="1">IF(ISNUMBER(MATCH(DATEVALUE($A123),'recurring1_based on steps'!AC$1:AC$400,0)),AC$2,)</f>
        <v>0</v>
      </c>
      <c r="AD123" s="179">
        <f ca="1">IF(ISNUMBER(MATCH(DATEVALUE($A123),'recurring1_based on steps'!AD$1:AD$400,0)),AD$2,)</f>
        <v>0</v>
      </c>
      <c r="AE123" s="179">
        <f ca="1">IF(ISNUMBER(MATCH(DATEVALUE($A123),'recurring1_based on steps'!AE$1:AE$400,0)),AE$2,)</f>
        <v>0</v>
      </c>
      <c r="AF123" s="179">
        <f ca="1">IF(ISNUMBER(MATCH(DATEVALUE($A123),'recurring1_based on steps'!AF$1:AF$400,0)),AF$2,)</f>
        <v>0</v>
      </c>
      <c r="AG123" s="179">
        <f ca="1">IF(ISNUMBER(MATCH(DATEVALUE($A123),'recurring1_based on steps'!AG$1:AG$400,0)),AG$2,)</f>
        <v>0</v>
      </c>
      <c r="AH123" s="179">
        <f ca="1">IF(ISNUMBER(MATCH(DATEVALUE($A123),'recurring1_based on steps'!AH$1:AH$400,0)),AH$2,)</f>
        <v>0</v>
      </c>
      <c r="AI123" s="179">
        <f ca="1">IF(ISNUMBER(MATCH(DATEVALUE($A123),'recurring1_based on steps'!AI$1:AI$400,0)),AI$2,)</f>
        <v>0</v>
      </c>
      <c r="AJ123" s="179">
        <f ca="1">IF(ISNUMBER(MATCH(DATEVALUE($A123),'recurring1_based on steps'!AJ$1:AJ$400,0)),AJ$2,)</f>
        <v>0</v>
      </c>
      <c r="AK123" s="179">
        <f ca="1">IF(ISNUMBER(MATCH(DATEVALUE($A123),'recurring1_based on steps'!AK$1:AK$400,0)),AK$2,)</f>
        <v>0</v>
      </c>
      <c r="AL123" s="179">
        <f ca="1">IF(ISNUMBER(MATCH(DATEVALUE($A123),'recurring1_based on steps'!AL$1:AL$400,0)),AL$2,)</f>
        <v>0</v>
      </c>
      <c r="AM123" s="179">
        <f ca="1">IF(ISNUMBER(MATCH(DATEVALUE($A123),'recurring1_based on steps'!AM$1:AM$400,0)),AM$2,)</f>
        <v>0</v>
      </c>
      <c r="AN123" s="179">
        <f ca="1">IF(ISNUMBER(MATCH(DATEVALUE($A123),'recurring1_based on steps'!AN$1:AN$400,0)),AN$2,)</f>
        <v>0</v>
      </c>
      <c r="AO123" s="179">
        <f ca="1">IF(ISNUMBER(MATCH(DATEVALUE($A123),'recurring1_based on steps'!AO$1:AO$400,0)),AO$2,)</f>
        <v>0</v>
      </c>
      <c r="AP123" s="179">
        <f ca="1">IF(ISNUMBER(MATCH(DATEVALUE($A123),'recurring1_based on steps'!AP$1:AP$400,0)),AP$2,)</f>
        <v>0</v>
      </c>
      <c r="AQ123" s="179">
        <f ca="1">IF(ISNUMBER(MATCH(DATEVALUE($A123),'recurring1_based on steps'!AQ$1:AQ$400,0)),AQ$2,)</f>
        <v>0</v>
      </c>
      <c r="AR123" s="179">
        <f ca="1">IF(ISNUMBER(MATCH(DATEVALUE($A123),'recurring1_based on steps'!AR$1:AR$400,0)),AR$2,)</f>
        <v>0</v>
      </c>
      <c r="AS123" s="179">
        <f ca="1">IF(ISNUMBER(MATCH(DATEVALUE($A123),'recurring1_based on steps'!AS$1:AS$400,0)),AS$2,)</f>
        <v>0</v>
      </c>
      <c r="AT123" s="179">
        <f ca="1">IF(ISNUMBER(MATCH(DATEVALUE($A123),'recurring1_based on steps'!AT$1:AT$400,0)),AT$2,)</f>
        <v>0</v>
      </c>
      <c r="AU123" s="179">
        <f ca="1">IF(ISNUMBER(MATCH(DATEVALUE($A123),'recurring1_based on steps'!AU$1:AU$400,0)),AU$2,)</f>
        <v>0</v>
      </c>
      <c r="AV123" s="179">
        <f ca="1">IF(ISNUMBER(MATCH(DATEVALUE($A123),'recurring1_based on steps'!AV$1:AV$400,0)),AV$2,)</f>
        <v>0</v>
      </c>
      <c r="AW123" s="179">
        <f ca="1">IF(ISNUMBER(MATCH(DATEVALUE($A123),'recurring1_based on steps'!AW$1:AW$400,0)),AW$2,)</f>
        <v>0</v>
      </c>
      <c r="AX123" s="179">
        <f ca="1">IF(ISNUMBER(MATCH(DATEVALUE($A123),'recurring1_based on steps'!AX$1:AX$400,0)),AX$2,)</f>
        <v>0</v>
      </c>
      <c r="AY123" s="179">
        <f ca="1">IF(ISNUMBER(MATCH(DATEVALUE($A123),'recurring1_based on steps'!AY$1:AY$400,0)),AY$2,)</f>
        <v>0</v>
      </c>
    </row>
    <row r="124" spans="1:51" x14ac:dyDescent="0.2">
      <c r="A124" s="32" t="str">
        <f t="shared" ca="1" si="1"/>
        <v>2025-07-28</v>
      </c>
      <c r="B124" s="179">
        <f ca="1">IF(ISNUMBER(MATCH(DATEVALUE($A124),'recurring1_based on steps'!B$1:B$400,0)),B$2,)</f>
        <v>0</v>
      </c>
      <c r="C124" s="179">
        <f ca="1">IF(ISNUMBER(MATCH(DATEVALUE($A124),'recurring1_based on steps'!C$1:C$400,0)),C$2,)</f>
        <v>0</v>
      </c>
      <c r="D124" s="179">
        <f ca="1">IF(ISNUMBER(MATCH(DATEVALUE($A124),'recurring1_based on steps'!D$1:D$400,0)),D$2,)</f>
        <v>0</v>
      </c>
      <c r="E124" s="179">
        <f ca="1">IF(ISNUMBER(MATCH(DATEVALUE($A124),'recurring1_based on steps'!E$1:E$400,0)),E$2,)</f>
        <v>0</v>
      </c>
      <c r="F124" s="179">
        <f ca="1">IF(ISNUMBER(MATCH(DATEVALUE($A124),'recurring1_based on steps'!F$1:F$400,0)),F$2,)</f>
        <v>0</v>
      </c>
      <c r="G124" s="179">
        <f ca="1">IF(ISNUMBER(MATCH(DATEVALUE($A124),'recurring1_based on steps'!G$1:G$400,0)),G$2,)</f>
        <v>0</v>
      </c>
      <c r="H124" s="179">
        <f ca="1">IF(ISNUMBER(MATCH(DATEVALUE($A124),'recurring1_based on steps'!H$1:H$400,0)),H$2,)</f>
        <v>0</v>
      </c>
      <c r="I124" s="179">
        <f ca="1">IF(ISNUMBER(MATCH(DATEVALUE($A124),'recurring1_based on steps'!I$1:I$400,0)),I$2,)</f>
        <v>0</v>
      </c>
      <c r="J124" s="179">
        <f ca="1">IF(ISNUMBER(MATCH(DATEVALUE($A124),'recurring1_based on steps'!J$1:J$400,0)),J$2,)</f>
        <v>0</v>
      </c>
      <c r="K124" s="179">
        <f ca="1">IF(ISNUMBER(MATCH(DATEVALUE($A124),'recurring1_based on steps'!K$1:K$400,0)),K$2,)</f>
        <v>0</v>
      </c>
      <c r="L124" s="179">
        <f ca="1">IF(ISNUMBER(MATCH(DATEVALUE($A124),'recurring1_based on steps'!L$1:L$400,0)),L$2,)</f>
        <v>0</v>
      </c>
      <c r="M124" s="179">
        <f ca="1">IF(ISNUMBER(MATCH(DATEVALUE($A124),'recurring1_based on steps'!M$1:M$400,0)),M$2,)</f>
        <v>0</v>
      </c>
      <c r="N124" s="179">
        <f ca="1">IF(ISNUMBER(MATCH(DATEVALUE($A124),'recurring1_based on steps'!N$1:N$400,0)),N$2,)</f>
        <v>0</v>
      </c>
      <c r="O124" s="179">
        <f ca="1">IF(ISNUMBER(MATCH(DATEVALUE($A124),'recurring1_based on steps'!O$1:O$400,0)),O$2,)</f>
        <v>0</v>
      </c>
      <c r="P124" s="179">
        <f ca="1">IF(ISNUMBER(MATCH(DATEVALUE($A124),'recurring1_based on steps'!P$1:P$400,0)),P$2,)</f>
        <v>0</v>
      </c>
      <c r="Q124" s="179">
        <f ca="1">IF(ISNUMBER(MATCH(DATEVALUE($A124),'recurring1_based on steps'!Q$1:Q$400,0)),Q$2,)</f>
        <v>0</v>
      </c>
      <c r="R124" s="179">
        <f ca="1">IF(ISNUMBER(MATCH(DATEVALUE($A124),'recurring1_based on steps'!R$1:R$400,0)),R$2,)</f>
        <v>0</v>
      </c>
      <c r="S124" s="179">
        <f ca="1">IF(ISNUMBER(MATCH(DATEVALUE($A124),'recurring1_based on steps'!S$1:S$400,0)),S$2,)</f>
        <v>0</v>
      </c>
      <c r="T124" s="179">
        <f ca="1">IF(ISNUMBER(MATCH(DATEVALUE($A124),'recurring1_based on steps'!T$1:T$400,0)),T$2,)</f>
        <v>0</v>
      </c>
      <c r="U124" s="179">
        <f ca="1">IF(ISNUMBER(MATCH(DATEVALUE($A124),'recurring1_based on steps'!U$1:U$400,0)),U$2,)</f>
        <v>0</v>
      </c>
      <c r="V124" s="179">
        <f ca="1">IF(ISNUMBER(MATCH(DATEVALUE($A124),'recurring1_based on steps'!V$1:V$400,0)),V$2,)</f>
        <v>0</v>
      </c>
      <c r="W124" s="179">
        <f ca="1">IF(ISNUMBER(MATCH(DATEVALUE($A124),'recurring1_based on steps'!W$1:W$400,0)),W$2,)</f>
        <v>0</v>
      </c>
      <c r="X124" s="179">
        <f ca="1">IF(ISNUMBER(MATCH(DATEVALUE($A124),'recurring1_based on steps'!X$1:X$400,0)),X$2,)</f>
        <v>0</v>
      </c>
      <c r="Y124" s="179">
        <f ca="1">IF(ISNUMBER(MATCH(DATEVALUE($A124),'recurring1_based on steps'!Y$1:Y$400,0)),Y$2,)</f>
        <v>0</v>
      </c>
      <c r="Z124" s="179">
        <f ca="1">IF(ISNUMBER(MATCH(DATEVALUE($A124),'recurring1_based on steps'!Z$1:Z$400,0)),Z$2,)</f>
        <v>0</v>
      </c>
      <c r="AA124" s="179">
        <f ca="1">IF(ISNUMBER(MATCH(DATEVALUE($A124),'recurring1_based on steps'!AA$1:AA$400,0)),AA$2,)</f>
        <v>0</v>
      </c>
      <c r="AB124" s="179">
        <f ca="1">IF(ISNUMBER(MATCH(DATEVALUE($A124),'recurring1_based on steps'!AB$1:AB$400,0)),AB$2,)</f>
        <v>0</v>
      </c>
      <c r="AC124" s="179">
        <f ca="1">IF(ISNUMBER(MATCH(DATEVALUE($A124),'recurring1_based on steps'!AC$1:AC$400,0)),AC$2,)</f>
        <v>0</v>
      </c>
      <c r="AD124" s="179">
        <f ca="1">IF(ISNUMBER(MATCH(DATEVALUE($A124),'recurring1_based on steps'!AD$1:AD$400,0)),AD$2,)</f>
        <v>0</v>
      </c>
      <c r="AE124" s="179">
        <f ca="1">IF(ISNUMBER(MATCH(DATEVALUE($A124),'recurring1_based on steps'!AE$1:AE$400,0)),AE$2,)</f>
        <v>0</v>
      </c>
      <c r="AF124" s="179">
        <f ca="1">IF(ISNUMBER(MATCH(DATEVALUE($A124),'recurring1_based on steps'!AF$1:AF$400,0)),AF$2,)</f>
        <v>0</v>
      </c>
      <c r="AG124" s="179">
        <f ca="1">IF(ISNUMBER(MATCH(DATEVALUE($A124),'recurring1_based on steps'!AG$1:AG$400,0)),AG$2,)</f>
        <v>0</v>
      </c>
      <c r="AH124" s="179">
        <f ca="1">IF(ISNUMBER(MATCH(DATEVALUE($A124),'recurring1_based on steps'!AH$1:AH$400,0)),AH$2,)</f>
        <v>0</v>
      </c>
      <c r="AI124" s="179">
        <f ca="1">IF(ISNUMBER(MATCH(DATEVALUE($A124),'recurring1_based on steps'!AI$1:AI$400,0)),AI$2,)</f>
        <v>0</v>
      </c>
      <c r="AJ124" s="179">
        <f ca="1">IF(ISNUMBER(MATCH(DATEVALUE($A124),'recurring1_based on steps'!AJ$1:AJ$400,0)),AJ$2,)</f>
        <v>0</v>
      </c>
      <c r="AK124" s="179">
        <f ca="1">IF(ISNUMBER(MATCH(DATEVALUE($A124),'recurring1_based on steps'!AK$1:AK$400,0)),AK$2,)</f>
        <v>0</v>
      </c>
      <c r="AL124" s="179">
        <f ca="1">IF(ISNUMBER(MATCH(DATEVALUE($A124),'recurring1_based on steps'!AL$1:AL$400,0)),AL$2,)</f>
        <v>0</v>
      </c>
      <c r="AM124" s="179">
        <f ca="1">IF(ISNUMBER(MATCH(DATEVALUE($A124),'recurring1_based on steps'!AM$1:AM$400,0)),AM$2,)</f>
        <v>0</v>
      </c>
      <c r="AN124" s="179">
        <f ca="1">IF(ISNUMBER(MATCH(DATEVALUE($A124),'recurring1_based on steps'!AN$1:AN$400,0)),AN$2,)</f>
        <v>0</v>
      </c>
      <c r="AO124" s="179">
        <f ca="1">IF(ISNUMBER(MATCH(DATEVALUE($A124),'recurring1_based on steps'!AO$1:AO$400,0)),AO$2,)</f>
        <v>0</v>
      </c>
      <c r="AP124" s="179">
        <f ca="1">IF(ISNUMBER(MATCH(DATEVALUE($A124),'recurring1_based on steps'!AP$1:AP$400,0)),AP$2,)</f>
        <v>0</v>
      </c>
      <c r="AQ124" s="179">
        <f ca="1">IF(ISNUMBER(MATCH(DATEVALUE($A124),'recurring1_based on steps'!AQ$1:AQ$400,0)),AQ$2,)</f>
        <v>0</v>
      </c>
      <c r="AR124" s="179">
        <f ca="1">IF(ISNUMBER(MATCH(DATEVALUE($A124),'recurring1_based on steps'!AR$1:AR$400,0)),AR$2,)</f>
        <v>0</v>
      </c>
      <c r="AS124" s="179">
        <f ca="1">IF(ISNUMBER(MATCH(DATEVALUE($A124),'recurring1_based on steps'!AS$1:AS$400,0)),AS$2,)</f>
        <v>0</v>
      </c>
      <c r="AT124" s="179">
        <f ca="1">IF(ISNUMBER(MATCH(DATEVALUE($A124),'recurring1_based on steps'!AT$1:AT$400,0)),AT$2,)</f>
        <v>0</v>
      </c>
      <c r="AU124" s="179">
        <f ca="1">IF(ISNUMBER(MATCH(DATEVALUE($A124),'recurring1_based on steps'!AU$1:AU$400,0)),AU$2,)</f>
        <v>0</v>
      </c>
      <c r="AV124" s="179">
        <f ca="1">IF(ISNUMBER(MATCH(DATEVALUE($A124),'recurring1_based on steps'!AV$1:AV$400,0)),AV$2,)</f>
        <v>0</v>
      </c>
      <c r="AW124" s="179">
        <f ca="1">IF(ISNUMBER(MATCH(DATEVALUE($A124),'recurring1_based on steps'!AW$1:AW$400,0)),AW$2,)</f>
        <v>0</v>
      </c>
      <c r="AX124" s="179">
        <f ca="1">IF(ISNUMBER(MATCH(DATEVALUE($A124),'recurring1_based on steps'!AX$1:AX$400,0)),AX$2,)</f>
        <v>0</v>
      </c>
      <c r="AY124" s="179">
        <f ca="1">IF(ISNUMBER(MATCH(DATEVALUE($A124),'recurring1_based on steps'!AY$1:AY$400,0)),AY$2,)</f>
        <v>0</v>
      </c>
    </row>
    <row r="125" spans="1:51" x14ac:dyDescent="0.2">
      <c r="A125" s="32" t="str">
        <f t="shared" ca="1" si="1"/>
        <v>2025-07-29</v>
      </c>
      <c r="B125" s="179">
        <f ca="1">IF(ISNUMBER(MATCH(DATEVALUE($A125),'recurring1_based on steps'!B$1:B$400,0)),B$2,)</f>
        <v>0</v>
      </c>
      <c r="C125" s="179">
        <f ca="1">IF(ISNUMBER(MATCH(DATEVALUE($A125),'recurring1_based on steps'!C$1:C$400,0)),C$2,)</f>
        <v>0</v>
      </c>
      <c r="D125" s="179">
        <f ca="1">IF(ISNUMBER(MATCH(DATEVALUE($A125),'recurring1_based on steps'!D$1:D$400,0)),D$2,)</f>
        <v>0</v>
      </c>
      <c r="E125" s="179">
        <f ca="1">IF(ISNUMBER(MATCH(DATEVALUE($A125),'recurring1_based on steps'!E$1:E$400,0)),E$2,)</f>
        <v>0</v>
      </c>
      <c r="F125" s="179">
        <f ca="1">IF(ISNUMBER(MATCH(DATEVALUE($A125),'recurring1_based on steps'!F$1:F$400,0)),F$2,)</f>
        <v>0</v>
      </c>
      <c r="G125" s="179">
        <f ca="1">IF(ISNUMBER(MATCH(DATEVALUE($A125),'recurring1_based on steps'!G$1:G$400,0)),G$2,)</f>
        <v>0</v>
      </c>
      <c r="H125" s="179">
        <f ca="1">IF(ISNUMBER(MATCH(DATEVALUE($A125),'recurring1_based on steps'!H$1:H$400,0)),H$2,)</f>
        <v>0</v>
      </c>
      <c r="I125" s="179">
        <f ca="1">IF(ISNUMBER(MATCH(DATEVALUE($A125),'recurring1_based on steps'!I$1:I$400,0)),I$2,)</f>
        <v>0</v>
      </c>
      <c r="J125" s="179">
        <f ca="1">IF(ISNUMBER(MATCH(DATEVALUE($A125),'recurring1_based on steps'!J$1:J$400,0)),J$2,)</f>
        <v>0</v>
      </c>
      <c r="K125" s="179">
        <f ca="1">IF(ISNUMBER(MATCH(DATEVALUE($A125),'recurring1_based on steps'!K$1:K$400,0)),K$2,)</f>
        <v>0</v>
      </c>
      <c r="L125" s="179">
        <f ca="1">IF(ISNUMBER(MATCH(DATEVALUE($A125),'recurring1_based on steps'!L$1:L$400,0)),L$2,)</f>
        <v>0</v>
      </c>
      <c r="M125" s="179">
        <f ca="1">IF(ISNUMBER(MATCH(DATEVALUE($A125),'recurring1_based on steps'!M$1:M$400,0)),M$2,)</f>
        <v>0</v>
      </c>
      <c r="N125" s="179">
        <f ca="1">IF(ISNUMBER(MATCH(DATEVALUE($A125),'recurring1_based on steps'!N$1:N$400,0)),N$2,)</f>
        <v>0</v>
      </c>
      <c r="O125" s="179">
        <f ca="1">IF(ISNUMBER(MATCH(DATEVALUE($A125),'recurring1_based on steps'!O$1:O$400,0)),O$2,)</f>
        <v>0</v>
      </c>
      <c r="P125" s="179">
        <f ca="1">IF(ISNUMBER(MATCH(DATEVALUE($A125),'recurring1_based on steps'!P$1:P$400,0)),P$2,)</f>
        <v>0</v>
      </c>
      <c r="Q125" s="179">
        <f ca="1">IF(ISNUMBER(MATCH(DATEVALUE($A125),'recurring1_based on steps'!Q$1:Q$400,0)),Q$2,)</f>
        <v>0</v>
      </c>
      <c r="R125" s="179">
        <f ca="1">IF(ISNUMBER(MATCH(DATEVALUE($A125),'recurring1_based on steps'!R$1:R$400,0)),R$2,)</f>
        <v>0</v>
      </c>
      <c r="S125" s="179">
        <f ca="1">IF(ISNUMBER(MATCH(DATEVALUE($A125),'recurring1_based on steps'!S$1:S$400,0)),S$2,)</f>
        <v>0</v>
      </c>
      <c r="T125" s="179">
        <f ca="1">IF(ISNUMBER(MATCH(DATEVALUE($A125),'recurring1_based on steps'!T$1:T$400,0)),T$2,)</f>
        <v>0</v>
      </c>
      <c r="U125" s="179">
        <f ca="1">IF(ISNUMBER(MATCH(DATEVALUE($A125),'recurring1_based on steps'!U$1:U$400,0)),U$2,)</f>
        <v>0</v>
      </c>
      <c r="V125" s="179">
        <f ca="1">IF(ISNUMBER(MATCH(DATEVALUE($A125),'recurring1_based on steps'!V$1:V$400,0)),V$2,)</f>
        <v>0</v>
      </c>
      <c r="W125" s="179">
        <f ca="1">IF(ISNUMBER(MATCH(DATEVALUE($A125),'recurring1_based on steps'!W$1:W$400,0)),W$2,)</f>
        <v>0</v>
      </c>
      <c r="X125" s="179">
        <f ca="1">IF(ISNUMBER(MATCH(DATEVALUE($A125),'recurring1_based on steps'!X$1:X$400,0)),X$2,)</f>
        <v>0</v>
      </c>
      <c r="Y125" s="179">
        <f ca="1">IF(ISNUMBER(MATCH(DATEVALUE($A125),'recurring1_based on steps'!Y$1:Y$400,0)),Y$2,)</f>
        <v>0</v>
      </c>
      <c r="Z125" s="179">
        <f ca="1">IF(ISNUMBER(MATCH(DATEVALUE($A125),'recurring1_based on steps'!Z$1:Z$400,0)),Z$2,)</f>
        <v>0</v>
      </c>
      <c r="AA125" s="179">
        <f ca="1">IF(ISNUMBER(MATCH(DATEVALUE($A125),'recurring1_based on steps'!AA$1:AA$400,0)),AA$2,)</f>
        <v>0</v>
      </c>
      <c r="AB125" s="179">
        <f ca="1">IF(ISNUMBER(MATCH(DATEVALUE($A125),'recurring1_based on steps'!AB$1:AB$400,0)),AB$2,)</f>
        <v>0</v>
      </c>
      <c r="AC125" s="179">
        <f ca="1">IF(ISNUMBER(MATCH(DATEVALUE($A125),'recurring1_based on steps'!AC$1:AC$400,0)),AC$2,)</f>
        <v>0</v>
      </c>
      <c r="AD125" s="179">
        <f ca="1">IF(ISNUMBER(MATCH(DATEVALUE($A125),'recurring1_based on steps'!AD$1:AD$400,0)),AD$2,)</f>
        <v>0</v>
      </c>
      <c r="AE125" s="179">
        <f ca="1">IF(ISNUMBER(MATCH(DATEVALUE($A125),'recurring1_based on steps'!AE$1:AE$400,0)),AE$2,)</f>
        <v>0</v>
      </c>
      <c r="AF125" s="179">
        <f ca="1">IF(ISNUMBER(MATCH(DATEVALUE($A125),'recurring1_based on steps'!AF$1:AF$400,0)),AF$2,)</f>
        <v>0</v>
      </c>
      <c r="AG125" s="179">
        <f ca="1">IF(ISNUMBER(MATCH(DATEVALUE($A125),'recurring1_based on steps'!AG$1:AG$400,0)),AG$2,)</f>
        <v>0</v>
      </c>
      <c r="AH125" s="179">
        <f ca="1">IF(ISNUMBER(MATCH(DATEVALUE($A125),'recurring1_based on steps'!AH$1:AH$400,0)),AH$2,)</f>
        <v>0</v>
      </c>
      <c r="AI125" s="179">
        <f ca="1">IF(ISNUMBER(MATCH(DATEVALUE($A125),'recurring1_based on steps'!AI$1:AI$400,0)),AI$2,)</f>
        <v>0</v>
      </c>
      <c r="AJ125" s="179">
        <f ca="1">IF(ISNUMBER(MATCH(DATEVALUE($A125),'recurring1_based on steps'!AJ$1:AJ$400,0)),AJ$2,)</f>
        <v>0</v>
      </c>
      <c r="AK125" s="179">
        <f ca="1">IF(ISNUMBER(MATCH(DATEVALUE($A125),'recurring1_based on steps'!AK$1:AK$400,0)),AK$2,)</f>
        <v>0</v>
      </c>
      <c r="AL125" s="179">
        <f ca="1">IF(ISNUMBER(MATCH(DATEVALUE($A125),'recurring1_based on steps'!AL$1:AL$400,0)),AL$2,)</f>
        <v>0</v>
      </c>
      <c r="AM125" s="179">
        <f ca="1">IF(ISNUMBER(MATCH(DATEVALUE($A125),'recurring1_based on steps'!AM$1:AM$400,0)),AM$2,)</f>
        <v>0</v>
      </c>
      <c r="AN125" s="179">
        <f ca="1">IF(ISNUMBER(MATCH(DATEVALUE($A125),'recurring1_based on steps'!AN$1:AN$400,0)),AN$2,)</f>
        <v>0</v>
      </c>
      <c r="AO125" s="179">
        <f ca="1">IF(ISNUMBER(MATCH(DATEVALUE($A125),'recurring1_based on steps'!AO$1:AO$400,0)),AO$2,)</f>
        <v>0</v>
      </c>
      <c r="AP125" s="179">
        <f ca="1">IF(ISNUMBER(MATCH(DATEVALUE($A125),'recurring1_based on steps'!AP$1:AP$400,0)),AP$2,)</f>
        <v>0</v>
      </c>
      <c r="AQ125" s="179">
        <f ca="1">IF(ISNUMBER(MATCH(DATEVALUE($A125),'recurring1_based on steps'!AQ$1:AQ$400,0)),AQ$2,)</f>
        <v>0</v>
      </c>
      <c r="AR125" s="179">
        <f ca="1">IF(ISNUMBER(MATCH(DATEVALUE($A125),'recurring1_based on steps'!AR$1:AR$400,0)),AR$2,)</f>
        <v>0</v>
      </c>
      <c r="AS125" s="179">
        <f ca="1">IF(ISNUMBER(MATCH(DATEVALUE($A125),'recurring1_based on steps'!AS$1:AS$400,0)),AS$2,)</f>
        <v>0</v>
      </c>
      <c r="AT125" s="179">
        <f ca="1">IF(ISNUMBER(MATCH(DATEVALUE($A125),'recurring1_based on steps'!AT$1:AT$400,0)),AT$2,)</f>
        <v>0</v>
      </c>
      <c r="AU125" s="179">
        <f ca="1">IF(ISNUMBER(MATCH(DATEVALUE($A125),'recurring1_based on steps'!AU$1:AU$400,0)),AU$2,)</f>
        <v>0</v>
      </c>
      <c r="AV125" s="179">
        <f ca="1">IF(ISNUMBER(MATCH(DATEVALUE($A125),'recurring1_based on steps'!AV$1:AV$400,0)),AV$2,)</f>
        <v>0</v>
      </c>
      <c r="AW125" s="179">
        <f ca="1">IF(ISNUMBER(MATCH(DATEVALUE($A125),'recurring1_based on steps'!AW$1:AW$400,0)),AW$2,)</f>
        <v>0</v>
      </c>
      <c r="AX125" s="179">
        <f ca="1">IF(ISNUMBER(MATCH(DATEVALUE($A125),'recurring1_based on steps'!AX$1:AX$400,0)),AX$2,)</f>
        <v>0</v>
      </c>
      <c r="AY125" s="179">
        <f ca="1">IF(ISNUMBER(MATCH(DATEVALUE($A125),'recurring1_based on steps'!AY$1:AY$400,0)),AY$2,)</f>
        <v>0</v>
      </c>
    </row>
    <row r="126" spans="1:51" x14ac:dyDescent="0.2">
      <c r="A126" s="32" t="str">
        <f t="shared" ca="1" si="1"/>
        <v>2025-07-30</v>
      </c>
      <c r="B126" s="179">
        <f ca="1">IF(ISNUMBER(MATCH(DATEVALUE($A126),'recurring1_based on steps'!B$1:B$400,0)),B$2,)</f>
        <v>0</v>
      </c>
      <c r="C126" s="179">
        <f ca="1">IF(ISNUMBER(MATCH(DATEVALUE($A126),'recurring1_based on steps'!C$1:C$400,0)),C$2,)</f>
        <v>0</v>
      </c>
      <c r="D126" s="179">
        <f ca="1">IF(ISNUMBER(MATCH(DATEVALUE($A126),'recurring1_based on steps'!D$1:D$400,0)),D$2,)</f>
        <v>0</v>
      </c>
      <c r="E126" s="179">
        <f ca="1">IF(ISNUMBER(MATCH(DATEVALUE($A126),'recurring1_based on steps'!E$1:E$400,0)),E$2,)</f>
        <v>0</v>
      </c>
      <c r="F126" s="179">
        <f ca="1">IF(ISNUMBER(MATCH(DATEVALUE($A126),'recurring1_based on steps'!F$1:F$400,0)),F$2,)</f>
        <v>0</v>
      </c>
      <c r="G126" s="179">
        <f ca="1">IF(ISNUMBER(MATCH(DATEVALUE($A126),'recurring1_based on steps'!G$1:G$400,0)),G$2,)</f>
        <v>0</v>
      </c>
      <c r="H126" s="179">
        <f ca="1">IF(ISNUMBER(MATCH(DATEVALUE($A126),'recurring1_based on steps'!H$1:H$400,0)),H$2,)</f>
        <v>0</v>
      </c>
      <c r="I126" s="179">
        <f ca="1">IF(ISNUMBER(MATCH(DATEVALUE($A126),'recurring1_based on steps'!I$1:I$400,0)),I$2,)</f>
        <v>0</v>
      </c>
      <c r="J126" s="179">
        <f ca="1">IF(ISNUMBER(MATCH(DATEVALUE($A126),'recurring1_based on steps'!J$1:J$400,0)),J$2,)</f>
        <v>0</v>
      </c>
      <c r="K126" s="179">
        <f ca="1">IF(ISNUMBER(MATCH(DATEVALUE($A126),'recurring1_based on steps'!K$1:K$400,0)),K$2,)</f>
        <v>0</v>
      </c>
      <c r="L126" s="179">
        <f ca="1">IF(ISNUMBER(MATCH(DATEVALUE($A126),'recurring1_based on steps'!L$1:L$400,0)),L$2,)</f>
        <v>0</v>
      </c>
      <c r="M126" s="179">
        <f ca="1">IF(ISNUMBER(MATCH(DATEVALUE($A126),'recurring1_based on steps'!M$1:M$400,0)),M$2,)</f>
        <v>0</v>
      </c>
      <c r="N126" s="179">
        <f ca="1">IF(ISNUMBER(MATCH(DATEVALUE($A126),'recurring1_based on steps'!N$1:N$400,0)),N$2,)</f>
        <v>0</v>
      </c>
      <c r="O126" s="179">
        <f ca="1">IF(ISNUMBER(MATCH(DATEVALUE($A126),'recurring1_based on steps'!O$1:O$400,0)),O$2,)</f>
        <v>0</v>
      </c>
      <c r="P126" s="179">
        <f ca="1">IF(ISNUMBER(MATCH(DATEVALUE($A126),'recurring1_based on steps'!P$1:P$400,0)),P$2,)</f>
        <v>0</v>
      </c>
      <c r="Q126" s="179">
        <f ca="1">IF(ISNUMBER(MATCH(DATEVALUE($A126),'recurring1_based on steps'!Q$1:Q$400,0)),Q$2,)</f>
        <v>0</v>
      </c>
      <c r="R126" s="179">
        <f ca="1">IF(ISNUMBER(MATCH(DATEVALUE($A126),'recurring1_based on steps'!R$1:R$400,0)),R$2,)</f>
        <v>0</v>
      </c>
      <c r="S126" s="179">
        <f ca="1">IF(ISNUMBER(MATCH(DATEVALUE($A126),'recurring1_based on steps'!S$1:S$400,0)),S$2,)</f>
        <v>0</v>
      </c>
      <c r="T126" s="179">
        <f ca="1">IF(ISNUMBER(MATCH(DATEVALUE($A126),'recurring1_based on steps'!T$1:T$400,0)),T$2,)</f>
        <v>0</v>
      </c>
      <c r="U126" s="179">
        <f ca="1">IF(ISNUMBER(MATCH(DATEVALUE($A126),'recurring1_based on steps'!U$1:U$400,0)),U$2,)</f>
        <v>0</v>
      </c>
      <c r="V126" s="179">
        <f ca="1">IF(ISNUMBER(MATCH(DATEVALUE($A126),'recurring1_based on steps'!V$1:V$400,0)),V$2,)</f>
        <v>0</v>
      </c>
      <c r="W126" s="179">
        <f ca="1">IF(ISNUMBER(MATCH(DATEVALUE($A126),'recurring1_based on steps'!W$1:W$400,0)),W$2,)</f>
        <v>0</v>
      </c>
      <c r="X126" s="179">
        <f ca="1">IF(ISNUMBER(MATCH(DATEVALUE($A126),'recurring1_based on steps'!X$1:X$400,0)),X$2,)</f>
        <v>0</v>
      </c>
      <c r="Y126" s="179">
        <f ca="1">IF(ISNUMBER(MATCH(DATEVALUE($A126),'recurring1_based on steps'!Y$1:Y$400,0)),Y$2,)</f>
        <v>0</v>
      </c>
      <c r="Z126" s="179">
        <f ca="1">IF(ISNUMBER(MATCH(DATEVALUE($A126),'recurring1_based on steps'!Z$1:Z$400,0)),Z$2,)</f>
        <v>0</v>
      </c>
      <c r="AA126" s="179">
        <f ca="1">IF(ISNUMBER(MATCH(DATEVALUE($A126),'recurring1_based on steps'!AA$1:AA$400,0)),AA$2,)</f>
        <v>0</v>
      </c>
      <c r="AB126" s="179">
        <f ca="1">IF(ISNUMBER(MATCH(DATEVALUE($A126),'recurring1_based on steps'!AB$1:AB$400,0)),AB$2,)</f>
        <v>0</v>
      </c>
      <c r="AC126" s="179">
        <f ca="1">IF(ISNUMBER(MATCH(DATEVALUE($A126),'recurring1_based on steps'!AC$1:AC$400,0)),AC$2,)</f>
        <v>0</v>
      </c>
      <c r="AD126" s="179">
        <f ca="1">IF(ISNUMBER(MATCH(DATEVALUE($A126),'recurring1_based on steps'!AD$1:AD$400,0)),AD$2,)</f>
        <v>0</v>
      </c>
      <c r="AE126" s="179">
        <f ca="1">IF(ISNUMBER(MATCH(DATEVALUE($A126),'recurring1_based on steps'!AE$1:AE$400,0)),AE$2,)</f>
        <v>0</v>
      </c>
      <c r="AF126" s="179">
        <f ca="1">IF(ISNUMBER(MATCH(DATEVALUE($A126),'recurring1_based on steps'!AF$1:AF$400,0)),AF$2,)</f>
        <v>0</v>
      </c>
      <c r="AG126" s="179">
        <f ca="1">IF(ISNUMBER(MATCH(DATEVALUE($A126),'recurring1_based on steps'!AG$1:AG$400,0)),AG$2,)</f>
        <v>0</v>
      </c>
      <c r="AH126" s="179">
        <f ca="1">IF(ISNUMBER(MATCH(DATEVALUE($A126),'recurring1_based on steps'!AH$1:AH$400,0)),AH$2,)</f>
        <v>0</v>
      </c>
      <c r="AI126" s="179">
        <f ca="1">IF(ISNUMBER(MATCH(DATEVALUE($A126),'recurring1_based on steps'!AI$1:AI$400,0)),AI$2,)</f>
        <v>0</v>
      </c>
      <c r="AJ126" s="179">
        <f ca="1">IF(ISNUMBER(MATCH(DATEVALUE($A126),'recurring1_based on steps'!AJ$1:AJ$400,0)),AJ$2,)</f>
        <v>0</v>
      </c>
      <c r="AK126" s="179">
        <f ca="1">IF(ISNUMBER(MATCH(DATEVALUE($A126),'recurring1_based on steps'!AK$1:AK$400,0)),AK$2,)</f>
        <v>0</v>
      </c>
      <c r="AL126" s="179">
        <f ca="1">IF(ISNUMBER(MATCH(DATEVALUE($A126),'recurring1_based on steps'!AL$1:AL$400,0)),AL$2,)</f>
        <v>0</v>
      </c>
      <c r="AM126" s="179">
        <f ca="1">IF(ISNUMBER(MATCH(DATEVALUE($A126),'recurring1_based on steps'!AM$1:AM$400,0)),AM$2,)</f>
        <v>0</v>
      </c>
      <c r="AN126" s="179">
        <f ca="1">IF(ISNUMBER(MATCH(DATEVALUE($A126),'recurring1_based on steps'!AN$1:AN$400,0)),AN$2,)</f>
        <v>0</v>
      </c>
      <c r="AO126" s="179">
        <f ca="1">IF(ISNUMBER(MATCH(DATEVALUE($A126),'recurring1_based on steps'!AO$1:AO$400,0)),AO$2,)</f>
        <v>0</v>
      </c>
      <c r="AP126" s="179">
        <f ca="1">IF(ISNUMBER(MATCH(DATEVALUE($A126),'recurring1_based on steps'!AP$1:AP$400,0)),AP$2,)</f>
        <v>0</v>
      </c>
      <c r="AQ126" s="179">
        <f ca="1">IF(ISNUMBER(MATCH(DATEVALUE($A126),'recurring1_based on steps'!AQ$1:AQ$400,0)),AQ$2,)</f>
        <v>0</v>
      </c>
      <c r="AR126" s="179">
        <f ca="1">IF(ISNUMBER(MATCH(DATEVALUE($A126),'recurring1_based on steps'!AR$1:AR$400,0)),AR$2,)</f>
        <v>0</v>
      </c>
      <c r="AS126" s="179">
        <f ca="1">IF(ISNUMBER(MATCH(DATEVALUE($A126),'recurring1_based on steps'!AS$1:AS$400,0)),AS$2,)</f>
        <v>0</v>
      </c>
      <c r="AT126" s="179">
        <f ca="1">IF(ISNUMBER(MATCH(DATEVALUE($A126),'recurring1_based on steps'!AT$1:AT$400,0)),AT$2,)</f>
        <v>0</v>
      </c>
      <c r="AU126" s="179">
        <f ca="1">IF(ISNUMBER(MATCH(DATEVALUE($A126),'recurring1_based on steps'!AU$1:AU$400,0)),AU$2,)</f>
        <v>0</v>
      </c>
      <c r="AV126" s="179">
        <f ca="1">IF(ISNUMBER(MATCH(DATEVALUE($A126),'recurring1_based on steps'!AV$1:AV$400,0)),AV$2,)</f>
        <v>0</v>
      </c>
      <c r="AW126" s="179">
        <f ca="1">IF(ISNUMBER(MATCH(DATEVALUE($A126),'recurring1_based on steps'!AW$1:AW$400,0)),AW$2,)</f>
        <v>0</v>
      </c>
      <c r="AX126" s="179">
        <f ca="1">IF(ISNUMBER(MATCH(DATEVALUE($A126),'recurring1_based on steps'!AX$1:AX$400,0)),AX$2,)</f>
        <v>0</v>
      </c>
      <c r="AY126" s="179">
        <f ca="1">IF(ISNUMBER(MATCH(DATEVALUE($A126),'recurring1_based on steps'!AY$1:AY$400,0)),AY$2,)</f>
        <v>0</v>
      </c>
    </row>
    <row r="127" spans="1:51" x14ac:dyDescent="0.2">
      <c r="A127" s="32" t="str">
        <f t="shared" ca="1" si="1"/>
        <v>2025-07-31</v>
      </c>
      <c r="B127" s="179">
        <f ca="1">IF(ISNUMBER(MATCH(DATEVALUE($A127),'recurring1_based on steps'!B$1:B$400,0)),B$2,)</f>
        <v>0</v>
      </c>
      <c r="C127" s="179">
        <f ca="1">IF(ISNUMBER(MATCH(DATEVALUE($A127),'recurring1_based on steps'!C$1:C$400,0)),C$2,)</f>
        <v>0</v>
      </c>
      <c r="D127" s="179">
        <f ca="1">IF(ISNUMBER(MATCH(DATEVALUE($A127),'recurring1_based on steps'!D$1:D$400,0)),D$2,)</f>
        <v>0</v>
      </c>
      <c r="E127" s="179">
        <f ca="1">IF(ISNUMBER(MATCH(DATEVALUE($A127),'recurring1_based on steps'!E$1:E$400,0)),E$2,)</f>
        <v>0</v>
      </c>
      <c r="F127" s="179">
        <f ca="1">IF(ISNUMBER(MATCH(DATEVALUE($A127),'recurring1_based on steps'!F$1:F$400,0)),F$2,)</f>
        <v>0</v>
      </c>
      <c r="G127" s="179">
        <f ca="1">IF(ISNUMBER(MATCH(DATEVALUE($A127),'recurring1_based on steps'!G$1:G$400,0)),G$2,)</f>
        <v>0</v>
      </c>
      <c r="H127" s="179">
        <f ca="1">IF(ISNUMBER(MATCH(DATEVALUE($A127),'recurring1_based on steps'!H$1:H$400,0)),H$2,)</f>
        <v>0</v>
      </c>
      <c r="I127" s="179">
        <f ca="1">IF(ISNUMBER(MATCH(DATEVALUE($A127),'recurring1_based on steps'!I$1:I$400,0)),I$2,)</f>
        <v>0</v>
      </c>
      <c r="J127" s="179">
        <f ca="1">IF(ISNUMBER(MATCH(DATEVALUE($A127),'recurring1_based on steps'!J$1:J$400,0)),J$2,)</f>
        <v>0</v>
      </c>
      <c r="K127" s="179">
        <f ca="1">IF(ISNUMBER(MATCH(DATEVALUE($A127),'recurring1_based on steps'!K$1:K$400,0)),K$2,)</f>
        <v>0</v>
      </c>
      <c r="L127" s="179">
        <f ca="1">IF(ISNUMBER(MATCH(DATEVALUE($A127),'recurring1_based on steps'!L$1:L$400,0)),L$2,)</f>
        <v>0</v>
      </c>
      <c r="M127" s="179">
        <f ca="1">IF(ISNUMBER(MATCH(DATEVALUE($A127),'recurring1_based on steps'!M$1:M$400,0)),M$2,)</f>
        <v>0</v>
      </c>
      <c r="N127" s="179">
        <f ca="1">IF(ISNUMBER(MATCH(DATEVALUE($A127),'recurring1_based on steps'!N$1:N$400,0)),N$2,)</f>
        <v>0</v>
      </c>
      <c r="O127" s="179">
        <f ca="1">IF(ISNUMBER(MATCH(DATEVALUE($A127),'recurring1_based on steps'!O$1:O$400,0)),O$2,)</f>
        <v>0</v>
      </c>
      <c r="P127" s="179">
        <f ca="1">IF(ISNUMBER(MATCH(DATEVALUE($A127),'recurring1_based on steps'!P$1:P$400,0)),P$2,)</f>
        <v>0</v>
      </c>
      <c r="Q127" s="179">
        <f ca="1">IF(ISNUMBER(MATCH(DATEVALUE($A127),'recurring1_based on steps'!Q$1:Q$400,0)),Q$2,)</f>
        <v>0</v>
      </c>
      <c r="R127" s="179">
        <f ca="1">IF(ISNUMBER(MATCH(DATEVALUE($A127),'recurring1_based on steps'!R$1:R$400,0)),R$2,)</f>
        <v>0</v>
      </c>
      <c r="S127" s="179">
        <f ca="1">IF(ISNUMBER(MATCH(DATEVALUE($A127),'recurring1_based on steps'!S$1:S$400,0)),S$2,)</f>
        <v>0</v>
      </c>
      <c r="T127" s="179">
        <f ca="1">IF(ISNUMBER(MATCH(DATEVALUE($A127),'recurring1_based on steps'!T$1:T$400,0)),T$2,)</f>
        <v>0</v>
      </c>
      <c r="U127" s="179">
        <f ca="1">IF(ISNUMBER(MATCH(DATEVALUE($A127),'recurring1_based on steps'!U$1:U$400,0)),U$2,)</f>
        <v>0</v>
      </c>
      <c r="V127" s="179">
        <f ca="1">IF(ISNUMBER(MATCH(DATEVALUE($A127),'recurring1_based on steps'!V$1:V$400,0)),V$2,)</f>
        <v>0</v>
      </c>
      <c r="W127" s="179">
        <f ca="1">IF(ISNUMBER(MATCH(DATEVALUE($A127),'recurring1_based on steps'!W$1:W$400,0)),W$2,)</f>
        <v>0</v>
      </c>
      <c r="X127" s="179">
        <f ca="1">IF(ISNUMBER(MATCH(DATEVALUE($A127),'recurring1_based on steps'!X$1:X$400,0)),X$2,)</f>
        <v>0</v>
      </c>
      <c r="Y127" s="179">
        <f ca="1">IF(ISNUMBER(MATCH(DATEVALUE($A127),'recurring1_based on steps'!Y$1:Y$400,0)),Y$2,)</f>
        <v>0</v>
      </c>
      <c r="Z127" s="179">
        <f ca="1">IF(ISNUMBER(MATCH(DATEVALUE($A127),'recurring1_based on steps'!Z$1:Z$400,0)),Z$2,)</f>
        <v>0</v>
      </c>
      <c r="AA127" s="179">
        <f ca="1">IF(ISNUMBER(MATCH(DATEVALUE($A127),'recurring1_based on steps'!AA$1:AA$400,0)),AA$2,)</f>
        <v>0</v>
      </c>
      <c r="AB127" s="179">
        <f ca="1">IF(ISNUMBER(MATCH(DATEVALUE($A127),'recurring1_based on steps'!AB$1:AB$400,0)),AB$2,)</f>
        <v>0</v>
      </c>
      <c r="AC127" s="179">
        <f ca="1">IF(ISNUMBER(MATCH(DATEVALUE($A127),'recurring1_based on steps'!AC$1:AC$400,0)),AC$2,)</f>
        <v>0</v>
      </c>
      <c r="AD127" s="179">
        <f ca="1">IF(ISNUMBER(MATCH(DATEVALUE($A127),'recurring1_based on steps'!AD$1:AD$400,0)),AD$2,)</f>
        <v>0</v>
      </c>
      <c r="AE127" s="179">
        <f ca="1">IF(ISNUMBER(MATCH(DATEVALUE($A127),'recurring1_based on steps'!AE$1:AE$400,0)),AE$2,)</f>
        <v>0</v>
      </c>
      <c r="AF127" s="179">
        <f ca="1">IF(ISNUMBER(MATCH(DATEVALUE($A127),'recurring1_based on steps'!AF$1:AF$400,0)),AF$2,)</f>
        <v>0</v>
      </c>
      <c r="AG127" s="179">
        <f ca="1">IF(ISNUMBER(MATCH(DATEVALUE($A127),'recurring1_based on steps'!AG$1:AG$400,0)),AG$2,)</f>
        <v>0</v>
      </c>
      <c r="AH127" s="179">
        <f ca="1">IF(ISNUMBER(MATCH(DATEVALUE($A127),'recurring1_based on steps'!AH$1:AH$400,0)),AH$2,)</f>
        <v>0</v>
      </c>
      <c r="AI127" s="179">
        <f ca="1">IF(ISNUMBER(MATCH(DATEVALUE($A127),'recurring1_based on steps'!AI$1:AI$400,0)),AI$2,)</f>
        <v>0</v>
      </c>
      <c r="AJ127" s="179">
        <f ca="1">IF(ISNUMBER(MATCH(DATEVALUE($A127),'recurring1_based on steps'!AJ$1:AJ$400,0)),AJ$2,)</f>
        <v>0</v>
      </c>
      <c r="AK127" s="179">
        <f ca="1">IF(ISNUMBER(MATCH(DATEVALUE($A127),'recurring1_based on steps'!AK$1:AK$400,0)),AK$2,)</f>
        <v>0</v>
      </c>
      <c r="AL127" s="179">
        <f ca="1">IF(ISNUMBER(MATCH(DATEVALUE($A127),'recurring1_based on steps'!AL$1:AL$400,0)),AL$2,)</f>
        <v>0</v>
      </c>
      <c r="AM127" s="179">
        <f ca="1">IF(ISNUMBER(MATCH(DATEVALUE($A127),'recurring1_based on steps'!AM$1:AM$400,0)),AM$2,)</f>
        <v>0</v>
      </c>
      <c r="AN127" s="179">
        <f ca="1">IF(ISNUMBER(MATCH(DATEVALUE($A127),'recurring1_based on steps'!AN$1:AN$400,0)),AN$2,)</f>
        <v>0</v>
      </c>
      <c r="AO127" s="179">
        <f ca="1">IF(ISNUMBER(MATCH(DATEVALUE($A127),'recurring1_based on steps'!AO$1:AO$400,0)),AO$2,)</f>
        <v>0</v>
      </c>
      <c r="AP127" s="179">
        <f ca="1">IF(ISNUMBER(MATCH(DATEVALUE($A127),'recurring1_based on steps'!AP$1:AP$400,0)),AP$2,)</f>
        <v>0</v>
      </c>
      <c r="AQ127" s="179">
        <f ca="1">IF(ISNUMBER(MATCH(DATEVALUE($A127),'recurring1_based on steps'!AQ$1:AQ$400,0)),AQ$2,)</f>
        <v>0</v>
      </c>
      <c r="AR127" s="179">
        <f ca="1">IF(ISNUMBER(MATCH(DATEVALUE($A127),'recurring1_based on steps'!AR$1:AR$400,0)),AR$2,)</f>
        <v>0</v>
      </c>
      <c r="AS127" s="179">
        <f ca="1">IF(ISNUMBER(MATCH(DATEVALUE($A127),'recurring1_based on steps'!AS$1:AS$400,0)),AS$2,)</f>
        <v>0</v>
      </c>
      <c r="AT127" s="179">
        <f ca="1">IF(ISNUMBER(MATCH(DATEVALUE($A127),'recurring1_based on steps'!AT$1:AT$400,0)),AT$2,)</f>
        <v>0</v>
      </c>
      <c r="AU127" s="179">
        <f ca="1">IF(ISNUMBER(MATCH(DATEVALUE($A127),'recurring1_based on steps'!AU$1:AU$400,0)),AU$2,)</f>
        <v>0</v>
      </c>
      <c r="AV127" s="179">
        <f ca="1">IF(ISNUMBER(MATCH(DATEVALUE($A127),'recurring1_based on steps'!AV$1:AV$400,0)),AV$2,)</f>
        <v>0</v>
      </c>
      <c r="AW127" s="179">
        <f ca="1">IF(ISNUMBER(MATCH(DATEVALUE($A127),'recurring1_based on steps'!AW$1:AW$400,0)),AW$2,)</f>
        <v>0</v>
      </c>
      <c r="AX127" s="179">
        <f ca="1">IF(ISNUMBER(MATCH(DATEVALUE($A127),'recurring1_based on steps'!AX$1:AX$400,0)),AX$2,)</f>
        <v>0</v>
      </c>
      <c r="AY127" s="179">
        <f ca="1">IF(ISNUMBER(MATCH(DATEVALUE($A127),'recurring1_based on steps'!AY$1:AY$400,0)),AY$2,)</f>
        <v>0</v>
      </c>
    </row>
    <row r="128" spans="1:51" x14ac:dyDescent="0.2">
      <c r="A128" s="32" t="str">
        <f t="shared" ca="1" si="1"/>
        <v>2025-08-01</v>
      </c>
      <c r="B128" s="179">
        <f ca="1">IF(ISNUMBER(MATCH(DATEVALUE($A128),'recurring1_based on steps'!B$1:B$400,0)),B$2,)</f>
        <v>0</v>
      </c>
      <c r="C128" s="179">
        <f ca="1">IF(ISNUMBER(MATCH(DATEVALUE($A128),'recurring1_based on steps'!C$1:C$400,0)),C$2,)</f>
        <v>0</v>
      </c>
      <c r="D128" s="179">
        <f ca="1">IF(ISNUMBER(MATCH(DATEVALUE($A128),'recurring1_based on steps'!D$1:D$400,0)),D$2,)</f>
        <v>0</v>
      </c>
      <c r="E128" s="179">
        <f ca="1">IF(ISNUMBER(MATCH(DATEVALUE($A128),'recurring1_based on steps'!E$1:E$400,0)),E$2,)</f>
        <v>0</v>
      </c>
      <c r="F128" s="179">
        <f ca="1">IF(ISNUMBER(MATCH(DATEVALUE($A128),'recurring1_based on steps'!F$1:F$400,0)),F$2,)</f>
        <v>0</v>
      </c>
      <c r="G128" s="179">
        <f ca="1">IF(ISNUMBER(MATCH(DATEVALUE($A128),'recurring1_based on steps'!G$1:G$400,0)),G$2,)</f>
        <v>0</v>
      </c>
      <c r="H128" s="179">
        <f ca="1">IF(ISNUMBER(MATCH(DATEVALUE($A128),'recurring1_based on steps'!H$1:H$400,0)),H$2,)</f>
        <v>0</v>
      </c>
      <c r="I128" s="179">
        <f ca="1">IF(ISNUMBER(MATCH(DATEVALUE($A128),'recurring1_based on steps'!I$1:I$400,0)),I$2,)</f>
        <v>0</v>
      </c>
      <c r="J128" s="179">
        <f ca="1">IF(ISNUMBER(MATCH(DATEVALUE($A128),'recurring1_based on steps'!J$1:J$400,0)),J$2,)</f>
        <v>0</v>
      </c>
      <c r="K128" s="179">
        <f ca="1">IF(ISNUMBER(MATCH(DATEVALUE($A128),'recurring1_based on steps'!K$1:K$400,0)),K$2,)</f>
        <v>0</v>
      </c>
      <c r="L128" s="179">
        <f ca="1">IF(ISNUMBER(MATCH(DATEVALUE($A128),'recurring1_based on steps'!L$1:L$400,0)),L$2,)</f>
        <v>0</v>
      </c>
      <c r="M128" s="179">
        <f ca="1">IF(ISNUMBER(MATCH(DATEVALUE($A128),'recurring1_based on steps'!M$1:M$400,0)),M$2,)</f>
        <v>0</v>
      </c>
      <c r="N128" s="179">
        <f ca="1">IF(ISNUMBER(MATCH(DATEVALUE($A128),'recurring1_based on steps'!N$1:N$400,0)),N$2,)</f>
        <v>0</v>
      </c>
      <c r="O128" s="179">
        <f ca="1">IF(ISNUMBER(MATCH(DATEVALUE($A128),'recurring1_based on steps'!O$1:O$400,0)),O$2,)</f>
        <v>0</v>
      </c>
      <c r="P128" s="179">
        <f ca="1">IF(ISNUMBER(MATCH(DATEVALUE($A128),'recurring1_based on steps'!P$1:P$400,0)),P$2,)</f>
        <v>0</v>
      </c>
      <c r="Q128" s="179">
        <f ca="1">IF(ISNUMBER(MATCH(DATEVALUE($A128),'recurring1_based on steps'!Q$1:Q$400,0)),Q$2,)</f>
        <v>0</v>
      </c>
      <c r="R128" s="179">
        <f ca="1">IF(ISNUMBER(MATCH(DATEVALUE($A128),'recurring1_based on steps'!R$1:R$400,0)),R$2,)</f>
        <v>0</v>
      </c>
      <c r="S128" s="179">
        <f ca="1">IF(ISNUMBER(MATCH(DATEVALUE($A128),'recurring1_based on steps'!S$1:S$400,0)),S$2,)</f>
        <v>0</v>
      </c>
      <c r="T128" s="179">
        <f ca="1">IF(ISNUMBER(MATCH(DATEVALUE($A128),'recurring1_based on steps'!T$1:T$400,0)),T$2,)</f>
        <v>0</v>
      </c>
      <c r="U128" s="179">
        <f ca="1">IF(ISNUMBER(MATCH(DATEVALUE($A128),'recurring1_based on steps'!U$1:U$400,0)),U$2,)</f>
        <v>0</v>
      </c>
      <c r="V128" s="179">
        <f ca="1">IF(ISNUMBER(MATCH(DATEVALUE($A128),'recurring1_based on steps'!V$1:V$400,0)),V$2,)</f>
        <v>0</v>
      </c>
      <c r="W128" s="179">
        <f ca="1">IF(ISNUMBER(MATCH(DATEVALUE($A128),'recurring1_based on steps'!W$1:W$400,0)),W$2,)</f>
        <v>0</v>
      </c>
      <c r="X128" s="179">
        <f ca="1">IF(ISNUMBER(MATCH(DATEVALUE($A128),'recurring1_based on steps'!X$1:X$400,0)),X$2,)</f>
        <v>0</v>
      </c>
      <c r="Y128" s="179">
        <f ca="1">IF(ISNUMBER(MATCH(DATEVALUE($A128),'recurring1_based on steps'!Y$1:Y$400,0)),Y$2,)</f>
        <v>0</v>
      </c>
      <c r="Z128" s="179">
        <f ca="1">IF(ISNUMBER(MATCH(DATEVALUE($A128),'recurring1_based on steps'!Z$1:Z$400,0)),Z$2,)</f>
        <v>0</v>
      </c>
      <c r="AA128" s="179">
        <f ca="1">IF(ISNUMBER(MATCH(DATEVALUE($A128),'recurring1_based on steps'!AA$1:AA$400,0)),AA$2,)</f>
        <v>0</v>
      </c>
      <c r="AB128" s="179">
        <f ca="1">IF(ISNUMBER(MATCH(DATEVALUE($A128),'recurring1_based on steps'!AB$1:AB$400,0)),AB$2,)</f>
        <v>0</v>
      </c>
      <c r="AC128" s="179">
        <f ca="1">IF(ISNUMBER(MATCH(DATEVALUE($A128),'recurring1_based on steps'!AC$1:AC$400,0)),AC$2,)</f>
        <v>0</v>
      </c>
      <c r="AD128" s="179">
        <f ca="1">IF(ISNUMBER(MATCH(DATEVALUE($A128),'recurring1_based on steps'!AD$1:AD$400,0)),AD$2,)</f>
        <v>0</v>
      </c>
      <c r="AE128" s="179">
        <f ca="1">IF(ISNUMBER(MATCH(DATEVALUE($A128),'recurring1_based on steps'!AE$1:AE$400,0)),AE$2,)</f>
        <v>0</v>
      </c>
      <c r="AF128" s="179">
        <f ca="1">IF(ISNUMBER(MATCH(DATEVALUE($A128),'recurring1_based on steps'!AF$1:AF$400,0)),AF$2,)</f>
        <v>0</v>
      </c>
      <c r="AG128" s="179">
        <f ca="1">IF(ISNUMBER(MATCH(DATEVALUE($A128),'recurring1_based on steps'!AG$1:AG$400,0)),AG$2,)</f>
        <v>0</v>
      </c>
      <c r="AH128" s="179">
        <f ca="1">IF(ISNUMBER(MATCH(DATEVALUE($A128),'recurring1_based on steps'!AH$1:AH$400,0)),AH$2,)</f>
        <v>0</v>
      </c>
      <c r="AI128" s="179">
        <f ca="1">IF(ISNUMBER(MATCH(DATEVALUE($A128),'recurring1_based on steps'!AI$1:AI$400,0)),AI$2,)</f>
        <v>0</v>
      </c>
      <c r="AJ128" s="179">
        <f ca="1">IF(ISNUMBER(MATCH(DATEVALUE($A128),'recurring1_based on steps'!AJ$1:AJ$400,0)),AJ$2,)</f>
        <v>0</v>
      </c>
      <c r="AK128" s="179">
        <f ca="1">IF(ISNUMBER(MATCH(DATEVALUE($A128),'recurring1_based on steps'!AK$1:AK$400,0)),AK$2,)</f>
        <v>0</v>
      </c>
      <c r="AL128" s="179">
        <f ca="1">IF(ISNUMBER(MATCH(DATEVALUE($A128),'recurring1_based on steps'!AL$1:AL$400,0)),AL$2,)</f>
        <v>0</v>
      </c>
      <c r="AM128" s="179">
        <f ca="1">IF(ISNUMBER(MATCH(DATEVALUE($A128),'recurring1_based on steps'!AM$1:AM$400,0)),AM$2,)</f>
        <v>0</v>
      </c>
      <c r="AN128" s="179">
        <f ca="1">IF(ISNUMBER(MATCH(DATEVALUE($A128),'recurring1_based on steps'!AN$1:AN$400,0)),AN$2,)</f>
        <v>0</v>
      </c>
      <c r="AO128" s="179">
        <f ca="1">IF(ISNUMBER(MATCH(DATEVALUE($A128),'recurring1_based on steps'!AO$1:AO$400,0)),AO$2,)</f>
        <v>0</v>
      </c>
      <c r="AP128" s="179">
        <f ca="1">IF(ISNUMBER(MATCH(DATEVALUE($A128),'recurring1_based on steps'!AP$1:AP$400,0)),AP$2,)</f>
        <v>0</v>
      </c>
      <c r="AQ128" s="179">
        <f ca="1">IF(ISNUMBER(MATCH(DATEVALUE($A128),'recurring1_based on steps'!AQ$1:AQ$400,0)),AQ$2,)</f>
        <v>0</v>
      </c>
      <c r="AR128" s="179">
        <f ca="1">IF(ISNUMBER(MATCH(DATEVALUE($A128),'recurring1_based on steps'!AR$1:AR$400,0)),AR$2,)</f>
        <v>0</v>
      </c>
      <c r="AS128" s="179">
        <f ca="1">IF(ISNUMBER(MATCH(DATEVALUE($A128),'recurring1_based on steps'!AS$1:AS$400,0)),AS$2,)</f>
        <v>0</v>
      </c>
      <c r="AT128" s="179">
        <f ca="1">IF(ISNUMBER(MATCH(DATEVALUE($A128),'recurring1_based on steps'!AT$1:AT$400,0)),AT$2,)</f>
        <v>0</v>
      </c>
      <c r="AU128" s="179">
        <f ca="1">IF(ISNUMBER(MATCH(DATEVALUE($A128),'recurring1_based on steps'!AU$1:AU$400,0)),AU$2,)</f>
        <v>0</v>
      </c>
      <c r="AV128" s="179">
        <f ca="1">IF(ISNUMBER(MATCH(DATEVALUE($A128),'recurring1_based on steps'!AV$1:AV$400,0)),AV$2,)</f>
        <v>0</v>
      </c>
      <c r="AW128" s="179">
        <f ca="1">IF(ISNUMBER(MATCH(DATEVALUE($A128),'recurring1_based on steps'!AW$1:AW$400,0)),AW$2,)</f>
        <v>0</v>
      </c>
      <c r="AX128" s="179">
        <f ca="1">IF(ISNUMBER(MATCH(DATEVALUE($A128),'recurring1_based on steps'!AX$1:AX$400,0)),AX$2,)</f>
        <v>0</v>
      </c>
      <c r="AY128" s="179">
        <f ca="1">IF(ISNUMBER(MATCH(DATEVALUE($A128),'recurring1_based on steps'!AY$1:AY$400,0)),AY$2,)</f>
        <v>0</v>
      </c>
    </row>
    <row r="129" spans="1:51" x14ac:dyDescent="0.2">
      <c r="A129" s="32" t="str">
        <f t="shared" ca="1" si="1"/>
        <v>2025-08-02</v>
      </c>
      <c r="B129" s="179">
        <f ca="1">IF(ISNUMBER(MATCH(DATEVALUE($A129),'recurring1_based on steps'!B$1:B$400,0)),B$2,)</f>
        <v>0</v>
      </c>
      <c r="C129" s="179">
        <f ca="1">IF(ISNUMBER(MATCH(DATEVALUE($A129),'recurring1_based on steps'!C$1:C$400,0)),C$2,)</f>
        <v>0</v>
      </c>
      <c r="D129" s="179">
        <f ca="1">IF(ISNUMBER(MATCH(DATEVALUE($A129),'recurring1_based on steps'!D$1:D$400,0)),D$2,)</f>
        <v>0</v>
      </c>
      <c r="E129" s="179">
        <f ca="1">IF(ISNUMBER(MATCH(DATEVALUE($A129),'recurring1_based on steps'!E$1:E$400,0)),E$2,)</f>
        <v>0</v>
      </c>
      <c r="F129" s="179">
        <f ca="1">IF(ISNUMBER(MATCH(DATEVALUE($A129),'recurring1_based on steps'!F$1:F$400,0)),F$2,)</f>
        <v>0</v>
      </c>
      <c r="G129" s="179">
        <f ca="1">IF(ISNUMBER(MATCH(DATEVALUE($A129),'recurring1_based on steps'!G$1:G$400,0)),G$2,)</f>
        <v>0</v>
      </c>
      <c r="H129" s="179">
        <f ca="1">IF(ISNUMBER(MATCH(DATEVALUE($A129),'recurring1_based on steps'!H$1:H$400,0)),H$2,)</f>
        <v>0</v>
      </c>
      <c r="I129" s="179">
        <f ca="1">IF(ISNUMBER(MATCH(DATEVALUE($A129),'recurring1_based on steps'!I$1:I$400,0)),I$2,)</f>
        <v>0</v>
      </c>
      <c r="J129" s="179">
        <f ca="1">IF(ISNUMBER(MATCH(DATEVALUE($A129),'recurring1_based on steps'!J$1:J$400,0)),J$2,)</f>
        <v>0</v>
      </c>
      <c r="K129" s="179">
        <f ca="1">IF(ISNUMBER(MATCH(DATEVALUE($A129),'recurring1_based on steps'!K$1:K$400,0)),K$2,)</f>
        <v>0</v>
      </c>
      <c r="L129" s="179">
        <f ca="1">IF(ISNUMBER(MATCH(DATEVALUE($A129),'recurring1_based on steps'!L$1:L$400,0)),L$2,)</f>
        <v>0</v>
      </c>
      <c r="M129" s="179">
        <f ca="1">IF(ISNUMBER(MATCH(DATEVALUE($A129),'recurring1_based on steps'!M$1:M$400,0)),M$2,)</f>
        <v>0</v>
      </c>
      <c r="N129" s="179">
        <f ca="1">IF(ISNUMBER(MATCH(DATEVALUE($A129),'recurring1_based on steps'!N$1:N$400,0)),N$2,)</f>
        <v>0</v>
      </c>
      <c r="O129" s="179">
        <f ca="1">IF(ISNUMBER(MATCH(DATEVALUE($A129),'recurring1_based on steps'!O$1:O$400,0)),O$2,)</f>
        <v>0</v>
      </c>
      <c r="P129" s="179">
        <f ca="1">IF(ISNUMBER(MATCH(DATEVALUE($A129),'recurring1_based on steps'!P$1:P$400,0)),P$2,)</f>
        <v>0</v>
      </c>
      <c r="Q129" s="179">
        <f ca="1">IF(ISNUMBER(MATCH(DATEVALUE($A129),'recurring1_based on steps'!Q$1:Q$400,0)),Q$2,)</f>
        <v>0</v>
      </c>
      <c r="R129" s="179">
        <f ca="1">IF(ISNUMBER(MATCH(DATEVALUE($A129),'recurring1_based on steps'!R$1:R$400,0)),R$2,)</f>
        <v>0</v>
      </c>
      <c r="S129" s="179">
        <f ca="1">IF(ISNUMBER(MATCH(DATEVALUE($A129),'recurring1_based on steps'!S$1:S$400,0)),S$2,)</f>
        <v>0</v>
      </c>
      <c r="T129" s="179">
        <f ca="1">IF(ISNUMBER(MATCH(DATEVALUE($A129),'recurring1_based on steps'!T$1:T$400,0)),T$2,)</f>
        <v>0</v>
      </c>
      <c r="U129" s="179">
        <f ca="1">IF(ISNUMBER(MATCH(DATEVALUE($A129),'recurring1_based on steps'!U$1:U$400,0)),U$2,)</f>
        <v>0</v>
      </c>
      <c r="V129" s="179">
        <f ca="1">IF(ISNUMBER(MATCH(DATEVALUE($A129),'recurring1_based on steps'!V$1:V$400,0)),V$2,)</f>
        <v>0</v>
      </c>
      <c r="W129" s="179">
        <f ca="1">IF(ISNUMBER(MATCH(DATEVALUE($A129),'recurring1_based on steps'!W$1:W$400,0)),W$2,)</f>
        <v>0</v>
      </c>
      <c r="X129" s="179">
        <f ca="1">IF(ISNUMBER(MATCH(DATEVALUE($A129),'recurring1_based on steps'!X$1:X$400,0)),X$2,)</f>
        <v>0</v>
      </c>
      <c r="Y129" s="179">
        <f ca="1">IF(ISNUMBER(MATCH(DATEVALUE($A129),'recurring1_based on steps'!Y$1:Y$400,0)),Y$2,)</f>
        <v>0</v>
      </c>
      <c r="Z129" s="179">
        <f ca="1">IF(ISNUMBER(MATCH(DATEVALUE($A129),'recurring1_based on steps'!Z$1:Z$400,0)),Z$2,)</f>
        <v>0</v>
      </c>
      <c r="AA129" s="179">
        <f ca="1">IF(ISNUMBER(MATCH(DATEVALUE($A129),'recurring1_based on steps'!AA$1:AA$400,0)),AA$2,)</f>
        <v>0</v>
      </c>
      <c r="AB129" s="179">
        <f ca="1">IF(ISNUMBER(MATCH(DATEVALUE($A129),'recurring1_based on steps'!AB$1:AB$400,0)),AB$2,)</f>
        <v>0</v>
      </c>
      <c r="AC129" s="179">
        <f ca="1">IF(ISNUMBER(MATCH(DATEVALUE($A129),'recurring1_based on steps'!AC$1:AC$400,0)),AC$2,)</f>
        <v>0</v>
      </c>
      <c r="AD129" s="179">
        <f ca="1">IF(ISNUMBER(MATCH(DATEVALUE($A129),'recurring1_based on steps'!AD$1:AD$400,0)),AD$2,)</f>
        <v>0</v>
      </c>
      <c r="AE129" s="179">
        <f ca="1">IF(ISNUMBER(MATCH(DATEVALUE($A129),'recurring1_based on steps'!AE$1:AE$400,0)),AE$2,)</f>
        <v>0</v>
      </c>
      <c r="AF129" s="179">
        <f ca="1">IF(ISNUMBER(MATCH(DATEVALUE($A129),'recurring1_based on steps'!AF$1:AF$400,0)),AF$2,)</f>
        <v>0</v>
      </c>
      <c r="AG129" s="179">
        <f ca="1">IF(ISNUMBER(MATCH(DATEVALUE($A129),'recurring1_based on steps'!AG$1:AG$400,0)),AG$2,)</f>
        <v>0</v>
      </c>
      <c r="AH129" s="179">
        <f ca="1">IF(ISNUMBER(MATCH(DATEVALUE($A129),'recurring1_based on steps'!AH$1:AH$400,0)),AH$2,)</f>
        <v>0</v>
      </c>
      <c r="AI129" s="179">
        <f ca="1">IF(ISNUMBER(MATCH(DATEVALUE($A129),'recurring1_based on steps'!AI$1:AI$400,0)),AI$2,)</f>
        <v>0</v>
      </c>
      <c r="AJ129" s="179">
        <f ca="1">IF(ISNUMBER(MATCH(DATEVALUE($A129),'recurring1_based on steps'!AJ$1:AJ$400,0)),AJ$2,)</f>
        <v>0</v>
      </c>
      <c r="AK129" s="179">
        <f ca="1">IF(ISNUMBER(MATCH(DATEVALUE($A129),'recurring1_based on steps'!AK$1:AK$400,0)),AK$2,)</f>
        <v>0</v>
      </c>
      <c r="AL129" s="179">
        <f ca="1">IF(ISNUMBER(MATCH(DATEVALUE($A129),'recurring1_based on steps'!AL$1:AL$400,0)),AL$2,)</f>
        <v>0</v>
      </c>
      <c r="AM129" s="179">
        <f ca="1">IF(ISNUMBER(MATCH(DATEVALUE($A129),'recurring1_based on steps'!AM$1:AM$400,0)),AM$2,)</f>
        <v>0</v>
      </c>
      <c r="AN129" s="179">
        <f ca="1">IF(ISNUMBER(MATCH(DATEVALUE($A129),'recurring1_based on steps'!AN$1:AN$400,0)),AN$2,)</f>
        <v>0</v>
      </c>
      <c r="AO129" s="179">
        <f ca="1">IF(ISNUMBER(MATCH(DATEVALUE($A129),'recurring1_based on steps'!AO$1:AO$400,0)),AO$2,)</f>
        <v>0</v>
      </c>
      <c r="AP129" s="179">
        <f ca="1">IF(ISNUMBER(MATCH(DATEVALUE($A129),'recurring1_based on steps'!AP$1:AP$400,0)),AP$2,)</f>
        <v>0</v>
      </c>
      <c r="AQ129" s="179">
        <f ca="1">IF(ISNUMBER(MATCH(DATEVALUE($A129),'recurring1_based on steps'!AQ$1:AQ$400,0)),AQ$2,)</f>
        <v>0</v>
      </c>
      <c r="AR129" s="179">
        <f ca="1">IF(ISNUMBER(MATCH(DATEVALUE($A129),'recurring1_based on steps'!AR$1:AR$400,0)),AR$2,)</f>
        <v>0</v>
      </c>
      <c r="AS129" s="179">
        <f ca="1">IF(ISNUMBER(MATCH(DATEVALUE($A129),'recurring1_based on steps'!AS$1:AS$400,0)),AS$2,)</f>
        <v>0</v>
      </c>
      <c r="AT129" s="179">
        <f ca="1">IF(ISNUMBER(MATCH(DATEVALUE($A129),'recurring1_based on steps'!AT$1:AT$400,0)),AT$2,)</f>
        <v>0</v>
      </c>
      <c r="AU129" s="179">
        <f ca="1">IF(ISNUMBER(MATCH(DATEVALUE($A129),'recurring1_based on steps'!AU$1:AU$400,0)),AU$2,)</f>
        <v>0</v>
      </c>
      <c r="AV129" s="179">
        <f ca="1">IF(ISNUMBER(MATCH(DATEVALUE($A129),'recurring1_based on steps'!AV$1:AV$400,0)),AV$2,)</f>
        <v>0</v>
      </c>
      <c r="AW129" s="179">
        <f ca="1">IF(ISNUMBER(MATCH(DATEVALUE($A129),'recurring1_based on steps'!AW$1:AW$400,0)),AW$2,)</f>
        <v>0</v>
      </c>
      <c r="AX129" s="179">
        <f ca="1">IF(ISNUMBER(MATCH(DATEVALUE($A129),'recurring1_based on steps'!AX$1:AX$400,0)),AX$2,)</f>
        <v>0</v>
      </c>
      <c r="AY129" s="179">
        <f ca="1">IF(ISNUMBER(MATCH(DATEVALUE($A129),'recurring1_based on steps'!AY$1:AY$400,0)),AY$2,)</f>
        <v>0</v>
      </c>
    </row>
    <row r="130" spans="1:51" x14ac:dyDescent="0.2">
      <c r="A130" s="32" t="str">
        <f t="shared" ca="1" si="1"/>
        <v>2025-08-03</v>
      </c>
      <c r="B130" s="179">
        <f ca="1">IF(ISNUMBER(MATCH(DATEVALUE($A130),'recurring1_based on steps'!B$1:B$400,0)),B$2,)</f>
        <v>0</v>
      </c>
      <c r="C130" s="179">
        <f ca="1">IF(ISNUMBER(MATCH(DATEVALUE($A130),'recurring1_based on steps'!C$1:C$400,0)),C$2,)</f>
        <v>0</v>
      </c>
      <c r="D130" s="179">
        <f ca="1">IF(ISNUMBER(MATCH(DATEVALUE($A130),'recurring1_based on steps'!D$1:D$400,0)),D$2,)</f>
        <v>0</v>
      </c>
      <c r="E130" s="179">
        <f ca="1">IF(ISNUMBER(MATCH(DATEVALUE($A130),'recurring1_based on steps'!E$1:E$400,0)),E$2,)</f>
        <v>0</v>
      </c>
      <c r="F130" s="179">
        <f ca="1">IF(ISNUMBER(MATCH(DATEVALUE($A130),'recurring1_based on steps'!F$1:F$400,0)),F$2,)</f>
        <v>0</v>
      </c>
      <c r="G130" s="179">
        <f ca="1">IF(ISNUMBER(MATCH(DATEVALUE($A130),'recurring1_based on steps'!G$1:G$400,0)),G$2,)</f>
        <v>0</v>
      </c>
      <c r="H130" s="179">
        <f ca="1">IF(ISNUMBER(MATCH(DATEVALUE($A130),'recurring1_based on steps'!H$1:H$400,0)),H$2,)</f>
        <v>0</v>
      </c>
      <c r="I130" s="179">
        <f ca="1">IF(ISNUMBER(MATCH(DATEVALUE($A130),'recurring1_based on steps'!I$1:I$400,0)),I$2,)</f>
        <v>0</v>
      </c>
      <c r="J130" s="179">
        <f ca="1">IF(ISNUMBER(MATCH(DATEVALUE($A130),'recurring1_based on steps'!J$1:J$400,0)),J$2,)</f>
        <v>0</v>
      </c>
      <c r="K130" s="179">
        <f ca="1">IF(ISNUMBER(MATCH(DATEVALUE($A130),'recurring1_based on steps'!K$1:K$400,0)),K$2,)</f>
        <v>0</v>
      </c>
      <c r="L130" s="179">
        <f ca="1">IF(ISNUMBER(MATCH(DATEVALUE($A130),'recurring1_based on steps'!L$1:L$400,0)),L$2,)</f>
        <v>0</v>
      </c>
      <c r="M130" s="179">
        <f ca="1">IF(ISNUMBER(MATCH(DATEVALUE($A130),'recurring1_based on steps'!M$1:M$400,0)),M$2,)</f>
        <v>0</v>
      </c>
      <c r="N130" s="179">
        <f ca="1">IF(ISNUMBER(MATCH(DATEVALUE($A130),'recurring1_based on steps'!N$1:N$400,0)),N$2,)</f>
        <v>0</v>
      </c>
      <c r="O130" s="179">
        <f ca="1">IF(ISNUMBER(MATCH(DATEVALUE($A130),'recurring1_based on steps'!O$1:O$400,0)),O$2,)</f>
        <v>0</v>
      </c>
      <c r="P130" s="179">
        <f ca="1">IF(ISNUMBER(MATCH(DATEVALUE($A130),'recurring1_based on steps'!P$1:P$400,0)),P$2,)</f>
        <v>0</v>
      </c>
      <c r="Q130" s="179">
        <f ca="1">IF(ISNUMBER(MATCH(DATEVALUE($A130),'recurring1_based on steps'!Q$1:Q$400,0)),Q$2,)</f>
        <v>0</v>
      </c>
      <c r="R130" s="179">
        <f ca="1">IF(ISNUMBER(MATCH(DATEVALUE($A130),'recurring1_based on steps'!R$1:R$400,0)),R$2,)</f>
        <v>0</v>
      </c>
      <c r="S130" s="179">
        <f ca="1">IF(ISNUMBER(MATCH(DATEVALUE($A130),'recurring1_based on steps'!S$1:S$400,0)),S$2,)</f>
        <v>0</v>
      </c>
      <c r="T130" s="179">
        <f ca="1">IF(ISNUMBER(MATCH(DATEVALUE($A130),'recurring1_based on steps'!T$1:T$400,0)),T$2,)</f>
        <v>0</v>
      </c>
      <c r="U130" s="179">
        <f ca="1">IF(ISNUMBER(MATCH(DATEVALUE($A130),'recurring1_based on steps'!U$1:U$400,0)),U$2,)</f>
        <v>0</v>
      </c>
      <c r="V130" s="179">
        <f ca="1">IF(ISNUMBER(MATCH(DATEVALUE($A130),'recurring1_based on steps'!V$1:V$400,0)),V$2,)</f>
        <v>0</v>
      </c>
      <c r="W130" s="179">
        <f ca="1">IF(ISNUMBER(MATCH(DATEVALUE($A130),'recurring1_based on steps'!W$1:W$400,0)),W$2,)</f>
        <v>0</v>
      </c>
      <c r="X130" s="179">
        <f ca="1">IF(ISNUMBER(MATCH(DATEVALUE($A130),'recurring1_based on steps'!X$1:X$400,0)),X$2,)</f>
        <v>0</v>
      </c>
      <c r="Y130" s="179">
        <f ca="1">IF(ISNUMBER(MATCH(DATEVALUE($A130),'recurring1_based on steps'!Y$1:Y$400,0)),Y$2,)</f>
        <v>0</v>
      </c>
      <c r="Z130" s="179">
        <f ca="1">IF(ISNUMBER(MATCH(DATEVALUE($A130),'recurring1_based on steps'!Z$1:Z$400,0)),Z$2,)</f>
        <v>0</v>
      </c>
      <c r="AA130" s="179">
        <f ca="1">IF(ISNUMBER(MATCH(DATEVALUE($A130),'recurring1_based on steps'!AA$1:AA$400,0)),AA$2,)</f>
        <v>0</v>
      </c>
      <c r="AB130" s="179">
        <f ca="1">IF(ISNUMBER(MATCH(DATEVALUE($A130),'recurring1_based on steps'!AB$1:AB$400,0)),AB$2,)</f>
        <v>0</v>
      </c>
      <c r="AC130" s="179">
        <f ca="1">IF(ISNUMBER(MATCH(DATEVALUE($A130),'recurring1_based on steps'!AC$1:AC$400,0)),AC$2,)</f>
        <v>0</v>
      </c>
      <c r="AD130" s="179">
        <f ca="1">IF(ISNUMBER(MATCH(DATEVALUE($A130),'recurring1_based on steps'!AD$1:AD$400,0)),AD$2,)</f>
        <v>0</v>
      </c>
      <c r="AE130" s="179">
        <f ca="1">IF(ISNUMBER(MATCH(DATEVALUE($A130),'recurring1_based on steps'!AE$1:AE$400,0)),AE$2,)</f>
        <v>0</v>
      </c>
      <c r="AF130" s="179">
        <f ca="1">IF(ISNUMBER(MATCH(DATEVALUE($A130),'recurring1_based on steps'!AF$1:AF$400,0)),AF$2,)</f>
        <v>0</v>
      </c>
      <c r="AG130" s="179">
        <f ca="1">IF(ISNUMBER(MATCH(DATEVALUE($A130),'recurring1_based on steps'!AG$1:AG$400,0)),AG$2,)</f>
        <v>0</v>
      </c>
      <c r="AH130" s="179">
        <f ca="1">IF(ISNUMBER(MATCH(DATEVALUE($A130),'recurring1_based on steps'!AH$1:AH$400,0)),AH$2,)</f>
        <v>0</v>
      </c>
      <c r="AI130" s="179">
        <f ca="1">IF(ISNUMBER(MATCH(DATEVALUE($A130),'recurring1_based on steps'!AI$1:AI$400,0)),AI$2,)</f>
        <v>0</v>
      </c>
      <c r="AJ130" s="179">
        <f ca="1">IF(ISNUMBER(MATCH(DATEVALUE($A130),'recurring1_based on steps'!AJ$1:AJ$400,0)),AJ$2,)</f>
        <v>0</v>
      </c>
      <c r="AK130" s="179">
        <f ca="1">IF(ISNUMBER(MATCH(DATEVALUE($A130),'recurring1_based on steps'!AK$1:AK$400,0)),AK$2,)</f>
        <v>0</v>
      </c>
      <c r="AL130" s="179">
        <f ca="1">IF(ISNUMBER(MATCH(DATEVALUE($A130),'recurring1_based on steps'!AL$1:AL$400,0)),AL$2,)</f>
        <v>0</v>
      </c>
      <c r="AM130" s="179">
        <f ca="1">IF(ISNUMBER(MATCH(DATEVALUE($A130),'recurring1_based on steps'!AM$1:AM$400,0)),AM$2,)</f>
        <v>0</v>
      </c>
      <c r="AN130" s="179">
        <f ca="1">IF(ISNUMBER(MATCH(DATEVALUE($A130),'recurring1_based on steps'!AN$1:AN$400,0)),AN$2,)</f>
        <v>0</v>
      </c>
      <c r="AO130" s="179">
        <f ca="1">IF(ISNUMBER(MATCH(DATEVALUE($A130),'recurring1_based on steps'!AO$1:AO$400,0)),AO$2,)</f>
        <v>0</v>
      </c>
      <c r="AP130" s="179">
        <f ca="1">IF(ISNUMBER(MATCH(DATEVALUE($A130),'recurring1_based on steps'!AP$1:AP$400,0)),AP$2,)</f>
        <v>0</v>
      </c>
      <c r="AQ130" s="179">
        <f ca="1">IF(ISNUMBER(MATCH(DATEVALUE($A130),'recurring1_based on steps'!AQ$1:AQ$400,0)),AQ$2,)</f>
        <v>0</v>
      </c>
      <c r="AR130" s="179">
        <f ca="1">IF(ISNUMBER(MATCH(DATEVALUE($A130),'recurring1_based on steps'!AR$1:AR$400,0)),AR$2,)</f>
        <v>0</v>
      </c>
      <c r="AS130" s="179">
        <f ca="1">IF(ISNUMBER(MATCH(DATEVALUE($A130),'recurring1_based on steps'!AS$1:AS$400,0)),AS$2,)</f>
        <v>0</v>
      </c>
      <c r="AT130" s="179">
        <f ca="1">IF(ISNUMBER(MATCH(DATEVALUE($A130),'recurring1_based on steps'!AT$1:AT$400,0)),AT$2,)</f>
        <v>0</v>
      </c>
      <c r="AU130" s="179">
        <f ca="1">IF(ISNUMBER(MATCH(DATEVALUE($A130),'recurring1_based on steps'!AU$1:AU$400,0)),AU$2,)</f>
        <v>0</v>
      </c>
      <c r="AV130" s="179">
        <f ca="1">IF(ISNUMBER(MATCH(DATEVALUE($A130),'recurring1_based on steps'!AV$1:AV$400,0)),AV$2,)</f>
        <v>0</v>
      </c>
      <c r="AW130" s="179">
        <f ca="1">IF(ISNUMBER(MATCH(DATEVALUE($A130),'recurring1_based on steps'!AW$1:AW$400,0)),AW$2,)</f>
        <v>0</v>
      </c>
      <c r="AX130" s="179">
        <f ca="1">IF(ISNUMBER(MATCH(DATEVALUE($A130),'recurring1_based on steps'!AX$1:AX$400,0)),AX$2,)</f>
        <v>0</v>
      </c>
      <c r="AY130" s="179">
        <f ca="1">IF(ISNUMBER(MATCH(DATEVALUE($A130),'recurring1_based on steps'!AY$1:AY$400,0)),AY$2,)</f>
        <v>0</v>
      </c>
    </row>
    <row r="131" spans="1:51" x14ac:dyDescent="0.2">
      <c r="A131" s="32" t="str">
        <f t="shared" ca="1" si="1"/>
        <v>2025-08-04</v>
      </c>
      <c r="B131" s="179">
        <f ca="1">IF(ISNUMBER(MATCH(DATEVALUE($A131),'recurring1_based on steps'!B$1:B$400,0)),B$2,)</f>
        <v>0</v>
      </c>
      <c r="C131" s="179">
        <f ca="1">IF(ISNUMBER(MATCH(DATEVALUE($A131),'recurring1_based on steps'!C$1:C$400,0)),C$2,)</f>
        <v>0</v>
      </c>
      <c r="D131" s="179">
        <f ca="1">IF(ISNUMBER(MATCH(DATEVALUE($A131),'recurring1_based on steps'!D$1:D$400,0)),D$2,)</f>
        <v>0</v>
      </c>
      <c r="E131" s="179">
        <f ca="1">IF(ISNUMBER(MATCH(DATEVALUE($A131),'recurring1_based on steps'!E$1:E$400,0)),E$2,)</f>
        <v>0</v>
      </c>
      <c r="F131" s="179">
        <f ca="1">IF(ISNUMBER(MATCH(DATEVALUE($A131),'recurring1_based on steps'!F$1:F$400,0)),F$2,)</f>
        <v>0</v>
      </c>
      <c r="G131" s="179">
        <f ca="1">IF(ISNUMBER(MATCH(DATEVALUE($A131),'recurring1_based on steps'!G$1:G$400,0)),G$2,)</f>
        <v>0</v>
      </c>
      <c r="H131" s="179">
        <f ca="1">IF(ISNUMBER(MATCH(DATEVALUE($A131),'recurring1_based on steps'!H$1:H$400,0)),H$2,)</f>
        <v>0</v>
      </c>
      <c r="I131" s="179">
        <f ca="1">IF(ISNUMBER(MATCH(DATEVALUE($A131),'recurring1_based on steps'!I$1:I$400,0)),I$2,)</f>
        <v>0</v>
      </c>
      <c r="J131" s="179">
        <f ca="1">IF(ISNUMBER(MATCH(DATEVALUE($A131),'recurring1_based on steps'!J$1:J$400,0)),J$2,)</f>
        <v>0</v>
      </c>
      <c r="K131" s="179">
        <f ca="1">IF(ISNUMBER(MATCH(DATEVALUE($A131),'recurring1_based on steps'!K$1:K$400,0)),K$2,)</f>
        <v>0</v>
      </c>
      <c r="L131" s="179">
        <f ca="1">IF(ISNUMBER(MATCH(DATEVALUE($A131),'recurring1_based on steps'!L$1:L$400,0)),L$2,)</f>
        <v>0</v>
      </c>
      <c r="M131" s="179">
        <f ca="1">IF(ISNUMBER(MATCH(DATEVALUE($A131),'recurring1_based on steps'!M$1:M$400,0)),M$2,)</f>
        <v>0</v>
      </c>
      <c r="N131" s="179">
        <f ca="1">IF(ISNUMBER(MATCH(DATEVALUE($A131),'recurring1_based on steps'!N$1:N$400,0)),N$2,)</f>
        <v>0</v>
      </c>
      <c r="O131" s="179">
        <f ca="1">IF(ISNUMBER(MATCH(DATEVALUE($A131),'recurring1_based on steps'!O$1:O$400,0)),O$2,)</f>
        <v>0</v>
      </c>
      <c r="P131" s="179">
        <f ca="1">IF(ISNUMBER(MATCH(DATEVALUE($A131),'recurring1_based on steps'!P$1:P$400,0)),P$2,)</f>
        <v>0</v>
      </c>
      <c r="Q131" s="179">
        <f ca="1">IF(ISNUMBER(MATCH(DATEVALUE($A131),'recurring1_based on steps'!Q$1:Q$400,0)),Q$2,)</f>
        <v>0</v>
      </c>
      <c r="R131" s="179">
        <f ca="1">IF(ISNUMBER(MATCH(DATEVALUE($A131),'recurring1_based on steps'!R$1:R$400,0)),R$2,)</f>
        <v>0</v>
      </c>
      <c r="S131" s="179">
        <f ca="1">IF(ISNUMBER(MATCH(DATEVALUE($A131),'recurring1_based on steps'!S$1:S$400,0)),S$2,)</f>
        <v>0</v>
      </c>
      <c r="T131" s="179">
        <f ca="1">IF(ISNUMBER(MATCH(DATEVALUE($A131),'recurring1_based on steps'!T$1:T$400,0)),T$2,)</f>
        <v>0</v>
      </c>
      <c r="U131" s="179">
        <f ca="1">IF(ISNUMBER(MATCH(DATEVALUE($A131),'recurring1_based on steps'!U$1:U$400,0)),U$2,)</f>
        <v>0</v>
      </c>
      <c r="V131" s="179">
        <f ca="1">IF(ISNUMBER(MATCH(DATEVALUE($A131),'recurring1_based on steps'!V$1:V$400,0)),V$2,)</f>
        <v>0</v>
      </c>
      <c r="W131" s="179">
        <f ca="1">IF(ISNUMBER(MATCH(DATEVALUE($A131),'recurring1_based on steps'!W$1:W$400,0)),W$2,)</f>
        <v>0</v>
      </c>
      <c r="X131" s="179">
        <f ca="1">IF(ISNUMBER(MATCH(DATEVALUE($A131),'recurring1_based on steps'!X$1:X$400,0)),X$2,)</f>
        <v>0</v>
      </c>
      <c r="Y131" s="179">
        <f ca="1">IF(ISNUMBER(MATCH(DATEVALUE($A131),'recurring1_based on steps'!Y$1:Y$400,0)),Y$2,)</f>
        <v>0</v>
      </c>
      <c r="Z131" s="179">
        <f ca="1">IF(ISNUMBER(MATCH(DATEVALUE($A131),'recurring1_based on steps'!Z$1:Z$400,0)),Z$2,)</f>
        <v>0</v>
      </c>
      <c r="AA131" s="179">
        <f ca="1">IF(ISNUMBER(MATCH(DATEVALUE($A131),'recurring1_based on steps'!AA$1:AA$400,0)),AA$2,)</f>
        <v>0</v>
      </c>
      <c r="AB131" s="179">
        <f ca="1">IF(ISNUMBER(MATCH(DATEVALUE($A131),'recurring1_based on steps'!AB$1:AB$400,0)),AB$2,)</f>
        <v>0</v>
      </c>
      <c r="AC131" s="179">
        <f ca="1">IF(ISNUMBER(MATCH(DATEVALUE($A131),'recurring1_based on steps'!AC$1:AC$400,0)),AC$2,)</f>
        <v>0</v>
      </c>
      <c r="AD131" s="179">
        <f ca="1">IF(ISNUMBER(MATCH(DATEVALUE($A131),'recurring1_based on steps'!AD$1:AD$400,0)),AD$2,)</f>
        <v>0</v>
      </c>
      <c r="AE131" s="179">
        <f ca="1">IF(ISNUMBER(MATCH(DATEVALUE($A131),'recurring1_based on steps'!AE$1:AE$400,0)),AE$2,)</f>
        <v>0</v>
      </c>
      <c r="AF131" s="179">
        <f ca="1">IF(ISNUMBER(MATCH(DATEVALUE($A131),'recurring1_based on steps'!AF$1:AF$400,0)),AF$2,)</f>
        <v>0</v>
      </c>
      <c r="AG131" s="179">
        <f ca="1">IF(ISNUMBER(MATCH(DATEVALUE($A131),'recurring1_based on steps'!AG$1:AG$400,0)),AG$2,)</f>
        <v>0</v>
      </c>
      <c r="AH131" s="179">
        <f ca="1">IF(ISNUMBER(MATCH(DATEVALUE($A131),'recurring1_based on steps'!AH$1:AH$400,0)),AH$2,)</f>
        <v>0</v>
      </c>
      <c r="AI131" s="179">
        <f ca="1">IF(ISNUMBER(MATCH(DATEVALUE($A131),'recurring1_based on steps'!AI$1:AI$400,0)),AI$2,)</f>
        <v>0</v>
      </c>
      <c r="AJ131" s="179">
        <f ca="1">IF(ISNUMBER(MATCH(DATEVALUE($A131),'recurring1_based on steps'!AJ$1:AJ$400,0)),AJ$2,)</f>
        <v>0</v>
      </c>
      <c r="AK131" s="179">
        <f ca="1">IF(ISNUMBER(MATCH(DATEVALUE($A131),'recurring1_based on steps'!AK$1:AK$400,0)),AK$2,)</f>
        <v>0</v>
      </c>
      <c r="AL131" s="179">
        <f ca="1">IF(ISNUMBER(MATCH(DATEVALUE($A131),'recurring1_based on steps'!AL$1:AL$400,0)),AL$2,)</f>
        <v>0</v>
      </c>
      <c r="AM131" s="179">
        <f ca="1">IF(ISNUMBER(MATCH(DATEVALUE($A131),'recurring1_based on steps'!AM$1:AM$400,0)),AM$2,)</f>
        <v>0</v>
      </c>
      <c r="AN131" s="179">
        <f ca="1">IF(ISNUMBER(MATCH(DATEVALUE($A131),'recurring1_based on steps'!AN$1:AN$400,0)),AN$2,)</f>
        <v>0</v>
      </c>
      <c r="AO131" s="179">
        <f ca="1">IF(ISNUMBER(MATCH(DATEVALUE($A131),'recurring1_based on steps'!AO$1:AO$400,0)),AO$2,)</f>
        <v>0</v>
      </c>
      <c r="AP131" s="179">
        <f ca="1">IF(ISNUMBER(MATCH(DATEVALUE($A131),'recurring1_based on steps'!AP$1:AP$400,0)),AP$2,)</f>
        <v>0</v>
      </c>
      <c r="AQ131" s="179">
        <f ca="1">IF(ISNUMBER(MATCH(DATEVALUE($A131),'recurring1_based on steps'!AQ$1:AQ$400,0)),AQ$2,)</f>
        <v>0</v>
      </c>
      <c r="AR131" s="179">
        <f ca="1">IF(ISNUMBER(MATCH(DATEVALUE($A131),'recurring1_based on steps'!AR$1:AR$400,0)),AR$2,)</f>
        <v>0</v>
      </c>
      <c r="AS131" s="179">
        <f ca="1">IF(ISNUMBER(MATCH(DATEVALUE($A131),'recurring1_based on steps'!AS$1:AS$400,0)),AS$2,)</f>
        <v>0</v>
      </c>
      <c r="AT131" s="179">
        <f ca="1">IF(ISNUMBER(MATCH(DATEVALUE($A131),'recurring1_based on steps'!AT$1:AT$400,0)),AT$2,)</f>
        <v>0</v>
      </c>
      <c r="AU131" s="179">
        <f ca="1">IF(ISNUMBER(MATCH(DATEVALUE($A131),'recurring1_based on steps'!AU$1:AU$400,0)),AU$2,)</f>
        <v>0</v>
      </c>
      <c r="AV131" s="179">
        <f ca="1">IF(ISNUMBER(MATCH(DATEVALUE($A131),'recurring1_based on steps'!AV$1:AV$400,0)),AV$2,)</f>
        <v>0</v>
      </c>
      <c r="AW131" s="179">
        <f ca="1">IF(ISNUMBER(MATCH(DATEVALUE($A131),'recurring1_based on steps'!AW$1:AW$400,0)),AW$2,)</f>
        <v>0</v>
      </c>
      <c r="AX131" s="179">
        <f ca="1">IF(ISNUMBER(MATCH(DATEVALUE($A131),'recurring1_based on steps'!AX$1:AX$400,0)),AX$2,)</f>
        <v>0</v>
      </c>
      <c r="AY131" s="179">
        <f ca="1">IF(ISNUMBER(MATCH(DATEVALUE($A131),'recurring1_based on steps'!AY$1:AY$400,0)),AY$2,)</f>
        <v>0</v>
      </c>
    </row>
    <row r="132" spans="1:51" x14ac:dyDescent="0.2">
      <c r="A132" s="32" t="str">
        <f t="shared" ca="1" si="1"/>
        <v>2025-08-05</v>
      </c>
      <c r="B132" s="179">
        <f ca="1">IF(ISNUMBER(MATCH(DATEVALUE($A132),'recurring1_based on steps'!B$1:B$400,0)),B$2,)</f>
        <v>0</v>
      </c>
      <c r="C132" s="179">
        <f ca="1">IF(ISNUMBER(MATCH(DATEVALUE($A132),'recurring1_based on steps'!C$1:C$400,0)),C$2,)</f>
        <v>0</v>
      </c>
      <c r="D132" s="179">
        <f ca="1">IF(ISNUMBER(MATCH(DATEVALUE($A132),'recurring1_based on steps'!D$1:D$400,0)),D$2,)</f>
        <v>0</v>
      </c>
      <c r="E132" s="179">
        <f ca="1">IF(ISNUMBER(MATCH(DATEVALUE($A132),'recurring1_based on steps'!E$1:E$400,0)),E$2,)</f>
        <v>0</v>
      </c>
      <c r="F132" s="179">
        <f ca="1">IF(ISNUMBER(MATCH(DATEVALUE($A132),'recurring1_based on steps'!F$1:F$400,0)),F$2,)</f>
        <v>0</v>
      </c>
      <c r="G132" s="179">
        <f ca="1">IF(ISNUMBER(MATCH(DATEVALUE($A132),'recurring1_based on steps'!G$1:G$400,0)),G$2,)</f>
        <v>0</v>
      </c>
      <c r="H132" s="179">
        <f ca="1">IF(ISNUMBER(MATCH(DATEVALUE($A132),'recurring1_based on steps'!H$1:H$400,0)),H$2,)</f>
        <v>0</v>
      </c>
      <c r="I132" s="179">
        <f ca="1">IF(ISNUMBER(MATCH(DATEVALUE($A132),'recurring1_based on steps'!I$1:I$400,0)),I$2,)</f>
        <v>0</v>
      </c>
      <c r="J132" s="179">
        <f ca="1">IF(ISNUMBER(MATCH(DATEVALUE($A132),'recurring1_based on steps'!J$1:J$400,0)),J$2,)</f>
        <v>0</v>
      </c>
      <c r="K132" s="179">
        <f ca="1">IF(ISNUMBER(MATCH(DATEVALUE($A132),'recurring1_based on steps'!K$1:K$400,0)),K$2,)</f>
        <v>0</v>
      </c>
      <c r="L132" s="179">
        <f ca="1">IF(ISNUMBER(MATCH(DATEVALUE($A132),'recurring1_based on steps'!L$1:L$400,0)),L$2,)</f>
        <v>0</v>
      </c>
      <c r="M132" s="179">
        <f ca="1">IF(ISNUMBER(MATCH(DATEVALUE($A132),'recurring1_based on steps'!M$1:M$400,0)),M$2,)</f>
        <v>0</v>
      </c>
      <c r="N132" s="179">
        <f ca="1">IF(ISNUMBER(MATCH(DATEVALUE($A132),'recurring1_based on steps'!N$1:N$400,0)),N$2,)</f>
        <v>0</v>
      </c>
      <c r="O132" s="179">
        <f ca="1">IF(ISNUMBER(MATCH(DATEVALUE($A132),'recurring1_based on steps'!O$1:O$400,0)),O$2,)</f>
        <v>0</v>
      </c>
      <c r="P132" s="179">
        <f ca="1">IF(ISNUMBER(MATCH(DATEVALUE($A132),'recurring1_based on steps'!P$1:P$400,0)),P$2,)</f>
        <v>0</v>
      </c>
      <c r="Q132" s="179">
        <f ca="1">IF(ISNUMBER(MATCH(DATEVALUE($A132),'recurring1_based on steps'!Q$1:Q$400,0)),Q$2,)</f>
        <v>0</v>
      </c>
      <c r="R132" s="179">
        <f ca="1">IF(ISNUMBER(MATCH(DATEVALUE($A132),'recurring1_based on steps'!R$1:R$400,0)),R$2,)</f>
        <v>0</v>
      </c>
      <c r="S132" s="179">
        <f ca="1">IF(ISNUMBER(MATCH(DATEVALUE($A132),'recurring1_based on steps'!S$1:S$400,0)),S$2,)</f>
        <v>0</v>
      </c>
      <c r="T132" s="179">
        <f ca="1">IF(ISNUMBER(MATCH(DATEVALUE($A132),'recurring1_based on steps'!T$1:T$400,0)),T$2,)</f>
        <v>0</v>
      </c>
      <c r="U132" s="179">
        <f ca="1">IF(ISNUMBER(MATCH(DATEVALUE($A132),'recurring1_based on steps'!U$1:U$400,0)),U$2,)</f>
        <v>0</v>
      </c>
      <c r="V132" s="179">
        <f ca="1">IF(ISNUMBER(MATCH(DATEVALUE($A132),'recurring1_based on steps'!V$1:V$400,0)),V$2,)</f>
        <v>0</v>
      </c>
      <c r="W132" s="179">
        <f ca="1">IF(ISNUMBER(MATCH(DATEVALUE($A132),'recurring1_based on steps'!W$1:W$400,0)),W$2,)</f>
        <v>0</v>
      </c>
      <c r="X132" s="179">
        <f ca="1">IF(ISNUMBER(MATCH(DATEVALUE($A132),'recurring1_based on steps'!X$1:X$400,0)),X$2,)</f>
        <v>0</v>
      </c>
      <c r="Y132" s="179">
        <f ca="1">IF(ISNUMBER(MATCH(DATEVALUE($A132),'recurring1_based on steps'!Y$1:Y$400,0)),Y$2,)</f>
        <v>0</v>
      </c>
      <c r="Z132" s="179">
        <f ca="1">IF(ISNUMBER(MATCH(DATEVALUE($A132),'recurring1_based on steps'!Z$1:Z$400,0)),Z$2,)</f>
        <v>0</v>
      </c>
      <c r="AA132" s="179">
        <f ca="1">IF(ISNUMBER(MATCH(DATEVALUE($A132),'recurring1_based on steps'!AA$1:AA$400,0)),AA$2,)</f>
        <v>0</v>
      </c>
      <c r="AB132" s="179">
        <f ca="1">IF(ISNUMBER(MATCH(DATEVALUE($A132),'recurring1_based on steps'!AB$1:AB$400,0)),AB$2,)</f>
        <v>0</v>
      </c>
      <c r="AC132" s="179">
        <f ca="1">IF(ISNUMBER(MATCH(DATEVALUE($A132),'recurring1_based on steps'!AC$1:AC$400,0)),AC$2,)</f>
        <v>0</v>
      </c>
      <c r="AD132" s="179">
        <f ca="1">IF(ISNUMBER(MATCH(DATEVALUE($A132),'recurring1_based on steps'!AD$1:AD$400,0)),AD$2,)</f>
        <v>0</v>
      </c>
      <c r="AE132" s="179">
        <f ca="1">IF(ISNUMBER(MATCH(DATEVALUE($A132),'recurring1_based on steps'!AE$1:AE$400,0)),AE$2,)</f>
        <v>0</v>
      </c>
      <c r="AF132" s="179">
        <f ca="1">IF(ISNUMBER(MATCH(DATEVALUE($A132),'recurring1_based on steps'!AF$1:AF$400,0)),AF$2,)</f>
        <v>0</v>
      </c>
      <c r="AG132" s="179">
        <f ca="1">IF(ISNUMBER(MATCH(DATEVALUE($A132),'recurring1_based on steps'!AG$1:AG$400,0)),AG$2,)</f>
        <v>0</v>
      </c>
      <c r="AH132" s="179">
        <f ca="1">IF(ISNUMBER(MATCH(DATEVALUE($A132),'recurring1_based on steps'!AH$1:AH$400,0)),AH$2,)</f>
        <v>0</v>
      </c>
      <c r="AI132" s="179">
        <f ca="1">IF(ISNUMBER(MATCH(DATEVALUE($A132),'recurring1_based on steps'!AI$1:AI$400,0)),AI$2,)</f>
        <v>0</v>
      </c>
      <c r="AJ132" s="179">
        <f ca="1">IF(ISNUMBER(MATCH(DATEVALUE($A132),'recurring1_based on steps'!AJ$1:AJ$400,0)),AJ$2,)</f>
        <v>0</v>
      </c>
      <c r="AK132" s="179">
        <f ca="1">IF(ISNUMBER(MATCH(DATEVALUE($A132),'recurring1_based on steps'!AK$1:AK$400,0)),AK$2,)</f>
        <v>0</v>
      </c>
      <c r="AL132" s="179">
        <f ca="1">IF(ISNUMBER(MATCH(DATEVALUE($A132),'recurring1_based on steps'!AL$1:AL$400,0)),AL$2,)</f>
        <v>0</v>
      </c>
      <c r="AM132" s="179">
        <f ca="1">IF(ISNUMBER(MATCH(DATEVALUE($A132),'recurring1_based on steps'!AM$1:AM$400,0)),AM$2,)</f>
        <v>0</v>
      </c>
      <c r="AN132" s="179">
        <f ca="1">IF(ISNUMBER(MATCH(DATEVALUE($A132),'recurring1_based on steps'!AN$1:AN$400,0)),AN$2,)</f>
        <v>0</v>
      </c>
      <c r="AO132" s="179">
        <f ca="1">IF(ISNUMBER(MATCH(DATEVALUE($A132),'recurring1_based on steps'!AO$1:AO$400,0)),AO$2,)</f>
        <v>0</v>
      </c>
      <c r="AP132" s="179">
        <f ca="1">IF(ISNUMBER(MATCH(DATEVALUE($A132),'recurring1_based on steps'!AP$1:AP$400,0)),AP$2,)</f>
        <v>0</v>
      </c>
      <c r="AQ132" s="179">
        <f ca="1">IF(ISNUMBER(MATCH(DATEVALUE($A132),'recurring1_based on steps'!AQ$1:AQ$400,0)),AQ$2,)</f>
        <v>0</v>
      </c>
      <c r="AR132" s="179">
        <f ca="1">IF(ISNUMBER(MATCH(DATEVALUE($A132),'recurring1_based on steps'!AR$1:AR$400,0)),AR$2,)</f>
        <v>0</v>
      </c>
      <c r="AS132" s="179">
        <f ca="1">IF(ISNUMBER(MATCH(DATEVALUE($A132),'recurring1_based on steps'!AS$1:AS$400,0)),AS$2,)</f>
        <v>0</v>
      </c>
      <c r="AT132" s="179">
        <f ca="1">IF(ISNUMBER(MATCH(DATEVALUE($A132),'recurring1_based on steps'!AT$1:AT$400,0)),AT$2,)</f>
        <v>0</v>
      </c>
      <c r="AU132" s="179">
        <f ca="1">IF(ISNUMBER(MATCH(DATEVALUE($A132),'recurring1_based on steps'!AU$1:AU$400,0)),AU$2,)</f>
        <v>0</v>
      </c>
      <c r="AV132" s="179">
        <f ca="1">IF(ISNUMBER(MATCH(DATEVALUE($A132),'recurring1_based on steps'!AV$1:AV$400,0)),AV$2,)</f>
        <v>0</v>
      </c>
      <c r="AW132" s="179">
        <f ca="1">IF(ISNUMBER(MATCH(DATEVALUE($A132),'recurring1_based on steps'!AW$1:AW$400,0)),AW$2,)</f>
        <v>0</v>
      </c>
      <c r="AX132" s="179">
        <f ca="1">IF(ISNUMBER(MATCH(DATEVALUE($A132),'recurring1_based on steps'!AX$1:AX$400,0)),AX$2,)</f>
        <v>0</v>
      </c>
      <c r="AY132" s="179">
        <f ca="1">IF(ISNUMBER(MATCH(DATEVALUE($A132),'recurring1_based on steps'!AY$1:AY$400,0)),AY$2,)</f>
        <v>0</v>
      </c>
    </row>
    <row r="133" spans="1:51" x14ac:dyDescent="0.2">
      <c r="A133" s="32" t="str">
        <f t="shared" ref="A133:A196" ca="1" si="2">TEXT(DATEVALUE(A132)+1,"yyyy-mm-dd")</f>
        <v>2025-08-06</v>
      </c>
      <c r="B133" s="179">
        <f ca="1">IF(ISNUMBER(MATCH(DATEVALUE($A133),'recurring1_based on steps'!B$1:B$400,0)),B$2,)</f>
        <v>0</v>
      </c>
      <c r="C133" s="179">
        <f ca="1">IF(ISNUMBER(MATCH(DATEVALUE($A133),'recurring1_based on steps'!C$1:C$400,0)),C$2,)</f>
        <v>0</v>
      </c>
      <c r="D133" s="179">
        <f ca="1">IF(ISNUMBER(MATCH(DATEVALUE($A133),'recurring1_based on steps'!D$1:D$400,0)),D$2,)</f>
        <v>0</v>
      </c>
      <c r="E133" s="179">
        <f ca="1">IF(ISNUMBER(MATCH(DATEVALUE($A133),'recurring1_based on steps'!E$1:E$400,0)),E$2,)</f>
        <v>0</v>
      </c>
      <c r="F133" s="179">
        <f ca="1">IF(ISNUMBER(MATCH(DATEVALUE($A133),'recurring1_based on steps'!F$1:F$400,0)),F$2,)</f>
        <v>0</v>
      </c>
      <c r="G133" s="179">
        <f ca="1">IF(ISNUMBER(MATCH(DATEVALUE($A133),'recurring1_based on steps'!G$1:G$400,0)),G$2,)</f>
        <v>0</v>
      </c>
      <c r="H133" s="179">
        <f ca="1">IF(ISNUMBER(MATCH(DATEVALUE($A133),'recurring1_based on steps'!H$1:H$400,0)),H$2,)</f>
        <v>0</v>
      </c>
      <c r="I133" s="179">
        <f ca="1">IF(ISNUMBER(MATCH(DATEVALUE($A133),'recurring1_based on steps'!I$1:I$400,0)),I$2,)</f>
        <v>0</v>
      </c>
      <c r="J133" s="179">
        <f ca="1">IF(ISNUMBER(MATCH(DATEVALUE($A133),'recurring1_based on steps'!J$1:J$400,0)),J$2,)</f>
        <v>0</v>
      </c>
      <c r="K133" s="179">
        <f ca="1">IF(ISNUMBER(MATCH(DATEVALUE($A133),'recurring1_based on steps'!K$1:K$400,0)),K$2,)</f>
        <v>0</v>
      </c>
      <c r="L133" s="179">
        <f ca="1">IF(ISNUMBER(MATCH(DATEVALUE($A133),'recurring1_based on steps'!L$1:L$400,0)),L$2,)</f>
        <v>0</v>
      </c>
      <c r="M133" s="179">
        <f ca="1">IF(ISNUMBER(MATCH(DATEVALUE($A133),'recurring1_based on steps'!M$1:M$400,0)),M$2,)</f>
        <v>0</v>
      </c>
      <c r="N133" s="179">
        <f ca="1">IF(ISNUMBER(MATCH(DATEVALUE($A133),'recurring1_based on steps'!N$1:N$400,0)),N$2,)</f>
        <v>0</v>
      </c>
      <c r="O133" s="179">
        <f ca="1">IF(ISNUMBER(MATCH(DATEVALUE($A133),'recurring1_based on steps'!O$1:O$400,0)),O$2,)</f>
        <v>0</v>
      </c>
      <c r="P133" s="179">
        <f ca="1">IF(ISNUMBER(MATCH(DATEVALUE($A133),'recurring1_based on steps'!P$1:P$400,0)),P$2,)</f>
        <v>0</v>
      </c>
      <c r="Q133" s="179">
        <f ca="1">IF(ISNUMBER(MATCH(DATEVALUE($A133),'recurring1_based on steps'!Q$1:Q$400,0)),Q$2,)</f>
        <v>0</v>
      </c>
      <c r="R133" s="179">
        <f ca="1">IF(ISNUMBER(MATCH(DATEVALUE($A133),'recurring1_based on steps'!R$1:R$400,0)),R$2,)</f>
        <v>0</v>
      </c>
      <c r="S133" s="179">
        <f ca="1">IF(ISNUMBER(MATCH(DATEVALUE($A133),'recurring1_based on steps'!S$1:S$400,0)),S$2,)</f>
        <v>0</v>
      </c>
      <c r="T133" s="179">
        <f ca="1">IF(ISNUMBER(MATCH(DATEVALUE($A133),'recurring1_based on steps'!T$1:T$400,0)),T$2,)</f>
        <v>0</v>
      </c>
      <c r="U133" s="179">
        <f ca="1">IF(ISNUMBER(MATCH(DATEVALUE($A133),'recurring1_based on steps'!U$1:U$400,0)),U$2,)</f>
        <v>0</v>
      </c>
      <c r="V133" s="179">
        <f ca="1">IF(ISNUMBER(MATCH(DATEVALUE($A133),'recurring1_based on steps'!V$1:V$400,0)),V$2,)</f>
        <v>0</v>
      </c>
      <c r="W133" s="179">
        <f ca="1">IF(ISNUMBER(MATCH(DATEVALUE($A133),'recurring1_based on steps'!W$1:W$400,0)),W$2,)</f>
        <v>0</v>
      </c>
      <c r="X133" s="179">
        <f ca="1">IF(ISNUMBER(MATCH(DATEVALUE($A133),'recurring1_based on steps'!X$1:X$400,0)),X$2,)</f>
        <v>0</v>
      </c>
      <c r="Y133" s="179">
        <f ca="1">IF(ISNUMBER(MATCH(DATEVALUE($A133),'recurring1_based on steps'!Y$1:Y$400,0)),Y$2,)</f>
        <v>0</v>
      </c>
      <c r="Z133" s="179">
        <f ca="1">IF(ISNUMBER(MATCH(DATEVALUE($A133),'recurring1_based on steps'!Z$1:Z$400,0)),Z$2,)</f>
        <v>0</v>
      </c>
      <c r="AA133" s="179">
        <f ca="1">IF(ISNUMBER(MATCH(DATEVALUE($A133),'recurring1_based on steps'!AA$1:AA$400,0)),AA$2,)</f>
        <v>0</v>
      </c>
      <c r="AB133" s="179">
        <f ca="1">IF(ISNUMBER(MATCH(DATEVALUE($A133),'recurring1_based on steps'!AB$1:AB$400,0)),AB$2,)</f>
        <v>0</v>
      </c>
      <c r="AC133" s="179">
        <f ca="1">IF(ISNUMBER(MATCH(DATEVALUE($A133),'recurring1_based on steps'!AC$1:AC$400,0)),AC$2,)</f>
        <v>0</v>
      </c>
      <c r="AD133" s="179">
        <f ca="1">IF(ISNUMBER(MATCH(DATEVALUE($A133),'recurring1_based on steps'!AD$1:AD$400,0)),AD$2,)</f>
        <v>0</v>
      </c>
      <c r="AE133" s="179">
        <f ca="1">IF(ISNUMBER(MATCH(DATEVALUE($A133),'recurring1_based on steps'!AE$1:AE$400,0)),AE$2,)</f>
        <v>0</v>
      </c>
      <c r="AF133" s="179">
        <f ca="1">IF(ISNUMBER(MATCH(DATEVALUE($A133),'recurring1_based on steps'!AF$1:AF$400,0)),AF$2,)</f>
        <v>0</v>
      </c>
      <c r="AG133" s="179">
        <f ca="1">IF(ISNUMBER(MATCH(DATEVALUE($A133),'recurring1_based on steps'!AG$1:AG$400,0)),AG$2,)</f>
        <v>0</v>
      </c>
      <c r="AH133" s="179">
        <f ca="1">IF(ISNUMBER(MATCH(DATEVALUE($A133),'recurring1_based on steps'!AH$1:AH$400,0)),AH$2,)</f>
        <v>0</v>
      </c>
      <c r="AI133" s="179">
        <f ca="1">IF(ISNUMBER(MATCH(DATEVALUE($A133),'recurring1_based on steps'!AI$1:AI$400,0)),AI$2,)</f>
        <v>0</v>
      </c>
      <c r="AJ133" s="179">
        <f ca="1">IF(ISNUMBER(MATCH(DATEVALUE($A133),'recurring1_based on steps'!AJ$1:AJ$400,0)),AJ$2,)</f>
        <v>0</v>
      </c>
      <c r="AK133" s="179">
        <f ca="1">IF(ISNUMBER(MATCH(DATEVALUE($A133),'recurring1_based on steps'!AK$1:AK$400,0)),AK$2,)</f>
        <v>0</v>
      </c>
      <c r="AL133" s="179">
        <f ca="1">IF(ISNUMBER(MATCH(DATEVALUE($A133),'recurring1_based on steps'!AL$1:AL$400,0)),AL$2,)</f>
        <v>0</v>
      </c>
      <c r="AM133" s="179">
        <f ca="1">IF(ISNUMBER(MATCH(DATEVALUE($A133),'recurring1_based on steps'!AM$1:AM$400,0)),AM$2,)</f>
        <v>0</v>
      </c>
      <c r="AN133" s="179">
        <f ca="1">IF(ISNUMBER(MATCH(DATEVALUE($A133),'recurring1_based on steps'!AN$1:AN$400,0)),AN$2,)</f>
        <v>0</v>
      </c>
      <c r="AO133" s="179">
        <f ca="1">IF(ISNUMBER(MATCH(DATEVALUE($A133),'recurring1_based on steps'!AO$1:AO$400,0)),AO$2,)</f>
        <v>0</v>
      </c>
      <c r="AP133" s="179">
        <f ca="1">IF(ISNUMBER(MATCH(DATEVALUE($A133),'recurring1_based on steps'!AP$1:AP$400,0)),AP$2,)</f>
        <v>0</v>
      </c>
      <c r="AQ133" s="179">
        <f ca="1">IF(ISNUMBER(MATCH(DATEVALUE($A133),'recurring1_based on steps'!AQ$1:AQ$400,0)),AQ$2,)</f>
        <v>0</v>
      </c>
      <c r="AR133" s="179">
        <f ca="1">IF(ISNUMBER(MATCH(DATEVALUE($A133),'recurring1_based on steps'!AR$1:AR$400,0)),AR$2,)</f>
        <v>0</v>
      </c>
      <c r="AS133" s="179">
        <f ca="1">IF(ISNUMBER(MATCH(DATEVALUE($A133),'recurring1_based on steps'!AS$1:AS$400,0)),AS$2,)</f>
        <v>0</v>
      </c>
      <c r="AT133" s="179">
        <f ca="1">IF(ISNUMBER(MATCH(DATEVALUE($A133),'recurring1_based on steps'!AT$1:AT$400,0)),AT$2,)</f>
        <v>0</v>
      </c>
      <c r="AU133" s="179">
        <f ca="1">IF(ISNUMBER(MATCH(DATEVALUE($A133),'recurring1_based on steps'!AU$1:AU$400,0)),AU$2,)</f>
        <v>0</v>
      </c>
      <c r="AV133" s="179">
        <f ca="1">IF(ISNUMBER(MATCH(DATEVALUE($A133),'recurring1_based on steps'!AV$1:AV$400,0)),AV$2,)</f>
        <v>0</v>
      </c>
      <c r="AW133" s="179">
        <f ca="1">IF(ISNUMBER(MATCH(DATEVALUE($A133),'recurring1_based on steps'!AW$1:AW$400,0)),AW$2,)</f>
        <v>0</v>
      </c>
      <c r="AX133" s="179">
        <f ca="1">IF(ISNUMBER(MATCH(DATEVALUE($A133),'recurring1_based on steps'!AX$1:AX$400,0)),AX$2,)</f>
        <v>0</v>
      </c>
      <c r="AY133" s="179">
        <f ca="1">IF(ISNUMBER(MATCH(DATEVALUE($A133),'recurring1_based on steps'!AY$1:AY$400,0)),AY$2,)</f>
        <v>0</v>
      </c>
    </row>
    <row r="134" spans="1:51" x14ac:dyDescent="0.2">
      <c r="A134" s="32" t="str">
        <f t="shared" ca="1" si="2"/>
        <v>2025-08-07</v>
      </c>
      <c r="B134" s="179">
        <f ca="1">IF(ISNUMBER(MATCH(DATEVALUE($A134),'recurring1_based on steps'!B$1:B$400,0)),B$2,)</f>
        <v>0</v>
      </c>
      <c r="C134" s="179">
        <f ca="1">IF(ISNUMBER(MATCH(DATEVALUE($A134),'recurring1_based on steps'!C$1:C$400,0)),C$2,)</f>
        <v>0</v>
      </c>
      <c r="D134" s="179">
        <f ca="1">IF(ISNUMBER(MATCH(DATEVALUE($A134),'recurring1_based on steps'!D$1:D$400,0)),D$2,)</f>
        <v>0</v>
      </c>
      <c r="E134" s="179">
        <f ca="1">IF(ISNUMBER(MATCH(DATEVALUE($A134),'recurring1_based on steps'!E$1:E$400,0)),E$2,)</f>
        <v>0</v>
      </c>
      <c r="F134" s="179">
        <f ca="1">IF(ISNUMBER(MATCH(DATEVALUE($A134),'recurring1_based on steps'!F$1:F$400,0)),F$2,)</f>
        <v>0</v>
      </c>
      <c r="G134" s="179">
        <f ca="1">IF(ISNUMBER(MATCH(DATEVALUE($A134),'recurring1_based on steps'!G$1:G$400,0)),G$2,)</f>
        <v>0</v>
      </c>
      <c r="H134" s="179">
        <f ca="1">IF(ISNUMBER(MATCH(DATEVALUE($A134),'recurring1_based on steps'!H$1:H$400,0)),H$2,)</f>
        <v>0</v>
      </c>
      <c r="I134" s="179">
        <f ca="1">IF(ISNUMBER(MATCH(DATEVALUE($A134),'recurring1_based on steps'!I$1:I$400,0)),I$2,)</f>
        <v>0</v>
      </c>
      <c r="J134" s="179">
        <f ca="1">IF(ISNUMBER(MATCH(DATEVALUE($A134),'recurring1_based on steps'!J$1:J$400,0)),J$2,)</f>
        <v>0</v>
      </c>
      <c r="K134" s="179">
        <f ca="1">IF(ISNUMBER(MATCH(DATEVALUE($A134),'recurring1_based on steps'!K$1:K$400,0)),K$2,)</f>
        <v>0</v>
      </c>
      <c r="L134" s="179">
        <f ca="1">IF(ISNUMBER(MATCH(DATEVALUE($A134),'recurring1_based on steps'!L$1:L$400,0)),L$2,)</f>
        <v>0</v>
      </c>
      <c r="M134" s="179">
        <f ca="1">IF(ISNUMBER(MATCH(DATEVALUE($A134),'recurring1_based on steps'!M$1:M$400,0)),M$2,)</f>
        <v>0</v>
      </c>
      <c r="N134" s="179">
        <f ca="1">IF(ISNUMBER(MATCH(DATEVALUE($A134),'recurring1_based on steps'!N$1:N$400,0)),N$2,)</f>
        <v>0</v>
      </c>
      <c r="O134" s="179">
        <f ca="1">IF(ISNUMBER(MATCH(DATEVALUE($A134),'recurring1_based on steps'!O$1:O$400,0)),O$2,)</f>
        <v>0</v>
      </c>
      <c r="P134" s="179">
        <f ca="1">IF(ISNUMBER(MATCH(DATEVALUE($A134),'recurring1_based on steps'!P$1:P$400,0)),P$2,)</f>
        <v>0</v>
      </c>
      <c r="Q134" s="179">
        <f ca="1">IF(ISNUMBER(MATCH(DATEVALUE($A134),'recurring1_based on steps'!Q$1:Q$400,0)),Q$2,)</f>
        <v>0</v>
      </c>
      <c r="R134" s="179">
        <f ca="1">IF(ISNUMBER(MATCH(DATEVALUE($A134),'recurring1_based on steps'!R$1:R$400,0)),R$2,)</f>
        <v>0</v>
      </c>
      <c r="S134" s="179">
        <f ca="1">IF(ISNUMBER(MATCH(DATEVALUE($A134),'recurring1_based on steps'!S$1:S$400,0)),S$2,)</f>
        <v>0</v>
      </c>
      <c r="T134" s="179">
        <f ca="1">IF(ISNUMBER(MATCH(DATEVALUE($A134),'recurring1_based on steps'!T$1:T$400,0)),T$2,)</f>
        <v>0</v>
      </c>
      <c r="U134" s="179">
        <f ca="1">IF(ISNUMBER(MATCH(DATEVALUE($A134),'recurring1_based on steps'!U$1:U$400,0)),U$2,)</f>
        <v>0</v>
      </c>
      <c r="V134" s="179">
        <f ca="1">IF(ISNUMBER(MATCH(DATEVALUE($A134),'recurring1_based on steps'!V$1:V$400,0)),V$2,)</f>
        <v>0</v>
      </c>
      <c r="W134" s="179">
        <f ca="1">IF(ISNUMBER(MATCH(DATEVALUE($A134),'recurring1_based on steps'!W$1:W$400,0)),W$2,)</f>
        <v>0</v>
      </c>
      <c r="X134" s="179">
        <f ca="1">IF(ISNUMBER(MATCH(DATEVALUE($A134),'recurring1_based on steps'!X$1:X$400,0)),X$2,)</f>
        <v>0</v>
      </c>
      <c r="Y134" s="179">
        <f ca="1">IF(ISNUMBER(MATCH(DATEVALUE($A134),'recurring1_based on steps'!Y$1:Y$400,0)),Y$2,)</f>
        <v>0</v>
      </c>
      <c r="Z134" s="179">
        <f ca="1">IF(ISNUMBER(MATCH(DATEVALUE($A134),'recurring1_based on steps'!Z$1:Z$400,0)),Z$2,)</f>
        <v>0</v>
      </c>
      <c r="AA134" s="179">
        <f ca="1">IF(ISNUMBER(MATCH(DATEVALUE($A134),'recurring1_based on steps'!AA$1:AA$400,0)),AA$2,)</f>
        <v>0</v>
      </c>
      <c r="AB134" s="179">
        <f ca="1">IF(ISNUMBER(MATCH(DATEVALUE($A134),'recurring1_based on steps'!AB$1:AB$400,0)),AB$2,)</f>
        <v>0</v>
      </c>
      <c r="AC134" s="179">
        <f ca="1">IF(ISNUMBER(MATCH(DATEVALUE($A134),'recurring1_based on steps'!AC$1:AC$400,0)),AC$2,)</f>
        <v>0</v>
      </c>
      <c r="AD134" s="179">
        <f ca="1">IF(ISNUMBER(MATCH(DATEVALUE($A134),'recurring1_based on steps'!AD$1:AD$400,0)),AD$2,)</f>
        <v>0</v>
      </c>
      <c r="AE134" s="179">
        <f ca="1">IF(ISNUMBER(MATCH(DATEVALUE($A134),'recurring1_based on steps'!AE$1:AE$400,0)),AE$2,)</f>
        <v>0</v>
      </c>
      <c r="AF134" s="179">
        <f ca="1">IF(ISNUMBER(MATCH(DATEVALUE($A134),'recurring1_based on steps'!AF$1:AF$400,0)),AF$2,)</f>
        <v>0</v>
      </c>
      <c r="AG134" s="179">
        <f ca="1">IF(ISNUMBER(MATCH(DATEVALUE($A134),'recurring1_based on steps'!AG$1:AG$400,0)),AG$2,)</f>
        <v>0</v>
      </c>
      <c r="AH134" s="179">
        <f ca="1">IF(ISNUMBER(MATCH(DATEVALUE($A134),'recurring1_based on steps'!AH$1:AH$400,0)),AH$2,)</f>
        <v>0</v>
      </c>
      <c r="AI134" s="179">
        <f ca="1">IF(ISNUMBER(MATCH(DATEVALUE($A134),'recurring1_based on steps'!AI$1:AI$400,0)),AI$2,)</f>
        <v>0</v>
      </c>
      <c r="AJ134" s="179">
        <f ca="1">IF(ISNUMBER(MATCH(DATEVALUE($A134),'recurring1_based on steps'!AJ$1:AJ$400,0)),AJ$2,)</f>
        <v>0</v>
      </c>
      <c r="AK134" s="179">
        <f ca="1">IF(ISNUMBER(MATCH(DATEVALUE($A134),'recurring1_based on steps'!AK$1:AK$400,0)),AK$2,)</f>
        <v>0</v>
      </c>
      <c r="AL134" s="179">
        <f ca="1">IF(ISNUMBER(MATCH(DATEVALUE($A134),'recurring1_based on steps'!AL$1:AL$400,0)),AL$2,)</f>
        <v>0</v>
      </c>
      <c r="AM134" s="179">
        <f ca="1">IF(ISNUMBER(MATCH(DATEVALUE($A134),'recurring1_based on steps'!AM$1:AM$400,0)),AM$2,)</f>
        <v>0</v>
      </c>
      <c r="AN134" s="179">
        <f ca="1">IF(ISNUMBER(MATCH(DATEVALUE($A134),'recurring1_based on steps'!AN$1:AN$400,0)),AN$2,)</f>
        <v>0</v>
      </c>
      <c r="AO134" s="179">
        <f ca="1">IF(ISNUMBER(MATCH(DATEVALUE($A134),'recurring1_based on steps'!AO$1:AO$400,0)),AO$2,)</f>
        <v>0</v>
      </c>
      <c r="AP134" s="179">
        <f ca="1">IF(ISNUMBER(MATCH(DATEVALUE($A134),'recurring1_based on steps'!AP$1:AP$400,0)),AP$2,)</f>
        <v>0</v>
      </c>
      <c r="AQ134" s="179">
        <f ca="1">IF(ISNUMBER(MATCH(DATEVALUE($A134),'recurring1_based on steps'!AQ$1:AQ$400,0)),AQ$2,)</f>
        <v>0</v>
      </c>
      <c r="AR134" s="179">
        <f ca="1">IF(ISNUMBER(MATCH(DATEVALUE($A134),'recurring1_based on steps'!AR$1:AR$400,0)),AR$2,)</f>
        <v>0</v>
      </c>
      <c r="AS134" s="179">
        <f ca="1">IF(ISNUMBER(MATCH(DATEVALUE($A134),'recurring1_based on steps'!AS$1:AS$400,0)),AS$2,)</f>
        <v>0</v>
      </c>
      <c r="AT134" s="179">
        <f ca="1">IF(ISNUMBER(MATCH(DATEVALUE($A134),'recurring1_based on steps'!AT$1:AT$400,0)),AT$2,)</f>
        <v>0</v>
      </c>
      <c r="AU134" s="179">
        <f ca="1">IF(ISNUMBER(MATCH(DATEVALUE($A134),'recurring1_based on steps'!AU$1:AU$400,0)),AU$2,)</f>
        <v>0</v>
      </c>
      <c r="AV134" s="179">
        <f ca="1">IF(ISNUMBER(MATCH(DATEVALUE($A134),'recurring1_based on steps'!AV$1:AV$400,0)),AV$2,)</f>
        <v>0</v>
      </c>
      <c r="AW134" s="179">
        <f ca="1">IF(ISNUMBER(MATCH(DATEVALUE($A134),'recurring1_based on steps'!AW$1:AW$400,0)),AW$2,)</f>
        <v>0</v>
      </c>
      <c r="AX134" s="179">
        <f ca="1">IF(ISNUMBER(MATCH(DATEVALUE($A134),'recurring1_based on steps'!AX$1:AX$400,0)),AX$2,)</f>
        <v>0</v>
      </c>
      <c r="AY134" s="179">
        <f ca="1">IF(ISNUMBER(MATCH(DATEVALUE($A134),'recurring1_based on steps'!AY$1:AY$400,0)),AY$2,)</f>
        <v>0</v>
      </c>
    </row>
    <row r="135" spans="1:51" x14ac:dyDescent="0.2">
      <c r="A135" s="32" t="str">
        <f t="shared" ca="1" si="2"/>
        <v>2025-08-08</v>
      </c>
      <c r="B135" s="179">
        <f ca="1">IF(ISNUMBER(MATCH(DATEVALUE($A135),'recurring1_based on steps'!B$1:B$400,0)),B$2,)</f>
        <v>0</v>
      </c>
      <c r="C135" s="179">
        <f ca="1">IF(ISNUMBER(MATCH(DATEVALUE($A135),'recurring1_based on steps'!C$1:C$400,0)),C$2,)</f>
        <v>0</v>
      </c>
      <c r="D135" s="179">
        <f ca="1">IF(ISNUMBER(MATCH(DATEVALUE($A135),'recurring1_based on steps'!D$1:D$400,0)),D$2,)</f>
        <v>0</v>
      </c>
      <c r="E135" s="179">
        <f ca="1">IF(ISNUMBER(MATCH(DATEVALUE($A135),'recurring1_based on steps'!E$1:E$400,0)),E$2,)</f>
        <v>0</v>
      </c>
      <c r="F135" s="179">
        <f ca="1">IF(ISNUMBER(MATCH(DATEVALUE($A135),'recurring1_based on steps'!F$1:F$400,0)),F$2,)</f>
        <v>0</v>
      </c>
      <c r="G135" s="179">
        <f ca="1">IF(ISNUMBER(MATCH(DATEVALUE($A135),'recurring1_based on steps'!G$1:G$400,0)),G$2,)</f>
        <v>0</v>
      </c>
      <c r="H135" s="179">
        <f ca="1">IF(ISNUMBER(MATCH(DATEVALUE($A135),'recurring1_based on steps'!H$1:H$400,0)),H$2,)</f>
        <v>0</v>
      </c>
      <c r="I135" s="179">
        <f ca="1">IF(ISNUMBER(MATCH(DATEVALUE($A135),'recurring1_based on steps'!I$1:I$400,0)),I$2,)</f>
        <v>0</v>
      </c>
      <c r="J135" s="179">
        <f ca="1">IF(ISNUMBER(MATCH(DATEVALUE($A135),'recurring1_based on steps'!J$1:J$400,0)),J$2,)</f>
        <v>0</v>
      </c>
      <c r="K135" s="179">
        <f ca="1">IF(ISNUMBER(MATCH(DATEVALUE($A135),'recurring1_based on steps'!K$1:K$400,0)),K$2,)</f>
        <v>0</v>
      </c>
      <c r="L135" s="179">
        <f ca="1">IF(ISNUMBER(MATCH(DATEVALUE($A135),'recurring1_based on steps'!L$1:L$400,0)),L$2,)</f>
        <v>0</v>
      </c>
      <c r="M135" s="179">
        <f ca="1">IF(ISNUMBER(MATCH(DATEVALUE($A135),'recurring1_based on steps'!M$1:M$400,0)),M$2,)</f>
        <v>0</v>
      </c>
      <c r="N135" s="179">
        <f ca="1">IF(ISNUMBER(MATCH(DATEVALUE($A135),'recurring1_based on steps'!N$1:N$400,0)),N$2,)</f>
        <v>0</v>
      </c>
      <c r="O135" s="179">
        <f ca="1">IF(ISNUMBER(MATCH(DATEVALUE($A135),'recurring1_based on steps'!O$1:O$400,0)),O$2,)</f>
        <v>0</v>
      </c>
      <c r="P135" s="179">
        <f ca="1">IF(ISNUMBER(MATCH(DATEVALUE($A135),'recurring1_based on steps'!P$1:P$400,0)),P$2,)</f>
        <v>0</v>
      </c>
      <c r="Q135" s="179">
        <f ca="1">IF(ISNUMBER(MATCH(DATEVALUE($A135),'recurring1_based on steps'!Q$1:Q$400,0)),Q$2,)</f>
        <v>0</v>
      </c>
      <c r="R135" s="179">
        <f ca="1">IF(ISNUMBER(MATCH(DATEVALUE($A135),'recurring1_based on steps'!R$1:R$400,0)),R$2,)</f>
        <v>0</v>
      </c>
      <c r="S135" s="179">
        <f ca="1">IF(ISNUMBER(MATCH(DATEVALUE($A135),'recurring1_based on steps'!S$1:S$400,0)),S$2,)</f>
        <v>0</v>
      </c>
      <c r="T135" s="179">
        <f ca="1">IF(ISNUMBER(MATCH(DATEVALUE($A135),'recurring1_based on steps'!T$1:T$400,0)),T$2,)</f>
        <v>0</v>
      </c>
      <c r="U135" s="179">
        <f ca="1">IF(ISNUMBER(MATCH(DATEVALUE($A135),'recurring1_based on steps'!U$1:U$400,0)),U$2,)</f>
        <v>0</v>
      </c>
      <c r="V135" s="179">
        <f ca="1">IF(ISNUMBER(MATCH(DATEVALUE($A135),'recurring1_based on steps'!V$1:V$400,0)),V$2,)</f>
        <v>0</v>
      </c>
      <c r="W135" s="179">
        <f ca="1">IF(ISNUMBER(MATCH(DATEVALUE($A135),'recurring1_based on steps'!W$1:W$400,0)),W$2,)</f>
        <v>0</v>
      </c>
      <c r="X135" s="179">
        <f ca="1">IF(ISNUMBER(MATCH(DATEVALUE($A135),'recurring1_based on steps'!X$1:X$400,0)),X$2,)</f>
        <v>0</v>
      </c>
      <c r="Y135" s="179">
        <f ca="1">IF(ISNUMBER(MATCH(DATEVALUE($A135),'recurring1_based on steps'!Y$1:Y$400,0)),Y$2,)</f>
        <v>0</v>
      </c>
      <c r="Z135" s="179">
        <f ca="1">IF(ISNUMBER(MATCH(DATEVALUE($A135),'recurring1_based on steps'!Z$1:Z$400,0)),Z$2,)</f>
        <v>0</v>
      </c>
      <c r="AA135" s="179">
        <f ca="1">IF(ISNUMBER(MATCH(DATEVALUE($A135),'recurring1_based on steps'!AA$1:AA$400,0)),AA$2,)</f>
        <v>0</v>
      </c>
      <c r="AB135" s="179">
        <f ca="1">IF(ISNUMBER(MATCH(DATEVALUE($A135),'recurring1_based on steps'!AB$1:AB$400,0)),AB$2,)</f>
        <v>0</v>
      </c>
      <c r="AC135" s="179">
        <f ca="1">IF(ISNUMBER(MATCH(DATEVALUE($A135),'recurring1_based on steps'!AC$1:AC$400,0)),AC$2,)</f>
        <v>0</v>
      </c>
      <c r="AD135" s="179">
        <f ca="1">IF(ISNUMBER(MATCH(DATEVALUE($A135),'recurring1_based on steps'!AD$1:AD$400,0)),AD$2,)</f>
        <v>0</v>
      </c>
      <c r="AE135" s="179">
        <f ca="1">IF(ISNUMBER(MATCH(DATEVALUE($A135),'recurring1_based on steps'!AE$1:AE$400,0)),AE$2,)</f>
        <v>0</v>
      </c>
      <c r="AF135" s="179">
        <f ca="1">IF(ISNUMBER(MATCH(DATEVALUE($A135),'recurring1_based on steps'!AF$1:AF$400,0)),AF$2,)</f>
        <v>0</v>
      </c>
      <c r="AG135" s="179">
        <f ca="1">IF(ISNUMBER(MATCH(DATEVALUE($A135),'recurring1_based on steps'!AG$1:AG$400,0)),AG$2,)</f>
        <v>0</v>
      </c>
      <c r="AH135" s="179">
        <f ca="1">IF(ISNUMBER(MATCH(DATEVALUE($A135),'recurring1_based on steps'!AH$1:AH$400,0)),AH$2,)</f>
        <v>0</v>
      </c>
      <c r="AI135" s="179">
        <f ca="1">IF(ISNUMBER(MATCH(DATEVALUE($A135),'recurring1_based on steps'!AI$1:AI$400,0)),AI$2,)</f>
        <v>0</v>
      </c>
      <c r="AJ135" s="179">
        <f ca="1">IF(ISNUMBER(MATCH(DATEVALUE($A135),'recurring1_based on steps'!AJ$1:AJ$400,0)),AJ$2,)</f>
        <v>0</v>
      </c>
      <c r="AK135" s="179">
        <f ca="1">IF(ISNUMBER(MATCH(DATEVALUE($A135),'recurring1_based on steps'!AK$1:AK$400,0)),AK$2,)</f>
        <v>0</v>
      </c>
      <c r="AL135" s="179">
        <f ca="1">IF(ISNUMBER(MATCH(DATEVALUE($A135),'recurring1_based on steps'!AL$1:AL$400,0)),AL$2,)</f>
        <v>0</v>
      </c>
      <c r="AM135" s="179">
        <f ca="1">IF(ISNUMBER(MATCH(DATEVALUE($A135),'recurring1_based on steps'!AM$1:AM$400,0)),AM$2,)</f>
        <v>0</v>
      </c>
      <c r="AN135" s="179">
        <f ca="1">IF(ISNUMBER(MATCH(DATEVALUE($A135),'recurring1_based on steps'!AN$1:AN$400,0)),AN$2,)</f>
        <v>0</v>
      </c>
      <c r="AO135" s="179">
        <f ca="1">IF(ISNUMBER(MATCH(DATEVALUE($A135),'recurring1_based on steps'!AO$1:AO$400,0)),AO$2,)</f>
        <v>0</v>
      </c>
      <c r="AP135" s="179">
        <f ca="1">IF(ISNUMBER(MATCH(DATEVALUE($A135),'recurring1_based on steps'!AP$1:AP$400,0)),AP$2,)</f>
        <v>0</v>
      </c>
      <c r="AQ135" s="179">
        <f ca="1">IF(ISNUMBER(MATCH(DATEVALUE($A135),'recurring1_based on steps'!AQ$1:AQ$400,0)),AQ$2,)</f>
        <v>0</v>
      </c>
      <c r="AR135" s="179">
        <f ca="1">IF(ISNUMBER(MATCH(DATEVALUE($A135),'recurring1_based on steps'!AR$1:AR$400,0)),AR$2,)</f>
        <v>0</v>
      </c>
      <c r="AS135" s="179">
        <f ca="1">IF(ISNUMBER(MATCH(DATEVALUE($A135),'recurring1_based on steps'!AS$1:AS$400,0)),AS$2,)</f>
        <v>0</v>
      </c>
      <c r="AT135" s="179">
        <f ca="1">IF(ISNUMBER(MATCH(DATEVALUE($A135),'recurring1_based on steps'!AT$1:AT$400,0)),AT$2,)</f>
        <v>0</v>
      </c>
      <c r="AU135" s="179">
        <f ca="1">IF(ISNUMBER(MATCH(DATEVALUE($A135),'recurring1_based on steps'!AU$1:AU$400,0)),AU$2,)</f>
        <v>0</v>
      </c>
      <c r="AV135" s="179">
        <f ca="1">IF(ISNUMBER(MATCH(DATEVALUE($A135),'recurring1_based on steps'!AV$1:AV$400,0)),AV$2,)</f>
        <v>0</v>
      </c>
      <c r="AW135" s="179">
        <f ca="1">IF(ISNUMBER(MATCH(DATEVALUE($A135),'recurring1_based on steps'!AW$1:AW$400,0)),AW$2,)</f>
        <v>0</v>
      </c>
      <c r="AX135" s="179">
        <f ca="1">IF(ISNUMBER(MATCH(DATEVALUE($A135),'recurring1_based on steps'!AX$1:AX$400,0)),AX$2,)</f>
        <v>0</v>
      </c>
      <c r="AY135" s="179">
        <f ca="1">IF(ISNUMBER(MATCH(DATEVALUE($A135),'recurring1_based on steps'!AY$1:AY$400,0)),AY$2,)</f>
        <v>0</v>
      </c>
    </row>
    <row r="136" spans="1:51" x14ac:dyDescent="0.2">
      <c r="A136" s="32" t="str">
        <f t="shared" ca="1" si="2"/>
        <v>2025-08-09</v>
      </c>
      <c r="B136" s="179">
        <f ca="1">IF(ISNUMBER(MATCH(DATEVALUE($A136),'recurring1_based on steps'!B$1:B$400,0)),B$2,)</f>
        <v>0</v>
      </c>
      <c r="C136" s="179">
        <f ca="1">IF(ISNUMBER(MATCH(DATEVALUE($A136),'recurring1_based on steps'!C$1:C$400,0)),C$2,)</f>
        <v>0</v>
      </c>
      <c r="D136" s="179">
        <f ca="1">IF(ISNUMBER(MATCH(DATEVALUE($A136),'recurring1_based on steps'!D$1:D$400,0)),D$2,)</f>
        <v>0</v>
      </c>
      <c r="E136" s="179">
        <f ca="1">IF(ISNUMBER(MATCH(DATEVALUE($A136),'recurring1_based on steps'!E$1:E$400,0)),E$2,)</f>
        <v>0</v>
      </c>
      <c r="F136" s="179">
        <f ca="1">IF(ISNUMBER(MATCH(DATEVALUE($A136),'recurring1_based on steps'!F$1:F$400,0)),F$2,)</f>
        <v>0</v>
      </c>
      <c r="G136" s="179">
        <f ca="1">IF(ISNUMBER(MATCH(DATEVALUE($A136),'recurring1_based on steps'!G$1:G$400,0)),G$2,)</f>
        <v>0</v>
      </c>
      <c r="H136" s="179">
        <f ca="1">IF(ISNUMBER(MATCH(DATEVALUE($A136),'recurring1_based on steps'!H$1:H$400,0)),H$2,)</f>
        <v>0</v>
      </c>
      <c r="I136" s="179">
        <f ca="1">IF(ISNUMBER(MATCH(DATEVALUE($A136),'recurring1_based on steps'!I$1:I$400,0)),I$2,)</f>
        <v>0</v>
      </c>
      <c r="J136" s="179">
        <f ca="1">IF(ISNUMBER(MATCH(DATEVALUE($A136),'recurring1_based on steps'!J$1:J$400,0)),J$2,)</f>
        <v>0</v>
      </c>
      <c r="K136" s="179">
        <f ca="1">IF(ISNUMBER(MATCH(DATEVALUE($A136),'recurring1_based on steps'!K$1:K$400,0)),K$2,)</f>
        <v>0</v>
      </c>
      <c r="L136" s="179">
        <f ca="1">IF(ISNUMBER(MATCH(DATEVALUE($A136),'recurring1_based on steps'!L$1:L$400,0)),L$2,)</f>
        <v>0</v>
      </c>
      <c r="M136" s="179">
        <f ca="1">IF(ISNUMBER(MATCH(DATEVALUE($A136),'recurring1_based on steps'!M$1:M$400,0)),M$2,)</f>
        <v>0</v>
      </c>
      <c r="N136" s="179">
        <f ca="1">IF(ISNUMBER(MATCH(DATEVALUE($A136),'recurring1_based on steps'!N$1:N$400,0)),N$2,)</f>
        <v>0</v>
      </c>
      <c r="O136" s="179">
        <f ca="1">IF(ISNUMBER(MATCH(DATEVALUE($A136),'recurring1_based on steps'!O$1:O$400,0)),O$2,)</f>
        <v>0</v>
      </c>
      <c r="P136" s="179">
        <f ca="1">IF(ISNUMBER(MATCH(DATEVALUE($A136),'recurring1_based on steps'!P$1:P$400,0)),P$2,)</f>
        <v>0</v>
      </c>
      <c r="Q136" s="179">
        <f ca="1">IF(ISNUMBER(MATCH(DATEVALUE($A136),'recurring1_based on steps'!Q$1:Q$400,0)),Q$2,)</f>
        <v>0</v>
      </c>
      <c r="R136" s="179">
        <f ca="1">IF(ISNUMBER(MATCH(DATEVALUE($A136),'recurring1_based on steps'!R$1:R$400,0)),R$2,)</f>
        <v>0</v>
      </c>
      <c r="S136" s="179">
        <f ca="1">IF(ISNUMBER(MATCH(DATEVALUE($A136),'recurring1_based on steps'!S$1:S$400,0)),S$2,)</f>
        <v>0</v>
      </c>
      <c r="T136" s="179">
        <f ca="1">IF(ISNUMBER(MATCH(DATEVALUE($A136),'recurring1_based on steps'!T$1:T$400,0)),T$2,)</f>
        <v>0</v>
      </c>
      <c r="U136" s="179">
        <f ca="1">IF(ISNUMBER(MATCH(DATEVALUE($A136),'recurring1_based on steps'!U$1:U$400,0)),U$2,)</f>
        <v>0</v>
      </c>
      <c r="V136" s="179">
        <f ca="1">IF(ISNUMBER(MATCH(DATEVALUE($A136),'recurring1_based on steps'!V$1:V$400,0)),V$2,)</f>
        <v>0</v>
      </c>
      <c r="W136" s="179">
        <f ca="1">IF(ISNUMBER(MATCH(DATEVALUE($A136),'recurring1_based on steps'!W$1:W$400,0)),W$2,)</f>
        <v>0</v>
      </c>
      <c r="X136" s="179">
        <f ca="1">IF(ISNUMBER(MATCH(DATEVALUE($A136),'recurring1_based on steps'!X$1:X$400,0)),X$2,)</f>
        <v>0</v>
      </c>
      <c r="Y136" s="179">
        <f ca="1">IF(ISNUMBER(MATCH(DATEVALUE($A136),'recurring1_based on steps'!Y$1:Y$400,0)),Y$2,)</f>
        <v>0</v>
      </c>
      <c r="Z136" s="179">
        <f ca="1">IF(ISNUMBER(MATCH(DATEVALUE($A136),'recurring1_based on steps'!Z$1:Z$400,0)),Z$2,)</f>
        <v>0</v>
      </c>
      <c r="AA136" s="179">
        <f ca="1">IF(ISNUMBER(MATCH(DATEVALUE($A136),'recurring1_based on steps'!AA$1:AA$400,0)),AA$2,)</f>
        <v>0</v>
      </c>
      <c r="AB136" s="179">
        <f ca="1">IF(ISNUMBER(MATCH(DATEVALUE($A136),'recurring1_based on steps'!AB$1:AB$400,0)),AB$2,)</f>
        <v>0</v>
      </c>
      <c r="AC136" s="179">
        <f ca="1">IF(ISNUMBER(MATCH(DATEVALUE($A136),'recurring1_based on steps'!AC$1:AC$400,0)),AC$2,)</f>
        <v>0</v>
      </c>
      <c r="AD136" s="179">
        <f ca="1">IF(ISNUMBER(MATCH(DATEVALUE($A136),'recurring1_based on steps'!AD$1:AD$400,0)),AD$2,)</f>
        <v>0</v>
      </c>
      <c r="AE136" s="179">
        <f ca="1">IF(ISNUMBER(MATCH(DATEVALUE($A136),'recurring1_based on steps'!AE$1:AE$400,0)),AE$2,)</f>
        <v>0</v>
      </c>
      <c r="AF136" s="179">
        <f ca="1">IF(ISNUMBER(MATCH(DATEVALUE($A136),'recurring1_based on steps'!AF$1:AF$400,0)),AF$2,)</f>
        <v>0</v>
      </c>
      <c r="AG136" s="179">
        <f ca="1">IF(ISNUMBER(MATCH(DATEVALUE($A136),'recurring1_based on steps'!AG$1:AG$400,0)),AG$2,)</f>
        <v>0</v>
      </c>
      <c r="AH136" s="179">
        <f ca="1">IF(ISNUMBER(MATCH(DATEVALUE($A136),'recurring1_based on steps'!AH$1:AH$400,0)),AH$2,)</f>
        <v>0</v>
      </c>
      <c r="AI136" s="179">
        <f ca="1">IF(ISNUMBER(MATCH(DATEVALUE($A136),'recurring1_based on steps'!AI$1:AI$400,0)),AI$2,)</f>
        <v>0</v>
      </c>
      <c r="AJ136" s="179">
        <f ca="1">IF(ISNUMBER(MATCH(DATEVALUE($A136),'recurring1_based on steps'!AJ$1:AJ$400,0)),AJ$2,)</f>
        <v>0</v>
      </c>
      <c r="AK136" s="179">
        <f ca="1">IF(ISNUMBER(MATCH(DATEVALUE($A136),'recurring1_based on steps'!AK$1:AK$400,0)),AK$2,)</f>
        <v>0</v>
      </c>
      <c r="AL136" s="179">
        <f ca="1">IF(ISNUMBER(MATCH(DATEVALUE($A136),'recurring1_based on steps'!AL$1:AL$400,0)),AL$2,)</f>
        <v>0</v>
      </c>
      <c r="AM136" s="179">
        <f ca="1">IF(ISNUMBER(MATCH(DATEVALUE($A136),'recurring1_based on steps'!AM$1:AM$400,0)),AM$2,)</f>
        <v>0</v>
      </c>
      <c r="AN136" s="179">
        <f ca="1">IF(ISNUMBER(MATCH(DATEVALUE($A136),'recurring1_based on steps'!AN$1:AN$400,0)),AN$2,)</f>
        <v>0</v>
      </c>
      <c r="AO136" s="179">
        <f ca="1">IF(ISNUMBER(MATCH(DATEVALUE($A136),'recurring1_based on steps'!AO$1:AO$400,0)),AO$2,)</f>
        <v>0</v>
      </c>
      <c r="AP136" s="179">
        <f ca="1">IF(ISNUMBER(MATCH(DATEVALUE($A136),'recurring1_based on steps'!AP$1:AP$400,0)),AP$2,)</f>
        <v>0</v>
      </c>
      <c r="AQ136" s="179">
        <f ca="1">IF(ISNUMBER(MATCH(DATEVALUE($A136),'recurring1_based on steps'!AQ$1:AQ$400,0)),AQ$2,)</f>
        <v>0</v>
      </c>
      <c r="AR136" s="179">
        <f ca="1">IF(ISNUMBER(MATCH(DATEVALUE($A136),'recurring1_based on steps'!AR$1:AR$400,0)),AR$2,)</f>
        <v>0</v>
      </c>
      <c r="AS136" s="179">
        <f ca="1">IF(ISNUMBER(MATCH(DATEVALUE($A136),'recurring1_based on steps'!AS$1:AS$400,0)),AS$2,)</f>
        <v>0</v>
      </c>
      <c r="AT136" s="179">
        <f ca="1">IF(ISNUMBER(MATCH(DATEVALUE($A136),'recurring1_based on steps'!AT$1:AT$400,0)),AT$2,)</f>
        <v>0</v>
      </c>
      <c r="AU136" s="179">
        <f ca="1">IF(ISNUMBER(MATCH(DATEVALUE($A136),'recurring1_based on steps'!AU$1:AU$400,0)),AU$2,)</f>
        <v>0</v>
      </c>
      <c r="AV136" s="179">
        <f ca="1">IF(ISNUMBER(MATCH(DATEVALUE($A136),'recurring1_based on steps'!AV$1:AV$400,0)),AV$2,)</f>
        <v>0</v>
      </c>
      <c r="AW136" s="179">
        <f ca="1">IF(ISNUMBER(MATCH(DATEVALUE($A136),'recurring1_based on steps'!AW$1:AW$400,0)),AW$2,)</f>
        <v>0</v>
      </c>
      <c r="AX136" s="179">
        <f ca="1">IF(ISNUMBER(MATCH(DATEVALUE($A136),'recurring1_based on steps'!AX$1:AX$400,0)),AX$2,)</f>
        <v>0</v>
      </c>
      <c r="AY136" s="179">
        <f ca="1">IF(ISNUMBER(MATCH(DATEVALUE($A136),'recurring1_based on steps'!AY$1:AY$400,0)),AY$2,)</f>
        <v>0</v>
      </c>
    </row>
    <row r="137" spans="1:51" x14ac:dyDescent="0.2">
      <c r="A137" s="32" t="str">
        <f t="shared" ca="1" si="2"/>
        <v>2025-08-10</v>
      </c>
      <c r="B137" s="179">
        <f ca="1">IF(ISNUMBER(MATCH(DATEVALUE($A137),'recurring1_based on steps'!B$1:B$400,0)),B$2,)</f>
        <v>0</v>
      </c>
      <c r="C137" s="179">
        <f ca="1">IF(ISNUMBER(MATCH(DATEVALUE($A137),'recurring1_based on steps'!C$1:C$400,0)),C$2,)</f>
        <v>0</v>
      </c>
      <c r="D137" s="179">
        <f ca="1">IF(ISNUMBER(MATCH(DATEVALUE($A137),'recurring1_based on steps'!D$1:D$400,0)),D$2,)</f>
        <v>0</v>
      </c>
      <c r="E137" s="179">
        <f ca="1">IF(ISNUMBER(MATCH(DATEVALUE($A137),'recurring1_based on steps'!E$1:E$400,0)),E$2,)</f>
        <v>0</v>
      </c>
      <c r="F137" s="179">
        <f ca="1">IF(ISNUMBER(MATCH(DATEVALUE($A137),'recurring1_based on steps'!F$1:F$400,0)),F$2,)</f>
        <v>0</v>
      </c>
      <c r="G137" s="179">
        <f ca="1">IF(ISNUMBER(MATCH(DATEVALUE($A137),'recurring1_based on steps'!G$1:G$400,0)),G$2,)</f>
        <v>0</v>
      </c>
      <c r="H137" s="179">
        <f ca="1">IF(ISNUMBER(MATCH(DATEVALUE($A137),'recurring1_based on steps'!H$1:H$400,0)),H$2,)</f>
        <v>0</v>
      </c>
      <c r="I137" s="179">
        <f ca="1">IF(ISNUMBER(MATCH(DATEVALUE($A137),'recurring1_based on steps'!I$1:I$400,0)),I$2,)</f>
        <v>0</v>
      </c>
      <c r="J137" s="179">
        <f ca="1">IF(ISNUMBER(MATCH(DATEVALUE($A137),'recurring1_based on steps'!J$1:J$400,0)),J$2,)</f>
        <v>0</v>
      </c>
      <c r="K137" s="179">
        <f ca="1">IF(ISNUMBER(MATCH(DATEVALUE($A137),'recurring1_based on steps'!K$1:K$400,0)),K$2,)</f>
        <v>0</v>
      </c>
      <c r="L137" s="179">
        <f ca="1">IF(ISNUMBER(MATCH(DATEVALUE($A137),'recurring1_based on steps'!L$1:L$400,0)),L$2,)</f>
        <v>0</v>
      </c>
      <c r="M137" s="179">
        <f ca="1">IF(ISNUMBER(MATCH(DATEVALUE($A137),'recurring1_based on steps'!M$1:M$400,0)),M$2,)</f>
        <v>0</v>
      </c>
      <c r="N137" s="179">
        <f ca="1">IF(ISNUMBER(MATCH(DATEVALUE($A137),'recurring1_based on steps'!N$1:N$400,0)),N$2,)</f>
        <v>0</v>
      </c>
      <c r="O137" s="179">
        <f ca="1">IF(ISNUMBER(MATCH(DATEVALUE($A137),'recurring1_based on steps'!O$1:O$400,0)),O$2,)</f>
        <v>0</v>
      </c>
      <c r="P137" s="179">
        <f ca="1">IF(ISNUMBER(MATCH(DATEVALUE($A137),'recurring1_based on steps'!P$1:P$400,0)),P$2,)</f>
        <v>0</v>
      </c>
      <c r="Q137" s="179">
        <f ca="1">IF(ISNUMBER(MATCH(DATEVALUE($A137),'recurring1_based on steps'!Q$1:Q$400,0)),Q$2,)</f>
        <v>0</v>
      </c>
      <c r="R137" s="179">
        <f ca="1">IF(ISNUMBER(MATCH(DATEVALUE($A137),'recurring1_based on steps'!R$1:R$400,0)),R$2,)</f>
        <v>0</v>
      </c>
      <c r="S137" s="179">
        <f ca="1">IF(ISNUMBER(MATCH(DATEVALUE($A137),'recurring1_based on steps'!S$1:S$400,0)),S$2,)</f>
        <v>0</v>
      </c>
      <c r="T137" s="179">
        <f ca="1">IF(ISNUMBER(MATCH(DATEVALUE($A137),'recurring1_based on steps'!T$1:T$400,0)),T$2,)</f>
        <v>0</v>
      </c>
      <c r="U137" s="179">
        <f ca="1">IF(ISNUMBER(MATCH(DATEVALUE($A137),'recurring1_based on steps'!U$1:U$400,0)),U$2,)</f>
        <v>0</v>
      </c>
      <c r="V137" s="179">
        <f ca="1">IF(ISNUMBER(MATCH(DATEVALUE($A137),'recurring1_based on steps'!V$1:V$400,0)),V$2,)</f>
        <v>0</v>
      </c>
      <c r="W137" s="179">
        <f ca="1">IF(ISNUMBER(MATCH(DATEVALUE($A137),'recurring1_based on steps'!W$1:W$400,0)),W$2,)</f>
        <v>0</v>
      </c>
      <c r="X137" s="179">
        <f ca="1">IF(ISNUMBER(MATCH(DATEVALUE($A137),'recurring1_based on steps'!X$1:X$400,0)),X$2,)</f>
        <v>0</v>
      </c>
      <c r="Y137" s="179">
        <f ca="1">IF(ISNUMBER(MATCH(DATEVALUE($A137),'recurring1_based on steps'!Y$1:Y$400,0)),Y$2,)</f>
        <v>0</v>
      </c>
      <c r="Z137" s="179">
        <f ca="1">IF(ISNUMBER(MATCH(DATEVALUE($A137),'recurring1_based on steps'!Z$1:Z$400,0)),Z$2,)</f>
        <v>0</v>
      </c>
      <c r="AA137" s="179">
        <f ca="1">IF(ISNUMBER(MATCH(DATEVALUE($A137),'recurring1_based on steps'!AA$1:AA$400,0)),AA$2,)</f>
        <v>0</v>
      </c>
      <c r="AB137" s="179">
        <f ca="1">IF(ISNUMBER(MATCH(DATEVALUE($A137),'recurring1_based on steps'!AB$1:AB$400,0)),AB$2,)</f>
        <v>0</v>
      </c>
      <c r="AC137" s="179">
        <f ca="1">IF(ISNUMBER(MATCH(DATEVALUE($A137),'recurring1_based on steps'!AC$1:AC$400,0)),AC$2,)</f>
        <v>0</v>
      </c>
      <c r="AD137" s="179">
        <f ca="1">IF(ISNUMBER(MATCH(DATEVALUE($A137),'recurring1_based on steps'!AD$1:AD$400,0)),AD$2,)</f>
        <v>0</v>
      </c>
      <c r="AE137" s="179">
        <f ca="1">IF(ISNUMBER(MATCH(DATEVALUE($A137),'recurring1_based on steps'!AE$1:AE$400,0)),AE$2,)</f>
        <v>0</v>
      </c>
      <c r="AF137" s="179">
        <f ca="1">IF(ISNUMBER(MATCH(DATEVALUE($A137),'recurring1_based on steps'!AF$1:AF$400,0)),AF$2,)</f>
        <v>0</v>
      </c>
      <c r="AG137" s="179">
        <f ca="1">IF(ISNUMBER(MATCH(DATEVALUE($A137),'recurring1_based on steps'!AG$1:AG$400,0)),AG$2,)</f>
        <v>0</v>
      </c>
      <c r="AH137" s="179">
        <f ca="1">IF(ISNUMBER(MATCH(DATEVALUE($A137),'recurring1_based on steps'!AH$1:AH$400,0)),AH$2,)</f>
        <v>0</v>
      </c>
      <c r="AI137" s="179">
        <f ca="1">IF(ISNUMBER(MATCH(DATEVALUE($A137),'recurring1_based on steps'!AI$1:AI$400,0)),AI$2,)</f>
        <v>0</v>
      </c>
      <c r="AJ137" s="179">
        <f ca="1">IF(ISNUMBER(MATCH(DATEVALUE($A137),'recurring1_based on steps'!AJ$1:AJ$400,0)),AJ$2,)</f>
        <v>0</v>
      </c>
      <c r="AK137" s="179">
        <f ca="1">IF(ISNUMBER(MATCH(DATEVALUE($A137),'recurring1_based on steps'!AK$1:AK$400,0)),AK$2,)</f>
        <v>0</v>
      </c>
      <c r="AL137" s="179">
        <f ca="1">IF(ISNUMBER(MATCH(DATEVALUE($A137),'recurring1_based on steps'!AL$1:AL$400,0)),AL$2,)</f>
        <v>0</v>
      </c>
      <c r="AM137" s="179">
        <f ca="1">IF(ISNUMBER(MATCH(DATEVALUE($A137),'recurring1_based on steps'!AM$1:AM$400,0)),AM$2,)</f>
        <v>0</v>
      </c>
      <c r="AN137" s="179">
        <f ca="1">IF(ISNUMBER(MATCH(DATEVALUE($A137),'recurring1_based on steps'!AN$1:AN$400,0)),AN$2,)</f>
        <v>0</v>
      </c>
      <c r="AO137" s="179">
        <f ca="1">IF(ISNUMBER(MATCH(DATEVALUE($A137),'recurring1_based on steps'!AO$1:AO$400,0)),AO$2,)</f>
        <v>0</v>
      </c>
      <c r="AP137" s="179">
        <f ca="1">IF(ISNUMBER(MATCH(DATEVALUE($A137),'recurring1_based on steps'!AP$1:AP$400,0)),AP$2,)</f>
        <v>0</v>
      </c>
      <c r="AQ137" s="179">
        <f ca="1">IF(ISNUMBER(MATCH(DATEVALUE($A137),'recurring1_based on steps'!AQ$1:AQ$400,0)),AQ$2,)</f>
        <v>0</v>
      </c>
      <c r="AR137" s="179">
        <f ca="1">IF(ISNUMBER(MATCH(DATEVALUE($A137),'recurring1_based on steps'!AR$1:AR$400,0)),AR$2,)</f>
        <v>0</v>
      </c>
      <c r="AS137" s="179">
        <f ca="1">IF(ISNUMBER(MATCH(DATEVALUE($A137),'recurring1_based on steps'!AS$1:AS$400,0)),AS$2,)</f>
        <v>0</v>
      </c>
      <c r="AT137" s="179">
        <f ca="1">IF(ISNUMBER(MATCH(DATEVALUE($A137),'recurring1_based on steps'!AT$1:AT$400,0)),AT$2,)</f>
        <v>0</v>
      </c>
      <c r="AU137" s="179">
        <f ca="1">IF(ISNUMBER(MATCH(DATEVALUE($A137),'recurring1_based on steps'!AU$1:AU$400,0)),AU$2,)</f>
        <v>0</v>
      </c>
      <c r="AV137" s="179">
        <f ca="1">IF(ISNUMBER(MATCH(DATEVALUE($A137),'recurring1_based on steps'!AV$1:AV$400,0)),AV$2,)</f>
        <v>0</v>
      </c>
      <c r="AW137" s="179">
        <f ca="1">IF(ISNUMBER(MATCH(DATEVALUE($A137),'recurring1_based on steps'!AW$1:AW$400,0)),AW$2,)</f>
        <v>0</v>
      </c>
      <c r="AX137" s="179">
        <f ca="1">IF(ISNUMBER(MATCH(DATEVALUE($A137),'recurring1_based on steps'!AX$1:AX$400,0)),AX$2,)</f>
        <v>0</v>
      </c>
      <c r="AY137" s="179">
        <f ca="1">IF(ISNUMBER(MATCH(DATEVALUE($A137),'recurring1_based on steps'!AY$1:AY$400,0)),AY$2,)</f>
        <v>0</v>
      </c>
    </row>
    <row r="138" spans="1:51" x14ac:dyDescent="0.2">
      <c r="A138" s="32" t="str">
        <f t="shared" ca="1" si="2"/>
        <v>2025-08-11</v>
      </c>
      <c r="B138" s="179">
        <f ca="1">IF(ISNUMBER(MATCH(DATEVALUE($A138),'recurring1_based on steps'!B$1:B$400,0)),B$2,)</f>
        <v>0</v>
      </c>
      <c r="C138" s="179">
        <f ca="1">IF(ISNUMBER(MATCH(DATEVALUE($A138),'recurring1_based on steps'!C$1:C$400,0)),C$2,)</f>
        <v>0</v>
      </c>
      <c r="D138" s="179">
        <f ca="1">IF(ISNUMBER(MATCH(DATEVALUE($A138),'recurring1_based on steps'!D$1:D$400,0)),D$2,)</f>
        <v>0</v>
      </c>
      <c r="E138" s="179">
        <f ca="1">IF(ISNUMBER(MATCH(DATEVALUE($A138),'recurring1_based on steps'!E$1:E$400,0)),E$2,)</f>
        <v>0</v>
      </c>
      <c r="F138" s="179">
        <f ca="1">IF(ISNUMBER(MATCH(DATEVALUE($A138),'recurring1_based on steps'!F$1:F$400,0)),F$2,)</f>
        <v>0</v>
      </c>
      <c r="G138" s="179">
        <f ca="1">IF(ISNUMBER(MATCH(DATEVALUE($A138),'recurring1_based on steps'!G$1:G$400,0)),G$2,)</f>
        <v>0</v>
      </c>
      <c r="H138" s="179">
        <f ca="1">IF(ISNUMBER(MATCH(DATEVALUE($A138),'recurring1_based on steps'!H$1:H$400,0)),H$2,)</f>
        <v>0</v>
      </c>
      <c r="I138" s="179">
        <f ca="1">IF(ISNUMBER(MATCH(DATEVALUE($A138),'recurring1_based on steps'!I$1:I$400,0)),I$2,)</f>
        <v>0</v>
      </c>
      <c r="J138" s="179">
        <f ca="1">IF(ISNUMBER(MATCH(DATEVALUE($A138),'recurring1_based on steps'!J$1:J$400,0)),J$2,)</f>
        <v>0</v>
      </c>
      <c r="K138" s="179">
        <f ca="1">IF(ISNUMBER(MATCH(DATEVALUE($A138),'recurring1_based on steps'!K$1:K$400,0)),K$2,)</f>
        <v>0</v>
      </c>
      <c r="L138" s="179">
        <f ca="1">IF(ISNUMBER(MATCH(DATEVALUE($A138),'recurring1_based on steps'!L$1:L$400,0)),L$2,)</f>
        <v>0</v>
      </c>
      <c r="M138" s="179">
        <f ca="1">IF(ISNUMBER(MATCH(DATEVALUE($A138),'recurring1_based on steps'!M$1:M$400,0)),M$2,)</f>
        <v>0</v>
      </c>
      <c r="N138" s="179">
        <f ca="1">IF(ISNUMBER(MATCH(DATEVALUE($A138),'recurring1_based on steps'!N$1:N$400,0)),N$2,)</f>
        <v>0</v>
      </c>
      <c r="O138" s="179">
        <f ca="1">IF(ISNUMBER(MATCH(DATEVALUE($A138),'recurring1_based on steps'!O$1:O$400,0)),O$2,)</f>
        <v>0</v>
      </c>
      <c r="P138" s="179">
        <f ca="1">IF(ISNUMBER(MATCH(DATEVALUE($A138),'recurring1_based on steps'!P$1:P$400,0)),P$2,)</f>
        <v>0</v>
      </c>
      <c r="Q138" s="179">
        <f ca="1">IF(ISNUMBER(MATCH(DATEVALUE($A138),'recurring1_based on steps'!Q$1:Q$400,0)),Q$2,)</f>
        <v>0</v>
      </c>
      <c r="R138" s="179">
        <f ca="1">IF(ISNUMBER(MATCH(DATEVALUE($A138),'recurring1_based on steps'!R$1:R$400,0)),R$2,)</f>
        <v>0</v>
      </c>
      <c r="S138" s="179">
        <f ca="1">IF(ISNUMBER(MATCH(DATEVALUE($A138),'recurring1_based on steps'!S$1:S$400,0)),S$2,)</f>
        <v>0</v>
      </c>
      <c r="T138" s="179">
        <f ca="1">IF(ISNUMBER(MATCH(DATEVALUE($A138),'recurring1_based on steps'!T$1:T$400,0)),T$2,)</f>
        <v>0</v>
      </c>
      <c r="U138" s="179">
        <f ca="1">IF(ISNUMBER(MATCH(DATEVALUE($A138),'recurring1_based on steps'!U$1:U$400,0)),U$2,)</f>
        <v>0</v>
      </c>
      <c r="V138" s="179">
        <f ca="1">IF(ISNUMBER(MATCH(DATEVALUE($A138),'recurring1_based on steps'!V$1:V$400,0)),V$2,)</f>
        <v>0</v>
      </c>
      <c r="W138" s="179">
        <f ca="1">IF(ISNUMBER(MATCH(DATEVALUE($A138),'recurring1_based on steps'!W$1:W$400,0)),W$2,)</f>
        <v>0</v>
      </c>
      <c r="X138" s="179">
        <f ca="1">IF(ISNUMBER(MATCH(DATEVALUE($A138),'recurring1_based on steps'!X$1:X$400,0)),X$2,)</f>
        <v>0</v>
      </c>
      <c r="Y138" s="179">
        <f ca="1">IF(ISNUMBER(MATCH(DATEVALUE($A138),'recurring1_based on steps'!Y$1:Y$400,0)),Y$2,)</f>
        <v>0</v>
      </c>
      <c r="Z138" s="179">
        <f ca="1">IF(ISNUMBER(MATCH(DATEVALUE($A138),'recurring1_based on steps'!Z$1:Z$400,0)),Z$2,)</f>
        <v>0</v>
      </c>
      <c r="AA138" s="179">
        <f ca="1">IF(ISNUMBER(MATCH(DATEVALUE($A138),'recurring1_based on steps'!AA$1:AA$400,0)),AA$2,)</f>
        <v>0</v>
      </c>
      <c r="AB138" s="179">
        <f ca="1">IF(ISNUMBER(MATCH(DATEVALUE($A138),'recurring1_based on steps'!AB$1:AB$400,0)),AB$2,)</f>
        <v>0</v>
      </c>
      <c r="AC138" s="179">
        <f ca="1">IF(ISNUMBER(MATCH(DATEVALUE($A138),'recurring1_based on steps'!AC$1:AC$400,0)),AC$2,)</f>
        <v>0</v>
      </c>
      <c r="AD138" s="179">
        <f ca="1">IF(ISNUMBER(MATCH(DATEVALUE($A138),'recurring1_based on steps'!AD$1:AD$400,0)),AD$2,)</f>
        <v>0</v>
      </c>
      <c r="AE138" s="179">
        <f ca="1">IF(ISNUMBER(MATCH(DATEVALUE($A138),'recurring1_based on steps'!AE$1:AE$400,0)),AE$2,)</f>
        <v>0</v>
      </c>
      <c r="AF138" s="179">
        <f ca="1">IF(ISNUMBER(MATCH(DATEVALUE($A138),'recurring1_based on steps'!AF$1:AF$400,0)),AF$2,)</f>
        <v>0</v>
      </c>
      <c r="AG138" s="179">
        <f ca="1">IF(ISNUMBER(MATCH(DATEVALUE($A138),'recurring1_based on steps'!AG$1:AG$400,0)),AG$2,)</f>
        <v>0</v>
      </c>
      <c r="AH138" s="179">
        <f ca="1">IF(ISNUMBER(MATCH(DATEVALUE($A138),'recurring1_based on steps'!AH$1:AH$400,0)),AH$2,)</f>
        <v>0</v>
      </c>
      <c r="AI138" s="179">
        <f ca="1">IF(ISNUMBER(MATCH(DATEVALUE($A138),'recurring1_based on steps'!AI$1:AI$400,0)),AI$2,)</f>
        <v>0</v>
      </c>
      <c r="AJ138" s="179">
        <f ca="1">IF(ISNUMBER(MATCH(DATEVALUE($A138),'recurring1_based on steps'!AJ$1:AJ$400,0)),AJ$2,)</f>
        <v>0</v>
      </c>
      <c r="AK138" s="179">
        <f ca="1">IF(ISNUMBER(MATCH(DATEVALUE($A138),'recurring1_based on steps'!AK$1:AK$400,0)),AK$2,)</f>
        <v>0</v>
      </c>
      <c r="AL138" s="179">
        <f ca="1">IF(ISNUMBER(MATCH(DATEVALUE($A138),'recurring1_based on steps'!AL$1:AL$400,0)),AL$2,)</f>
        <v>0</v>
      </c>
      <c r="AM138" s="179">
        <f ca="1">IF(ISNUMBER(MATCH(DATEVALUE($A138),'recurring1_based on steps'!AM$1:AM$400,0)),AM$2,)</f>
        <v>0</v>
      </c>
      <c r="AN138" s="179">
        <f ca="1">IF(ISNUMBER(MATCH(DATEVALUE($A138),'recurring1_based on steps'!AN$1:AN$400,0)),AN$2,)</f>
        <v>0</v>
      </c>
      <c r="AO138" s="179">
        <f ca="1">IF(ISNUMBER(MATCH(DATEVALUE($A138),'recurring1_based on steps'!AO$1:AO$400,0)),AO$2,)</f>
        <v>0</v>
      </c>
      <c r="AP138" s="179">
        <f ca="1">IF(ISNUMBER(MATCH(DATEVALUE($A138),'recurring1_based on steps'!AP$1:AP$400,0)),AP$2,)</f>
        <v>0</v>
      </c>
      <c r="AQ138" s="179">
        <f ca="1">IF(ISNUMBER(MATCH(DATEVALUE($A138),'recurring1_based on steps'!AQ$1:AQ$400,0)),AQ$2,)</f>
        <v>0</v>
      </c>
      <c r="AR138" s="179">
        <f ca="1">IF(ISNUMBER(MATCH(DATEVALUE($A138),'recurring1_based on steps'!AR$1:AR$400,0)),AR$2,)</f>
        <v>0</v>
      </c>
      <c r="AS138" s="179">
        <f ca="1">IF(ISNUMBER(MATCH(DATEVALUE($A138),'recurring1_based on steps'!AS$1:AS$400,0)),AS$2,)</f>
        <v>0</v>
      </c>
      <c r="AT138" s="179">
        <f ca="1">IF(ISNUMBER(MATCH(DATEVALUE($A138),'recurring1_based on steps'!AT$1:AT$400,0)),AT$2,)</f>
        <v>0</v>
      </c>
      <c r="AU138" s="179">
        <f ca="1">IF(ISNUMBER(MATCH(DATEVALUE($A138),'recurring1_based on steps'!AU$1:AU$400,0)),AU$2,)</f>
        <v>0</v>
      </c>
      <c r="AV138" s="179">
        <f ca="1">IF(ISNUMBER(MATCH(DATEVALUE($A138),'recurring1_based on steps'!AV$1:AV$400,0)),AV$2,)</f>
        <v>0</v>
      </c>
      <c r="AW138" s="179">
        <f ca="1">IF(ISNUMBER(MATCH(DATEVALUE($A138),'recurring1_based on steps'!AW$1:AW$400,0)),AW$2,)</f>
        <v>0</v>
      </c>
      <c r="AX138" s="179">
        <f ca="1">IF(ISNUMBER(MATCH(DATEVALUE($A138),'recurring1_based on steps'!AX$1:AX$400,0)),AX$2,)</f>
        <v>0</v>
      </c>
      <c r="AY138" s="179">
        <f ca="1">IF(ISNUMBER(MATCH(DATEVALUE($A138),'recurring1_based on steps'!AY$1:AY$400,0)),AY$2,)</f>
        <v>0</v>
      </c>
    </row>
    <row r="139" spans="1:51" x14ac:dyDescent="0.2">
      <c r="A139" s="32" t="str">
        <f t="shared" ca="1" si="2"/>
        <v>2025-08-12</v>
      </c>
      <c r="B139" s="179">
        <f ca="1">IF(ISNUMBER(MATCH(DATEVALUE($A139),'recurring1_based on steps'!B$1:B$400,0)),B$2,)</f>
        <v>0</v>
      </c>
      <c r="C139" s="179">
        <f ca="1">IF(ISNUMBER(MATCH(DATEVALUE($A139),'recurring1_based on steps'!C$1:C$400,0)),C$2,)</f>
        <v>0</v>
      </c>
      <c r="D139" s="179">
        <f ca="1">IF(ISNUMBER(MATCH(DATEVALUE($A139),'recurring1_based on steps'!D$1:D$400,0)),D$2,)</f>
        <v>0</v>
      </c>
      <c r="E139" s="179">
        <f ca="1">IF(ISNUMBER(MATCH(DATEVALUE($A139),'recurring1_based on steps'!E$1:E$400,0)),E$2,)</f>
        <v>0</v>
      </c>
      <c r="F139" s="179">
        <f ca="1">IF(ISNUMBER(MATCH(DATEVALUE($A139),'recurring1_based on steps'!F$1:F$400,0)),F$2,)</f>
        <v>0</v>
      </c>
      <c r="G139" s="179">
        <f ca="1">IF(ISNUMBER(MATCH(DATEVALUE($A139),'recurring1_based on steps'!G$1:G$400,0)),G$2,)</f>
        <v>0</v>
      </c>
      <c r="H139" s="179">
        <f ca="1">IF(ISNUMBER(MATCH(DATEVALUE($A139),'recurring1_based on steps'!H$1:H$400,0)),H$2,)</f>
        <v>0</v>
      </c>
      <c r="I139" s="179">
        <f ca="1">IF(ISNUMBER(MATCH(DATEVALUE($A139),'recurring1_based on steps'!I$1:I$400,0)),I$2,)</f>
        <v>0</v>
      </c>
      <c r="J139" s="179">
        <f ca="1">IF(ISNUMBER(MATCH(DATEVALUE($A139),'recurring1_based on steps'!J$1:J$400,0)),J$2,)</f>
        <v>0</v>
      </c>
      <c r="K139" s="179">
        <f ca="1">IF(ISNUMBER(MATCH(DATEVALUE($A139),'recurring1_based on steps'!K$1:K$400,0)),K$2,)</f>
        <v>0</v>
      </c>
      <c r="L139" s="179">
        <f ca="1">IF(ISNUMBER(MATCH(DATEVALUE($A139),'recurring1_based on steps'!L$1:L$400,0)),L$2,)</f>
        <v>0</v>
      </c>
      <c r="M139" s="179">
        <f ca="1">IF(ISNUMBER(MATCH(DATEVALUE($A139),'recurring1_based on steps'!M$1:M$400,0)),M$2,)</f>
        <v>0</v>
      </c>
      <c r="N139" s="179">
        <f ca="1">IF(ISNUMBER(MATCH(DATEVALUE($A139),'recurring1_based on steps'!N$1:N$400,0)),N$2,)</f>
        <v>0</v>
      </c>
      <c r="O139" s="179">
        <f ca="1">IF(ISNUMBER(MATCH(DATEVALUE($A139),'recurring1_based on steps'!O$1:O$400,0)),O$2,)</f>
        <v>0</v>
      </c>
      <c r="P139" s="179">
        <f ca="1">IF(ISNUMBER(MATCH(DATEVALUE($A139),'recurring1_based on steps'!P$1:P$400,0)),P$2,)</f>
        <v>0</v>
      </c>
      <c r="Q139" s="179">
        <f ca="1">IF(ISNUMBER(MATCH(DATEVALUE($A139),'recurring1_based on steps'!Q$1:Q$400,0)),Q$2,)</f>
        <v>0</v>
      </c>
      <c r="R139" s="179">
        <f ca="1">IF(ISNUMBER(MATCH(DATEVALUE($A139),'recurring1_based on steps'!R$1:R$400,0)),R$2,)</f>
        <v>0</v>
      </c>
      <c r="S139" s="179">
        <f ca="1">IF(ISNUMBER(MATCH(DATEVALUE($A139),'recurring1_based on steps'!S$1:S$400,0)),S$2,)</f>
        <v>0</v>
      </c>
      <c r="T139" s="179">
        <f ca="1">IF(ISNUMBER(MATCH(DATEVALUE($A139),'recurring1_based on steps'!T$1:T$400,0)),T$2,)</f>
        <v>0</v>
      </c>
      <c r="U139" s="179">
        <f ca="1">IF(ISNUMBER(MATCH(DATEVALUE($A139),'recurring1_based on steps'!U$1:U$400,0)),U$2,)</f>
        <v>0</v>
      </c>
      <c r="V139" s="179">
        <f ca="1">IF(ISNUMBER(MATCH(DATEVALUE($A139),'recurring1_based on steps'!V$1:V$400,0)),V$2,)</f>
        <v>0</v>
      </c>
      <c r="W139" s="179">
        <f ca="1">IF(ISNUMBER(MATCH(DATEVALUE($A139),'recurring1_based on steps'!W$1:W$400,0)),W$2,)</f>
        <v>0</v>
      </c>
      <c r="X139" s="179">
        <f ca="1">IF(ISNUMBER(MATCH(DATEVALUE($A139),'recurring1_based on steps'!X$1:X$400,0)),X$2,)</f>
        <v>0</v>
      </c>
      <c r="Y139" s="179">
        <f ca="1">IF(ISNUMBER(MATCH(DATEVALUE($A139),'recurring1_based on steps'!Y$1:Y$400,0)),Y$2,)</f>
        <v>0</v>
      </c>
      <c r="Z139" s="179">
        <f ca="1">IF(ISNUMBER(MATCH(DATEVALUE($A139),'recurring1_based on steps'!Z$1:Z$400,0)),Z$2,)</f>
        <v>0</v>
      </c>
      <c r="AA139" s="179">
        <f ca="1">IF(ISNUMBER(MATCH(DATEVALUE($A139),'recurring1_based on steps'!AA$1:AA$400,0)),AA$2,)</f>
        <v>0</v>
      </c>
      <c r="AB139" s="179">
        <f ca="1">IF(ISNUMBER(MATCH(DATEVALUE($A139),'recurring1_based on steps'!AB$1:AB$400,0)),AB$2,)</f>
        <v>0</v>
      </c>
      <c r="AC139" s="179">
        <f ca="1">IF(ISNUMBER(MATCH(DATEVALUE($A139),'recurring1_based on steps'!AC$1:AC$400,0)),AC$2,)</f>
        <v>0</v>
      </c>
      <c r="AD139" s="179">
        <f ca="1">IF(ISNUMBER(MATCH(DATEVALUE($A139),'recurring1_based on steps'!AD$1:AD$400,0)),AD$2,)</f>
        <v>0</v>
      </c>
      <c r="AE139" s="179">
        <f ca="1">IF(ISNUMBER(MATCH(DATEVALUE($A139),'recurring1_based on steps'!AE$1:AE$400,0)),AE$2,)</f>
        <v>0</v>
      </c>
      <c r="AF139" s="179">
        <f ca="1">IF(ISNUMBER(MATCH(DATEVALUE($A139),'recurring1_based on steps'!AF$1:AF$400,0)),AF$2,)</f>
        <v>0</v>
      </c>
      <c r="AG139" s="179">
        <f ca="1">IF(ISNUMBER(MATCH(DATEVALUE($A139),'recurring1_based on steps'!AG$1:AG$400,0)),AG$2,)</f>
        <v>0</v>
      </c>
      <c r="AH139" s="179">
        <f ca="1">IF(ISNUMBER(MATCH(DATEVALUE($A139),'recurring1_based on steps'!AH$1:AH$400,0)),AH$2,)</f>
        <v>0</v>
      </c>
      <c r="AI139" s="179">
        <f ca="1">IF(ISNUMBER(MATCH(DATEVALUE($A139),'recurring1_based on steps'!AI$1:AI$400,0)),AI$2,)</f>
        <v>0</v>
      </c>
      <c r="AJ139" s="179">
        <f ca="1">IF(ISNUMBER(MATCH(DATEVALUE($A139),'recurring1_based on steps'!AJ$1:AJ$400,0)),AJ$2,)</f>
        <v>0</v>
      </c>
      <c r="AK139" s="179">
        <f ca="1">IF(ISNUMBER(MATCH(DATEVALUE($A139),'recurring1_based on steps'!AK$1:AK$400,0)),AK$2,)</f>
        <v>0</v>
      </c>
      <c r="AL139" s="179">
        <f ca="1">IF(ISNUMBER(MATCH(DATEVALUE($A139),'recurring1_based on steps'!AL$1:AL$400,0)),AL$2,)</f>
        <v>0</v>
      </c>
      <c r="AM139" s="179">
        <f ca="1">IF(ISNUMBER(MATCH(DATEVALUE($A139),'recurring1_based on steps'!AM$1:AM$400,0)),AM$2,)</f>
        <v>0</v>
      </c>
      <c r="AN139" s="179">
        <f ca="1">IF(ISNUMBER(MATCH(DATEVALUE($A139),'recurring1_based on steps'!AN$1:AN$400,0)),AN$2,)</f>
        <v>0</v>
      </c>
      <c r="AO139" s="179">
        <f ca="1">IF(ISNUMBER(MATCH(DATEVALUE($A139),'recurring1_based on steps'!AO$1:AO$400,0)),AO$2,)</f>
        <v>0</v>
      </c>
      <c r="AP139" s="179">
        <f ca="1">IF(ISNUMBER(MATCH(DATEVALUE($A139),'recurring1_based on steps'!AP$1:AP$400,0)),AP$2,)</f>
        <v>0</v>
      </c>
      <c r="AQ139" s="179">
        <f ca="1">IF(ISNUMBER(MATCH(DATEVALUE($A139),'recurring1_based on steps'!AQ$1:AQ$400,0)),AQ$2,)</f>
        <v>0</v>
      </c>
      <c r="AR139" s="179">
        <f ca="1">IF(ISNUMBER(MATCH(DATEVALUE($A139),'recurring1_based on steps'!AR$1:AR$400,0)),AR$2,)</f>
        <v>0</v>
      </c>
      <c r="AS139" s="179">
        <f ca="1">IF(ISNUMBER(MATCH(DATEVALUE($A139),'recurring1_based on steps'!AS$1:AS$400,0)),AS$2,)</f>
        <v>0</v>
      </c>
      <c r="AT139" s="179">
        <f ca="1">IF(ISNUMBER(MATCH(DATEVALUE($A139),'recurring1_based on steps'!AT$1:AT$400,0)),AT$2,)</f>
        <v>0</v>
      </c>
      <c r="AU139" s="179">
        <f ca="1">IF(ISNUMBER(MATCH(DATEVALUE($A139),'recurring1_based on steps'!AU$1:AU$400,0)),AU$2,)</f>
        <v>0</v>
      </c>
      <c r="AV139" s="179">
        <f ca="1">IF(ISNUMBER(MATCH(DATEVALUE($A139),'recurring1_based on steps'!AV$1:AV$400,0)),AV$2,)</f>
        <v>0</v>
      </c>
      <c r="AW139" s="179">
        <f ca="1">IF(ISNUMBER(MATCH(DATEVALUE($A139),'recurring1_based on steps'!AW$1:AW$400,0)),AW$2,)</f>
        <v>0</v>
      </c>
      <c r="AX139" s="179">
        <f ca="1">IF(ISNUMBER(MATCH(DATEVALUE($A139),'recurring1_based on steps'!AX$1:AX$400,0)),AX$2,)</f>
        <v>0</v>
      </c>
      <c r="AY139" s="179">
        <f ca="1">IF(ISNUMBER(MATCH(DATEVALUE($A139),'recurring1_based on steps'!AY$1:AY$400,0)),AY$2,)</f>
        <v>0</v>
      </c>
    </row>
    <row r="140" spans="1:51" x14ac:dyDescent="0.2">
      <c r="A140" s="32" t="str">
        <f t="shared" ca="1" si="2"/>
        <v>2025-08-13</v>
      </c>
      <c r="B140" s="179">
        <f ca="1">IF(ISNUMBER(MATCH(DATEVALUE($A140),'recurring1_based on steps'!B$1:B$400,0)),B$2,)</f>
        <v>0</v>
      </c>
      <c r="C140" s="179">
        <f ca="1">IF(ISNUMBER(MATCH(DATEVALUE($A140),'recurring1_based on steps'!C$1:C$400,0)),C$2,)</f>
        <v>0</v>
      </c>
      <c r="D140" s="179">
        <f ca="1">IF(ISNUMBER(MATCH(DATEVALUE($A140),'recurring1_based on steps'!D$1:D$400,0)),D$2,)</f>
        <v>0</v>
      </c>
      <c r="E140" s="179">
        <f ca="1">IF(ISNUMBER(MATCH(DATEVALUE($A140),'recurring1_based on steps'!E$1:E$400,0)),E$2,)</f>
        <v>0</v>
      </c>
      <c r="F140" s="179">
        <f ca="1">IF(ISNUMBER(MATCH(DATEVALUE($A140),'recurring1_based on steps'!F$1:F$400,0)),F$2,)</f>
        <v>0</v>
      </c>
      <c r="G140" s="179">
        <f ca="1">IF(ISNUMBER(MATCH(DATEVALUE($A140),'recurring1_based on steps'!G$1:G$400,0)),G$2,)</f>
        <v>0</v>
      </c>
      <c r="H140" s="179">
        <f ca="1">IF(ISNUMBER(MATCH(DATEVALUE($A140),'recurring1_based on steps'!H$1:H$400,0)),H$2,)</f>
        <v>0</v>
      </c>
      <c r="I140" s="179">
        <f ca="1">IF(ISNUMBER(MATCH(DATEVALUE($A140),'recurring1_based on steps'!I$1:I$400,0)),I$2,)</f>
        <v>0</v>
      </c>
      <c r="J140" s="179">
        <f ca="1">IF(ISNUMBER(MATCH(DATEVALUE($A140),'recurring1_based on steps'!J$1:J$400,0)),J$2,)</f>
        <v>0</v>
      </c>
      <c r="K140" s="179">
        <f ca="1">IF(ISNUMBER(MATCH(DATEVALUE($A140),'recurring1_based on steps'!K$1:K$400,0)),K$2,)</f>
        <v>0</v>
      </c>
      <c r="L140" s="179">
        <f ca="1">IF(ISNUMBER(MATCH(DATEVALUE($A140),'recurring1_based on steps'!L$1:L$400,0)),L$2,)</f>
        <v>0</v>
      </c>
      <c r="M140" s="179">
        <f ca="1">IF(ISNUMBER(MATCH(DATEVALUE($A140),'recurring1_based on steps'!M$1:M$400,0)),M$2,)</f>
        <v>0</v>
      </c>
      <c r="N140" s="179">
        <f ca="1">IF(ISNUMBER(MATCH(DATEVALUE($A140),'recurring1_based on steps'!N$1:N$400,0)),N$2,)</f>
        <v>0</v>
      </c>
      <c r="O140" s="179">
        <f ca="1">IF(ISNUMBER(MATCH(DATEVALUE($A140),'recurring1_based on steps'!O$1:O$400,0)),O$2,)</f>
        <v>0</v>
      </c>
      <c r="P140" s="179">
        <f ca="1">IF(ISNUMBER(MATCH(DATEVALUE($A140),'recurring1_based on steps'!P$1:P$400,0)),P$2,)</f>
        <v>0</v>
      </c>
      <c r="Q140" s="179">
        <f ca="1">IF(ISNUMBER(MATCH(DATEVALUE($A140),'recurring1_based on steps'!Q$1:Q$400,0)),Q$2,)</f>
        <v>0</v>
      </c>
      <c r="R140" s="179">
        <f ca="1">IF(ISNUMBER(MATCH(DATEVALUE($A140),'recurring1_based on steps'!R$1:R$400,0)),R$2,)</f>
        <v>0</v>
      </c>
      <c r="S140" s="179">
        <f ca="1">IF(ISNUMBER(MATCH(DATEVALUE($A140),'recurring1_based on steps'!S$1:S$400,0)),S$2,)</f>
        <v>0</v>
      </c>
      <c r="T140" s="179">
        <f ca="1">IF(ISNUMBER(MATCH(DATEVALUE($A140),'recurring1_based on steps'!T$1:T$400,0)),T$2,)</f>
        <v>0</v>
      </c>
      <c r="U140" s="179">
        <f ca="1">IF(ISNUMBER(MATCH(DATEVALUE($A140),'recurring1_based on steps'!U$1:U$400,0)),U$2,)</f>
        <v>0</v>
      </c>
      <c r="V140" s="179">
        <f ca="1">IF(ISNUMBER(MATCH(DATEVALUE($A140),'recurring1_based on steps'!V$1:V$400,0)),V$2,)</f>
        <v>0</v>
      </c>
      <c r="W140" s="179">
        <f ca="1">IF(ISNUMBER(MATCH(DATEVALUE($A140),'recurring1_based on steps'!W$1:W$400,0)),W$2,)</f>
        <v>0</v>
      </c>
      <c r="X140" s="179">
        <f ca="1">IF(ISNUMBER(MATCH(DATEVALUE($A140),'recurring1_based on steps'!X$1:X$400,0)),X$2,)</f>
        <v>0</v>
      </c>
      <c r="Y140" s="179">
        <f ca="1">IF(ISNUMBER(MATCH(DATEVALUE($A140),'recurring1_based on steps'!Y$1:Y$400,0)),Y$2,)</f>
        <v>0</v>
      </c>
      <c r="Z140" s="179">
        <f ca="1">IF(ISNUMBER(MATCH(DATEVALUE($A140),'recurring1_based on steps'!Z$1:Z$400,0)),Z$2,)</f>
        <v>0</v>
      </c>
      <c r="AA140" s="179">
        <f ca="1">IF(ISNUMBER(MATCH(DATEVALUE($A140),'recurring1_based on steps'!AA$1:AA$400,0)),AA$2,)</f>
        <v>0</v>
      </c>
      <c r="AB140" s="179">
        <f ca="1">IF(ISNUMBER(MATCH(DATEVALUE($A140),'recurring1_based on steps'!AB$1:AB$400,0)),AB$2,)</f>
        <v>0</v>
      </c>
      <c r="AC140" s="179">
        <f ca="1">IF(ISNUMBER(MATCH(DATEVALUE($A140),'recurring1_based on steps'!AC$1:AC$400,0)),AC$2,)</f>
        <v>0</v>
      </c>
      <c r="AD140" s="179">
        <f ca="1">IF(ISNUMBER(MATCH(DATEVALUE($A140),'recurring1_based on steps'!AD$1:AD$400,0)),AD$2,)</f>
        <v>0</v>
      </c>
      <c r="AE140" s="179">
        <f ca="1">IF(ISNUMBER(MATCH(DATEVALUE($A140),'recurring1_based on steps'!AE$1:AE$400,0)),AE$2,)</f>
        <v>0</v>
      </c>
      <c r="AF140" s="179">
        <f ca="1">IF(ISNUMBER(MATCH(DATEVALUE($A140),'recurring1_based on steps'!AF$1:AF$400,0)),AF$2,)</f>
        <v>0</v>
      </c>
      <c r="AG140" s="179">
        <f ca="1">IF(ISNUMBER(MATCH(DATEVALUE($A140),'recurring1_based on steps'!AG$1:AG$400,0)),AG$2,)</f>
        <v>0</v>
      </c>
      <c r="AH140" s="179">
        <f ca="1">IF(ISNUMBER(MATCH(DATEVALUE($A140),'recurring1_based on steps'!AH$1:AH$400,0)),AH$2,)</f>
        <v>0</v>
      </c>
      <c r="AI140" s="179">
        <f ca="1">IF(ISNUMBER(MATCH(DATEVALUE($A140),'recurring1_based on steps'!AI$1:AI$400,0)),AI$2,)</f>
        <v>0</v>
      </c>
      <c r="AJ140" s="179">
        <f ca="1">IF(ISNUMBER(MATCH(DATEVALUE($A140),'recurring1_based on steps'!AJ$1:AJ$400,0)),AJ$2,)</f>
        <v>0</v>
      </c>
      <c r="AK140" s="179">
        <f ca="1">IF(ISNUMBER(MATCH(DATEVALUE($A140),'recurring1_based on steps'!AK$1:AK$400,0)),AK$2,)</f>
        <v>0</v>
      </c>
      <c r="AL140" s="179">
        <f ca="1">IF(ISNUMBER(MATCH(DATEVALUE($A140),'recurring1_based on steps'!AL$1:AL$400,0)),AL$2,)</f>
        <v>0</v>
      </c>
      <c r="AM140" s="179">
        <f ca="1">IF(ISNUMBER(MATCH(DATEVALUE($A140),'recurring1_based on steps'!AM$1:AM$400,0)),AM$2,)</f>
        <v>0</v>
      </c>
      <c r="AN140" s="179">
        <f ca="1">IF(ISNUMBER(MATCH(DATEVALUE($A140),'recurring1_based on steps'!AN$1:AN$400,0)),AN$2,)</f>
        <v>0</v>
      </c>
      <c r="AO140" s="179">
        <f ca="1">IF(ISNUMBER(MATCH(DATEVALUE($A140),'recurring1_based on steps'!AO$1:AO$400,0)),AO$2,)</f>
        <v>0</v>
      </c>
      <c r="AP140" s="179">
        <f ca="1">IF(ISNUMBER(MATCH(DATEVALUE($A140),'recurring1_based on steps'!AP$1:AP$400,0)),AP$2,)</f>
        <v>0</v>
      </c>
      <c r="AQ140" s="179">
        <f ca="1">IF(ISNUMBER(MATCH(DATEVALUE($A140),'recurring1_based on steps'!AQ$1:AQ$400,0)),AQ$2,)</f>
        <v>0</v>
      </c>
      <c r="AR140" s="179">
        <f ca="1">IF(ISNUMBER(MATCH(DATEVALUE($A140),'recurring1_based on steps'!AR$1:AR$400,0)),AR$2,)</f>
        <v>0</v>
      </c>
      <c r="AS140" s="179">
        <f ca="1">IF(ISNUMBER(MATCH(DATEVALUE($A140),'recurring1_based on steps'!AS$1:AS$400,0)),AS$2,)</f>
        <v>0</v>
      </c>
      <c r="AT140" s="179">
        <f ca="1">IF(ISNUMBER(MATCH(DATEVALUE($A140),'recurring1_based on steps'!AT$1:AT$400,0)),AT$2,)</f>
        <v>0</v>
      </c>
      <c r="AU140" s="179">
        <f ca="1">IF(ISNUMBER(MATCH(DATEVALUE($A140),'recurring1_based on steps'!AU$1:AU$400,0)),AU$2,)</f>
        <v>0</v>
      </c>
      <c r="AV140" s="179">
        <f ca="1">IF(ISNUMBER(MATCH(DATEVALUE($A140),'recurring1_based on steps'!AV$1:AV$400,0)),AV$2,)</f>
        <v>0</v>
      </c>
      <c r="AW140" s="179">
        <f ca="1">IF(ISNUMBER(MATCH(DATEVALUE($A140),'recurring1_based on steps'!AW$1:AW$400,0)),AW$2,)</f>
        <v>0</v>
      </c>
      <c r="AX140" s="179">
        <f ca="1">IF(ISNUMBER(MATCH(DATEVALUE($A140),'recurring1_based on steps'!AX$1:AX$400,0)),AX$2,)</f>
        <v>0</v>
      </c>
      <c r="AY140" s="179">
        <f ca="1">IF(ISNUMBER(MATCH(DATEVALUE($A140),'recurring1_based on steps'!AY$1:AY$400,0)),AY$2,)</f>
        <v>0</v>
      </c>
    </row>
    <row r="141" spans="1:51" x14ac:dyDescent="0.2">
      <c r="A141" s="32" t="str">
        <f t="shared" ca="1" si="2"/>
        <v>2025-08-14</v>
      </c>
      <c r="B141" s="179">
        <f ca="1">IF(ISNUMBER(MATCH(DATEVALUE($A141),'recurring1_based on steps'!B$1:B$400,0)),B$2,)</f>
        <v>0</v>
      </c>
      <c r="C141" s="179">
        <f ca="1">IF(ISNUMBER(MATCH(DATEVALUE($A141),'recurring1_based on steps'!C$1:C$400,0)),C$2,)</f>
        <v>0</v>
      </c>
      <c r="D141" s="179">
        <f ca="1">IF(ISNUMBER(MATCH(DATEVALUE($A141),'recurring1_based on steps'!D$1:D$400,0)),D$2,)</f>
        <v>0</v>
      </c>
      <c r="E141" s="179">
        <f ca="1">IF(ISNUMBER(MATCH(DATEVALUE($A141),'recurring1_based on steps'!E$1:E$400,0)),E$2,)</f>
        <v>0</v>
      </c>
      <c r="F141" s="179">
        <f ca="1">IF(ISNUMBER(MATCH(DATEVALUE($A141),'recurring1_based on steps'!F$1:F$400,0)),F$2,)</f>
        <v>0</v>
      </c>
      <c r="G141" s="179">
        <f ca="1">IF(ISNUMBER(MATCH(DATEVALUE($A141),'recurring1_based on steps'!G$1:G$400,0)),G$2,)</f>
        <v>0</v>
      </c>
      <c r="H141" s="179">
        <f ca="1">IF(ISNUMBER(MATCH(DATEVALUE($A141),'recurring1_based on steps'!H$1:H$400,0)),H$2,)</f>
        <v>0</v>
      </c>
      <c r="I141" s="179">
        <f ca="1">IF(ISNUMBER(MATCH(DATEVALUE($A141),'recurring1_based on steps'!I$1:I$400,0)),I$2,)</f>
        <v>0</v>
      </c>
      <c r="J141" s="179">
        <f ca="1">IF(ISNUMBER(MATCH(DATEVALUE($A141),'recurring1_based on steps'!J$1:J$400,0)),J$2,)</f>
        <v>0</v>
      </c>
      <c r="K141" s="179">
        <f ca="1">IF(ISNUMBER(MATCH(DATEVALUE($A141),'recurring1_based on steps'!K$1:K$400,0)),K$2,)</f>
        <v>0</v>
      </c>
      <c r="L141" s="179">
        <f ca="1">IF(ISNUMBER(MATCH(DATEVALUE($A141),'recurring1_based on steps'!L$1:L$400,0)),L$2,)</f>
        <v>0</v>
      </c>
      <c r="M141" s="179">
        <f ca="1">IF(ISNUMBER(MATCH(DATEVALUE($A141),'recurring1_based on steps'!M$1:M$400,0)),M$2,)</f>
        <v>0</v>
      </c>
      <c r="N141" s="179">
        <f ca="1">IF(ISNUMBER(MATCH(DATEVALUE($A141),'recurring1_based on steps'!N$1:N$400,0)),N$2,)</f>
        <v>0</v>
      </c>
      <c r="O141" s="179">
        <f ca="1">IF(ISNUMBER(MATCH(DATEVALUE($A141),'recurring1_based on steps'!O$1:O$400,0)),O$2,)</f>
        <v>0</v>
      </c>
      <c r="P141" s="179">
        <f ca="1">IF(ISNUMBER(MATCH(DATEVALUE($A141),'recurring1_based on steps'!P$1:P$400,0)),P$2,)</f>
        <v>0</v>
      </c>
      <c r="Q141" s="179">
        <f ca="1">IF(ISNUMBER(MATCH(DATEVALUE($A141),'recurring1_based on steps'!Q$1:Q$400,0)),Q$2,)</f>
        <v>0</v>
      </c>
      <c r="R141" s="179">
        <f ca="1">IF(ISNUMBER(MATCH(DATEVALUE($A141),'recurring1_based on steps'!R$1:R$400,0)),R$2,)</f>
        <v>0</v>
      </c>
      <c r="S141" s="179">
        <f ca="1">IF(ISNUMBER(MATCH(DATEVALUE($A141),'recurring1_based on steps'!S$1:S$400,0)),S$2,)</f>
        <v>0</v>
      </c>
      <c r="T141" s="179">
        <f ca="1">IF(ISNUMBER(MATCH(DATEVALUE($A141),'recurring1_based on steps'!T$1:T$400,0)),T$2,)</f>
        <v>0</v>
      </c>
      <c r="U141" s="179">
        <f ca="1">IF(ISNUMBER(MATCH(DATEVALUE($A141),'recurring1_based on steps'!U$1:U$400,0)),U$2,)</f>
        <v>0</v>
      </c>
      <c r="V141" s="179">
        <f ca="1">IF(ISNUMBER(MATCH(DATEVALUE($A141),'recurring1_based on steps'!V$1:V$400,0)),V$2,)</f>
        <v>0</v>
      </c>
      <c r="W141" s="179">
        <f ca="1">IF(ISNUMBER(MATCH(DATEVALUE($A141),'recurring1_based on steps'!W$1:W$400,0)),W$2,)</f>
        <v>0</v>
      </c>
      <c r="X141" s="179">
        <f ca="1">IF(ISNUMBER(MATCH(DATEVALUE($A141),'recurring1_based on steps'!X$1:X$400,0)),X$2,)</f>
        <v>0</v>
      </c>
      <c r="Y141" s="179">
        <f ca="1">IF(ISNUMBER(MATCH(DATEVALUE($A141),'recurring1_based on steps'!Y$1:Y$400,0)),Y$2,)</f>
        <v>0</v>
      </c>
      <c r="Z141" s="179">
        <f ca="1">IF(ISNUMBER(MATCH(DATEVALUE($A141),'recurring1_based on steps'!Z$1:Z$400,0)),Z$2,)</f>
        <v>0</v>
      </c>
      <c r="AA141" s="179">
        <f ca="1">IF(ISNUMBER(MATCH(DATEVALUE($A141),'recurring1_based on steps'!AA$1:AA$400,0)),AA$2,)</f>
        <v>0</v>
      </c>
      <c r="AB141" s="179">
        <f ca="1">IF(ISNUMBER(MATCH(DATEVALUE($A141),'recurring1_based on steps'!AB$1:AB$400,0)),AB$2,)</f>
        <v>0</v>
      </c>
      <c r="AC141" s="179">
        <f ca="1">IF(ISNUMBER(MATCH(DATEVALUE($A141),'recurring1_based on steps'!AC$1:AC$400,0)),AC$2,)</f>
        <v>0</v>
      </c>
      <c r="AD141" s="179">
        <f ca="1">IF(ISNUMBER(MATCH(DATEVALUE($A141),'recurring1_based on steps'!AD$1:AD$400,0)),AD$2,)</f>
        <v>0</v>
      </c>
      <c r="AE141" s="179">
        <f ca="1">IF(ISNUMBER(MATCH(DATEVALUE($A141),'recurring1_based on steps'!AE$1:AE$400,0)),AE$2,)</f>
        <v>0</v>
      </c>
      <c r="AF141" s="179">
        <f ca="1">IF(ISNUMBER(MATCH(DATEVALUE($A141),'recurring1_based on steps'!AF$1:AF$400,0)),AF$2,)</f>
        <v>0</v>
      </c>
      <c r="AG141" s="179">
        <f ca="1">IF(ISNUMBER(MATCH(DATEVALUE($A141),'recurring1_based on steps'!AG$1:AG$400,0)),AG$2,)</f>
        <v>0</v>
      </c>
      <c r="AH141" s="179">
        <f ca="1">IF(ISNUMBER(MATCH(DATEVALUE($A141),'recurring1_based on steps'!AH$1:AH$400,0)),AH$2,)</f>
        <v>0</v>
      </c>
      <c r="AI141" s="179">
        <f ca="1">IF(ISNUMBER(MATCH(DATEVALUE($A141),'recurring1_based on steps'!AI$1:AI$400,0)),AI$2,)</f>
        <v>0</v>
      </c>
      <c r="AJ141" s="179">
        <f ca="1">IF(ISNUMBER(MATCH(DATEVALUE($A141),'recurring1_based on steps'!AJ$1:AJ$400,0)),AJ$2,)</f>
        <v>0</v>
      </c>
      <c r="AK141" s="179">
        <f ca="1">IF(ISNUMBER(MATCH(DATEVALUE($A141),'recurring1_based on steps'!AK$1:AK$400,0)),AK$2,)</f>
        <v>0</v>
      </c>
      <c r="AL141" s="179">
        <f ca="1">IF(ISNUMBER(MATCH(DATEVALUE($A141),'recurring1_based on steps'!AL$1:AL$400,0)),AL$2,)</f>
        <v>0</v>
      </c>
      <c r="AM141" s="179">
        <f ca="1">IF(ISNUMBER(MATCH(DATEVALUE($A141),'recurring1_based on steps'!AM$1:AM$400,0)),AM$2,)</f>
        <v>0</v>
      </c>
      <c r="AN141" s="179">
        <f ca="1">IF(ISNUMBER(MATCH(DATEVALUE($A141),'recurring1_based on steps'!AN$1:AN$400,0)),AN$2,)</f>
        <v>0</v>
      </c>
      <c r="AO141" s="179">
        <f ca="1">IF(ISNUMBER(MATCH(DATEVALUE($A141),'recurring1_based on steps'!AO$1:AO$400,0)),AO$2,)</f>
        <v>0</v>
      </c>
      <c r="AP141" s="179">
        <f ca="1">IF(ISNUMBER(MATCH(DATEVALUE($A141),'recurring1_based on steps'!AP$1:AP$400,0)),AP$2,)</f>
        <v>0</v>
      </c>
      <c r="AQ141" s="179">
        <f ca="1">IF(ISNUMBER(MATCH(DATEVALUE($A141),'recurring1_based on steps'!AQ$1:AQ$400,0)),AQ$2,)</f>
        <v>0</v>
      </c>
      <c r="AR141" s="179">
        <f ca="1">IF(ISNUMBER(MATCH(DATEVALUE($A141),'recurring1_based on steps'!AR$1:AR$400,0)),AR$2,)</f>
        <v>0</v>
      </c>
      <c r="AS141" s="179">
        <f ca="1">IF(ISNUMBER(MATCH(DATEVALUE($A141),'recurring1_based on steps'!AS$1:AS$400,0)),AS$2,)</f>
        <v>0</v>
      </c>
      <c r="AT141" s="179">
        <f ca="1">IF(ISNUMBER(MATCH(DATEVALUE($A141),'recurring1_based on steps'!AT$1:AT$400,0)),AT$2,)</f>
        <v>0</v>
      </c>
      <c r="AU141" s="179">
        <f ca="1">IF(ISNUMBER(MATCH(DATEVALUE($A141),'recurring1_based on steps'!AU$1:AU$400,0)),AU$2,)</f>
        <v>0</v>
      </c>
      <c r="AV141" s="179">
        <f ca="1">IF(ISNUMBER(MATCH(DATEVALUE($A141),'recurring1_based on steps'!AV$1:AV$400,0)),AV$2,)</f>
        <v>0</v>
      </c>
      <c r="AW141" s="179">
        <f ca="1">IF(ISNUMBER(MATCH(DATEVALUE($A141),'recurring1_based on steps'!AW$1:AW$400,0)),AW$2,)</f>
        <v>0</v>
      </c>
      <c r="AX141" s="179">
        <f ca="1">IF(ISNUMBER(MATCH(DATEVALUE($A141),'recurring1_based on steps'!AX$1:AX$400,0)),AX$2,)</f>
        <v>0</v>
      </c>
      <c r="AY141" s="179">
        <f ca="1">IF(ISNUMBER(MATCH(DATEVALUE($A141),'recurring1_based on steps'!AY$1:AY$400,0)),AY$2,)</f>
        <v>0</v>
      </c>
    </row>
    <row r="142" spans="1:51" x14ac:dyDescent="0.2">
      <c r="A142" s="32" t="str">
        <f t="shared" ca="1" si="2"/>
        <v>2025-08-15</v>
      </c>
      <c r="B142" s="179">
        <f ca="1">IF(ISNUMBER(MATCH(DATEVALUE($A142),'recurring1_based on steps'!B$1:B$400,0)),B$2,)</f>
        <v>0</v>
      </c>
      <c r="C142" s="179">
        <f ca="1">IF(ISNUMBER(MATCH(DATEVALUE($A142),'recurring1_based on steps'!C$1:C$400,0)),C$2,)</f>
        <v>0</v>
      </c>
      <c r="D142" s="179">
        <f ca="1">IF(ISNUMBER(MATCH(DATEVALUE($A142),'recurring1_based on steps'!D$1:D$400,0)),D$2,)</f>
        <v>0</v>
      </c>
      <c r="E142" s="179">
        <f ca="1">IF(ISNUMBER(MATCH(DATEVALUE($A142),'recurring1_based on steps'!E$1:E$400,0)),E$2,)</f>
        <v>0</v>
      </c>
      <c r="F142" s="179">
        <f ca="1">IF(ISNUMBER(MATCH(DATEVALUE($A142),'recurring1_based on steps'!F$1:F$400,0)),F$2,)</f>
        <v>0</v>
      </c>
      <c r="G142" s="179">
        <f ca="1">IF(ISNUMBER(MATCH(DATEVALUE($A142),'recurring1_based on steps'!G$1:G$400,0)),G$2,)</f>
        <v>0</v>
      </c>
      <c r="H142" s="179">
        <f ca="1">IF(ISNUMBER(MATCH(DATEVALUE($A142),'recurring1_based on steps'!H$1:H$400,0)),H$2,)</f>
        <v>0</v>
      </c>
      <c r="I142" s="179">
        <f ca="1">IF(ISNUMBER(MATCH(DATEVALUE($A142),'recurring1_based on steps'!I$1:I$400,0)),I$2,)</f>
        <v>0</v>
      </c>
      <c r="J142" s="179">
        <f ca="1">IF(ISNUMBER(MATCH(DATEVALUE($A142),'recurring1_based on steps'!J$1:J$400,0)),J$2,)</f>
        <v>0</v>
      </c>
      <c r="K142" s="179">
        <f ca="1">IF(ISNUMBER(MATCH(DATEVALUE($A142),'recurring1_based on steps'!K$1:K$400,0)),K$2,)</f>
        <v>0</v>
      </c>
      <c r="L142" s="179">
        <f ca="1">IF(ISNUMBER(MATCH(DATEVALUE($A142),'recurring1_based on steps'!L$1:L$400,0)),L$2,)</f>
        <v>0</v>
      </c>
      <c r="M142" s="179">
        <f ca="1">IF(ISNUMBER(MATCH(DATEVALUE($A142),'recurring1_based on steps'!M$1:M$400,0)),M$2,)</f>
        <v>0</v>
      </c>
      <c r="N142" s="179">
        <f ca="1">IF(ISNUMBER(MATCH(DATEVALUE($A142),'recurring1_based on steps'!N$1:N$400,0)),N$2,)</f>
        <v>0</v>
      </c>
      <c r="O142" s="179">
        <f ca="1">IF(ISNUMBER(MATCH(DATEVALUE($A142),'recurring1_based on steps'!O$1:O$400,0)),O$2,)</f>
        <v>0</v>
      </c>
      <c r="P142" s="179">
        <f ca="1">IF(ISNUMBER(MATCH(DATEVALUE($A142),'recurring1_based on steps'!P$1:P$400,0)),P$2,)</f>
        <v>0</v>
      </c>
      <c r="Q142" s="179">
        <f ca="1">IF(ISNUMBER(MATCH(DATEVALUE($A142),'recurring1_based on steps'!Q$1:Q$400,0)),Q$2,)</f>
        <v>0</v>
      </c>
      <c r="R142" s="179">
        <f ca="1">IF(ISNUMBER(MATCH(DATEVALUE($A142),'recurring1_based on steps'!R$1:R$400,0)),R$2,)</f>
        <v>0</v>
      </c>
      <c r="S142" s="179">
        <f ca="1">IF(ISNUMBER(MATCH(DATEVALUE($A142),'recurring1_based on steps'!S$1:S$400,0)),S$2,)</f>
        <v>0</v>
      </c>
      <c r="T142" s="179">
        <f ca="1">IF(ISNUMBER(MATCH(DATEVALUE($A142),'recurring1_based on steps'!T$1:T$400,0)),T$2,)</f>
        <v>0</v>
      </c>
      <c r="U142" s="179">
        <f ca="1">IF(ISNUMBER(MATCH(DATEVALUE($A142),'recurring1_based on steps'!U$1:U$400,0)),U$2,)</f>
        <v>0</v>
      </c>
      <c r="V142" s="179">
        <f ca="1">IF(ISNUMBER(MATCH(DATEVALUE($A142),'recurring1_based on steps'!V$1:V$400,0)),V$2,)</f>
        <v>0</v>
      </c>
      <c r="W142" s="179">
        <f ca="1">IF(ISNUMBER(MATCH(DATEVALUE($A142),'recurring1_based on steps'!W$1:W$400,0)),W$2,)</f>
        <v>0</v>
      </c>
      <c r="X142" s="179">
        <f ca="1">IF(ISNUMBER(MATCH(DATEVALUE($A142),'recurring1_based on steps'!X$1:X$400,0)),X$2,)</f>
        <v>0</v>
      </c>
      <c r="Y142" s="179">
        <f ca="1">IF(ISNUMBER(MATCH(DATEVALUE($A142),'recurring1_based on steps'!Y$1:Y$400,0)),Y$2,)</f>
        <v>0</v>
      </c>
      <c r="Z142" s="179">
        <f ca="1">IF(ISNUMBER(MATCH(DATEVALUE($A142),'recurring1_based on steps'!Z$1:Z$400,0)),Z$2,)</f>
        <v>0</v>
      </c>
      <c r="AA142" s="179">
        <f ca="1">IF(ISNUMBER(MATCH(DATEVALUE($A142),'recurring1_based on steps'!AA$1:AA$400,0)),AA$2,)</f>
        <v>0</v>
      </c>
      <c r="AB142" s="179">
        <f ca="1">IF(ISNUMBER(MATCH(DATEVALUE($A142),'recurring1_based on steps'!AB$1:AB$400,0)),AB$2,)</f>
        <v>0</v>
      </c>
      <c r="AC142" s="179">
        <f ca="1">IF(ISNUMBER(MATCH(DATEVALUE($A142),'recurring1_based on steps'!AC$1:AC$400,0)),AC$2,)</f>
        <v>0</v>
      </c>
      <c r="AD142" s="179">
        <f ca="1">IF(ISNUMBER(MATCH(DATEVALUE($A142),'recurring1_based on steps'!AD$1:AD$400,0)),AD$2,)</f>
        <v>0</v>
      </c>
      <c r="AE142" s="179">
        <f ca="1">IF(ISNUMBER(MATCH(DATEVALUE($A142),'recurring1_based on steps'!AE$1:AE$400,0)),AE$2,)</f>
        <v>0</v>
      </c>
      <c r="AF142" s="179">
        <f ca="1">IF(ISNUMBER(MATCH(DATEVALUE($A142),'recurring1_based on steps'!AF$1:AF$400,0)),AF$2,)</f>
        <v>0</v>
      </c>
      <c r="AG142" s="179">
        <f ca="1">IF(ISNUMBER(MATCH(DATEVALUE($A142),'recurring1_based on steps'!AG$1:AG$400,0)),AG$2,)</f>
        <v>0</v>
      </c>
      <c r="AH142" s="179">
        <f ca="1">IF(ISNUMBER(MATCH(DATEVALUE($A142),'recurring1_based on steps'!AH$1:AH$400,0)),AH$2,)</f>
        <v>0</v>
      </c>
      <c r="AI142" s="179">
        <f ca="1">IF(ISNUMBER(MATCH(DATEVALUE($A142),'recurring1_based on steps'!AI$1:AI$400,0)),AI$2,)</f>
        <v>0</v>
      </c>
      <c r="AJ142" s="179">
        <f ca="1">IF(ISNUMBER(MATCH(DATEVALUE($A142),'recurring1_based on steps'!AJ$1:AJ$400,0)),AJ$2,)</f>
        <v>0</v>
      </c>
      <c r="AK142" s="179">
        <f ca="1">IF(ISNUMBER(MATCH(DATEVALUE($A142),'recurring1_based on steps'!AK$1:AK$400,0)),AK$2,)</f>
        <v>0</v>
      </c>
      <c r="AL142" s="179">
        <f ca="1">IF(ISNUMBER(MATCH(DATEVALUE($A142),'recurring1_based on steps'!AL$1:AL$400,0)),AL$2,)</f>
        <v>0</v>
      </c>
      <c r="AM142" s="179">
        <f ca="1">IF(ISNUMBER(MATCH(DATEVALUE($A142),'recurring1_based on steps'!AM$1:AM$400,0)),AM$2,)</f>
        <v>0</v>
      </c>
      <c r="AN142" s="179">
        <f ca="1">IF(ISNUMBER(MATCH(DATEVALUE($A142),'recurring1_based on steps'!AN$1:AN$400,0)),AN$2,)</f>
        <v>0</v>
      </c>
      <c r="AO142" s="179">
        <f ca="1">IF(ISNUMBER(MATCH(DATEVALUE($A142),'recurring1_based on steps'!AO$1:AO$400,0)),AO$2,)</f>
        <v>0</v>
      </c>
      <c r="AP142" s="179">
        <f ca="1">IF(ISNUMBER(MATCH(DATEVALUE($A142),'recurring1_based on steps'!AP$1:AP$400,0)),AP$2,)</f>
        <v>0</v>
      </c>
      <c r="AQ142" s="179">
        <f ca="1">IF(ISNUMBER(MATCH(DATEVALUE($A142),'recurring1_based on steps'!AQ$1:AQ$400,0)),AQ$2,)</f>
        <v>0</v>
      </c>
      <c r="AR142" s="179">
        <f ca="1">IF(ISNUMBER(MATCH(DATEVALUE($A142),'recurring1_based on steps'!AR$1:AR$400,0)),AR$2,)</f>
        <v>0</v>
      </c>
      <c r="AS142" s="179">
        <f ca="1">IF(ISNUMBER(MATCH(DATEVALUE($A142),'recurring1_based on steps'!AS$1:AS$400,0)),AS$2,)</f>
        <v>0</v>
      </c>
      <c r="AT142" s="179">
        <f ca="1">IF(ISNUMBER(MATCH(DATEVALUE($A142),'recurring1_based on steps'!AT$1:AT$400,0)),AT$2,)</f>
        <v>0</v>
      </c>
      <c r="AU142" s="179">
        <f ca="1">IF(ISNUMBER(MATCH(DATEVALUE($A142),'recurring1_based on steps'!AU$1:AU$400,0)),AU$2,)</f>
        <v>0</v>
      </c>
      <c r="AV142" s="179">
        <f ca="1">IF(ISNUMBER(MATCH(DATEVALUE($A142),'recurring1_based on steps'!AV$1:AV$400,0)),AV$2,)</f>
        <v>0</v>
      </c>
      <c r="AW142" s="179">
        <f ca="1">IF(ISNUMBER(MATCH(DATEVALUE($A142),'recurring1_based on steps'!AW$1:AW$400,0)),AW$2,)</f>
        <v>0</v>
      </c>
      <c r="AX142" s="179">
        <f ca="1">IF(ISNUMBER(MATCH(DATEVALUE($A142),'recurring1_based on steps'!AX$1:AX$400,0)),AX$2,)</f>
        <v>0</v>
      </c>
      <c r="AY142" s="179">
        <f ca="1">IF(ISNUMBER(MATCH(DATEVALUE($A142),'recurring1_based on steps'!AY$1:AY$400,0)),AY$2,)</f>
        <v>0</v>
      </c>
    </row>
    <row r="143" spans="1:51" x14ac:dyDescent="0.2">
      <c r="A143" s="32" t="str">
        <f t="shared" ca="1" si="2"/>
        <v>2025-08-16</v>
      </c>
      <c r="B143" s="179">
        <f ca="1">IF(ISNUMBER(MATCH(DATEVALUE($A143),'recurring1_based on steps'!B$1:B$400,0)),B$2,)</f>
        <v>0</v>
      </c>
      <c r="C143" s="179">
        <f ca="1">IF(ISNUMBER(MATCH(DATEVALUE($A143),'recurring1_based on steps'!C$1:C$400,0)),C$2,)</f>
        <v>0</v>
      </c>
      <c r="D143" s="179">
        <f ca="1">IF(ISNUMBER(MATCH(DATEVALUE($A143),'recurring1_based on steps'!D$1:D$400,0)),D$2,)</f>
        <v>0</v>
      </c>
      <c r="E143" s="179">
        <f ca="1">IF(ISNUMBER(MATCH(DATEVALUE($A143),'recurring1_based on steps'!E$1:E$400,0)),E$2,)</f>
        <v>0</v>
      </c>
      <c r="F143" s="179">
        <f ca="1">IF(ISNUMBER(MATCH(DATEVALUE($A143),'recurring1_based on steps'!F$1:F$400,0)),F$2,)</f>
        <v>0</v>
      </c>
      <c r="G143" s="179">
        <f ca="1">IF(ISNUMBER(MATCH(DATEVALUE($A143),'recurring1_based on steps'!G$1:G$400,0)),G$2,)</f>
        <v>0</v>
      </c>
      <c r="H143" s="179">
        <f ca="1">IF(ISNUMBER(MATCH(DATEVALUE($A143),'recurring1_based on steps'!H$1:H$400,0)),H$2,)</f>
        <v>0</v>
      </c>
      <c r="I143" s="179">
        <f ca="1">IF(ISNUMBER(MATCH(DATEVALUE($A143),'recurring1_based on steps'!I$1:I$400,0)),I$2,)</f>
        <v>0</v>
      </c>
      <c r="J143" s="179">
        <f ca="1">IF(ISNUMBER(MATCH(DATEVALUE($A143),'recurring1_based on steps'!J$1:J$400,0)),J$2,)</f>
        <v>0</v>
      </c>
      <c r="K143" s="179">
        <f ca="1">IF(ISNUMBER(MATCH(DATEVALUE($A143),'recurring1_based on steps'!K$1:K$400,0)),K$2,)</f>
        <v>0</v>
      </c>
      <c r="L143" s="179">
        <f ca="1">IF(ISNUMBER(MATCH(DATEVALUE($A143),'recurring1_based on steps'!L$1:L$400,0)),L$2,)</f>
        <v>0</v>
      </c>
      <c r="M143" s="179">
        <f ca="1">IF(ISNUMBER(MATCH(DATEVALUE($A143),'recurring1_based on steps'!M$1:M$400,0)),M$2,)</f>
        <v>0</v>
      </c>
      <c r="N143" s="179">
        <f ca="1">IF(ISNUMBER(MATCH(DATEVALUE($A143),'recurring1_based on steps'!N$1:N$400,0)),N$2,)</f>
        <v>0</v>
      </c>
      <c r="O143" s="179">
        <f ca="1">IF(ISNUMBER(MATCH(DATEVALUE($A143),'recurring1_based on steps'!O$1:O$400,0)),O$2,)</f>
        <v>0</v>
      </c>
      <c r="P143" s="179">
        <f ca="1">IF(ISNUMBER(MATCH(DATEVALUE($A143),'recurring1_based on steps'!P$1:P$400,0)),P$2,)</f>
        <v>0</v>
      </c>
      <c r="Q143" s="179">
        <f ca="1">IF(ISNUMBER(MATCH(DATEVALUE($A143),'recurring1_based on steps'!Q$1:Q$400,0)),Q$2,)</f>
        <v>0</v>
      </c>
      <c r="R143" s="179">
        <f ca="1">IF(ISNUMBER(MATCH(DATEVALUE($A143),'recurring1_based on steps'!R$1:R$400,0)),R$2,)</f>
        <v>0</v>
      </c>
      <c r="S143" s="179">
        <f ca="1">IF(ISNUMBER(MATCH(DATEVALUE($A143),'recurring1_based on steps'!S$1:S$400,0)),S$2,)</f>
        <v>0</v>
      </c>
      <c r="T143" s="179">
        <f ca="1">IF(ISNUMBER(MATCH(DATEVALUE($A143),'recurring1_based on steps'!T$1:T$400,0)),T$2,)</f>
        <v>0</v>
      </c>
      <c r="U143" s="179">
        <f ca="1">IF(ISNUMBER(MATCH(DATEVALUE($A143),'recurring1_based on steps'!U$1:U$400,0)),U$2,)</f>
        <v>0</v>
      </c>
      <c r="V143" s="179">
        <f ca="1">IF(ISNUMBER(MATCH(DATEVALUE($A143),'recurring1_based on steps'!V$1:V$400,0)),V$2,)</f>
        <v>0</v>
      </c>
      <c r="W143" s="179">
        <f ca="1">IF(ISNUMBER(MATCH(DATEVALUE($A143),'recurring1_based on steps'!W$1:W$400,0)),W$2,)</f>
        <v>0</v>
      </c>
      <c r="X143" s="179">
        <f ca="1">IF(ISNUMBER(MATCH(DATEVALUE($A143),'recurring1_based on steps'!X$1:X$400,0)),X$2,)</f>
        <v>0</v>
      </c>
      <c r="Y143" s="179">
        <f ca="1">IF(ISNUMBER(MATCH(DATEVALUE($A143),'recurring1_based on steps'!Y$1:Y$400,0)),Y$2,)</f>
        <v>0</v>
      </c>
      <c r="Z143" s="179">
        <f ca="1">IF(ISNUMBER(MATCH(DATEVALUE($A143),'recurring1_based on steps'!Z$1:Z$400,0)),Z$2,)</f>
        <v>0</v>
      </c>
      <c r="AA143" s="179">
        <f ca="1">IF(ISNUMBER(MATCH(DATEVALUE($A143),'recurring1_based on steps'!AA$1:AA$400,0)),AA$2,)</f>
        <v>0</v>
      </c>
      <c r="AB143" s="179">
        <f ca="1">IF(ISNUMBER(MATCH(DATEVALUE($A143),'recurring1_based on steps'!AB$1:AB$400,0)),AB$2,)</f>
        <v>0</v>
      </c>
      <c r="AC143" s="179">
        <f ca="1">IF(ISNUMBER(MATCH(DATEVALUE($A143),'recurring1_based on steps'!AC$1:AC$400,0)),AC$2,)</f>
        <v>0</v>
      </c>
      <c r="AD143" s="179">
        <f ca="1">IF(ISNUMBER(MATCH(DATEVALUE($A143),'recurring1_based on steps'!AD$1:AD$400,0)),AD$2,)</f>
        <v>0</v>
      </c>
      <c r="AE143" s="179">
        <f ca="1">IF(ISNUMBER(MATCH(DATEVALUE($A143),'recurring1_based on steps'!AE$1:AE$400,0)),AE$2,)</f>
        <v>0</v>
      </c>
      <c r="AF143" s="179">
        <f ca="1">IF(ISNUMBER(MATCH(DATEVALUE($A143),'recurring1_based on steps'!AF$1:AF$400,0)),AF$2,)</f>
        <v>0</v>
      </c>
      <c r="AG143" s="179">
        <f ca="1">IF(ISNUMBER(MATCH(DATEVALUE($A143),'recurring1_based on steps'!AG$1:AG$400,0)),AG$2,)</f>
        <v>0</v>
      </c>
      <c r="AH143" s="179">
        <f ca="1">IF(ISNUMBER(MATCH(DATEVALUE($A143),'recurring1_based on steps'!AH$1:AH$400,0)),AH$2,)</f>
        <v>0</v>
      </c>
      <c r="AI143" s="179">
        <f ca="1">IF(ISNUMBER(MATCH(DATEVALUE($A143),'recurring1_based on steps'!AI$1:AI$400,0)),AI$2,)</f>
        <v>0</v>
      </c>
      <c r="AJ143" s="179">
        <f ca="1">IF(ISNUMBER(MATCH(DATEVALUE($A143),'recurring1_based on steps'!AJ$1:AJ$400,0)),AJ$2,)</f>
        <v>0</v>
      </c>
      <c r="AK143" s="179">
        <f ca="1">IF(ISNUMBER(MATCH(DATEVALUE($A143),'recurring1_based on steps'!AK$1:AK$400,0)),AK$2,)</f>
        <v>0</v>
      </c>
      <c r="AL143" s="179">
        <f ca="1">IF(ISNUMBER(MATCH(DATEVALUE($A143),'recurring1_based on steps'!AL$1:AL$400,0)),AL$2,)</f>
        <v>0</v>
      </c>
      <c r="AM143" s="179">
        <f ca="1">IF(ISNUMBER(MATCH(DATEVALUE($A143),'recurring1_based on steps'!AM$1:AM$400,0)),AM$2,)</f>
        <v>0</v>
      </c>
      <c r="AN143" s="179">
        <f ca="1">IF(ISNUMBER(MATCH(DATEVALUE($A143),'recurring1_based on steps'!AN$1:AN$400,0)),AN$2,)</f>
        <v>0</v>
      </c>
      <c r="AO143" s="179">
        <f ca="1">IF(ISNUMBER(MATCH(DATEVALUE($A143),'recurring1_based on steps'!AO$1:AO$400,0)),AO$2,)</f>
        <v>0</v>
      </c>
      <c r="AP143" s="179">
        <f ca="1">IF(ISNUMBER(MATCH(DATEVALUE($A143),'recurring1_based on steps'!AP$1:AP$400,0)),AP$2,)</f>
        <v>0</v>
      </c>
      <c r="AQ143" s="179">
        <f ca="1">IF(ISNUMBER(MATCH(DATEVALUE($A143),'recurring1_based on steps'!AQ$1:AQ$400,0)),AQ$2,)</f>
        <v>0</v>
      </c>
      <c r="AR143" s="179">
        <f ca="1">IF(ISNUMBER(MATCH(DATEVALUE($A143),'recurring1_based on steps'!AR$1:AR$400,0)),AR$2,)</f>
        <v>0</v>
      </c>
      <c r="AS143" s="179">
        <f ca="1">IF(ISNUMBER(MATCH(DATEVALUE($A143),'recurring1_based on steps'!AS$1:AS$400,0)),AS$2,)</f>
        <v>0</v>
      </c>
      <c r="AT143" s="179">
        <f ca="1">IF(ISNUMBER(MATCH(DATEVALUE($A143),'recurring1_based on steps'!AT$1:AT$400,0)),AT$2,)</f>
        <v>0</v>
      </c>
      <c r="AU143" s="179">
        <f ca="1">IF(ISNUMBER(MATCH(DATEVALUE($A143),'recurring1_based on steps'!AU$1:AU$400,0)),AU$2,)</f>
        <v>0</v>
      </c>
      <c r="AV143" s="179">
        <f ca="1">IF(ISNUMBER(MATCH(DATEVALUE($A143),'recurring1_based on steps'!AV$1:AV$400,0)),AV$2,)</f>
        <v>0</v>
      </c>
      <c r="AW143" s="179">
        <f ca="1">IF(ISNUMBER(MATCH(DATEVALUE($A143),'recurring1_based on steps'!AW$1:AW$400,0)),AW$2,)</f>
        <v>0</v>
      </c>
      <c r="AX143" s="179">
        <f ca="1">IF(ISNUMBER(MATCH(DATEVALUE($A143),'recurring1_based on steps'!AX$1:AX$400,0)),AX$2,)</f>
        <v>0</v>
      </c>
      <c r="AY143" s="179">
        <f ca="1">IF(ISNUMBER(MATCH(DATEVALUE($A143),'recurring1_based on steps'!AY$1:AY$400,0)),AY$2,)</f>
        <v>0</v>
      </c>
    </row>
    <row r="144" spans="1:51" x14ac:dyDescent="0.2">
      <c r="A144" s="32" t="str">
        <f t="shared" ca="1" si="2"/>
        <v>2025-08-17</v>
      </c>
      <c r="B144" s="179">
        <f ca="1">IF(ISNUMBER(MATCH(DATEVALUE($A144),'recurring1_based on steps'!B$1:B$400,0)),B$2,)</f>
        <v>0</v>
      </c>
      <c r="C144" s="179">
        <f ca="1">IF(ISNUMBER(MATCH(DATEVALUE($A144),'recurring1_based on steps'!C$1:C$400,0)),C$2,)</f>
        <v>0</v>
      </c>
      <c r="D144" s="179">
        <f ca="1">IF(ISNUMBER(MATCH(DATEVALUE($A144),'recurring1_based on steps'!D$1:D$400,0)),D$2,)</f>
        <v>0</v>
      </c>
      <c r="E144" s="179">
        <f ca="1">IF(ISNUMBER(MATCH(DATEVALUE($A144),'recurring1_based on steps'!E$1:E$400,0)),E$2,)</f>
        <v>0</v>
      </c>
      <c r="F144" s="179">
        <f ca="1">IF(ISNUMBER(MATCH(DATEVALUE($A144),'recurring1_based on steps'!F$1:F$400,0)),F$2,)</f>
        <v>0</v>
      </c>
      <c r="G144" s="179">
        <f ca="1">IF(ISNUMBER(MATCH(DATEVALUE($A144),'recurring1_based on steps'!G$1:G$400,0)),G$2,)</f>
        <v>0</v>
      </c>
      <c r="H144" s="179">
        <f ca="1">IF(ISNUMBER(MATCH(DATEVALUE($A144),'recurring1_based on steps'!H$1:H$400,0)),H$2,)</f>
        <v>0</v>
      </c>
      <c r="I144" s="179">
        <f ca="1">IF(ISNUMBER(MATCH(DATEVALUE($A144),'recurring1_based on steps'!I$1:I$400,0)),I$2,)</f>
        <v>0</v>
      </c>
      <c r="J144" s="179">
        <f ca="1">IF(ISNUMBER(MATCH(DATEVALUE($A144),'recurring1_based on steps'!J$1:J$400,0)),J$2,)</f>
        <v>0</v>
      </c>
      <c r="K144" s="179">
        <f ca="1">IF(ISNUMBER(MATCH(DATEVALUE($A144),'recurring1_based on steps'!K$1:K$400,0)),K$2,)</f>
        <v>0</v>
      </c>
      <c r="L144" s="179">
        <f ca="1">IF(ISNUMBER(MATCH(DATEVALUE($A144),'recurring1_based on steps'!L$1:L$400,0)),L$2,)</f>
        <v>0</v>
      </c>
      <c r="M144" s="179">
        <f ca="1">IF(ISNUMBER(MATCH(DATEVALUE($A144),'recurring1_based on steps'!M$1:M$400,0)),M$2,)</f>
        <v>0</v>
      </c>
      <c r="N144" s="179">
        <f ca="1">IF(ISNUMBER(MATCH(DATEVALUE($A144),'recurring1_based on steps'!N$1:N$400,0)),N$2,)</f>
        <v>0</v>
      </c>
      <c r="O144" s="179">
        <f ca="1">IF(ISNUMBER(MATCH(DATEVALUE($A144),'recurring1_based on steps'!O$1:O$400,0)),O$2,)</f>
        <v>0</v>
      </c>
      <c r="P144" s="179">
        <f ca="1">IF(ISNUMBER(MATCH(DATEVALUE($A144),'recurring1_based on steps'!P$1:P$400,0)),P$2,)</f>
        <v>0</v>
      </c>
      <c r="Q144" s="179">
        <f ca="1">IF(ISNUMBER(MATCH(DATEVALUE($A144),'recurring1_based on steps'!Q$1:Q$400,0)),Q$2,)</f>
        <v>0</v>
      </c>
      <c r="R144" s="179">
        <f ca="1">IF(ISNUMBER(MATCH(DATEVALUE($A144),'recurring1_based on steps'!R$1:R$400,0)),R$2,)</f>
        <v>0</v>
      </c>
      <c r="S144" s="179">
        <f ca="1">IF(ISNUMBER(MATCH(DATEVALUE($A144),'recurring1_based on steps'!S$1:S$400,0)),S$2,)</f>
        <v>0</v>
      </c>
      <c r="T144" s="179">
        <f ca="1">IF(ISNUMBER(MATCH(DATEVALUE($A144),'recurring1_based on steps'!T$1:T$400,0)),T$2,)</f>
        <v>0</v>
      </c>
      <c r="U144" s="179">
        <f ca="1">IF(ISNUMBER(MATCH(DATEVALUE($A144),'recurring1_based on steps'!U$1:U$400,0)),U$2,)</f>
        <v>0</v>
      </c>
      <c r="V144" s="179">
        <f ca="1">IF(ISNUMBER(MATCH(DATEVALUE($A144),'recurring1_based on steps'!V$1:V$400,0)),V$2,)</f>
        <v>0</v>
      </c>
      <c r="W144" s="179">
        <f ca="1">IF(ISNUMBER(MATCH(DATEVALUE($A144),'recurring1_based on steps'!W$1:W$400,0)),W$2,)</f>
        <v>0</v>
      </c>
      <c r="X144" s="179">
        <f ca="1">IF(ISNUMBER(MATCH(DATEVALUE($A144),'recurring1_based on steps'!X$1:X$400,0)),X$2,)</f>
        <v>0</v>
      </c>
      <c r="Y144" s="179">
        <f ca="1">IF(ISNUMBER(MATCH(DATEVALUE($A144),'recurring1_based on steps'!Y$1:Y$400,0)),Y$2,)</f>
        <v>0</v>
      </c>
      <c r="Z144" s="179">
        <f ca="1">IF(ISNUMBER(MATCH(DATEVALUE($A144),'recurring1_based on steps'!Z$1:Z$400,0)),Z$2,)</f>
        <v>0</v>
      </c>
      <c r="AA144" s="179">
        <f ca="1">IF(ISNUMBER(MATCH(DATEVALUE($A144),'recurring1_based on steps'!AA$1:AA$400,0)),AA$2,)</f>
        <v>0</v>
      </c>
      <c r="AB144" s="179">
        <f ca="1">IF(ISNUMBER(MATCH(DATEVALUE($A144),'recurring1_based on steps'!AB$1:AB$400,0)),AB$2,)</f>
        <v>0</v>
      </c>
      <c r="AC144" s="179">
        <f ca="1">IF(ISNUMBER(MATCH(DATEVALUE($A144),'recurring1_based on steps'!AC$1:AC$400,0)),AC$2,)</f>
        <v>0</v>
      </c>
      <c r="AD144" s="179">
        <f ca="1">IF(ISNUMBER(MATCH(DATEVALUE($A144),'recurring1_based on steps'!AD$1:AD$400,0)),AD$2,)</f>
        <v>0</v>
      </c>
      <c r="AE144" s="179">
        <f ca="1">IF(ISNUMBER(MATCH(DATEVALUE($A144),'recurring1_based on steps'!AE$1:AE$400,0)),AE$2,)</f>
        <v>0</v>
      </c>
      <c r="AF144" s="179">
        <f ca="1">IF(ISNUMBER(MATCH(DATEVALUE($A144),'recurring1_based on steps'!AF$1:AF$400,0)),AF$2,)</f>
        <v>0</v>
      </c>
      <c r="AG144" s="179">
        <f ca="1">IF(ISNUMBER(MATCH(DATEVALUE($A144),'recurring1_based on steps'!AG$1:AG$400,0)),AG$2,)</f>
        <v>0</v>
      </c>
      <c r="AH144" s="179">
        <f ca="1">IF(ISNUMBER(MATCH(DATEVALUE($A144),'recurring1_based on steps'!AH$1:AH$400,0)),AH$2,)</f>
        <v>0</v>
      </c>
      <c r="AI144" s="179">
        <f ca="1">IF(ISNUMBER(MATCH(DATEVALUE($A144),'recurring1_based on steps'!AI$1:AI$400,0)),AI$2,)</f>
        <v>0</v>
      </c>
      <c r="AJ144" s="179">
        <f ca="1">IF(ISNUMBER(MATCH(DATEVALUE($A144),'recurring1_based on steps'!AJ$1:AJ$400,0)),AJ$2,)</f>
        <v>0</v>
      </c>
      <c r="AK144" s="179">
        <f ca="1">IF(ISNUMBER(MATCH(DATEVALUE($A144),'recurring1_based on steps'!AK$1:AK$400,0)),AK$2,)</f>
        <v>0</v>
      </c>
      <c r="AL144" s="179">
        <f ca="1">IF(ISNUMBER(MATCH(DATEVALUE($A144),'recurring1_based on steps'!AL$1:AL$400,0)),AL$2,)</f>
        <v>0</v>
      </c>
      <c r="AM144" s="179">
        <f ca="1">IF(ISNUMBER(MATCH(DATEVALUE($A144),'recurring1_based on steps'!AM$1:AM$400,0)),AM$2,)</f>
        <v>0</v>
      </c>
      <c r="AN144" s="179">
        <f ca="1">IF(ISNUMBER(MATCH(DATEVALUE($A144),'recurring1_based on steps'!AN$1:AN$400,0)),AN$2,)</f>
        <v>0</v>
      </c>
      <c r="AO144" s="179">
        <f ca="1">IF(ISNUMBER(MATCH(DATEVALUE($A144),'recurring1_based on steps'!AO$1:AO$400,0)),AO$2,)</f>
        <v>0</v>
      </c>
      <c r="AP144" s="179">
        <f ca="1">IF(ISNUMBER(MATCH(DATEVALUE($A144),'recurring1_based on steps'!AP$1:AP$400,0)),AP$2,)</f>
        <v>0</v>
      </c>
      <c r="AQ144" s="179">
        <f ca="1">IF(ISNUMBER(MATCH(DATEVALUE($A144),'recurring1_based on steps'!AQ$1:AQ$400,0)),AQ$2,)</f>
        <v>0</v>
      </c>
      <c r="AR144" s="179">
        <f ca="1">IF(ISNUMBER(MATCH(DATEVALUE($A144),'recurring1_based on steps'!AR$1:AR$400,0)),AR$2,)</f>
        <v>0</v>
      </c>
      <c r="AS144" s="179">
        <f ca="1">IF(ISNUMBER(MATCH(DATEVALUE($A144),'recurring1_based on steps'!AS$1:AS$400,0)),AS$2,)</f>
        <v>0</v>
      </c>
      <c r="AT144" s="179">
        <f ca="1">IF(ISNUMBER(MATCH(DATEVALUE($A144),'recurring1_based on steps'!AT$1:AT$400,0)),AT$2,)</f>
        <v>0</v>
      </c>
      <c r="AU144" s="179">
        <f ca="1">IF(ISNUMBER(MATCH(DATEVALUE($A144),'recurring1_based on steps'!AU$1:AU$400,0)),AU$2,)</f>
        <v>0</v>
      </c>
      <c r="AV144" s="179">
        <f ca="1">IF(ISNUMBER(MATCH(DATEVALUE($A144),'recurring1_based on steps'!AV$1:AV$400,0)),AV$2,)</f>
        <v>0</v>
      </c>
      <c r="AW144" s="179">
        <f ca="1">IF(ISNUMBER(MATCH(DATEVALUE($A144),'recurring1_based on steps'!AW$1:AW$400,0)),AW$2,)</f>
        <v>0</v>
      </c>
      <c r="AX144" s="179">
        <f ca="1">IF(ISNUMBER(MATCH(DATEVALUE($A144),'recurring1_based on steps'!AX$1:AX$400,0)),AX$2,)</f>
        <v>0</v>
      </c>
      <c r="AY144" s="179">
        <f ca="1">IF(ISNUMBER(MATCH(DATEVALUE($A144),'recurring1_based on steps'!AY$1:AY$400,0)),AY$2,)</f>
        <v>0</v>
      </c>
    </row>
    <row r="145" spans="1:51" x14ac:dyDescent="0.2">
      <c r="A145" s="32" t="str">
        <f t="shared" ca="1" si="2"/>
        <v>2025-08-18</v>
      </c>
      <c r="B145" s="179">
        <f ca="1">IF(ISNUMBER(MATCH(DATEVALUE($A145),'recurring1_based on steps'!B$1:B$400,0)),B$2,)</f>
        <v>0</v>
      </c>
      <c r="C145" s="179">
        <f ca="1">IF(ISNUMBER(MATCH(DATEVALUE($A145),'recurring1_based on steps'!C$1:C$400,0)),C$2,)</f>
        <v>0</v>
      </c>
      <c r="D145" s="179">
        <f ca="1">IF(ISNUMBER(MATCH(DATEVALUE($A145),'recurring1_based on steps'!D$1:D$400,0)),D$2,)</f>
        <v>0</v>
      </c>
      <c r="E145" s="179">
        <f ca="1">IF(ISNUMBER(MATCH(DATEVALUE($A145),'recurring1_based on steps'!E$1:E$400,0)),E$2,)</f>
        <v>0</v>
      </c>
      <c r="F145" s="179">
        <f ca="1">IF(ISNUMBER(MATCH(DATEVALUE($A145),'recurring1_based on steps'!F$1:F$400,0)),F$2,)</f>
        <v>0</v>
      </c>
      <c r="G145" s="179">
        <f ca="1">IF(ISNUMBER(MATCH(DATEVALUE($A145),'recurring1_based on steps'!G$1:G$400,0)),G$2,)</f>
        <v>0</v>
      </c>
      <c r="H145" s="179">
        <f ca="1">IF(ISNUMBER(MATCH(DATEVALUE($A145),'recurring1_based on steps'!H$1:H$400,0)),H$2,)</f>
        <v>0</v>
      </c>
      <c r="I145" s="179">
        <f ca="1">IF(ISNUMBER(MATCH(DATEVALUE($A145),'recurring1_based on steps'!I$1:I$400,0)),I$2,)</f>
        <v>0</v>
      </c>
      <c r="J145" s="179">
        <f ca="1">IF(ISNUMBER(MATCH(DATEVALUE($A145),'recurring1_based on steps'!J$1:J$400,0)),J$2,)</f>
        <v>0</v>
      </c>
      <c r="K145" s="179">
        <f ca="1">IF(ISNUMBER(MATCH(DATEVALUE($A145),'recurring1_based on steps'!K$1:K$400,0)),K$2,)</f>
        <v>0</v>
      </c>
      <c r="L145" s="179">
        <f ca="1">IF(ISNUMBER(MATCH(DATEVALUE($A145),'recurring1_based on steps'!L$1:L$400,0)),L$2,)</f>
        <v>0</v>
      </c>
      <c r="M145" s="179">
        <f ca="1">IF(ISNUMBER(MATCH(DATEVALUE($A145),'recurring1_based on steps'!M$1:M$400,0)),M$2,)</f>
        <v>0</v>
      </c>
      <c r="N145" s="179">
        <f ca="1">IF(ISNUMBER(MATCH(DATEVALUE($A145),'recurring1_based on steps'!N$1:N$400,0)),N$2,)</f>
        <v>0</v>
      </c>
      <c r="O145" s="179">
        <f ca="1">IF(ISNUMBER(MATCH(DATEVALUE($A145),'recurring1_based on steps'!O$1:O$400,0)),O$2,)</f>
        <v>0</v>
      </c>
      <c r="P145" s="179">
        <f ca="1">IF(ISNUMBER(MATCH(DATEVALUE($A145),'recurring1_based on steps'!P$1:P$400,0)),P$2,)</f>
        <v>0</v>
      </c>
      <c r="Q145" s="179">
        <f ca="1">IF(ISNUMBER(MATCH(DATEVALUE($A145),'recurring1_based on steps'!Q$1:Q$400,0)),Q$2,)</f>
        <v>0</v>
      </c>
      <c r="R145" s="179">
        <f ca="1">IF(ISNUMBER(MATCH(DATEVALUE($A145),'recurring1_based on steps'!R$1:R$400,0)),R$2,)</f>
        <v>0</v>
      </c>
      <c r="S145" s="179">
        <f ca="1">IF(ISNUMBER(MATCH(DATEVALUE($A145),'recurring1_based on steps'!S$1:S$400,0)),S$2,)</f>
        <v>0</v>
      </c>
      <c r="T145" s="179">
        <f ca="1">IF(ISNUMBER(MATCH(DATEVALUE($A145),'recurring1_based on steps'!T$1:T$400,0)),T$2,)</f>
        <v>0</v>
      </c>
      <c r="U145" s="179">
        <f ca="1">IF(ISNUMBER(MATCH(DATEVALUE($A145),'recurring1_based on steps'!U$1:U$400,0)),U$2,)</f>
        <v>0</v>
      </c>
      <c r="V145" s="179">
        <f ca="1">IF(ISNUMBER(MATCH(DATEVALUE($A145),'recurring1_based on steps'!V$1:V$400,0)),V$2,)</f>
        <v>0</v>
      </c>
      <c r="W145" s="179">
        <f ca="1">IF(ISNUMBER(MATCH(DATEVALUE($A145),'recurring1_based on steps'!W$1:W$400,0)),W$2,)</f>
        <v>0</v>
      </c>
      <c r="X145" s="179">
        <f ca="1">IF(ISNUMBER(MATCH(DATEVALUE($A145),'recurring1_based on steps'!X$1:X$400,0)),X$2,)</f>
        <v>0</v>
      </c>
      <c r="Y145" s="179">
        <f ca="1">IF(ISNUMBER(MATCH(DATEVALUE($A145),'recurring1_based on steps'!Y$1:Y$400,0)),Y$2,)</f>
        <v>0</v>
      </c>
      <c r="Z145" s="179">
        <f ca="1">IF(ISNUMBER(MATCH(DATEVALUE($A145),'recurring1_based on steps'!Z$1:Z$400,0)),Z$2,)</f>
        <v>0</v>
      </c>
      <c r="AA145" s="179">
        <f ca="1">IF(ISNUMBER(MATCH(DATEVALUE($A145),'recurring1_based on steps'!AA$1:AA$400,0)),AA$2,)</f>
        <v>0</v>
      </c>
      <c r="AB145" s="179">
        <f ca="1">IF(ISNUMBER(MATCH(DATEVALUE($A145),'recurring1_based on steps'!AB$1:AB$400,0)),AB$2,)</f>
        <v>0</v>
      </c>
      <c r="AC145" s="179">
        <f ca="1">IF(ISNUMBER(MATCH(DATEVALUE($A145),'recurring1_based on steps'!AC$1:AC$400,0)),AC$2,)</f>
        <v>0</v>
      </c>
      <c r="AD145" s="179">
        <f ca="1">IF(ISNUMBER(MATCH(DATEVALUE($A145),'recurring1_based on steps'!AD$1:AD$400,0)),AD$2,)</f>
        <v>0</v>
      </c>
      <c r="AE145" s="179">
        <f ca="1">IF(ISNUMBER(MATCH(DATEVALUE($A145),'recurring1_based on steps'!AE$1:AE$400,0)),AE$2,)</f>
        <v>0</v>
      </c>
      <c r="AF145" s="179">
        <f ca="1">IF(ISNUMBER(MATCH(DATEVALUE($A145),'recurring1_based on steps'!AF$1:AF$400,0)),AF$2,)</f>
        <v>0</v>
      </c>
      <c r="AG145" s="179">
        <f ca="1">IF(ISNUMBER(MATCH(DATEVALUE($A145),'recurring1_based on steps'!AG$1:AG$400,0)),AG$2,)</f>
        <v>0</v>
      </c>
      <c r="AH145" s="179">
        <f ca="1">IF(ISNUMBER(MATCH(DATEVALUE($A145),'recurring1_based on steps'!AH$1:AH$400,0)),AH$2,)</f>
        <v>0</v>
      </c>
      <c r="AI145" s="179">
        <f ca="1">IF(ISNUMBER(MATCH(DATEVALUE($A145),'recurring1_based on steps'!AI$1:AI$400,0)),AI$2,)</f>
        <v>0</v>
      </c>
      <c r="AJ145" s="179">
        <f ca="1">IF(ISNUMBER(MATCH(DATEVALUE($A145),'recurring1_based on steps'!AJ$1:AJ$400,0)),AJ$2,)</f>
        <v>0</v>
      </c>
      <c r="AK145" s="179">
        <f ca="1">IF(ISNUMBER(MATCH(DATEVALUE($A145),'recurring1_based on steps'!AK$1:AK$400,0)),AK$2,)</f>
        <v>0</v>
      </c>
      <c r="AL145" s="179">
        <f ca="1">IF(ISNUMBER(MATCH(DATEVALUE($A145),'recurring1_based on steps'!AL$1:AL$400,0)),AL$2,)</f>
        <v>0</v>
      </c>
      <c r="AM145" s="179">
        <f ca="1">IF(ISNUMBER(MATCH(DATEVALUE($A145),'recurring1_based on steps'!AM$1:AM$400,0)),AM$2,)</f>
        <v>0</v>
      </c>
      <c r="AN145" s="179">
        <f ca="1">IF(ISNUMBER(MATCH(DATEVALUE($A145),'recurring1_based on steps'!AN$1:AN$400,0)),AN$2,)</f>
        <v>0</v>
      </c>
      <c r="AO145" s="179">
        <f ca="1">IF(ISNUMBER(MATCH(DATEVALUE($A145),'recurring1_based on steps'!AO$1:AO$400,0)),AO$2,)</f>
        <v>0</v>
      </c>
      <c r="AP145" s="179">
        <f ca="1">IF(ISNUMBER(MATCH(DATEVALUE($A145),'recurring1_based on steps'!AP$1:AP$400,0)),AP$2,)</f>
        <v>0</v>
      </c>
      <c r="AQ145" s="179">
        <f ca="1">IF(ISNUMBER(MATCH(DATEVALUE($A145),'recurring1_based on steps'!AQ$1:AQ$400,0)),AQ$2,)</f>
        <v>0</v>
      </c>
      <c r="AR145" s="179">
        <f ca="1">IF(ISNUMBER(MATCH(DATEVALUE($A145),'recurring1_based on steps'!AR$1:AR$400,0)),AR$2,)</f>
        <v>0</v>
      </c>
      <c r="AS145" s="179">
        <f ca="1">IF(ISNUMBER(MATCH(DATEVALUE($A145),'recurring1_based on steps'!AS$1:AS$400,0)),AS$2,)</f>
        <v>0</v>
      </c>
      <c r="AT145" s="179">
        <f ca="1">IF(ISNUMBER(MATCH(DATEVALUE($A145),'recurring1_based on steps'!AT$1:AT$400,0)),AT$2,)</f>
        <v>0</v>
      </c>
      <c r="AU145" s="179">
        <f ca="1">IF(ISNUMBER(MATCH(DATEVALUE($A145),'recurring1_based on steps'!AU$1:AU$400,0)),AU$2,)</f>
        <v>0</v>
      </c>
      <c r="AV145" s="179">
        <f ca="1">IF(ISNUMBER(MATCH(DATEVALUE($A145),'recurring1_based on steps'!AV$1:AV$400,0)),AV$2,)</f>
        <v>0</v>
      </c>
      <c r="AW145" s="179">
        <f ca="1">IF(ISNUMBER(MATCH(DATEVALUE($A145),'recurring1_based on steps'!AW$1:AW$400,0)),AW$2,)</f>
        <v>0</v>
      </c>
      <c r="AX145" s="179">
        <f ca="1">IF(ISNUMBER(MATCH(DATEVALUE($A145),'recurring1_based on steps'!AX$1:AX$400,0)),AX$2,)</f>
        <v>0</v>
      </c>
      <c r="AY145" s="179">
        <f ca="1">IF(ISNUMBER(MATCH(DATEVALUE($A145),'recurring1_based on steps'!AY$1:AY$400,0)),AY$2,)</f>
        <v>0</v>
      </c>
    </row>
    <row r="146" spans="1:51" x14ac:dyDescent="0.2">
      <c r="A146" s="32" t="str">
        <f t="shared" ca="1" si="2"/>
        <v>2025-08-19</v>
      </c>
      <c r="B146" s="179">
        <f ca="1">IF(ISNUMBER(MATCH(DATEVALUE($A146),'recurring1_based on steps'!B$1:B$400,0)),B$2,)</f>
        <v>0</v>
      </c>
      <c r="C146" s="179">
        <f ca="1">IF(ISNUMBER(MATCH(DATEVALUE($A146),'recurring1_based on steps'!C$1:C$400,0)),C$2,)</f>
        <v>0</v>
      </c>
      <c r="D146" s="179">
        <f ca="1">IF(ISNUMBER(MATCH(DATEVALUE($A146),'recurring1_based on steps'!D$1:D$400,0)),D$2,)</f>
        <v>0</v>
      </c>
      <c r="E146" s="179">
        <f ca="1">IF(ISNUMBER(MATCH(DATEVALUE($A146),'recurring1_based on steps'!E$1:E$400,0)),E$2,)</f>
        <v>0</v>
      </c>
      <c r="F146" s="179">
        <f ca="1">IF(ISNUMBER(MATCH(DATEVALUE($A146),'recurring1_based on steps'!F$1:F$400,0)),F$2,)</f>
        <v>0</v>
      </c>
      <c r="G146" s="179">
        <f ca="1">IF(ISNUMBER(MATCH(DATEVALUE($A146),'recurring1_based on steps'!G$1:G$400,0)),G$2,)</f>
        <v>0</v>
      </c>
      <c r="H146" s="179">
        <f ca="1">IF(ISNUMBER(MATCH(DATEVALUE($A146),'recurring1_based on steps'!H$1:H$400,0)),H$2,)</f>
        <v>0</v>
      </c>
      <c r="I146" s="179">
        <f ca="1">IF(ISNUMBER(MATCH(DATEVALUE($A146),'recurring1_based on steps'!I$1:I$400,0)),I$2,)</f>
        <v>0</v>
      </c>
      <c r="J146" s="179">
        <f ca="1">IF(ISNUMBER(MATCH(DATEVALUE($A146),'recurring1_based on steps'!J$1:J$400,0)),J$2,)</f>
        <v>0</v>
      </c>
      <c r="K146" s="179">
        <f ca="1">IF(ISNUMBER(MATCH(DATEVALUE($A146),'recurring1_based on steps'!K$1:K$400,0)),K$2,)</f>
        <v>0</v>
      </c>
      <c r="L146" s="179">
        <f ca="1">IF(ISNUMBER(MATCH(DATEVALUE($A146),'recurring1_based on steps'!L$1:L$400,0)),L$2,)</f>
        <v>0</v>
      </c>
      <c r="M146" s="179">
        <f ca="1">IF(ISNUMBER(MATCH(DATEVALUE($A146),'recurring1_based on steps'!M$1:M$400,0)),M$2,)</f>
        <v>0</v>
      </c>
      <c r="N146" s="179">
        <f ca="1">IF(ISNUMBER(MATCH(DATEVALUE($A146),'recurring1_based on steps'!N$1:N$400,0)),N$2,)</f>
        <v>0</v>
      </c>
      <c r="O146" s="179">
        <f ca="1">IF(ISNUMBER(MATCH(DATEVALUE($A146),'recurring1_based on steps'!O$1:O$400,0)),O$2,)</f>
        <v>0</v>
      </c>
      <c r="P146" s="179">
        <f ca="1">IF(ISNUMBER(MATCH(DATEVALUE($A146),'recurring1_based on steps'!P$1:P$400,0)),P$2,)</f>
        <v>0</v>
      </c>
      <c r="Q146" s="179">
        <f ca="1">IF(ISNUMBER(MATCH(DATEVALUE($A146),'recurring1_based on steps'!Q$1:Q$400,0)),Q$2,)</f>
        <v>0</v>
      </c>
      <c r="R146" s="179">
        <f ca="1">IF(ISNUMBER(MATCH(DATEVALUE($A146),'recurring1_based on steps'!R$1:R$400,0)),R$2,)</f>
        <v>0</v>
      </c>
      <c r="S146" s="179">
        <f ca="1">IF(ISNUMBER(MATCH(DATEVALUE($A146),'recurring1_based on steps'!S$1:S$400,0)),S$2,)</f>
        <v>0</v>
      </c>
      <c r="T146" s="179">
        <f ca="1">IF(ISNUMBER(MATCH(DATEVALUE($A146),'recurring1_based on steps'!T$1:T$400,0)),T$2,)</f>
        <v>0</v>
      </c>
      <c r="U146" s="179">
        <f ca="1">IF(ISNUMBER(MATCH(DATEVALUE($A146),'recurring1_based on steps'!U$1:U$400,0)),U$2,)</f>
        <v>0</v>
      </c>
      <c r="V146" s="179">
        <f ca="1">IF(ISNUMBER(MATCH(DATEVALUE($A146),'recurring1_based on steps'!V$1:V$400,0)),V$2,)</f>
        <v>0</v>
      </c>
      <c r="W146" s="179">
        <f ca="1">IF(ISNUMBER(MATCH(DATEVALUE($A146),'recurring1_based on steps'!W$1:W$400,0)),W$2,)</f>
        <v>0</v>
      </c>
      <c r="X146" s="179">
        <f ca="1">IF(ISNUMBER(MATCH(DATEVALUE($A146),'recurring1_based on steps'!X$1:X$400,0)),X$2,)</f>
        <v>0</v>
      </c>
      <c r="Y146" s="179">
        <f ca="1">IF(ISNUMBER(MATCH(DATEVALUE($A146),'recurring1_based on steps'!Y$1:Y$400,0)),Y$2,)</f>
        <v>0</v>
      </c>
      <c r="Z146" s="179">
        <f ca="1">IF(ISNUMBER(MATCH(DATEVALUE($A146),'recurring1_based on steps'!Z$1:Z$400,0)),Z$2,)</f>
        <v>0</v>
      </c>
      <c r="AA146" s="179">
        <f ca="1">IF(ISNUMBER(MATCH(DATEVALUE($A146),'recurring1_based on steps'!AA$1:AA$400,0)),AA$2,)</f>
        <v>0</v>
      </c>
      <c r="AB146" s="179">
        <f ca="1">IF(ISNUMBER(MATCH(DATEVALUE($A146),'recurring1_based on steps'!AB$1:AB$400,0)),AB$2,)</f>
        <v>0</v>
      </c>
      <c r="AC146" s="179">
        <f ca="1">IF(ISNUMBER(MATCH(DATEVALUE($A146),'recurring1_based on steps'!AC$1:AC$400,0)),AC$2,)</f>
        <v>0</v>
      </c>
      <c r="AD146" s="179">
        <f ca="1">IF(ISNUMBER(MATCH(DATEVALUE($A146),'recurring1_based on steps'!AD$1:AD$400,0)),AD$2,)</f>
        <v>0</v>
      </c>
      <c r="AE146" s="179">
        <f ca="1">IF(ISNUMBER(MATCH(DATEVALUE($A146),'recurring1_based on steps'!AE$1:AE$400,0)),AE$2,)</f>
        <v>0</v>
      </c>
      <c r="AF146" s="179">
        <f ca="1">IF(ISNUMBER(MATCH(DATEVALUE($A146),'recurring1_based on steps'!AF$1:AF$400,0)),AF$2,)</f>
        <v>0</v>
      </c>
      <c r="AG146" s="179">
        <f ca="1">IF(ISNUMBER(MATCH(DATEVALUE($A146),'recurring1_based on steps'!AG$1:AG$400,0)),AG$2,)</f>
        <v>0</v>
      </c>
      <c r="AH146" s="179">
        <f ca="1">IF(ISNUMBER(MATCH(DATEVALUE($A146),'recurring1_based on steps'!AH$1:AH$400,0)),AH$2,)</f>
        <v>0</v>
      </c>
      <c r="AI146" s="179">
        <f ca="1">IF(ISNUMBER(MATCH(DATEVALUE($A146),'recurring1_based on steps'!AI$1:AI$400,0)),AI$2,)</f>
        <v>0</v>
      </c>
      <c r="AJ146" s="179">
        <f ca="1">IF(ISNUMBER(MATCH(DATEVALUE($A146),'recurring1_based on steps'!AJ$1:AJ$400,0)),AJ$2,)</f>
        <v>0</v>
      </c>
      <c r="AK146" s="179">
        <f ca="1">IF(ISNUMBER(MATCH(DATEVALUE($A146),'recurring1_based on steps'!AK$1:AK$400,0)),AK$2,)</f>
        <v>0</v>
      </c>
      <c r="AL146" s="179">
        <f ca="1">IF(ISNUMBER(MATCH(DATEVALUE($A146),'recurring1_based on steps'!AL$1:AL$400,0)),AL$2,)</f>
        <v>0</v>
      </c>
      <c r="AM146" s="179">
        <f ca="1">IF(ISNUMBER(MATCH(DATEVALUE($A146),'recurring1_based on steps'!AM$1:AM$400,0)),AM$2,)</f>
        <v>0</v>
      </c>
      <c r="AN146" s="179">
        <f ca="1">IF(ISNUMBER(MATCH(DATEVALUE($A146),'recurring1_based on steps'!AN$1:AN$400,0)),AN$2,)</f>
        <v>0</v>
      </c>
      <c r="AO146" s="179">
        <f ca="1">IF(ISNUMBER(MATCH(DATEVALUE($A146),'recurring1_based on steps'!AO$1:AO$400,0)),AO$2,)</f>
        <v>0</v>
      </c>
      <c r="AP146" s="179">
        <f ca="1">IF(ISNUMBER(MATCH(DATEVALUE($A146),'recurring1_based on steps'!AP$1:AP$400,0)),AP$2,)</f>
        <v>0</v>
      </c>
      <c r="AQ146" s="179">
        <f ca="1">IF(ISNUMBER(MATCH(DATEVALUE($A146),'recurring1_based on steps'!AQ$1:AQ$400,0)),AQ$2,)</f>
        <v>0</v>
      </c>
      <c r="AR146" s="179">
        <f ca="1">IF(ISNUMBER(MATCH(DATEVALUE($A146),'recurring1_based on steps'!AR$1:AR$400,0)),AR$2,)</f>
        <v>0</v>
      </c>
      <c r="AS146" s="179">
        <f ca="1">IF(ISNUMBER(MATCH(DATEVALUE($A146),'recurring1_based on steps'!AS$1:AS$400,0)),AS$2,)</f>
        <v>0</v>
      </c>
      <c r="AT146" s="179">
        <f ca="1">IF(ISNUMBER(MATCH(DATEVALUE($A146),'recurring1_based on steps'!AT$1:AT$400,0)),AT$2,)</f>
        <v>0</v>
      </c>
      <c r="AU146" s="179">
        <f ca="1">IF(ISNUMBER(MATCH(DATEVALUE($A146),'recurring1_based on steps'!AU$1:AU$400,0)),AU$2,)</f>
        <v>0</v>
      </c>
      <c r="AV146" s="179">
        <f ca="1">IF(ISNUMBER(MATCH(DATEVALUE($A146),'recurring1_based on steps'!AV$1:AV$400,0)),AV$2,)</f>
        <v>0</v>
      </c>
      <c r="AW146" s="179">
        <f ca="1">IF(ISNUMBER(MATCH(DATEVALUE($A146),'recurring1_based on steps'!AW$1:AW$400,0)),AW$2,)</f>
        <v>0</v>
      </c>
      <c r="AX146" s="179">
        <f ca="1">IF(ISNUMBER(MATCH(DATEVALUE($A146),'recurring1_based on steps'!AX$1:AX$400,0)),AX$2,)</f>
        <v>0</v>
      </c>
      <c r="AY146" s="179">
        <f ca="1">IF(ISNUMBER(MATCH(DATEVALUE($A146),'recurring1_based on steps'!AY$1:AY$400,0)),AY$2,)</f>
        <v>0</v>
      </c>
    </row>
    <row r="147" spans="1:51" x14ac:dyDescent="0.2">
      <c r="A147" s="32" t="str">
        <f t="shared" ca="1" si="2"/>
        <v>2025-08-20</v>
      </c>
      <c r="B147" s="179">
        <f ca="1">IF(ISNUMBER(MATCH(DATEVALUE($A147),'recurring1_based on steps'!B$1:B$400,0)),B$2,)</f>
        <v>0</v>
      </c>
      <c r="C147" s="179">
        <f ca="1">IF(ISNUMBER(MATCH(DATEVALUE($A147),'recurring1_based on steps'!C$1:C$400,0)),C$2,)</f>
        <v>0</v>
      </c>
      <c r="D147" s="179">
        <f ca="1">IF(ISNUMBER(MATCH(DATEVALUE($A147),'recurring1_based on steps'!D$1:D$400,0)),D$2,)</f>
        <v>0</v>
      </c>
      <c r="E147" s="179">
        <f ca="1">IF(ISNUMBER(MATCH(DATEVALUE($A147),'recurring1_based on steps'!E$1:E$400,0)),E$2,)</f>
        <v>0</v>
      </c>
      <c r="F147" s="179">
        <f ca="1">IF(ISNUMBER(MATCH(DATEVALUE($A147),'recurring1_based on steps'!F$1:F$400,0)),F$2,)</f>
        <v>0</v>
      </c>
      <c r="G147" s="179">
        <f ca="1">IF(ISNUMBER(MATCH(DATEVALUE($A147),'recurring1_based on steps'!G$1:G$400,0)),G$2,)</f>
        <v>0</v>
      </c>
      <c r="H147" s="179">
        <f ca="1">IF(ISNUMBER(MATCH(DATEVALUE($A147),'recurring1_based on steps'!H$1:H$400,0)),H$2,)</f>
        <v>0</v>
      </c>
      <c r="I147" s="179">
        <f ca="1">IF(ISNUMBER(MATCH(DATEVALUE($A147),'recurring1_based on steps'!I$1:I$400,0)),I$2,)</f>
        <v>0</v>
      </c>
      <c r="J147" s="179">
        <f ca="1">IF(ISNUMBER(MATCH(DATEVALUE($A147),'recurring1_based on steps'!J$1:J$400,0)),J$2,)</f>
        <v>0</v>
      </c>
      <c r="K147" s="179">
        <f ca="1">IF(ISNUMBER(MATCH(DATEVALUE($A147),'recurring1_based on steps'!K$1:K$400,0)),K$2,)</f>
        <v>0</v>
      </c>
      <c r="L147" s="179">
        <f ca="1">IF(ISNUMBER(MATCH(DATEVALUE($A147),'recurring1_based on steps'!L$1:L$400,0)),L$2,)</f>
        <v>0</v>
      </c>
      <c r="M147" s="179">
        <f ca="1">IF(ISNUMBER(MATCH(DATEVALUE($A147),'recurring1_based on steps'!M$1:M$400,0)),M$2,)</f>
        <v>0</v>
      </c>
      <c r="N147" s="179">
        <f ca="1">IF(ISNUMBER(MATCH(DATEVALUE($A147),'recurring1_based on steps'!N$1:N$400,0)),N$2,)</f>
        <v>0</v>
      </c>
      <c r="O147" s="179">
        <f ca="1">IF(ISNUMBER(MATCH(DATEVALUE($A147),'recurring1_based on steps'!O$1:O$400,0)),O$2,)</f>
        <v>0</v>
      </c>
      <c r="P147" s="179">
        <f ca="1">IF(ISNUMBER(MATCH(DATEVALUE($A147),'recurring1_based on steps'!P$1:P$400,0)),P$2,)</f>
        <v>0</v>
      </c>
      <c r="Q147" s="179">
        <f ca="1">IF(ISNUMBER(MATCH(DATEVALUE($A147),'recurring1_based on steps'!Q$1:Q$400,0)),Q$2,)</f>
        <v>0</v>
      </c>
      <c r="R147" s="179">
        <f ca="1">IF(ISNUMBER(MATCH(DATEVALUE($A147),'recurring1_based on steps'!R$1:R$400,0)),R$2,)</f>
        <v>0</v>
      </c>
      <c r="S147" s="179">
        <f ca="1">IF(ISNUMBER(MATCH(DATEVALUE($A147),'recurring1_based on steps'!S$1:S$400,0)),S$2,)</f>
        <v>0</v>
      </c>
      <c r="T147" s="179">
        <f ca="1">IF(ISNUMBER(MATCH(DATEVALUE($A147),'recurring1_based on steps'!T$1:T$400,0)),T$2,)</f>
        <v>0</v>
      </c>
      <c r="U147" s="179">
        <f ca="1">IF(ISNUMBER(MATCH(DATEVALUE($A147),'recurring1_based on steps'!U$1:U$400,0)),U$2,)</f>
        <v>0</v>
      </c>
      <c r="V147" s="179">
        <f ca="1">IF(ISNUMBER(MATCH(DATEVALUE($A147),'recurring1_based on steps'!V$1:V$400,0)),V$2,)</f>
        <v>0</v>
      </c>
      <c r="W147" s="179">
        <f ca="1">IF(ISNUMBER(MATCH(DATEVALUE($A147),'recurring1_based on steps'!W$1:W$400,0)),W$2,)</f>
        <v>0</v>
      </c>
      <c r="X147" s="179">
        <f ca="1">IF(ISNUMBER(MATCH(DATEVALUE($A147),'recurring1_based on steps'!X$1:X$400,0)),X$2,)</f>
        <v>0</v>
      </c>
      <c r="Y147" s="179">
        <f ca="1">IF(ISNUMBER(MATCH(DATEVALUE($A147),'recurring1_based on steps'!Y$1:Y$400,0)),Y$2,)</f>
        <v>0</v>
      </c>
      <c r="Z147" s="179">
        <f ca="1">IF(ISNUMBER(MATCH(DATEVALUE($A147),'recurring1_based on steps'!Z$1:Z$400,0)),Z$2,)</f>
        <v>0</v>
      </c>
      <c r="AA147" s="179">
        <f ca="1">IF(ISNUMBER(MATCH(DATEVALUE($A147),'recurring1_based on steps'!AA$1:AA$400,0)),AA$2,)</f>
        <v>0</v>
      </c>
      <c r="AB147" s="179">
        <f ca="1">IF(ISNUMBER(MATCH(DATEVALUE($A147),'recurring1_based on steps'!AB$1:AB$400,0)),AB$2,)</f>
        <v>0</v>
      </c>
      <c r="AC147" s="179">
        <f ca="1">IF(ISNUMBER(MATCH(DATEVALUE($A147),'recurring1_based on steps'!AC$1:AC$400,0)),AC$2,)</f>
        <v>0</v>
      </c>
      <c r="AD147" s="179">
        <f ca="1">IF(ISNUMBER(MATCH(DATEVALUE($A147),'recurring1_based on steps'!AD$1:AD$400,0)),AD$2,)</f>
        <v>0</v>
      </c>
      <c r="AE147" s="179">
        <f ca="1">IF(ISNUMBER(MATCH(DATEVALUE($A147),'recurring1_based on steps'!AE$1:AE$400,0)),AE$2,)</f>
        <v>0</v>
      </c>
      <c r="AF147" s="179">
        <f ca="1">IF(ISNUMBER(MATCH(DATEVALUE($A147),'recurring1_based on steps'!AF$1:AF$400,0)),AF$2,)</f>
        <v>0</v>
      </c>
      <c r="AG147" s="179">
        <f ca="1">IF(ISNUMBER(MATCH(DATEVALUE($A147),'recurring1_based on steps'!AG$1:AG$400,0)),AG$2,)</f>
        <v>0</v>
      </c>
      <c r="AH147" s="179">
        <f ca="1">IF(ISNUMBER(MATCH(DATEVALUE($A147),'recurring1_based on steps'!AH$1:AH$400,0)),AH$2,)</f>
        <v>0</v>
      </c>
      <c r="AI147" s="179">
        <f ca="1">IF(ISNUMBER(MATCH(DATEVALUE($A147),'recurring1_based on steps'!AI$1:AI$400,0)),AI$2,)</f>
        <v>0</v>
      </c>
      <c r="AJ147" s="179">
        <f ca="1">IF(ISNUMBER(MATCH(DATEVALUE($A147),'recurring1_based on steps'!AJ$1:AJ$400,0)),AJ$2,)</f>
        <v>0</v>
      </c>
      <c r="AK147" s="179">
        <f ca="1">IF(ISNUMBER(MATCH(DATEVALUE($A147),'recurring1_based on steps'!AK$1:AK$400,0)),AK$2,)</f>
        <v>0</v>
      </c>
      <c r="AL147" s="179">
        <f ca="1">IF(ISNUMBER(MATCH(DATEVALUE($A147),'recurring1_based on steps'!AL$1:AL$400,0)),AL$2,)</f>
        <v>0</v>
      </c>
      <c r="AM147" s="179">
        <f ca="1">IF(ISNUMBER(MATCH(DATEVALUE($A147),'recurring1_based on steps'!AM$1:AM$400,0)),AM$2,)</f>
        <v>0</v>
      </c>
      <c r="AN147" s="179">
        <f ca="1">IF(ISNUMBER(MATCH(DATEVALUE($A147),'recurring1_based on steps'!AN$1:AN$400,0)),AN$2,)</f>
        <v>0</v>
      </c>
      <c r="AO147" s="179">
        <f ca="1">IF(ISNUMBER(MATCH(DATEVALUE($A147),'recurring1_based on steps'!AO$1:AO$400,0)),AO$2,)</f>
        <v>0</v>
      </c>
      <c r="AP147" s="179">
        <f ca="1">IF(ISNUMBER(MATCH(DATEVALUE($A147),'recurring1_based on steps'!AP$1:AP$400,0)),AP$2,)</f>
        <v>0</v>
      </c>
      <c r="AQ147" s="179">
        <f ca="1">IF(ISNUMBER(MATCH(DATEVALUE($A147),'recurring1_based on steps'!AQ$1:AQ$400,0)),AQ$2,)</f>
        <v>0</v>
      </c>
      <c r="AR147" s="179">
        <f ca="1">IF(ISNUMBER(MATCH(DATEVALUE($A147),'recurring1_based on steps'!AR$1:AR$400,0)),AR$2,)</f>
        <v>0</v>
      </c>
      <c r="AS147" s="179">
        <f ca="1">IF(ISNUMBER(MATCH(DATEVALUE($A147),'recurring1_based on steps'!AS$1:AS$400,0)),AS$2,)</f>
        <v>0</v>
      </c>
      <c r="AT147" s="179">
        <f ca="1">IF(ISNUMBER(MATCH(DATEVALUE($A147),'recurring1_based on steps'!AT$1:AT$400,0)),AT$2,)</f>
        <v>0</v>
      </c>
      <c r="AU147" s="179">
        <f ca="1">IF(ISNUMBER(MATCH(DATEVALUE($A147),'recurring1_based on steps'!AU$1:AU$400,0)),AU$2,)</f>
        <v>0</v>
      </c>
      <c r="AV147" s="179">
        <f ca="1">IF(ISNUMBER(MATCH(DATEVALUE($A147),'recurring1_based on steps'!AV$1:AV$400,0)),AV$2,)</f>
        <v>0</v>
      </c>
      <c r="AW147" s="179">
        <f ca="1">IF(ISNUMBER(MATCH(DATEVALUE($A147),'recurring1_based on steps'!AW$1:AW$400,0)),AW$2,)</f>
        <v>0</v>
      </c>
      <c r="AX147" s="179">
        <f ca="1">IF(ISNUMBER(MATCH(DATEVALUE($A147),'recurring1_based on steps'!AX$1:AX$400,0)),AX$2,)</f>
        <v>0</v>
      </c>
      <c r="AY147" s="179">
        <f ca="1">IF(ISNUMBER(MATCH(DATEVALUE($A147),'recurring1_based on steps'!AY$1:AY$400,0)),AY$2,)</f>
        <v>0</v>
      </c>
    </row>
    <row r="148" spans="1:51" x14ac:dyDescent="0.2">
      <c r="A148" s="32" t="str">
        <f t="shared" ca="1" si="2"/>
        <v>2025-08-21</v>
      </c>
      <c r="B148" s="179">
        <f ca="1">IF(ISNUMBER(MATCH(DATEVALUE($A148),'recurring1_based on steps'!B$1:B$400,0)),B$2,)</f>
        <v>0</v>
      </c>
      <c r="C148" s="179">
        <f ca="1">IF(ISNUMBER(MATCH(DATEVALUE($A148),'recurring1_based on steps'!C$1:C$400,0)),C$2,)</f>
        <v>0</v>
      </c>
      <c r="D148" s="179">
        <f ca="1">IF(ISNUMBER(MATCH(DATEVALUE($A148),'recurring1_based on steps'!D$1:D$400,0)),D$2,)</f>
        <v>0</v>
      </c>
      <c r="E148" s="179">
        <f ca="1">IF(ISNUMBER(MATCH(DATEVALUE($A148),'recurring1_based on steps'!E$1:E$400,0)),E$2,)</f>
        <v>0</v>
      </c>
      <c r="F148" s="179">
        <f ca="1">IF(ISNUMBER(MATCH(DATEVALUE($A148),'recurring1_based on steps'!F$1:F$400,0)),F$2,)</f>
        <v>0</v>
      </c>
      <c r="G148" s="179">
        <f ca="1">IF(ISNUMBER(MATCH(DATEVALUE($A148),'recurring1_based on steps'!G$1:G$400,0)),G$2,)</f>
        <v>0</v>
      </c>
      <c r="H148" s="179">
        <f ca="1">IF(ISNUMBER(MATCH(DATEVALUE($A148),'recurring1_based on steps'!H$1:H$400,0)),H$2,)</f>
        <v>0</v>
      </c>
      <c r="I148" s="179">
        <f ca="1">IF(ISNUMBER(MATCH(DATEVALUE($A148),'recurring1_based on steps'!I$1:I$400,0)),I$2,)</f>
        <v>0</v>
      </c>
      <c r="J148" s="179">
        <f ca="1">IF(ISNUMBER(MATCH(DATEVALUE($A148),'recurring1_based on steps'!J$1:J$400,0)),J$2,)</f>
        <v>0</v>
      </c>
      <c r="K148" s="179">
        <f ca="1">IF(ISNUMBER(MATCH(DATEVALUE($A148),'recurring1_based on steps'!K$1:K$400,0)),K$2,)</f>
        <v>0</v>
      </c>
      <c r="L148" s="179">
        <f ca="1">IF(ISNUMBER(MATCH(DATEVALUE($A148),'recurring1_based on steps'!L$1:L$400,0)),L$2,)</f>
        <v>0</v>
      </c>
      <c r="M148" s="179">
        <f ca="1">IF(ISNUMBER(MATCH(DATEVALUE($A148),'recurring1_based on steps'!M$1:M$400,0)),M$2,)</f>
        <v>0</v>
      </c>
      <c r="N148" s="179">
        <f ca="1">IF(ISNUMBER(MATCH(DATEVALUE($A148),'recurring1_based on steps'!N$1:N$400,0)),N$2,)</f>
        <v>0</v>
      </c>
      <c r="O148" s="179">
        <f ca="1">IF(ISNUMBER(MATCH(DATEVALUE($A148),'recurring1_based on steps'!O$1:O$400,0)),O$2,)</f>
        <v>0</v>
      </c>
      <c r="P148" s="179">
        <f ca="1">IF(ISNUMBER(MATCH(DATEVALUE($A148),'recurring1_based on steps'!P$1:P$400,0)),P$2,)</f>
        <v>0</v>
      </c>
      <c r="Q148" s="179">
        <f ca="1">IF(ISNUMBER(MATCH(DATEVALUE($A148),'recurring1_based on steps'!Q$1:Q$400,0)),Q$2,)</f>
        <v>0</v>
      </c>
      <c r="R148" s="179">
        <f ca="1">IF(ISNUMBER(MATCH(DATEVALUE($A148),'recurring1_based on steps'!R$1:R$400,0)),R$2,)</f>
        <v>0</v>
      </c>
      <c r="S148" s="179">
        <f ca="1">IF(ISNUMBER(MATCH(DATEVALUE($A148),'recurring1_based on steps'!S$1:S$400,0)),S$2,)</f>
        <v>0</v>
      </c>
      <c r="T148" s="179">
        <f ca="1">IF(ISNUMBER(MATCH(DATEVALUE($A148),'recurring1_based on steps'!T$1:T$400,0)),T$2,)</f>
        <v>0</v>
      </c>
      <c r="U148" s="179">
        <f ca="1">IF(ISNUMBER(MATCH(DATEVALUE($A148),'recurring1_based on steps'!U$1:U$400,0)),U$2,)</f>
        <v>0</v>
      </c>
      <c r="V148" s="179">
        <f ca="1">IF(ISNUMBER(MATCH(DATEVALUE($A148),'recurring1_based on steps'!V$1:V$400,0)),V$2,)</f>
        <v>0</v>
      </c>
      <c r="W148" s="179">
        <f ca="1">IF(ISNUMBER(MATCH(DATEVALUE($A148),'recurring1_based on steps'!W$1:W$400,0)),W$2,)</f>
        <v>0</v>
      </c>
      <c r="X148" s="179">
        <f ca="1">IF(ISNUMBER(MATCH(DATEVALUE($A148),'recurring1_based on steps'!X$1:X$400,0)),X$2,)</f>
        <v>0</v>
      </c>
      <c r="Y148" s="179">
        <f ca="1">IF(ISNUMBER(MATCH(DATEVALUE($A148),'recurring1_based on steps'!Y$1:Y$400,0)),Y$2,)</f>
        <v>0</v>
      </c>
      <c r="Z148" s="179">
        <f ca="1">IF(ISNUMBER(MATCH(DATEVALUE($A148),'recurring1_based on steps'!Z$1:Z$400,0)),Z$2,)</f>
        <v>0</v>
      </c>
      <c r="AA148" s="179">
        <f ca="1">IF(ISNUMBER(MATCH(DATEVALUE($A148),'recurring1_based on steps'!AA$1:AA$400,0)),AA$2,)</f>
        <v>0</v>
      </c>
      <c r="AB148" s="179">
        <f ca="1">IF(ISNUMBER(MATCH(DATEVALUE($A148),'recurring1_based on steps'!AB$1:AB$400,0)),AB$2,)</f>
        <v>0</v>
      </c>
      <c r="AC148" s="179">
        <f ca="1">IF(ISNUMBER(MATCH(DATEVALUE($A148),'recurring1_based on steps'!AC$1:AC$400,0)),AC$2,)</f>
        <v>0</v>
      </c>
      <c r="AD148" s="179">
        <f ca="1">IF(ISNUMBER(MATCH(DATEVALUE($A148),'recurring1_based on steps'!AD$1:AD$400,0)),AD$2,)</f>
        <v>0</v>
      </c>
      <c r="AE148" s="179">
        <f ca="1">IF(ISNUMBER(MATCH(DATEVALUE($A148),'recurring1_based on steps'!AE$1:AE$400,0)),AE$2,)</f>
        <v>0</v>
      </c>
      <c r="AF148" s="179">
        <f ca="1">IF(ISNUMBER(MATCH(DATEVALUE($A148),'recurring1_based on steps'!AF$1:AF$400,0)),AF$2,)</f>
        <v>0</v>
      </c>
      <c r="AG148" s="179">
        <f ca="1">IF(ISNUMBER(MATCH(DATEVALUE($A148),'recurring1_based on steps'!AG$1:AG$400,0)),AG$2,)</f>
        <v>0</v>
      </c>
      <c r="AH148" s="179">
        <f ca="1">IF(ISNUMBER(MATCH(DATEVALUE($A148),'recurring1_based on steps'!AH$1:AH$400,0)),AH$2,)</f>
        <v>0</v>
      </c>
      <c r="AI148" s="179">
        <f ca="1">IF(ISNUMBER(MATCH(DATEVALUE($A148),'recurring1_based on steps'!AI$1:AI$400,0)),AI$2,)</f>
        <v>0</v>
      </c>
      <c r="AJ148" s="179">
        <f ca="1">IF(ISNUMBER(MATCH(DATEVALUE($A148),'recurring1_based on steps'!AJ$1:AJ$400,0)),AJ$2,)</f>
        <v>0</v>
      </c>
      <c r="AK148" s="179">
        <f ca="1">IF(ISNUMBER(MATCH(DATEVALUE($A148),'recurring1_based on steps'!AK$1:AK$400,0)),AK$2,)</f>
        <v>0</v>
      </c>
      <c r="AL148" s="179">
        <f ca="1">IF(ISNUMBER(MATCH(DATEVALUE($A148),'recurring1_based on steps'!AL$1:AL$400,0)),AL$2,)</f>
        <v>0</v>
      </c>
      <c r="AM148" s="179">
        <f ca="1">IF(ISNUMBER(MATCH(DATEVALUE($A148),'recurring1_based on steps'!AM$1:AM$400,0)),AM$2,)</f>
        <v>0</v>
      </c>
      <c r="AN148" s="179">
        <f ca="1">IF(ISNUMBER(MATCH(DATEVALUE($A148),'recurring1_based on steps'!AN$1:AN$400,0)),AN$2,)</f>
        <v>0</v>
      </c>
      <c r="AO148" s="179">
        <f ca="1">IF(ISNUMBER(MATCH(DATEVALUE($A148),'recurring1_based on steps'!AO$1:AO$400,0)),AO$2,)</f>
        <v>0</v>
      </c>
      <c r="AP148" s="179">
        <f ca="1">IF(ISNUMBER(MATCH(DATEVALUE($A148),'recurring1_based on steps'!AP$1:AP$400,0)),AP$2,)</f>
        <v>0</v>
      </c>
      <c r="AQ148" s="179">
        <f ca="1">IF(ISNUMBER(MATCH(DATEVALUE($A148),'recurring1_based on steps'!AQ$1:AQ$400,0)),AQ$2,)</f>
        <v>0</v>
      </c>
      <c r="AR148" s="179">
        <f ca="1">IF(ISNUMBER(MATCH(DATEVALUE($A148),'recurring1_based on steps'!AR$1:AR$400,0)),AR$2,)</f>
        <v>0</v>
      </c>
      <c r="AS148" s="179">
        <f ca="1">IF(ISNUMBER(MATCH(DATEVALUE($A148),'recurring1_based on steps'!AS$1:AS$400,0)),AS$2,)</f>
        <v>0</v>
      </c>
      <c r="AT148" s="179">
        <f ca="1">IF(ISNUMBER(MATCH(DATEVALUE($A148),'recurring1_based on steps'!AT$1:AT$400,0)),AT$2,)</f>
        <v>0</v>
      </c>
      <c r="AU148" s="179">
        <f ca="1">IF(ISNUMBER(MATCH(DATEVALUE($A148),'recurring1_based on steps'!AU$1:AU$400,0)),AU$2,)</f>
        <v>0</v>
      </c>
      <c r="AV148" s="179">
        <f ca="1">IF(ISNUMBER(MATCH(DATEVALUE($A148),'recurring1_based on steps'!AV$1:AV$400,0)),AV$2,)</f>
        <v>0</v>
      </c>
      <c r="AW148" s="179">
        <f ca="1">IF(ISNUMBER(MATCH(DATEVALUE($A148),'recurring1_based on steps'!AW$1:AW$400,0)),AW$2,)</f>
        <v>0</v>
      </c>
      <c r="AX148" s="179">
        <f ca="1">IF(ISNUMBER(MATCH(DATEVALUE($A148),'recurring1_based on steps'!AX$1:AX$400,0)),AX$2,)</f>
        <v>0</v>
      </c>
      <c r="AY148" s="179">
        <f ca="1">IF(ISNUMBER(MATCH(DATEVALUE($A148),'recurring1_based on steps'!AY$1:AY$400,0)),AY$2,)</f>
        <v>0</v>
      </c>
    </row>
    <row r="149" spans="1:51" x14ac:dyDescent="0.2">
      <c r="A149" s="32" t="str">
        <f t="shared" ca="1" si="2"/>
        <v>2025-08-22</v>
      </c>
      <c r="B149" s="179">
        <f ca="1">IF(ISNUMBER(MATCH(DATEVALUE($A149),'recurring1_based on steps'!B$1:B$400,0)),B$2,)</f>
        <v>0</v>
      </c>
      <c r="C149" s="179">
        <f ca="1">IF(ISNUMBER(MATCH(DATEVALUE($A149),'recurring1_based on steps'!C$1:C$400,0)),C$2,)</f>
        <v>0</v>
      </c>
      <c r="D149" s="179">
        <f ca="1">IF(ISNUMBER(MATCH(DATEVALUE($A149),'recurring1_based on steps'!D$1:D$400,0)),D$2,)</f>
        <v>0</v>
      </c>
      <c r="E149" s="179">
        <f ca="1">IF(ISNUMBER(MATCH(DATEVALUE($A149),'recurring1_based on steps'!E$1:E$400,0)),E$2,)</f>
        <v>0</v>
      </c>
      <c r="F149" s="179">
        <f ca="1">IF(ISNUMBER(MATCH(DATEVALUE($A149),'recurring1_based on steps'!F$1:F$400,0)),F$2,)</f>
        <v>0</v>
      </c>
      <c r="G149" s="179">
        <f ca="1">IF(ISNUMBER(MATCH(DATEVALUE($A149),'recurring1_based on steps'!G$1:G$400,0)),G$2,)</f>
        <v>0</v>
      </c>
      <c r="H149" s="179">
        <f ca="1">IF(ISNUMBER(MATCH(DATEVALUE($A149),'recurring1_based on steps'!H$1:H$400,0)),H$2,)</f>
        <v>0</v>
      </c>
      <c r="I149" s="179">
        <f ca="1">IF(ISNUMBER(MATCH(DATEVALUE($A149),'recurring1_based on steps'!I$1:I$400,0)),I$2,)</f>
        <v>0</v>
      </c>
      <c r="J149" s="179">
        <f ca="1">IF(ISNUMBER(MATCH(DATEVALUE($A149),'recurring1_based on steps'!J$1:J$400,0)),J$2,)</f>
        <v>0</v>
      </c>
      <c r="K149" s="179">
        <f ca="1">IF(ISNUMBER(MATCH(DATEVALUE($A149),'recurring1_based on steps'!K$1:K$400,0)),K$2,)</f>
        <v>0</v>
      </c>
      <c r="L149" s="179">
        <f ca="1">IF(ISNUMBER(MATCH(DATEVALUE($A149),'recurring1_based on steps'!L$1:L$400,0)),L$2,)</f>
        <v>0</v>
      </c>
      <c r="M149" s="179">
        <f ca="1">IF(ISNUMBER(MATCH(DATEVALUE($A149),'recurring1_based on steps'!M$1:M$400,0)),M$2,)</f>
        <v>0</v>
      </c>
      <c r="N149" s="179">
        <f ca="1">IF(ISNUMBER(MATCH(DATEVALUE($A149),'recurring1_based on steps'!N$1:N$400,0)),N$2,)</f>
        <v>0</v>
      </c>
      <c r="O149" s="179">
        <f ca="1">IF(ISNUMBER(MATCH(DATEVALUE($A149),'recurring1_based on steps'!O$1:O$400,0)),O$2,)</f>
        <v>0</v>
      </c>
      <c r="P149" s="179">
        <f ca="1">IF(ISNUMBER(MATCH(DATEVALUE($A149),'recurring1_based on steps'!P$1:P$400,0)),P$2,)</f>
        <v>0</v>
      </c>
      <c r="Q149" s="179">
        <f ca="1">IF(ISNUMBER(MATCH(DATEVALUE($A149),'recurring1_based on steps'!Q$1:Q$400,0)),Q$2,)</f>
        <v>0</v>
      </c>
      <c r="R149" s="179">
        <f ca="1">IF(ISNUMBER(MATCH(DATEVALUE($A149),'recurring1_based on steps'!R$1:R$400,0)),R$2,)</f>
        <v>0</v>
      </c>
      <c r="S149" s="179">
        <f ca="1">IF(ISNUMBER(MATCH(DATEVALUE($A149),'recurring1_based on steps'!S$1:S$400,0)),S$2,)</f>
        <v>0</v>
      </c>
      <c r="T149" s="179">
        <f ca="1">IF(ISNUMBER(MATCH(DATEVALUE($A149),'recurring1_based on steps'!T$1:T$400,0)),T$2,)</f>
        <v>0</v>
      </c>
      <c r="U149" s="179">
        <f ca="1">IF(ISNUMBER(MATCH(DATEVALUE($A149),'recurring1_based on steps'!U$1:U$400,0)),U$2,)</f>
        <v>0</v>
      </c>
      <c r="V149" s="179">
        <f ca="1">IF(ISNUMBER(MATCH(DATEVALUE($A149),'recurring1_based on steps'!V$1:V$400,0)),V$2,)</f>
        <v>0</v>
      </c>
      <c r="W149" s="179">
        <f ca="1">IF(ISNUMBER(MATCH(DATEVALUE($A149),'recurring1_based on steps'!W$1:W$400,0)),W$2,)</f>
        <v>0</v>
      </c>
      <c r="X149" s="179">
        <f ca="1">IF(ISNUMBER(MATCH(DATEVALUE($A149),'recurring1_based on steps'!X$1:X$400,0)),X$2,)</f>
        <v>0</v>
      </c>
      <c r="Y149" s="179">
        <f ca="1">IF(ISNUMBER(MATCH(DATEVALUE($A149),'recurring1_based on steps'!Y$1:Y$400,0)),Y$2,)</f>
        <v>0</v>
      </c>
      <c r="Z149" s="179">
        <f ca="1">IF(ISNUMBER(MATCH(DATEVALUE($A149),'recurring1_based on steps'!Z$1:Z$400,0)),Z$2,)</f>
        <v>0</v>
      </c>
      <c r="AA149" s="179">
        <f ca="1">IF(ISNUMBER(MATCH(DATEVALUE($A149),'recurring1_based on steps'!AA$1:AA$400,0)),AA$2,)</f>
        <v>0</v>
      </c>
      <c r="AB149" s="179">
        <f ca="1">IF(ISNUMBER(MATCH(DATEVALUE($A149),'recurring1_based on steps'!AB$1:AB$400,0)),AB$2,)</f>
        <v>0</v>
      </c>
      <c r="AC149" s="179">
        <f ca="1">IF(ISNUMBER(MATCH(DATEVALUE($A149),'recurring1_based on steps'!AC$1:AC$400,0)),AC$2,)</f>
        <v>0</v>
      </c>
      <c r="AD149" s="179">
        <f ca="1">IF(ISNUMBER(MATCH(DATEVALUE($A149),'recurring1_based on steps'!AD$1:AD$400,0)),AD$2,)</f>
        <v>0</v>
      </c>
      <c r="AE149" s="179">
        <f ca="1">IF(ISNUMBER(MATCH(DATEVALUE($A149),'recurring1_based on steps'!AE$1:AE$400,0)),AE$2,)</f>
        <v>0</v>
      </c>
      <c r="AF149" s="179">
        <f ca="1">IF(ISNUMBER(MATCH(DATEVALUE($A149),'recurring1_based on steps'!AF$1:AF$400,0)),AF$2,)</f>
        <v>0</v>
      </c>
      <c r="AG149" s="179">
        <f ca="1">IF(ISNUMBER(MATCH(DATEVALUE($A149),'recurring1_based on steps'!AG$1:AG$400,0)),AG$2,)</f>
        <v>0</v>
      </c>
      <c r="AH149" s="179">
        <f ca="1">IF(ISNUMBER(MATCH(DATEVALUE($A149),'recurring1_based on steps'!AH$1:AH$400,0)),AH$2,)</f>
        <v>0</v>
      </c>
      <c r="AI149" s="179">
        <f ca="1">IF(ISNUMBER(MATCH(DATEVALUE($A149),'recurring1_based on steps'!AI$1:AI$400,0)),AI$2,)</f>
        <v>0</v>
      </c>
      <c r="AJ149" s="179">
        <f ca="1">IF(ISNUMBER(MATCH(DATEVALUE($A149),'recurring1_based on steps'!AJ$1:AJ$400,0)),AJ$2,)</f>
        <v>0</v>
      </c>
      <c r="AK149" s="179">
        <f ca="1">IF(ISNUMBER(MATCH(DATEVALUE($A149),'recurring1_based on steps'!AK$1:AK$400,0)),AK$2,)</f>
        <v>0</v>
      </c>
      <c r="AL149" s="179">
        <f ca="1">IF(ISNUMBER(MATCH(DATEVALUE($A149),'recurring1_based on steps'!AL$1:AL$400,0)),AL$2,)</f>
        <v>0</v>
      </c>
      <c r="AM149" s="179">
        <f ca="1">IF(ISNUMBER(MATCH(DATEVALUE($A149),'recurring1_based on steps'!AM$1:AM$400,0)),AM$2,)</f>
        <v>0</v>
      </c>
      <c r="AN149" s="179">
        <f ca="1">IF(ISNUMBER(MATCH(DATEVALUE($A149),'recurring1_based on steps'!AN$1:AN$400,0)),AN$2,)</f>
        <v>0</v>
      </c>
      <c r="AO149" s="179">
        <f ca="1">IF(ISNUMBER(MATCH(DATEVALUE($A149),'recurring1_based on steps'!AO$1:AO$400,0)),AO$2,)</f>
        <v>0</v>
      </c>
      <c r="AP149" s="179">
        <f ca="1">IF(ISNUMBER(MATCH(DATEVALUE($A149),'recurring1_based on steps'!AP$1:AP$400,0)),AP$2,)</f>
        <v>0</v>
      </c>
      <c r="AQ149" s="179">
        <f ca="1">IF(ISNUMBER(MATCH(DATEVALUE($A149),'recurring1_based on steps'!AQ$1:AQ$400,0)),AQ$2,)</f>
        <v>0</v>
      </c>
      <c r="AR149" s="179">
        <f ca="1">IF(ISNUMBER(MATCH(DATEVALUE($A149),'recurring1_based on steps'!AR$1:AR$400,0)),AR$2,)</f>
        <v>0</v>
      </c>
      <c r="AS149" s="179">
        <f ca="1">IF(ISNUMBER(MATCH(DATEVALUE($A149),'recurring1_based on steps'!AS$1:AS$400,0)),AS$2,)</f>
        <v>0</v>
      </c>
      <c r="AT149" s="179">
        <f ca="1">IF(ISNUMBER(MATCH(DATEVALUE($A149),'recurring1_based on steps'!AT$1:AT$400,0)),AT$2,)</f>
        <v>0</v>
      </c>
      <c r="AU149" s="179">
        <f ca="1">IF(ISNUMBER(MATCH(DATEVALUE($A149),'recurring1_based on steps'!AU$1:AU$400,0)),AU$2,)</f>
        <v>0</v>
      </c>
      <c r="AV149" s="179">
        <f ca="1">IF(ISNUMBER(MATCH(DATEVALUE($A149),'recurring1_based on steps'!AV$1:AV$400,0)),AV$2,)</f>
        <v>0</v>
      </c>
      <c r="AW149" s="179">
        <f ca="1">IF(ISNUMBER(MATCH(DATEVALUE($A149),'recurring1_based on steps'!AW$1:AW$400,0)),AW$2,)</f>
        <v>0</v>
      </c>
      <c r="AX149" s="179">
        <f ca="1">IF(ISNUMBER(MATCH(DATEVALUE($A149),'recurring1_based on steps'!AX$1:AX$400,0)),AX$2,)</f>
        <v>0</v>
      </c>
      <c r="AY149" s="179">
        <f ca="1">IF(ISNUMBER(MATCH(DATEVALUE($A149),'recurring1_based on steps'!AY$1:AY$400,0)),AY$2,)</f>
        <v>0</v>
      </c>
    </row>
    <row r="150" spans="1:51" x14ac:dyDescent="0.2">
      <c r="A150" s="32" t="str">
        <f t="shared" ca="1" si="2"/>
        <v>2025-08-23</v>
      </c>
      <c r="B150" s="179">
        <f ca="1">IF(ISNUMBER(MATCH(DATEVALUE($A150),'recurring1_based on steps'!B$1:B$400,0)),B$2,)</f>
        <v>0</v>
      </c>
      <c r="C150" s="179">
        <f ca="1">IF(ISNUMBER(MATCH(DATEVALUE($A150),'recurring1_based on steps'!C$1:C$400,0)),C$2,)</f>
        <v>0</v>
      </c>
      <c r="D150" s="179">
        <f ca="1">IF(ISNUMBER(MATCH(DATEVALUE($A150),'recurring1_based on steps'!D$1:D$400,0)),D$2,)</f>
        <v>0</v>
      </c>
      <c r="E150" s="179">
        <f ca="1">IF(ISNUMBER(MATCH(DATEVALUE($A150),'recurring1_based on steps'!E$1:E$400,0)),E$2,)</f>
        <v>0</v>
      </c>
      <c r="F150" s="179">
        <f ca="1">IF(ISNUMBER(MATCH(DATEVALUE($A150),'recurring1_based on steps'!F$1:F$400,0)),F$2,)</f>
        <v>0</v>
      </c>
      <c r="G150" s="179">
        <f ca="1">IF(ISNUMBER(MATCH(DATEVALUE($A150),'recurring1_based on steps'!G$1:G$400,0)),G$2,)</f>
        <v>0</v>
      </c>
      <c r="H150" s="179">
        <f ca="1">IF(ISNUMBER(MATCH(DATEVALUE($A150),'recurring1_based on steps'!H$1:H$400,0)),H$2,)</f>
        <v>0</v>
      </c>
      <c r="I150" s="179">
        <f ca="1">IF(ISNUMBER(MATCH(DATEVALUE($A150),'recurring1_based on steps'!I$1:I$400,0)),I$2,)</f>
        <v>0</v>
      </c>
      <c r="J150" s="179">
        <f ca="1">IF(ISNUMBER(MATCH(DATEVALUE($A150),'recurring1_based on steps'!J$1:J$400,0)),J$2,)</f>
        <v>0</v>
      </c>
      <c r="K150" s="179">
        <f ca="1">IF(ISNUMBER(MATCH(DATEVALUE($A150),'recurring1_based on steps'!K$1:K$400,0)),K$2,)</f>
        <v>0</v>
      </c>
      <c r="L150" s="179">
        <f ca="1">IF(ISNUMBER(MATCH(DATEVALUE($A150),'recurring1_based on steps'!L$1:L$400,0)),L$2,)</f>
        <v>0</v>
      </c>
      <c r="M150" s="179">
        <f ca="1">IF(ISNUMBER(MATCH(DATEVALUE($A150),'recurring1_based on steps'!M$1:M$400,0)),M$2,)</f>
        <v>0</v>
      </c>
      <c r="N150" s="179">
        <f ca="1">IF(ISNUMBER(MATCH(DATEVALUE($A150),'recurring1_based on steps'!N$1:N$400,0)),N$2,)</f>
        <v>0</v>
      </c>
      <c r="O150" s="179">
        <f ca="1">IF(ISNUMBER(MATCH(DATEVALUE($A150),'recurring1_based on steps'!O$1:O$400,0)),O$2,)</f>
        <v>0</v>
      </c>
      <c r="P150" s="179">
        <f ca="1">IF(ISNUMBER(MATCH(DATEVALUE($A150),'recurring1_based on steps'!P$1:P$400,0)),P$2,)</f>
        <v>0</v>
      </c>
      <c r="Q150" s="179">
        <f ca="1">IF(ISNUMBER(MATCH(DATEVALUE($A150),'recurring1_based on steps'!Q$1:Q$400,0)),Q$2,)</f>
        <v>0</v>
      </c>
      <c r="R150" s="179">
        <f ca="1">IF(ISNUMBER(MATCH(DATEVALUE($A150),'recurring1_based on steps'!R$1:R$400,0)),R$2,)</f>
        <v>0</v>
      </c>
      <c r="S150" s="179">
        <f ca="1">IF(ISNUMBER(MATCH(DATEVALUE($A150),'recurring1_based on steps'!S$1:S$400,0)),S$2,)</f>
        <v>0</v>
      </c>
      <c r="T150" s="179">
        <f ca="1">IF(ISNUMBER(MATCH(DATEVALUE($A150),'recurring1_based on steps'!T$1:T$400,0)),T$2,)</f>
        <v>0</v>
      </c>
      <c r="U150" s="179">
        <f ca="1">IF(ISNUMBER(MATCH(DATEVALUE($A150),'recurring1_based on steps'!U$1:U$400,0)),U$2,)</f>
        <v>0</v>
      </c>
      <c r="V150" s="179">
        <f ca="1">IF(ISNUMBER(MATCH(DATEVALUE($A150),'recurring1_based on steps'!V$1:V$400,0)),V$2,)</f>
        <v>0</v>
      </c>
      <c r="W150" s="179">
        <f ca="1">IF(ISNUMBER(MATCH(DATEVALUE($A150),'recurring1_based on steps'!W$1:W$400,0)),W$2,)</f>
        <v>0</v>
      </c>
      <c r="X150" s="179">
        <f ca="1">IF(ISNUMBER(MATCH(DATEVALUE($A150),'recurring1_based on steps'!X$1:X$400,0)),X$2,)</f>
        <v>0</v>
      </c>
      <c r="Y150" s="179">
        <f ca="1">IF(ISNUMBER(MATCH(DATEVALUE($A150),'recurring1_based on steps'!Y$1:Y$400,0)),Y$2,)</f>
        <v>0</v>
      </c>
      <c r="Z150" s="179">
        <f ca="1">IF(ISNUMBER(MATCH(DATEVALUE($A150),'recurring1_based on steps'!Z$1:Z$400,0)),Z$2,)</f>
        <v>0</v>
      </c>
      <c r="AA150" s="179">
        <f ca="1">IF(ISNUMBER(MATCH(DATEVALUE($A150),'recurring1_based on steps'!AA$1:AA$400,0)),AA$2,)</f>
        <v>0</v>
      </c>
      <c r="AB150" s="179">
        <f ca="1">IF(ISNUMBER(MATCH(DATEVALUE($A150),'recurring1_based on steps'!AB$1:AB$400,0)),AB$2,)</f>
        <v>0</v>
      </c>
      <c r="AC150" s="179">
        <f ca="1">IF(ISNUMBER(MATCH(DATEVALUE($A150),'recurring1_based on steps'!AC$1:AC$400,0)),AC$2,)</f>
        <v>0</v>
      </c>
      <c r="AD150" s="179">
        <f ca="1">IF(ISNUMBER(MATCH(DATEVALUE($A150),'recurring1_based on steps'!AD$1:AD$400,0)),AD$2,)</f>
        <v>0</v>
      </c>
      <c r="AE150" s="179">
        <f ca="1">IF(ISNUMBER(MATCH(DATEVALUE($A150),'recurring1_based on steps'!AE$1:AE$400,0)),AE$2,)</f>
        <v>0</v>
      </c>
      <c r="AF150" s="179">
        <f ca="1">IF(ISNUMBER(MATCH(DATEVALUE($A150),'recurring1_based on steps'!AF$1:AF$400,0)),AF$2,)</f>
        <v>0</v>
      </c>
      <c r="AG150" s="179">
        <f ca="1">IF(ISNUMBER(MATCH(DATEVALUE($A150),'recurring1_based on steps'!AG$1:AG$400,0)),AG$2,)</f>
        <v>0</v>
      </c>
      <c r="AH150" s="179">
        <f ca="1">IF(ISNUMBER(MATCH(DATEVALUE($A150),'recurring1_based on steps'!AH$1:AH$400,0)),AH$2,)</f>
        <v>0</v>
      </c>
      <c r="AI150" s="179">
        <f ca="1">IF(ISNUMBER(MATCH(DATEVALUE($A150),'recurring1_based on steps'!AI$1:AI$400,0)),AI$2,)</f>
        <v>0</v>
      </c>
      <c r="AJ150" s="179">
        <f ca="1">IF(ISNUMBER(MATCH(DATEVALUE($A150),'recurring1_based on steps'!AJ$1:AJ$400,0)),AJ$2,)</f>
        <v>0</v>
      </c>
      <c r="AK150" s="179">
        <f ca="1">IF(ISNUMBER(MATCH(DATEVALUE($A150),'recurring1_based on steps'!AK$1:AK$400,0)),AK$2,)</f>
        <v>0</v>
      </c>
      <c r="AL150" s="179">
        <f ca="1">IF(ISNUMBER(MATCH(DATEVALUE($A150),'recurring1_based on steps'!AL$1:AL$400,0)),AL$2,)</f>
        <v>0</v>
      </c>
      <c r="AM150" s="179">
        <f ca="1">IF(ISNUMBER(MATCH(DATEVALUE($A150),'recurring1_based on steps'!AM$1:AM$400,0)),AM$2,)</f>
        <v>0</v>
      </c>
      <c r="AN150" s="179">
        <f ca="1">IF(ISNUMBER(MATCH(DATEVALUE($A150),'recurring1_based on steps'!AN$1:AN$400,0)),AN$2,)</f>
        <v>0</v>
      </c>
      <c r="AO150" s="179">
        <f ca="1">IF(ISNUMBER(MATCH(DATEVALUE($A150),'recurring1_based on steps'!AO$1:AO$400,0)),AO$2,)</f>
        <v>0</v>
      </c>
      <c r="AP150" s="179">
        <f ca="1">IF(ISNUMBER(MATCH(DATEVALUE($A150),'recurring1_based on steps'!AP$1:AP$400,0)),AP$2,)</f>
        <v>0</v>
      </c>
      <c r="AQ150" s="179">
        <f ca="1">IF(ISNUMBER(MATCH(DATEVALUE($A150),'recurring1_based on steps'!AQ$1:AQ$400,0)),AQ$2,)</f>
        <v>0</v>
      </c>
      <c r="AR150" s="179">
        <f ca="1">IF(ISNUMBER(MATCH(DATEVALUE($A150),'recurring1_based on steps'!AR$1:AR$400,0)),AR$2,)</f>
        <v>0</v>
      </c>
      <c r="AS150" s="179">
        <f ca="1">IF(ISNUMBER(MATCH(DATEVALUE($A150),'recurring1_based on steps'!AS$1:AS$400,0)),AS$2,)</f>
        <v>0</v>
      </c>
      <c r="AT150" s="179">
        <f ca="1">IF(ISNUMBER(MATCH(DATEVALUE($A150),'recurring1_based on steps'!AT$1:AT$400,0)),AT$2,)</f>
        <v>0</v>
      </c>
      <c r="AU150" s="179">
        <f ca="1">IF(ISNUMBER(MATCH(DATEVALUE($A150),'recurring1_based on steps'!AU$1:AU$400,0)),AU$2,)</f>
        <v>0</v>
      </c>
      <c r="AV150" s="179">
        <f ca="1">IF(ISNUMBER(MATCH(DATEVALUE($A150),'recurring1_based on steps'!AV$1:AV$400,0)),AV$2,)</f>
        <v>0</v>
      </c>
      <c r="AW150" s="179">
        <f ca="1">IF(ISNUMBER(MATCH(DATEVALUE($A150),'recurring1_based on steps'!AW$1:AW$400,0)),AW$2,)</f>
        <v>0</v>
      </c>
      <c r="AX150" s="179">
        <f ca="1">IF(ISNUMBER(MATCH(DATEVALUE($A150),'recurring1_based on steps'!AX$1:AX$400,0)),AX$2,)</f>
        <v>0</v>
      </c>
      <c r="AY150" s="179">
        <f ca="1">IF(ISNUMBER(MATCH(DATEVALUE($A150),'recurring1_based on steps'!AY$1:AY$400,0)),AY$2,)</f>
        <v>0</v>
      </c>
    </row>
    <row r="151" spans="1:51" x14ac:dyDescent="0.2">
      <c r="A151" s="32" t="str">
        <f t="shared" ca="1" si="2"/>
        <v>2025-08-24</v>
      </c>
      <c r="B151" s="179">
        <f ca="1">IF(ISNUMBER(MATCH(DATEVALUE($A151),'recurring1_based on steps'!B$1:B$400,0)),B$2,)</f>
        <v>0</v>
      </c>
      <c r="C151" s="179">
        <f ca="1">IF(ISNUMBER(MATCH(DATEVALUE($A151),'recurring1_based on steps'!C$1:C$400,0)),C$2,)</f>
        <v>0</v>
      </c>
      <c r="D151" s="179">
        <f ca="1">IF(ISNUMBER(MATCH(DATEVALUE($A151),'recurring1_based on steps'!D$1:D$400,0)),D$2,)</f>
        <v>0</v>
      </c>
      <c r="E151" s="179">
        <f ca="1">IF(ISNUMBER(MATCH(DATEVALUE($A151),'recurring1_based on steps'!E$1:E$400,0)),E$2,)</f>
        <v>0</v>
      </c>
      <c r="F151" s="179">
        <f ca="1">IF(ISNUMBER(MATCH(DATEVALUE($A151),'recurring1_based on steps'!F$1:F$400,0)),F$2,)</f>
        <v>0</v>
      </c>
      <c r="G151" s="179">
        <f ca="1">IF(ISNUMBER(MATCH(DATEVALUE($A151),'recurring1_based on steps'!G$1:G$400,0)),G$2,)</f>
        <v>0</v>
      </c>
      <c r="H151" s="179">
        <f ca="1">IF(ISNUMBER(MATCH(DATEVALUE($A151),'recurring1_based on steps'!H$1:H$400,0)),H$2,)</f>
        <v>0</v>
      </c>
      <c r="I151" s="179">
        <f ca="1">IF(ISNUMBER(MATCH(DATEVALUE($A151),'recurring1_based on steps'!I$1:I$400,0)),I$2,)</f>
        <v>0</v>
      </c>
      <c r="J151" s="179">
        <f ca="1">IF(ISNUMBER(MATCH(DATEVALUE($A151),'recurring1_based on steps'!J$1:J$400,0)),J$2,)</f>
        <v>0</v>
      </c>
      <c r="K151" s="179">
        <f ca="1">IF(ISNUMBER(MATCH(DATEVALUE($A151),'recurring1_based on steps'!K$1:K$400,0)),K$2,)</f>
        <v>0</v>
      </c>
      <c r="L151" s="179">
        <f ca="1">IF(ISNUMBER(MATCH(DATEVALUE($A151),'recurring1_based on steps'!L$1:L$400,0)),L$2,)</f>
        <v>0</v>
      </c>
      <c r="M151" s="179">
        <f ca="1">IF(ISNUMBER(MATCH(DATEVALUE($A151),'recurring1_based on steps'!M$1:M$400,0)),M$2,)</f>
        <v>0</v>
      </c>
      <c r="N151" s="179">
        <f ca="1">IF(ISNUMBER(MATCH(DATEVALUE($A151),'recurring1_based on steps'!N$1:N$400,0)),N$2,)</f>
        <v>0</v>
      </c>
      <c r="O151" s="179">
        <f ca="1">IF(ISNUMBER(MATCH(DATEVALUE($A151),'recurring1_based on steps'!O$1:O$400,0)),O$2,)</f>
        <v>0</v>
      </c>
      <c r="P151" s="179">
        <f ca="1">IF(ISNUMBER(MATCH(DATEVALUE($A151),'recurring1_based on steps'!P$1:P$400,0)),P$2,)</f>
        <v>0</v>
      </c>
      <c r="Q151" s="179">
        <f ca="1">IF(ISNUMBER(MATCH(DATEVALUE($A151),'recurring1_based on steps'!Q$1:Q$400,0)),Q$2,)</f>
        <v>0</v>
      </c>
      <c r="R151" s="179">
        <f ca="1">IF(ISNUMBER(MATCH(DATEVALUE($A151),'recurring1_based on steps'!R$1:R$400,0)),R$2,)</f>
        <v>0</v>
      </c>
      <c r="S151" s="179">
        <f ca="1">IF(ISNUMBER(MATCH(DATEVALUE($A151),'recurring1_based on steps'!S$1:S$400,0)),S$2,)</f>
        <v>0</v>
      </c>
      <c r="T151" s="179">
        <f ca="1">IF(ISNUMBER(MATCH(DATEVALUE($A151),'recurring1_based on steps'!T$1:T$400,0)),T$2,)</f>
        <v>0</v>
      </c>
      <c r="U151" s="179">
        <f ca="1">IF(ISNUMBER(MATCH(DATEVALUE($A151),'recurring1_based on steps'!U$1:U$400,0)),U$2,)</f>
        <v>0</v>
      </c>
      <c r="V151" s="179">
        <f ca="1">IF(ISNUMBER(MATCH(DATEVALUE($A151),'recurring1_based on steps'!V$1:V$400,0)),V$2,)</f>
        <v>0</v>
      </c>
      <c r="W151" s="179">
        <f ca="1">IF(ISNUMBER(MATCH(DATEVALUE($A151),'recurring1_based on steps'!W$1:W$400,0)),W$2,)</f>
        <v>0</v>
      </c>
      <c r="X151" s="179">
        <f ca="1">IF(ISNUMBER(MATCH(DATEVALUE($A151),'recurring1_based on steps'!X$1:X$400,0)),X$2,)</f>
        <v>0</v>
      </c>
      <c r="Y151" s="179">
        <f ca="1">IF(ISNUMBER(MATCH(DATEVALUE($A151),'recurring1_based on steps'!Y$1:Y$400,0)),Y$2,)</f>
        <v>0</v>
      </c>
      <c r="Z151" s="179">
        <f ca="1">IF(ISNUMBER(MATCH(DATEVALUE($A151),'recurring1_based on steps'!Z$1:Z$400,0)),Z$2,)</f>
        <v>0</v>
      </c>
      <c r="AA151" s="179">
        <f ca="1">IF(ISNUMBER(MATCH(DATEVALUE($A151),'recurring1_based on steps'!AA$1:AA$400,0)),AA$2,)</f>
        <v>0</v>
      </c>
      <c r="AB151" s="179">
        <f ca="1">IF(ISNUMBER(MATCH(DATEVALUE($A151),'recurring1_based on steps'!AB$1:AB$400,0)),AB$2,)</f>
        <v>0</v>
      </c>
      <c r="AC151" s="179">
        <f ca="1">IF(ISNUMBER(MATCH(DATEVALUE($A151),'recurring1_based on steps'!AC$1:AC$400,0)),AC$2,)</f>
        <v>0</v>
      </c>
      <c r="AD151" s="179">
        <f ca="1">IF(ISNUMBER(MATCH(DATEVALUE($A151),'recurring1_based on steps'!AD$1:AD$400,0)),AD$2,)</f>
        <v>0</v>
      </c>
      <c r="AE151" s="179">
        <f ca="1">IF(ISNUMBER(MATCH(DATEVALUE($A151),'recurring1_based on steps'!AE$1:AE$400,0)),AE$2,)</f>
        <v>0</v>
      </c>
      <c r="AF151" s="179">
        <f ca="1">IF(ISNUMBER(MATCH(DATEVALUE($A151),'recurring1_based on steps'!AF$1:AF$400,0)),AF$2,)</f>
        <v>0</v>
      </c>
      <c r="AG151" s="179">
        <f ca="1">IF(ISNUMBER(MATCH(DATEVALUE($A151),'recurring1_based on steps'!AG$1:AG$400,0)),AG$2,)</f>
        <v>0</v>
      </c>
      <c r="AH151" s="179">
        <f ca="1">IF(ISNUMBER(MATCH(DATEVALUE($A151),'recurring1_based on steps'!AH$1:AH$400,0)),AH$2,)</f>
        <v>0</v>
      </c>
      <c r="AI151" s="179">
        <f ca="1">IF(ISNUMBER(MATCH(DATEVALUE($A151),'recurring1_based on steps'!AI$1:AI$400,0)),AI$2,)</f>
        <v>0</v>
      </c>
      <c r="AJ151" s="179">
        <f ca="1">IF(ISNUMBER(MATCH(DATEVALUE($A151),'recurring1_based on steps'!AJ$1:AJ$400,0)),AJ$2,)</f>
        <v>0</v>
      </c>
      <c r="AK151" s="179">
        <f ca="1">IF(ISNUMBER(MATCH(DATEVALUE($A151),'recurring1_based on steps'!AK$1:AK$400,0)),AK$2,)</f>
        <v>0</v>
      </c>
      <c r="AL151" s="179">
        <f ca="1">IF(ISNUMBER(MATCH(DATEVALUE($A151),'recurring1_based on steps'!AL$1:AL$400,0)),AL$2,)</f>
        <v>0</v>
      </c>
      <c r="AM151" s="179">
        <f ca="1">IF(ISNUMBER(MATCH(DATEVALUE($A151),'recurring1_based on steps'!AM$1:AM$400,0)),AM$2,)</f>
        <v>0</v>
      </c>
      <c r="AN151" s="179">
        <f ca="1">IF(ISNUMBER(MATCH(DATEVALUE($A151),'recurring1_based on steps'!AN$1:AN$400,0)),AN$2,)</f>
        <v>0</v>
      </c>
      <c r="AO151" s="179">
        <f ca="1">IF(ISNUMBER(MATCH(DATEVALUE($A151),'recurring1_based on steps'!AO$1:AO$400,0)),AO$2,)</f>
        <v>0</v>
      </c>
      <c r="AP151" s="179">
        <f ca="1">IF(ISNUMBER(MATCH(DATEVALUE($A151),'recurring1_based on steps'!AP$1:AP$400,0)),AP$2,)</f>
        <v>0</v>
      </c>
      <c r="AQ151" s="179">
        <f ca="1">IF(ISNUMBER(MATCH(DATEVALUE($A151),'recurring1_based on steps'!AQ$1:AQ$400,0)),AQ$2,)</f>
        <v>0</v>
      </c>
      <c r="AR151" s="179">
        <f ca="1">IF(ISNUMBER(MATCH(DATEVALUE($A151),'recurring1_based on steps'!AR$1:AR$400,0)),AR$2,)</f>
        <v>0</v>
      </c>
      <c r="AS151" s="179">
        <f ca="1">IF(ISNUMBER(MATCH(DATEVALUE($A151),'recurring1_based on steps'!AS$1:AS$400,0)),AS$2,)</f>
        <v>0</v>
      </c>
      <c r="AT151" s="179">
        <f ca="1">IF(ISNUMBER(MATCH(DATEVALUE($A151),'recurring1_based on steps'!AT$1:AT$400,0)),AT$2,)</f>
        <v>0</v>
      </c>
      <c r="AU151" s="179">
        <f ca="1">IF(ISNUMBER(MATCH(DATEVALUE($A151),'recurring1_based on steps'!AU$1:AU$400,0)),AU$2,)</f>
        <v>0</v>
      </c>
      <c r="AV151" s="179">
        <f ca="1">IF(ISNUMBER(MATCH(DATEVALUE($A151),'recurring1_based on steps'!AV$1:AV$400,0)),AV$2,)</f>
        <v>0</v>
      </c>
      <c r="AW151" s="179">
        <f ca="1">IF(ISNUMBER(MATCH(DATEVALUE($A151),'recurring1_based on steps'!AW$1:AW$400,0)),AW$2,)</f>
        <v>0</v>
      </c>
      <c r="AX151" s="179">
        <f ca="1">IF(ISNUMBER(MATCH(DATEVALUE($A151),'recurring1_based on steps'!AX$1:AX$400,0)),AX$2,)</f>
        <v>0</v>
      </c>
      <c r="AY151" s="179">
        <f ca="1">IF(ISNUMBER(MATCH(DATEVALUE($A151),'recurring1_based on steps'!AY$1:AY$400,0)),AY$2,)</f>
        <v>0</v>
      </c>
    </row>
    <row r="152" spans="1:51" x14ac:dyDescent="0.2">
      <c r="A152" s="32" t="str">
        <f t="shared" ca="1" si="2"/>
        <v>2025-08-25</v>
      </c>
      <c r="B152" s="179">
        <f ca="1">IF(ISNUMBER(MATCH(DATEVALUE($A152),'recurring1_based on steps'!B$1:B$400,0)),B$2,)</f>
        <v>0</v>
      </c>
      <c r="C152" s="179">
        <f ca="1">IF(ISNUMBER(MATCH(DATEVALUE($A152),'recurring1_based on steps'!C$1:C$400,0)),C$2,)</f>
        <v>0</v>
      </c>
      <c r="D152" s="179">
        <f ca="1">IF(ISNUMBER(MATCH(DATEVALUE($A152),'recurring1_based on steps'!D$1:D$400,0)),D$2,)</f>
        <v>0</v>
      </c>
      <c r="E152" s="179">
        <f ca="1">IF(ISNUMBER(MATCH(DATEVALUE($A152),'recurring1_based on steps'!E$1:E$400,0)),E$2,)</f>
        <v>0</v>
      </c>
      <c r="F152" s="179">
        <f ca="1">IF(ISNUMBER(MATCH(DATEVALUE($A152),'recurring1_based on steps'!F$1:F$400,0)),F$2,)</f>
        <v>0</v>
      </c>
      <c r="G152" s="179">
        <f ca="1">IF(ISNUMBER(MATCH(DATEVALUE($A152),'recurring1_based on steps'!G$1:G$400,0)),G$2,)</f>
        <v>0</v>
      </c>
      <c r="H152" s="179">
        <f ca="1">IF(ISNUMBER(MATCH(DATEVALUE($A152),'recurring1_based on steps'!H$1:H$400,0)),H$2,)</f>
        <v>0</v>
      </c>
      <c r="I152" s="179">
        <f ca="1">IF(ISNUMBER(MATCH(DATEVALUE($A152),'recurring1_based on steps'!I$1:I$400,0)),I$2,)</f>
        <v>0</v>
      </c>
      <c r="J152" s="179">
        <f ca="1">IF(ISNUMBER(MATCH(DATEVALUE($A152),'recurring1_based on steps'!J$1:J$400,0)),J$2,)</f>
        <v>0</v>
      </c>
      <c r="K152" s="179">
        <f ca="1">IF(ISNUMBER(MATCH(DATEVALUE($A152),'recurring1_based on steps'!K$1:K$400,0)),K$2,)</f>
        <v>0</v>
      </c>
      <c r="L152" s="179">
        <f ca="1">IF(ISNUMBER(MATCH(DATEVALUE($A152),'recurring1_based on steps'!L$1:L$400,0)),L$2,)</f>
        <v>0</v>
      </c>
      <c r="M152" s="179">
        <f ca="1">IF(ISNUMBER(MATCH(DATEVALUE($A152),'recurring1_based on steps'!M$1:M$400,0)),M$2,)</f>
        <v>0</v>
      </c>
      <c r="N152" s="179">
        <f ca="1">IF(ISNUMBER(MATCH(DATEVALUE($A152),'recurring1_based on steps'!N$1:N$400,0)),N$2,)</f>
        <v>0</v>
      </c>
      <c r="O152" s="179">
        <f ca="1">IF(ISNUMBER(MATCH(DATEVALUE($A152),'recurring1_based on steps'!O$1:O$400,0)),O$2,)</f>
        <v>0</v>
      </c>
      <c r="P152" s="179">
        <f ca="1">IF(ISNUMBER(MATCH(DATEVALUE($A152),'recurring1_based on steps'!P$1:P$400,0)),P$2,)</f>
        <v>0</v>
      </c>
      <c r="Q152" s="179">
        <f ca="1">IF(ISNUMBER(MATCH(DATEVALUE($A152),'recurring1_based on steps'!Q$1:Q$400,0)),Q$2,)</f>
        <v>0</v>
      </c>
      <c r="R152" s="179">
        <f ca="1">IF(ISNUMBER(MATCH(DATEVALUE($A152),'recurring1_based on steps'!R$1:R$400,0)),R$2,)</f>
        <v>0</v>
      </c>
      <c r="S152" s="179">
        <f ca="1">IF(ISNUMBER(MATCH(DATEVALUE($A152),'recurring1_based on steps'!S$1:S$400,0)),S$2,)</f>
        <v>0</v>
      </c>
      <c r="T152" s="179">
        <f ca="1">IF(ISNUMBER(MATCH(DATEVALUE($A152),'recurring1_based on steps'!T$1:T$400,0)),T$2,)</f>
        <v>0</v>
      </c>
      <c r="U152" s="179">
        <f ca="1">IF(ISNUMBER(MATCH(DATEVALUE($A152),'recurring1_based on steps'!U$1:U$400,0)),U$2,)</f>
        <v>0</v>
      </c>
      <c r="V152" s="179">
        <f ca="1">IF(ISNUMBER(MATCH(DATEVALUE($A152),'recurring1_based on steps'!V$1:V$400,0)),V$2,)</f>
        <v>0</v>
      </c>
      <c r="W152" s="179">
        <f ca="1">IF(ISNUMBER(MATCH(DATEVALUE($A152),'recurring1_based on steps'!W$1:W$400,0)),W$2,)</f>
        <v>0</v>
      </c>
      <c r="X152" s="179">
        <f ca="1">IF(ISNUMBER(MATCH(DATEVALUE($A152),'recurring1_based on steps'!X$1:X$400,0)),X$2,)</f>
        <v>0</v>
      </c>
      <c r="Y152" s="179">
        <f ca="1">IF(ISNUMBER(MATCH(DATEVALUE($A152),'recurring1_based on steps'!Y$1:Y$400,0)),Y$2,)</f>
        <v>0</v>
      </c>
      <c r="Z152" s="179">
        <f ca="1">IF(ISNUMBER(MATCH(DATEVALUE($A152),'recurring1_based on steps'!Z$1:Z$400,0)),Z$2,)</f>
        <v>0</v>
      </c>
      <c r="AA152" s="179">
        <f ca="1">IF(ISNUMBER(MATCH(DATEVALUE($A152),'recurring1_based on steps'!AA$1:AA$400,0)),AA$2,)</f>
        <v>0</v>
      </c>
      <c r="AB152" s="179">
        <f ca="1">IF(ISNUMBER(MATCH(DATEVALUE($A152),'recurring1_based on steps'!AB$1:AB$400,0)),AB$2,)</f>
        <v>0</v>
      </c>
      <c r="AC152" s="179">
        <f ca="1">IF(ISNUMBER(MATCH(DATEVALUE($A152),'recurring1_based on steps'!AC$1:AC$400,0)),AC$2,)</f>
        <v>0</v>
      </c>
      <c r="AD152" s="179">
        <f ca="1">IF(ISNUMBER(MATCH(DATEVALUE($A152),'recurring1_based on steps'!AD$1:AD$400,0)),AD$2,)</f>
        <v>0</v>
      </c>
      <c r="AE152" s="179">
        <f ca="1">IF(ISNUMBER(MATCH(DATEVALUE($A152),'recurring1_based on steps'!AE$1:AE$400,0)),AE$2,)</f>
        <v>0</v>
      </c>
      <c r="AF152" s="179">
        <f ca="1">IF(ISNUMBER(MATCH(DATEVALUE($A152),'recurring1_based on steps'!AF$1:AF$400,0)),AF$2,)</f>
        <v>0</v>
      </c>
      <c r="AG152" s="179">
        <f ca="1">IF(ISNUMBER(MATCH(DATEVALUE($A152),'recurring1_based on steps'!AG$1:AG$400,0)),AG$2,)</f>
        <v>0</v>
      </c>
      <c r="AH152" s="179">
        <f ca="1">IF(ISNUMBER(MATCH(DATEVALUE($A152),'recurring1_based on steps'!AH$1:AH$400,0)),AH$2,)</f>
        <v>0</v>
      </c>
      <c r="AI152" s="179">
        <f ca="1">IF(ISNUMBER(MATCH(DATEVALUE($A152),'recurring1_based on steps'!AI$1:AI$400,0)),AI$2,)</f>
        <v>0</v>
      </c>
      <c r="AJ152" s="179">
        <f ca="1">IF(ISNUMBER(MATCH(DATEVALUE($A152),'recurring1_based on steps'!AJ$1:AJ$400,0)),AJ$2,)</f>
        <v>0</v>
      </c>
      <c r="AK152" s="179">
        <f ca="1">IF(ISNUMBER(MATCH(DATEVALUE($A152),'recurring1_based on steps'!AK$1:AK$400,0)),AK$2,)</f>
        <v>0</v>
      </c>
      <c r="AL152" s="179">
        <f ca="1">IF(ISNUMBER(MATCH(DATEVALUE($A152),'recurring1_based on steps'!AL$1:AL$400,0)),AL$2,)</f>
        <v>0</v>
      </c>
      <c r="AM152" s="179">
        <f ca="1">IF(ISNUMBER(MATCH(DATEVALUE($A152),'recurring1_based on steps'!AM$1:AM$400,0)),AM$2,)</f>
        <v>0</v>
      </c>
      <c r="AN152" s="179">
        <f ca="1">IF(ISNUMBER(MATCH(DATEVALUE($A152),'recurring1_based on steps'!AN$1:AN$400,0)),AN$2,)</f>
        <v>0</v>
      </c>
      <c r="AO152" s="179">
        <f ca="1">IF(ISNUMBER(MATCH(DATEVALUE($A152),'recurring1_based on steps'!AO$1:AO$400,0)),AO$2,)</f>
        <v>0</v>
      </c>
      <c r="AP152" s="179">
        <f ca="1">IF(ISNUMBER(MATCH(DATEVALUE($A152),'recurring1_based on steps'!AP$1:AP$400,0)),AP$2,)</f>
        <v>0</v>
      </c>
      <c r="AQ152" s="179">
        <f ca="1">IF(ISNUMBER(MATCH(DATEVALUE($A152),'recurring1_based on steps'!AQ$1:AQ$400,0)),AQ$2,)</f>
        <v>0</v>
      </c>
      <c r="AR152" s="179">
        <f ca="1">IF(ISNUMBER(MATCH(DATEVALUE($A152),'recurring1_based on steps'!AR$1:AR$400,0)),AR$2,)</f>
        <v>0</v>
      </c>
      <c r="AS152" s="179">
        <f ca="1">IF(ISNUMBER(MATCH(DATEVALUE($A152),'recurring1_based on steps'!AS$1:AS$400,0)),AS$2,)</f>
        <v>0</v>
      </c>
      <c r="AT152" s="179">
        <f ca="1">IF(ISNUMBER(MATCH(DATEVALUE($A152),'recurring1_based on steps'!AT$1:AT$400,0)),AT$2,)</f>
        <v>0</v>
      </c>
      <c r="AU152" s="179">
        <f ca="1">IF(ISNUMBER(MATCH(DATEVALUE($A152),'recurring1_based on steps'!AU$1:AU$400,0)),AU$2,)</f>
        <v>0</v>
      </c>
      <c r="AV152" s="179">
        <f ca="1">IF(ISNUMBER(MATCH(DATEVALUE($A152),'recurring1_based on steps'!AV$1:AV$400,0)),AV$2,)</f>
        <v>0</v>
      </c>
      <c r="AW152" s="179">
        <f ca="1">IF(ISNUMBER(MATCH(DATEVALUE($A152),'recurring1_based on steps'!AW$1:AW$400,0)),AW$2,)</f>
        <v>0</v>
      </c>
      <c r="AX152" s="179">
        <f ca="1">IF(ISNUMBER(MATCH(DATEVALUE($A152),'recurring1_based on steps'!AX$1:AX$400,0)),AX$2,)</f>
        <v>0</v>
      </c>
      <c r="AY152" s="179">
        <f ca="1">IF(ISNUMBER(MATCH(DATEVALUE($A152),'recurring1_based on steps'!AY$1:AY$400,0)),AY$2,)</f>
        <v>0</v>
      </c>
    </row>
    <row r="153" spans="1:51" x14ac:dyDescent="0.2">
      <c r="A153" s="32" t="str">
        <f t="shared" ca="1" si="2"/>
        <v>2025-08-26</v>
      </c>
      <c r="B153" s="179">
        <f ca="1">IF(ISNUMBER(MATCH(DATEVALUE($A153),'recurring1_based on steps'!B$1:B$400,0)),B$2,)</f>
        <v>0</v>
      </c>
      <c r="C153" s="179">
        <f ca="1">IF(ISNUMBER(MATCH(DATEVALUE($A153),'recurring1_based on steps'!C$1:C$400,0)),C$2,)</f>
        <v>0</v>
      </c>
      <c r="D153" s="179">
        <f ca="1">IF(ISNUMBER(MATCH(DATEVALUE($A153),'recurring1_based on steps'!D$1:D$400,0)),D$2,)</f>
        <v>0</v>
      </c>
      <c r="E153" s="179">
        <f ca="1">IF(ISNUMBER(MATCH(DATEVALUE($A153),'recurring1_based on steps'!E$1:E$400,0)),E$2,)</f>
        <v>0</v>
      </c>
      <c r="F153" s="179">
        <f ca="1">IF(ISNUMBER(MATCH(DATEVALUE($A153),'recurring1_based on steps'!F$1:F$400,0)),F$2,)</f>
        <v>0</v>
      </c>
      <c r="G153" s="179">
        <f ca="1">IF(ISNUMBER(MATCH(DATEVALUE($A153),'recurring1_based on steps'!G$1:G$400,0)),G$2,)</f>
        <v>0</v>
      </c>
      <c r="H153" s="179">
        <f ca="1">IF(ISNUMBER(MATCH(DATEVALUE($A153),'recurring1_based on steps'!H$1:H$400,0)),H$2,)</f>
        <v>0</v>
      </c>
      <c r="I153" s="179">
        <f ca="1">IF(ISNUMBER(MATCH(DATEVALUE($A153),'recurring1_based on steps'!I$1:I$400,0)),I$2,)</f>
        <v>0</v>
      </c>
      <c r="J153" s="179">
        <f ca="1">IF(ISNUMBER(MATCH(DATEVALUE($A153),'recurring1_based on steps'!J$1:J$400,0)),J$2,)</f>
        <v>0</v>
      </c>
      <c r="K153" s="179">
        <f ca="1">IF(ISNUMBER(MATCH(DATEVALUE($A153),'recurring1_based on steps'!K$1:K$400,0)),K$2,)</f>
        <v>0</v>
      </c>
      <c r="L153" s="179">
        <f ca="1">IF(ISNUMBER(MATCH(DATEVALUE($A153),'recurring1_based on steps'!L$1:L$400,0)),L$2,)</f>
        <v>0</v>
      </c>
      <c r="M153" s="179">
        <f ca="1">IF(ISNUMBER(MATCH(DATEVALUE($A153),'recurring1_based on steps'!M$1:M$400,0)),M$2,)</f>
        <v>0</v>
      </c>
      <c r="N153" s="179">
        <f ca="1">IF(ISNUMBER(MATCH(DATEVALUE($A153),'recurring1_based on steps'!N$1:N$400,0)),N$2,)</f>
        <v>0</v>
      </c>
      <c r="O153" s="179">
        <f ca="1">IF(ISNUMBER(MATCH(DATEVALUE($A153),'recurring1_based on steps'!O$1:O$400,0)),O$2,)</f>
        <v>0</v>
      </c>
      <c r="P153" s="179">
        <f ca="1">IF(ISNUMBER(MATCH(DATEVALUE($A153),'recurring1_based on steps'!P$1:P$400,0)),P$2,)</f>
        <v>0</v>
      </c>
      <c r="Q153" s="179">
        <f ca="1">IF(ISNUMBER(MATCH(DATEVALUE($A153),'recurring1_based on steps'!Q$1:Q$400,0)),Q$2,)</f>
        <v>0</v>
      </c>
      <c r="R153" s="179">
        <f ca="1">IF(ISNUMBER(MATCH(DATEVALUE($A153),'recurring1_based on steps'!R$1:R$400,0)),R$2,)</f>
        <v>0</v>
      </c>
      <c r="S153" s="179">
        <f ca="1">IF(ISNUMBER(MATCH(DATEVALUE($A153),'recurring1_based on steps'!S$1:S$400,0)),S$2,)</f>
        <v>0</v>
      </c>
      <c r="T153" s="179">
        <f ca="1">IF(ISNUMBER(MATCH(DATEVALUE($A153),'recurring1_based on steps'!T$1:T$400,0)),T$2,)</f>
        <v>0</v>
      </c>
      <c r="U153" s="179">
        <f ca="1">IF(ISNUMBER(MATCH(DATEVALUE($A153),'recurring1_based on steps'!U$1:U$400,0)),U$2,)</f>
        <v>0</v>
      </c>
      <c r="V153" s="179">
        <f ca="1">IF(ISNUMBER(MATCH(DATEVALUE($A153),'recurring1_based on steps'!V$1:V$400,0)),V$2,)</f>
        <v>0</v>
      </c>
      <c r="W153" s="179">
        <f ca="1">IF(ISNUMBER(MATCH(DATEVALUE($A153),'recurring1_based on steps'!W$1:W$400,0)),W$2,)</f>
        <v>0</v>
      </c>
      <c r="X153" s="179">
        <f ca="1">IF(ISNUMBER(MATCH(DATEVALUE($A153),'recurring1_based on steps'!X$1:X$400,0)),X$2,)</f>
        <v>0</v>
      </c>
      <c r="Y153" s="179">
        <f ca="1">IF(ISNUMBER(MATCH(DATEVALUE($A153),'recurring1_based on steps'!Y$1:Y$400,0)),Y$2,)</f>
        <v>0</v>
      </c>
      <c r="Z153" s="179">
        <f ca="1">IF(ISNUMBER(MATCH(DATEVALUE($A153),'recurring1_based on steps'!Z$1:Z$400,0)),Z$2,)</f>
        <v>0</v>
      </c>
      <c r="AA153" s="179">
        <f ca="1">IF(ISNUMBER(MATCH(DATEVALUE($A153),'recurring1_based on steps'!AA$1:AA$400,0)),AA$2,)</f>
        <v>0</v>
      </c>
      <c r="AB153" s="179">
        <f ca="1">IF(ISNUMBER(MATCH(DATEVALUE($A153),'recurring1_based on steps'!AB$1:AB$400,0)),AB$2,)</f>
        <v>0</v>
      </c>
      <c r="AC153" s="179">
        <f ca="1">IF(ISNUMBER(MATCH(DATEVALUE($A153),'recurring1_based on steps'!AC$1:AC$400,0)),AC$2,)</f>
        <v>0</v>
      </c>
      <c r="AD153" s="179">
        <f ca="1">IF(ISNUMBER(MATCH(DATEVALUE($A153),'recurring1_based on steps'!AD$1:AD$400,0)),AD$2,)</f>
        <v>0</v>
      </c>
      <c r="AE153" s="179">
        <f ca="1">IF(ISNUMBER(MATCH(DATEVALUE($A153),'recurring1_based on steps'!AE$1:AE$400,0)),AE$2,)</f>
        <v>0</v>
      </c>
      <c r="AF153" s="179">
        <f ca="1">IF(ISNUMBER(MATCH(DATEVALUE($A153),'recurring1_based on steps'!AF$1:AF$400,0)),AF$2,)</f>
        <v>0</v>
      </c>
      <c r="AG153" s="179">
        <f ca="1">IF(ISNUMBER(MATCH(DATEVALUE($A153),'recurring1_based on steps'!AG$1:AG$400,0)),AG$2,)</f>
        <v>0</v>
      </c>
      <c r="AH153" s="179">
        <f ca="1">IF(ISNUMBER(MATCH(DATEVALUE($A153),'recurring1_based on steps'!AH$1:AH$400,0)),AH$2,)</f>
        <v>0</v>
      </c>
      <c r="AI153" s="179">
        <f ca="1">IF(ISNUMBER(MATCH(DATEVALUE($A153),'recurring1_based on steps'!AI$1:AI$400,0)),AI$2,)</f>
        <v>0</v>
      </c>
      <c r="AJ153" s="179">
        <f ca="1">IF(ISNUMBER(MATCH(DATEVALUE($A153),'recurring1_based on steps'!AJ$1:AJ$400,0)),AJ$2,)</f>
        <v>0</v>
      </c>
      <c r="AK153" s="179">
        <f ca="1">IF(ISNUMBER(MATCH(DATEVALUE($A153),'recurring1_based on steps'!AK$1:AK$400,0)),AK$2,)</f>
        <v>0</v>
      </c>
      <c r="AL153" s="179">
        <f ca="1">IF(ISNUMBER(MATCH(DATEVALUE($A153),'recurring1_based on steps'!AL$1:AL$400,0)),AL$2,)</f>
        <v>0</v>
      </c>
      <c r="AM153" s="179">
        <f ca="1">IF(ISNUMBER(MATCH(DATEVALUE($A153),'recurring1_based on steps'!AM$1:AM$400,0)),AM$2,)</f>
        <v>0</v>
      </c>
      <c r="AN153" s="179">
        <f ca="1">IF(ISNUMBER(MATCH(DATEVALUE($A153),'recurring1_based on steps'!AN$1:AN$400,0)),AN$2,)</f>
        <v>0</v>
      </c>
      <c r="AO153" s="179">
        <f ca="1">IF(ISNUMBER(MATCH(DATEVALUE($A153),'recurring1_based on steps'!AO$1:AO$400,0)),AO$2,)</f>
        <v>0</v>
      </c>
      <c r="AP153" s="179">
        <f ca="1">IF(ISNUMBER(MATCH(DATEVALUE($A153),'recurring1_based on steps'!AP$1:AP$400,0)),AP$2,)</f>
        <v>0</v>
      </c>
      <c r="AQ153" s="179">
        <f ca="1">IF(ISNUMBER(MATCH(DATEVALUE($A153),'recurring1_based on steps'!AQ$1:AQ$400,0)),AQ$2,)</f>
        <v>0</v>
      </c>
      <c r="AR153" s="179">
        <f ca="1">IF(ISNUMBER(MATCH(DATEVALUE($A153),'recurring1_based on steps'!AR$1:AR$400,0)),AR$2,)</f>
        <v>0</v>
      </c>
      <c r="AS153" s="179">
        <f ca="1">IF(ISNUMBER(MATCH(DATEVALUE($A153),'recurring1_based on steps'!AS$1:AS$400,0)),AS$2,)</f>
        <v>0</v>
      </c>
      <c r="AT153" s="179">
        <f ca="1">IF(ISNUMBER(MATCH(DATEVALUE($A153),'recurring1_based on steps'!AT$1:AT$400,0)),AT$2,)</f>
        <v>0</v>
      </c>
      <c r="AU153" s="179">
        <f ca="1">IF(ISNUMBER(MATCH(DATEVALUE($A153),'recurring1_based on steps'!AU$1:AU$400,0)),AU$2,)</f>
        <v>0</v>
      </c>
      <c r="AV153" s="179">
        <f ca="1">IF(ISNUMBER(MATCH(DATEVALUE($A153),'recurring1_based on steps'!AV$1:AV$400,0)),AV$2,)</f>
        <v>0</v>
      </c>
      <c r="AW153" s="179">
        <f ca="1">IF(ISNUMBER(MATCH(DATEVALUE($A153),'recurring1_based on steps'!AW$1:AW$400,0)),AW$2,)</f>
        <v>0</v>
      </c>
      <c r="AX153" s="179">
        <f ca="1">IF(ISNUMBER(MATCH(DATEVALUE($A153),'recurring1_based on steps'!AX$1:AX$400,0)),AX$2,)</f>
        <v>0</v>
      </c>
      <c r="AY153" s="179">
        <f ca="1">IF(ISNUMBER(MATCH(DATEVALUE($A153),'recurring1_based on steps'!AY$1:AY$400,0)),AY$2,)</f>
        <v>0</v>
      </c>
    </row>
    <row r="154" spans="1:51" x14ac:dyDescent="0.2">
      <c r="A154" s="32" t="str">
        <f t="shared" ca="1" si="2"/>
        <v>2025-08-27</v>
      </c>
      <c r="B154" s="179">
        <f ca="1">IF(ISNUMBER(MATCH(DATEVALUE($A154),'recurring1_based on steps'!B$1:B$400,0)),B$2,)</f>
        <v>0</v>
      </c>
      <c r="C154" s="179">
        <f ca="1">IF(ISNUMBER(MATCH(DATEVALUE($A154),'recurring1_based on steps'!C$1:C$400,0)),C$2,)</f>
        <v>0</v>
      </c>
      <c r="D154" s="179">
        <f ca="1">IF(ISNUMBER(MATCH(DATEVALUE($A154),'recurring1_based on steps'!D$1:D$400,0)),D$2,)</f>
        <v>0</v>
      </c>
      <c r="E154" s="179">
        <f ca="1">IF(ISNUMBER(MATCH(DATEVALUE($A154),'recurring1_based on steps'!E$1:E$400,0)),E$2,)</f>
        <v>0</v>
      </c>
      <c r="F154" s="179">
        <f ca="1">IF(ISNUMBER(MATCH(DATEVALUE($A154),'recurring1_based on steps'!F$1:F$400,0)),F$2,)</f>
        <v>0</v>
      </c>
      <c r="G154" s="179">
        <f ca="1">IF(ISNUMBER(MATCH(DATEVALUE($A154),'recurring1_based on steps'!G$1:G$400,0)),G$2,)</f>
        <v>0</v>
      </c>
      <c r="H154" s="179">
        <f ca="1">IF(ISNUMBER(MATCH(DATEVALUE($A154),'recurring1_based on steps'!H$1:H$400,0)),H$2,)</f>
        <v>0</v>
      </c>
      <c r="I154" s="179">
        <f ca="1">IF(ISNUMBER(MATCH(DATEVALUE($A154),'recurring1_based on steps'!I$1:I$400,0)),I$2,)</f>
        <v>0</v>
      </c>
      <c r="J154" s="179">
        <f ca="1">IF(ISNUMBER(MATCH(DATEVALUE($A154),'recurring1_based on steps'!J$1:J$400,0)),J$2,)</f>
        <v>0</v>
      </c>
      <c r="K154" s="179">
        <f ca="1">IF(ISNUMBER(MATCH(DATEVALUE($A154),'recurring1_based on steps'!K$1:K$400,0)),K$2,)</f>
        <v>0</v>
      </c>
      <c r="L154" s="179">
        <f ca="1">IF(ISNUMBER(MATCH(DATEVALUE($A154),'recurring1_based on steps'!L$1:L$400,0)),L$2,)</f>
        <v>0</v>
      </c>
      <c r="M154" s="179">
        <f ca="1">IF(ISNUMBER(MATCH(DATEVALUE($A154),'recurring1_based on steps'!M$1:M$400,0)),M$2,)</f>
        <v>0</v>
      </c>
      <c r="N154" s="179">
        <f ca="1">IF(ISNUMBER(MATCH(DATEVALUE($A154),'recurring1_based on steps'!N$1:N$400,0)),N$2,)</f>
        <v>0</v>
      </c>
      <c r="O154" s="179">
        <f ca="1">IF(ISNUMBER(MATCH(DATEVALUE($A154),'recurring1_based on steps'!O$1:O$400,0)),O$2,)</f>
        <v>0</v>
      </c>
      <c r="P154" s="179">
        <f ca="1">IF(ISNUMBER(MATCH(DATEVALUE($A154),'recurring1_based on steps'!P$1:P$400,0)),P$2,)</f>
        <v>0</v>
      </c>
      <c r="Q154" s="179">
        <f ca="1">IF(ISNUMBER(MATCH(DATEVALUE($A154),'recurring1_based on steps'!Q$1:Q$400,0)),Q$2,)</f>
        <v>0</v>
      </c>
      <c r="R154" s="179">
        <f ca="1">IF(ISNUMBER(MATCH(DATEVALUE($A154),'recurring1_based on steps'!R$1:R$400,0)),R$2,)</f>
        <v>0</v>
      </c>
      <c r="S154" s="179">
        <f ca="1">IF(ISNUMBER(MATCH(DATEVALUE($A154),'recurring1_based on steps'!S$1:S$400,0)),S$2,)</f>
        <v>0</v>
      </c>
      <c r="T154" s="179">
        <f ca="1">IF(ISNUMBER(MATCH(DATEVALUE($A154),'recurring1_based on steps'!T$1:T$400,0)),T$2,)</f>
        <v>0</v>
      </c>
      <c r="U154" s="179">
        <f ca="1">IF(ISNUMBER(MATCH(DATEVALUE($A154),'recurring1_based on steps'!U$1:U$400,0)),U$2,)</f>
        <v>0</v>
      </c>
      <c r="V154" s="179">
        <f ca="1">IF(ISNUMBER(MATCH(DATEVALUE($A154),'recurring1_based on steps'!V$1:V$400,0)),V$2,)</f>
        <v>0</v>
      </c>
      <c r="W154" s="179">
        <f ca="1">IF(ISNUMBER(MATCH(DATEVALUE($A154),'recurring1_based on steps'!W$1:W$400,0)),W$2,)</f>
        <v>0</v>
      </c>
      <c r="X154" s="179">
        <f ca="1">IF(ISNUMBER(MATCH(DATEVALUE($A154),'recurring1_based on steps'!X$1:X$400,0)),X$2,)</f>
        <v>0</v>
      </c>
      <c r="Y154" s="179">
        <f ca="1">IF(ISNUMBER(MATCH(DATEVALUE($A154),'recurring1_based on steps'!Y$1:Y$400,0)),Y$2,)</f>
        <v>0</v>
      </c>
      <c r="Z154" s="179">
        <f ca="1">IF(ISNUMBER(MATCH(DATEVALUE($A154),'recurring1_based on steps'!Z$1:Z$400,0)),Z$2,)</f>
        <v>0</v>
      </c>
      <c r="AA154" s="179">
        <f ca="1">IF(ISNUMBER(MATCH(DATEVALUE($A154),'recurring1_based on steps'!AA$1:AA$400,0)),AA$2,)</f>
        <v>0</v>
      </c>
      <c r="AB154" s="179">
        <f ca="1">IF(ISNUMBER(MATCH(DATEVALUE($A154),'recurring1_based on steps'!AB$1:AB$400,0)),AB$2,)</f>
        <v>0</v>
      </c>
      <c r="AC154" s="179">
        <f ca="1">IF(ISNUMBER(MATCH(DATEVALUE($A154),'recurring1_based on steps'!AC$1:AC$400,0)),AC$2,)</f>
        <v>0</v>
      </c>
      <c r="AD154" s="179">
        <f ca="1">IF(ISNUMBER(MATCH(DATEVALUE($A154),'recurring1_based on steps'!AD$1:AD$400,0)),AD$2,)</f>
        <v>0</v>
      </c>
      <c r="AE154" s="179">
        <f ca="1">IF(ISNUMBER(MATCH(DATEVALUE($A154),'recurring1_based on steps'!AE$1:AE$400,0)),AE$2,)</f>
        <v>0</v>
      </c>
      <c r="AF154" s="179">
        <f ca="1">IF(ISNUMBER(MATCH(DATEVALUE($A154),'recurring1_based on steps'!AF$1:AF$400,0)),AF$2,)</f>
        <v>0</v>
      </c>
      <c r="AG154" s="179">
        <f ca="1">IF(ISNUMBER(MATCH(DATEVALUE($A154),'recurring1_based on steps'!AG$1:AG$400,0)),AG$2,)</f>
        <v>0</v>
      </c>
      <c r="AH154" s="179">
        <f ca="1">IF(ISNUMBER(MATCH(DATEVALUE($A154),'recurring1_based on steps'!AH$1:AH$400,0)),AH$2,)</f>
        <v>0</v>
      </c>
      <c r="AI154" s="179">
        <f ca="1">IF(ISNUMBER(MATCH(DATEVALUE($A154),'recurring1_based on steps'!AI$1:AI$400,0)),AI$2,)</f>
        <v>0</v>
      </c>
      <c r="AJ154" s="179">
        <f ca="1">IF(ISNUMBER(MATCH(DATEVALUE($A154),'recurring1_based on steps'!AJ$1:AJ$400,0)),AJ$2,)</f>
        <v>0</v>
      </c>
      <c r="AK154" s="179">
        <f ca="1">IF(ISNUMBER(MATCH(DATEVALUE($A154),'recurring1_based on steps'!AK$1:AK$400,0)),AK$2,)</f>
        <v>0</v>
      </c>
      <c r="AL154" s="179">
        <f ca="1">IF(ISNUMBER(MATCH(DATEVALUE($A154),'recurring1_based on steps'!AL$1:AL$400,0)),AL$2,)</f>
        <v>0</v>
      </c>
      <c r="AM154" s="179">
        <f ca="1">IF(ISNUMBER(MATCH(DATEVALUE($A154),'recurring1_based on steps'!AM$1:AM$400,0)),AM$2,)</f>
        <v>0</v>
      </c>
      <c r="AN154" s="179">
        <f ca="1">IF(ISNUMBER(MATCH(DATEVALUE($A154),'recurring1_based on steps'!AN$1:AN$400,0)),AN$2,)</f>
        <v>0</v>
      </c>
      <c r="AO154" s="179">
        <f ca="1">IF(ISNUMBER(MATCH(DATEVALUE($A154),'recurring1_based on steps'!AO$1:AO$400,0)),AO$2,)</f>
        <v>0</v>
      </c>
      <c r="AP154" s="179">
        <f ca="1">IF(ISNUMBER(MATCH(DATEVALUE($A154),'recurring1_based on steps'!AP$1:AP$400,0)),AP$2,)</f>
        <v>0</v>
      </c>
      <c r="AQ154" s="179">
        <f ca="1">IF(ISNUMBER(MATCH(DATEVALUE($A154),'recurring1_based on steps'!AQ$1:AQ$400,0)),AQ$2,)</f>
        <v>0</v>
      </c>
      <c r="AR154" s="179">
        <f ca="1">IF(ISNUMBER(MATCH(DATEVALUE($A154),'recurring1_based on steps'!AR$1:AR$400,0)),AR$2,)</f>
        <v>0</v>
      </c>
      <c r="AS154" s="179">
        <f ca="1">IF(ISNUMBER(MATCH(DATEVALUE($A154),'recurring1_based on steps'!AS$1:AS$400,0)),AS$2,)</f>
        <v>0</v>
      </c>
      <c r="AT154" s="179">
        <f ca="1">IF(ISNUMBER(MATCH(DATEVALUE($A154),'recurring1_based on steps'!AT$1:AT$400,0)),AT$2,)</f>
        <v>0</v>
      </c>
      <c r="AU154" s="179">
        <f ca="1">IF(ISNUMBER(MATCH(DATEVALUE($A154),'recurring1_based on steps'!AU$1:AU$400,0)),AU$2,)</f>
        <v>0</v>
      </c>
      <c r="AV154" s="179">
        <f ca="1">IF(ISNUMBER(MATCH(DATEVALUE($A154),'recurring1_based on steps'!AV$1:AV$400,0)),AV$2,)</f>
        <v>0</v>
      </c>
      <c r="AW154" s="179">
        <f ca="1">IF(ISNUMBER(MATCH(DATEVALUE($A154),'recurring1_based on steps'!AW$1:AW$400,0)),AW$2,)</f>
        <v>0</v>
      </c>
      <c r="AX154" s="179">
        <f ca="1">IF(ISNUMBER(MATCH(DATEVALUE($A154),'recurring1_based on steps'!AX$1:AX$400,0)),AX$2,)</f>
        <v>0</v>
      </c>
      <c r="AY154" s="179">
        <f ca="1">IF(ISNUMBER(MATCH(DATEVALUE($A154),'recurring1_based on steps'!AY$1:AY$400,0)),AY$2,)</f>
        <v>0</v>
      </c>
    </row>
    <row r="155" spans="1:51" x14ac:dyDescent="0.2">
      <c r="A155" s="32" t="str">
        <f t="shared" ca="1" si="2"/>
        <v>2025-08-28</v>
      </c>
      <c r="B155" s="179">
        <f ca="1">IF(ISNUMBER(MATCH(DATEVALUE($A155),'recurring1_based on steps'!B$1:B$400,0)),B$2,)</f>
        <v>0</v>
      </c>
      <c r="C155" s="179">
        <f ca="1">IF(ISNUMBER(MATCH(DATEVALUE($A155),'recurring1_based on steps'!C$1:C$400,0)),C$2,)</f>
        <v>0</v>
      </c>
      <c r="D155" s="179">
        <f ca="1">IF(ISNUMBER(MATCH(DATEVALUE($A155),'recurring1_based on steps'!D$1:D$400,0)),D$2,)</f>
        <v>0</v>
      </c>
      <c r="E155" s="179">
        <f ca="1">IF(ISNUMBER(MATCH(DATEVALUE($A155),'recurring1_based on steps'!E$1:E$400,0)),E$2,)</f>
        <v>0</v>
      </c>
      <c r="F155" s="179">
        <f ca="1">IF(ISNUMBER(MATCH(DATEVALUE($A155),'recurring1_based on steps'!F$1:F$400,0)),F$2,)</f>
        <v>0</v>
      </c>
      <c r="G155" s="179">
        <f ca="1">IF(ISNUMBER(MATCH(DATEVALUE($A155),'recurring1_based on steps'!G$1:G$400,0)),G$2,)</f>
        <v>0</v>
      </c>
      <c r="H155" s="179">
        <f ca="1">IF(ISNUMBER(MATCH(DATEVALUE($A155),'recurring1_based on steps'!H$1:H$400,0)),H$2,)</f>
        <v>0</v>
      </c>
      <c r="I155" s="179">
        <f ca="1">IF(ISNUMBER(MATCH(DATEVALUE($A155),'recurring1_based on steps'!I$1:I$400,0)),I$2,)</f>
        <v>0</v>
      </c>
      <c r="J155" s="179">
        <f ca="1">IF(ISNUMBER(MATCH(DATEVALUE($A155),'recurring1_based on steps'!J$1:J$400,0)),J$2,)</f>
        <v>0</v>
      </c>
      <c r="K155" s="179">
        <f ca="1">IF(ISNUMBER(MATCH(DATEVALUE($A155),'recurring1_based on steps'!K$1:K$400,0)),K$2,)</f>
        <v>0</v>
      </c>
      <c r="L155" s="179">
        <f ca="1">IF(ISNUMBER(MATCH(DATEVALUE($A155),'recurring1_based on steps'!L$1:L$400,0)),L$2,)</f>
        <v>0</v>
      </c>
      <c r="M155" s="179">
        <f ca="1">IF(ISNUMBER(MATCH(DATEVALUE($A155),'recurring1_based on steps'!M$1:M$400,0)),M$2,)</f>
        <v>0</v>
      </c>
      <c r="N155" s="179">
        <f ca="1">IF(ISNUMBER(MATCH(DATEVALUE($A155),'recurring1_based on steps'!N$1:N$400,0)),N$2,)</f>
        <v>0</v>
      </c>
      <c r="O155" s="179">
        <f ca="1">IF(ISNUMBER(MATCH(DATEVALUE($A155),'recurring1_based on steps'!O$1:O$400,0)),O$2,)</f>
        <v>0</v>
      </c>
      <c r="P155" s="179">
        <f ca="1">IF(ISNUMBER(MATCH(DATEVALUE($A155),'recurring1_based on steps'!P$1:P$400,0)),P$2,)</f>
        <v>0</v>
      </c>
      <c r="Q155" s="179">
        <f ca="1">IF(ISNUMBER(MATCH(DATEVALUE($A155),'recurring1_based on steps'!Q$1:Q$400,0)),Q$2,)</f>
        <v>0</v>
      </c>
      <c r="R155" s="179">
        <f ca="1">IF(ISNUMBER(MATCH(DATEVALUE($A155),'recurring1_based on steps'!R$1:R$400,0)),R$2,)</f>
        <v>0</v>
      </c>
      <c r="S155" s="179">
        <f ca="1">IF(ISNUMBER(MATCH(DATEVALUE($A155),'recurring1_based on steps'!S$1:S$400,0)),S$2,)</f>
        <v>0</v>
      </c>
      <c r="T155" s="179">
        <f ca="1">IF(ISNUMBER(MATCH(DATEVALUE($A155),'recurring1_based on steps'!T$1:T$400,0)),T$2,)</f>
        <v>0</v>
      </c>
      <c r="U155" s="179">
        <f ca="1">IF(ISNUMBER(MATCH(DATEVALUE($A155),'recurring1_based on steps'!U$1:U$400,0)),U$2,)</f>
        <v>0</v>
      </c>
      <c r="V155" s="179">
        <f ca="1">IF(ISNUMBER(MATCH(DATEVALUE($A155),'recurring1_based on steps'!V$1:V$400,0)),V$2,)</f>
        <v>0</v>
      </c>
      <c r="W155" s="179">
        <f ca="1">IF(ISNUMBER(MATCH(DATEVALUE($A155),'recurring1_based on steps'!W$1:W$400,0)),W$2,)</f>
        <v>0</v>
      </c>
      <c r="X155" s="179">
        <f ca="1">IF(ISNUMBER(MATCH(DATEVALUE($A155),'recurring1_based on steps'!X$1:X$400,0)),X$2,)</f>
        <v>0</v>
      </c>
      <c r="Y155" s="179">
        <f ca="1">IF(ISNUMBER(MATCH(DATEVALUE($A155),'recurring1_based on steps'!Y$1:Y$400,0)),Y$2,)</f>
        <v>0</v>
      </c>
      <c r="Z155" s="179">
        <f ca="1">IF(ISNUMBER(MATCH(DATEVALUE($A155),'recurring1_based on steps'!Z$1:Z$400,0)),Z$2,)</f>
        <v>0</v>
      </c>
      <c r="AA155" s="179">
        <f ca="1">IF(ISNUMBER(MATCH(DATEVALUE($A155),'recurring1_based on steps'!AA$1:AA$400,0)),AA$2,)</f>
        <v>0</v>
      </c>
      <c r="AB155" s="179">
        <f ca="1">IF(ISNUMBER(MATCH(DATEVALUE($A155),'recurring1_based on steps'!AB$1:AB$400,0)),AB$2,)</f>
        <v>0</v>
      </c>
      <c r="AC155" s="179">
        <f ca="1">IF(ISNUMBER(MATCH(DATEVALUE($A155),'recurring1_based on steps'!AC$1:AC$400,0)),AC$2,)</f>
        <v>0</v>
      </c>
      <c r="AD155" s="179">
        <f ca="1">IF(ISNUMBER(MATCH(DATEVALUE($A155),'recurring1_based on steps'!AD$1:AD$400,0)),AD$2,)</f>
        <v>0</v>
      </c>
      <c r="AE155" s="179">
        <f ca="1">IF(ISNUMBER(MATCH(DATEVALUE($A155),'recurring1_based on steps'!AE$1:AE$400,0)),AE$2,)</f>
        <v>0</v>
      </c>
      <c r="AF155" s="179">
        <f ca="1">IF(ISNUMBER(MATCH(DATEVALUE($A155),'recurring1_based on steps'!AF$1:AF$400,0)),AF$2,)</f>
        <v>0</v>
      </c>
      <c r="AG155" s="179">
        <f ca="1">IF(ISNUMBER(MATCH(DATEVALUE($A155),'recurring1_based on steps'!AG$1:AG$400,0)),AG$2,)</f>
        <v>0</v>
      </c>
      <c r="AH155" s="179">
        <f ca="1">IF(ISNUMBER(MATCH(DATEVALUE($A155),'recurring1_based on steps'!AH$1:AH$400,0)),AH$2,)</f>
        <v>0</v>
      </c>
      <c r="AI155" s="179">
        <f ca="1">IF(ISNUMBER(MATCH(DATEVALUE($A155),'recurring1_based on steps'!AI$1:AI$400,0)),AI$2,)</f>
        <v>0</v>
      </c>
      <c r="AJ155" s="179">
        <f ca="1">IF(ISNUMBER(MATCH(DATEVALUE($A155),'recurring1_based on steps'!AJ$1:AJ$400,0)),AJ$2,)</f>
        <v>0</v>
      </c>
      <c r="AK155" s="179">
        <f ca="1">IF(ISNUMBER(MATCH(DATEVALUE($A155),'recurring1_based on steps'!AK$1:AK$400,0)),AK$2,)</f>
        <v>0</v>
      </c>
      <c r="AL155" s="179">
        <f ca="1">IF(ISNUMBER(MATCH(DATEVALUE($A155),'recurring1_based on steps'!AL$1:AL$400,0)),AL$2,)</f>
        <v>0</v>
      </c>
      <c r="AM155" s="179">
        <f ca="1">IF(ISNUMBER(MATCH(DATEVALUE($A155),'recurring1_based on steps'!AM$1:AM$400,0)),AM$2,)</f>
        <v>0</v>
      </c>
      <c r="AN155" s="179">
        <f ca="1">IF(ISNUMBER(MATCH(DATEVALUE($A155),'recurring1_based on steps'!AN$1:AN$400,0)),AN$2,)</f>
        <v>0</v>
      </c>
      <c r="AO155" s="179">
        <f ca="1">IF(ISNUMBER(MATCH(DATEVALUE($A155),'recurring1_based on steps'!AO$1:AO$400,0)),AO$2,)</f>
        <v>0</v>
      </c>
      <c r="AP155" s="179">
        <f ca="1">IF(ISNUMBER(MATCH(DATEVALUE($A155),'recurring1_based on steps'!AP$1:AP$400,0)),AP$2,)</f>
        <v>0</v>
      </c>
      <c r="AQ155" s="179">
        <f ca="1">IF(ISNUMBER(MATCH(DATEVALUE($A155),'recurring1_based on steps'!AQ$1:AQ$400,0)),AQ$2,)</f>
        <v>0</v>
      </c>
      <c r="AR155" s="179">
        <f ca="1">IF(ISNUMBER(MATCH(DATEVALUE($A155),'recurring1_based on steps'!AR$1:AR$400,0)),AR$2,)</f>
        <v>0</v>
      </c>
      <c r="AS155" s="179">
        <f ca="1">IF(ISNUMBER(MATCH(DATEVALUE($A155),'recurring1_based on steps'!AS$1:AS$400,0)),AS$2,)</f>
        <v>0</v>
      </c>
      <c r="AT155" s="179">
        <f ca="1">IF(ISNUMBER(MATCH(DATEVALUE($A155),'recurring1_based on steps'!AT$1:AT$400,0)),AT$2,)</f>
        <v>0</v>
      </c>
      <c r="AU155" s="179">
        <f ca="1">IF(ISNUMBER(MATCH(DATEVALUE($A155),'recurring1_based on steps'!AU$1:AU$400,0)),AU$2,)</f>
        <v>0</v>
      </c>
      <c r="AV155" s="179">
        <f ca="1">IF(ISNUMBER(MATCH(DATEVALUE($A155),'recurring1_based on steps'!AV$1:AV$400,0)),AV$2,)</f>
        <v>0</v>
      </c>
      <c r="AW155" s="179">
        <f ca="1">IF(ISNUMBER(MATCH(DATEVALUE($A155),'recurring1_based on steps'!AW$1:AW$400,0)),AW$2,)</f>
        <v>0</v>
      </c>
      <c r="AX155" s="179">
        <f ca="1">IF(ISNUMBER(MATCH(DATEVALUE($A155),'recurring1_based on steps'!AX$1:AX$400,0)),AX$2,)</f>
        <v>0</v>
      </c>
      <c r="AY155" s="179">
        <f ca="1">IF(ISNUMBER(MATCH(DATEVALUE($A155),'recurring1_based on steps'!AY$1:AY$400,0)),AY$2,)</f>
        <v>0</v>
      </c>
    </row>
    <row r="156" spans="1:51" x14ac:dyDescent="0.2">
      <c r="A156" s="32" t="str">
        <f t="shared" ca="1" si="2"/>
        <v>2025-08-29</v>
      </c>
      <c r="B156" s="179">
        <f ca="1">IF(ISNUMBER(MATCH(DATEVALUE($A156),'recurring1_based on steps'!B$1:B$400,0)),B$2,)</f>
        <v>0</v>
      </c>
      <c r="C156" s="179">
        <f ca="1">IF(ISNUMBER(MATCH(DATEVALUE($A156),'recurring1_based on steps'!C$1:C$400,0)),C$2,)</f>
        <v>0</v>
      </c>
      <c r="D156" s="179">
        <f ca="1">IF(ISNUMBER(MATCH(DATEVALUE($A156),'recurring1_based on steps'!D$1:D$400,0)),D$2,)</f>
        <v>0</v>
      </c>
      <c r="E156" s="179">
        <f ca="1">IF(ISNUMBER(MATCH(DATEVALUE($A156),'recurring1_based on steps'!E$1:E$400,0)),E$2,)</f>
        <v>0</v>
      </c>
      <c r="F156" s="179">
        <f ca="1">IF(ISNUMBER(MATCH(DATEVALUE($A156),'recurring1_based on steps'!F$1:F$400,0)),F$2,)</f>
        <v>0</v>
      </c>
      <c r="G156" s="179">
        <f ca="1">IF(ISNUMBER(MATCH(DATEVALUE($A156),'recurring1_based on steps'!G$1:G$400,0)),G$2,)</f>
        <v>0</v>
      </c>
      <c r="H156" s="179">
        <f ca="1">IF(ISNUMBER(MATCH(DATEVALUE($A156),'recurring1_based on steps'!H$1:H$400,0)),H$2,)</f>
        <v>0</v>
      </c>
      <c r="I156" s="179">
        <f ca="1">IF(ISNUMBER(MATCH(DATEVALUE($A156),'recurring1_based on steps'!I$1:I$400,0)),I$2,)</f>
        <v>0</v>
      </c>
      <c r="J156" s="179">
        <f ca="1">IF(ISNUMBER(MATCH(DATEVALUE($A156),'recurring1_based on steps'!J$1:J$400,0)),J$2,)</f>
        <v>0</v>
      </c>
      <c r="K156" s="179">
        <f ca="1">IF(ISNUMBER(MATCH(DATEVALUE($A156),'recurring1_based on steps'!K$1:K$400,0)),K$2,)</f>
        <v>0</v>
      </c>
      <c r="L156" s="179">
        <f ca="1">IF(ISNUMBER(MATCH(DATEVALUE($A156),'recurring1_based on steps'!L$1:L$400,0)),L$2,)</f>
        <v>0</v>
      </c>
      <c r="M156" s="179">
        <f ca="1">IF(ISNUMBER(MATCH(DATEVALUE($A156),'recurring1_based on steps'!M$1:M$400,0)),M$2,)</f>
        <v>0</v>
      </c>
      <c r="N156" s="179">
        <f ca="1">IF(ISNUMBER(MATCH(DATEVALUE($A156),'recurring1_based on steps'!N$1:N$400,0)),N$2,)</f>
        <v>0</v>
      </c>
      <c r="O156" s="179">
        <f ca="1">IF(ISNUMBER(MATCH(DATEVALUE($A156),'recurring1_based on steps'!O$1:O$400,0)),O$2,)</f>
        <v>0</v>
      </c>
      <c r="P156" s="179">
        <f ca="1">IF(ISNUMBER(MATCH(DATEVALUE($A156),'recurring1_based on steps'!P$1:P$400,0)),P$2,)</f>
        <v>0</v>
      </c>
      <c r="Q156" s="179">
        <f ca="1">IF(ISNUMBER(MATCH(DATEVALUE($A156),'recurring1_based on steps'!Q$1:Q$400,0)),Q$2,)</f>
        <v>0</v>
      </c>
      <c r="R156" s="179">
        <f ca="1">IF(ISNUMBER(MATCH(DATEVALUE($A156),'recurring1_based on steps'!R$1:R$400,0)),R$2,)</f>
        <v>0</v>
      </c>
      <c r="S156" s="179">
        <f ca="1">IF(ISNUMBER(MATCH(DATEVALUE($A156),'recurring1_based on steps'!S$1:S$400,0)),S$2,)</f>
        <v>0</v>
      </c>
      <c r="T156" s="179">
        <f ca="1">IF(ISNUMBER(MATCH(DATEVALUE($A156),'recurring1_based on steps'!T$1:T$400,0)),T$2,)</f>
        <v>0</v>
      </c>
      <c r="U156" s="179">
        <f ca="1">IF(ISNUMBER(MATCH(DATEVALUE($A156),'recurring1_based on steps'!U$1:U$400,0)),U$2,)</f>
        <v>0</v>
      </c>
      <c r="V156" s="179">
        <f ca="1">IF(ISNUMBER(MATCH(DATEVALUE($A156),'recurring1_based on steps'!V$1:V$400,0)),V$2,)</f>
        <v>0</v>
      </c>
      <c r="W156" s="179">
        <f ca="1">IF(ISNUMBER(MATCH(DATEVALUE($A156),'recurring1_based on steps'!W$1:W$400,0)),W$2,)</f>
        <v>0</v>
      </c>
      <c r="X156" s="179">
        <f ca="1">IF(ISNUMBER(MATCH(DATEVALUE($A156),'recurring1_based on steps'!X$1:X$400,0)),X$2,)</f>
        <v>0</v>
      </c>
      <c r="Y156" s="179">
        <f ca="1">IF(ISNUMBER(MATCH(DATEVALUE($A156),'recurring1_based on steps'!Y$1:Y$400,0)),Y$2,)</f>
        <v>0</v>
      </c>
      <c r="Z156" s="179">
        <f ca="1">IF(ISNUMBER(MATCH(DATEVALUE($A156),'recurring1_based on steps'!Z$1:Z$400,0)),Z$2,)</f>
        <v>0</v>
      </c>
      <c r="AA156" s="179">
        <f ca="1">IF(ISNUMBER(MATCH(DATEVALUE($A156),'recurring1_based on steps'!AA$1:AA$400,0)),AA$2,)</f>
        <v>0</v>
      </c>
      <c r="AB156" s="179">
        <f ca="1">IF(ISNUMBER(MATCH(DATEVALUE($A156),'recurring1_based on steps'!AB$1:AB$400,0)),AB$2,)</f>
        <v>0</v>
      </c>
      <c r="AC156" s="179">
        <f ca="1">IF(ISNUMBER(MATCH(DATEVALUE($A156),'recurring1_based on steps'!AC$1:AC$400,0)),AC$2,)</f>
        <v>0</v>
      </c>
      <c r="AD156" s="179">
        <f ca="1">IF(ISNUMBER(MATCH(DATEVALUE($A156),'recurring1_based on steps'!AD$1:AD$400,0)),AD$2,)</f>
        <v>0</v>
      </c>
      <c r="AE156" s="179">
        <f ca="1">IF(ISNUMBER(MATCH(DATEVALUE($A156),'recurring1_based on steps'!AE$1:AE$400,0)),AE$2,)</f>
        <v>0</v>
      </c>
      <c r="AF156" s="179">
        <f ca="1">IF(ISNUMBER(MATCH(DATEVALUE($A156),'recurring1_based on steps'!AF$1:AF$400,0)),AF$2,)</f>
        <v>0</v>
      </c>
      <c r="AG156" s="179">
        <f ca="1">IF(ISNUMBER(MATCH(DATEVALUE($A156),'recurring1_based on steps'!AG$1:AG$400,0)),AG$2,)</f>
        <v>0</v>
      </c>
      <c r="AH156" s="179">
        <f ca="1">IF(ISNUMBER(MATCH(DATEVALUE($A156),'recurring1_based on steps'!AH$1:AH$400,0)),AH$2,)</f>
        <v>0</v>
      </c>
      <c r="AI156" s="179">
        <f ca="1">IF(ISNUMBER(MATCH(DATEVALUE($A156),'recurring1_based on steps'!AI$1:AI$400,0)),AI$2,)</f>
        <v>0</v>
      </c>
      <c r="AJ156" s="179">
        <f ca="1">IF(ISNUMBER(MATCH(DATEVALUE($A156),'recurring1_based on steps'!AJ$1:AJ$400,0)),AJ$2,)</f>
        <v>0</v>
      </c>
      <c r="AK156" s="179">
        <f ca="1">IF(ISNUMBER(MATCH(DATEVALUE($A156),'recurring1_based on steps'!AK$1:AK$400,0)),AK$2,)</f>
        <v>0</v>
      </c>
      <c r="AL156" s="179">
        <f ca="1">IF(ISNUMBER(MATCH(DATEVALUE($A156),'recurring1_based on steps'!AL$1:AL$400,0)),AL$2,)</f>
        <v>0</v>
      </c>
      <c r="AM156" s="179">
        <f ca="1">IF(ISNUMBER(MATCH(DATEVALUE($A156),'recurring1_based on steps'!AM$1:AM$400,0)),AM$2,)</f>
        <v>0</v>
      </c>
      <c r="AN156" s="179">
        <f ca="1">IF(ISNUMBER(MATCH(DATEVALUE($A156),'recurring1_based on steps'!AN$1:AN$400,0)),AN$2,)</f>
        <v>0</v>
      </c>
      <c r="AO156" s="179">
        <f ca="1">IF(ISNUMBER(MATCH(DATEVALUE($A156),'recurring1_based on steps'!AO$1:AO$400,0)),AO$2,)</f>
        <v>0</v>
      </c>
      <c r="AP156" s="179">
        <f ca="1">IF(ISNUMBER(MATCH(DATEVALUE($A156),'recurring1_based on steps'!AP$1:AP$400,0)),AP$2,)</f>
        <v>0</v>
      </c>
      <c r="AQ156" s="179">
        <f ca="1">IF(ISNUMBER(MATCH(DATEVALUE($A156),'recurring1_based on steps'!AQ$1:AQ$400,0)),AQ$2,)</f>
        <v>0</v>
      </c>
      <c r="AR156" s="179">
        <f ca="1">IF(ISNUMBER(MATCH(DATEVALUE($A156),'recurring1_based on steps'!AR$1:AR$400,0)),AR$2,)</f>
        <v>0</v>
      </c>
      <c r="AS156" s="179">
        <f ca="1">IF(ISNUMBER(MATCH(DATEVALUE($A156),'recurring1_based on steps'!AS$1:AS$400,0)),AS$2,)</f>
        <v>0</v>
      </c>
      <c r="AT156" s="179">
        <f ca="1">IF(ISNUMBER(MATCH(DATEVALUE($A156),'recurring1_based on steps'!AT$1:AT$400,0)),AT$2,)</f>
        <v>0</v>
      </c>
      <c r="AU156" s="179">
        <f ca="1">IF(ISNUMBER(MATCH(DATEVALUE($A156),'recurring1_based on steps'!AU$1:AU$400,0)),AU$2,)</f>
        <v>0</v>
      </c>
      <c r="AV156" s="179">
        <f ca="1">IF(ISNUMBER(MATCH(DATEVALUE($A156),'recurring1_based on steps'!AV$1:AV$400,0)),AV$2,)</f>
        <v>0</v>
      </c>
      <c r="AW156" s="179">
        <f ca="1">IF(ISNUMBER(MATCH(DATEVALUE($A156),'recurring1_based on steps'!AW$1:AW$400,0)),AW$2,)</f>
        <v>0</v>
      </c>
      <c r="AX156" s="179">
        <f ca="1">IF(ISNUMBER(MATCH(DATEVALUE($A156),'recurring1_based on steps'!AX$1:AX$400,0)),AX$2,)</f>
        <v>0</v>
      </c>
      <c r="AY156" s="179">
        <f ca="1">IF(ISNUMBER(MATCH(DATEVALUE($A156),'recurring1_based on steps'!AY$1:AY$400,0)),AY$2,)</f>
        <v>0</v>
      </c>
    </row>
    <row r="157" spans="1:51" x14ac:dyDescent="0.2">
      <c r="A157" s="32" t="str">
        <f t="shared" ca="1" si="2"/>
        <v>2025-08-30</v>
      </c>
      <c r="B157" s="179">
        <f ca="1">IF(ISNUMBER(MATCH(DATEVALUE($A157),'recurring1_based on steps'!B$1:B$400,0)),B$2,)</f>
        <v>0</v>
      </c>
      <c r="C157" s="179">
        <f ca="1">IF(ISNUMBER(MATCH(DATEVALUE($A157),'recurring1_based on steps'!C$1:C$400,0)),C$2,)</f>
        <v>0</v>
      </c>
      <c r="D157" s="179">
        <f ca="1">IF(ISNUMBER(MATCH(DATEVALUE($A157),'recurring1_based on steps'!D$1:D$400,0)),D$2,)</f>
        <v>0</v>
      </c>
      <c r="E157" s="179">
        <f ca="1">IF(ISNUMBER(MATCH(DATEVALUE($A157),'recurring1_based on steps'!E$1:E$400,0)),E$2,)</f>
        <v>0</v>
      </c>
      <c r="F157" s="179">
        <f ca="1">IF(ISNUMBER(MATCH(DATEVALUE($A157),'recurring1_based on steps'!F$1:F$400,0)),F$2,)</f>
        <v>0</v>
      </c>
      <c r="G157" s="179">
        <f ca="1">IF(ISNUMBER(MATCH(DATEVALUE($A157),'recurring1_based on steps'!G$1:G$400,0)),G$2,)</f>
        <v>0</v>
      </c>
      <c r="H157" s="179">
        <f ca="1">IF(ISNUMBER(MATCH(DATEVALUE($A157),'recurring1_based on steps'!H$1:H$400,0)),H$2,)</f>
        <v>0</v>
      </c>
      <c r="I157" s="179">
        <f ca="1">IF(ISNUMBER(MATCH(DATEVALUE($A157),'recurring1_based on steps'!I$1:I$400,0)),I$2,)</f>
        <v>0</v>
      </c>
      <c r="J157" s="179">
        <f ca="1">IF(ISNUMBER(MATCH(DATEVALUE($A157),'recurring1_based on steps'!J$1:J$400,0)),J$2,)</f>
        <v>0</v>
      </c>
      <c r="K157" s="179">
        <f ca="1">IF(ISNUMBER(MATCH(DATEVALUE($A157),'recurring1_based on steps'!K$1:K$400,0)),K$2,)</f>
        <v>0</v>
      </c>
      <c r="L157" s="179">
        <f ca="1">IF(ISNUMBER(MATCH(DATEVALUE($A157),'recurring1_based on steps'!L$1:L$400,0)),L$2,)</f>
        <v>0</v>
      </c>
      <c r="M157" s="179">
        <f ca="1">IF(ISNUMBER(MATCH(DATEVALUE($A157),'recurring1_based on steps'!M$1:M$400,0)),M$2,)</f>
        <v>0</v>
      </c>
      <c r="N157" s="179">
        <f ca="1">IF(ISNUMBER(MATCH(DATEVALUE($A157),'recurring1_based on steps'!N$1:N$400,0)),N$2,)</f>
        <v>0</v>
      </c>
      <c r="O157" s="179">
        <f ca="1">IF(ISNUMBER(MATCH(DATEVALUE($A157),'recurring1_based on steps'!O$1:O$400,0)),O$2,)</f>
        <v>0</v>
      </c>
      <c r="P157" s="179">
        <f ca="1">IF(ISNUMBER(MATCH(DATEVALUE($A157),'recurring1_based on steps'!P$1:P$400,0)),P$2,)</f>
        <v>0</v>
      </c>
      <c r="Q157" s="179">
        <f ca="1">IF(ISNUMBER(MATCH(DATEVALUE($A157),'recurring1_based on steps'!Q$1:Q$400,0)),Q$2,)</f>
        <v>0</v>
      </c>
      <c r="R157" s="179">
        <f ca="1">IF(ISNUMBER(MATCH(DATEVALUE($A157),'recurring1_based on steps'!R$1:R$400,0)),R$2,)</f>
        <v>0</v>
      </c>
      <c r="S157" s="179">
        <f ca="1">IF(ISNUMBER(MATCH(DATEVALUE($A157),'recurring1_based on steps'!S$1:S$400,0)),S$2,)</f>
        <v>0</v>
      </c>
      <c r="T157" s="179">
        <f ca="1">IF(ISNUMBER(MATCH(DATEVALUE($A157),'recurring1_based on steps'!T$1:T$400,0)),T$2,)</f>
        <v>0</v>
      </c>
      <c r="U157" s="179">
        <f ca="1">IF(ISNUMBER(MATCH(DATEVALUE($A157),'recurring1_based on steps'!U$1:U$400,0)),U$2,)</f>
        <v>0</v>
      </c>
      <c r="V157" s="179">
        <f ca="1">IF(ISNUMBER(MATCH(DATEVALUE($A157),'recurring1_based on steps'!V$1:V$400,0)),V$2,)</f>
        <v>0</v>
      </c>
      <c r="W157" s="179">
        <f ca="1">IF(ISNUMBER(MATCH(DATEVALUE($A157),'recurring1_based on steps'!W$1:W$400,0)),W$2,)</f>
        <v>0</v>
      </c>
      <c r="X157" s="179">
        <f ca="1">IF(ISNUMBER(MATCH(DATEVALUE($A157),'recurring1_based on steps'!X$1:X$400,0)),X$2,)</f>
        <v>0</v>
      </c>
      <c r="Y157" s="179">
        <f ca="1">IF(ISNUMBER(MATCH(DATEVALUE($A157),'recurring1_based on steps'!Y$1:Y$400,0)),Y$2,)</f>
        <v>0</v>
      </c>
      <c r="Z157" s="179">
        <f ca="1">IF(ISNUMBER(MATCH(DATEVALUE($A157),'recurring1_based on steps'!Z$1:Z$400,0)),Z$2,)</f>
        <v>0</v>
      </c>
      <c r="AA157" s="179">
        <f ca="1">IF(ISNUMBER(MATCH(DATEVALUE($A157),'recurring1_based on steps'!AA$1:AA$400,0)),AA$2,)</f>
        <v>0</v>
      </c>
      <c r="AB157" s="179">
        <f ca="1">IF(ISNUMBER(MATCH(DATEVALUE($A157),'recurring1_based on steps'!AB$1:AB$400,0)),AB$2,)</f>
        <v>0</v>
      </c>
      <c r="AC157" s="179">
        <f ca="1">IF(ISNUMBER(MATCH(DATEVALUE($A157),'recurring1_based on steps'!AC$1:AC$400,0)),AC$2,)</f>
        <v>0</v>
      </c>
      <c r="AD157" s="179">
        <f ca="1">IF(ISNUMBER(MATCH(DATEVALUE($A157),'recurring1_based on steps'!AD$1:AD$400,0)),AD$2,)</f>
        <v>0</v>
      </c>
      <c r="AE157" s="179">
        <f ca="1">IF(ISNUMBER(MATCH(DATEVALUE($A157),'recurring1_based on steps'!AE$1:AE$400,0)),AE$2,)</f>
        <v>0</v>
      </c>
      <c r="AF157" s="179">
        <f ca="1">IF(ISNUMBER(MATCH(DATEVALUE($A157),'recurring1_based on steps'!AF$1:AF$400,0)),AF$2,)</f>
        <v>0</v>
      </c>
      <c r="AG157" s="179">
        <f ca="1">IF(ISNUMBER(MATCH(DATEVALUE($A157),'recurring1_based on steps'!AG$1:AG$400,0)),AG$2,)</f>
        <v>0</v>
      </c>
      <c r="AH157" s="179">
        <f ca="1">IF(ISNUMBER(MATCH(DATEVALUE($A157),'recurring1_based on steps'!AH$1:AH$400,0)),AH$2,)</f>
        <v>0</v>
      </c>
      <c r="AI157" s="179">
        <f ca="1">IF(ISNUMBER(MATCH(DATEVALUE($A157),'recurring1_based on steps'!AI$1:AI$400,0)),AI$2,)</f>
        <v>0</v>
      </c>
      <c r="AJ157" s="179">
        <f ca="1">IF(ISNUMBER(MATCH(DATEVALUE($A157),'recurring1_based on steps'!AJ$1:AJ$400,0)),AJ$2,)</f>
        <v>0</v>
      </c>
      <c r="AK157" s="179">
        <f ca="1">IF(ISNUMBER(MATCH(DATEVALUE($A157),'recurring1_based on steps'!AK$1:AK$400,0)),AK$2,)</f>
        <v>0</v>
      </c>
      <c r="AL157" s="179">
        <f ca="1">IF(ISNUMBER(MATCH(DATEVALUE($A157),'recurring1_based on steps'!AL$1:AL$400,0)),AL$2,)</f>
        <v>0</v>
      </c>
      <c r="AM157" s="179">
        <f ca="1">IF(ISNUMBER(MATCH(DATEVALUE($A157),'recurring1_based on steps'!AM$1:AM$400,0)),AM$2,)</f>
        <v>0</v>
      </c>
      <c r="AN157" s="179">
        <f ca="1">IF(ISNUMBER(MATCH(DATEVALUE($A157),'recurring1_based on steps'!AN$1:AN$400,0)),AN$2,)</f>
        <v>0</v>
      </c>
      <c r="AO157" s="179">
        <f ca="1">IF(ISNUMBER(MATCH(DATEVALUE($A157),'recurring1_based on steps'!AO$1:AO$400,0)),AO$2,)</f>
        <v>0</v>
      </c>
      <c r="AP157" s="179">
        <f ca="1">IF(ISNUMBER(MATCH(DATEVALUE($A157),'recurring1_based on steps'!AP$1:AP$400,0)),AP$2,)</f>
        <v>0</v>
      </c>
      <c r="AQ157" s="179">
        <f ca="1">IF(ISNUMBER(MATCH(DATEVALUE($A157),'recurring1_based on steps'!AQ$1:AQ$400,0)),AQ$2,)</f>
        <v>0</v>
      </c>
      <c r="AR157" s="179">
        <f ca="1">IF(ISNUMBER(MATCH(DATEVALUE($A157),'recurring1_based on steps'!AR$1:AR$400,0)),AR$2,)</f>
        <v>0</v>
      </c>
      <c r="AS157" s="179">
        <f ca="1">IF(ISNUMBER(MATCH(DATEVALUE($A157),'recurring1_based on steps'!AS$1:AS$400,0)),AS$2,)</f>
        <v>0</v>
      </c>
      <c r="AT157" s="179">
        <f ca="1">IF(ISNUMBER(MATCH(DATEVALUE($A157),'recurring1_based on steps'!AT$1:AT$400,0)),AT$2,)</f>
        <v>0</v>
      </c>
      <c r="AU157" s="179">
        <f ca="1">IF(ISNUMBER(MATCH(DATEVALUE($A157),'recurring1_based on steps'!AU$1:AU$400,0)),AU$2,)</f>
        <v>0</v>
      </c>
      <c r="AV157" s="179">
        <f ca="1">IF(ISNUMBER(MATCH(DATEVALUE($A157),'recurring1_based on steps'!AV$1:AV$400,0)),AV$2,)</f>
        <v>0</v>
      </c>
      <c r="AW157" s="179">
        <f ca="1">IF(ISNUMBER(MATCH(DATEVALUE($A157),'recurring1_based on steps'!AW$1:AW$400,0)),AW$2,)</f>
        <v>0</v>
      </c>
      <c r="AX157" s="179">
        <f ca="1">IF(ISNUMBER(MATCH(DATEVALUE($A157),'recurring1_based on steps'!AX$1:AX$400,0)),AX$2,)</f>
        <v>0</v>
      </c>
      <c r="AY157" s="179">
        <f ca="1">IF(ISNUMBER(MATCH(DATEVALUE($A157),'recurring1_based on steps'!AY$1:AY$400,0)),AY$2,)</f>
        <v>0</v>
      </c>
    </row>
    <row r="158" spans="1:51" x14ac:dyDescent="0.2">
      <c r="A158" s="32" t="str">
        <f t="shared" ca="1" si="2"/>
        <v>2025-08-31</v>
      </c>
      <c r="B158" s="179">
        <f ca="1">IF(ISNUMBER(MATCH(DATEVALUE($A158),'recurring1_based on steps'!B$1:B$400,0)),B$2,)</f>
        <v>0</v>
      </c>
      <c r="C158" s="179">
        <f ca="1">IF(ISNUMBER(MATCH(DATEVALUE($A158),'recurring1_based on steps'!C$1:C$400,0)),C$2,)</f>
        <v>0</v>
      </c>
      <c r="D158" s="179">
        <f ca="1">IF(ISNUMBER(MATCH(DATEVALUE($A158),'recurring1_based on steps'!D$1:D$400,0)),D$2,)</f>
        <v>0</v>
      </c>
      <c r="E158" s="179">
        <f ca="1">IF(ISNUMBER(MATCH(DATEVALUE($A158),'recurring1_based on steps'!E$1:E$400,0)),E$2,)</f>
        <v>0</v>
      </c>
      <c r="F158" s="179">
        <f ca="1">IF(ISNUMBER(MATCH(DATEVALUE($A158),'recurring1_based on steps'!F$1:F$400,0)),F$2,)</f>
        <v>0</v>
      </c>
      <c r="G158" s="179">
        <f ca="1">IF(ISNUMBER(MATCH(DATEVALUE($A158),'recurring1_based on steps'!G$1:G$400,0)),G$2,)</f>
        <v>0</v>
      </c>
      <c r="H158" s="179">
        <f ca="1">IF(ISNUMBER(MATCH(DATEVALUE($A158),'recurring1_based on steps'!H$1:H$400,0)),H$2,)</f>
        <v>0</v>
      </c>
      <c r="I158" s="179">
        <f ca="1">IF(ISNUMBER(MATCH(DATEVALUE($A158),'recurring1_based on steps'!I$1:I$400,0)),I$2,)</f>
        <v>0</v>
      </c>
      <c r="J158" s="179">
        <f ca="1">IF(ISNUMBER(MATCH(DATEVALUE($A158),'recurring1_based on steps'!J$1:J$400,0)),J$2,)</f>
        <v>0</v>
      </c>
      <c r="K158" s="179">
        <f ca="1">IF(ISNUMBER(MATCH(DATEVALUE($A158),'recurring1_based on steps'!K$1:K$400,0)),K$2,)</f>
        <v>0</v>
      </c>
      <c r="L158" s="179">
        <f ca="1">IF(ISNUMBER(MATCH(DATEVALUE($A158),'recurring1_based on steps'!L$1:L$400,0)),L$2,)</f>
        <v>0</v>
      </c>
      <c r="M158" s="179">
        <f ca="1">IF(ISNUMBER(MATCH(DATEVALUE($A158),'recurring1_based on steps'!M$1:M$400,0)),M$2,)</f>
        <v>0</v>
      </c>
      <c r="N158" s="179">
        <f ca="1">IF(ISNUMBER(MATCH(DATEVALUE($A158),'recurring1_based on steps'!N$1:N$400,0)),N$2,)</f>
        <v>0</v>
      </c>
      <c r="O158" s="179">
        <f ca="1">IF(ISNUMBER(MATCH(DATEVALUE($A158),'recurring1_based on steps'!O$1:O$400,0)),O$2,)</f>
        <v>0</v>
      </c>
      <c r="P158" s="179">
        <f ca="1">IF(ISNUMBER(MATCH(DATEVALUE($A158),'recurring1_based on steps'!P$1:P$400,0)),P$2,)</f>
        <v>0</v>
      </c>
      <c r="Q158" s="179">
        <f ca="1">IF(ISNUMBER(MATCH(DATEVALUE($A158),'recurring1_based on steps'!Q$1:Q$400,0)),Q$2,)</f>
        <v>0</v>
      </c>
      <c r="R158" s="179">
        <f ca="1">IF(ISNUMBER(MATCH(DATEVALUE($A158),'recurring1_based on steps'!R$1:R$400,0)),R$2,)</f>
        <v>0</v>
      </c>
      <c r="S158" s="179">
        <f ca="1">IF(ISNUMBER(MATCH(DATEVALUE($A158),'recurring1_based on steps'!S$1:S$400,0)),S$2,)</f>
        <v>0</v>
      </c>
      <c r="T158" s="179">
        <f ca="1">IF(ISNUMBER(MATCH(DATEVALUE($A158),'recurring1_based on steps'!T$1:T$400,0)),T$2,)</f>
        <v>0</v>
      </c>
      <c r="U158" s="179">
        <f ca="1">IF(ISNUMBER(MATCH(DATEVALUE($A158),'recurring1_based on steps'!U$1:U$400,0)),U$2,)</f>
        <v>0</v>
      </c>
      <c r="V158" s="179">
        <f ca="1">IF(ISNUMBER(MATCH(DATEVALUE($A158),'recurring1_based on steps'!V$1:V$400,0)),V$2,)</f>
        <v>0</v>
      </c>
      <c r="W158" s="179">
        <f ca="1">IF(ISNUMBER(MATCH(DATEVALUE($A158),'recurring1_based on steps'!W$1:W$400,0)),W$2,)</f>
        <v>0</v>
      </c>
      <c r="X158" s="179">
        <f ca="1">IF(ISNUMBER(MATCH(DATEVALUE($A158),'recurring1_based on steps'!X$1:X$400,0)),X$2,)</f>
        <v>0</v>
      </c>
      <c r="Y158" s="179">
        <f ca="1">IF(ISNUMBER(MATCH(DATEVALUE($A158),'recurring1_based on steps'!Y$1:Y$400,0)),Y$2,)</f>
        <v>0</v>
      </c>
      <c r="Z158" s="179">
        <f ca="1">IF(ISNUMBER(MATCH(DATEVALUE($A158),'recurring1_based on steps'!Z$1:Z$400,0)),Z$2,)</f>
        <v>0</v>
      </c>
      <c r="AA158" s="179">
        <f ca="1">IF(ISNUMBER(MATCH(DATEVALUE($A158),'recurring1_based on steps'!AA$1:AA$400,0)),AA$2,)</f>
        <v>0</v>
      </c>
      <c r="AB158" s="179">
        <f ca="1">IF(ISNUMBER(MATCH(DATEVALUE($A158),'recurring1_based on steps'!AB$1:AB$400,0)),AB$2,)</f>
        <v>0</v>
      </c>
      <c r="AC158" s="179">
        <f ca="1">IF(ISNUMBER(MATCH(DATEVALUE($A158),'recurring1_based on steps'!AC$1:AC$400,0)),AC$2,)</f>
        <v>0</v>
      </c>
      <c r="AD158" s="179">
        <f ca="1">IF(ISNUMBER(MATCH(DATEVALUE($A158),'recurring1_based on steps'!AD$1:AD$400,0)),AD$2,)</f>
        <v>0</v>
      </c>
      <c r="AE158" s="179">
        <f ca="1">IF(ISNUMBER(MATCH(DATEVALUE($A158),'recurring1_based on steps'!AE$1:AE$400,0)),AE$2,)</f>
        <v>0</v>
      </c>
      <c r="AF158" s="179">
        <f ca="1">IF(ISNUMBER(MATCH(DATEVALUE($A158),'recurring1_based on steps'!AF$1:AF$400,0)),AF$2,)</f>
        <v>0</v>
      </c>
      <c r="AG158" s="179">
        <f ca="1">IF(ISNUMBER(MATCH(DATEVALUE($A158),'recurring1_based on steps'!AG$1:AG$400,0)),AG$2,)</f>
        <v>0</v>
      </c>
      <c r="AH158" s="179">
        <f ca="1">IF(ISNUMBER(MATCH(DATEVALUE($A158),'recurring1_based on steps'!AH$1:AH$400,0)),AH$2,)</f>
        <v>0</v>
      </c>
      <c r="AI158" s="179">
        <f ca="1">IF(ISNUMBER(MATCH(DATEVALUE($A158),'recurring1_based on steps'!AI$1:AI$400,0)),AI$2,)</f>
        <v>0</v>
      </c>
      <c r="AJ158" s="179">
        <f ca="1">IF(ISNUMBER(MATCH(DATEVALUE($A158),'recurring1_based on steps'!AJ$1:AJ$400,0)),AJ$2,)</f>
        <v>0</v>
      </c>
      <c r="AK158" s="179">
        <f ca="1">IF(ISNUMBER(MATCH(DATEVALUE($A158),'recurring1_based on steps'!AK$1:AK$400,0)),AK$2,)</f>
        <v>0</v>
      </c>
      <c r="AL158" s="179">
        <f ca="1">IF(ISNUMBER(MATCH(DATEVALUE($A158),'recurring1_based on steps'!AL$1:AL$400,0)),AL$2,)</f>
        <v>0</v>
      </c>
      <c r="AM158" s="179">
        <f ca="1">IF(ISNUMBER(MATCH(DATEVALUE($A158),'recurring1_based on steps'!AM$1:AM$400,0)),AM$2,)</f>
        <v>0</v>
      </c>
      <c r="AN158" s="179">
        <f ca="1">IF(ISNUMBER(MATCH(DATEVALUE($A158),'recurring1_based on steps'!AN$1:AN$400,0)),AN$2,)</f>
        <v>0</v>
      </c>
      <c r="AO158" s="179">
        <f ca="1">IF(ISNUMBER(MATCH(DATEVALUE($A158),'recurring1_based on steps'!AO$1:AO$400,0)),AO$2,)</f>
        <v>0</v>
      </c>
      <c r="AP158" s="179">
        <f ca="1">IF(ISNUMBER(MATCH(DATEVALUE($A158),'recurring1_based on steps'!AP$1:AP$400,0)),AP$2,)</f>
        <v>0</v>
      </c>
      <c r="AQ158" s="179">
        <f ca="1">IF(ISNUMBER(MATCH(DATEVALUE($A158),'recurring1_based on steps'!AQ$1:AQ$400,0)),AQ$2,)</f>
        <v>0</v>
      </c>
      <c r="AR158" s="179">
        <f ca="1">IF(ISNUMBER(MATCH(DATEVALUE($A158),'recurring1_based on steps'!AR$1:AR$400,0)),AR$2,)</f>
        <v>0</v>
      </c>
      <c r="AS158" s="179">
        <f ca="1">IF(ISNUMBER(MATCH(DATEVALUE($A158),'recurring1_based on steps'!AS$1:AS$400,0)),AS$2,)</f>
        <v>0</v>
      </c>
      <c r="AT158" s="179">
        <f ca="1">IF(ISNUMBER(MATCH(DATEVALUE($A158),'recurring1_based on steps'!AT$1:AT$400,0)),AT$2,)</f>
        <v>0</v>
      </c>
      <c r="AU158" s="179">
        <f ca="1">IF(ISNUMBER(MATCH(DATEVALUE($A158),'recurring1_based on steps'!AU$1:AU$400,0)),AU$2,)</f>
        <v>0</v>
      </c>
      <c r="AV158" s="179">
        <f ca="1">IF(ISNUMBER(MATCH(DATEVALUE($A158),'recurring1_based on steps'!AV$1:AV$400,0)),AV$2,)</f>
        <v>0</v>
      </c>
      <c r="AW158" s="179">
        <f ca="1">IF(ISNUMBER(MATCH(DATEVALUE($A158),'recurring1_based on steps'!AW$1:AW$400,0)),AW$2,)</f>
        <v>0</v>
      </c>
      <c r="AX158" s="179">
        <f ca="1">IF(ISNUMBER(MATCH(DATEVALUE($A158),'recurring1_based on steps'!AX$1:AX$400,0)),AX$2,)</f>
        <v>0</v>
      </c>
      <c r="AY158" s="179">
        <f ca="1">IF(ISNUMBER(MATCH(DATEVALUE($A158),'recurring1_based on steps'!AY$1:AY$400,0)),AY$2,)</f>
        <v>0</v>
      </c>
    </row>
    <row r="159" spans="1:51" x14ac:dyDescent="0.2">
      <c r="A159" s="32" t="str">
        <f t="shared" ca="1" si="2"/>
        <v>2025-09-01</v>
      </c>
      <c r="B159" s="179">
        <f ca="1">IF(ISNUMBER(MATCH(DATEVALUE($A159),'recurring1_based on steps'!B$1:B$400,0)),B$2,)</f>
        <v>0</v>
      </c>
      <c r="C159" s="179">
        <f ca="1">IF(ISNUMBER(MATCH(DATEVALUE($A159),'recurring1_based on steps'!C$1:C$400,0)),C$2,)</f>
        <v>0</v>
      </c>
      <c r="D159" s="179">
        <f ca="1">IF(ISNUMBER(MATCH(DATEVALUE($A159),'recurring1_based on steps'!D$1:D$400,0)),D$2,)</f>
        <v>0</v>
      </c>
      <c r="E159" s="179">
        <f ca="1">IF(ISNUMBER(MATCH(DATEVALUE($A159),'recurring1_based on steps'!E$1:E$400,0)),E$2,)</f>
        <v>0</v>
      </c>
      <c r="F159" s="179">
        <f ca="1">IF(ISNUMBER(MATCH(DATEVALUE($A159),'recurring1_based on steps'!F$1:F$400,0)),F$2,)</f>
        <v>0</v>
      </c>
      <c r="G159" s="179">
        <f ca="1">IF(ISNUMBER(MATCH(DATEVALUE($A159),'recurring1_based on steps'!G$1:G$400,0)),G$2,)</f>
        <v>0</v>
      </c>
      <c r="H159" s="179">
        <f ca="1">IF(ISNUMBER(MATCH(DATEVALUE($A159),'recurring1_based on steps'!H$1:H$400,0)),H$2,)</f>
        <v>0</v>
      </c>
      <c r="I159" s="179">
        <f ca="1">IF(ISNUMBER(MATCH(DATEVALUE($A159),'recurring1_based on steps'!I$1:I$400,0)),I$2,)</f>
        <v>0</v>
      </c>
      <c r="J159" s="179">
        <f ca="1">IF(ISNUMBER(MATCH(DATEVALUE($A159),'recurring1_based on steps'!J$1:J$400,0)),J$2,)</f>
        <v>0</v>
      </c>
      <c r="K159" s="179">
        <f ca="1">IF(ISNUMBER(MATCH(DATEVALUE($A159),'recurring1_based on steps'!K$1:K$400,0)),K$2,)</f>
        <v>0</v>
      </c>
      <c r="L159" s="179">
        <f ca="1">IF(ISNUMBER(MATCH(DATEVALUE($A159),'recurring1_based on steps'!L$1:L$400,0)),L$2,)</f>
        <v>0</v>
      </c>
      <c r="M159" s="179">
        <f ca="1">IF(ISNUMBER(MATCH(DATEVALUE($A159),'recurring1_based on steps'!M$1:M$400,0)),M$2,)</f>
        <v>0</v>
      </c>
      <c r="N159" s="179">
        <f ca="1">IF(ISNUMBER(MATCH(DATEVALUE($A159),'recurring1_based on steps'!N$1:N$400,0)),N$2,)</f>
        <v>0</v>
      </c>
      <c r="O159" s="179">
        <f ca="1">IF(ISNUMBER(MATCH(DATEVALUE($A159),'recurring1_based on steps'!O$1:O$400,0)),O$2,)</f>
        <v>0</v>
      </c>
      <c r="P159" s="179">
        <f ca="1">IF(ISNUMBER(MATCH(DATEVALUE($A159),'recurring1_based on steps'!P$1:P$400,0)),P$2,)</f>
        <v>0</v>
      </c>
      <c r="Q159" s="179">
        <f ca="1">IF(ISNUMBER(MATCH(DATEVALUE($A159),'recurring1_based on steps'!Q$1:Q$400,0)),Q$2,)</f>
        <v>0</v>
      </c>
      <c r="R159" s="179">
        <f ca="1">IF(ISNUMBER(MATCH(DATEVALUE($A159),'recurring1_based on steps'!R$1:R$400,0)),R$2,)</f>
        <v>0</v>
      </c>
      <c r="S159" s="179">
        <f ca="1">IF(ISNUMBER(MATCH(DATEVALUE($A159),'recurring1_based on steps'!S$1:S$400,0)),S$2,)</f>
        <v>0</v>
      </c>
      <c r="T159" s="179">
        <f ca="1">IF(ISNUMBER(MATCH(DATEVALUE($A159),'recurring1_based on steps'!T$1:T$400,0)),T$2,)</f>
        <v>0</v>
      </c>
      <c r="U159" s="179">
        <f ca="1">IF(ISNUMBER(MATCH(DATEVALUE($A159),'recurring1_based on steps'!U$1:U$400,0)),U$2,)</f>
        <v>0</v>
      </c>
      <c r="V159" s="179">
        <f ca="1">IF(ISNUMBER(MATCH(DATEVALUE($A159),'recurring1_based on steps'!V$1:V$400,0)),V$2,)</f>
        <v>0</v>
      </c>
      <c r="W159" s="179">
        <f ca="1">IF(ISNUMBER(MATCH(DATEVALUE($A159),'recurring1_based on steps'!W$1:W$400,0)),W$2,)</f>
        <v>0</v>
      </c>
      <c r="X159" s="179">
        <f ca="1">IF(ISNUMBER(MATCH(DATEVALUE($A159),'recurring1_based on steps'!X$1:X$400,0)),X$2,)</f>
        <v>0</v>
      </c>
      <c r="Y159" s="179">
        <f ca="1">IF(ISNUMBER(MATCH(DATEVALUE($A159),'recurring1_based on steps'!Y$1:Y$400,0)),Y$2,)</f>
        <v>0</v>
      </c>
      <c r="Z159" s="179">
        <f ca="1">IF(ISNUMBER(MATCH(DATEVALUE($A159),'recurring1_based on steps'!Z$1:Z$400,0)),Z$2,)</f>
        <v>0</v>
      </c>
      <c r="AA159" s="179">
        <f ca="1">IF(ISNUMBER(MATCH(DATEVALUE($A159),'recurring1_based on steps'!AA$1:AA$400,0)),AA$2,)</f>
        <v>0</v>
      </c>
      <c r="AB159" s="179">
        <f ca="1">IF(ISNUMBER(MATCH(DATEVALUE($A159),'recurring1_based on steps'!AB$1:AB$400,0)),AB$2,)</f>
        <v>0</v>
      </c>
      <c r="AC159" s="179">
        <f ca="1">IF(ISNUMBER(MATCH(DATEVALUE($A159),'recurring1_based on steps'!AC$1:AC$400,0)),AC$2,)</f>
        <v>0</v>
      </c>
      <c r="AD159" s="179">
        <f ca="1">IF(ISNUMBER(MATCH(DATEVALUE($A159),'recurring1_based on steps'!AD$1:AD$400,0)),AD$2,)</f>
        <v>0</v>
      </c>
      <c r="AE159" s="179">
        <f ca="1">IF(ISNUMBER(MATCH(DATEVALUE($A159),'recurring1_based on steps'!AE$1:AE$400,0)),AE$2,)</f>
        <v>0</v>
      </c>
      <c r="AF159" s="179">
        <f ca="1">IF(ISNUMBER(MATCH(DATEVALUE($A159),'recurring1_based on steps'!AF$1:AF$400,0)),AF$2,)</f>
        <v>0</v>
      </c>
      <c r="AG159" s="179">
        <f ca="1">IF(ISNUMBER(MATCH(DATEVALUE($A159),'recurring1_based on steps'!AG$1:AG$400,0)),AG$2,)</f>
        <v>0</v>
      </c>
      <c r="AH159" s="179">
        <f ca="1">IF(ISNUMBER(MATCH(DATEVALUE($A159),'recurring1_based on steps'!AH$1:AH$400,0)),AH$2,)</f>
        <v>0</v>
      </c>
      <c r="AI159" s="179">
        <f ca="1">IF(ISNUMBER(MATCH(DATEVALUE($A159),'recurring1_based on steps'!AI$1:AI$400,0)),AI$2,)</f>
        <v>0</v>
      </c>
      <c r="AJ159" s="179">
        <f ca="1">IF(ISNUMBER(MATCH(DATEVALUE($A159),'recurring1_based on steps'!AJ$1:AJ$400,0)),AJ$2,)</f>
        <v>0</v>
      </c>
      <c r="AK159" s="179">
        <f ca="1">IF(ISNUMBER(MATCH(DATEVALUE($A159),'recurring1_based on steps'!AK$1:AK$400,0)),AK$2,)</f>
        <v>0</v>
      </c>
      <c r="AL159" s="179">
        <f ca="1">IF(ISNUMBER(MATCH(DATEVALUE($A159),'recurring1_based on steps'!AL$1:AL$400,0)),AL$2,)</f>
        <v>0</v>
      </c>
      <c r="AM159" s="179">
        <f ca="1">IF(ISNUMBER(MATCH(DATEVALUE($A159),'recurring1_based on steps'!AM$1:AM$400,0)),AM$2,)</f>
        <v>0</v>
      </c>
      <c r="AN159" s="179">
        <f ca="1">IF(ISNUMBER(MATCH(DATEVALUE($A159),'recurring1_based on steps'!AN$1:AN$400,0)),AN$2,)</f>
        <v>0</v>
      </c>
      <c r="AO159" s="179">
        <f ca="1">IF(ISNUMBER(MATCH(DATEVALUE($A159),'recurring1_based on steps'!AO$1:AO$400,0)),AO$2,)</f>
        <v>0</v>
      </c>
      <c r="AP159" s="179">
        <f ca="1">IF(ISNUMBER(MATCH(DATEVALUE($A159),'recurring1_based on steps'!AP$1:AP$400,0)),AP$2,)</f>
        <v>0</v>
      </c>
      <c r="AQ159" s="179">
        <f ca="1">IF(ISNUMBER(MATCH(DATEVALUE($A159),'recurring1_based on steps'!AQ$1:AQ$400,0)),AQ$2,)</f>
        <v>0</v>
      </c>
      <c r="AR159" s="179">
        <f ca="1">IF(ISNUMBER(MATCH(DATEVALUE($A159),'recurring1_based on steps'!AR$1:AR$400,0)),AR$2,)</f>
        <v>0</v>
      </c>
      <c r="AS159" s="179">
        <f ca="1">IF(ISNUMBER(MATCH(DATEVALUE($A159),'recurring1_based on steps'!AS$1:AS$400,0)),AS$2,)</f>
        <v>0</v>
      </c>
      <c r="AT159" s="179">
        <f ca="1">IF(ISNUMBER(MATCH(DATEVALUE($A159),'recurring1_based on steps'!AT$1:AT$400,0)),AT$2,)</f>
        <v>0</v>
      </c>
      <c r="AU159" s="179">
        <f ca="1">IF(ISNUMBER(MATCH(DATEVALUE($A159),'recurring1_based on steps'!AU$1:AU$400,0)),AU$2,)</f>
        <v>0</v>
      </c>
      <c r="AV159" s="179">
        <f ca="1">IF(ISNUMBER(MATCH(DATEVALUE($A159),'recurring1_based on steps'!AV$1:AV$400,0)),AV$2,)</f>
        <v>0</v>
      </c>
      <c r="AW159" s="179">
        <f ca="1">IF(ISNUMBER(MATCH(DATEVALUE($A159),'recurring1_based on steps'!AW$1:AW$400,0)),AW$2,)</f>
        <v>0</v>
      </c>
      <c r="AX159" s="179">
        <f ca="1">IF(ISNUMBER(MATCH(DATEVALUE($A159),'recurring1_based on steps'!AX$1:AX$400,0)),AX$2,)</f>
        <v>0</v>
      </c>
      <c r="AY159" s="179">
        <f ca="1">IF(ISNUMBER(MATCH(DATEVALUE($A159),'recurring1_based on steps'!AY$1:AY$400,0)),AY$2,)</f>
        <v>0</v>
      </c>
    </row>
    <row r="160" spans="1:51" x14ac:dyDescent="0.2">
      <c r="A160" s="32" t="str">
        <f t="shared" ca="1" si="2"/>
        <v>2025-09-02</v>
      </c>
      <c r="B160" s="179">
        <f ca="1">IF(ISNUMBER(MATCH(DATEVALUE($A160),'recurring1_based on steps'!B$1:B$400,0)),B$2,)</f>
        <v>0</v>
      </c>
      <c r="C160" s="179">
        <f ca="1">IF(ISNUMBER(MATCH(DATEVALUE($A160),'recurring1_based on steps'!C$1:C$400,0)),C$2,)</f>
        <v>0</v>
      </c>
      <c r="D160" s="179">
        <f ca="1">IF(ISNUMBER(MATCH(DATEVALUE($A160),'recurring1_based on steps'!D$1:D$400,0)),D$2,)</f>
        <v>0</v>
      </c>
      <c r="E160" s="179">
        <f ca="1">IF(ISNUMBER(MATCH(DATEVALUE($A160),'recurring1_based on steps'!E$1:E$400,0)),E$2,)</f>
        <v>0</v>
      </c>
      <c r="F160" s="179">
        <f ca="1">IF(ISNUMBER(MATCH(DATEVALUE($A160),'recurring1_based on steps'!F$1:F$400,0)),F$2,)</f>
        <v>0</v>
      </c>
      <c r="G160" s="179">
        <f ca="1">IF(ISNUMBER(MATCH(DATEVALUE($A160),'recurring1_based on steps'!G$1:G$400,0)),G$2,)</f>
        <v>0</v>
      </c>
      <c r="H160" s="179">
        <f ca="1">IF(ISNUMBER(MATCH(DATEVALUE($A160),'recurring1_based on steps'!H$1:H$400,0)),H$2,)</f>
        <v>0</v>
      </c>
      <c r="I160" s="179">
        <f ca="1">IF(ISNUMBER(MATCH(DATEVALUE($A160),'recurring1_based on steps'!I$1:I$400,0)),I$2,)</f>
        <v>0</v>
      </c>
      <c r="J160" s="179">
        <f ca="1">IF(ISNUMBER(MATCH(DATEVALUE($A160),'recurring1_based on steps'!J$1:J$400,0)),J$2,)</f>
        <v>0</v>
      </c>
      <c r="K160" s="179">
        <f ca="1">IF(ISNUMBER(MATCH(DATEVALUE($A160),'recurring1_based on steps'!K$1:K$400,0)),K$2,)</f>
        <v>0</v>
      </c>
      <c r="L160" s="179">
        <f ca="1">IF(ISNUMBER(MATCH(DATEVALUE($A160),'recurring1_based on steps'!L$1:L$400,0)),L$2,)</f>
        <v>0</v>
      </c>
      <c r="M160" s="179">
        <f ca="1">IF(ISNUMBER(MATCH(DATEVALUE($A160),'recurring1_based on steps'!M$1:M$400,0)),M$2,)</f>
        <v>0</v>
      </c>
      <c r="N160" s="179">
        <f ca="1">IF(ISNUMBER(MATCH(DATEVALUE($A160),'recurring1_based on steps'!N$1:N$400,0)),N$2,)</f>
        <v>0</v>
      </c>
      <c r="O160" s="179">
        <f ca="1">IF(ISNUMBER(MATCH(DATEVALUE($A160),'recurring1_based on steps'!O$1:O$400,0)),O$2,)</f>
        <v>0</v>
      </c>
      <c r="P160" s="179">
        <f ca="1">IF(ISNUMBER(MATCH(DATEVALUE($A160),'recurring1_based on steps'!P$1:P$400,0)),P$2,)</f>
        <v>0</v>
      </c>
      <c r="Q160" s="179">
        <f ca="1">IF(ISNUMBER(MATCH(DATEVALUE($A160),'recurring1_based on steps'!Q$1:Q$400,0)),Q$2,)</f>
        <v>0</v>
      </c>
      <c r="R160" s="179">
        <f ca="1">IF(ISNUMBER(MATCH(DATEVALUE($A160),'recurring1_based on steps'!R$1:R$400,0)),R$2,)</f>
        <v>0</v>
      </c>
      <c r="S160" s="179">
        <f ca="1">IF(ISNUMBER(MATCH(DATEVALUE($A160),'recurring1_based on steps'!S$1:S$400,0)),S$2,)</f>
        <v>0</v>
      </c>
      <c r="T160" s="179">
        <f ca="1">IF(ISNUMBER(MATCH(DATEVALUE($A160),'recurring1_based on steps'!T$1:T$400,0)),T$2,)</f>
        <v>0</v>
      </c>
      <c r="U160" s="179">
        <f ca="1">IF(ISNUMBER(MATCH(DATEVALUE($A160),'recurring1_based on steps'!U$1:U$400,0)),U$2,)</f>
        <v>0</v>
      </c>
      <c r="V160" s="179">
        <f ca="1">IF(ISNUMBER(MATCH(DATEVALUE($A160),'recurring1_based on steps'!V$1:V$400,0)),V$2,)</f>
        <v>0</v>
      </c>
      <c r="W160" s="179">
        <f ca="1">IF(ISNUMBER(MATCH(DATEVALUE($A160),'recurring1_based on steps'!W$1:W$400,0)),W$2,)</f>
        <v>0</v>
      </c>
      <c r="X160" s="179">
        <f ca="1">IF(ISNUMBER(MATCH(DATEVALUE($A160),'recurring1_based on steps'!X$1:X$400,0)),X$2,)</f>
        <v>0</v>
      </c>
      <c r="Y160" s="179">
        <f ca="1">IF(ISNUMBER(MATCH(DATEVALUE($A160),'recurring1_based on steps'!Y$1:Y$400,0)),Y$2,)</f>
        <v>0</v>
      </c>
      <c r="Z160" s="179">
        <f ca="1">IF(ISNUMBER(MATCH(DATEVALUE($A160),'recurring1_based on steps'!Z$1:Z$400,0)),Z$2,)</f>
        <v>0</v>
      </c>
      <c r="AA160" s="179">
        <f ca="1">IF(ISNUMBER(MATCH(DATEVALUE($A160),'recurring1_based on steps'!AA$1:AA$400,0)),AA$2,)</f>
        <v>0</v>
      </c>
      <c r="AB160" s="179">
        <f ca="1">IF(ISNUMBER(MATCH(DATEVALUE($A160),'recurring1_based on steps'!AB$1:AB$400,0)),AB$2,)</f>
        <v>0</v>
      </c>
      <c r="AC160" s="179">
        <f ca="1">IF(ISNUMBER(MATCH(DATEVALUE($A160),'recurring1_based on steps'!AC$1:AC$400,0)),AC$2,)</f>
        <v>0</v>
      </c>
      <c r="AD160" s="179">
        <f ca="1">IF(ISNUMBER(MATCH(DATEVALUE($A160),'recurring1_based on steps'!AD$1:AD$400,0)),AD$2,)</f>
        <v>0</v>
      </c>
      <c r="AE160" s="179">
        <f ca="1">IF(ISNUMBER(MATCH(DATEVALUE($A160),'recurring1_based on steps'!AE$1:AE$400,0)),AE$2,)</f>
        <v>0</v>
      </c>
      <c r="AF160" s="179">
        <f ca="1">IF(ISNUMBER(MATCH(DATEVALUE($A160),'recurring1_based on steps'!AF$1:AF$400,0)),AF$2,)</f>
        <v>0</v>
      </c>
      <c r="AG160" s="179">
        <f ca="1">IF(ISNUMBER(MATCH(DATEVALUE($A160),'recurring1_based on steps'!AG$1:AG$400,0)),AG$2,)</f>
        <v>0</v>
      </c>
      <c r="AH160" s="179">
        <f ca="1">IF(ISNUMBER(MATCH(DATEVALUE($A160),'recurring1_based on steps'!AH$1:AH$400,0)),AH$2,)</f>
        <v>0</v>
      </c>
      <c r="AI160" s="179">
        <f ca="1">IF(ISNUMBER(MATCH(DATEVALUE($A160),'recurring1_based on steps'!AI$1:AI$400,0)),AI$2,)</f>
        <v>0</v>
      </c>
      <c r="AJ160" s="179">
        <f ca="1">IF(ISNUMBER(MATCH(DATEVALUE($A160),'recurring1_based on steps'!AJ$1:AJ$400,0)),AJ$2,)</f>
        <v>0</v>
      </c>
      <c r="AK160" s="179">
        <f ca="1">IF(ISNUMBER(MATCH(DATEVALUE($A160),'recurring1_based on steps'!AK$1:AK$400,0)),AK$2,)</f>
        <v>0</v>
      </c>
      <c r="AL160" s="179">
        <f ca="1">IF(ISNUMBER(MATCH(DATEVALUE($A160),'recurring1_based on steps'!AL$1:AL$400,0)),AL$2,)</f>
        <v>0</v>
      </c>
      <c r="AM160" s="179">
        <f ca="1">IF(ISNUMBER(MATCH(DATEVALUE($A160),'recurring1_based on steps'!AM$1:AM$400,0)),AM$2,)</f>
        <v>0</v>
      </c>
      <c r="AN160" s="179">
        <f ca="1">IF(ISNUMBER(MATCH(DATEVALUE($A160),'recurring1_based on steps'!AN$1:AN$400,0)),AN$2,)</f>
        <v>0</v>
      </c>
      <c r="AO160" s="179">
        <f ca="1">IF(ISNUMBER(MATCH(DATEVALUE($A160),'recurring1_based on steps'!AO$1:AO$400,0)),AO$2,)</f>
        <v>0</v>
      </c>
      <c r="AP160" s="179">
        <f ca="1">IF(ISNUMBER(MATCH(DATEVALUE($A160),'recurring1_based on steps'!AP$1:AP$400,0)),AP$2,)</f>
        <v>0</v>
      </c>
      <c r="AQ160" s="179">
        <f ca="1">IF(ISNUMBER(MATCH(DATEVALUE($A160),'recurring1_based on steps'!AQ$1:AQ$400,0)),AQ$2,)</f>
        <v>0</v>
      </c>
      <c r="AR160" s="179">
        <f ca="1">IF(ISNUMBER(MATCH(DATEVALUE($A160),'recurring1_based on steps'!AR$1:AR$400,0)),AR$2,)</f>
        <v>0</v>
      </c>
      <c r="AS160" s="179">
        <f ca="1">IF(ISNUMBER(MATCH(DATEVALUE($A160),'recurring1_based on steps'!AS$1:AS$400,0)),AS$2,)</f>
        <v>0</v>
      </c>
      <c r="AT160" s="179">
        <f ca="1">IF(ISNUMBER(MATCH(DATEVALUE($A160),'recurring1_based on steps'!AT$1:AT$400,0)),AT$2,)</f>
        <v>0</v>
      </c>
      <c r="AU160" s="179">
        <f ca="1">IF(ISNUMBER(MATCH(DATEVALUE($A160),'recurring1_based on steps'!AU$1:AU$400,0)),AU$2,)</f>
        <v>0</v>
      </c>
      <c r="AV160" s="179">
        <f ca="1">IF(ISNUMBER(MATCH(DATEVALUE($A160),'recurring1_based on steps'!AV$1:AV$400,0)),AV$2,)</f>
        <v>0</v>
      </c>
      <c r="AW160" s="179">
        <f ca="1">IF(ISNUMBER(MATCH(DATEVALUE($A160),'recurring1_based on steps'!AW$1:AW$400,0)),AW$2,)</f>
        <v>0</v>
      </c>
      <c r="AX160" s="179">
        <f ca="1">IF(ISNUMBER(MATCH(DATEVALUE($A160),'recurring1_based on steps'!AX$1:AX$400,0)),AX$2,)</f>
        <v>0</v>
      </c>
      <c r="AY160" s="179">
        <f ca="1">IF(ISNUMBER(MATCH(DATEVALUE($A160),'recurring1_based on steps'!AY$1:AY$400,0)),AY$2,)</f>
        <v>0</v>
      </c>
    </row>
    <row r="161" spans="1:51" x14ac:dyDescent="0.2">
      <c r="A161" s="32" t="str">
        <f t="shared" ca="1" si="2"/>
        <v>2025-09-03</v>
      </c>
      <c r="B161" s="179">
        <f ca="1">IF(ISNUMBER(MATCH(DATEVALUE($A161),'recurring1_based on steps'!B$1:B$400,0)),B$2,)</f>
        <v>0</v>
      </c>
      <c r="C161" s="179">
        <f ca="1">IF(ISNUMBER(MATCH(DATEVALUE($A161),'recurring1_based on steps'!C$1:C$400,0)),C$2,)</f>
        <v>0</v>
      </c>
      <c r="D161" s="179">
        <f ca="1">IF(ISNUMBER(MATCH(DATEVALUE($A161),'recurring1_based on steps'!D$1:D$400,0)),D$2,)</f>
        <v>0</v>
      </c>
      <c r="E161" s="179">
        <f ca="1">IF(ISNUMBER(MATCH(DATEVALUE($A161),'recurring1_based on steps'!E$1:E$400,0)),E$2,)</f>
        <v>0</v>
      </c>
      <c r="F161" s="179">
        <f ca="1">IF(ISNUMBER(MATCH(DATEVALUE($A161),'recurring1_based on steps'!F$1:F$400,0)),F$2,)</f>
        <v>0</v>
      </c>
      <c r="G161" s="179">
        <f ca="1">IF(ISNUMBER(MATCH(DATEVALUE($A161),'recurring1_based on steps'!G$1:G$400,0)),G$2,)</f>
        <v>0</v>
      </c>
      <c r="H161" s="179">
        <f ca="1">IF(ISNUMBER(MATCH(DATEVALUE($A161),'recurring1_based on steps'!H$1:H$400,0)),H$2,)</f>
        <v>0</v>
      </c>
      <c r="I161" s="179">
        <f ca="1">IF(ISNUMBER(MATCH(DATEVALUE($A161),'recurring1_based on steps'!I$1:I$400,0)),I$2,)</f>
        <v>0</v>
      </c>
      <c r="J161" s="179">
        <f ca="1">IF(ISNUMBER(MATCH(DATEVALUE($A161),'recurring1_based on steps'!J$1:J$400,0)),J$2,)</f>
        <v>0</v>
      </c>
      <c r="K161" s="179">
        <f ca="1">IF(ISNUMBER(MATCH(DATEVALUE($A161),'recurring1_based on steps'!K$1:K$400,0)),K$2,)</f>
        <v>0</v>
      </c>
      <c r="L161" s="179">
        <f ca="1">IF(ISNUMBER(MATCH(DATEVALUE($A161),'recurring1_based on steps'!L$1:L$400,0)),L$2,)</f>
        <v>0</v>
      </c>
      <c r="M161" s="179">
        <f ca="1">IF(ISNUMBER(MATCH(DATEVALUE($A161),'recurring1_based on steps'!M$1:M$400,0)),M$2,)</f>
        <v>0</v>
      </c>
      <c r="N161" s="179">
        <f ca="1">IF(ISNUMBER(MATCH(DATEVALUE($A161),'recurring1_based on steps'!N$1:N$400,0)),N$2,)</f>
        <v>0</v>
      </c>
      <c r="O161" s="179">
        <f ca="1">IF(ISNUMBER(MATCH(DATEVALUE($A161),'recurring1_based on steps'!O$1:O$400,0)),O$2,)</f>
        <v>0</v>
      </c>
      <c r="P161" s="179">
        <f ca="1">IF(ISNUMBER(MATCH(DATEVALUE($A161),'recurring1_based on steps'!P$1:P$400,0)),P$2,)</f>
        <v>0</v>
      </c>
      <c r="Q161" s="179">
        <f ca="1">IF(ISNUMBER(MATCH(DATEVALUE($A161),'recurring1_based on steps'!Q$1:Q$400,0)),Q$2,)</f>
        <v>0</v>
      </c>
      <c r="R161" s="179">
        <f ca="1">IF(ISNUMBER(MATCH(DATEVALUE($A161),'recurring1_based on steps'!R$1:R$400,0)),R$2,)</f>
        <v>0</v>
      </c>
      <c r="S161" s="179">
        <f ca="1">IF(ISNUMBER(MATCH(DATEVALUE($A161),'recurring1_based on steps'!S$1:S$400,0)),S$2,)</f>
        <v>0</v>
      </c>
      <c r="T161" s="179">
        <f ca="1">IF(ISNUMBER(MATCH(DATEVALUE($A161),'recurring1_based on steps'!T$1:T$400,0)),T$2,)</f>
        <v>0</v>
      </c>
      <c r="U161" s="179">
        <f ca="1">IF(ISNUMBER(MATCH(DATEVALUE($A161),'recurring1_based on steps'!U$1:U$400,0)),U$2,)</f>
        <v>0</v>
      </c>
      <c r="V161" s="179">
        <f ca="1">IF(ISNUMBER(MATCH(DATEVALUE($A161),'recurring1_based on steps'!V$1:V$400,0)),V$2,)</f>
        <v>0</v>
      </c>
      <c r="W161" s="179">
        <f ca="1">IF(ISNUMBER(MATCH(DATEVALUE($A161),'recurring1_based on steps'!W$1:W$400,0)),W$2,)</f>
        <v>0</v>
      </c>
      <c r="X161" s="179">
        <f ca="1">IF(ISNUMBER(MATCH(DATEVALUE($A161),'recurring1_based on steps'!X$1:X$400,0)),X$2,)</f>
        <v>0</v>
      </c>
      <c r="Y161" s="179">
        <f ca="1">IF(ISNUMBER(MATCH(DATEVALUE($A161),'recurring1_based on steps'!Y$1:Y$400,0)),Y$2,)</f>
        <v>0</v>
      </c>
      <c r="Z161" s="179">
        <f ca="1">IF(ISNUMBER(MATCH(DATEVALUE($A161),'recurring1_based on steps'!Z$1:Z$400,0)),Z$2,)</f>
        <v>0</v>
      </c>
      <c r="AA161" s="179">
        <f ca="1">IF(ISNUMBER(MATCH(DATEVALUE($A161),'recurring1_based on steps'!AA$1:AA$400,0)),AA$2,)</f>
        <v>0</v>
      </c>
      <c r="AB161" s="179">
        <f ca="1">IF(ISNUMBER(MATCH(DATEVALUE($A161),'recurring1_based on steps'!AB$1:AB$400,0)),AB$2,)</f>
        <v>0</v>
      </c>
      <c r="AC161" s="179">
        <f ca="1">IF(ISNUMBER(MATCH(DATEVALUE($A161),'recurring1_based on steps'!AC$1:AC$400,0)),AC$2,)</f>
        <v>0</v>
      </c>
      <c r="AD161" s="179">
        <f ca="1">IF(ISNUMBER(MATCH(DATEVALUE($A161),'recurring1_based on steps'!AD$1:AD$400,0)),AD$2,)</f>
        <v>0</v>
      </c>
      <c r="AE161" s="179">
        <f ca="1">IF(ISNUMBER(MATCH(DATEVALUE($A161),'recurring1_based on steps'!AE$1:AE$400,0)),AE$2,)</f>
        <v>0</v>
      </c>
      <c r="AF161" s="179">
        <f ca="1">IF(ISNUMBER(MATCH(DATEVALUE($A161),'recurring1_based on steps'!AF$1:AF$400,0)),AF$2,)</f>
        <v>0</v>
      </c>
      <c r="AG161" s="179">
        <f ca="1">IF(ISNUMBER(MATCH(DATEVALUE($A161),'recurring1_based on steps'!AG$1:AG$400,0)),AG$2,)</f>
        <v>0</v>
      </c>
      <c r="AH161" s="179">
        <f ca="1">IF(ISNUMBER(MATCH(DATEVALUE($A161),'recurring1_based on steps'!AH$1:AH$400,0)),AH$2,)</f>
        <v>0</v>
      </c>
      <c r="AI161" s="179">
        <f ca="1">IF(ISNUMBER(MATCH(DATEVALUE($A161),'recurring1_based on steps'!AI$1:AI$400,0)),AI$2,)</f>
        <v>0</v>
      </c>
      <c r="AJ161" s="179">
        <f ca="1">IF(ISNUMBER(MATCH(DATEVALUE($A161),'recurring1_based on steps'!AJ$1:AJ$400,0)),AJ$2,)</f>
        <v>0</v>
      </c>
      <c r="AK161" s="179">
        <f ca="1">IF(ISNUMBER(MATCH(DATEVALUE($A161),'recurring1_based on steps'!AK$1:AK$400,0)),AK$2,)</f>
        <v>0</v>
      </c>
      <c r="AL161" s="179">
        <f ca="1">IF(ISNUMBER(MATCH(DATEVALUE($A161),'recurring1_based on steps'!AL$1:AL$400,0)),AL$2,)</f>
        <v>0</v>
      </c>
      <c r="AM161" s="179">
        <f ca="1">IF(ISNUMBER(MATCH(DATEVALUE($A161),'recurring1_based on steps'!AM$1:AM$400,0)),AM$2,)</f>
        <v>0</v>
      </c>
      <c r="AN161" s="179">
        <f ca="1">IF(ISNUMBER(MATCH(DATEVALUE($A161),'recurring1_based on steps'!AN$1:AN$400,0)),AN$2,)</f>
        <v>0</v>
      </c>
      <c r="AO161" s="179">
        <f ca="1">IF(ISNUMBER(MATCH(DATEVALUE($A161),'recurring1_based on steps'!AO$1:AO$400,0)),AO$2,)</f>
        <v>0</v>
      </c>
      <c r="AP161" s="179">
        <f ca="1">IF(ISNUMBER(MATCH(DATEVALUE($A161),'recurring1_based on steps'!AP$1:AP$400,0)),AP$2,)</f>
        <v>0</v>
      </c>
      <c r="AQ161" s="179">
        <f ca="1">IF(ISNUMBER(MATCH(DATEVALUE($A161),'recurring1_based on steps'!AQ$1:AQ$400,0)),AQ$2,)</f>
        <v>0</v>
      </c>
      <c r="AR161" s="179">
        <f ca="1">IF(ISNUMBER(MATCH(DATEVALUE($A161),'recurring1_based on steps'!AR$1:AR$400,0)),AR$2,)</f>
        <v>0</v>
      </c>
      <c r="AS161" s="179">
        <f ca="1">IF(ISNUMBER(MATCH(DATEVALUE($A161),'recurring1_based on steps'!AS$1:AS$400,0)),AS$2,)</f>
        <v>0</v>
      </c>
      <c r="AT161" s="179">
        <f ca="1">IF(ISNUMBER(MATCH(DATEVALUE($A161),'recurring1_based on steps'!AT$1:AT$400,0)),AT$2,)</f>
        <v>0</v>
      </c>
      <c r="AU161" s="179">
        <f ca="1">IF(ISNUMBER(MATCH(DATEVALUE($A161),'recurring1_based on steps'!AU$1:AU$400,0)),AU$2,)</f>
        <v>0</v>
      </c>
      <c r="AV161" s="179">
        <f ca="1">IF(ISNUMBER(MATCH(DATEVALUE($A161),'recurring1_based on steps'!AV$1:AV$400,0)),AV$2,)</f>
        <v>0</v>
      </c>
      <c r="AW161" s="179">
        <f ca="1">IF(ISNUMBER(MATCH(DATEVALUE($A161),'recurring1_based on steps'!AW$1:AW$400,0)),AW$2,)</f>
        <v>0</v>
      </c>
      <c r="AX161" s="179">
        <f ca="1">IF(ISNUMBER(MATCH(DATEVALUE($A161),'recurring1_based on steps'!AX$1:AX$400,0)),AX$2,)</f>
        <v>0</v>
      </c>
      <c r="AY161" s="179">
        <f ca="1">IF(ISNUMBER(MATCH(DATEVALUE($A161),'recurring1_based on steps'!AY$1:AY$400,0)),AY$2,)</f>
        <v>0</v>
      </c>
    </row>
    <row r="162" spans="1:51" x14ac:dyDescent="0.2">
      <c r="A162" s="32" t="str">
        <f t="shared" ca="1" si="2"/>
        <v>2025-09-04</v>
      </c>
      <c r="B162" s="179">
        <f ca="1">IF(ISNUMBER(MATCH(DATEVALUE($A162),'recurring1_based on steps'!B$1:B$400,0)),B$2,)</f>
        <v>0</v>
      </c>
      <c r="C162" s="179">
        <f ca="1">IF(ISNUMBER(MATCH(DATEVALUE($A162),'recurring1_based on steps'!C$1:C$400,0)),C$2,)</f>
        <v>0</v>
      </c>
      <c r="D162" s="179">
        <f ca="1">IF(ISNUMBER(MATCH(DATEVALUE($A162),'recurring1_based on steps'!D$1:D$400,0)),D$2,)</f>
        <v>0</v>
      </c>
      <c r="E162" s="179">
        <f ca="1">IF(ISNUMBER(MATCH(DATEVALUE($A162),'recurring1_based on steps'!E$1:E$400,0)),E$2,)</f>
        <v>0</v>
      </c>
      <c r="F162" s="179">
        <f ca="1">IF(ISNUMBER(MATCH(DATEVALUE($A162),'recurring1_based on steps'!F$1:F$400,0)),F$2,)</f>
        <v>0</v>
      </c>
      <c r="G162" s="179">
        <f ca="1">IF(ISNUMBER(MATCH(DATEVALUE($A162),'recurring1_based on steps'!G$1:G$400,0)),G$2,)</f>
        <v>0</v>
      </c>
      <c r="H162" s="179">
        <f ca="1">IF(ISNUMBER(MATCH(DATEVALUE($A162),'recurring1_based on steps'!H$1:H$400,0)),H$2,)</f>
        <v>0</v>
      </c>
      <c r="I162" s="179">
        <f ca="1">IF(ISNUMBER(MATCH(DATEVALUE($A162),'recurring1_based on steps'!I$1:I$400,0)),I$2,)</f>
        <v>0</v>
      </c>
      <c r="J162" s="179">
        <f ca="1">IF(ISNUMBER(MATCH(DATEVALUE($A162),'recurring1_based on steps'!J$1:J$400,0)),J$2,)</f>
        <v>0</v>
      </c>
      <c r="K162" s="179">
        <f ca="1">IF(ISNUMBER(MATCH(DATEVALUE($A162),'recurring1_based on steps'!K$1:K$400,0)),K$2,)</f>
        <v>0</v>
      </c>
      <c r="L162" s="179">
        <f ca="1">IF(ISNUMBER(MATCH(DATEVALUE($A162),'recurring1_based on steps'!L$1:L$400,0)),L$2,)</f>
        <v>0</v>
      </c>
      <c r="M162" s="179">
        <f ca="1">IF(ISNUMBER(MATCH(DATEVALUE($A162),'recurring1_based on steps'!M$1:M$400,0)),M$2,)</f>
        <v>0</v>
      </c>
      <c r="N162" s="179">
        <f ca="1">IF(ISNUMBER(MATCH(DATEVALUE($A162),'recurring1_based on steps'!N$1:N$400,0)),N$2,)</f>
        <v>0</v>
      </c>
      <c r="O162" s="179">
        <f ca="1">IF(ISNUMBER(MATCH(DATEVALUE($A162),'recurring1_based on steps'!O$1:O$400,0)),O$2,)</f>
        <v>0</v>
      </c>
      <c r="P162" s="179">
        <f ca="1">IF(ISNUMBER(MATCH(DATEVALUE($A162),'recurring1_based on steps'!P$1:P$400,0)),P$2,)</f>
        <v>0</v>
      </c>
      <c r="Q162" s="179">
        <f ca="1">IF(ISNUMBER(MATCH(DATEVALUE($A162),'recurring1_based on steps'!Q$1:Q$400,0)),Q$2,)</f>
        <v>0</v>
      </c>
      <c r="R162" s="179">
        <f ca="1">IF(ISNUMBER(MATCH(DATEVALUE($A162),'recurring1_based on steps'!R$1:R$400,0)),R$2,)</f>
        <v>0</v>
      </c>
      <c r="S162" s="179">
        <f ca="1">IF(ISNUMBER(MATCH(DATEVALUE($A162),'recurring1_based on steps'!S$1:S$400,0)),S$2,)</f>
        <v>0</v>
      </c>
      <c r="T162" s="179">
        <f ca="1">IF(ISNUMBER(MATCH(DATEVALUE($A162),'recurring1_based on steps'!T$1:T$400,0)),T$2,)</f>
        <v>0</v>
      </c>
      <c r="U162" s="179">
        <f ca="1">IF(ISNUMBER(MATCH(DATEVALUE($A162),'recurring1_based on steps'!U$1:U$400,0)),U$2,)</f>
        <v>0</v>
      </c>
      <c r="V162" s="179">
        <f ca="1">IF(ISNUMBER(MATCH(DATEVALUE($A162),'recurring1_based on steps'!V$1:V$400,0)),V$2,)</f>
        <v>0</v>
      </c>
      <c r="W162" s="179">
        <f ca="1">IF(ISNUMBER(MATCH(DATEVALUE($A162),'recurring1_based on steps'!W$1:W$400,0)),W$2,)</f>
        <v>0</v>
      </c>
      <c r="X162" s="179">
        <f ca="1">IF(ISNUMBER(MATCH(DATEVALUE($A162),'recurring1_based on steps'!X$1:X$400,0)),X$2,)</f>
        <v>0</v>
      </c>
      <c r="Y162" s="179">
        <f ca="1">IF(ISNUMBER(MATCH(DATEVALUE($A162),'recurring1_based on steps'!Y$1:Y$400,0)),Y$2,)</f>
        <v>0</v>
      </c>
      <c r="Z162" s="179">
        <f ca="1">IF(ISNUMBER(MATCH(DATEVALUE($A162),'recurring1_based on steps'!Z$1:Z$400,0)),Z$2,)</f>
        <v>0</v>
      </c>
      <c r="AA162" s="179">
        <f ca="1">IF(ISNUMBER(MATCH(DATEVALUE($A162),'recurring1_based on steps'!AA$1:AA$400,0)),AA$2,)</f>
        <v>0</v>
      </c>
      <c r="AB162" s="179">
        <f ca="1">IF(ISNUMBER(MATCH(DATEVALUE($A162),'recurring1_based on steps'!AB$1:AB$400,0)),AB$2,)</f>
        <v>0</v>
      </c>
      <c r="AC162" s="179">
        <f ca="1">IF(ISNUMBER(MATCH(DATEVALUE($A162),'recurring1_based on steps'!AC$1:AC$400,0)),AC$2,)</f>
        <v>0</v>
      </c>
      <c r="AD162" s="179">
        <f ca="1">IF(ISNUMBER(MATCH(DATEVALUE($A162),'recurring1_based on steps'!AD$1:AD$400,0)),AD$2,)</f>
        <v>0</v>
      </c>
      <c r="AE162" s="179">
        <f ca="1">IF(ISNUMBER(MATCH(DATEVALUE($A162),'recurring1_based on steps'!AE$1:AE$400,0)),AE$2,)</f>
        <v>0</v>
      </c>
      <c r="AF162" s="179">
        <f ca="1">IF(ISNUMBER(MATCH(DATEVALUE($A162),'recurring1_based on steps'!AF$1:AF$400,0)),AF$2,)</f>
        <v>0</v>
      </c>
      <c r="AG162" s="179">
        <f ca="1">IF(ISNUMBER(MATCH(DATEVALUE($A162),'recurring1_based on steps'!AG$1:AG$400,0)),AG$2,)</f>
        <v>0</v>
      </c>
      <c r="AH162" s="179">
        <f ca="1">IF(ISNUMBER(MATCH(DATEVALUE($A162),'recurring1_based on steps'!AH$1:AH$400,0)),AH$2,)</f>
        <v>0</v>
      </c>
      <c r="AI162" s="179">
        <f ca="1">IF(ISNUMBER(MATCH(DATEVALUE($A162),'recurring1_based on steps'!AI$1:AI$400,0)),AI$2,)</f>
        <v>0</v>
      </c>
      <c r="AJ162" s="179">
        <f ca="1">IF(ISNUMBER(MATCH(DATEVALUE($A162),'recurring1_based on steps'!AJ$1:AJ$400,0)),AJ$2,)</f>
        <v>0</v>
      </c>
      <c r="AK162" s="179">
        <f ca="1">IF(ISNUMBER(MATCH(DATEVALUE($A162),'recurring1_based on steps'!AK$1:AK$400,0)),AK$2,)</f>
        <v>0</v>
      </c>
      <c r="AL162" s="179">
        <f ca="1">IF(ISNUMBER(MATCH(DATEVALUE($A162),'recurring1_based on steps'!AL$1:AL$400,0)),AL$2,)</f>
        <v>0</v>
      </c>
      <c r="AM162" s="179">
        <f ca="1">IF(ISNUMBER(MATCH(DATEVALUE($A162),'recurring1_based on steps'!AM$1:AM$400,0)),AM$2,)</f>
        <v>0</v>
      </c>
      <c r="AN162" s="179">
        <f ca="1">IF(ISNUMBER(MATCH(DATEVALUE($A162),'recurring1_based on steps'!AN$1:AN$400,0)),AN$2,)</f>
        <v>0</v>
      </c>
      <c r="AO162" s="179">
        <f ca="1">IF(ISNUMBER(MATCH(DATEVALUE($A162),'recurring1_based on steps'!AO$1:AO$400,0)),AO$2,)</f>
        <v>0</v>
      </c>
      <c r="AP162" s="179">
        <f ca="1">IF(ISNUMBER(MATCH(DATEVALUE($A162),'recurring1_based on steps'!AP$1:AP$400,0)),AP$2,)</f>
        <v>0</v>
      </c>
      <c r="AQ162" s="179">
        <f ca="1">IF(ISNUMBER(MATCH(DATEVALUE($A162),'recurring1_based on steps'!AQ$1:AQ$400,0)),AQ$2,)</f>
        <v>0</v>
      </c>
      <c r="AR162" s="179">
        <f ca="1">IF(ISNUMBER(MATCH(DATEVALUE($A162),'recurring1_based on steps'!AR$1:AR$400,0)),AR$2,)</f>
        <v>0</v>
      </c>
      <c r="AS162" s="179">
        <f ca="1">IF(ISNUMBER(MATCH(DATEVALUE($A162),'recurring1_based on steps'!AS$1:AS$400,0)),AS$2,)</f>
        <v>0</v>
      </c>
      <c r="AT162" s="179">
        <f ca="1">IF(ISNUMBER(MATCH(DATEVALUE($A162),'recurring1_based on steps'!AT$1:AT$400,0)),AT$2,)</f>
        <v>0</v>
      </c>
      <c r="AU162" s="179">
        <f ca="1">IF(ISNUMBER(MATCH(DATEVALUE($A162),'recurring1_based on steps'!AU$1:AU$400,0)),AU$2,)</f>
        <v>0</v>
      </c>
      <c r="AV162" s="179">
        <f ca="1">IF(ISNUMBER(MATCH(DATEVALUE($A162),'recurring1_based on steps'!AV$1:AV$400,0)),AV$2,)</f>
        <v>0</v>
      </c>
      <c r="AW162" s="179">
        <f ca="1">IF(ISNUMBER(MATCH(DATEVALUE($A162),'recurring1_based on steps'!AW$1:AW$400,0)),AW$2,)</f>
        <v>0</v>
      </c>
      <c r="AX162" s="179">
        <f ca="1">IF(ISNUMBER(MATCH(DATEVALUE($A162),'recurring1_based on steps'!AX$1:AX$400,0)),AX$2,)</f>
        <v>0</v>
      </c>
      <c r="AY162" s="179">
        <f ca="1">IF(ISNUMBER(MATCH(DATEVALUE($A162),'recurring1_based on steps'!AY$1:AY$400,0)),AY$2,)</f>
        <v>0</v>
      </c>
    </row>
    <row r="163" spans="1:51" x14ac:dyDescent="0.2">
      <c r="A163" s="32" t="str">
        <f t="shared" ca="1" si="2"/>
        <v>2025-09-05</v>
      </c>
      <c r="B163" s="179">
        <f ca="1">IF(ISNUMBER(MATCH(DATEVALUE($A163),'recurring1_based on steps'!B$1:B$400,0)),B$2,)</f>
        <v>0</v>
      </c>
      <c r="C163" s="179">
        <f ca="1">IF(ISNUMBER(MATCH(DATEVALUE($A163),'recurring1_based on steps'!C$1:C$400,0)),C$2,)</f>
        <v>0</v>
      </c>
      <c r="D163" s="179">
        <f ca="1">IF(ISNUMBER(MATCH(DATEVALUE($A163),'recurring1_based on steps'!D$1:D$400,0)),D$2,)</f>
        <v>0</v>
      </c>
      <c r="E163" s="179">
        <f ca="1">IF(ISNUMBER(MATCH(DATEVALUE($A163),'recurring1_based on steps'!E$1:E$400,0)),E$2,)</f>
        <v>0</v>
      </c>
      <c r="F163" s="179">
        <f ca="1">IF(ISNUMBER(MATCH(DATEVALUE($A163),'recurring1_based on steps'!F$1:F$400,0)),F$2,)</f>
        <v>0</v>
      </c>
      <c r="G163" s="179">
        <f ca="1">IF(ISNUMBER(MATCH(DATEVALUE($A163),'recurring1_based on steps'!G$1:G$400,0)),G$2,)</f>
        <v>0</v>
      </c>
      <c r="H163" s="179">
        <f ca="1">IF(ISNUMBER(MATCH(DATEVALUE($A163),'recurring1_based on steps'!H$1:H$400,0)),H$2,)</f>
        <v>0</v>
      </c>
      <c r="I163" s="179">
        <f ca="1">IF(ISNUMBER(MATCH(DATEVALUE($A163),'recurring1_based on steps'!I$1:I$400,0)),I$2,)</f>
        <v>0</v>
      </c>
      <c r="J163" s="179">
        <f ca="1">IF(ISNUMBER(MATCH(DATEVALUE($A163),'recurring1_based on steps'!J$1:J$400,0)),J$2,)</f>
        <v>0</v>
      </c>
      <c r="K163" s="179">
        <f ca="1">IF(ISNUMBER(MATCH(DATEVALUE($A163),'recurring1_based on steps'!K$1:K$400,0)),K$2,)</f>
        <v>0</v>
      </c>
      <c r="L163" s="179">
        <f ca="1">IF(ISNUMBER(MATCH(DATEVALUE($A163),'recurring1_based on steps'!L$1:L$400,0)),L$2,)</f>
        <v>0</v>
      </c>
      <c r="M163" s="179">
        <f ca="1">IF(ISNUMBER(MATCH(DATEVALUE($A163),'recurring1_based on steps'!M$1:M$400,0)),M$2,)</f>
        <v>0</v>
      </c>
      <c r="N163" s="179">
        <f ca="1">IF(ISNUMBER(MATCH(DATEVALUE($A163),'recurring1_based on steps'!N$1:N$400,0)),N$2,)</f>
        <v>0</v>
      </c>
      <c r="O163" s="179">
        <f ca="1">IF(ISNUMBER(MATCH(DATEVALUE($A163),'recurring1_based on steps'!O$1:O$400,0)),O$2,)</f>
        <v>0</v>
      </c>
      <c r="P163" s="179">
        <f ca="1">IF(ISNUMBER(MATCH(DATEVALUE($A163),'recurring1_based on steps'!P$1:P$400,0)),P$2,)</f>
        <v>0</v>
      </c>
      <c r="Q163" s="179">
        <f ca="1">IF(ISNUMBER(MATCH(DATEVALUE($A163),'recurring1_based on steps'!Q$1:Q$400,0)),Q$2,)</f>
        <v>0</v>
      </c>
      <c r="R163" s="179">
        <f ca="1">IF(ISNUMBER(MATCH(DATEVALUE($A163),'recurring1_based on steps'!R$1:R$400,0)),R$2,)</f>
        <v>0</v>
      </c>
      <c r="S163" s="179">
        <f ca="1">IF(ISNUMBER(MATCH(DATEVALUE($A163),'recurring1_based on steps'!S$1:S$400,0)),S$2,)</f>
        <v>0</v>
      </c>
      <c r="T163" s="179">
        <f ca="1">IF(ISNUMBER(MATCH(DATEVALUE($A163),'recurring1_based on steps'!T$1:T$400,0)),T$2,)</f>
        <v>0</v>
      </c>
      <c r="U163" s="179">
        <f ca="1">IF(ISNUMBER(MATCH(DATEVALUE($A163),'recurring1_based on steps'!U$1:U$400,0)),U$2,)</f>
        <v>0</v>
      </c>
      <c r="V163" s="179">
        <f ca="1">IF(ISNUMBER(MATCH(DATEVALUE($A163),'recurring1_based on steps'!V$1:V$400,0)),V$2,)</f>
        <v>0</v>
      </c>
      <c r="W163" s="179">
        <f ca="1">IF(ISNUMBER(MATCH(DATEVALUE($A163),'recurring1_based on steps'!W$1:W$400,0)),W$2,)</f>
        <v>0</v>
      </c>
      <c r="X163" s="179">
        <f ca="1">IF(ISNUMBER(MATCH(DATEVALUE($A163),'recurring1_based on steps'!X$1:X$400,0)),X$2,)</f>
        <v>0</v>
      </c>
      <c r="Y163" s="179">
        <f ca="1">IF(ISNUMBER(MATCH(DATEVALUE($A163),'recurring1_based on steps'!Y$1:Y$400,0)),Y$2,)</f>
        <v>0</v>
      </c>
      <c r="Z163" s="179">
        <f ca="1">IF(ISNUMBER(MATCH(DATEVALUE($A163),'recurring1_based on steps'!Z$1:Z$400,0)),Z$2,)</f>
        <v>0</v>
      </c>
      <c r="AA163" s="179">
        <f ca="1">IF(ISNUMBER(MATCH(DATEVALUE($A163),'recurring1_based on steps'!AA$1:AA$400,0)),AA$2,)</f>
        <v>0</v>
      </c>
      <c r="AB163" s="179">
        <f ca="1">IF(ISNUMBER(MATCH(DATEVALUE($A163),'recurring1_based on steps'!AB$1:AB$400,0)),AB$2,)</f>
        <v>0</v>
      </c>
      <c r="AC163" s="179">
        <f ca="1">IF(ISNUMBER(MATCH(DATEVALUE($A163),'recurring1_based on steps'!AC$1:AC$400,0)),AC$2,)</f>
        <v>0</v>
      </c>
      <c r="AD163" s="179">
        <f ca="1">IF(ISNUMBER(MATCH(DATEVALUE($A163),'recurring1_based on steps'!AD$1:AD$400,0)),AD$2,)</f>
        <v>0</v>
      </c>
      <c r="AE163" s="179">
        <f ca="1">IF(ISNUMBER(MATCH(DATEVALUE($A163),'recurring1_based on steps'!AE$1:AE$400,0)),AE$2,)</f>
        <v>0</v>
      </c>
      <c r="AF163" s="179">
        <f ca="1">IF(ISNUMBER(MATCH(DATEVALUE($A163),'recurring1_based on steps'!AF$1:AF$400,0)),AF$2,)</f>
        <v>0</v>
      </c>
      <c r="AG163" s="179">
        <f ca="1">IF(ISNUMBER(MATCH(DATEVALUE($A163),'recurring1_based on steps'!AG$1:AG$400,0)),AG$2,)</f>
        <v>0</v>
      </c>
      <c r="AH163" s="179">
        <f ca="1">IF(ISNUMBER(MATCH(DATEVALUE($A163),'recurring1_based on steps'!AH$1:AH$400,0)),AH$2,)</f>
        <v>0</v>
      </c>
      <c r="AI163" s="179">
        <f ca="1">IF(ISNUMBER(MATCH(DATEVALUE($A163),'recurring1_based on steps'!AI$1:AI$400,0)),AI$2,)</f>
        <v>0</v>
      </c>
      <c r="AJ163" s="179">
        <f ca="1">IF(ISNUMBER(MATCH(DATEVALUE($A163),'recurring1_based on steps'!AJ$1:AJ$400,0)),AJ$2,)</f>
        <v>0</v>
      </c>
      <c r="AK163" s="179">
        <f ca="1">IF(ISNUMBER(MATCH(DATEVALUE($A163),'recurring1_based on steps'!AK$1:AK$400,0)),AK$2,)</f>
        <v>0</v>
      </c>
      <c r="AL163" s="179">
        <f ca="1">IF(ISNUMBER(MATCH(DATEVALUE($A163),'recurring1_based on steps'!AL$1:AL$400,0)),AL$2,)</f>
        <v>0</v>
      </c>
      <c r="AM163" s="179">
        <f ca="1">IF(ISNUMBER(MATCH(DATEVALUE($A163),'recurring1_based on steps'!AM$1:AM$400,0)),AM$2,)</f>
        <v>0</v>
      </c>
      <c r="AN163" s="179">
        <f ca="1">IF(ISNUMBER(MATCH(DATEVALUE($A163),'recurring1_based on steps'!AN$1:AN$400,0)),AN$2,)</f>
        <v>0</v>
      </c>
      <c r="AO163" s="179">
        <f ca="1">IF(ISNUMBER(MATCH(DATEVALUE($A163),'recurring1_based on steps'!AO$1:AO$400,0)),AO$2,)</f>
        <v>0</v>
      </c>
      <c r="AP163" s="179">
        <f ca="1">IF(ISNUMBER(MATCH(DATEVALUE($A163),'recurring1_based on steps'!AP$1:AP$400,0)),AP$2,)</f>
        <v>0</v>
      </c>
      <c r="AQ163" s="179">
        <f ca="1">IF(ISNUMBER(MATCH(DATEVALUE($A163),'recurring1_based on steps'!AQ$1:AQ$400,0)),AQ$2,)</f>
        <v>0</v>
      </c>
      <c r="AR163" s="179">
        <f ca="1">IF(ISNUMBER(MATCH(DATEVALUE($A163),'recurring1_based on steps'!AR$1:AR$400,0)),AR$2,)</f>
        <v>0</v>
      </c>
      <c r="AS163" s="179">
        <f ca="1">IF(ISNUMBER(MATCH(DATEVALUE($A163),'recurring1_based on steps'!AS$1:AS$400,0)),AS$2,)</f>
        <v>0</v>
      </c>
      <c r="AT163" s="179">
        <f ca="1">IF(ISNUMBER(MATCH(DATEVALUE($A163),'recurring1_based on steps'!AT$1:AT$400,0)),AT$2,)</f>
        <v>0</v>
      </c>
      <c r="AU163" s="179">
        <f ca="1">IF(ISNUMBER(MATCH(DATEVALUE($A163),'recurring1_based on steps'!AU$1:AU$400,0)),AU$2,)</f>
        <v>0</v>
      </c>
      <c r="AV163" s="179">
        <f ca="1">IF(ISNUMBER(MATCH(DATEVALUE($A163),'recurring1_based on steps'!AV$1:AV$400,0)),AV$2,)</f>
        <v>0</v>
      </c>
      <c r="AW163" s="179">
        <f ca="1">IF(ISNUMBER(MATCH(DATEVALUE($A163),'recurring1_based on steps'!AW$1:AW$400,0)),AW$2,)</f>
        <v>0</v>
      </c>
      <c r="AX163" s="179">
        <f ca="1">IF(ISNUMBER(MATCH(DATEVALUE($A163),'recurring1_based on steps'!AX$1:AX$400,0)),AX$2,)</f>
        <v>0</v>
      </c>
      <c r="AY163" s="179">
        <f ca="1">IF(ISNUMBER(MATCH(DATEVALUE($A163),'recurring1_based on steps'!AY$1:AY$400,0)),AY$2,)</f>
        <v>0</v>
      </c>
    </row>
    <row r="164" spans="1:51" x14ac:dyDescent="0.2">
      <c r="A164" s="32" t="str">
        <f t="shared" ca="1" si="2"/>
        <v>2025-09-06</v>
      </c>
      <c r="B164" s="179">
        <f ca="1">IF(ISNUMBER(MATCH(DATEVALUE($A164),'recurring1_based on steps'!B$1:B$400,0)),B$2,)</f>
        <v>0</v>
      </c>
      <c r="C164" s="179">
        <f ca="1">IF(ISNUMBER(MATCH(DATEVALUE($A164),'recurring1_based on steps'!C$1:C$400,0)),C$2,)</f>
        <v>0</v>
      </c>
      <c r="D164" s="179">
        <f ca="1">IF(ISNUMBER(MATCH(DATEVALUE($A164),'recurring1_based on steps'!D$1:D$400,0)),D$2,)</f>
        <v>0</v>
      </c>
      <c r="E164" s="179">
        <f ca="1">IF(ISNUMBER(MATCH(DATEVALUE($A164),'recurring1_based on steps'!E$1:E$400,0)),E$2,)</f>
        <v>0</v>
      </c>
      <c r="F164" s="179">
        <f ca="1">IF(ISNUMBER(MATCH(DATEVALUE($A164),'recurring1_based on steps'!F$1:F$400,0)),F$2,)</f>
        <v>0</v>
      </c>
      <c r="G164" s="179">
        <f ca="1">IF(ISNUMBER(MATCH(DATEVALUE($A164),'recurring1_based on steps'!G$1:G$400,0)),G$2,)</f>
        <v>0</v>
      </c>
      <c r="H164" s="179">
        <f ca="1">IF(ISNUMBER(MATCH(DATEVALUE($A164),'recurring1_based on steps'!H$1:H$400,0)),H$2,)</f>
        <v>0</v>
      </c>
      <c r="I164" s="179">
        <f ca="1">IF(ISNUMBER(MATCH(DATEVALUE($A164),'recurring1_based on steps'!I$1:I$400,0)),I$2,)</f>
        <v>0</v>
      </c>
      <c r="J164" s="179">
        <f ca="1">IF(ISNUMBER(MATCH(DATEVALUE($A164),'recurring1_based on steps'!J$1:J$400,0)),J$2,)</f>
        <v>0</v>
      </c>
      <c r="K164" s="179">
        <f ca="1">IF(ISNUMBER(MATCH(DATEVALUE($A164),'recurring1_based on steps'!K$1:K$400,0)),K$2,)</f>
        <v>0</v>
      </c>
      <c r="L164" s="179">
        <f ca="1">IF(ISNUMBER(MATCH(DATEVALUE($A164),'recurring1_based on steps'!L$1:L$400,0)),L$2,)</f>
        <v>0</v>
      </c>
      <c r="M164" s="179">
        <f ca="1">IF(ISNUMBER(MATCH(DATEVALUE($A164),'recurring1_based on steps'!M$1:M$400,0)),M$2,)</f>
        <v>0</v>
      </c>
      <c r="N164" s="179">
        <f ca="1">IF(ISNUMBER(MATCH(DATEVALUE($A164),'recurring1_based on steps'!N$1:N$400,0)),N$2,)</f>
        <v>0</v>
      </c>
      <c r="O164" s="179">
        <f ca="1">IF(ISNUMBER(MATCH(DATEVALUE($A164),'recurring1_based on steps'!O$1:O$400,0)),O$2,)</f>
        <v>0</v>
      </c>
      <c r="P164" s="179">
        <f ca="1">IF(ISNUMBER(MATCH(DATEVALUE($A164),'recurring1_based on steps'!P$1:P$400,0)),P$2,)</f>
        <v>0</v>
      </c>
      <c r="Q164" s="179">
        <f ca="1">IF(ISNUMBER(MATCH(DATEVALUE($A164),'recurring1_based on steps'!Q$1:Q$400,0)),Q$2,)</f>
        <v>0</v>
      </c>
      <c r="R164" s="179">
        <f ca="1">IF(ISNUMBER(MATCH(DATEVALUE($A164),'recurring1_based on steps'!R$1:R$400,0)),R$2,)</f>
        <v>0</v>
      </c>
      <c r="S164" s="179">
        <f ca="1">IF(ISNUMBER(MATCH(DATEVALUE($A164),'recurring1_based on steps'!S$1:S$400,0)),S$2,)</f>
        <v>0</v>
      </c>
      <c r="T164" s="179">
        <f ca="1">IF(ISNUMBER(MATCH(DATEVALUE($A164),'recurring1_based on steps'!T$1:T$400,0)),T$2,)</f>
        <v>0</v>
      </c>
      <c r="U164" s="179">
        <f ca="1">IF(ISNUMBER(MATCH(DATEVALUE($A164),'recurring1_based on steps'!U$1:U$400,0)),U$2,)</f>
        <v>0</v>
      </c>
      <c r="V164" s="179">
        <f ca="1">IF(ISNUMBER(MATCH(DATEVALUE($A164),'recurring1_based on steps'!V$1:V$400,0)),V$2,)</f>
        <v>0</v>
      </c>
      <c r="W164" s="179">
        <f ca="1">IF(ISNUMBER(MATCH(DATEVALUE($A164),'recurring1_based on steps'!W$1:W$400,0)),W$2,)</f>
        <v>0</v>
      </c>
      <c r="X164" s="179">
        <f ca="1">IF(ISNUMBER(MATCH(DATEVALUE($A164),'recurring1_based on steps'!X$1:X$400,0)),X$2,)</f>
        <v>0</v>
      </c>
      <c r="Y164" s="179">
        <f ca="1">IF(ISNUMBER(MATCH(DATEVALUE($A164),'recurring1_based on steps'!Y$1:Y$400,0)),Y$2,)</f>
        <v>0</v>
      </c>
      <c r="Z164" s="179">
        <f ca="1">IF(ISNUMBER(MATCH(DATEVALUE($A164),'recurring1_based on steps'!Z$1:Z$400,0)),Z$2,)</f>
        <v>0</v>
      </c>
      <c r="AA164" s="179">
        <f ca="1">IF(ISNUMBER(MATCH(DATEVALUE($A164),'recurring1_based on steps'!AA$1:AA$400,0)),AA$2,)</f>
        <v>0</v>
      </c>
      <c r="AB164" s="179">
        <f ca="1">IF(ISNUMBER(MATCH(DATEVALUE($A164),'recurring1_based on steps'!AB$1:AB$400,0)),AB$2,)</f>
        <v>0</v>
      </c>
      <c r="AC164" s="179">
        <f ca="1">IF(ISNUMBER(MATCH(DATEVALUE($A164),'recurring1_based on steps'!AC$1:AC$400,0)),AC$2,)</f>
        <v>0</v>
      </c>
      <c r="AD164" s="179">
        <f ca="1">IF(ISNUMBER(MATCH(DATEVALUE($A164),'recurring1_based on steps'!AD$1:AD$400,0)),AD$2,)</f>
        <v>0</v>
      </c>
      <c r="AE164" s="179">
        <f ca="1">IF(ISNUMBER(MATCH(DATEVALUE($A164),'recurring1_based on steps'!AE$1:AE$400,0)),AE$2,)</f>
        <v>0</v>
      </c>
      <c r="AF164" s="179">
        <f ca="1">IF(ISNUMBER(MATCH(DATEVALUE($A164),'recurring1_based on steps'!AF$1:AF$400,0)),AF$2,)</f>
        <v>0</v>
      </c>
      <c r="AG164" s="179">
        <f ca="1">IF(ISNUMBER(MATCH(DATEVALUE($A164),'recurring1_based on steps'!AG$1:AG$400,0)),AG$2,)</f>
        <v>0</v>
      </c>
      <c r="AH164" s="179">
        <f ca="1">IF(ISNUMBER(MATCH(DATEVALUE($A164),'recurring1_based on steps'!AH$1:AH$400,0)),AH$2,)</f>
        <v>0</v>
      </c>
      <c r="AI164" s="179">
        <f ca="1">IF(ISNUMBER(MATCH(DATEVALUE($A164),'recurring1_based on steps'!AI$1:AI$400,0)),AI$2,)</f>
        <v>0</v>
      </c>
      <c r="AJ164" s="179">
        <f ca="1">IF(ISNUMBER(MATCH(DATEVALUE($A164),'recurring1_based on steps'!AJ$1:AJ$400,0)),AJ$2,)</f>
        <v>0</v>
      </c>
      <c r="AK164" s="179">
        <f ca="1">IF(ISNUMBER(MATCH(DATEVALUE($A164),'recurring1_based on steps'!AK$1:AK$400,0)),AK$2,)</f>
        <v>0</v>
      </c>
      <c r="AL164" s="179">
        <f ca="1">IF(ISNUMBER(MATCH(DATEVALUE($A164),'recurring1_based on steps'!AL$1:AL$400,0)),AL$2,)</f>
        <v>0</v>
      </c>
      <c r="AM164" s="179">
        <f ca="1">IF(ISNUMBER(MATCH(DATEVALUE($A164),'recurring1_based on steps'!AM$1:AM$400,0)),AM$2,)</f>
        <v>0</v>
      </c>
      <c r="AN164" s="179">
        <f ca="1">IF(ISNUMBER(MATCH(DATEVALUE($A164),'recurring1_based on steps'!AN$1:AN$400,0)),AN$2,)</f>
        <v>0</v>
      </c>
      <c r="AO164" s="179">
        <f ca="1">IF(ISNUMBER(MATCH(DATEVALUE($A164),'recurring1_based on steps'!AO$1:AO$400,0)),AO$2,)</f>
        <v>0</v>
      </c>
      <c r="AP164" s="179">
        <f ca="1">IF(ISNUMBER(MATCH(DATEVALUE($A164),'recurring1_based on steps'!AP$1:AP$400,0)),AP$2,)</f>
        <v>0</v>
      </c>
      <c r="AQ164" s="179">
        <f ca="1">IF(ISNUMBER(MATCH(DATEVALUE($A164),'recurring1_based on steps'!AQ$1:AQ$400,0)),AQ$2,)</f>
        <v>0</v>
      </c>
      <c r="AR164" s="179">
        <f ca="1">IF(ISNUMBER(MATCH(DATEVALUE($A164),'recurring1_based on steps'!AR$1:AR$400,0)),AR$2,)</f>
        <v>0</v>
      </c>
      <c r="AS164" s="179">
        <f ca="1">IF(ISNUMBER(MATCH(DATEVALUE($A164),'recurring1_based on steps'!AS$1:AS$400,0)),AS$2,)</f>
        <v>0</v>
      </c>
      <c r="AT164" s="179">
        <f ca="1">IF(ISNUMBER(MATCH(DATEVALUE($A164),'recurring1_based on steps'!AT$1:AT$400,0)),AT$2,)</f>
        <v>0</v>
      </c>
      <c r="AU164" s="179">
        <f ca="1">IF(ISNUMBER(MATCH(DATEVALUE($A164),'recurring1_based on steps'!AU$1:AU$400,0)),AU$2,)</f>
        <v>0</v>
      </c>
      <c r="AV164" s="179">
        <f ca="1">IF(ISNUMBER(MATCH(DATEVALUE($A164),'recurring1_based on steps'!AV$1:AV$400,0)),AV$2,)</f>
        <v>0</v>
      </c>
      <c r="AW164" s="179">
        <f ca="1">IF(ISNUMBER(MATCH(DATEVALUE($A164),'recurring1_based on steps'!AW$1:AW$400,0)),AW$2,)</f>
        <v>0</v>
      </c>
      <c r="AX164" s="179">
        <f ca="1">IF(ISNUMBER(MATCH(DATEVALUE($A164),'recurring1_based on steps'!AX$1:AX$400,0)),AX$2,)</f>
        <v>0</v>
      </c>
      <c r="AY164" s="179">
        <f ca="1">IF(ISNUMBER(MATCH(DATEVALUE($A164),'recurring1_based on steps'!AY$1:AY$400,0)),AY$2,)</f>
        <v>0</v>
      </c>
    </row>
    <row r="165" spans="1:51" x14ac:dyDescent="0.2">
      <c r="A165" s="32" t="str">
        <f t="shared" ca="1" si="2"/>
        <v>2025-09-07</v>
      </c>
      <c r="B165" s="179">
        <f ca="1">IF(ISNUMBER(MATCH(DATEVALUE($A165),'recurring1_based on steps'!B$1:B$400,0)),B$2,)</f>
        <v>0</v>
      </c>
      <c r="C165" s="179">
        <f ca="1">IF(ISNUMBER(MATCH(DATEVALUE($A165),'recurring1_based on steps'!C$1:C$400,0)),C$2,)</f>
        <v>0</v>
      </c>
      <c r="D165" s="179">
        <f ca="1">IF(ISNUMBER(MATCH(DATEVALUE($A165),'recurring1_based on steps'!D$1:D$400,0)),D$2,)</f>
        <v>0</v>
      </c>
      <c r="E165" s="179">
        <f ca="1">IF(ISNUMBER(MATCH(DATEVALUE($A165),'recurring1_based on steps'!E$1:E$400,0)),E$2,)</f>
        <v>0</v>
      </c>
      <c r="F165" s="179">
        <f ca="1">IF(ISNUMBER(MATCH(DATEVALUE($A165),'recurring1_based on steps'!F$1:F$400,0)),F$2,)</f>
        <v>0</v>
      </c>
      <c r="G165" s="179">
        <f ca="1">IF(ISNUMBER(MATCH(DATEVALUE($A165),'recurring1_based on steps'!G$1:G$400,0)),G$2,)</f>
        <v>0</v>
      </c>
      <c r="H165" s="179">
        <f ca="1">IF(ISNUMBER(MATCH(DATEVALUE($A165),'recurring1_based on steps'!H$1:H$400,0)),H$2,)</f>
        <v>0</v>
      </c>
      <c r="I165" s="179">
        <f ca="1">IF(ISNUMBER(MATCH(DATEVALUE($A165),'recurring1_based on steps'!I$1:I$400,0)),I$2,)</f>
        <v>0</v>
      </c>
      <c r="J165" s="179">
        <f ca="1">IF(ISNUMBER(MATCH(DATEVALUE($A165),'recurring1_based on steps'!J$1:J$400,0)),J$2,)</f>
        <v>0</v>
      </c>
      <c r="K165" s="179">
        <f ca="1">IF(ISNUMBER(MATCH(DATEVALUE($A165),'recurring1_based on steps'!K$1:K$400,0)),K$2,)</f>
        <v>0</v>
      </c>
      <c r="L165" s="179">
        <f ca="1">IF(ISNUMBER(MATCH(DATEVALUE($A165),'recurring1_based on steps'!L$1:L$400,0)),L$2,)</f>
        <v>0</v>
      </c>
      <c r="M165" s="179">
        <f ca="1">IF(ISNUMBER(MATCH(DATEVALUE($A165),'recurring1_based on steps'!M$1:M$400,0)),M$2,)</f>
        <v>0</v>
      </c>
      <c r="N165" s="179">
        <f ca="1">IF(ISNUMBER(MATCH(DATEVALUE($A165),'recurring1_based on steps'!N$1:N$400,0)),N$2,)</f>
        <v>0</v>
      </c>
      <c r="O165" s="179">
        <f ca="1">IF(ISNUMBER(MATCH(DATEVALUE($A165),'recurring1_based on steps'!O$1:O$400,0)),O$2,)</f>
        <v>0</v>
      </c>
      <c r="P165" s="179">
        <f ca="1">IF(ISNUMBER(MATCH(DATEVALUE($A165),'recurring1_based on steps'!P$1:P$400,0)),P$2,)</f>
        <v>0</v>
      </c>
      <c r="Q165" s="179">
        <f ca="1">IF(ISNUMBER(MATCH(DATEVALUE($A165),'recurring1_based on steps'!Q$1:Q$400,0)),Q$2,)</f>
        <v>0</v>
      </c>
      <c r="R165" s="179">
        <f ca="1">IF(ISNUMBER(MATCH(DATEVALUE($A165),'recurring1_based on steps'!R$1:R$400,0)),R$2,)</f>
        <v>0</v>
      </c>
      <c r="S165" s="179">
        <f ca="1">IF(ISNUMBER(MATCH(DATEVALUE($A165),'recurring1_based on steps'!S$1:S$400,0)),S$2,)</f>
        <v>0</v>
      </c>
      <c r="T165" s="179">
        <f ca="1">IF(ISNUMBER(MATCH(DATEVALUE($A165),'recurring1_based on steps'!T$1:T$400,0)),T$2,)</f>
        <v>0</v>
      </c>
      <c r="U165" s="179">
        <f ca="1">IF(ISNUMBER(MATCH(DATEVALUE($A165),'recurring1_based on steps'!U$1:U$400,0)),U$2,)</f>
        <v>0</v>
      </c>
      <c r="V165" s="179">
        <f ca="1">IF(ISNUMBER(MATCH(DATEVALUE($A165),'recurring1_based on steps'!V$1:V$400,0)),V$2,)</f>
        <v>0</v>
      </c>
      <c r="W165" s="179">
        <f ca="1">IF(ISNUMBER(MATCH(DATEVALUE($A165),'recurring1_based on steps'!W$1:W$400,0)),W$2,)</f>
        <v>0</v>
      </c>
      <c r="X165" s="179">
        <f ca="1">IF(ISNUMBER(MATCH(DATEVALUE($A165),'recurring1_based on steps'!X$1:X$400,0)),X$2,)</f>
        <v>0</v>
      </c>
      <c r="Y165" s="179">
        <f ca="1">IF(ISNUMBER(MATCH(DATEVALUE($A165),'recurring1_based on steps'!Y$1:Y$400,0)),Y$2,)</f>
        <v>0</v>
      </c>
      <c r="Z165" s="179">
        <f ca="1">IF(ISNUMBER(MATCH(DATEVALUE($A165),'recurring1_based on steps'!Z$1:Z$400,0)),Z$2,)</f>
        <v>0</v>
      </c>
      <c r="AA165" s="179">
        <f ca="1">IF(ISNUMBER(MATCH(DATEVALUE($A165),'recurring1_based on steps'!AA$1:AA$400,0)),AA$2,)</f>
        <v>0</v>
      </c>
      <c r="AB165" s="179">
        <f ca="1">IF(ISNUMBER(MATCH(DATEVALUE($A165),'recurring1_based on steps'!AB$1:AB$400,0)),AB$2,)</f>
        <v>0</v>
      </c>
      <c r="AC165" s="179">
        <f ca="1">IF(ISNUMBER(MATCH(DATEVALUE($A165),'recurring1_based on steps'!AC$1:AC$400,0)),AC$2,)</f>
        <v>0</v>
      </c>
      <c r="AD165" s="179">
        <f ca="1">IF(ISNUMBER(MATCH(DATEVALUE($A165),'recurring1_based on steps'!AD$1:AD$400,0)),AD$2,)</f>
        <v>0</v>
      </c>
      <c r="AE165" s="179">
        <f ca="1">IF(ISNUMBER(MATCH(DATEVALUE($A165),'recurring1_based on steps'!AE$1:AE$400,0)),AE$2,)</f>
        <v>0</v>
      </c>
      <c r="AF165" s="179">
        <f ca="1">IF(ISNUMBER(MATCH(DATEVALUE($A165),'recurring1_based on steps'!AF$1:AF$400,0)),AF$2,)</f>
        <v>0</v>
      </c>
      <c r="AG165" s="179">
        <f ca="1">IF(ISNUMBER(MATCH(DATEVALUE($A165),'recurring1_based on steps'!AG$1:AG$400,0)),AG$2,)</f>
        <v>0</v>
      </c>
      <c r="AH165" s="179">
        <f ca="1">IF(ISNUMBER(MATCH(DATEVALUE($A165),'recurring1_based on steps'!AH$1:AH$400,0)),AH$2,)</f>
        <v>0</v>
      </c>
      <c r="AI165" s="179">
        <f ca="1">IF(ISNUMBER(MATCH(DATEVALUE($A165),'recurring1_based on steps'!AI$1:AI$400,0)),AI$2,)</f>
        <v>0</v>
      </c>
      <c r="AJ165" s="179">
        <f ca="1">IF(ISNUMBER(MATCH(DATEVALUE($A165),'recurring1_based on steps'!AJ$1:AJ$400,0)),AJ$2,)</f>
        <v>0</v>
      </c>
      <c r="AK165" s="179">
        <f ca="1">IF(ISNUMBER(MATCH(DATEVALUE($A165),'recurring1_based on steps'!AK$1:AK$400,0)),AK$2,)</f>
        <v>0</v>
      </c>
      <c r="AL165" s="179">
        <f ca="1">IF(ISNUMBER(MATCH(DATEVALUE($A165),'recurring1_based on steps'!AL$1:AL$400,0)),AL$2,)</f>
        <v>0</v>
      </c>
      <c r="AM165" s="179">
        <f ca="1">IF(ISNUMBER(MATCH(DATEVALUE($A165),'recurring1_based on steps'!AM$1:AM$400,0)),AM$2,)</f>
        <v>0</v>
      </c>
      <c r="AN165" s="179">
        <f ca="1">IF(ISNUMBER(MATCH(DATEVALUE($A165),'recurring1_based on steps'!AN$1:AN$400,0)),AN$2,)</f>
        <v>0</v>
      </c>
      <c r="AO165" s="179">
        <f ca="1">IF(ISNUMBER(MATCH(DATEVALUE($A165),'recurring1_based on steps'!AO$1:AO$400,0)),AO$2,)</f>
        <v>0</v>
      </c>
      <c r="AP165" s="179">
        <f ca="1">IF(ISNUMBER(MATCH(DATEVALUE($A165),'recurring1_based on steps'!AP$1:AP$400,0)),AP$2,)</f>
        <v>0</v>
      </c>
      <c r="AQ165" s="179">
        <f ca="1">IF(ISNUMBER(MATCH(DATEVALUE($A165),'recurring1_based on steps'!AQ$1:AQ$400,0)),AQ$2,)</f>
        <v>0</v>
      </c>
      <c r="AR165" s="179">
        <f ca="1">IF(ISNUMBER(MATCH(DATEVALUE($A165),'recurring1_based on steps'!AR$1:AR$400,0)),AR$2,)</f>
        <v>0</v>
      </c>
      <c r="AS165" s="179">
        <f ca="1">IF(ISNUMBER(MATCH(DATEVALUE($A165),'recurring1_based on steps'!AS$1:AS$400,0)),AS$2,)</f>
        <v>0</v>
      </c>
      <c r="AT165" s="179">
        <f ca="1">IF(ISNUMBER(MATCH(DATEVALUE($A165),'recurring1_based on steps'!AT$1:AT$400,0)),AT$2,)</f>
        <v>0</v>
      </c>
      <c r="AU165" s="179">
        <f ca="1">IF(ISNUMBER(MATCH(DATEVALUE($A165),'recurring1_based on steps'!AU$1:AU$400,0)),AU$2,)</f>
        <v>0</v>
      </c>
      <c r="AV165" s="179">
        <f ca="1">IF(ISNUMBER(MATCH(DATEVALUE($A165),'recurring1_based on steps'!AV$1:AV$400,0)),AV$2,)</f>
        <v>0</v>
      </c>
      <c r="AW165" s="179">
        <f ca="1">IF(ISNUMBER(MATCH(DATEVALUE($A165),'recurring1_based on steps'!AW$1:AW$400,0)),AW$2,)</f>
        <v>0</v>
      </c>
      <c r="AX165" s="179">
        <f ca="1">IF(ISNUMBER(MATCH(DATEVALUE($A165),'recurring1_based on steps'!AX$1:AX$400,0)),AX$2,)</f>
        <v>0</v>
      </c>
      <c r="AY165" s="179">
        <f ca="1">IF(ISNUMBER(MATCH(DATEVALUE($A165),'recurring1_based on steps'!AY$1:AY$400,0)),AY$2,)</f>
        <v>0</v>
      </c>
    </row>
    <row r="166" spans="1:51" x14ac:dyDescent="0.2">
      <c r="A166" s="32" t="str">
        <f t="shared" ca="1" si="2"/>
        <v>2025-09-08</v>
      </c>
      <c r="B166" s="179">
        <f ca="1">IF(ISNUMBER(MATCH(DATEVALUE($A166),'recurring1_based on steps'!B$1:B$400,0)),B$2,)</f>
        <v>0</v>
      </c>
      <c r="C166" s="179">
        <f ca="1">IF(ISNUMBER(MATCH(DATEVALUE($A166),'recurring1_based on steps'!C$1:C$400,0)),C$2,)</f>
        <v>0</v>
      </c>
      <c r="D166" s="179">
        <f ca="1">IF(ISNUMBER(MATCH(DATEVALUE($A166),'recurring1_based on steps'!D$1:D$400,0)),D$2,)</f>
        <v>0</v>
      </c>
      <c r="E166" s="179">
        <f ca="1">IF(ISNUMBER(MATCH(DATEVALUE($A166),'recurring1_based on steps'!E$1:E$400,0)),E$2,)</f>
        <v>0</v>
      </c>
      <c r="F166" s="179">
        <f ca="1">IF(ISNUMBER(MATCH(DATEVALUE($A166),'recurring1_based on steps'!F$1:F$400,0)),F$2,)</f>
        <v>0</v>
      </c>
      <c r="G166" s="179">
        <f ca="1">IF(ISNUMBER(MATCH(DATEVALUE($A166),'recurring1_based on steps'!G$1:G$400,0)),G$2,)</f>
        <v>0</v>
      </c>
      <c r="H166" s="179">
        <f ca="1">IF(ISNUMBER(MATCH(DATEVALUE($A166),'recurring1_based on steps'!H$1:H$400,0)),H$2,)</f>
        <v>0</v>
      </c>
      <c r="I166" s="179">
        <f ca="1">IF(ISNUMBER(MATCH(DATEVALUE($A166),'recurring1_based on steps'!I$1:I$400,0)),I$2,)</f>
        <v>0</v>
      </c>
      <c r="J166" s="179">
        <f ca="1">IF(ISNUMBER(MATCH(DATEVALUE($A166),'recurring1_based on steps'!J$1:J$400,0)),J$2,)</f>
        <v>0</v>
      </c>
      <c r="K166" s="179">
        <f ca="1">IF(ISNUMBER(MATCH(DATEVALUE($A166),'recurring1_based on steps'!K$1:K$400,0)),K$2,)</f>
        <v>0</v>
      </c>
      <c r="L166" s="179">
        <f ca="1">IF(ISNUMBER(MATCH(DATEVALUE($A166),'recurring1_based on steps'!L$1:L$400,0)),L$2,)</f>
        <v>0</v>
      </c>
      <c r="M166" s="179">
        <f ca="1">IF(ISNUMBER(MATCH(DATEVALUE($A166),'recurring1_based on steps'!M$1:M$400,0)),M$2,)</f>
        <v>0</v>
      </c>
      <c r="N166" s="179">
        <f ca="1">IF(ISNUMBER(MATCH(DATEVALUE($A166),'recurring1_based on steps'!N$1:N$400,0)),N$2,)</f>
        <v>0</v>
      </c>
      <c r="O166" s="179">
        <f ca="1">IF(ISNUMBER(MATCH(DATEVALUE($A166),'recurring1_based on steps'!O$1:O$400,0)),O$2,)</f>
        <v>0</v>
      </c>
      <c r="P166" s="179">
        <f ca="1">IF(ISNUMBER(MATCH(DATEVALUE($A166),'recurring1_based on steps'!P$1:P$400,0)),P$2,)</f>
        <v>0</v>
      </c>
      <c r="Q166" s="179">
        <f ca="1">IF(ISNUMBER(MATCH(DATEVALUE($A166),'recurring1_based on steps'!Q$1:Q$400,0)),Q$2,)</f>
        <v>0</v>
      </c>
      <c r="R166" s="179">
        <f ca="1">IF(ISNUMBER(MATCH(DATEVALUE($A166),'recurring1_based on steps'!R$1:R$400,0)),R$2,)</f>
        <v>0</v>
      </c>
      <c r="S166" s="179">
        <f ca="1">IF(ISNUMBER(MATCH(DATEVALUE($A166),'recurring1_based on steps'!S$1:S$400,0)),S$2,)</f>
        <v>0</v>
      </c>
      <c r="T166" s="179">
        <f ca="1">IF(ISNUMBER(MATCH(DATEVALUE($A166),'recurring1_based on steps'!T$1:T$400,0)),T$2,)</f>
        <v>0</v>
      </c>
      <c r="U166" s="179">
        <f ca="1">IF(ISNUMBER(MATCH(DATEVALUE($A166),'recurring1_based on steps'!U$1:U$400,0)),U$2,)</f>
        <v>0</v>
      </c>
      <c r="V166" s="179">
        <f ca="1">IF(ISNUMBER(MATCH(DATEVALUE($A166),'recurring1_based on steps'!V$1:V$400,0)),V$2,)</f>
        <v>0</v>
      </c>
      <c r="W166" s="179">
        <f ca="1">IF(ISNUMBER(MATCH(DATEVALUE($A166),'recurring1_based on steps'!W$1:W$400,0)),W$2,)</f>
        <v>0</v>
      </c>
      <c r="X166" s="179">
        <f ca="1">IF(ISNUMBER(MATCH(DATEVALUE($A166),'recurring1_based on steps'!X$1:X$400,0)),X$2,)</f>
        <v>0</v>
      </c>
      <c r="Y166" s="179">
        <f ca="1">IF(ISNUMBER(MATCH(DATEVALUE($A166),'recurring1_based on steps'!Y$1:Y$400,0)),Y$2,)</f>
        <v>0</v>
      </c>
      <c r="Z166" s="179">
        <f ca="1">IF(ISNUMBER(MATCH(DATEVALUE($A166),'recurring1_based on steps'!Z$1:Z$400,0)),Z$2,)</f>
        <v>0</v>
      </c>
      <c r="AA166" s="179">
        <f ca="1">IF(ISNUMBER(MATCH(DATEVALUE($A166),'recurring1_based on steps'!AA$1:AA$400,0)),AA$2,)</f>
        <v>0</v>
      </c>
      <c r="AB166" s="179">
        <f ca="1">IF(ISNUMBER(MATCH(DATEVALUE($A166),'recurring1_based on steps'!AB$1:AB$400,0)),AB$2,)</f>
        <v>0</v>
      </c>
      <c r="AC166" s="179">
        <f ca="1">IF(ISNUMBER(MATCH(DATEVALUE($A166),'recurring1_based on steps'!AC$1:AC$400,0)),AC$2,)</f>
        <v>0</v>
      </c>
      <c r="AD166" s="179">
        <f ca="1">IF(ISNUMBER(MATCH(DATEVALUE($A166),'recurring1_based on steps'!AD$1:AD$400,0)),AD$2,)</f>
        <v>0</v>
      </c>
      <c r="AE166" s="179">
        <f ca="1">IF(ISNUMBER(MATCH(DATEVALUE($A166),'recurring1_based on steps'!AE$1:AE$400,0)),AE$2,)</f>
        <v>0</v>
      </c>
      <c r="AF166" s="179">
        <f ca="1">IF(ISNUMBER(MATCH(DATEVALUE($A166),'recurring1_based on steps'!AF$1:AF$400,0)),AF$2,)</f>
        <v>0</v>
      </c>
      <c r="AG166" s="179">
        <f ca="1">IF(ISNUMBER(MATCH(DATEVALUE($A166),'recurring1_based on steps'!AG$1:AG$400,0)),AG$2,)</f>
        <v>0</v>
      </c>
      <c r="AH166" s="179">
        <f ca="1">IF(ISNUMBER(MATCH(DATEVALUE($A166),'recurring1_based on steps'!AH$1:AH$400,0)),AH$2,)</f>
        <v>0</v>
      </c>
      <c r="AI166" s="179">
        <f ca="1">IF(ISNUMBER(MATCH(DATEVALUE($A166),'recurring1_based on steps'!AI$1:AI$400,0)),AI$2,)</f>
        <v>0</v>
      </c>
      <c r="AJ166" s="179">
        <f ca="1">IF(ISNUMBER(MATCH(DATEVALUE($A166),'recurring1_based on steps'!AJ$1:AJ$400,0)),AJ$2,)</f>
        <v>0</v>
      </c>
      <c r="AK166" s="179">
        <f ca="1">IF(ISNUMBER(MATCH(DATEVALUE($A166),'recurring1_based on steps'!AK$1:AK$400,0)),AK$2,)</f>
        <v>0</v>
      </c>
      <c r="AL166" s="179">
        <f ca="1">IF(ISNUMBER(MATCH(DATEVALUE($A166),'recurring1_based on steps'!AL$1:AL$400,0)),AL$2,)</f>
        <v>0</v>
      </c>
      <c r="AM166" s="179">
        <f ca="1">IF(ISNUMBER(MATCH(DATEVALUE($A166),'recurring1_based on steps'!AM$1:AM$400,0)),AM$2,)</f>
        <v>0</v>
      </c>
      <c r="AN166" s="179">
        <f ca="1">IF(ISNUMBER(MATCH(DATEVALUE($A166),'recurring1_based on steps'!AN$1:AN$400,0)),AN$2,)</f>
        <v>0</v>
      </c>
      <c r="AO166" s="179">
        <f ca="1">IF(ISNUMBER(MATCH(DATEVALUE($A166),'recurring1_based on steps'!AO$1:AO$400,0)),AO$2,)</f>
        <v>0</v>
      </c>
      <c r="AP166" s="179">
        <f ca="1">IF(ISNUMBER(MATCH(DATEVALUE($A166),'recurring1_based on steps'!AP$1:AP$400,0)),AP$2,)</f>
        <v>0</v>
      </c>
      <c r="AQ166" s="179">
        <f ca="1">IF(ISNUMBER(MATCH(DATEVALUE($A166),'recurring1_based on steps'!AQ$1:AQ$400,0)),AQ$2,)</f>
        <v>0</v>
      </c>
      <c r="AR166" s="179">
        <f ca="1">IF(ISNUMBER(MATCH(DATEVALUE($A166),'recurring1_based on steps'!AR$1:AR$400,0)),AR$2,)</f>
        <v>0</v>
      </c>
      <c r="AS166" s="179">
        <f ca="1">IF(ISNUMBER(MATCH(DATEVALUE($A166),'recurring1_based on steps'!AS$1:AS$400,0)),AS$2,)</f>
        <v>0</v>
      </c>
      <c r="AT166" s="179">
        <f ca="1">IF(ISNUMBER(MATCH(DATEVALUE($A166),'recurring1_based on steps'!AT$1:AT$400,0)),AT$2,)</f>
        <v>0</v>
      </c>
      <c r="AU166" s="179">
        <f ca="1">IF(ISNUMBER(MATCH(DATEVALUE($A166),'recurring1_based on steps'!AU$1:AU$400,0)),AU$2,)</f>
        <v>0</v>
      </c>
      <c r="AV166" s="179">
        <f ca="1">IF(ISNUMBER(MATCH(DATEVALUE($A166),'recurring1_based on steps'!AV$1:AV$400,0)),AV$2,)</f>
        <v>0</v>
      </c>
      <c r="AW166" s="179">
        <f ca="1">IF(ISNUMBER(MATCH(DATEVALUE($A166),'recurring1_based on steps'!AW$1:AW$400,0)),AW$2,)</f>
        <v>0</v>
      </c>
      <c r="AX166" s="179">
        <f ca="1">IF(ISNUMBER(MATCH(DATEVALUE($A166),'recurring1_based on steps'!AX$1:AX$400,0)),AX$2,)</f>
        <v>0</v>
      </c>
      <c r="AY166" s="179">
        <f ca="1">IF(ISNUMBER(MATCH(DATEVALUE($A166),'recurring1_based on steps'!AY$1:AY$400,0)),AY$2,)</f>
        <v>0</v>
      </c>
    </row>
    <row r="167" spans="1:51" x14ac:dyDescent="0.2">
      <c r="A167" s="32" t="str">
        <f t="shared" ca="1" si="2"/>
        <v>2025-09-09</v>
      </c>
      <c r="B167" s="179">
        <f ca="1">IF(ISNUMBER(MATCH(DATEVALUE($A167),'recurring1_based on steps'!B$1:B$400,0)),B$2,)</f>
        <v>0</v>
      </c>
      <c r="C167" s="179">
        <f ca="1">IF(ISNUMBER(MATCH(DATEVALUE($A167),'recurring1_based on steps'!C$1:C$400,0)),C$2,)</f>
        <v>0</v>
      </c>
      <c r="D167" s="179">
        <f ca="1">IF(ISNUMBER(MATCH(DATEVALUE($A167),'recurring1_based on steps'!D$1:D$400,0)),D$2,)</f>
        <v>0</v>
      </c>
      <c r="E167" s="179">
        <f ca="1">IF(ISNUMBER(MATCH(DATEVALUE($A167),'recurring1_based on steps'!E$1:E$400,0)),E$2,)</f>
        <v>0</v>
      </c>
      <c r="F167" s="179">
        <f ca="1">IF(ISNUMBER(MATCH(DATEVALUE($A167),'recurring1_based on steps'!F$1:F$400,0)),F$2,)</f>
        <v>0</v>
      </c>
      <c r="G167" s="179">
        <f ca="1">IF(ISNUMBER(MATCH(DATEVALUE($A167),'recurring1_based on steps'!G$1:G$400,0)),G$2,)</f>
        <v>0</v>
      </c>
      <c r="H167" s="179">
        <f ca="1">IF(ISNUMBER(MATCH(DATEVALUE($A167),'recurring1_based on steps'!H$1:H$400,0)),H$2,)</f>
        <v>0</v>
      </c>
      <c r="I167" s="179">
        <f ca="1">IF(ISNUMBER(MATCH(DATEVALUE($A167),'recurring1_based on steps'!I$1:I$400,0)),I$2,)</f>
        <v>0</v>
      </c>
      <c r="J167" s="179">
        <f ca="1">IF(ISNUMBER(MATCH(DATEVALUE($A167),'recurring1_based on steps'!J$1:J$400,0)),J$2,)</f>
        <v>0</v>
      </c>
      <c r="K167" s="179">
        <f ca="1">IF(ISNUMBER(MATCH(DATEVALUE($A167),'recurring1_based on steps'!K$1:K$400,0)),K$2,)</f>
        <v>0</v>
      </c>
      <c r="L167" s="179">
        <f ca="1">IF(ISNUMBER(MATCH(DATEVALUE($A167),'recurring1_based on steps'!L$1:L$400,0)),L$2,)</f>
        <v>0</v>
      </c>
      <c r="M167" s="179">
        <f ca="1">IF(ISNUMBER(MATCH(DATEVALUE($A167),'recurring1_based on steps'!M$1:M$400,0)),M$2,)</f>
        <v>0</v>
      </c>
      <c r="N167" s="179">
        <f ca="1">IF(ISNUMBER(MATCH(DATEVALUE($A167),'recurring1_based on steps'!N$1:N$400,0)),N$2,)</f>
        <v>0</v>
      </c>
      <c r="O167" s="179">
        <f ca="1">IF(ISNUMBER(MATCH(DATEVALUE($A167),'recurring1_based on steps'!O$1:O$400,0)),O$2,)</f>
        <v>0</v>
      </c>
      <c r="P167" s="179">
        <f ca="1">IF(ISNUMBER(MATCH(DATEVALUE($A167),'recurring1_based on steps'!P$1:P$400,0)),P$2,)</f>
        <v>0</v>
      </c>
      <c r="Q167" s="179">
        <f ca="1">IF(ISNUMBER(MATCH(DATEVALUE($A167),'recurring1_based on steps'!Q$1:Q$400,0)),Q$2,)</f>
        <v>0</v>
      </c>
      <c r="R167" s="179">
        <f ca="1">IF(ISNUMBER(MATCH(DATEVALUE($A167),'recurring1_based on steps'!R$1:R$400,0)),R$2,)</f>
        <v>0</v>
      </c>
      <c r="S167" s="179">
        <f ca="1">IF(ISNUMBER(MATCH(DATEVALUE($A167),'recurring1_based on steps'!S$1:S$400,0)),S$2,)</f>
        <v>0</v>
      </c>
      <c r="T167" s="179">
        <f ca="1">IF(ISNUMBER(MATCH(DATEVALUE($A167),'recurring1_based on steps'!T$1:T$400,0)),T$2,)</f>
        <v>0</v>
      </c>
      <c r="U167" s="179">
        <f ca="1">IF(ISNUMBER(MATCH(DATEVALUE($A167),'recurring1_based on steps'!U$1:U$400,0)),U$2,)</f>
        <v>0</v>
      </c>
      <c r="V167" s="179">
        <f ca="1">IF(ISNUMBER(MATCH(DATEVALUE($A167),'recurring1_based on steps'!V$1:V$400,0)),V$2,)</f>
        <v>0</v>
      </c>
      <c r="W167" s="179">
        <f ca="1">IF(ISNUMBER(MATCH(DATEVALUE($A167),'recurring1_based on steps'!W$1:W$400,0)),W$2,)</f>
        <v>0</v>
      </c>
      <c r="X167" s="179">
        <f ca="1">IF(ISNUMBER(MATCH(DATEVALUE($A167),'recurring1_based on steps'!X$1:X$400,0)),X$2,)</f>
        <v>0</v>
      </c>
      <c r="Y167" s="179">
        <f ca="1">IF(ISNUMBER(MATCH(DATEVALUE($A167),'recurring1_based on steps'!Y$1:Y$400,0)),Y$2,)</f>
        <v>0</v>
      </c>
      <c r="Z167" s="179">
        <f ca="1">IF(ISNUMBER(MATCH(DATEVALUE($A167),'recurring1_based on steps'!Z$1:Z$400,0)),Z$2,)</f>
        <v>0</v>
      </c>
      <c r="AA167" s="179">
        <f ca="1">IF(ISNUMBER(MATCH(DATEVALUE($A167),'recurring1_based on steps'!AA$1:AA$400,0)),AA$2,)</f>
        <v>0</v>
      </c>
      <c r="AB167" s="179">
        <f ca="1">IF(ISNUMBER(MATCH(DATEVALUE($A167),'recurring1_based on steps'!AB$1:AB$400,0)),AB$2,)</f>
        <v>0</v>
      </c>
      <c r="AC167" s="179">
        <f ca="1">IF(ISNUMBER(MATCH(DATEVALUE($A167),'recurring1_based on steps'!AC$1:AC$400,0)),AC$2,)</f>
        <v>0</v>
      </c>
      <c r="AD167" s="179">
        <f ca="1">IF(ISNUMBER(MATCH(DATEVALUE($A167),'recurring1_based on steps'!AD$1:AD$400,0)),AD$2,)</f>
        <v>0</v>
      </c>
      <c r="AE167" s="179">
        <f ca="1">IF(ISNUMBER(MATCH(DATEVALUE($A167),'recurring1_based on steps'!AE$1:AE$400,0)),AE$2,)</f>
        <v>0</v>
      </c>
      <c r="AF167" s="179">
        <f ca="1">IF(ISNUMBER(MATCH(DATEVALUE($A167),'recurring1_based on steps'!AF$1:AF$400,0)),AF$2,)</f>
        <v>0</v>
      </c>
      <c r="AG167" s="179">
        <f ca="1">IF(ISNUMBER(MATCH(DATEVALUE($A167),'recurring1_based on steps'!AG$1:AG$400,0)),AG$2,)</f>
        <v>0</v>
      </c>
      <c r="AH167" s="179">
        <f ca="1">IF(ISNUMBER(MATCH(DATEVALUE($A167),'recurring1_based on steps'!AH$1:AH$400,0)),AH$2,)</f>
        <v>0</v>
      </c>
      <c r="AI167" s="179">
        <f ca="1">IF(ISNUMBER(MATCH(DATEVALUE($A167),'recurring1_based on steps'!AI$1:AI$400,0)),AI$2,)</f>
        <v>0</v>
      </c>
      <c r="AJ167" s="179">
        <f ca="1">IF(ISNUMBER(MATCH(DATEVALUE($A167),'recurring1_based on steps'!AJ$1:AJ$400,0)),AJ$2,)</f>
        <v>0</v>
      </c>
      <c r="AK167" s="179">
        <f ca="1">IF(ISNUMBER(MATCH(DATEVALUE($A167),'recurring1_based on steps'!AK$1:AK$400,0)),AK$2,)</f>
        <v>0</v>
      </c>
      <c r="AL167" s="179">
        <f ca="1">IF(ISNUMBER(MATCH(DATEVALUE($A167),'recurring1_based on steps'!AL$1:AL$400,0)),AL$2,)</f>
        <v>0</v>
      </c>
      <c r="AM167" s="179">
        <f ca="1">IF(ISNUMBER(MATCH(DATEVALUE($A167),'recurring1_based on steps'!AM$1:AM$400,0)),AM$2,)</f>
        <v>0</v>
      </c>
      <c r="AN167" s="179">
        <f ca="1">IF(ISNUMBER(MATCH(DATEVALUE($A167),'recurring1_based on steps'!AN$1:AN$400,0)),AN$2,)</f>
        <v>0</v>
      </c>
      <c r="AO167" s="179">
        <f ca="1">IF(ISNUMBER(MATCH(DATEVALUE($A167),'recurring1_based on steps'!AO$1:AO$400,0)),AO$2,)</f>
        <v>0</v>
      </c>
      <c r="AP167" s="179">
        <f ca="1">IF(ISNUMBER(MATCH(DATEVALUE($A167),'recurring1_based on steps'!AP$1:AP$400,0)),AP$2,)</f>
        <v>0</v>
      </c>
      <c r="AQ167" s="179">
        <f ca="1">IF(ISNUMBER(MATCH(DATEVALUE($A167),'recurring1_based on steps'!AQ$1:AQ$400,0)),AQ$2,)</f>
        <v>0</v>
      </c>
      <c r="AR167" s="179">
        <f ca="1">IF(ISNUMBER(MATCH(DATEVALUE($A167),'recurring1_based on steps'!AR$1:AR$400,0)),AR$2,)</f>
        <v>0</v>
      </c>
      <c r="AS167" s="179">
        <f ca="1">IF(ISNUMBER(MATCH(DATEVALUE($A167),'recurring1_based on steps'!AS$1:AS$400,0)),AS$2,)</f>
        <v>0</v>
      </c>
      <c r="AT167" s="179">
        <f ca="1">IF(ISNUMBER(MATCH(DATEVALUE($A167),'recurring1_based on steps'!AT$1:AT$400,0)),AT$2,)</f>
        <v>0</v>
      </c>
      <c r="AU167" s="179">
        <f ca="1">IF(ISNUMBER(MATCH(DATEVALUE($A167),'recurring1_based on steps'!AU$1:AU$400,0)),AU$2,)</f>
        <v>0</v>
      </c>
      <c r="AV167" s="179">
        <f ca="1">IF(ISNUMBER(MATCH(DATEVALUE($A167),'recurring1_based on steps'!AV$1:AV$400,0)),AV$2,)</f>
        <v>0</v>
      </c>
      <c r="AW167" s="179">
        <f ca="1">IF(ISNUMBER(MATCH(DATEVALUE($A167),'recurring1_based on steps'!AW$1:AW$400,0)),AW$2,)</f>
        <v>0</v>
      </c>
      <c r="AX167" s="179">
        <f ca="1">IF(ISNUMBER(MATCH(DATEVALUE($A167),'recurring1_based on steps'!AX$1:AX$400,0)),AX$2,)</f>
        <v>0</v>
      </c>
      <c r="AY167" s="179">
        <f ca="1">IF(ISNUMBER(MATCH(DATEVALUE($A167),'recurring1_based on steps'!AY$1:AY$400,0)),AY$2,)</f>
        <v>0</v>
      </c>
    </row>
    <row r="168" spans="1:51" x14ac:dyDescent="0.2">
      <c r="A168" s="32" t="str">
        <f t="shared" ca="1" si="2"/>
        <v>2025-09-10</v>
      </c>
      <c r="B168" s="179">
        <f ca="1">IF(ISNUMBER(MATCH(DATEVALUE($A168),'recurring1_based on steps'!B$1:B$400,0)),B$2,)</f>
        <v>0</v>
      </c>
      <c r="C168" s="179">
        <f ca="1">IF(ISNUMBER(MATCH(DATEVALUE($A168),'recurring1_based on steps'!C$1:C$400,0)),C$2,)</f>
        <v>0</v>
      </c>
      <c r="D168" s="179">
        <f ca="1">IF(ISNUMBER(MATCH(DATEVALUE($A168),'recurring1_based on steps'!D$1:D$400,0)),D$2,)</f>
        <v>0</v>
      </c>
      <c r="E168" s="179">
        <f ca="1">IF(ISNUMBER(MATCH(DATEVALUE($A168),'recurring1_based on steps'!E$1:E$400,0)),E$2,)</f>
        <v>0</v>
      </c>
      <c r="F168" s="179">
        <f ca="1">IF(ISNUMBER(MATCH(DATEVALUE($A168),'recurring1_based on steps'!F$1:F$400,0)),F$2,)</f>
        <v>0</v>
      </c>
      <c r="G168" s="179">
        <f ca="1">IF(ISNUMBER(MATCH(DATEVALUE($A168),'recurring1_based on steps'!G$1:G$400,0)),G$2,)</f>
        <v>0</v>
      </c>
      <c r="H168" s="179">
        <f ca="1">IF(ISNUMBER(MATCH(DATEVALUE($A168),'recurring1_based on steps'!H$1:H$400,0)),H$2,)</f>
        <v>0</v>
      </c>
      <c r="I168" s="179">
        <f ca="1">IF(ISNUMBER(MATCH(DATEVALUE($A168),'recurring1_based on steps'!I$1:I$400,0)),I$2,)</f>
        <v>0</v>
      </c>
      <c r="J168" s="179">
        <f ca="1">IF(ISNUMBER(MATCH(DATEVALUE($A168),'recurring1_based on steps'!J$1:J$400,0)),J$2,)</f>
        <v>0</v>
      </c>
      <c r="K168" s="179">
        <f ca="1">IF(ISNUMBER(MATCH(DATEVALUE($A168),'recurring1_based on steps'!K$1:K$400,0)),K$2,)</f>
        <v>0</v>
      </c>
      <c r="L168" s="179">
        <f ca="1">IF(ISNUMBER(MATCH(DATEVALUE($A168),'recurring1_based on steps'!L$1:L$400,0)),L$2,)</f>
        <v>0</v>
      </c>
      <c r="M168" s="179">
        <f ca="1">IF(ISNUMBER(MATCH(DATEVALUE($A168),'recurring1_based on steps'!M$1:M$400,0)),M$2,)</f>
        <v>0</v>
      </c>
      <c r="N168" s="179">
        <f ca="1">IF(ISNUMBER(MATCH(DATEVALUE($A168),'recurring1_based on steps'!N$1:N$400,0)),N$2,)</f>
        <v>0</v>
      </c>
      <c r="O168" s="179">
        <f ca="1">IF(ISNUMBER(MATCH(DATEVALUE($A168),'recurring1_based on steps'!O$1:O$400,0)),O$2,)</f>
        <v>0</v>
      </c>
      <c r="P168" s="179">
        <f ca="1">IF(ISNUMBER(MATCH(DATEVALUE($A168),'recurring1_based on steps'!P$1:P$400,0)),P$2,)</f>
        <v>0</v>
      </c>
      <c r="Q168" s="179">
        <f ca="1">IF(ISNUMBER(MATCH(DATEVALUE($A168),'recurring1_based on steps'!Q$1:Q$400,0)),Q$2,)</f>
        <v>0</v>
      </c>
      <c r="R168" s="179">
        <f ca="1">IF(ISNUMBER(MATCH(DATEVALUE($A168),'recurring1_based on steps'!R$1:R$400,0)),R$2,)</f>
        <v>0</v>
      </c>
      <c r="S168" s="179">
        <f ca="1">IF(ISNUMBER(MATCH(DATEVALUE($A168),'recurring1_based on steps'!S$1:S$400,0)),S$2,)</f>
        <v>0</v>
      </c>
      <c r="T168" s="179">
        <f ca="1">IF(ISNUMBER(MATCH(DATEVALUE($A168),'recurring1_based on steps'!T$1:T$400,0)),T$2,)</f>
        <v>0</v>
      </c>
      <c r="U168" s="179">
        <f ca="1">IF(ISNUMBER(MATCH(DATEVALUE($A168),'recurring1_based on steps'!U$1:U$400,0)),U$2,)</f>
        <v>0</v>
      </c>
      <c r="V168" s="179">
        <f ca="1">IF(ISNUMBER(MATCH(DATEVALUE($A168),'recurring1_based on steps'!V$1:V$400,0)),V$2,)</f>
        <v>0</v>
      </c>
      <c r="W168" s="179">
        <f ca="1">IF(ISNUMBER(MATCH(DATEVALUE($A168),'recurring1_based on steps'!W$1:W$400,0)),W$2,)</f>
        <v>0</v>
      </c>
      <c r="X168" s="179">
        <f ca="1">IF(ISNUMBER(MATCH(DATEVALUE($A168),'recurring1_based on steps'!X$1:X$400,0)),X$2,)</f>
        <v>0</v>
      </c>
      <c r="Y168" s="179">
        <f ca="1">IF(ISNUMBER(MATCH(DATEVALUE($A168),'recurring1_based on steps'!Y$1:Y$400,0)),Y$2,)</f>
        <v>0</v>
      </c>
      <c r="Z168" s="179">
        <f ca="1">IF(ISNUMBER(MATCH(DATEVALUE($A168),'recurring1_based on steps'!Z$1:Z$400,0)),Z$2,)</f>
        <v>0</v>
      </c>
      <c r="AA168" s="179">
        <f ca="1">IF(ISNUMBER(MATCH(DATEVALUE($A168),'recurring1_based on steps'!AA$1:AA$400,0)),AA$2,)</f>
        <v>0</v>
      </c>
      <c r="AB168" s="179">
        <f ca="1">IF(ISNUMBER(MATCH(DATEVALUE($A168),'recurring1_based on steps'!AB$1:AB$400,0)),AB$2,)</f>
        <v>0</v>
      </c>
      <c r="AC168" s="179">
        <f ca="1">IF(ISNUMBER(MATCH(DATEVALUE($A168),'recurring1_based on steps'!AC$1:AC$400,0)),AC$2,)</f>
        <v>0</v>
      </c>
      <c r="AD168" s="179">
        <f ca="1">IF(ISNUMBER(MATCH(DATEVALUE($A168),'recurring1_based on steps'!AD$1:AD$400,0)),AD$2,)</f>
        <v>0</v>
      </c>
      <c r="AE168" s="179">
        <f ca="1">IF(ISNUMBER(MATCH(DATEVALUE($A168),'recurring1_based on steps'!AE$1:AE$400,0)),AE$2,)</f>
        <v>0</v>
      </c>
      <c r="AF168" s="179">
        <f ca="1">IF(ISNUMBER(MATCH(DATEVALUE($A168),'recurring1_based on steps'!AF$1:AF$400,0)),AF$2,)</f>
        <v>0</v>
      </c>
      <c r="AG168" s="179">
        <f ca="1">IF(ISNUMBER(MATCH(DATEVALUE($A168),'recurring1_based on steps'!AG$1:AG$400,0)),AG$2,)</f>
        <v>0</v>
      </c>
      <c r="AH168" s="179">
        <f ca="1">IF(ISNUMBER(MATCH(DATEVALUE($A168),'recurring1_based on steps'!AH$1:AH$400,0)),AH$2,)</f>
        <v>0</v>
      </c>
      <c r="AI168" s="179">
        <f ca="1">IF(ISNUMBER(MATCH(DATEVALUE($A168),'recurring1_based on steps'!AI$1:AI$400,0)),AI$2,)</f>
        <v>0</v>
      </c>
      <c r="AJ168" s="179">
        <f ca="1">IF(ISNUMBER(MATCH(DATEVALUE($A168),'recurring1_based on steps'!AJ$1:AJ$400,0)),AJ$2,)</f>
        <v>0</v>
      </c>
      <c r="AK168" s="179">
        <f ca="1">IF(ISNUMBER(MATCH(DATEVALUE($A168),'recurring1_based on steps'!AK$1:AK$400,0)),AK$2,)</f>
        <v>0</v>
      </c>
      <c r="AL168" s="179">
        <f ca="1">IF(ISNUMBER(MATCH(DATEVALUE($A168),'recurring1_based on steps'!AL$1:AL$400,0)),AL$2,)</f>
        <v>0</v>
      </c>
      <c r="AM168" s="179">
        <f ca="1">IF(ISNUMBER(MATCH(DATEVALUE($A168),'recurring1_based on steps'!AM$1:AM$400,0)),AM$2,)</f>
        <v>0</v>
      </c>
      <c r="AN168" s="179">
        <f ca="1">IF(ISNUMBER(MATCH(DATEVALUE($A168),'recurring1_based on steps'!AN$1:AN$400,0)),AN$2,)</f>
        <v>0</v>
      </c>
      <c r="AO168" s="179">
        <f ca="1">IF(ISNUMBER(MATCH(DATEVALUE($A168),'recurring1_based on steps'!AO$1:AO$400,0)),AO$2,)</f>
        <v>0</v>
      </c>
      <c r="AP168" s="179">
        <f ca="1">IF(ISNUMBER(MATCH(DATEVALUE($A168),'recurring1_based on steps'!AP$1:AP$400,0)),AP$2,)</f>
        <v>0</v>
      </c>
      <c r="AQ168" s="179">
        <f ca="1">IF(ISNUMBER(MATCH(DATEVALUE($A168),'recurring1_based on steps'!AQ$1:AQ$400,0)),AQ$2,)</f>
        <v>0</v>
      </c>
      <c r="AR168" s="179">
        <f ca="1">IF(ISNUMBER(MATCH(DATEVALUE($A168),'recurring1_based on steps'!AR$1:AR$400,0)),AR$2,)</f>
        <v>0</v>
      </c>
      <c r="AS168" s="179">
        <f ca="1">IF(ISNUMBER(MATCH(DATEVALUE($A168),'recurring1_based on steps'!AS$1:AS$400,0)),AS$2,)</f>
        <v>0</v>
      </c>
      <c r="AT168" s="179">
        <f ca="1">IF(ISNUMBER(MATCH(DATEVALUE($A168),'recurring1_based on steps'!AT$1:AT$400,0)),AT$2,)</f>
        <v>0</v>
      </c>
      <c r="AU168" s="179">
        <f ca="1">IF(ISNUMBER(MATCH(DATEVALUE($A168),'recurring1_based on steps'!AU$1:AU$400,0)),AU$2,)</f>
        <v>0</v>
      </c>
      <c r="AV168" s="179">
        <f ca="1">IF(ISNUMBER(MATCH(DATEVALUE($A168),'recurring1_based on steps'!AV$1:AV$400,0)),AV$2,)</f>
        <v>0</v>
      </c>
      <c r="AW168" s="179">
        <f ca="1">IF(ISNUMBER(MATCH(DATEVALUE($A168),'recurring1_based on steps'!AW$1:AW$400,0)),AW$2,)</f>
        <v>0</v>
      </c>
      <c r="AX168" s="179">
        <f ca="1">IF(ISNUMBER(MATCH(DATEVALUE($A168),'recurring1_based on steps'!AX$1:AX$400,0)),AX$2,)</f>
        <v>0</v>
      </c>
      <c r="AY168" s="179">
        <f ca="1">IF(ISNUMBER(MATCH(DATEVALUE($A168),'recurring1_based on steps'!AY$1:AY$400,0)),AY$2,)</f>
        <v>0</v>
      </c>
    </row>
    <row r="169" spans="1:51" x14ac:dyDescent="0.2">
      <c r="A169" s="32" t="str">
        <f t="shared" ca="1" si="2"/>
        <v>2025-09-11</v>
      </c>
      <c r="B169" s="179">
        <f ca="1">IF(ISNUMBER(MATCH(DATEVALUE($A169),'recurring1_based on steps'!B$1:B$400,0)),B$2,)</f>
        <v>0</v>
      </c>
      <c r="C169" s="179">
        <f ca="1">IF(ISNUMBER(MATCH(DATEVALUE($A169),'recurring1_based on steps'!C$1:C$400,0)),C$2,)</f>
        <v>0</v>
      </c>
      <c r="D169" s="179">
        <f ca="1">IF(ISNUMBER(MATCH(DATEVALUE($A169),'recurring1_based on steps'!D$1:D$400,0)),D$2,)</f>
        <v>0</v>
      </c>
      <c r="E169" s="179">
        <f ca="1">IF(ISNUMBER(MATCH(DATEVALUE($A169),'recurring1_based on steps'!E$1:E$400,0)),E$2,)</f>
        <v>0</v>
      </c>
      <c r="F169" s="179">
        <f ca="1">IF(ISNUMBER(MATCH(DATEVALUE($A169),'recurring1_based on steps'!F$1:F$400,0)),F$2,)</f>
        <v>0</v>
      </c>
      <c r="G169" s="179">
        <f ca="1">IF(ISNUMBER(MATCH(DATEVALUE($A169),'recurring1_based on steps'!G$1:G$400,0)),G$2,)</f>
        <v>0</v>
      </c>
      <c r="H169" s="179">
        <f ca="1">IF(ISNUMBER(MATCH(DATEVALUE($A169),'recurring1_based on steps'!H$1:H$400,0)),H$2,)</f>
        <v>0</v>
      </c>
      <c r="I169" s="179">
        <f ca="1">IF(ISNUMBER(MATCH(DATEVALUE($A169),'recurring1_based on steps'!I$1:I$400,0)),I$2,)</f>
        <v>0</v>
      </c>
      <c r="J169" s="179">
        <f ca="1">IF(ISNUMBER(MATCH(DATEVALUE($A169),'recurring1_based on steps'!J$1:J$400,0)),J$2,)</f>
        <v>0</v>
      </c>
      <c r="K169" s="179">
        <f ca="1">IF(ISNUMBER(MATCH(DATEVALUE($A169),'recurring1_based on steps'!K$1:K$400,0)),K$2,)</f>
        <v>0</v>
      </c>
      <c r="L169" s="179">
        <f ca="1">IF(ISNUMBER(MATCH(DATEVALUE($A169),'recurring1_based on steps'!L$1:L$400,0)),L$2,)</f>
        <v>0</v>
      </c>
      <c r="M169" s="179">
        <f ca="1">IF(ISNUMBER(MATCH(DATEVALUE($A169),'recurring1_based on steps'!M$1:M$400,0)),M$2,)</f>
        <v>0</v>
      </c>
      <c r="N169" s="179">
        <f ca="1">IF(ISNUMBER(MATCH(DATEVALUE($A169),'recurring1_based on steps'!N$1:N$400,0)),N$2,)</f>
        <v>0</v>
      </c>
      <c r="O169" s="179">
        <f ca="1">IF(ISNUMBER(MATCH(DATEVALUE($A169),'recurring1_based on steps'!O$1:O$400,0)),O$2,)</f>
        <v>0</v>
      </c>
      <c r="P169" s="179">
        <f ca="1">IF(ISNUMBER(MATCH(DATEVALUE($A169),'recurring1_based on steps'!P$1:P$400,0)),P$2,)</f>
        <v>0</v>
      </c>
      <c r="Q169" s="179">
        <f ca="1">IF(ISNUMBER(MATCH(DATEVALUE($A169),'recurring1_based on steps'!Q$1:Q$400,0)),Q$2,)</f>
        <v>0</v>
      </c>
      <c r="R169" s="179">
        <f ca="1">IF(ISNUMBER(MATCH(DATEVALUE($A169),'recurring1_based on steps'!R$1:R$400,0)),R$2,)</f>
        <v>0</v>
      </c>
      <c r="S169" s="179">
        <f ca="1">IF(ISNUMBER(MATCH(DATEVALUE($A169),'recurring1_based on steps'!S$1:S$400,0)),S$2,)</f>
        <v>0</v>
      </c>
      <c r="T169" s="179">
        <f ca="1">IF(ISNUMBER(MATCH(DATEVALUE($A169),'recurring1_based on steps'!T$1:T$400,0)),T$2,)</f>
        <v>0</v>
      </c>
      <c r="U169" s="179">
        <f ca="1">IF(ISNUMBER(MATCH(DATEVALUE($A169),'recurring1_based on steps'!U$1:U$400,0)),U$2,)</f>
        <v>0</v>
      </c>
      <c r="V169" s="179">
        <f ca="1">IF(ISNUMBER(MATCH(DATEVALUE($A169),'recurring1_based on steps'!V$1:V$400,0)),V$2,)</f>
        <v>0</v>
      </c>
      <c r="W169" s="179">
        <f ca="1">IF(ISNUMBER(MATCH(DATEVALUE($A169),'recurring1_based on steps'!W$1:W$400,0)),W$2,)</f>
        <v>0</v>
      </c>
      <c r="X169" s="179">
        <f ca="1">IF(ISNUMBER(MATCH(DATEVALUE($A169),'recurring1_based on steps'!X$1:X$400,0)),X$2,)</f>
        <v>0</v>
      </c>
      <c r="Y169" s="179">
        <f ca="1">IF(ISNUMBER(MATCH(DATEVALUE($A169),'recurring1_based on steps'!Y$1:Y$400,0)),Y$2,)</f>
        <v>0</v>
      </c>
      <c r="Z169" s="179">
        <f ca="1">IF(ISNUMBER(MATCH(DATEVALUE($A169),'recurring1_based on steps'!Z$1:Z$400,0)),Z$2,)</f>
        <v>0</v>
      </c>
      <c r="AA169" s="179">
        <f ca="1">IF(ISNUMBER(MATCH(DATEVALUE($A169),'recurring1_based on steps'!AA$1:AA$400,0)),AA$2,)</f>
        <v>0</v>
      </c>
      <c r="AB169" s="179">
        <f ca="1">IF(ISNUMBER(MATCH(DATEVALUE($A169),'recurring1_based on steps'!AB$1:AB$400,0)),AB$2,)</f>
        <v>0</v>
      </c>
      <c r="AC169" s="179">
        <f ca="1">IF(ISNUMBER(MATCH(DATEVALUE($A169),'recurring1_based on steps'!AC$1:AC$400,0)),AC$2,)</f>
        <v>0</v>
      </c>
      <c r="AD169" s="179">
        <f ca="1">IF(ISNUMBER(MATCH(DATEVALUE($A169),'recurring1_based on steps'!AD$1:AD$400,0)),AD$2,)</f>
        <v>0</v>
      </c>
      <c r="AE169" s="179">
        <f ca="1">IF(ISNUMBER(MATCH(DATEVALUE($A169),'recurring1_based on steps'!AE$1:AE$400,0)),AE$2,)</f>
        <v>0</v>
      </c>
      <c r="AF169" s="179">
        <f ca="1">IF(ISNUMBER(MATCH(DATEVALUE($A169),'recurring1_based on steps'!AF$1:AF$400,0)),AF$2,)</f>
        <v>0</v>
      </c>
      <c r="AG169" s="179">
        <f ca="1">IF(ISNUMBER(MATCH(DATEVALUE($A169),'recurring1_based on steps'!AG$1:AG$400,0)),AG$2,)</f>
        <v>0</v>
      </c>
      <c r="AH169" s="179">
        <f ca="1">IF(ISNUMBER(MATCH(DATEVALUE($A169),'recurring1_based on steps'!AH$1:AH$400,0)),AH$2,)</f>
        <v>0</v>
      </c>
      <c r="AI169" s="179">
        <f ca="1">IF(ISNUMBER(MATCH(DATEVALUE($A169),'recurring1_based on steps'!AI$1:AI$400,0)),AI$2,)</f>
        <v>0</v>
      </c>
      <c r="AJ169" s="179">
        <f ca="1">IF(ISNUMBER(MATCH(DATEVALUE($A169),'recurring1_based on steps'!AJ$1:AJ$400,0)),AJ$2,)</f>
        <v>0</v>
      </c>
      <c r="AK169" s="179">
        <f ca="1">IF(ISNUMBER(MATCH(DATEVALUE($A169),'recurring1_based on steps'!AK$1:AK$400,0)),AK$2,)</f>
        <v>0</v>
      </c>
      <c r="AL169" s="179">
        <f ca="1">IF(ISNUMBER(MATCH(DATEVALUE($A169),'recurring1_based on steps'!AL$1:AL$400,0)),AL$2,)</f>
        <v>0</v>
      </c>
      <c r="AM169" s="179">
        <f ca="1">IF(ISNUMBER(MATCH(DATEVALUE($A169),'recurring1_based on steps'!AM$1:AM$400,0)),AM$2,)</f>
        <v>0</v>
      </c>
      <c r="AN169" s="179">
        <f ca="1">IF(ISNUMBER(MATCH(DATEVALUE($A169),'recurring1_based on steps'!AN$1:AN$400,0)),AN$2,)</f>
        <v>0</v>
      </c>
      <c r="AO169" s="179">
        <f ca="1">IF(ISNUMBER(MATCH(DATEVALUE($A169),'recurring1_based on steps'!AO$1:AO$400,0)),AO$2,)</f>
        <v>0</v>
      </c>
      <c r="AP169" s="179">
        <f ca="1">IF(ISNUMBER(MATCH(DATEVALUE($A169),'recurring1_based on steps'!AP$1:AP$400,0)),AP$2,)</f>
        <v>0</v>
      </c>
      <c r="AQ169" s="179">
        <f ca="1">IF(ISNUMBER(MATCH(DATEVALUE($A169),'recurring1_based on steps'!AQ$1:AQ$400,0)),AQ$2,)</f>
        <v>0</v>
      </c>
      <c r="AR169" s="179">
        <f ca="1">IF(ISNUMBER(MATCH(DATEVALUE($A169),'recurring1_based on steps'!AR$1:AR$400,0)),AR$2,)</f>
        <v>0</v>
      </c>
      <c r="AS169" s="179">
        <f ca="1">IF(ISNUMBER(MATCH(DATEVALUE($A169),'recurring1_based on steps'!AS$1:AS$400,0)),AS$2,)</f>
        <v>0</v>
      </c>
      <c r="AT169" s="179">
        <f ca="1">IF(ISNUMBER(MATCH(DATEVALUE($A169),'recurring1_based on steps'!AT$1:AT$400,0)),AT$2,)</f>
        <v>0</v>
      </c>
      <c r="AU169" s="179">
        <f ca="1">IF(ISNUMBER(MATCH(DATEVALUE($A169),'recurring1_based on steps'!AU$1:AU$400,0)),AU$2,)</f>
        <v>0</v>
      </c>
      <c r="AV169" s="179">
        <f ca="1">IF(ISNUMBER(MATCH(DATEVALUE($A169),'recurring1_based on steps'!AV$1:AV$400,0)),AV$2,)</f>
        <v>0</v>
      </c>
      <c r="AW169" s="179">
        <f ca="1">IF(ISNUMBER(MATCH(DATEVALUE($A169),'recurring1_based on steps'!AW$1:AW$400,0)),AW$2,)</f>
        <v>0</v>
      </c>
      <c r="AX169" s="179">
        <f ca="1">IF(ISNUMBER(MATCH(DATEVALUE($A169),'recurring1_based on steps'!AX$1:AX$400,0)),AX$2,)</f>
        <v>0</v>
      </c>
      <c r="AY169" s="179">
        <f ca="1">IF(ISNUMBER(MATCH(DATEVALUE($A169),'recurring1_based on steps'!AY$1:AY$400,0)),AY$2,)</f>
        <v>0</v>
      </c>
    </row>
    <row r="170" spans="1:51" x14ac:dyDescent="0.2">
      <c r="A170" s="32" t="str">
        <f t="shared" ca="1" si="2"/>
        <v>2025-09-12</v>
      </c>
      <c r="B170" s="179">
        <f ca="1">IF(ISNUMBER(MATCH(DATEVALUE($A170),'recurring1_based on steps'!B$1:B$400,0)),B$2,)</f>
        <v>0</v>
      </c>
      <c r="C170" s="179">
        <f ca="1">IF(ISNUMBER(MATCH(DATEVALUE($A170),'recurring1_based on steps'!C$1:C$400,0)),C$2,)</f>
        <v>0</v>
      </c>
      <c r="D170" s="179">
        <f ca="1">IF(ISNUMBER(MATCH(DATEVALUE($A170),'recurring1_based on steps'!D$1:D$400,0)),D$2,)</f>
        <v>0</v>
      </c>
      <c r="E170" s="179">
        <f ca="1">IF(ISNUMBER(MATCH(DATEVALUE($A170),'recurring1_based on steps'!E$1:E$400,0)),E$2,)</f>
        <v>0</v>
      </c>
      <c r="F170" s="179">
        <f ca="1">IF(ISNUMBER(MATCH(DATEVALUE($A170),'recurring1_based on steps'!F$1:F$400,0)),F$2,)</f>
        <v>0</v>
      </c>
      <c r="G170" s="179">
        <f ca="1">IF(ISNUMBER(MATCH(DATEVALUE($A170),'recurring1_based on steps'!G$1:G$400,0)),G$2,)</f>
        <v>0</v>
      </c>
      <c r="H170" s="179">
        <f ca="1">IF(ISNUMBER(MATCH(DATEVALUE($A170),'recurring1_based on steps'!H$1:H$400,0)),H$2,)</f>
        <v>0</v>
      </c>
      <c r="I170" s="179">
        <f ca="1">IF(ISNUMBER(MATCH(DATEVALUE($A170),'recurring1_based on steps'!I$1:I$400,0)),I$2,)</f>
        <v>0</v>
      </c>
      <c r="J170" s="179">
        <f ca="1">IF(ISNUMBER(MATCH(DATEVALUE($A170),'recurring1_based on steps'!J$1:J$400,0)),J$2,)</f>
        <v>0</v>
      </c>
      <c r="K170" s="179">
        <f ca="1">IF(ISNUMBER(MATCH(DATEVALUE($A170),'recurring1_based on steps'!K$1:K$400,0)),K$2,)</f>
        <v>0</v>
      </c>
      <c r="L170" s="179">
        <f ca="1">IF(ISNUMBER(MATCH(DATEVALUE($A170),'recurring1_based on steps'!L$1:L$400,0)),L$2,)</f>
        <v>0</v>
      </c>
      <c r="M170" s="179">
        <f ca="1">IF(ISNUMBER(MATCH(DATEVALUE($A170),'recurring1_based on steps'!M$1:M$400,0)),M$2,)</f>
        <v>0</v>
      </c>
      <c r="N170" s="179">
        <f ca="1">IF(ISNUMBER(MATCH(DATEVALUE($A170),'recurring1_based on steps'!N$1:N$400,0)),N$2,)</f>
        <v>0</v>
      </c>
      <c r="O170" s="179">
        <f ca="1">IF(ISNUMBER(MATCH(DATEVALUE($A170),'recurring1_based on steps'!O$1:O$400,0)),O$2,)</f>
        <v>0</v>
      </c>
      <c r="P170" s="179">
        <f ca="1">IF(ISNUMBER(MATCH(DATEVALUE($A170),'recurring1_based on steps'!P$1:P$400,0)),P$2,)</f>
        <v>0</v>
      </c>
      <c r="Q170" s="179">
        <f ca="1">IF(ISNUMBER(MATCH(DATEVALUE($A170),'recurring1_based on steps'!Q$1:Q$400,0)),Q$2,)</f>
        <v>0</v>
      </c>
      <c r="R170" s="179">
        <f ca="1">IF(ISNUMBER(MATCH(DATEVALUE($A170),'recurring1_based on steps'!R$1:R$400,0)),R$2,)</f>
        <v>0</v>
      </c>
      <c r="S170" s="179">
        <f ca="1">IF(ISNUMBER(MATCH(DATEVALUE($A170),'recurring1_based on steps'!S$1:S$400,0)),S$2,)</f>
        <v>0</v>
      </c>
      <c r="T170" s="179">
        <f ca="1">IF(ISNUMBER(MATCH(DATEVALUE($A170),'recurring1_based on steps'!T$1:T$400,0)),T$2,)</f>
        <v>0</v>
      </c>
      <c r="U170" s="179">
        <f ca="1">IF(ISNUMBER(MATCH(DATEVALUE($A170),'recurring1_based on steps'!U$1:U$400,0)),U$2,)</f>
        <v>0</v>
      </c>
      <c r="V170" s="179">
        <f ca="1">IF(ISNUMBER(MATCH(DATEVALUE($A170),'recurring1_based on steps'!V$1:V$400,0)),V$2,)</f>
        <v>0</v>
      </c>
      <c r="W170" s="179">
        <f ca="1">IF(ISNUMBER(MATCH(DATEVALUE($A170),'recurring1_based on steps'!W$1:W$400,0)),W$2,)</f>
        <v>0</v>
      </c>
      <c r="X170" s="179">
        <f ca="1">IF(ISNUMBER(MATCH(DATEVALUE($A170),'recurring1_based on steps'!X$1:X$400,0)),X$2,)</f>
        <v>0</v>
      </c>
      <c r="Y170" s="179">
        <f ca="1">IF(ISNUMBER(MATCH(DATEVALUE($A170),'recurring1_based on steps'!Y$1:Y$400,0)),Y$2,)</f>
        <v>0</v>
      </c>
      <c r="Z170" s="179">
        <f ca="1">IF(ISNUMBER(MATCH(DATEVALUE($A170),'recurring1_based on steps'!Z$1:Z$400,0)),Z$2,)</f>
        <v>0</v>
      </c>
      <c r="AA170" s="179">
        <f ca="1">IF(ISNUMBER(MATCH(DATEVALUE($A170),'recurring1_based on steps'!AA$1:AA$400,0)),AA$2,)</f>
        <v>0</v>
      </c>
      <c r="AB170" s="179">
        <f ca="1">IF(ISNUMBER(MATCH(DATEVALUE($A170),'recurring1_based on steps'!AB$1:AB$400,0)),AB$2,)</f>
        <v>0</v>
      </c>
      <c r="AC170" s="179">
        <f ca="1">IF(ISNUMBER(MATCH(DATEVALUE($A170),'recurring1_based on steps'!AC$1:AC$400,0)),AC$2,)</f>
        <v>0</v>
      </c>
      <c r="AD170" s="179">
        <f ca="1">IF(ISNUMBER(MATCH(DATEVALUE($A170),'recurring1_based on steps'!AD$1:AD$400,0)),AD$2,)</f>
        <v>0</v>
      </c>
      <c r="AE170" s="179">
        <f ca="1">IF(ISNUMBER(MATCH(DATEVALUE($A170),'recurring1_based on steps'!AE$1:AE$400,0)),AE$2,)</f>
        <v>0</v>
      </c>
      <c r="AF170" s="179">
        <f ca="1">IF(ISNUMBER(MATCH(DATEVALUE($A170),'recurring1_based on steps'!AF$1:AF$400,0)),AF$2,)</f>
        <v>0</v>
      </c>
      <c r="AG170" s="179">
        <f ca="1">IF(ISNUMBER(MATCH(DATEVALUE($A170),'recurring1_based on steps'!AG$1:AG$400,0)),AG$2,)</f>
        <v>0</v>
      </c>
      <c r="AH170" s="179">
        <f ca="1">IF(ISNUMBER(MATCH(DATEVALUE($A170),'recurring1_based on steps'!AH$1:AH$400,0)),AH$2,)</f>
        <v>0</v>
      </c>
      <c r="AI170" s="179">
        <f ca="1">IF(ISNUMBER(MATCH(DATEVALUE($A170),'recurring1_based on steps'!AI$1:AI$400,0)),AI$2,)</f>
        <v>0</v>
      </c>
      <c r="AJ170" s="179">
        <f ca="1">IF(ISNUMBER(MATCH(DATEVALUE($A170),'recurring1_based on steps'!AJ$1:AJ$400,0)),AJ$2,)</f>
        <v>0</v>
      </c>
      <c r="AK170" s="179">
        <f ca="1">IF(ISNUMBER(MATCH(DATEVALUE($A170),'recurring1_based on steps'!AK$1:AK$400,0)),AK$2,)</f>
        <v>0</v>
      </c>
      <c r="AL170" s="179">
        <f ca="1">IF(ISNUMBER(MATCH(DATEVALUE($A170),'recurring1_based on steps'!AL$1:AL$400,0)),AL$2,)</f>
        <v>0</v>
      </c>
      <c r="AM170" s="179">
        <f ca="1">IF(ISNUMBER(MATCH(DATEVALUE($A170),'recurring1_based on steps'!AM$1:AM$400,0)),AM$2,)</f>
        <v>0</v>
      </c>
      <c r="AN170" s="179">
        <f ca="1">IF(ISNUMBER(MATCH(DATEVALUE($A170),'recurring1_based on steps'!AN$1:AN$400,0)),AN$2,)</f>
        <v>0</v>
      </c>
      <c r="AO170" s="179">
        <f ca="1">IF(ISNUMBER(MATCH(DATEVALUE($A170),'recurring1_based on steps'!AO$1:AO$400,0)),AO$2,)</f>
        <v>0</v>
      </c>
      <c r="AP170" s="179">
        <f ca="1">IF(ISNUMBER(MATCH(DATEVALUE($A170),'recurring1_based on steps'!AP$1:AP$400,0)),AP$2,)</f>
        <v>0</v>
      </c>
      <c r="AQ170" s="179">
        <f ca="1">IF(ISNUMBER(MATCH(DATEVALUE($A170),'recurring1_based on steps'!AQ$1:AQ$400,0)),AQ$2,)</f>
        <v>0</v>
      </c>
      <c r="AR170" s="179">
        <f ca="1">IF(ISNUMBER(MATCH(DATEVALUE($A170),'recurring1_based on steps'!AR$1:AR$400,0)),AR$2,)</f>
        <v>0</v>
      </c>
      <c r="AS170" s="179">
        <f ca="1">IF(ISNUMBER(MATCH(DATEVALUE($A170),'recurring1_based on steps'!AS$1:AS$400,0)),AS$2,)</f>
        <v>0</v>
      </c>
      <c r="AT170" s="179">
        <f ca="1">IF(ISNUMBER(MATCH(DATEVALUE($A170),'recurring1_based on steps'!AT$1:AT$400,0)),AT$2,)</f>
        <v>0</v>
      </c>
      <c r="AU170" s="179">
        <f ca="1">IF(ISNUMBER(MATCH(DATEVALUE($A170),'recurring1_based on steps'!AU$1:AU$400,0)),AU$2,)</f>
        <v>0</v>
      </c>
      <c r="AV170" s="179">
        <f ca="1">IF(ISNUMBER(MATCH(DATEVALUE($A170),'recurring1_based on steps'!AV$1:AV$400,0)),AV$2,)</f>
        <v>0</v>
      </c>
      <c r="AW170" s="179">
        <f ca="1">IF(ISNUMBER(MATCH(DATEVALUE($A170),'recurring1_based on steps'!AW$1:AW$400,0)),AW$2,)</f>
        <v>0</v>
      </c>
      <c r="AX170" s="179">
        <f ca="1">IF(ISNUMBER(MATCH(DATEVALUE($A170),'recurring1_based on steps'!AX$1:AX$400,0)),AX$2,)</f>
        <v>0</v>
      </c>
      <c r="AY170" s="179">
        <f ca="1">IF(ISNUMBER(MATCH(DATEVALUE($A170),'recurring1_based on steps'!AY$1:AY$400,0)),AY$2,)</f>
        <v>0</v>
      </c>
    </row>
    <row r="171" spans="1:51" x14ac:dyDescent="0.2">
      <c r="A171" s="32" t="str">
        <f t="shared" ca="1" si="2"/>
        <v>2025-09-13</v>
      </c>
      <c r="B171" s="179">
        <f ca="1">IF(ISNUMBER(MATCH(DATEVALUE($A171),'recurring1_based on steps'!B$1:B$400,0)),B$2,)</f>
        <v>0</v>
      </c>
      <c r="C171" s="179">
        <f ca="1">IF(ISNUMBER(MATCH(DATEVALUE($A171),'recurring1_based on steps'!C$1:C$400,0)),C$2,)</f>
        <v>0</v>
      </c>
      <c r="D171" s="179">
        <f ca="1">IF(ISNUMBER(MATCH(DATEVALUE($A171),'recurring1_based on steps'!D$1:D$400,0)),D$2,)</f>
        <v>0</v>
      </c>
      <c r="E171" s="179">
        <f ca="1">IF(ISNUMBER(MATCH(DATEVALUE($A171),'recurring1_based on steps'!E$1:E$400,0)),E$2,)</f>
        <v>0</v>
      </c>
      <c r="F171" s="179">
        <f ca="1">IF(ISNUMBER(MATCH(DATEVALUE($A171),'recurring1_based on steps'!F$1:F$400,0)),F$2,)</f>
        <v>0</v>
      </c>
      <c r="G171" s="179">
        <f ca="1">IF(ISNUMBER(MATCH(DATEVALUE($A171),'recurring1_based on steps'!G$1:G$400,0)),G$2,)</f>
        <v>0</v>
      </c>
      <c r="H171" s="179">
        <f ca="1">IF(ISNUMBER(MATCH(DATEVALUE($A171),'recurring1_based on steps'!H$1:H$400,0)),H$2,)</f>
        <v>0</v>
      </c>
      <c r="I171" s="179">
        <f ca="1">IF(ISNUMBER(MATCH(DATEVALUE($A171),'recurring1_based on steps'!I$1:I$400,0)),I$2,)</f>
        <v>0</v>
      </c>
      <c r="J171" s="179">
        <f ca="1">IF(ISNUMBER(MATCH(DATEVALUE($A171),'recurring1_based on steps'!J$1:J$400,0)),J$2,)</f>
        <v>0</v>
      </c>
      <c r="K171" s="179">
        <f ca="1">IF(ISNUMBER(MATCH(DATEVALUE($A171),'recurring1_based on steps'!K$1:K$400,0)),K$2,)</f>
        <v>0</v>
      </c>
      <c r="L171" s="179">
        <f ca="1">IF(ISNUMBER(MATCH(DATEVALUE($A171),'recurring1_based on steps'!L$1:L$400,0)),L$2,)</f>
        <v>0</v>
      </c>
      <c r="M171" s="179">
        <f ca="1">IF(ISNUMBER(MATCH(DATEVALUE($A171),'recurring1_based on steps'!M$1:M$400,0)),M$2,)</f>
        <v>0</v>
      </c>
      <c r="N171" s="179">
        <f ca="1">IF(ISNUMBER(MATCH(DATEVALUE($A171),'recurring1_based on steps'!N$1:N$400,0)),N$2,)</f>
        <v>0</v>
      </c>
      <c r="O171" s="179">
        <f ca="1">IF(ISNUMBER(MATCH(DATEVALUE($A171),'recurring1_based on steps'!O$1:O$400,0)),O$2,)</f>
        <v>0</v>
      </c>
      <c r="P171" s="179">
        <f ca="1">IF(ISNUMBER(MATCH(DATEVALUE($A171),'recurring1_based on steps'!P$1:P$400,0)),P$2,)</f>
        <v>0</v>
      </c>
      <c r="Q171" s="179">
        <f ca="1">IF(ISNUMBER(MATCH(DATEVALUE($A171),'recurring1_based on steps'!Q$1:Q$400,0)),Q$2,)</f>
        <v>0</v>
      </c>
      <c r="R171" s="179">
        <f ca="1">IF(ISNUMBER(MATCH(DATEVALUE($A171),'recurring1_based on steps'!R$1:R$400,0)),R$2,)</f>
        <v>0</v>
      </c>
      <c r="S171" s="179">
        <f ca="1">IF(ISNUMBER(MATCH(DATEVALUE($A171),'recurring1_based on steps'!S$1:S$400,0)),S$2,)</f>
        <v>0</v>
      </c>
      <c r="T171" s="179">
        <f ca="1">IF(ISNUMBER(MATCH(DATEVALUE($A171),'recurring1_based on steps'!T$1:T$400,0)),T$2,)</f>
        <v>0</v>
      </c>
      <c r="U171" s="179">
        <f ca="1">IF(ISNUMBER(MATCH(DATEVALUE($A171),'recurring1_based on steps'!U$1:U$400,0)),U$2,)</f>
        <v>0</v>
      </c>
      <c r="V171" s="179">
        <f ca="1">IF(ISNUMBER(MATCH(DATEVALUE($A171),'recurring1_based on steps'!V$1:V$400,0)),V$2,)</f>
        <v>0</v>
      </c>
      <c r="W171" s="179">
        <f ca="1">IF(ISNUMBER(MATCH(DATEVALUE($A171),'recurring1_based on steps'!W$1:W$400,0)),W$2,)</f>
        <v>0</v>
      </c>
      <c r="X171" s="179">
        <f ca="1">IF(ISNUMBER(MATCH(DATEVALUE($A171),'recurring1_based on steps'!X$1:X$400,0)),X$2,)</f>
        <v>0</v>
      </c>
      <c r="Y171" s="179">
        <f ca="1">IF(ISNUMBER(MATCH(DATEVALUE($A171),'recurring1_based on steps'!Y$1:Y$400,0)),Y$2,)</f>
        <v>0</v>
      </c>
      <c r="Z171" s="179">
        <f ca="1">IF(ISNUMBER(MATCH(DATEVALUE($A171),'recurring1_based on steps'!Z$1:Z$400,0)),Z$2,)</f>
        <v>0</v>
      </c>
      <c r="AA171" s="179">
        <f ca="1">IF(ISNUMBER(MATCH(DATEVALUE($A171),'recurring1_based on steps'!AA$1:AA$400,0)),AA$2,)</f>
        <v>0</v>
      </c>
      <c r="AB171" s="179">
        <f ca="1">IF(ISNUMBER(MATCH(DATEVALUE($A171),'recurring1_based on steps'!AB$1:AB$400,0)),AB$2,)</f>
        <v>0</v>
      </c>
      <c r="AC171" s="179">
        <f ca="1">IF(ISNUMBER(MATCH(DATEVALUE($A171),'recurring1_based on steps'!AC$1:AC$400,0)),AC$2,)</f>
        <v>0</v>
      </c>
      <c r="AD171" s="179">
        <f ca="1">IF(ISNUMBER(MATCH(DATEVALUE($A171),'recurring1_based on steps'!AD$1:AD$400,0)),AD$2,)</f>
        <v>0</v>
      </c>
      <c r="AE171" s="179">
        <f ca="1">IF(ISNUMBER(MATCH(DATEVALUE($A171),'recurring1_based on steps'!AE$1:AE$400,0)),AE$2,)</f>
        <v>0</v>
      </c>
      <c r="AF171" s="179">
        <f ca="1">IF(ISNUMBER(MATCH(DATEVALUE($A171),'recurring1_based on steps'!AF$1:AF$400,0)),AF$2,)</f>
        <v>0</v>
      </c>
      <c r="AG171" s="179">
        <f ca="1">IF(ISNUMBER(MATCH(DATEVALUE($A171),'recurring1_based on steps'!AG$1:AG$400,0)),AG$2,)</f>
        <v>0</v>
      </c>
      <c r="AH171" s="179">
        <f ca="1">IF(ISNUMBER(MATCH(DATEVALUE($A171),'recurring1_based on steps'!AH$1:AH$400,0)),AH$2,)</f>
        <v>0</v>
      </c>
      <c r="AI171" s="179">
        <f ca="1">IF(ISNUMBER(MATCH(DATEVALUE($A171),'recurring1_based on steps'!AI$1:AI$400,0)),AI$2,)</f>
        <v>0</v>
      </c>
      <c r="AJ171" s="179">
        <f ca="1">IF(ISNUMBER(MATCH(DATEVALUE($A171),'recurring1_based on steps'!AJ$1:AJ$400,0)),AJ$2,)</f>
        <v>0</v>
      </c>
      <c r="AK171" s="179">
        <f ca="1">IF(ISNUMBER(MATCH(DATEVALUE($A171),'recurring1_based on steps'!AK$1:AK$400,0)),AK$2,)</f>
        <v>0</v>
      </c>
      <c r="AL171" s="179">
        <f ca="1">IF(ISNUMBER(MATCH(DATEVALUE($A171),'recurring1_based on steps'!AL$1:AL$400,0)),AL$2,)</f>
        <v>0</v>
      </c>
      <c r="AM171" s="179">
        <f ca="1">IF(ISNUMBER(MATCH(DATEVALUE($A171),'recurring1_based on steps'!AM$1:AM$400,0)),AM$2,)</f>
        <v>0</v>
      </c>
      <c r="AN171" s="179">
        <f ca="1">IF(ISNUMBER(MATCH(DATEVALUE($A171),'recurring1_based on steps'!AN$1:AN$400,0)),AN$2,)</f>
        <v>0</v>
      </c>
      <c r="AO171" s="179">
        <f ca="1">IF(ISNUMBER(MATCH(DATEVALUE($A171),'recurring1_based on steps'!AO$1:AO$400,0)),AO$2,)</f>
        <v>0</v>
      </c>
      <c r="AP171" s="179">
        <f ca="1">IF(ISNUMBER(MATCH(DATEVALUE($A171),'recurring1_based on steps'!AP$1:AP$400,0)),AP$2,)</f>
        <v>0</v>
      </c>
      <c r="AQ171" s="179">
        <f ca="1">IF(ISNUMBER(MATCH(DATEVALUE($A171),'recurring1_based on steps'!AQ$1:AQ$400,0)),AQ$2,)</f>
        <v>0</v>
      </c>
      <c r="AR171" s="179">
        <f ca="1">IF(ISNUMBER(MATCH(DATEVALUE($A171),'recurring1_based on steps'!AR$1:AR$400,0)),AR$2,)</f>
        <v>0</v>
      </c>
      <c r="AS171" s="179">
        <f ca="1">IF(ISNUMBER(MATCH(DATEVALUE($A171),'recurring1_based on steps'!AS$1:AS$400,0)),AS$2,)</f>
        <v>0</v>
      </c>
      <c r="AT171" s="179">
        <f ca="1">IF(ISNUMBER(MATCH(DATEVALUE($A171),'recurring1_based on steps'!AT$1:AT$400,0)),AT$2,)</f>
        <v>0</v>
      </c>
      <c r="AU171" s="179">
        <f ca="1">IF(ISNUMBER(MATCH(DATEVALUE($A171),'recurring1_based on steps'!AU$1:AU$400,0)),AU$2,)</f>
        <v>0</v>
      </c>
      <c r="AV171" s="179">
        <f ca="1">IF(ISNUMBER(MATCH(DATEVALUE($A171),'recurring1_based on steps'!AV$1:AV$400,0)),AV$2,)</f>
        <v>0</v>
      </c>
      <c r="AW171" s="179">
        <f ca="1">IF(ISNUMBER(MATCH(DATEVALUE($A171),'recurring1_based on steps'!AW$1:AW$400,0)),AW$2,)</f>
        <v>0</v>
      </c>
      <c r="AX171" s="179">
        <f ca="1">IF(ISNUMBER(MATCH(DATEVALUE($A171),'recurring1_based on steps'!AX$1:AX$400,0)),AX$2,)</f>
        <v>0</v>
      </c>
      <c r="AY171" s="179">
        <f ca="1">IF(ISNUMBER(MATCH(DATEVALUE($A171),'recurring1_based on steps'!AY$1:AY$400,0)),AY$2,)</f>
        <v>0</v>
      </c>
    </row>
    <row r="172" spans="1:51" x14ac:dyDescent="0.2">
      <c r="A172" s="32" t="str">
        <f t="shared" ca="1" si="2"/>
        <v>2025-09-14</v>
      </c>
      <c r="B172" s="179">
        <f ca="1">IF(ISNUMBER(MATCH(DATEVALUE($A172),'recurring1_based on steps'!B$1:B$400,0)),B$2,)</f>
        <v>0</v>
      </c>
      <c r="C172" s="179">
        <f ca="1">IF(ISNUMBER(MATCH(DATEVALUE($A172),'recurring1_based on steps'!C$1:C$400,0)),C$2,)</f>
        <v>0</v>
      </c>
      <c r="D172" s="179">
        <f ca="1">IF(ISNUMBER(MATCH(DATEVALUE($A172),'recurring1_based on steps'!D$1:D$400,0)),D$2,)</f>
        <v>0</v>
      </c>
      <c r="E172" s="179">
        <f ca="1">IF(ISNUMBER(MATCH(DATEVALUE($A172),'recurring1_based on steps'!E$1:E$400,0)),E$2,)</f>
        <v>0</v>
      </c>
      <c r="F172" s="179">
        <f ca="1">IF(ISNUMBER(MATCH(DATEVALUE($A172),'recurring1_based on steps'!F$1:F$400,0)),F$2,)</f>
        <v>0</v>
      </c>
      <c r="G172" s="179">
        <f ca="1">IF(ISNUMBER(MATCH(DATEVALUE($A172),'recurring1_based on steps'!G$1:G$400,0)),G$2,)</f>
        <v>0</v>
      </c>
      <c r="H172" s="179">
        <f ca="1">IF(ISNUMBER(MATCH(DATEVALUE($A172),'recurring1_based on steps'!H$1:H$400,0)),H$2,)</f>
        <v>0</v>
      </c>
      <c r="I172" s="179">
        <f ca="1">IF(ISNUMBER(MATCH(DATEVALUE($A172),'recurring1_based on steps'!I$1:I$400,0)),I$2,)</f>
        <v>0</v>
      </c>
      <c r="J172" s="179">
        <f ca="1">IF(ISNUMBER(MATCH(DATEVALUE($A172),'recurring1_based on steps'!J$1:J$400,0)),J$2,)</f>
        <v>0</v>
      </c>
      <c r="K172" s="179">
        <f ca="1">IF(ISNUMBER(MATCH(DATEVALUE($A172),'recurring1_based on steps'!K$1:K$400,0)),K$2,)</f>
        <v>0</v>
      </c>
      <c r="L172" s="179">
        <f ca="1">IF(ISNUMBER(MATCH(DATEVALUE($A172),'recurring1_based on steps'!L$1:L$400,0)),L$2,)</f>
        <v>0</v>
      </c>
      <c r="M172" s="179">
        <f ca="1">IF(ISNUMBER(MATCH(DATEVALUE($A172),'recurring1_based on steps'!M$1:M$400,0)),M$2,)</f>
        <v>0</v>
      </c>
      <c r="N172" s="179">
        <f ca="1">IF(ISNUMBER(MATCH(DATEVALUE($A172),'recurring1_based on steps'!N$1:N$400,0)),N$2,)</f>
        <v>0</v>
      </c>
      <c r="O172" s="179">
        <f ca="1">IF(ISNUMBER(MATCH(DATEVALUE($A172),'recurring1_based on steps'!O$1:O$400,0)),O$2,)</f>
        <v>0</v>
      </c>
      <c r="P172" s="179">
        <f ca="1">IF(ISNUMBER(MATCH(DATEVALUE($A172),'recurring1_based on steps'!P$1:P$400,0)),P$2,)</f>
        <v>0</v>
      </c>
      <c r="Q172" s="179">
        <f ca="1">IF(ISNUMBER(MATCH(DATEVALUE($A172),'recurring1_based on steps'!Q$1:Q$400,0)),Q$2,)</f>
        <v>0</v>
      </c>
      <c r="R172" s="179">
        <f ca="1">IF(ISNUMBER(MATCH(DATEVALUE($A172),'recurring1_based on steps'!R$1:R$400,0)),R$2,)</f>
        <v>0</v>
      </c>
      <c r="S172" s="179">
        <f ca="1">IF(ISNUMBER(MATCH(DATEVALUE($A172),'recurring1_based on steps'!S$1:S$400,0)),S$2,)</f>
        <v>0</v>
      </c>
      <c r="T172" s="179">
        <f ca="1">IF(ISNUMBER(MATCH(DATEVALUE($A172),'recurring1_based on steps'!T$1:T$400,0)),T$2,)</f>
        <v>0</v>
      </c>
      <c r="U172" s="179">
        <f ca="1">IF(ISNUMBER(MATCH(DATEVALUE($A172),'recurring1_based on steps'!U$1:U$400,0)),U$2,)</f>
        <v>0</v>
      </c>
      <c r="V172" s="179">
        <f ca="1">IF(ISNUMBER(MATCH(DATEVALUE($A172),'recurring1_based on steps'!V$1:V$400,0)),V$2,)</f>
        <v>0</v>
      </c>
      <c r="W172" s="179">
        <f ca="1">IF(ISNUMBER(MATCH(DATEVALUE($A172),'recurring1_based on steps'!W$1:W$400,0)),W$2,)</f>
        <v>0</v>
      </c>
      <c r="X172" s="179">
        <f ca="1">IF(ISNUMBER(MATCH(DATEVALUE($A172),'recurring1_based on steps'!X$1:X$400,0)),X$2,)</f>
        <v>0</v>
      </c>
      <c r="Y172" s="179">
        <f ca="1">IF(ISNUMBER(MATCH(DATEVALUE($A172),'recurring1_based on steps'!Y$1:Y$400,0)),Y$2,)</f>
        <v>0</v>
      </c>
      <c r="Z172" s="179">
        <f ca="1">IF(ISNUMBER(MATCH(DATEVALUE($A172),'recurring1_based on steps'!Z$1:Z$400,0)),Z$2,)</f>
        <v>0</v>
      </c>
      <c r="AA172" s="179">
        <f ca="1">IF(ISNUMBER(MATCH(DATEVALUE($A172),'recurring1_based on steps'!AA$1:AA$400,0)),AA$2,)</f>
        <v>0</v>
      </c>
      <c r="AB172" s="179">
        <f ca="1">IF(ISNUMBER(MATCH(DATEVALUE($A172),'recurring1_based on steps'!AB$1:AB$400,0)),AB$2,)</f>
        <v>0</v>
      </c>
      <c r="AC172" s="179">
        <f ca="1">IF(ISNUMBER(MATCH(DATEVALUE($A172),'recurring1_based on steps'!AC$1:AC$400,0)),AC$2,)</f>
        <v>0</v>
      </c>
      <c r="AD172" s="179">
        <f ca="1">IF(ISNUMBER(MATCH(DATEVALUE($A172),'recurring1_based on steps'!AD$1:AD$400,0)),AD$2,)</f>
        <v>0</v>
      </c>
      <c r="AE172" s="179">
        <f ca="1">IF(ISNUMBER(MATCH(DATEVALUE($A172),'recurring1_based on steps'!AE$1:AE$400,0)),AE$2,)</f>
        <v>0</v>
      </c>
      <c r="AF172" s="179">
        <f ca="1">IF(ISNUMBER(MATCH(DATEVALUE($A172),'recurring1_based on steps'!AF$1:AF$400,0)),AF$2,)</f>
        <v>0</v>
      </c>
      <c r="AG172" s="179">
        <f ca="1">IF(ISNUMBER(MATCH(DATEVALUE($A172),'recurring1_based on steps'!AG$1:AG$400,0)),AG$2,)</f>
        <v>0</v>
      </c>
      <c r="AH172" s="179">
        <f ca="1">IF(ISNUMBER(MATCH(DATEVALUE($A172),'recurring1_based on steps'!AH$1:AH$400,0)),AH$2,)</f>
        <v>0</v>
      </c>
      <c r="AI172" s="179">
        <f ca="1">IF(ISNUMBER(MATCH(DATEVALUE($A172),'recurring1_based on steps'!AI$1:AI$400,0)),AI$2,)</f>
        <v>0</v>
      </c>
      <c r="AJ172" s="179">
        <f ca="1">IF(ISNUMBER(MATCH(DATEVALUE($A172),'recurring1_based on steps'!AJ$1:AJ$400,0)),AJ$2,)</f>
        <v>0</v>
      </c>
      <c r="AK172" s="179">
        <f ca="1">IF(ISNUMBER(MATCH(DATEVALUE($A172),'recurring1_based on steps'!AK$1:AK$400,0)),AK$2,)</f>
        <v>0</v>
      </c>
      <c r="AL172" s="179">
        <f ca="1">IF(ISNUMBER(MATCH(DATEVALUE($A172),'recurring1_based on steps'!AL$1:AL$400,0)),AL$2,)</f>
        <v>0</v>
      </c>
      <c r="AM172" s="179">
        <f ca="1">IF(ISNUMBER(MATCH(DATEVALUE($A172),'recurring1_based on steps'!AM$1:AM$400,0)),AM$2,)</f>
        <v>0</v>
      </c>
      <c r="AN172" s="179">
        <f ca="1">IF(ISNUMBER(MATCH(DATEVALUE($A172),'recurring1_based on steps'!AN$1:AN$400,0)),AN$2,)</f>
        <v>0</v>
      </c>
      <c r="AO172" s="179">
        <f ca="1">IF(ISNUMBER(MATCH(DATEVALUE($A172),'recurring1_based on steps'!AO$1:AO$400,0)),AO$2,)</f>
        <v>0</v>
      </c>
      <c r="AP172" s="179">
        <f ca="1">IF(ISNUMBER(MATCH(DATEVALUE($A172),'recurring1_based on steps'!AP$1:AP$400,0)),AP$2,)</f>
        <v>0</v>
      </c>
      <c r="AQ172" s="179">
        <f ca="1">IF(ISNUMBER(MATCH(DATEVALUE($A172),'recurring1_based on steps'!AQ$1:AQ$400,0)),AQ$2,)</f>
        <v>0</v>
      </c>
      <c r="AR172" s="179">
        <f ca="1">IF(ISNUMBER(MATCH(DATEVALUE($A172),'recurring1_based on steps'!AR$1:AR$400,0)),AR$2,)</f>
        <v>0</v>
      </c>
      <c r="AS172" s="179">
        <f ca="1">IF(ISNUMBER(MATCH(DATEVALUE($A172),'recurring1_based on steps'!AS$1:AS$400,0)),AS$2,)</f>
        <v>0</v>
      </c>
      <c r="AT172" s="179">
        <f ca="1">IF(ISNUMBER(MATCH(DATEVALUE($A172),'recurring1_based on steps'!AT$1:AT$400,0)),AT$2,)</f>
        <v>0</v>
      </c>
      <c r="AU172" s="179">
        <f ca="1">IF(ISNUMBER(MATCH(DATEVALUE($A172),'recurring1_based on steps'!AU$1:AU$400,0)),AU$2,)</f>
        <v>0</v>
      </c>
      <c r="AV172" s="179">
        <f ca="1">IF(ISNUMBER(MATCH(DATEVALUE($A172),'recurring1_based on steps'!AV$1:AV$400,0)),AV$2,)</f>
        <v>0</v>
      </c>
      <c r="AW172" s="179">
        <f ca="1">IF(ISNUMBER(MATCH(DATEVALUE($A172),'recurring1_based on steps'!AW$1:AW$400,0)),AW$2,)</f>
        <v>0</v>
      </c>
      <c r="AX172" s="179">
        <f ca="1">IF(ISNUMBER(MATCH(DATEVALUE($A172),'recurring1_based on steps'!AX$1:AX$400,0)),AX$2,)</f>
        <v>0</v>
      </c>
      <c r="AY172" s="179">
        <f ca="1">IF(ISNUMBER(MATCH(DATEVALUE($A172),'recurring1_based on steps'!AY$1:AY$400,0)),AY$2,)</f>
        <v>0</v>
      </c>
    </row>
    <row r="173" spans="1:51" x14ac:dyDescent="0.2">
      <c r="A173" s="32" t="str">
        <f t="shared" ca="1" si="2"/>
        <v>2025-09-15</v>
      </c>
      <c r="B173" s="179">
        <f ca="1">IF(ISNUMBER(MATCH(DATEVALUE($A173),'recurring1_based on steps'!B$1:B$400,0)),B$2,)</f>
        <v>0</v>
      </c>
      <c r="C173" s="179">
        <f ca="1">IF(ISNUMBER(MATCH(DATEVALUE($A173),'recurring1_based on steps'!C$1:C$400,0)),C$2,)</f>
        <v>0</v>
      </c>
      <c r="D173" s="179">
        <f ca="1">IF(ISNUMBER(MATCH(DATEVALUE($A173),'recurring1_based on steps'!D$1:D$400,0)),D$2,)</f>
        <v>0</v>
      </c>
      <c r="E173" s="179">
        <f ca="1">IF(ISNUMBER(MATCH(DATEVALUE($A173),'recurring1_based on steps'!E$1:E$400,0)),E$2,)</f>
        <v>0</v>
      </c>
      <c r="F173" s="179">
        <f ca="1">IF(ISNUMBER(MATCH(DATEVALUE($A173),'recurring1_based on steps'!F$1:F$400,0)),F$2,)</f>
        <v>0</v>
      </c>
      <c r="G173" s="179">
        <f ca="1">IF(ISNUMBER(MATCH(DATEVALUE($A173),'recurring1_based on steps'!G$1:G$400,0)),G$2,)</f>
        <v>0</v>
      </c>
      <c r="H173" s="179">
        <f ca="1">IF(ISNUMBER(MATCH(DATEVALUE($A173),'recurring1_based on steps'!H$1:H$400,0)),H$2,)</f>
        <v>0</v>
      </c>
      <c r="I173" s="179">
        <f ca="1">IF(ISNUMBER(MATCH(DATEVALUE($A173),'recurring1_based on steps'!I$1:I$400,0)),I$2,)</f>
        <v>0</v>
      </c>
      <c r="J173" s="179">
        <f ca="1">IF(ISNUMBER(MATCH(DATEVALUE($A173),'recurring1_based on steps'!J$1:J$400,0)),J$2,)</f>
        <v>0</v>
      </c>
      <c r="K173" s="179">
        <f ca="1">IF(ISNUMBER(MATCH(DATEVALUE($A173),'recurring1_based on steps'!K$1:K$400,0)),K$2,)</f>
        <v>0</v>
      </c>
      <c r="L173" s="179">
        <f ca="1">IF(ISNUMBER(MATCH(DATEVALUE($A173),'recurring1_based on steps'!L$1:L$400,0)),L$2,)</f>
        <v>0</v>
      </c>
      <c r="M173" s="179">
        <f ca="1">IF(ISNUMBER(MATCH(DATEVALUE($A173),'recurring1_based on steps'!M$1:M$400,0)),M$2,)</f>
        <v>0</v>
      </c>
      <c r="N173" s="179">
        <f ca="1">IF(ISNUMBER(MATCH(DATEVALUE($A173),'recurring1_based on steps'!N$1:N$400,0)),N$2,)</f>
        <v>0</v>
      </c>
      <c r="O173" s="179">
        <f ca="1">IF(ISNUMBER(MATCH(DATEVALUE($A173),'recurring1_based on steps'!O$1:O$400,0)),O$2,)</f>
        <v>0</v>
      </c>
      <c r="P173" s="179">
        <f ca="1">IF(ISNUMBER(MATCH(DATEVALUE($A173),'recurring1_based on steps'!P$1:P$400,0)),P$2,)</f>
        <v>0</v>
      </c>
      <c r="Q173" s="179">
        <f ca="1">IF(ISNUMBER(MATCH(DATEVALUE($A173),'recurring1_based on steps'!Q$1:Q$400,0)),Q$2,)</f>
        <v>0</v>
      </c>
      <c r="R173" s="179">
        <f ca="1">IF(ISNUMBER(MATCH(DATEVALUE($A173),'recurring1_based on steps'!R$1:R$400,0)),R$2,)</f>
        <v>0</v>
      </c>
      <c r="S173" s="179">
        <f ca="1">IF(ISNUMBER(MATCH(DATEVALUE($A173),'recurring1_based on steps'!S$1:S$400,0)),S$2,)</f>
        <v>0</v>
      </c>
      <c r="T173" s="179">
        <f ca="1">IF(ISNUMBER(MATCH(DATEVALUE($A173),'recurring1_based on steps'!T$1:T$400,0)),T$2,)</f>
        <v>0</v>
      </c>
      <c r="U173" s="179">
        <f ca="1">IF(ISNUMBER(MATCH(DATEVALUE($A173),'recurring1_based on steps'!U$1:U$400,0)),U$2,)</f>
        <v>0</v>
      </c>
      <c r="V173" s="179">
        <f ca="1">IF(ISNUMBER(MATCH(DATEVALUE($A173),'recurring1_based on steps'!V$1:V$400,0)),V$2,)</f>
        <v>0</v>
      </c>
      <c r="W173" s="179">
        <f ca="1">IF(ISNUMBER(MATCH(DATEVALUE($A173),'recurring1_based on steps'!W$1:W$400,0)),W$2,)</f>
        <v>0</v>
      </c>
      <c r="X173" s="179">
        <f ca="1">IF(ISNUMBER(MATCH(DATEVALUE($A173),'recurring1_based on steps'!X$1:X$400,0)),X$2,)</f>
        <v>0</v>
      </c>
      <c r="Y173" s="179">
        <f ca="1">IF(ISNUMBER(MATCH(DATEVALUE($A173),'recurring1_based on steps'!Y$1:Y$400,0)),Y$2,)</f>
        <v>0</v>
      </c>
      <c r="Z173" s="179">
        <f ca="1">IF(ISNUMBER(MATCH(DATEVALUE($A173),'recurring1_based on steps'!Z$1:Z$400,0)),Z$2,)</f>
        <v>0</v>
      </c>
      <c r="AA173" s="179">
        <f ca="1">IF(ISNUMBER(MATCH(DATEVALUE($A173),'recurring1_based on steps'!AA$1:AA$400,0)),AA$2,)</f>
        <v>0</v>
      </c>
      <c r="AB173" s="179">
        <f ca="1">IF(ISNUMBER(MATCH(DATEVALUE($A173),'recurring1_based on steps'!AB$1:AB$400,0)),AB$2,)</f>
        <v>0</v>
      </c>
      <c r="AC173" s="179">
        <f ca="1">IF(ISNUMBER(MATCH(DATEVALUE($A173),'recurring1_based on steps'!AC$1:AC$400,0)),AC$2,)</f>
        <v>0</v>
      </c>
      <c r="AD173" s="179">
        <f ca="1">IF(ISNUMBER(MATCH(DATEVALUE($A173),'recurring1_based on steps'!AD$1:AD$400,0)),AD$2,)</f>
        <v>0</v>
      </c>
      <c r="AE173" s="179">
        <f ca="1">IF(ISNUMBER(MATCH(DATEVALUE($A173),'recurring1_based on steps'!AE$1:AE$400,0)),AE$2,)</f>
        <v>0</v>
      </c>
      <c r="AF173" s="179">
        <f ca="1">IF(ISNUMBER(MATCH(DATEVALUE($A173),'recurring1_based on steps'!AF$1:AF$400,0)),AF$2,)</f>
        <v>0</v>
      </c>
      <c r="AG173" s="179">
        <f ca="1">IF(ISNUMBER(MATCH(DATEVALUE($A173),'recurring1_based on steps'!AG$1:AG$400,0)),AG$2,)</f>
        <v>0</v>
      </c>
      <c r="AH173" s="179">
        <f ca="1">IF(ISNUMBER(MATCH(DATEVALUE($A173),'recurring1_based on steps'!AH$1:AH$400,0)),AH$2,)</f>
        <v>0</v>
      </c>
      <c r="AI173" s="179">
        <f ca="1">IF(ISNUMBER(MATCH(DATEVALUE($A173),'recurring1_based on steps'!AI$1:AI$400,0)),AI$2,)</f>
        <v>0</v>
      </c>
      <c r="AJ173" s="179">
        <f ca="1">IF(ISNUMBER(MATCH(DATEVALUE($A173),'recurring1_based on steps'!AJ$1:AJ$400,0)),AJ$2,)</f>
        <v>0</v>
      </c>
      <c r="AK173" s="179">
        <f ca="1">IF(ISNUMBER(MATCH(DATEVALUE($A173),'recurring1_based on steps'!AK$1:AK$400,0)),AK$2,)</f>
        <v>0</v>
      </c>
      <c r="AL173" s="179">
        <f ca="1">IF(ISNUMBER(MATCH(DATEVALUE($A173),'recurring1_based on steps'!AL$1:AL$400,0)),AL$2,)</f>
        <v>0</v>
      </c>
      <c r="AM173" s="179">
        <f ca="1">IF(ISNUMBER(MATCH(DATEVALUE($A173),'recurring1_based on steps'!AM$1:AM$400,0)),AM$2,)</f>
        <v>0</v>
      </c>
      <c r="AN173" s="179">
        <f ca="1">IF(ISNUMBER(MATCH(DATEVALUE($A173),'recurring1_based on steps'!AN$1:AN$400,0)),AN$2,)</f>
        <v>0</v>
      </c>
      <c r="AO173" s="179">
        <f ca="1">IF(ISNUMBER(MATCH(DATEVALUE($A173),'recurring1_based on steps'!AO$1:AO$400,0)),AO$2,)</f>
        <v>0</v>
      </c>
      <c r="AP173" s="179">
        <f ca="1">IF(ISNUMBER(MATCH(DATEVALUE($A173),'recurring1_based on steps'!AP$1:AP$400,0)),AP$2,)</f>
        <v>0</v>
      </c>
      <c r="AQ173" s="179">
        <f ca="1">IF(ISNUMBER(MATCH(DATEVALUE($A173),'recurring1_based on steps'!AQ$1:AQ$400,0)),AQ$2,)</f>
        <v>0</v>
      </c>
      <c r="AR173" s="179">
        <f ca="1">IF(ISNUMBER(MATCH(DATEVALUE($A173),'recurring1_based on steps'!AR$1:AR$400,0)),AR$2,)</f>
        <v>0</v>
      </c>
      <c r="AS173" s="179">
        <f ca="1">IF(ISNUMBER(MATCH(DATEVALUE($A173),'recurring1_based on steps'!AS$1:AS$400,0)),AS$2,)</f>
        <v>0</v>
      </c>
      <c r="AT173" s="179">
        <f ca="1">IF(ISNUMBER(MATCH(DATEVALUE($A173),'recurring1_based on steps'!AT$1:AT$400,0)),AT$2,)</f>
        <v>0</v>
      </c>
      <c r="AU173" s="179">
        <f ca="1">IF(ISNUMBER(MATCH(DATEVALUE($A173),'recurring1_based on steps'!AU$1:AU$400,0)),AU$2,)</f>
        <v>0</v>
      </c>
      <c r="AV173" s="179">
        <f ca="1">IF(ISNUMBER(MATCH(DATEVALUE($A173),'recurring1_based on steps'!AV$1:AV$400,0)),AV$2,)</f>
        <v>0</v>
      </c>
      <c r="AW173" s="179">
        <f ca="1">IF(ISNUMBER(MATCH(DATEVALUE($A173),'recurring1_based on steps'!AW$1:AW$400,0)),AW$2,)</f>
        <v>0</v>
      </c>
      <c r="AX173" s="179">
        <f ca="1">IF(ISNUMBER(MATCH(DATEVALUE($A173),'recurring1_based on steps'!AX$1:AX$400,0)),AX$2,)</f>
        <v>0</v>
      </c>
      <c r="AY173" s="179">
        <f ca="1">IF(ISNUMBER(MATCH(DATEVALUE($A173),'recurring1_based on steps'!AY$1:AY$400,0)),AY$2,)</f>
        <v>0</v>
      </c>
    </row>
    <row r="174" spans="1:51" x14ac:dyDescent="0.2">
      <c r="A174" s="32" t="str">
        <f t="shared" ca="1" si="2"/>
        <v>2025-09-16</v>
      </c>
      <c r="B174" s="179">
        <f ca="1">IF(ISNUMBER(MATCH(DATEVALUE($A174),'recurring1_based on steps'!B$1:B$400,0)),B$2,)</f>
        <v>0</v>
      </c>
      <c r="C174" s="179">
        <f ca="1">IF(ISNUMBER(MATCH(DATEVALUE($A174),'recurring1_based on steps'!C$1:C$400,0)),C$2,)</f>
        <v>0</v>
      </c>
      <c r="D174" s="179">
        <f ca="1">IF(ISNUMBER(MATCH(DATEVALUE($A174),'recurring1_based on steps'!D$1:D$400,0)),D$2,)</f>
        <v>0</v>
      </c>
      <c r="E174" s="179">
        <f ca="1">IF(ISNUMBER(MATCH(DATEVALUE($A174),'recurring1_based on steps'!E$1:E$400,0)),E$2,)</f>
        <v>0</v>
      </c>
      <c r="F174" s="179">
        <f ca="1">IF(ISNUMBER(MATCH(DATEVALUE($A174),'recurring1_based on steps'!F$1:F$400,0)),F$2,)</f>
        <v>0</v>
      </c>
      <c r="G174" s="179">
        <f ca="1">IF(ISNUMBER(MATCH(DATEVALUE($A174),'recurring1_based on steps'!G$1:G$400,0)),G$2,)</f>
        <v>0</v>
      </c>
      <c r="H174" s="179">
        <f ca="1">IF(ISNUMBER(MATCH(DATEVALUE($A174),'recurring1_based on steps'!H$1:H$400,0)),H$2,)</f>
        <v>0</v>
      </c>
      <c r="I174" s="179">
        <f ca="1">IF(ISNUMBER(MATCH(DATEVALUE($A174),'recurring1_based on steps'!I$1:I$400,0)),I$2,)</f>
        <v>0</v>
      </c>
      <c r="J174" s="179">
        <f ca="1">IF(ISNUMBER(MATCH(DATEVALUE($A174),'recurring1_based on steps'!J$1:J$400,0)),J$2,)</f>
        <v>0</v>
      </c>
      <c r="K174" s="179">
        <f ca="1">IF(ISNUMBER(MATCH(DATEVALUE($A174),'recurring1_based on steps'!K$1:K$400,0)),K$2,)</f>
        <v>0</v>
      </c>
      <c r="L174" s="179">
        <f ca="1">IF(ISNUMBER(MATCH(DATEVALUE($A174),'recurring1_based on steps'!L$1:L$400,0)),L$2,)</f>
        <v>0</v>
      </c>
      <c r="M174" s="179">
        <f ca="1">IF(ISNUMBER(MATCH(DATEVALUE($A174),'recurring1_based on steps'!M$1:M$400,0)),M$2,)</f>
        <v>0</v>
      </c>
      <c r="N174" s="179">
        <f ca="1">IF(ISNUMBER(MATCH(DATEVALUE($A174),'recurring1_based on steps'!N$1:N$400,0)),N$2,)</f>
        <v>0</v>
      </c>
      <c r="O174" s="179">
        <f ca="1">IF(ISNUMBER(MATCH(DATEVALUE($A174),'recurring1_based on steps'!O$1:O$400,0)),O$2,)</f>
        <v>0</v>
      </c>
      <c r="P174" s="179">
        <f ca="1">IF(ISNUMBER(MATCH(DATEVALUE($A174),'recurring1_based on steps'!P$1:P$400,0)),P$2,)</f>
        <v>0</v>
      </c>
      <c r="Q174" s="179">
        <f ca="1">IF(ISNUMBER(MATCH(DATEVALUE($A174),'recurring1_based on steps'!Q$1:Q$400,0)),Q$2,)</f>
        <v>0</v>
      </c>
      <c r="R174" s="179">
        <f ca="1">IF(ISNUMBER(MATCH(DATEVALUE($A174),'recurring1_based on steps'!R$1:R$400,0)),R$2,)</f>
        <v>0</v>
      </c>
      <c r="S174" s="179">
        <f ca="1">IF(ISNUMBER(MATCH(DATEVALUE($A174),'recurring1_based on steps'!S$1:S$400,0)),S$2,)</f>
        <v>0</v>
      </c>
      <c r="T174" s="179">
        <f ca="1">IF(ISNUMBER(MATCH(DATEVALUE($A174),'recurring1_based on steps'!T$1:T$400,0)),T$2,)</f>
        <v>0</v>
      </c>
      <c r="U174" s="179">
        <f ca="1">IF(ISNUMBER(MATCH(DATEVALUE($A174),'recurring1_based on steps'!U$1:U$400,0)),U$2,)</f>
        <v>0</v>
      </c>
      <c r="V174" s="179">
        <f ca="1">IF(ISNUMBER(MATCH(DATEVALUE($A174),'recurring1_based on steps'!V$1:V$400,0)),V$2,)</f>
        <v>0</v>
      </c>
      <c r="W174" s="179">
        <f ca="1">IF(ISNUMBER(MATCH(DATEVALUE($A174),'recurring1_based on steps'!W$1:W$400,0)),W$2,)</f>
        <v>0</v>
      </c>
      <c r="X174" s="179">
        <f ca="1">IF(ISNUMBER(MATCH(DATEVALUE($A174),'recurring1_based on steps'!X$1:X$400,0)),X$2,)</f>
        <v>0</v>
      </c>
      <c r="Y174" s="179">
        <f ca="1">IF(ISNUMBER(MATCH(DATEVALUE($A174),'recurring1_based on steps'!Y$1:Y$400,0)),Y$2,)</f>
        <v>0</v>
      </c>
      <c r="Z174" s="179">
        <f ca="1">IF(ISNUMBER(MATCH(DATEVALUE($A174),'recurring1_based on steps'!Z$1:Z$400,0)),Z$2,)</f>
        <v>0</v>
      </c>
      <c r="AA174" s="179">
        <f ca="1">IF(ISNUMBER(MATCH(DATEVALUE($A174),'recurring1_based on steps'!AA$1:AA$400,0)),AA$2,)</f>
        <v>0</v>
      </c>
      <c r="AB174" s="179">
        <f ca="1">IF(ISNUMBER(MATCH(DATEVALUE($A174),'recurring1_based on steps'!AB$1:AB$400,0)),AB$2,)</f>
        <v>0</v>
      </c>
      <c r="AC174" s="179">
        <f ca="1">IF(ISNUMBER(MATCH(DATEVALUE($A174),'recurring1_based on steps'!AC$1:AC$400,0)),AC$2,)</f>
        <v>0</v>
      </c>
      <c r="AD174" s="179">
        <f ca="1">IF(ISNUMBER(MATCH(DATEVALUE($A174),'recurring1_based on steps'!AD$1:AD$400,0)),AD$2,)</f>
        <v>0</v>
      </c>
      <c r="AE174" s="179">
        <f ca="1">IF(ISNUMBER(MATCH(DATEVALUE($A174),'recurring1_based on steps'!AE$1:AE$400,0)),AE$2,)</f>
        <v>0</v>
      </c>
      <c r="AF174" s="179">
        <f ca="1">IF(ISNUMBER(MATCH(DATEVALUE($A174),'recurring1_based on steps'!AF$1:AF$400,0)),AF$2,)</f>
        <v>0</v>
      </c>
      <c r="AG174" s="179">
        <f ca="1">IF(ISNUMBER(MATCH(DATEVALUE($A174),'recurring1_based on steps'!AG$1:AG$400,0)),AG$2,)</f>
        <v>0</v>
      </c>
      <c r="AH174" s="179">
        <f ca="1">IF(ISNUMBER(MATCH(DATEVALUE($A174),'recurring1_based on steps'!AH$1:AH$400,0)),AH$2,)</f>
        <v>0</v>
      </c>
      <c r="AI174" s="179">
        <f ca="1">IF(ISNUMBER(MATCH(DATEVALUE($A174),'recurring1_based on steps'!AI$1:AI$400,0)),AI$2,)</f>
        <v>0</v>
      </c>
      <c r="AJ174" s="179">
        <f ca="1">IF(ISNUMBER(MATCH(DATEVALUE($A174),'recurring1_based on steps'!AJ$1:AJ$400,0)),AJ$2,)</f>
        <v>0</v>
      </c>
      <c r="AK174" s="179">
        <f ca="1">IF(ISNUMBER(MATCH(DATEVALUE($A174),'recurring1_based on steps'!AK$1:AK$400,0)),AK$2,)</f>
        <v>0</v>
      </c>
      <c r="AL174" s="179">
        <f ca="1">IF(ISNUMBER(MATCH(DATEVALUE($A174),'recurring1_based on steps'!AL$1:AL$400,0)),AL$2,)</f>
        <v>0</v>
      </c>
      <c r="AM174" s="179">
        <f ca="1">IF(ISNUMBER(MATCH(DATEVALUE($A174),'recurring1_based on steps'!AM$1:AM$400,0)),AM$2,)</f>
        <v>0</v>
      </c>
      <c r="AN174" s="179">
        <f ca="1">IF(ISNUMBER(MATCH(DATEVALUE($A174),'recurring1_based on steps'!AN$1:AN$400,0)),AN$2,)</f>
        <v>0</v>
      </c>
      <c r="AO174" s="179">
        <f ca="1">IF(ISNUMBER(MATCH(DATEVALUE($A174),'recurring1_based on steps'!AO$1:AO$400,0)),AO$2,)</f>
        <v>0</v>
      </c>
      <c r="AP174" s="179">
        <f ca="1">IF(ISNUMBER(MATCH(DATEVALUE($A174),'recurring1_based on steps'!AP$1:AP$400,0)),AP$2,)</f>
        <v>0</v>
      </c>
      <c r="AQ174" s="179">
        <f ca="1">IF(ISNUMBER(MATCH(DATEVALUE($A174),'recurring1_based on steps'!AQ$1:AQ$400,0)),AQ$2,)</f>
        <v>0</v>
      </c>
      <c r="AR174" s="179">
        <f ca="1">IF(ISNUMBER(MATCH(DATEVALUE($A174),'recurring1_based on steps'!AR$1:AR$400,0)),AR$2,)</f>
        <v>0</v>
      </c>
      <c r="AS174" s="179">
        <f ca="1">IF(ISNUMBER(MATCH(DATEVALUE($A174),'recurring1_based on steps'!AS$1:AS$400,0)),AS$2,)</f>
        <v>0</v>
      </c>
      <c r="AT174" s="179">
        <f ca="1">IF(ISNUMBER(MATCH(DATEVALUE($A174),'recurring1_based on steps'!AT$1:AT$400,0)),AT$2,)</f>
        <v>0</v>
      </c>
      <c r="AU174" s="179">
        <f ca="1">IF(ISNUMBER(MATCH(DATEVALUE($A174),'recurring1_based on steps'!AU$1:AU$400,0)),AU$2,)</f>
        <v>0</v>
      </c>
      <c r="AV174" s="179">
        <f ca="1">IF(ISNUMBER(MATCH(DATEVALUE($A174),'recurring1_based on steps'!AV$1:AV$400,0)),AV$2,)</f>
        <v>0</v>
      </c>
      <c r="AW174" s="179">
        <f ca="1">IF(ISNUMBER(MATCH(DATEVALUE($A174),'recurring1_based on steps'!AW$1:AW$400,0)),AW$2,)</f>
        <v>0</v>
      </c>
      <c r="AX174" s="179">
        <f ca="1">IF(ISNUMBER(MATCH(DATEVALUE($A174),'recurring1_based on steps'!AX$1:AX$400,0)),AX$2,)</f>
        <v>0</v>
      </c>
      <c r="AY174" s="179">
        <f ca="1">IF(ISNUMBER(MATCH(DATEVALUE($A174),'recurring1_based on steps'!AY$1:AY$400,0)),AY$2,)</f>
        <v>0</v>
      </c>
    </row>
    <row r="175" spans="1:51" x14ac:dyDescent="0.2">
      <c r="A175" s="32" t="str">
        <f t="shared" ca="1" si="2"/>
        <v>2025-09-17</v>
      </c>
      <c r="B175" s="179">
        <f ca="1">IF(ISNUMBER(MATCH(DATEVALUE($A175),'recurring1_based on steps'!B$1:B$400,0)),B$2,)</f>
        <v>0</v>
      </c>
      <c r="C175" s="179">
        <f ca="1">IF(ISNUMBER(MATCH(DATEVALUE($A175),'recurring1_based on steps'!C$1:C$400,0)),C$2,)</f>
        <v>0</v>
      </c>
      <c r="D175" s="179">
        <f ca="1">IF(ISNUMBER(MATCH(DATEVALUE($A175),'recurring1_based on steps'!D$1:D$400,0)),D$2,)</f>
        <v>0</v>
      </c>
      <c r="E175" s="179">
        <f ca="1">IF(ISNUMBER(MATCH(DATEVALUE($A175),'recurring1_based on steps'!E$1:E$400,0)),E$2,)</f>
        <v>0</v>
      </c>
      <c r="F175" s="179">
        <f ca="1">IF(ISNUMBER(MATCH(DATEVALUE($A175),'recurring1_based on steps'!F$1:F$400,0)),F$2,)</f>
        <v>0</v>
      </c>
      <c r="G175" s="179">
        <f ca="1">IF(ISNUMBER(MATCH(DATEVALUE($A175),'recurring1_based on steps'!G$1:G$400,0)),G$2,)</f>
        <v>0</v>
      </c>
      <c r="H175" s="179">
        <f ca="1">IF(ISNUMBER(MATCH(DATEVALUE($A175),'recurring1_based on steps'!H$1:H$400,0)),H$2,)</f>
        <v>0</v>
      </c>
      <c r="I175" s="179">
        <f ca="1">IF(ISNUMBER(MATCH(DATEVALUE($A175),'recurring1_based on steps'!I$1:I$400,0)),I$2,)</f>
        <v>0</v>
      </c>
      <c r="J175" s="179">
        <f ca="1">IF(ISNUMBER(MATCH(DATEVALUE($A175),'recurring1_based on steps'!J$1:J$400,0)),J$2,)</f>
        <v>0</v>
      </c>
      <c r="K175" s="179">
        <f ca="1">IF(ISNUMBER(MATCH(DATEVALUE($A175),'recurring1_based on steps'!K$1:K$400,0)),K$2,)</f>
        <v>0</v>
      </c>
      <c r="L175" s="179">
        <f ca="1">IF(ISNUMBER(MATCH(DATEVALUE($A175),'recurring1_based on steps'!L$1:L$400,0)),L$2,)</f>
        <v>0</v>
      </c>
      <c r="M175" s="179">
        <f ca="1">IF(ISNUMBER(MATCH(DATEVALUE($A175),'recurring1_based on steps'!M$1:M$400,0)),M$2,)</f>
        <v>0</v>
      </c>
      <c r="N175" s="179">
        <f ca="1">IF(ISNUMBER(MATCH(DATEVALUE($A175),'recurring1_based on steps'!N$1:N$400,0)),N$2,)</f>
        <v>0</v>
      </c>
      <c r="O175" s="179">
        <f ca="1">IF(ISNUMBER(MATCH(DATEVALUE($A175),'recurring1_based on steps'!O$1:O$400,0)),O$2,)</f>
        <v>0</v>
      </c>
      <c r="P175" s="179">
        <f ca="1">IF(ISNUMBER(MATCH(DATEVALUE($A175),'recurring1_based on steps'!P$1:P$400,0)),P$2,)</f>
        <v>0</v>
      </c>
      <c r="Q175" s="179">
        <f ca="1">IF(ISNUMBER(MATCH(DATEVALUE($A175),'recurring1_based on steps'!Q$1:Q$400,0)),Q$2,)</f>
        <v>0</v>
      </c>
      <c r="R175" s="179">
        <f ca="1">IF(ISNUMBER(MATCH(DATEVALUE($A175),'recurring1_based on steps'!R$1:R$400,0)),R$2,)</f>
        <v>0</v>
      </c>
      <c r="S175" s="179">
        <f ca="1">IF(ISNUMBER(MATCH(DATEVALUE($A175),'recurring1_based on steps'!S$1:S$400,0)),S$2,)</f>
        <v>0</v>
      </c>
      <c r="T175" s="179">
        <f ca="1">IF(ISNUMBER(MATCH(DATEVALUE($A175),'recurring1_based on steps'!T$1:T$400,0)),T$2,)</f>
        <v>0</v>
      </c>
      <c r="U175" s="179">
        <f ca="1">IF(ISNUMBER(MATCH(DATEVALUE($A175),'recurring1_based on steps'!U$1:U$400,0)),U$2,)</f>
        <v>0</v>
      </c>
      <c r="V175" s="179">
        <f ca="1">IF(ISNUMBER(MATCH(DATEVALUE($A175),'recurring1_based on steps'!V$1:V$400,0)),V$2,)</f>
        <v>0</v>
      </c>
      <c r="W175" s="179">
        <f ca="1">IF(ISNUMBER(MATCH(DATEVALUE($A175),'recurring1_based on steps'!W$1:W$400,0)),W$2,)</f>
        <v>0</v>
      </c>
      <c r="X175" s="179">
        <f ca="1">IF(ISNUMBER(MATCH(DATEVALUE($A175),'recurring1_based on steps'!X$1:X$400,0)),X$2,)</f>
        <v>0</v>
      </c>
      <c r="Y175" s="179">
        <f ca="1">IF(ISNUMBER(MATCH(DATEVALUE($A175),'recurring1_based on steps'!Y$1:Y$400,0)),Y$2,)</f>
        <v>0</v>
      </c>
      <c r="Z175" s="179">
        <f ca="1">IF(ISNUMBER(MATCH(DATEVALUE($A175),'recurring1_based on steps'!Z$1:Z$400,0)),Z$2,)</f>
        <v>0</v>
      </c>
      <c r="AA175" s="179">
        <f ca="1">IF(ISNUMBER(MATCH(DATEVALUE($A175),'recurring1_based on steps'!AA$1:AA$400,0)),AA$2,)</f>
        <v>0</v>
      </c>
      <c r="AB175" s="179">
        <f ca="1">IF(ISNUMBER(MATCH(DATEVALUE($A175),'recurring1_based on steps'!AB$1:AB$400,0)),AB$2,)</f>
        <v>0</v>
      </c>
      <c r="AC175" s="179">
        <f ca="1">IF(ISNUMBER(MATCH(DATEVALUE($A175),'recurring1_based on steps'!AC$1:AC$400,0)),AC$2,)</f>
        <v>0</v>
      </c>
      <c r="AD175" s="179">
        <f ca="1">IF(ISNUMBER(MATCH(DATEVALUE($A175),'recurring1_based on steps'!AD$1:AD$400,0)),AD$2,)</f>
        <v>0</v>
      </c>
      <c r="AE175" s="179">
        <f ca="1">IF(ISNUMBER(MATCH(DATEVALUE($A175),'recurring1_based on steps'!AE$1:AE$400,0)),AE$2,)</f>
        <v>0</v>
      </c>
      <c r="AF175" s="179">
        <f ca="1">IF(ISNUMBER(MATCH(DATEVALUE($A175),'recurring1_based on steps'!AF$1:AF$400,0)),AF$2,)</f>
        <v>0</v>
      </c>
      <c r="AG175" s="179">
        <f ca="1">IF(ISNUMBER(MATCH(DATEVALUE($A175),'recurring1_based on steps'!AG$1:AG$400,0)),AG$2,)</f>
        <v>0</v>
      </c>
      <c r="AH175" s="179">
        <f ca="1">IF(ISNUMBER(MATCH(DATEVALUE($A175),'recurring1_based on steps'!AH$1:AH$400,0)),AH$2,)</f>
        <v>0</v>
      </c>
      <c r="AI175" s="179">
        <f ca="1">IF(ISNUMBER(MATCH(DATEVALUE($A175),'recurring1_based on steps'!AI$1:AI$400,0)),AI$2,)</f>
        <v>0</v>
      </c>
      <c r="AJ175" s="179">
        <f ca="1">IF(ISNUMBER(MATCH(DATEVALUE($A175),'recurring1_based on steps'!AJ$1:AJ$400,0)),AJ$2,)</f>
        <v>0</v>
      </c>
      <c r="AK175" s="179">
        <f ca="1">IF(ISNUMBER(MATCH(DATEVALUE($A175),'recurring1_based on steps'!AK$1:AK$400,0)),AK$2,)</f>
        <v>0</v>
      </c>
      <c r="AL175" s="179">
        <f ca="1">IF(ISNUMBER(MATCH(DATEVALUE($A175),'recurring1_based on steps'!AL$1:AL$400,0)),AL$2,)</f>
        <v>0</v>
      </c>
      <c r="AM175" s="179">
        <f ca="1">IF(ISNUMBER(MATCH(DATEVALUE($A175),'recurring1_based on steps'!AM$1:AM$400,0)),AM$2,)</f>
        <v>0</v>
      </c>
      <c r="AN175" s="179">
        <f ca="1">IF(ISNUMBER(MATCH(DATEVALUE($A175),'recurring1_based on steps'!AN$1:AN$400,0)),AN$2,)</f>
        <v>0</v>
      </c>
      <c r="AO175" s="179">
        <f ca="1">IF(ISNUMBER(MATCH(DATEVALUE($A175),'recurring1_based on steps'!AO$1:AO$400,0)),AO$2,)</f>
        <v>0</v>
      </c>
      <c r="AP175" s="179">
        <f ca="1">IF(ISNUMBER(MATCH(DATEVALUE($A175),'recurring1_based on steps'!AP$1:AP$400,0)),AP$2,)</f>
        <v>0</v>
      </c>
      <c r="AQ175" s="179">
        <f ca="1">IF(ISNUMBER(MATCH(DATEVALUE($A175),'recurring1_based on steps'!AQ$1:AQ$400,0)),AQ$2,)</f>
        <v>0</v>
      </c>
      <c r="AR175" s="179">
        <f ca="1">IF(ISNUMBER(MATCH(DATEVALUE($A175),'recurring1_based on steps'!AR$1:AR$400,0)),AR$2,)</f>
        <v>0</v>
      </c>
      <c r="AS175" s="179">
        <f ca="1">IF(ISNUMBER(MATCH(DATEVALUE($A175),'recurring1_based on steps'!AS$1:AS$400,0)),AS$2,)</f>
        <v>0</v>
      </c>
      <c r="AT175" s="179">
        <f ca="1">IF(ISNUMBER(MATCH(DATEVALUE($A175),'recurring1_based on steps'!AT$1:AT$400,0)),AT$2,)</f>
        <v>0</v>
      </c>
      <c r="AU175" s="179">
        <f ca="1">IF(ISNUMBER(MATCH(DATEVALUE($A175),'recurring1_based on steps'!AU$1:AU$400,0)),AU$2,)</f>
        <v>0</v>
      </c>
      <c r="AV175" s="179">
        <f ca="1">IF(ISNUMBER(MATCH(DATEVALUE($A175),'recurring1_based on steps'!AV$1:AV$400,0)),AV$2,)</f>
        <v>0</v>
      </c>
      <c r="AW175" s="179">
        <f ca="1">IF(ISNUMBER(MATCH(DATEVALUE($A175),'recurring1_based on steps'!AW$1:AW$400,0)),AW$2,)</f>
        <v>0</v>
      </c>
      <c r="AX175" s="179">
        <f ca="1">IF(ISNUMBER(MATCH(DATEVALUE($A175),'recurring1_based on steps'!AX$1:AX$400,0)),AX$2,)</f>
        <v>0</v>
      </c>
      <c r="AY175" s="179">
        <f ca="1">IF(ISNUMBER(MATCH(DATEVALUE($A175),'recurring1_based on steps'!AY$1:AY$400,0)),AY$2,)</f>
        <v>0</v>
      </c>
    </row>
    <row r="176" spans="1:51" x14ac:dyDescent="0.2">
      <c r="A176" s="32" t="str">
        <f t="shared" ca="1" si="2"/>
        <v>2025-09-18</v>
      </c>
      <c r="B176" s="179">
        <f ca="1">IF(ISNUMBER(MATCH(DATEVALUE($A176),'recurring1_based on steps'!B$1:B$400,0)),B$2,)</f>
        <v>0</v>
      </c>
      <c r="C176" s="179">
        <f ca="1">IF(ISNUMBER(MATCH(DATEVALUE($A176),'recurring1_based on steps'!C$1:C$400,0)),C$2,)</f>
        <v>0</v>
      </c>
      <c r="D176" s="179">
        <f ca="1">IF(ISNUMBER(MATCH(DATEVALUE($A176),'recurring1_based on steps'!D$1:D$400,0)),D$2,)</f>
        <v>0</v>
      </c>
      <c r="E176" s="179">
        <f ca="1">IF(ISNUMBER(MATCH(DATEVALUE($A176),'recurring1_based on steps'!E$1:E$400,0)),E$2,)</f>
        <v>0</v>
      </c>
      <c r="F176" s="179">
        <f ca="1">IF(ISNUMBER(MATCH(DATEVALUE($A176),'recurring1_based on steps'!F$1:F$400,0)),F$2,)</f>
        <v>0</v>
      </c>
      <c r="G176" s="179">
        <f ca="1">IF(ISNUMBER(MATCH(DATEVALUE($A176),'recurring1_based on steps'!G$1:G$400,0)),G$2,)</f>
        <v>0</v>
      </c>
      <c r="H176" s="179">
        <f ca="1">IF(ISNUMBER(MATCH(DATEVALUE($A176),'recurring1_based on steps'!H$1:H$400,0)),H$2,)</f>
        <v>0</v>
      </c>
      <c r="I176" s="179">
        <f ca="1">IF(ISNUMBER(MATCH(DATEVALUE($A176),'recurring1_based on steps'!I$1:I$400,0)),I$2,)</f>
        <v>0</v>
      </c>
      <c r="J176" s="179">
        <f ca="1">IF(ISNUMBER(MATCH(DATEVALUE($A176),'recurring1_based on steps'!J$1:J$400,0)),J$2,)</f>
        <v>0</v>
      </c>
      <c r="K176" s="179">
        <f ca="1">IF(ISNUMBER(MATCH(DATEVALUE($A176),'recurring1_based on steps'!K$1:K$400,0)),K$2,)</f>
        <v>0</v>
      </c>
      <c r="L176" s="179">
        <f ca="1">IF(ISNUMBER(MATCH(DATEVALUE($A176),'recurring1_based on steps'!L$1:L$400,0)),L$2,)</f>
        <v>0</v>
      </c>
      <c r="M176" s="179">
        <f ca="1">IF(ISNUMBER(MATCH(DATEVALUE($A176),'recurring1_based on steps'!M$1:M$400,0)),M$2,)</f>
        <v>0</v>
      </c>
      <c r="N176" s="179">
        <f ca="1">IF(ISNUMBER(MATCH(DATEVALUE($A176),'recurring1_based on steps'!N$1:N$400,0)),N$2,)</f>
        <v>0</v>
      </c>
      <c r="O176" s="179">
        <f ca="1">IF(ISNUMBER(MATCH(DATEVALUE($A176),'recurring1_based on steps'!O$1:O$400,0)),O$2,)</f>
        <v>0</v>
      </c>
      <c r="P176" s="179">
        <f ca="1">IF(ISNUMBER(MATCH(DATEVALUE($A176),'recurring1_based on steps'!P$1:P$400,0)),P$2,)</f>
        <v>0</v>
      </c>
      <c r="Q176" s="179">
        <f ca="1">IF(ISNUMBER(MATCH(DATEVALUE($A176),'recurring1_based on steps'!Q$1:Q$400,0)),Q$2,)</f>
        <v>0</v>
      </c>
      <c r="R176" s="179">
        <f ca="1">IF(ISNUMBER(MATCH(DATEVALUE($A176),'recurring1_based on steps'!R$1:R$400,0)),R$2,)</f>
        <v>0</v>
      </c>
      <c r="S176" s="179">
        <f ca="1">IF(ISNUMBER(MATCH(DATEVALUE($A176),'recurring1_based on steps'!S$1:S$400,0)),S$2,)</f>
        <v>0</v>
      </c>
      <c r="T176" s="179">
        <f ca="1">IF(ISNUMBER(MATCH(DATEVALUE($A176),'recurring1_based on steps'!T$1:T$400,0)),T$2,)</f>
        <v>0</v>
      </c>
      <c r="U176" s="179">
        <f ca="1">IF(ISNUMBER(MATCH(DATEVALUE($A176),'recurring1_based on steps'!U$1:U$400,0)),U$2,)</f>
        <v>0</v>
      </c>
      <c r="V176" s="179">
        <f ca="1">IF(ISNUMBER(MATCH(DATEVALUE($A176),'recurring1_based on steps'!V$1:V$400,0)),V$2,)</f>
        <v>0</v>
      </c>
      <c r="W176" s="179">
        <f ca="1">IF(ISNUMBER(MATCH(DATEVALUE($A176),'recurring1_based on steps'!W$1:W$400,0)),W$2,)</f>
        <v>0</v>
      </c>
      <c r="X176" s="179">
        <f ca="1">IF(ISNUMBER(MATCH(DATEVALUE($A176),'recurring1_based on steps'!X$1:X$400,0)),X$2,)</f>
        <v>0</v>
      </c>
      <c r="Y176" s="179">
        <f ca="1">IF(ISNUMBER(MATCH(DATEVALUE($A176),'recurring1_based on steps'!Y$1:Y$400,0)),Y$2,)</f>
        <v>0</v>
      </c>
      <c r="Z176" s="179">
        <f ca="1">IF(ISNUMBER(MATCH(DATEVALUE($A176),'recurring1_based on steps'!Z$1:Z$400,0)),Z$2,)</f>
        <v>0</v>
      </c>
      <c r="AA176" s="179">
        <f ca="1">IF(ISNUMBER(MATCH(DATEVALUE($A176),'recurring1_based on steps'!AA$1:AA$400,0)),AA$2,)</f>
        <v>0</v>
      </c>
      <c r="AB176" s="179">
        <f ca="1">IF(ISNUMBER(MATCH(DATEVALUE($A176),'recurring1_based on steps'!AB$1:AB$400,0)),AB$2,)</f>
        <v>0</v>
      </c>
      <c r="AC176" s="179">
        <f ca="1">IF(ISNUMBER(MATCH(DATEVALUE($A176),'recurring1_based on steps'!AC$1:AC$400,0)),AC$2,)</f>
        <v>0</v>
      </c>
      <c r="AD176" s="179">
        <f ca="1">IF(ISNUMBER(MATCH(DATEVALUE($A176),'recurring1_based on steps'!AD$1:AD$400,0)),AD$2,)</f>
        <v>0</v>
      </c>
      <c r="AE176" s="179">
        <f ca="1">IF(ISNUMBER(MATCH(DATEVALUE($A176),'recurring1_based on steps'!AE$1:AE$400,0)),AE$2,)</f>
        <v>0</v>
      </c>
      <c r="AF176" s="179">
        <f ca="1">IF(ISNUMBER(MATCH(DATEVALUE($A176),'recurring1_based on steps'!AF$1:AF$400,0)),AF$2,)</f>
        <v>0</v>
      </c>
      <c r="AG176" s="179">
        <f ca="1">IF(ISNUMBER(MATCH(DATEVALUE($A176),'recurring1_based on steps'!AG$1:AG$400,0)),AG$2,)</f>
        <v>0</v>
      </c>
      <c r="AH176" s="179">
        <f ca="1">IF(ISNUMBER(MATCH(DATEVALUE($A176),'recurring1_based on steps'!AH$1:AH$400,0)),AH$2,)</f>
        <v>0</v>
      </c>
      <c r="AI176" s="179">
        <f ca="1">IF(ISNUMBER(MATCH(DATEVALUE($A176),'recurring1_based on steps'!AI$1:AI$400,0)),AI$2,)</f>
        <v>0</v>
      </c>
      <c r="AJ176" s="179">
        <f ca="1">IF(ISNUMBER(MATCH(DATEVALUE($A176),'recurring1_based on steps'!AJ$1:AJ$400,0)),AJ$2,)</f>
        <v>0</v>
      </c>
      <c r="AK176" s="179">
        <f ca="1">IF(ISNUMBER(MATCH(DATEVALUE($A176),'recurring1_based on steps'!AK$1:AK$400,0)),AK$2,)</f>
        <v>0</v>
      </c>
      <c r="AL176" s="179">
        <f ca="1">IF(ISNUMBER(MATCH(DATEVALUE($A176),'recurring1_based on steps'!AL$1:AL$400,0)),AL$2,)</f>
        <v>0</v>
      </c>
      <c r="AM176" s="179">
        <f ca="1">IF(ISNUMBER(MATCH(DATEVALUE($A176),'recurring1_based on steps'!AM$1:AM$400,0)),AM$2,)</f>
        <v>0</v>
      </c>
      <c r="AN176" s="179">
        <f ca="1">IF(ISNUMBER(MATCH(DATEVALUE($A176),'recurring1_based on steps'!AN$1:AN$400,0)),AN$2,)</f>
        <v>0</v>
      </c>
      <c r="AO176" s="179">
        <f ca="1">IF(ISNUMBER(MATCH(DATEVALUE($A176),'recurring1_based on steps'!AO$1:AO$400,0)),AO$2,)</f>
        <v>0</v>
      </c>
      <c r="AP176" s="179">
        <f ca="1">IF(ISNUMBER(MATCH(DATEVALUE($A176),'recurring1_based on steps'!AP$1:AP$400,0)),AP$2,)</f>
        <v>0</v>
      </c>
      <c r="AQ176" s="179">
        <f ca="1">IF(ISNUMBER(MATCH(DATEVALUE($A176),'recurring1_based on steps'!AQ$1:AQ$400,0)),AQ$2,)</f>
        <v>0</v>
      </c>
      <c r="AR176" s="179">
        <f ca="1">IF(ISNUMBER(MATCH(DATEVALUE($A176),'recurring1_based on steps'!AR$1:AR$400,0)),AR$2,)</f>
        <v>0</v>
      </c>
      <c r="AS176" s="179">
        <f ca="1">IF(ISNUMBER(MATCH(DATEVALUE($A176),'recurring1_based on steps'!AS$1:AS$400,0)),AS$2,)</f>
        <v>0</v>
      </c>
      <c r="AT176" s="179">
        <f ca="1">IF(ISNUMBER(MATCH(DATEVALUE($A176),'recurring1_based on steps'!AT$1:AT$400,0)),AT$2,)</f>
        <v>0</v>
      </c>
      <c r="AU176" s="179">
        <f ca="1">IF(ISNUMBER(MATCH(DATEVALUE($A176),'recurring1_based on steps'!AU$1:AU$400,0)),AU$2,)</f>
        <v>0</v>
      </c>
      <c r="AV176" s="179">
        <f ca="1">IF(ISNUMBER(MATCH(DATEVALUE($A176),'recurring1_based on steps'!AV$1:AV$400,0)),AV$2,)</f>
        <v>0</v>
      </c>
      <c r="AW176" s="179">
        <f ca="1">IF(ISNUMBER(MATCH(DATEVALUE($A176),'recurring1_based on steps'!AW$1:AW$400,0)),AW$2,)</f>
        <v>0</v>
      </c>
      <c r="AX176" s="179">
        <f ca="1">IF(ISNUMBER(MATCH(DATEVALUE($A176),'recurring1_based on steps'!AX$1:AX$400,0)),AX$2,)</f>
        <v>0</v>
      </c>
      <c r="AY176" s="179">
        <f ca="1">IF(ISNUMBER(MATCH(DATEVALUE($A176),'recurring1_based on steps'!AY$1:AY$400,0)),AY$2,)</f>
        <v>0</v>
      </c>
    </row>
    <row r="177" spans="1:51" x14ac:dyDescent="0.2">
      <c r="A177" s="32" t="str">
        <f t="shared" ca="1" si="2"/>
        <v>2025-09-19</v>
      </c>
      <c r="B177" s="179">
        <f ca="1">IF(ISNUMBER(MATCH(DATEVALUE($A177),'recurring1_based on steps'!B$1:B$400,0)),B$2,)</f>
        <v>0</v>
      </c>
      <c r="C177" s="179">
        <f ca="1">IF(ISNUMBER(MATCH(DATEVALUE($A177),'recurring1_based on steps'!C$1:C$400,0)),C$2,)</f>
        <v>0</v>
      </c>
      <c r="D177" s="179">
        <f ca="1">IF(ISNUMBER(MATCH(DATEVALUE($A177),'recurring1_based on steps'!D$1:D$400,0)),D$2,)</f>
        <v>0</v>
      </c>
      <c r="E177" s="179">
        <f ca="1">IF(ISNUMBER(MATCH(DATEVALUE($A177),'recurring1_based on steps'!E$1:E$400,0)),E$2,)</f>
        <v>0</v>
      </c>
      <c r="F177" s="179">
        <f ca="1">IF(ISNUMBER(MATCH(DATEVALUE($A177),'recurring1_based on steps'!F$1:F$400,0)),F$2,)</f>
        <v>0</v>
      </c>
      <c r="G177" s="179">
        <f ca="1">IF(ISNUMBER(MATCH(DATEVALUE($A177),'recurring1_based on steps'!G$1:G$400,0)),G$2,)</f>
        <v>0</v>
      </c>
      <c r="H177" s="179">
        <f ca="1">IF(ISNUMBER(MATCH(DATEVALUE($A177),'recurring1_based on steps'!H$1:H$400,0)),H$2,)</f>
        <v>0</v>
      </c>
      <c r="I177" s="179">
        <f ca="1">IF(ISNUMBER(MATCH(DATEVALUE($A177),'recurring1_based on steps'!I$1:I$400,0)),I$2,)</f>
        <v>0</v>
      </c>
      <c r="J177" s="179">
        <f ca="1">IF(ISNUMBER(MATCH(DATEVALUE($A177),'recurring1_based on steps'!J$1:J$400,0)),J$2,)</f>
        <v>0</v>
      </c>
      <c r="K177" s="179">
        <f ca="1">IF(ISNUMBER(MATCH(DATEVALUE($A177),'recurring1_based on steps'!K$1:K$400,0)),K$2,)</f>
        <v>0</v>
      </c>
      <c r="L177" s="179">
        <f ca="1">IF(ISNUMBER(MATCH(DATEVALUE($A177),'recurring1_based on steps'!L$1:L$400,0)),L$2,)</f>
        <v>0</v>
      </c>
      <c r="M177" s="179">
        <f ca="1">IF(ISNUMBER(MATCH(DATEVALUE($A177),'recurring1_based on steps'!M$1:M$400,0)),M$2,)</f>
        <v>0</v>
      </c>
      <c r="N177" s="179">
        <f ca="1">IF(ISNUMBER(MATCH(DATEVALUE($A177),'recurring1_based on steps'!N$1:N$400,0)),N$2,)</f>
        <v>0</v>
      </c>
      <c r="O177" s="179">
        <f ca="1">IF(ISNUMBER(MATCH(DATEVALUE($A177),'recurring1_based on steps'!O$1:O$400,0)),O$2,)</f>
        <v>0</v>
      </c>
      <c r="P177" s="179">
        <f ca="1">IF(ISNUMBER(MATCH(DATEVALUE($A177),'recurring1_based on steps'!P$1:P$400,0)),P$2,)</f>
        <v>0</v>
      </c>
      <c r="Q177" s="179">
        <f ca="1">IF(ISNUMBER(MATCH(DATEVALUE($A177),'recurring1_based on steps'!Q$1:Q$400,0)),Q$2,)</f>
        <v>0</v>
      </c>
      <c r="R177" s="179">
        <f ca="1">IF(ISNUMBER(MATCH(DATEVALUE($A177),'recurring1_based on steps'!R$1:R$400,0)),R$2,)</f>
        <v>0</v>
      </c>
      <c r="S177" s="179">
        <f ca="1">IF(ISNUMBER(MATCH(DATEVALUE($A177),'recurring1_based on steps'!S$1:S$400,0)),S$2,)</f>
        <v>0</v>
      </c>
      <c r="T177" s="179">
        <f ca="1">IF(ISNUMBER(MATCH(DATEVALUE($A177),'recurring1_based on steps'!T$1:T$400,0)),T$2,)</f>
        <v>0</v>
      </c>
      <c r="U177" s="179">
        <f ca="1">IF(ISNUMBER(MATCH(DATEVALUE($A177),'recurring1_based on steps'!U$1:U$400,0)),U$2,)</f>
        <v>0</v>
      </c>
      <c r="V177" s="179">
        <f ca="1">IF(ISNUMBER(MATCH(DATEVALUE($A177),'recurring1_based on steps'!V$1:V$400,0)),V$2,)</f>
        <v>0</v>
      </c>
      <c r="W177" s="179">
        <f ca="1">IF(ISNUMBER(MATCH(DATEVALUE($A177),'recurring1_based on steps'!W$1:W$400,0)),W$2,)</f>
        <v>0</v>
      </c>
      <c r="X177" s="179">
        <f ca="1">IF(ISNUMBER(MATCH(DATEVALUE($A177),'recurring1_based on steps'!X$1:X$400,0)),X$2,)</f>
        <v>0</v>
      </c>
      <c r="Y177" s="179">
        <f ca="1">IF(ISNUMBER(MATCH(DATEVALUE($A177),'recurring1_based on steps'!Y$1:Y$400,0)),Y$2,)</f>
        <v>0</v>
      </c>
      <c r="Z177" s="179">
        <f ca="1">IF(ISNUMBER(MATCH(DATEVALUE($A177),'recurring1_based on steps'!Z$1:Z$400,0)),Z$2,)</f>
        <v>0</v>
      </c>
      <c r="AA177" s="179">
        <f ca="1">IF(ISNUMBER(MATCH(DATEVALUE($A177),'recurring1_based on steps'!AA$1:AA$400,0)),AA$2,)</f>
        <v>0</v>
      </c>
      <c r="AB177" s="179">
        <f ca="1">IF(ISNUMBER(MATCH(DATEVALUE($A177),'recurring1_based on steps'!AB$1:AB$400,0)),AB$2,)</f>
        <v>0</v>
      </c>
      <c r="AC177" s="179">
        <f ca="1">IF(ISNUMBER(MATCH(DATEVALUE($A177),'recurring1_based on steps'!AC$1:AC$400,0)),AC$2,)</f>
        <v>0</v>
      </c>
      <c r="AD177" s="179">
        <f ca="1">IF(ISNUMBER(MATCH(DATEVALUE($A177),'recurring1_based on steps'!AD$1:AD$400,0)),AD$2,)</f>
        <v>0</v>
      </c>
      <c r="AE177" s="179">
        <f ca="1">IF(ISNUMBER(MATCH(DATEVALUE($A177),'recurring1_based on steps'!AE$1:AE$400,0)),AE$2,)</f>
        <v>0</v>
      </c>
      <c r="AF177" s="179">
        <f ca="1">IF(ISNUMBER(MATCH(DATEVALUE($A177),'recurring1_based on steps'!AF$1:AF$400,0)),AF$2,)</f>
        <v>0</v>
      </c>
      <c r="AG177" s="179">
        <f ca="1">IF(ISNUMBER(MATCH(DATEVALUE($A177),'recurring1_based on steps'!AG$1:AG$400,0)),AG$2,)</f>
        <v>0</v>
      </c>
      <c r="AH177" s="179">
        <f ca="1">IF(ISNUMBER(MATCH(DATEVALUE($A177),'recurring1_based on steps'!AH$1:AH$400,0)),AH$2,)</f>
        <v>0</v>
      </c>
      <c r="AI177" s="179">
        <f ca="1">IF(ISNUMBER(MATCH(DATEVALUE($A177),'recurring1_based on steps'!AI$1:AI$400,0)),AI$2,)</f>
        <v>0</v>
      </c>
      <c r="AJ177" s="179">
        <f ca="1">IF(ISNUMBER(MATCH(DATEVALUE($A177),'recurring1_based on steps'!AJ$1:AJ$400,0)),AJ$2,)</f>
        <v>0</v>
      </c>
      <c r="AK177" s="179">
        <f ca="1">IF(ISNUMBER(MATCH(DATEVALUE($A177),'recurring1_based on steps'!AK$1:AK$400,0)),AK$2,)</f>
        <v>0</v>
      </c>
      <c r="AL177" s="179">
        <f ca="1">IF(ISNUMBER(MATCH(DATEVALUE($A177),'recurring1_based on steps'!AL$1:AL$400,0)),AL$2,)</f>
        <v>0</v>
      </c>
      <c r="AM177" s="179">
        <f ca="1">IF(ISNUMBER(MATCH(DATEVALUE($A177),'recurring1_based on steps'!AM$1:AM$400,0)),AM$2,)</f>
        <v>0</v>
      </c>
      <c r="AN177" s="179">
        <f ca="1">IF(ISNUMBER(MATCH(DATEVALUE($A177),'recurring1_based on steps'!AN$1:AN$400,0)),AN$2,)</f>
        <v>0</v>
      </c>
      <c r="AO177" s="179">
        <f ca="1">IF(ISNUMBER(MATCH(DATEVALUE($A177),'recurring1_based on steps'!AO$1:AO$400,0)),AO$2,)</f>
        <v>0</v>
      </c>
      <c r="AP177" s="179">
        <f ca="1">IF(ISNUMBER(MATCH(DATEVALUE($A177),'recurring1_based on steps'!AP$1:AP$400,0)),AP$2,)</f>
        <v>0</v>
      </c>
      <c r="AQ177" s="179">
        <f ca="1">IF(ISNUMBER(MATCH(DATEVALUE($A177),'recurring1_based on steps'!AQ$1:AQ$400,0)),AQ$2,)</f>
        <v>0</v>
      </c>
      <c r="AR177" s="179">
        <f ca="1">IF(ISNUMBER(MATCH(DATEVALUE($A177),'recurring1_based on steps'!AR$1:AR$400,0)),AR$2,)</f>
        <v>0</v>
      </c>
      <c r="AS177" s="179">
        <f ca="1">IF(ISNUMBER(MATCH(DATEVALUE($A177),'recurring1_based on steps'!AS$1:AS$400,0)),AS$2,)</f>
        <v>0</v>
      </c>
      <c r="AT177" s="179">
        <f ca="1">IF(ISNUMBER(MATCH(DATEVALUE($A177),'recurring1_based on steps'!AT$1:AT$400,0)),AT$2,)</f>
        <v>0</v>
      </c>
      <c r="AU177" s="179">
        <f ca="1">IF(ISNUMBER(MATCH(DATEVALUE($A177),'recurring1_based on steps'!AU$1:AU$400,0)),AU$2,)</f>
        <v>0</v>
      </c>
      <c r="AV177" s="179">
        <f ca="1">IF(ISNUMBER(MATCH(DATEVALUE($A177),'recurring1_based on steps'!AV$1:AV$400,0)),AV$2,)</f>
        <v>0</v>
      </c>
      <c r="AW177" s="179">
        <f ca="1">IF(ISNUMBER(MATCH(DATEVALUE($A177),'recurring1_based on steps'!AW$1:AW$400,0)),AW$2,)</f>
        <v>0</v>
      </c>
      <c r="AX177" s="179">
        <f ca="1">IF(ISNUMBER(MATCH(DATEVALUE($A177),'recurring1_based on steps'!AX$1:AX$400,0)),AX$2,)</f>
        <v>0</v>
      </c>
      <c r="AY177" s="179">
        <f ca="1">IF(ISNUMBER(MATCH(DATEVALUE($A177),'recurring1_based on steps'!AY$1:AY$400,0)),AY$2,)</f>
        <v>0</v>
      </c>
    </row>
    <row r="178" spans="1:51" x14ac:dyDescent="0.2">
      <c r="A178" s="32" t="str">
        <f t="shared" ca="1" si="2"/>
        <v>2025-09-20</v>
      </c>
      <c r="B178" s="179">
        <f ca="1">IF(ISNUMBER(MATCH(DATEVALUE($A178),'recurring1_based on steps'!B$1:B$400,0)),B$2,)</f>
        <v>0</v>
      </c>
      <c r="C178" s="179">
        <f ca="1">IF(ISNUMBER(MATCH(DATEVALUE($A178),'recurring1_based on steps'!C$1:C$400,0)),C$2,)</f>
        <v>0</v>
      </c>
      <c r="D178" s="179">
        <f ca="1">IF(ISNUMBER(MATCH(DATEVALUE($A178),'recurring1_based on steps'!D$1:D$400,0)),D$2,)</f>
        <v>0</v>
      </c>
      <c r="E178" s="179">
        <f ca="1">IF(ISNUMBER(MATCH(DATEVALUE($A178),'recurring1_based on steps'!E$1:E$400,0)),E$2,)</f>
        <v>0</v>
      </c>
      <c r="F178" s="179">
        <f ca="1">IF(ISNUMBER(MATCH(DATEVALUE($A178),'recurring1_based on steps'!F$1:F$400,0)),F$2,)</f>
        <v>0</v>
      </c>
      <c r="G178" s="179">
        <f ca="1">IF(ISNUMBER(MATCH(DATEVALUE($A178),'recurring1_based on steps'!G$1:G$400,0)),G$2,)</f>
        <v>0</v>
      </c>
      <c r="H178" s="179">
        <f ca="1">IF(ISNUMBER(MATCH(DATEVALUE($A178),'recurring1_based on steps'!H$1:H$400,0)),H$2,)</f>
        <v>0</v>
      </c>
      <c r="I178" s="179">
        <f ca="1">IF(ISNUMBER(MATCH(DATEVALUE($A178),'recurring1_based on steps'!I$1:I$400,0)),I$2,)</f>
        <v>0</v>
      </c>
      <c r="J178" s="179">
        <f ca="1">IF(ISNUMBER(MATCH(DATEVALUE($A178),'recurring1_based on steps'!J$1:J$400,0)),J$2,)</f>
        <v>0</v>
      </c>
      <c r="K178" s="179">
        <f ca="1">IF(ISNUMBER(MATCH(DATEVALUE($A178),'recurring1_based on steps'!K$1:K$400,0)),K$2,)</f>
        <v>0</v>
      </c>
      <c r="L178" s="179">
        <f ca="1">IF(ISNUMBER(MATCH(DATEVALUE($A178),'recurring1_based on steps'!L$1:L$400,0)),L$2,)</f>
        <v>0</v>
      </c>
      <c r="M178" s="179">
        <f ca="1">IF(ISNUMBER(MATCH(DATEVALUE($A178),'recurring1_based on steps'!M$1:M$400,0)),M$2,)</f>
        <v>0</v>
      </c>
      <c r="N178" s="179">
        <f ca="1">IF(ISNUMBER(MATCH(DATEVALUE($A178),'recurring1_based on steps'!N$1:N$400,0)),N$2,)</f>
        <v>0</v>
      </c>
      <c r="O178" s="179">
        <f ca="1">IF(ISNUMBER(MATCH(DATEVALUE($A178),'recurring1_based on steps'!O$1:O$400,0)),O$2,)</f>
        <v>0</v>
      </c>
      <c r="P178" s="179">
        <f ca="1">IF(ISNUMBER(MATCH(DATEVALUE($A178),'recurring1_based on steps'!P$1:P$400,0)),P$2,)</f>
        <v>0</v>
      </c>
      <c r="Q178" s="179">
        <f ca="1">IF(ISNUMBER(MATCH(DATEVALUE($A178),'recurring1_based on steps'!Q$1:Q$400,0)),Q$2,)</f>
        <v>0</v>
      </c>
      <c r="R178" s="179">
        <f ca="1">IF(ISNUMBER(MATCH(DATEVALUE($A178),'recurring1_based on steps'!R$1:R$400,0)),R$2,)</f>
        <v>0</v>
      </c>
      <c r="S178" s="179">
        <f ca="1">IF(ISNUMBER(MATCH(DATEVALUE($A178),'recurring1_based on steps'!S$1:S$400,0)),S$2,)</f>
        <v>0</v>
      </c>
      <c r="T178" s="179">
        <f ca="1">IF(ISNUMBER(MATCH(DATEVALUE($A178),'recurring1_based on steps'!T$1:T$400,0)),T$2,)</f>
        <v>0</v>
      </c>
      <c r="U178" s="179">
        <f ca="1">IF(ISNUMBER(MATCH(DATEVALUE($A178),'recurring1_based on steps'!U$1:U$400,0)),U$2,)</f>
        <v>0</v>
      </c>
      <c r="V178" s="179">
        <f ca="1">IF(ISNUMBER(MATCH(DATEVALUE($A178),'recurring1_based on steps'!V$1:V$400,0)),V$2,)</f>
        <v>0</v>
      </c>
      <c r="W178" s="179">
        <f ca="1">IF(ISNUMBER(MATCH(DATEVALUE($A178),'recurring1_based on steps'!W$1:W$400,0)),W$2,)</f>
        <v>0</v>
      </c>
      <c r="X178" s="179">
        <f ca="1">IF(ISNUMBER(MATCH(DATEVALUE($A178),'recurring1_based on steps'!X$1:X$400,0)),X$2,)</f>
        <v>0</v>
      </c>
      <c r="Y178" s="179">
        <f ca="1">IF(ISNUMBER(MATCH(DATEVALUE($A178),'recurring1_based on steps'!Y$1:Y$400,0)),Y$2,)</f>
        <v>0</v>
      </c>
      <c r="Z178" s="179">
        <f ca="1">IF(ISNUMBER(MATCH(DATEVALUE($A178),'recurring1_based on steps'!Z$1:Z$400,0)),Z$2,)</f>
        <v>0</v>
      </c>
      <c r="AA178" s="179">
        <f ca="1">IF(ISNUMBER(MATCH(DATEVALUE($A178),'recurring1_based on steps'!AA$1:AA$400,0)),AA$2,)</f>
        <v>0</v>
      </c>
      <c r="AB178" s="179">
        <f ca="1">IF(ISNUMBER(MATCH(DATEVALUE($A178),'recurring1_based on steps'!AB$1:AB$400,0)),AB$2,)</f>
        <v>0</v>
      </c>
      <c r="AC178" s="179">
        <f ca="1">IF(ISNUMBER(MATCH(DATEVALUE($A178),'recurring1_based on steps'!AC$1:AC$400,0)),AC$2,)</f>
        <v>0</v>
      </c>
      <c r="AD178" s="179">
        <f ca="1">IF(ISNUMBER(MATCH(DATEVALUE($A178),'recurring1_based on steps'!AD$1:AD$400,0)),AD$2,)</f>
        <v>0</v>
      </c>
      <c r="AE178" s="179">
        <f ca="1">IF(ISNUMBER(MATCH(DATEVALUE($A178),'recurring1_based on steps'!AE$1:AE$400,0)),AE$2,)</f>
        <v>0</v>
      </c>
      <c r="AF178" s="179">
        <f ca="1">IF(ISNUMBER(MATCH(DATEVALUE($A178),'recurring1_based on steps'!AF$1:AF$400,0)),AF$2,)</f>
        <v>0</v>
      </c>
      <c r="AG178" s="179">
        <f ca="1">IF(ISNUMBER(MATCH(DATEVALUE($A178),'recurring1_based on steps'!AG$1:AG$400,0)),AG$2,)</f>
        <v>0</v>
      </c>
      <c r="AH178" s="179">
        <f ca="1">IF(ISNUMBER(MATCH(DATEVALUE($A178),'recurring1_based on steps'!AH$1:AH$400,0)),AH$2,)</f>
        <v>0</v>
      </c>
      <c r="AI178" s="179">
        <f ca="1">IF(ISNUMBER(MATCH(DATEVALUE($A178),'recurring1_based on steps'!AI$1:AI$400,0)),AI$2,)</f>
        <v>0</v>
      </c>
      <c r="AJ178" s="179">
        <f ca="1">IF(ISNUMBER(MATCH(DATEVALUE($A178),'recurring1_based on steps'!AJ$1:AJ$400,0)),AJ$2,)</f>
        <v>0</v>
      </c>
      <c r="AK178" s="179">
        <f ca="1">IF(ISNUMBER(MATCH(DATEVALUE($A178),'recurring1_based on steps'!AK$1:AK$400,0)),AK$2,)</f>
        <v>0</v>
      </c>
      <c r="AL178" s="179">
        <f ca="1">IF(ISNUMBER(MATCH(DATEVALUE($A178),'recurring1_based on steps'!AL$1:AL$400,0)),AL$2,)</f>
        <v>0</v>
      </c>
      <c r="AM178" s="179">
        <f ca="1">IF(ISNUMBER(MATCH(DATEVALUE($A178),'recurring1_based on steps'!AM$1:AM$400,0)),AM$2,)</f>
        <v>0</v>
      </c>
      <c r="AN178" s="179">
        <f ca="1">IF(ISNUMBER(MATCH(DATEVALUE($A178),'recurring1_based on steps'!AN$1:AN$400,0)),AN$2,)</f>
        <v>0</v>
      </c>
      <c r="AO178" s="179">
        <f ca="1">IF(ISNUMBER(MATCH(DATEVALUE($A178),'recurring1_based on steps'!AO$1:AO$400,0)),AO$2,)</f>
        <v>0</v>
      </c>
      <c r="AP178" s="179">
        <f ca="1">IF(ISNUMBER(MATCH(DATEVALUE($A178),'recurring1_based on steps'!AP$1:AP$400,0)),AP$2,)</f>
        <v>0</v>
      </c>
      <c r="AQ178" s="179">
        <f ca="1">IF(ISNUMBER(MATCH(DATEVALUE($A178),'recurring1_based on steps'!AQ$1:AQ$400,0)),AQ$2,)</f>
        <v>0</v>
      </c>
      <c r="AR178" s="179">
        <f ca="1">IF(ISNUMBER(MATCH(DATEVALUE($A178),'recurring1_based on steps'!AR$1:AR$400,0)),AR$2,)</f>
        <v>0</v>
      </c>
      <c r="AS178" s="179">
        <f ca="1">IF(ISNUMBER(MATCH(DATEVALUE($A178),'recurring1_based on steps'!AS$1:AS$400,0)),AS$2,)</f>
        <v>0</v>
      </c>
      <c r="AT178" s="179">
        <f ca="1">IF(ISNUMBER(MATCH(DATEVALUE($A178),'recurring1_based on steps'!AT$1:AT$400,0)),AT$2,)</f>
        <v>0</v>
      </c>
      <c r="AU178" s="179">
        <f ca="1">IF(ISNUMBER(MATCH(DATEVALUE($A178),'recurring1_based on steps'!AU$1:AU$400,0)),AU$2,)</f>
        <v>0</v>
      </c>
      <c r="AV178" s="179">
        <f ca="1">IF(ISNUMBER(MATCH(DATEVALUE($A178),'recurring1_based on steps'!AV$1:AV$400,0)),AV$2,)</f>
        <v>0</v>
      </c>
      <c r="AW178" s="179">
        <f ca="1">IF(ISNUMBER(MATCH(DATEVALUE($A178),'recurring1_based on steps'!AW$1:AW$400,0)),AW$2,)</f>
        <v>0</v>
      </c>
      <c r="AX178" s="179">
        <f ca="1">IF(ISNUMBER(MATCH(DATEVALUE($A178),'recurring1_based on steps'!AX$1:AX$400,0)),AX$2,)</f>
        <v>0</v>
      </c>
      <c r="AY178" s="179">
        <f ca="1">IF(ISNUMBER(MATCH(DATEVALUE($A178),'recurring1_based on steps'!AY$1:AY$400,0)),AY$2,)</f>
        <v>0</v>
      </c>
    </row>
    <row r="179" spans="1:51" x14ac:dyDescent="0.2">
      <c r="A179" s="32" t="str">
        <f t="shared" ca="1" si="2"/>
        <v>2025-09-21</v>
      </c>
      <c r="B179" s="179">
        <f ca="1">IF(ISNUMBER(MATCH(DATEVALUE($A179),'recurring1_based on steps'!B$1:B$400,0)),B$2,)</f>
        <v>0</v>
      </c>
      <c r="C179" s="179">
        <f ca="1">IF(ISNUMBER(MATCH(DATEVALUE($A179),'recurring1_based on steps'!C$1:C$400,0)),C$2,)</f>
        <v>0</v>
      </c>
      <c r="D179" s="179">
        <f ca="1">IF(ISNUMBER(MATCH(DATEVALUE($A179),'recurring1_based on steps'!D$1:D$400,0)),D$2,)</f>
        <v>0</v>
      </c>
      <c r="E179" s="179">
        <f ca="1">IF(ISNUMBER(MATCH(DATEVALUE($A179),'recurring1_based on steps'!E$1:E$400,0)),E$2,)</f>
        <v>0</v>
      </c>
      <c r="F179" s="179">
        <f ca="1">IF(ISNUMBER(MATCH(DATEVALUE($A179),'recurring1_based on steps'!F$1:F$400,0)),F$2,)</f>
        <v>0</v>
      </c>
      <c r="G179" s="179">
        <f ca="1">IF(ISNUMBER(MATCH(DATEVALUE($A179),'recurring1_based on steps'!G$1:G$400,0)),G$2,)</f>
        <v>0</v>
      </c>
      <c r="H179" s="179">
        <f ca="1">IF(ISNUMBER(MATCH(DATEVALUE($A179),'recurring1_based on steps'!H$1:H$400,0)),H$2,)</f>
        <v>0</v>
      </c>
      <c r="I179" s="179">
        <f ca="1">IF(ISNUMBER(MATCH(DATEVALUE($A179),'recurring1_based on steps'!I$1:I$400,0)),I$2,)</f>
        <v>0</v>
      </c>
      <c r="J179" s="179">
        <f ca="1">IF(ISNUMBER(MATCH(DATEVALUE($A179),'recurring1_based on steps'!J$1:J$400,0)),J$2,)</f>
        <v>0</v>
      </c>
      <c r="K179" s="179">
        <f ca="1">IF(ISNUMBER(MATCH(DATEVALUE($A179),'recurring1_based on steps'!K$1:K$400,0)),K$2,)</f>
        <v>0</v>
      </c>
      <c r="L179" s="179">
        <f ca="1">IF(ISNUMBER(MATCH(DATEVALUE($A179),'recurring1_based on steps'!L$1:L$400,0)),L$2,)</f>
        <v>0</v>
      </c>
      <c r="M179" s="179">
        <f ca="1">IF(ISNUMBER(MATCH(DATEVALUE($A179),'recurring1_based on steps'!M$1:M$400,0)),M$2,)</f>
        <v>0</v>
      </c>
      <c r="N179" s="179">
        <f ca="1">IF(ISNUMBER(MATCH(DATEVALUE($A179),'recurring1_based on steps'!N$1:N$400,0)),N$2,)</f>
        <v>0</v>
      </c>
      <c r="O179" s="179">
        <f ca="1">IF(ISNUMBER(MATCH(DATEVALUE($A179),'recurring1_based on steps'!O$1:O$400,0)),O$2,)</f>
        <v>0</v>
      </c>
      <c r="P179" s="179">
        <f ca="1">IF(ISNUMBER(MATCH(DATEVALUE($A179),'recurring1_based on steps'!P$1:P$400,0)),P$2,)</f>
        <v>0</v>
      </c>
      <c r="Q179" s="179">
        <f ca="1">IF(ISNUMBER(MATCH(DATEVALUE($A179),'recurring1_based on steps'!Q$1:Q$400,0)),Q$2,)</f>
        <v>0</v>
      </c>
      <c r="R179" s="179">
        <f ca="1">IF(ISNUMBER(MATCH(DATEVALUE($A179),'recurring1_based on steps'!R$1:R$400,0)),R$2,)</f>
        <v>0</v>
      </c>
      <c r="S179" s="179">
        <f ca="1">IF(ISNUMBER(MATCH(DATEVALUE($A179),'recurring1_based on steps'!S$1:S$400,0)),S$2,)</f>
        <v>0</v>
      </c>
      <c r="T179" s="179">
        <f ca="1">IF(ISNUMBER(MATCH(DATEVALUE($A179),'recurring1_based on steps'!T$1:T$400,0)),T$2,)</f>
        <v>0</v>
      </c>
      <c r="U179" s="179">
        <f ca="1">IF(ISNUMBER(MATCH(DATEVALUE($A179),'recurring1_based on steps'!U$1:U$400,0)),U$2,)</f>
        <v>0</v>
      </c>
      <c r="V179" s="179">
        <f ca="1">IF(ISNUMBER(MATCH(DATEVALUE($A179),'recurring1_based on steps'!V$1:V$400,0)),V$2,)</f>
        <v>0</v>
      </c>
      <c r="W179" s="179">
        <f ca="1">IF(ISNUMBER(MATCH(DATEVALUE($A179),'recurring1_based on steps'!W$1:W$400,0)),W$2,)</f>
        <v>0</v>
      </c>
      <c r="X179" s="179">
        <f ca="1">IF(ISNUMBER(MATCH(DATEVALUE($A179),'recurring1_based on steps'!X$1:X$400,0)),X$2,)</f>
        <v>0</v>
      </c>
      <c r="Y179" s="179">
        <f ca="1">IF(ISNUMBER(MATCH(DATEVALUE($A179),'recurring1_based on steps'!Y$1:Y$400,0)),Y$2,)</f>
        <v>0</v>
      </c>
      <c r="Z179" s="179">
        <f ca="1">IF(ISNUMBER(MATCH(DATEVALUE($A179),'recurring1_based on steps'!Z$1:Z$400,0)),Z$2,)</f>
        <v>0</v>
      </c>
      <c r="AA179" s="179">
        <f ca="1">IF(ISNUMBER(MATCH(DATEVALUE($A179),'recurring1_based on steps'!AA$1:AA$400,0)),AA$2,)</f>
        <v>0</v>
      </c>
      <c r="AB179" s="179">
        <f ca="1">IF(ISNUMBER(MATCH(DATEVALUE($A179),'recurring1_based on steps'!AB$1:AB$400,0)),AB$2,)</f>
        <v>0</v>
      </c>
      <c r="AC179" s="179">
        <f ca="1">IF(ISNUMBER(MATCH(DATEVALUE($A179),'recurring1_based on steps'!AC$1:AC$400,0)),AC$2,)</f>
        <v>0</v>
      </c>
      <c r="AD179" s="179">
        <f ca="1">IF(ISNUMBER(MATCH(DATEVALUE($A179),'recurring1_based on steps'!AD$1:AD$400,0)),AD$2,)</f>
        <v>0</v>
      </c>
      <c r="AE179" s="179">
        <f ca="1">IF(ISNUMBER(MATCH(DATEVALUE($A179),'recurring1_based on steps'!AE$1:AE$400,0)),AE$2,)</f>
        <v>0</v>
      </c>
      <c r="AF179" s="179">
        <f ca="1">IF(ISNUMBER(MATCH(DATEVALUE($A179),'recurring1_based on steps'!AF$1:AF$400,0)),AF$2,)</f>
        <v>0</v>
      </c>
      <c r="AG179" s="179">
        <f ca="1">IF(ISNUMBER(MATCH(DATEVALUE($A179),'recurring1_based on steps'!AG$1:AG$400,0)),AG$2,)</f>
        <v>0</v>
      </c>
      <c r="AH179" s="179">
        <f ca="1">IF(ISNUMBER(MATCH(DATEVALUE($A179),'recurring1_based on steps'!AH$1:AH$400,0)),AH$2,)</f>
        <v>0</v>
      </c>
      <c r="AI179" s="179">
        <f ca="1">IF(ISNUMBER(MATCH(DATEVALUE($A179),'recurring1_based on steps'!AI$1:AI$400,0)),AI$2,)</f>
        <v>0</v>
      </c>
      <c r="AJ179" s="179">
        <f ca="1">IF(ISNUMBER(MATCH(DATEVALUE($A179),'recurring1_based on steps'!AJ$1:AJ$400,0)),AJ$2,)</f>
        <v>0</v>
      </c>
      <c r="AK179" s="179">
        <f ca="1">IF(ISNUMBER(MATCH(DATEVALUE($A179),'recurring1_based on steps'!AK$1:AK$400,0)),AK$2,)</f>
        <v>0</v>
      </c>
      <c r="AL179" s="179">
        <f ca="1">IF(ISNUMBER(MATCH(DATEVALUE($A179),'recurring1_based on steps'!AL$1:AL$400,0)),AL$2,)</f>
        <v>0</v>
      </c>
      <c r="AM179" s="179">
        <f ca="1">IF(ISNUMBER(MATCH(DATEVALUE($A179),'recurring1_based on steps'!AM$1:AM$400,0)),AM$2,)</f>
        <v>0</v>
      </c>
      <c r="AN179" s="179">
        <f ca="1">IF(ISNUMBER(MATCH(DATEVALUE($A179),'recurring1_based on steps'!AN$1:AN$400,0)),AN$2,)</f>
        <v>0</v>
      </c>
      <c r="AO179" s="179">
        <f ca="1">IF(ISNUMBER(MATCH(DATEVALUE($A179),'recurring1_based on steps'!AO$1:AO$400,0)),AO$2,)</f>
        <v>0</v>
      </c>
      <c r="AP179" s="179">
        <f ca="1">IF(ISNUMBER(MATCH(DATEVALUE($A179),'recurring1_based on steps'!AP$1:AP$400,0)),AP$2,)</f>
        <v>0</v>
      </c>
      <c r="AQ179" s="179">
        <f ca="1">IF(ISNUMBER(MATCH(DATEVALUE($A179),'recurring1_based on steps'!AQ$1:AQ$400,0)),AQ$2,)</f>
        <v>0</v>
      </c>
      <c r="AR179" s="179">
        <f ca="1">IF(ISNUMBER(MATCH(DATEVALUE($A179),'recurring1_based on steps'!AR$1:AR$400,0)),AR$2,)</f>
        <v>0</v>
      </c>
      <c r="AS179" s="179">
        <f ca="1">IF(ISNUMBER(MATCH(DATEVALUE($A179),'recurring1_based on steps'!AS$1:AS$400,0)),AS$2,)</f>
        <v>0</v>
      </c>
      <c r="AT179" s="179">
        <f ca="1">IF(ISNUMBER(MATCH(DATEVALUE($A179),'recurring1_based on steps'!AT$1:AT$400,0)),AT$2,)</f>
        <v>0</v>
      </c>
      <c r="AU179" s="179">
        <f ca="1">IF(ISNUMBER(MATCH(DATEVALUE($A179),'recurring1_based on steps'!AU$1:AU$400,0)),AU$2,)</f>
        <v>0</v>
      </c>
      <c r="AV179" s="179">
        <f ca="1">IF(ISNUMBER(MATCH(DATEVALUE($A179),'recurring1_based on steps'!AV$1:AV$400,0)),AV$2,)</f>
        <v>0</v>
      </c>
      <c r="AW179" s="179">
        <f ca="1">IF(ISNUMBER(MATCH(DATEVALUE($A179),'recurring1_based on steps'!AW$1:AW$400,0)),AW$2,)</f>
        <v>0</v>
      </c>
      <c r="AX179" s="179">
        <f ca="1">IF(ISNUMBER(MATCH(DATEVALUE($A179),'recurring1_based on steps'!AX$1:AX$400,0)),AX$2,)</f>
        <v>0</v>
      </c>
      <c r="AY179" s="179">
        <f ca="1">IF(ISNUMBER(MATCH(DATEVALUE($A179),'recurring1_based on steps'!AY$1:AY$400,0)),AY$2,)</f>
        <v>0</v>
      </c>
    </row>
    <row r="180" spans="1:51" x14ac:dyDescent="0.2">
      <c r="A180" s="32" t="str">
        <f t="shared" ca="1" si="2"/>
        <v>2025-09-22</v>
      </c>
      <c r="B180" s="179">
        <f ca="1">IF(ISNUMBER(MATCH(DATEVALUE($A180),'recurring1_based on steps'!B$1:B$400,0)),B$2,)</f>
        <v>0</v>
      </c>
      <c r="C180" s="179">
        <f ca="1">IF(ISNUMBER(MATCH(DATEVALUE($A180),'recurring1_based on steps'!C$1:C$400,0)),C$2,)</f>
        <v>0</v>
      </c>
      <c r="D180" s="179">
        <f ca="1">IF(ISNUMBER(MATCH(DATEVALUE($A180),'recurring1_based on steps'!D$1:D$400,0)),D$2,)</f>
        <v>0</v>
      </c>
      <c r="E180" s="179">
        <f ca="1">IF(ISNUMBER(MATCH(DATEVALUE($A180),'recurring1_based on steps'!E$1:E$400,0)),E$2,)</f>
        <v>0</v>
      </c>
      <c r="F180" s="179">
        <f ca="1">IF(ISNUMBER(MATCH(DATEVALUE($A180),'recurring1_based on steps'!F$1:F$400,0)),F$2,)</f>
        <v>0</v>
      </c>
      <c r="G180" s="179">
        <f ca="1">IF(ISNUMBER(MATCH(DATEVALUE($A180),'recurring1_based on steps'!G$1:G$400,0)),G$2,)</f>
        <v>0</v>
      </c>
      <c r="H180" s="179">
        <f ca="1">IF(ISNUMBER(MATCH(DATEVALUE($A180),'recurring1_based on steps'!H$1:H$400,0)),H$2,)</f>
        <v>0</v>
      </c>
      <c r="I180" s="179">
        <f ca="1">IF(ISNUMBER(MATCH(DATEVALUE($A180),'recurring1_based on steps'!I$1:I$400,0)),I$2,)</f>
        <v>0</v>
      </c>
      <c r="J180" s="179">
        <f ca="1">IF(ISNUMBER(MATCH(DATEVALUE($A180),'recurring1_based on steps'!J$1:J$400,0)),J$2,)</f>
        <v>0</v>
      </c>
      <c r="K180" s="179">
        <f ca="1">IF(ISNUMBER(MATCH(DATEVALUE($A180),'recurring1_based on steps'!K$1:K$400,0)),K$2,)</f>
        <v>0</v>
      </c>
      <c r="L180" s="179">
        <f ca="1">IF(ISNUMBER(MATCH(DATEVALUE($A180),'recurring1_based on steps'!L$1:L$400,0)),L$2,)</f>
        <v>0</v>
      </c>
      <c r="M180" s="179">
        <f ca="1">IF(ISNUMBER(MATCH(DATEVALUE($A180),'recurring1_based on steps'!M$1:M$400,0)),M$2,)</f>
        <v>0</v>
      </c>
      <c r="N180" s="179">
        <f ca="1">IF(ISNUMBER(MATCH(DATEVALUE($A180),'recurring1_based on steps'!N$1:N$400,0)),N$2,)</f>
        <v>0</v>
      </c>
      <c r="O180" s="179">
        <f ca="1">IF(ISNUMBER(MATCH(DATEVALUE($A180),'recurring1_based on steps'!O$1:O$400,0)),O$2,)</f>
        <v>0</v>
      </c>
      <c r="P180" s="179">
        <f ca="1">IF(ISNUMBER(MATCH(DATEVALUE($A180),'recurring1_based on steps'!P$1:P$400,0)),P$2,)</f>
        <v>0</v>
      </c>
      <c r="Q180" s="179">
        <f ca="1">IF(ISNUMBER(MATCH(DATEVALUE($A180),'recurring1_based on steps'!Q$1:Q$400,0)),Q$2,)</f>
        <v>0</v>
      </c>
      <c r="R180" s="179">
        <f ca="1">IF(ISNUMBER(MATCH(DATEVALUE($A180),'recurring1_based on steps'!R$1:R$400,0)),R$2,)</f>
        <v>0</v>
      </c>
      <c r="S180" s="179">
        <f ca="1">IF(ISNUMBER(MATCH(DATEVALUE($A180),'recurring1_based on steps'!S$1:S$400,0)),S$2,)</f>
        <v>0</v>
      </c>
      <c r="T180" s="179">
        <f ca="1">IF(ISNUMBER(MATCH(DATEVALUE($A180),'recurring1_based on steps'!T$1:T$400,0)),T$2,)</f>
        <v>0</v>
      </c>
      <c r="U180" s="179">
        <f ca="1">IF(ISNUMBER(MATCH(DATEVALUE($A180),'recurring1_based on steps'!U$1:U$400,0)),U$2,)</f>
        <v>0</v>
      </c>
      <c r="V180" s="179">
        <f ca="1">IF(ISNUMBER(MATCH(DATEVALUE($A180),'recurring1_based on steps'!V$1:V$400,0)),V$2,)</f>
        <v>0</v>
      </c>
      <c r="W180" s="179">
        <f ca="1">IF(ISNUMBER(MATCH(DATEVALUE($A180),'recurring1_based on steps'!W$1:W$400,0)),W$2,)</f>
        <v>0</v>
      </c>
      <c r="X180" s="179">
        <f ca="1">IF(ISNUMBER(MATCH(DATEVALUE($A180),'recurring1_based on steps'!X$1:X$400,0)),X$2,)</f>
        <v>0</v>
      </c>
      <c r="Y180" s="179">
        <f ca="1">IF(ISNUMBER(MATCH(DATEVALUE($A180),'recurring1_based on steps'!Y$1:Y$400,0)),Y$2,)</f>
        <v>0</v>
      </c>
      <c r="Z180" s="179">
        <f ca="1">IF(ISNUMBER(MATCH(DATEVALUE($A180),'recurring1_based on steps'!Z$1:Z$400,0)),Z$2,)</f>
        <v>0</v>
      </c>
      <c r="AA180" s="179">
        <f ca="1">IF(ISNUMBER(MATCH(DATEVALUE($A180),'recurring1_based on steps'!AA$1:AA$400,0)),AA$2,)</f>
        <v>0</v>
      </c>
      <c r="AB180" s="179">
        <f ca="1">IF(ISNUMBER(MATCH(DATEVALUE($A180),'recurring1_based on steps'!AB$1:AB$400,0)),AB$2,)</f>
        <v>0</v>
      </c>
      <c r="AC180" s="179">
        <f ca="1">IF(ISNUMBER(MATCH(DATEVALUE($A180),'recurring1_based on steps'!AC$1:AC$400,0)),AC$2,)</f>
        <v>0</v>
      </c>
      <c r="AD180" s="179">
        <f ca="1">IF(ISNUMBER(MATCH(DATEVALUE($A180),'recurring1_based on steps'!AD$1:AD$400,0)),AD$2,)</f>
        <v>0</v>
      </c>
      <c r="AE180" s="179">
        <f ca="1">IF(ISNUMBER(MATCH(DATEVALUE($A180),'recurring1_based on steps'!AE$1:AE$400,0)),AE$2,)</f>
        <v>0</v>
      </c>
      <c r="AF180" s="179">
        <f ca="1">IF(ISNUMBER(MATCH(DATEVALUE($A180),'recurring1_based on steps'!AF$1:AF$400,0)),AF$2,)</f>
        <v>0</v>
      </c>
      <c r="AG180" s="179">
        <f ca="1">IF(ISNUMBER(MATCH(DATEVALUE($A180),'recurring1_based on steps'!AG$1:AG$400,0)),AG$2,)</f>
        <v>0</v>
      </c>
      <c r="AH180" s="179">
        <f ca="1">IF(ISNUMBER(MATCH(DATEVALUE($A180),'recurring1_based on steps'!AH$1:AH$400,0)),AH$2,)</f>
        <v>0</v>
      </c>
      <c r="AI180" s="179">
        <f ca="1">IF(ISNUMBER(MATCH(DATEVALUE($A180),'recurring1_based on steps'!AI$1:AI$400,0)),AI$2,)</f>
        <v>0</v>
      </c>
      <c r="AJ180" s="179">
        <f ca="1">IF(ISNUMBER(MATCH(DATEVALUE($A180),'recurring1_based on steps'!AJ$1:AJ$400,0)),AJ$2,)</f>
        <v>0</v>
      </c>
      <c r="AK180" s="179">
        <f ca="1">IF(ISNUMBER(MATCH(DATEVALUE($A180),'recurring1_based on steps'!AK$1:AK$400,0)),AK$2,)</f>
        <v>0</v>
      </c>
      <c r="AL180" s="179">
        <f ca="1">IF(ISNUMBER(MATCH(DATEVALUE($A180),'recurring1_based on steps'!AL$1:AL$400,0)),AL$2,)</f>
        <v>0</v>
      </c>
      <c r="AM180" s="179">
        <f ca="1">IF(ISNUMBER(MATCH(DATEVALUE($A180),'recurring1_based on steps'!AM$1:AM$400,0)),AM$2,)</f>
        <v>0</v>
      </c>
      <c r="AN180" s="179">
        <f ca="1">IF(ISNUMBER(MATCH(DATEVALUE($A180),'recurring1_based on steps'!AN$1:AN$400,0)),AN$2,)</f>
        <v>0</v>
      </c>
      <c r="AO180" s="179">
        <f ca="1">IF(ISNUMBER(MATCH(DATEVALUE($A180),'recurring1_based on steps'!AO$1:AO$400,0)),AO$2,)</f>
        <v>0</v>
      </c>
      <c r="AP180" s="179">
        <f ca="1">IF(ISNUMBER(MATCH(DATEVALUE($A180),'recurring1_based on steps'!AP$1:AP$400,0)),AP$2,)</f>
        <v>0</v>
      </c>
      <c r="AQ180" s="179">
        <f ca="1">IF(ISNUMBER(MATCH(DATEVALUE($A180),'recurring1_based on steps'!AQ$1:AQ$400,0)),AQ$2,)</f>
        <v>0</v>
      </c>
      <c r="AR180" s="179">
        <f ca="1">IF(ISNUMBER(MATCH(DATEVALUE($A180),'recurring1_based on steps'!AR$1:AR$400,0)),AR$2,)</f>
        <v>0</v>
      </c>
      <c r="AS180" s="179">
        <f ca="1">IF(ISNUMBER(MATCH(DATEVALUE($A180),'recurring1_based on steps'!AS$1:AS$400,0)),AS$2,)</f>
        <v>0</v>
      </c>
      <c r="AT180" s="179">
        <f ca="1">IF(ISNUMBER(MATCH(DATEVALUE($A180),'recurring1_based on steps'!AT$1:AT$400,0)),AT$2,)</f>
        <v>0</v>
      </c>
      <c r="AU180" s="179">
        <f ca="1">IF(ISNUMBER(MATCH(DATEVALUE($A180),'recurring1_based on steps'!AU$1:AU$400,0)),AU$2,)</f>
        <v>0</v>
      </c>
      <c r="AV180" s="179">
        <f ca="1">IF(ISNUMBER(MATCH(DATEVALUE($A180),'recurring1_based on steps'!AV$1:AV$400,0)),AV$2,)</f>
        <v>0</v>
      </c>
      <c r="AW180" s="179">
        <f ca="1">IF(ISNUMBER(MATCH(DATEVALUE($A180),'recurring1_based on steps'!AW$1:AW$400,0)),AW$2,)</f>
        <v>0</v>
      </c>
      <c r="AX180" s="179">
        <f ca="1">IF(ISNUMBER(MATCH(DATEVALUE($A180),'recurring1_based on steps'!AX$1:AX$400,0)),AX$2,)</f>
        <v>0</v>
      </c>
      <c r="AY180" s="179">
        <f ca="1">IF(ISNUMBER(MATCH(DATEVALUE($A180),'recurring1_based on steps'!AY$1:AY$400,0)),AY$2,)</f>
        <v>0</v>
      </c>
    </row>
    <row r="181" spans="1:51" x14ac:dyDescent="0.2">
      <c r="A181" s="32" t="str">
        <f t="shared" ca="1" si="2"/>
        <v>2025-09-23</v>
      </c>
      <c r="B181" s="179">
        <f ca="1">IF(ISNUMBER(MATCH(DATEVALUE($A181),'recurring1_based on steps'!B$1:B$400,0)),B$2,)</f>
        <v>0</v>
      </c>
      <c r="C181" s="179">
        <f ca="1">IF(ISNUMBER(MATCH(DATEVALUE($A181),'recurring1_based on steps'!C$1:C$400,0)),C$2,)</f>
        <v>0</v>
      </c>
      <c r="D181" s="179">
        <f ca="1">IF(ISNUMBER(MATCH(DATEVALUE($A181),'recurring1_based on steps'!D$1:D$400,0)),D$2,)</f>
        <v>0</v>
      </c>
      <c r="E181" s="179">
        <f ca="1">IF(ISNUMBER(MATCH(DATEVALUE($A181),'recurring1_based on steps'!E$1:E$400,0)),E$2,)</f>
        <v>0</v>
      </c>
      <c r="F181" s="179">
        <f ca="1">IF(ISNUMBER(MATCH(DATEVALUE($A181),'recurring1_based on steps'!F$1:F$400,0)),F$2,)</f>
        <v>0</v>
      </c>
      <c r="G181" s="179">
        <f ca="1">IF(ISNUMBER(MATCH(DATEVALUE($A181),'recurring1_based on steps'!G$1:G$400,0)),G$2,)</f>
        <v>0</v>
      </c>
      <c r="H181" s="179">
        <f ca="1">IF(ISNUMBER(MATCH(DATEVALUE($A181),'recurring1_based on steps'!H$1:H$400,0)),H$2,)</f>
        <v>0</v>
      </c>
      <c r="I181" s="179">
        <f ca="1">IF(ISNUMBER(MATCH(DATEVALUE($A181),'recurring1_based on steps'!I$1:I$400,0)),I$2,)</f>
        <v>0</v>
      </c>
      <c r="J181" s="179">
        <f ca="1">IF(ISNUMBER(MATCH(DATEVALUE($A181),'recurring1_based on steps'!J$1:J$400,0)),J$2,)</f>
        <v>0</v>
      </c>
      <c r="K181" s="179">
        <f ca="1">IF(ISNUMBER(MATCH(DATEVALUE($A181),'recurring1_based on steps'!K$1:K$400,0)),K$2,)</f>
        <v>0</v>
      </c>
      <c r="L181" s="179">
        <f ca="1">IF(ISNUMBER(MATCH(DATEVALUE($A181),'recurring1_based on steps'!L$1:L$400,0)),L$2,)</f>
        <v>0</v>
      </c>
      <c r="M181" s="179">
        <f ca="1">IF(ISNUMBER(MATCH(DATEVALUE($A181),'recurring1_based on steps'!M$1:M$400,0)),M$2,)</f>
        <v>0</v>
      </c>
      <c r="N181" s="179">
        <f ca="1">IF(ISNUMBER(MATCH(DATEVALUE($A181),'recurring1_based on steps'!N$1:N$400,0)),N$2,)</f>
        <v>0</v>
      </c>
      <c r="O181" s="179">
        <f ca="1">IF(ISNUMBER(MATCH(DATEVALUE($A181),'recurring1_based on steps'!O$1:O$400,0)),O$2,)</f>
        <v>0</v>
      </c>
      <c r="P181" s="179">
        <f ca="1">IF(ISNUMBER(MATCH(DATEVALUE($A181),'recurring1_based on steps'!P$1:P$400,0)),P$2,)</f>
        <v>0</v>
      </c>
      <c r="Q181" s="179">
        <f ca="1">IF(ISNUMBER(MATCH(DATEVALUE($A181),'recurring1_based on steps'!Q$1:Q$400,0)),Q$2,)</f>
        <v>0</v>
      </c>
      <c r="R181" s="179">
        <f ca="1">IF(ISNUMBER(MATCH(DATEVALUE($A181),'recurring1_based on steps'!R$1:R$400,0)),R$2,)</f>
        <v>0</v>
      </c>
      <c r="S181" s="179">
        <f ca="1">IF(ISNUMBER(MATCH(DATEVALUE($A181),'recurring1_based on steps'!S$1:S$400,0)),S$2,)</f>
        <v>0</v>
      </c>
      <c r="T181" s="179">
        <f ca="1">IF(ISNUMBER(MATCH(DATEVALUE($A181),'recurring1_based on steps'!T$1:T$400,0)),T$2,)</f>
        <v>0</v>
      </c>
      <c r="U181" s="179">
        <f ca="1">IF(ISNUMBER(MATCH(DATEVALUE($A181),'recurring1_based on steps'!U$1:U$400,0)),U$2,)</f>
        <v>0</v>
      </c>
      <c r="V181" s="179">
        <f ca="1">IF(ISNUMBER(MATCH(DATEVALUE($A181),'recurring1_based on steps'!V$1:V$400,0)),V$2,)</f>
        <v>0</v>
      </c>
      <c r="W181" s="179">
        <f ca="1">IF(ISNUMBER(MATCH(DATEVALUE($A181),'recurring1_based on steps'!W$1:W$400,0)),W$2,)</f>
        <v>0</v>
      </c>
      <c r="X181" s="179">
        <f ca="1">IF(ISNUMBER(MATCH(DATEVALUE($A181),'recurring1_based on steps'!X$1:X$400,0)),X$2,)</f>
        <v>0</v>
      </c>
      <c r="Y181" s="179">
        <f ca="1">IF(ISNUMBER(MATCH(DATEVALUE($A181),'recurring1_based on steps'!Y$1:Y$400,0)),Y$2,)</f>
        <v>0</v>
      </c>
      <c r="Z181" s="179">
        <f ca="1">IF(ISNUMBER(MATCH(DATEVALUE($A181),'recurring1_based on steps'!Z$1:Z$400,0)),Z$2,)</f>
        <v>0</v>
      </c>
      <c r="AA181" s="179">
        <f ca="1">IF(ISNUMBER(MATCH(DATEVALUE($A181),'recurring1_based on steps'!AA$1:AA$400,0)),AA$2,)</f>
        <v>0</v>
      </c>
      <c r="AB181" s="179">
        <f ca="1">IF(ISNUMBER(MATCH(DATEVALUE($A181),'recurring1_based on steps'!AB$1:AB$400,0)),AB$2,)</f>
        <v>0</v>
      </c>
      <c r="AC181" s="179">
        <f ca="1">IF(ISNUMBER(MATCH(DATEVALUE($A181),'recurring1_based on steps'!AC$1:AC$400,0)),AC$2,)</f>
        <v>0</v>
      </c>
      <c r="AD181" s="179">
        <f ca="1">IF(ISNUMBER(MATCH(DATEVALUE($A181),'recurring1_based on steps'!AD$1:AD$400,0)),AD$2,)</f>
        <v>0</v>
      </c>
      <c r="AE181" s="179">
        <f ca="1">IF(ISNUMBER(MATCH(DATEVALUE($A181),'recurring1_based on steps'!AE$1:AE$400,0)),AE$2,)</f>
        <v>0</v>
      </c>
      <c r="AF181" s="179">
        <f ca="1">IF(ISNUMBER(MATCH(DATEVALUE($A181),'recurring1_based on steps'!AF$1:AF$400,0)),AF$2,)</f>
        <v>0</v>
      </c>
      <c r="AG181" s="179">
        <f ca="1">IF(ISNUMBER(MATCH(DATEVALUE($A181),'recurring1_based on steps'!AG$1:AG$400,0)),AG$2,)</f>
        <v>0</v>
      </c>
      <c r="AH181" s="179">
        <f ca="1">IF(ISNUMBER(MATCH(DATEVALUE($A181),'recurring1_based on steps'!AH$1:AH$400,0)),AH$2,)</f>
        <v>0</v>
      </c>
      <c r="AI181" s="179">
        <f ca="1">IF(ISNUMBER(MATCH(DATEVALUE($A181),'recurring1_based on steps'!AI$1:AI$400,0)),AI$2,)</f>
        <v>0</v>
      </c>
      <c r="AJ181" s="179">
        <f ca="1">IF(ISNUMBER(MATCH(DATEVALUE($A181),'recurring1_based on steps'!AJ$1:AJ$400,0)),AJ$2,)</f>
        <v>0</v>
      </c>
      <c r="AK181" s="179">
        <f ca="1">IF(ISNUMBER(MATCH(DATEVALUE($A181),'recurring1_based on steps'!AK$1:AK$400,0)),AK$2,)</f>
        <v>0</v>
      </c>
      <c r="AL181" s="179">
        <f ca="1">IF(ISNUMBER(MATCH(DATEVALUE($A181),'recurring1_based on steps'!AL$1:AL$400,0)),AL$2,)</f>
        <v>0</v>
      </c>
      <c r="AM181" s="179">
        <f ca="1">IF(ISNUMBER(MATCH(DATEVALUE($A181),'recurring1_based on steps'!AM$1:AM$400,0)),AM$2,)</f>
        <v>0</v>
      </c>
      <c r="AN181" s="179">
        <f ca="1">IF(ISNUMBER(MATCH(DATEVALUE($A181),'recurring1_based on steps'!AN$1:AN$400,0)),AN$2,)</f>
        <v>0</v>
      </c>
      <c r="AO181" s="179">
        <f ca="1">IF(ISNUMBER(MATCH(DATEVALUE($A181),'recurring1_based on steps'!AO$1:AO$400,0)),AO$2,)</f>
        <v>0</v>
      </c>
      <c r="AP181" s="179">
        <f ca="1">IF(ISNUMBER(MATCH(DATEVALUE($A181),'recurring1_based on steps'!AP$1:AP$400,0)),AP$2,)</f>
        <v>0</v>
      </c>
      <c r="AQ181" s="179">
        <f ca="1">IF(ISNUMBER(MATCH(DATEVALUE($A181),'recurring1_based on steps'!AQ$1:AQ$400,0)),AQ$2,)</f>
        <v>0</v>
      </c>
      <c r="AR181" s="179">
        <f ca="1">IF(ISNUMBER(MATCH(DATEVALUE($A181),'recurring1_based on steps'!AR$1:AR$400,0)),AR$2,)</f>
        <v>0</v>
      </c>
      <c r="AS181" s="179">
        <f ca="1">IF(ISNUMBER(MATCH(DATEVALUE($A181),'recurring1_based on steps'!AS$1:AS$400,0)),AS$2,)</f>
        <v>0</v>
      </c>
      <c r="AT181" s="179">
        <f ca="1">IF(ISNUMBER(MATCH(DATEVALUE($A181),'recurring1_based on steps'!AT$1:AT$400,0)),AT$2,)</f>
        <v>0</v>
      </c>
      <c r="AU181" s="179">
        <f ca="1">IF(ISNUMBER(MATCH(DATEVALUE($A181),'recurring1_based on steps'!AU$1:AU$400,0)),AU$2,)</f>
        <v>0</v>
      </c>
      <c r="AV181" s="179">
        <f ca="1">IF(ISNUMBER(MATCH(DATEVALUE($A181),'recurring1_based on steps'!AV$1:AV$400,0)),AV$2,)</f>
        <v>0</v>
      </c>
      <c r="AW181" s="179">
        <f ca="1">IF(ISNUMBER(MATCH(DATEVALUE($A181),'recurring1_based on steps'!AW$1:AW$400,0)),AW$2,)</f>
        <v>0</v>
      </c>
      <c r="AX181" s="179">
        <f ca="1">IF(ISNUMBER(MATCH(DATEVALUE($A181),'recurring1_based on steps'!AX$1:AX$400,0)),AX$2,)</f>
        <v>0</v>
      </c>
      <c r="AY181" s="179">
        <f ca="1">IF(ISNUMBER(MATCH(DATEVALUE($A181),'recurring1_based on steps'!AY$1:AY$400,0)),AY$2,)</f>
        <v>0</v>
      </c>
    </row>
    <row r="182" spans="1:51" x14ac:dyDescent="0.2">
      <c r="A182" s="32" t="str">
        <f t="shared" ca="1" si="2"/>
        <v>2025-09-24</v>
      </c>
      <c r="B182" s="179">
        <f ca="1">IF(ISNUMBER(MATCH(DATEVALUE($A182),'recurring1_based on steps'!B$1:B$400,0)),B$2,)</f>
        <v>0</v>
      </c>
      <c r="C182" s="179">
        <f ca="1">IF(ISNUMBER(MATCH(DATEVALUE($A182),'recurring1_based on steps'!C$1:C$400,0)),C$2,)</f>
        <v>0</v>
      </c>
      <c r="D182" s="179">
        <f ca="1">IF(ISNUMBER(MATCH(DATEVALUE($A182),'recurring1_based on steps'!D$1:D$400,0)),D$2,)</f>
        <v>0</v>
      </c>
      <c r="E182" s="179">
        <f ca="1">IF(ISNUMBER(MATCH(DATEVALUE($A182),'recurring1_based on steps'!E$1:E$400,0)),E$2,)</f>
        <v>0</v>
      </c>
      <c r="F182" s="179">
        <f ca="1">IF(ISNUMBER(MATCH(DATEVALUE($A182),'recurring1_based on steps'!F$1:F$400,0)),F$2,)</f>
        <v>0</v>
      </c>
      <c r="G182" s="179">
        <f ca="1">IF(ISNUMBER(MATCH(DATEVALUE($A182),'recurring1_based on steps'!G$1:G$400,0)),G$2,)</f>
        <v>0</v>
      </c>
      <c r="H182" s="179">
        <f ca="1">IF(ISNUMBER(MATCH(DATEVALUE($A182),'recurring1_based on steps'!H$1:H$400,0)),H$2,)</f>
        <v>0</v>
      </c>
      <c r="I182" s="179">
        <f ca="1">IF(ISNUMBER(MATCH(DATEVALUE($A182),'recurring1_based on steps'!I$1:I$400,0)),I$2,)</f>
        <v>0</v>
      </c>
      <c r="J182" s="179">
        <f ca="1">IF(ISNUMBER(MATCH(DATEVALUE($A182),'recurring1_based on steps'!J$1:J$400,0)),J$2,)</f>
        <v>0</v>
      </c>
      <c r="K182" s="179">
        <f ca="1">IF(ISNUMBER(MATCH(DATEVALUE($A182),'recurring1_based on steps'!K$1:K$400,0)),K$2,)</f>
        <v>0</v>
      </c>
      <c r="L182" s="179">
        <f ca="1">IF(ISNUMBER(MATCH(DATEVALUE($A182),'recurring1_based on steps'!L$1:L$400,0)),L$2,)</f>
        <v>0</v>
      </c>
      <c r="M182" s="179">
        <f ca="1">IF(ISNUMBER(MATCH(DATEVALUE($A182),'recurring1_based on steps'!M$1:M$400,0)),M$2,)</f>
        <v>0</v>
      </c>
      <c r="N182" s="179">
        <f ca="1">IF(ISNUMBER(MATCH(DATEVALUE($A182),'recurring1_based on steps'!N$1:N$400,0)),N$2,)</f>
        <v>0</v>
      </c>
      <c r="O182" s="179">
        <f ca="1">IF(ISNUMBER(MATCH(DATEVALUE($A182),'recurring1_based on steps'!O$1:O$400,0)),O$2,)</f>
        <v>0</v>
      </c>
      <c r="P182" s="179">
        <f ca="1">IF(ISNUMBER(MATCH(DATEVALUE($A182),'recurring1_based on steps'!P$1:P$400,0)),P$2,)</f>
        <v>0</v>
      </c>
      <c r="Q182" s="179">
        <f ca="1">IF(ISNUMBER(MATCH(DATEVALUE($A182),'recurring1_based on steps'!Q$1:Q$400,0)),Q$2,)</f>
        <v>0</v>
      </c>
      <c r="R182" s="179">
        <f ca="1">IF(ISNUMBER(MATCH(DATEVALUE($A182),'recurring1_based on steps'!R$1:R$400,0)),R$2,)</f>
        <v>0</v>
      </c>
      <c r="S182" s="179">
        <f ca="1">IF(ISNUMBER(MATCH(DATEVALUE($A182),'recurring1_based on steps'!S$1:S$400,0)),S$2,)</f>
        <v>0</v>
      </c>
      <c r="T182" s="179">
        <f ca="1">IF(ISNUMBER(MATCH(DATEVALUE($A182),'recurring1_based on steps'!T$1:T$400,0)),T$2,)</f>
        <v>0</v>
      </c>
      <c r="U182" s="179">
        <f ca="1">IF(ISNUMBER(MATCH(DATEVALUE($A182),'recurring1_based on steps'!U$1:U$400,0)),U$2,)</f>
        <v>0</v>
      </c>
      <c r="V182" s="179">
        <f ca="1">IF(ISNUMBER(MATCH(DATEVALUE($A182),'recurring1_based on steps'!V$1:V$400,0)),V$2,)</f>
        <v>0</v>
      </c>
      <c r="W182" s="179">
        <f ca="1">IF(ISNUMBER(MATCH(DATEVALUE($A182),'recurring1_based on steps'!W$1:W$400,0)),W$2,)</f>
        <v>0</v>
      </c>
      <c r="X182" s="179">
        <f ca="1">IF(ISNUMBER(MATCH(DATEVALUE($A182),'recurring1_based on steps'!X$1:X$400,0)),X$2,)</f>
        <v>0</v>
      </c>
      <c r="Y182" s="179">
        <f ca="1">IF(ISNUMBER(MATCH(DATEVALUE($A182),'recurring1_based on steps'!Y$1:Y$400,0)),Y$2,)</f>
        <v>0</v>
      </c>
      <c r="Z182" s="179">
        <f ca="1">IF(ISNUMBER(MATCH(DATEVALUE($A182),'recurring1_based on steps'!Z$1:Z$400,0)),Z$2,)</f>
        <v>0</v>
      </c>
      <c r="AA182" s="179">
        <f ca="1">IF(ISNUMBER(MATCH(DATEVALUE($A182),'recurring1_based on steps'!AA$1:AA$400,0)),AA$2,)</f>
        <v>0</v>
      </c>
      <c r="AB182" s="179">
        <f ca="1">IF(ISNUMBER(MATCH(DATEVALUE($A182),'recurring1_based on steps'!AB$1:AB$400,0)),AB$2,)</f>
        <v>0</v>
      </c>
      <c r="AC182" s="179">
        <f ca="1">IF(ISNUMBER(MATCH(DATEVALUE($A182),'recurring1_based on steps'!AC$1:AC$400,0)),AC$2,)</f>
        <v>0</v>
      </c>
      <c r="AD182" s="179">
        <f ca="1">IF(ISNUMBER(MATCH(DATEVALUE($A182),'recurring1_based on steps'!AD$1:AD$400,0)),AD$2,)</f>
        <v>0</v>
      </c>
      <c r="AE182" s="179">
        <f ca="1">IF(ISNUMBER(MATCH(DATEVALUE($A182),'recurring1_based on steps'!AE$1:AE$400,0)),AE$2,)</f>
        <v>0</v>
      </c>
      <c r="AF182" s="179">
        <f ca="1">IF(ISNUMBER(MATCH(DATEVALUE($A182),'recurring1_based on steps'!AF$1:AF$400,0)),AF$2,)</f>
        <v>0</v>
      </c>
      <c r="AG182" s="179">
        <f ca="1">IF(ISNUMBER(MATCH(DATEVALUE($A182),'recurring1_based on steps'!AG$1:AG$400,0)),AG$2,)</f>
        <v>0</v>
      </c>
      <c r="AH182" s="179">
        <f ca="1">IF(ISNUMBER(MATCH(DATEVALUE($A182),'recurring1_based on steps'!AH$1:AH$400,0)),AH$2,)</f>
        <v>0</v>
      </c>
      <c r="AI182" s="179">
        <f ca="1">IF(ISNUMBER(MATCH(DATEVALUE($A182),'recurring1_based on steps'!AI$1:AI$400,0)),AI$2,)</f>
        <v>0</v>
      </c>
      <c r="AJ182" s="179">
        <f ca="1">IF(ISNUMBER(MATCH(DATEVALUE($A182),'recurring1_based on steps'!AJ$1:AJ$400,0)),AJ$2,)</f>
        <v>0</v>
      </c>
      <c r="AK182" s="179">
        <f ca="1">IF(ISNUMBER(MATCH(DATEVALUE($A182),'recurring1_based on steps'!AK$1:AK$400,0)),AK$2,)</f>
        <v>0</v>
      </c>
      <c r="AL182" s="179">
        <f ca="1">IF(ISNUMBER(MATCH(DATEVALUE($A182),'recurring1_based on steps'!AL$1:AL$400,0)),AL$2,)</f>
        <v>0</v>
      </c>
      <c r="AM182" s="179">
        <f ca="1">IF(ISNUMBER(MATCH(DATEVALUE($A182),'recurring1_based on steps'!AM$1:AM$400,0)),AM$2,)</f>
        <v>0</v>
      </c>
      <c r="AN182" s="179">
        <f ca="1">IF(ISNUMBER(MATCH(DATEVALUE($A182),'recurring1_based on steps'!AN$1:AN$400,0)),AN$2,)</f>
        <v>0</v>
      </c>
      <c r="AO182" s="179">
        <f ca="1">IF(ISNUMBER(MATCH(DATEVALUE($A182),'recurring1_based on steps'!AO$1:AO$400,0)),AO$2,)</f>
        <v>0</v>
      </c>
      <c r="AP182" s="179">
        <f ca="1">IF(ISNUMBER(MATCH(DATEVALUE($A182),'recurring1_based on steps'!AP$1:AP$400,0)),AP$2,)</f>
        <v>0</v>
      </c>
      <c r="AQ182" s="179">
        <f ca="1">IF(ISNUMBER(MATCH(DATEVALUE($A182),'recurring1_based on steps'!AQ$1:AQ$400,0)),AQ$2,)</f>
        <v>0</v>
      </c>
      <c r="AR182" s="179">
        <f ca="1">IF(ISNUMBER(MATCH(DATEVALUE($A182),'recurring1_based on steps'!AR$1:AR$400,0)),AR$2,)</f>
        <v>0</v>
      </c>
      <c r="AS182" s="179">
        <f ca="1">IF(ISNUMBER(MATCH(DATEVALUE($A182),'recurring1_based on steps'!AS$1:AS$400,0)),AS$2,)</f>
        <v>0</v>
      </c>
      <c r="AT182" s="179">
        <f ca="1">IF(ISNUMBER(MATCH(DATEVALUE($A182),'recurring1_based on steps'!AT$1:AT$400,0)),AT$2,)</f>
        <v>0</v>
      </c>
      <c r="AU182" s="179">
        <f ca="1">IF(ISNUMBER(MATCH(DATEVALUE($A182),'recurring1_based on steps'!AU$1:AU$400,0)),AU$2,)</f>
        <v>0</v>
      </c>
      <c r="AV182" s="179">
        <f ca="1">IF(ISNUMBER(MATCH(DATEVALUE($A182),'recurring1_based on steps'!AV$1:AV$400,0)),AV$2,)</f>
        <v>0</v>
      </c>
      <c r="AW182" s="179">
        <f ca="1">IF(ISNUMBER(MATCH(DATEVALUE($A182),'recurring1_based on steps'!AW$1:AW$400,0)),AW$2,)</f>
        <v>0</v>
      </c>
      <c r="AX182" s="179">
        <f ca="1">IF(ISNUMBER(MATCH(DATEVALUE($A182),'recurring1_based on steps'!AX$1:AX$400,0)),AX$2,)</f>
        <v>0</v>
      </c>
      <c r="AY182" s="179">
        <f ca="1">IF(ISNUMBER(MATCH(DATEVALUE($A182),'recurring1_based on steps'!AY$1:AY$400,0)),AY$2,)</f>
        <v>0</v>
      </c>
    </row>
    <row r="183" spans="1:51" x14ac:dyDescent="0.2">
      <c r="A183" s="32" t="str">
        <f t="shared" ca="1" si="2"/>
        <v>2025-09-25</v>
      </c>
      <c r="B183" s="179">
        <f ca="1">IF(ISNUMBER(MATCH(DATEVALUE($A183),'recurring1_based on steps'!B$1:B$400,0)),B$2,)</f>
        <v>0</v>
      </c>
      <c r="C183" s="179">
        <f ca="1">IF(ISNUMBER(MATCH(DATEVALUE($A183),'recurring1_based on steps'!C$1:C$400,0)),C$2,)</f>
        <v>0</v>
      </c>
      <c r="D183" s="179">
        <f ca="1">IF(ISNUMBER(MATCH(DATEVALUE($A183),'recurring1_based on steps'!D$1:D$400,0)),D$2,)</f>
        <v>0</v>
      </c>
      <c r="E183" s="179">
        <f ca="1">IF(ISNUMBER(MATCH(DATEVALUE($A183),'recurring1_based on steps'!E$1:E$400,0)),E$2,)</f>
        <v>0</v>
      </c>
      <c r="F183" s="179">
        <f ca="1">IF(ISNUMBER(MATCH(DATEVALUE($A183),'recurring1_based on steps'!F$1:F$400,0)),F$2,)</f>
        <v>0</v>
      </c>
      <c r="G183" s="179">
        <f ca="1">IF(ISNUMBER(MATCH(DATEVALUE($A183),'recurring1_based on steps'!G$1:G$400,0)),G$2,)</f>
        <v>0</v>
      </c>
      <c r="H183" s="179">
        <f ca="1">IF(ISNUMBER(MATCH(DATEVALUE($A183),'recurring1_based on steps'!H$1:H$400,0)),H$2,)</f>
        <v>0</v>
      </c>
      <c r="I183" s="179">
        <f ca="1">IF(ISNUMBER(MATCH(DATEVALUE($A183),'recurring1_based on steps'!I$1:I$400,0)),I$2,)</f>
        <v>0</v>
      </c>
      <c r="J183" s="179">
        <f ca="1">IF(ISNUMBER(MATCH(DATEVALUE($A183),'recurring1_based on steps'!J$1:J$400,0)),J$2,)</f>
        <v>0</v>
      </c>
      <c r="K183" s="179">
        <f ca="1">IF(ISNUMBER(MATCH(DATEVALUE($A183),'recurring1_based on steps'!K$1:K$400,0)),K$2,)</f>
        <v>0</v>
      </c>
      <c r="L183" s="179">
        <f ca="1">IF(ISNUMBER(MATCH(DATEVALUE($A183),'recurring1_based on steps'!L$1:L$400,0)),L$2,)</f>
        <v>0</v>
      </c>
      <c r="M183" s="179">
        <f ca="1">IF(ISNUMBER(MATCH(DATEVALUE($A183),'recurring1_based on steps'!M$1:M$400,0)),M$2,)</f>
        <v>0</v>
      </c>
      <c r="N183" s="179">
        <f ca="1">IF(ISNUMBER(MATCH(DATEVALUE($A183),'recurring1_based on steps'!N$1:N$400,0)),N$2,)</f>
        <v>0</v>
      </c>
      <c r="O183" s="179">
        <f ca="1">IF(ISNUMBER(MATCH(DATEVALUE($A183),'recurring1_based on steps'!O$1:O$400,0)),O$2,)</f>
        <v>0</v>
      </c>
      <c r="P183" s="179">
        <f ca="1">IF(ISNUMBER(MATCH(DATEVALUE($A183),'recurring1_based on steps'!P$1:P$400,0)),P$2,)</f>
        <v>0</v>
      </c>
      <c r="Q183" s="179">
        <f ca="1">IF(ISNUMBER(MATCH(DATEVALUE($A183),'recurring1_based on steps'!Q$1:Q$400,0)),Q$2,)</f>
        <v>0</v>
      </c>
      <c r="R183" s="179">
        <f ca="1">IF(ISNUMBER(MATCH(DATEVALUE($A183),'recurring1_based on steps'!R$1:R$400,0)),R$2,)</f>
        <v>0</v>
      </c>
      <c r="S183" s="179">
        <f ca="1">IF(ISNUMBER(MATCH(DATEVALUE($A183),'recurring1_based on steps'!S$1:S$400,0)),S$2,)</f>
        <v>0</v>
      </c>
      <c r="T183" s="179">
        <f ca="1">IF(ISNUMBER(MATCH(DATEVALUE($A183),'recurring1_based on steps'!T$1:T$400,0)),T$2,)</f>
        <v>0</v>
      </c>
      <c r="U183" s="179">
        <f ca="1">IF(ISNUMBER(MATCH(DATEVALUE($A183),'recurring1_based on steps'!U$1:U$400,0)),U$2,)</f>
        <v>0</v>
      </c>
      <c r="V183" s="179">
        <f ca="1">IF(ISNUMBER(MATCH(DATEVALUE($A183),'recurring1_based on steps'!V$1:V$400,0)),V$2,)</f>
        <v>0</v>
      </c>
      <c r="W183" s="179">
        <f ca="1">IF(ISNUMBER(MATCH(DATEVALUE($A183),'recurring1_based on steps'!W$1:W$400,0)),W$2,)</f>
        <v>0</v>
      </c>
      <c r="X183" s="179">
        <f ca="1">IF(ISNUMBER(MATCH(DATEVALUE($A183),'recurring1_based on steps'!X$1:X$400,0)),X$2,)</f>
        <v>0</v>
      </c>
      <c r="Y183" s="179">
        <f ca="1">IF(ISNUMBER(MATCH(DATEVALUE($A183),'recurring1_based on steps'!Y$1:Y$400,0)),Y$2,)</f>
        <v>0</v>
      </c>
      <c r="Z183" s="179">
        <f ca="1">IF(ISNUMBER(MATCH(DATEVALUE($A183),'recurring1_based on steps'!Z$1:Z$400,0)),Z$2,)</f>
        <v>0</v>
      </c>
      <c r="AA183" s="179">
        <f ca="1">IF(ISNUMBER(MATCH(DATEVALUE($A183),'recurring1_based on steps'!AA$1:AA$400,0)),AA$2,)</f>
        <v>0</v>
      </c>
      <c r="AB183" s="179">
        <f ca="1">IF(ISNUMBER(MATCH(DATEVALUE($A183),'recurring1_based on steps'!AB$1:AB$400,0)),AB$2,)</f>
        <v>0</v>
      </c>
      <c r="AC183" s="179">
        <f ca="1">IF(ISNUMBER(MATCH(DATEVALUE($A183),'recurring1_based on steps'!AC$1:AC$400,0)),AC$2,)</f>
        <v>0</v>
      </c>
      <c r="AD183" s="179">
        <f ca="1">IF(ISNUMBER(MATCH(DATEVALUE($A183),'recurring1_based on steps'!AD$1:AD$400,0)),AD$2,)</f>
        <v>0</v>
      </c>
      <c r="AE183" s="179">
        <f ca="1">IF(ISNUMBER(MATCH(DATEVALUE($A183),'recurring1_based on steps'!AE$1:AE$400,0)),AE$2,)</f>
        <v>0</v>
      </c>
      <c r="AF183" s="179">
        <f ca="1">IF(ISNUMBER(MATCH(DATEVALUE($A183),'recurring1_based on steps'!AF$1:AF$400,0)),AF$2,)</f>
        <v>0</v>
      </c>
      <c r="AG183" s="179">
        <f ca="1">IF(ISNUMBER(MATCH(DATEVALUE($A183),'recurring1_based on steps'!AG$1:AG$400,0)),AG$2,)</f>
        <v>0</v>
      </c>
      <c r="AH183" s="179">
        <f ca="1">IF(ISNUMBER(MATCH(DATEVALUE($A183),'recurring1_based on steps'!AH$1:AH$400,0)),AH$2,)</f>
        <v>0</v>
      </c>
      <c r="AI183" s="179">
        <f ca="1">IF(ISNUMBER(MATCH(DATEVALUE($A183),'recurring1_based on steps'!AI$1:AI$400,0)),AI$2,)</f>
        <v>0</v>
      </c>
      <c r="AJ183" s="179">
        <f ca="1">IF(ISNUMBER(MATCH(DATEVALUE($A183),'recurring1_based on steps'!AJ$1:AJ$400,0)),AJ$2,)</f>
        <v>0</v>
      </c>
      <c r="AK183" s="179">
        <f ca="1">IF(ISNUMBER(MATCH(DATEVALUE($A183),'recurring1_based on steps'!AK$1:AK$400,0)),AK$2,)</f>
        <v>0</v>
      </c>
      <c r="AL183" s="179">
        <f ca="1">IF(ISNUMBER(MATCH(DATEVALUE($A183),'recurring1_based on steps'!AL$1:AL$400,0)),AL$2,)</f>
        <v>0</v>
      </c>
      <c r="AM183" s="179">
        <f ca="1">IF(ISNUMBER(MATCH(DATEVALUE($A183),'recurring1_based on steps'!AM$1:AM$400,0)),AM$2,)</f>
        <v>0</v>
      </c>
      <c r="AN183" s="179">
        <f ca="1">IF(ISNUMBER(MATCH(DATEVALUE($A183),'recurring1_based on steps'!AN$1:AN$400,0)),AN$2,)</f>
        <v>0</v>
      </c>
      <c r="AO183" s="179">
        <f ca="1">IF(ISNUMBER(MATCH(DATEVALUE($A183),'recurring1_based on steps'!AO$1:AO$400,0)),AO$2,)</f>
        <v>0</v>
      </c>
      <c r="AP183" s="179">
        <f ca="1">IF(ISNUMBER(MATCH(DATEVALUE($A183),'recurring1_based on steps'!AP$1:AP$400,0)),AP$2,)</f>
        <v>0</v>
      </c>
      <c r="AQ183" s="179">
        <f ca="1">IF(ISNUMBER(MATCH(DATEVALUE($A183),'recurring1_based on steps'!AQ$1:AQ$400,0)),AQ$2,)</f>
        <v>0</v>
      </c>
      <c r="AR183" s="179">
        <f ca="1">IF(ISNUMBER(MATCH(DATEVALUE($A183),'recurring1_based on steps'!AR$1:AR$400,0)),AR$2,)</f>
        <v>0</v>
      </c>
      <c r="AS183" s="179">
        <f ca="1">IF(ISNUMBER(MATCH(DATEVALUE($A183),'recurring1_based on steps'!AS$1:AS$400,0)),AS$2,)</f>
        <v>0</v>
      </c>
      <c r="AT183" s="179">
        <f ca="1">IF(ISNUMBER(MATCH(DATEVALUE($A183),'recurring1_based on steps'!AT$1:AT$400,0)),AT$2,)</f>
        <v>0</v>
      </c>
      <c r="AU183" s="179">
        <f ca="1">IF(ISNUMBER(MATCH(DATEVALUE($A183),'recurring1_based on steps'!AU$1:AU$400,0)),AU$2,)</f>
        <v>0</v>
      </c>
      <c r="AV183" s="179">
        <f ca="1">IF(ISNUMBER(MATCH(DATEVALUE($A183),'recurring1_based on steps'!AV$1:AV$400,0)),AV$2,)</f>
        <v>0</v>
      </c>
      <c r="AW183" s="179">
        <f ca="1">IF(ISNUMBER(MATCH(DATEVALUE($A183),'recurring1_based on steps'!AW$1:AW$400,0)),AW$2,)</f>
        <v>0</v>
      </c>
      <c r="AX183" s="179">
        <f ca="1">IF(ISNUMBER(MATCH(DATEVALUE($A183),'recurring1_based on steps'!AX$1:AX$400,0)),AX$2,)</f>
        <v>0</v>
      </c>
      <c r="AY183" s="179">
        <f ca="1">IF(ISNUMBER(MATCH(DATEVALUE($A183),'recurring1_based on steps'!AY$1:AY$400,0)),AY$2,)</f>
        <v>0</v>
      </c>
    </row>
    <row r="184" spans="1:51" x14ac:dyDescent="0.2">
      <c r="A184" s="32" t="str">
        <f t="shared" ca="1" si="2"/>
        <v>2025-09-26</v>
      </c>
      <c r="B184" s="179">
        <f ca="1">IF(ISNUMBER(MATCH(DATEVALUE($A184),'recurring1_based on steps'!B$1:B$400,0)),B$2,)</f>
        <v>0</v>
      </c>
      <c r="C184" s="179">
        <f ca="1">IF(ISNUMBER(MATCH(DATEVALUE($A184),'recurring1_based on steps'!C$1:C$400,0)),C$2,)</f>
        <v>0</v>
      </c>
      <c r="D184" s="179">
        <f ca="1">IF(ISNUMBER(MATCH(DATEVALUE($A184),'recurring1_based on steps'!D$1:D$400,0)),D$2,)</f>
        <v>0</v>
      </c>
      <c r="E184" s="179">
        <f ca="1">IF(ISNUMBER(MATCH(DATEVALUE($A184),'recurring1_based on steps'!E$1:E$400,0)),E$2,)</f>
        <v>0</v>
      </c>
      <c r="F184" s="179">
        <f ca="1">IF(ISNUMBER(MATCH(DATEVALUE($A184),'recurring1_based on steps'!F$1:F$400,0)),F$2,)</f>
        <v>0</v>
      </c>
      <c r="G184" s="179">
        <f ca="1">IF(ISNUMBER(MATCH(DATEVALUE($A184),'recurring1_based on steps'!G$1:G$400,0)),G$2,)</f>
        <v>0</v>
      </c>
      <c r="H184" s="179">
        <f ca="1">IF(ISNUMBER(MATCH(DATEVALUE($A184),'recurring1_based on steps'!H$1:H$400,0)),H$2,)</f>
        <v>0</v>
      </c>
      <c r="I184" s="179">
        <f ca="1">IF(ISNUMBER(MATCH(DATEVALUE($A184),'recurring1_based on steps'!I$1:I$400,0)),I$2,)</f>
        <v>0</v>
      </c>
      <c r="J184" s="179">
        <f ca="1">IF(ISNUMBER(MATCH(DATEVALUE($A184),'recurring1_based on steps'!J$1:J$400,0)),J$2,)</f>
        <v>0</v>
      </c>
      <c r="K184" s="179">
        <f ca="1">IF(ISNUMBER(MATCH(DATEVALUE($A184),'recurring1_based on steps'!K$1:K$400,0)),K$2,)</f>
        <v>0</v>
      </c>
      <c r="L184" s="179">
        <f ca="1">IF(ISNUMBER(MATCH(DATEVALUE($A184),'recurring1_based on steps'!L$1:L$400,0)),L$2,)</f>
        <v>0</v>
      </c>
      <c r="M184" s="179">
        <f ca="1">IF(ISNUMBER(MATCH(DATEVALUE($A184),'recurring1_based on steps'!M$1:M$400,0)),M$2,)</f>
        <v>0</v>
      </c>
      <c r="N184" s="179">
        <f ca="1">IF(ISNUMBER(MATCH(DATEVALUE($A184),'recurring1_based on steps'!N$1:N$400,0)),N$2,)</f>
        <v>0</v>
      </c>
      <c r="O184" s="179">
        <f ca="1">IF(ISNUMBER(MATCH(DATEVALUE($A184),'recurring1_based on steps'!O$1:O$400,0)),O$2,)</f>
        <v>0</v>
      </c>
      <c r="P184" s="179">
        <f ca="1">IF(ISNUMBER(MATCH(DATEVALUE($A184),'recurring1_based on steps'!P$1:P$400,0)),P$2,)</f>
        <v>0</v>
      </c>
      <c r="Q184" s="179">
        <f ca="1">IF(ISNUMBER(MATCH(DATEVALUE($A184),'recurring1_based on steps'!Q$1:Q$400,0)),Q$2,)</f>
        <v>0</v>
      </c>
      <c r="R184" s="179">
        <f ca="1">IF(ISNUMBER(MATCH(DATEVALUE($A184),'recurring1_based on steps'!R$1:R$400,0)),R$2,)</f>
        <v>0</v>
      </c>
      <c r="S184" s="179">
        <f ca="1">IF(ISNUMBER(MATCH(DATEVALUE($A184),'recurring1_based on steps'!S$1:S$400,0)),S$2,)</f>
        <v>0</v>
      </c>
      <c r="T184" s="179">
        <f ca="1">IF(ISNUMBER(MATCH(DATEVALUE($A184),'recurring1_based on steps'!T$1:T$400,0)),T$2,)</f>
        <v>0</v>
      </c>
      <c r="U184" s="179">
        <f ca="1">IF(ISNUMBER(MATCH(DATEVALUE($A184),'recurring1_based on steps'!U$1:U$400,0)),U$2,)</f>
        <v>0</v>
      </c>
      <c r="V184" s="179">
        <f ca="1">IF(ISNUMBER(MATCH(DATEVALUE($A184),'recurring1_based on steps'!V$1:V$400,0)),V$2,)</f>
        <v>0</v>
      </c>
      <c r="W184" s="179">
        <f ca="1">IF(ISNUMBER(MATCH(DATEVALUE($A184),'recurring1_based on steps'!W$1:W$400,0)),W$2,)</f>
        <v>0</v>
      </c>
      <c r="X184" s="179">
        <f ca="1">IF(ISNUMBER(MATCH(DATEVALUE($A184),'recurring1_based on steps'!X$1:X$400,0)),X$2,)</f>
        <v>0</v>
      </c>
      <c r="Y184" s="179">
        <f ca="1">IF(ISNUMBER(MATCH(DATEVALUE($A184),'recurring1_based on steps'!Y$1:Y$400,0)),Y$2,)</f>
        <v>0</v>
      </c>
      <c r="Z184" s="179">
        <f ca="1">IF(ISNUMBER(MATCH(DATEVALUE($A184),'recurring1_based on steps'!Z$1:Z$400,0)),Z$2,)</f>
        <v>0</v>
      </c>
      <c r="AA184" s="179">
        <f ca="1">IF(ISNUMBER(MATCH(DATEVALUE($A184),'recurring1_based on steps'!AA$1:AA$400,0)),AA$2,)</f>
        <v>0</v>
      </c>
      <c r="AB184" s="179">
        <f ca="1">IF(ISNUMBER(MATCH(DATEVALUE($A184),'recurring1_based on steps'!AB$1:AB$400,0)),AB$2,)</f>
        <v>0</v>
      </c>
      <c r="AC184" s="179">
        <f ca="1">IF(ISNUMBER(MATCH(DATEVALUE($A184),'recurring1_based on steps'!AC$1:AC$400,0)),AC$2,)</f>
        <v>0</v>
      </c>
      <c r="AD184" s="179">
        <f ca="1">IF(ISNUMBER(MATCH(DATEVALUE($A184),'recurring1_based on steps'!AD$1:AD$400,0)),AD$2,)</f>
        <v>0</v>
      </c>
      <c r="AE184" s="179">
        <f ca="1">IF(ISNUMBER(MATCH(DATEVALUE($A184),'recurring1_based on steps'!AE$1:AE$400,0)),AE$2,)</f>
        <v>0</v>
      </c>
      <c r="AF184" s="179">
        <f ca="1">IF(ISNUMBER(MATCH(DATEVALUE($A184),'recurring1_based on steps'!AF$1:AF$400,0)),AF$2,)</f>
        <v>0</v>
      </c>
      <c r="AG184" s="179">
        <f ca="1">IF(ISNUMBER(MATCH(DATEVALUE($A184),'recurring1_based on steps'!AG$1:AG$400,0)),AG$2,)</f>
        <v>0</v>
      </c>
      <c r="AH184" s="179">
        <f ca="1">IF(ISNUMBER(MATCH(DATEVALUE($A184),'recurring1_based on steps'!AH$1:AH$400,0)),AH$2,)</f>
        <v>0</v>
      </c>
      <c r="AI184" s="179">
        <f ca="1">IF(ISNUMBER(MATCH(DATEVALUE($A184),'recurring1_based on steps'!AI$1:AI$400,0)),AI$2,)</f>
        <v>0</v>
      </c>
      <c r="AJ184" s="179">
        <f ca="1">IF(ISNUMBER(MATCH(DATEVALUE($A184),'recurring1_based on steps'!AJ$1:AJ$400,0)),AJ$2,)</f>
        <v>0</v>
      </c>
      <c r="AK184" s="179">
        <f ca="1">IF(ISNUMBER(MATCH(DATEVALUE($A184),'recurring1_based on steps'!AK$1:AK$400,0)),AK$2,)</f>
        <v>0</v>
      </c>
      <c r="AL184" s="179">
        <f ca="1">IF(ISNUMBER(MATCH(DATEVALUE($A184),'recurring1_based on steps'!AL$1:AL$400,0)),AL$2,)</f>
        <v>0</v>
      </c>
      <c r="AM184" s="179">
        <f ca="1">IF(ISNUMBER(MATCH(DATEVALUE($A184),'recurring1_based on steps'!AM$1:AM$400,0)),AM$2,)</f>
        <v>0</v>
      </c>
      <c r="AN184" s="179">
        <f ca="1">IF(ISNUMBER(MATCH(DATEVALUE($A184),'recurring1_based on steps'!AN$1:AN$400,0)),AN$2,)</f>
        <v>0</v>
      </c>
      <c r="AO184" s="179">
        <f ca="1">IF(ISNUMBER(MATCH(DATEVALUE($A184),'recurring1_based on steps'!AO$1:AO$400,0)),AO$2,)</f>
        <v>0</v>
      </c>
      <c r="AP184" s="179">
        <f ca="1">IF(ISNUMBER(MATCH(DATEVALUE($A184),'recurring1_based on steps'!AP$1:AP$400,0)),AP$2,)</f>
        <v>0</v>
      </c>
      <c r="AQ184" s="179">
        <f ca="1">IF(ISNUMBER(MATCH(DATEVALUE($A184),'recurring1_based on steps'!AQ$1:AQ$400,0)),AQ$2,)</f>
        <v>0</v>
      </c>
      <c r="AR184" s="179">
        <f ca="1">IF(ISNUMBER(MATCH(DATEVALUE($A184),'recurring1_based on steps'!AR$1:AR$400,0)),AR$2,)</f>
        <v>0</v>
      </c>
      <c r="AS184" s="179">
        <f ca="1">IF(ISNUMBER(MATCH(DATEVALUE($A184),'recurring1_based on steps'!AS$1:AS$400,0)),AS$2,)</f>
        <v>0</v>
      </c>
      <c r="AT184" s="179">
        <f ca="1">IF(ISNUMBER(MATCH(DATEVALUE($A184),'recurring1_based on steps'!AT$1:AT$400,0)),AT$2,)</f>
        <v>0</v>
      </c>
      <c r="AU184" s="179">
        <f ca="1">IF(ISNUMBER(MATCH(DATEVALUE($A184),'recurring1_based on steps'!AU$1:AU$400,0)),AU$2,)</f>
        <v>0</v>
      </c>
      <c r="AV184" s="179">
        <f ca="1">IF(ISNUMBER(MATCH(DATEVALUE($A184),'recurring1_based on steps'!AV$1:AV$400,0)),AV$2,)</f>
        <v>0</v>
      </c>
      <c r="AW184" s="179">
        <f ca="1">IF(ISNUMBER(MATCH(DATEVALUE($A184),'recurring1_based on steps'!AW$1:AW$400,0)),AW$2,)</f>
        <v>0</v>
      </c>
      <c r="AX184" s="179">
        <f ca="1">IF(ISNUMBER(MATCH(DATEVALUE($A184),'recurring1_based on steps'!AX$1:AX$400,0)),AX$2,)</f>
        <v>0</v>
      </c>
      <c r="AY184" s="179">
        <f ca="1">IF(ISNUMBER(MATCH(DATEVALUE($A184),'recurring1_based on steps'!AY$1:AY$400,0)),AY$2,)</f>
        <v>0</v>
      </c>
    </row>
    <row r="185" spans="1:51" x14ac:dyDescent="0.2">
      <c r="A185" s="32" t="str">
        <f t="shared" ca="1" si="2"/>
        <v>2025-09-27</v>
      </c>
      <c r="B185" s="179">
        <f ca="1">IF(ISNUMBER(MATCH(DATEVALUE($A185),'recurring1_based on steps'!B$1:B$400,0)),B$2,)</f>
        <v>0</v>
      </c>
      <c r="C185" s="179">
        <f ca="1">IF(ISNUMBER(MATCH(DATEVALUE($A185),'recurring1_based on steps'!C$1:C$400,0)),C$2,)</f>
        <v>0</v>
      </c>
      <c r="D185" s="179">
        <f ca="1">IF(ISNUMBER(MATCH(DATEVALUE($A185),'recurring1_based on steps'!D$1:D$400,0)),D$2,)</f>
        <v>0</v>
      </c>
      <c r="E185" s="179">
        <f ca="1">IF(ISNUMBER(MATCH(DATEVALUE($A185),'recurring1_based on steps'!E$1:E$400,0)),E$2,)</f>
        <v>0</v>
      </c>
      <c r="F185" s="179">
        <f ca="1">IF(ISNUMBER(MATCH(DATEVALUE($A185),'recurring1_based on steps'!F$1:F$400,0)),F$2,)</f>
        <v>0</v>
      </c>
      <c r="G185" s="179">
        <f ca="1">IF(ISNUMBER(MATCH(DATEVALUE($A185),'recurring1_based on steps'!G$1:G$400,0)),G$2,)</f>
        <v>0</v>
      </c>
      <c r="H185" s="179">
        <f ca="1">IF(ISNUMBER(MATCH(DATEVALUE($A185),'recurring1_based on steps'!H$1:H$400,0)),H$2,)</f>
        <v>0</v>
      </c>
      <c r="I185" s="179">
        <f ca="1">IF(ISNUMBER(MATCH(DATEVALUE($A185),'recurring1_based on steps'!I$1:I$400,0)),I$2,)</f>
        <v>0</v>
      </c>
      <c r="J185" s="179">
        <f ca="1">IF(ISNUMBER(MATCH(DATEVALUE($A185),'recurring1_based on steps'!J$1:J$400,0)),J$2,)</f>
        <v>0</v>
      </c>
      <c r="K185" s="179">
        <f ca="1">IF(ISNUMBER(MATCH(DATEVALUE($A185),'recurring1_based on steps'!K$1:K$400,0)),K$2,)</f>
        <v>0</v>
      </c>
      <c r="L185" s="179">
        <f ca="1">IF(ISNUMBER(MATCH(DATEVALUE($A185),'recurring1_based on steps'!L$1:L$400,0)),L$2,)</f>
        <v>0</v>
      </c>
      <c r="M185" s="179">
        <f ca="1">IF(ISNUMBER(MATCH(DATEVALUE($A185),'recurring1_based on steps'!M$1:M$400,0)),M$2,)</f>
        <v>0</v>
      </c>
      <c r="N185" s="179">
        <f ca="1">IF(ISNUMBER(MATCH(DATEVALUE($A185),'recurring1_based on steps'!N$1:N$400,0)),N$2,)</f>
        <v>0</v>
      </c>
      <c r="O185" s="179">
        <f ca="1">IF(ISNUMBER(MATCH(DATEVALUE($A185),'recurring1_based on steps'!O$1:O$400,0)),O$2,)</f>
        <v>0</v>
      </c>
      <c r="P185" s="179">
        <f ca="1">IF(ISNUMBER(MATCH(DATEVALUE($A185),'recurring1_based on steps'!P$1:P$400,0)),P$2,)</f>
        <v>0</v>
      </c>
      <c r="Q185" s="179">
        <f ca="1">IF(ISNUMBER(MATCH(DATEVALUE($A185),'recurring1_based on steps'!Q$1:Q$400,0)),Q$2,)</f>
        <v>0</v>
      </c>
      <c r="R185" s="179">
        <f ca="1">IF(ISNUMBER(MATCH(DATEVALUE($A185),'recurring1_based on steps'!R$1:R$400,0)),R$2,)</f>
        <v>0</v>
      </c>
      <c r="S185" s="179">
        <f ca="1">IF(ISNUMBER(MATCH(DATEVALUE($A185),'recurring1_based on steps'!S$1:S$400,0)),S$2,)</f>
        <v>0</v>
      </c>
      <c r="T185" s="179">
        <f ca="1">IF(ISNUMBER(MATCH(DATEVALUE($A185),'recurring1_based on steps'!T$1:T$400,0)),T$2,)</f>
        <v>0</v>
      </c>
      <c r="U185" s="179">
        <f ca="1">IF(ISNUMBER(MATCH(DATEVALUE($A185),'recurring1_based on steps'!U$1:U$400,0)),U$2,)</f>
        <v>0</v>
      </c>
      <c r="V185" s="179">
        <f ca="1">IF(ISNUMBER(MATCH(DATEVALUE($A185),'recurring1_based on steps'!V$1:V$400,0)),V$2,)</f>
        <v>0</v>
      </c>
      <c r="W185" s="179">
        <f ca="1">IF(ISNUMBER(MATCH(DATEVALUE($A185),'recurring1_based on steps'!W$1:W$400,0)),W$2,)</f>
        <v>0</v>
      </c>
      <c r="X185" s="179">
        <f ca="1">IF(ISNUMBER(MATCH(DATEVALUE($A185),'recurring1_based on steps'!X$1:X$400,0)),X$2,)</f>
        <v>0</v>
      </c>
      <c r="Y185" s="179">
        <f ca="1">IF(ISNUMBER(MATCH(DATEVALUE($A185),'recurring1_based on steps'!Y$1:Y$400,0)),Y$2,)</f>
        <v>0</v>
      </c>
      <c r="Z185" s="179">
        <f ca="1">IF(ISNUMBER(MATCH(DATEVALUE($A185),'recurring1_based on steps'!Z$1:Z$400,0)),Z$2,)</f>
        <v>0</v>
      </c>
      <c r="AA185" s="179">
        <f ca="1">IF(ISNUMBER(MATCH(DATEVALUE($A185),'recurring1_based on steps'!AA$1:AA$400,0)),AA$2,)</f>
        <v>0</v>
      </c>
      <c r="AB185" s="179">
        <f ca="1">IF(ISNUMBER(MATCH(DATEVALUE($A185),'recurring1_based on steps'!AB$1:AB$400,0)),AB$2,)</f>
        <v>0</v>
      </c>
      <c r="AC185" s="179">
        <f ca="1">IF(ISNUMBER(MATCH(DATEVALUE($A185),'recurring1_based on steps'!AC$1:AC$400,0)),AC$2,)</f>
        <v>0</v>
      </c>
      <c r="AD185" s="179">
        <f ca="1">IF(ISNUMBER(MATCH(DATEVALUE($A185),'recurring1_based on steps'!AD$1:AD$400,0)),AD$2,)</f>
        <v>0</v>
      </c>
      <c r="AE185" s="179">
        <f ca="1">IF(ISNUMBER(MATCH(DATEVALUE($A185),'recurring1_based on steps'!AE$1:AE$400,0)),AE$2,)</f>
        <v>0</v>
      </c>
      <c r="AF185" s="179">
        <f ca="1">IF(ISNUMBER(MATCH(DATEVALUE($A185),'recurring1_based on steps'!AF$1:AF$400,0)),AF$2,)</f>
        <v>0</v>
      </c>
      <c r="AG185" s="179">
        <f ca="1">IF(ISNUMBER(MATCH(DATEVALUE($A185),'recurring1_based on steps'!AG$1:AG$400,0)),AG$2,)</f>
        <v>0</v>
      </c>
      <c r="AH185" s="179">
        <f ca="1">IF(ISNUMBER(MATCH(DATEVALUE($A185),'recurring1_based on steps'!AH$1:AH$400,0)),AH$2,)</f>
        <v>0</v>
      </c>
      <c r="AI185" s="179">
        <f ca="1">IF(ISNUMBER(MATCH(DATEVALUE($A185),'recurring1_based on steps'!AI$1:AI$400,0)),AI$2,)</f>
        <v>0</v>
      </c>
      <c r="AJ185" s="179">
        <f ca="1">IF(ISNUMBER(MATCH(DATEVALUE($A185),'recurring1_based on steps'!AJ$1:AJ$400,0)),AJ$2,)</f>
        <v>0</v>
      </c>
      <c r="AK185" s="179">
        <f ca="1">IF(ISNUMBER(MATCH(DATEVALUE($A185),'recurring1_based on steps'!AK$1:AK$400,0)),AK$2,)</f>
        <v>0</v>
      </c>
      <c r="AL185" s="179">
        <f ca="1">IF(ISNUMBER(MATCH(DATEVALUE($A185),'recurring1_based on steps'!AL$1:AL$400,0)),AL$2,)</f>
        <v>0</v>
      </c>
      <c r="AM185" s="179">
        <f ca="1">IF(ISNUMBER(MATCH(DATEVALUE($A185),'recurring1_based on steps'!AM$1:AM$400,0)),AM$2,)</f>
        <v>0</v>
      </c>
      <c r="AN185" s="179">
        <f ca="1">IF(ISNUMBER(MATCH(DATEVALUE($A185),'recurring1_based on steps'!AN$1:AN$400,0)),AN$2,)</f>
        <v>0</v>
      </c>
      <c r="AO185" s="179">
        <f ca="1">IF(ISNUMBER(MATCH(DATEVALUE($A185),'recurring1_based on steps'!AO$1:AO$400,0)),AO$2,)</f>
        <v>0</v>
      </c>
      <c r="AP185" s="179">
        <f ca="1">IF(ISNUMBER(MATCH(DATEVALUE($A185),'recurring1_based on steps'!AP$1:AP$400,0)),AP$2,)</f>
        <v>0</v>
      </c>
      <c r="AQ185" s="179">
        <f ca="1">IF(ISNUMBER(MATCH(DATEVALUE($A185),'recurring1_based on steps'!AQ$1:AQ$400,0)),AQ$2,)</f>
        <v>0</v>
      </c>
      <c r="AR185" s="179">
        <f ca="1">IF(ISNUMBER(MATCH(DATEVALUE($A185),'recurring1_based on steps'!AR$1:AR$400,0)),AR$2,)</f>
        <v>0</v>
      </c>
      <c r="AS185" s="179">
        <f ca="1">IF(ISNUMBER(MATCH(DATEVALUE($A185),'recurring1_based on steps'!AS$1:AS$400,0)),AS$2,)</f>
        <v>0</v>
      </c>
      <c r="AT185" s="179">
        <f ca="1">IF(ISNUMBER(MATCH(DATEVALUE($A185),'recurring1_based on steps'!AT$1:AT$400,0)),AT$2,)</f>
        <v>0</v>
      </c>
      <c r="AU185" s="179">
        <f ca="1">IF(ISNUMBER(MATCH(DATEVALUE($A185),'recurring1_based on steps'!AU$1:AU$400,0)),AU$2,)</f>
        <v>0</v>
      </c>
      <c r="AV185" s="179">
        <f ca="1">IF(ISNUMBER(MATCH(DATEVALUE($A185),'recurring1_based on steps'!AV$1:AV$400,0)),AV$2,)</f>
        <v>0</v>
      </c>
      <c r="AW185" s="179">
        <f ca="1">IF(ISNUMBER(MATCH(DATEVALUE($A185),'recurring1_based on steps'!AW$1:AW$400,0)),AW$2,)</f>
        <v>0</v>
      </c>
      <c r="AX185" s="179">
        <f ca="1">IF(ISNUMBER(MATCH(DATEVALUE($A185),'recurring1_based on steps'!AX$1:AX$400,0)),AX$2,)</f>
        <v>0</v>
      </c>
      <c r="AY185" s="179">
        <f ca="1">IF(ISNUMBER(MATCH(DATEVALUE($A185),'recurring1_based on steps'!AY$1:AY$400,0)),AY$2,)</f>
        <v>0</v>
      </c>
    </row>
    <row r="186" spans="1:51" x14ac:dyDescent="0.2">
      <c r="A186" s="32" t="str">
        <f t="shared" ca="1" si="2"/>
        <v>2025-09-28</v>
      </c>
      <c r="B186" s="179">
        <f ca="1">IF(ISNUMBER(MATCH(DATEVALUE($A186),'recurring1_based on steps'!B$1:B$400,0)),B$2,)</f>
        <v>0</v>
      </c>
      <c r="C186" s="179">
        <f ca="1">IF(ISNUMBER(MATCH(DATEVALUE($A186),'recurring1_based on steps'!C$1:C$400,0)),C$2,)</f>
        <v>0</v>
      </c>
      <c r="D186" s="179">
        <f ca="1">IF(ISNUMBER(MATCH(DATEVALUE($A186),'recurring1_based on steps'!D$1:D$400,0)),D$2,)</f>
        <v>0</v>
      </c>
      <c r="E186" s="179">
        <f ca="1">IF(ISNUMBER(MATCH(DATEVALUE($A186),'recurring1_based on steps'!E$1:E$400,0)),E$2,)</f>
        <v>0</v>
      </c>
      <c r="F186" s="179">
        <f ca="1">IF(ISNUMBER(MATCH(DATEVALUE($A186),'recurring1_based on steps'!F$1:F$400,0)),F$2,)</f>
        <v>0</v>
      </c>
      <c r="G186" s="179">
        <f ca="1">IF(ISNUMBER(MATCH(DATEVALUE($A186),'recurring1_based on steps'!G$1:G$400,0)),G$2,)</f>
        <v>0</v>
      </c>
      <c r="H186" s="179">
        <f ca="1">IF(ISNUMBER(MATCH(DATEVALUE($A186),'recurring1_based on steps'!H$1:H$400,0)),H$2,)</f>
        <v>0</v>
      </c>
      <c r="I186" s="179">
        <f ca="1">IF(ISNUMBER(MATCH(DATEVALUE($A186),'recurring1_based on steps'!I$1:I$400,0)),I$2,)</f>
        <v>0</v>
      </c>
      <c r="J186" s="179">
        <f ca="1">IF(ISNUMBER(MATCH(DATEVALUE($A186),'recurring1_based on steps'!J$1:J$400,0)),J$2,)</f>
        <v>0</v>
      </c>
      <c r="K186" s="179">
        <f ca="1">IF(ISNUMBER(MATCH(DATEVALUE($A186),'recurring1_based on steps'!K$1:K$400,0)),K$2,)</f>
        <v>0</v>
      </c>
      <c r="L186" s="179">
        <f ca="1">IF(ISNUMBER(MATCH(DATEVALUE($A186),'recurring1_based on steps'!L$1:L$400,0)),L$2,)</f>
        <v>0</v>
      </c>
      <c r="M186" s="179">
        <f ca="1">IF(ISNUMBER(MATCH(DATEVALUE($A186),'recurring1_based on steps'!M$1:M$400,0)),M$2,)</f>
        <v>0</v>
      </c>
      <c r="N186" s="179">
        <f ca="1">IF(ISNUMBER(MATCH(DATEVALUE($A186),'recurring1_based on steps'!N$1:N$400,0)),N$2,)</f>
        <v>0</v>
      </c>
      <c r="O186" s="179">
        <f ca="1">IF(ISNUMBER(MATCH(DATEVALUE($A186),'recurring1_based on steps'!O$1:O$400,0)),O$2,)</f>
        <v>0</v>
      </c>
      <c r="P186" s="179">
        <f ca="1">IF(ISNUMBER(MATCH(DATEVALUE($A186),'recurring1_based on steps'!P$1:P$400,0)),P$2,)</f>
        <v>0</v>
      </c>
      <c r="Q186" s="179">
        <f ca="1">IF(ISNUMBER(MATCH(DATEVALUE($A186),'recurring1_based on steps'!Q$1:Q$400,0)),Q$2,)</f>
        <v>0</v>
      </c>
      <c r="R186" s="179">
        <f ca="1">IF(ISNUMBER(MATCH(DATEVALUE($A186),'recurring1_based on steps'!R$1:R$400,0)),R$2,)</f>
        <v>0</v>
      </c>
      <c r="S186" s="179">
        <f ca="1">IF(ISNUMBER(MATCH(DATEVALUE($A186),'recurring1_based on steps'!S$1:S$400,0)),S$2,)</f>
        <v>0</v>
      </c>
      <c r="T186" s="179">
        <f ca="1">IF(ISNUMBER(MATCH(DATEVALUE($A186),'recurring1_based on steps'!T$1:T$400,0)),T$2,)</f>
        <v>0</v>
      </c>
      <c r="U186" s="179">
        <f ca="1">IF(ISNUMBER(MATCH(DATEVALUE($A186),'recurring1_based on steps'!U$1:U$400,0)),U$2,)</f>
        <v>0</v>
      </c>
      <c r="V186" s="179">
        <f ca="1">IF(ISNUMBER(MATCH(DATEVALUE($A186),'recurring1_based on steps'!V$1:V$400,0)),V$2,)</f>
        <v>0</v>
      </c>
      <c r="W186" s="179">
        <f ca="1">IF(ISNUMBER(MATCH(DATEVALUE($A186),'recurring1_based on steps'!W$1:W$400,0)),W$2,)</f>
        <v>0</v>
      </c>
      <c r="X186" s="179">
        <f ca="1">IF(ISNUMBER(MATCH(DATEVALUE($A186),'recurring1_based on steps'!X$1:X$400,0)),X$2,)</f>
        <v>0</v>
      </c>
      <c r="Y186" s="179">
        <f ca="1">IF(ISNUMBER(MATCH(DATEVALUE($A186),'recurring1_based on steps'!Y$1:Y$400,0)),Y$2,)</f>
        <v>0</v>
      </c>
      <c r="Z186" s="179">
        <f ca="1">IF(ISNUMBER(MATCH(DATEVALUE($A186),'recurring1_based on steps'!Z$1:Z$400,0)),Z$2,)</f>
        <v>0</v>
      </c>
      <c r="AA186" s="179">
        <f ca="1">IF(ISNUMBER(MATCH(DATEVALUE($A186),'recurring1_based on steps'!AA$1:AA$400,0)),AA$2,)</f>
        <v>0</v>
      </c>
      <c r="AB186" s="179">
        <f ca="1">IF(ISNUMBER(MATCH(DATEVALUE($A186),'recurring1_based on steps'!AB$1:AB$400,0)),AB$2,)</f>
        <v>0</v>
      </c>
      <c r="AC186" s="179">
        <f ca="1">IF(ISNUMBER(MATCH(DATEVALUE($A186),'recurring1_based on steps'!AC$1:AC$400,0)),AC$2,)</f>
        <v>0</v>
      </c>
      <c r="AD186" s="179">
        <f ca="1">IF(ISNUMBER(MATCH(DATEVALUE($A186),'recurring1_based on steps'!AD$1:AD$400,0)),AD$2,)</f>
        <v>0</v>
      </c>
      <c r="AE186" s="179">
        <f ca="1">IF(ISNUMBER(MATCH(DATEVALUE($A186),'recurring1_based on steps'!AE$1:AE$400,0)),AE$2,)</f>
        <v>0</v>
      </c>
      <c r="AF186" s="179">
        <f ca="1">IF(ISNUMBER(MATCH(DATEVALUE($A186),'recurring1_based on steps'!AF$1:AF$400,0)),AF$2,)</f>
        <v>0</v>
      </c>
      <c r="AG186" s="179">
        <f ca="1">IF(ISNUMBER(MATCH(DATEVALUE($A186),'recurring1_based on steps'!AG$1:AG$400,0)),AG$2,)</f>
        <v>0</v>
      </c>
      <c r="AH186" s="179">
        <f ca="1">IF(ISNUMBER(MATCH(DATEVALUE($A186),'recurring1_based on steps'!AH$1:AH$400,0)),AH$2,)</f>
        <v>0</v>
      </c>
      <c r="AI186" s="179">
        <f ca="1">IF(ISNUMBER(MATCH(DATEVALUE($A186),'recurring1_based on steps'!AI$1:AI$400,0)),AI$2,)</f>
        <v>0</v>
      </c>
      <c r="AJ186" s="179">
        <f ca="1">IF(ISNUMBER(MATCH(DATEVALUE($A186),'recurring1_based on steps'!AJ$1:AJ$400,0)),AJ$2,)</f>
        <v>0</v>
      </c>
      <c r="AK186" s="179">
        <f ca="1">IF(ISNUMBER(MATCH(DATEVALUE($A186),'recurring1_based on steps'!AK$1:AK$400,0)),AK$2,)</f>
        <v>0</v>
      </c>
      <c r="AL186" s="179">
        <f ca="1">IF(ISNUMBER(MATCH(DATEVALUE($A186),'recurring1_based on steps'!AL$1:AL$400,0)),AL$2,)</f>
        <v>0</v>
      </c>
      <c r="AM186" s="179">
        <f ca="1">IF(ISNUMBER(MATCH(DATEVALUE($A186),'recurring1_based on steps'!AM$1:AM$400,0)),AM$2,)</f>
        <v>0</v>
      </c>
      <c r="AN186" s="179">
        <f ca="1">IF(ISNUMBER(MATCH(DATEVALUE($A186),'recurring1_based on steps'!AN$1:AN$400,0)),AN$2,)</f>
        <v>0</v>
      </c>
      <c r="AO186" s="179">
        <f ca="1">IF(ISNUMBER(MATCH(DATEVALUE($A186),'recurring1_based on steps'!AO$1:AO$400,0)),AO$2,)</f>
        <v>0</v>
      </c>
      <c r="AP186" s="179">
        <f ca="1">IF(ISNUMBER(MATCH(DATEVALUE($A186),'recurring1_based on steps'!AP$1:AP$400,0)),AP$2,)</f>
        <v>0</v>
      </c>
      <c r="AQ186" s="179">
        <f ca="1">IF(ISNUMBER(MATCH(DATEVALUE($A186),'recurring1_based on steps'!AQ$1:AQ$400,0)),AQ$2,)</f>
        <v>0</v>
      </c>
      <c r="AR186" s="179">
        <f ca="1">IF(ISNUMBER(MATCH(DATEVALUE($A186),'recurring1_based on steps'!AR$1:AR$400,0)),AR$2,)</f>
        <v>0</v>
      </c>
      <c r="AS186" s="179">
        <f ca="1">IF(ISNUMBER(MATCH(DATEVALUE($A186),'recurring1_based on steps'!AS$1:AS$400,0)),AS$2,)</f>
        <v>0</v>
      </c>
      <c r="AT186" s="179">
        <f ca="1">IF(ISNUMBER(MATCH(DATEVALUE($A186),'recurring1_based on steps'!AT$1:AT$400,0)),AT$2,)</f>
        <v>0</v>
      </c>
      <c r="AU186" s="179">
        <f ca="1">IF(ISNUMBER(MATCH(DATEVALUE($A186),'recurring1_based on steps'!AU$1:AU$400,0)),AU$2,)</f>
        <v>0</v>
      </c>
      <c r="AV186" s="179">
        <f ca="1">IF(ISNUMBER(MATCH(DATEVALUE($A186),'recurring1_based on steps'!AV$1:AV$400,0)),AV$2,)</f>
        <v>0</v>
      </c>
      <c r="AW186" s="179">
        <f ca="1">IF(ISNUMBER(MATCH(DATEVALUE($A186),'recurring1_based on steps'!AW$1:AW$400,0)),AW$2,)</f>
        <v>0</v>
      </c>
      <c r="AX186" s="179">
        <f ca="1">IF(ISNUMBER(MATCH(DATEVALUE($A186),'recurring1_based on steps'!AX$1:AX$400,0)),AX$2,)</f>
        <v>0</v>
      </c>
      <c r="AY186" s="179">
        <f ca="1">IF(ISNUMBER(MATCH(DATEVALUE($A186),'recurring1_based on steps'!AY$1:AY$400,0)),AY$2,)</f>
        <v>0</v>
      </c>
    </row>
    <row r="187" spans="1:51" x14ac:dyDescent="0.2">
      <c r="A187" s="32" t="str">
        <f t="shared" ca="1" si="2"/>
        <v>2025-09-29</v>
      </c>
      <c r="B187" s="179">
        <f ca="1">IF(ISNUMBER(MATCH(DATEVALUE($A187),'recurring1_based on steps'!B$1:B$400,0)),B$2,)</f>
        <v>0</v>
      </c>
      <c r="C187" s="179">
        <f ca="1">IF(ISNUMBER(MATCH(DATEVALUE($A187),'recurring1_based on steps'!C$1:C$400,0)),C$2,)</f>
        <v>0</v>
      </c>
      <c r="D187" s="179">
        <f ca="1">IF(ISNUMBER(MATCH(DATEVALUE($A187),'recurring1_based on steps'!D$1:D$400,0)),D$2,)</f>
        <v>0</v>
      </c>
      <c r="E187" s="179">
        <f ca="1">IF(ISNUMBER(MATCH(DATEVALUE($A187),'recurring1_based on steps'!E$1:E$400,0)),E$2,)</f>
        <v>0</v>
      </c>
      <c r="F187" s="179">
        <f ca="1">IF(ISNUMBER(MATCH(DATEVALUE($A187),'recurring1_based on steps'!F$1:F$400,0)),F$2,)</f>
        <v>0</v>
      </c>
      <c r="G187" s="179">
        <f ca="1">IF(ISNUMBER(MATCH(DATEVALUE($A187),'recurring1_based on steps'!G$1:G$400,0)),G$2,)</f>
        <v>0</v>
      </c>
      <c r="H187" s="179">
        <f ca="1">IF(ISNUMBER(MATCH(DATEVALUE($A187),'recurring1_based on steps'!H$1:H$400,0)),H$2,)</f>
        <v>0</v>
      </c>
      <c r="I187" s="179">
        <f ca="1">IF(ISNUMBER(MATCH(DATEVALUE($A187),'recurring1_based on steps'!I$1:I$400,0)),I$2,)</f>
        <v>0</v>
      </c>
      <c r="J187" s="179">
        <f ca="1">IF(ISNUMBER(MATCH(DATEVALUE($A187),'recurring1_based on steps'!J$1:J$400,0)),J$2,)</f>
        <v>0</v>
      </c>
      <c r="K187" s="179">
        <f ca="1">IF(ISNUMBER(MATCH(DATEVALUE($A187),'recurring1_based on steps'!K$1:K$400,0)),K$2,)</f>
        <v>0</v>
      </c>
      <c r="L187" s="179">
        <f ca="1">IF(ISNUMBER(MATCH(DATEVALUE($A187),'recurring1_based on steps'!L$1:L$400,0)),L$2,)</f>
        <v>0</v>
      </c>
      <c r="M187" s="179">
        <f ca="1">IF(ISNUMBER(MATCH(DATEVALUE($A187),'recurring1_based on steps'!M$1:M$400,0)),M$2,)</f>
        <v>0</v>
      </c>
      <c r="N187" s="179">
        <f ca="1">IF(ISNUMBER(MATCH(DATEVALUE($A187),'recurring1_based on steps'!N$1:N$400,0)),N$2,)</f>
        <v>0</v>
      </c>
      <c r="O187" s="179">
        <f ca="1">IF(ISNUMBER(MATCH(DATEVALUE($A187),'recurring1_based on steps'!O$1:O$400,0)),O$2,)</f>
        <v>0</v>
      </c>
      <c r="P187" s="179">
        <f ca="1">IF(ISNUMBER(MATCH(DATEVALUE($A187),'recurring1_based on steps'!P$1:P$400,0)),P$2,)</f>
        <v>0</v>
      </c>
      <c r="Q187" s="179">
        <f ca="1">IF(ISNUMBER(MATCH(DATEVALUE($A187),'recurring1_based on steps'!Q$1:Q$400,0)),Q$2,)</f>
        <v>0</v>
      </c>
      <c r="R187" s="179">
        <f ca="1">IF(ISNUMBER(MATCH(DATEVALUE($A187),'recurring1_based on steps'!R$1:R$400,0)),R$2,)</f>
        <v>0</v>
      </c>
      <c r="S187" s="179">
        <f ca="1">IF(ISNUMBER(MATCH(DATEVALUE($A187),'recurring1_based on steps'!S$1:S$400,0)),S$2,)</f>
        <v>0</v>
      </c>
      <c r="T187" s="179">
        <f ca="1">IF(ISNUMBER(MATCH(DATEVALUE($A187),'recurring1_based on steps'!T$1:T$400,0)),T$2,)</f>
        <v>0</v>
      </c>
      <c r="U187" s="179">
        <f ca="1">IF(ISNUMBER(MATCH(DATEVALUE($A187),'recurring1_based on steps'!U$1:U$400,0)),U$2,)</f>
        <v>0</v>
      </c>
      <c r="V187" s="179">
        <f ca="1">IF(ISNUMBER(MATCH(DATEVALUE($A187),'recurring1_based on steps'!V$1:V$400,0)),V$2,)</f>
        <v>0</v>
      </c>
      <c r="W187" s="179">
        <f ca="1">IF(ISNUMBER(MATCH(DATEVALUE($A187),'recurring1_based on steps'!W$1:W$400,0)),W$2,)</f>
        <v>0</v>
      </c>
      <c r="X187" s="179">
        <f ca="1">IF(ISNUMBER(MATCH(DATEVALUE($A187),'recurring1_based on steps'!X$1:X$400,0)),X$2,)</f>
        <v>0</v>
      </c>
      <c r="Y187" s="179">
        <f ca="1">IF(ISNUMBER(MATCH(DATEVALUE($A187),'recurring1_based on steps'!Y$1:Y$400,0)),Y$2,)</f>
        <v>0</v>
      </c>
      <c r="Z187" s="179">
        <f ca="1">IF(ISNUMBER(MATCH(DATEVALUE($A187),'recurring1_based on steps'!Z$1:Z$400,0)),Z$2,)</f>
        <v>0</v>
      </c>
      <c r="AA187" s="179">
        <f ca="1">IF(ISNUMBER(MATCH(DATEVALUE($A187),'recurring1_based on steps'!AA$1:AA$400,0)),AA$2,)</f>
        <v>0</v>
      </c>
      <c r="AB187" s="179">
        <f ca="1">IF(ISNUMBER(MATCH(DATEVALUE($A187),'recurring1_based on steps'!AB$1:AB$400,0)),AB$2,)</f>
        <v>0</v>
      </c>
      <c r="AC187" s="179">
        <f ca="1">IF(ISNUMBER(MATCH(DATEVALUE($A187),'recurring1_based on steps'!AC$1:AC$400,0)),AC$2,)</f>
        <v>0</v>
      </c>
      <c r="AD187" s="179">
        <f ca="1">IF(ISNUMBER(MATCH(DATEVALUE($A187),'recurring1_based on steps'!AD$1:AD$400,0)),AD$2,)</f>
        <v>0</v>
      </c>
      <c r="AE187" s="179">
        <f ca="1">IF(ISNUMBER(MATCH(DATEVALUE($A187),'recurring1_based on steps'!AE$1:AE$400,0)),AE$2,)</f>
        <v>0</v>
      </c>
      <c r="AF187" s="179">
        <f ca="1">IF(ISNUMBER(MATCH(DATEVALUE($A187),'recurring1_based on steps'!AF$1:AF$400,0)),AF$2,)</f>
        <v>0</v>
      </c>
      <c r="AG187" s="179">
        <f ca="1">IF(ISNUMBER(MATCH(DATEVALUE($A187),'recurring1_based on steps'!AG$1:AG$400,0)),AG$2,)</f>
        <v>0</v>
      </c>
      <c r="AH187" s="179">
        <f ca="1">IF(ISNUMBER(MATCH(DATEVALUE($A187),'recurring1_based on steps'!AH$1:AH$400,0)),AH$2,)</f>
        <v>0</v>
      </c>
      <c r="AI187" s="179">
        <f ca="1">IF(ISNUMBER(MATCH(DATEVALUE($A187),'recurring1_based on steps'!AI$1:AI$400,0)),AI$2,)</f>
        <v>0</v>
      </c>
      <c r="AJ187" s="179">
        <f ca="1">IF(ISNUMBER(MATCH(DATEVALUE($A187),'recurring1_based on steps'!AJ$1:AJ$400,0)),AJ$2,)</f>
        <v>0</v>
      </c>
      <c r="AK187" s="179">
        <f ca="1">IF(ISNUMBER(MATCH(DATEVALUE($A187),'recurring1_based on steps'!AK$1:AK$400,0)),AK$2,)</f>
        <v>0</v>
      </c>
      <c r="AL187" s="179">
        <f ca="1">IF(ISNUMBER(MATCH(DATEVALUE($A187),'recurring1_based on steps'!AL$1:AL$400,0)),AL$2,)</f>
        <v>0</v>
      </c>
      <c r="AM187" s="179">
        <f ca="1">IF(ISNUMBER(MATCH(DATEVALUE($A187),'recurring1_based on steps'!AM$1:AM$400,0)),AM$2,)</f>
        <v>0</v>
      </c>
      <c r="AN187" s="179">
        <f ca="1">IF(ISNUMBER(MATCH(DATEVALUE($A187),'recurring1_based on steps'!AN$1:AN$400,0)),AN$2,)</f>
        <v>0</v>
      </c>
      <c r="AO187" s="179">
        <f ca="1">IF(ISNUMBER(MATCH(DATEVALUE($A187),'recurring1_based on steps'!AO$1:AO$400,0)),AO$2,)</f>
        <v>0</v>
      </c>
      <c r="AP187" s="179">
        <f ca="1">IF(ISNUMBER(MATCH(DATEVALUE($A187),'recurring1_based on steps'!AP$1:AP$400,0)),AP$2,)</f>
        <v>0</v>
      </c>
      <c r="AQ187" s="179">
        <f ca="1">IF(ISNUMBER(MATCH(DATEVALUE($A187),'recurring1_based on steps'!AQ$1:AQ$400,0)),AQ$2,)</f>
        <v>0</v>
      </c>
      <c r="AR187" s="179">
        <f ca="1">IF(ISNUMBER(MATCH(DATEVALUE($A187),'recurring1_based on steps'!AR$1:AR$400,0)),AR$2,)</f>
        <v>0</v>
      </c>
      <c r="AS187" s="179">
        <f ca="1">IF(ISNUMBER(MATCH(DATEVALUE($A187),'recurring1_based on steps'!AS$1:AS$400,0)),AS$2,)</f>
        <v>0</v>
      </c>
      <c r="AT187" s="179">
        <f ca="1">IF(ISNUMBER(MATCH(DATEVALUE($A187),'recurring1_based on steps'!AT$1:AT$400,0)),AT$2,)</f>
        <v>0</v>
      </c>
      <c r="AU187" s="179">
        <f ca="1">IF(ISNUMBER(MATCH(DATEVALUE($A187),'recurring1_based on steps'!AU$1:AU$400,0)),AU$2,)</f>
        <v>0</v>
      </c>
      <c r="AV187" s="179">
        <f ca="1">IF(ISNUMBER(MATCH(DATEVALUE($A187),'recurring1_based on steps'!AV$1:AV$400,0)),AV$2,)</f>
        <v>0</v>
      </c>
      <c r="AW187" s="179">
        <f ca="1">IF(ISNUMBER(MATCH(DATEVALUE($A187),'recurring1_based on steps'!AW$1:AW$400,0)),AW$2,)</f>
        <v>0</v>
      </c>
      <c r="AX187" s="179">
        <f ca="1">IF(ISNUMBER(MATCH(DATEVALUE($A187),'recurring1_based on steps'!AX$1:AX$400,0)),AX$2,)</f>
        <v>0</v>
      </c>
      <c r="AY187" s="179">
        <f ca="1">IF(ISNUMBER(MATCH(DATEVALUE($A187),'recurring1_based on steps'!AY$1:AY$400,0)),AY$2,)</f>
        <v>0</v>
      </c>
    </row>
    <row r="188" spans="1:51" x14ac:dyDescent="0.2">
      <c r="A188" s="32" t="str">
        <f t="shared" ca="1" si="2"/>
        <v>2025-09-30</v>
      </c>
      <c r="B188" s="179">
        <f ca="1">IF(ISNUMBER(MATCH(DATEVALUE($A188),'recurring1_based on steps'!B$1:B$400,0)),B$2,)</f>
        <v>0</v>
      </c>
      <c r="C188" s="179">
        <f ca="1">IF(ISNUMBER(MATCH(DATEVALUE($A188),'recurring1_based on steps'!C$1:C$400,0)),C$2,)</f>
        <v>0</v>
      </c>
      <c r="D188" s="179">
        <f ca="1">IF(ISNUMBER(MATCH(DATEVALUE($A188),'recurring1_based on steps'!D$1:D$400,0)),D$2,)</f>
        <v>0</v>
      </c>
      <c r="E188" s="179">
        <f ca="1">IF(ISNUMBER(MATCH(DATEVALUE($A188),'recurring1_based on steps'!E$1:E$400,0)),E$2,)</f>
        <v>0</v>
      </c>
      <c r="F188" s="179">
        <f ca="1">IF(ISNUMBER(MATCH(DATEVALUE($A188),'recurring1_based on steps'!F$1:F$400,0)),F$2,)</f>
        <v>0</v>
      </c>
      <c r="G188" s="179">
        <f ca="1">IF(ISNUMBER(MATCH(DATEVALUE($A188),'recurring1_based on steps'!G$1:G$400,0)),G$2,)</f>
        <v>0</v>
      </c>
      <c r="H188" s="179">
        <f ca="1">IF(ISNUMBER(MATCH(DATEVALUE($A188),'recurring1_based on steps'!H$1:H$400,0)),H$2,)</f>
        <v>0</v>
      </c>
      <c r="I188" s="179">
        <f ca="1">IF(ISNUMBER(MATCH(DATEVALUE($A188),'recurring1_based on steps'!I$1:I$400,0)),I$2,)</f>
        <v>0</v>
      </c>
      <c r="J188" s="179">
        <f ca="1">IF(ISNUMBER(MATCH(DATEVALUE($A188),'recurring1_based on steps'!J$1:J$400,0)),J$2,)</f>
        <v>0</v>
      </c>
      <c r="K188" s="179">
        <f ca="1">IF(ISNUMBER(MATCH(DATEVALUE($A188),'recurring1_based on steps'!K$1:K$400,0)),K$2,)</f>
        <v>0</v>
      </c>
      <c r="L188" s="179">
        <f ca="1">IF(ISNUMBER(MATCH(DATEVALUE($A188),'recurring1_based on steps'!L$1:L$400,0)),L$2,)</f>
        <v>0</v>
      </c>
      <c r="M188" s="179">
        <f ca="1">IF(ISNUMBER(MATCH(DATEVALUE($A188),'recurring1_based on steps'!M$1:M$400,0)),M$2,)</f>
        <v>0</v>
      </c>
      <c r="N188" s="179">
        <f ca="1">IF(ISNUMBER(MATCH(DATEVALUE($A188),'recurring1_based on steps'!N$1:N$400,0)),N$2,)</f>
        <v>0</v>
      </c>
      <c r="O188" s="179">
        <f ca="1">IF(ISNUMBER(MATCH(DATEVALUE($A188),'recurring1_based on steps'!O$1:O$400,0)),O$2,)</f>
        <v>0</v>
      </c>
      <c r="P188" s="179">
        <f ca="1">IF(ISNUMBER(MATCH(DATEVALUE($A188),'recurring1_based on steps'!P$1:P$400,0)),P$2,)</f>
        <v>0</v>
      </c>
      <c r="Q188" s="179">
        <f ca="1">IF(ISNUMBER(MATCH(DATEVALUE($A188),'recurring1_based on steps'!Q$1:Q$400,0)),Q$2,)</f>
        <v>0</v>
      </c>
      <c r="R188" s="179">
        <f ca="1">IF(ISNUMBER(MATCH(DATEVALUE($A188),'recurring1_based on steps'!R$1:R$400,0)),R$2,)</f>
        <v>0</v>
      </c>
      <c r="S188" s="179">
        <f ca="1">IF(ISNUMBER(MATCH(DATEVALUE($A188),'recurring1_based on steps'!S$1:S$400,0)),S$2,)</f>
        <v>0</v>
      </c>
      <c r="T188" s="179">
        <f ca="1">IF(ISNUMBER(MATCH(DATEVALUE($A188),'recurring1_based on steps'!T$1:T$400,0)),T$2,)</f>
        <v>0</v>
      </c>
      <c r="U188" s="179">
        <f ca="1">IF(ISNUMBER(MATCH(DATEVALUE($A188),'recurring1_based on steps'!U$1:U$400,0)),U$2,)</f>
        <v>0</v>
      </c>
      <c r="V188" s="179">
        <f ca="1">IF(ISNUMBER(MATCH(DATEVALUE($A188),'recurring1_based on steps'!V$1:V$400,0)),V$2,)</f>
        <v>0</v>
      </c>
      <c r="W188" s="179">
        <f ca="1">IF(ISNUMBER(MATCH(DATEVALUE($A188),'recurring1_based on steps'!W$1:W$400,0)),W$2,)</f>
        <v>0</v>
      </c>
      <c r="X188" s="179">
        <f ca="1">IF(ISNUMBER(MATCH(DATEVALUE($A188),'recurring1_based on steps'!X$1:X$400,0)),X$2,)</f>
        <v>0</v>
      </c>
      <c r="Y188" s="179">
        <f ca="1">IF(ISNUMBER(MATCH(DATEVALUE($A188),'recurring1_based on steps'!Y$1:Y$400,0)),Y$2,)</f>
        <v>0</v>
      </c>
      <c r="Z188" s="179">
        <f ca="1">IF(ISNUMBER(MATCH(DATEVALUE($A188),'recurring1_based on steps'!Z$1:Z$400,0)),Z$2,)</f>
        <v>0</v>
      </c>
      <c r="AA188" s="179">
        <f ca="1">IF(ISNUMBER(MATCH(DATEVALUE($A188),'recurring1_based on steps'!AA$1:AA$400,0)),AA$2,)</f>
        <v>0</v>
      </c>
      <c r="AB188" s="179">
        <f ca="1">IF(ISNUMBER(MATCH(DATEVALUE($A188),'recurring1_based on steps'!AB$1:AB$400,0)),AB$2,)</f>
        <v>0</v>
      </c>
      <c r="AC188" s="179">
        <f ca="1">IF(ISNUMBER(MATCH(DATEVALUE($A188),'recurring1_based on steps'!AC$1:AC$400,0)),AC$2,)</f>
        <v>0</v>
      </c>
      <c r="AD188" s="179">
        <f ca="1">IF(ISNUMBER(MATCH(DATEVALUE($A188),'recurring1_based on steps'!AD$1:AD$400,0)),AD$2,)</f>
        <v>0</v>
      </c>
      <c r="AE188" s="179">
        <f ca="1">IF(ISNUMBER(MATCH(DATEVALUE($A188),'recurring1_based on steps'!AE$1:AE$400,0)),AE$2,)</f>
        <v>0</v>
      </c>
      <c r="AF188" s="179">
        <f ca="1">IF(ISNUMBER(MATCH(DATEVALUE($A188),'recurring1_based on steps'!AF$1:AF$400,0)),AF$2,)</f>
        <v>0</v>
      </c>
      <c r="AG188" s="179">
        <f ca="1">IF(ISNUMBER(MATCH(DATEVALUE($A188),'recurring1_based on steps'!AG$1:AG$400,0)),AG$2,)</f>
        <v>0</v>
      </c>
      <c r="AH188" s="179">
        <f ca="1">IF(ISNUMBER(MATCH(DATEVALUE($A188),'recurring1_based on steps'!AH$1:AH$400,0)),AH$2,)</f>
        <v>0</v>
      </c>
      <c r="AI188" s="179">
        <f ca="1">IF(ISNUMBER(MATCH(DATEVALUE($A188),'recurring1_based on steps'!AI$1:AI$400,0)),AI$2,)</f>
        <v>0</v>
      </c>
      <c r="AJ188" s="179">
        <f ca="1">IF(ISNUMBER(MATCH(DATEVALUE($A188),'recurring1_based on steps'!AJ$1:AJ$400,0)),AJ$2,)</f>
        <v>0</v>
      </c>
      <c r="AK188" s="179">
        <f ca="1">IF(ISNUMBER(MATCH(DATEVALUE($A188),'recurring1_based on steps'!AK$1:AK$400,0)),AK$2,)</f>
        <v>0</v>
      </c>
      <c r="AL188" s="179">
        <f ca="1">IF(ISNUMBER(MATCH(DATEVALUE($A188),'recurring1_based on steps'!AL$1:AL$400,0)),AL$2,)</f>
        <v>0</v>
      </c>
      <c r="AM188" s="179">
        <f ca="1">IF(ISNUMBER(MATCH(DATEVALUE($A188),'recurring1_based on steps'!AM$1:AM$400,0)),AM$2,)</f>
        <v>0</v>
      </c>
      <c r="AN188" s="179">
        <f ca="1">IF(ISNUMBER(MATCH(DATEVALUE($A188),'recurring1_based on steps'!AN$1:AN$400,0)),AN$2,)</f>
        <v>0</v>
      </c>
      <c r="AO188" s="179">
        <f ca="1">IF(ISNUMBER(MATCH(DATEVALUE($A188),'recurring1_based on steps'!AO$1:AO$400,0)),AO$2,)</f>
        <v>0</v>
      </c>
      <c r="AP188" s="179">
        <f ca="1">IF(ISNUMBER(MATCH(DATEVALUE($A188),'recurring1_based on steps'!AP$1:AP$400,0)),AP$2,)</f>
        <v>0</v>
      </c>
      <c r="AQ188" s="179">
        <f ca="1">IF(ISNUMBER(MATCH(DATEVALUE($A188),'recurring1_based on steps'!AQ$1:AQ$400,0)),AQ$2,)</f>
        <v>0</v>
      </c>
      <c r="AR188" s="179">
        <f ca="1">IF(ISNUMBER(MATCH(DATEVALUE($A188),'recurring1_based on steps'!AR$1:AR$400,0)),AR$2,)</f>
        <v>0</v>
      </c>
      <c r="AS188" s="179">
        <f ca="1">IF(ISNUMBER(MATCH(DATEVALUE($A188),'recurring1_based on steps'!AS$1:AS$400,0)),AS$2,)</f>
        <v>0</v>
      </c>
      <c r="AT188" s="179">
        <f ca="1">IF(ISNUMBER(MATCH(DATEVALUE($A188),'recurring1_based on steps'!AT$1:AT$400,0)),AT$2,)</f>
        <v>0</v>
      </c>
      <c r="AU188" s="179">
        <f ca="1">IF(ISNUMBER(MATCH(DATEVALUE($A188),'recurring1_based on steps'!AU$1:AU$400,0)),AU$2,)</f>
        <v>0</v>
      </c>
      <c r="AV188" s="179">
        <f ca="1">IF(ISNUMBER(MATCH(DATEVALUE($A188),'recurring1_based on steps'!AV$1:AV$400,0)),AV$2,)</f>
        <v>0</v>
      </c>
      <c r="AW188" s="179">
        <f ca="1">IF(ISNUMBER(MATCH(DATEVALUE($A188),'recurring1_based on steps'!AW$1:AW$400,0)),AW$2,)</f>
        <v>0</v>
      </c>
      <c r="AX188" s="179">
        <f ca="1">IF(ISNUMBER(MATCH(DATEVALUE($A188),'recurring1_based on steps'!AX$1:AX$400,0)),AX$2,)</f>
        <v>0</v>
      </c>
      <c r="AY188" s="179">
        <f ca="1">IF(ISNUMBER(MATCH(DATEVALUE($A188),'recurring1_based on steps'!AY$1:AY$400,0)),AY$2,)</f>
        <v>0</v>
      </c>
    </row>
    <row r="189" spans="1:51" x14ac:dyDescent="0.2">
      <c r="A189" s="32" t="str">
        <f t="shared" ca="1" si="2"/>
        <v>2025-10-01</v>
      </c>
      <c r="B189" s="179">
        <f ca="1">IF(ISNUMBER(MATCH(DATEVALUE($A189),'recurring1_based on steps'!B$1:B$400,0)),B$2,)</f>
        <v>0</v>
      </c>
      <c r="C189" s="179">
        <f ca="1">IF(ISNUMBER(MATCH(DATEVALUE($A189),'recurring1_based on steps'!C$1:C$400,0)),C$2,)</f>
        <v>0</v>
      </c>
      <c r="D189" s="179">
        <f ca="1">IF(ISNUMBER(MATCH(DATEVALUE($A189),'recurring1_based on steps'!D$1:D$400,0)),D$2,)</f>
        <v>0</v>
      </c>
      <c r="E189" s="179">
        <f ca="1">IF(ISNUMBER(MATCH(DATEVALUE($A189),'recurring1_based on steps'!E$1:E$400,0)),E$2,)</f>
        <v>0</v>
      </c>
      <c r="F189" s="179">
        <f ca="1">IF(ISNUMBER(MATCH(DATEVALUE($A189),'recurring1_based on steps'!F$1:F$400,0)),F$2,)</f>
        <v>0</v>
      </c>
      <c r="G189" s="179">
        <f ca="1">IF(ISNUMBER(MATCH(DATEVALUE($A189),'recurring1_based on steps'!G$1:G$400,0)),G$2,)</f>
        <v>0</v>
      </c>
      <c r="H189" s="179">
        <f ca="1">IF(ISNUMBER(MATCH(DATEVALUE($A189),'recurring1_based on steps'!H$1:H$400,0)),H$2,)</f>
        <v>0</v>
      </c>
      <c r="I189" s="179">
        <f ca="1">IF(ISNUMBER(MATCH(DATEVALUE($A189),'recurring1_based on steps'!I$1:I$400,0)),I$2,)</f>
        <v>0</v>
      </c>
      <c r="J189" s="179">
        <f ca="1">IF(ISNUMBER(MATCH(DATEVALUE($A189),'recurring1_based on steps'!J$1:J$400,0)),J$2,)</f>
        <v>0</v>
      </c>
      <c r="K189" s="179">
        <f ca="1">IF(ISNUMBER(MATCH(DATEVALUE($A189),'recurring1_based on steps'!K$1:K$400,0)),K$2,)</f>
        <v>0</v>
      </c>
      <c r="L189" s="179">
        <f ca="1">IF(ISNUMBER(MATCH(DATEVALUE($A189),'recurring1_based on steps'!L$1:L$400,0)),L$2,)</f>
        <v>0</v>
      </c>
      <c r="M189" s="179">
        <f ca="1">IF(ISNUMBER(MATCH(DATEVALUE($A189),'recurring1_based on steps'!M$1:M$400,0)),M$2,)</f>
        <v>0</v>
      </c>
      <c r="N189" s="179">
        <f ca="1">IF(ISNUMBER(MATCH(DATEVALUE($A189),'recurring1_based on steps'!N$1:N$400,0)),N$2,)</f>
        <v>0</v>
      </c>
      <c r="O189" s="179">
        <f ca="1">IF(ISNUMBER(MATCH(DATEVALUE($A189),'recurring1_based on steps'!O$1:O$400,0)),O$2,)</f>
        <v>0</v>
      </c>
      <c r="P189" s="179">
        <f ca="1">IF(ISNUMBER(MATCH(DATEVALUE($A189),'recurring1_based on steps'!P$1:P$400,0)),P$2,)</f>
        <v>0</v>
      </c>
      <c r="Q189" s="179">
        <f ca="1">IF(ISNUMBER(MATCH(DATEVALUE($A189),'recurring1_based on steps'!Q$1:Q$400,0)),Q$2,)</f>
        <v>0</v>
      </c>
      <c r="R189" s="179">
        <f ca="1">IF(ISNUMBER(MATCH(DATEVALUE($A189),'recurring1_based on steps'!R$1:R$400,0)),R$2,)</f>
        <v>0</v>
      </c>
      <c r="S189" s="179">
        <f ca="1">IF(ISNUMBER(MATCH(DATEVALUE($A189),'recurring1_based on steps'!S$1:S$400,0)),S$2,)</f>
        <v>0</v>
      </c>
      <c r="T189" s="179">
        <f ca="1">IF(ISNUMBER(MATCH(DATEVALUE($A189),'recurring1_based on steps'!T$1:T$400,0)),T$2,)</f>
        <v>0</v>
      </c>
      <c r="U189" s="179">
        <f ca="1">IF(ISNUMBER(MATCH(DATEVALUE($A189),'recurring1_based on steps'!U$1:U$400,0)),U$2,)</f>
        <v>0</v>
      </c>
      <c r="V189" s="179">
        <f ca="1">IF(ISNUMBER(MATCH(DATEVALUE($A189),'recurring1_based on steps'!V$1:V$400,0)),V$2,)</f>
        <v>0</v>
      </c>
      <c r="W189" s="179">
        <f ca="1">IF(ISNUMBER(MATCH(DATEVALUE($A189),'recurring1_based on steps'!W$1:W$400,0)),W$2,)</f>
        <v>0</v>
      </c>
      <c r="X189" s="179">
        <f ca="1">IF(ISNUMBER(MATCH(DATEVALUE($A189),'recurring1_based on steps'!X$1:X$400,0)),X$2,)</f>
        <v>0</v>
      </c>
      <c r="Y189" s="179">
        <f ca="1">IF(ISNUMBER(MATCH(DATEVALUE($A189),'recurring1_based on steps'!Y$1:Y$400,0)),Y$2,)</f>
        <v>0</v>
      </c>
      <c r="Z189" s="179">
        <f ca="1">IF(ISNUMBER(MATCH(DATEVALUE($A189),'recurring1_based on steps'!Z$1:Z$400,0)),Z$2,)</f>
        <v>0</v>
      </c>
      <c r="AA189" s="179">
        <f ca="1">IF(ISNUMBER(MATCH(DATEVALUE($A189),'recurring1_based on steps'!AA$1:AA$400,0)),AA$2,)</f>
        <v>0</v>
      </c>
      <c r="AB189" s="179">
        <f ca="1">IF(ISNUMBER(MATCH(DATEVALUE($A189),'recurring1_based on steps'!AB$1:AB$400,0)),AB$2,)</f>
        <v>0</v>
      </c>
      <c r="AC189" s="179">
        <f ca="1">IF(ISNUMBER(MATCH(DATEVALUE($A189),'recurring1_based on steps'!AC$1:AC$400,0)),AC$2,)</f>
        <v>0</v>
      </c>
      <c r="AD189" s="179">
        <f ca="1">IF(ISNUMBER(MATCH(DATEVALUE($A189),'recurring1_based on steps'!AD$1:AD$400,0)),AD$2,)</f>
        <v>0</v>
      </c>
      <c r="AE189" s="179">
        <f ca="1">IF(ISNUMBER(MATCH(DATEVALUE($A189),'recurring1_based on steps'!AE$1:AE$400,0)),AE$2,)</f>
        <v>0</v>
      </c>
      <c r="AF189" s="179">
        <f ca="1">IF(ISNUMBER(MATCH(DATEVALUE($A189),'recurring1_based on steps'!AF$1:AF$400,0)),AF$2,)</f>
        <v>0</v>
      </c>
      <c r="AG189" s="179">
        <f ca="1">IF(ISNUMBER(MATCH(DATEVALUE($A189),'recurring1_based on steps'!AG$1:AG$400,0)),AG$2,)</f>
        <v>0</v>
      </c>
      <c r="AH189" s="179">
        <f ca="1">IF(ISNUMBER(MATCH(DATEVALUE($A189),'recurring1_based on steps'!AH$1:AH$400,0)),AH$2,)</f>
        <v>0</v>
      </c>
      <c r="AI189" s="179">
        <f ca="1">IF(ISNUMBER(MATCH(DATEVALUE($A189),'recurring1_based on steps'!AI$1:AI$400,0)),AI$2,)</f>
        <v>0</v>
      </c>
      <c r="AJ189" s="179">
        <f ca="1">IF(ISNUMBER(MATCH(DATEVALUE($A189),'recurring1_based on steps'!AJ$1:AJ$400,0)),AJ$2,)</f>
        <v>0</v>
      </c>
      <c r="AK189" s="179">
        <f ca="1">IF(ISNUMBER(MATCH(DATEVALUE($A189),'recurring1_based on steps'!AK$1:AK$400,0)),AK$2,)</f>
        <v>0</v>
      </c>
      <c r="AL189" s="179">
        <f ca="1">IF(ISNUMBER(MATCH(DATEVALUE($A189),'recurring1_based on steps'!AL$1:AL$400,0)),AL$2,)</f>
        <v>0</v>
      </c>
      <c r="AM189" s="179">
        <f ca="1">IF(ISNUMBER(MATCH(DATEVALUE($A189),'recurring1_based on steps'!AM$1:AM$400,0)),AM$2,)</f>
        <v>0</v>
      </c>
      <c r="AN189" s="179">
        <f ca="1">IF(ISNUMBER(MATCH(DATEVALUE($A189),'recurring1_based on steps'!AN$1:AN$400,0)),AN$2,)</f>
        <v>0</v>
      </c>
      <c r="AO189" s="179">
        <f ca="1">IF(ISNUMBER(MATCH(DATEVALUE($A189),'recurring1_based on steps'!AO$1:AO$400,0)),AO$2,)</f>
        <v>0</v>
      </c>
      <c r="AP189" s="179">
        <f ca="1">IF(ISNUMBER(MATCH(DATEVALUE($A189),'recurring1_based on steps'!AP$1:AP$400,0)),AP$2,)</f>
        <v>0</v>
      </c>
      <c r="AQ189" s="179">
        <f ca="1">IF(ISNUMBER(MATCH(DATEVALUE($A189),'recurring1_based on steps'!AQ$1:AQ$400,0)),AQ$2,)</f>
        <v>0</v>
      </c>
      <c r="AR189" s="179">
        <f ca="1">IF(ISNUMBER(MATCH(DATEVALUE($A189),'recurring1_based on steps'!AR$1:AR$400,0)),AR$2,)</f>
        <v>0</v>
      </c>
      <c r="AS189" s="179">
        <f ca="1">IF(ISNUMBER(MATCH(DATEVALUE($A189),'recurring1_based on steps'!AS$1:AS$400,0)),AS$2,)</f>
        <v>0</v>
      </c>
      <c r="AT189" s="179">
        <f ca="1">IF(ISNUMBER(MATCH(DATEVALUE($A189),'recurring1_based on steps'!AT$1:AT$400,0)),AT$2,)</f>
        <v>0</v>
      </c>
      <c r="AU189" s="179">
        <f ca="1">IF(ISNUMBER(MATCH(DATEVALUE($A189),'recurring1_based on steps'!AU$1:AU$400,0)),AU$2,)</f>
        <v>0</v>
      </c>
      <c r="AV189" s="179">
        <f ca="1">IF(ISNUMBER(MATCH(DATEVALUE($A189),'recurring1_based on steps'!AV$1:AV$400,0)),AV$2,)</f>
        <v>0</v>
      </c>
      <c r="AW189" s="179">
        <f ca="1">IF(ISNUMBER(MATCH(DATEVALUE($A189),'recurring1_based on steps'!AW$1:AW$400,0)),AW$2,)</f>
        <v>0</v>
      </c>
      <c r="AX189" s="179">
        <f ca="1">IF(ISNUMBER(MATCH(DATEVALUE($A189),'recurring1_based on steps'!AX$1:AX$400,0)),AX$2,)</f>
        <v>0</v>
      </c>
      <c r="AY189" s="179">
        <f ca="1">IF(ISNUMBER(MATCH(DATEVALUE($A189),'recurring1_based on steps'!AY$1:AY$400,0)),AY$2,)</f>
        <v>0</v>
      </c>
    </row>
    <row r="190" spans="1:51" x14ac:dyDescent="0.2">
      <c r="A190" s="32" t="str">
        <f t="shared" ca="1" si="2"/>
        <v>2025-10-02</v>
      </c>
      <c r="B190" s="179">
        <f ca="1">IF(ISNUMBER(MATCH(DATEVALUE($A190),'recurring1_based on steps'!B$1:B$400,0)),B$2,)</f>
        <v>0</v>
      </c>
      <c r="C190" s="179">
        <f ca="1">IF(ISNUMBER(MATCH(DATEVALUE($A190),'recurring1_based on steps'!C$1:C$400,0)),C$2,)</f>
        <v>0</v>
      </c>
      <c r="D190" s="179">
        <f ca="1">IF(ISNUMBER(MATCH(DATEVALUE($A190),'recurring1_based on steps'!D$1:D$400,0)),D$2,)</f>
        <v>0</v>
      </c>
      <c r="E190" s="179">
        <f ca="1">IF(ISNUMBER(MATCH(DATEVALUE($A190),'recurring1_based on steps'!E$1:E$400,0)),E$2,)</f>
        <v>0</v>
      </c>
      <c r="F190" s="179">
        <f ca="1">IF(ISNUMBER(MATCH(DATEVALUE($A190),'recurring1_based on steps'!F$1:F$400,0)),F$2,)</f>
        <v>0</v>
      </c>
      <c r="G190" s="179">
        <f ca="1">IF(ISNUMBER(MATCH(DATEVALUE($A190),'recurring1_based on steps'!G$1:G$400,0)),G$2,)</f>
        <v>0</v>
      </c>
      <c r="H190" s="179">
        <f ca="1">IF(ISNUMBER(MATCH(DATEVALUE($A190),'recurring1_based on steps'!H$1:H$400,0)),H$2,)</f>
        <v>0</v>
      </c>
      <c r="I190" s="179">
        <f ca="1">IF(ISNUMBER(MATCH(DATEVALUE($A190),'recurring1_based on steps'!I$1:I$400,0)),I$2,)</f>
        <v>0</v>
      </c>
      <c r="J190" s="179">
        <f ca="1">IF(ISNUMBER(MATCH(DATEVALUE($A190),'recurring1_based on steps'!J$1:J$400,0)),J$2,)</f>
        <v>0</v>
      </c>
      <c r="K190" s="179">
        <f ca="1">IF(ISNUMBER(MATCH(DATEVALUE($A190),'recurring1_based on steps'!K$1:K$400,0)),K$2,)</f>
        <v>0</v>
      </c>
      <c r="L190" s="179">
        <f ca="1">IF(ISNUMBER(MATCH(DATEVALUE($A190),'recurring1_based on steps'!L$1:L$400,0)),L$2,)</f>
        <v>0</v>
      </c>
      <c r="M190" s="179">
        <f ca="1">IF(ISNUMBER(MATCH(DATEVALUE($A190),'recurring1_based on steps'!M$1:M$400,0)),M$2,)</f>
        <v>0</v>
      </c>
      <c r="N190" s="179">
        <f ca="1">IF(ISNUMBER(MATCH(DATEVALUE($A190),'recurring1_based on steps'!N$1:N$400,0)),N$2,)</f>
        <v>0</v>
      </c>
      <c r="O190" s="179">
        <f ca="1">IF(ISNUMBER(MATCH(DATEVALUE($A190),'recurring1_based on steps'!O$1:O$400,0)),O$2,)</f>
        <v>0</v>
      </c>
      <c r="P190" s="179">
        <f ca="1">IF(ISNUMBER(MATCH(DATEVALUE($A190),'recurring1_based on steps'!P$1:P$400,0)),P$2,)</f>
        <v>0</v>
      </c>
      <c r="Q190" s="179">
        <f ca="1">IF(ISNUMBER(MATCH(DATEVALUE($A190),'recurring1_based on steps'!Q$1:Q$400,0)),Q$2,)</f>
        <v>0</v>
      </c>
      <c r="R190" s="179">
        <f ca="1">IF(ISNUMBER(MATCH(DATEVALUE($A190),'recurring1_based on steps'!R$1:R$400,0)),R$2,)</f>
        <v>0</v>
      </c>
      <c r="S190" s="179">
        <f ca="1">IF(ISNUMBER(MATCH(DATEVALUE($A190),'recurring1_based on steps'!S$1:S$400,0)),S$2,)</f>
        <v>0</v>
      </c>
      <c r="T190" s="179">
        <f ca="1">IF(ISNUMBER(MATCH(DATEVALUE($A190),'recurring1_based on steps'!T$1:T$400,0)),T$2,)</f>
        <v>0</v>
      </c>
      <c r="U190" s="179">
        <f ca="1">IF(ISNUMBER(MATCH(DATEVALUE($A190),'recurring1_based on steps'!U$1:U$400,0)),U$2,)</f>
        <v>0</v>
      </c>
      <c r="V190" s="179">
        <f ca="1">IF(ISNUMBER(MATCH(DATEVALUE($A190),'recurring1_based on steps'!V$1:V$400,0)),V$2,)</f>
        <v>0</v>
      </c>
      <c r="W190" s="179">
        <f ca="1">IF(ISNUMBER(MATCH(DATEVALUE($A190),'recurring1_based on steps'!W$1:W$400,0)),W$2,)</f>
        <v>0</v>
      </c>
      <c r="X190" s="179">
        <f ca="1">IF(ISNUMBER(MATCH(DATEVALUE($A190),'recurring1_based on steps'!X$1:X$400,0)),X$2,)</f>
        <v>0</v>
      </c>
      <c r="Y190" s="179">
        <f ca="1">IF(ISNUMBER(MATCH(DATEVALUE($A190),'recurring1_based on steps'!Y$1:Y$400,0)),Y$2,)</f>
        <v>0</v>
      </c>
      <c r="Z190" s="179">
        <f ca="1">IF(ISNUMBER(MATCH(DATEVALUE($A190),'recurring1_based on steps'!Z$1:Z$400,0)),Z$2,)</f>
        <v>0</v>
      </c>
      <c r="AA190" s="179">
        <f ca="1">IF(ISNUMBER(MATCH(DATEVALUE($A190),'recurring1_based on steps'!AA$1:AA$400,0)),AA$2,)</f>
        <v>0</v>
      </c>
      <c r="AB190" s="179">
        <f ca="1">IF(ISNUMBER(MATCH(DATEVALUE($A190),'recurring1_based on steps'!AB$1:AB$400,0)),AB$2,)</f>
        <v>0</v>
      </c>
      <c r="AC190" s="179">
        <f ca="1">IF(ISNUMBER(MATCH(DATEVALUE($A190),'recurring1_based on steps'!AC$1:AC$400,0)),AC$2,)</f>
        <v>0</v>
      </c>
      <c r="AD190" s="179">
        <f ca="1">IF(ISNUMBER(MATCH(DATEVALUE($A190),'recurring1_based on steps'!AD$1:AD$400,0)),AD$2,)</f>
        <v>0</v>
      </c>
      <c r="AE190" s="179">
        <f ca="1">IF(ISNUMBER(MATCH(DATEVALUE($A190),'recurring1_based on steps'!AE$1:AE$400,0)),AE$2,)</f>
        <v>0</v>
      </c>
      <c r="AF190" s="179">
        <f ca="1">IF(ISNUMBER(MATCH(DATEVALUE($A190),'recurring1_based on steps'!AF$1:AF$400,0)),AF$2,)</f>
        <v>0</v>
      </c>
      <c r="AG190" s="179">
        <f ca="1">IF(ISNUMBER(MATCH(DATEVALUE($A190),'recurring1_based on steps'!AG$1:AG$400,0)),AG$2,)</f>
        <v>0</v>
      </c>
      <c r="AH190" s="179">
        <f ca="1">IF(ISNUMBER(MATCH(DATEVALUE($A190),'recurring1_based on steps'!AH$1:AH$400,0)),AH$2,)</f>
        <v>0</v>
      </c>
      <c r="AI190" s="179">
        <f ca="1">IF(ISNUMBER(MATCH(DATEVALUE($A190),'recurring1_based on steps'!AI$1:AI$400,0)),AI$2,)</f>
        <v>0</v>
      </c>
      <c r="AJ190" s="179">
        <f ca="1">IF(ISNUMBER(MATCH(DATEVALUE($A190),'recurring1_based on steps'!AJ$1:AJ$400,0)),AJ$2,)</f>
        <v>0</v>
      </c>
      <c r="AK190" s="179">
        <f ca="1">IF(ISNUMBER(MATCH(DATEVALUE($A190),'recurring1_based on steps'!AK$1:AK$400,0)),AK$2,)</f>
        <v>0</v>
      </c>
      <c r="AL190" s="179">
        <f ca="1">IF(ISNUMBER(MATCH(DATEVALUE($A190),'recurring1_based on steps'!AL$1:AL$400,0)),AL$2,)</f>
        <v>0</v>
      </c>
      <c r="AM190" s="179">
        <f ca="1">IF(ISNUMBER(MATCH(DATEVALUE($A190),'recurring1_based on steps'!AM$1:AM$400,0)),AM$2,)</f>
        <v>0</v>
      </c>
      <c r="AN190" s="179">
        <f ca="1">IF(ISNUMBER(MATCH(DATEVALUE($A190),'recurring1_based on steps'!AN$1:AN$400,0)),AN$2,)</f>
        <v>0</v>
      </c>
      <c r="AO190" s="179">
        <f ca="1">IF(ISNUMBER(MATCH(DATEVALUE($A190),'recurring1_based on steps'!AO$1:AO$400,0)),AO$2,)</f>
        <v>0</v>
      </c>
      <c r="AP190" s="179">
        <f ca="1">IF(ISNUMBER(MATCH(DATEVALUE($A190),'recurring1_based on steps'!AP$1:AP$400,0)),AP$2,)</f>
        <v>0</v>
      </c>
      <c r="AQ190" s="179">
        <f ca="1">IF(ISNUMBER(MATCH(DATEVALUE($A190),'recurring1_based on steps'!AQ$1:AQ$400,0)),AQ$2,)</f>
        <v>0</v>
      </c>
      <c r="AR190" s="179">
        <f ca="1">IF(ISNUMBER(MATCH(DATEVALUE($A190),'recurring1_based on steps'!AR$1:AR$400,0)),AR$2,)</f>
        <v>0</v>
      </c>
      <c r="AS190" s="179">
        <f ca="1">IF(ISNUMBER(MATCH(DATEVALUE($A190),'recurring1_based on steps'!AS$1:AS$400,0)),AS$2,)</f>
        <v>0</v>
      </c>
      <c r="AT190" s="179">
        <f ca="1">IF(ISNUMBER(MATCH(DATEVALUE($A190),'recurring1_based on steps'!AT$1:AT$400,0)),AT$2,)</f>
        <v>0</v>
      </c>
      <c r="AU190" s="179">
        <f ca="1">IF(ISNUMBER(MATCH(DATEVALUE($A190),'recurring1_based on steps'!AU$1:AU$400,0)),AU$2,)</f>
        <v>0</v>
      </c>
      <c r="AV190" s="179">
        <f ca="1">IF(ISNUMBER(MATCH(DATEVALUE($A190),'recurring1_based on steps'!AV$1:AV$400,0)),AV$2,)</f>
        <v>0</v>
      </c>
      <c r="AW190" s="179">
        <f ca="1">IF(ISNUMBER(MATCH(DATEVALUE($A190),'recurring1_based on steps'!AW$1:AW$400,0)),AW$2,)</f>
        <v>0</v>
      </c>
      <c r="AX190" s="179">
        <f ca="1">IF(ISNUMBER(MATCH(DATEVALUE($A190),'recurring1_based on steps'!AX$1:AX$400,0)),AX$2,)</f>
        <v>0</v>
      </c>
      <c r="AY190" s="179">
        <f ca="1">IF(ISNUMBER(MATCH(DATEVALUE($A190),'recurring1_based on steps'!AY$1:AY$400,0)),AY$2,)</f>
        <v>0</v>
      </c>
    </row>
    <row r="191" spans="1:51" x14ac:dyDescent="0.2">
      <c r="A191" s="32" t="str">
        <f t="shared" ca="1" si="2"/>
        <v>2025-10-03</v>
      </c>
      <c r="B191" s="179">
        <f ca="1">IF(ISNUMBER(MATCH(DATEVALUE($A191),'recurring1_based on steps'!B$1:B$400,0)),B$2,)</f>
        <v>0</v>
      </c>
      <c r="C191" s="179">
        <f ca="1">IF(ISNUMBER(MATCH(DATEVALUE($A191),'recurring1_based on steps'!C$1:C$400,0)),C$2,)</f>
        <v>0</v>
      </c>
      <c r="D191" s="179">
        <f ca="1">IF(ISNUMBER(MATCH(DATEVALUE($A191),'recurring1_based on steps'!D$1:D$400,0)),D$2,)</f>
        <v>0</v>
      </c>
      <c r="E191" s="179">
        <f ca="1">IF(ISNUMBER(MATCH(DATEVALUE($A191),'recurring1_based on steps'!E$1:E$400,0)),E$2,)</f>
        <v>0</v>
      </c>
      <c r="F191" s="179">
        <f ca="1">IF(ISNUMBER(MATCH(DATEVALUE($A191),'recurring1_based on steps'!F$1:F$400,0)),F$2,)</f>
        <v>0</v>
      </c>
      <c r="G191" s="179">
        <f ca="1">IF(ISNUMBER(MATCH(DATEVALUE($A191),'recurring1_based on steps'!G$1:G$400,0)),G$2,)</f>
        <v>0</v>
      </c>
      <c r="H191" s="179">
        <f ca="1">IF(ISNUMBER(MATCH(DATEVALUE($A191),'recurring1_based on steps'!H$1:H$400,0)),H$2,)</f>
        <v>0</v>
      </c>
      <c r="I191" s="179">
        <f ca="1">IF(ISNUMBER(MATCH(DATEVALUE($A191),'recurring1_based on steps'!I$1:I$400,0)),I$2,)</f>
        <v>0</v>
      </c>
      <c r="J191" s="179">
        <f ca="1">IF(ISNUMBER(MATCH(DATEVALUE($A191),'recurring1_based on steps'!J$1:J$400,0)),J$2,)</f>
        <v>0</v>
      </c>
      <c r="K191" s="179">
        <f ca="1">IF(ISNUMBER(MATCH(DATEVALUE($A191),'recurring1_based on steps'!K$1:K$400,0)),K$2,)</f>
        <v>0</v>
      </c>
      <c r="L191" s="179">
        <f ca="1">IF(ISNUMBER(MATCH(DATEVALUE($A191),'recurring1_based on steps'!L$1:L$400,0)),L$2,)</f>
        <v>0</v>
      </c>
      <c r="M191" s="179">
        <f ca="1">IF(ISNUMBER(MATCH(DATEVALUE($A191),'recurring1_based on steps'!M$1:M$400,0)),M$2,)</f>
        <v>0</v>
      </c>
      <c r="N191" s="179">
        <f ca="1">IF(ISNUMBER(MATCH(DATEVALUE($A191),'recurring1_based on steps'!N$1:N$400,0)),N$2,)</f>
        <v>0</v>
      </c>
      <c r="O191" s="179">
        <f ca="1">IF(ISNUMBER(MATCH(DATEVALUE($A191),'recurring1_based on steps'!O$1:O$400,0)),O$2,)</f>
        <v>0</v>
      </c>
      <c r="P191" s="179">
        <f ca="1">IF(ISNUMBER(MATCH(DATEVALUE($A191),'recurring1_based on steps'!P$1:P$400,0)),P$2,)</f>
        <v>0</v>
      </c>
      <c r="Q191" s="179">
        <f ca="1">IF(ISNUMBER(MATCH(DATEVALUE($A191),'recurring1_based on steps'!Q$1:Q$400,0)),Q$2,)</f>
        <v>0</v>
      </c>
      <c r="R191" s="179">
        <f ca="1">IF(ISNUMBER(MATCH(DATEVALUE($A191),'recurring1_based on steps'!R$1:R$400,0)),R$2,)</f>
        <v>0</v>
      </c>
      <c r="S191" s="179">
        <f ca="1">IF(ISNUMBER(MATCH(DATEVALUE($A191),'recurring1_based on steps'!S$1:S$400,0)),S$2,)</f>
        <v>0</v>
      </c>
      <c r="T191" s="179">
        <f ca="1">IF(ISNUMBER(MATCH(DATEVALUE($A191),'recurring1_based on steps'!T$1:T$400,0)),T$2,)</f>
        <v>0</v>
      </c>
      <c r="U191" s="179">
        <f ca="1">IF(ISNUMBER(MATCH(DATEVALUE($A191),'recurring1_based on steps'!U$1:U$400,0)),U$2,)</f>
        <v>0</v>
      </c>
      <c r="V191" s="179">
        <f ca="1">IF(ISNUMBER(MATCH(DATEVALUE($A191),'recurring1_based on steps'!V$1:V$400,0)),V$2,)</f>
        <v>0</v>
      </c>
      <c r="W191" s="179">
        <f ca="1">IF(ISNUMBER(MATCH(DATEVALUE($A191),'recurring1_based on steps'!W$1:W$400,0)),W$2,)</f>
        <v>0</v>
      </c>
      <c r="X191" s="179">
        <f ca="1">IF(ISNUMBER(MATCH(DATEVALUE($A191),'recurring1_based on steps'!X$1:X$400,0)),X$2,)</f>
        <v>0</v>
      </c>
      <c r="Y191" s="179">
        <f ca="1">IF(ISNUMBER(MATCH(DATEVALUE($A191),'recurring1_based on steps'!Y$1:Y$400,0)),Y$2,)</f>
        <v>0</v>
      </c>
      <c r="Z191" s="179">
        <f ca="1">IF(ISNUMBER(MATCH(DATEVALUE($A191),'recurring1_based on steps'!Z$1:Z$400,0)),Z$2,)</f>
        <v>0</v>
      </c>
      <c r="AA191" s="179">
        <f ca="1">IF(ISNUMBER(MATCH(DATEVALUE($A191),'recurring1_based on steps'!AA$1:AA$400,0)),AA$2,)</f>
        <v>0</v>
      </c>
      <c r="AB191" s="179">
        <f ca="1">IF(ISNUMBER(MATCH(DATEVALUE($A191),'recurring1_based on steps'!AB$1:AB$400,0)),AB$2,)</f>
        <v>0</v>
      </c>
      <c r="AC191" s="179">
        <f ca="1">IF(ISNUMBER(MATCH(DATEVALUE($A191),'recurring1_based on steps'!AC$1:AC$400,0)),AC$2,)</f>
        <v>0</v>
      </c>
      <c r="AD191" s="179">
        <f ca="1">IF(ISNUMBER(MATCH(DATEVALUE($A191),'recurring1_based on steps'!AD$1:AD$400,0)),AD$2,)</f>
        <v>0</v>
      </c>
      <c r="AE191" s="179">
        <f ca="1">IF(ISNUMBER(MATCH(DATEVALUE($A191),'recurring1_based on steps'!AE$1:AE$400,0)),AE$2,)</f>
        <v>0</v>
      </c>
      <c r="AF191" s="179">
        <f ca="1">IF(ISNUMBER(MATCH(DATEVALUE($A191),'recurring1_based on steps'!AF$1:AF$400,0)),AF$2,)</f>
        <v>0</v>
      </c>
      <c r="AG191" s="179">
        <f ca="1">IF(ISNUMBER(MATCH(DATEVALUE($A191),'recurring1_based on steps'!AG$1:AG$400,0)),AG$2,)</f>
        <v>0</v>
      </c>
      <c r="AH191" s="179">
        <f ca="1">IF(ISNUMBER(MATCH(DATEVALUE($A191),'recurring1_based on steps'!AH$1:AH$400,0)),AH$2,)</f>
        <v>0</v>
      </c>
      <c r="AI191" s="179">
        <f ca="1">IF(ISNUMBER(MATCH(DATEVALUE($A191),'recurring1_based on steps'!AI$1:AI$400,0)),AI$2,)</f>
        <v>0</v>
      </c>
      <c r="AJ191" s="179">
        <f ca="1">IF(ISNUMBER(MATCH(DATEVALUE($A191),'recurring1_based on steps'!AJ$1:AJ$400,0)),AJ$2,)</f>
        <v>0</v>
      </c>
      <c r="AK191" s="179">
        <f ca="1">IF(ISNUMBER(MATCH(DATEVALUE($A191),'recurring1_based on steps'!AK$1:AK$400,0)),AK$2,)</f>
        <v>0</v>
      </c>
      <c r="AL191" s="179">
        <f ca="1">IF(ISNUMBER(MATCH(DATEVALUE($A191),'recurring1_based on steps'!AL$1:AL$400,0)),AL$2,)</f>
        <v>0</v>
      </c>
      <c r="AM191" s="179">
        <f ca="1">IF(ISNUMBER(MATCH(DATEVALUE($A191),'recurring1_based on steps'!AM$1:AM$400,0)),AM$2,)</f>
        <v>0</v>
      </c>
      <c r="AN191" s="179">
        <f ca="1">IF(ISNUMBER(MATCH(DATEVALUE($A191),'recurring1_based on steps'!AN$1:AN$400,0)),AN$2,)</f>
        <v>0</v>
      </c>
      <c r="AO191" s="179">
        <f ca="1">IF(ISNUMBER(MATCH(DATEVALUE($A191),'recurring1_based on steps'!AO$1:AO$400,0)),AO$2,)</f>
        <v>0</v>
      </c>
      <c r="AP191" s="179">
        <f ca="1">IF(ISNUMBER(MATCH(DATEVALUE($A191),'recurring1_based on steps'!AP$1:AP$400,0)),AP$2,)</f>
        <v>0</v>
      </c>
      <c r="AQ191" s="179">
        <f ca="1">IF(ISNUMBER(MATCH(DATEVALUE($A191),'recurring1_based on steps'!AQ$1:AQ$400,0)),AQ$2,)</f>
        <v>0</v>
      </c>
      <c r="AR191" s="179">
        <f ca="1">IF(ISNUMBER(MATCH(DATEVALUE($A191),'recurring1_based on steps'!AR$1:AR$400,0)),AR$2,)</f>
        <v>0</v>
      </c>
      <c r="AS191" s="179">
        <f ca="1">IF(ISNUMBER(MATCH(DATEVALUE($A191),'recurring1_based on steps'!AS$1:AS$400,0)),AS$2,)</f>
        <v>0</v>
      </c>
      <c r="AT191" s="179">
        <f ca="1">IF(ISNUMBER(MATCH(DATEVALUE($A191),'recurring1_based on steps'!AT$1:AT$400,0)),AT$2,)</f>
        <v>0</v>
      </c>
      <c r="AU191" s="179">
        <f ca="1">IF(ISNUMBER(MATCH(DATEVALUE($A191),'recurring1_based on steps'!AU$1:AU$400,0)),AU$2,)</f>
        <v>0</v>
      </c>
      <c r="AV191" s="179">
        <f ca="1">IF(ISNUMBER(MATCH(DATEVALUE($A191),'recurring1_based on steps'!AV$1:AV$400,0)),AV$2,)</f>
        <v>0</v>
      </c>
      <c r="AW191" s="179">
        <f ca="1">IF(ISNUMBER(MATCH(DATEVALUE($A191),'recurring1_based on steps'!AW$1:AW$400,0)),AW$2,)</f>
        <v>0</v>
      </c>
      <c r="AX191" s="179">
        <f ca="1">IF(ISNUMBER(MATCH(DATEVALUE($A191),'recurring1_based on steps'!AX$1:AX$400,0)),AX$2,)</f>
        <v>0</v>
      </c>
      <c r="AY191" s="179">
        <f ca="1">IF(ISNUMBER(MATCH(DATEVALUE($A191),'recurring1_based on steps'!AY$1:AY$400,0)),AY$2,)</f>
        <v>0</v>
      </c>
    </row>
    <row r="192" spans="1:51" x14ac:dyDescent="0.2">
      <c r="A192" s="32" t="str">
        <f t="shared" ca="1" si="2"/>
        <v>2025-10-04</v>
      </c>
      <c r="B192" s="179">
        <f ca="1">IF(ISNUMBER(MATCH(DATEVALUE($A192),'recurring1_based on steps'!B$1:B$400,0)),B$2,)</f>
        <v>0</v>
      </c>
      <c r="C192" s="179">
        <f ca="1">IF(ISNUMBER(MATCH(DATEVALUE($A192),'recurring1_based on steps'!C$1:C$400,0)),C$2,)</f>
        <v>0</v>
      </c>
      <c r="D192" s="179">
        <f ca="1">IF(ISNUMBER(MATCH(DATEVALUE($A192),'recurring1_based on steps'!D$1:D$400,0)),D$2,)</f>
        <v>0</v>
      </c>
      <c r="E192" s="179">
        <f ca="1">IF(ISNUMBER(MATCH(DATEVALUE($A192),'recurring1_based on steps'!E$1:E$400,0)),E$2,)</f>
        <v>0</v>
      </c>
      <c r="F192" s="179">
        <f ca="1">IF(ISNUMBER(MATCH(DATEVALUE($A192),'recurring1_based on steps'!F$1:F$400,0)),F$2,)</f>
        <v>0</v>
      </c>
      <c r="G192" s="179">
        <f ca="1">IF(ISNUMBER(MATCH(DATEVALUE($A192),'recurring1_based on steps'!G$1:G$400,0)),G$2,)</f>
        <v>0</v>
      </c>
      <c r="H192" s="179">
        <f ca="1">IF(ISNUMBER(MATCH(DATEVALUE($A192),'recurring1_based on steps'!H$1:H$400,0)),H$2,)</f>
        <v>0</v>
      </c>
      <c r="I192" s="179">
        <f ca="1">IF(ISNUMBER(MATCH(DATEVALUE($A192),'recurring1_based on steps'!I$1:I$400,0)),I$2,)</f>
        <v>0</v>
      </c>
      <c r="J192" s="179">
        <f ca="1">IF(ISNUMBER(MATCH(DATEVALUE($A192),'recurring1_based on steps'!J$1:J$400,0)),J$2,)</f>
        <v>0</v>
      </c>
      <c r="K192" s="179">
        <f ca="1">IF(ISNUMBER(MATCH(DATEVALUE($A192),'recurring1_based on steps'!K$1:K$400,0)),K$2,)</f>
        <v>0</v>
      </c>
      <c r="L192" s="179">
        <f ca="1">IF(ISNUMBER(MATCH(DATEVALUE($A192),'recurring1_based on steps'!L$1:L$400,0)),L$2,)</f>
        <v>0</v>
      </c>
      <c r="M192" s="179">
        <f ca="1">IF(ISNUMBER(MATCH(DATEVALUE($A192),'recurring1_based on steps'!M$1:M$400,0)),M$2,)</f>
        <v>0</v>
      </c>
      <c r="N192" s="179">
        <f ca="1">IF(ISNUMBER(MATCH(DATEVALUE($A192),'recurring1_based on steps'!N$1:N$400,0)),N$2,)</f>
        <v>0</v>
      </c>
      <c r="O192" s="179">
        <f ca="1">IF(ISNUMBER(MATCH(DATEVALUE($A192),'recurring1_based on steps'!O$1:O$400,0)),O$2,)</f>
        <v>0</v>
      </c>
      <c r="P192" s="179">
        <f ca="1">IF(ISNUMBER(MATCH(DATEVALUE($A192),'recurring1_based on steps'!P$1:P$400,0)),P$2,)</f>
        <v>0</v>
      </c>
      <c r="Q192" s="179">
        <f ca="1">IF(ISNUMBER(MATCH(DATEVALUE($A192),'recurring1_based on steps'!Q$1:Q$400,0)),Q$2,)</f>
        <v>0</v>
      </c>
      <c r="R192" s="179">
        <f ca="1">IF(ISNUMBER(MATCH(DATEVALUE($A192),'recurring1_based on steps'!R$1:R$400,0)),R$2,)</f>
        <v>0</v>
      </c>
      <c r="S192" s="179">
        <f ca="1">IF(ISNUMBER(MATCH(DATEVALUE($A192),'recurring1_based on steps'!S$1:S$400,0)),S$2,)</f>
        <v>0</v>
      </c>
      <c r="T192" s="179">
        <f ca="1">IF(ISNUMBER(MATCH(DATEVALUE($A192),'recurring1_based on steps'!T$1:T$400,0)),T$2,)</f>
        <v>0</v>
      </c>
      <c r="U192" s="179">
        <f ca="1">IF(ISNUMBER(MATCH(DATEVALUE($A192),'recurring1_based on steps'!U$1:U$400,0)),U$2,)</f>
        <v>0</v>
      </c>
      <c r="V192" s="179">
        <f ca="1">IF(ISNUMBER(MATCH(DATEVALUE($A192),'recurring1_based on steps'!V$1:V$400,0)),V$2,)</f>
        <v>0</v>
      </c>
      <c r="W192" s="179">
        <f ca="1">IF(ISNUMBER(MATCH(DATEVALUE($A192),'recurring1_based on steps'!W$1:W$400,0)),W$2,)</f>
        <v>0</v>
      </c>
      <c r="X192" s="179">
        <f ca="1">IF(ISNUMBER(MATCH(DATEVALUE($A192),'recurring1_based on steps'!X$1:X$400,0)),X$2,)</f>
        <v>0</v>
      </c>
      <c r="Y192" s="179">
        <f ca="1">IF(ISNUMBER(MATCH(DATEVALUE($A192),'recurring1_based on steps'!Y$1:Y$400,0)),Y$2,)</f>
        <v>0</v>
      </c>
      <c r="Z192" s="179">
        <f ca="1">IF(ISNUMBER(MATCH(DATEVALUE($A192),'recurring1_based on steps'!Z$1:Z$400,0)),Z$2,)</f>
        <v>0</v>
      </c>
      <c r="AA192" s="179">
        <f ca="1">IF(ISNUMBER(MATCH(DATEVALUE($A192),'recurring1_based on steps'!AA$1:AA$400,0)),AA$2,)</f>
        <v>0</v>
      </c>
      <c r="AB192" s="179">
        <f ca="1">IF(ISNUMBER(MATCH(DATEVALUE($A192),'recurring1_based on steps'!AB$1:AB$400,0)),AB$2,)</f>
        <v>0</v>
      </c>
      <c r="AC192" s="179">
        <f ca="1">IF(ISNUMBER(MATCH(DATEVALUE($A192),'recurring1_based on steps'!AC$1:AC$400,0)),AC$2,)</f>
        <v>0</v>
      </c>
      <c r="AD192" s="179">
        <f ca="1">IF(ISNUMBER(MATCH(DATEVALUE($A192),'recurring1_based on steps'!AD$1:AD$400,0)),AD$2,)</f>
        <v>0</v>
      </c>
      <c r="AE192" s="179">
        <f ca="1">IF(ISNUMBER(MATCH(DATEVALUE($A192),'recurring1_based on steps'!AE$1:AE$400,0)),AE$2,)</f>
        <v>0</v>
      </c>
      <c r="AF192" s="179">
        <f ca="1">IF(ISNUMBER(MATCH(DATEVALUE($A192),'recurring1_based on steps'!AF$1:AF$400,0)),AF$2,)</f>
        <v>0</v>
      </c>
      <c r="AG192" s="179">
        <f ca="1">IF(ISNUMBER(MATCH(DATEVALUE($A192),'recurring1_based on steps'!AG$1:AG$400,0)),AG$2,)</f>
        <v>0</v>
      </c>
      <c r="AH192" s="179">
        <f ca="1">IF(ISNUMBER(MATCH(DATEVALUE($A192),'recurring1_based on steps'!AH$1:AH$400,0)),AH$2,)</f>
        <v>0</v>
      </c>
      <c r="AI192" s="179">
        <f ca="1">IF(ISNUMBER(MATCH(DATEVALUE($A192),'recurring1_based on steps'!AI$1:AI$400,0)),AI$2,)</f>
        <v>0</v>
      </c>
      <c r="AJ192" s="179">
        <f ca="1">IF(ISNUMBER(MATCH(DATEVALUE($A192),'recurring1_based on steps'!AJ$1:AJ$400,0)),AJ$2,)</f>
        <v>0</v>
      </c>
      <c r="AK192" s="179">
        <f ca="1">IF(ISNUMBER(MATCH(DATEVALUE($A192),'recurring1_based on steps'!AK$1:AK$400,0)),AK$2,)</f>
        <v>0</v>
      </c>
      <c r="AL192" s="179">
        <f ca="1">IF(ISNUMBER(MATCH(DATEVALUE($A192),'recurring1_based on steps'!AL$1:AL$400,0)),AL$2,)</f>
        <v>0</v>
      </c>
      <c r="AM192" s="179">
        <f ca="1">IF(ISNUMBER(MATCH(DATEVALUE($A192),'recurring1_based on steps'!AM$1:AM$400,0)),AM$2,)</f>
        <v>0</v>
      </c>
      <c r="AN192" s="179">
        <f ca="1">IF(ISNUMBER(MATCH(DATEVALUE($A192),'recurring1_based on steps'!AN$1:AN$400,0)),AN$2,)</f>
        <v>0</v>
      </c>
      <c r="AO192" s="179">
        <f ca="1">IF(ISNUMBER(MATCH(DATEVALUE($A192),'recurring1_based on steps'!AO$1:AO$400,0)),AO$2,)</f>
        <v>0</v>
      </c>
      <c r="AP192" s="179">
        <f ca="1">IF(ISNUMBER(MATCH(DATEVALUE($A192),'recurring1_based on steps'!AP$1:AP$400,0)),AP$2,)</f>
        <v>0</v>
      </c>
      <c r="AQ192" s="179">
        <f ca="1">IF(ISNUMBER(MATCH(DATEVALUE($A192),'recurring1_based on steps'!AQ$1:AQ$400,0)),AQ$2,)</f>
        <v>0</v>
      </c>
      <c r="AR192" s="179">
        <f ca="1">IF(ISNUMBER(MATCH(DATEVALUE($A192),'recurring1_based on steps'!AR$1:AR$400,0)),AR$2,)</f>
        <v>0</v>
      </c>
      <c r="AS192" s="179">
        <f ca="1">IF(ISNUMBER(MATCH(DATEVALUE($A192),'recurring1_based on steps'!AS$1:AS$400,0)),AS$2,)</f>
        <v>0</v>
      </c>
      <c r="AT192" s="179">
        <f ca="1">IF(ISNUMBER(MATCH(DATEVALUE($A192),'recurring1_based on steps'!AT$1:AT$400,0)),AT$2,)</f>
        <v>0</v>
      </c>
      <c r="AU192" s="179">
        <f ca="1">IF(ISNUMBER(MATCH(DATEVALUE($A192),'recurring1_based on steps'!AU$1:AU$400,0)),AU$2,)</f>
        <v>0</v>
      </c>
      <c r="AV192" s="179">
        <f ca="1">IF(ISNUMBER(MATCH(DATEVALUE($A192),'recurring1_based on steps'!AV$1:AV$400,0)),AV$2,)</f>
        <v>0</v>
      </c>
      <c r="AW192" s="179">
        <f ca="1">IF(ISNUMBER(MATCH(DATEVALUE($A192),'recurring1_based on steps'!AW$1:AW$400,0)),AW$2,)</f>
        <v>0</v>
      </c>
      <c r="AX192" s="179">
        <f ca="1">IF(ISNUMBER(MATCH(DATEVALUE($A192),'recurring1_based on steps'!AX$1:AX$400,0)),AX$2,)</f>
        <v>0</v>
      </c>
      <c r="AY192" s="179">
        <f ca="1">IF(ISNUMBER(MATCH(DATEVALUE($A192),'recurring1_based on steps'!AY$1:AY$400,0)),AY$2,)</f>
        <v>0</v>
      </c>
    </row>
    <row r="193" spans="1:51" x14ac:dyDescent="0.2">
      <c r="A193" s="32" t="str">
        <f t="shared" ca="1" si="2"/>
        <v>2025-10-05</v>
      </c>
      <c r="B193" s="179">
        <f ca="1">IF(ISNUMBER(MATCH(DATEVALUE($A193),'recurring1_based on steps'!B$1:B$400,0)),B$2,)</f>
        <v>0</v>
      </c>
      <c r="C193" s="179">
        <f ca="1">IF(ISNUMBER(MATCH(DATEVALUE($A193),'recurring1_based on steps'!C$1:C$400,0)),C$2,)</f>
        <v>0</v>
      </c>
      <c r="D193" s="179">
        <f ca="1">IF(ISNUMBER(MATCH(DATEVALUE($A193),'recurring1_based on steps'!D$1:D$400,0)),D$2,)</f>
        <v>0</v>
      </c>
      <c r="E193" s="179">
        <f ca="1">IF(ISNUMBER(MATCH(DATEVALUE($A193),'recurring1_based on steps'!E$1:E$400,0)),E$2,)</f>
        <v>0</v>
      </c>
      <c r="F193" s="179">
        <f ca="1">IF(ISNUMBER(MATCH(DATEVALUE($A193),'recurring1_based on steps'!F$1:F$400,0)),F$2,)</f>
        <v>0</v>
      </c>
      <c r="G193" s="179">
        <f ca="1">IF(ISNUMBER(MATCH(DATEVALUE($A193),'recurring1_based on steps'!G$1:G$400,0)),G$2,)</f>
        <v>0</v>
      </c>
      <c r="H193" s="179">
        <f ca="1">IF(ISNUMBER(MATCH(DATEVALUE($A193),'recurring1_based on steps'!H$1:H$400,0)),H$2,)</f>
        <v>0</v>
      </c>
      <c r="I193" s="179">
        <f ca="1">IF(ISNUMBER(MATCH(DATEVALUE($A193),'recurring1_based on steps'!I$1:I$400,0)),I$2,)</f>
        <v>0</v>
      </c>
      <c r="J193" s="179">
        <f ca="1">IF(ISNUMBER(MATCH(DATEVALUE($A193),'recurring1_based on steps'!J$1:J$400,0)),J$2,)</f>
        <v>0</v>
      </c>
      <c r="K193" s="179">
        <f ca="1">IF(ISNUMBER(MATCH(DATEVALUE($A193),'recurring1_based on steps'!K$1:K$400,0)),K$2,)</f>
        <v>0</v>
      </c>
      <c r="L193" s="179">
        <f ca="1">IF(ISNUMBER(MATCH(DATEVALUE($A193),'recurring1_based on steps'!L$1:L$400,0)),L$2,)</f>
        <v>0</v>
      </c>
      <c r="M193" s="179">
        <f ca="1">IF(ISNUMBER(MATCH(DATEVALUE($A193),'recurring1_based on steps'!M$1:M$400,0)),M$2,)</f>
        <v>0</v>
      </c>
      <c r="N193" s="179">
        <f ca="1">IF(ISNUMBER(MATCH(DATEVALUE($A193),'recurring1_based on steps'!N$1:N$400,0)),N$2,)</f>
        <v>0</v>
      </c>
      <c r="O193" s="179">
        <f ca="1">IF(ISNUMBER(MATCH(DATEVALUE($A193),'recurring1_based on steps'!O$1:O$400,0)),O$2,)</f>
        <v>0</v>
      </c>
      <c r="P193" s="179">
        <f ca="1">IF(ISNUMBER(MATCH(DATEVALUE($A193),'recurring1_based on steps'!P$1:P$400,0)),P$2,)</f>
        <v>0</v>
      </c>
      <c r="Q193" s="179">
        <f ca="1">IF(ISNUMBER(MATCH(DATEVALUE($A193),'recurring1_based on steps'!Q$1:Q$400,0)),Q$2,)</f>
        <v>0</v>
      </c>
      <c r="R193" s="179">
        <f ca="1">IF(ISNUMBER(MATCH(DATEVALUE($A193),'recurring1_based on steps'!R$1:R$400,0)),R$2,)</f>
        <v>0</v>
      </c>
      <c r="S193" s="179">
        <f ca="1">IF(ISNUMBER(MATCH(DATEVALUE($A193),'recurring1_based on steps'!S$1:S$400,0)),S$2,)</f>
        <v>0</v>
      </c>
      <c r="T193" s="179">
        <f ca="1">IF(ISNUMBER(MATCH(DATEVALUE($A193),'recurring1_based on steps'!T$1:T$400,0)),T$2,)</f>
        <v>0</v>
      </c>
      <c r="U193" s="179">
        <f ca="1">IF(ISNUMBER(MATCH(DATEVALUE($A193),'recurring1_based on steps'!U$1:U$400,0)),U$2,)</f>
        <v>0</v>
      </c>
      <c r="V193" s="179">
        <f ca="1">IF(ISNUMBER(MATCH(DATEVALUE($A193),'recurring1_based on steps'!V$1:V$400,0)),V$2,)</f>
        <v>0</v>
      </c>
      <c r="W193" s="179">
        <f ca="1">IF(ISNUMBER(MATCH(DATEVALUE($A193),'recurring1_based on steps'!W$1:W$400,0)),W$2,)</f>
        <v>0</v>
      </c>
      <c r="X193" s="179">
        <f ca="1">IF(ISNUMBER(MATCH(DATEVALUE($A193),'recurring1_based on steps'!X$1:X$400,0)),X$2,)</f>
        <v>0</v>
      </c>
      <c r="Y193" s="179">
        <f ca="1">IF(ISNUMBER(MATCH(DATEVALUE($A193),'recurring1_based on steps'!Y$1:Y$400,0)),Y$2,)</f>
        <v>0</v>
      </c>
      <c r="Z193" s="179">
        <f ca="1">IF(ISNUMBER(MATCH(DATEVALUE($A193),'recurring1_based on steps'!Z$1:Z$400,0)),Z$2,)</f>
        <v>0</v>
      </c>
      <c r="AA193" s="179">
        <f ca="1">IF(ISNUMBER(MATCH(DATEVALUE($A193),'recurring1_based on steps'!AA$1:AA$400,0)),AA$2,)</f>
        <v>0</v>
      </c>
      <c r="AB193" s="179">
        <f ca="1">IF(ISNUMBER(MATCH(DATEVALUE($A193),'recurring1_based on steps'!AB$1:AB$400,0)),AB$2,)</f>
        <v>0</v>
      </c>
      <c r="AC193" s="179">
        <f ca="1">IF(ISNUMBER(MATCH(DATEVALUE($A193),'recurring1_based on steps'!AC$1:AC$400,0)),AC$2,)</f>
        <v>0</v>
      </c>
      <c r="AD193" s="179">
        <f ca="1">IF(ISNUMBER(MATCH(DATEVALUE($A193),'recurring1_based on steps'!AD$1:AD$400,0)),AD$2,)</f>
        <v>0</v>
      </c>
      <c r="AE193" s="179">
        <f ca="1">IF(ISNUMBER(MATCH(DATEVALUE($A193),'recurring1_based on steps'!AE$1:AE$400,0)),AE$2,)</f>
        <v>0</v>
      </c>
      <c r="AF193" s="179">
        <f ca="1">IF(ISNUMBER(MATCH(DATEVALUE($A193),'recurring1_based on steps'!AF$1:AF$400,0)),AF$2,)</f>
        <v>0</v>
      </c>
      <c r="AG193" s="179">
        <f ca="1">IF(ISNUMBER(MATCH(DATEVALUE($A193),'recurring1_based on steps'!AG$1:AG$400,0)),AG$2,)</f>
        <v>0</v>
      </c>
      <c r="AH193" s="179">
        <f ca="1">IF(ISNUMBER(MATCH(DATEVALUE($A193),'recurring1_based on steps'!AH$1:AH$400,0)),AH$2,)</f>
        <v>0</v>
      </c>
      <c r="AI193" s="179">
        <f ca="1">IF(ISNUMBER(MATCH(DATEVALUE($A193),'recurring1_based on steps'!AI$1:AI$400,0)),AI$2,)</f>
        <v>0</v>
      </c>
      <c r="AJ193" s="179">
        <f ca="1">IF(ISNUMBER(MATCH(DATEVALUE($A193),'recurring1_based on steps'!AJ$1:AJ$400,0)),AJ$2,)</f>
        <v>0</v>
      </c>
      <c r="AK193" s="179">
        <f ca="1">IF(ISNUMBER(MATCH(DATEVALUE($A193),'recurring1_based on steps'!AK$1:AK$400,0)),AK$2,)</f>
        <v>0</v>
      </c>
      <c r="AL193" s="179">
        <f ca="1">IF(ISNUMBER(MATCH(DATEVALUE($A193),'recurring1_based on steps'!AL$1:AL$400,0)),AL$2,)</f>
        <v>0</v>
      </c>
      <c r="AM193" s="179">
        <f ca="1">IF(ISNUMBER(MATCH(DATEVALUE($A193),'recurring1_based on steps'!AM$1:AM$400,0)),AM$2,)</f>
        <v>0</v>
      </c>
      <c r="AN193" s="179">
        <f ca="1">IF(ISNUMBER(MATCH(DATEVALUE($A193),'recurring1_based on steps'!AN$1:AN$400,0)),AN$2,)</f>
        <v>0</v>
      </c>
      <c r="AO193" s="179">
        <f ca="1">IF(ISNUMBER(MATCH(DATEVALUE($A193),'recurring1_based on steps'!AO$1:AO$400,0)),AO$2,)</f>
        <v>0</v>
      </c>
      <c r="AP193" s="179">
        <f ca="1">IF(ISNUMBER(MATCH(DATEVALUE($A193),'recurring1_based on steps'!AP$1:AP$400,0)),AP$2,)</f>
        <v>0</v>
      </c>
      <c r="AQ193" s="179">
        <f ca="1">IF(ISNUMBER(MATCH(DATEVALUE($A193),'recurring1_based on steps'!AQ$1:AQ$400,0)),AQ$2,)</f>
        <v>0</v>
      </c>
      <c r="AR193" s="179">
        <f ca="1">IF(ISNUMBER(MATCH(DATEVALUE($A193),'recurring1_based on steps'!AR$1:AR$400,0)),AR$2,)</f>
        <v>0</v>
      </c>
      <c r="AS193" s="179">
        <f ca="1">IF(ISNUMBER(MATCH(DATEVALUE($A193),'recurring1_based on steps'!AS$1:AS$400,0)),AS$2,)</f>
        <v>0</v>
      </c>
      <c r="AT193" s="179">
        <f ca="1">IF(ISNUMBER(MATCH(DATEVALUE($A193),'recurring1_based on steps'!AT$1:AT$400,0)),AT$2,)</f>
        <v>0</v>
      </c>
      <c r="AU193" s="179">
        <f ca="1">IF(ISNUMBER(MATCH(DATEVALUE($A193),'recurring1_based on steps'!AU$1:AU$400,0)),AU$2,)</f>
        <v>0</v>
      </c>
      <c r="AV193" s="179">
        <f ca="1">IF(ISNUMBER(MATCH(DATEVALUE($A193),'recurring1_based on steps'!AV$1:AV$400,0)),AV$2,)</f>
        <v>0</v>
      </c>
      <c r="AW193" s="179">
        <f ca="1">IF(ISNUMBER(MATCH(DATEVALUE($A193),'recurring1_based on steps'!AW$1:AW$400,0)),AW$2,)</f>
        <v>0</v>
      </c>
      <c r="AX193" s="179">
        <f ca="1">IF(ISNUMBER(MATCH(DATEVALUE($A193),'recurring1_based on steps'!AX$1:AX$400,0)),AX$2,)</f>
        <v>0</v>
      </c>
      <c r="AY193" s="179">
        <f ca="1">IF(ISNUMBER(MATCH(DATEVALUE($A193),'recurring1_based on steps'!AY$1:AY$400,0)),AY$2,)</f>
        <v>0</v>
      </c>
    </row>
    <row r="194" spans="1:51" x14ac:dyDescent="0.2">
      <c r="A194" s="32" t="str">
        <f t="shared" ca="1" si="2"/>
        <v>2025-10-06</v>
      </c>
      <c r="B194" s="179">
        <f ca="1">IF(ISNUMBER(MATCH(DATEVALUE($A194),'recurring1_based on steps'!B$1:B$400,0)),B$2,)</f>
        <v>0</v>
      </c>
      <c r="C194" s="179">
        <f ca="1">IF(ISNUMBER(MATCH(DATEVALUE($A194),'recurring1_based on steps'!C$1:C$400,0)),C$2,)</f>
        <v>0</v>
      </c>
      <c r="D194" s="179">
        <f ca="1">IF(ISNUMBER(MATCH(DATEVALUE($A194),'recurring1_based on steps'!D$1:D$400,0)),D$2,)</f>
        <v>0</v>
      </c>
      <c r="E194" s="179">
        <f ca="1">IF(ISNUMBER(MATCH(DATEVALUE($A194),'recurring1_based on steps'!E$1:E$400,0)),E$2,)</f>
        <v>0</v>
      </c>
      <c r="F194" s="179">
        <f ca="1">IF(ISNUMBER(MATCH(DATEVALUE($A194),'recurring1_based on steps'!F$1:F$400,0)),F$2,)</f>
        <v>0</v>
      </c>
      <c r="G194" s="179">
        <f ca="1">IF(ISNUMBER(MATCH(DATEVALUE($A194),'recurring1_based on steps'!G$1:G$400,0)),G$2,)</f>
        <v>0</v>
      </c>
      <c r="H194" s="179">
        <f ca="1">IF(ISNUMBER(MATCH(DATEVALUE($A194),'recurring1_based on steps'!H$1:H$400,0)),H$2,)</f>
        <v>0</v>
      </c>
      <c r="I194" s="179">
        <f ca="1">IF(ISNUMBER(MATCH(DATEVALUE($A194),'recurring1_based on steps'!I$1:I$400,0)),I$2,)</f>
        <v>0</v>
      </c>
      <c r="J194" s="179">
        <f ca="1">IF(ISNUMBER(MATCH(DATEVALUE($A194),'recurring1_based on steps'!J$1:J$400,0)),J$2,)</f>
        <v>0</v>
      </c>
      <c r="K194" s="179">
        <f ca="1">IF(ISNUMBER(MATCH(DATEVALUE($A194),'recurring1_based on steps'!K$1:K$400,0)),K$2,)</f>
        <v>0</v>
      </c>
      <c r="L194" s="179">
        <f ca="1">IF(ISNUMBER(MATCH(DATEVALUE($A194),'recurring1_based on steps'!L$1:L$400,0)),L$2,)</f>
        <v>0</v>
      </c>
      <c r="M194" s="179">
        <f ca="1">IF(ISNUMBER(MATCH(DATEVALUE($A194),'recurring1_based on steps'!M$1:M$400,0)),M$2,)</f>
        <v>0</v>
      </c>
      <c r="N194" s="179">
        <f ca="1">IF(ISNUMBER(MATCH(DATEVALUE($A194),'recurring1_based on steps'!N$1:N$400,0)),N$2,)</f>
        <v>0</v>
      </c>
      <c r="O194" s="179">
        <f ca="1">IF(ISNUMBER(MATCH(DATEVALUE($A194),'recurring1_based on steps'!O$1:O$400,0)),O$2,)</f>
        <v>0</v>
      </c>
      <c r="P194" s="179">
        <f ca="1">IF(ISNUMBER(MATCH(DATEVALUE($A194),'recurring1_based on steps'!P$1:P$400,0)),P$2,)</f>
        <v>0</v>
      </c>
      <c r="Q194" s="179">
        <f ca="1">IF(ISNUMBER(MATCH(DATEVALUE($A194),'recurring1_based on steps'!Q$1:Q$400,0)),Q$2,)</f>
        <v>0</v>
      </c>
      <c r="R194" s="179">
        <f ca="1">IF(ISNUMBER(MATCH(DATEVALUE($A194),'recurring1_based on steps'!R$1:R$400,0)),R$2,)</f>
        <v>0</v>
      </c>
      <c r="S194" s="179">
        <f ca="1">IF(ISNUMBER(MATCH(DATEVALUE($A194),'recurring1_based on steps'!S$1:S$400,0)),S$2,)</f>
        <v>0</v>
      </c>
      <c r="T194" s="179">
        <f ca="1">IF(ISNUMBER(MATCH(DATEVALUE($A194),'recurring1_based on steps'!T$1:T$400,0)),T$2,)</f>
        <v>0</v>
      </c>
      <c r="U194" s="179">
        <f ca="1">IF(ISNUMBER(MATCH(DATEVALUE($A194),'recurring1_based on steps'!U$1:U$400,0)),U$2,)</f>
        <v>0</v>
      </c>
      <c r="V194" s="179">
        <f ca="1">IF(ISNUMBER(MATCH(DATEVALUE($A194),'recurring1_based on steps'!V$1:V$400,0)),V$2,)</f>
        <v>0</v>
      </c>
      <c r="W194" s="179">
        <f ca="1">IF(ISNUMBER(MATCH(DATEVALUE($A194),'recurring1_based on steps'!W$1:W$400,0)),W$2,)</f>
        <v>0</v>
      </c>
      <c r="X194" s="179">
        <f ca="1">IF(ISNUMBER(MATCH(DATEVALUE($A194),'recurring1_based on steps'!X$1:X$400,0)),X$2,)</f>
        <v>0</v>
      </c>
      <c r="Y194" s="179">
        <f ca="1">IF(ISNUMBER(MATCH(DATEVALUE($A194),'recurring1_based on steps'!Y$1:Y$400,0)),Y$2,)</f>
        <v>0</v>
      </c>
      <c r="Z194" s="179">
        <f ca="1">IF(ISNUMBER(MATCH(DATEVALUE($A194),'recurring1_based on steps'!Z$1:Z$400,0)),Z$2,)</f>
        <v>0</v>
      </c>
      <c r="AA194" s="179">
        <f ca="1">IF(ISNUMBER(MATCH(DATEVALUE($A194),'recurring1_based on steps'!AA$1:AA$400,0)),AA$2,)</f>
        <v>0</v>
      </c>
      <c r="AB194" s="179">
        <f ca="1">IF(ISNUMBER(MATCH(DATEVALUE($A194),'recurring1_based on steps'!AB$1:AB$400,0)),AB$2,)</f>
        <v>0</v>
      </c>
      <c r="AC194" s="179">
        <f ca="1">IF(ISNUMBER(MATCH(DATEVALUE($A194),'recurring1_based on steps'!AC$1:AC$400,0)),AC$2,)</f>
        <v>0</v>
      </c>
      <c r="AD194" s="179">
        <f ca="1">IF(ISNUMBER(MATCH(DATEVALUE($A194),'recurring1_based on steps'!AD$1:AD$400,0)),AD$2,)</f>
        <v>0</v>
      </c>
      <c r="AE194" s="179">
        <f ca="1">IF(ISNUMBER(MATCH(DATEVALUE($A194),'recurring1_based on steps'!AE$1:AE$400,0)),AE$2,)</f>
        <v>0</v>
      </c>
      <c r="AF194" s="179">
        <f ca="1">IF(ISNUMBER(MATCH(DATEVALUE($A194),'recurring1_based on steps'!AF$1:AF$400,0)),AF$2,)</f>
        <v>0</v>
      </c>
      <c r="AG194" s="179">
        <f ca="1">IF(ISNUMBER(MATCH(DATEVALUE($A194),'recurring1_based on steps'!AG$1:AG$400,0)),AG$2,)</f>
        <v>0</v>
      </c>
      <c r="AH194" s="179">
        <f ca="1">IF(ISNUMBER(MATCH(DATEVALUE($A194),'recurring1_based on steps'!AH$1:AH$400,0)),AH$2,)</f>
        <v>0</v>
      </c>
      <c r="AI194" s="179">
        <f ca="1">IF(ISNUMBER(MATCH(DATEVALUE($A194),'recurring1_based on steps'!AI$1:AI$400,0)),AI$2,)</f>
        <v>0</v>
      </c>
      <c r="AJ194" s="179">
        <f ca="1">IF(ISNUMBER(MATCH(DATEVALUE($A194),'recurring1_based on steps'!AJ$1:AJ$400,0)),AJ$2,)</f>
        <v>0</v>
      </c>
      <c r="AK194" s="179">
        <f ca="1">IF(ISNUMBER(MATCH(DATEVALUE($A194),'recurring1_based on steps'!AK$1:AK$400,0)),AK$2,)</f>
        <v>0</v>
      </c>
      <c r="AL194" s="179">
        <f ca="1">IF(ISNUMBER(MATCH(DATEVALUE($A194),'recurring1_based on steps'!AL$1:AL$400,0)),AL$2,)</f>
        <v>0</v>
      </c>
      <c r="AM194" s="179">
        <f ca="1">IF(ISNUMBER(MATCH(DATEVALUE($A194),'recurring1_based on steps'!AM$1:AM$400,0)),AM$2,)</f>
        <v>0</v>
      </c>
      <c r="AN194" s="179">
        <f ca="1">IF(ISNUMBER(MATCH(DATEVALUE($A194),'recurring1_based on steps'!AN$1:AN$400,0)),AN$2,)</f>
        <v>0</v>
      </c>
      <c r="AO194" s="179">
        <f ca="1">IF(ISNUMBER(MATCH(DATEVALUE($A194),'recurring1_based on steps'!AO$1:AO$400,0)),AO$2,)</f>
        <v>0</v>
      </c>
      <c r="AP194" s="179">
        <f ca="1">IF(ISNUMBER(MATCH(DATEVALUE($A194),'recurring1_based on steps'!AP$1:AP$400,0)),AP$2,)</f>
        <v>0</v>
      </c>
      <c r="AQ194" s="179">
        <f ca="1">IF(ISNUMBER(MATCH(DATEVALUE($A194),'recurring1_based on steps'!AQ$1:AQ$400,0)),AQ$2,)</f>
        <v>0</v>
      </c>
      <c r="AR194" s="179">
        <f ca="1">IF(ISNUMBER(MATCH(DATEVALUE($A194),'recurring1_based on steps'!AR$1:AR$400,0)),AR$2,)</f>
        <v>0</v>
      </c>
      <c r="AS194" s="179">
        <f ca="1">IF(ISNUMBER(MATCH(DATEVALUE($A194),'recurring1_based on steps'!AS$1:AS$400,0)),AS$2,)</f>
        <v>0</v>
      </c>
      <c r="AT194" s="179">
        <f ca="1">IF(ISNUMBER(MATCH(DATEVALUE($A194),'recurring1_based on steps'!AT$1:AT$400,0)),AT$2,)</f>
        <v>0</v>
      </c>
      <c r="AU194" s="179">
        <f ca="1">IF(ISNUMBER(MATCH(DATEVALUE($A194),'recurring1_based on steps'!AU$1:AU$400,0)),AU$2,)</f>
        <v>0</v>
      </c>
      <c r="AV194" s="179">
        <f ca="1">IF(ISNUMBER(MATCH(DATEVALUE($A194),'recurring1_based on steps'!AV$1:AV$400,0)),AV$2,)</f>
        <v>0</v>
      </c>
      <c r="AW194" s="179">
        <f ca="1">IF(ISNUMBER(MATCH(DATEVALUE($A194),'recurring1_based on steps'!AW$1:AW$400,0)),AW$2,)</f>
        <v>0</v>
      </c>
      <c r="AX194" s="179">
        <f ca="1">IF(ISNUMBER(MATCH(DATEVALUE($A194),'recurring1_based on steps'!AX$1:AX$400,0)),AX$2,)</f>
        <v>0</v>
      </c>
      <c r="AY194" s="179">
        <f ca="1">IF(ISNUMBER(MATCH(DATEVALUE($A194),'recurring1_based on steps'!AY$1:AY$400,0)),AY$2,)</f>
        <v>0</v>
      </c>
    </row>
    <row r="195" spans="1:51" x14ac:dyDescent="0.2">
      <c r="A195" s="32" t="str">
        <f t="shared" ca="1" si="2"/>
        <v>2025-10-07</v>
      </c>
      <c r="B195" s="179">
        <f ca="1">IF(ISNUMBER(MATCH(DATEVALUE($A195),'recurring1_based on steps'!B$1:B$400,0)),B$2,)</f>
        <v>0</v>
      </c>
      <c r="C195" s="179">
        <f ca="1">IF(ISNUMBER(MATCH(DATEVALUE($A195),'recurring1_based on steps'!C$1:C$400,0)),C$2,)</f>
        <v>0</v>
      </c>
      <c r="D195" s="179">
        <f ca="1">IF(ISNUMBER(MATCH(DATEVALUE($A195),'recurring1_based on steps'!D$1:D$400,0)),D$2,)</f>
        <v>0</v>
      </c>
      <c r="E195" s="179">
        <f ca="1">IF(ISNUMBER(MATCH(DATEVALUE($A195),'recurring1_based on steps'!E$1:E$400,0)),E$2,)</f>
        <v>0</v>
      </c>
      <c r="F195" s="179">
        <f ca="1">IF(ISNUMBER(MATCH(DATEVALUE($A195),'recurring1_based on steps'!F$1:F$400,0)),F$2,)</f>
        <v>0</v>
      </c>
      <c r="G195" s="179">
        <f ca="1">IF(ISNUMBER(MATCH(DATEVALUE($A195),'recurring1_based on steps'!G$1:G$400,0)),G$2,)</f>
        <v>0</v>
      </c>
      <c r="H195" s="179">
        <f ca="1">IF(ISNUMBER(MATCH(DATEVALUE($A195),'recurring1_based on steps'!H$1:H$400,0)),H$2,)</f>
        <v>0</v>
      </c>
      <c r="I195" s="179">
        <f ca="1">IF(ISNUMBER(MATCH(DATEVALUE($A195),'recurring1_based on steps'!I$1:I$400,0)),I$2,)</f>
        <v>0</v>
      </c>
      <c r="J195" s="179">
        <f ca="1">IF(ISNUMBER(MATCH(DATEVALUE($A195),'recurring1_based on steps'!J$1:J$400,0)),J$2,)</f>
        <v>0</v>
      </c>
      <c r="K195" s="179">
        <f ca="1">IF(ISNUMBER(MATCH(DATEVALUE($A195),'recurring1_based on steps'!K$1:K$400,0)),K$2,)</f>
        <v>0</v>
      </c>
      <c r="L195" s="179">
        <f ca="1">IF(ISNUMBER(MATCH(DATEVALUE($A195),'recurring1_based on steps'!L$1:L$400,0)),L$2,)</f>
        <v>0</v>
      </c>
      <c r="M195" s="179">
        <f ca="1">IF(ISNUMBER(MATCH(DATEVALUE($A195),'recurring1_based on steps'!M$1:M$400,0)),M$2,)</f>
        <v>0</v>
      </c>
      <c r="N195" s="179">
        <f ca="1">IF(ISNUMBER(MATCH(DATEVALUE($A195),'recurring1_based on steps'!N$1:N$400,0)),N$2,)</f>
        <v>0</v>
      </c>
      <c r="O195" s="179">
        <f ca="1">IF(ISNUMBER(MATCH(DATEVALUE($A195),'recurring1_based on steps'!O$1:O$400,0)),O$2,)</f>
        <v>0</v>
      </c>
      <c r="P195" s="179">
        <f ca="1">IF(ISNUMBER(MATCH(DATEVALUE($A195),'recurring1_based on steps'!P$1:P$400,0)),P$2,)</f>
        <v>0</v>
      </c>
      <c r="Q195" s="179">
        <f ca="1">IF(ISNUMBER(MATCH(DATEVALUE($A195),'recurring1_based on steps'!Q$1:Q$400,0)),Q$2,)</f>
        <v>0</v>
      </c>
      <c r="R195" s="179">
        <f ca="1">IF(ISNUMBER(MATCH(DATEVALUE($A195),'recurring1_based on steps'!R$1:R$400,0)),R$2,)</f>
        <v>0</v>
      </c>
      <c r="S195" s="179">
        <f ca="1">IF(ISNUMBER(MATCH(DATEVALUE($A195),'recurring1_based on steps'!S$1:S$400,0)),S$2,)</f>
        <v>0</v>
      </c>
      <c r="T195" s="179">
        <f ca="1">IF(ISNUMBER(MATCH(DATEVALUE($A195),'recurring1_based on steps'!T$1:T$400,0)),T$2,)</f>
        <v>0</v>
      </c>
      <c r="U195" s="179">
        <f ca="1">IF(ISNUMBER(MATCH(DATEVALUE($A195),'recurring1_based on steps'!U$1:U$400,0)),U$2,)</f>
        <v>0</v>
      </c>
      <c r="V195" s="179">
        <f ca="1">IF(ISNUMBER(MATCH(DATEVALUE($A195),'recurring1_based on steps'!V$1:V$400,0)),V$2,)</f>
        <v>0</v>
      </c>
      <c r="W195" s="179">
        <f ca="1">IF(ISNUMBER(MATCH(DATEVALUE($A195),'recurring1_based on steps'!W$1:W$400,0)),W$2,)</f>
        <v>0</v>
      </c>
      <c r="X195" s="179">
        <f ca="1">IF(ISNUMBER(MATCH(DATEVALUE($A195),'recurring1_based on steps'!X$1:X$400,0)),X$2,)</f>
        <v>0</v>
      </c>
      <c r="Y195" s="179">
        <f ca="1">IF(ISNUMBER(MATCH(DATEVALUE($A195),'recurring1_based on steps'!Y$1:Y$400,0)),Y$2,)</f>
        <v>0</v>
      </c>
      <c r="Z195" s="179">
        <f ca="1">IF(ISNUMBER(MATCH(DATEVALUE($A195),'recurring1_based on steps'!Z$1:Z$400,0)),Z$2,)</f>
        <v>0</v>
      </c>
      <c r="AA195" s="179">
        <f ca="1">IF(ISNUMBER(MATCH(DATEVALUE($A195),'recurring1_based on steps'!AA$1:AA$400,0)),AA$2,)</f>
        <v>0</v>
      </c>
      <c r="AB195" s="179">
        <f ca="1">IF(ISNUMBER(MATCH(DATEVALUE($A195),'recurring1_based on steps'!AB$1:AB$400,0)),AB$2,)</f>
        <v>0</v>
      </c>
      <c r="AC195" s="179">
        <f ca="1">IF(ISNUMBER(MATCH(DATEVALUE($A195),'recurring1_based on steps'!AC$1:AC$400,0)),AC$2,)</f>
        <v>0</v>
      </c>
      <c r="AD195" s="179">
        <f ca="1">IF(ISNUMBER(MATCH(DATEVALUE($A195),'recurring1_based on steps'!AD$1:AD$400,0)),AD$2,)</f>
        <v>0</v>
      </c>
      <c r="AE195" s="179">
        <f ca="1">IF(ISNUMBER(MATCH(DATEVALUE($A195),'recurring1_based on steps'!AE$1:AE$400,0)),AE$2,)</f>
        <v>0</v>
      </c>
      <c r="AF195" s="179">
        <f ca="1">IF(ISNUMBER(MATCH(DATEVALUE($A195),'recurring1_based on steps'!AF$1:AF$400,0)),AF$2,)</f>
        <v>0</v>
      </c>
      <c r="AG195" s="179">
        <f ca="1">IF(ISNUMBER(MATCH(DATEVALUE($A195),'recurring1_based on steps'!AG$1:AG$400,0)),AG$2,)</f>
        <v>0</v>
      </c>
      <c r="AH195" s="179">
        <f ca="1">IF(ISNUMBER(MATCH(DATEVALUE($A195),'recurring1_based on steps'!AH$1:AH$400,0)),AH$2,)</f>
        <v>0</v>
      </c>
      <c r="AI195" s="179">
        <f ca="1">IF(ISNUMBER(MATCH(DATEVALUE($A195),'recurring1_based on steps'!AI$1:AI$400,0)),AI$2,)</f>
        <v>0</v>
      </c>
      <c r="AJ195" s="179">
        <f ca="1">IF(ISNUMBER(MATCH(DATEVALUE($A195),'recurring1_based on steps'!AJ$1:AJ$400,0)),AJ$2,)</f>
        <v>0</v>
      </c>
      <c r="AK195" s="179">
        <f ca="1">IF(ISNUMBER(MATCH(DATEVALUE($A195),'recurring1_based on steps'!AK$1:AK$400,0)),AK$2,)</f>
        <v>0</v>
      </c>
      <c r="AL195" s="179">
        <f ca="1">IF(ISNUMBER(MATCH(DATEVALUE($A195),'recurring1_based on steps'!AL$1:AL$400,0)),AL$2,)</f>
        <v>0</v>
      </c>
      <c r="AM195" s="179">
        <f ca="1">IF(ISNUMBER(MATCH(DATEVALUE($A195),'recurring1_based on steps'!AM$1:AM$400,0)),AM$2,)</f>
        <v>0</v>
      </c>
      <c r="AN195" s="179">
        <f ca="1">IF(ISNUMBER(MATCH(DATEVALUE($A195),'recurring1_based on steps'!AN$1:AN$400,0)),AN$2,)</f>
        <v>0</v>
      </c>
      <c r="AO195" s="179">
        <f ca="1">IF(ISNUMBER(MATCH(DATEVALUE($A195),'recurring1_based on steps'!AO$1:AO$400,0)),AO$2,)</f>
        <v>0</v>
      </c>
      <c r="AP195" s="179">
        <f ca="1">IF(ISNUMBER(MATCH(DATEVALUE($A195),'recurring1_based on steps'!AP$1:AP$400,0)),AP$2,)</f>
        <v>0</v>
      </c>
      <c r="AQ195" s="179">
        <f ca="1">IF(ISNUMBER(MATCH(DATEVALUE($A195),'recurring1_based on steps'!AQ$1:AQ$400,0)),AQ$2,)</f>
        <v>0</v>
      </c>
      <c r="AR195" s="179">
        <f ca="1">IF(ISNUMBER(MATCH(DATEVALUE($A195),'recurring1_based on steps'!AR$1:AR$400,0)),AR$2,)</f>
        <v>0</v>
      </c>
      <c r="AS195" s="179">
        <f ca="1">IF(ISNUMBER(MATCH(DATEVALUE($A195),'recurring1_based on steps'!AS$1:AS$400,0)),AS$2,)</f>
        <v>0</v>
      </c>
      <c r="AT195" s="179">
        <f ca="1">IF(ISNUMBER(MATCH(DATEVALUE($A195),'recurring1_based on steps'!AT$1:AT$400,0)),AT$2,)</f>
        <v>0</v>
      </c>
      <c r="AU195" s="179">
        <f ca="1">IF(ISNUMBER(MATCH(DATEVALUE($A195),'recurring1_based on steps'!AU$1:AU$400,0)),AU$2,)</f>
        <v>0</v>
      </c>
      <c r="AV195" s="179">
        <f ca="1">IF(ISNUMBER(MATCH(DATEVALUE($A195),'recurring1_based on steps'!AV$1:AV$400,0)),AV$2,)</f>
        <v>0</v>
      </c>
      <c r="AW195" s="179">
        <f ca="1">IF(ISNUMBER(MATCH(DATEVALUE($A195),'recurring1_based on steps'!AW$1:AW$400,0)),AW$2,)</f>
        <v>0</v>
      </c>
      <c r="AX195" s="179">
        <f ca="1">IF(ISNUMBER(MATCH(DATEVALUE($A195),'recurring1_based on steps'!AX$1:AX$400,0)),AX$2,)</f>
        <v>0</v>
      </c>
      <c r="AY195" s="179">
        <f ca="1">IF(ISNUMBER(MATCH(DATEVALUE($A195),'recurring1_based on steps'!AY$1:AY$400,0)),AY$2,)</f>
        <v>0</v>
      </c>
    </row>
    <row r="196" spans="1:51" x14ac:dyDescent="0.2">
      <c r="A196" s="32" t="str">
        <f t="shared" ca="1" si="2"/>
        <v>2025-10-08</v>
      </c>
      <c r="B196" s="179">
        <f ca="1">IF(ISNUMBER(MATCH(DATEVALUE($A196),'recurring1_based on steps'!B$1:B$400,0)),B$2,)</f>
        <v>0</v>
      </c>
      <c r="C196" s="179">
        <f ca="1">IF(ISNUMBER(MATCH(DATEVALUE($A196),'recurring1_based on steps'!C$1:C$400,0)),C$2,)</f>
        <v>0</v>
      </c>
      <c r="D196" s="179">
        <f ca="1">IF(ISNUMBER(MATCH(DATEVALUE($A196),'recurring1_based on steps'!D$1:D$400,0)),D$2,)</f>
        <v>0</v>
      </c>
      <c r="E196" s="179">
        <f ca="1">IF(ISNUMBER(MATCH(DATEVALUE($A196),'recurring1_based on steps'!E$1:E$400,0)),E$2,)</f>
        <v>0</v>
      </c>
      <c r="F196" s="179">
        <f ca="1">IF(ISNUMBER(MATCH(DATEVALUE($A196),'recurring1_based on steps'!F$1:F$400,0)),F$2,)</f>
        <v>0</v>
      </c>
      <c r="G196" s="179">
        <f ca="1">IF(ISNUMBER(MATCH(DATEVALUE($A196),'recurring1_based on steps'!G$1:G$400,0)),G$2,)</f>
        <v>0</v>
      </c>
      <c r="H196" s="179">
        <f ca="1">IF(ISNUMBER(MATCH(DATEVALUE($A196),'recurring1_based on steps'!H$1:H$400,0)),H$2,)</f>
        <v>0</v>
      </c>
      <c r="I196" s="179">
        <f ca="1">IF(ISNUMBER(MATCH(DATEVALUE($A196),'recurring1_based on steps'!I$1:I$400,0)),I$2,)</f>
        <v>0</v>
      </c>
      <c r="J196" s="179">
        <f ca="1">IF(ISNUMBER(MATCH(DATEVALUE($A196),'recurring1_based on steps'!J$1:J$400,0)),J$2,)</f>
        <v>0</v>
      </c>
      <c r="K196" s="179">
        <f ca="1">IF(ISNUMBER(MATCH(DATEVALUE($A196),'recurring1_based on steps'!K$1:K$400,0)),K$2,)</f>
        <v>0</v>
      </c>
      <c r="L196" s="179">
        <f ca="1">IF(ISNUMBER(MATCH(DATEVALUE($A196),'recurring1_based on steps'!L$1:L$400,0)),L$2,)</f>
        <v>0</v>
      </c>
      <c r="M196" s="179">
        <f ca="1">IF(ISNUMBER(MATCH(DATEVALUE($A196),'recurring1_based on steps'!M$1:M$400,0)),M$2,)</f>
        <v>0</v>
      </c>
      <c r="N196" s="179">
        <f ca="1">IF(ISNUMBER(MATCH(DATEVALUE($A196),'recurring1_based on steps'!N$1:N$400,0)),N$2,)</f>
        <v>0</v>
      </c>
      <c r="O196" s="179">
        <f ca="1">IF(ISNUMBER(MATCH(DATEVALUE($A196),'recurring1_based on steps'!O$1:O$400,0)),O$2,)</f>
        <v>0</v>
      </c>
      <c r="P196" s="179">
        <f ca="1">IF(ISNUMBER(MATCH(DATEVALUE($A196),'recurring1_based on steps'!P$1:P$400,0)),P$2,)</f>
        <v>0</v>
      </c>
      <c r="Q196" s="179">
        <f ca="1">IF(ISNUMBER(MATCH(DATEVALUE($A196),'recurring1_based on steps'!Q$1:Q$400,0)),Q$2,)</f>
        <v>0</v>
      </c>
      <c r="R196" s="179">
        <f ca="1">IF(ISNUMBER(MATCH(DATEVALUE($A196),'recurring1_based on steps'!R$1:R$400,0)),R$2,)</f>
        <v>0</v>
      </c>
      <c r="S196" s="179">
        <f ca="1">IF(ISNUMBER(MATCH(DATEVALUE($A196),'recurring1_based on steps'!S$1:S$400,0)),S$2,)</f>
        <v>0</v>
      </c>
      <c r="T196" s="179">
        <f ca="1">IF(ISNUMBER(MATCH(DATEVALUE($A196),'recurring1_based on steps'!T$1:T$400,0)),T$2,)</f>
        <v>0</v>
      </c>
      <c r="U196" s="179">
        <f ca="1">IF(ISNUMBER(MATCH(DATEVALUE($A196),'recurring1_based on steps'!U$1:U$400,0)),U$2,)</f>
        <v>0</v>
      </c>
      <c r="V196" s="179">
        <f ca="1">IF(ISNUMBER(MATCH(DATEVALUE($A196),'recurring1_based on steps'!V$1:V$400,0)),V$2,)</f>
        <v>0</v>
      </c>
      <c r="W196" s="179">
        <f ca="1">IF(ISNUMBER(MATCH(DATEVALUE($A196),'recurring1_based on steps'!W$1:W$400,0)),W$2,)</f>
        <v>0</v>
      </c>
      <c r="X196" s="179">
        <f ca="1">IF(ISNUMBER(MATCH(DATEVALUE($A196),'recurring1_based on steps'!X$1:X$400,0)),X$2,)</f>
        <v>0</v>
      </c>
      <c r="Y196" s="179">
        <f ca="1">IF(ISNUMBER(MATCH(DATEVALUE($A196),'recurring1_based on steps'!Y$1:Y$400,0)),Y$2,)</f>
        <v>0</v>
      </c>
      <c r="Z196" s="179">
        <f ca="1">IF(ISNUMBER(MATCH(DATEVALUE($A196),'recurring1_based on steps'!Z$1:Z$400,0)),Z$2,)</f>
        <v>0</v>
      </c>
      <c r="AA196" s="179">
        <f ca="1">IF(ISNUMBER(MATCH(DATEVALUE($A196),'recurring1_based on steps'!AA$1:AA$400,0)),AA$2,)</f>
        <v>0</v>
      </c>
      <c r="AB196" s="179">
        <f ca="1">IF(ISNUMBER(MATCH(DATEVALUE($A196),'recurring1_based on steps'!AB$1:AB$400,0)),AB$2,)</f>
        <v>0</v>
      </c>
      <c r="AC196" s="179">
        <f ca="1">IF(ISNUMBER(MATCH(DATEVALUE($A196),'recurring1_based on steps'!AC$1:AC$400,0)),AC$2,)</f>
        <v>0</v>
      </c>
      <c r="AD196" s="179">
        <f ca="1">IF(ISNUMBER(MATCH(DATEVALUE($A196),'recurring1_based on steps'!AD$1:AD$400,0)),AD$2,)</f>
        <v>0</v>
      </c>
      <c r="AE196" s="179">
        <f ca="1">IF(ISNUMBER(MATCH(DATEVALUE($A196),'recurring1_based on steps'!AE$1:AE$400,0)),AE$2,)</f>
        <v>0</v>
      </c>
      <c r="AF196" s="179">
        <f ca="1">IF(ISNUMBER(MATCH(DATEVALUE($A196),'recurring1_based on steps'!AF$1:AF$400,0)),AF$2,)</f>
        <v>0</v>
      </c>
      <c r="AG196" s="179">
        <f ca="1">IF(ISNUMBER(MATCH(DATEVALUE($A196),'recurring1_based on steps'!AG$1:AG$400,0)),AG$2,)</f>
        <v>0</v>
      </c>
      <c r="AH196" s="179">
        <f ca="1">IF(ISNUMBER(MATCH(DATEVALUE($A196),'recurring1_based on steps'!AH$1:AH$400,0)),AH$2,)</f>
        <v>0</v>
      </c>
      <c r="AI196" s="179">
        <f ca="1">IF(ISNUMBER(MATCH(DATEVALUE($A196),'recurring1_based on steps'!AI$1:AI$400,0)),AI$2,)</f>
        <v>0</v>
      </c>
      <c r="AJ196" s="179">
        <f ca="1">IF(ISNUMBER(MATCH(DATEVALUE($A196),'recurring1_based on steps'!AJ$1:AJ$400,0)),AJ$2,)</f>
        <v>0</v>
      </c>
      <c r="AK196" s="179">
        <f ca="1">IF(ISNUMBER(MATCH(DATEVALUE($A196),'recurring1_based on steps'!AK$1:AK$400,0)),AK$2,)</f>
        <v>0</v>
      </c>
      <c r="AL196" s="179">
        <f ca="1">IF(ISNUMBER(MATCH(DATEVALUE($A196),'recurring1_based on steps'!AL$1:AL$400,0)),AL$2,)</f>
        <v>0</v>
      </c>
      <c r="AM196" s="179">
        <f ca="1">IF(ISNUMBER(MATCH(DATEVALUE($A196),'recurring1_based on steps'!AM$1:AM$400,0)),AM$2,)</f>
        <v>0</v>
      </c>
      <c r="AN196" s="179">
        <f ca="1">IF(ISNUMBER(MATCH(DATEVALUE($A196),'recurring1_based on steps'!AN$1:AN$400,0)),AN$2,)</f>
        <v>0</v>
      </c>
      <c r="AO196" s="179">
        <f ca="1">IF(ISNUMBER(MATCH(DATEVALUE($A196),'recurring1_based on steps'!AO$1:AO$400,0)),AO$2,)</f>
        <v>0</v>
      </c>
      <c r="AP196" s="179">
        <f ca="1">IF(ISNUMBER(MATCH(DATEVALUE($A196),'recurring1_based on steps'!AP$1:AP$400,0)),AP$2,)</f>
        <v>0</v>
      </c>
      <c r="AQ196" s="179">
        <f ca="1">IF(ISNUMBER(MATCH(DATEVALUE($A196),'recurring1_based on steps'!AQ$1:AQ$400,0)),AQ$2,)</f>
        <v>0</v>
      </c>
      <c r="AR196" s="179">
        <f ca="1">IF(ISNUMBER(MATCH(DATEVALUE($A196),'recurring1_based on steps'!AR$1:AR$400,0)),AR$2,)</f>
        <v>0</v>
      </c>
      <c r="AS196" s="179">
        <f ca="1">IF(ISNUMBER(MATCH(DATEVALUE($A196),'recurring1_based on steps'!AS$1:AS$400,0)),AS$2,)</f>
        <v>0</v>
      </c>
      <c r="AT196" s="179">
        <f ca="1">IF(ISNUMBER(MATCH(DATEVALUE($A196),'recurring1_based on steps'!AT$1:AT$400,0)),AT$2,)</f>
        <v>0</v>
      </c>
      <c r="AU196" s="179">
        <f ca="1">IF(ISNUMBER(MATCH(DATEVALUE($A196),'recurring1_based on steps'!AU$1:AU$400,0)),AU$2,)</f>
        <v>0</v>
      </c>
      <c r="AV196" s="179">
        <f ca="1">IF(ISNUMBER(MATCH(DATEVALUE($A196),'recurring1_based on steps'!AV$1:AV$400,0)),AV$2,)</f>
        <v>0</v>
      </c>
      <c r="AW196" s="179">
        <f ca="1">IF(ISNUMBER(MATCH(DATEVALUE($A196),'recurring1_based on steps'!AW$1:AW$400,0)),AW$2,)</f>
        <v>0</v>
      </c>
      <c r="AX196" s="179">
        <f ca="1">IF(ISNUMBER(MATCH(DATEVALUE($A196),'recurring1_based on steps'!AX$1:AX$400,0)),AX$2,)</f>
        <v>0</v>
      </c>
      <c r="AY196" s="179">
        <f ca="1">IF(ISNUMBER(MATCH(DATEVALUE($A196),'recurring1_based on steps'!AY$1:AY$400,0)),AY$2,)</f>
        <v>0</v>
      </c>
    </row>
    <row r="197" spans="1:51" x14ac:dyDescent="0.2">
      <c r="A197" s="32" t="str">
        <f t="shared" ref="A197:A260" ca="1" si="3">TEXT(DATEVALUE(A196)+1,"yyyy-mm-dd")</f>
        <v>2025-10-09</v>
      </c>
      <c r="B197" s="179">
        <f ca="1">IF(ISNUMBER(MATCH(DATEVALUE($A197),'recurring1_based on steps'!B$1:B$400,0)),B$2,)</f>
        <v>0</v>
      </c>
      <c r="C197" s="179">
        <f ca="1">IF(ISNUMBER(MATCH(DATEVALUE($A197),'recurring1_based on steps'!C$1:C$400,0)),C$2,)</f>
        <v>0</v>
      </c>
      <c r="D197" s="179">
        <f ca="1">IF(ISNUMBER(MATCH(DATEVALUE($A197),'recurring1_based on steps'!D$1:D$400,0)),D$2,)</f>
        <v>0</v>
      </c>
      <c r="E197" s="179">
        <f ca="1">IF(ISNUMBER(MATCH(DATEVALUE($A197),'recurring1_based on steps'!E$1:E$400,0)),E$2,)</f>
        <v>0</v>
      </c>
      <c r="F197" s="179">
        <f ca="1">IF(ISNUMBER(MATCH(DATEVALUE($A197),'recurring1_based on steps'!F$1:F$400,0)),F$2,)</f>
        <v>0</v>
      </c>
      <c r="G197" s="179">
        <f ca="1">IF(ISNUMBER(MATCH(DATEVALUE($A197),'recurring1_based on steps'!G$1:G$400,0)),G$2,)</f>
        <v>0</v>
      </c>
      <c r="H197" s="179">
        <f ca="1">IF(ISNUMBER(MATCH(DATEVALUE($A197),'recurring1_based on steps'!H$1:H$400,0)),H$2,)</f>
        <v>0</v>
      </c>
      <c r="I197" s="179">
        <f ca="1">IF(ISNUMBER(MATCH(DATEVALUE($A197),'recurring1_based on steps'!I$1:I$400,0)),I$2,)</f>
        <v>0</v>
      </c>
      <c r="J197" s="179">
        <f ca="1">IF(ISNUMBER(MATCH(DATEVALUE($A197),'recurring1_based on steps'!J$1:J$400,0)),J$2,)</f>
        <v>0</v>
      </c>
      <c r="K197" s="179">
        <f ca="1">IF(ISNUMBER(MATCH(DATEVALUE($A197),'recurring1_based on steps'!K$1:K$400,0)),K$2,)</f>
        <v>0</v>
      </c>
      <c r="L197" s="179">
        <f ca="1">IF(ISNUMBER(MATCH(DATEVALUE($A197),'recurring1_based on steps'!L$1:L$400,0)),L$2,)</f>
        <v>0</v>
      </c>
      <c r="M197" s="179">
        <f ca="1">IF(ISNUMBER(MATCH(DATEVALUE($A197),'recurring1_based on steps'!M$1:M$400,0)),M$2,)</f>
        <v>0</v>
      </c>
      <c r="N197" s="179">
        <f ca="1">IF(ISNUMBER(MATCH(DATEVALUE($A197),'recurring1_based on steps'!N$1:N$400,0)),N$2,)</f>
        <v>0</v>
      </c>
      <c r="O197" s="179">
        <f ca="1">IF(ISNUMBER(MATCH(DATEVALUE($A197),'recurring1_based on steps'!O$1:O$400,0)),O$2,)</f>
        <v>0</v>
      </c>
      <c r="P197" s="179">
        <f ca="1">IF(ISNUMBER(MATCH(DATEVALUE($A197),'recurring1_based on steps'!P$1:P$400,0)),P$2,)</f>
        <v>0</v>
      </c>
      <c r="Q197" s="179">
        <f ca="1">IF(ISNUMBER(MATCH(DATEVALUE($A197),'recurring1_based on steps'!Q$1:Q$400,0)),Q$2,)</f>
        <v>0</v>
      </c>
      <c r="R197" s="179">
        <f ca="1">IF(ISNUMBER(MATCH(DATEVALUE($A197),'recurring1_based on steps'!R$1:R$400,0)),R$2,)</f>
        <v>0</v>
      </c>
      <c r="S197" s="179">
        <f ca="1">IF(ISNUMBER(MATCH(DATEVALUE($A197),'recurring1_based on steps'!S$1:S$400,0)),S$2,)</f>
        <v>0</v>
      </c>
      <c r="T197" s="179">
        <f ca="1">IF(ISNUMBER(MATCH(DATEVALUE($A197),'recurring1_based on steps'!T$1:T$400,0)),T$2,)</f>
        <v>0</v>
      </c>
      <c r="U197" s="179">
        <f ca="1">IF(ISNUMBER(MATCH(DATEVALUE($A197),'recurring1_based on steps'!U$1:U$400,0)),U$2,)</f>
        <v>0</v>
      </c>
      <c r="V197" s="179">
        <f ca="1">IF(ISNUMBER(MATCH(DATEVALUE($A197),'recurring1_based on steps'!V$1:V$400,0)),V$2,)</f>
        <v>0</v>
      </c>
      <c r="W197" s="179">
        <f ca="1">IF(ISNUMBER(MATCH(DATEVALUE($A197),'recurring1_based on steps'!W$1:W$400,0)),W$2,)</f>
        <v>0</v>
      </c>
      <c r="X197" s="179">
        <f ca="1">IF(ISNUMBER(MATCH(DATEVALUE($A197),'recurring1_based on steps'!X$1:X$400,0)),X$2,)</f>
        <v>0</v>
      </c>
      <c r="Y197" s="179">
        <f ca="1">IF(ISNUMBER(MATCH(DATEVALUE($A197),'recurring1_based on steps'!Y$1:Y$400,0)),Y$2,)</f>
        <v>0</v>
      </c>
      <c r="Z197" s="179">
        <f ca="1">IF(ISNUMBER(MATCH(DATEVALUE($A197),'recurring1_based on steps'!Z$1:Z$400,0)),Z$2,)</f>
        <v>0</v>
      </c>
      <c r="AA197" s="179">
        <f ca="1">IF(ISNUMBER(MATCH(DATEVALUE($A197),'recurring1_based on steps'!AA$1:AA$400,0)),AA$2,)</f>
        <v>0</v>
      </c>
      <c r="AB197" s="179">
        <f ca="1">IF(ISNUMBER(MATCH(DATEVALUE($A197),'recurring1_based on steps'!AB$1:AB$400,0)),AB$2,)</f>
        <v>0</v>
      </c>
      <c r="AC197" s="179">
        <f ca="1">IF(ISNUMBER(MATCH(DATEVALUE($A197),'recurring1_based on steps'!AC$1:AC$400,0)),AC$2,)</f>
        <v>0</v>
      </c>
      <c r="AD197" s="179">
        <f ca="1">IF(ISNUMBER(MATCH(DATEVALUE($A197),'recurring1_based on steps'!AD$1:AD$400,0)),AD$2,)</f>
        <v>0</v>
      </c>
      <c r="AE197" s="179">
        <f ca="1">IF(ISNUMBER(MATCH(DATEVALUE($A197),'recurring1_based on steps'!AE$1:AE$400,0)),AE$2,)</f>
        <v>0</v>
      </c>
      <c r="AF197" s="179">
        <f ca="1">IF(ISNUMBER(MATCH(DATEVALUE($A197),'recurring1_based on steps'!AF$1:AF$400,0)),AF$2,)</f>
        <v>0</v>
      </c>
      <c r="AG197" s="179">
        <f ca="1">IF(ISNUMBER(MATCH(DATEVALUE($A197),'recurring1_based on steps'!AG$1:AG$400,0)),AG$2,)</f>
        <v>0</v>
      </c>
      <c r="AH197" s="179">
        <f ca="1">IF(ISNUMBER(MATCH(DATEVALUE($A197),'recurring1_based on steps'!AH$1:AH$400,0)),AH$2,)</f>
        <v>0</v>
      </c>
      <c r="AI197" s="179">
        <f ca="1">IF(ISNUMBER(MATCH(DATEVALUE($A197),'recurring1_based on steps'!AI$1:AI$400,0)),AI$2,)</f>
        <v>0</v>
      </c>
      <c r="AJ197" s="179">
        <f ca="1">IF(ISNUMBER(MATCH(DATEVALUE($A197),'recurring1_based on steps'!AJ$1:AJ$400,0)),AJ$2,)</f>
        <v>0</v>
      </c>
      <c r="AK197" s="179">
        <f ca="1">IF(ISNUMBER(MATCH(DATEVALUE($A197),'recurring1_based on steps'!AK$1:AK$400,0)),AK$2,)</f>
        <v>0</v>
      </c>
      <c r="AL197" s="179">
        <f ca="1">IF(ISNUMBER(MATCH(DATEVALUE($A197),'recurring1_based on steps'!AL$1:AL$400,0)),AL$2,)</f>
        <v>0</v>
      </c>
      <c r="AM197" s="179">
        <f ca="1">IF(ISNUMBER(MATCH(DATEVALUE($A197),'recurring1_based on steps'!AM$1:AM$400,0)),AM$2,)</f>
        <v>0</v>
      </c>
      <c r="AN197" s="179">
        <f ca="1">IF(ISNUMBER(MATCH(DATEVALUE($A197),'recurring1_based on steps'!AN$1:AN$400,0)),AN$2,)</f>
        <v>0</v>
      </c>
      <c r="AO197" s="179">
        <f ca="1">IF(ISNUMBER(MATCH(DATEVALUE($A197),'recurring1_based on steps'!AO$1:AO$400,0)),AO$2,)</f>
        <v>0</v>
      </c>
      <c r="AP197" s="179">
        <f ca="1">IF(ISNUMBER(MATCH(DATEVALUE($A197),'recurring1_based on steps'!AP$1:AP$400,0)),AP$2,)</f>
        <v>0</v>
      </c>
      <c r="AQ197" s="179">
        <f ca="1">IF(ISNUMBER(MATCH(DATEVALUE($A197),'recurring1_based on steps'!AQ$1:AQ$400,0)),AQ$2,)</f>
        <v>0</v>
      </c>
      <c r="AR197" s="179">
        <f ca="1">IF(ISNUMBER(MATCH(DATEVALUE($A197),'recurring1_based on steps'!AR$1:AR$400,0)),AR$2,)</f>
        <v>0</v>
      </c>
      <c r="AS197" s="179">
        <f ca="1">IF(ISNUMBER(MATCH(DATEVALUE($A197),'recurring1_based on steps'!AS$1:AS$400,0)),AS$2,)</f>
        <v>0</v>
      </c>
      <c r="AT197" s="179">
        <f ca="1">IF(ISNUMBER(MATCH(DATEVALUE($A197),'recurring1_based on steps'!AT$1:AT$400,0)),AT$2,)</f>
        <v>0</v>
      </c>
      <c r="AU197" s="179">
        <f ca="1">IF(ISNUMBER(MATCH(DATEVALUE($A197),'recurring1_based on steps'!AU$1:AU$400,0)),AU$2,)</f>
        <v>0</v>
      </c>
      <c r="AV197" s="179">
        <f ca="1">IF(ISNUMBER(MATCH(DATEVALUE($A197),'recurring1_based on steps'!AV$1:AV$400,0)),AV$2,)</f>
        <v>0</v>
      </c>
      <c r="AW197" s="179">
        <f ca="1">IF(ISNUMBER(MATCH(DATEVALUE($A197),'recurring1_based on steps'!AW$1:AW$400,0)),AW$2,)</f>
        <v>0</v>
      </c>
      <c r="AX197" s="179">
        <f ca="1">IF(ISNUMBER(MATCH(DATEVALUE($A197),'recurring1_based on steps'!AX$1:AX$400,0)),AX$2,)</f>
        <v>0</v>
      </c>
      <c r="AY197" s="179">
        <f ca="1">IF(ISNUMBER(MATCH(DATEVALUE($A197),'recurring1_based on steps'!AY$1:AY$400,0)),AY$2,)</f>
        <v>0</v>
      </c>
    </row>
    <row r="198" spans="1:51" x14ac:dyDescent="0.2">
      <c r="A198" s="32" t="str">
        <f t="shared" ca="1" si="3"/>
        <v>2025-10-10</v>
      </c>
      <c r="B198" s="179">
        <f ca="1">IF(ISNUMBER(MATCH(DATEVALUE($A198),'recurring1_based on steps'!B$1:B$400,0)),B$2,)</f>
        <v>0</v>
      </c>
      <c r="C198" s="179">
        <f ca="1">IF(ISNUMBER(MATCH(DATEVALUE($A198),'recurring1_based on steps'!C$1:C$400,0)),C$2,)</f>
        <v>0</v>
      </c>
      <c r="D198" s="179">
        <f ca="1">IF(ISNUMBER(MATCH(DATEVALUE($A198),'recurring1_based on steps'!D$1:D$400,0)),D$2,)</f>
        <v>0</v>
      </c>
      <c r="E198" s="179">
        <f ca="1">IF(ISNUMBER(MATCH(DATEVALUE($A198),'recurring1_based on steps'!E$1:E$400,0)),E$2,)</f>
        <v>0</v>
      </c>
      <c r="F198" s="179">
        <f ca="1">IF(ISNUMBER(MATCH(DATEVALUE($A198),'recurring1_based on steps'!F$1:F$400,0)),F$2,)</f>
        <v>0</v>
      </c>
      <c r="G198" s="179">
        <f ca="1">IF(ISNUMBER(MATCH(DATEVALUE($A198),'recurring1_based on steps'!G$1:G$400,0)),G$2,)</f>
        <v>0</v>
      </c>
      <c r="H198" s="179">
        <f ca="1">IF(ISNUMBER(MATCH(DATEVALUE($A198),'recurring1_based on steps'!H$1:H$400,0)),H$2,)</f>
        <v>0</v>
      </c>
      <c r="I198" s="179">
        <f ca="1">IF(ISNUMBER(MATCH(DATEVALUE($A198),'recurring1_based on steps'!I$1:I$400,0)),I$2,)</f>
        <v>0</v>
      </c>
      <c r="J198" s="179">
        <f ca="1">IF(ISNUMBER(MATCH(DATEVALUE($A198),'recurring1_based on steps'!J$1:J$400,0)),J$2,)</f>
        <v>0</v>
      </c>
      <c r="K198" s="179">
        <f ca="1">IF(ISNUMBER(MATCH(DATEVALUE($A198),'recurring1_based on steps'!K$1:K$400,0)),K$2,)</f>
        <v>0</v>
      </c>
      <c r="L198" s="179">
        <f ca="1">IF(ISNUMBER(MATCH(DATEVALUE($A198),'recurring1_based on steps'!L$1:L$400,0)),L$2,)</f>
        <v>0</v>
      </c>
      <c r="M198" s="179">
        <f ca="1">IF(ISNUMBER(MATCH(DATEVALUE($A198),'recurring1_based on steps'!M$1:M$400,0)),M$2,)</f>
        <v>0</v>
      </c>
      <c r="N198" s="179">
        <f ca="1">IF(ISNUMBER(MATCH(DATEVALUE($A198),'recurring1_based on steps'!N$1:N$400,0)),N$2,)</f>
        <v>0</v>
      </c>
      <c r="O198" s="179">
        <f ca="1">IF(ISNUMBER(MATCH(DATEVALUE($A198),'recurring1_based on steps'!O$1:O$400,0)),O$2,)</f>
        <v>0</v>
      </c>
      <c r="P198" s="179">
        <f ca="1">IF(ISNUMBER(MATCH(DATEVALUE($A198),'recurring1_based on steps'!P$1:P$400,0)),P$2,)</f>
        <v>0</v>
      </c>
      <c r="Q198" s="179">
        <f ca="1">IF(ISNUMBER(MATCH(DATEVALUE($A198),'recurring1_based on steps'!Q$1:Q$400,0)),Q$2,)</f>
        <v>0</v>
      </c>
      <c r="R198" s="179">
        <f ca="1">IF(ISNUMBER(MATCH(DATEVALUE($A198),'recurring1_based on steps'!R$1:R$400,0)),R$2,)</f>
        <v>0</v>
      </c>
      <c r="S198" s="179">
        <f ca="1">IF(ISNUMBER(MATCH(DATEVALUE($A198),'recurring1_based on steps'!S$1:S$400,0)),S$2,)</f>
        <v>0</v>
      </c>
      <c r="T198" s="179">
        <f ca="1">IF(ISNUMBER(MATCH(DATEVALUE($A198),'recurring1_based on steps'!T$1:T$400,0)),T$2,)</f>
        <v>0</v>
      </c>
      <c r="U198" s="179">
        <f ca="1">IF(ISNUMBER(MATCH(DATEVALUE($A198),'recurring1_based on steps'!U$1:U$400,0)),U$2,)</f>
        <v>0</v>
      </c>
      <c r="V198" s="179">
        <f ca="1">IF(ISNUMBER(MATCH(DATEVALUE($A198),'recurring1_based on steps'!V$1:V$400,0)),V$2,)</f>
        <v>0</v>
      </c>
      <c r="W198" s="179">
        <f ca="1">IF(ISNUMBER(MATCH(DATEVALUE($A198),'recurring1_based on steps'!W$1:W$400,0)),W$2,)</f>
        <v>0</v>
      </c>
      <c r="X198" s="179">
        <f ca="1">IF(ISNUMBER(MATCH(DATEVALUE($A198),'recurring1_based on steps'!X$1:X$400,0)),X$2,)</f>
        <v>0</v>
      </c>
      <c r="Y198" s="179">
        <f ca="1">IF(ISNUMBER(MATCH(DATEVALUE($A198),'recurring1_based on steps'!Y$1:Y$400,0)),Y$2,)</f>
        <v>0</v>
      </c>
      <c r="Z198" s="179">
        <f ca="1">IF(ISNUMBER(MATCH(DATEVALUE($A198),'recurring1_based on steps'!Z$1:Z$400,0)),Z$2,)</f>
        <v>0</v>
      </c>
      <c r="AA198" s="179">
        <f ca="1">IF(ISNUMBER(MATCH(DATEVALUE($A198),'recurring1_based on steps'!AA$1:AA$400,0)),AA$2,)</f>
        <v>0</v>
      </c>
      <c r="AB198" s="179">
        <f ca="1">IF(ISNUMBER(MATCH(DATEVALUE($A198),'recurring1_based on steps'!AB$1:AB$400,0)),AB$2,)</f>
        <v>0</v>
      </c>
      <c r="AC198" s="179">
        <f ca="1">IF(ISNUMBER(MATCH(DATEVALUE($A198),'recurring1_based on steps'!AC$1:AC$400,0)),AC$2,)</f>
        <v>0</v>
      </c>
      <c r="AD198" s="179">
        <f ca="1">IF(ISNUMBER(MATCH(DATEVALUE($A198),'recurring1_based on steps'!AD$1:AD$400,0)),AD$2,)</f>
        <v>0</v>
      </c>
      <c r="AE198" s="179">
        <f ca="1">IF(ISNUMBER(MATCH(DATEVALUE($A198),'recurring1_based on steps'!AE$1:AE$400,0)),AE$2,)</f>
        <v>0</v>
      </c>
      <c r="AF198" s="179">
        <f ca="1">IF(ISNUMBER(MATCH(DATEVALUE($A198),'recurring1_based on steps'!AF$1:AF$400,0)),AF$2,)</f>
        <v>0</v>
      </c>
      <c r="AG198" s="179">
        <f ca="1">IF(ISNUMBER(MATCH(DATEVALUE($A198),'recurring1_based on steps'!AG$1:AG$400,0)),AG$2,)</f>
        <v>0</v>
      </c>
      <c r="AH198" s="179">
        <f ca="1">IF(ISNUMBER(MATCH(DATEVALUE($A198),'recurring1_based on steps'!AH$1:AH$400,0)),AH$2,)</f>
        <v>0</v>
      </c>
      <c r="AI198" s="179">
        <f ca="1">IF(ISNUMBER(MATCH(DATEVALUE($A198),'recurring1_based on steps'!AI$1:AI$400,0)),AI$2,)</f>
        <v>0</v>
      </c>
      <c r="AJ198" s="179">
        <f ca="1">IF(ISNUMBER(MATCH(DATEVALUE($A198),'recurring1_based on steps'!AJ$1:AJ$400,0)),AJ$2,)</f>
        <v>0</v>
      </c>
      <c r="AK198" s="179">
        <f ca="1">IF(ISNUMBER(MATCH(DATEVALUE($A198),'recurring1_based on steps'!AK$1:AK$400,0)),AK$2,)</f>
        <v>0</v>
      </c>
      <c r="AL198" s="179">
        <f ca="1">IF(ISNUMBER(MATCH(DATEVALUE($A198),'recurring1_based on steps'!AL$1:AL$400,0)),AL$2,)</f>
        <v>0</v>
      </c>
      <c r="AM198" s="179">
        <f ca="1">IF(ISNUMBER(MATCH(DATEVALUE($A198),'recurring1_based on steps'!AM$1:AM$400,0)),AM$2,)</f>
        <v>0</v>
      </c>
      <c r="AN198" s="179">
        <f ca="1">IF(ISNUMBER(MATCH(DATEVALUE($A198),'recurring1_based on steps'!AN$1:AN$400,0)),AN$2,)</f>
        <v>0</v>
      </c>
      <c r="AO198" s="179">
        <f ca="1">IF(ISNUMBER(MATCH(DATEVALUE($A198),'recurring1_based on steps'!AO$1:AO$400,0)),AO$2,)</f>
        <v>0</v>
      </c>
      <c r="AP198" s="179">
        <f ca="1">IF(ISNUMBER(MATCH(DATEVALUE($A198),'recurring1_based on steps'!AP$1:AP$400,0)),AP$2,)</f>
        <v>0</v>
      </c>
      <c r="AQ198" s="179">
        <f ca="1">IF(ISNUMBER(MATCH(DATEVALUE($A198),'recurring1_based on steps'!AQ$1:AQ$400,0)),AQ$2,)</f>
        <v>0</v>
      </c>
      <c r="AR198" s="179">
        <f ca="1">IF(ISNUMBER(MATCH(DATEVALUE($A198),'recurring1_based on steps'!AR$1:AR$400,0)),AR$2,)</f>
        <v>0</v>
      </c>
      <c r="AS198" s="179">
        <f ca="1">IF(ISNUMBER(MATCH(DATEVALUE($A198),'recurring1_based on steps'!AS$1:AS$400,0)),AS$2,)</f>
        <v>0</v>
      </c>
      <c r="AT198" s="179">
        <f ca="1">IF(ISNUMBER(MATCH(DATEVALUE($A198),'recurring1_based on steps'!AT$1:AT$400,0)),AT$2,)</f>
        <v>0</v>
      </c>
      <c r="AU198" s="179">
        <f ca="1">IF(ISNUMBER(MATCH(DATEVALUE($A198),'recurring1_based on steps'!AU$1:AU$400,0)),AU$2,)</f>
        <v>0</v>
      </c>
      <c r="AV198" s="179">
        <f ca="1">IF(ISNUMBER(MATCH(DATEVALUE($A198),'recurring1_based on steps'!AV$1:AV$400,0)),AV$2,)</f>
        <v>0</v>
      </c>
      <c r="AW198" s="179">
        <f ca="1">IF(ISNUMBER(MATCH(DATEVALUE($A198),'recurring1_based on steps'!AW$1:AW$400,0)),AW$2,)</f>
        <v>0</v>
      </c>
      <c r="AX198" s="179">
        <f ca="1">IF(ISNUMBER(MATCH(DATEVALUE($A198),'recurring1_based on steps'!AX$1:AX$400,0)),AX$2,)</f>
        <v>0</v>
      </c>
      <c r="AY198" s="179">
        <f ca="1">IF(ISNUMBER(MATCH(DATEVALUE($A198),'recurring1_based on steps'!AY$1:AY$400,0)),AY$2,)</f>
        <v>0</v>
      </c>
    </row>
    <row r="199" spans="1:51" x14ac:dyDescent="0.2">
      <c r="A199" s="32" t="str">
        <f t="shared" ca="1" si="3"/>
        <v>2025-10-11</v>
      </c>
      <c r="B199" s="179">
        <f ca="1">IF(ISNUMBER(MATCH(DATEVALUE($A199),'recurring1_based on steps'!B$1:B$400,0)),B$2,)</f>
        <v>0</v>
      </c>
      <c r="C199" s="179">
        <f ca="1">IF(ISNUMBER(MATCH(DATEVALUE($A199),'recurring1_based on steps'!C$1:C$400,0)),C$2,)</f>
        <v>0</v>
      </c>
      <c r="D199" s="179">
        <f ca="1">IF(ISNUMBER(MATCH(DATEVALUE($A199),'recurring1_based on steps'!D$1:D$400,0)),D$2,)</f>
        <v>0</v>
      </c>
      <c r="E199" s="179">
        <f ca="1">IF(ISNUMBER(MATCH(DATEVALUE($A199),'recurring1_based on steps'!E$1:E$400,0)),E$2,)</f>
        <v>0</v>
      </c>
      <c r="F199" s="179">
        <f ca="1">IF(ISNUMBER(MATCH(DATEVALUE($A199),'recurring1_based on steps'!F$1:F$400,0)),F$2,)</f>
        <v>0</v>
      </c>
      <c r="G199" s="179">
        <f ca="1">IF(ISNUMBER(MATCH(DATEVALUE($A199),'recurring1_based on steps'!G$1:G$400,0)),G$2,)</f>
        <v>0</v>
      </c>
      <c r="H199" s="179">
        <f ca="1">IF(ISNUMBER(MATCH(DATEVALUE($A199),'recurring1_based on steps'!H$1:H$400,0)),H$2,)</f>
        <v>0</v>
      </c>
      <c r="I199" s="179">
        <f ca="1">IF(ISNUMBER(MATCH(DATEVALUE($A199),'recurring1_based on steps'!I$1:I$400,0)),I$2,)</f>
        <v>0</v>
      </c>
      <c r="J199" s="179">
        <f ca="1">IF(ISNUMBER(MATCH(DATEVALUE($A199),'recurring1_based on steps'!J$1:J$400,0)),J$2,)</f>
        <v>0</v>
      </c>
      <c r="K199" s="179">
        <f ca="1">IF(ISNUMBER(MATCH(DATEVALUE($A199),'recurring1_based on steps'!K$1:K$400,0)),K$2,)</f>
        <v>0</v>
      </c>
      <c r="L199" s="179">
        <f ca="1">IF(ISNUMBER(MATCH(DATEVALUE($A199),'recurring1_based on steps'!L$1:L$400,0)),L$2,)</f>
        <v>0</v>
      </c>
      <c r="M199" s="179">
        <f ca="1">IF(ISNUMBER(MATCH(DATEVALUE($A199),'recurring1_based on steps'!M$1:M$400,0)),M$2,)</f>
        <v>0</v>
      </c>
      <c r="N199" s="179">
        <f ca="1">IF(ISNUMBER(MATCH(DATEVALUE($A199),'recurring1_based on steps'!N$1:N$400,0)),N$2,)</f>
        <v>0</v>
      </c>
      <c r="O199" s="179">
        <f ca="1">IF(ISNUMBER(MATCH(DATEVALUE($A199),'recurring1_based on steps'!O$1:O$400,0)),O$2,)</f>
        <v>0</v>
      </c>
      <c r="P199" s="179">
        <f ca="1">IF(ISNUMBER(MATCH(DATEVALUE($A199),'recurring1_based on steps'!P$1:P$400,0)),P$2,)</f>
        <v>0</v>
      </c>
      <c r="Q199" s="179">
        <f ca="1">IF(ISNUMBER(MATCH(DATEVALUE($A199),'recurring1_based on steps'!Q$1:Q$400,0)),Q$2,)</f>
        <v>0</v>
      </c>
      <c r="R199" s="179">
        <f ca="1">IF(ISNUMBER(MATCH(DATEVALUE($A199),'recurring1_based on steps'!R$1:R$400,0)),R$2,)</f>
        <v>0</v>
      </c>
      <c r="S199" s="179">
        <f ca="1">IF(ISNUMBER(MATCH(DATEVALUE($A199),'recurring1_based on steps'!S$1:S$400,0)),S$2,)</f>
        <v>0</v>
      </c>
      <c r="T199" s="179">
        <f ca="1">IF(ISNUMBER(MATCH(DATEVALUE($A199),'recurring1_based on steps'!T$1:T$400,0)),T$2,)</f>
        <v>0</v>
      </c>
      <c r="U199" s="179">
        <f ca="1">IF(ISNUMBER(MATCH(DATEVALUE($A199),'recurring1_based on steps'!U$1:U$400,0)),U$2,)</f>
        <v>0</v>
      </c>
      <c r="V199" s="179">
        <f ca="1">IF(ISNUMBER(MATCH(DATEVALUE($A199),'recurring1_based on steps'!V$1:V$400,0)),V$2,)</f>
        <v>0</v>
      </c>
      <c r="W199" s="179">
        <f ca="1">IF(ISNUMBER(MATCH(DATEVALUE($A199),'recurring1_based on steps'!W$1:W$400,0)),W$2,)</f>
        <v>0</v>
      </c>
      <c r="X199" s="179">
        <f ca="1">IF(ISNUMBER(MATCH(DATEVALUE($A199),'recurring1_based on steps'!X$1:X$400,0)),X$2,)</f>
        <v>0</v>
      </c>
      <c r="Y199" s="179">
        <f ca="1">IF(ISNUMBER(MATCH(DATEVALUE($A199),'recurring1_based on steps'!Y$1:Y$400,0)),Y$2,)</f>
        <v>0</v>
      </c>
      <c r="Z199" s="179">
        <f ca="1">IF(ISNUMBER(MATCH(DATEVALUE($A199),'recurring1_based on steps'!Z$1:Z$400,0)),Z$2,)</f>
        <v>0</v>
      </c>
      <c r="AA199" s="179">
        <f ca="1">IF(ISNUMBER(MATCH(DATEVALUE($A199),'recurring1_based on steps'!AA$1:AA$400,0)),AA$2,)</f>
        <v>0</v>
      </c>
      <c r="AB199" s="179">
        <f ca="1">IF(ISNUMBER(MATCH(DATEVALUE($A199),'recurring1_based on steps'!AB$1:AB$400,0)),AB$2,)</f>
        <v>0</v>
      </c>
      <c r="AC199" s="179">
        <f ca="1">IF(ISNUMBER(MATCH(DATEVALUE($A199),'recurring1_based on steps'!AC$1:AC$400,0)),AC$2,)</f>
        <v>0</v>
      </c>
      <c r="AD199" s="179">
        <f ca="1">IF(ISNUMBER(MATCH(DATEVALUE($A199),'recurring1_based on steps'!AD$1:AD$400,0)),AD$2,)</f>
        <v>0</v>
      </c>
      <c r="AE199" s="179">
        <f ca="1">IF(ISNUMBER(MATCH(DATEVALUE($A199),'recurring1_based on steps'!AE$1:AE$400,0)),AE$2,)</f>
        <v>0</v>
      </c>
      <c r="AF199" s="179">
        <f ca="1">IF(ISNUMBER(MATCH(DATEVALUE($A199),'recurring1_based on steps'!AF$1:AF$400,0)),AF$2,)</f>
        <v>0</v>
      </c>
      <c r="AG199" s="179">
        <f ca="1">IF(ISNUMBER(MATCH(DATEVALUE($A199),'recurring1_based on steps'!AG$1:AG$400,0)),AG$2,)</f>
        <v>0</v>
      </c>
      <c r="AH199" s="179">
        <f ca="1">IF(ISNUMBER(MATCH(DATEVALUE($A199),'recurring1_based on steps'!AH$1:AH$400,0)),AH$2,)</f>
        <v>0</v>
      </c>
      <c r="AI199" s="179">
        <f ca="1">IF(ISNUMBER(MATCH(DATEVALUE($A199),'recurring1_based on steps'!AI$1:AI$400,0)),AI$2,)</f>
        <v>0</v>
      </c>
      <c r="AJ199" s="179">
        <f ca="1">IF(ISNUMBER(MATCH(DATEVALUE($A199),'recurring1_based on steps'!AJ$1:AJ$400,0)),AJ$2,)</f>
        <v>0</v>
      </c>
      <c r="AK199" s="179">
        <f ca="1">IF(ISNUMBER(MATCH(DATEVALUE($A199),'recurring1_based on steps'!AK$1:AK$400,0)),AK$2,)</f>
        <v>0</v>
      </c>
      <c r="AL199" s="179">
        <f ca="1">IF(ISNUMBER(MATCH(DATEVALUE($A199),'recurring1_based on steps'!AL$1:AL$400,0)),AL$2,)</f>
        <v>0</v>
      </c>
      <c r="AM199" s="179">
        <f ca="1">IF(ISNUMBER(MATCH(DATEVALUE($A199),'recurring1_based on steps'!AM$1:AM$400,0)),AM$2,)</f>
        <v>0</v>
      </c>
      <c r="AN199" s="179">
        <f ca="1">IF(ISNUMBER(MATCH(DATEVALUE($A199),'recurring1_based on steps'!AN$1:AN$400,0)),AN$2,)</f>
        <v>0</v>
      </c>
      <c r="AO199" s="179">
        <f ca="1">IF(ISNUMBER(MATCH(DATEVALUE($A199),'recurring1_based on steps'!AO$1:AO$400,0)),AO$2,)</f>
        <v>0</v>
      </c>
      <c r="AP199" s="179">
        <f ca="1">IF(ISNUMBER(MATCH(DATEVALUE($A199),'recurring1_based on steps'!AP$1:AP$400,0)),AP$2,)</f>
        <v>0</v>
      </c>
      <c r="AQ199" s="179">
        <f ca="1">IF(ISNUMBER(MATCH(DATEVALUE($A199),'recurring1_based on steps'!AQ$1:AQ$400,0)),AQ$2,)</f>
        <v>0</v>
      </c>
      <c r="AR199" s="179">
        <f ca="1">IF(ISNUMBER(MATCH(DATEVALUE($A199),'recurring1_based on steps'!AR$1:AR$400,0)),AR$2,)</f>
        <v>0</v>
      </c>
      <c r="AS199" s="179">
        <f ca="1">IF(ISNUMBER(MATCH(DATEVALUE($A199),'recurring1_based on steps'!AS$1:AS$400,0)),AS$2,)</f>
        <v>0</v>
      </c>
      <c r="AT199" s="179">
        <f ca="1">IF(ISNUMBER(MATCH(DATEVALUE($A199),'recurring1_based on steps'!AT$1:AT$400,0)),AT$2,)</f>
        <v>0</v>
      </c>
      <c r="AU199" s="179">
        <f ca="1">IF(ISNUMBER(MATCH(DATEVALUE($A199),'recurring1_based on steps'!AU$1:AU$400,0)),AU$2,)</f>
        <v>0</v>
      </c>
      <c r="AV199" s="179">
        <f ca="1">IF(ISNUMBER(MATCH(DATEVALUE($A199),'recurring1_based on steps'!AV$1:AV$400,0)),AV$2,)</f>
        <v>0</v>
      </c>
      <c r="AW199" s="179">
        <f ca="1">IF(ISNUMBER(MATCH(DATEVALUE($A199),'recurring1_based on steps'!AW$1:AW$400,0)),AW$2,)</f>
        <v>0</v>
      </c>
      <c r="AX199" s="179">
        <f ca="1">IF(ISNUMBER(MATCH(DATEVALUE($A199),'recurring1_based on steps'!AX$1:AX$400,0)),AX$2,)</f>
        <v>0</v>
      </c>
      <c r="AY199" s="179">
        <f ca="1">IF(ISNUMBER(MATCH(DATEVALUE($A199),'recurring1_based on steps'!AY$1:AY$400,0)),AY$2,)</f>
        <v>0</v>
      </c>
    </row>
    <row r="200" spans="1:51" x14ac:dyDescent="0.2">
      <c r="A200" s="32" t="str">
        <f t="shared" ca="1" si="3"/>
        <v>2025-10-12</v>
      </c>
      <c r="B200" s="179">
        <f ca="1">IF(ISNUMBER(MATCH(DATEVALUE($A200),'recurring1_based on steps'!B$1:B$400,0)),B$2,)</f>
        <v>0</v>
      </c>
      <c r="C200" s="179">
        <f ca="1">IF(ISNUMBER(MATCH(DATEVALUE($A200),'recurring1_based on steps'!C$1:C$400,0)),C$2,)</f>
        <v>0</v>
      </c>
      <c r="D200" s="179">
        <f ca="1">IF(ISNUMBER(MATCH(DATEVALUE($A200),'recurring1_based on steps'!D$1:D$400,0)),D$2,)</f>
        <v>0</v>
      </c>
      <c r="E200" s="179">
        <f ca="1">IF(ISNUMBER(MATCH(DATEVALUE($A200),'recurring1_based on steps'!E$1:E$400,0)),E$2,)</f>
        <v>0</v>
      </c>
      <c r="F200" s="179">
        <f ca="1">IF(ISNUMBER(MATCH(DATEVALUE($A200),'recurring1_based on steps'!F$1:F$400,0)),F$2,)</f>
        <v>0</v>
      </c>
      <c r="G200" s="179">
        <f ca="1">IF(ISNUMBER(MATCH(DATEVALUE($A200),'recurring1_based on steps'!G$1:G$400,0)),G$2,)</f>
        <v>0</v>
      </c>
      <c r="H200" s="179">
        <f ca="1">IF(ISNUMBER(MATCH(DATEVALUE($A200),'recurring1_based on steps'!H$1:H$400,0)),H$2,)</f>
        <v>0</v>
      </c>
      <c r="I200" s="179">
        <f ca="1">IF(ISNUMBER(MATCH(DATEVALUE($A200),'recurring1_based on steps'!I$1:I$400,0)),I$2,)</f>
        <v>0</v>
      </c>
      <c r="J200" s="179">
        <f ca="1">IF(ISNUMBER(MATCH(DATEVALUE($A200),'recurring1_based on steps'!J$1:J$400,0)),J$2,)</f>
        <v>0</v>
      </c>
      <c r="K200" s="179">
        <f ca="1">IF(ISNUMBER(MATCH(DATEVALUE($A200),'recurring1_based on steps'!K$1:K$400,0)),K$2,)</f>
        <v>0</v>
      </c>
      <c r="L200" s="179">
        <f ca="1">IF(ISNUMBER(MATCH(DATEVALUE($A200),'recurring1_based on steps'!L$1:L$400,0)),L$2,)</f>
        <v>0</v>
      </c>
      <c r="M200" s="179">
        <f ca="1">IF(ISNUMBER(MATCH(DATEVALUE($A200),'recurring1_based on steps'!M$1:M$400,0)),M$2,)</f>
        <v>0</v>
      </c>
      <c r="N200" s="179">
        <f ca="1">IF(ISNUMBER(MATCH(DATEVALUE($A200),'recurring1_based on steps'!N$1:N$400,0)),N$2,)</f>
        <v>0</v>
      </c>
      <c r="O200" s="179">
        <f ca="1">IF(ISNUMBER(MATCH(DATEVALUE($A200),'recurring1_based on steps'!O$1:O$400,0)),O$2,)</f>
        <v>0</v>
      </c>
      <c r="P200" s="179">
        <f ca="1">IF(ISNUMBER(MATCH(DATEVALUE($A200),'recurring1_based on steps'!P$1:P$400,0)),P$2,)</f>
        <v>0</v>
      </c>
      <c r="Q200" s="179">
        <f ca="1">IF(ISNUMBER(MATCH(DATEVALUE($A200),'recurring1_based on steps'!Q$1:Q$400,0)),Q$2,)</f>
        <v>0</v>
      </c>
      <c r="R200" s="179">
        <f ca="1">IF(ISNUMBER(MATCH(DATEVALUE($A200),'recurring1_based on steps'!R$1:R$400,0)),R$2,)</f>
        <v>0</v>
      </c>
      <c r="S200" s="179">
        <f ca="1">IF(ISNUMBER(MATCH(DATEVALUE($A200),'recurring1_based on steps'!S$1:S$400,0)),S$2,)</f>
        <v>0</v>
      </c>
      <c r="T200" s="179">
        <f ca="1">IF(ISNUMBER(MATCH(DATEVALUE($A200),'recurring1_based on steps'!T$1:T$400,0)),T$2,)</f>
        <v>0</v>
      </c>
      <c r="U200" s="179">
        <f ca="1">IF(ISNUMBER(MATCH(DATEVALUE($A200),'recurring1_based on steps'!U$1:U$400,0)),U$2,)</f>
        <v>0</v>
      </c>
      <c r="V200" s="179">
        <f ca="1">IF(ISNUMBER(MATCH(DATEVALUE($A200),'recurring1_based on steps'!V$1:V$400,0)),V$2,)</f>
        <v>0</v>
      </c>
      <c r="W200" s="179">
        <f ca="1">IF(ISNUMBER(MATCH(DATEVALUE($A200),'recurring1_based on steps'!W$1:W$400,0)),W$2,)</f>
        <v>0</v>
      </c>
      <c r="X200" s="179">
        <f ca="1">IF(ISNUMBER(MATCH(DATEVALUE($A200),'recurring1_based on steps'!X$1:X$400,0)),X$2,)</f>
        <v>0</v>
      </c>
      <c r="Y200" s="179">
        <f ca="1">IF(ISNUMBER(MATCH(DATEVALUE($A200),'recurring1_based on steps'!Y$1:Y$400,0)),Y$2,)</f>
        <v>0</v>
      </c>
      <c r="Z200" s="179">
        <f ca="1">IF(ISNUMBER(MATCH(DATEVALUE($A200),'recurring1_based on steps'!Z$1:Z$400,0)),Z$2,)</f>
        <v>0</v>
      </c>
      <c r="AA200" s="179">
        <f ca="1">IF(ISNUMBER(MATCH(DATEVALUE($A200),'recurring1_based on steps'!AA$1:AA$400,0)),AA$2,)</f>
        <v>0</v>
      </c>
      <c r="AB200" s="179">
        <f ca="1">IF(ISNUMBER(MATCH(DATEVALUE($A200),'recurring1_based on steps'!AB$1:AB$400,0)),AB$2,)</f>
        <v>0</v>
      </c>
      <c r="AC200" s="179">
        <f ca="1">IF(ISNUMBER(MATCH(DATEVALUE($A200),'recurring1_based on steps'!AC$1:AC$400,0)),AC$2,)</f>
        <v>0</v>
      </c>
      <c r="AD200" s="179">
        <f ca="1">IF(ISNUMBER(MATCH(DATEVALUE($A200),'recurring1_based on steps'!AD$1:AD$400,0)),AD$2,)</f>
        <v>0</v>
      </c>
      <c r="AE200" s="179">
        <f ca="1">IF(ISNUMBER(MATCH(DATEVALUE($A200),'recurring1_based on steps'!AE$1:AE$400,0)),AE$2,)</f>
        <v>0</v>
      </c>
      <c r="AF200" s="179">
        <f ca="1">IF(ISNUMBER(MATCH(DATEVALUE($A200),'recurring1_based on steps'!AF$1:AF$400,0)),AF$2,)</f>
        <v>0</v>
      </c>
      <c r="AG200" s="179">
        <f ca="1">IF(ISNUMBER(MATCH(DATEVALUE($A200),'recurring1_based on steps'!AG$1:AG$400,0)),AG$2,)</f>
        <v>0</v>
      </c>
      <c r="AH200" s="179">
        <f ca="1">IF(ISNUMBER(MATCH(DATEVALUE($A200),'recurring1_based on steps'!AH$1:AH$400,0)),AH$2,)</f>
        <v>0</v>
      </c>
      <c r="AI200" s="179">
        <f ca="1">IF(ISNUMBER(MATCH(DATEVALUE($A200),'recurring1_based on steps'!AI$1:AI$400,0)),AI$2,)</f>
        <v>0</v>
      </c>
      <c r="AJ200" s="179">
        <f ca="1">IF(ISNUMBER(MATCH(DATEVALUE($A200),'recurring1_based on steps'!AJ$1:AJ$400,0)),AJ$2,)</f>
        <v>0</v>
      </c>
      <c r="AK200" s="179">
        <f ca="1">IF(ISNUMBER(MATCH(DATEVALUE($A200),'recurring1_based on steps'!AK$1:AK$400,0)),AK$2,)</f>
        <v>0</v>
      </c>
      <c r="AL200" s="179">
        <f ca="1">IF(ISNUMBER(MATCH(DATEVALUE($A200),'recurring1_based on steps'!AL$1:AL$400,0)),AL$2,)</f>
        <v>0</v>
      </c>
      <c r="AM200" s="179">
        <f ca="1">IF(ISNUMBER(MATCH(DATEVALUE($A200),'recurring1_based on steps'!AM$1:AM$400,0)),AM$2,)</f>
        <v>0</v>
      </c>
      <c r="AN200" s="179">
        <f ca="1">IF(ISNUMBER(MATCH(DATEVALUE($A200),'recurring1_based on steps'!AN$1:AN$400,0)),AN$2,)</f>
        <v>0</v>
      </c>
      <c r="AO200" s="179">
        <f ca="1">IF(ISNUMBER(MATCH(DATEVALUE($A200),'recurring1_based on steps'!AO$1:AO$400,0)),AO$2,)</f>
        <v>0</v>
      </c>
      <c r="AP200" s="179">
        <f ca="1">IF(ISNUMBER(MATCH(DATEVALUE($A200),'recurring1_based on steps'!AP$1:AP$400,0)),AP$2,)</f>
        <v>0</v>
      </c>
      <c r="AQ200" s="179">
        <f ca="1">IF(ISNUMBER(MATCH(DATEVALUE($A200),'recurring1_based on steps'!AQ$1:AQ$400,0)),AQ$2,)</f>
        <v>0</v>
      </c>
      <c r="AR200" s="179">
        <f ca="1">IF(ISNUMBER(MATCH(DATEVALUE($A200),'recurring1_based on steps'!AR$1:AR$400,0)),AR$2,)</f>
        <v>0</v>
      </c>
      <c r="AS200" s="179">
        <f ca="1">IF(ISNUMBER(MATCH(DATEVALUE($A200),'recurring1_based on steps'!AS$1:AS$400,0)),AS$2,)</f>
        <v>0</v>
      </c>
      <c r="AT200" s="179">
        <f ca="1">IF(ISNUMBER(MATCH(DATEVALUE($A200),'recurring1_based on steps'!AT$1:AT$400,0)),AT$2,)</f>
        <v>0</v>
      </c>
      <c r="AU200" s="179">
        <f ca="1">IF(ISNUMBER(MATCH(DATEVALUE($A200),'recurring1_based on steps'!AU$1:AU$400,0)),AU$2,)</f>
        <v>0</v>
      </c>
      <c r="AV200" s="179">
        <f ca="1">IF(ISNUMBER(MATCH(DATEVALUE($A200),'recurring1_based on steps'!AV$1:AV$400,0)),AV$2,)</f>
        <v>0</v>
      </c>
      <c r="AW200" s="179">
        <f ca="1">IF(ISNUMBER(MATCH(DATEVALUE($A200),'recurring1_based on steps'!AW$1:AW$400,0)),AW$2,)</f>
        <v>0</v>
      </c>
      <c r="AX200" s="179">
        <f ca="1">IF(ISNUMBER(MATCH(DATEVALUE($A200),'recurring1_based on steps'!AX$1:AX$400,0)),AX$2,)</f>
        <v>0</v>
      </c>
      <c r="AY200" s="179">
        <f ca="1">IF(ISNUMBER(MATCH(DATEVALUE($A200),'recurring1_based on steps'!AY$1:AY$400,0)),AY$2,)</f>
        <v>0</v>
      </c>
    </row>
    <row r="201" spans="1:51" x14ac:dyDescent="0.2">
      <c r="A201" s="32" t="str">
        <f t="shared" ca="1" si="3"/>
        <v>2025-10-13</v>
      </c>
      <c r="B201" s="179">
        <f ca="1">IF(ISNUMBER(MATCH(DATEVALUE($A201),'recurring1_based on steps'!B$1:B$400,0)),B$2,)</f>
        <v>0</v>
      </c>
      <c r="C201" s="179">
        <f ca="1">IF(ISNUMBER(MATCH(DATEVALUE($A201),'recurring1_based on steps'!C$1:C$400,0)),C$2,)</f>
        <v>0</v>
      </c>
      <c r="D201" s="179">
        <f ca="1">IF(ISNUMBER(MATCH(DATEVALUE($A201),'recurring1_based on steps'!D$1:D$400,0)),D$2,)</f>
        <v>0</v>
      </c>
      <c r="E201" s="179">
        <f ca="1">IF(ISNUMBER(MATCH(DATEVALUE($A201),'recurring1_based on steps'!E$1:E$400,0)),E$2,)</f>
        <v>0</v>
      </c>
      <c r="F201" s="179">
        <f ca="1">IF(ISNUMBER(MATCH(DATEVALUE($A201),'recurring1_based on steps'!F$1:F$400,0)),F$2,)</f>
        <v>0</v>
      </c>
      <c r="G201" s="179">
        <f ca="1">IF(ISNUMBER(MATCH(DATEVALUE($A201),'recurring1_based on steps'!G$1:G$400,0)),G$2,)</f>
        <v>0</v>
      </c>
      <c r="H201" s="179">
        <f ca="1">IF(ISNUMBER(MATCH(DATEVALUE($A201),'recurring1_based on steps'!H$1:H$400,0)),H$2,)</f>
        <v>0</v>
      </c>
      <c r="I201" s="179">
        <f ca="1">IF(ISNUMBER(MATCH(DATEVALUE($A201),'recurring1_based on steps'!I$1:I$400,0)),I$2,)</f>
        <v>0</v>
      </c>
      <c r="J201" s="179">
        <f ca="1">IF(ISNUMBER(MATCH(DATEVALUE($A201),'recurring1_based on steps'!J$1:J$400,0)),J$2,)</f>
        <v>0</v>
      </c>
      <c r="K201" s="179">
        <f ca="1">IF(ISNUMBER(MATCH(DATEVALUE($A201),'recurring1_based on steps'!K$1:K$400,0)),K$2,)</f>
        <v>0</v>
      </c>
      <c r="L201" s="179">
        <f ca="1">IF(ISNUMBER(MATCH(DATEVALUE($A201),'recurring1_based on steps'!L$1:L$400,0)),L$2,)</f>
        <v>0</v>
      </c>
      <c r="M201" s="179">
        <f ca="1">IF(ISNUMBER(MATCH(DATEVALUE($A201),'recurring1_based on steps'!M$1:M$400,0)),M$2,)</f>
        <v>0</v>
      </c>
      <c r="N201" s="179">
        <f ca="1">IF(ISNUMBER(MATCH(DATEVALUE($A201),'recurring1_based on steps'!N$1:N$400,0)),N$2,)</f>
        <v>0</v>
      </c>
      <c r="O201" s="179">
        <f ca="1">IF(ISNUMBER(MATCH(DATEVALUE($A201),'recurring1_based on steps'!O$1:O$400,0)),O$2,)</f>
        <v>0</v>
      </c>
      <c r="P201" s="179">
        <f ca="1">IF(ISNUMBER(MATCH(DATEVALUE($A201),'recurring1_based on steps'!P$1:P$400,0)),P$2,)</f>
        <v>0</v>
      </c>
      <c r="Q201" s="179">
        <f ca="1">IF(ISNUMBER(MATCH(DATEVALUE($A201),'recurring1_based on steps'!Q$1:Q$400,0)),Q$2,)</f>
        <v>0</v>
      </c>
      <c r="R201" s="179">
        <f ca="1">IF(ISNUMBER(MATCH(DATEVALUE($A201),'recurring1_based on steps'!R$1:R$400,0)),R$2,)</f>
        <v>0</v>
      </c>
      <c r="S201" s="179">
        <f ca="1">IF(ISNUMBER(MATCH(DATEVALUE($A201),'recurring1_based on steps'!S$1:S$400,0)),S$2,)</f>
        <v>0</v>
      </c>
      <c r="T201" s="179">
        <f ca="1">IF(ISNUMBER(MATCH(DATEVALUE($A201),'recurring1_based on steps'!T$1:T$400,0)),T$2,)</f>
        <v>0</v>
      </c>
      <c r="U201" s="179">
        <f ca="1">IF(ISNUMBER(MATCH(DATEVALUE($A201),'recurring1_based on steps'!U$1:U$400,0)),U$2,)</f>
        <v>0</v>
      </c>
      <c r="V201" s="179">
        <f ca="1">IF(ISNUMBER(MATCH(DATEVALUE($A201),'recurring1_based on steps'!V$1:V$400,0)),V$2,)</f>
        <v>0</v>
      </c>
      <c r="W201" s="179">
        <f ca="1">IF(ISNUMBER(MATCH(DATEVALUE($A201),'recurring1_based on steps'!W$1:W$400,0)),W$2,)</f>
        <v>0</v>
      </c>
      <c r="X201" s="179">
        <f ca="1">IF(ISNUMBER(MATCH(DATEVALUE($A201),'recurring1_based on steps'!X$1:X$400,0)),X$2,)</f>
        <v>0</v>
      </c>
      <c r="Y201" s="179">
        <f ca="1">IF(ISNUMBER(MATCH(DATEVALUE($A201),'recurring1_based on steps'!Y$1:Y$400,0)),Y$2,)</f>
        <v>0</v>
      </c>
      <c r="Z201" s="179">
        <f ca="1">IF(ISNUMBER(MATCH(DATEVALUE($A201),'recurring1_based on steps'!Z$1:Z$400,0)),Z$2,)</f>
        <v>0</v>
      </c>
      <c r="AA201" s="179">
        <f ca="1">IF(ISNUMBER(MATCH(DATEVALUE($A201),'recurring1_based on steps'!AA$1:AA$400,0)),AA$2,)</f>
        <v>0</v>
      </c>
      <c r="AB201" s="179">
        <f ca="1">IF(ISNUMBER(MATCH(DATEVALUE($A201),'recurring1_based on steps'!AB$1:AB$400,0)),AB$2,)</f>
        <v>0</v>
      </c>
      <c r="AC201" s="179">
        <f ca="1">IF(ISNUMBER(MATCH(DATEVALUE($A201),'recurring1_based on steps'!AC$1:AC$400,0)),AC$2,)</f>
        <v>0</v>
      </c>
      <c r="AD201" s="179">
        <f ca="1">IF(ISNUMBER(MATCH(DATEVALUE($A201),'recurring1_based on steps'!AD$1:AD$400,0)),AD$2,)</f>
        <v>0</v>
      </c>
      <c r="AE201" s="179">
        <f ca="1">IF(ISNUMBER(MATCH(DATEVALUE($A201),'recurring1_based on steps'!AE$1:AE$400,0)),AE$2,)</f>
        <v>0</v>
      </c>
      <c r="AF201" s="179">
        <f ca="1">IF(ISNUMBER(MATCH(DATEVALUE($A201),'recurring1_based on steps'!AF$1:AF$400,0)),AF$2,)</f>
        <v>0</v>
      </c>
      <c r="AG201" s="179">
        <f ca="1">IF(ISNUMBER(MATCH(DATEVALUE($A201),'recurring1_based on steps'!AG$1:AG$400,0)),AG$2,)</f>
        <v>0</v>
      </c>
      <c r="AH201" s="179">
        <f ca="1">IF(ISNUMBER(MATCH(DATEVALUE($A201),'recurring1_based on steps'!AH$1:AH$400,0)),AH$2,)</f>
        <v>0</v>
      </c>
      <c r="AI201" s="179">
        <f ca="1">IF(ISNUMBER(MATCH(DATEVALUE($A201),'recurring1_based on steps'!AI$1:AI$400,0)),AI$2,)</f>
        <v>0</v>
      </c>
      <c r="AJ201" s="179">
        <f ca="1">IF(ISNUMBER(MATCH(DATEVALUE($A201),'recurring1_based on steps'!AJ$1:AJ$400,0)),AJ$2,)</f>
        <v>0</v>
      </c>
      <c r="AK201" s="179">
        <f ca="1">IF(ISNUMBER(MATCH(DATEVALUE($A201),'recurring1_based on steps'!AK$1:AK$400,0)),AK$2,)</f>
        <v>0</v>
      </c>
      <c r="AL201" s="179">
        <f ca="1">IF(ISNUMBER(MATCH(DATEVALUE($A201),'recurring1_based on steps'!AL$1:AL$400,0)),AL$2,)</f>
        <v>0</v>
      </c>
      <c r="AM201" s="179">
        <f ca="1">IF(ISNUMBER(MATCH(DATEVALUE($A201),'recurring1_based on steps'!AM$1:AM$400,0)),AM$2,)</f>
        <v>0</v>
      </c>
      <c r="AN201" s="179">
        <f ca="1">IF(ISNUMBER(MATCH(DATEVALUE($A201),'recurring1_based on steps'!AN$1:AN$400,0)),AN$2,)</f>
        <v>0</v>
      </c>
      <c r="AO201" s="179">
        <f ca="1">IF(ISNUMBER(MATCH(DATEVALUE($A201),'recurring1_based on steps'!AO$1:AO$400,0)),AO$2,)</f>
        <v>0</v>
      </c>
      <c r="AP201" s="179">
        <f ca="1">IF(ISNUMBER(MATCH(DATEVALUE($A201),'recurring1_based on steps'!AP$1:AP$400,0)),AP$2,)</f>
        <v>0</v>
      </c>
      <c r="AQ201" s="179">
        <f ca="1">IF(ISNUMBER(MATCH(DATEVALUE($A201),'recurring1_based on steps'!AQ$1:AQ$400,0)),AQ$2,)</f>
        <v>0</v>
      </c>
      <c r="AR201" s="179">
        <f ca="1">IF(ISNUMBER(MATCH(DATEVALUE($A201),'recurring1_based on steps'!AR$1:AR$400,0)),AR$2,)</f>
        <v>0</v>
      </c>
      <c r="AS201" s="179">
        <f ca="1">IF(ISNUMBER(MATCH(DATEVALUE($A201),'recurring1_based on steps'!AS$1:AS$400,0)),AS$2,)</f>
        <v>0</v>
      </c>
      <c r="AT201" s="179">
        <f ca="1">IF(ISNUMBER(MATCH(DATEVALUE($A201),'recurring1_based on steps'!AT$1:AT$400,0)),AT$2,)</f>
        <v>0</v>
      </c>
      <c r="AU201" s="179">
        <f ca="1">IF(ISNUMBER(MATCH(DATEVALUE($A201),'recurring1_based on steps'!AU$1:AU$400,0)),AU$2,)</f>
        <v>0</v>
      </c>
      <c r="AV201" s="179">
        <f ca="1">IF(ISNUMBER(MATCH(DATEVALUE($A201),'recurring1_based on steps'!AV$1:AV$400,0)),AV$2,)</f>
        <v>0</v>
      </c>
      <c r="AW201" s="179">
        <f ca="1">IF(ISNUMBER(MATCH(DATEVALUE($A201),'recurring1_based on steps'!AW$1:AW$400,0)),AW$2,)</f>
        <v>0</v>
      </c>
      <c r="AX201" s="179">
        <f ca="1">IF(ISNUMBER(MATCH(DATEVALUE($A201),'recurring1_based on steps'!AX$1:AX$400,0)),AX$2,)</f>
        <v>0</v>
      </c>
      <c r="AY201" s="179">
        <f ca="1">IF(ISNUMBER(MATCH(DATEVALUE($A201),'recurring1_based on steps'!AY$1:AY$400,0)),AY$2,)</f>
        <v>0</v>
      </c>
    </row>
    <row r="202" spans="1:51" x14ac:dyDescent="0.2">
      <c r="A202" s="32" t="str">
        <f t="shared" ca="1" si="3"/>
        <v>2025-10-14</v>
      </c>
      <c r="B202" s="179">
        <f ca="1">IF(ISNUMBER(MATCH(DATEVALUE($A202),'recurring1_based on steps'!B$1:B$400,0)),B$2,)</f>
        <v>0</v>
      </c>
      <c r="C202" s="179">
        <f ca="1">IF(ISNUMBER(MATCH(DATEVALUE($A202),'recurring1_based on steps'!C$1:C$400,0)),C$2,)</f>
        <v>0</v>
      </c>
      <c r="D202" s="179">
        <f ca="1">IF(ISNUMBER(MATCH(DATEVALUE($A202),'recurring1_based on steps'!D$1:D$400,0)),D$2,)</f>
        <v>0</v>
      </c>
      <c r="E202" s="179">
        <f ca="1">IF(ISNUMBER(MATCH(DATEVALUE($A202),'recurring1_based on steps'!E$1:E$400,0)),E$2,)</f>
        <v>0</v>
      </c>
      <c r="F202" s="179">
        <f ca="1">IF(ISNUMBER(MATCH(DATEVALUE($A202),'recurring1_based on steps'!F$1:F$400,0)),F$2,)</f>
        <v>0</v>
      </c>
      <c r="G202" s="179">
        <f ca="1">IF(ISNUMBER(MATCH(DATEVALUE($A202),'recurring1_based on steps'!G$1:G$400,0)),G$2,)</f>
        <v>0</v>
      </c>
      <c r="H202" s="179">
        <f ca="1">IF(ISNUMBER(MATCH(DATEVALUE($A202),'recurring1_based on steps'!H$1:H$400,0)),H$2,)</f>
        <v>0</v>
      </c>
      <c r="I202" s="179">
        <f ca="1">IF(ISNUMBER(MATCH(DATEVALUE($A202),'recurring1_based on steps'!I$1:I$400,0)),I$2,)</f>
        <v>0</v>
      </c>
      <c r="J202" s="179">
        <f ca="1">IF(ISNUMBER(MATCH(DATEVALUE($A202),'recurring1_based on steps'!J$1:J$400,0)),J$2,)</f>
        <v>0</v>
      </c>
      <c r="K202" s="179">
        <f ca="1">IF(ISNUMBER(MATCH(DATEVALUE($A202),'recurring1_based on steps'!K$1:K$400,0)),K$2,)</f>
        <v>0</v>
      </c>
      <c r="L202" s="179">
        <f ca="1">IF(ISNUMBER(MATCH(DATEVALUE($A202),'recurring1_based on steps'!L$1:L$400,0)),L$2,)</f>
        <v>0</v>
      </c>
      <c r="M202" s="179">
        <f ca="1">IF(ISNUMBER(MATCH(DATEVALUE($A202),'recurring1_based on steps'!M$1:M$400,0)),M$2,)</f>
        <v>0</v>
      </c>
      <c r="N202" s="179">
        <f ca="1">IF(ISNUMBER(MATCH(DATEVALUE($A202),'recurring1_based on steps'!N$1:N$400,0)),N$2,)</f>
        <v>0</v>
      </c>
      <c r="O202" s="179">
        <f ca="1">IF(ISNUMBER(MATCH(DATEVALUE($A202),'recurring1_based on steps'!O$1:O$400,0)),O$2,)</f>
        <v>0</v>
      </c>
      <c r="P202" s="179">
        <f ca="1">IF(ISNUMBER(MATCH(DATEVALUE($A202),'recurring1_based on steps'!P$1:P$400,0)),P$2,)</f>
        <v>0</v>
      </c>
      <c r="Q202" s="179">
        <f ca="1">IF(ISNUMBER(MATCH(DATEVALUE($A202),'recurring1_based on steps'!Q$1:Q$400,0)),Q$2,)</f>
        <v>0</v>
      </c>
      <c r="R202" s="179">
        <f ca="1">IF(ISNUMBER(MATCH(DATEVALUE($A202),'recurring1_based on steps'!R$1:R$400,0)),R$2,)</f>
        <v>0</v>
      </c>
      <c r="S202" s="179">
        <f ca="1">IF(ISNUMBER(MATCH(DATEVALUE($A202),'recurring1_based on steps'!S$1:S$400,0)),S$2,)</f>
        <v>0</v>
      </c>
      <c r="T202" s="179">
        <f ca="1">IF(ISNUMBER(MATCH(DATEVALUE($A202),'recurring1_based on steps'!T$1:T$400,0)),T$2,)</f>
        <v>0</v>
      </c>
      <c r="U202" s="179">
        <f ca="1">IF(ISNUMBER(MATCH(DATEVALUE($A202),'recurring1_based on steps'!U$1:U$400,0)),U$2,)</f>
        <v>0</v>
      </c>
      <c r="V202" s="179">
        <f ca="1">IF(ISNUMBER(MATCH(DATEVALUE($A202),'recurring1_based on steps'!V$1:V$400,0)),V$2,)</f>
        <v>0</v>
      </c>
      <c r="W202" s="179">
        <f ca="1">IF(ISNUMBER(MATCH(DATEVALUE($A202),'recurring1_based on steps'!W$1:W$400,0)),W$2,)</f>
        <v>0</v>
      </c>
      <c r="X202" s="179">
        <f ca="1">IF(ISNUMBER(MATCH(DATEVALUE($A202),'recurring1_based on steps'!X$1:X$400,0)),X$2,)</f>
        <v>0</v>
      </c>
      <c r="Y202" s="179">
        <f ca="1">IF(ISNUMBER(MATCH(DATEVALUE($A202),'recurring1_based on steps'!Y$1:Y$400,0)),Y$2,)</f>
        <v>0</v>
      </c>
      <c r="Z202" s="179">
        <f ca="1">IF(ISNUMBER(MATCH(DATEVALUE($A202),'recurring1_based on steps'!Z$1:Z$400,0)),Z$2,)</f>
        <v>0</v>
      </c>
      <c r="AA202" s="179">
        <f ca="1">IF(ISNUMBER(MATCH(DATEVALUE($A202),'recurring1_based on steps'!AA$1:AA$400,0)),AA$2,)</f>
        <v>0</v>
      </c>
      <c r="AB202" s="179">
        <f ca="1">IF(ISNUMBER(MATCH(DATEVALUE($A202),'recurring1_based on steps'!AB$1:AB$400,0)),AB$2,)</f>
        <v>0</v>
      </c>
      <c r="AC202" s="179">
        <f ca="1">IF(ISNUMBER(MATCH(DATEVALUE($A202),'recurring1_based on steps'!AC$1:AC$400,0)),AC$2,)</f>
        <v>0</v>
      </c>
      <c r="AD202" s="179">
        <f ca="1">IF(ISNUMBER(MATCH(DATEVALUE($A202),'recurring1_based on steps'!AD$1:AD$400,0)),AD$2,)</f>
        <v>0</v>
      </c>
      <c r="AE202" s="179">
        <f ca="1">IF(ISNUMBER(MATCH(DATEVALUE($A202),'recurring1_based on steps'!AE$1:AE$400,0)),AE$2,)</f>
        <v>0</v>
      </c>
      <c r="AF202" s="179">
        <f ca="1">IF(ISNUMBER(MATCH(DATEVALUE($A202),'recurring1_based on steps'!AF$1:AF$400,0)),AF$2,)</f>
        <v>0</v>
      </c>
      <c r="AG202" s="179">
        <f ca="1">IF(ISNUMBER(MATCH(DATEVALUE($A202),'recurring1_based on steps'!AG$1:AG$400,0)),AG$2,)</f>
        <v>0</v>
      </c>
      <c r="AH202" s="179">
        <f ca="1">IF(ISNUMBER(MATCH(DATEVALUE($A202),'recurring1_based on steps'!AH$1:AH$400,0)),AH$2,)</f>
        <v>0</v>
      </c>
      <c r="AI202" s="179">
        <f ca="1">IF(ISNUMBER(MATCH(DATEVALUE($A202),'recurring1_based on steps'!AI$1:AI$400,0)),AI$2,)</f>
        <v>0</v>
      </c>
      <c r="AJ202" s="179">
        <f ca="1">IF(ISNUMBER(MATCH(DATEVALUE($A202),'recurring1_based on steps'!AJ$1:AJ$400,0)),AJ$2,)</f>
        <v>0</v>
      </c>
      <c r="AK202" s="179">
        <f ca="1">IF(ISNUMBER(MATCH(DATEVALUE($A202),'recurring1_based on steps'!AK$1:AK$400,0)),AK$2,)</f>
        <v>0</v>
      </c>
      <c r="AL202" s="179">
        <f ca="1">IF(ISNUMBER(MATCH(DATEVALUE($A202),'recurring1_based on steps'!AL$1:AL$400,0)),AL$2,)</f>
        <v>0</v>
      </c>
      <c r="AM202" s="179">
        <f ca="1">IF(ISNUMBER(MATCH(DATEVALUE($A202),'recurring1_based on steps'!AM$1:AM$400,0)),AM$2,)</f>
        <v>0</v>
      </c>
      <c r="AN202" s="179">
        <f ca="1">IF(ISNUMBER(MATCH(DATEVALUE($A202),'recurring1_based on steps'!AN$1:AN$400,0)),AN$2,)</f>
        <v>0</v>
      </c>
      <c r="AO202" s="179">
        <f ca="1">IF(ISNUMBER(MATCH(DATEVALUE($A202),'recurring1_based on steps'!AO$1:AO$400,0)),AO$2,)</f>
        <v>0</v>
      </c>
      <c r="AP202" s="179">
        <f ca="1">IF(ISNUMBER(MATCH(DATEVALUE($A202),'recurring1_based on steps'!AP$1:AP$400,0)),AP$2,)</f>
        <v>0</v>
      </c>
      <c r="AQ202" s="179">
        <f ca="1">IF(ISNUMBER(MATCH(DATEVALUE($A202),'recurring1_based on steps'!AQ$1:AQ$400,0)),AQ$2,)</f>
        <v>0</v>
      </c>
      <c r="AR202" s="179">
        <f ca="1">IF(ISNUMBER(MATCH(DATEVALUE($A202),'recurring1_based on steps'!AR$1:AR$400,0)),AR$2,)</f>
        <v>0</v>
      </c>
      <c r="AS202" s="179">
        <f ca="1">IF(ISNUMBER(MATCH(DATEVALUE($A202),'recurring1_based on steps'!AS$1:AS$400,0)),AS$2,)</f>
        <v>0</v>
      </c>
      <c r="AT202" s="179">
        <f ca="1">IF(ISNUMBER(MATCH(DATEVALUE($A202),'recurring1_based on steps'!AT$1:AT$400,0)),AT$2,)</f>
        <v>0</v>
      </c>
      <c r="AU202" s="179">
        <f ca="1">IF(ISNUMBER(MATCH(DATEVALUE($A202),'recurring1_based on steps'!AU$1:AU$400,0)),AU$2,)</f>
        <v>0</v>
      </c>
      <c r="AV202" s="179">
        <f ca="1">IF(ISNUMBER(MATCH(DATEVALUE($A202),'recurring1_based on steps'!AV$1:AV$400,0)),AV$2,)</f>
        <v>0</v>
      </c>
      <c r="AW202" s="179">
        <f ca="1">IF(ISNUMBER(MATCH(DATEVALUE($A202),'recurring1_based on steps'!AW$1:AW$400,0)),AW$2,)</f>
        <v>0</v>
      </c>
      <c r="AX202" s="179">
        <f ca="1">IF(ISNUMBER(MATCH(DATEVALUE($A202),'recurring1_based on steps'!AX$1:AX$400,0)),AX$2,)</f>
        <v>0</v>
      </c>
      <c r="AY202" s="179">
        <f ca="1">IF(ISNUMBER(MATCH(DATEVALUE($A202),'recurring1_based on steps'!AY$1:AY$400,0)),AY$2,)</f>
        <v>0</v>
      </c>
    </row>
    <row r="203" spans="1:51" x14ac:dyDescent="0.2">
      <c r="A203" s="32" t="str">
        <f t="shared" ca="1" si="3"/>
        <v>2025-10-15</v>
      </c>
      <c r="B203" s="179">
        <f ca="1">IF(ISNUMBER(MATCH(DATEVALUE($A203),'recurring1_based on steps'!B$1:B$400,0)),B$2,)</f>
        <v>0</v>
      </c>
      <c r="C203" s="179">
        <f ca="1">IF(ISNUMBER(MATCH(DATEVALUE($A203),'recurring1_based on steps'!C$1:C$400,0)),C$2,)</f>
        <v>0</v>
      </c>
      <c r="D203" s="179">
        <f ca="1">IF(ISNUMBER(MATCH(DATEVALUE($A203),'recurring1_based on steps'!D$1:D$400,0)),D$2,)</f>
        <v>0</v>
      </c>
      <c r="E203" s="179">
        <f ca="1">IF(ISNUMBER(MATCH(DATEVALUE($A203),'recurring1_based on steps'!E$1:E$400,0)),E$2,)</f>
        <v>0</v>
      </c>
      <c r="F203" s="179">
        <f ca="1">IF(ISNUMBER(MATCH(DATEVALUE($A203),'recurring1_based on steps'!F$1:F$400,0)),F$2,)</f>
        <v>0</v>
      </c>
      <c r="G203" s="179">
        <f ca="1">IF(ISNUMBER(MATCH(DATEVALUE($A203),'recurring1_based on steps'!G$1:G$400,0)),G$2,)</f>
        <v>0</v>
      </c>
      <c r="H203" s="179">
        <f ca="1">IF(ISNUMBER(MATCH(DATEVALUE($A203),'recurring1_based on steps'!H$1:H$400,0)),H$2,)</f>
        <v>0</v>
      </c>
      <c r="I203" s="179">
        <f ca="1">IF(ISNUMBER(MATCH(DATEVALUE($A203),'recurring1_based on steps'!I$1:I$400,0)),I$2,)</f>
        <v>0</v>
      </c>
      <c r="J203" s="179">
        <f ca="1">IF(ISNUMBER(MATCH(DATEVALUE($A203),'recurring1_based on steps'!J$1:J$400,0)),J$2,)</f>
        <v>0</v>
      </c>
      <c r="K203" s="179">
        <f ca="1">IF(ISNUMBER(MATCH(DATEVALUE($A203),'recurring1_based on steps'!K$1:K$400,0)),K$2,)</f>
        <v>0</v>
      </c>
      <c r="L203" s="179">
        <f ca="1">IF(ISNUMBER(MATCH(DATEVALUE($A203),'recurring1_based on steps'!L$1:L$400,0)),L$2,)</f>
        <v>0</v>
      </c>
      <c r="M203" s="179">
        <f ca="1">IF(ISNUMBER(MATCH(DATEVALUE($A203),'recurring1_based on steps'!M$1:M$400,0)),M$2,)</f>
        <v>0</v>
      </c>
      <c r="N203" s="179">
        <f ca="1">IF(ISNUMBER(MATCH(DATEVALUE($A203),'recurring1_based on steps'!N$1:N$400,0)),N$2,)</f>
        <v>0</v>
      </c>
      <c r="O203" s="179">
        <f ca="1">IF(ISNUMBER(MATCH(DATEVALUE($A203),'recurring1_based on steps'!O$1:O$400,0)),O$2,)</f>
        <v>0</v>
      </c>
      <c r="P203" s="179">
        <f ca="1">IF(ISNUMBER(MATCH(DATEVALUE($A203),'recurring1_based on steps'!P$1:P$400,0)),P$2,)</f>
        <v>0</v>
      </c>
      <c r="Q203" s="179">
        <f ca="1">IF(ISNUMBER(MATCH(DATEVALUE($A203),'recurring1_based on steps'!Q$1:Q$400,0)),Q$2,)</f>
        <v>0</v>
      </c>
      <c r="R203" s="179">
        <f ca="1">IF(ISNUMBER(MATCH(DATEVALUE($A203),'recurring1_based on steps'!R$1:R$400,0)),R$2,)</f>
        <v>0</v>
      </c>
      <c r="S203" s="179">
        <f ca="1">IF(ISNUMBER(MATCH(DATEVALUE($A203),'recurring1_based on steps'!S$1:S$400,0)),S$2,)</f>
        <v>0</v>
      </c>
      <c r="T203" s="179">
        <f ca="1">IF(ISNUMBER(MATCH(DATEVALUE($A203),'recurring1_based on steps'!T$1:T$400,0)),T$2,)</f>
        <v>0</v>
      </c>
      <c r="U203" s="179">
        <f ca="1">IF(ISNUMBER(MATCH(DATEVALUE($A203),'recurring1_based on steps'!U$1:U$400,0)),U$2,)</f>
        <v>0</v>
      </c>
      <c r="V203" s="179">
        <f ca="1">IF(ISNUMBER(MATCH(DATEVALUE($A203),'recurring1_based on steps'!V$1:V$400,0)),V$2,)</f>
        <v>0</v>
      </c>
      <c r="W203" s="179">
        <f ca="1">IF(ISNUMBER(MATCH(DATEVALUE($A203),'recurring1_based on steps'!W$1:W$400,0)),W$2,)</f>
        <v>0</v>
      </c>
      <c r="X203" s="179">
        <f ca="1">IF(ISNUMBER(MATCH(DATEVALUE($A203),'recurring1_based on steps'!X$1:X$400,0)),X$2,)</f>
        <v>0</v>
      </c>
      <c r="Y203" s="179">
        <f ca="1">IF(ISNUMBER(MATCH(DATEVALUE($A203),'recurring1_based on steps'!Y$1:Y$400,0)),Y$2,)</f>
        <v>0</v>
      </c>
      <c r="Z203" s="179">
        <f ca="1">IF(ISNUMBER(MATCH(DATEVALUE($A203),'recurring1_based on steps'!Z$1:Z$400,0)),Z$2,)</f>
        <v>0</v>
      </c>
      <c r="AA203" s="179">
        <f ca="1">IF(ISNUMBER(MATCH(DATEVALUE($A203),'recurring1_based on steps'!AA$1:AA$400,0)),AA$2,)</f>
        <v>0</v>
      </c>
      <c r="AB203" s="179">
        <f ca="1">IF(ISNUMBER(MATCH(DATEVALUE($A203),'recurring1_based on steps'!AB$1:AB$400,0)),AB$2,)</f>
        <v>0</v>
      </c>
      <c r="AC203" s="179">
        <f ca="1">IF(ISNUMBER(MATCH(DATEVALUE($A203),'recurring1_based on steps'!AC$1:AC$400,0)),AC$2,)</f>
        <v>0</v>
      </c>
      <c r="AD203" s="179">
        <f ca="1">IF(ISNUMBER(MATCH(DATEVALUE($A203),'recurring1_based on steps'!AD$1:AD$400,0)),AD$2,)</f>
        <v>0</v>
      </c>
      <c r="AE203" s="179">
        <f ca="1">IF(ISNUMBER(MATCH(DATEVALUE($A203),'recurring1_based on steps'!AE$1:AE$400,0)),AE$2,)</f>
        <v>0</v>
      </c>
      <c r="AF203" s="179">
        <f ca="1">IF(ISNUMBER(MATCH(DATEVALUE($A203),'recurring1_based on steps'!AF$1:AF$400,0)),AF$2,)</f>
        <v>0</v>
      </c>
      <c r="AG203" s="179">
        <f ca="1">IF(ISNUMBER(MATCH(DATEVALUE($A203),'recurring1_based on steps'!AG$1:AG$400,0)),AG$2,)</f>
        <v>0</v>
      </c>
      <c r="AH203" s="179">
        <f ca="1">IF(ISNUMBER(MATCH(DATEVALUE($A203),'recurring1_based on steps'!AH$1:AH$400,0)),AH$2,)</f>
        <v>0</v>
      </c>
      <c r="AI203" s="179">
        <f ca="1">IF(ISNUMBER(MATCH(DATEVALUE($A203),'recurring1_based on steps'!AI$1:AI$400,0)),AI$2,)</f>
        <v>0</v>
      </c>
      <c r="AJ203" s="179">
        <f ca="1">IF(ISNUMBER(MATCH(DATEVALUE($A203),'recurring1_based on steps'!AJ$1:AJ$400,0)),AJ$2,)</f>
        <v>0</v>
      </c>
      <c r="AK203" s="179">
        <f ca="1">IF(ISNUMBER(MATCH(DATEVALUE($A203),'recurring1_based on steps'!AK$1:AK$400,0)),AK$2,)</f>
        <v>0</v>
      </c>
      <c r="AL203" s="179">
        <f ca="1">IF(ISNUMBER(MATCH(DATEVALUE($A203),'recurring1_based on steps'!AL$1:AL$400,0)),AL$2,)</f>
        <v>0</v>
      </c>
      <c r="AM203" s="179">
        <f ca="1">IF(ISNUMBER(MATCH(DATEVALUE($A203),'recurring1_based on steps'!AM$1:AM$400,0)),AM$2,)</f>
        <v>0</v>
      </c>
      <c r="AN203" s="179">
        <f ca="1">IF(ISNUMBER(MATCH(DATEVALUE($A203),'recurring1_based on steps'!AN$1:AN$400,0)),AN$2,)</f>
        <v>0</v>
      </c>
      <c r="AO203" s="179">
        <f ca="1">IF(ISNUMBER(MATCH(DATEVALUE($A203),'recurring1_based on steps'!AO$1:AO$400,0)),AO$2,)</f>
        <v>0</v>
      </c>
      <c r="AP203" s="179">
        <f ca="1">IF(ISNUMBER(MATCH(DATEVALUE($A203),'recurring1_based on steps'!AP$1:AP$400,0)),AP$2,)</f>
        <v>0</v>
      </c>
      <c r="AQ203" s="179">
        <f ca="1">IF(ISNUMBER(MATCH(DATEVALUE($A203),'recurring1_based on steps'!AQ$1:AQ$400,0)),AQ$2,)</f>
        <v>0</v>
      </c>
      <c r="AR203" s="179">
        <f ca="1">IF(ISNUMBER(MATCH(DATEVALUE($A203),'recurring1_based on steps'!AR$1:AR$400,0)),AR$2,)</f>
        <v>0</v>
      </c>
      <c r="AS203" s="179">
        <f ca="1">IF(ISNUMBER(MATCH(DATEVALUE($A203),'recurring1_based on steps'!AS$1:AS$400,0)),AS$2,)</f>
        <v>0</v>
      </c>
      <c r="AT203" s="179">
        <f ca="1">IF(ISNUMBER(MATCH(DATEVALUE($A203),'recurring1_based on steps'!AT$1:AT$400,0)),AT$2,)</f>
        <v>0</v>
      </c>
      <c r="AU203" s="179">
        <f ca="1">IF(ISNUMBER(MATCH(DATEVALUE($A203),'recurring1_based on steps'!AU$1:AU$400,0)),AU$2,)</f>
        <v>0</v>
      </c>
      <c r="AV203" s="179">
        <f ca="1">IF(ISNUMBER(MATCH(DATEVALUE($A203),'recurring1_based on steps'!AV$1:AV$400,0)),AV$2,)</f>
        <v>0</v>
      </c>
      <c r="AW203" s="179">
        <f ca="1">IF(ISNUMBER(MATCH(DATEVALUE($A203),'recurring1_based on steps'!AW$1:AW$400,0)),AW$2,)</f>
        <v>0</v>
      </c>
      <c r="AX203" s="179">
        <f ca="1">IF(ISNUMBER(MATCH(DATEVALUE($A203),'recurring1_based on steps'!AX$1:AX$400,0)),AX$2,)</f>
        <v>0</v>
      </c>
      <c r="AY203" s="179">
        <f ca="1">IF(ISNUMBER(MATCH(DATEVALUE($A203),'recurring1_based on steps'!AY$1:AY$400,0)),AY$2,)</f>
        <v>0</v>
      </c>
    </row>
    <row r="204" spans="1:51" x14ac:dyDescent="0.2">
      <c r="A204" s="32" t="str">
        <f t="shared" ca="1" si="3"/>
        <v>2025-10-16</v>
      </c>
      <c r="B204" s="179">
        <f ca="1">IF(ISNUMBER(MATCH(DATEVALUE($A204),'recurring1_based on steps'!B$1:B$400,0)),B$2,)</f>
        <v>0</v>
      </c>
      <c r="C204" s="179">
        <f ca="1">IF(ISNUMBER(MATCH(DATEVALUE($A204),'recurring1_based on steps'!C$1:C$400,0)),C$2,)</f>
        <v>0</v>
      </c>
      <c r="D204" s="179">
        <f ca="1">IF(ISNUMBER(MATCH(DATEVALUE($A204),'recurring1_based on steps'!D$1:D$400,0)),D$2,)</f>
        <v>0</v>
      </c>
      <c r="E204" s="179">
        <f ca="1">IF(ISNUMBER(MATCH(DATEVALUE($A204),'recurring1_based on steps'!E$1:E$400,0)),E$2,)</f>
        <v>0</v>
      </c>
      <c r="F204" s="179">
        <f ca="1">IF(ISNUMBER(MATCH(DATEVALUE($A204),'recurring1_based on steps'!F$1:F$400,0)),F$2,)</f>
        <v>0</v>
      </c>
      <c r="G204" s="179">
        <f ca="1">IF(ISNUMBER(MATCH(DATEVALUE($A204),'recurring1_based on steps'!G$1:G$400,0)),G$2,)</f>
        <v>0</v>
      </c>
      <c r="H204" s="179">
        <f ca="1">IF(ISNUMBER(MATCH(DATEVALUE($A204),'recurring1_based on steps'!H$1:H$400,0)),H$2,)</f>
        <v>0</v>
      </c>
      <c r="I204" s="179">
        <f ca="1">IF(ISNUMBER(MATCH(DATEVALUE($A204),'recurring1_based on steps'!I$1:I$400,0)),I$2,)</f>
        <v>0</v>
      </c>
      <c r="J204" s="179">
        <f ca="1">IF(ISNUMBER(MATCH(DATEVALUE($A204),'recurring1_based on steps'!J$1:J$400,0)),J$2,)</f>
        <v>0</v>
      </c>
      <c r="K204" s="179">
        <f ca="1">IF(ISNUMBER(MATCH(DATEVALUE($A204),'recurring1_based on steps'!K$1:K$400,0)),K$2,)</f>
        <v>0</v>
      </c>
      <c r="L204" s="179">
        <f ca="1">IF(ISNUMBER(MATCH(DATEVALUE($A204),'recurring1_based on steps'!L$1:L$400,0)),L$2,)</f>
        <v>0</v>
      </c>
      <c r="M204" s="179">
        <f ca="1">IF(ISNUMBER(MATCH(DATEVALUE($A204),'recurring1_based on steps'!M$1:M$400,0)),M$2,)</f>
        <v>0</v>
      </c>
      <c r="N204" s="179">
        <f ca="1">IF(ISNUMBER(MATCH(DATEVALUE($A204),'recurring1_based on steps'!N$1:N$400,0)),N$2,)</f>
        <v>0</v>
      </c>
      <c r="O204" s="179">
        <f ca="1">IF(ISNUMBER(MATCH(DATEVALUE($A204),'recurring1_based on steps'!O$1:O$400,0)),O$2,)</f>
        <v>0</v>
      </c>
      <c r="P204" s="179">
        <f ca="1">IF(ISNUMBER(MATCH(DATEVALUE($A204),'recurring1_based on steps'!P$1:P$400,0)),P$2,)</f>
        <v>0</v>
      </c>
      <c r="Q204" s="179">
        <f ca="1">IF(ISNUMBER(MATCH(DATEVALUE($A204),'recurring1_based on steps'!Q$1:Q$400,0)),Q$2,)</f>
        <v>0</v>
      </c>
      <c r="R204" s="179">
        <f ca="1">IF(ISNUMBER(MATCH(DATEVALUE($A204),'recurring1_based on steps'!R$1:R$400,0)),R$2,)</f>
        <v>0</v>
      </c>
      <c r="S204" s="179">
        <f ca="1">IF(ISNUMBER(MATCH(DATEVALUE($A204),'recurring1_based on steps'!S$1:S$400,0)),S$2,)</f>
        <v>0</v>
      </c>
      <c r="T204" s="179">
        <f ca="1">IF(ISNUMBER(MATCH(DATEVALUE($A204),'recurring1_based on steps'!T$1:T$400,0)),T$2,)</f>
        <v>0</v>
      </c>
      <c r="U204" s="179">
        <f ca="1">IF(ISNUMBER(MATCH(DATEVALUE($A204),'recurring1_based on steps'!U$1:U$400,0)),U$2,)</f>
        <v>0</v>
      </c>
      <c r="V204" s="179">
        <f ca="1">IF(ISNUMBER(MATCH(DATEVALUE($A204),'recurring1_based on steps'!V$1:V$400,0)),V$2,)</f>
        <v>0</v>
      </c>
      <c r="W204" s="179">
        <f ca="1">IF(ISNUMBER(MATCH(DATEVALUE($A204),'recurring1_based on steps'!W$1:W$400,0)),W$2,)</f>
        <v>0</v>
      </c>
      <c r="X204" s="179">
        <f ca="1">IF(ISNUMBER(MATCH(DATEVALUE($A204),'recurring1_based on steps'!X$1:X$400,0)),X$2,)</f>
        <v>0</v>
      </c>
      <c r="Y204" s="179">
        <f ca="1">IF(ISNUMBER(MATCH(DATEVALUE($A204),'recurring1_based on steps'!Y$1:Y$400,0)),Y$2,)</f>
        <v>0</v>
      </c>
      <c r="Z204" s="179">
        <f ca="1">IF(ISNUMBER(MATCH(DATEVALUE($A204),'recurring1_based on steps'!Z$1:Z$400,0)),Z$2,)</f>
        <v>0</v>
      </c>
      <c r="AA204" s="179">
        <f ca="1">IF(ISNUMBER(MATCH(DATEVALUE($A204),'recurring1_based on steps'!AA$1:AA$400,0)),AA$2,)</f>
        <v>0</v>
      </c>
      <c r="AB204" s="179">
        <f ca="1">IF(ISNUMBER(MATCH(DATEVALUE($A204),'recurring1_based on steps'!AB$1:AB$400,0)),AB$2,)</f>
        <v>0</v>
      </c>
      <c r="AC204" s="179">
        <f ca="1">IF(ISNUMBER(MATCH(DATEVALUE($A204),'recurring1_based on steps'!AC$1:AC$400,0)),AC$2,)</f>
        <v>0</v>
      </c>
      <c r="AD204" s="179">
        <f ca="1">IF(ISNUMBER(MATCH(DATEVALUE($A204),'recurring1_based on steps'!AD$1:AD$400,0)),AD$2,)</f>
        <v>0</v>
      </c>
      <c r="AE204" s="179">
        <f ca="1">IF(ISNUMBER(MATCH(DATEVALUE($A204),'recurring1_based on steps'!AE$1:AE$400,0)),AE$2,)</f>
        <v>0</v>
      </c>
      <c r="AF204" s="179">
        <f ca="1">IF(ISNUMBER(MATCH(DATEVALUE($A204),'recurring1_based on steps'!AF$1:AF$400,0)),AF$2,)</f>
        <v>0</v>
      </c>
      <c r="AG204" s="179">
        <f ca="1">IF(ISNUMBER(MATCH(DATEVALUE($A204),'recurring1_based on steps'!AG$1:AG$400,0)),AG$2,)</f>
        <v>0</v>
      </c>
      <c r="AH204" s="179">
        <f ca="1">IF(ISNUMBER(MATCH(DATEVALUE($A204),'recurring1_based on steps'!AH$1:AH$400,0)),AH$2,)</f>
        <v>0</v>
      </c>
      <c r="AI204" s="179">
        <f ca="1">IF(ISNUMBER(MATCH(DATEVALUE($A204),'recurring1_based on steps'!AI$1:AI$400,0)),AI$2,)</f>
        <v>0</v>
      </c>
      <c r="AJ204" s="179">
        <f ca="1">IF(ISNUMBER(MATCH(DATEVALUE($A204),'recurring1_based on steps'!AJ$1:AJ$400,0)),AJ$2,)</f>
        <v>0</v>
      </c>
      <c r="AK204" s="179">
        <f ca="1">IF(ISNUMBER(MATCH(DATEVALUE($A204),'recurring1_based on steps'!AK$1:AK$400,0)),AK$2,)</f>
        <v>0</v>
      </c>
      <c r="AL204" s="179">
        <f ca="1">IF(ISNUMBER(MATCH(DATEVALUE($A204),'recurring1_based on steps'!AL$1:AL$400,0)),AL$2,)</f>
        <v>0</v>
      </c>
      <c r="AM204" s="179">
        <f ca="1">IF(ISNUMBER(MATCH(DATEVALUE($A204),'recurring1_based on steps'!AM$1:AM$400,0)),AM$2,)</f>
        <v>0</v>
      </c>
      <c r="AN204" s="179">
        <f ca="1">IF(ISNUMBER(MATCH(DATEVALUE($A204),'recurring1_based on steps'!AN$1:AN$400,0)),AN$2,)</f>
        <v>0</v>
      </c>
      <c r="AO204" s="179">
        <f ca="1">IF(ISNUMBER(MATCH(DATEVALUE($A204),'recurring1_based on steps'!AO$1:AO$400,0)),AO$2,)</f>
        <v>0</v>
      </c>
      <c r="AP204" s="179">
        <f ca="1">IF(ISNUMBER(MATCH(DATEVALUE($A204),'recurring1_based on steps'!AP$1:AP$400,0)),AP$2,)</f>
        <v>0</v>
      </c>
      <c r="AQ204" s="179">
        <f ca="1">IF(ISNUMBER(MATCH(DATEVALUE($A204),'recurring1_based on steps'!AQ$1:AQ$400,0)),AQ$2,)</f>
        <v>0</v>
      </c>
      <c r="AR204" s="179">
        <f ca="1">IF(ISNUMBER(MATCH(DATEVALUE($A204),'recurring1_based on steps'!AR$1:AR$400,0)),AR$2,)</f>
        <v>0</v>
      </c>
      <c r="AS204" s="179">
        <f ca="1">IF(ISNUMBER(MATCH(DATEVALUE($A204),'recurring1_based on steps'!AS$1:AS$400,0)),AS$2,)</f>
        <v>0</v>
      </c>
      <c r="AT204" s="179">
        <f ca="1">IF(ISNUMBER(MATCH(DATEVALUE($A204),'recurring1_based on steps'!AT$1:AT$400,0)),AT$2,)</f>
        <v>0</v>
      </c>
      <c r="AU204" s="179">
        <f ca="1">IF(ISNUMBER(MATCH(DATEVALUE($A204),'recurring1_based on steps'!AU$1:AU$400,0)),AU$2,)</f>
        <v>0</v>
      </c>
      <c r="AV204" s="179">
        <f ca="1">IF(ISNUMBER(MATCH(DATEVALUE($A204),'recurring1_based on steps'!AV$1:AV$400,0)),AV$2,)</f>
        <v>0</v>
      </c>
      <c r="AW204" s="179">
        <f ca="1">IF(ISNUMBER(MATCH(DATEVALUE($A204),'recurring1_based on steps'!AW$1:AW$400,0)),AW$2,)</f>
        <v>0</v>
      </c>
      <c r="AX204" s="179">
        <f ca="1">IF(ISNUMBER(MATCH(DATEVALUE($A204),'recurring1_based on steps'!AX$1:AX$400,0)),AX$2,)</f>
        <v>0</v>
      </c>
      <c r="AY204" s="179">
        <f ca="1">IF(ISNUMBER(MATCH(DATEVALUE($A204),'recurring1_based on steps'!AY$1:AY$400,0)),AY$2,)</f>
        <v>0</v>
      </c>
    </row>
    <row r="205" spans="1:51" x14ac:dyDescent="0.2">
      <c r="A205" s="32" t="str">
        <f t="shared" ca="1" si="3"/>
        <v>2025-10-17</v>
      </c>
      <c r="B205" s="179">
        <f ca="1">IF(ISNUMBER(MATCH(DATEVALUE($A205),'recurring1_based on steps'!B$1:B$400,0)),B$2,)</f>
        <v>0</v>
      </c>
      <c r="C205" s="179">
        <f ca="1">IF(ISNUMBER(MATCH(DATEVALUE($A205),'recurring1_based on steps'!C$1:C$400,0)),C$2,)</f>
        <v>0</v>
      </c>
      <c r="D205" s="179">
        <f ca="1">IF(ISNUMBER(MATCH(DATEVALUE($A205),'recurring1_based on steps'!D$1:D$400,0)),D$2,)</f>
        <v>0</v>
      </c>
      <c r="E205" s="179">
        <f ca="1">IF(ISNUMBER(MATCH(DATEVALUE($A205),'recurring1_based on steps'!E$1:E$400,0)),E$2,)</f>
        <v>0</v>
      </c>
      <c r="F205" s="179">
        <f ca="1">IF(ISNUMBER(MATCH(DATEVALUE($A205),'recurring1_based on steps'!F$1:F$400,0)),F$2,)</f>
        <v>0</v>
      </c>
      <c r="G205" s="179">
        <f ca="1">IF(ISNUMBER(MATCH(DATEVALUE($A205),'recurring1_based on steps'!G$1:G$400,0)),G$2,)</f>
        <v>0</v>
      </c>
      <c r="H205" s="179">
        <f ca="1">IF(ISNUMBER(MATCH(DATEVALUE($A205),'recurring1_based on steps'!H$1:H$400,0)),H$2,)</f>
        <v>0</v>
      </c>
      <c r="I205" s="179">
        <f ca="1">IF(ISNUMBER(MATCH(DATEVALUE($A205),'recurring1_based on steps'!I$1:I$400,0)),I$2,)</f>
        <v>0</v>
      </c>
      <c r="J205" s="179">
        <f ca="1">IF(ISNUMBER(MATCH(DATEVALUE($A205),'recurring1_based on steps'!J$1:J$400,0)),J$2,)</f>
        <v>0</v>
      </c>
      <c r="K205" s="179">
        <f ca="1">IF(ISNUMBER(MATCH(DATEVALUE($A205),'recurring1_based on steps'!K$1:K$400,0)),K$2,)</f>
        <v>0</v>
      </c>
      <c r="L205" s="179">
        <f ca="1">IF(ISNUMBER(MATCH(DATEVALUE($A205),'recurring1_based on steps'!L$1:L$400,0)),L$2,)</f>
        <v>0</v>
      </c>
      <c r="M205" s="179">
        <f ca="1">IF(ISNUMBER(MATCH(DATEVALUE($A205),'recurring1_based on steps'!M$1:M$400,0)),M$2,)</f>
        <v>0</v>
      </c>
      <c r="N205" s="179">
        <f ca="1">IF(ISNUMBER(MATCH(DATEVALUE($A205),'recurring1_based on steps'!N$1:N$400,0)),N$2,)</f>
        <v>0</v>
      </c>
      <c r="O205" s="179">
        <f ca="1">IF(ISNUMBER(MATCH(DATEVALUE($A205),'recurring1_based on steps'!O$1:O$400,0)),O$2,)</f>
        <v>0</v>
      </c>
      <c r="P205" s="179">
        <f ca="1">IF(ISNUMBER(MATCH(DATEVALUE($A205),'recurring1_based on steps'!P$1:P$400,0)),P$2,)</f>
        <v>0</v>
      </c>
      <c r="Q205" s="179">
        <f ca="1">IF(ISNUMBER(MATCH(DATEVALUE($A205),'recurring1_based on steps'!Q$1:Q$400,0)),Q$2,)</f>
        <v>0</v>
      </c>
      <c r="R205" s="179">
        <f ca="1">IF(ISNUMBER(MATCH(DATEVALUE($A205),'recurring1_based on steps'!R$1:R$400,0)),R$2,)</f>
        <v>0</v>
      </c>
      <c r="S205" s="179">
        <f ca="1">IF(ISNUMBER(MATCH(DATEVALUE($A205),'recurring1_based on steps'!S$1:S$400,0)),S$2,)</f>
        <v>0</v>
      </c>
      <c r="T205" s="179">
        <f ca="1">IF(ISNUMBER(MATCH(DATEVALUE($A205),'recurring1_based on steps'!T$1:T$400,0)),T$2,)</f>
        <v>0</v>
      </c>
      <c r="U205" s="179">
        <f ca="1">IF(ISNUMBER(MATCH(DATEVALUE($A205),'recurring1_based on steps'!U$1:U$400,0)),U$2,)</f>
        <v>0</v>
      </c>
      <c r="V205" s="179">
        <f ca="1">IF(ISNUMBER(MATCH(DATEVALUE($A205),'recurring1_based on steps'!V$1:V$400,0)),V$2,)</f>
        <v>0</v>
      </c>
      <c r="W205" s="179">
        <f ca="1">IF(ISNUMBER(MATCH(DATEVALUE($A205),'recurring1_based on steps'!W$1:W$400,0)),W$2,)</f>
        <v>0</v>
      </c>
      <c r="X205" s="179">
        <f ca="1">IF(ISNUMBER(MATCH(DATEVALUE($A205),'recurring1_based on steps'!X$1:X$400,0)),X$2,)</f>
        <v>0</v>
      </c>
      <c r="Y205" s="179">
        <f ca="1">IF(ISNUMBER(MATCH(DATEVALUE($A205),'recurring1_based on steps'!Y$1:Y$400,0)),Y$2,)</f>
        <v>0</v>
      </c>
      <c r="Z205" s="179">
        <f ca="1">IF(ISNUMBER(MATCH(DATEVALUE($A205),'recurring1_based on steps'!Z$1:Z$400,0)),Z$2,)</f>
        <v>0</v>
      </c>
      <c r="AA205" s="179">
        <f ca="1">IF(ISNUMBER(MATCH(DATEVALUE($A205),'recurring1_based on steps'!AA$1:AA$400,0)),AA$2,)</f>
        <v>0</v>
      </c>
      <c r="AB205" s="179">
        <f ca="1">IF(ISNUMBER(MATCH(DATEVALUE($A205),'recurring1_based on steps'!AB$1:AB$400,0)),AB$2,)</f>
        <v>0</v>
      </c>
      <c r="AC205" s="179">
        <f ca="1">IF(ISNUMBER(MATCH(DATEVALUE($A205),'recurring1_based on steps'!AC$1:AC$400,0)),AC$2,)</f>
        <v>0</v>
      </c>
      <c r="AD205" s="179">
        <f ca="1">IF(ISNUMBER(MATCH(DATEVALUE($A205),'recurring1_based on steps'!AD$1:AD$400,0)),AD$2,)</f>
        <v>0</v>
      </c>
      <c r="AE205" s="179">
        <f ca="1">IF(ISNUMBER(MATCH(DATEVALUE($A205),'recurring1_based on steps'!AE$1:AE$400,0)),AE$2,)</f>
        <v>0</v>
      </c>
      <c r="AF205" s="179">
        <f ca="1">IF(ISNUMBER(MATCH(DATEVALUE($A205),'recurring1_based on steps'!AF$1:AF$400,0)),AF$2,)</f>
        <v>0</v>
      </c>
      <c r="AG205" s="179">
        <f ca="1">IF(ISNUMBER(MATCH(DATEVALUE($A205),'recurring1_based on steps'!AG$1:AG$400,0)),AG$2,)</f>
        <v>0</v>
      </c>
      <c r="AH205" s="179">
        <f ca="1">IF(ISNUMBER(MATCH(DATEVALUE($A205),'recurring1_based on steps'!AH$1:AH$400,0)),AH$2,)</f>
        <v>0</v>
      </c>
      <c r="AI205" s="179">
        <f ca="1">IF(ISNUMBER(MATCH(DATEVALUE($A205),'recurring1_based on steps'!AI$1:AI$400,0)),AI$2,)</f>
        <v>0</v>
      </c>
      <c r="AJ205" s="179">
        <f ca="1">IF(ISNUMBER(MATCH(DATEVALUE($A205),'recurring1_based on steps'!AJ$1:AJ$400,0)),AJ$2,)</f>
        <v>0</v>
      </c>
      <c r="AK205" s="179">
        <f ca="1">IF(ISNUMBER(MATCH(DATEVALUE($A205),'recurring1_based on steps'!AK$1:AK$400,0)),AK$2,)</f>
        <v>0</v>
      </c>
      <c r="AL205" s="179">
        <f ca="1">IF(ISNUMBER(MATCH(DATEVALUE($A205),'recurring1_based on steps'!AL$1:AL$400,0)),AL$2,)</f>
        <v>0</v>
      </c>
      <c r="AM205" s="179">
        <f ca="1">IF(ISNUMBER(MATCH(DATEVALUE($A205),'recurring1_based on steps'!AM$1:AM$400,0)),AM$2,)</f>
        <v>0</v>
      </c>
      <c r="AN205" s="179">
        <f ca="1">IF(ISNUMBER(MATCH(DATEVALUE($A205),'recurring1_based on steps'!AN$1:AN$400,0)),AN$2,)</f>
        <v>0</v>
      </c>
      <c r="AO205" s="179">
        <f ca="1">IF(ISNUMBER(MATCH(DATEVALUE($A205),'recurring1_based on steps'!AO$1:AO$400,0)),AO$2,)</f>
        <v>0</v>
      </c>
      <c r="AP205" s="179">
        <f ca="1">IF(ISNUMBER(MATCH(DATEVALUE($A205),'recurring1_based on steps'!AP$1:AP$400,0)),AP$2,)</f>
        <v>0</v>
      </c>
      <c r="AQ205" s="179">
        <f ca="1">IF(ISNUMBER(MATCH(DATEVALUE($A205),'recurring1_based on steps'!AQ$1:AQ$400,0)),AQ$2,)</f>
        <v>0</v>
      </c>
      <c r="AR205" s="179">
        <f ca="1">IF(ISNUMBER(MATCH(DATEVALUE($A205),'recurring1_based on steps'!AR$1:AR$400,0)),AR$2,)</f>
        <v>0</v>
      </c>
      <c r="AS205" s="179">
        <f ca="1">IF(ISNUMBER(MATCH(DATEVALUE($A205),'recurring1_based on steps'!AS$1:AS$400,0)),AS$2,)</f>
        <v>0</v>
      </c>
      <c r="AT205" s="179">
        <f ca="1">IF(ISNUMBER(MATCH(DATEVALUE($A205),'recurring1_based on steps'!AT$1:AT$400,0)),AT$2,)</f>
        <v>0</v>
      </c>
      <c r="AU205" s="179">
        <f ca="1">IF(ISNUMBER(MATCH(DATEVALUE($A205),'recurring1_based on steps'!AU$1:AU$400,0)),AU$2,)</f>
        <v>0</v>
      </c>
      <c r="AV205" s="179">
        <f ca="1">IF(ISNUMBER(MATCH(DATEVALUE($A205),'recurring1_based on steps'!AV$1:AV$400,0)),AV$2,)</f>
        <v>0</v>
      </c>
      <c r="AW205" s="179">
        <f ca="1">IF(ISNUMBER(MATCH(DATEVALUE($A205),'recurring1_based on steps'!AW$1:AW$400,0)),AW$2,)</f>
        <v>0</v>
      </c>
      <c r="AX205" s="179">
        <f ca="1">IF(ISNUMBER(MATCH(DATEVALUE($A205),'recurring1_based on steps'!AX$1:AX$400,0)),AX$2,)</f>
        <v>0</v>
      </c>
      <c r="AY205" s="179">
        <f ca="1">IF(ISNUMBER(MATCH(DATEVALUE($A205),'recurring1_based on steps'!AY$1:AY$400,0)),AY$2,)</f>
        <v>0</v>
      </c>
    </row>
    <row r="206" spans="1:51" x14ac:dyDescent="0.2">
      <c r="A206" s="32" t="str">
        <f t="shared" ca="1" si="3"/>
        <v>2025-10-18</v>
      </c>
      <c r="B206" s="179">
        <f ca="1">IF(ISNUMBER(MATCH(DATEVALUE($A206),'recurring1_based on steps'!B$1:B$400,0)),B$2,)</f>
        <v>0</v>
      </c>
      <c r="C206" s="179">
        <f ca="1">IF(ISNUMBER(MATCH(DATEVALUE($A206),'recurring1_based on steps'!C$1:C$400,0)),C$2,)</f>
        <v>0</v>
      </c>
      <c r="D206" s="179">
        <f ca="1">IF(ISNUMBER(MATCH(DATEVALUE($A206),'recurring1_based on steps'!D$1:D$400,0)),D$2,)</f>
        <v>0</v>
      </c>
      <c r="E206" s="179">
        <f ca="1">IF(ISNUMBER(MATCH(DATEVALUE($A206),'recurring1_based on steps'!E$1:E$400,0)),E$2,)</f>
        <v>0</v>
      </c>
      <c r="F206" s="179">
        <f ca="1">IF(ISNUMBER(MATCH(DATEVALUE($A206),'recurring1_based on steps'!F$1:F$400,0)),F$2,)</f>
        <v>0</v>
      </c>
      <c r="G206" s="179">
        <f ca="1">IF(ISNUMBER(MATCH(DATEVALUE($A206),'recurring1_based on steps'!G$1:G$400,0)),G$2,)</f>
        <v>0</v>
      </c>
      <c r="H206" s="179">
        <f ca="1">IF(ISNUMBER(MATCH(DATEVALUE($A206),'recurring1_based on steps'!H$1:H$400,0)),H$2,)</f>
        <v>0</v>
      </c>
      <c r="I206" s="179">
        <f ca="1">IF(ISNUMBER(MATCH(DATEVALUE($A206),'recurring1_based on steps'!I$1:I$400,0)),I$2,)</f>
        <v>0</v>
      </c>
      <c r="J206" s="179">
        <f ca="1">IF(ISNUMBER(MATCH(DATEVALUE($A206),'recurring1_based on steps'!J$1:J$400,0)),J$2,)</f>
        <v>0</v>
      </c>
      <c r="K206" s="179">
        <f ca="1">IF(ISNUMBER(MATCH(DATEVALUE($A206),'recurring1_based on steps'!K$1:K$400,0)),K$2,)</f>
        <v>0</v>
      </c>
      <c r="L206" s="179">
        <f ca="1">IF(ISNUMBER(MATCH(DATEVALUE($A206),'recurring1_based on steps'!L$1:L$400,0)),L$2,)</f>
        <v>0</v>
      </c>
      <c r="M206" s="179">
        <f ca="1">IF(ISNUMBER(MATCH(DATEVALUE($A206),'recurring1_based on steps'!M$1:M$400,0)),M$2,)</f>
        <v>0</v>
      </c>
      <c r="N206" s="179">
        <f ca="1">IF(ISNUMBER(MATCH(DATEVALUE($A206),'recurring1_based on steps'!N$1:N$400,0)),N$2,)</f>
        <v>0</v>
      </c>
      <c r="O206" s="179">
        <f ca="1">IF(ISNUMBER(MATCH(DATEVALUE($A206),'recurring1_based on steps'!O$1:O$400,0)),O$2,)</f>
        <v>0</v>
      </c>
      <c r="P206" s="179">
        <f ca="1">IF(ISNUMBER(MATCH(DATEVALUE($A206),'recurring1_based on steps'!P$1:P$400,0)),P$2,)</f>
        <v>0</v>
      </c>
      <c r="Q206" s="179">
        <f ca="1">IF(ISNUMBER(MATCH(DATEVALUE($A206),'recurring1_based on steps'!Q$1:Q$400,0)),Q$2,)</f>
        <v>0</v>
      </c>
      <c r="R206" s="179">
        <f ca="1">IF(ISNUMBER(MATCH(DATEVALUE($A206),'recurring1_based on steps'!R$1:R$400,0)),R$2,)</f>
        <v>0</v>
      </c>
      <c r="S206" s="179">
        <f ca="1">IF(ISNUMBER(MATCH(DATEVALUE($A206),'recurring1_based on steps'!S$1:S$400,0)),S$2,)</f>
        <v>0</v>
      </c>
      <c r="T206" s="179">
        <f ca="1">IF(ISNUMBER(MATCH(DATEVALUE($A206),'recurring1_based on steps'!T$1:T$400,0)),T$2,)</f>
        <v>0</v>
      </c>
      <c r="U206" s="179">
        <f ca="1">IF(ISNUMBER(MATCH(DATEVALUE($A206),'recurring1_based on steps'!U$1:U$400,0)),U$2,)</f>
        <v>0</v>
      </c>
      <c r="V206" s="179">
        <f ca="1">IF(ISNUMBER(MATCH(DATEVALUE($A206),'recurring1_based on steps'!V$1:V$400,0)),V$2,)</f>
        <v>0</v>
      </c>
      <c r="W206" s="179">
        <f ca="1">IF(ISNUMBER(MATCH(DATEVALUE($A206),'recurring1_based on steps'!W$1:W$400,0)),W$2,)</f>
        <v>0</v>
      </c>
      <c r="X206" s="179">
        <f ca="1">IF(ISNUMBER(MATCH(DATEVALUE($A206),'recurring1_based on steps'!X$1:X$400,0)),X$2,)</f>
        <v>0</v>
      </c>
      <c r="Y206" s="179">
        <f ca="1">IF(ISNUMBER(MATCH(DATEVALUE($A206),'recurring1_based on steps'!Y$1:Y$400,0)),Y$2,)</f>
        <v>0</v>
      </c>
      <c r="Z206" s="179">
        <f ca="1">IF(ISNUMBER(MATCH(DATEVALUE($A206),'recurring1_based on steps'!Z$1:Z$400,0)),Z$2,)</f>
        <v>0</v>
      </c>
      <c r="AA206" s="179">
        <f ca="1">IF(ISNUMBER(MATCH(DATEVALUE($A206),'recurring1_based on steps'!AA$1:AA$400,0)),AA$2,)</f>
        <v>0</v>
      </c>
      <c r="AB206" s="179">
        <f ca="1">IF(ISNUMBER(MATCH(DATEVALUE($A206),'recurring1_based on steps'!AB$1:AB$400,0)),AB$2,)</f>
        <v>0</v>
      </c>
      <c r="AC206" s="179">
        <f ca="1">IF(ISNUMBER(MATCH(DATEVALUE($A206),'recurring1_based on steps'!AC$1:AC$400,0)),AC$2,)</f>
        <v>0</v>
      </c>
      <c r="AD206" s="179">
        <f ca="1">IF(ISNUMBER(MATCH(DATEVALUE($A206),'recurring1_based on steps'!AD$1:AD$400,0)),AD$2,)</f>
        <v>0</v>
      </c>
      <c r="AE206" s="179">
        <f ca="1">IF(ISNUMBER(MATCH(DATEVALUE($A206),'recurring1_based on steps'!AE$1:AE$400,0)),AE$2,)</f>
        <v>0</v>
      </c>
      <c r="AF206" s="179">
        <f ca="1">IF(ISNUMBER(MATCH(DATEVALUE($A206),'recurring1_based on steps'!AF$1:AF$400,0)),AF$2,)</f>
        <v>0</v>
      </c>
      <c r="AG206" s="179">
        <f ca="1">IF(ISNUMBER(MATCH(DATEVALUE($A206),'recurring1_based on steps'!AG$1:AG$400,0)),AG$2,)</f>
        <v>0</v>
      </c>
      <c r="AH206" s="179">
        <f ca="1">IF(ISNUMBER(MATCH(DATEVALUE($A206),'recurring1_based on steps'!AH$1:AH$400,0)),AH$2,)</f>
        <v>0</v>
      </c>
      <c r="AI206" s="179">
        <f ca="1">IF(ISNUMBER(MATCH(DATEVALUE($A206),'recurring1_based on steps'!AI$1:AI$400,0)),AI$2,)</f>
        <v>0</v>
      </c>
      <c r="AJ206" s="179">
        <f ca="1">IF(ISNUMBER(MATCH(DATEVALUE($A206),'recurring1_based on steps'!AJ$1:AJ$400,0)),AJ$2,)</f>
        <v>0</v>
      </c>
      <c r="AK206" s="179">
        <f ca="1">IF(ISNUMBER(MATCH(DATEVALUE($A206),'recurring1_based on steps'!AK$1:AK$400,0)),AK$2,)</f>
        <v>0</v>
      </c>
      <c r="AL206" s="179">
        <f ca="1">IF(ISNUMBER(MATCH(DATEVALUE($A206),'recurring1_based on steps'!AL$1:AL$400,0)),AL$2,)</f>
        <v>0</v>
      </c>
      <c r="AM206" s="179">
        <f ca="1">IF(ISNUMBER(MATCH(DATEVALUE($A206),'recurring1_based on steps'!AM$1:AM$400,0)),AM$2,)</f>
        <v>0</v>
      </c>
      <c r="AN206" s="179">
        <f ca="1">IF(ISNUMBER(MATCH(DATEVALUE($A206),'recurring1_based on steps'!AN$1:AN$400,0)),AN$2,)</f>
        <v>0</v>
      </c>
      <c r="AO206" s="179">
        <f ca="1">IF(ISNUMBER(MATCH(DATEVALUE($A206),'recurring1_based on steps'!AO$1:AO$400,0)),AO$2,)</f>
        <v>0</v>
      </c>
      <c r="AP206" s="179">
        <f ca="1">IF(ISNUMBER(MATCH(DATEVALUE($A206),'recurring1_based on steps'!AP$1:AP$400,0)),AP$2,)</f>
        <v>0</v>
      </c>
      <c r="AQ206" s="179">
        <f ca="1">IF(ISNUMBER(MATCH(DATEVALUE($A206),'recurring1_based on steps'!AQ$1:AQ$400,0)),AQ$2,)</f>
        <v>0</v>
      </c>
      <c r="AR206" s="179">
        <f ca="1">IF(ISNUMBER(MATCH(DATEVALUE($A206),'recurring1_based on steps'!AR$1:AR$400,0)),AR$2,)</f>
        <v>0</v>
      </c>
      <c r="AS206" s="179">
        <f ca="1">IF(ISNUMBER(MATCH(DATEVALUE($A206),'recurring1_based on steps'!AS$1:AS$400,0)),AS$2,)</f>
        <v>0</v>
      </c>
      <c r="AT206" s="179">
        <f ca="1">IF(ISNUMBER(MATCH(DATEVALUE($A206),'recurring1_based on steps'!AT$1:AT$400,0)),AT$2,)</f>
        <v>0</v>
      </c>
      <c r="AU206" s="179">
        <f ca="1">IF(ISNUMBER(MATCH(DATEVALUE($A206),'recurring1_based on steps'!AU$1:AU$400,0)),AU$2,)</f>
        <v>0</v>
      </c>
      <c r="AV206" s="179">
        <f ca="1">IF(ISNUMBER(MATCH(DATEVALUE($A206),'recurring1_based on steps'!AV$1:AV$400,0)),AV$2,)</f>
        <v>0</v>
      </c>
      <c r="AW206" s="179">
        <f ca="1">IF(ISNUMBER(MATCH(DATEVALUE($A206),'recurring1_based on steps'!AW$1:AW$400,0)),AW$2,)</f>
        <v>0</v>
      </c>
      <c r="AX206" s="179">
        <f ca="1">IF(ISNUMBER(MATCH(DATEVALUE($A206),'recurring1_based on steps'!AX$1:AX$400,0)),AX$2,)</f>
        <v>0</v>
      </c>
      <c r="AY206" s="179">
        <f ca="1">IF(ISNUMBER(MATCH(DATEVALUE($A206),'recurring1_based on steps'!AY$1:AY$400,0)),AY$2,)</f>
        <v>0</v>
      </c>
    </row>
    <row r="207" spans="1:51" x14ac:dyDescent="0.2">
      <c r="A207" s="32" t="str">
        <f t="shared" ca="1" si="3"/>
        <v>2025-10-19</v>
      </c>
      <c r="B207" s="179">
        <f ca="1">IF(ISNUMBER(MATCH(DATEVALUE($A207),'recurring1_based on steps'!B$1:B$400,0)),B$2,)</f>
        <v>0</v>
      </c>
      <c r="C207" s="179">
        <f ca="1">IF(ISNUMBER(MATCH(DATEVALUE($A207),'recurring1_based on steps'!C$1:C$400,0)),C$2,)</f>
        <v>0</v>
      </c>
      <c r="D207" s="179">
        <f ca="1">IF(ISNUMBER(MATCH(DATEVALUE($A207),'recurring1_based on steps'!D$1:D$400,0)),D$2,)</f>
        <v>0</v>
      </c>
      <c r="E207" s="179">
        <f ca="1">IF(ISNUMBER(MATCH(DATEVALUE($A207),'recurring1_based on steps'!E$1:E$400,0)),E$2,)</f>
        <v>0</v>
      </c>
      <c r="F207" s="179">
        <f ca="1">IF(ISNUMBER(MATCH(DATEVALUE($A207),'recurring1_based on steps'!F$1:F$400,0)),F$2,)</f>
        <v>0</v>
      </c>
      <c r="G207" s="179">
        <f ca="1">IF(ISNUMBER(MATCH(DATEVALUE($A207),'recurring1_based on steps'!G$1:G$400,0)),G$2,)</f>
        <v>0</v>
      </c>
      <c r="H207" s="179">
        <f ca="1">IF(ISNUMBER(MATCH(DATEVALUE($A207),'recurring1_based on steps'!H$1:H$400,0)),H$2,)</f>
        <v>0</v>
      </c>
      <c r="I207" s="179">
        <f ca="1">IF(ISNUMBER(MATCH(DATEVALUE($A207),'recurring1_based on steps'!I$1:I$400,0)),I$2,)</f>
        <v>0</v>
      </c>
      <c r="J207" s="179">
        <f ca="1">IF(ISNUMBER(MATCH(DATEVALUE($A207),'recurring1_based on steps'!J$1:J$400,0)),J$2,)</f>
        <v>0</v>
      </c>
      <c r="K207" s="179">
        <f ca="1">IF(ISNUMBER(MATCH(DATEVALUE($A207),'recurring1_based on steps'!K$1:K$400,0)),K$2,)</f>
        <v>0</v>
      </c>
      <c r="L207" s="179">
        <f ca="1">IF(ISNUMBER(MATCH(DATEVALUE($A207),'recurring1_based on steps'!L$1:L$400,0)),L$2,)</f>
        <v>0</v>
      </c>
      <c r="M207" s="179">
        <f ca="1">IF(ISNUMBER(MATCH(DATEVALUE($A207),'recurring1_based on steps'!M$1:M$400,0)),M$2,)</f>
        <v>0</v>
      </c>
      <c r="N207" s="179">
        <f ca="1">IF(ISNUMBER(MATCH(DATEVALUE($A207),'recurring1_based on steps'!N$1:N$400,0)),N$2,)</f>
        <v>0</v>
      </c>
      <c r="O207" s="179">
        <f ca="1">IF(ISNUMBER(MATCH(DATEVALUE($A207),'recurring1_based on steps'!O$1:O$400,0)),O$2,)</f>
        <v>0</v>
      </c>
      <c r="P207" s="179">
        <f ca="1">IF(ISNUMBER(MATCH(DATEVALUE($A207),'recurring1_based on steps'!P$1:P$400,0)),P$2,)</f>
        <v>0</v>
      </c>
      <c r="Q207" s="179">
        <f ca="1">IF(ISNUMBER(MATCH(DATEVALUE($A207),'recurring1_based on steps'!Q$1:Q$400,0)),Q$2,)</f>
        <v>0</v>
      </c>
      <c r="R207" s="179">
        <f ca="1">IF(ISNUMBER(MATCH(DATEVALUE($A207),'recurring1_based on steps'!R$1:R$400,0)),R$2,)</f>
        <v>0</v>
      </c>
      <c r="S207" s="179">
        <f ca="1">IF(ISNUMBER(MATCH(DATEVALUE($A207),'recurring1_based on steps'!S$1:S$400,0)),S$2,)</f>
        <v>0</v>
      </c>
      <c r="T207" s="179">
        <f ca="1">IF(ISNUMBER(MATCH(DATEVALUE($A207),'recurring1_based on steps'!T$1:T$400,0)),T$2,)</f>
        <v>0</v>
      </c>
      <c r="U207" s="179">
        <f ca="1">IF(ISNUMBER(MATCH(DATEVALUE($A207),'recurring1_based on steps'!U$1:U$400,0)),U$2,)</f>
        <v>0</v>
      </c>
      <c r="V207" s="179">
        <f ca="1">IF(ISNUMBER(MATCH(DATEVALUE($A207),'recurring1_based on steps'!V$1:V$400,0)),V$2,)</f>
        <v>0</v>
      </c>
      <c r="W207" s="179">
        <f ca="1">IF(ISNUMBER(MATCH(DATEVALUE($A207),'recurring1_based on steps'!W$1:W$400,0)),W$2,)</f>
        <v>0</v>
      </c>
      <c r="X207" s="179">
        <f ca="1">IF(ISNUMBER(MATCH(DATEVALUE($A207),'recurring1_based on steps'!X$1:X$400,0)),X$2,)</f>
        <v>0</v>
      </c>
      <c r="Y207" s="179">
        <f ca="1">IF(ISNUMBER(MATCH(DATEVALUE($A207),'recurring1_based on steps'!Y$1:Y$400,0)),Y$2,)</f>
        <v>0</v>
      </c>
      <c r="Z207" s="179">
        <f ca="1">IF(ISNUMBER(MATCH(DATEVALUE($A207),'recurring1_based on steps'!Z$1:Z$400,0)),Z$2,)</f>
        <v>0</v>
      </c>
      <c r="AA207" s="179">
        <f ca="1">IF(ISNUMBER(MATCH(DATEVALUE($A207),'recurring1_based on steps'!AA$1:AA$400,0)),AA$2,)</f>
        <v>0</v>
      </c>
      <c r="AB207" s="179">
        <f ca="1">IF(ISNUMBER(MATCH(DATEVALUE($A207),'recurring1_based on steps'!AB$1:AB$400,0)),AB$2,)</f>
        <v>0</v>
      </c>
      <c r="AC207" s="179">
        <f ca="1">IF(ISNUMBER(MATCH(DATEVALUE($A207),'recurring1_based on steps'!AC$1:AC$400,0)),AC$2,)</f>
        <v>0</v>
      </c>
      <c r="AD207" s="179">
        <f ca="1">IF(ISNUMBER(MATCH(DATEVALUE($A207),'recurring1_based on steps'!AD$1:AD$400,0)),AD$2,)</f>
        <v>0</v>
      </c>
      <c r="AE207" s="179">
        <f ca="1">IF(ISNUMBER(MATCH(DATEVALUE($A207),'recurring1_based on steps'!AE$1:AE$400,0)),AE$2,)</f>
        <v>0</v>
      </c>
      <c r="AF207" s="179">
        <f ca="1">IF(ISNUMBER(MATCH(DATEVALUE($A207),'recurring1_based on steps'!AF$1:AF$400,0)),AF$2,)</f>
        <v>0</v>
      </c>
      <c r="AG207" s="179">
        <f ca="1">IF(ISNUMBER(MATCH(DATEVALUE($A207),'recurring1_based on steps'!AG$1:AG$400,0)),AG$2,)</f>
        <v>0</v>
      </c>
      <c r="AH207" s="179">
        <f ca="1">IF(ISNUMBER(MATCH(DATEVALUE($A207),'recurring1_based on steps'!AH$1:AH$400,0)),AH$2,)</f>
        <v>0</v>
      </c>
      <c r="AI207" s="179">
        <f ca="1">IF(ISNUMBER(MATCH(DATEVALUE($A207),'recurring1_based on steps'!AI$1:AI$400,0)),AI$2,)</f>
        <v>0</v>
      </c>
      <c r="AJ207" s="179">
        <f ca="1">IF(ISNUMBER(MATCH(DATEVALUE($A207),'recurring1_based on steps'!AJ$1:AJ$400,0)),AJ$2,)</f>
        <v>0</v>
      </c>
      <c r="AK207" s="179">
        <f ca="1">IF(ISNUMBER(MATCH(DATEVALUE($A207),'recurring1_based on steps'!AK$1:AK$400,0)),AK$2,)</f>
        <v>0</v>
      </c>
      <c r="AL207" s="179">
        <f ca="1">IF(ISNUMBER(MATCH(DATEVALUE($A207),'recurring1_based on steps'!AL$1:AL$400,0)),AL$2,)</f>
        <v>0</v>
      </c>
      <c r="AM207" s="179">
        <f ca="1">IF(ISNUMBER(MATCH(DATEVALUE($A207),'recurring1_based on steps'!AM$1:AM$400,0)),AM$2,)</f>
        <v>0</v>
      </c>
      <c r="AN207" s="179">
        <f ca="1">IF(ISNUMBER(MATCH(DATEVALUE($A207),'recurring1_based on steps'!AN$1:AN$400,0)),AN$2,)</f>
        <v>0</v>
      </c>
      <c r="AO207" s="179">
        <f ca="1">IF(ISNUMBER(MATCH(DATEVALUE($A207),'recurring1_based on steps'!AO$1:AO$400,0)),AO$2,)</f>
        <v>0</v>
      </c>
      <c r="AP207" s="179">
        <f ca="1">IF(ISNUMBER(MATCH(DATEVALUE($A207),'recurring1_based on steps'!AP$1:AP$400,0)),AP$2,)</f>
        <v>0</v>
      </c>
      <c r="AQ207" s="179">
        <f ca="1">IF(ISNUMBER(MATCH(DATEVALUE($A207),'recurring1_based on steps'!AQ$1:AQ$400,0)),AQ$2,)</f>
        <v>0</v>
      </c>
      <c r="AR207" s="179">
        <f ca="1">IF(ISNUMBER(MATCH(DATEVALUE($A207),'recurring1_based on steps'!AR$1:AR$400,0)),AR$2,)</f>
        <v>0</v>
      </c>
      <c r="AS207" s="179">
        <f ca="1">IF(ISNUMBER(MATCH(DATEVALUE($A207),'recurring1_based on steps'!AS$1:AS$400,0)),AS$2,)</f>
        <v>0</v>
      </c>
      <c r="AT207" s="179">
        <f ca="1">IF(ISNUMBER(MATCH(DATEVALUE($A207),'recurring1_based on steps'!AT$1:AT$400,0)),AT$2,)</f>
        <v>0</v>
      </c>
      <c r="AU207" s="179">
        <f ca="1">IF(ISNUMBER(MATCH(DATEVALUE($A207),'recurring1_based on steps'!AU$1:AU$400,0)),AU$2,)</f>
        <v>0</v>
      </c>
      <c r="AV207" s="179">
        <f ca="1">IF(ISNUMBER(MATCH(DATEVALUE($A207),'recurring1_based on steps'!AV$1:AV$400,0)),AV$2,)</f>
        <v>0</v>
      </c>
      <c r="AW207" s="179">
        <f ca="1">IF(ISNUMBER(MATCH(DATEVALUE($A207),'recurring1_based on steps'!AW$1:AW$400,0)),AW$2,)</f>
        <v>0</v>
      </c>
      <c r="AX207" s="179">
        <f ca="1">IF(ISNUMBER(MATCH(DATEVALUE($A207),'recurring1_based on steps'!AX$1:AX$400,0)),AX$2,)</f>
        <v>0</v>
      </c>
      <c r="AY207" s="179">
        <f ca="1">IF(ISNUMBER(MATCH(DATEVALUE($A207),'recurring1_based on steps'!AY$1:AY$400,0)),AY$2,)</f>
        <v>0</v>
      </c>
    </row>
    <row r="208" spans="1:51" x14ac:dyDescent="0.2">
      <c r="A208" s="32" t="str">
        <f t="shared" ca="1" si="3"/>
        <v>2025-10-20</v>
      </c>
      <c r="B208" s="179">
        <f ca="1">IF(ISNUMBER(MATCH(DATEVALUE($A208),'recurring1_based on steps'!B$1:B$400,0)),B$2,)</f>
        <v>0</v>
      </c>
      <c r="C208" s="179">
        <f ca="1">IF(ISNUMBER(MATCH(DATEVALUE($A208),'recurring1_based on steps'!C$1:C$400,0)),C$2,)</f>
        <v>0</v>
      </c>
      <c r="D208" s="179">
        <f ca="1">IF(ISNUMBER(MATCH(DATEVALUE($A208),'recurring1_based on steps'!D$1:D$400,0)),D$2,)</f>
        <v>0</v>
      </c>
      <c r="E208" s="179">
        <f ca="1">IF(ISNUMBER(MATCH(DATEVALUE($A208),'recurring1_based on steps'!E$1:E$400,0)),E$2,)</f>
        <v>0</v>
      </c>
      <c r="F208" s="179">
        <f ca="1">IF(ISNUMBER(MATCH(DATEVALUE($A208),'recurring1_based on steps'!F$1:F$400,0)),F$2,)</f>
        <v>0</v>
      </c>
      <c r="G208" s="179">
        <f ca="1">IF(ISNUMBER(MATCH(DATEVALUE($A208),'recurring1_based on steps'!G$1:G$400,0)),G$2,)</f>
        <v>0</v>
      </c>
      <c r="H208" s="179">
        <f ca="1">IF(ISNUMBER(MATCH(DATEVALUE($A208),'recurring1_based on steps'!H$1:H$400,0)),H$2,)</f>
        <v>0</v>
      </c>
      <c r="I208" s="179">
        <f ca="1">IF(ISNUMBER(MATCH(DATEVALUE($A208),'recurring1_based on steps'!I$1:I$400,0)),I$2,)</f>
        <v>0</v>
      </c>
      <c r="J208" s="179">
        <f ca="1">IF(ISNUMBER(MATCH(DATEVALUE($A208),'recurring1_based on steps'!J$1:J$400,0)),J$2,)</f>
        <v>0</v>
      </c>
      <c r="K208" s="179">
        <f ca="1">IF(ISNUMBER(MATCH(DATEVALUE($A208),'recurring1_based on steps'!K$1:K$400,0)),K$2,)</f>
        <v>0</v>
      </c>
      <c r="L208" s="179">
        <f ca="1">IF(ISNUMBER(MATCH(DATEVALUE($A208),'recurring1_based on steps'!L$1:L$400,0)),L$2,)</f>
        <v>0</v>
      </c>
      <c r="M208" s="179">
        <f ca="1">IF(ISNUMBER(MATCH(DATEVALUE($A208),'recurring1_based on steps'!M$1:M$400,0)),M$2,)</f>
        <v>0</v>
      </c>
      <c r="N208" s="179">
        <f ca="1">IF(ISNUMBER(MATCH(DATEVALUE($A208),'recurring1_based on steps'!N$1:N$400,0)),N$2,)</f>
        <v>0</v>
      </c>
      <c r="O208" s="179">
        <f ca="1">IF(ISNUMBER(MATCH(DATEVALUE($A208),'recurring1_based on steps'!O$1:O$400,0)),O$2,)</f>
        <v>0</v>
      </c>
      <c r="P208" s="179">
        <f ca="1">IF(ISNUMBER(MATCH(DATEVALUE($A208),'recurring1_based on steps'!P$1:P$400,0)),P$2,)</f>
        <v>0</v>
      </c>
      <c r="Q208" s="179">
        <f ca="1">IF(ISNUMBER(MATCH(DATEVALUE($A208),'recurring1_based on steps'!Q$1:Q$400,0)),Q$2,)</f>
        <v>0</v>
      </c>
      <c r="R208" s="179">
        <f ca="1">IF(ISNUMBER(MATCH(DATEVALUE($A208),'recurring1_based on steps'!R$1:R$400,0)),R$2,)</f>
        <v>0</v>
      </c>
      <c r="S208" s="179">
        <f ca="1">IF(ISNUMBER(MATCH(DATEVALUE($A208),'recurring1_based on steps'!S$1:S$400,0)),S$2,)</f>
        <v>0</v>
      </c>
      <c r="T208" s="179">
        <f ca="1">IF(ISNUMBER(MATCH(DATEVALUE($A208),'recurring1_based on steps'!T$1:T$400,0)),T$2,)</f>
        <v>0</v>
      </c>
      <c r="U208" s="179">
        <f ca="1">IF(ISNUMBER(MATCH(DATEVALUE($A208),'recurring1_based on steps'!U$1:U$400,0)),U$2,)</f>
        <v>0</v>
      </c>
      <c r="V208" s="179">
        <f ca="1">IF(ISNUMBER(MATCH(DATEVALUE($A208),'recurring1_based on steps'!V$1:V$400,0)),V$2,)</f>
        <v>0</v>
      </c>
      <c r="W208" s="179">
        <f ca="1">IF(ISNUMBER(MATCH(DATEVALUE($A208),'recurring1_based on steps'!W$1:W$400,0)),W$2,)</f>
        <v>0</v>
      </c>
      <c r="X208" s="179">
        <f ca="1">IF(ISNUMBER(MATCH(DATEVALUE($A208),'recurring1_based on steps'!X$1:X$400,0)),X$2,)</f>
        <v>0</v>
      </c>
      <c r="Y208" s="179">
        <f ca="1">IF(ISNUMBER(MATCH(DATEVALUE($A208),'recurring1_based on steps'!Y$1:Y$400,0)),Y$2,)</f>
        <v>0</v>
      </c>
      <c r="Z208" s="179">
        <f ca="1">IF(ISNUMBER(MATCH(DATEVALUE($A208),'recurring1_based on steps'!Z$1:Z$400,0)),Z$2,)</f>
        <v>0</v>
      </c>
      <c r="AA208" s="179">
        <f ca="1">IF(ISNUMBER(MATCH(DATEVALUE($A208),'recurring1_based on steps'!AA$1:AA$400,0)),AA$2,)</f>
        <v>0</v>
      </c>
      <c r="AB208" s="179">
        <f ca="1">IF(ISNUMBER(MATCH(DATEVALUE($A208),'recurring1_based on steps'!AB$1:AB$400,0)),AB$2,)</f>
        <v>0</v>
      </c>
      <c r="AC208" s="179">
        <f ca="1">IF(ISNUMBER(MATCH(DATEVALUE($A208),'recurring1_based on steps'!AC$1:AC$400,0)),AC$2,)</f>
        <v>0</v>
      </c>
      <c r="AD208" s="179">
        <f ca="1">IF(ISNUMBER(MATCH(DATEVALUE($A208),'recurring1_based on steps'!AD$1:AD$400,0)),AD$2,)</f>
        <v>0</v>
      </c>
      <c r="AE208" s="179">
        <f ca="1">IF(ISNUMBER(MATCH(DATEVALUE($A208),'recurring1_based on steps'!AE$1:AE$400,0)),AE$2,)</f>
        <v>0</v>
      </c>
      <c r="AF208" s="179">
        <f ca="1">IF(ISNUMBER(MATCH(DATEVALUE($A208),'recurring1_based on steps'!AF$1:AF$400,0)),AF$2,)</f>
        <v>0</v>
      </c>
      <c r="AG208" s="179">
        <f ca="1">IF(ISNUMBER(MATCH(DATEVALUE($A208),'recurring1_based on steps'!AG$1:AG$400,0)),AG$2,)</f>
        <v>0</v>
      </c>
      <c r="AH208" s="179">
        <f ca="1">IF(ISNUMBER(MATCH(DATEVALUE($A208),'recurring1_based on steps'!AH$1:AH$400,0)),AH$2,)</f>
        <v>0</v>
      </c>
      <c r="AI208" s="179">
        <f ca="1">IF(ISNUMBER(MATCH(DATEVALUE($A208),'recurring1_based on steps'!AI$1:AI$400,0)),AI$2,)</f>
        <v>0</v>
      </c>
      <c r="AJ208" s="179">
        <f ca="1">IF(ISNUMBER(MATCH(DATEVALUE($A208),'recurring1_based on steps'!AJ$1:AJ$400,0)),AJ$2,)</f>
        <v>0</v>
      </c>
      <c r="AK208" s="179">
        <f ca="1">IF(ISNUMBER(MATCH(DATEVALUE($A208),'recurring1_based on steps'!AK$1:AK$400,0)),AK$2,)</f>
        <v>0</v>
      </c>
      <c r="AL208" s="179">
        <f ca="1">IF(ISNUMBER(MATCH(DATEVALUE($A208),'recurring1_based on steps'!AL$1:AL$400,0)),AL$2,)</f>
        <v>0</v>
      </c>
      <c r="AM208" s="179">
        <f ca="1">IF(ISNUMBER(MATCH(DATEVALUE($A208),'recurring1_based on steps'!AM$1:AM$400,0)),AM$2,)</f>
        <v>0</v>
      </c>
      <c r="AN208" s="179">
        <f ca="1">IF(ISNUMBER(MATCH(DATEVALUE($A208),'recurring1_based on steps'!AN$1:AN$400,0)),AN$2,)</f>
        <v>0</v>
      </c>
      <c r="AO208" s="179">
        <f ca="1">IF(ISNUMBER(MATCH(DATEVALUE($A208),'recurring1_based on steps'!AO$1:AO$400,0)),AO$2,)</f>
        <v>0</v>
      </c>
      <c r="AP208" s="179">
        <f ca="1">IF(ISNUMBER(MATCH(DATEVALUE($A208),'recurring1_based on steps'!AP$1:AP$400,0)),AP$2,)</f>
        <v>0</v>
      </c>
      <c r="AQ208" s="179">
        <f ca="1">IF(ISNUMBER(MATCH(DATEVALUE($A208),'recurring1_based on steps'!AQ$1:AQ$400,0)),AQ$2,)</f>
        <v>0</v>
      </c>
      <c r="AR208" s="179">
        <f ca="1">IF(ISNUMBER(MATCH(DATEVALUE($A208),'recurring1_based on steps'!AR$1:AR$400,0)),AR$2,)</f>
        <v>0</v>
      </c>
      <c r="AS208" s="179">
        <f ca="1">IF(ISNUMBER(MATCH(DATEVALUE($A208),'recurring1_based on steps'!AS$1:AS$400,0)),AS$2,)</f>
        <v>0</v>
      </c>
      <c r="AT208" s="179">
        <f ca="1">IF(ISNUMBER(MATCH(DATEVALUE($A208),'recurring1_based on steps'!AT$1:AT$400,0)),AT$2,)</f>
        <v>0</v>
      </c>
      <c r="AU208" s="179">
        <f ca="1">IF(ISNUMBER(MATCH(DATEVALUE($A208),'recurring1_based on steps'!AU$1:AU$400,0)),AU$2,)</f>
        <v>0</v>
      </c>
      <c r="AV208" s="179">
        <f ca="1">IF(ISNUMBER(MATCH(DATEVALUE($A208),'recurring1_based on steps'!AV$1:AV$400,0)),AV$2,)</f>
        <v>0</v>
      </c>
      <c r="AW208" s="179">
        <f ca="1">IF(ISNUMBER(MATCH(DATEVALUE($A208),'recurring1_based on steps'!AW$1:AW$400,0)),AW$2,)</f>
        <v>0</v>
      </c>
      <c r="AX208" s="179">
        <f ca="1">IF(ISNUMBER(MATCH(DATEVALUE($A208),'recurring1_based on steps'!AX$1:AX$400,0)),AX$2,)</f>
        <v>0</v>
      </c>
      <c r="AY208" s="179">
        <f ca="1">IF(ISNUMBER(MATCH(DATEVALUE($A208),'recurring1_based on steps'!AY$1:AY$400,0)),AY$2,)</f>
        <v>0</v>
      </c>
    </row>
    <row r="209" spans="1:51" x14ac:dyDescent="0.2">
      <c r="A209" s="32" t="str">
        <f t="shared" ca="1" si="3"/>
        <v>2025-10-21</v>
      </c>
      <c r="B209" s="179">
        <f ca="1">IF(ISNUMBER(MATCH(DATEVALUE($A209),'recurring1_based on steps'!B$1:B$400,0)),B$2,)</f>
        <v>0</v>
      </c>
      <c r="C209" s="179">
        <f ca="1">IF(ISNUMBER(MATCH(DATEVALUE($A209),'recurring1_based on steps'!C$1:C$400,0)),C$2,)</f>
        <v>0</v>
      </c>
      <c r="D209" s="179">
        <f ca="1">IF(ISNUMBER(MATCH(DATEVALUE($A209),'recurring1_based on steps'!D$1:D$400,0)),D$2,)</f>
        <v>0</v>
      </c>
      <c r="E209" s="179">
        <f ca="1">IF(ISNUMBER(MATCH(DATEVALUE($A209),'recurring1_based on steps'!E$1:E$400,0)),E$2,)</f>
        <v>0</v>
      </c>
      <c r="F209" s="179">
        <f ca="1">IF(ISNUMBER(MATCH(DATEVALUE($A209),'recurring1_based on steps'!F$1:F$400,0)),F$2,)</f>
        <v>0</v>
      </c>
      <c r="G209" s="179">
        <f ca="1">IF(ISNUMBER(MATCH(DATEVALUE($A209),'recurring1_based on steps'!G$1:G$400,0)),G$2,)</f>
        <v>0</v>
      </c>
      <c r="H209" s="179">
        <f ca="1">IF(ISNUMBER(MATCH(DATEVALUE($A209),'recurring1_based on steps'!H$1:H$400,0)),H$2,)</f>
        <v>0</v>
      </c>
      <c r="I209" s="179">
        <f ca="1">IF(ISNUMBER(MATCH(DATEVALUE($A209),'recurring1_based on steps'!I$1:I$400,0)),I$2,)</f>
        <v>0</v>
      </c>
      <c r="J209" s="179">
        <f ca="1">IF(ISNUMBER(MATCH(DATEVALUE($A209),'recurring1_based on steps'!J$1:J$400,0)),J$2,)</f>
        <v>0</v>
      </c>
      <c r="K209" s="179">
        <f ca="1">IF(ISNUMBER(MATCH(DATEVALUE($A209),'recurring1_based on steps'!K$1:K$400,0)),K$2,)</f>
        <v>0</v>
      </c>
      <c r="L209" s="179">
        <f ca="1">IF(ISNUMBER(MATCH(DATEVALUE($A209),'recurring1_based on steps'!L$1:L$400,0)),L$2,)</f>
        <v>0</v>
      </c>
      <c r="M209" s="179">
        <f ca="1">IF(ISNUMBER(MATCH(DATEVALUE($A209),'recurring1_based on steps'!M$1:M$400,0)),M$2,)</f>
        <v>0</v>
      </c>
      <c r="N209" s="179">
        <f ca="1">IF(ISNUMBER(MATCH(DATEVALUE($A209),'recurring1_based on steps'!N$1:N$400,0)),N$2,)</f>
        <v>0</v>
      </c>
      <c r="O209" s="179">
        <f ca="1">IF(ISNUMBER(MATCH(DATEVALUE($A209),'recurring1_based on steps'!O$1:O$400,0)),O$2,)</f>
        <v>0</v>
      </c>
      <c r="P209" s="179">
        <f ca="1">IF(ISNUMBER(MATCH(DATEVALUE($A209),'recurring1_based on steps'!P$1:P$400,0)),P$2,)</f>
        <v>0</v>
      </c>
      <c r="Q209" s="179">
        <f ca="1">IF(ISNUMBER(MATCH(DATEVALUE($A209),'recurring1_based on steps'!Q$1:Q$400,0)),Q$2,)</f>
        <v>0</v>
      </c>
      <c r="R209" s="179">
        <f ca="1">IF(ISNUMBER(MATCH(DATEVALUE($A209),'recurring1_based on steps'!R$1:R$400,0)),R$2,)</f>
        <v>0</v>
      </c>
      <c r="S209" s="179">
        <f ca="1">IF(ISNUMBER(MATCH(DATEVALUE($A209),'recurring1_based on steps'!S$1:S$400,0)),S$2,)</f>
        <v>0</v>
      </c>
      <c r="T209" s="179">
        <f ca="1">IF(ISNUMBER(MATCH(DATEVALUE($A209),'recurring1_based on steps'!T$1:T$400,0)),T$2,)</f>
        <v>0</v>
      </c>
      <c r="U209" s="179">
        <f ca="1">IF(ISNUMBER(MATCH(DATEVALUE($A209),'recurring1_based on steps'!U$1:U$400,0)),U$2,)</f>
        <v>0</v>
      </c>
      <c r="V209" s="179">
        <f ca="1">IF(ISNUMBER(MATCH(DATEVALUE($A209),'recurring1_based on steps'!V$1:V$400,0)),V$2,)</f>
        <v>0</v>
      </c>
      <c r="W209" s="179">
        <f ca="1">IF(ISNUMBER(MATCH(DATEVALUE($A209),'recurring1_based on steps'!W$1:W$400,0)),W$2,)</f>
        <v>0</v>
      </c>
      <c r="X209" s="179">
        <f ca="1">IF(ISNUMBER(MATCH(DATEVALUE($A209),'recurring1_based on steps'!X$1:X$400,0)),X$2,)</f>
        <v>0</v>
      </c>
      <c r="Y209" s="179">
        <f ca="1">IF(ISNUMBER(MATCH(DATEVALUE($A209),'recurring1_based on steps'!Y$1:Y$400,0)),Y$2,)</f>
        <v>0</v>
      </c>
      <c r="Z209" s="179">
        <f ca="1">IF(ISNUMBER(MATCH(DATEVALUE($A209),'recurring1_based on steps'!Z$1:Z$400,0)),Z$2,)</f>
        <v>0</v>
      </c>
      <c r="AA209" s="179">
        <f ca="1">IF(ISNUMBER(MATCH(DATEVALUE($A209),'recurring1_based on steps'!AA$1:AA$400,0)),AA$2,)</f>
        <v>0</v>
      </c>
      <c r="AB209" s="179">
        <f ca="1">IF(ISNUMBER(MATCH(DATEVALUE($A209),'recurring1_based on steps'!AB$1:AB$400,0)),AB$2,)</f>
        <v>0</v>
      </c>
      <c r="AC209" s="179">
        <f ca="1">IF(ISNUMBER(MATCH(DATEVALUE($A209),'recurring1_based on steps'!AC$1:AC$400,0)),AC$2,)</f>
        <v>0</v>
      </c>
      <c r="AD209" s="179">
        <f ca="1">IF(ISNUMBER(MATCH(DATEVALUE($A209),'recurring1_based on steps'!AD$1:AD$400,0)),AD$2,)</f>
        <v>0</v>
      </c>
      <c r="AE209" s="179">
        <f ca="1">IF(ISNUMBER(MATCH(DATEVALUE($A209),'recurring1_based on steps'!AE$1:AE$400,0)),AE$2,)</f>
        <v>0</v>
      </c>
      <c r="AF209" s="179">
        <f ca="1">IF(ISNUMBER(MATCH(DATEVALUE($A209),'recurring1_based on steps'!AF$1:AF$400,0)),AF$2,)</f>
        <v>0</v>
      </c>
      <c r="AG209" s="179">
        <f ca="1">IF(ISNUMBER(MATCH(DATEVALUE($A209),'recurring1_based on steps'!AG$1:AG$400,0)),AG$2,)</f>
        <v>0</v>
      </c>
      <c r="AH209" s="179">
        <f ca="1">IF(ISNUMBER(MATCH(DATEVALUE($A209),'recurring1_based on steps'!AH$1:AH$400,0)),AH$2,)</f>
        <v>0</v>
      </c>
      <c r="AI209" s="179">
        <f ca="1">IF(ISNUMBER(MATCH(DATEVALUE($A209),'recurring1_based on steps'!AI$1:AI$400,0)),AI$2,)</f>
        <v>0</v>
      </c>
      <c r="AJ209" s="179">
        <f ca="1">IF(ISNUMBER(MATCH(DATEVALUE($A209),'recurring1_based on steps'!AJ$1:AJ$400,0)),AJ$2,)</f>
        <v>0</v>
      </c>
      <c r="AK209" s="179">
        <f ca="1">IF(ISNUMBER(MATCH(DATEVALUE($A209),'recurring1_based on steps'!AK$1:AK$400,0)),AK$2,)</f>
        <v>0</v>
      </c>
      <c r="AL209" s="179">
        <f ca="1">IF(ISNUMBER(MATCH(DATEVALUE($A209),'recurring1_based on steps'!AL$1:AL$400,0)),AL$2,)</f>
        <v>0</v>
      </c>
      <c r="AM209" s="179">
        <f ca="1">IF(ISNUMBER(MATCH(DATEVALUE($A209),'recurring1_based on steps'!AM$1:AM$400,0)),AM$2,)</f>
        <v>0</v>
      </c>
      <c r="AN209" s="179">
        <f ca="1">IF(ISNUMBER(MATCH(DATEVALUE($A209),'recurring1_based on steps'!AN$1:AN$400,0)),AN$2,)</f>
        <v>0</v>
      </c>
      <c r="AO209" s="179">
        <f ca="1">IF(ISNUMBER(MATCH(DATEVALUE($A209),'recurring1_based on steps'!AO$1:AO$400,0)),AO$2,)</f>
        <v>0</v>
      </c>
      <c r="AP209" s="179">
        <f ca="1">IF(ISNUMBER(MATCH(DATEVALUE($A209),'recurring1_based on steps'!AP$1:AP$400,0)),AP$2,)</f>
        <v>0</v>
      </c>
      <c r="AQ209" s="179">
        <f ca="1">IF(ISNUMBER(MATCH(DATEVALUE($A209),'recurring1_based on steps'!AQ$1:AQ$400,0)),AQ$2,)</f>
        <v>0</v>
      </c>
      <c r="AR209" s="179">
        <f ca="1">IF(ISNUMBER(MATCH(DATEVALUE($A209),'recurring1_based on steps'!AR$1:AR$400,0)),AR$2,)</f>
        <v>0</v>
      </c>
      <c r="AS209" s="179">
        <f ca="1">IF(ISNUMBER(MATCH(DATEVALUE($A209),'recurring1_based on steps'!AS$1:AS$400,0)),AS$2,)</f>
        <v>0</v>
      </c>
      <c r="AT209" s="179">
        <f ca="1">IF(ISNUMBER(MATCH(DATEVALUE($A209),'recurring1_based on steps'!AT$1:AT$400,0)),AT$2,)</f>
        <v>0</v>
      </c>
      <c r="AU209" s="179">
        <f ca="1">IF(ISNUMBER(MATCH(DATEVALUE($A209),'recurring1_based on steps'!AU$1:AU$400,0)),AU$2,)</f>
        <v>0</v>
      </c>
      <c r="AV209" s="179">
        <f ca="1">IF(ISNUMBER(MATCH(DATEVALUE($A209),'recurring1_based on steps'!AV$1:AV$400,0)),AV$2,)</f>
        <v>0</v>
      </c>
      <c r="AW209" s="179">
        <f ca="1">IF(ISNUMBER(MATCH(DATEVALUE($A209),'recurring1_based on steps'!AW$1:AW$400,0)),AW$2,)</f>
        <v>0</v>
      </c>
      <c r="AX209" s="179">
        <f ca="1">IF(ISNUMBER(MATCH(DATEVALUE($A209),'recurring1_based on steps'!AX$1:AX$400,0)),AX$2,)</f>
        <v>0</v>
      </c>
      <c r="AY209" s="179">
        <f ca="1">IF(ISNUMBER(MATCH(DATEVALUE($A209),'recurring1_based on steps'!AY$1:AY$400,0)),AY$2,)</f>
        <v>0</v>
      </c>
    </row>
    <row r="210" spans="1:51" x14ac:dyDescent="0.2">
      <c r="A210" s="32" t="str">
        <f t="shared" ca="1" si="3"/>
        <v>2025-10-22</v>
      </c>
      <c r="B210" s="179">
        <f ca="1">IF(ISNUMBER(MATCH(DATEVALUE($A210),'recurring1_based on steps'!B$1:B$400,0)),B$2,)</f>
        <v>0</v>
      </c>
      <c r="C210" s="179">
        <f ca="1">IF(ISNUMBER(MATCH(DATEVALUE($A210),'recurring1_based on steps'!C$1:C$400,0)),C$2,)</f>
        <v>0</v>
      </c>
      <c r="D210" s="179">
        <f ca="1">IF(ISNUMBER(MATCH(DATEVALUE($A210),'recurring1_based on steps'!D$1:D$400,0)),D$2,)</f>
        <v>0</v>
      </c>
      <c r="E210" s="179">
        <f ca="1">IF(ISNUMBER(MATCH(DATEVALUE($A210),'recurring1_based on steps'!E$1:E$400,0)),E$2,)</f>
        <v>0</v>
      </c>
      <c r="F210" s="179">
        <f ca="1">IF(ISNUMBER(MATCH(DATEVALUE($A210),'recurring1_based on steps'!F$1:F$400,0)),F$2,)</f>
        <v>0</v>
      </c>
      <c r="G210" s="179">
        <f ca="1">IF(ISNUMBER(MATCH(DATEVALUE($A210),'recurring1_based on steps'!G$1:G$400,0)),G$2,)</f>
        <v>0</v>
      </c>
      <c r="H210" s="179">
        <f ca="1">IF(ISNUMBER(MATCH(DATEVALUE($A210),'recurring1_based on steps'!H$1:H$400,0)),H$2,)</f>
        <v>0</v>
      </c>
      <c r="I210" s="179">
        <f ca="1">IF(ISNUMBER(MATCH(DATEVALUE($A210),'recurring1_based on steps'!I$1:I$400,0)),I$2,)</f>
        <v>0</v>
      </c>
      <c r="J210" s="179">
        <f ca="1">IF(ISNUMBER(MATCH(DATEVALUE($A210),'recurring1_based on steps'!J$1:J$400,0)),J$2,)</f>
        <v>0</v>
      </c>
      <c r="K210" s="179">
        <f ca="1">IF(ISNUMBER(MATCH(DATEVALUE($A210),'recurring1_based on steps'!K$1:K$400,0)),K$2,)</f>
        <v>0</v>
      </c>
      <c r="L210" s="179">
        <f ca="1">IF(ISNUMBER(MATCH(DATEVALUE($A210),'recurring1_based on steps'!L$1:L$400,0)),L$2,)</f>
        <v>0</v>
      </c>
      <c r="M210" s="179">
        <f ca="1">IF(ISNUMBER(MATCH(DATEVALUE($A210),'recurring1_based on steps'!M$1:M$400,0)),M$2,)</f>
        <v>0</v>
      </c>
      <c r="N210" s="179">
        <f ca="1">IF(ISNUMBER(MATCH(DATEVALUE($A210),'recurring1_based on steps'!N$1:N$400,0)),N$2,)</f>
        <v>0</v>
      </c>
      <c r="O210" s="179">
        <f ca="1">IF(ISNUMBER(MATCH(DATEVALUE($A210),'recurring1_based on steps'!O$1:O$400,0)),O$2,)</f>
        <v>0</v>
      </c>
      <c r="P210" s="179">
        <f ca="1">IF(ISNUMBER(MATCH(DATEVALUE($A210),'recurring1_based on steps'!P$1:P$400,0)),P$2,)</f>
        <v>0</v>
      </c>
      <c r="Q210" s="179">
        <f ca="1">IF(ISNUMBER(MATCH(DATEVALUE($A210),'recurring1_based on steps'!Q$1:Q$400,0)),Q$2,)</f>
        <v>0</v>
      </c>
      <c r="R210" s="179">
        <f ca="1">IF(ISNUMBER(MATCH(DATEVALUE($A210),'recurring1_based on steps'!R$1:R$400,0)),R$2,)</f>
        <v>0</v>
      </c>
      <c r="S210" s="179">
        <f ca="1">IF(ISNUMBER(MATCH(DATEVALUE($A210),'recurring1_based on steps'!S$1:S$400,0)),S$2,)</f>
        <v>0</v>
      </c>
      <c r="T210" s="179">
        <f ca="1">IF(ISNUMBER(MATCH(DATEVALUE($A210),'recurring1_based on steps'!T$1:T$400,0)),T$2,)</f>
        <v>0</v>
      </c>
      <c r="U210" s="179">
        <f ca="1">IF(ISNUMBER(MATCH(DATEVALUE($A210),'recurring1_based on steps'!U$1:U$400,0)),U$2,)</f>
        <v>0</v>
      </c>
      <c r="V210" s="179">
        <f ca="1">IF(ISNUMBER(MATCH(DATEVALUE($A210),'recurring1_based on steps'!V$1:V$400,0)),V$2,)</f>
        <v>0</v>
      </c>
      <c r="W210" s="179">
        <f ca="1">IF(ISNUMBER(MATCH(DATEVALUE($A210),'recurring1_based on steps'!W$1:W$400,0)),W$2,)</f>
        <v>0</v>
      </c>
      <c r="X210" s="179">
        <f ca="1">IF(ISNUMBER(MATCH(DATEVALUE($A210),'recurring1_based on steps'!X$1:X$400,0)),X$2,)</f>
        <v>0</v>
      </c>
      <c r="Y210" s="179">
        <f ca="1">IF(ISNUMBER(MATCH(DATEVALUE($A210),'recurring1_based on steps'!Y$1:Y$400,0)),Y$2,)</f>
        <v>0</v>
      </c>
      <c r="Z210" s="179">
        <f ca="1">IF(ISNUMBER(MATCH(DATEVALUE($A210),'recurring1_based on steps'!Z$1:Z$400,0)),Z$2,)</f>
        <v>0</v>
      </c>
      <c r="AA210" s="179">
        <f ca="1">IF(ISNUMBER(MATCH(DATEVALUE($A210),'recurring1_based on steps'!AA$1:AA$400,0)),AA$2,)</f>
        <v>0</v>
      </c>
      <c r="AB210" s="179">
        <f ca="1">IF(ISNUMBER(MATCH(DATEVALUE($A210),'recurring1_based on steps'!AB$1:AB$400,0)),AB$2,)</f>
        <v>0</v>
      </c>
      <c r="AC210" s="179">
        <f ca="1">IF(ISNUMBER(MATCH(DATEVALUE($A210),'recurring1_based on steps'!AC$1:AC$400,0)),AC$2,)</f>
        <v>0</v>
      </c>
      <c r="AD210" s="179">
        <f ca="1">IF(ISNUMBER(MATCH(DATEVALUE($A210),'recurring1_based on steps'!AD$1:AD$400,0)),AD$2,)</f>
        <v>0</v>
      </c>
      <c r="AE210" s="179">
        <f ca="1">IF(ISNUMBER(MATCH(DATEVALUE($A210),'recurring1_based on steps'!AE$1:AE$400,0)),AE$2,)</f>
        <v>0</v>
      </c>
      <c r="AF210" s="179">
        <f ca="1">IF(ISNUMBER(MATCH(DATEVALUE($A210),'recurring1_based on steps'!AF$1:AF$400,0)),AF$2,)</f>
        <v>0</v>
      </c>
      <c r="AG210" s="179">
        <f ca="1">IF(ISNUMBER(MATCH(DATEVALUE($A210),'recurring1_based on steps'!AG$1:AG$400,0)),AG$2,)</f>
        <v>0</v>
      </c>
      <c r="AH210" s="179">
        <f ca="1">IF(ISNUMBER(MATCH(DATEVALUE($A210),'recurring1_based on steps'!AH$1:AH$400,0)),AH$2,)</f>
        <v>0</v>
      </c>
      <c r="AI210" s="179">
        <f ca="1">IF(ISNUMBER(MATCH(DATEVALUE($A210),'recurring1_based on steps'!AI$1:AI$400,0)),AI$2,)</f>
        <v>0</v>
      </c>
      <c r="AJ210" s="179">
        <f ca="1">IF(ISNUMBER(MATCH(DATEVALUE($A210),'recurring1_based on steps'!AJ$1:AJ$400,0)),AJ$2,)</f>
        <v>0</v>
      </c>
      <c r="AK210" s="179">
        <f ca="1">IF(ISNUMBER(MATCH(DATEVALUE($A210),'recurring1_based on steps'!AK$1:AK$400,0)),AK$2,)</f>
        <v>0</v>
      </c>
      <c r="AL210" s="179">
        <f ca="1">IF(ISNUMBER(MATCH(DATEVALUE($A210),'recurring1_based on steps'!AL$1:AL$400,0)),AL$2,)</f>
        <v>0</v>
      </c>
      <c r="AM210" s="179">
        <f ca="1">IF(ISNUMBER(MATCH(DATEVALUE($A210),'recurring1_based on steps'!AM$1:AM$400,0)),AM$2,)</f>
        <v>0</v>
      </c>
      <c r="AN210" s="179">
        <f ca="1">IF(ISNUMBER(MATCH(DATEVALUE($A210),'recurring1_based on steps'!AN$1:AN$400,0)),AN$2,)</f>
        <v>0</v>
      </c>
      <c r="AO210" s="179">
        <f ca="1">IF(ISNUMBER(MATCH(DATEVALUE($A210),'recurring1_based on steps'!AO$1:AO$400,0)),AO$2,)</f>
        <v>0</v>
      </c>
      <c r="AP210" s="179">
        <f ca="1">IF(ISNUMBER(MATCH(DATEVALUE($A210),'recurring1_based on steps'!AP$1:AP$400,0)),AP$2,)</f>
        <v>0</v>
      </c>
      <c r="AQ210" s="179">
        <f ca="1">IF(ISNUMBER(MATCH(DATEVALUE($A210),'recurring1_based on steps'!AQ$1:AQ$400,0)),AQ$2,)</f>
        <v>0</v>
      </c>
      <c r="AR210" s="179">
        <f ca="1">IF(ISNUMBER(MATCH(DATEVALUE($A210),'recurring1_based on steps'!AR$1:AR$400,0)),AR$2,)</f>
        <v>0</v>
      </c>
      <c r="AS210" s="179">
        <f ca="1">IF(ISNUMBER(MATCH(DATEVALUE($A210),'recurring1_based on steps'!AS$1:AS$400,0)),AS$2,)</f>
        <v>0</v>
      </c>
      <c r="AT210" s="179">
        <f ca="1">IF(ISNUMBER(MATCH(DATEVALUE($A210),'recurring1_based on steps'!AT$1:AT$400,0)),AT$2,)</f>
        <v>0</v>
      </c>
      <c r="AU210" s="179">
        <f ca="1">IF(ISNUMBER(MATCH(DATEVALUE($A210),'recurring1_based on steps'!AU$1:AU$400,0)),AU$2,)</f>
        <v>0</v>
      </c>
      <c r="AV210" s="179">
        <f ca="1">IF(ISNUMBER(MATCH(DATEVALUE($A210),'recurring1_based on steps'!AV$1:AV$400,0)),AV$2,)</f>
        <v>0</v>
      </c>
      <c r="AW210" s="179">
        <f ca="1">IF(ISNUMBER(MATCH(DATEVALUE($A210),'recurring1_based on steps'!AW$1:AW$400,0)),AW$2,)</f>
        <v>0</v>
      </c>
      <c r="AX210" s="179">
        <f ca="1">IF(ISNUMBER(MATCH(DATEVALUE($A210),'recurring1_based on steps'!AX$1:AX$400,0)),AX$2,)</f>
        <v>0</v>
      </c>
      <c r="AY210" s="179">
        <f ca="1">IF(ISNUMBER(MATCH(DATEVALUE($A210),'recurring1_based on steps'!AY$1:AY$400,0)),AY$2,)</f>
        <v>0</v>
      </c>
    </row>
    <row r="211" spans="1:51" x14ac:dyDescent="0.2">
      <c r="A211" s="32" t="str">
        <f t="shared" ca="1" si="3"/>
        <v>2025-10-23</v>
      </c>
      <c r="B211" s="179">
        <f ca="1">IF(ISNUMBER(MATCH(DATEVALUE($A211),'recurring1_based on steps'!B$1:B$400,0)),B$2,)</f>
        <v>0</v>
      </c>
      <c r="C211" s="179">
        <f ca="1">IF(ISNUMBER(MATCH(DATEVALUE($A211),'recurring1_based on steps'!C$1:C$400,0)),C$2,)</f>
        <v>0</v>
      </c>
      <c r="D211" s="179">
        <f ca="1">IF(ISNUMBER(MATCH(DATEVALUE($A211),'recurring1_based on steps'!D$1:D$400,0)),D$2,)</f>
        <v>0</v>
      </c>
      <c r="E211" s="179">
        <f ca="1">IF(ISNUMBER(MATCH(DATEVALUE($A211),'recurring1_based on steps'!E$1:E$400,0)),E$2,)</f>
        <v>0</v>
      </c>
      <c r="F211" s="179">
        <f ca="1">IF(ISNUMBER(MATCH(DATEVALUE($A211),'recurring1_based on steps'!F$1:F$400,0)),F$2,)</f>
        <v>0</v>
      </c>
      <c r="G211" s="179">
        <f ca="1">IF(ISNUMBER(MATCH(DATEVALUE($A211),'recurring1_based on steps'!G$1:G$400,0)),G$2,)</f>
        <v>0</v>
      </c>
      <c r="H211" s="179">
        <f ca="1">IF(ISNUMBER(MATCH(DATEVALUE($A211),'recurring1_based on steps'!H$1:H$400,0)),H$2,)</f>
        <v>0</v>
      </c>
      <c r="I211" s="179">
        <f ca="1">IF(ISNUMBER(MATCH(DATEVALUE($A211),'recurring1_based on steps'!I$1:I$400,0)),I$2,)</f>
        <v>0</v>
      </c>
      <c r="J211" s="179">
        <f ca="1">IF(ISNUMBER(MATCH(DATEVALUE($A211),'recurring1_based on steps'!J$1:J$400,0)),J$2,)</f>
        <v>0</v>
      </c>
      <c r="K211" s="179">
        <f ca="1">IF(ISNUMBER(MATCH(DATEVALUE($A211),'recurring1_based on steps'!K$1:K$400,0)),K$2,)</f>
        <v>0</v>
      </c>
      <c r="L211" s="179">
        <f ca="1">IF(ISNUMBER(MATCH(DATEVALUE($A211),'recurring1_based on steps'!L$1:L$400,0)),L$2,)</f>
        <v>0</v>
      </c>
      <c r="M211" s="179">
        <f ca="1">IF(ISNUMBER(MATCH(DATEVALUE($A211),'recurring1_based on steps'!M$1:M$400,0)),M$2,)</f>
        <v>0</v>
      </c>
      <c r="N211" s="179">
        <f ca="1">IF(ISNUMBER(MATCH(DATEVALUE($A211),'recurring1_based on steps'!N$1:N$400,0)),N$2,)</f>
        <v>0</v>
      </c>
      <c r="O211" s="179">
        <f ca="1">IF(ISNUMBER(MATCH(DATEVALUE($A211),'recurring1_based on steps'!O$1:O$400,0)),O$2,)</f>
        <v>0</v>
      </c>
      <c r="P211" s="179">
        <f ca="1">IF(ISNUMBER(MATCH(DATEVALUE($A211),'recurring1_based on steps'!P$1:P$400,0)),P$2,)</f>
        <v>0</v>
      </c>
      <c r="Q211" s="179">
        <f ca="1">IF(ISNUMBER(MATCH(DATEVALUE($A211),'recurring1_based on steps'!Q$1:Q$400,0)),Q$2,)</f>
        <v>0</v>
      </c>
      <c r="R211" s="179">
        <f ca="1">IF(ISNUMBER(MATCH(DATEVALUE($A211),'recurring1_based on steps'!R$1:R$400,0)),R$2,)</f>
        <v>0</v>
      </c>
      <c r="S211" s="179">
        <f ca="1">IF(ISNUMBER(MATCH(DATEVALUE($A211),'recurring1_based on steps'!S$1:S$400,0)),S$2,)</f>
        <v>0</v>
      </c>
      <c r="T211" s="179">
        <f ca="1">IF(ISNUMBER(MATCH(DATEVALUE($A211),'recurring1_based on steps'!T$1:T$400,0)),T$2,)</f>
        <v>0</v>
      </c>
      <c r="U211" s="179">
        <f ca="1">IF(ISNUMBER(MATCH(DATEVALUE($A211),'recurring1_based on steps'!U$1:U$400,0)),U$2,)</f>
        <v>0</v>
      </c>
      <c r="V211" s="179">
        <f ca="1">IF(ISNUMBER(MATCH(DATEVALUE($A211),'recurring1_based on steps'!V$1:V$400,0)),V$2,)</f>
        <v>0</v>
      </c>
      <c r="W211" s="179">
        <f ca="1">IF(ISNUMBER(MATCH(DATEVALUE($A211),'recurring1_based on steps'!W$1:W$400,0)),W$2,)</f>
        <v>0</v>
      </c>
      <c r="X211" s="179">
        <f ca="1">IF(ISNUMBER(MATCH(DATEVALUE($A211),'recurring1_based on steps'!X$1:X$400,0)),X$2,)</f>
        <v>0</v>
      </c>
      <c r="Y211" s="179">
        <f ca="1">IF(ISNUMBER(MATCH(DATEVALUE($A211),'recurring1_based on steps'!Y$1:Y$400,0)),Y$2,)</f>
        <v>0</v>
      </c>
      <c r="Z211" s="179">
        <f ca="1">IF(ISNUMBER(MATCH(DATEVALUE($A211),'recurring1_based on steps'!Z$1:Z$400,0)),Z$2,)</f>
        <v>0</v>
      </c>
      <c r="AA211" s="179">
        <f ca="1">IF(ISNUMBER(MATCH(DATEVALUE($A211),'recurring1_based on steps'!AA$1:AA$400,0)),AA$2,)</f>
        <v>0</v>
      </c>
      <c r="AB211" s="179">
        <f ca="1">IF(ISNUMBER(MATCH(DATEVALUE($A211),'recurring1_based on steps'!AB$1:AB$400,0)),AB$2,)</f>
        <v>0</v>
      </c>
      <c r="AC211" s="179">
        <f ca="1">IF(ISNUMBER(MATCH(DATEVALUE($A211),'recurring1_based on steps'!AC$1:AC$400,0)),AC$2,)</f>
        <v>0</v>
      </c>
      <c r="AD211" s="179">
        <f ca="1">IF(ISNUMBER(MATCH(DATEVALUE($A211),'recurring1_based on steps'!AD$1:AD$400,0)),AD$2,)</f>
        <v>0</v>
      </c>
      <c r="AE211" s="179">
        <f ca="1">IF(ISNUMBER(MATCH(DATEVALUE($A211),'recurring1_based on steps'!AE$1:AE$400,0)),AE$2,)</f>
        <v>0</v>
      </c>
      <c r="AF211" s="179">
        <f ca="1">IF(ISNUMBER(MATCH(DATEVALUE($A211),'recurring1_based on steps'!AF$1:AF$400,0)),AF$2,)</f>
        <v>0</v>
      </c>
      <c r="AG211" s="179">
        <f ca="1">IF(ISNUMBER(MATCH(DATEVALUE($A211),'recurring1_based on steps'!AG$1:AG$400,0)),AG$2,)</f>
        <v>0</v>
      </c>
      <c r="AH211" s="179">
        <f ca="1">IF(ISNUMBER(MATCH(DATEVALUE($A211),'recurring1_based on steps'!AH$1:AH$400,0)),AH$2,)</f>
        <v>0</v>
      </c>
      <c r="AI211" s="179">
        <f ca="1">IF(ISNUMBER(MATCH(DATEVALUE($A211),'recurring1_based on steps'!AI$1:AI$400,0)),AI$2,)</f>
        <v>0</v>
      </c>
      <c r="AJ211" s="179">
        <f ca="1">IF(ISNUMBER(MATCH(DATEVALUE($A211),'recurring1_based on steps'!AJ$1:AJ$400,0)),AJ$2,)</f>
        <v>0</v>
      </c>
      <c r="AK211" s="179">
        <f ca="1">IF(ISNUMBER(MATCH(DATEVALUE($A211),'recurring1_based on steps'!AK$1:AK$400,0)),AK$2,)</f>
        <v>0</v>
      </c>
      <c r="AL211" s="179">
        <f ca="1">IF(ISNUMBER(MATCH(DATEVALUE($A211),'recurring1_based on steps'!AL$1:AL$400,0)),AL$2,)</f>
        <v>0</v>
      </c>
      <c r="AM211" s="179">
        <f ca="1">IF(ISNUMBER(MATCH(DATEVALUE($A211),'recurring1_based on steps'!AM$1:AM$400,0)),AM$2,)</f>
        <v>0</v>
      </c>
      <c r="AN211" s="179">
        <f ca="1">IF(ISNUMBER(MATCH(DATEVALUE($A211),'recurring1_based on steps'!AN$1:AN$400,0)),AN$2,)</f>
        <v>0</v>
      </c>
      <c r="AO211" s="179">
        <f ca="1">IF(ISNUMBER(MATCH(DATEVALUE($A211),'recurring1_based on steps'!AO$1:AO$400,0)),AO$2,)</f>
        <v>0</v>
      </c>
      <c r="AP211" s="179">
        <f ca="1">IF(ISNUMBER(MATCH(DATEVALUE($A211),'recurring1_based on steps'!AP$1:AP$400,0)),AP$2,)</f>
        <v>0</v>
      </c>
      <c r="AQ211" s="179">
        <f ca="1">IF(ISNUMBER(MATCH(DATEVALUE($A211),'recurring1_based on steps'!AQ$1:AQ$400,0)),AQ$2,)</f>
        <v>0</v>
      </c>
      <c r="AR211" s="179">
        <f ca="1">IF(ISNUMBER(MATCH(DATEVALUE($A211),'recurring1_based on steps'!AR$1:AR$400,0)),AR$2,)</f>
        <v>0</v>
      </c>
      <c r="AS211" s="179">
        <f ca="1">IF(ISNUMBER(MATCH(DATEVALUE($A211),'recurring1_based on steps'!AS$1:AS$400,0)),AS$2,)</f>
        <v>0</v>
      </c>
      <c r="AT211" s="179">
        <f ca="1">IF(ISNUMBER(MATCH(DATEVALUE($A211),'recurring1_based on steps'!AT$1:AT$400,0)),AT$2,)</f>
        <v>0</v>
      </c>
      <c r="AU211" s="179">
        <f ca="1">IF(ISNUMBER(MATCH(DATEVALUE($A211),'recurring1_based on steps'!AU$1:AU$400,0)),AU$2,)</f>
        <v>0</v>
      </c>
      <c r="AV211" s="179">
        <f ca="1">IF(ISNUMBER(MATCH(DATEVALUE($A211),'recurring1_based on steps'!AV$1:AV$400,0)),AV$2,)</f>
        <v>0</v>
      </c>
      <c r="AW211" s="179">
        <f ca="1">IF(ISNUMBER(MATCH(DATEVALUE($A211),'recurring1_based on steps'!AW$1:AW$400,0)),AW$2,)</f>
        <v>0</v>
      </c>
      <c r="AX211" s="179">
        <f ca="1">IF(ISNUMBER(MATCH(DATEVALUE($A211),'recurring1_based on steps'!AX$1:AX$400,0)),AX$2,)</f>
        <v>0</v>
      </c>
      <c r="AY211" s="179">
        <f ca="1">IF(ISNUMBER(MATCH(DATEVALUE($A211),'recurring1_based on steps'!AY$1:AY$400,0)),AY$2,)</f>
        <v>0</v>
      </c>
    </row>
    <row r="212" spans="1:51" x14ac:dyDescent="0.2">
      <c r="A212" s="32" t="str">
        <f t="shared" ca="1" si="3"/>
        <v>2025-10-24</v>
      </c>
      <c r="B212" s="179">
        <f ca="1">IF(ISNUMBER(MATCH(DATEVALUE($A212),'recurring1_based on steps'!B$1:B$400,0)),B$2,)</f>
        <v>0</v>
      </c>
      <c r="C212" s="179">
        <f ca="1">IF(ISNUMBER(MATCH(DATEVALUE($A212),'recurring1_based on steps'!C$1:C$400,0)),C$2,)</f>
        <v>0</v>
      </c>
      <c r="D212" s="179">
        <f ca="1">IF(ISNUMBER(MATCH(DATEVALUE($A212),'recurring1_based on steps'!D$1:D$400,0)),D$2,)</f>
        <v>0</v>
      </c>
      <c r="E212" s="179">
        <f ca="1">IF(ISNUMBER(MATCH(DATEVALUE($A212),'recurring1_based on steps'!E$1:E$400,0)),E$2,)</f>
        <v>0</v>
      </c>
      <c r="F212" s="179">
        <f ca="1">IF(ISNUMBER(MATCH(DATEVALUE($A212),'recurring1_based on steps'!F$1:F$400,0)),F$2,)</f>
        <v>0</v>
      </c>
      <c r="G212" s="179">
        <f ca="1">IF(ISNUMBER(MATCH(DATEVALUE($A212),'recurring1_based on steps'!G$1:G$400,0)),G$2,)</f>
        <v>0</v>
      </c>
      <c r="H212" s="179">
        <f ca="1">IF(ISNUMBER(MATCH(DATEVALUE($A212),'recurring1_based on steps'!H$1:H$400,0)),H$2,)</f>
        <v>0</v>
      </c>
      <c r="I212" s="179">
        <f ca="1">IF(ISNUMBER(MATCH(DATEVALUE($A212),'recurring1_based on steps'!I$1:I$400,0)),I$2,)</f>
        <v>0</v>
      </c>
      <c r="J212" s="179">
        <f ca="1">IF(ISNUMBER(MATCH(DATEVALUE($A212),'recurring1_based on steps'!J$1:J$400,0)),J$2,)</f>
        <v>0</v>
      </c>
      <c r="K212" s="179">
        <f ca="1">IF(ISNUMBER(MATCH(DATEVALUE($A212),'recurring1_based on steps'!K$1:K$400,0)),K$2,)</f>
        <v>0</v>
      </c>
      <c r="L212" s="179">
        <f ca="1">IF(ISNUMBER(MATCH(DATEVALUE($A212),'recurring1_based on steps'!L$1:L$400,0)),L$2,)</f>
        <v>0</v>
      </c>
      <c r="M212" s="179">
        <f ca="1">IF(ISNUMBER(MATCH(DATEVALUE($A212),'recurring1_based on steps'!M$1:M$400,0)),M$2,)</f>
        <v>0</v>
      </c>
      <c r="N212" s="179">
        <f ca="1">IF(ISNUMBER(MATCH(DATEVALUE($A212),'recurring1_based on steps'!N$1:N$400,0)),N$2,)</f>
        <v>0</v>
      </c>
      <c r="O212" s="179">
        <f ca="1">IF(ISNUMBER(MATCH(DATEVALUE($A212),'recurring1_based on steps'!O$1:O$400,0)),O$2,)</f>
        <v>0</v>
      </c>
      <c r="P212" s="179">
        <f ca="1">IF(ISNUMBER(MATCH(DATEVALUE($A212),'recurring1_based on steps'!P$1:P$400,0)),P$2,)</f>
        <v>0</v>
      </c>
      <c r="Q212" s="179">
        <f ca="1">IF(ISNUMBER(MATCH(DATEVALUE($A212),'recurring1_based on steps'!Q$1:Q$400,0)),Q$2,)</f>
        <v>0</v>
      </c>
      <c r="R212" s="179">
        <f ca="1">IF(ISNUMBER(MATCH(DATEVALUE($A212),'recurring1_based on steps'!R$1:R$400,0)),R$2,)</f>
        <v>0</v>
      </c>
      <c r="S212" s="179">
        <f ca="1">IF(ISNUMBER(MATCH(DATEVALUE($A212),'recurring1_based on steps'!S$1:S$400,0)),S$2,)</f>
        <v>0</v>
      </c>
      <c r="T212" s="179">
        <f ca="1">IF(ISNUMBER(MATCH(DATEVALUE($A212),'recurring1_based on steps'!T$1:T$400,0)),T$2,)</f>
        <v>0</v>
      </c>
      <c r="U212" s="179">
        <f ca="1">IF(ISNUMBER(MATCH(DATEVALUE($A212),'recurring1_based on steps'!U$1:U$400,0)),U$2,)</f>
        <v>0</v>
      </c>
      <c r="V212" s="179">
        <f ca="1">IF(ISNUMBER(MATCH(DATEVALUE($A212),'recurring1_based on steps'!V$1:V$400,0)),V$2,)</f>
        <v>0</v>
      </c>
      <c r="W212" s="179">
        <f ca="1">IF(ISNUMBER(MATCH(DATEVALUE($A212),'recurring1_based on steps'!W$1:W$400,0)),W$2,)</f>
        <v>0</v>
      </c>
      <c r="X212" s="179">
        <f ca="1">IF(ISNUMBER(MATCH(DATEVALUE($A212),'recurring1_based on steps'!X$1:X$400,0)),X$2,)</f>
        <v>0</v>
      </c>
      <c r="Y212" s="179">
        <f ca="1">IF(ISNUMBER(MATCH(DATEVALUE($A212),'recurring1_based on steps'!Y$1:Y$400,0)),Y$2,)</f>
        <v>0</v>
      </c>
      <c r="Z212" s="179">
        <f ca="1">IF(ISNUMBER(MATCH(DATEVALUE($A212),'recurring1_based on steps'!Z$1:Z$400,0)),Z$2,)</f>
        <v>0</v>
      </c>
      <c r="AA212" s="179">
        <f ca="1">IF(ISNUMBER(MATCH(DATEVALUE($A212),'recurring1_based on steps'!AA$1:AA$400,0)),AA$2,)</f>
        <v>0</v>
      </c>
      <c r="AB212" s="179">
        <f ca="1">IF(ISNUMBER(MATCH(DATEVALUE($A212),'recurring1_based on steps'!AB$1:AB$400,0)),AB$2,)</f>
        <v>0</v>
      </c>
      <c r="AC212" s="179">
        <f ca="1">IF(ISNUMBER(MATCH(DATEVALUE($A212),'recurring1_based on steps'!AC$1:AC$400,0)),AC$2,)</f>
        <v>0</v>
      </c>
      <c r="AD212" s="179">
        <f ca="1">IF(ISNUMBER(MATCH(DATEVALUE($A212),'recurring1_based on steps'!AD$1:AD$400,0)),AD$2,)</f>
        <v>0</v>
      </c>
      <c r="AE212" s="179">
        <f ca="1">IF(ISNUMBER(MATCH(DATEVALUE($A212),'recurring1_based on steps'!AE$1:AE$400,0)),AE$2,)</f>
        <v>0</v>
      </c>
      <c r="AF212" s="179">
        <f ca="1">IF(ISNUMBER(MATCH(DATEVALUE($A212),'recurring1_based on steps'!AF$1:AF$400,0)),AF$2,)</f>
        <v>0</v>
      </c>
      <c r="AG212" s="179">
        <f ca="1">IF(ISNUMBER(MATCH(DATEVALUE($A212),'recurring1_based on steps'!AG$1:AG$400,0)),AG$2,)</f>
        <v>0</v>
      </c>
      <c r="AH212" s="179">
        <f ca="1">IF(ISNUMBER(MATCH(DATEVALUE($A212),'recurring1_based on steps'!AH$1:AH$400,0)),AH$2,)</f>
        <v>0</v>
      </c>
      <c r="AI212" s="179">
        <f ca="1">IF(ISNUMBER(MATCH(DATEVALUE($A212),'recurring1_based on steps'!AI$1:AI$400,0)),AI$2,)</f>
        <v>0</v>
      </c>
      <c r="AJ212" s="179">
        <f ca="1">IF(ISNUMBER(MATCH(DATEVALUE($A212),'recurring1_based on steps'!AJ$1:AJ$400,0)),AJ$2,)</f>
        <v>0</v>
      </c>
      <c r="AK212" s="179">
        <f ca="1">IF(ISNUMBER(MATCH(DATEVALUE($A212),'recurring1_based on steps'!AK$1:AK$400,0)),AK$2,)</f>
        <v>0</v>
      </c>
      <c r="AL212" s="179">
        <f ca="1">IF(ISNUMBER(MATCH(DATEVALUE($A212),'recurring1_based on steps'!AL$1:AL$400,0)),AL$2,)</f>
        <v>0</v>
      </c>
      <c r="AM212" s="179">
        <f ca="1">IF(ISNUMBER(MATCH(DATEVALUE($A212),'recurring1_based on steps'!AM$1:AM$400,0)),AM$2,)</f>
        <v>0</v>
      </c>
      <c r="AN212" s="179">
        <f ca="1">IF(ISNUMBER(MATCH(DATEVALUE($A212),'recurring1_based on steps'!AN$1:AN$400,0)),AN$2,)</f>
        <v>0</v>
      </c>
      <c r="AO212" s="179">
        <f ca="1">IF(ISNUMBER(MATCH(DATEVALUE($A212),'recurring1_based on steps'!AO$1:AO$400,0)),AO$2,)</f>
        <v>0</v>
      </c>
      <c r="AP212" s="179">
        <f ca="1">IF(ISNUMBER(MATCH(DATEVALUE($A212),'recurring1_based on steps'!AP$1:AP$400,0)),AP$2,)</f>
        <v>0</v>
      </c>
      <c r="AQ212" s="179">
        <f ca="1">IF(ISNUMBER(MATCH(DATEVALUE($A212),'recurring1_based on steps'!AQ$1:AQ$400,0)),AQ$2,)</f>
        <v>0</v>
      </c>
      <c r="AR212" s="179">
        <f ca="1">IF(ISNUMBER(MATCH(DATEVALUE($A212),'recurring1_based on steps'!AR$1:AR$400,0)),AR$2,)</f>
        <v>0</v>
      </c>
      <c r="AS212" s="179">
        <f ca="1">IF(ISNUMBER(MATCH(DATEVALUE($A212),'recurring1_based on steps'!AS$1:AS$400,0)),AS$2,)</f>
        <v>0</v>
      </c>
      <c r="AT212" s="179">
        <f ca="1">IF(ISNUMBER(MATCH(DATEVALUE($A212),'recurring1_based on steps'!AT$1:AT$400,0)),AT$2,)</f>
        <v>0</v>
      </c>
      <c r="AU212" s="179">
        <f ca="1">IF(ISNUMBER(MATCH(DATEVALUE($A212),'recurring1_based on steps'!AU$1:AU$400,0)),AU$2,)</f>
        <v>0</v>
      </c>
      <c r="AV212" s="179">
        <f ca="1">IF(ISNUMBER(MATCH(DATEVALUE($A212),'recurring1_based on steps'!AV$1:AV$400,0)),AV$2,)</f>
        <v>0</v>
      </c>
      <c r="AW212" s="179">
        <f ca="1">IF(ISNUMBER(MATCH(DATEVALUE($A212),'recurring1_based on steps'!AW$1:AW$400,0)),AW$2,)</f>
        <v>0</v>
      </c>
      <c r="AX212" s="179">
        <f ca="1">IF(ISNUMBER(MATCH(DATEVALUE($A212),'recurring1_based on steps'!AX$1:AX$400,0)),AX$2,)</f>
        <v>0</v>
      </c>
      <c r="AY212" s="179">
        <f ca="1">IF(ISNUMBER(MATCH(DATEVALUE($A212),'recurring1_based on steps'!AY$1:AY$400,0)),AY$2,)</f>
        <v>0</v>
      </c>
    </row>
    <row r="213" spans="1:51" x14ac:dyDescent="0.2">
      <c r="A213" s="32" t="str">
        <f t="shared" ca="1" si="3"/>
        <v>2025-10-25</v>
      </c>
      <c r="B213" s="179">
        <f ca="1">IF(ISNUMBER(MATCH(DATEVALUE($A213),'recurring1_based on steps'!B$1:B$400,0)),B$2,)</f>
        <v>0</v>
      </c>
      <c r="C213" s="179">
        <f ca="1">IF(ISNUMBER(MATCH(DATEVALUE($A213),'recurring1_based on steps'!C$1:C$400,0)),C$2,)</f>
        <v>0</v>
      </c>
      <c r="D213" s="179">
        <f ca="1">IF(ISNUMBER(MATCH(DATEVALUE($A213),'recurring1_based on steps'!D$1:D$400,0)),D$2,)</f>
        <v>0</v>
      </c>
      <c r="E213" s="179">
        <f ca="1">IF(ISNUMBER(MATCH(DATEVALUE($A213),'recurring1_based on steps'!E$1:E$400,0)),E$2,)</f>
        <v>0</v>
      </c>
      <c r="F213" s="179">
        <f ca="1">IF(ISNUMBER(MATCH(DATEVALUE($A213),'recurring1_based on steps'!F$1:F$400,0)),F$2,)</f>
        <v>0</v>
      </c>
      <c r="G213" s="179">
        <f ca="1">IF(ISNUMBER(MATCH(DATEVALUE($A213),'recurring1_based on steps'!G$1:G$400,0)),G$2,)</f>
        <v>0</v>
      </c>
      <c r="H213" s="179">
        <f ca="1">IF(ISNUMBER(MATCH(DATEVALUE($A213),'recurring1_based on steps'!H$1:H$400,0)),H$2,)</f>
        <v>0</v>
      </c>
      <c r="I213" s="179">
        <f ca="1">IF(ISNUMBER(MATCH(DATEVALUE($A213),'recurring1_based on steps'!I$1:I$400,0)),I$2,)</f>
        <v>0</v>
      </c>
      <c r="J213" s="179">
        <f ca="1">IF(ISNUMBER(MATCH(DATEVALUE($A213),'recurring1_based on steps'!J$1:J$400,0)),J$2,)</f>
        <v>0</v>
      </c>
      <c r="K213" s="179">
        <f ca="1">IF(ISNUMBER(MATCH(DATEVALUE($A213),'recurring1_based on steps'!K$1:K$400,0)),K$2,)</f>
        <v>0</v>
      </c>
      <c r="L213" s="179">
        <f ca="1">IF(ISNUMBER(MATCH(DATEVALUE($A213),'recurring1_based on steps'!L$1:L$400,0)),L$2,)</f>
        <v>0</v>
      </c>
      <c r="M213" s="179">
        <f ca="1">IF(ISNUMBER(MATCH(DATEVALUE($A213),'recurring1_based on steps'!M$1:M$400,0)),M$2,)</f>
        <v>0</v>
      </c>
      <c r="N213" s="179">
        <f ca="1">IF(ISNUMBER(MATCH(DATEVALUE($A213),'recurring1_based on steps'!N$1:N$400,0)),N$2,)</f>
        <v>0</v>
      </c>
      <c r="O213" s="179">
        <f ca="1">IF(ISNUMBER(MATCH(DATEVALUE($A213),'recurring1_based on steps'!O$1:O$400,0)),O$2,)</f>
        <v>0</v>
      </c>
      <c r="P213" s="179">
        <f ca="1">IF(ISNUMBER(MATCH(DATEVALUE($A213),'recurring1_based on steps'!P$1:P$400,0)),P$2,)</f>
        <v>0</v>
      </c>
      <c r="Q213" s="179">
        <f ca="1">IF(ISNUMBER(MATCH(DATEVALUE($A213),'recurring1_based on steps'!Q$1:Q$400,0)),Q$2,)</f>
        <v>0</v>
      </c>
      <c r="R213" s="179">
        <f ca="1">IF(ISNUMBER(MATCH(DATEVALUE($A213),'recurring1_based on steps'!R$1:R$400,0)),R$2,)</f>
        <v>0</v>
      </c>
      <c r="S213" s="179">
        <f ca="1">IF(ISNUMBER(MATCH(DATEVALUE($A213),'recurring1_based on steps'!S$1:S$400,0)),S$2,)</f>
        <v>0</v>
      </c>
      <c r="T213" s="179">
        <f ca="1">IF(ISNUMBER(MATCH(DATEVALUE($A213),'recurring1_based on steps'!T$1:T$400,0)),T$2,)</f>
        <v>0</v>
      </c>
      <c r="U213" s="179">
        <f ca="1">IF(ISNUMBER(MATCH(DATEVALUE($A213),'recurring1_based on steps'!U$1:U$400,0)),U$2,)</f>
        <v>0</v>
      </c>
      <c r="V213" s="179">
        <f ca="1">IF(ISNUMBER(MATCH(DATEVALUE($A213),'recurring1_based on steps'!V$1:V$400,0)),V$2,)</f>
        <v>0</v>
      </c>
      <c r="W213" s="179">
        <f ca="1">IF(ISNUMBER(MATCH(DATEVALUE($A213),'recurring1_based on steps'!W$1:W$400,0)),W$2,)</f>
        <v>0</v>
      </c>
      <c r="X213" s="179">
        <f ca="1">IF(ISNUMBER(MATCH(DATEVALUE($A213),'recurring1_based on steps'!X$1:X$400,0)),X$2,)</f>
        <v>0</v>
      </c>
      <c r="Y213" s="179">
        <f ca="1">IF(ISNUMBER(MATCH(DATEVALUE($A213),'recurring1_based on steps'!Y$1:Y$400,0)),Y$2,)</f>
        <v>0</v>
      </c>
      <c r="Z213" s="179">
        <f ca="1">IF(ISNUMBER(MATCH(DATEVALUE($A213),'recurring1_based on steps'!Z$1:Z$400,0)),Z$2,)</f>
        <v>0</v>
      </c>
      <c r="AA213" s="179">
        <f ca="1">IF(ISNUMBER(MATCH(DATEVALUE($A213),'recurring1_based on steps'!AA$1:AA$400,0)),AA$2,)</f>
        <v>0</v>
      </c>
      <c r="AB213" s="179">
        <f ca="1">IF(ISNUMBER(MATCH(DATEVALUE($A213),'recurring1_based on steps'!AB$1:AB$400,0)),AB$2,)</f>
        <v>0</v>
      </c>
      <c r="AC213" s="179">
        <f ca="1">IF(ISNUMBER(MATCH(DATEVALUE($A213),'recurring1_based on steps'!AC$1:AC$400,0)),AC$2,)</f>
        <v>0</v>
      </c>
      <c r="AD213" s="179">
        <f ca="1">IF(ISNUMBER(MATCH(DATEVALUE($A213),'recurring1_based on steps'!AD$1:AD$400,0)),AD$2,)</f>
        <v>0</v>
      </c>
      <c r="AE213" s="179">
        <f ca="1">IF(ISNUMBER(MATCH(DATEVALUE($A213),'recurring1_based on steps'!AE$1:AE$400,0)),AE$2,)</f>
        <v>0</v>
      </c>
      <c r="AF213" s="179">
        <f ca="1">IF(ISNUMBER(MATCH(DATEVALUE($A213),'recurring1_based on steps'!AF$1:AF$400,0)),AF$2,)</f>
        <v>0</v>
      </c>
      <c r="AG213" s="179">
        <f ca="1">IF(ISNUMBER(MATCH(DATEVALUE($A213),'recurring1_based on steps'!AG$1:AG$400,0)),AG$2,)</f>
        <v>0</v>
      </c>
      <c r="AH213" s="179">
        <f ca="1">IF(ISNUMBER(MATCH(DATEVALUE($A213),'recurring1_based on steps'!AH$1:AH$400,0)),AH$2,)</f>
        <v>0</v>
      </c>
      <c r="AI213" s="179">
        <f ca="1">IF(ISNUMBER(MATCH(DATEVALUE($A213),'recurring1_based on steps'!AI$1:AI$400,0)),AI$2,)</f>
        <v>0</v>
      </c>
      <c r="AJ213" s="179">
        <f ca="1">IF(ISNUMBER(MATCH(DATEVALUE($A213),'recurring1_based on steps'!AJ$1:AJ$400,0)),AJ$2,)</f>
        <v>0</v>
      </c>
      <c r="AK213" s="179">
        <f ca="1">IF(ISNUMBER(MATCH(DATEVALUE($A213),'recurring1_based on steps'!AK$1:AK$400,0)),AK$2,)</f>
        <v>0</v>
      </c>
      <c r="AL213" s="179">
        <f ca="1">IF(ISNUMBER(MATCH(DATEVALUE($A213),'recurring1_based on steps'!AL$1:AL$400,0)),AL$2,)</f>
        <v>0</v>
      </c>
      <c r="AM213" s="179">
        <f ca="1">IF(ISNUMBER(MATCH(DATEVALUE($A213),'recurring1_based on steps'!AM$1:AM$400,0)),AM$2,)</f>
        <v>0</v>
      </c>
      <c r="AN213" s="179">
        <f ca="1">IF(ISNUMBER(MATCH(DATEVALUE($A213),'recurring1_based on steps'!AN$1:AN$400,0)),AN$2,)</f>
        <v>0</v>
      </c>
      <c r="AO213" s="179">
        <f ca="1">IF(ISNUMBER(MATCH(DATEVALUE($A213),'recurring1_based on steps'!AO$1:AO$400,0)),AO$2,)</f>
        <v>0</v>
      </c>
      <c r="AP213" s="179">
        <f ca="1">IF(ISNUMBER(MATCH(DATEVALUE($A213),'recurring1_based on steps'!AP$1:AP$400,0)),AP$2,)</f>
        <v>0</v>
      </c>
      <c r="AQ213" s="179">
        <f ca="1">IF(ISNUMBER(MATCH(DATEVALUE($A213),'recurring1_based on steps'!AQ$1:AQ$400,0)),AQ$2,)</f>
        <v>0</v>
      </c>
      <c r="AR213" s="179">
        <f ca="1">IF(ISNUMBER(MATCH(DATEVALUE($A213),'recurring1_based on steps'!AR$1:AR$400,0)),AR$2,)</f>
        <v>0</v>
      </c>
      <c r="AS213" s="179">
        <f ca="1">IF(ISNUMBER(MATCH(DATEVALUE($A213),'recurring1_based on steps'!AS$1:AS$400,0)),AS$2,)</f>
        <v>0</v>
      </c>
      <c r="AT213" s="179">
        <f ca="1">IF(ISNUMBER(MATCH(DATEVALUE($A213),'recurring1_based on steps'!AT$1:AT$400,0)),AT$2,)</f>
        <v>0</v>
      </c>
      <c r="AU213" s="179">
        <f ca="1">IF(ISNUMBER(MATCH(DATEVALUE($A213),'recurring1_based on steps'!AU$1:AU$400,0)),AU$2,)</f>
        <v>0</v>
      </c>
      <c r="AV213" s="179">
        <f ca="1">IF(ISNUMBER(MATCH(DATEVALUE($A213),'recurring1_based on steps'!AV$1:AV$400,0)),AV$2,)</f>
        <v>0</v>
      </c>
      <c r="AW213" s="179">
        <f ca="1">IF(ISNUMBER(MATCH(DATEVALUE($A213),'recurring1_based on steps'!AW$1:AW$400,0)),AW$2,)</f>
        <v>0</v>
      </c>
      <c r="AX213" s="179">
        <f ca="1">IF(ISNUMBER(MATCH(DATEVALUE($A213),'recurring1_based on steps'!AX$1:AX$400,0)),AX$2,)</f>
        <v>0</v>
      </c>
      <c r="AY213" s="179">
        <f ca="1">IF(ISNUMBER(MATCH(DATEVALUE($A213),'recurring1_based on steps'!AY$1:AY$400,0)),AY$2,)</f>
        <v>0</v>
      </c>
    </row>
    <row r="214" spans="1:51" x14ac:dyDescent="0.2">
      <c r="A214" s="32" t="str">
        <f t="shared" ca="1" si="3"/>
        <v>2025-10-26</v>
      </c>
      <c r="B214" s="179">
        <f ca="1">IF(ISNUMBER(MATCH(DATEVALUE($A214),'recurring1_based on steps'!B$1:B$400,0)),B$2,)</f>
        <v>0</v>
      </c>
      <c r="C214" s="179">
        <f ca="1">IF(ISNUMBER(MATCH(DATEVALUE($A214),'recurring1_based on steps'!C$1:C$400,0)),C$2,)</f>
        <v>0</v>
      </c>
      <c r="D214" s="179">
        <f ca="1">IF(ISNUMBER(MATCH(DATEVALUE($A214),'recurring1_based on steps'!D$1:D$400,0)),D$2,)</f>
        <v>0</v>
      </c>
      <c r="E214" s="179">
        <f ca="1">IF(ISNUMBER(MATCH(DATEVALUE($A214),'recurring1_based on steps'!E$1:E$400,0)),E$2,)</f>
        <v>0</v>
      </c>
      <c r="F214" s="179">
        <f ca="1">IF(ISNUMBER(MATCH(DATEVALUE($A214),'recurring1_based on steps'!F$1:F$400,0)),F$2,)</f>
        <v>0</v>
      </c>
      <c r="G214" s="179">
        <f ca="1">IF(ISNUMBER(MATCH(DATEVALUE($A214),'recurring1_based on steps'!G$1:G$400,0)),G$2,)</f>
        <v>0</v>
      </c>
      <c r="H214" s="179">
        <f ca="1">IF(ISNUMBER(MATCH(DATEVALUE($A214),'recurring1_based on steps'!H$1:H$400,0)),H$2,)</f>
        <v>0</v>
      </c>
      <c r="I214" s="179">
        <f ca="1">IF(ISNUMBER(MATCH(DATEVALUE($A214),'recurring1_based on steps'!I$1:I$400,0)),I$2,)</f>
        <v>0</v>
      </c>
      <c r="J214" s="179">
        <f ca="1">IF(ISNUMBER(MATCH(DATEVALUE($A214),'recurring1_based on steps'!J$1:J$400,0)),J$2,)</f>
        <v>0</v>
      </c>
      <c r="K214" s="179">
        <f ca="1">IF(ISNUMBER(MATCH(DATEVALUE($A214),'recurring1_based on steps'!K$1:K$400,0)),K$2,)</f>
        <v>0</v>
      </c>
      <c r="L214" s="179">
        <f ca="1">IF(ISNUMBER(MATCH(DATEVALUE($A214),'recurring1_based on steps'!L$1:L$400,0)),L$2,)</f>
        <v>0</v>
      </c>
      <c r="M214" s="179">
        <f ca="1">IF(ISNUMBER(MATCH(DATEVALUE($A214),'recurring1_based on steps'!M$1:M$400,0)),M$2,)</f>
        <v>0</v>
      </c>
      <c r="N214" s="179">
        <f ca="1">IF(ISNUMBER(MATCH(DATEVALUE($A214),'recurring1_based on steps'!N$1:N$400,0)),N$2,)</f>
        <v>0</v>
      </c>
      <c r="O214" s="179">
        <f ca="1">IF(ISNUMBER(MATCH(DATEVALUE($A214),'recurring1_based on steps'!O$1:O$400,0)),O$2,)</f>
        <v>0</v>
      </c>
      <c r="P214" s="179">
        <f ca="1">IF(ISNUMBER(MATCH(DATEVALUE($A214),'recurring1_based on steps'!P$1:P$400,0)),P$2,)</f>
        <v>0</v>
      </c>
      <c r="Q214" s="179">
        <f ca="1">IF(ISNUMBER(MATCH(DATEVALUE($A214),'recurring1_based on steps'!Q$1:Q$400,0)),Q$2,)</f>
        <v>0</v>
      </c>
      <c r="R214" s="179">
        <f ca="1">IF(ISNUMBER(MATCH(DATEVALUE($A214),'recurring1_based on steps'!R$1:R$400,0)),R$2,)</f>
        <v>0</v>
      </c>
      <c r="S214" s="179">
        <f ca="1">IF(ISNUMBER(MATCH(DATEVALUE($A214),'recurring1_based on steps'!S$1:S$400,0)),S$2,)</f>
        <v>0</v>
      </c>
      <c r="T214" s="179">
        <f ca="1">IF(ISNUMBER(MATCH(DATEVALUE($A214),'recurring1_based on steps'!T$1:T$400,0)),T$2,)</f>
        <v>0</v>
      </c>
      <c r="U214" s="179">
        <f ca="1">IF(ISNUMBER(MATCH(DATEVALUE($A214),'recurring1_based on steps'!U$1:U$400,0)),U$2,)</f>
        <v>0</v>
      </c>
      <c r="V214" s="179">
        <f ca="1">IF(ISNUMBER(MATCH(DATEVALUE($A214),'recurring1_based on steps'!V$1:V$400,0)),V$2,)</f>
        <v>0</v>
      </c>
      <c r="W214" s="179">
        <f ca="1">IF(ISNUMBER(MATCH(DATEVALUE($A214),'recurring1_based on steps'!W$1:W$400,0)),W$2,)</f>
        <v>0</v>
      </c>
      <c r="X214" s="179">
        <f ca="1">IF(ISNUMBER(MATCH(DATEVALUE($A214),'recurring1_based on steps'!X$1:X$400,0)),X$2,)</f>
        <v>0</v>
      </c>
      <c r="Y214" s="179">
        <f ca="1">IF(ISNUMBER(MATCH(DATEVALUE($A214),'recurring1_based on steps'!Y$1:Y$400,0)),Y$2,)</f>
        <v>0</v>
      </c>
      <c r="Z214" s="179">
        <f ca="1">IF(ISNUMBER(MATCH(DATEVALUE($A214),'recurring1_based on steps'!Z$1:Z$400,0)),Z$2,)</f>
        <v>0</v>
      </c>
      <c r="AA214" s="179">
        <f ca="1">IF(ISNUMBER(MATCH(DATEVALUE($A214),'recurring1_based on steps'!AA$1:AA$400,0)),AA$2,)</f>
        <v>0</v>
      </c>
      <c r="AB214" s="179">
        <f ca="1">IF(ISNUMBER(MATCH(DATEVALUE($A214),'recurring1_based on steps'!AB$1:AB$400,0)),AB$2,)</f>
        <v>0</v>
      </c>
      <c r="AC214" s="179">
        <f ca="1">IF(ISNUMBER(MATCH(DATEVALUE($A214),'recurring1_based on steps'!AC$1:AC$400,0)),AC$2,)</f>
        <v>0</v>
      </c>
      <c r="AD214" s="179">
        <f ca="1">IF(ISNUMBER(MATCH(DATEVALUE($A214),'recurring1_based on steps'!AD$1:AD$400,0)),AD$2,)</f>
        <v>0</v>
      </c>
      <c r="AE214" s="179">
        <f ca="1">IF(ISNUMBER(MATCH(DATEVALUE($A214),'recurring1_based on steps'!AE$1:AE$400,0)),AE$2,)</f>
        <v>0</v>
      </c>
      <c r="AF214" s="179">
        <f ca="1">IF(ISNUMBER(MATCH(DATEVALUE($A214),'recurring1_based on steps'!AF$1:AF$400,0)),AF$2,)</f>
        <v>0</v>
      </c>
      <c r="AG214" s="179">
        <f ca="1">IF(ISNUMBER(MATCH(DATEVALUE($A214),'recurring1_based on steps'!AG$1:AG$400,0)),AG$2,)</f>
        <v>0</v>
      </c>
      <c r="AH214" s="179">
        <f ca="1">IF(ISNUMBER(MATCH(DATEVALUE($A214),'recurring1_based on steps'!AH$1:AH$400,0)),AH$2,)</f>
        <v>0</v>
      </c>
      <c r="AI214" s="179">
        <f ca="1">IF(ISNUMBER(MATCH(DATEVALUE($A214),'recurring1_based on steps'!AI$1:AI$400,0)),AI$2,)</f>
        <v>0</v>
      </c>
      <c r="AJ214" s="179">
        <f ca="1">IF(ISNUMBER(MATCH(DATEVALUE($A214),'recurring1_based on steps'!AJ$1:AJ$400,0)),AJ$2,)</f>
        <v>0</v>
      </c>
      <c r="AK214" s="179">
        <f ca="1">IF(ISNUMBER(MATCH(DATEVALUE($A214),'recurring1_based on steps'!AK$1:AK$400,0)),AK$2,)</f>
        <v>0</v>
      </c>
      <c r="AL214" s="179">
        <f ca="1">IF(ISNUMBER(MATCH(DATEVALUE($A214),'recurring1_based on steps'!AL$1:AL$400,0)),AL$2,)</f>
        <v>0</v>
      </c>
      <c r="AM214" s="179">
        <f ca="1">IF(ISNUMBER(MATCH(DATEVALUE($A214),'recurring1_based on steps'!AM$1:AM$400,0)),AM$2,)</f>
        <v>0</v>
      </c>
      <c r="AN214" s="179">
        <f ca="1">IF(ISNUMBER(MATCH(DATEVALUE($A214),'recurring1_based on steps'!AN$1:AN$400,0)),AN$2,)</f>
        <v>0</v>
      </c>
      <c r="AO214" s="179">
        <f ca="1">IF(ISNUMBER(MATCH(DATEVALUE($A214),'recurring1_based on steps'!AO$1:AO$400,0)),AO$2,)</f>
        <v>0</v>
      </c>
      <c r="AP214" s="179">
        <f ca="1">IF(ISNUMBER(MATCH(DATEVALUE($A214),'recurring1_based on steps'!AP$1:AP$400,0)),AP$2,)</f>
        <v>0</v>
      </c>
      <c r="AQ214" s="179">
        <f ca="1">IF(ISNUMBER(MATCH(DATEVALUE($A214),'recurring1_based on steps'!AQ$1:AQ$400,0)),AQ$2,)</f>
        <v>0</v>
      </c>
      <c r="AR214" s="179">
        <f ca="1">IF(ISNUMBER(MATCH(DATEVALUE($A214),'recurring1_based on steps'!AR$1:AR$400,0)),AR$2,)</f>
        <v>0</v>
      </c>
      <c r="AS214" s="179">
        <f ca="1">IF(ISNUMBER(MATCH(DATEVALUE($A214),'recurring1_based on steps'!AS$1:AS$400,0)),AS$2,)</f>
        <v>0</v>
      </c>
      <c r="AT214" s="179">
        <f ca="1">IF(ISNUMBER(MATCH(DATEVALUE($A214),'recurring1_based on steps'!AT$1:AT$400,0)),AT$2,)</f>
        <v>0</v>
      </c>
      <c r="AU214" s="179">
        <f ca="1">IF(ISNUMBER(MATCH(DATEVALUE($A214),'recurring1_based on steps'!AU$1:AU$400,0)),AU$2,)</f>
        <v>0</v>
      </c>
      <c r="AV214" s="179">
        <f ca="1">IF(ISNUMBER(MATCH(DATEVALUE($A214),'recurring1_based on steps'!AV$1:AV$400,0)),AV$2,)</f>
        <v>0</v>
      </c>
      <c r="AW214" s="179">
        <f ca="1">IF(ISNUMBER(MATCH(DATEVALUE($A214),'recurring1_based on steps'!AW$1:AW$400,0)),AW$2,)</f>
        <v>0</v>
      </c>
      <c r="AX214" s="179">
        <f ca="1">IF(ISNUMBER(MATCH(DATEVALUE($A214),'recurring1_based on steps'!AX$1:AX$400,0)),AX$2,)</f>
        <v>0</v>
      </c>
      <c r="AY214" s="179">
        <f ca="1">IF(ISNUMBER(MATCH(DATEVALUE($A214),'recurring1_based on steps'!AY$1:AY$400,0)),AY$2,)</f>
        <v>0</v>
      </c>
    </row>
    <row r="215" spans="1:51" x14ac:dyDescent="0.2">
      <c r="A215" s="32" t="str">
        <f t="shared" ca="1" si="3"/>
        <v>2025-10-27</v>
      </c>
      <c r="B215" s="179">
        <f ca="1">IF(ISNUMBER(MATCH(DATEVALUE($A215),'recurring1_based on steps'!B$1:B$400,0)),B$2,)</f>
        <v>0</v>
      </c>
      <c r="C215" s="179">
        <f ca="1">IF(ISNUMBER(MATCH(DATEVALUE($A215),'recurring1_based on steps'!C$1:C$400,0)),C$2,)</f>
        <v>0</v>
      </c>
      <c r="D215" s="179">
        <f ca="1">IF(ISNUMBER(MATCH(DATEVALUE($A215),'recurring1_based on steps'!D$1:D$400,0)),D$2,)</f>
        <v>0</v>
      </c>
      <c r="E215" s="179">
        <f ca="1">IF(ISNUMBER(MATCH(DATEVALUE($A215),'recurring1_based on steps'!E$1:E$400,0)),E$2,)</f>
        <v>0</v>
      </c>
      <c r="F215" s="179">
        <f ca="1">IF(ISNUMBER(MATCH(DATEVALUE($A215),'recurring1_based on steps'!F$1:F$400,0)),F$2,)</f>
        <v>0</v>
      </c>
      <c r="G215" s="179">
        <f ca="1">IF(ISNUMBER(MATCH(DATEVALUE($A215),'recurring1_based on steps'!G$1:G$400,0)),G$2,)</f>
        <v>0</v>
      </c>
      <c r="H215" s="179">
        <f ca="1">IF(ISNUMBER(MATCH(DATEVALUE($A215),'recurring1_based on steps'!H$1:H$400,0)),H$2,)</f>
        <v>0</v>
      </c>
      <c r="I215" s="179">
        <f ca="1">IF(ISNUMBER(MATCH(DATEVALUE($A215),'recurring1_based on steps'!I$1:I$400,0)),I$2,)</f>
        <v>0</v>
      </c>
      <c r="J215" s="179">
        <f ca="1">IF(ISNUMBER(MATCH(DATEVALUE($A215),'recurring1_based on steps'!J$1:J$400,0)),J$2,)</f>
        <v>0</v>
      </c>
      <c r="K215" s="179">
        <f ca="1">IF(ISNUMBER(MATCH(DATEVALUE($A215),'recurring1_based on steps'!K$1:K$400,0)),K$2,)</f>
        <v>0</v>
      </c>
      <c r="L215" s="179">
        <f ca="1">IF(ISNUMBER(MATCH(DATEVALUE($A215),'recurring1_based on steps'!L$1:L$400,0)),L$2,)</f>
        <v>0</v>
      </c>
      <c r="M215" s="179">
        <f ca="1">IF(ISNUMBER(MATCH(DATEVALUE($A215),'recurring1_based on steps'!M$1:M$400,0)),M$2,)</f>
        <v>0</v>
      </c>
      <c r="N215" s="179">
        <f ca="1">IF(ISNUMBER(MATCH(DATEVALUE($A215),'recurring1_based on steps'!N$1:N$400,0)),N$2,)</f>
        <v>0</v>
      </c>
      <c r="O215" s="179">
        <f ca="1">IF(ISNUMBER(MATCH(DATEVALUE($A215),'recurring1_based on steps'!O$1:O$400,0)),O$2,)</f>
        <v>0</v>
      </c>
      <c r="P215" s="179">
        <f ca="1">IF(ISNUMBER(MATCH(DATEVALUE($A215),'recurring1_based on steps'!P$1:P$400,0)),P$2,)</f>
        <v>0</v>
      </c>
      <c r="Q215" s="179">
        <f ca="1">IF(ISNUMBER(MATCH(DATEVALUE($A215),'recurring1_based on steps'!Q$1:Q$400,0)),Q$2,)</f>
        <v>0</v>
      </c>
      <c r="R215" s="179">
        <f ca="1">IF(ISNUMBER(MATCH(DATEVALUE($A215),'recurring1_based on steps'!R$1:R$400,0)),R$2,)</f>
        <v>0</v>
      </c>
      <c r="S215" s="179">
        <f ca="1">IF(ISNUMBER(MATCH(DATEVALUE($A215),'recurring1_based on steps'!S$1:S$400,0)),S$2,)</f>
        <v>0</v>
      </c>
      <c r="T215" s="179">
        <f ca="1">IF(ISNUMBER(MATCH(DATEVALUE($A215),'recurring1_based on steps'!T$1:T$400,0)),T$2,)</f>
        <v>0</v>
      </c>
      <c r="U215" s="179">
        <f ca="1">IF(ISNUMBER(MATCH(DATEVALUE($A215),'recurring1_based on steps'!U$1:U$400,0)),U$2,)</f>
        <v>0</v>
      </c>
      <c r="V215" s="179">
        <f ca="1">IF(ISNUMBER(MATCH(DATEVALUE($A215),'recurring1_based on steps'!V$1:V$400,0)),V$2,)</f>
        <v>0</v>
      </c>
      <c r="W215" s="179">
        <f ca="1">IF(ISNUMBER(MATCH(DATEVALUE($A215),'recurring1_based on steps'!W$1:W$400,0)),W$2,)</f>
        <v>0</v>
      </c>
      <c r="X215" s="179">
        <f ca="1">IF(ISNUMBER(MATCH(DATEVALUE($A215),'recurring1_based on steps'!X$1:X$400,0)),X$2,)</f>
        <v>0</v>
      </c>
      <c r="Y215" s="179">
        <f ca="1">IF(ISNUMBER(MATCH(DATEVALUE($A215),'recurring1_based on steps'!Y$1:Y$400,0)),Y$2,)</f>
        <v>0</v>
      </c>
      <c r="Z215" s="179">
        <f ca="1">IF(ISNUMBER(MATCH(DATEVALUE($A215),'recurring1_based on steps'!Z$1:Z$400,0)),Z$2,)</f>
        <v>0</v>
      </c>
      <c r="AA215" s="179">
        <f ca="1">IF(ISNUMBER(MATCH(DATEVALUE($A215),'recurring1_based on steps'!AA$1:AA$400,0)),AA$2,)</f>
        <v>0</v>
      </c>
      <c r="AB215" s="179">
        <f ca="1">IF(ISNUMBER(MATCH(DATEVALUE($A215),'recurring1_based on steps'!AB$1:AB$400,0)),AB$2,)</f>
        <v>0</v>
      </c>
      <c r="AC215" s="179">
        <f ca="1">IF(ISNUMBER(MATCH(DATEVALUE($A215),'recurring1_based on steps'!AC$1:AC$400,0)),AC$2,)</f>
        <v>0</v>
      </c>
      <c r="AD215" s="179">
        <f ca="1">IF(ISNUMBER(MATCH(DATEVALUE($A215),'recurring1_based on steps'!AD$1:AD$400,0)),AD$2,)</f>
        <v>0</v>
      </c>
      <c r="AE215" s="179">
        <f ca="1">IF(ISNUMBER(MATCH(DATEVALUE($A215),'recurring1_based on steps'!AE$1:AE$400,0)),AE$2,)</f>
        <v>0</v>
      </c>
      <c r="AF215" s="179">
        <f ca="1">IF(ISNUMBER(MATCH(DATEVALUE($A215),'recurring1_based on steps'!AF$1:AF$400,0)),AF$2,)</f>
        <v>0</v>
      </c>
      <c r="AG215" s="179">
        <f ca="1">IF(ISNUMBER(MATCH(DATEVALUE($A215),'recurring1_based on steps'!AG$1:AG$400,0)),AG$2,)</f>
        <v>0</v>
      </c>
      <c r="AH215" s="179">
        <f ca="1">IF(ISNUMBER(MATCH(DATEVALUE($A215),'recurring1_based on steps'!AH$1:AH$400,0)),AH$2,)</f>
        <v>0</v>
      </c>
      <c r="AI215" s="179">
        <f ca="1">IF(ISNUMBER(MATCH(DATEVALUE($A215),'recurring1_based on steps'!AI$1:AI$400,0)),AI$2,)</f>
        <v>0</v>
      </c>
      <c r="AJ215" s="179">
        <f ca="1">IF(ISNUMBER(MATCH(DATEVALUE($A215),'recurring1_based on steps'!AJ$1:AJ$400,0)),AJ$2,)</f>
        <v>0</v>
      </c>
      <c r="AK215" s="179">
        <f ca="1">IF(ISNUMBER(MATCH(DATEVALUE($A215),'recurring1_based on steps'!AK$1:AK$400,0)),AK$2,)</f>
        <v>0</v>
      </c>
      <c r="AL215" s="179">
        <f ca="1">IF(ISNUMBER(MATCH(DATEVALUE($A215),'recurring1_based on steps'!AL$1:AL$400,0)),AL$2,)</f>
        <v>0</v>
      </c>
      <c r="AM215" s="179">
        <f ca="1">IF(ISNUMBER(MATCH(DATEVALUE($A215),'recurring1_based on steps'!AM$1:AM$400,0)),AM$2,)</f>
        <v>0</v>
      </c>
      <c r="AN215" s="179">
        <f ca="1">IF(ISNUMBER(MATCH(DATEVALUE($A215),'recurring1_based on steps'!AN$1:AN$400,0)),AN$2,)</f>
        <v>0</v>
      </c>
      <c r="AO215" s="179">
        <f ca="1">IF(ISNUMBER(MATCH(DATEVALUE($A215),'recurring1_based on steps'!AO$1:AO$400,0)),AO$2,)</f>
        <v>0</v>
      </c>
      <c r="AP215" s="179">
        <f ca="1">IF(ISNUMBER(MATCH(DATEVALUE($A215),'recurring1_based on steps'!AP$1:AP$400,0)),AP$2,)</f>
        <v>0</v>
      </c>
      <c r="AQ215" s="179">
        <f ca="1">IF(ISNUMBER(MATCH(DATEVALUE($A215),'recurring1_based on steps'!AQ$1:AQ$400,0)),AQ$2,)</f>
        <v>0</v>
      </c>
      <c r="AR215" s="179">
        <f ca="1">IF(ISNUMBER(MATCH(DATEVALUE($A215),'recurring1_based on steps'!AR$1:AR$400,0)),AR$2,)</f>
        <v>0</v>
      </c>
      <c r="AS215" s="179">
        <f ca="1">IF(ISNUMBER(MATCH(DATEVALUE($A215),'recurring1_based on steps'!AS$1:AS$400,0)),AS$2,)</f>
        <v>0</v>
      </c>
      <c r="AT215" s="179">
        <f ca="1">IF(ISNUMBER(MATCH(DATEVALUE($A215),'recurring1_based on steps'!AT$1:AT$400,0)),AT$2,)</f>
        <v>0</v>
      </c>
      <c r="AU215" s="179">
        <f ca="1">IF(ISNUMBER(MATCH(DATEVALUE($A215),'recurring1_based on steps'!AU$1:AU$400,0)),AU$2,)</f>
        <v>0</v>
      </c>
      <c r="AV215" s="179">
        <f ca="1">IF(ISNUMBER(MATCH(DATEVALUE($A215),'recurring1_based on steps'!AV$1:AV$400,0)),AV$2,)</f>
        <v>0</v>
      </c>
      <c r="AW215" s="179">
        <f ca="1">IF(ISNUMBER(MATCH(DATEVALUE($A215),'recurring1_based on steps'!AW$1:AW$400,0)),AW$2,)</f>
        <v>0</v>
      </c>
      <c r="AX215" s="179">
        <f ca="1">IF(ISNUMBER(MATCH(DATEVALUE($A215),'recurring1_based on steps'!AX$1:AX$400,0)),AX$2,)</f>
        <v>0</v>
      </c>
      <c r="AY215" s="179">
        <f ca="1">IF(ISNUMBER(MATCH(DATEVALUE($A215),'recurring1_based on steps'!AY$1:AY$400,0)),AY$2,)</f>
        <v>0</v>
      </c>
    </row>
    <row r="216" spans="1:51" x14ac:dyDescent="0.2">
      <c r="A216" s="32" t="str">
        <f t="shared" ca="1" si="3"/>
        <v>2025-10-28</v>
      </c>
      <c r="B216" s="179">
        <f ca="1">IF(ISNUMBER(MATCH(DATEVALUE($A216),'recurring1_based on steps'!B$1:B$400,0)),B$2,)</f>
        <v>0</v>
      </c>
      <c r="C216" s="179">
        <f ca="1">IF(ISNUMBER(MATCH(DATEVALUE($A216),'recurring1_based on steps'!C$1:C$400,0)),C$2,)</f>
        <v>0</v>
      </c>
      <c r="D216" s="179">
        <f ca="1">IF(ISNUMBER(MATCH(DATEVALUE($A216),'recurring1_based on steps'!D$1:D$400,0)),D$2,)</f>
        <v>0</v>
      </c>
      <c r="E216" s="179">
        <f ca="1">IF(ISNUMBER(MATCH(DATEVALUE($A216),'recurring1_based on steps'!E$1:E$400,0)),E$2,)</f>
        <v>0</v>
      </c>
      <c r="F216" s="179">
        <f ca="1">IF(ISNUMBER(MATCH(DATEVALUE($A216),'recurring1_based on steps'!F$1:F$400,0)),F$2,)</f>
        <v>0</v>
      </c>
      <c r="G216" s="179">
        <f ca="1">IF(ISNUMBER(MATCH(DATEVALUE($A216),'recurring1_based on steps'!G$1:G$400,0)),G$2,)</f>
        <v>0</v>
      </c>
      <c r="H216" s="179">
        <f ca="1">IF(ISNUMBER(MATCH(DATEVALUE($A216),'recurring1_based on steps'!H$1:H$400,0)),H$2,)</f>
        <v>0</v>
      </c>
      <c r="I216" s="179">
        <f ca="1">IF(ISNUMBER(MATCH(DATEVALUE($A216),'recurring1_based on steps'!I$1:I$400,0)),I$2,)</f>
        <v>0</v>
      </c>
      <c r="J216" s="179">
        <f ca="1">IF(ISNUMBER(MATCH(DATEVALUE($A216),'recurring1_based on steps'!J$1:J$400,0)),J$2,)</f>
        <v>0</v>
      </c>
      <c r="K216" s="179">
        <f ca="1">IF(ISNUMBER(MATCH(DATEVALUE($A216),'recurring1_based on steps'!K$1:K$400,0)),K$2,)</f>
        <v>0</v>
      </c>
      <c r="L216" s="179">
        <f ca="1">IF(ISNUMBER(MATCH(DATEVALUE($A216),'recurring1_based on steps'!L$1:L$400,0)),L$2,)</f>
        <v>0</v>
      </c>
      <c r="M216" s="179">
        <f ca="1">IF(ISNUMBER(MATCH(DATEVALUE($A216),'recurring1_based on steps'!M$1:M$400,0)),M$2,)</f>
        <v>0</v>
      </c>
      <c r="N216" s="179">
        <f ca="1">IF(ISNUMBER(MATCH(DATEVALUE($A216),'recurring1_based on steps'!N$1:N$400,0)),N$2,)</f>
        <v>0</v>
      </c>
      <c r="O216" s="179">
        <f ca="1">IF(ISNUMBER(MATCH(DATEVALUE($A216),'recurring1_based on steps'!O$1:O$400,0)),O$2,)</f>
        <v>0</v>
      </c>
      <c r="P216" s="179">
        <f ca="1">IF(ISNUMBER(MATCH(DATEVALUE($A216),'recurring1_based on steps'!P$1:P$400,0)),P$2,)</f>
        <v>0</v>
      </c>
      <c r="Q216" s="179">
        <f ca="1">IF(ISNUMBER(MATCH(DATEVALUE($A216),'recurring1_based on steps'!Q$1:Q$400,0)),Q$2,)</f>
        <v>0</v>
      </c>
      <c r="R216" s="179">
        <f ca="1">IF(ISNUMBER(MATCH(DATEVALUE($A216),'recurring1_based on steps'!R$1:R$400,0)),R$2,)</f>
        <v>0</v>
      </c>
      <c r="S216" s="179">
        <f ca="1">IF(ISNUMBER(MATCH(DATEVALUE($A216),'recurring1_based on steps'!S$1:S$400,0)),S$2,)</f>
        <v>0</v>
      </c>
      <c r="T216" s="179">
        <f ca="1">IF(ISNUMBER(MATCH(DATEVALUE($A216),'recurring1_based on steps'!T$1:T$400,0)),T$2,)</f>
        <v>0</v>
      </c>
      <c r="U216" s="179">
        <f ca="1">IF(ISNUMBER(MATCH(DATEVALUE($A216),'recurring1_based on steps'!U$1:U$400,0)),U$2,)</f>
        <v>0</v>
      </c>
      <c r="V216" s="179">
        <f ca="1">IF(ISNUMBER(MATCH(DATEVALUE($A216),'recurring1_based on steps'!V$1:V$400,0)),V$2,)</f>
        <v>0</v>
      </c>
      <c r="W216" s="179">
        <f ca="1">IF(ISNUMBER(MATCH(DATEVALUE($A216),'recurring1_based on steps'!W$1:W$400,0)),W$2,)</f>
        <v>0</v>
      </c>
      <c r="X216" s="179">
        <f ca="1">IF(ISNUMBER(MATCH(DATEVALUE($A216),'recurring1_based on steps'!X$1:X$400,0)),X$2,)</f>
        <v>0</v>
      </c>
      <c r="Y216" s="179">
        <f ca="1">IF(ISNUMBER(MATCH(DATEVALUE($A216),'recurring1_based on steps'!Y$1:Y$400,0)),Y$2,)</f>
        <v>0</v>
      </c>
      <c r="Z216" s="179">
        <f ca="1">IF(ISNUMBER(MATCH(DATEVALUE($A216),'recurring1_based on steps'!Z$1:Z$400,0)),Z$2,)</f>
        <v>0</v>
      </c>
      <c r="AA216" s="179">
        <f ca="1">IF(ISNUMBER(MATCH(DATEVALUE($A216),'recurring1_based on steps'!AA$1:AA$400,0)),AA$2,)</f>
        <v>0</v>
      </c>
      <c r="AB216" s="179">
        <f ca="1">IF(ISNUMBER(MATCH(DATEVALUE($A216),'recurring1_based on steps'!AB$1:AB$400,0)),AB$2,)</f>
        <v>0</v>
      </c>
      <c r="AC216" s="179">
        <f ca="1">IF(ISNUMBER(MATCH(DATEVALUE($A216),'recurring1_based on steps'!AC$1:AC$400,0)),AC$2,)</f>
        <v>0</v>
      </c>
      <c r="AD216" s="179">
        <f ca="1">IF(ISNUMBER(MATCH(DATEVALUE($A216),'recurring1_based on steps'!AD$1:AD$400,0)),AD$2,)</f>
        <v>0</v>
      </c>
      <c r="AE216" s="179">
        <f ca="1">IF(ISNUMBER(MATCH(DATEVALUE($A216),'recurring1_based on steps'!AE$1:AE$400,0)),AE$2,)</f>
        <v>0</v>
      </c>
      <c r="AF216" s="179">
        <f ca="1">IF(ISNUMBER(MATCH(DATEVALUE($A216),'recurring1_based on steps'!AF$1:AF$400,0)),AF$2,)</f>
        <v>0</v>
      </c>
      <c r="AG216" s="179">
        <f ca="1">IF(ISNUMBER(MATCH(DATEVALUE($A216),'recurring1_based on steps'!AG$1:AG$400,0)),AG$2,)</f>
        <v>0</v>
      </c>
      <c r="AH216" s="179">
        <f ca="1">IF(ISNUMBER(MATCH(DATEVALUE($A216),'recurring1_based on steps'!AH$1:AH$400,0)),AH$2,)</f>
        <v>0</v>
      </c>
      <c r="AI216" s="179">
        <f ca="1">IF(ISNUMBER(MATCH(DATEVALUE($A216),'recurring1_based on steps'!AI$1:AI$400,0)),AI$2,)</f>
        <v>0</v>
      </c>
      <c r="AJ216" s="179">
        <f ca="1">IF(ISNUMBER(MATCH(DATEVALUE($A216),'recurring1_based on steps'!AJ$1:AJ$400,0)),AJ$2,)</f>
        <v>0</v>
      </c>
      <c r="AK216" s="179">
        <f ca="1">IF(ISNUMBER(MATCH(DATEVALUE($A216),'recurring1_based on steps'!AK$1:AK$400,0)),AK$2,)</f>
        <v>0</v>
      </c>
      <c r="AL216" s="179">
        <f ca="1">IF(ISNUMBER(MATCH(DATEVALUE($A216),'recurring1_based on steps'!AL$1:AL$400,0)),AL$2,)</f>
        <v>0</v>
      </c>
      <c r="AM216" s="179">
        <f ca="1">IF(ISNUMBER(MATCH(DATEVALUE($A216),'recurring1_based on steps'!AM$1:AM$400,0)),AM$2,)</f>
        <v>0</v>
      </c>
      <c r="AN216" s="179">
        <f ca="1">IF(ISNUMBER(MATCH(DATEVALUE($A216),'recurring1_based on steps'!AN$1:AN$400,0)),AN$2,)</f>
        <v>0</v>
      </c>
      <c r="AO216" s="179">
        <f ca="1">IF(ISNUMBER(MATCH(DATEVALUE($A216),'recurring1_based on steps'!AO$1:AO$400,0)),AO$2,)</f>
        <v>0</v>
      </c>
      <c r="AP216" s="179">
        <f ca="1">IF(ISNUMBER(MATCH(DATEVALUE($A216),'recurring1_based on steps'!AP$1:AP$400,0)),AP$2,)</f>
        <v>0</v>
      </c>
      <c r="AQ216" s="179">
        <f ca="1">IF(ISNUMBER(MATCH(DATEVALUE($A216),'recurring1_based on steps'!AQ$1:AQ$400,0)),AQ$2,)</f>
        <v>0</v>
      </c>
      <c r="AR216" s="179">
        <f ca="1">IF(ISNUMBER(MATCH(DATEVALUE($A216),'recurring1_based on steps'!AR$1:AR$400,0)),AR$2,)</f>
        <v>0</v>
      </c>
      <c r="AS216" s="179">
        <f ca="1">IF(ISNUMBER(MATCH(DATEVALUE($A216),'recurring1_based on steps'!AS$1:AS$400,0)),AS$2,)</f>
        <v>0</v>
      </c>
      <c r="AT216" s="179">
        <f ca="1">IF(ISNUMBER(MATCH(DATEVALUE($A216),'recurring1_based on steps'!AT$1:AT$400,0)),AT$2,)</f>
        <v>0</v>
      </c>
      <c r="AU216" s="179">
        <f ca="1">IF(ISNUMBER(MATCH(DATEVALUE($A216),'recurring1_based on steps'!AU$1:AU$400,0)),AU$2,)</f>
        <v>0</v>
      </c>
      <c r="AV216" s="179">
        <f ca="1">IF(ISNUMBER(MATCH(DATEVALUE($A216),'recurring1_based on steps'!AV$1:AV$400,0)),AV$2,)</f>
        <v>0</v>
      </c>
      <c r="AW216" s="179">
        <f ca="1">IF(ISNUMBER(MATCH(DATEVALUE($A216),'recurring1_based on steps'!AW$1:AW$400,0)),AW$2,)</f>
        <v>0</v>
      </c>
      <c r="AX216" s="179">
        <f ca="1">IF(ISNUMBER(MATCH(DATEVALUE($A216),'recurring1_based on steps'!AX$1:AX$400,0)),AX$2,)</f>
        <v>0</v>
      </c>
      <c r="AY216" s="179">
        <f ca="1">IF(ISNUMBER(MATCH(DATEVALUE($A216),'recurring1_based on steps'!AY$1:AY$400,0)),AY$2,)</f>
        <v>0</v>
      </c>
    </row>
    <row r="217" spans="1:51" x14ac:dyDescent="0.2">
      <c r="A217" s="32" t="str">
        <f t="shared" ca="1" si="3"/>
        <v>2025-10-29</v>
      </c>
      <c r="B217" s="179">
        <f ca="1">IF(ISNUMBER(MATCH(DATEVALUE($A217),'recurring1_based on steps'!B$1:B$400,0)),B$2,)</f>
        <v>0</v>
      </c>
      <c r="C217" s="179">
        <f ca="1">IF(ISNUMBER(MATCH(DATEVALUE($A217),'recurring1_based on steps'!C$1:C$400,0)),C$2,)</f>
        <v>0</v>
      </c>
      <c r="D217" s="179">
        <f ca="1">IF(ISNUMBER(MATCH(DATEVALUE($A217),'recurring1_based on steps'!D$1:D$400,0)),D$2,)</f>
        <v>0</v>
      </c>
      <c r="E217" s="179">
        <f ca="1">IF(ISNUMBER(MATCH(DATEVALUE($A217),'recurring1_based on steps'!E$1:E$400,0)),E$2,)</f>
        <v>0</v>
      </c>
      <c r="F217" s="179">
        <f ca="1">IF(ISNUMBER(MATCH(DATEVALUE($A217),'recurring1_based on steps'!F$1:F$400,0)),F$2,)</f>
        <v>0</v>
      </c>
      <c r="G217" s="179">
        <f ca="1">IF(ISNUMBER(MATCH(DATEVALUE($A217),'recurring1_based on steps'!G$1:G$400,0)),G$2,)</f>
        <v>0</v>
      </c>
      <c r="H217" s="179">
        <f ca="1">IF(ISNUMBER(MATCH(DATEVALUE($A217),'recurring1_based on steps'!H$1:H$400,0)),H$2,)</f>
        <v>0</v>
      </c>
      <c r="I217" s="179">
        <f ca="1">IF(ISNUMBER(MATCH(DATEVALUE($A217),'recurring1_based on steps'!I$1:I$400,0)),I$2,)</f>
        <v>0</v>
      </c>
      <c r="J217" s="179">
        <f ca="1">IF(ISNUMBER(MATCH(DATEVALUE($A217),'recurring1_based on steps'!J$1:J$400,0)),J$2,)</f>
        <v>0</v>
      </c>
      <c r="K217" s="179">
        <f ca="1">IF(ISNUMBER(MATCH(DATEVALUE($A217),'recurring1_based on steps'!K$1:K$400,0)),K$2,)</f>
        <v>0</v>
      </c>
      <c r="L217" s="179">
        <f ca="1">IF(ISNUMBER(MATCH(DATEVALUE($A217),'recurring1_based on steps'!L$1:L$400,0)),L$2,)</f>
        <v>0</v>
      </c>
      <c r="M217" s="179">
        <f ca="1">IF(ISNUMBER(MATCH(DATEVALUE($A217),'recurring1_based on steps'!M$1:M$400,0)),M$2,)</f>
        <v>0</v>
      </c>
      <c r="N217" s="179">
        <f ca="1">IF(ISNUMBER(MATCH(DATEVALUE($A217),'recurring1_based on steps'!N$1:N$400,0)),N$2,)</f>
        <v>0</v>
      </c>
      <c r="O217" s="179">
        <f ca="1">IF(ISNUMBER(MATCH(DATEVALUE($A217),'recurring1_based on steps'!O$1:O$400,0)),O$2,)</f>
        <v>0</v>
      </c>
      <c r="P217" s="179">
        <f ca="1">IF(ISNUMBER(MATCH(DATEVALUE($A217),'recurring1_based on steps'!P$1:P$400,0)),P$2,)</f>
        <v>0</v>
      </c>
      <c r="Q217" s="179">
        <f ca="1">IF(ISNUMBER(MATCH(DATEVALUE($A217),'recurring1_based on steps'!Q$1:Q$400,0)),Q$2,)</f>
        <v>0</v>
      </c>
      <c r="R217" s="179">
        <f ca="1">IF(ISNUMBER(MATCH(DATEVALUE($A217),'recurring1_based on steps'!R$1:R$400,0)),R$2,)</f>
        <v>0</v>
      </c>
      <c r="S217" s="179">
        <f ca="1">IF(ISNUMBER(MATCH(DATEVALUE($A217),'recurring1_based on steps'!S$1:S$400,0)),S$2,)</f>
        <v>0</v>
      </c>
      <c r="T217" s="179">
        <f ca="1">IF(ISNUMBER(MATCH(DATEVALUE($A217),'recurring1_based on steps'!T$1:T$400,0)),T$2,)</f>
        <v>0</v>
      </c>
      <c r="U217" s="179">
        <f ca="1">IF(ISNUMBER(MATCH(DATEVALUE($A217),'recurring1_based on steps'!U$1:U$400,0)),U$2,)</f>
        <v>0</v>
      </c>
      <c r="V217" s="179">
        <f ca="1">IF(ISNUMBER(MATCH(DATEVALUE($A217),'recurring1_based on steps'!V$1:V$400,0)),V$2,)</f>
        <v>0</v>
      </c>
      <c r="W217" s="179">
        <f ca="1">IF(ISNUMBER(MATCH(DATEVALUE($A217),'recurring1_based on steps'!W$1:W$400,0)),W$2,)</f>
        <v>0</v>
      </c>
      <c r="X217" s="179">
        <f ca="1">IF(ISNUMBER(MATCH(DATEVALUE($A217),'recurring1_based on steps'!X$1:X$400,0)),X$2,)</f>
        <v>0</v>
      </c>
      <c r="Y217" s="179">
        <f ca="1">IF(ISNUMBER(MATCH(DATEVALUE($A217),'recurring1_based on steps'!Y$1:Y$400,0)),Y$2,)</f>
        <v>0</v>
      </c>
      <c r="Z217" s="179">
        <f ca="1">IF(ISNUMBER(MATCH(DATEVALUE($A217),'recurring1_based on steps'!Z$1:Z$400,0)),Z$2,)</f>
        <v>0</v>
      </c>
      <c r="AA217" s="179">
        <f ca="1">IF(ISNUMBER(MATCH(DATEVALUE($A217),'recurring1_based on steps'!AA$1:AA$400,0)),AA$2,)</f>
        <v>0</v>
      </c>
      <c r="AB217" s="179">
        <f ca="1">IF(ISNUMBER(MATCH(DATEVALUE($A217),'recurring1_based on steps'!AB$1:AB$400,0)),AB$2,)</f>
        <v>0</v>
      </c>
      <c r="AC217" s="179">
        <f ca="1">IF(ISNUMBER(MATCH(DATEVALUE($A217),'recurring1_based on steps'!AC$1:AC$400,0)),AC$2,)</f>
        <v>0</v>
      </c>
      <c r="AD217" s="179">
        <f ca="1">IF(ISNUMBER(MATCH(DATEVALUE($A217),'recurring1_based on steps'!AD$1:AD$400,0)),AD$2,)</f>
        <v>0</v>
      </c>
      <c r="AE217" s="179">
        <f ca="1">IF(ISNUMBER(MATCH(DATEVALUE($A217),'recurring1_based on steps'!AE$1:AE$400,0)),AE$2,)</f>
        <v>0</v>
      </c>
      <c r="AF217" s="179">
        <f ca="1">IF(ISNUMBER(MATCH(DATEVALUE($A217),'recurring1_based on steps'!AF$1:AF$400,0)),AF$2,)</f>
        <v>0</v>
      </c>
      <c r="AG217" s="179">
        <f ca="1">IF(ISNUMBER(MATCH(DATEVALUE($A217),'recurring1_based on steps'!AG$1:AG$400,0)),AG$2,)</f>
        <v>0</v>
      </c>
      <c r="AH217" s="179">
        <f ca="1">IF(ISNUMBER(MATCH(DATEVALUE($A217),'recurring1_based on steps'!AH$1:AH$400,0)),AH$2,)</f>
        <v>0</v>
      </c>
      <c r="AI217" s="179">
        <f ca="1">IF(ISNUMBER(MATCH(DATEVALUE($A217),'recurring1_based on steps'!AI$1:AI$400,0)),AI$2,)</f>
        <v>0</v>
      </c>
      <c r="AJ217" s="179">
        <f ca="1">IF(ISNUMBER(MATCH(DATEVALUE($A217),'recurring1_based on steps'!AJ$1:AJ$400,0)),AJ$2,)</f>
        <v>0</v>
      </c>
      <c r="AK217" s="179">
        <f ca="1">IF(ISNUMBER(MATCH(DATEVALUE($A217),'recurring1_based on steps'!AK$1:AK$400,0)),AK$2,)</f>
        <v>0</v>
      </c>
      <c r="AL217" s="179">
        <f ca="1">IF(ISNUMBER(MATCH(DATEVALUE($A217),'recurring1_based on steps'!AL$1:AL$400,0)),AL$2,)</f>
        <v>0</v>
      </c>
      <c r="AM217" s="179">
        <f ca="1">IF(ISNUMBER(MATCH(DATEVALUE($A217),'recurring1_based on steps'!AM$1:AM$400,0)),AM$2,)</f>
        <v>0</v>
      </c>
      <c r="AN217" s="179">
        <f ca="1">IF(ISNUMBER(MATCH(DATEVALUE($A217),'recurring1_based on steps'!AN$1:AN$400,0)),AN$2,)</f>
        <v>0</v>
      </c>
      <c r="AO217" s="179">
        <f ca="1">IF(ISNUMBER(MATCH(DATEVALUE($A217),'recurring1_based on steps'!AO$1:AO$400,0)),AO$2,)</f>
        <v>0</v>
      </c>
      <c r="AP217" s="179">
        <f ca="1">IF(ISNUMBER(MATCH(DATEVALUE($A217),'recurring1_based on steps'!AP$1:AP$400,0)),AP$2,)</f>
        <v>0</v>
      </c>
      <c r="AQ217" s="179">
        <f ca="1">IF(ISNUMBER(MATCH(DATEVALUE($A217),'recurring1_based on steps'!AQ$1:AQ$400,0)),AQ$2,)</f>
        <v>0</v>
      </c>
      <c r="AR217" s="179">
        <f ca="1">IF(ISNUMBER(MATCH(DATEVALUE($A217),'recurring1_based on steps'!AR$1:AR$400,0)),AR$2,)</f>
        <v>0</v>
      </c>
      <c r="AS217" s="179">
        <f ca="1">IF(ISNUMBER(MATCH(DATEVALUE($A217),'recurring1_based on steps'!AS$1:AS$400,0)),AS$2,)</f>
        <v>0</v>
      </c>
      <c r="AT217" s="179">
        <f ca="1">IF(ISNUMBER(MATCH(DATEVALUE($A217),'recurring1_based on steps'!AT$1:AT$400,0)),AT$2,)</f>
        <v>0</v>
      </c>
      <c r="AU217" s="179">
        <f ca="1">IF(ISNUMBER(MATCH(DATEVALUE($A217),'recurring1_based on steps'!AU$1:AU$400,0)),AU$2,)</f>
        <v>0</v>
      </c>
      <c r="AV217" s="179">
        <f ca="1">IF(ISNUMBER(MATCH(DATEVALUE($A217),'recurring1_based on steps'!AV$1:AV$400,0)),AV$2,)</f>
        <v>0</v>
      </c>
      <c r="AW217" s="179">
        <f ca="1">IF(ISNUMBER(MATCH(DATEVALUE($A217),'recurring1_based on steps'!AW$1:AW$400,0)),AW$2,)</f>
        <v>0</v>
      </c>
      <c r="AX217" s="179">
        <f ca="1">IF(ISNUMBER(MATCH(DATEVALUE($A217),'recurring1_based on steps'!AX$1:AX$400,0)),AX$2,)</f>
        <v>0</v>
      </c>
      <c r="AY217" s="179">
        <f ca="1">IF(ISNUMBER(MATCH(DATEVALUE($A217),'recurring1_based on steps'!AY$1:AY$400,0)),AY$2,)</f>
        <v>0</v>
      </c>
    </row>
    <row r="218" spans="1:51" x14ac:dyDescent="0.2">
      <c r="A218" s="32" t="str">
        <f t="shared" ca="1" si="3"/>
        <v>2025-10-30</v>
      </c>
      <c r="B218" s="179">
        <f ca="1">IF(ISNUMBER(MATCH(DATEVALUE($A218),'recurring1_based on steps'!B$1:B$400,0)),B$2,)</f>
        <v>0</v>
      </c>
      <c r="C218" s="179">
        <f ca="1">IF(ISNUMBER(MATCH(DATEVALUE($A218),'recurring1_based on steps'!C$1:C$400,0)),C$2,)</f>
        <v>0</v>
      </c>
      <c r="D218" s="179">
        <f ca="1">IF(ISNUMBER(MATCH(DATEVALUE($A218),'recurring1_based on steps'!D$1:D$400,0)),D$2,)</f>
        <v>0</v>
      </c>
      <c r="E218" s="179">
        <f ca="1">IF(ISNUMBER(MATCH(DATEVALUE($A218),'recurring1_based on steps'!E$1:E$400,0)),E$2,)</f>
        <v>0</v>
      </c>
      <c r="F218" s="179">
        <f ca="1">IF(ISNUMBER(MATCH(DATEVALUE($A218),'recurring1_based on steps'!F$1:F$400,0)),F$2,)</f>
        <v>0</v>
      </c>
      <c r="G218" s="179">
        <f ca="1">IF(ISNUMBER(MATCH(DATEVALUE($A218),'recurring1_based on steps'!G$1:G$400,0)),G$2,)</f>
        <v>0</v>
      </c>
      <c r="H218" s="179">
        <f ca="1">IF(ISNUMBER(MATCH(DATEVALUE($A218),'recurring1_based on steps'!H$1:H$400,0)),H$2,)</f>
        <v>0</v>
      </c>
      <c r="I218" s="179">
        <f ca="1">IF(ISNUMBER(MATCH(DATEVALUE($A218),'recurring1_based on steps'!I$1:I$400,0)),I$2,)</f>
        <v>0</v>
      </c>
      <c r="J218" s="179">
        <f ca="1">IF(ISNUMBER(MATCH(DATEVALUE($A218),'recurring1_based on steps'!J$1:J$400,0)),J$2,)</f>
        <v>0</v>
      </c>
      <c r="K218" s="179">
        <f ca="1">IF(ISNUMBER(MATCH(DATEVALUE($A218),'recurring1_based on steps'!K$1:K$400,0)),K$2,)</f>
        <v>0</v>
      </c>
      <c r="L218" s="179">
        <f ca="1">IF(ISNUMBER(MATCH(DATEVALUE($A218),'recurring1_based on steps'!L$1:L$400,0)),L$2,)</f>
        <v>0</v>
      </c>
      <c r="M218" s="179">
        <f ca="1">IF(ISNUMBER(MATCH(DATEVALUE($A218),'recurring1_based on steps'!M$1:M$400,0)),M$2,)</f>
        <v>0</v>
      </c>
      <c r="N218" s="179">
        <f ca="1">IF(ISNUMBER(MATCH(DATEVALUE($A218),'recurring1_based on steps'!N$1:N$400,0)),N$2,)</f>
        <v>0</v>
      </c>
      <c r="O218" s="179">
        <f ca="1">IF(ISNUMBER(MATCH(DATEVALUE($A218),'recurring1_based on steps'!O$1:O$400,0)),O$2,)</f>
        <v>0</v>
      </c>
      <c r="P218" s="179">
        <f ca="1">IF(ISNUMBER(MATCH(DATEVALUE($A218),'recurring1_based on steps'!P$1:P$400,0)),P$2,)</f>
        <v>0</v>
      </c>
      <c r="Q218" s="179">
        <f ca="1">IF(ISNUMBER(MATCH(DATEVALUE($A218),'recurring1_based on steps'!Q$1:Q$400,0)),Q$2,)</f>
        <v>0</v>
      </c>
      <c r="R218" s="179">
        <f ca="1">IF(ISNUMBER(MATCH(DATEVALUE($A218),'recurring1_based on steps'!R$1:R$400,0)),R$2,)</f>
        <v>0</v>
      </c>
      <c r="S218" s="179">
        <f ca="1">IF(ISNUMBER(MATCH(DATEVALUE($A218),'recurring1_based on steps'!S$1:S$400,0)),S$2,)</f>
        <v>0</v>
      </c>
      <c r="T218" s="179">
        <f ca="1">IF(ISNUMBER(MATCH(DATEVALUE($A218),'recurring1_based on steps'!T$1:T$400,0)),T$2,)</f>
        <v>0</v>
      </c>
      <c r="U218" s="179">
        <f ca="1">IF(ISNUMBER(MATCH(DATEVALUE($A218),'recurring1_based on steps'!U$1:U$400,0)),U$2,)</f>
        <v>0</v>
      </c>
      <c r="V218" s="179">
        <f ca="1">IF(ISNUMBER(MATCH(DATEVALUE($A218),'recurring1_based on steps'!V$1:V$400,0)),V$2,)</f>
        <v>0</v>
      </c>
      <c r="W218" s="179">
        <f ca="1">IF(ISNUMBER(MATCH(DATEVALUE($A218),'recurring1_based on steps'!W$1:W$400,0)),W$2,)</f>
        <v>0</v>
      </c>
      <c r="X218" s="179">
        <f ca="1">IF(ISNUMBER(MATCH(DATEVALUE($A218),'recurring1_based on steps'!X$1:X$400,0)),X$2,)</f>
        <v>0</v>
      </c>
      <c r="Y218" s="179">
        <f ca="1">IF(ISNUMBER(MATCH(DATEVALUE($A218),'recurring1_based on steps'!Y$1:Y$400,0)),Y$2,)</f>
        <v>0</v>
      </c>
      <c r="Z218" s="179">
        <f ca="1">IF(ISNUMBER(MATCH(DATEVALUE($A218),'recurring1_based on steps'!Z$1:Z$400,0)),Z$2,)</f>
        <v>0</v>
      </c>
      <c r="AA218" s="179">
        <f ca="1">IF(ISNUMBER(MATCH(DATEVALUE($A218),'recurring1_based on steps'!AA$1:AA$400,0)),AA$2,)</f>
        <v>0</v>
      </c>
      <c r="AB218" s="179">
        <f ca="1">IF(ISNUMBER(MATCH(DATEVALUE($A218),'recurring1_based on steps'!AB$1:AB$400,0)),AB$2,)</f>
        <v>0</v>
      </c>
      <c r="AC218" s="179">
        <f ca="1">IF(ISNUMBER(MATCH(DATEVALUE($A218),'recurring1_based on steps'!AC$1:AC$400,0)),AC$2,)</f>
        <v>0</v>
      </c>
      <c r="AD218" s="179">
        <f ca="1">IF(ISNUMBER(MATCH(DATEVALUE($A218),'recurring1_based on steps'!AD$1:AD$400,0)),AD$2,)</f>
        <v>0</v>
      </c>
      <c r="AE218" s="179">
        <f ca="1">IF(ISNUMBER(MATCH(DATEVALUE($A218),'recurring1_based on steps'!AE$1:AE$400,0)),AE$2,)</f>
        <v>0</v>
      </c>
      <c r="AF218" s="179">
        <f ca="1">IF(ISNUMBER(MATCH(DATEVALUE($A218),'recurring1_based on steps'!AF$1:AF$400,0)),AF$2,)</f>
        <v>0</v>
      </c>
      <c r="AG218" s="179">
        <f ca="1">IF(ISNUMBER(MATCH(DATEVALUE($A218),'recurring1_based on steps'!AG$1:AG$400,0)),AG$2,)</f>
        <v>0</v>
      </c>
      <c r="AH218" s="179">
        <f ca="1">IF(ISNUMBER(MATCH(DATEVALUE($A218),'recurring1_based on steps'!AH$1:AH$400,0)),AH$2,)</f>
        <v>0</v>
      </c>
      <c r="AI218" s="179">
        <f ca="1">IF(ISNUMBER(MATCH(DATEVALUE($A218),'recurring1_based on steps'!AI$1:AI$400,0)),AI$2,)</f>
        <v>0</v>
      </c>
      <c r="AJ218" s="179">
        <f ca="1">IF(ISNUMBER(MATCH(DATEVALUE($A218),'recurring1_based on steps'!AJ$1:AJ$400,0)),AJ$2,)</f>
        <v>0</v>
      </c>
      <c r="AK218" s="179">
        <f ca="1">IF(ISNUMBER(MATCH(DATEVALUE($A218),'recurring1_based on steps'!AK$1:AK$400,0)),AK$2,)</f>
        <v>0</v>
      </c>
      <c r="AL218" s="179">
        <f ca="1">IF(ISNUMBER(MATCH(DATEVALUE($A218),'recurring1_based on steps'!AL$1:AL$400,0)),AL$2,)</f>
        <v>0</v>
      </c>
      <c r="AM218" s="179">
        <f ca="1">IF(ISNUMBER(MATCH(DATEVALUE($A218),'recurring1_based on steps'!AM$1:AM$400,0)),AM$2,)</f>
        <v>0</v>
      </c>
      <c r="AN218" s="179">
        <f ca="1">IF(ISNUMBER(MATCH(DATEVALUE($A218),'recurring1_based on steps'!AN$1:AN$400,0)),AN$2,)</f>
        <v>0</v>
      </c>
      <c r="AO218" s="179">
        <f ca="1">IF(ISNUMBER(MATCH(DATEVALUE($A218),'recurring1_based on steps'!AO$1:AO$400,0)),AO$2,)</f>
        <v>0</v>
      </c>
      <c r="AP218" s="179">
        <f ca="1">IF(ISNUMBER(MATCH(DATEVALUE($A218),'recurring1_based on steps'!AP$1:AP$400,0)),AP$2,)</f>
        <v>0</v>
      </c>
      <c r="AQ218" s="179">
        <f ca="1">IF(ISNUMBER(MATCH(DATEVALUE($A218),'recurring1_based on steps'!AQ$1:AQ$400,0)),AQ$2,)</f>
        <v>0</v>
      </c>
      <c r="AR218" s="179">
        <f ca="1">IF(ISNUMBER(MATCH(DATEVALUE($A218),'recurring1_based on steps'!AR$1:AR$400,0)),AR$2,)</f>
        <v>0</v>
      </c>
      <c r="AS218" s="179">
        <f ca="1">IF(ISNUMBER(MATCH(DATEVALUE($A218),'recurring1_based on steps'!AS$1:AS$400,0)),AS$2,)</f>
        <v>0</v>
      </c>
      <c r="AT218" s="179">
        <f ca="1">IF(ISNUMBER(MATCH(DATEVALUE($A218),'recurring1_based on steps'!AT$1:AT$400,0)),AT$2,)</f>
        <v>0</v>
      </c>
      <c r="AU218" s="179">
        <f ca="1">IF(ISNUMBER(MATCH(DATEVALUE($A218),'recurring1_based on steps'!AU$1:AU$400,0)),AU$2,)</f>
        <v>0</v>
      </c>
      <c r="AV218" s="179">
        <f ca="1">IF(ISNUMBER(MATCH(DATEVALUE($A218),'recurring1_based on steps'!AV$1:AV$400,0)),AV$2,)</f>
        <v>0</v>
      </c>
      <c r="AW218" s="179">
        <f ca="1">IF(ISNUMBER(MATCH(DATEVALUE($A218),'recurring1_based on steps'!AW$1:AW$400,0)),AW$2,)</f>
        <v>0</v>
      </c>
      <c r="AX218" s="179">
        <f ca="1">IF(ISNUMBER(MATCH(DATEVALUE($A218),'recurring1_based on steps'!AX$1:AX$400,0)),AX$2,)</f>
        <v>0</v>
      </c>
      <c r="AY218" s="179">
        <f ca="1">IF(ISNUMBER(MATCH(DATEVALUE($A218),'recurring1_based on steps'!AY$1:AY$400,0)),AY$2,)</f>
        <v>0</v>
      </c>
    </row>
    <row r="219" spans="1:51" x14ac:dyDescent="0.2">
      <c r="A219" s="32" t="str">
        <f t="shared" ca="1" si="3"/>
        <v>2025-10-31</v>
      </c>
      <c r="B219" s="179">
        <f ca="1">IF(ISNUMBER(MATCH(DATEVALUE($A219),'recurring1_based on steps'!B$1:B$400,0)),B$2,)</f>
        <v>0</v>
      </c>
      <c r="C219" s="179">
        <f ca="1">IF(ISNUMBER(MATCH(DATEVALUE($A219),'recurring1_based on steps'!C$1:C$400,0)),C$2,)</f>
        <v>0</v>
      </c>
      <c r="D219" s="179">
        <f ca="1">IF(ISNUMBER(MATCH(DATEVALUE($A219),'recurring1_based on steps'!D$1:D$400,0)),D$2,)</f>
        <v>0</v>
      </c>
      <c r="E219" s="179">
        <f ca="1">IF(ISNUMBER(MATCH(DATEVALUE($A219),'recurring1_based on steps'!E$1:E$400,0)),E$2,)</f>
        <v>0</v>
      </c>
      <c r="F219" s="179">
        <f ca="1">IF(ISNUMBER(MATCH(DATEVALUE($A219),'recurring1_based on steps'!F$1:F$400,0)),F$2,)</f>
        <v>0</v>
      </c>
      <c r="G219" s="179">
        <f ca="1">IF(ISNUMBER(MATCH(DATEVALUE($A219),'recurring1_based on steps'!G$1:G$400,0)),G$2,)</f>
        <v>0</v>
      </c>
      <c r="H219" s="179">
        <f ca="1">IF(ISNUMBER(MATCH(DATEVALUE($A219),'recurring1_based on steps'!H$1:H$400,0)),H$2,)</f>
        <v>0</v>
      </c>
      <c r="I219" s="179">
        <f ca="1">IF(ISNUMBER(MATCH(DATEVALUE($A219),'recurring1_based on steps'!I$1:I$400,0)),I$2,)</f>
        <v>0</v>
      </c>
      <c r="J219" s="179">
        <f ca="1">IF(ISNUMBER(MATCH(DATEVALUE($A219),'recurring1_based on steps'!J$1:J$400,0)),J$2,)</f>
        <v>0</v>
      </c>
      <c r="K219" s="179">
        <f ca="1">IF(ISNUMBER(MATCH(DATEVALUE($A219),'recurring1_based on steps'!K$1:K$400,0)),K$2,)</f>
        <v>0</v>
      </c>
      <c r="L219" s="179">
        <f ca="1">IF(ISNUMBER(MATCH(DATEVALUE($A219),'recurring1_based on steps'!L$1:L$400,0)),L$2,)</f>
        <v>0</v>
      </c>
      <c r="M219" s="179">
        <f ca="1">IF(ISNUMBER(MATCH(DATEVALUE($A219),'recurring1_based on steps'!M$1:M$400,0)),M$2,)</f>
        <v>0</v>
      </c>
      <c r="N219" s="179">
        <f ca="1">IF(ISNUMBER(MATCH(DATEVALUE($A219),'recurring1_based on steps'!N$1:N$400,0)),N$2,)</f>
        <v>0</v>
      </c>
      <c r="O219" s="179">
        <f ca="1">IF(ISNUMBER(MATCH(DATEVALUE($A219),'recurring1_based on steps'!O$1:O$400,0)),O$2,)</f>
        <v>0</v>
      </c>
      <c r="P219" s="179">
        <f ca="1">IF(ISNUMBER(MATCH(DATEVALUE($A219),'recurring1_based on steps'!P$1:P$400,0)),P$2,)</f>
        <v>0</v>
      </c>
      <c r="Q219" s="179">
        <f ca="1">IF(ISNUMBER(MATCH(DATEVALUE($A219),'recurring1_based on steps'!Q$1:Q$400,0)),Q$2,)</f>
        <v>0</v>
      </c>
      <c r="R219" s="179">
        <f ca="1">IF(ISNUMBER(MATCH(DATEVALUE($A219),'recurring1_based on steps'!R$1:R$400,0)),R$2,)</f>
        <v>0</v>
      </c>
      <c r="S219" s="179">
        <f ca="1">IF(ISNUMBER(MATCH(DATEVALUE($A219),'recurring1_based on steps'!S$1:S$400,0)),S$2,)</f>
        <v>0</v>
      </c>
      <c r="T219" s="179">
        <f ca="1">IF(ISNUMBER(MATCH(DATEVALUE($A219),'recurring1_based on steps'!T$1:T$400,0)),T$2,)</f>
        <v>0</v>
      </c>
      <c r="U219" s="179">
        <f ca="1">IF(ISNUMBER(MATCH(DATEVALUE($A219),'recurring1_based on steps'!U$1:U$400,0)),U$2,)</f>
        <v>0</v>
      </c>
      <c r="V219" s="179">
        <f ca="1">IF(ISNUMBER(MATCH(DATEVALUE($A219),'recurring1_based on steps'!V$1:V$400,0)),V$2,)</f>
        <v>0</v>
      </c>
      <c r="W219" s="179">
        <f ca="1">IF(ISNUMBER(MATCH(DATEVALUE($A219),'recurring1_based on steps'!W$1:W$400,0)),W$2,)</f>
        <v>0</v>
      </c>
      <c r="X219" s="179">
        <f ca="1">IF(ISNUMBER(MATCH(DATEVALUE($A219),'recurring1_based on steps'!X$1:X$400,0)),X$2,)</f>
        <v>0</v>
      </c>
      <c r="Y219" s="179">
        <f ca="1">IF(ISNUMBER(MATCH(DATEVALUE($A219),'recurring1_based on steps'!Y$1:Y$400,0)),Y$2,)</f>
        <v>0</v>
      </c>
      <c r="Z219" s="179">
        <f ca="1">IF(ISNUMBER(MATCH(DATEVALUE($A219),'recurring1_based on steps'!Z$1:Z$400,0)),Z$2,)</f>
        <v>0</v>
      </c>
      <c r="AA219" s="179">
        <f ca="1">IF(ISNUMBER(MATCH(DATEVALUE($A219),'recurring1_based on steps'!AA$1:AA$400,0)),AA$2,)</f>
        <v>0</v>
      </c>
      <c r="AB219" s="179">
        <f ca="1">IF(ISNUMBER(MATCH(DATEVALUE($A219),'recurring1_based on steps'!AB$1:AB$400,0)),AB$2,)</f>
        <v>0</v>
      </c>
      <c r="AC219" s="179">
        <f ca="1">IF(ISNUMBER(MATCH(DATEVALUE($A219),'recurring1_based on steps'!AC$1:AC$400,0)),AC$2,)</f>
        <v>0</v>
      </c>
      <c r="AD219" s="179">
        <f ca="1">IF(ISNUMBER(MATCH(DATEVALUE($A219),'recurring1_based on steps'!AD$1:AD$400,0)),AD$2,)</f>
        <v>0</v>
      </c>
      <c r="AE219" s="179">
        <f ca="1">IF(ISNUMBER(MATCH(DATEVALUE($A219),'recurring1_based on steps'!AE$1:AE$400,0)),AE$2,)</f>
        <v>0</v>
      </c>
      <c r="AF219" s="179">
        <f ca="1">IF(ISNUMBER(MATCH(DATEVALUE($A219),'recurring1_based on steps'!AF$1:AF$400,0)),AF$2,)</f>
        <v>0</v>
      </c>
      <c r="AG219" s="179">
        <f ca="1">IF(ISNUMBER(MATCH(DATEVALUE($A219),'recurring1_based on steps'!AG$1:AG$400,0)),AG$2,)</f>
        <v>0</v>
      </c>
      <c r="AH219" s="179">
        <f ca="1">IF(ISNUMBER(MATCH(DATEVALUE($A219),'recurring1_based on steps'!AH$1:AH$400,0)),AH$2,)</f>
        <v>0</v>
      </c>
      <c r="AI219" s="179">
        <f ca="1">IF(ISNUMBER(MATCH(DATEVALUE($A219),'recurring1_based on steps'!AI$1:AI$400,0)),AI$2,)</f>
        <v>0</v>
      </c>
      <c r="AJ219" s="179">
        <f ca="1">IF(ISNUMBER(MATCH(DATEVALUE($A219),'recurring1_based on steps'!AJ$1:AJ$400,0)),AJ$2,)</f>
        <v>0</v>
      </c>
      <c r="AK219" s="179">
        <f ca="1">IF(ISNUMBER(MATCH(DATEVALUE($A219),'recurring1_based on steps'!AK$1:AK$400,0)),AK$2,)</f>
        <v>0</v>
      </c>
      <c r="AL219" s="179">
        <f ca="1">IF(ISNUMBER(MATCH(DATEVALUE($A219),'recurring1_based on steps'!AL$1:AL$400,0)),AL$2,)</f>
        <v>0</v>
      </c>
      <c r="AM219" s="179">
        <f ca="1">IF(ISNUMBER(MATCH(DATEVALUE($A219),'recurring1_based on steps'!AM$1:AM$400,0)),AM$2,)</f>
        <v>0</v>
      </c>
      <c r="AN219" s="179">
        <f ca="1">IF(ISNUMBER(MATCH(DATEVALUE($A219),'recurring1_based on steps'!AN$1:AN$400,0)),AN$2,)</f>
        <v>0</v>
      </c>
      <c r="AO219" s="179">
        <f ca="1">IF(ISNUMBER(MATCH(DATEVALUE($A219),'recurring1_based on steps'!AO$1:AO$400,0)),AO$2,)</f>
        <v>0</v>
      </c>
      <c r="AP219" s="179">
        <f ca="1">IF(ISNUMBER(MATCH(DATEVALUE($A219),'recurring1_based on steps'!AP$1:AP$400,0)),AP$2,)</f>
        <v>0</v>
      </c>
      <c r="AQ219" s="179">
        <f ca="1">IF(ISNUMBER(MATCH(DATEVALUE($A219),'recurring1_based on steps'!AQ$1:AQ$400,0)),AQ$2,)</f>
        <v>0</v>
      </c>
      <c r="AR219" s="179">
        <f ca="1">IF(ISNUMBER(MATCH(DATEVALUE($A219),'recurring1_based on steps'!AR$1:AR$400,0)),AR$2,)</f>
        <v>0</v>
      </c>
      <c r="AS219" s="179">
        <f ca="1">IF(ISNUMBER(MATCH(DATEVALUE($A219),'recurring1_based on steps'!AS$1:AS$400,0)),AS$2,)</f>
        <v>0</v>
      </c>
      <c r="AT219" s="179">
        <f ca="1">IF(ISNUMBER(MATCH(DATEVALUE($A219),'recurring1_based on steps'!AT$1:AT$400,0)),AT$2,)</f>
        <v>0</v>
      </c>
      <c r="AU219" s="179">
        <f ca="1">IF(ISNUMBER(MATCH(DATEVALUE($A219),'recurring1_based on steps'!AU$1:AU$400,0)),AU$2,)</f>
        <v>0</v>
      </c>
      <c r="AV219" s="179">
        <f ca="1">IF(ISNUMBER(MATCH(DATEVALUE($A219),'recurring1_based on steps'!AV$1:AV$400,0)),AV$2,)</f>
        <v>0</v>
      </c>
      <c r="AW219" s="179">
        <f ca="1">IF(ISNUMBER(MATCH(DATEVALUE($A219),'recurring1_based on steps'!AW$1:AW$400,0)),AW$2,)</f>
        <v>0</v>
      </c>
      <c r="AX219" s="179">
        <f ca="1">IF(ISNUMBER(MATCH(DATEVALUE($A219),'recurring1_based on steps'!AX$1:AX$400,0)),AX$2,)</f>
        <v>0</v>
      </c>
      <c r="AY219" s="179">
        <f ca="1">IF(ISNUMBER(MATCH(DATEVALUE($A219),'recurring1_based on steps'!AY$1:AY$400,0)),AY$2,)</f>
        <v>0</v>
      </c>
    </row>
    <row r="220" spans="1:51" x14ac:dyDescent="0.2">
      <c r="A220" s="32" t="str">
        <f t="shared" ca="1" si="3"/>
        <v>2025-11-01</v>
      </c>
      <c r="B220" s="179">
        <f ca="1">IF(ISNUMBER(MATCH(DATEVALUE($A220),'recurring1_based on steps'!B$1:B$400,0)),B$2,)</f>
        <v>0</v>
      </c>
      <c r="C220" s="179">
        <f ca="1">IF(ISNUMBER(MATCH(DATEVALUE($A220),'recurring1_based on steps'!C$1:C$400,0)),C$2,)</f>
        <v>0</v>
      </c>
      <c r="D220" s="179">
        <f ca="1">IF(ISNUMBER(MATCH(DATEVALUE($A220),'recurring1_based on steps'!D$1:D$400,0)),D$2,)</f>
        <v>0</v>
      </c>
      <c r="E220" s="179">
        <f ca="1">IF(ISNUMBER(MATCH(DATEVALUE($A220),'recurring1_based on steps'!E$1:E$400,0)),E$2,)</f>
        <v>0</v>
      </c>
      <c r="F220" s="179">
        <f ca="1">IF(ISNUMBER(MATCH(DATEVALUE($A220),'recurring1_based on steps'!F$1:F$400,0)),F$2,)</f>
        <v>0</v>
      </c>
      <c r="G220" s="179">
        <f ca="1">IF(ISNUMBER(MATCH(DATEVALUE($A220),'recurring1_based on steps'!G$1:G$400,0)),G$2,)</f>
        <v>0</v>
      </c>
      <c r="H220" s="179">
        <f ca="1">IF(ISNUMBER(MATCH(DATEVALUE($A220),'recurring1_based on steps'!H$1:H$400,0)),H$2,)</f>
        <v>0</v>
      </c>
      <c r="I220" s="179">
        <f ca="1">IF(ISNUMBER(MATCH(DATEVALUE($A220),'recurring1_based on steps'!I$1:I$400,0)),I$2,)</f>
        <v>0</v>
      </c>
      <c r="J220" s="179">
        <f ca="1">IF(ISNUMBER(MATCH(DATEVALUE($A220),'recurring1_based on steps'!J$1:J$400,0)),J$2,)</f>
        <v>0</v>
      </c>
      <c r="K220" s="179">
        <f ca="1">IF(ISNUMBER(MATCH(DATEVALUE($A220),'recurring1_based on steps'!K$1:K$400,0)),K$2,)</f>
        <v>0</v>
      </c>
      <c r="L220" s="179">
        <f ca="1">IF(ISNUMBER(MATCH(DATEVALUE($A220),'recurring1_based on steps'!L$1:L$400,0)),L$2,)</f>
        <v>0</v>
      </c>
      <c r="M220" s="179">
        <f ca="1">IF(ISNUMBER(MATCH(DATEVALUE($A220),'recurring1_based on steps'!M$1:M$400,0)),M$2,)</f>
        <v>0</v>
      </c>
      <c r="N220" s="179">
        <f ca="1">IF(ISNUMBER(MATCH(DATEVALUE($A220),'recurring1_based on steps'!N$1:N$400,0)),N$2,)</f>
        <v>0</v>
      </c>
      <c r="O220" s="179">
        <f ca="1">IF(ISNUMBER(MATCH(DATEVALUE($A220),'recurring1_based on steps'!O$1:O$400,0)),O$2,)</f>
        <v>0</v>
      </c>
      <c r="P220" s="179">
        <f ca="1">IF(ISNUMBER(MATCH(DATEVALUE($A220),'recurring1_based on steps'!P$1:P$400,0)),P$2,)</f>
        <v>0</v>
      </c>
      <c r="Q220" s="179">
        <f ca="1">IF(ISNUMBER(MATCH(DATEVALUE($A220),'recurring1_based on steps'!Q$1:Q$400,0)),Q$2,)</f>
        <v>0</v>
      </c>
      <c r="R220" s="179">
        <f ca="1">IF(ISNUMBER(MATCH(DATEVALUE($A220),'recurring1_based on steps'!R$1:R$400,0)),R$2,)</f>
        <v>0</v>
      </c>
      <c r="S220" s="179">
        <f ca="1">IF(ISNUMBER(MATCH(DATEVALUE($A220),'recurring1_based on steps'!S$1:S$400,0)),S$2,)</f>
        <v>0</v>
      </c>
      <c r="T220" s="179">
        <f ca="1">IF(ISNUMBER(MATCH(DATEVALUE($A220),'recurring1_based on steps'!T$1:T$400,0)),T$2,)</f>
        <v>0</v>
      </c>
      <c r="U220" s="179">
        <f ca="1">IF(ISNUMBER(MATCH(DATEVALUE($A220),'recurring1_based on steps'!U$1:U$400,0)),U$2,)</f>
        <v>0</v>
      </c>
      <c r="V220" s="179">
        <f ca="1">IF(ISNUMBER(MATCH(DATEVALUE($A220),'recurring1_based on steps'!V$1:V$400,0)),V$2,)</f>
        <v>0</v>
      </c>
      <c r="W220" s="179">
        <f ca="1">IF(ISNUMBER(MATCH(DATEVALUE($A220),'recurring1_based on steps'!W$1:W$400,0)),W$2,)</f>
        <v>0</v>
      </c>
      <c r="X220" s="179">
        <f ca="1">IF(ISNUMBER(MATCH(DATEVALUE($A220),'recurring1_based on steps'!X$1:X$400,0)),X$2,)</f>
        <v>0</v>
      </c>
      <c r="Y220" s="179">
        <f ca="1">IF(ISNUMBER(MATCH(DATEVALUE($A220),'recurring1_based on steps'!Y$1:Y$400,0)),Y$2,)</f>
        <v>0</v>
      </c>
      <c r="Z220" s="179">
        <f ca="1">IF(ISNUMBER(MATCH(DATEVALUE($A220),'recurring1_based on steps'!Z$1:Z$400,0)),Z$2,)</f>
        <v>0</v>
      </c>
      <c r="AA220" s="179">
        <f ca="1">IF(ISNUMBER(MATCH(DATEVALUE($A220),'recurring1_based on steps'!AA$1:AA$400,0)),AA$2,)</f>
        <v>0</v>
      </c>
      <c r="AB220" s="179">
        <f ca="1">IF(ISNUMBER(MATCH(DATEVALUE($A220),'recurring1_based on steps'!AB$1:AB$400,0)),AB$2,)</f>
        <v>0</v>
      </c>
      <c r="AC220" s="179">
        <f ca="1">IF(ISNUMBER(MATCH(DATEVALUE($A220),'recurring1_based on steps'!AC$1:AC$400,0)),AC$2,)</f>
        <v>0</v>
      </c>
      <c r="AD220" s="179">
        <f ca="1">IF(ISNUMBER(MATCH(DATEVALUE($A220),'recurring1_based on steps'!AD$1:AD$400,0)),AD$2,)</f>
        <v>0</v>
      </c>
      <c r="AE220" s="179">
        <f ca="1">IF(ISNUMBER(MATCH(DATEVALUE($A220),'recurring1_based on steps'!AE$1:AE$400,0)),AE$2,)</f>
        <v>0</v>
      </c>
      <c r="AF220" s="179">
        <f ca="1">IF(ISNUMBER(MATCH(DATEVALUE($A220),'recurring1_based on steps'!AF$1:AF$400,0)),AF$2,)</f>
        <v>0</v>
      </c>
      <c r="AG220" s="179">
        <f ca="1">IF(ISNUMBER(MATCH(DATEVALUE($A220),'recurring1_based on steps'!AG$1:AG$400,0)),AG$2,)</f>
        <v>0</v>
      </c>
      <c r="AH220" s="179">
        <f ca="1">IF(ISNUMBER(MATCH(DATEVALUE($A220),'recurring1_based on steps'!AH$1:AH$400,0)),AH$2,)</f>
        <v>0</v>
      </c>
      <c r="AI220" s="179">
        <f ca="1">IF(ISNUMBER(MATCH(DATEVALUE($A220),'recurring1_based on steps'!AI$1:AI$400,0)),AI$2,)</f>
        <v>0</v>
      </c>
      <c r="AJ220" s="179">
        <f ca="1">IF(ISNUMBER(MATCH(DATEVALUE($A220),'recurring1_based on steps'!AJ$1:AJ$400,0)),AJ$2,)</f>
        <v>0</v>
      </c>
      <c r="AK220" s="179">
        <f ca="1">IF(ISNUMBER(MATCH(DATEVALUE($A220),'recurring1_based on steps'!AK$1:AK$400,0)),AK$2,)</f>
        <v>0</v>
      </c>
      <c r="AL220" s="179">
        <f ca="1">IF(ISNUMBER(MATCH(DATEVALUE($A220),'recurring1_based on steps'!AL$1:AL$400,0)),AL$2,)</f>
        <v>0</v>
      </c>
      <c r="AM220" s="179">
        <f ca="1">IF(ISNUMBER(MATCH(DATEVALUE($A220),'recurring1_based on steps'!AM$1:AM$400,0)),AM$2,)</f>
        <v>0</v>
      </c>
      <c r="AN220" s="179">
        <f ca="1">IF(ISNUMBER(MATCH(DATEVALUE($A220),'recurring1_based on steps'!AN$1:AN$400,0)),AN$2,)</f>
        <v>0</v>
      </c>
      <c r="AO220" s="179">
        <f ca="1">IF(ISNUMBER(MATCH(DATEVALUE($A220),'recurring1_based on steps'!AO$1:AO$400,0)),AO$2,)</f>
        <v>0</v>
      </c>
      <c r="AP220" s="179">
        <f ca="1">IF(ISNUMBER(MATCH(DATEVALUE($A220),'recurring1_based on steps'!AP$1:AP$400,0)),AP$2,)</f>
        <v>0</v>
      </c>
      <c r="AQ220" s="179">
        <f ca="1">IF(ISNUMBER(MATCH(DATEVALUE($A220),'recurring1_based on steps'!AQ$1:AQ$400,0)),AQ$2,)</f>
        <v>0</v>
      </c>
      <c r="AR220" s="179">
        <f ca="1">IF(ISNUMBER(MATCH(DATEVALUE($A220),'recurring1_based on steps'!AR$1:AR$400,0)),AR$2,)</f>
        <v>0</v>
      </c>
      <c r="AS220" s="179">
        <f ca="1">IF(ISNUMBER(MATCH(DATEVALUE($A220),'recurring1_based on steps'!AS$1:AS$400,0)),AS$2,)</f>
        <v>0</v>
      </c>
      <c r="AT220" s="179">
        <f ca="1">IF(ISNUMBER(MATCH(DATEVALUE($A220),'recurring1_based on steps'!AT$1:AT$400,0)),AT$2,)</f>
        <v>0</v>
      </c>
      <c r="AU220" s="179">
        <f ca="1">IF(ISNUMBER(MATCH(DATEVALUE($A220),'recurring1_based on steps'!AU$1:AU$400,0)),AU$2,)</f>
        <v>0</v>
      </c>
      <c r="AV220" s="179">
        <f ca="1">IF(ISNUMBER(MATCH(DATEVALUE($A220),'recurring1_based on steps'!AV$1:AV$400,0)),AV$2,)</f>
        <v>0</v>
      </c>
      <c r="AW220" s="179">
        <f ca="1">IF(ISNUMBER(MATCH(DATEVALUE($A220),'recurring1_based on steps'!AW$1:AW$400,0)),AW$2,)</f>
        <v>0</v>
      </c>
      <c r="AX220" s="179">
        <f ca="1">IF(ISNUMBER(MATCH(DATEVALUE($A220),'recurring1_based on steps'!AX$1:AX$400,0)),AX$2,)</f>
        <v>0</v>
      </c>
      <c r="AY220" s="179">
        <f ca="1">IF(ISNUMBER(MATCH(DATEVALUE($A220),'recurring1_based on steps'!AY$1:AY$400,0)),AY$2,)</f>
        <v>0</v>
      </c>
    </row>
    <row r="221" spans="1:51" x14ac:dyDescent="0.2">
      <c r="A221" s="32" t="str">
        <f t="shared" ca="1" si="3"/>
        <v>2025-11-02</v>
      </c>
      <c r="B221" s="179">
        <f ca="1">IF(ISNUMBER(MATCH(DATEVALUE($A221),'recurring1_based on steps'!B$1:B$400,0)),B$2,)</f>
        <v>0</v>
      </c>
      <c r="C221" s="179">
        <f ca="1">IF(ISNUMBER(MATCH(DATEVALUE($A221),'recurring1_based on steps'!C$1:C$400,0)),C$2,)</f>
        <v>0</v>
      </c>
      <c r="D221" s="179">
        <f ca="1">IF(ISNUMBER(MATCH(DATEVALUE($A221),'recurring1_based on steps'!D$1:D$400,0)),D$2,)</f>
        <v>0</v>
      </c>
      <c r="E221" s="179">
        <f ca="1">IF(ISNUMBER(MATCH(DATEVALUE($A221),'recurring1_based on steps'!E$1:E$400,0)),E$2,)</f>
        <v>0</v>
      </c>
      <c r="F221" s="179">
        <f ca="1">IF(ISNUMBER(MATCH(DATEVALUE($A221),'recurring1_based on steps'!F$1:F$400,0)),F$2,)</f>
        <v>0</v>
      </c>
      <c r="G221" s="179">
        <f ca="1">IF(ISNUMBER(MATCH(DATEVALUE($A221),'recurring1_based on steps'!G$1:G$400,0)),G$2,)</f>
        <v>0</v>
      </c>
      <c r="H221" s="179">
        <f ca="1">IF(ISNUMBER(MATCH(DATEVALUE($A221),'recurring1_based on steps'!H$1:H$400,0)),H$2,)</f>
        <v>0</v>
      </c>
      <c r="I221" s="179">
        <f ca="1">IF(ISNUMBER(MATCH(DATEVALUE($A221),'recurring1_based on steps'!I$1:I$400,0)),I$2,)</f>
        <v>0</v>
      </c>
      <c r="J221" s="179">
        <f ca="1">IF(ISNUMBER(MATCH(DATEVALUE($A221),'recurring1_based on steps'!J$1:J$400,0)),J$2,)</f>
        <v>0</v>
      </c>
      <c r="K221" s="179">
        <f ca="1">IF(ISNUMBER(MATCH(DATEVALUE($A221),'recurring1_based on steps'!K$1:K$400,0)),K$2,)</f>
        <v>0</v>
      </c>
      <c r="L221" s="179">
        <f ca="1">IF(ISNUMBER(MATCH(DATEVALUE($A221),'recurring1_based on steps'!L$1:L$400,0)),L$2,)</f>
        <v>0</v>
      </c>
      <c r="M221" s="179">
        <f ca="1">IF(ISNUMBER(MATCH(DATEVALUE($A221),'recurring1_based on steps'!M$1:M$400,0)),M$2,)</f>
        <v>0</v>
      </c>
      <c r="N221" s="179">
        <f ca="1">IF(ISNUMBER(MATCH(DATEVALUE($A221),'recurring1_based on steps'!N$1:N$400,0)),N$2,)</f>
        <v>0</v>
      </c>
      <c r="O221" s="179">
        <f ca="1">IF(ISNUMBER(MATCH(DATEVALUE($A221),'recurring1_based on steps'!O$1:O$400,0)),O$2,)</f>
        <v>0</v>
      </c>
      <c r="P221" s="179">
        <f ca="1">IF(ISNUMBER(MATCH(DATEVALUE($A221),'recurring1_based on steps'!P$1:P$400,0)),P$2,)</f>
        <v>0</v>
      </c>
      <c r="Q221" s="179">
        <f ca="1">IF(ISNUMBER(MATCH(DATEVALUE($A221),'recurring1_based on steps'!Q$1:Q$400,0)),Q$2,)</f>
        <v>0</v>
      </c>
      <c r="R221" s="179">
        <f ca="1">IF(ISNUMBER(MATCH(DATEVALUE($A221),'recurring1_based on steps'!R$1:R$400,0)),R$2,)</f>
        <v>0</v>
      </c>
      <c r="S221" s="179">
        <f ca="1">IF(ISNUMBER(MATCH(DATEVALUE($A221),'recurring1_based on steps'!S$1:S$400,0)),S$2,)</f>
        <v>0</v>
      </c>
      <c r="T221" s="179">
        <f ca="1">IF(ISNUMBER(MATCH(DATEVALUE($A221),'recurring1_based on steps'!T$1:T$400,0)),T$2,)</f>
        <v>0</v>
      </c>
      <c r="U221" s="179">
        <f ca="1">IF(ISNUMBER(MATCH(DATEVALUE($A221),'recurring1_based on steps'!U$1:U$400,0)),U$2,)</f>
        <v>0</v>
      </c>
      <c r="V221" s="179">
        <f ca="1">IF(ISNUMBER(MATCH(DATEVALUE($A221),'recurring1_based on steps'!V$1:V$400,0)),V$2,)</f>
        <v>0</v>
      </c>
      <c r="W221" s="179">
        <f ca="1">IF(ISNUMBER(MATCH(DATEVALUE($A221),'recurring1_based on steps'!W$1:W$400,0)),W$2,)</f>
        <v>0</v>
      </c>
      <c r="X221" s="179">
        <f ca="1">IF(ISNUMBER(MATCH(DATEVALUE($A221),'recurring1_based on steps'!X$1:X$400,0)),X$2,)</f>
        <v>0</v>
      </c>
      <c r="Y221" s="179">
        <f ca="1">IF(ISNUMBER(MATCH(DATEVALUE($A221),'recurring1_based on steps'!Y$1:Y$400,0)),Y$2,)</f>
        <v>0</v>
      </c>
      <c r="Z221" s="179">
        <f ca="1">IF(ISNUMBER(MATCH(DATEVALUE($A221),'recurring1_based on steps'!Z$1:Z$400,0)),Z$2,)</f>
        <v>0</v>
      </c>
      <c r="AA221" s="179">
        <f ca="1">IF(ISNUMBER(MATCH(DATEVALUE($A221),'recurring1_based on steps'!AA$1:AA$400,0)),AA$2,)</f>
        <v>0</v>
      </c>
      <c r="AB221" s="179">
        <f ca="1">IF(ISNUMBER(MATCH(DATEVALUE($A221),'recurring1_based on steps'!AB$1:AB$400,0)),AB$2,)</f>
        <v>0</v>
      </c>
      <c r="AC221" s="179">
        <f ca="1">IF(ISNUMBER(MATCH(DATEVALUE($A221),'recurring1_based on steps'!AC$1:AC$400,0)),AC$2,)</f>
        <v>0</v>
      </c>
      <c r="AD221" s="179">
        <f ca="1">IF(ISNUMBER(MATCH(DATEVALUE($A221),'recurring1_based on steps'!AD$1:AD$400,0)),AD$2,)</f>
        <v>0</v>
      </c>
      <c r="AE221" s="179">
        <f ca="1">IF(ISNUMBER(MATCH(DATEVALUE($A221),'recurring1_based on steps'!AE$1:AE$400,0)),AE$2,)</f>
        <v>0</v>
      </c>
      <c r="AF221" s="179">
        <f ca="1">IF(ISNUMBER(MATCH(DATEVALUE($A221),'recurring1_based on steps'!AF$1:AF$400,0)),AF$2,)</f>
        <v>0</v>
      </c>
      <c r="AG221" s="179">
        <f ca="1">IF(ISNUMBER(MATCH(DATEVALUE($A221),'recurring1_based on steps'!AG$1:AG$400,0)),AG$2,)</f>
        <v>0</v>
      </c>
      <c r="AH221" s="179">
        <f ca="1">IF(ISNUMBER(MATCH(DATEVALUE($A221),'recurring1_based on steps'!AH$1:AH$400,0)),AH$2,)</f>
        <v>0</v>
      </c>
      <c r="AI221" s="179">
        <f ca="1">IF(ISNUMBER(MATCH(DATEVALUE($A221),'recurring1_based on steps'!AI$1:AI$400,0)),AI$2,)</f>
        <v>0</v>
      </c>
      <c r="AJ221" s="179">
        <f ca="1">IF(ISNUMBER(MATCH(DATEVALUE($A221),'recurring1_based on steps'!AJ$1:AJ$400,0)),AJ$2,)</f>
        <v>0</v>
      </c>
      <c r="AK221" s="179">
        <f ca="1">IF(ISNUMBER(MATCH(DATEVALUE($A221),'recurring1_based on steps'!AK$1:AK$400,0)),AK$2,)</f>
        <v>0</v>
      </c>
      <c r="AL221" s="179">
        <f ca="1">IF(ISNUMBER(MATCH(DATEVALUE($A221),'recurring1_based on steps'!AL$1:AL$400,0)),AL$2,)</f>
        <v>0</v>
      </c>
      <c r="AM221" s="179">
        <f ca="1">IF(ISNUMBER(MATCH(DATEVALUE($A221),'recurring1_based on steps'!AM$1:AM$400,0)),AM$2,)</f>
        <v>0</v>
      </c>
      <c r="AN221" s="179">
        <f ca="1">IF(ISNUMBER(MATCH(DATEVALUE($A221),'recurring1_based on steps'!AN$1:AN$400,0)),AN$2,)</f>
        <v>0</v>
      </c>
      <c r="AO221" s="179">
        <f ca="1">IF(ISNUMBER(MATCH(DATEVALUE($A221),'recurring1_based on steps'!AO$1:AO$400,0)),AO$2,)</f>
        <v>0</v>
      </c>
      <c r="AP221" s="179">
        <f ca="1">IF(ISNUMBER(MATCH(DATEVALUE($A221),'recurring1_based on steps'!AP$1:AP$400,0)),AP$2,)</f>
        <v>0</v>
      </c>
      <c r="AQ221" s="179">
        <f ca="1">IF(ISNUMBER(MATCH(DATEVALUE($A221),'recurring1_based on steps'!AQ$1:AQ$400,0)),AQ$2,)</f>
        <v>0</v>
      </c>
      <c r="AR221" s="179">
        <f ca="1">IF(ISNUMBER(MATCH(DATEVALUE($A221),'recurring1_based on steps'!AR$1:AR$400,0)),AR$2,)</f>
        <v>0</v>
      </c>
      <c r="AS221" s="179">
        <f ca="1">IF(ISNUMBER(MATCH(DATEVALUE($A221),'recurring1_based on steps'!AS$1:AS$400,0)),AS$2,)</f>
        <v>0</v>
      </c>
      <c r="AT221" s="179">
        <f ca="1">IF(ISNUMBER(MATCH(DATEVALUE($A221),'recurring1_based on steps'!AT$1:AT$400,0)),AT$2,)</f>
        <v>0</v>
      </c>
      <c r="AU221" s="179">
        <f ca="1">IF(ISNUMBER(MATCH(DATEVALUE($A221),'recurring1_based on steps'!AU$1:AU$400,0)),AU$2,)</f>
        <v>0</v>
      </c>
      <c r="AV221" s="179">
        <f ca="1">IF(ISNUMBER(MATCH(DATEVALUE($A221),'recurring1_based on steps'!AV$1:AV$400,0)),AV$2,)</f>
        <v>0</v>
      </c>
      <c r="AW221" s="179">
        <f ca="1">IF(ISNUMBER(MATCH(DATEVALUE($A221),'recurring1_based on steps'!AW$1:AW$400,0)),AW$2,)</f>
        <v>0</v>
      </c>
      <c r="AX221" s="179">
        <f ca="1">IF(ISNUMBER(MATCH(DATEVALUE($A221),'recurring1_based on steps'!AX$1:AX$400,0)),AX$2,)</f>
        <v>0</v>
      </c>
      <c r="AY221" s="179">
        <f ca="1">IF(ISNUMBER(MATCH(DATEVALUE($A221),'recurring1_based on steps'!AY$1:AY$400,0)),AY$2,)</f>
        <v>0</v>
      </c>
    </row>
    <row r="222" spans="1:51" x14ac:dyDescent="0.2">
      <c r="A222" s="32" t="str">
        <f t="shared" ca="1" si="3"/>
        <v>2025-11-03</v>
      </c>
      <c r="B222" s="179">
        <f ca="1">IF(ISNUMBER(MATCH(DATEVALUE($A222),'recurring1_based on steps'!B$1:B$400,0)),B$2,)</f>
        <v>0</v>
      </c>
      <c r="C222" s="179">
        <f ca="1">IF(ISNUMBER(MATCH(DATEVALUE($A222),'recurring1_based on steps'!C$1:C$400,0)),C$2,)</f>
        <v>0</v>
      </c>
      <c r="D222" s="179">
        <f ca="1">IF(ISNUMBER(MATCH(DATEVALUE($A222),'recurring1_based on steps'!D$1:D$400,0)),D$2,)</f>
        <v>0</v>
      </c>
      <c r="E222" s="179">
        <f ca="1">IF(ISNUMBER(MATCH(DATEVALUE($A222),'recurring1_based on steps'!E$1:E$400,0)),E$2,)</f>
        <v>0</v>
      </c>
      <c r="F222" s="179">
        <f ca="1">IF(ISNUMBER(MATCH(DATEVALUE($A222),'recurring1_based on steps'!F$1:F$400,0)),F$2,)</f>
        <v>0</v>
      </c>
      <c r="G222" s="179">
        <f ca="1">IF(ISNUMBER(MATCH(DATEVALUE($A222),'recurring1_based on steps'!G$1:G$400,0)),G$2,)</f>
        <v>0</v>
      </c>
      <c r="H222" s="179">
        <f ca="1">IF(ISNUMBER(MATCH(DATEVALUE($A222),'recurring1_based on steps'!H$1:H$400,0)),H$2,)</f>
        <v>0</v>
      </c>
      <c r="I222" s="179">
        <f ca="1">IF(ISNUMBER(MATCH(DATEVALUE($A222),'recurring1_based on steps'!I$1:I$400,0)),I$2,)</f>
        <v>0</v>
      </c>
      <c r="J222" s="179">
        <f ca="1">IF(ISNUMBER(MATCH(DATEVALUE($A222),'recurring1_based on steps'!J$1:J$400,0)),J$2,)</f>
        <v>0</v>
      </c>
      <c r="K222" s="179">
        <f ca="1">IF(ISNUMBER(MATCH(DATEVALUE($A222),'recurring1_based on steps'!K$1:K$400,0)),K$2,)</f>
        <v>0</v>
      </c>
      <c r="L222" s="179">
        <f ca="1">IF(ISNUMBER(MATCH(DATEVALUE($A222),'recurring1_based on steps'!L$1:L$400,0)),L$2,)</f>
        <v>0</v>
      </c>
      <c r="M222" s="179">
        <f ca="1">IF(ISNUMBER(MATCH(DATEVALUE($A222),'recurring1_based on steps'!M$1:M$400,0)),M$2,)</f>
        <v>0</v>
      </c>
      <c r="N222" s="179">
        <f ca="1">IF(ISNUMBER(MATCH(DATEVALUE($A222),'recurring1_based on steps'!N$1:N$400,0)),N$2,)</f>
        <v>0</v>
      </c>
      <c r="O222" s="179">
        <f ca="1">IF(ISNUMBER(MATCH(DATEVALUE($A222),'recurring1_based on steps'!O$1:O$400,0)),O$2,)</f>
        <v>0</v>
      </c>
      <c r="P222" s="179">
        <f ca="1">IF(ISNUMBER(MATCH(DATEVALUE($A222),'recurring1_based on steps'!P$1:P$400,0)),P$2,)</f>
        <v>0</v>
      </c>
      <c r="Q222" s="179">
        <f ca="1">IF(ISNUMBER(MATCH(DATEVALUE($A222),'recurring1_based on steps'!Q$1:Q$400,0)),Q$2,)</f>
        <v>0</v>
      </c>
      <c r="R222" s="179">
        <f ca="1">IF(ISNUMBER(MATCH(DATEVALUE($A222),'recurring1_based on steps'!R$1:R$400,0)),R$2,)</f>
        <v>0</v>
      </c>
      <c r="S222" s="179">
        <f ca="1">IF(ISNUMBER(MATCH(DATEVALUE($A222),'recurring1_based on steps'!S$1:S$400,0)),S$2,)</f>
        <v>0</v>
      </c>
      <c r="T222" s="179">
        <f ca="1">IF(ISNUMBER(MATCH(DATEVALUE($A222),'recurring1_based on steps'!T$1:T$400,0)),T$2,)</f>
        <v>0</v>
      </c>
      <c r="U222" s="179">
        <f ca="1">IF(ISNUMBER(MATCH(DATEVALUE($A222),'recurring1_based on steps'!U$1:U$400,0)),U$2,)</f>
        <v>0</v>
      </c>
      <c r="V222" s="179">
        <f ca="1">IF(ISNUMBER(MATCH(DATEVALUE($A222),'recurring1_based on steps'!V$1:V$400,0)),V$2,)</f>
        <v>0</v>
      </c>
      <c r="W222" s="179">
        <f ca="1">IF(ISNUMBER(MATCH(DATEVALUE($A222),'recurring1_based on steps'!W$1:W$400,0)),W$2,)</f>
        <v>0</v>
      </c>
      <c r="X222" s="179">
        <f ca="1">IF(ISNUMBER(MATCH(DATEVALUE($A222),'recurring1_based on steps'!X$1:X$400,0)),X$2,)</f>
        <v>0</v>
      </c>
      <c r="Y222" s="179">
        <f ca="1">IF(ISNUMBER(MATCH(DATEVALUE($A222),'recurring1_based on steps'!Y$1:Y$400,0)),Y$2,)</f>
        <v>0</v>
      </c>
      <c r="Z222" s="179">
        <f ca="1">IF(ISNUMBER(MATCH(DATEVALUE($A222),'recurring1_based on steps'!Z$1:Z$400,0)),Z$2,)</f>
        <v>0</v>
      </c>
      <c r="AA222" s="179">
        <f ca="1">IF(ISNUMBER(MATCH(DATEVALUE($A222),'recurring1_based on steps'!AA$1:AA$400,0)),AA$2,)</f>
        <v>0</v>
      </c>
      <c r="AB222" s="179">
        <f ca="1">IF(ISNUMBER(MATCH(DATEVALUE($A222),'recurring1_based on steps'!AB$1:AB$400,0)),AB$2,)</f>
        <v>0</v>
      </c>
      <c r="AC222" s="179">
        <f ca="1">IF(ISNUMBER(MATCH(DATEVALUE($A222),'recurring1_based on steps'!AC$1:AC$400,0)),AC$2,)</f>
        <v>0</v>
      </c>
      <c r="AD222" s="179">
        <f ca="1">IF(ISNUMBER(MATCH(DATEVALUE($A222),'recurring1_based on steps'!AD$1:AD$400,0)),AD$2,)</f>
        <v>0</v>
      </c>
      <c r="AE222" s="179">
        <f ca="1">IF(ISNUMBER(MATCH(DATEVALUE($A222),'recurring1_based on steps'!AE$1:AE$400,0)),AE$2,)</f>
        <v>0</v>
      </c>
      <c r="AF222" s="179">
        <f ca="1">IF(ISNUMBER(MATCH(DATEVALUE($A222),'recurring1_based on steps'!AF$1:AF$400,0)),AF$2,)</f>
        <v>0</v>
      </c>
      <c r="AG222" s="179">
        <f ca="1">IF(ISNUMBER(MATCH(DATEVALUE($A222),'recurring1_based on steps'!AG$1:AG$400,0)),AG$2,)</f>
        <v>0</v>
      </c>
      <c r="AH222" s="179">
        <f ca="1">IF(ISNUMBER(MATCH(DATEVALUE($A222),'recurring1_based on steps'!AH$1:AH$400,0)),AH$2,)</f>
        <v>0</v>
      </c>
      <c r="AI222" s="179">
        <f ca="1">IF(ISNUMBER(MATCH(DATEVALUE($A222),'recurring1_based on steps'!AI$1:AI$400,0)),AI$2,)</f>
        <v>0</v>
      </c>
      <c r="AJ222" s="179">
        <f ca="1">IF(ISNUMBER(MATCH(DATEVALUE($A222),'recurring1_based on steps'!AJ$1:AJ$400,0)),AJ$2,)</f>
        <v>0</v>
      </c>
      <c r="AK222" s="179">
        <f ca="1">IF(ISNUMBER(MATCH(DATEVALUE($A222),'recurring1_based on steps'!AK$1:AK$400,0)),AK$2,)</f>
        <v>0</v>
      </c>
      <c r="AL222" s="179">
        <f ca="1">IF(ISNUMBER(MATCH(DATEVALUE($A222),'recurring1_based on steps'!AL$1:AL$400,0)),AL$2,)</f>
        <v>0</v>
      </c>
      <c r="AM222" s="179">
        <f ca="1">IF(ISNUMBER(MATCH(DATEVALUE($A222),'recurring1_based on steps'!AM$1:AM$400,0)),AM$2,)</f>
        <v>0</v>
      </c>
      <c r="AN222" s="179">
        <f ca="1">IF(ISNUMBER(MATCH(DATEVALUE($A222),'recurring1_based on steps'!AN$1:AN$400,0)),AN$2,)</f>
        <v>0</v>
      </c>
      <c r="AO222" s="179">
        <f ca="1">IF(ISNUMBER(MATCH(DATEVALUE($A222),'recurring1_based on steps'!AO$1:AO$400,0)),AO$2,)</f>
        <v>0</v>
      </c>
      <c r="AP222" s="179">
        <f ca="1">IF(ISNUMBER(MATCH(DATEVALUE($A222),'recurring1_based on steps'!AP$1:AP$400,0)),AP$2,)</f>
        <v>0</v>
      </c>
      <c r="AQ222" s="179">
        <f ca="1">IF(ISNUMBER(MATCH(DATEVALUE($A222),'recurring1_based on steps'!AQ$1:AQ$400,0)),AQ$2,)</f>
        <v>0</v>
      </c>
      <c r="AR222" s="179">
        <f ca="1">IF(ISNUMBER(MATCH(DATEVALUE($A222),'recurring1_based on steps'!AR$1:AR$400,0)),AR$2,)</f>
        <v>0</v>
      </c>
      <c r="AS222" s="179">
        <f ca="1">IF(ISNUMBER(MATCH(DATEVALUE($A222),'recurring1_based on steps'!AS$1:AS$400,0)),AS$2,)</f>
        <v>0</v>
      </c>
      <c r="AT222" s="179">
        <f ca="1">IF(ISNUMBER(MATCH(DATEVALUE($A222),'recurring1_based on steps'!AT$1:AT$400,0)),AT$2,)</f>
        <v>0</v>
      </c>
      <c r="AU222" s="179">
        <f ca="1">IF(ISNUMBER(MATCH(DATEVALUE($A222),'recurring1_based on steps'!AU$1:AU$400,0)),AU$2,)</f>
        <v>0</v>
      </c>
      <c r="AV222" s="179">
        <f ca="1">IF(ISNUMBER(MATCH(DATEVALUE($A222),'recurring1_based on steps'!AV$1:AV$400,0)),AV$2,)</f>
        <v>0</v>
      </c>
      <c r="AW222" s="179">
        <f ca="1">IF(ISNUMBER(MATCH(DATEVALUE($A222),'recurring1_based on steps'!AW$1:AW$400,0)),AW$2,)</f>
        <v>0</v>
      </c>
      <c r="AX222" s="179">
        <f ca="1">IF(ISNUMBER(MATCH(DATEVALUE($A222),'recurring1_based on steps'!AX$1:AX$400,0)),AX$2,)</f>
        <v>0</v>
      </c>
      <c r="AY222" s="179">
        <f ca="1">IF(ISNUMBER(MATCH(DATEVALUE($A222),'recurring1_based on steps'!AY$1:AY$400,0)),AY$2,)</f>
        <v>0</v>
      </c>
    </row>
    <row r="223" spans="1:51" x14ac:dyDescent="0.2">
      <c r="A223" s="32" t="str">
        <f t="shared" ca="1" si="3"/>
        <v>2025-11-04</v>
      </c>
      <c r="B223" s="179">
        <f ca="1">IF(ISNUMBER(MATCH(DATEVALUE($A223),'recurring1_based on steps'!B$1:B$400,0)),B$2,)</f>
        <v>0</v>
      </c>
      <c r="C223" s="179">
        <f ca="1">IF(ISNUMBER(MATCH(DATEVALUE($A223),'recurring1_based on steps'!C$1:C$400,0)),C$2,)</f>
        <v>0</v>
      </c>
      <c r="D223" s="179">
        <f ca="1">IF(ISNUMBER(MATCH(DATEVALUE($A223),'recurring1_based on steps'!D$1:D$400,0)),D$2,)</f>
        <v>0</v>
      </c>
      <c r="E223" s="179">
        <f ca="1">IF(ISNUMBER(MATCH(DATEVALUE($A223),'recurring1_based on steps'!E$1:E$400,0)),E$2,)</f>
        <v>0</v>
      </c>
      <c r="F223" s="179">
        <f ca="1">IF(ISNUMBER(MATCH(DATEVALUE($A223),'recurring1_based on steps'!F$1:F$400,0)),F$2,)</f>
        <v>0</v>
      </c>
      <c r="G223" s="179">
        <f ca="1">IF(ISNUMBER(MATCH(DATEVALUE($A223),'recurring1_based on steps'!G$1:G$400,0)),G$2,)</f>
        <v>0</v>
      </c>
      <c r="H223" s="179">
        <f ca="1">IF(ISNUMBER(MATCH(DATEVALUE($A223),'recurring1_based on steps'!H$1:H$400,0)),H$2,)</f>
        <v>0</v>
      </c>
      <c r="I223" s="179">
        <f ca="1">IF(ISNUMBER(MATCH(DATEVALUE($A223),'recurring1_based on steps'!I$1:I$400,0)),I$2,)</f>
        <v>0</v>
      </c>
      <c r="J223" s="179">
        <f ca="1">IF(ISNUMBER(MATCH(DATEVALUE($A223),'recurring1_based on steps'!J$1:J$400,0)),J$2,)</f>
        <v>0</v>
      </c>
      <c r="K223" s="179">
        <f ca="1">IF(ISNUMBER(MATCH(DATEVALUE($A223),'recurring1_based on steps'!K$1:K$400,0)),K$2,)</f>
        <v>0</v>
      </c>
      <c r="L223" s="179">
        <f ca="1">IF(ISNUMBER(MATCH(DATEVALUE($A223),'recurring1_based on steps'!L$1:L$400,0)),L$2,)</f>
        <v>0</v>
      </c>
      <c r="M223" s="179">
        <f ca="1">IF(ISNUMBER(MATCH(DATEVALUE($A223),'recurring1_based on steps'!M$1:M$400,0)),M$2,)</f>
        <v>0</v>
      </c>
      <c r="N223" s="179">
        <f ca="1">IF(ISNUMBER(MATCH(DATEVALUE($A223),'recurring1_based on steps'!N$1:N$400,0)),N$2,)</f>
        <v>0</v>
      </c>
      <c r="O223" s="179">
        <f ca="1">IF(ISNUMBER(MATCH(DATEVALUE($A223),'recurring1_based on steps'!O$1:O$400,0)),O$2,)</f>
        <v>0</v>
      </c>
      <c r="P223" s="179">
        <f ca="1">IF(ISNUMBER(MATCH(DATEVALUE($A223),'recurring1_based on steps'!P$1:P$400,0)),P$2,)</f>
        <v>0</v>
      </c>
      <c r="Q223" s="179">
        <f ca="1">IF(ISNUMBER(MATCH(DATEVALUE($A223),'recurring1_based on steps'!Q$1:Q$400,0)),Q$2,)</f>
        <v>0</v>
      </c>
      <c r="R223" s="179">
        <f ca="1">IF(ISNUMBER(MATCH(DATEVALUE($A223),'recurring1_based on steps'!R$1:R$400,0)),R$2,)</f>
        <v>0</v>
      </c>
      <c r="S223" s="179">
        <f ca="1">IF(ISNUMBER(MATCH(DATEVALUE($A223),'recurring1_based on steps'!S$1:S$400,0)),S$2,)</f>
        <v>0</v>
      </c>
      <c r="T223" s="179">
        <f ca="1">IF(ISNUMBER(MATCH(DATEVALUE($A223),'recurring1_based on steps'!T$1:T$400,0)),T$2,)</f>
        <v>0</v>
      </c>
      <c r="U223" s="179">
        <f ca="1">IF(ISNUMBER(MATCH(DATEVALUE($A223),'recurring1_based on steps'!U$1:U$400,0)),U$2,)</f>
        <v>0</v>
      </c>
      <c r="V223" s="179">
        <f ca="1">IF(ISNUMBER(MATCH(DATEVALUE($A223),'recurring1_based on steps'!V$1:V$400,0)),V$2,)</f>
        <v>0</v>
      </c>
      <c r="W223" s="179">
        <f ca="1">IF(ISNUMBER(MATCH(DATEVALUE($A223),'recurring1_based on steps'!W$1:W$400,0)),W$2,)</f>
        <v>0</v>
      </c>
      <c r="X223" s="179">
        <f ca="1">IF(ISNUMBER(MATCH(DATEVALUE($A223),'recurring1_based on steps'!X$1:X$400,0)),X$2,)</f>
        <v>0</v>
      </c>
      <c r="Y223" s="179">
        <f ca="1">IF(ISNUMBER(MATCH(DATEVALUE($A223),'recurring1_based on steps'!Y$1:Y$400,0)),Y$2,)</f>
        <v>0</v>
      </c>
      <c r="Z223" s="179">
        <f ca="1">IF(ISNUMBER(MATCH(DATEVALUE($A223),'recurring1_based on steps'!Z$1:Z$400,0)),Z$2,)</f>
        <v>0</v>
      </c>
      <c r="AA223" s="179">
        <f ca="1">IF(ISNUMBER(MATCH(DATEVALUE($A223),'recurring1_based on steps'!AA$1:AA$400,0)),AA$2,)</f>
        <v>0</v>
      </c>
      <c r="AB223" s="179">
        <f ca="1">IF(ISNUMBER(MATCH(DATEVALUE($A223),'recurring1_based on steps'!AB$1:AB$400,0)),AB$2,)</f>
        <v>0</v>
      </c>
      <c r="AC223" s="179">
        <f ca="1">IF(ISNUMBER(MATCH(DATEVALUE($A223),'recurring1_based on steps'!AC$1:AC$400,0)),AC$2,)</f>
        <v>0</v>
      </c>
      <c r="AD223" s="179">
        <f ca="1">IF(ISNUMBER(MATCH(DATEVALUE($A223),'recurring1_based on steps'!AD$1:AD$400,0)),AD$2,)</f>
        <v>0</v>
      </c>
      <c r="AE223" s="179">
        <f ca="1">IF(ISNUMBER(MATCH(DATEVALUE($A223),'recurring1_based on steps'!AE$1:AE$400,0)),AE$2,)</f>
        <v>0</v>
      </c>
      <c r="AF223" s="179">
        <f ca="1">IF(ISNUMBER(MATCH(DATEVALUE($A223),'recurring1_based on steps'!AF$1:AF$400,0)),AF$2,)</f>
        <v>0</v>
      </c>
      <c r="AG223" s="179">
        <f ca="1">IF(ISNUMBER(MATCH(DATEVALUE($A223),'recurring1_based on steps'!AG$1:AG$400,0)),AG$2,)</f>
        <v>0</v>
      </c>
      <c r="AH223" s="179">
        <f ca="1">IF(ISNUMBER(MATCH(DATEVALUE($A223),'recurring1_based on steps'!AH$1:AH$400,0)),AH$2,)</f>
        <v>0</v>
      </c>
      <c r="AI223" s="179">
        <f ca="1">IF(ISNUMBER(MATCH(DATEVALUE($A223),'recurring1_based on steps'!AI$1:AI$400,0)),AI$2,)</f>
        <v>0</v>
      </c>
      <c r="AJ223" s="179">
        <f ca="1">IF(ISNUMBER(MATCH(DATEVALUE($A223),'recurring1_based on steps'!AJ$1:AJ$400,0)),AJ$2,)</f>
        <v>0</v>
      </c>
      <c r="AK223" s="179">
        <f ca="1">IF(ISNUMBER(MATCH(DATEVALUE($A223),'recurring1_based on steps'!AK$1:AK$400,0)),AK$2,)</f>
        <v>0</v>
      </c>
      <c r="AL223" s="179">
        <f ca="1">IF(ISNUMBER(MATCH(DATEVALUE($A223),'recurring1_based on steps'!AL$1:AL$400,0)),AL$2,)</f>
        <v>0</v>
      </c>
      <c r="AM223" s="179">
        <f ca="1">IF(ISNUMBER(MATCH(DATEVALUE($A223),'recurring1_based on steps'!AM$1:AM$400,0)),AM$2,)</f>
        <v>0</v>
      </c>
      <c r="AN223" s="179">
        <f ca="1">IF(ISNUMBER(MATCH(DATEVALUE($A223),'recurring1_based on steps'!AN$1:AN$400,0)),AN$2,)</f>
        <v>0</v>
      </c>
      <c r="AO223" s="179">
        <f ca="1">IF(ISNUMBER(MATCH(DATEVALUE($A223),'recurring1_based on steps'!AO$1:AO$400,0)),AO$2,)</f>
        <v>0</v>
      </c>
      <c r="AP223" s="179">
        <f ca="1">IF(ISNUMBER(MATCH(DATEVALUE($A223),'recurring1_based on steps'!AP$1:AP$400,0)),AP$2,)</f>
        <v>0</v>
      </c>
      <c r="AQ223" s="179">
        <f ca="1">IF(ISNUMBER(MATCH(DATEVALUE($A223),'recurring1_based on steps'!AQ$1:AQ$400,0)),AQ$2,)</f>
        <v>0</v>
      </c>
      <c r="AR223" s="179">
        <f ca="1">IF(ISNUMBER(MATCH(DATEVALUE($A223),'recurring1_based on steps'!AR$1:AR$400,0)),AR$2,)</f>
        <v>0</v>
      </c>
      <c r="AS223" s="179">
        <f ca="1">IF(ISNUMBER(MATCH(DATEVALUE($A223),'recurring1_based on steps'!AS$1:AS$400,0)),AS$2,)</f>
        <v>0</v>
      </c>
      <c r="AT223" s="179">
        <f ca="1">IF(ISNUMBER(MATCH(DATEVALUE($A223),'recurring1_based on steps'!AT$1:AT$400,0)),AT$2,)</f>
        <v>0</v>
      </c>
      <c r="AU223" s="179">
        <f ca="1">IF(ISNUMBER(MATCH(DATEVALUE($A223),'recurring1_based on steps'!AU$1:AU$400,0)),AU$2,)</f>
        <v>0</v>
      </c>
      <c r="AV223" s="179">
        <f ca="1">IF(ISNUMBER(MATCH(DATEVALUE($A223),'recurring1_based on steps'!AV$1:AV$400,0)),AV$2,)</f>
        <v>0</v>
      </c>
      <c r="AW223" s="179">
        <f ca="1">IF(ISNUMBER(MATCH(DATEVALUE($A223),'recurring1_based on steps'!AW$1:AW$400,0)),AW$2,)</f>
        <v>0</v>
      </c>
      <c r="AX223" s="179">
        <f ca="1">IF(ISNUMBER(MATCH(DATEVALUE($A223),'recurring1_based on steps'!AX$1:AX$400,0)),AX$2,)</f>
        <v>0</v>
      </c>
      <c r="AY223" s="179">
        <f ca="1">IF(ISNUMBER(MATCH(DATEVALUE($A223),'recurring1_based on steps'!AY$1:AY$400,0)),AY$2,)</f>
        <v>0</v>
      </c>
    </row>
    <row r="224" spans="1:51" x14ac:dyDescent="0.2">
      <c r="A224" s="32" t="str">
        <f t="shared" ca="1" si="3"/>
        <v>2025-11-05</v>
      </c>
      <c r="B224" s="179">
        <f ca="1">IF(ISNUMBER(MATCH(DATEVALUE($A224),'recurring1_based on steps'!B$1:B$400,0)),B$2,)</f>
        <v>0</v>
      </c>
      <c r="C224" s="179">
        <f ca="1">IF(ISNUMBER(MATCH(DATEVALUE($A224),'recurring1_based on steps'!C$1:C$400,0)),C$2,)</f>
        <v>0</v>
      </c>
      <c r="D224" s="179">
        <f ca="1">IF(ISNUMBER(MATCH(DATEVALUE($A224),'recurring1_based on steps'!D$1:D$400,0)),D$2,)</f>
        <v>0</v>
      </c>
      <c r="E224" s="179">
        <f ca="1">IF(ISNUMBER(MATCH(DATEVALUE($A224),'recurring1_based on steps'!E$1:E$400,0)),E$2,)</f>
        <v>0</v>
      </c>
      <c r="F224" s="179">
        <f ca="1">IF(ISNUMBER(MATCH(DATEVALUE($A224),'recurring1_based on steps'!F$1:F$400,0)),F$2,)</f>
        <v>0</v>
      </c>
      <c r="G224" s="179">
        <f ca="1">IF(ISNUMBER(MATCH(DATEVALUE($A224),'recurring1_based on steps'!G$1:G$400,0)),G$2,)</f>
        <v>0</v>
      </c>
      <c r="H224" s="179">
        <f ca="1">IF(ISNUMBER(MATCH(DATEVALUE($A224),'recurring1_based on steps'!H$1:H$400,0)),H$2,)</f>
        <v>0</v>
      </c>
      <c r="I224" s="179">
        <f ca="1">IF(ISNUMBER(MATCH(DATEVALUE($A224),'recurring1_based on steps'!I$1:I$400,0)),I$2,)</f>
        <v>0</v>
      </c>
      <c r="J224" s="179">
        <f ca="1">IF(ISNUMBER(MATCH(DATEVALUE($A224),'recurring1_based on steps'!J$1:J$400,0)),J$2,)</f>
        <v>0</v>
      </c>
      <c r="K224" s="179">
        <f ca="1">IF(ISNUMBER(MATCH(DATEVALUE($A224),'recurring1_based on steps'!K$1:K$400,0)),K$2,)</f>
        <v>0</v>
      </c>
      <c r="L224" s="179">
        <f ca="1">IF(ISNUMBER(MATCH(DATEVALUE($A224),'recurring1_based on steps'!L$1:L$400,0)),L$2,)</f>
        <v>0</v>
      </c>
      <c r="M224" s="179">
        <f ca="1">IF(ISNUMBER(MATCH(DATEVALUE($A224),'recurring1_based on steps'!M$1:M$400,0)),M$2,)</f>
        <v>0</v>
      </c>
      <c r="N224" s="179">
        <f ca="1">IF(ISNUMBER(MATCH(DATEVALUE($A224),'recurring1_based on steps'!N$1:N$400,0)),N$2,)</f>
        <v>0</v>
      </c>
      <c r="O224" s="179">
        <f ca="1">IF(ISNUMBER(MATCH(DATEVALUE($A224),'recurring1_based on steps'!O$1:O$400,0)),O$2,)</f>
        <v>0</v>
      </c>
      <c r="P224" s="179">
        <f ca="1">IF(ISNUMBER(MATCH(DATEVALUE($A224),'recurring1_based on steps'!P$1:P$400,0)),P$2,)</f>
        <v>0</v>
      </c>
      <c r="Q224" s="179">
        <f ca="1">IF(ISNUMBER(MATCH(DATEVALUE($A224),'recurring1_based on steps'!Q$1:Q$400,0)),Q$2,)</f>
        <v>0</v>
      </c>
      <c r="R224" s="179">
        <f ca="1">IF(ISNUMBER(MATCH(DATEVALUE($A224),'recurring1_based on steps'!R$1:R$400,0)),R$2,)</f>
        <v>0</v>
      </c>
      <c r="S224" s="179">
        <f ca="1">IF(ISNUMBER(MATCH(DATEVALUE($A224),'recurring1_based on steps'!S$1:S$400,0)),S$2,)</f>
        <v>0</v>
      </c>
      <c r="T224" s="179">
        <f ca="1">IF(ISNUMBER(MATCH(DATEVALUE($A224),'recurring1_based on steps'!T$1:T$400,0)),T$2,)</f>
        <v>0</v>
      </c>
      <c r="U224" s="179">
        <f ca="1">IF(ISNUMBER(MATCH(DATEVALUE($A224),'recurring1_based on steps'!U$1:U$400,0)),U$2,)</f>
        <v>0</v>
      </c>
      <c r="V224" s="179">
        <f ca="1">IF(ISNUMBER(MATCH(DATEVALUE($A224),'recurring1_based on steps'!V$1:V$400,0)),V$2,)</f>
        <v>0</v>
      </c>
      <c r="W224" s="179">
        <f ca="1">IF(ISNUMBER(MATCH(DATEVALUE($A224),'recurring1_based on steps'!W$1:W$400,0)),W$2,)</f>
        <v>0</v>
      </c>
      <c r="X224" s="179">
        <f ca="1">IF(ISNUMBER(MATCH(DATEVALUE($A224),'recurring1_based on steps'!X$1:X$400,0)),X$2,)</f>
        <v>0</v>
      </c>
      <c r="Y224" s="179">
        <f ca="1">IF(ISNUMBER(MATCH(DATEVALUE($A224),'recurring1_based on steps'!Y$1:Y$400,0)),Y$2,)</f>
        <v>0</v>
      </c>
      <c r="Z224" s="179">
        <f ca="1">IF(ISNUMBER(MATCH(DATEVALUE($A224),'recurring1_based on steps'!Z$1:Z$400,0)),Z$2,)</f>
        <v>0</v>
      </c>
      <c r="AA224" s="179">
        <f ca="1">IF(ISNUMBER(MATCH(DATEVALUE($A224),'recurring1_based on steps'!AA$1:AA$400,0)),AA$2,)</f>
        <v>0</v>
      </c>
      <c r="AB224" s="179">
        <f ca="1">IF(ISNUMBER(MATCH(DATEVALUE($A224),'recurring1_based on steps'!AB$1:AB$400,0)),AB$2,)</f>
        <v>0</v>
      </c>
      <c r="AC224" s="179">
        <f ca="1">IF(ISNUMBER(MATCH(DATEVALUE($A224),'recurring1_based on steps'!AC$1:AC$400,0)),AC$2,)</f>
        <v>0</v>
      </c>
      <c r="AD224" s="179">
        <f ca="1">IF(ISNUMBER(MATCH(DATEVALUE($A224),'recurring1_based on steps'!AD$1:AD$400,0)),AD$2,)</f>
        <v>0</v>
      </c>
      <c r="AE224" s="179">
        <f ca="1">IF(ISNUMBER(MATCH(DATEVALUE($A224),'recurring1_based on steps'!AE$1:AE$400,0)),AE$2,)</f>
        <v>0</v>
      </c>
      <c r="AF224" s="179">
        <f ca="1">IF(ISNUMBER(MATCH(DATEVALUE($A224),'recurring1_based on steps'!AF$1:AF$400,0)),AF$2,)</f>
        <v>0</v>
      </c>
      <c r="AG224" s="179">
        <f ca="1">IF(ISNUMBER(MATCH(DATEVALUE($A224),'recurring1_based on steps'!AG$1:AG$400,0)),AG$2,)</f>
        <v>0</v>
      </c>
      <c r="AH224" s="179">
        <f ca="1">IF(ISNUMBER(MATCH(DATEVALUE($A224),'recurring1_based on steps'!AH$1:AH$400,0)),AH$2,)</f>
        <v>0</v>
      </c>
      <c r="AI224" s="179">
        <f ca="1">IF(ISNUMBER(MATCH(DATEVALUE($A224),'recurring1_based on steps'!AI$1:AI$400,0)),AI$2,)</f>
        <v>0</v>
      </c>
      <c r="AJ224" s="179">
        <f ca="1">IF(ISNUMBER(MATCH(DATEVALUE($A224),'recurring1_based on steps'!AJ$1:AJ$400,0)),AJ$2,)</f>
        <v>0</v>
      </c>
      <c r="AK224" s="179">
        <f ca="1">IF(ISNUMBER(MATCH(DATEVALUE($A224),'recurring1_based on steps'!AK$1:AK$400,0)),AK$2,)</f>
        <v>0</v>
      </c>
      <c r="AL224" s="179">
        <f ca="1">IF(ISNUMBER(MATCH(DATEVALUE($A224),'recurring1_based on steps'!AL$1:AL$400,0)),AL$2,)</f>
        <v>0</v>
      </c>
      <c r="AM224" s="179">
        <f ca="1">IF(ISNUMBER(MATCH(DATEVALUE($A224),'recurring1_based on steps'!AM$1:AM$400,0)),AM$2,)</f>
        <v>0</v>
      </c>
      <c r="AN224" s="179">
        <f ca="1">IF(ISNUMBER(MATCH(DATEVALUE($A224),'recurring1_based on steps'!AN$1:AN$400,0)),AN$2,)</f>
        <v>0</v>
      </c>
      <c r="AO224" s="179">
        <f ca="1">IF(ISNUMBER(MATCH(DATEVALUE($A224),'recurring1_based on steps'!AO$1:AO$400,0)),AO$2,)</f>
        <v>0</v>
      </c>
      <c r="AP224" s="179">
        <f ca="1">IF(ISNUMBER(MATCH(DATEVALUE($A224),'recurring1_based on steps'!AP$1:AP$400,0)),AP$2,)</f>
        <v>0</v>
      </c>
      <c r="AQ224" s="179">
        <f ca="1">IF(ISNUMBER(MATCH(DATEVALUE($A224),'recurring1_based on steps'!AQ$1:AQ$400,0)),AQ$2,)</f>
        <v>0</v>
      </c>
      <c r="AR224" s="179">
        <f ca="1">IF(ISNUMBER(MATCH(DATEVALUE($A224),'recurring1_based on steps'!AR$1:AR$400,0)),AR$2,)</f>
        <v>0</v>
      </c>
      <c r="AS224" s="179">
        <f ca="1">IF(ISNUMBER(MATCH(DATEVALUE($A224),'recurring1_based on steps'!AS$1:AS$400,0)),AS$2,)</f>
        <v>0</v>
      </c>
      <c r="AT224" s="179">
        <f ca="1">IF(ISNUMBER(MATCH(DATEVALUE($A224),'recurring1_based on steps'!AT$1:AT$400,0)),AT$2,)</f>
        <v>0</v>
      </c>
      <c r="AU224" s="179">
        <f ca="1">IF(ISNUMBER(MATCH(DATEVALUE($A224),'recurring1_based on steps'!AU$1:AU$400,0)),AU$2,)</f>
        <v>0</v>
      </c>
      <c r="AV224" s="179">
        <f ca="1">IF(ISNUMBER(MATCH(DATEVALUE($A224),'recurring1_based on steps'!AV$1:AV$400,0)),AV$2,)</f>
        <v>0</v>
      </c>
      <c r="AW224" s="179">
        <f ca="1">IF(ISNUMBER(MATCH(DATEVALUE($A224),'recurring1_based on steps'!AW$1:AW$400,0)),AW$2,)</f>
        <v>0</v>
      </c>
      <c r="AX224" s="179">
        <f ca="1">IF(ISNUMBER(MATCH(DATEVALUE($A224),'recurring1_based on steps'!AX$1:AX$400,0)),AX$2,)</f>
        <v>0</v>
      </c>
      <c r="AY224" s="179">
        <f ca="1">IF(ISNUMBER(MATCH(DATEVALUE($A224),'recurring1_based on steps'!AY$1:AY$400,0)),AY$2,)</f>
        <v>0</v>
      </c>
    </row>
    <row r="225" spans="1:51" x14ac:dyDescent="0.2">
      <c r="A225" s="32" t="str">
        <f t="shared" ca="1" si="3"/>
        <v>2025-11-06</v>
      </c>
      <c r="B225" s="179">
        <f ca="1">IF(ISNUMBER(MATCH(DATEVALUE($A225),'recurring1_based on steps'!B$1:B$400,0)),B$2,)</f>
        <v>0</v>
      </c>
      <c r="C225" s="179">
        <f ca="1">IF(ISNUMBER(MATCH(DATEVALUE($A225),'recurring1_based on steps'!C$1:C$400,0)),C$2,)</f>
        <v>0</v>
      </c>
      <c r="D225" s="179">
        <f ca="1">IF(ISNUMBER(MATCH(DATEVALUE($A225),'recurring1_based on steps'!D$1:D$400,0)),D$2,)</f>
        <v>0</v>
      </c>
      <c r="E225" s="179">
        <f ca="1">IF(ISNUMBER(MATCH(DATEVALUE($A225),'recurring1_based on steps'!E$1:E$400,0)),E$2,)</f>
        <v>0</v>
      </c>
      <c r="F225" s="179">
        <f ca="1">IF(ISNUMBER(MATCH(DATEVALUE($A225),'recurring1_based on steps'!F$1:F$400,0)),F$2,)</f>
        <v>0</v>
      </c>
      <c r="G225" s="179">
        <f ca="1">IF(ISNUMBER(MATCH(DATEVALUE($A225),'recurring1_based on steps'!G$1:G$400,0)),G$2,)</f>
        <v>0</v>
      </c>
      <c r="H225" s="179">
        <f ca="1">IF(ISNUMBER(MATCH(DATEVALUE($A225),'recurring1_based on steps'!H$1:H$400,0)),H$2,)</f>
        <v>0</v>
      </c>
      <c r="I225" s="179">
        <f ca="1">IF(ISNUMBER(MATCH(DATEVALUE($A225),'recurring1_based on steps'!I$1:I$400,0)),I$2,)</f>
        <v>0</v>
      </c>
      <c r="J225" s="179">
        <f ca="1">IF(ISNUMBER(MATCH(DATEVALUE($A225),'recurring1_based on steps'!J$1:J$400,0)),J$2,)</f>
        <v>0</v>
      </c>
      <c r="K225" s="179">
        <f ca="1">IF(ISNUMBER(MATCH(DATEVALUE($A225),'recurring1_based on steps'!K$1:K$400,0)),K$2,)</f>
        <v>0</v>
      </c>
      <c r="L225" s="179">
        <f ca="1">IF(ISNUMBER(MATCH(DATEVALUE($A225),'recurring1_based on steps'!L$1:L$400,0)),L$2,)</f>
        <v>0</v>
      </c>
      <c r="M225" s="179">
        <f ca="1">IF(ISNUMBER(MATCH(DATEVALUE($A225),'recurring1_based on steps'!M$1:M$400,0)),M$2,)</f>
        <v>0</v>
      </c>
      <c r="N225" s="179">
        <f ca="1">IF(ISNUMBER(MATCH(DATEVALUE($A225),'recurring1_based on steps'!N$1:N$400,0)),N$2,)</f>
        <v>0</v>
      </c>
      <c r="O225" s="179">
        <f ca="1">IF(ISNUMBER(MATCH(DATEVALUE($A225),'recurring1_based on steps'!O$1:O$400,0)),O$2,)</f>
        <v>0</v>
      </c>
      <c r="P225" s="179">
        <f ca="1">IF(ISNUMBER(MATCH(DATEVALUE($A225),'recurring1_based on steps'!P$1:P$400,0)),P$2,)</f>
        <v>0</v>
      </c>
      <c r="Q225" s="179">
        <f ca="1">IF(ISNUMBER(MATCH(DATEVALUE($A225),'recurring1_based on steps'!Q$1:Q$400,0)),Q$2,)</f>
        <v>0</v>
      </c>
      <c r="R225" s="179">
        <f ca="1">IF(ISNUMBER(MATCH(DATEVALUE($A225),'recurring1_based on steps'!R$1:R$400,0)),R$2,)</f>
        <v>0</v>
      </c>
      <c r="S225" s="179">
        <f ca="1">IF(ISNUMBER(MATCH(DATEVALUE($A225),'recurring1_based on steps'!S$1:S$400,0)),S$2,)</f>
        <v>0</v>
      </c>
      <c r="T225" s="179">
        <f ca="1">IF(ISNUMBER(MATCH(DATEVALUE($A225),'recurring1_based on steps'!T$1:T$400,0)),T$2,)</f>
        <v>0</v>
      </c>
      <c r="U225" s="179">
        <f ca="1">IF(ISNUMBER(MATCH(DATEVALUE($A225),'recurring1_based on steps'!U$1:U$400,0)),U$2,)</f>
        <v>0</v>
      </c>
      <c r="V225" s="179">
        <f ca="1">IF(ISNUMBER(MATCH(DATEVALUE($A225),'recurring1_based on steps'!V$1:V$400,0)),V$2,)</f>
        <v>0</v>
      </c>
      <c r="W225" s="179">
        <f ca="1">IF(ISNUMBER(MATCH(DATEVALUE($A225),'recurring1_based on steps'!W$1:W$400,0)),W$2,)</f>
        <v>0</v>
      </c>
      <c r="X225" s="179">
        <f ca="1">IF(ISNUMBER(MATCH(DATEVALUE($A225),'recurring1_based on steps'!X$1:X$400,0)),X$2,)</f>
        <v>0</v>
      </c>
      <c r="Y225" s="179">
        <f ca="1">IF(ISNUMBER(MATCH(DATEVALUE($A225),'recurring1_based on steps'!Y$1:Y$400,0)),Y$2,)</f>
        <v>0</v>
      </c>
      <c r="Z225" s="179">
        <f ca="1">IF(ISNUMBER(MATCH(DATEVALUE($A225),'recurring1_based on steps'!Z$1:Z$400,0)),Z$2,)</f>
        <v>0</v>
      </c>
      <c r="AA225" s="179">
        <f ca="1">IF(ISNUMBER(MATCH(DATEVALUE($A225),'recurring1_based on steps'!AA$1:AA$400,0)),AA$2,)</f>
        <v>0</v>
      </c>
      <c r="AB225" s="179">
        <f ca="1">IF(ISNUMBER(MATCH(DATEVALUE($A225),'recurring1_based on steps'!AB$1:AB$400,0)),AB$2,)</f>
        <v>0</v>
      </c>
      <c r="AC225" s="179">
        <f ca="1">IF(ISNUMBER(MATCH(DATEVALUE($A225),'recurring1_based on steps'!AC$1:AC$400,0)),AC$2,)</f>
        <v>0</v>
      </c>
      <c r="AD225" s="179">
        <f ca="1">IF(ISNUMBER(MATCH(DATEVALUE($A225),'recurring1_based on steps'!AD$1:AD$400,0)),AD$2,)</f>
        <v>0</v>
      </c>
      <c r="AE225" s="179">
        <f ca="1">IF(ISNUMBER(MATCH(DATEVALUE($A225),'recurring1_based on steps'!AE$1:AE$400,0)),AE$2,)</f>
        <v>0</v>
      </c>
      <c r="AF225" s="179">
        <f ca="1">IF(ISNUMBER(MATCH(DATEVALUE($A225),'recurring1_based on steps'!AF$1:AF$400,0)),AF$2,)</f>
        <v>0</v>
      </c>
      <c r="AG225" s="179">
        <f ca="1">IF(ISNUMBER(MATCH(DATEVALUE($A225),'recurring1_based on steps'!AG$1:AG$400,0)),AG$2,)</f>
        <v>0</v>
      </c>
      <c r="AH225" s="179">
        <f ca="1">IF(ISNUMBER(MATCH(DATEVALUE($A225),'recurring1_based on steps'!AH$1:AH$400,0)),AH$2,)</f>
        <v>0</v>
      </c>
      <c r="AI225" s="179">
        <f ca="1">IF(ISNUMBER(MATCH(DATEVALUE($A225),'recurring1_based on steps'!AI$1:AI$400,0)),AI$2,)</f>
        <v>0</v>
      </c>
      <c r="AJ225" s="179">
        <f ca="1">IF(ISNUMBER(MATCH(DATEVALUE($A225),'recurring1_based on steps'!AJ$1:AJ$400,0)),AJ$2,)</f>
        <v>0</v>
      </c>
      <c r="AK225" s="179">
        <f ca="1">IF(ISNUMBER(MATCH(DATEVALUE($A225),'recurring1_based on steps'!AK$1:AK$400,0)),AK$2,)</f>
        <v>0</v>
      </c>
      <c r="AL225" s="179">
        <f ca="1">IF(ISNUMBER(MATCH(DATEVALUE($A225),'recurring1_based on steps'!AL$1:AL$400,0)),AL$2,)</f>
        <v>0</v>
      </c>
      <c r="AM225" s="179">
        <f ca="1">IF(ISNUMBER(MATCH(DATEVALUE($A225),'recurring1_based on steps'!AM$1:AM$400,0)),AM$2,)</f>
        <v>0</v>
      </c>
      <c r="AN225" s="179">
        <f ca="1">IF(ISNUMBER(MATCH(DATEVALUE($A225),'recurring1_based on steps'!AN$1:AN$400,0)),AN$2,)</f>
        <v>0</v>
      </c>
      <c r="AO225" s="179">
        <f ca="1">IF(ISNUMBER(MATCH(DATEVALUE($A225),'recurring1_based on steps'!AO$1:AO$400,0)),AO$2,)</f>
        <v>0</v>
      </c>
      <c r="AP225" s="179">
        <f ca="1">IF(ISNUMBER(MATCH(DATEVALUE($A225),'recurring1_based on steps'!AP$1:AP$400,0)),AP$2,)</f>
        <v>0</v>
      </c>
      <c r="AQ225" s="179">
        <f ca="1">IF(ISNUMBER(MATCH(DATEVALUE($A225),'recurring1_based on steps'!AQ$1:AQ$400,0)),AQ$2,)</f>
        <v>0</v>
      </c>
      <c r="AR225" s="179">
        <f ca="1">IF(ISNUMBER(MATCH(DATEVALUE($A225),'recurring1_based on steps'!AR$1:AR$400,0)),AR$2,)</f>
        <v>0</v>
      </c>
      <c r="AS225" s="179">
        <f ca="1">IF(ISNUMBER(MATCH(DATEVALUE($A225),'recurring1_based on steps'!AS$1:AS$400,0)),AS$2,)</f>
        <v>0</v>
      </c>
      <c r="AT225" s="179">
        <f ca="1">IF(ISNUMBER(MATCH(DATEVALUE($A225),'recurring1_based on steps'!AT$1:AT$400,0)),AT$2,)</f>
        <v>0</v>
      </c>
      <c r="AU225" s="179">
        <f ca="1">IF(ISNUMBER(MATCH(DATEVALUE($A225),'recurring1_based on steps'!AU$1:AU$400,0)),AU$2,)</f>
        <v>0</v>
      </c>
      <c r="AV225" s="179">
        <f ca="1">IF(ISNUMBER(MATCH(DATEVALUE($A225),'recurring1_based on steps'!AV$1:AV$400,0)),AV$2,)</f>
        <v>0</v>
      </c>
      <c r="AW225" s="179">
        <f ca="1">IF(ISNUMBER(MATCH(DATEVALUE($A225),'recurring1_based on steps'!AW$1:AW$400,0)),AW$2,)</f>
        <v>0</v>
      </c>
      <c r="AX225" s="179">
        <f ca="1">IF(ISNUMBER(MATCH(DATEVALUE($A225),'recurring1_based on steps'!AX$1:AX$400,0)),AX$2,)</f>
        <v>0</v>
      </c>
      <c r="AY225" s="179">
        <f ca="1">IF(ISNUMBER(MATCH(DATEVALUE($A225),'recurring1_based on steps'!AY$1:AY$400,0)),AY$2,)</f>
        <v>0</v>
      </c>
    </row>
    <row r="226" spans="1:51" x14ac:dyDescent="0.2">
      <c r="A226" s="32" t="str">
        <f t="shared" ca="1" si="3"/>
        <v>2025-11-07</v>
      </c>
      <c r="B226" s="179">
        <f ca="1">IF(ISNUMBER(MATCH(DATEVALUE($A226),'recurring1_based on steps'!B$1:B$400,0)),B$2,)</f>
        <v>0</v>
      </c>
      <c r="C226" s="179">
        <f ca="1">IF(ISNUMBER(MATCH(DATEVALUE($A226),'recurring1_based on steps'!C$1:C$400,0)),C$2,)</f>
        <v>0</v>
      </c>
      <c r="D226" s="179">
        <f ca="1">IF(ISNUMBER(MATCH(DATEVALUE($A226),'recurring1_based on steps'!D$1:D$400,0)),D$2,)</f>
        <v>0</v>
      </c>
      <c r="E226" s="179">
        <f ca="1">IF(ISNUMBER(MATCH(DATEVALUE($A226),'recurring1_based on steps'!E$1:E$400,0)),E$2,)</f>
        <v>0</v>
      </c>
      <c r="F226" s="179">
        <f ca="1">IF(ISNUMBER(MATCH(DATEVALUE($A226),'recurring1_based on steps'!F$1:F$400,0)),F$2,)</f>
        <v>0</v>
      </c>
      <c r="G226" s="179">
        <f ca="1">IF(ISNUMBER(MATCH(DATEVALUE($A226),'recurring1_based on steps'!G$1:G$400,0)),G$2,)</f>
        <v>0</v>
      </c>
      <c r="H226" s="179">
        <f ca="1">IF(ISNUMBER(MATCH(DATEVALUE($A226),'recurring1_based on steps'!H$1:H$400,0)),H$2,)</f>
        <v>0</v>
      </c>
      <c r="I226" s="179">
        <f ca="1">IF(ISNUMBER(MATCH(DATEVALUE($A226),'recurring1_based on steps'!I$1:I$400,0)),I$2,)</f>
        <v>0</v>
      </c>
      <c r="J226" s="179">
        <f ca="1">IF(ISNUMBER(MATCH(DATEVALUE($A226),'recurring1_based on steps'!J$1:J$400,0)),J$2,)</f>
        <v>0</v>
      </c>
      <c r="K226" s="179">
        <f ca="1">IF(ISNUMBER(MATCH(DATEVALUE($A226),'recurring1_based on steps'!K$1:K$400,0)),K$2,)</f>
        <v>0</v>
      </c>
      <c r="L226" s="179">
        <f ca="1">IF(ISNUMBER(MATCH(DATEVALUE($A226),'recurring1_based on steps'!L$1:L$400,0)),L$2,)</f>
        <v>0</v>
      </c>
      <c r="M226" s="179">
        <f ca="1">IF(ISNUMBER(MATCH(DATEVALUE($A226),'recurring1_based on steps'!M$1:M$400,0)),M$2,)</f>
        <v>0</v>
      </c>
      <c r="N226" s="179">
        <f ca="1">IF(ISNUMBER(MATCH(DATEVALUE($A226),'recurring1_based on steps'!N$1:N$400,0)),N$2,)</f>
        <v>0</v>
      </c>
      <c r="O226" s="179">
        <f ca="1">IF(ISNUMBER(MATCH(DATEVALUE($A226),'recurring1_based on steps'!O$1:O$400,0)),O$2,)</f>
        <v>0</v>
      </c>
      <c r="P226" s="179">
        <f ca="1">IF(ISNUMBER(MATCH(DATEVALUE($A226),'recurring1_based on steps'!P$1:P$400,0)),P$2,)</f>
        <v>0</v>
      </c>
      <c r="Q226" s="179">
        <f ca="1">IF(ISNUMBER(MATCH(DATEVALUE($A226),'recurring1_based on steps'!Q$1:Q$400,0)),Q$2,)</f>
        <v>0</v>
      </c>
      <c r="R226" s="179">
        <f ca="1">IF(ISNUMBER(MATCH(DATEVALUE($A226),'recurring1_based on steps'!R$1:R$400,0)),R$2,)</f>
        <v>0</v>
      </c>
      <c r="S226" s="179">
        <f ca="1">IF(ISNUMBER(MATCH(DATEVALUE($A226),'recurring1_based on steps'!S$1:S$400,0)),S$2,)</f>
        <v>0</v>
      </c>
      <c r="T226" s="179">
        <f ca="1">IF(ISNUMBER(MATCH(DATEVALUE($A226),'recurring1_based on steps'!T$1:T$400,0)),T$2,)</f>
        <v>0</v>
      </c>
      <c r="U226" s="179">
        <f ca="1">IF(ISNUMBER(MATCH(DATEVALUE($A226),'recurring1_based on steps'!U$1:U$400,0)),U$2,)</f>
        <v>0</v>
      </c>
      <c r="V226" s="179">
        <f ca="1">IF(ISNUMBER(MATCH(DATEVALUE($A226),'recurring1_based on steps'!V$1:V$400,0)),V$2,)</f>
        <v>0</v>
      </c>
      <c r="W226" s="179">
        <f ca="1">IF(ISNUMBER(MATCH(DATEVALUE($A226),'recurring1_based on steps'!W$1:W$400,0)),W$2,)</f>
        <v>0</v>
      </c>
      <c r="X226" s="179">
        <f ca="1">IF(ISNUMBER(MATCH(DATEVALUE($A226),'recurring1_based on steps'!X$1:X$400,0)),X$2,)</f>
        <v>0</v>
      </c>
      <c r="Y226" s="179">
        <f ca="1">IF(ISNUMBER(MATCH(DATEVALUE($A226),'recurring1_based on steps'!Y$1:Y$400,0)),Y$2,)</f>
        <v>0</v>
      </c>
      <c r="Z226" s="179">
        <f ca="1">IF(ISNUMBER(MATCH(DATEVALUE($A226),'recurring1_based on steps'!Z$1:Z$400,0)),Z$2,)</f>
        <v>0</v>
      </c>
      <c r="AA226" s="179">
        <f ca="1">IF(ISNUMBER(MATCH(DATEVALUE($A226),'recurring1_based on steps'!AA$1:AA$400,0)),AA$2,)</f>
        <v>0</v>
      </c>
      <c r="AB226" s="179">
        <f ca="1">IF(ISNUMBER(MATCH(DATEVALUE($A226),'recurring1_based on steps'!AB$1:AB$400,0)),AB$2,)</f>
        <v>0</v>
      </c>
      <c r="AC226" s="179">
        <f ca="1">IF(ISNUMBER(MATCH(DATEVALUE($A226),'recurring1_based on steps'!AC$1:AC$400,0)),AC$2,)</f>
        <v>0</v>
      </c>
      <c r="AD226" s="179">
        <f ca="1">IF(ISNUMBER(MATCH(DATEVALUE($A226),'recurring1_based on steps'!AD$1:AD$400,0)),AD$2,)</f>
        <v>0</v>
      </c>
      <c r="AE226" s="179">
        <f ca="1">IF(ISNUMBER(MATCH(DATEVALUE($A226),'recurring1_based on steps'!AE$1:AE$400,0)),AE$2,)</f>
        <v>0</v>
      </c>
      <c r="AF226" s="179">
        <f ca="1">IF(ISNUMBER(MATCH(DATEVALUE($A226),'recurring1_based on steps'!AF$1:AF$400,0)),AF$2,)</f>
        <v>0</v>
      </c>
      <c r="AG226" s="179">
        <f ca="1">IF(ISNUMBER(MATCH(DATEVALUE($A226),'recurring1_based on steps'!AG$1:AG$400,0)),AG$2,)</f>
        <v>0</v>
      </c>
      <c r="AH226" s="179">
        <f ca="1">IF(ISNUMBER(MATCH(DATEVALUE($A226),'recurring1_based on steps'!AH$1:AH$400,0)),AH$2,)</f>
        <v>0</v>
      </c>
      <c r="AI226" s="179">
        <f ca="1">IF(ISNUMBER(MATCH(DATEVALUE($A226),'recurring1_based on steps'!AI$1:AI$400,0)),AI$2,)</f>
        <v>0</v>
      </c>
      <c r="AJ226" s="179">
        <f ca="1">IF(ISNUMBER(MATCH(DATEVALUE($A226),'recurring1_based on steps'!AJ$1:AJ$400,0)),AJ$2,)</f>
        <v>0</v>
      </c>
      <c r="AK226" s="179">
        <f ca="1">IF(ISNUMBER(MATCH(DATEVALUE($A226),'recurring1_based on steps'!AK$1:AK$400,0)),AK$2,)</f>
        <v>0</v>
      </c>
      <c r="AL226" s="179">
        <f ca="1">IF(ISNUMBER(MATCH(DATEVALUE($A226),'recurring1_based on steps'!AL$1:AL$400,0)),AL$2,)</f>
        <v>0</v>
      </c>
      <c r="AM226" s="179">
        <f ca="1">IF(ISNUMBER(MATCH(DATEVALUE($A226),'recurring1_based on steps'!AM$1:AM$400,0)),AM$2,)</f>
        <v>0</v>
      </c>
      <c r="AN226" s="179">
        <f ca="1">IF(ISNUMBER(MATCH(DATEVALUE($A226),'recurring1_based on steps'!AN$1:AN$400,0)),AN$2,)</f>
        <v>0</v>
      </c>
      <c r="AO226" s="179">
        <f ca="1">IF(ISNUMBER(MATCH(DATEVALUE($A226),'recurring1_based on steps'!AO$1:AO$400,0)),AO$2,)</f>
        <v>0</v>
      </c>
      <c r="AP226" s="179">
        <f ca="1">IF(ISNUMBER(MATCH(DATEVALUE($A226),'recurring1_based on steps'!AP$1:AP$400,0)),AP$2,)</f>
        <v>0</v>
      </c>
      <c r="AQ226" s="179">
        <f ca="1">IF(ISNUMBER(MATCH(DATEVALUE($A226),'recurring1_based on steps'!AQ$1:AQ$400,0)),AQ$2,)</f>
        <v>0</v>
      </c>
      <c r="AR226" s="179">
        <f ca="1">IF(ISNUMBER(MATCH(DATEVALUE($A226),'recurring1_based on steps'!AR$1:AR$400,0)),AR$2,)</f>
        <v>0</v>
      </c>
      <c r="AS226" s="179">
        <f ca="1">IF(ISNUMBER(MATCH(DATEVALUE($A226),'recurring1_based on steps'!AS$1:AS$400,0)),AS$2,)</f>
        <v>0</v>
      </c>
      <c r="AT226" s="179">
        <f ca="1">IF(ISNUMBER(MATCH(DATEVALUE($A226),'recurring1_based on steps'!AT$1:AT$400,0)),AT$2,)</f>
        <v>0</v>
      </c>
      <c r="AU226" s="179">
        <f ca="1">IF(ISNUMBER(MATCH(DATEVALUE($A226),'recurring1_based on steps'!AU$1:AU$400,0)),AU$2,)</f>
        <v>0</v>
      </c>
      <c r="AV226" s="179">
        <f ca="1">IF(ISNUMBER(MATCH(DATEVALUE($A226),'recurring1_based on steps'!AV$1:AV$400,0)),AV$2,)</f>
        <v>0</v>
      </c>
      <c r="AW226" s="179">
        <f ca="1">IF(ISNUMBER(MATCH(DATEVALUE($A226),'recurring1_based on steps'!AW$1:AW$400,0)),AW$2,)</f>
        <v>0</v>
      </c>
      <c r="AX226" s="179">
        <f ca="1">IF(ISNUMBER(MATCH(DATEVALUE($A226),'recurring1_based on steps'!AX$1:AX$400,0)),AX$2,)</f>
        <v>0</v>
      </c>
      <c r="AY226" s="179">
        <f ca="1">IF(ISNUMBER(MATCH(DATEVALUE($A226),'recurring1_based on steps'!AY$1:AY$400,0)),AY$2,)</f>
        <v>0</v>
      </c>
    </row>
    <row r="227" spans="1:51" x14ac:dyDescent="0.2">
      <c r="A227" s="32" t="str">
        <f t="shared" ca="1" si="3"/>
        <v>2025-11-08</v>
      </c>
      <c r="B227" s="179">
        <f ca="1">IF(ISNUMBER(MATCH(DATEVALUE($A227),'recurring1_based on steps'!B$1:B$400,0)),B$2,)</f>
        <v>0</v>
      </c>
      <c r="C227" s="179">
        <f ca="1">IF(ISNUMBER(MATCH(DATEVALUE($A227),'recurring1_based on steps'!C$1:C$400,0)),C$2,)</f>
        <v>0</v>
      </c>
      <c r="D227" s="179">
        <f ca="1">IF(ISNUMBER(MATCH(DATEVALUE($A227),'recurring1_based on steps'!D$1:D$400,0)),D$2,)</f>
        <v>0</v>
      </c>
      <c r="E227" s="179">
        <f ca="1">IF(ISNUMBER(MATCH(DATEVALUE($A227),'recurring1_based on steps'!E$1:E$400,0)),E$2,)</f>
        <v>0</v>
      </c>
      <c r="F227" s="179">
        <f ca="1">IF(ISNUMBER(MATCH(DATEVALUE($A227),'recurring1_based on steps'!F$1:F$400,0)),F$2,)</f>
        <v>0</v>
      </c>
      <c r="G227" s="179">
        <f ca="1">IF(ISNUMBER(MATCH(DATEVALUE($A227),'recurring1_based on steps'!G$1:G$400,0)),G$2,)</f>
        <v>0</v>
      </c>
      <c r="H227" s="179">
        <f ca="1">IF(ISNUMBER(MATCH(DATEVALUE($A227),'recurring1_based on steps'!H$1:H$400,0)),H$2,)</f>
        <v>0</v>
      </c>
      <c r="I227" s="179">
        <f ca="1">IF(ISNUMBER(MATCH(DATEVALUE($A227),'recurring1_based on steps'!I$1:I$400,0)),I$2,)</f>
        <v>0</v>
      </c>
      <c r="J227" s="179">
        <f ca="1">IF(ISNUMBER(MATCH(DATEVALUE($A227),'recurring1_based on steps'!J$1:J$400,0)),J$2,)</f>
        <v>0</v>
      </c>
      <c r="K227" s="179">
        <f ca="1">IF(ISNUMBER(MATCH(DATEVALUE($A227),'recurring1_based on steps'!K$1:K$400,0)),K$2,)</f>
        <v>0</v>
      </c>
      <c r="L227" s="179">
        <f ca="1">IF(ISNUMBER(MATCH(DATEVALUE($A227),'recurring1_based on steps'!L$1:L$400,0)),L$2,)</f>
        <v>0</v>
      </c>
      <c r="M227" s="179">
        <f ca="1">IF(ISNUMBER(MATCH(DATEVALUE($A227),'recurring1_based on steps'!M$1:M$400,0)),M$2,)</f>
        <v>0</v>
      </c>
      <c r="N227" s="179">
        <f ca="1">IF(ISNUMBER(MATCH(DATEVALUE($A227),'recurring1_based on steps'!N$1:N$400,0)),N$2,)</f>
        <v>0</v>
      </c>
      <c r="O227" s="179">
        <f ca="1">IF(ISNUMBER(MATCH(DATEVALUE($A227),'recurring1_based on steps'!O$1:O$400,0)),O$2,)</f>
        <v>0</v>
      </c>
      <c r="P227" s="179">
        <f ca="1">IF(ISNUMBER(MATCH(DATEVALUE($A227),'recurring1_based on steps'!P$1:P$400,0)),P$2,)</f>
        <v>0</v>
      </c>
      <c r="Q227" s="179">
        <f ca="1">IF(ISNUMBER(MATCH(DATEVALUE($A227),'recurring1_based on steps'!Q$1:Q$400,0)),Q$2,)</f>
        <v>0</v>
      </c>
      <c r="R227" s="179">
        <f ca="1">IF(ISNUMBER(MATCH(DATEVALUE($A227),'recurring1_based on steps'!R$1:R$400,0)),R$2,)</f>
        <v>0</v>
      </c>
      <c r="S227" s="179">
        <f ca="1">IF(ISNUMBER(MATCH(DATEVALUE($A227),'recurring1_based on steps'!S$1:S$400,0)),S$2,)</f>
        <v>0</v>
      </c>
      <c r="T227" s="179">
        <f ca="1">IF(ISNUMBER(MATCH(DATEVALUE($A227),'recurring1_based on steps'!T$1:T$400,0)),T$2,)</f>
        <v>0</v>
      </c>
      <c r="U227" s="179">
        <f ca="1">IF(ISNUMBER(MATCH(DATEVALUE($A227),'recurring1_based on steps'!U$1:U$400,0)),U$2,)</f>
        <v>0</v>
      </c>
      <c r="V227" s="179">
        <f ca="1">IF(ISNUMBER(MATCH(DATEVALUE($A227),'recurring1_based on steps'!V$1:V$400,0)),V$2,)</f>
        <v>0</v>
      </c>
      <c r="W227" s="179">
        <f ca="1">IF(ISNUMBER(MATCH(DATEVALUE($A227),'recurring1_based on steps'!W$1:W$400,0)),W$2,)</f>
        <v>0</v>
      </c>
      <c r="X227" s="179">
        <f ca="1">IF(ISNUMBER(MATCH(DATEVALUE($A227),'recurring1_based on steps'!X$1:X$400,0)),X$2,)</f>
        <v>0</v>
      </c>
      <c r="Y227" s="179">
        <f ca="1">IF(ISNUMBER(MATCH(DATEVALUE($A227),'recurring1_based on steps'!Y$1:Y$400,0)),Y$2,)</f>
        <v>0</v>
      </c>
      <c r="Z227" s="179">
        <f ca="1">IF(ISNUMBER(MATCH(DATEVALUE($A227),'recurring1_based on steps'!Z$1:Z$400,0)),Z$2,)</f>
        <v>0</v>
      </c>
      <c r="AA227" s="179">
        <f ca="1">IF(ISNUMBER(MATCH(DATEVALUE($A227),'recurring1_based on steps'!AA$1:AA$400,0)),AA$2,)</f>
        <v>0</v>
      </c>
      <c r="AB227" s="179">
        <f ca="1">IF(ISNUMBER(MATCH(DATEVALUE($A227),'recurring1_based on steps'!AB$1:AB$400,0)),AB$2,)</f>
        <v>0</v>
      </c>
      <c r="AC227" s="179">
        <f ca="1">IF(ISNUMBER(MATCH(DATEVALUE($A227),'recurring1_based on steps'!AC$1:AC$400,0)),AC$2,)</f>
        <v>0</v>
      </c>
      <c r="AD227" s="179">
        <f ca="1">IF(ISNUMBER(MATCH(DATEVALUE($A227),'recurring1_based on steps'!AD$1:AD$400,0)),AD$2,)</f>
        <v>0</v>
      </c>
      <c r="AE227" s="179">
        <f ca="1">IF(ISNUMBER(MATCH(DATEVALUE($A227),'recurring1_based on steps'!AE$1:AE$400,0)),AE$2,)</f>
        <v>0</v>
      </c>
      <c r="AF227" s="179">
        <f ca="1">IF(ISNUMBER(MATCH(DATEVALUE($A227),'recurring1_based on steps'!AF$1:AF$400,0)),AF$2,)</f>
        <v>0</v>
      </c>
      <c r="AG227" s="179">
        <f ca="1">IF(ISNUMBER(MATCH(DATEVALUE($A227),'recurring1_based on steps'!AG$1:AG$400,0)),AG$2,)</f>
        <v>0</v>
      </c>
      <c r="AH227" s="179">
        <f ca="1">IF(ISNUMBER(MATCH(DATEVALUE($A227),'recurring1_based on steps'!AH$1:AH$400,0)),AH$2,)</f>
        <v>0</v>
      </c>
      <c r="AI227" s="179">
        <f ca="1">IF(ISNUMBER(MATCH(DATEVALUE($A227),'recurring1_based on steps'!AI$1:AI$400,0)),AI$2,)</f>
        <v>0</v>
      </c>
      <c r="AJ227" s="179">
        <f ca="1">IF(ISNUMBER(MATCH(DATEVALUE($A227),'recurring1_based on steps'!AJ$1:AJ$400,0)),AJ$2,)</f>
        <v>0</v>
      </c>
      <c r="AK227" s="179">
        <f ca="1">IF(ISNUMBER(MATCH(DATEVALUE($A227),'recurring1_based on steps'!AK$1:AK$400,0)),AK$2,)</f>
        <v>0</v>
      </c>
      <c r="AL227" s="179">
        <f ca="1">IF(ISNUMBER(MATCH(DATEVALUE($A227),'recurring1_based on steps'!AL$1:AL$400,0)),AL$2,)</f>
        <v>0</v>
      </c>
      <c r="AM227" s="179">
        <f ca="1">IF(ISNUMBER(MATCH(DATEVALUE($A227),'recurring1_based on steps'!AM$1:AM$400,0)),AM$2,)</f>
        <v>0</v>
      </c>
      <c r="AN227" s="179">
        <f ca="1">IF(ISNUMBER(MATCH(DATEVALUE($A227),'recurring1_based on steps'!AN$1:AN$400,0)),AN$2,)</f>
        <v>0</v>
      </c>
      <c r="AO227" s="179">
        <f ca="1">IF(ISNUMBER(MATCH(DATEVALUE($A227),'recurring1_based on steps'!AO$1:AO$400,0)),AO$2,)</f>
        <v>0</v>
      </c>
      <c r="AP227" s="179">
        <f ca="1">IF(ISNUMBER(MATCH(DATEVALUE($A227),'recurring1_based on steps'!AP$1:AP$400,0)),AP$2,)</f>
        <v>0</v>
      </c>
      <c r="AQ227" s="179">
        <f ca="1">IF(ISNUMBER(MATCH(DATEVALUE($A227),'recurring1_based on steps'!AQ$1:AQ$400,0)),AQ$2,)</f>
        <v>0</v>
      </c>
      <c r="AR227" s="179">
        <f ca="1">IF(ISNUMBER(MATCH(DATEVALUE($A227),'recurring1_based on steps'!AR$1:AR$400,0)),AR$2,)</f>
        <v>0</v>
      </c>
      <c r="AS227" s="179">
        <f ca="1">IF(ISNUMBER(MATCH(DATEVALUE($A227),'recurring1_based on steps'!AS$1:AS$400,0)),AS$2,)</f>
        <v>0</v>
      </c>
      <c r="AT227" s="179">
        <f ca="1">IF(ISNUMBER(MATCH(DATEVALUE($A227),'recurring1_based on steps'!AT$1:AT$400,0)),AT$2,)</f>
        <v>0</v>
      </c>
      <c r="AU227" s="179">
        <f ca="1">IF(ISNUMBER(MATCH(DATEVALUE($A227),'recurring1_based on steps'!AU$1:AU$400,0)),AU$2,)</f>
        <v>0</v>
      </c>
      <c r="AV227" s="179">
        <f ca="1">IF(ISNUMBER(MATCH(DATEVALUE($A227),'recurring1_based on steps'!AV$1:AV$400,0)),AV$2,)</f>
        <v>0</v>
      </c>
      <c r="AW227" s="179">
        <f ca="1">IF(ISNUMBER(MATCH(DATEVALUE($A227),'recurring1_based on steps'!AW$1:AW$400,0)),AW$2,)</f>
        <v>0</v>
      </c>
      <c r="AX227" s="179">
        <f ca="1">IF(ISNUMBER(MATCH(DATEVALUE($A227),'recurring1_based on steps'!AX$1:AX$400,0)),AX$2,)</f>
        <v>0</v>
      </c>
      <c r="AY227" s="179">
        <f ca="1">IF(ISNUMBER(MATCH(DATEVALUE($A227),'recurring1_based on steps'!AY$1:AY$400,0)),AY$2,)</f>
        <v>0</v>
      </c>
    </row>
    <row r="228" spans="1:51" x14ac:dyDescent="0.2">
      <c r="A228" s="32" t="str">
        <f t="shared" ca="1" si="3"/>
        <v>2025-11-09</v>
      </c>
      <c r="B228" s="179">
        <f ca="1">IF(ISNUMBER(MATCH(DATEVALUE($A228),'recurring1_based on steps'!B$1:B$400,0)),B$2,)</f>
        <v>0</v>
      </c>
      <c r="C228" s="179">
        <f ca="1">IF(ISNUMBER(MATCH(DATEVALUE($A228),'recurring1_based on steps'!C$1:C$400,0)),C$2,)</f>
        <v>0</v>
      </c>
      <c r="D228" s="179">
        <f ca="1">IF(ISNUMBER(MATCH(DATEVALUE($A228),'recurring1_based on steps'!D$1:D$400,0)),D$2,)</f>
        <v>0</v>
      </c>
      <c r="E228" s="179">
        <f ca="1">IF(ISNUMBER(MATCH(DATEVALUE($A228),'recurring1_based on steps'!E$1:E$400,0)),E$2,)</f>
        <v>0</v>
      </c>
      <c r="F228" s="179">
        <f ca="1">IF(ISNUMBER(MATCH(DATEVALUE($A228),'recurring1_based on steps'!F$1:F$400,0)),F$2,)</f>
        <v>0</v>
      </c>
      <c r="G228" s="179">
        <f ca="1">IF(ISNUMBER(MATCH(DATEVALUE($A228),'recurring1_based on steps'!G$1:G$400,0)),G$2,)</f>
        <v>0</v>
      </c>
      <c r="H228" s="179">
        <f ca="1">IF(ISNUMBER(MATCH(DATEVALUE($A228),'recurring1_based on steps'!H$1:H$400,0)),H$2,)</f>
        <v>0</v>
      </c>
      <c r="I228" s="179">
        <f ca="1">IF(ISNUMBER(MATCH(DATEVALUE($A228),'recurring1_based on steps'!I$1:I$400,0)),I$2,)</f>
        <v>0</v>
      </c>
      <c r="J228" s="179">
        <f ca="1">IF(ISNUMBER(MATCH(DATEVALUE($A228),'recurring1_based on steps'!J$1:J$400,0)),J$2,)</f>
        <v>0</v>
      </c>
      <c r="K228" s="179">
        <f ca="1">IF(ISNUMBER(MATCH(DATEVALUE($A228),'recurring1_based on steps'!K$1:K$400,0)),K$2,)</f>
        <v>0</v>
      </c>
      <c r="L228" s="179">
        <f ca="1">IF(ISNUMBER(MATCH(DATEVALUE($A228),'recurring1_based on steps'!L$1:L$400,0)),L$2,)</f>
        <v>0</v>
      </c>
      <c r="M228" s="179">
        <f ca="1">IF(ISNUMBER(MATCH(DATEVALUE($A228),'recurring1_based on steps'!M$1:M$400,0)),M$2,)</f>
        <v>0</v>
      </c>
      <c r="N228" s="179">
        <f ca="1">IF(ISNUMBER(MATCH(DATEVALUE($A228),'recurring1_based on steps'!N$1:N$400,0)),N$2,)</f>
        <v>0</v>
      </c>
      <c r="O228" s="179">
        <f ca="1">IF(ISNUMBER(MATCH(DATEVALUE($A228),'recurring1_based on steps'!O$1:O$400,0)),O$2,)</f>
        <v>0</v>
      </c>
      <c r="P228" s="179">
        <f ca="1">IF(ISNUMBER(MATCH(DATEVALUE($A228),'recurring1_based on steps'!P$1:P$400,0)),P$2,)</f>
        <v>0</v>
      </c>
      <c r="Q228" s="179">
        <f ca="1">IF(ISNUMBER(MATCH(DATEVALUE($A228),'recurring1_based on steps'!Q$1:Q$400,0)),Q$2,)</f>
        <v>0</v>
      </c>
      <c r="R228" s="179">
        <f ca="1">IF(ISNUMBER(MATCH(DATEVALUE($A228),'recurring1_based on steps'!R$1:R$400,0)),R$2,)</f>
        <v>0</v>
      </c>
      <c r="S228" s="179">
        <f ca="1">IF(ISNUMBER(MATCH(DATEVALUE($A228),'recurring1_based on steps'!S$1:S$400,0)),S$2,)</f>
        <v>0</v>
      </c>
      <c r="T228" s="179">
        <f ca="1">IF(ISNUMBER(MATCH(DATEVALUE($A228),'recurring1_based on steps'!T$1:T$400,0)),T$2,)</f>
        <v>0</v>
      </c>
      <c r="U228" s="179">
        <f ca="1">IF(ISNUMBER(MATCH(DATEVALUE($A228),'recurring1_based on steps'!U$1:U$400,0)),U$2,)</f>
        <v>0</v>
      </c>
      <c r="V228" s="179">
        <f ca="1">IF(ISNUMBER(MATCH(DATEVALUE($A228),'recurring1_based on steps'!V$1:V$400,0)),V$2,)</f>
        <v>0</v>
      </c>
      <c r="W228" s="179">
        <f ca="1">IF(ISNUMBER(MATCH(DATEVALUE($A228),'recurring1_based on steps'!W$1:W$400,0)),W$2,)</f>
        <v>0</v>
      </c>
      <c r="X228" s="179">
        <f ca="1">IF(ISNUMBER(MATCH(DATEVALUE($A228),'recurring1_based on steps'!X$1:X$400,0)),X$2,)</f>
        <v>0</v>
      </c>
      <c r="Y228" s="179">
        <f ca="1">IF(ISNUMBER(MATCH(DATEVALUE($A228),'recurring1_based on steps'!Y$1:Y$400,0)),Y$2,)</f>
        <v>0</v>
      </c>
      <c r="Z228" s="179">
        <f ca="1">IF(ISNUMBER(MATCH(DATEVALUE($A228),'recurring1_based on steps'!Z$1:Z$400,0)),Z$2,)</f>
        <v>0</v>
      </c>
      <c r="AA228" s="179">
        <f ca="1">IF(ISNUMBER(MATCH(DATEVALUE($A228),'recurring1_based on steps'!AA$1:AA$400,0)),AA$2,)</f>
        <v>0</v>
      </c>
      <c r="AB228" s="179">
        <f ca="1">IF(ISNUMBER(MATCH(DATEVALUE($A228),'recurring1_based on steps'!AB$1:AB$400,0)),AB$2,)</f>
        <v>0</v>
      </c>
      <c r="AC228" s="179">
        <f ca="1">IF(ISNUMBER(MATCH(DATEVALUE($A228),'recurring1_based on steps'!AC$1:AC$400,0)),AC$2,)</f>
        <v>0</v>
      </c>
      <c r="AD228" s="179">
        <f ca="1">IF(ISNUMBER(MATCH(DATEVALUE($A228),'recurring1_based on steps'!AD$1:AD$400,0)),AD$2,)</f>
        <v>0</v>
      </c>
      <c r="AE228" s="179">
        <f ca="1">IF(ISNUMBER(MATCH(DATEVALUE($A228),'recurring1_based on steps'!AE$1:AE$400,0)),AE$2,)</f>
        <v>0</v>
      </c>
      <c r="AF228" s="179">
        <f ca="1">IF(ISNUMBER(MATCH(DATEVALUE($A228),'recurring1_based on steps'!AF$1:AF$400,0)),AF$2,)</f>
        <v>0</v>
      </c>
      <c r="AG228" s="179">
        <f ca="1">IF(ISNUMBER(MATCH(DATEVALUE($A228),'recurring1_based on steps'!AG$1:AG$400,0)),AG$2,)</f>
        <v>0</v>
      </c>
      <c r="AH228" s="179">
        <f ca="1">IF(ISNUMBER(MATCH(DATEVALUE($A228),'recurring1_based on steps'!AH$1:AH$400,0)),AH$2,)</f>
        <v>0</v>
      </c>
      <c r="AI228" s="179">
        <f ca="1">IF(ISNUMBER(MATCH(DATEVALUE($A228),'recurring1_based on steps'!AI$1:AI$400,0)),AI$2,)</f>
        <v>0</v>
      </c>
      <c r="AJ228" s="179">
        <f ca="1">IF(ISNUMBER(MATCH(DATEVALUE($A228),'recurring1_based on steps'!AJ$1:AJ$400,0)),AJ$2,)</f>
        <v>0</v>
      </c>
      <c r="AK228" s="179">
        <f ca="1">IF(ISNUMBER(MATCH(DATEVALUE($A228),'recurring1_based on steps'!AK$1:AK$400,0)),AK$2,)</f>
        <v>0</v>
      </c>
      <c r="AL228" s="179">
        <f ca="1">IF(ISNUMBER(MATCH(DATEVALUE($A228),'recurring1_based on steps'!AL$1:AL$400,0)),AL$2,)</f>
        <v>0</v>
      </c>
      <c r="AM228" s="179">
        <f ca="1">IF(ISNUMBER(MATCH(DATEVALUE($A228),'recurring1_based on steps'!AM$1:AM$400,0)),AM$2,)</f>
        <v>0</v>
      </c>
      <c r="AN228" s="179">
        <f ca="1">IF(ISNUMBER(MATCH(DATEVALUE($A228),'recurring1_based on steps'!AN$1:AN$400,0)),AN$2,)</f>
        <v>0</v>
      </c>
      <c r="AO228" s="179">
        <f ca="1">IF(ISNUMBER(MATCH(DATEVALUE($A228),'recurring1_based on steps'!AO$1:AO$400,0)),AO$2,)</f>
        <v>0</v>
      </c>
      <c r="AP228" s="179">
        <f ca="1">IF(ISNUMBER(MATCH(DATEVALUE($A228),'recurring1_based on steps'!AP$1:AP$400,0)),AP$2,)</f>
        <v>0</v>
      </c>
      <c r="AQ228" s="179">
        <f ca="1">IF(ISNUMBER(MATCH(DATEVALUE($A228),'recurring1_based on steps'!AQ$1:AQ$400,0)),AQ$2,)</f>
        <v>0</v>
      </c>
      <c r="AR228" s="179">
        <f ca="1">IF(ISNUMBER(MATCH(DATEVALUE($A228),'recurring1_based on steps'!AR$1:AR$400,0)),AR$2,)</f>
        <v>0</v>
      </c>
      <c r="AS228" s="179">
        <f ca="1">IF(ISNUMBER(MATCH(DATEVALUE($A228),'recurring1_based on steps'!AS$1:AS$400,0)),AS$2,)</f>
        <v>0</v>
      </c>
      <c r="AT228" s="179">
        <f ca="1">IF(ISNUMBER(MATCH(DATEVALUE($A228),'recurring1_based on steps'!AT$1:AT$400,0)),AT$2,)</f>
        <v>0</v>
      </c>
      <c r="AU228" s="179">
        <f ca="1">IF(ISNUMBER(MATCH(DATEVALUE($A228),'recurring1_based on steps'!AU$1:AU$400,0)),AU$2,)</f>
        <v>0</v>
      </c>
      <c r="AV228" s="179">
        <f ca="1">IF(ISNUMBER(MATCH(DATEVALUE($A228),'recurring1_based on steps'!AV$1:AV$400,0)),AV$2,)</f>
        <v>0</v>
      </c>
      <c r="AW228" s="179">
        <f ca="1">IF(ISNUMBER(MATCH(DATEVALUE($A228),'recurring1_based on steps'!AW$1:AW$400,0)),AW$2,)</f>
        <v>0</v>
      </c>
      <c r="AX228" s="179">
        <f ca="1">IF(ISNUMBER(MATCH(DATEVALUE($A228),'recurring1_based on steps'!AX$1:AX$400,0)),AX$2,)</f>
        <v>0</v>
      </c>
      <c r="AY228" s="179">
        <f ca="1">IF(ISNUMBER(MATCH(DATEVALUE($A228),'recurring1_based on steps'!AY$1:AY$400,0)),AY$2,)</f>
        <v>0</v>
      </c>
    </row>
    <row r="229" spans="1:51" x14ac:dyDescent="0.2">
      <c r="A229" s="32" t="str">
        <f t="shared" ca="1" si="3"/>
        <v>2025-11-10</v>
      </c>
      <c r="B229" s="179">
        <f ca="1">IF(ISNUMBER(MATCH(DATEVALUE($A229),'recurring1_based on steps'!B$1:B$400,0)),B$2,)</f>
        <v>0</v>
      </c>
      <c r="C229" s="179">
        <f ca="1">IF(ISNUMBER(MATCH(DATEVALUE($A229),'recurring1_based on steps'!C$1:C$400,0)),C$2,)</f>
        <v>0</v>
      </c>
      <c r="D229" s="179">
        <f ca="1">IF(ISNUMBER(MATCH(DATEVALUE($A229),'recurring1_based on steps'!D$1:D$400,0)),D$2,)</f>
        <v>0</v>
      </c>
      <c r="E229" s="179">
        <f ca="1">IF(ISNUMBER(MATCH(DATEVALUE($A229),'recurring1_based on steps'!E$1:E$400,0)),E$2,)</f>
        <v>0</v>
      </c>
      <c r="F229" s="179">
        <f ca="1">IF(ISNUMBER(MATCH(DATEVALUE($A229),'recurring1_based on steps'!F$1:F$400,0)),F$2,)</f>
        <v>0</v>
      </c>
      <c r="G229" s="179">
        <f ca="1">IF(ISNUMBER(MATCH(DATEVALUE($A229),'recurring1_based on steps'!G$1:G$400,0)),G$2,)</f>
        <v>0</v>
      </c>
      <c r="H229" s="179">
        <f ca="1">IF(ISNUMBER(MATCH(DATEVALUE($A229),'recurring1_based on steps'!H$1:H$400,0)),H$2,)</f>
        <v>0</v>
      </c>
      <c r="I229" s="179">
        <f ca="1">IF(ISNUMBER(MATCH(DATEVALUE($A229),'recurring1_based on steps'!I$1:I$400,0)),I$2,)</f>
        <v>0</v>
      </c>
      <c r="J229" s="179">
        <f ca="1">IF(ISNUMBER(MATCH(DATEVALUE($A229),'recurring1_based on steps'!J$1:J$400,0)),J$2,)</f>
        <v>0</v>
      </c>
      <c r="K229" s="179">
        <f ca="1">IF(ISNUMBER(MATCH(DATEVALUE($A229),'recurring1_based on steps'!K$1:K$400,0)),K$2,)</f>
        <v>0</v>
      </c>
      <c r="L229" s="179">
        <f ca="1">IF(ISNUMBER(MATCH(DATEVALUE($A229),'recurring1_based on steps'!L$1:L$400,0)),L$2,)</f>
        <v>0</v>
      </c>
      <c r="M229" s="179">
        <f ca="1">IF(ISNUMBER(MATCH(DATEVALUE($A229),'recurring1_based on steps'!M$1:M$400,0)),M$2,)</f>
        <v>0</v>
      </c>
      <c r="N229" s="179">
        <f ca="1">IF(ISNUMBER(MATCH(DATEVALUE($A229),'recurring1_based on steps'!N$1:N$400,0)),N$2,)</f>
        <v>0</v>
      </c>
      <c r="O229" s="179">
        <f ca="1">IF(ISNUMBER(MATCH(DATEVALUE($A229),'recurring1_based on steps'!O$1:O$400,0)),O$2,)</f>
        <v>0</v>
      </c>
      <c r="P229" s="179">
        <f ca="1">IF(ISNUMBER(MATCH(DATEVALUE($A229),'recurring1_based on steps'!P$1:P$400,0)),P$2,)</f>
        <v>0</v>
      </c>
      <c r="Q229" s="179">
        <f ca="1">IF(ISNUMBER(MATCH(DATEVALUE($A229),'recurring1_based on steps'!Q$1:Q$400,0)),Q$2,)</f>
        <v>0</v>
      </c>
      <c r="R229" s="179">
        <f ca="1">IF(ISNUMBER(MATCH(DATEVALUE($A229),'recurring1_based on steps'!R$1:R$400,0)),R$2,)</f>
        <v>0</v>
      </c>
      <c r="S229" s="179">
        <f ca="1">IF(ISNUMBER(MATCH(DATEVALUE($A229),'recurring1_based on steps'!S$1:S$400,0)),S$2,)</f>
        <v>0</v>
      </c>
      <c r="T229" s="179">
        <f ca="1">IF(ISNUMBER(MATCH(DATEVALUE($A229),'recurring1_based on steps'!T$1:T$400,0)),T$2,)</f>
        <v>0</v>
      </c>
      <c r="U229" s="179">
        <f ca="1">IF(ISNUMBER(MATCH(DATEVALUE($A229),'recurring1_based on steps'!U$1:U$400,0)),U$2,)</f>
        <v>0</v>
      </c>
      <c r="V229" s="179">
        <f ca="1">IF(ISNUMBER(MATCH(DATEVALUE($A229),'recurring1_based on steps'!V$1:V$400,0)),V$2,)</f>
        <v>0</v>
      </c>
      <c r="W229" s="179">
        <f ca="1">IF(ISNUMBER(MATCH(DATEVALUE($A229),'recurring1_based on steps'!W$1:W$400,0)),W$2,)</f>
        <v>0</v>
      </c>
      <c r="X229" s="179">
        <f ca="1">IF(ISNUMBER(MATCH(DATEVALUE($A229),'recurring1_based on steps'!X$1:X$400,0)),X$2,)</f>
        <v>0</v>
      </c>
      <c r="Y229" s="179">
        <f ca="1">IF(ISNUMBER(MATCH(DATEVALUE($A229),'recurring1_based on steps'!Y$1:Y$400,0)),Y$2,)</f>
        <v>0</v>
      </c>
      <c r="Z229" s="179">
        <f ca="1">IF(ISNUMBER(MATCH(DATEVALUE($A229),'recurring1_based on steps'!Z$1:Z$400,0)),Z$2,)</f>
        <v>0</v>
      </c>
      <c r="AA229" s="179">
        <f ca="1">IF(ISNUMBER(MATCH(DATEVALUE($A229),'recurring1_based on steps'!AA$1:AA$400,0)),AA$2,)</f>
        <v>0</v>
      </c>
      <c r="AB229" s="179">
        <f ca="1">IF(ISNUMBER(MATCH(DATEVALUE($A229),'recurring1_based on steps'!AB$1:AB$400,0)),AB$2,)</f>
        <v>0</v>
      </c>
      <c r="AC229" s="179">
        <f ca="1">IF(ISNUMBER(MATCH(DATEVALUE($A229),'recurring1_based on steps'!AC$1:AC$400,0)),AC$2,)</f>
        <v>0</v>
      </c>
      <c r="AD229" s="179">
        <f ca="1">IF(ISNUMBER(MATCH(DATEVALUE($A229),'recurring1_based on steps'!AD$1:AD$400,0)),AD$2,)</f>
        <v>0</v>
      </c>
      <c r="AE229" s="179">
        <f ca="1">IF(ISNUMBER(MATCH(DATEVALUE($A229),'recurring1_based on steps'!AE$1:AE$400,0)),AE$2,)</f>
        <v>0</v>
      </c>
      <c r="AF229" s="179">
        <f ca="1">IF(ISNUMBER(MATCH(DATEVALUE($A229),'recurring1_based on steps'!AF$1:AF$400,0)),AF$2,)</f>
        <v>0</v>
      </c>
      <c r="AG229" s="179">
        <f ca="1">IF(ISNUMBER(MATCH(DATEVALUE($A229),'recurring1_based on steps'!AG$1:AG$400,0)),AG$2,)</f>
        <v>0</v>
      </c>
      <c r="AH229" s="179">
        <f ca="1">IF(ISNUMBER(MATCH(DATEVALUE($A229),'recurring1_based on steps'!AH$1:AH$400,0)),AH$2,)</f>
        <v>0</v>
      </c>
      <c r="AI229" s="179">
        <f ca="1">IF(ISNUMBER(MATCH(DATEVALUE($A229),'recurring1_based on steps'!AI$1:AI$400,0)),AI$2,)</f>
        <v>0</v>
      </c>
      <c r="AJ229" s="179">
        <f ca="1">IF(ISNUMBER(MATCH(DATEVALUE($A229),'recurring1_based on steps'!AJ$1:AJ$400,0)),AJ$2,)</f>
        <v>0</v>
      </c>
      <c r="AK229" s="179">
        <f ca="1">IF(ISNUMBER(MATCH(DATEVALUE($A229),'recurring1_based on steps'!AK$1:AK$400,0)),AK$2,)</f>
        <v>0</v>
      </c>
      <c r="AL229" s="179">
        <f ca="1">IF(ISNUMBER(MATCH(DATEVALUE($A229),'recurring1_based on steps'!AL$1:AL$400,0)),AL$2,)</f>
        <v>0</v>
      </c>
      <c r="AM229" s="179">
        <f ca="1">IF(ISNUMBER(MATCH(DATEVALUE($A229),'recurring1_based on steps'!AM$1:AM$400,0)),AM$2,)</f>
        <v>0</v>
      </c>
      <c r="AN229" s="179">
        <f ca="1">IF(ISNUMBER(MATCH(DATEVALUE($A229),'recurring1_based on steps'!AN$1:AN$400,0)),AN$2,)</f>
        <v>0</v>
      </c>
      <c r="AO229" s="179">
        <f ca="1">IF(ISNUMBER(MATCH(DATEVALUE($A229),'recurring1_based on steps'!AO$1:AO$400,0)),AO$2,)</f>
        <v>0</v>
      </c>
      <c r="AP229" s="179">
        <f ca="1">IF(ISNUMBER(MATCH(DATEVALUE($A229),'recurring1_based on steps'!AP$1:AP$400,0)),AP$2,)</f>
        <v>0</v>
      </c>
      <c r="AQ229" s="179">
        <f ca="1">IF(ISNUMBER(MATCH(DATEVALUE($A229),'recurring1_based on steps'!AQ$1:AQ$400,0)),AQ$2,)</f>
        <v>0</v>
      </c>
      <c r="AR229" s="179">
        <f ca="1">IF(ISNUMBER(MATCH(DATEVALUE($A229),'recurring1_based on steps'!AR$1:AR$400,0)),AR$2,)</f>
        <v>0</v>
      </c>
      <c r="AS229" s="179">
        <f ca="1">IF(ISNUMBER(MATCH(DATEVALUE($A229),'recurring1_based on steps'!AS$1:AS$400,0)),AS$2,)</f>
        <v>0</v>
      </c>
      <c r="AT229" s="179">
        <f ca="1">IF(ISNUMBER(MATCH(DATEVALUE($A229),'recurring1_based on steps'!AT$1:AT$400,0)),AT$2,)</f>
        <v>0</v>
      </c>
      <c r="AU229" s="179">
        <f ca="1">IF(ISNUMBER(MATCH(DATEVALUE($A229),'recurring1_based on steps'!AU$1:AU$400,0)),AU$2,)</f>
        <v>0</v>
      </c>
      <c r="AV229" s="179">
        <f ca="1">IF(ISNUMBER(MATCH(DATEVALUE($A229),'recurring1_based on steps'!AV$1:AV$400,0)),AV$2,)</f>
        <v>0</v>
      </c>
      <c r="AW229" s="179">
        <f ca="1">IF(ISNUMBER(MATCH(DATEVALUE($A229),'recurring1_based on steps'!AW$1:AW$400,0)),AW$2,)</f>
        <v>0</v>
      </c>
      <c r="AX229" s="179">
        <f ca="1">IF(ISNUMBER(MATCH(DATEVALUE($A229),'recurring1_based on steps'!AX$1:AX$400,0)),AX$2,)</f>
        <v>0</v>
      </c>
      <c r="AY229" s="179">
        <f ca="1">IF(ISNUMBER(MATCH(DATEVALUE($A229),'recurring1_based on steps'!AY$1:AY$400,0)),AY$2,)</f>
        <v>0</v>
      </c>
    </row>
    <row r="230" spans="1:51" x14ac:dyDescent="0.2">
      <c r="A230" s="32" t="str">
        <f t="shared" ca="1" si="3"/>
        <v>2025-11-11</v>
      </c>
      <c r="B230" s="179">
        <f ca="1">IF(ISNUMBER(MATCH(DATEVALUE($A230),'recurring1_based on steps'!B$1:B$400,0)),B$2,)</f>
        <v>0</v>
      </c>
      <c r="C230" s="179">
        <f ca="1">IF(ISNUMBER(MATCH(DATEVALUE($A230),'recurring1_based on steps'!C$1:C$400,0)),C$2,)</f>
        <v>0</v>
      </c>
      <c r="D230" s="179">
        <f ca="1">IF(ISNUMBER(MATCH(DATEVALUE($A230),'recurring1_based on steps'!D$1:D$400,0)),D$2,)</f>
        <v>0</v>
      </c>
      <c r="E230" s="179">
        <f ca="1">IF(ISNUMBER(MATCH(DATEVALUE($A230),'recurring1_based on steps'!E$1:E$400,0)),E$2,)</f>
        <v>0</v>
      </c>
      <c r="F230" s="179">
        <f ca="1">IF(ISNUMBER(MATCH(DATEVALUE($A230),'recurring1_based on steps'!F$1:F$400,0)),F$2,)</f>
        <v>0</v>
      </c>
      <c r="G230" s="179">
        <f ca="1">IF(ISNUMBER(MATCH(DATEVALUE($A230),'recurring1_based on steps'!G$1:G$400,0)),G$2,)</f>
        <v>0</v>
      </c>
      <c r="H230" s="179">
        <f ca="1">IF(ISNUMBER(MATCH(DATEVALUE($A230),'recurring1_based on steps'!H$1:H$400,0)),H$2,)</f>
        <v>0</v>
      </c>
      <c r="I230" s="179">
        <f ca="1">IF(ISNUMBER(MATCH(DATEVALUE($A230),'recurring1_based on steps'!I$1:I$400,0)),I$2,)</f>
        <v>0</v>
      </c>
      <c r="J230" s="179">
        <f ca="1">IF(ISNUMBER(MATCH(DATEVALUE($A230),'recurring1_based on steps'!J$1:J$400,0)),J$2,)</f>
        <v>0</v>
      </c>
      <c r="K230" s="179">
        <f ca="1">IF(ISNUMBER(MATCH(DATEVALUE($A230),'recurring1_based on steps'!K$1:K$400,0)),K$2,)</f>
        <v>0</v>
      </c>
      <c r="L230" s="179">
        <f ca="1">IF(ISNUMBER(MATCH(DATEVALUE($A230),'recurring1_based on steps'!L$1:L$400,0)),L$2,)</f>
        <v>0</v>
      </c>
      <c r="M230" s="179">
        <f ca="1">IF(ISNUMBER(MATCH(DATEVALUE($A230),'recurring1_based on steps'!M$1:M$400,0)),M$2,)</f>
        <v>0</v>
      </c>
      <c r="N230" s="179">
        <f ca="1">IF(ISNUMBER(MATCH(DATEVALUE($A230),'recurring1_based on steps'!N$1:N$400,0)),N$2,)</f>
        <v>0</v>
      </c>
      <c r="O230" s="179">
        <f ca="1">IF(ISNUMBER(MATCH(DATEVALUE($A230),'recurring1_based on steps'!O$1:O$400,0)),O$2,)</f>
        <v>0</v>
      </c>
      <c r="P230" s="179">
        <f ca="1">IF(ISNUMBER(MATCH(DATEVALUE($A230),'recurring1_based on steps'!P$1:P$400,0)),P$2,)</f>
        <v>0</v>
      </c>
      <c r="Q230" s="179">
        <f ca="1">IF(ISNUMBER(MATCH(DATEVALUE($A230),'recurring1_based on steps'!Q$1:Q$400,0)),Q$2,)</f>
        <v>0</v>
      </c>
      <c r="R230" s="179">
        <f ca="1">IF(ISNUMBER(MATCH(DATEVALUE($A230),'recurring1_based on steps'!R$1:R$400,0)),R$2,)</f>
        <v>0</v>
      </c>
      <c r="S230" s="179">
        <f ca="1">IF(ISNUMBER(MATCH(DATEVALUE($A230),'recurring1_based on steps'!S$1:S$400,0)),S$2,)</f>
        <v>0</v>
      </c>
      <c r="T230" s="179">
        <f ca="1">IF(ISNUMBER(MATCH(DATEVALUE($A230),'recurring1_based on steps'!T$1:T$400,0)),T$2,)</f>
        <v>0</v>
      </c>
      <c r="U230" s="179">
        <f ca="1">IF(ISNUMBER(MATCH(DATEVALUE($A230),'recurring1_based on steps'!U$1:U$400,0)),U$2,)</f>
        <v>0</v>
      </c>
      <c r="V230" s="179">
        <f ca="1">IF(ISNUMBER(MATCH(DATEVALUE($A230),'recurring1_based on steps'!V$1:V$400,0)),V$2,)</f>
        <v>0</v>
      </c>
      <c r="W230" s="179">
        <f ca="1">IF(ISNUMBER(MATCH(DATEVALUE($A230),'recurring1_based on steps'!W$1:W$400,0)),W$2,)</f>
        <v>0</v>
      </c>
      <c r="X230" s="179">
        <f ca="1">IF(ISNUMBER(MATCH(DATEVALUE($A230),'recurring1_based on steps'!X$1:X$400,0)),X$2,)</f>
        <v>0</v>
      </c>
      <c r="Y230" s="179">
        <f ca="1">IF(ISNUMBER(MATCH(DATEVALUE($A230),'recurring1_based on steps'!Y$1:Y$400,0)),Y$2,)</f>
        <v>0</v>
      </c>
      <c r="Z230" s="179">
        <f ca="1">IF(ISNUMBER(MATCH(DATEVALUE($A230),'recurring1_based on steps'!Z$1:Z$400,0)),Z$2,)</f>
        <v>0</v>
      </c>
      <c r="AA230" s="179">
        <f ca="1">IF(ISNUMBER(MATCH(DATEVALUE($A230),'recurring1_based on steps'!AA$1:AA$400,0)),AA$2,)</f>
        <v>0</v>
      </c>
      <c r="AB230" s="179">
        <f ca="1">IF(ISNUMBER(MATCH(DATEVALUE($A230),'recurring1_based on steps'!AB$1:AB$400,0)),AB$2,)</f>
        <v>0</v>
      </c>
      <c r="AC230" s="179">
        <f ca="1">IF(ISNUMBER(MATCH(DATEVALUE($A230),'recurring1_based on steps'!AC$1:AC$400,0)),AC$2,)</f>
        <v>0</v>
      </c>
      <c r="AD230" s="179">
        <f ca="1">IF(ISNUMBER(MATCH(DATEVALUE($A230),'recurring1_based on steps'!AD$1:AD$400,0)),AD$2,)</f>
        <v>0</v>
      </c>
      <c r="AE230" s="179">
        <f ca="1">IF(ISNUMBER(MATCH(DATEVALUE($A230),'recurring1_based on steps'!AE$1:AE$400,0)),AE$2,)</f>
        <v>0</v>
      </c>
      <c r="AF230" s="179">
        <f ca="1">IF(ISNUMBER(MATCH(DATEVALUE($A230),'recurring1_based on steps'!AF$1:AF$400,0)),AF$2,)</f>
        <v>0</v>
      </c>
      <c r="AG230" s="179">
        <f ca="1">IF(ISNUMBER(MATCH(DATEVALUE($A230),'recurring1_based on steps'!AG$1:AG$400,0)),AG$2,)</f>
        <v>0</v>
      </c>
      <c r="AH230" s="179">
        <f ca="1">IF(ISNUMBER(MATCH(DATEVALUE($A230),'recurring1_based on steps'!AH$1:AH$400,0)),AH$2,)</f>
        <v>0</v>
      </c>
      <c r="AI230" s="179">
        <f ca="1">IF(ISNUMBER(MATCH(DATEVALUE($A230),'recurring1_based on steps'!AI$1:AI$400,0)),AI$2,)</f>
        <v>0</v>
      </c>
      <c r="AJ230" s="179">
        <f ca="1">IF(ISNUMBER(MATCH(DATEVALUE($A230),'recurring1_based on steps'!AJ$1:AJ$400,0)),AJ$2,)</f>
        <v>0</v>
      </c>
      <c r="AK230" s="179">
        <f ca="1">IF(ISNUMBER(MATCH(DATEVALUE($A230),'recurring1_based on steps'!AK$1:AK$400,0)),AK$2,)</f>
        <v>0</v>
      </c>
      <c r="AL230" s="179">
        <f ca="1">IF(ISNUMBER(MATCH(DATEVALUE($A230),'recurring1_based on steps'!AL$1:AL$400,0)),AL$2,)</f>
        <v>0</v>
      </c>
      <c r="AM230" s="179">
        <f ca="1">IF(ISNUMBER(MATCH(DATEVALUE($A230),'recurring1_based on steps'!AM$1:AM$400,0)),AM$2,)</f>
        <v>0</v>
      </c>
      <c r="AN230" s="179">
        <f ca="1">IF(ISNUMBER(MATCH(DATEVALUE($A230),'recurring1_based on steps'!AN$1:AN$400,0)),AN$2,)</f>
        <v>0</v>
      </c>
      <c r="AO230" s="179">
        <f ca="1">IF(ISNUMBER(MATCH(DATEVALUE($A230),'recurring1_based on steps'!AO$1:AO$400,0)),AO$2,)</f>
        <v>0</v>
      </c>
      <c r="AP230" s="179">
        <f ca="1">IF(ISNUMBER(MATCH(DATEVALUE($A230),'recurring1_based on steps'!AP$1:AP$400,0)),AP$2,)</f>
        <v>0</v>
      </c>
      <c r="AQ230" s="179">
        <f ca="1">IF(ISNUMBER(MATCH(DATEVALUE($A230),'recurring1_based on steps'!AQ$1:AQ$400,0)),AQ$2,)</f>
        <v>0</v>
      </c>
      <c r="AR230" s="179">
        <f ca="1">IF(ISNUMBER(MATCH(DATEVALUE($A230),'recurring1_based on steps'!AR$1:AR$400,0)),AR$2,)</f>
        <v>0</v>
      </c>
      <c r="AS230" s="179">
        <f ca="1">IF(ISNUMBER(MATCH(DATEVALUE($A230),'recurring1_based on steps'!AS$1:AS$400,0)),AS$2,)</f>
        <v>0</v>
      </c>
      <c r="AT230" s="179">
        <f ca="1">IF(ISNUMBER(MATCH(DATEVALUE($A230),'recurring1_based on steps'!AT$1:AT$400,0)),AT$2,)</f>
        <v>0</v>
      </c>
      <c r="AU230" s="179">
        <f ca="1">IF(ISNUMBER(MATCH(DATEVALUE($A230),'recurring1_based on steps'!AU$1:AU$400,0)),AU$2,)</f>
        <v>0</v>
      </c>
      <c r="AV230" s="179">
        <f ca="1">IF(ISNUMBER(MATCH(DATEVALUE($A230),'recurring1_based on steps'!AV$1:AV$400,0)),AV$2,)</f>
        <v>0</v>
      </c>
      <c r="AW230" s="179">
        <f ca="1">IF(ISNUMBER(MATCH(DATEVALUE($A230),'recurring1_based on steps'!AW$1:AW$400,0)),AW$2,)</f>
        <v>0</v>
      </c>
      <c r="AX230" s="179">
        <f ca="1">IF(ISNUMBER(MATCH(DATEVALUE($A230),'recurring1_based on steps'!AX$1:AX$400,0)),AX$2,)</f>
        <v>0</v>
      </c>
      <c r="AY230" s="179">
        <f ca="1">IF(ISNUMBER(MATCH(DATEVALUE($A230),'recurring1_based on steps'!AY$1:AY$400,0)),AY$2,)</f>
        <v>0</v>
      </c>
    </row>
    <row r="231" spans="1:51" x14ac:dyDescent="0.2">
      <c r="A231" s="32" t="str">
        <f t="shared" ca="1" si="3"/>
        <v>2025-11-12</v>
      </c>
      <c r="B231" s="179">
        <f ca="1">IF(ISNUMBER(MATCH(DATEVALUE($A231),'recurring1_based on steps'!B$1:B$400,0)),B$2,)</f>
        <v>0</v>
      </c>
      <c r="C231" s="179">
        <f ca="1">IF(ISNUMBER(MATCH(DATEVALUE($A231),'recurring1_based on steps'!C$1:C$400,0)),C$2,)</f>
        <v>0</v>
      </c>
      <c r="D231" s="179">
        <f ca="1">IF(ISNUMBER(MATCH(DATEVALUE($A231),'recurring1_based on steps'!D$1:D$400,0)),D$2,)</f>
        <v>0</v>
      </c>
      <c r="E231" s="179">
        <f ca="1">IF(ISNUMBER(MATCH(DATEVALUE($A231),'recurring1_based on steps'!E$1:E$400,0)),E$2,)</f>
        <v>0</v>
      </c>
      <c r="F231" s="179">
        <f ca="1">IF(ISNUMBER(MATCH(DATEVALUE($A231),'recurring1_based on steps'!F$1:F$400,0)),F$2,)</f>
        <v>0</v>
      </c>
      <c r="G231" s="179">
        <f ca="1">IF(ISNUMBER(MATCH(DATEVALUE($A231),'recurring1_based on steps'!G$1:G$400,0)),G$2,)</f>
        <v>0</v>
      </c>
      <c r="H231" s="179">
        <f ca="1">IF(ISNUMBER(MATCH(DATEVALUE($A231),'recurring1_based on steps'!H$1:H$400,0)),H$2,)</f>
        <v>0</v>
      </c>
      <c r="I231" s="179">
        <f ca="1">IF(ISNUMBER(MATCH(DATEVALUE($A231),'recurring1_based on steps'!I$1:I$400,0)),I$2,)</f>
        <v>0</v>
      </c>
      <c r="J231" s="179">
        <f ca="1">IF(ISNUMBER(MATCH(DATEVALUE($A231),'recurring1_based on steps'!J$1:J$400,0)),J$2,)</f>
        <v>0</v>
      </c>
      <c r="K231" s="179">
        <f ca="1">IF(ISNUMBER(MATCH(DATEVALUE($A231),'recurring1_based on steps'!K$1:K$400,0)),K$2,)</f>
        <v>0</v>
      </c>
      <c r="L231" s="179">
        <f ca="1">IF(ISNUMBER(MATCH(DATEVALUE($A231),'recurring1_based on steps'!L$1:L$400,0)),L$2,)</f>
        <v>0</v>
      </c>
      <c r="M231" s="179">
        <f ca="1">IF(ISNUMBER(MATCH(DATEVALUE($A231),'recurring1_based on steps'!M$1:M$400,0)),M$2,)</f>
        <v>0</v>
      </c>
      <c r="N231" s="179">
        <f ca="1">IF(ISNUMBER(MATCH(DATEVALUE($A231),'recurring1_based on steps'!N$1:N$400,0)),N$2,)</f>
        <v>0</v>
      </c>
      <c r="O231" s="179">
        <f ca="1">IF(ISNUMBER(MATCH(DATEVALUE($A231),'recurring1_based on steps'!O$1:O$400,0)),O$2,)</f>
        <v>0</v>
      </c>
      <c r="P231" s="179">
        <f ca="1">IF(ISNUMBER(MATCH(DATEVALUE($A231),'recurring1_based on steps'!P$1:P$400,0)),P$2,)</f>
        <v>0</v>
      </c>
      <c r="Q231" s="179">
        <f ca="1">IF(ISNUMBER(MATCH(DATEVALUE($A231),'recurring1_based on steps'!Q$1:Q$400,0)),Q$2,)</f>
        <v>0</v>
      </c>
      <c r="R231" s="179">
        <f ca="1">IF(ISNUMBER(MATCH(DATEVALUE($A231),'recurring1_based on steps'!R$1:R$400,0)),R$2,)</f>
        <v>0</v>
      </c>
      <c r="S231" s="179">
        <f ca="1">IF(ISNUMBER(MATCH(DATEVALUE($A231),'recurring1_based on steps'!S$1:S$400,0)),S$2,)</f>
        <v>0</v>
      </c>
      <c r="T231" s="179">
        <f ca="1">IF(ISNUMBER(MATCH(DATEVALUE($A231),'recurring1_based on steps'!T$1:T$400,0)),T$2,)</f>
        <v>0</v>
      </c>
      <c r="U231" s="179">
        <f ca="1">IF(ISNUMBER(MATCH(DATEVALUE($A231),'recurring1_based on steps'!U$1:U$400,0)),U$2,)</f>
        <v>0</v>
      </c>
      <c r="V231" s="179">
        <f ca="1">IF(ISNUMBER(MATCH(DATEVALUE($A231),'recurring1_based on steps'!V$1:V$400,0)),V$2,)</f>
        <v>0</v>
      </c>
      <c r="W231" s="179">
        <f ca="1">IF(ISNUMBER(MATCH(DATEVALUE($A231),'recurring1_based on steps'!W$1:W$400,0)),W$2,)</f>
        <v>0</v>
      </c>
      <c r="X231" s="179">
        <f ca="1">IF(ISNUMBER(MATCH(DATEVALUE($A231),'recurring1_based on steps'!X$1:X$400,0)),X$2,)</f>
        <v>0</v>
      </c>
      <c r="Y231" s="179">
        <f ca="1">IF(ISNUMBER(MATCH(DATEVALUE($A231),'recurring1_based on steps'!Y$1:Y$400,0)),Y$2,)</f>
        <v>0</v>
      </c>
      <c r="Z231" s="179">
        <f ca="1">IF(ISNUMBER(MATCH(DATEVALUE($A231),'recurring1_based on steps'!Z$1:Z$400,0)),Z$2,)</f>
        <v>0</v>
      </c>
      <c r="AA231" s="179">
        <f ca="1">IF(ISNUMBER(MATCH(DATEVALUE($A231),'recurring1_based on steps'!AA$1:AA$400,0)),AA$2,)</f>
        <v>0</v>
      </c>
      <c r="AB231" s="179">
        <f ca="1">IF(ISNUMBER(MATCH(DATEVALUE($A231),'recurring1_based on steps'!AB$1:AB$400,0)),AB$2,)</f>
        <v>0</v>
      </c>
      <c r="AC231" s="179">
        <f ca="1">IF(ISNUMBER(MATCH(DATEVALUE($A231),'recurring1_based on steps'!AC$1:AC$400,0)),AC$2,)</f>
        <v>0</v>
      </c>
      <c r="AD231" s="179">
        <f ca="1">IF(ISNUMBER(MATCH(DATEVALUE($A231),'recurring1_based on steps'!AD$1:AD$400,0)),AD$2,)</f>
        <v>0</v>
      </c>
      <c r="AE231" s="179">
        <f ca="1">IF(ISNUMBER(MATCH(DATEVALUE($A231),'recurring1_based on steps'!AE$1:AE$400,0)),AE$2,)</f>
        <v>0</v>
      </c>
      <c r="AF231" s="179">
        <f ca="1">IF(ISNUMBER(MATCH(DATEVALUE($A231),'recurring1_based on steps'!AF$1:AF$400,0)),AF$2,)</f>
        <v>0</v>
      </c>
      <c r="AG231" s="179">
        <f ca="1">IF(ISNUMBER(MATCH(DATEVALUE($A231),'recurring1_based on steps'!AG$1:AG$400,0)),AG$2,)</f>
        <v>0</v>
      </c>
      <c r="AH231" s="179">
        <f ca="1">IF(ISNUMBER(MATCH(DATEVALUE($A231),'recurring1_based on steps'!AH$1:AH$400,0)),AH$2,)</f>
        <v>0</v>
      </c>
      <c r="AI231" s="179">
        <f ca="1">IF(ISNUMBER(MATCH(DATEVALUE($A231),'recurring1_based on steps'!AI$1:AI$400,0)),AI$2,)</f>
        <v>0</v>
      </c>
      <c r="AJ231" s="179">
        <f ca="1">IF(ISNUMBER(MATCH(DATEVALUE($A231),'recurring1_based on steps'!AJ$1:AJ$400,0)),AJ$2,)</f>
        <v>0</v>
      </c>
      <c r="AK231" s="179">
        <f ca="1">IF(ISNUMBER(MATCH(DATEVALUE($A231),'recurring1_based on steps'!AK$1:AK$400,0)),AK$2,)</f>
        <v>0</v>
      </c>
      <c r="AL231" s="179">
        <f ca="1">IF(ISNUMBER(MATCH(DATEVALUE($A231),'recurring1_based on steps'!AL$1:AL$400,0)),AL$2,)</f>
        <v>0</v>
      </c>
      <c r="AM231" s="179">
        <f ca="1">IF(ISNUMBER(MATCH(DATEVALUE($A231),'recurring1_based on steps'!AM$1:AM$400,0)),AM$2,)</f>
        <v>0</v>
      </c>
      <c r="AN231" s="179">
        <f ca="1">IF(ISNUMBER(MATCH(DATEVALUE($A231),'recurring1_based on steps'!AN$1:AN$400,0)),AN$2,)</f>
        <v>0</v>
      </c>
      <c r="AO231" s="179">
        <f ca="1">IF(ISNUMBER(MATCH(DATEVALUE($A231),'recurring1_based on steps'!AO$1:AO$400,0)),AO$2,)</f>
        <v>0</v>
      </c>
      <c r="AP231" s="179">
        <f ca="1">IF(ISNUMBER(MATCH(DATEVALUE($A231),'recurring1_based on steps'!AP$1:AP$400,0)),AP$2,)</f>
        <v>0</v>
      </c>
      <c r="AQ231" s="179">
        <f ca="1">IF(ISNUMBER(MATCH(DATEVALUE($A231),'recurring1_based on steps'!AQ$1:AQ$400,0)),AQ$2,)</f>
        <v>0</v>
      </c>
      <c r="AR231" s="179">
        <f ca="1">IF(ISNUMBER(MATCH(DATEVALUE($A231),'recurring1_based on steps'!AR$1:AR$400,0)),AR$2,)</f>
        <v>0</v>
      </c>
      <c r="AS231" s="179">
        <f ca="1">IF(ISNUMBER(MATCH(DATEVALUE($A231),'recurring1_based on steps'!AS$1:AS$400,0)),AS$2,)</f>
        <v>0</v>
      </c>
      <c r="AT231" s="179">
        <f ca="1">IF(ISNUMBER(MATCH(DATEVALUE($A231),'recurring1_based on steps'!AT$1:AT$400,0)),AT$2,)</f>
        <v>0</v>
      </c>
      <c r="AU231" s="179">
        <f ca="1">IF(ISNUMBER(MATCH(DATEVALUE($A231),'recurring1_based on steps'!AU$1:AU$400,0)),AU$2,)</f>
        <v>0</v>
      </c>
      <c r="AV231" s="179">
        <f ca="1">IF(ISNUMBER(MATCH(DATEVALUE($A231),'recurring1_based on steps'!AV$1:AV$400,0)),AV$2,)</f>
        <v>0</v>
      </c>
      <c r="AW231" s="179">
        <f ca="1">IF(ISNUMBER(MATCH(DATEVALUE($A231),'recurring1_based on steps'!AW$1:AW$400,0)),AW$2,)</f>
        <v>0</v>
      </c>
      <c r="AX231" s="179">
        <f ca="1">IF(ISNUMBER(MATCH(DATEVALUE($A231),'recurring1_based on steps'!AX$1:AX$400,0)),AX$2,)</f>
        <v>0</v>
      </c>
      <c r="AY231" s="179">
        <f ca="1">IF(ISNUMBER(MATCH(DATEVALUE($A231),'recurring1_based on steps'!AY$1:AY$400,0)),AY$2,)</f>
        <v>0</v>
      </c>
    </row>
    <row r="232" spans="1:51" x14ac:dyDescent="0.2">
      <c r="A232" s="32" t="str">
        <f t="shared" ca="1" si="3"/>
        <v>2025-11-13</v>
      </c>
      <c r="B232" s="179">
        <f ca="1">IF(ISNUMBER(MATCH(DATEVALUE($A232),'recurring1_based on steps'!B$1:B$400,0)),B$2,)</f>
        <v>0</v>
      </c>
      <c r="C232" s="179">
        <f ca="1">IF(ISNUMBER(MATCH(DATEVALUE($A232),'recurring1_based on steps'!C$1:C$400,0)),C$2,)</f>
        <v>0</v>
      </c>
      <c r="D232" s="179">
        <f ca="1">IF(ISNUMBER(MATCH(DATEVALUE($A232),'recurring1_based on steps'!D$1:D$400,0)),D$2,)</f>
        <v>0</v>
      </c>
      <c r="E232" s="179">
        <f ca="1">IF(ISNUMBER(MATCH(DATEVALUE($A232),'recurring1_based on steps'!E$1:E$400,0)),E$2,)</f>
        <v>0</v>
      </c>
      <c r="F232" s="179">
        <f ca="1">IF(ISNUMBER(MATCH(DATEVALUE($A232),'recurring1_based on steps'!F$1:F$400,0)),F$2,)</f>
        <v>0</v>
      </c>
      <c r="G232" s="179">
        <f ca="1">IF(ISNUMBER(MATCH(DATEVALUE($A232),'recurring1_based on steps'!G$1:G$400,0)),G$2,)</f>
        <v>0</v>
      </c>
      <c r="H232" s="179">
        <f ca="1">IF(ISNUMBER(MATCH(DATEVALUE($A232),'recurring1_based on steps'!H$1:H$400,0)),H$2,)</f>
        <v>0</v>
      </c>
      <c r="I232" s="179">
        <f ca="1">IF(ISNUMBER(MATCH(DATEVALUE($A232),'recurring1_based on steps'!I$1:I$400,0)),I$2,)</f>
        <v>0</v>
      </c>
      <c r="J232" s="179">
        <f ca="1">IF(ISNUMBER(MATCH(DATEVALUE($A232),'recurring1_based on steps'!J$1:J$400,0)),J$2,)</f>
        <v>0</v>
      </c>
      <c r="K232" s="179">
        <f ca="1">IF(ISNUMBER(MATCH(DATEVALUE($A232),'recurring1_based on steps'!K$1:K$400,0)),K$2,)</f>
        <v>0</v>
      </c>
      <c r="L232" s="179">
        <f ca="1">IF(ISNUMBER(MATCH(DATEVALUE($A232),'recurring1_based on steps'!L$1:L$400,0)),L$2,)</f>
        <v>0</v>
      </c>
      <c r="M232" s="179">
        <f ca="1">IF(ISNUMBER(MATCH(DATEVALUE($A232),'recurring1_based on steps'!M$1:M$400,0)),M$2,)</f>
        <v>0</v>
      </c>
      <c r="N232" s="179">
        <f ca="1">IF(ISNUMBER(MATCH(DATEVALUE($A232),'recurring1_based on steps'!N$1:N$400,0)),N$2,)</f>
        <v>0</v>
      </c>
      <c r="O232" s="179">
        <f ca="1">IF(ISNUMBER(MATCH(DATEVALUE($A232),'recurring1_based on steps'!O$1:O$400,0)),O$2,)</f>
        <v>0</v>
      </c>
      <c r="P232" s="179">
        <f ca="1">IF(ISNUMBER(MATCH(DATEVALUE($A232),'recurring1_based on steps'!P$1:P$400,0)),P$2,)</f>
        <v>0</v>
      </c>
      <c r="Q232" s="179">
        <f ca="1">IF(ISNUMBER(MATCH(DATEVALUE($A232),'recurring1_based on steps'!Q$1:Q$400,0)),Q$2,)</f>
        <v>0</v>
      </c>
      <c r="R232" s="179">
        <f ca="1">IF(ISNUMBER(MATCH(DATEVALUE($A232),'recurring1_based on steps'!R$1:R$400,0)),R$2,)</f>
        <v>0</v>
      </c>
      <c r="S232" s="179">
        <f ca="1">IF(ISNUMBER(MATCH(DATEVALUE($A232),'recurring1_based on steps'!S$1:S$400,0)),S$2,)</f>
        <v>0</v>
      </c>
      <c r="T232" s="179">
        <f ca="1">IF(ISNUMBER(MATCH(DATEVALUE($A232),'recurring1_based on steps'!T$1:T$400,0)),T$2,)</f>
        <v>0</v>
      </c>
      <c r="U232" s="179">
        <f ca="1">IF(ISNUMBER(MATCH(DATEVALUE($A232),'recurring1_based on steps'!U$1:U$400,0)),U$2,)</f>
        <v>0</v>
      </c>
      <c r="V232" s="179">
        <f ca="1">IF(ISNUMBER(MATCH(DATEVALUE($A232),'recurring1_based on steps'!V$1:V$400,0)),V$2,)</f>
        <v>0</v>
      </c>
      <c r="W232" s="179">
        <f ca="1">IF(ISNUMBER(MATCH(DATEVALUE($A232),'recurring1_based on steps'!W$1:W$400,0)),W$2,)</f>
        <v>0</v>
      </c>
      <c r="X232" s="179">
        <f ca="1">IF(ISNUMBER(MATCH(DATEVALUE($A232),'recurring1_based on steps'!X$1:X$400,0)),X$2,)</f>
        <v>0</v>
      </c>
      <c r="Y232" s="179">
        <f ca="1">IF(ISNUMBER(MATCH(DATEVALUE($A232),'recurring1_based on steps'!Y$1:Y$400,0)),Y$2,)</f>
        <v>0</v>
      </c>
      <c r="Z232" s="179">
        <f ca="1">IF(ISNUMBER(MATCH(DATEVALUE($A232),'recurring1_based on steps'!Z$1:Z$400,0)),Z$2,)</f>
        <v>0</v>
      </c>
      <c r="AA232" s="179">
        <f ca="1">IF(ISNUMBER(MATCH(DATEVALUE($A232),'recurring1_based on steps'!AA$1:AA$400,0)),AA$2,)</f>
        <v>0</v>
      </c>
      <c r="AB232" s="179">
        <f ca="1">IF(ISNUMBER(MATCH(DATEVALUE($A232),'recurring1_based on steps'!AB$1:AB$400,0)),AB$2,)</f>
        <v>0</v>
      </c>
      <c r="AC232" s="179">
        <f ca="1">IF(ISNUMBER(MATCH(DATEVALUE($A232),'recurring1_based on steps'!AC$1:AC$400,0)),AC$2,)</f>
        <v>0</v>
      </c>
      <c r="AD232" s="179">
        <f ca="1">IF(ISNUMBER(MATCH(DATEVALUE($A232),'recurring1_based on steps'!AD$1:AD$400,0)),AD$2,)</f>
        <v>0</v>
      </c>
      <c r="AE232" s="179">
        <f ca="1">IF(ISNUMBER(MATCH(DATEVALUE($A232),'recurring1_based on steps'!AE$1:AE$400,0)),AE$2,)</f>
        <v>0</v>
      </c>
      <c r="AF232" s="179">
        <f ca="1">IF(ISNUMBER(MATCH(DATEVALUE($A232),'recurring1_based on steps'!AF$1:AF$400,0)),AF$2,)</f>
        <v>0</v>
      </c>
      <c r="AG232" s="179">
        <f ca="1">IF(ISNUMBER(MATCH(DATEVALUE($A232),'recurring1_based on steps'!AG$1:AG$400,0)),AG$2,)</f>
        <v>0</v>
      </c>
      <c r="AH232" s="179">
        <f ca="1">IF(ISNUMBER(MATCH(DATEVALUE($A232),'recurring1_based on steps'!AH$1:AH$400,0)),AH$2,)</f>
        <v>0</v>
      </c>
      <c r="AI232" s="179">
        <f ca="1">IF(ISNUMBER(MATCH(DATEVALUE($A232),'recurring1_based on steps'!AI$1:AI$400,0)),AI$2,)</f>
        <v>0</v>
      </c>
      <c r="AJ232" s="179">
        <f ca="1">IF(ISNUMBER(MATCH(DATEVALUE($A232),'recurring1_based on steps'!AJ$1:AJ$400,0)),AJ$2,)</f>
        <v>0</v>
      </c>
      <c r="AK232" s="179">
        <f ca="1">IF(ISNUMBER(MATCH(DATEVALUE($A232),'recurring1_based on steps'!AK$1:AK$400,0)),AK$2,)</f>
        <v>0</v>
      </c>
      <c r="AL232" s="179">
        <f ca="1">IF(ISNUMBER(MATCH(DATEVALUE($A232),'recurring1_based on steps'!AL$1:AL$400,0)),AL$2,)</f>
        <v>0</v>
      </c>
      <c r="AM232" s="179">
        <f ca="1">IF(ISNUMBER(MATCH(DATEVALUE($A232),'recurring1_based on steps'!AM$1:AM$400,0)),AM$2,)</f>
        <v>0</v>
      </c>
      <c r="AN232" s="179">
        <f ca="1">IF(ISNUMBER(MATCH(DATEVALUE($A232),'recurring1_based on steps'!AN$1:AN$400,0)),AN$2,)</f>
        <v>0</v>
      </c>
      <c r="AO232" s="179">
        <f ca="1">IF(ISNUMBER(MATCH(DATEVALUE($A232),'recurring1_based on steps'!AO$1:AO$400,0)),AO$2,)</f>
        <v>0</v>
      </c>
      <c r="AP232" s="179">
        <f ca="1">IF(ISNUMBER(MATCH(DATEVALUE($A232),'recurring1_based on steps'!AP$1:AP$400,0)),AP$2,)</f>
        <v>0</v>
      </c>
      <c r="AQ232" s="179">
        <f ca="1">IF(ISNUMBER(MATCH(DATEVALUE($A232),'recurring1_based on steps'!AQ$1:AQ$400,0)),AQ$2,)</f>
        <v>0</v>
      </c>
      <c r="AR232" s="179">
        <f ca="1">IF(ISNUMBER(MATCH(DATEVALUE($A232),'recurring1_based on steps'!AR$1:AR$400,0)),AR$2,)</f>
        <v>0</v>
      </c>
      <c r="AS232" s="179">
        <f ca="1">IF(ISNUMBER(MATCH(DATEVALUE($A232),'recurring1_based on steps'!AS$1:AS$400,0)),AS$2,)</f>
        <v>0</v>
      </c>
      <c r="AT232" s="179">
        <f ca="1">IF(ISNUMBER(MATCH(DATEVALUE($A232),'recurring1_based on steps'!AT$1:AT$400,0)),AT$2,)</f>
        <v>0</v>
      </c>
      <c r="AU232" s="179">
        <f ca="1">IF(ISNUMBER(MATCH(DATEVALUE($A232),'recurring1_based on steps'!AU$1:AU$400,0)),AU$2,)</f>
        <v>0</v>
      </c>
      <c r="AV232" s="179">
        <f ca="1">IF(ISNUMBER(MATCH(DATEVALUE($A232),'recurring1_based on steps'!AV$1:AV$400,0)),AV$2,)</f>
        <v>0</v>
      </c>
      <c r="AW232" s="179">
        <f ca="1">IF(ISNUMBER(MATCH(DATEVALUE($A232),'recurring1_based on steps'!AW$1:AW$400,0)),AW$2,)</f>
        <v>0</v>
      </c>
      <c r="AX232" s="179">
        <f ca="1">IF(ISNUMBER(MATCH(DATEVALUE($A232),'recurring1_based on steps'!AX$1:AX$400,0)),AX$2,)</f>
        <v>0</v>
      </c>
      <c r="AY232" s="179">
        <f ca="1">IF(ISNUMBER(MATCH(DATEVALUE($A232),'recurring1_based on steps'!AY$1:AY$400,0)),AY$2,)</f>
        <v>0</v>
      </c>
    </row>
    <row r="233" spans="1:51" x14ac:dyDescent="0.2">
      <c r="A233" s="32" t="str">
        <f t="shared" ca="1" si="3"/>
        <v>2025-11-14</v>
      </c>
      <c r="B233" s="179">
        <f ca="1">IF(ISNUMBER(MATCH(DATEVALUE($A233),'recurring1_based on steps'!B$1:B$400,0)),B$2,)</f>
        <v>0</v>
      </c>
      <c r="C233" s="179">
        <f ca="1">IF(ISNUMBER(MATCH(DATEVALUE($A233),'recurring1_based on steps'!C$1:C$400,0)),C$2,)</f>
        <v>0</v>
      </c>
      <c r="D233" s="179">
        <f ca="1">IF(ISNUMBER(MATCH(DATEVALUE($A233),'recurring1_based on steps'!D$1:D$400,0)),D$2,)</f>
        <v>0</v>
      </c>
      <c r="E233" s="179">
        <f ca="1">IF(ISNUMBER(MATCH(DATEVALUE($A233),'recurring1_based on steps'!E$1:E$400,0)),E$2,)</f>
        <v>0</v>
      </c>
      <c r="F233" s="179">
        <f ca="1">IF(ISNUMBER(MATCH(DATEVALUE($A233),'recurring1_based on steps'!F$1:F$400,0)),F$2,)</f>
        <v>0</v>
      </c>
      <c r="G233" s="179">
        <f ca="1">IF(ISNUMBER(MATCH(DATEVALUE($A233),'recurring1_based on steps'!G$1:G$400,0)),G$2,)</f>
        <v>0</v>
      </c>
      <c r="H233" s="179">
        <f ca="1">IF(ISNUMBER(MATCH(DATEVALUE($A233),'recurring1_based on steps'!H$1:H$400,0)),H$2,)</f>
        <v>0</v>
      </c>
      <c r="I233" s="179">
        <f ca="1">IF(ISNUMBER(MATCH(DATEVALUE($A233),'recurring1_based on steps'!I$1:I$400,0)),I$2,)</f>
        <v>0</v>
      </c>
      <c r="J233" s="179">
        <f ca="1">IF(ISNUMBER(MATCH(DATEVALUE($A233),'recurring1_based on steps'!J$1:J$400,0)),J$2,)</f>
        <v>0</v>
      </c>
      <c r="K233" s="179">
        <f ca="1">IF(ISNUMBER(MATCH(DATEVALUE($A233),'recurring1_based on steps'!K$1:K$400,0)),K$2,)</f>
        <v>0</v>
      </c>
      <c r="L233" s="179">
        <f ca="1">IF(ISNUMBER(MATCH(DATEVALUE($A233),'recurring1_based on steps'!L$1:L$400,0)),L$2,)</f>
        <v>0</v>
      </c>
      <c r="M233" s="179">
        <f ca="1">IF(ISNUMBER(MATCH(DATEVALUE($A233),'recurring1_based on steps'!M$1:M$400,0)),M$2,)</f>
        <v>0</v>
      </c>
      <c r="N233" s="179">
        <f ca="1">IF(ISNUMBER(MATCH(DATEVALUE($A233),'recurring1_based on steps'!N$1:N$400,0)),N$2,)</f>
        <v>0</v>
      </c>
      <c r="O233" s="179">
        <f ca="1">IF(ISNUMBER(MATCH(DATEVALUE($A233),'recurring1_based on steps'!O$1:O$400,0)),O$2,)</f>
        <v>0</v>
      </c>
      <c r="P233" s="179">
        <f ca="1">IF(ISNUMBER(MATCH(DATEVALUE($A233),'recurring1_based on steps'!P$1:P$400,0)),P$2,)</f>
        <v>0</v>
      </c>
      <c r="Q233" s="179">
        <f ca="1">IF(ISNUMBER(MATCH(DATEVALUE($A233),'recurring1_based on steps'!Q$1:Q$400,0)),Q$2,)</f>
        <v>0</v>
      </c>
      <c r="R233" s="179">
        <f ca="1">IF(ISNUMBER(MATCH(DATEVALUE($A233),'recurring1_based on steps'!R$1:R$400,0)),R$2,)</f>
        <v>0</v>
      </c>
      <c r="S233" s="179">
        <f ca="1">IF(ISNUMBER(MATCH(DATEVALUE($A233),'recurring1_based on steps'!S$1:S$400,0)),S$2,)</f>
        <v>0</v>
      </c>
      <c r="T233" s="179">
        <f ca="1">IF(ISNUMBER(MATCH(DATEVALUE($A233),'recurring1_based on steps'!T$1:T$400,0)),T$2,)</f>
        <v>0</v>
      </c>
      <c r="U233" s="179">
        <f ca="1">IF(ISNUMBER(MATCH(DATEVALUE($A233),'recurring1_based on steps'!U$1:U$400,0)),U$2,)</f>
        <v>0</v>
      </c>
      <c r="V233" s="179">
        <f ca="1">IF(ISNUMBER(MATCH(DATEVALUE($A233),'recurring1_based on steps'!V$1:V$400,0)),V$2,)</f>
        <v>0</v>
      </c>
      <c r="W233" s="179">
        <f ca="1">IF(ISNUMBER(MATCH(DATEVALUE($A233),'recurring1_based on steps'!W$1:W$400,0)),W$2,)</f>
        <v>0</v>
      </c>
      <c r="X233" s="179">
        <f ca="1">IF(ISNUMBER(MATCH(DATEVALUE($A233),'recurring1_based on steps'!X$1:X$400,0)),X$2,)</f>
        <v>0</v>
      </c>
      <c r="Y233" s="179">
        <f ca="1">IF(ISNUMBER(MATCH(DATEVALUE($A233),'recurring1_based on steps'!Y$1:Y$400,0)),Y$2,)</f>
        <v>0</v>
      </c>
      <c r="Z233" s="179">
        <f ca="1">IF(ISNUMBER(MATCH(DATEVALUE($A233),'recurring1_based on steps'!Z$1:Z$400,0)),Z$2,)</f>
        <v>0</v>
      </c>
      <c r="AA233" s="179">
        <f ca="1">IF(ISNUMBER(MATCH(DATEVALUE($A233),'recurring1_based on steps'!AA$1:AA$400,0)),AA$2,)</f>
        <v>0</v>
      </c>
      <c r="AB233" s="179">
        <f ca="1">IF(ISNUMBER(MATCH(DATEVALUE($A233),'recurring1_based on steps'!AB$1:AB$400,0)),AB$2,)</f>
        <v>0</v>
      </c>
      <c r="AC233" s="179">
        <f ca="1">IF(ISNUMBER(MATCH(DATEVALUE($A233),'recurring1_based on steps'!AC$1:AC$400,0)),AC$2,)</f>
        <v>0</v>
      </c>
      <c r="AD233" s="179">
        <f ca="1">IF(ISNUMBER(MATCH(DATEVALUE($A233),'recurring1_based on steps'!AD$1:AD$400,0)),AD$2,)</f>
        <v>0</v>
      </c>
      <c r="AE233" s="179">
        <f ca="1">IF(ISNUMBER(MATCH(DATEVALUE($A233),'recurring1_based on steps'!AE$1:AE$400,0)),AE$2,)</f>
        <v>0</v>
      </c>
      <c r="AF233" s="179">
        <f ca="1">IF(ISNUMBER(MATCH(DATEVALUE($A233),'recurring1_based on steps'!AF$1:AF$400,0)),AF$2,)</f>
        <v>0</v>
      </c>
      <c r="AG233" s="179">
        <f ca="1">IF(ISNUMBER(MATCH(DATEVALUE($A233),'recurring1_based on steps'!AG$1:AG$400,0)),AG$2,)</f>
        <v>0</v>
      </c>
      <c r="AH233" s="179">
        <f ca="1">IF(ISNUMBER(MATCH(DATEVALUE($A233),'recurring1_based on steps'!AH$1:AH$400,0)),AH$2,)</f>
        <v>0</v>
      </c>
      <c r="AI233" s="179">
        <f ca="1">IF(ISNUMBER(MATCH(DATEVALUE($A233),'recurring1_based on steps'!AI$1:AI$400,0)),AI$2,)</f>
        <v>0</v>
      </c>
      <c r="AJ233" s="179">
        <f ca="1">IF(ISNUMBER(MATCH(DATEVALUE($A233),'recurring1_based on steps'!AJ$1:AJ$400,0)),AJ$2,)</f>
        <v>0</v>
      </c>
      <c r="AK233" s="179">
        <f ca="1">IF(ISNUMBER(MATCH(DATEVALUE($A233),'recurring1_based on steps'!AK$1:AK$400,0)),AK$2,)</f>
        <v>0</v>
      </c>
      <c r="AL233" s="179">
        <f ca="1">IF(ISNUMBER(MATCH(DATEVALUE($A233),'recurring1_based on steps'!AL$1:AL$400,0)),AL$2,)</f>
        <v>0</v>
      </c>
      <c r="AM233" s="179">
        <f ca="1">IF(ISNUMBER(MATCH(DATEVALUE($A233),'recurring1_based on steps'!AM$1:AM$400,0)),AM$2,)</f>
        <v>0</v>
      </c>
      <c r="AN233" s="179">
        <f ca="1">IF(ISNUMBER(MATCH(DATEVALUE($A233),'recurring1_based on steps'!AN$1:AN$400,0)),AN$2,)</f>
        <v>0</v>
      </c>
      <c r="AO233" s="179">
        <f ca="1">IF(ISNUMBER(MATCH(DATEVALUE($A233),'recurring1_based on steps'!AO$1:AO$400,0)),AO$2,)</f>
        <v>0</v>
      </c>
      <c r="AP233" s="179">
        <f ca="1">IF(ISNUMBER(MATCH(DATEVALUE($A233),'recurring1_based on steps'!AP$1:AP$400,0)),AP$2,)</f>
        <v>0</v>
      </c>
      <c r="AQ233" s="179">
        <f ca="1">IF(ISNUMBER(MATCH(DATEVALUE($A233),'recurring1_based on steps'!AQ$1:AQ$400,0)),AQ$2,)</f>
        <v>0</v>
      </c>
      <c r="AR233" s="179">
        <f ca="1">IF(ISNUMBER(MATCH(DATEVALUE($A233),'recurring1_based on steps'!AR$1:AR$400,0)),AR$2,)</f>
        <v>0</v>
      </c>
      <c r="AS233" s="179">
        <f ca="1">IF(ISNUMBER(MATCH(DATEVALUE($A233),'recurring1_based on steps'!AS$1:AS$400,0)),AS$2,)</f>
        <v>0</v>
      </c>
      <c r="AT233" s="179">
        <f ca="1">IF(ISNUMBER(MATCH(DATEVALUE($A233),'recurring1_based on steps'!AT$1:AT$400,0)),AT$2,)</f>
        <v>0</v>
      </c>
      <c r="AU233" s="179">
        <f ca="1">IF(ISNUMBER(MATCH(DATEVALUE($A233),'recurring1_based on steps'!AU$1:AU$400,0)),AU$2,)</f>
        <v>0</v>
      </c>
      <c r="AV233" s="179">
        <f ca="1">IF(ISNUMBER(MATCH(DATEVALUE($A233),'recurring1_based on steps'!AV$1:AV$400,0)),AV$2,)</f>
        <v>0</v>
      </c>
      <c r="AW233" s="179">
        <f ca="1">IF(ISNUMBER(MATCH(DATEVALUE($A233),'recurring1_based on steps'!AW$1:AW$400,0)),AW$2,)</f>
        <v>0</v>
      </c>
      <c r="AX233" s="179">
        <f ca="1">IF(ISNUMBER(MATCH(DATEVALUE($A233),'recurring1_based on steps'!AX$1:AX$400,0)),AX$2,)</f>
        <v>0</v>
      </c>
      <c r="AY233" s="179">
        <f ca="1">IF(ISNUMBER(MATCH(DATEVALUE($A233),'recurring1_based on steps'!AY$1:AY$400,0)),AY$2,)</f>
        <v>0</v>
      </c>
    </row>
    <row r="234" spans="1:51" x14ac:dyDescent="0.2">
      <c r="A234" s="32" t="str">
        <f t="shared" ca="1" si="3"/>
        <v>2025-11-15</v>
      </c>
      <c r="B234" s="179">
        <f ca="1">IF(ISNUMBER(MATCH(DATEVALUE($A234),'recurring1_based on steps'!B$1:B$400,0)),B$2,)</f>
        <v>0</v>
      </c>
      <c r="C234" s="179">
        <f ca="1">IF(ISNUMBER(MATCH(DATEVALUE($A234),'recurring1_based on steps'!C$1:C$400,0)),C$2,)</f>
        <v>0</v>
      </c>
      <c r="D234" s="179">
        <f ca="1">IF(ISNUMBER(MATCH(DATEVALUE($A234),'recurring1_based on steps'!D$1:D$400,0)),D$2,)</f>
        <v>0</v>
      </c>
      <c r="E234" s="179">
        <f ca="1">IF(ISNUMBER(MATCH(DATEVALUE($A234),'recurring1_based on steps'!E$1:E$400,0)),E$2,)</f>
        <v>0</v>
      </c>
      <c r="F234" s="179">
        <f ca="1">IF(ISNUMBER(MATCH(DATEVALUE($A234),'recurring1_based on steps'!F$1:F$400,0)),F$2,)</f>
        <v>0</v>
      </c>
      <c r="G234" s="179">
        <f ca="1">IF(ISNUMBER(MATCH(DATEVALUE($A234),'recurring1_based on steps'!G$1:G$400,0)),G$2,)</f>
        <v>0</v>
      </c>
      <c r="H234" s="179">
        <f ca="1">IF(ISNUMBER(MATCH(DATEVALUE($A234),'recurring1_based on steps'!H$1:H$400,0)),H$2,)</f>
        <v>0</v>
      </c>
      <c r="I234" s="179">
        <f ca="1">IF(ISNUMBER(MATCH(DATEVALUE($A234),'recurring1_based on steps'!I$1:I$400,0)),I$2,)</f>
        <v>0</v>
      </c>
      <c r="J234" s="179">
        <f ca="1">IF(ISNUMBER(MATCH(DATEVALUE($A234),'recurring1_based on steps'!J$1:J$400,0)),J$2,)</f>
        <v>0</v>
      </c>
      <c r="K234" s="179">
        <f ca="1">IF(ISNUMBER(MATCH(DATEVALUE($A234),'recurring1_based on steps'!K$1:K$400,0)),K$2,)</f>
        <v>0</v>
      </c>
      <c r="L234" s="179">
        <f ca="1">IF(ISNUMBER(MATCH(DATEVALUE($A234),'recurring1_based on steps'!L$1:L$400,0)),L$2,)</f>
        <v>0</v>
      </c>
      <c r="M234" s="179">
        <f ca="1">IF(ISNUMBER(MATCH(DATEVALUE($A234),'recurring1_based on steps'!M$1:M$400,0)),M$2,)</f>
        <v>0</v>
      </c>
      <c r="N234" s="179">
        <f ca="1">IF(ISNUMBER(MATCH(DATEVALUE($A234),'recurring1_based on steps'!N$1:N$400,0)),N$2,)</f>
        <v>0</v>
      </c>
      <c r="O234" s="179">
        <f ca="1">IF(ISNUMBER(MATCH(DATEVALUE($A234),'recurring1_based on steps'!O$1:O$400,0)),O$2,)</f>
        <v>0</v>
      </c>
      <c r="P234" s="179">
        <f ca="1">IF(ISNUMBER(MATCH(DATEVALUE($A234),'recurring1_based on steps'!P$1:P$400,0)),P$2,)</f>
        <v>0</v>
      </c>
      <c r="Q234" s="179">
        <f ca="1">IF(ISNUMBER(MATCH(DATEVALUE($A234),'recurring1_based on steps'!Q$1:Q$400,0)),Q$2,)</f>
        <v>0</v>
      </c>
      <c r="R234" s="179">
        <f ca="1">IF(ISNUMBER(MATCH(DATEVALUE($A234),'recurring1_based on steps'!R$1:R$400,0)),R$2,)</f>
        <v>0</v>
      </c>
      <c r="S234" s="179">
        <f ca="1">IF(ISNUMBER(MATCH(DATEVALUE($A234),'recurring1_based on steps'!S$1:S$400,0)),S$2,)</f>
        <v>0</v>
      </c>
      <c r="T234" s="179">
        <f ca="1">IF(ISNUMBER(MATCH(DATEVALUE($A234),'recurring1_based on steps'!T$1:T$400,0)),T$2,)</f>
        <v>0</v>
      </c>
      <c r="U234" s="179">
        <f ca="1">IF(ISNUMBER(MATCH(DATEVALUE($A234),'recurring1_based on steps'!U$1:U$400,0)),U$2,)</f>
        <v>0</v>
      </c>
      <c r="V234" s="179">
        <f ca="1">IF(ISNUMBER(MATCH(DATEVALUE($A234),'recurring1_based on steps'!V$1:V$400,0)),V$2,)</f>
        <v>0</v>
      </c>
      <c r="W234" s="179">
        <f ca="1">IF(ISNUMBER(MATCH(DATEVALUE($A234),'recurring1_based on steps'!W$1:W$400,0)),W$2,)</f>
        <v>0</v>
      </c>
      <c r="X234" s="179">
        <f ca="1">IF(ISNUMBER(MATCH(DATEVALUE($A234),'recurring1_based on steps'!X$1:X$400,0)),X$2,)</f>
        <v>0</v>
      </c>
      <c r="Y234" s="179">
        <f ca="1">IF(ISNUMBER(MATCH(DATEVALUE($A234),'recurring1_based on steps'!Y$1:Y$400,0)),Y$2,)</f>
        <v>0</v>
      </c>
      <c r="Z234" s="179">
        <f ca="1">IF(ISNUMBER(MATCH(DATEVALUE($A234),'recurring1_based on steps'!Z$1:Z$400,0)),Z$2,)</f>
        <v>0</v>
      </c>
      <c r="AA234" s="179">
        <f ca="1">IF(ISNUMBER(MATCH(DATEVALUE($A234),'recurring1_based on steps'!AA$1:AA$400,0)),AA$2,)</f>
        <v>0</v>
      </c>
      <c r="AB234" s="179">
        <f ca="1">IF(ISNUMBER(MATCH(DATEVALUE($A234),'recurring1_based on steps'!AB$1:AB$400,0)),AB$2,)</f>
        <v>0</v>
      </c>
      <c r="AC234" s="179">
        <f ca="1">IF(ISNUMBER(MATCH(DATEVALUE($A234),'recurring1_based on steps'!AC$1:AC$400,0)),AC$2,)</f>
        <v>0</v>
      </c>
      <c r="AD234" s="179">
        <f ca="1">IF(ISNUMBER(MATCH(DATEVALUE($A234),'recurring1_based on steps'!AD$1:AD$400,0)),AD$2,)</f>
        <v>0</v>
      </c>
      <c r="AE234" s="179">
        <f ca="1">IF(ISNUMBER(MATCH(DATEVALUE($A234),'recurring1_based on steps'!AE$1:AE$400,0)),AE$2,)</f>
        <v>0</v>
      </c>
      <c r="AF234" s="179">
        <f ca="1">IF(ISNUMBER(MATCH(DATEVALUE($A234),'recurring1_based on steps'!AF$1:AF$400,0)),AF$2,)</f>
        <v>0</v>
      </c>
      <c r="AG234" s="179">
        <f ca="1">IF(ISNUMBER(MATCH(DATEVALUE($A234),'recurring1_based on steps'!AG$1:AG$400,0)),AG$2,)</f>
        <v>0</v>
      </c>
      <c r="AH234" s="179">
        <f ca="1">IF(ISNUMBER(MATCH(DATEVALUE($A234),'recurring1_based on steps'!AH$1:AH$400,0)),AH$2,)</f>
        <v>0</v>
      </c>
      <c r="AI234" s="179">
        <f ca="1">IF(ISNUMBER(MATCH(DATEVALUE($A234),'recurring1_based on steps'!AI$1:AI$400,0)),AI$2,)</f>
        <v>0</v>
      </c>
      <c r="AJ234" s="179">
        <f ca="1">IF(ISNUMBER(MATCH(DATEVALUE($A234),'recurring1_based on steps'!AJ$1:AJ$400,0)),AJ$2,)</f>
        <v>0</v>
      </c>
      <c r="AK234" s="179">
        <f ca="1">IF(ISNUMBER(MATCH(DATEVALUE($A234),'recurring1_based on steps'!AK$1:AK$400,0)),AK$2,)</f>
        <v>0</v>
      </c>
      <c r="AL234" s="179">
        <f ca="1">IF(ISNUMBER(MATCH(DATEVALUE($A234),'recurring1_based on steps'!AL$1:AL$400,0)),AL$2,)</f>
        <v>0</v>
      </c>
      <c r="AM234" s="179">
        <f ca="1">IF(ISNUMBER(MATCH(DATEVALUE($A234),'recurring1_based on steps'!AM$1:AM$400,0)),AM$2,)</f>
        <v>0</v>
      </c>
      <c r="AN234" s="179">
        <f ca="1">IF(ISNUMBER(MATCH(DATEVALUE($A234),'recurring1_based on steps'!AN$1:AN$400,0)),AN$2,)</f>
        <v>0</v>
      </c>
      <c r="AO234" s="179">
        <f ca="1">IF(ISNUMBER(MATCH(DATEVALUE($A234),'recurring1_based on steps'!AO$1:AO$400,0)),AO$2,)</f>
        <v>0</v>
      </c>
      <c r="AP234" s="179">
        <f ca="1">IF(ISNUMBER(MATCH(DATEVALUE($A234),'recurring1_based on steps'!AP$1:AP$400,0)),AP$2,)</f>
        <v>0</v>
      </c>
      <c r="AQ234" s="179">
        <f ca="1">IF(ISNUMBER(MATCH(DATEVALUE($A234),'recurring1_based on steps'!AQ$1:AQ$400,0)),AQ$2,)</f>
        <v>0</v>
      </c>
      <c r="AR234" s="179">
        <f ca="1">IF(ISNUMBER(MATCH(DATEVALUE($A234),'recurring1_based on steps'!AR$1:AR$400,0)),AR$2,)</f>
        <v>0</v>
      </c>
      <c r="AS234" s="179">
        <f ca="1">IF(ISNUMBER(MATCH(DATEVALUE($A234),'recurring1_based on steps'!AS$1:AS$400,0)),AS$2,)</f>
        <v>0</v>
      </c>
      <c r="AT234" s="179">
        <f ca="1">IF(ISNUMBER(MATCH(DATEVALUE($A234),'recurring1_based on steps'!AT$1:AT$400,0)),AT$2,)</f>
        <v>0</v>
      </c>
      <c r="AU234" s="179">
        <f ca="1">IF(ISNUMBER(MATCH(DATEVALUE($A234),'recurring1_based on steps'!AU$1:AU$400,0)),AU$2,)</f>
        <v>0</v>
      </c>
      <c r="AV234" s="179">
        <f ca="1">IF(ISNUMBER(MATCH(DATEVALUE($A234),'recurring1_based on steps'!AV$1:AV$400,0)),AV$2,)</f>
        <v>0</v>
      </c>
      <c r="AW234" s="179">
        <f ca="1">IF(ISNUMBER(MATCH(DATEVALUE($A234),'recurring1_based on steps'!AW$1:AW$400,0)),AW$2,)</f>
        <v>0</v>
      </c>
      <c r="AX234" s="179">
        <f ca="1">IF(ISNUMBER(MATCH(DATEVALUE($A234),'recurring1_based on steps'!AX$1:AX$400,0)),AX$2,)</f>
        <v>0</v>
      </c>
      <c r="AY234" s="179">
        <f ca="1">IF(ISNUMBER(MATCH(DATEVALUE($A234),'recurring1_based on steps'!AY$1:AY$400,0)),AY$2,)</f>
        <v>0</v>
      </c>
    </row>
    <row r="235" spans="1:51" x14ac:dyDescent="0.2">
      <c r="A235" s="32" t="str">
        <f t="shared" ca="1" si="3"/>
        <v>2025-11-16</v>
      </c>
      <c r="B235" s="179">
        <f ca="1">IF(ISNUMBER(MATCH(DATEVALUE($A235),'recurring1_based on steps'!B$1:B$400,0)),B$2,)</f>
        <v>0</v>
      </c>
      <c r="C235" s="179">
        <f ca="1">IF(ISNUMBER(MATCH(DATEVALUE($A235),'recurring1_based on steps'!C$1:C$400,0)),C$2,)</f>
        <v>0</v>
      </c>
      <c r="D235" s="179">
        <f ca="1">IF(ISNUMBER(MATCH(DATEVALUE($A235),'recurring1_based on steps'!D$1:D$400,0)),D$2,)</f>
        <v>0</v>
      </c>
      <c r="E235" s="179">
        <f ca="1">IF(ISNUMBER(MATCH(DATEVALUE($A235),'recurring1_based on steps'!E$1:E$400,0)),E$2,)</f>
        <v>0</v>
      </c>
      <c r="F235" s="179">
        <f ca="1">IF(ISNUMBER(MATCH(DATEVALUE($A235),'recurring1_based on steps'!F$1:F$400,0)),F$2,)</f>
        <v>0</v>
      </c>
      <c r="G235" s="179">
        <f ca="1">IF(ISNUMBER(MATCH(DATEVALUE($A235),'recurring1_based on steps'!G$1:G$400,0)),G$2,)</f>
        <v>0</v>
      </c>
      <c r="H235" s="179">
        <f ca="1">IF(ISNUMBER(MATCH(DATEVALUE($A235),'recurring1_based on steps'!H$1:H$400,0)),H$2,)</f>
        <v>0</v>
      </c>
      <c r="I235" s="179">
        <f ca="1">IF(ISNUMBER(MATCH(DATEVALUE($A235),'recurring1_based on steps'!I$1:I$400,0)),I$2,)</f>
        <v>0</v>
      </c>
      <c r="J235" s="179">
        <f ca="1">IF(ISNUMBER(MATCH(DATEVALUE($A235),'recurring1_based on steps'!J$1:J$400,0)),J$2,)</f>
        <v>0</v>
      </c>
      <c r="K235" s="179">
        <f ca="1">IF(ISNUMBER(MATCH(DATEVALUE($A235),'recurring1_based on steps'!K$1:K$400,0)),K$2,)</f>
        <v>0</v>
      </c>
      <c r="L235" s="179">
        <f ca="1">IF(ISNUMBER(MATCH(DATEVALUE($A235),'recurring1_based on steps'!L$1:L$400,0)),L$2,)</f>
        <v>0</v>
      </c>
      <c r="M235" s="179">
        <f ca="1">IF(ISNUMBER(MATCH(DATEVALUE($A235),'recurring1_based on steps'!M$1:M$400,0)),M$2,)</f>
        <v>0</v>
      </c>
      <c r="N235" s="179">
        <f ca="1">IF(ISNUMBER(MATCH(DATEVALUE($A235),'recurring1_based on steps'!N$1:N$400,0)),N$2,)</f>
        <v>0</v>
      </c>
      <c r="O235" s="179">
        <f ca="1">IF(ISNUMBER(MATCH(DATEVALUE($A235),'recurring1_based on steps'!O$1:O$400,0)),O$2,)</f>
        <v>0</v>
      </c>
      <c r="P235" s="179">
        <f ca="1">IF(ISNUMBER(MATCH(DATEVALUE($A235),'recurring1_based on steps'!P$1:P$400,0)),P$2,)</f>
        <v>0</v>
      </c>
      <c r="Q235" s="179">
        <f ca="1">IF(ISNUMBER(MATCH(DATEVALUE($A235),'recurring1_based on steps'!Q$1:Q$400,0)),Q$2,)</f>
        <v>0</v>
      </c>
      <c r="R235" s="179">
        <f ca="1">IF(ISNUMBER(MATCH(DATEVALUE($A235),'recurring1_based on steps'!R$1:R$400,0)),R$2,)</f>
        <v>0</v>
      </c>
      <c r="S235" s="179">
        <f ca="1">IF(ISNUMBER(MATCH(DATEVALUE($A235),'recurring1_based on steps'!S$1:S$400,0)),S$2,)</f>
        <v>0</v>
      </c>
      <c r="T235" s="179">
        <f ca="1">IF(ISNUMBER(MATCH(DATEVALUE($A235),'recurring1_based on steps'!T$1:T$400,0)),T$2,)</f>
        <v>0</v>
      </c>
      <c r="U235" s="179">
        <f ca="1">IF(ISNUMBER(MATCH(DATEVALUE($A235),'recurring1_based on steps'!U$1:U$400,0)),U$2,)</f>
        <v>0</v>
      </c>
      <c r="V235" s="179">
        <f ca="1">IF(ISNUMBER(MATCH(DATEVALUE($A235),'recurring1_based on steps'!V$1:V$400,0)),V$2,)</f>
        <v>0</v>
      </c>
      <c r="W235" s="179">
        <f ca="1">IF(ISNUMBER(MATCH(DATEVALUE($A235),'recurring1_based on steps'!W$1:W$400,0)),W$2,)</f>
        <v>0</v>
      </c>
      <c r="X235" s="179">
        <f ca="1">IF(ISNUMBER(MATCH(DATEVALUE($A235),'recurring1_based on steps'!X$1:X$400,0)),X$2,)</f>
        <v>0</v>
      </c>
      <c r="Y235" s="179">
        <f ca="1">IF(ISNUMBER(MATCH(DATEVALUE($A235),'recurring1_based on steps'!Y$1:Y$400,0)),Y$2,)</f>
        <v>0</v>
      </c>
      <c r="Z235" s="179">
        <f ca="1">IF(ISNUMBER(MATCH(DATEVALUE($A235),'recurring1_based on steps'!Z$1:Z$400,0)),Z$2,)</f>
        <v>0</v>
      </c>
      <c r="AA235" s="179">
        <f ca="1">IF(ISNUMBER(MATCH(DATEVALUE($A235),'recurring1_based on steps'!AA$1:AA$400,0)),AA$2,)</f>
        <v>0</v>
      </c>
      <c r="AB235" s="179">
        <f ca="1">IF(ISNUMBER(MATCH(DATEVALUE($A235),'recurring1_based on steps'!AB$1:AB$400,0)),AB$2,)</f>
        <v>0</v>
      </c>
      <c r="AC235" s="179">
        <f ca="1">IF(ISNUMBER(MATCH(DATEVALUE($A235),'recurring1_based on steps'!AC$1:AC$400,0)),AC$2,)</f>
        <v>0</v>
      </c>
      <c r="AD235" s="179">
        <f ca="1">IF(ISNUMBER(MATCH(DATEVALUE($A235),'recurring1_based on steps'!AD$1:AD$400,0)),AD$2,)</f>
        <v>0</v>
      </c>
      <c r="AE235" s="179">
        <f ca="1">IF(ISNUMBER(MATCH(DATEVALUE($A235),'recurring1_based on steps'!AE$1:AE$400,0)),AE$2,)</f>
        <v>0</v>
      </c>
      <c r="AF235" s="179">
        <f ca="1">IF(ISNUMBER(MATCH(DATEVALUE($A235),'recurring1_based on steps'!AF$1:AF$400,0)),AF$2,)</f>
        <v>0</v>
      </c>
      <c r="AG235" s="179">
        <f ca="1">IF(ISNUMBER(MATCH(DATEVALUE($A235),'recurring1_based on steps'!AG$1:AG$400,0)),AG$2,)</f>
        <v>0</v>
      </c>
      <c r="AH235" s="179">
        <f ca="1">IF(ISNUMBER(MATCH(DATEVALUE($A235),'recurring1_based on steps'!AH$1:AH$400,0)),AH$2,)</f>
        <v>0</v>
      </c>
      <c r="AI235" s="179">
        <f ca="1">IF(ISNUMBER(MATCH(DATEVALUE($A235),'recurring1_based on steps'!AI$1:AI$400,0)),AI$2,)</f>
        <v>0</v>
      </c>
      <c r="AJ235" s="179">
        <f ca="1">IF(ISNUMBER(MATCH(DATEVALUE($A235),'recurring1_based on steps'!AJ$1:AJ$400,0)),AJ$2,)</f>
        <v>0</v>
      </c>
      <c r="AK235" s="179">
        <f ca="1">IF(ISNUMBER(MATCH(DATEVALUE($A235),'recurring1_based on steps'!AK$1:AK$400,0)),AK$2,)</f>
        <v>0</v>
      </c>
      <c r="AL235" s="179">
        <f ca="1">IF(ISNUMBER(MATCH(DATEVALUE($A235),'recurring1_based on steps'!AL$1:AL$400,0)),AL$2,)</f>
        <v>0</v>
      </c>
      <c r="AM235" s="179">
        <f ca="1">IF(ISNUMBER(MATCH(DATEVALUE($A235),'recurring1_based on steps'!AM$1:AM$400,0)),AM$2,)</f>
        <v>0</v>
      </c>
      <c r="AN235" s="179">
        <f ca="1">IF(ISNUMBER(MATCH(DATEVALUE($A235),'recurring1_based on steps'!AN$1:AN$400,0)),AN$2,)</f>
        <v>0</v>
      </c>
      <c r="AO235" s="179">
        <f ca="1">IF(ISNUMBER(MATCH(DATEVALUE($A235),'recurring1_based on steps'!AO$1:AO$400,0)),AO$2,)</f>
        <v>0</v>
      </c>
      <c r="AP235" s="179">
        <f ca="1">IF(ISNUMBER(MATCH(DATEVALUE($A235),'recurring1_based on steps'!AP$1:AP$400,0)),AP$2,)</f>
        <v>0</v>
      </c>
      <c r="AQ235" s="179">
        <f ca="1">IF(ISNUMBER(MATCH(DATEVALUE($A235),'recurring1_based on steps'!AQ$1:AQ$400,0)),AQ$2,)</f>
        <v>0</v>
      </c>
      <c r="AR235" s="179">
        <f ca="1">IF(ISNUMBER(MATCH(DATEVALUE($A235),'recurring1_based on steps'!AR$1:AR$400,0)),AR$2,)</f>
        <v>0</v>
      </c>
      <c r="AS235" s="179">
        <f ca="1">IF(ISNUMBER(MATCH(DATEVALUE($A235),'recurring1_based on steps'!AS$1:AS$400,0)),AS$2,)</f>
        <v>0</v>
      </c>
      <c r="AT235" s="179">
        <f ca="1">IF(ISNUMBER(MATCH(DATEVALUE($A235),'recurring1_based on steps'!AT$1:AT$400,0)),AT$2,)</f>
        <v>0</v>
      </c>
      <c r="AU235" s="179">
        <f ca="1">IF(ISNUMBER(MATCH(DATEVALUE($A235),'recurring1_based on steps'!AU$1:AU$400,0)),AU$2,)</f>
        <v>0</v>
      </c>
      <c r="AV235" s="179">
        <f ca="1">IF(ISNUMBER(MATCH(DATEVALUE($A235),'recurring1_based on steps'!AV$1:AV$400,0)),AV$2,)</f>
        <v>0</v>
      </c>
      <c r="AW235" s="179">
        <f ca="1">IF(ISNUMBER(MATCH(DATEVALUE($A235),'recurring1_based on steps'!AW$1:AW$400,0)),AW$2,)</f>
        <v>0</v>
      </c>
      <c r="AX235" s="179">
        <f ca="1">IF(ISNUMBER(MATCH(DATEVALUE($A235),'recurring1_based on steps'!AX$1:AX$400,0)),AX$2,)</f>
        <v>0</v>
      </c>
      <c r="AY235" s="179">
        <f ca="1">IF(ISNUMBER(MATCH(DATEVALUE($A235),'recurring1_based on steps'!AY$1:AY$400,0)),AY$2,)</f>
        <v>0</v>
      </c>
    </row>
    <row r="236" spans="1:51" x14ac:dyDescent="0.2">
      <c r="A236" s="32" t="str">
        <f t="shared" ca="1" si="3"/>
        <v>2025-11-17</v>
      </c>
      <c r="B236" s="179">
        <f ca="1">IF(ISNUMBER(MATCH(DATEVALUE($A236),'recurring1_based on steps'!B$1:B$400,0)),B$2,)</f>
        <v>0</v>
      </c>
      <c r="C236" s="179">
        <f ca="1">IF(ISNUMBER(MATCH(DATEVALUE($A236),'recurring1_based on steps'!C$1:C$400,0)),C$2,)</f>
        <v>0</v>
      </c>
      <c r="D236" s="179">
        <f ca="1">IF(ISNUMBER(MATCH(DATEVALUE($A236),'recurring1_based on steps'!D$1:D$400,0)),D$2,)</f>
        <v>0</v>
      </c>
      <c r="E236" s="179">
        <f ca="1">IF(ISNUMBER(MATCH(DATEVALUE($A236),'recurring1_based on steps'!E$1:E$400,0)),E$2,)</f>
        <v>0</v>
      </c>
      <c r="F236" s="179">
        <f ca="1">IF(ISNUMBER(MATCH(DATEVALUE($A236),'recurring1_based on steps'!F$1:F$400,0)),F$2,)</f>
        <v>0</v>
      </c>
      <c r="G236" s="179">
        <f ca="1">IF(ISNUMBER(MATCH(DATEVALUE($A236),'recurring1_based on steps'!G$1:G$400,0)),G$2,)</f>
        <v>0</v>
      </c>
      <c r="H236" s="179">
        <f ca="1">IF(ISNUMBER(MATCH(DATEVALUE($A236),'recurring1_based on steps'!H$1:H$400,0)),H$2,)</f>
        <v>0</v>
      </c>
      <c r="I236" s="179">
        <f ca="1">IF(ISNUMBER(MATCH(DATEVALUE($A236),'recurring1_based on steps'!I$1:I$400,0)),I$2,)</f>
        <v>0</v>
      </c>
      <c r="J236" s="179">
        <f ca="1">IF(ISNUMBER(MATCH(DATEVALUE($A236),'recurring1_based on steps'!J$1:J$400,0)),J$2,)</f>
        <v>0</v>
      </c>
      <c r="K236" s="179">
        <f ca="1">IF(ISNUMBER(MATCH(DATEVALUE($A236),'recurring1_based on steps'!K$1:K$400,0)),K$2,)</f>
        <v>0</v>
      </c>
      <c r="L236" s="179">
        <f ca="1">IF(ISNUMBER(MATCH(DATEVALUE($A236),'recurring1_based on steps'!L$1:L$400,0)),L$2,)</f>
        <v>0</v>
      </c>
      <c r="M236" s="179">
        <f ca="1">IF(ISNUMBER(MATCH(DATEVALUE($A236),'recurring1_based on steps'!M$1:M$400,0)),M$2,)</f>
        <v>0</v>
      </c>
      <c r="N236" s="179">
        <f ca="1">IF(ISNUMBER(MATCH(DATEVALUE($A236),'recurring1_based on steps'!N$1:N$400,0)),N$2,)</f>
        <v>0</v>
      </c>
      <c r="O236" s="179">
        <f ca="1">IF(ISNUMBER(MATCH(DATEVALUE($A236),'recurring1_based on steps'!O$1:O$400,0)),O$2,)</f>
        <v>0</v>
      </c>
      <c r="P236" s="179">
        <f ca="1">IF(ISNUMBER(MATCH(DATEVALUE($A236),'recurring1_based on steps'!P$1:P$400,0)),P$2,)</f>
        <v>0</v>
      </c>
      <c r="Q236" s="179">
        <f ca="1">IF(ISNUMBER(MATCH(DATEVALUE($A236),'recurring1_based on steps'!Q$1:Q$400,0)),Q$2,)</f>
        <v>0</v>
      </c>
      <c r="R236" s="179">
        <f ca="1">IF(ISNUMBER(MATCH(DATEVALUE($A236),'recurring1_based on steps'!R$1:R$400,0)),R$2,)</f>
        <v>0</v>
      </c>
      <c r="S236" s="179">
        <f ca="1">IF(ISNUMBER(MATCH(DATEVALUE($A236),'recurring1_based on steps'!S$1:S$400,0)),S$2,)</f>
        <v>0</v>
      </c>
      <c r="T236" s="179">
        <f ca="1">IF(ISNUMBER(MATCH(DATEVALUE($A236),'recurring1_based on steps'!T$1:T$400,0)),T$2,)</f>
        <v>0</v>
      </c>
      <c r="U236" s="179">
        <f ca="1">IF(ISNUMBER(MATCH(DATEVALUE($A236),'recurring1_based on steps'!U$1:U$400,0)),U$2,)</f>
        <v>0</v>
      </c>
      <c r="V236" s="179">
        <f ca="1">IF(ISNUMBER(MATCH(DATEVALUE($A236),'recurring1_based on steps'!V$1:V$400,0)),V$2,)</f>
        <v>0</v>
      </c>
      <c r="W236" s="179">
        <f ca="1">IF(ISNUMBER(MATCH(DATEVALUE($A236),'recurring1_based on steps'!W$1:W$400,0)),W$2,)</f>
        <v>0</v>
      </c>
      <c r="X236" s="179">
        <f ca="1">IF(ISNUMBER(MATCH(DATEVALUE($A236),'recurring1_based on steps'!X$1:X$400,0)),X$2,)</f>
        <v>0</v>
      </c>
      <c r="Y236" s="179">
        <f ca="1">IF(ISNUMBER(MATCH(DATEVALUE($A236),'recurring1_based on steps'!Y$1:Y$400,0)),Y$2,)</f>
        <v>0</v>
      </c>
      <c r="Z236" s="179">
        <f ca="1">IF(ISNUMBER(MATCH(DATEVALUE($A236),'recurring1_based on steps'!Z$1:Z$400,0)),Z$2,)</f>
        <v>0</v>
      </c>
      <c r="AA236" s="179">
        <f ca="1">IF(ISNUMBER(MATCH(DATEVALUE($A236),'recurring1_based on steps'!AA$1:AA$400,0)),AA$2,)</f>
        <v>0</v>
      </c>
      <c r="AB236" s="179">
        <f ca="1">IF(ISNUMBER(MATCH(DATEVALUE($A236),'recurring1_based on steps'!AB$1:AB$400,0)),AB$2,)</f>
        <v>0</v>
      </c>
      <c r="AC236" s="179">
        <f ca="1">IF(ISNUMBER(MATCH(DATEVALUE($A236),'recurring1_based on steps'!AC$1:AC$400,0)),AC$2,)</f>
        <v>0</v>
      </c>
      <c r="AD236" s="179">
        <f ca="1">IF(ISNUMBER(MATCH(DATEVALUE($A236),'recurring1_based on steps'!AD$1:AD$400,0)),AD$2,)</f>
        <v>0</v>
      </c>
      <c r="AE236" s="179">
        <f ca="1">IF(ISNUMBER(MATCH(DATEVALUE($A236),'recurring1_based on steps'!AE$1:AE$400,0)),AE$2,)</f>
        <v>0</v>
      </c>
      <c r="AF236" s="179">
        <f ca="1">IF(ISNUMBER(MATCH(DATEVALUE($A236),'recurring1_based on steps'!AF$1:AF$400,0)),AF$2,)</f>
        <v>0</v>
      </c>
      <c r="AG236" s="179">
        <f ca="1">IF(ISNUMBER(MATCH(DATEVALUE($A236),'recurring1_based on steps'!AG$1:AG$400,0)),AG$2,)</f>
        <v>0</v>
      </c>
      <c r="AH236" s="179">
        <f ca="1">IF(ISNUMBER(MATCH(DATEVALUE($A236),'recurring1_based on steps'!AH$1:AH$400,0)),AH$2,)</f>
        <v>0</v>
      </c>
      <c r="AI236" s="179">
        <f ca="1">IF(ISNUMBER(MATCH(DATEVALUE($A236),'recurring1_based on steps'!AI$1:AI$400,0)),AI$2,)</f>
        <v>0</v>
      </c>
      <c r="AJ236" s="179">
        <f ca="1">IF(ISNUMBER(MATCH(DATEVALUE($A236),'recurring1_based on steps'!AJ$1:AJ$400,0)),AJ$2,)</f>
        <v>0</v>
      </c>
      <c r="AK236" s="179">
        <f ca="1">IF(ISNUMBER(MATCH(DATEVALUE($A236),'recurring1_based on steps'!AK$1:AK$400,0)),AK$2,)</f>
        <v>0</v>
      </c>
      <c r="AL236" s="179">
        <f ca="1">IF(ISNUMBER(MATCH(DATEVALUE($A236),'recurring1_based on steps'!AL$1:AL$400,0)),AL$2,)</f>
        <v>0</v>
      </c>
      <c r="AM236" s="179">
        <f ca="1">IF(ISNUMBER(MATCH(DATEVALUE($A236),'recurring1_based on steps'!AM$1:AM$400,0)),AM$2,)</f>
        <v>0</v>
      </c>
      <c r="AN236" s="179">
        <f ca="1">IF(ISNUMBER(MATCH(DATEVALUE($A236),'recurring1_based on steps'!AN$1:AN$400,0)),AN$2,)</f>
        <v>0</v>
      </c>
      <c r="AO236" s="179">
        <f ca="1">IF(ISNUMBER(MATCH(DATEVALUE($A236),'recurring1_based on steps'!AO$1:AO$400,0)),AO$2,)</f>
        <v>0</v>
      </c>
      <c r="AP236" s="179">
        <f ca="1">IF(ISNUMBER(MATCH(DATEVALUE($A236),'recurring1_based on steps'!AP$1:AP$400,0)),AP$2,)</f>
        <v>0</v>
      </c>
      <c r="AQ236" s="179">
        <f ca="1">IF(ISNUMBER(MATCH(DATEVALUE($A236),'recurring1_based on steps'!AQ$1:AQ$400,0)),AQ$2,)</f>
        <v>0</v>
      </c>
      <c r="AR236" s="179">
        <f ca="1">IF(ISNUMBER(MATCH(DATEVALUE($A236),'recurring1_based on steps'!AR$1:AR$400,0)),AR$2,)</f>
        <v>0</v>
      </c>
      <c r="AS236" s="179">
        <f ca="1">IF(ISNUMBER(MATCH(DATEVALUE($A236),'recurring1_based on steps'!AS$1:AS$400,0)),AS$2,)</f>
        <v>0</v>
      </c>
      <c r="AT236" s="179">
        <f ca="1">IF(ISNUMBER(MATCH(DATEVALUE($A236),'recurring1_based on steps'!AT$1:AT$400,0)),AT$2,)</f>
        <v>0</v>
      </c>
      <c r="AU236" s="179">
        <f ca="1">IF(ISNUMBER(MATCH(DATEVALUE($A236),'recurring1_based on steps'!AU$1:AU$400,0)),AU$2,)</f>
        <v>0</v>
      </c>
      <c r="AV236" s="179">
        <f ca="1">IF(ISNUMBER(MATCH(DATEVALUE($A236),'recurring1_based on steps'!AV$1:AV$400,0)),AV$2,)</f>
        <v>0</v>
      </c>
      <c r="AW236" s="179">
        <f ca="1">IF(ISNUMBER(MATCH(DATEVALUE($A236),'recurring1_based on steps'!AW$1:AW$400,0)),AW$2,)</f>
        <v>0</v>
      </c>
      <c r="AX236" s="179">
        <f ca="1">IF(ISNUMBER(MATCH(DATEVALUE($A236),'recurring1_based on steps'!AX$1:AX$400,0)),AX$2,)</f>
        <v>0</v>
      </c>
      <c r="AY236" s="179">
        <f ca="1">IF(ISNUMBER(MATCH(DATEVALUE($A236),'recurring1_based on steps'!AY$1:AY$400,0)),AY$2,)</f>
        <v>0</v>
      </c>
    </row>
    <row r="237" spans="1:51" x14ac:dyDescent="0.2">
      <c r="A237" s="32" t="str">
        <f t="shared" ca="1" si="3"/>
        <v>2025-11-18</v>
      </c>
      <c r="B237" s="179">
        <f ca="1">IF(ISNUMBER(MATCH(DATEVALUE($A237),'recurring1_based on steps'!B$1:B$400,0)),B$2,)</f>
        <v>0</v>
      </c>
      <c r="C237" s="179">
        <f ca="1">IF(ISNUMBER(MATCH(DATEVALUE($A237),'recurring1_based on steps'!C$1:C$400,0)),C$2,)</f>
        <v>0</v>
      </c>
      <c r="D237" s="179">
        <f ca="1">IF(ISNUMBER(MATCH(DATEVALUE($A237),'recurring1_based on steps'!D$1:D$400,0)),D$2,)</f>
        <v>0</v>
      </c>
      <c r="E237" s="179">
        <f ca="1">IF(ISNUMBER(MATCH(DATEVALUE($A237),'recurring1_based on steps'!E$1:E$400,0)),E$2,)</f>
        <v>0</v>
      </c>
      <c r="F237" s="179">
        <f ca="1">IF(ISNUMBER(MATCH(DATEVALUE($A237),'recurring1_based on steps'!F$1:F$400,0)),F$2,)</f>
        <v>0</v>
      </c>
      <c r="G237" s="179">
        <f ca="1">IF(ISNUMBER(MATCH(DATEVALUE($A237),'recurring1_based on steps'!G$1:G$400,0)),G$2,)</f>
        <v>0</v>
      </c>
      <c r="H237" s="179">
        <f ca="1">IF(ISNUMBER(MATCH(DATEVALUE($A237),'recurring1_based on steps'!H$1:H$400,0)),H$2,)</f>
        <v>0</v>
      </c>
      <c r="I237" s="179">
        <f ca="1">IF(ISNUMBER(MATCH(DATEVALUE($A237),'recurring1_based on steps'!I$1:I$400,0)),I$2,)</f>
        <v>0</v>
      </c>
      <c r="J237" s="179">
        <f ca="1">IF(ISNUMBER(MATCH(DATEVALUE($A237),'recurring1_based on steps'!J$1:J$400,0)),J$2,)</f>
        <v>0</v>
      </c>
      <c r="K237" s="179">
        <f ca="1">IF(ISNUMBER(MATCH(DATEVALUE($A237),'recurring1_based on steps'!K$1:K$400,0)),K$2,)</f>
        <v>0</v>
      </c>
      <c r="L237" s="179">
        <f ca="1">IF(ISNUMBER(MATCH(DATEVALUE($A237),'recurring1_based on steps'!L$1:L$400,0)),L$2,)</f>
        <v>0</v>
      </c>
      <c r="M237" s="179">
        <f ca="1">IF(ISNUMBER(MATCH(DATEVALUE($A237),'recurring1_based on steps'!M$1:M$400,0)),M$2,)</f>
        <v>0</v>
      </c>
      <c r="N237" s="179">
        <f ca="1">IF(ISNUMBER(MATCH(DATEVALUE($A237),'recurring1_based on steps'!N$1:N$400,0)),N$2,)</f>
        <v>0</v>
      </c>
      <c r="O237" s="179">
        <f ca="1">IF(ISNUMBER(MATCH(DATEVALUE($A237),'recurring1_based on steps'!O$1:O$400,0)),O$2,)</f>
        <v>0</v>
      </c>
      <c r="P237" s="179">
        <f ca="1">IF(ISNUMBER(MATCH(DATEVALUE($A237),'recurring1_based on steps'!P$1:P$400,0)),P$2,)</f>
        <v>0</v>
      </c>
      <c r="Q237" s="179">
        <f ca="1">IF(ISNUMBER(MATCH(DATEVALUE($A237),'recurring1_based on steps'!Q$1:Q$400,0)),Q$2,)</f>
        <v>0</v>
      </c>
      <c r="R237" s="179">
        <f ca="1">IF(ISNUMBER(MATCH(DATEVALUE($A237),'recurring1_based on steps'!R$1:R$400,0)),R$2,)</f>
        <v>0</v>
      </c>
      <c r="S237" s="179">
        <f ca="1">IF(ISNUMBER(MATCH(DATEVALUE($A237),'recurring1_based on steps'!S$1:S$400,0)),S$2,)</f>
        <v>0</v>
      </c>
      <c r="T237" s="179">
        <f ca="1">IF(ISNUMBER(MATCH(DATEVALUE($A237),'recurring1_based on steps'!T$1:T$400,0)),T$2,)</f>
        <v>0</v>
      </c>
      <c r="U237" s="179">
        <f ca="1">IF(ISNUMBER(MATCH(DATEVALUE($A237),'recurring1_based on steps'!U$1:U$400,0)),U$2,)</f>
        <v>0</v>
      </c>
      <c r="V237" s="179">
        <f ca="1">IF(ISNUMBER(MATCH(DATEVALUE($A237),'recurring1_based on steps'!V$1:V$400,0)),V$2,)</f>
        <v>0</v>
      </c>
      <c r="W237" s="179">
        <f ca="1">IF(ISNUMBER(MATCH(DATEVALUE($A237),'recurring1_based on steps'!W$1:W$400,0)),W$2,)</f>
        <v>0</v>
      </c>
      <c r="X237" s="179">
        <f ca="1">IF(ISNUMBER(MATCH(DATEVALUE($A237),'recurring1_based on steps'!X$1:X$400,0)),X$2,)</f>
        <v>0</v>
      </c>
      <c r="Y237" s="179">
        <f ca="1">IF(ISNUMBER(MATCH(DATEVALUE($A237),'recurring1_based on steps'!Y$1:Y$400,0)),Y$2,)</f>
        <v>0</v>
      </c>
      <c r="Z237" s="179">
        <f ca="1">IF(ISNUMBER(MATCH(DATEVALUE($A237),'recurring1_based on steps'!Z$1:Z$400,0)),Z$2,)</f>
        <v>0</v>
      </c>
      <c r="AA237" s="179">
        <f ca="1">IF(ISNUMBER(MATCH(DATEVALUE($A237),'recurring1_based on steps'!AA$1:AA$400,0)),AA$2,)</f>
        <v>0</v>
      </c>
      <c r="AB237" s="179">
        <f ca="1">IF(ISNUMBER(MATCH(DATEVALUE($A237),'recurring1_based on steps'!AB$1:AB$400,0)),AB$2,)</f>
        <v>0</v>
      </c>
      <c r="AC237" s="179">
        <f ca="1">IF(ISNUMBER(MATCH(DATEVALUE($A237),'recurring1_based on steps'!AC$1:AC$400,0)),AC$2,)</f>
        <v>0</v>
      </c>
      <c r="AD237" s="179">
        <f ca="1">IF(ISNUMBER(MATCH(DATEVALUE($A237),'recurring1_based on steps'!AD$1:AD$400,0)),AD$2,)</f>
        <v>0</v>
      </c>
      <c r="AE237" s="179">
        <f ca="1">IF(ISNUMBER(MATCH(DATEVALUE($A237),'recurring1_based on steps'!AE$1:AE$400,0)),AE$2,)</f>
        <v>0</v>
      </c>
      <c r="AF237" s="179">
        <f ca="1">IF(ISNUMBER(MATCH(DATEVALUE($A237),'recurring1_based on steps'!AF$1:AF$400,0)),AF$2,)</f>
        <v>0</v>
      </c>
      <c r="AG237" s="179">
        <f ca="1">IF(ISNUMBER(MATCH(DATEVALUE($A237),'recurring1_based on steps'!AG$1:AG$400,0)),AG$2,)</f>
        <v>0</v>
      </c>
      <c r="AH237" s="179">
        <f ca="1">IF(ISNUMBER(MATCH(DATEVALUE($A237),'recurring1_based on steps'!AH$1:AH$400,0)),AH$2,)</f>
        <v>0</v>
      </c>
      <c r="AI237" s="179">
        <f ca="1">IF(ISNUMBER(MATCH(DATEVALUE($A237),'recurring1_based on steps'!AI$1:AI$400,0)),AI$2,)</f>
        <v>0</v>
      </c>
      <c r="AJ237" s="179">
        <f ca="1">IF(ISNUMBER(MATCH(DATEVALUE($A237),'recurring1_based on steps'!AJ$1:AJ$400,0)),AJ$2,)</f>
        <v>0</v>
      </c>
      <c r="AK237" s="179">
        <f ca="1">IF(ISNUMBER(MATCH(DATEVALUE($A237),'recurring1_based on steps'!AK$1:AK$400,0)),AK$2,)</f>
        <v>0</v>
      </c>
      <c r="AL237" s="179">
        <f ca="1">IF(ISNUMBER(MATCH(DATEVALUE($A237),'recurring1_based on steps'!AL$1:AL$400,0)),AL$2,)</f>
        <v>0</v>
      </c>
      <c r="AM237" s="179">
        <f ca="1">IF(ISNUMBER(MATCH(DATEVALUE($A237),'recurring1_based on steps'!AM$1:AM$400,0)),AM$2,)</f>
        <v>0</v>
      </c>
      <c r="AN237" s="179">
        <f ca="1">IF(ISNUMBER(MATCH(DATEVALUE($A237),'recurring1_based on steps'!AN$1:AN$400,0)),AN$2,)</f>
        <v>0</v>
      </c>
      <c r="AO237" s="179">
        <f ca="1">IF(ISNUMBER(MATCH(DATEVALUE($A237),'recurring1_based on steps'!AO$1:AO$400,0)),AO$2,)</f>
        <v>0</v>
      </c>
      <c r="AP237" s="179">
        <f ca="1">IF(ISNUMBER(MATCH(DATEVALUE($A237),'recurring1_based on steps'!AP$1:AP$400,0)),AP$2,)</f>
        <v>0</v>
      </c>
      <c r="AQ237" s="179">
        <f ca="1">IF(ISNUMBER(MATCH(DATEVALUE($A237),'recurring1_based on steps'!AQ$1:AQ$400,0)),AQ$2,)</f>
        <v>0</v>
      </c>
      <c r="AR237" s="179">
        <f ca="1">IF(ISNUMBER(MATCH(DATEVALUE($A237),'recurring1_based on steps'!AR$1:AR$400,0)),AR$2,)</f>
        <v>0</v>
      </c>
      <c r="AS237" s="179">
        <f ca="1">IF(ISNUMBER(MATCH(DATEVALUE($A237),'recurring1_based on steps'!AS$1:AS$400,0)),AS$2,)</f>
        <v>0</v>
      </c>
      <c r="AT237" s="179">
        <f ca="1">IF(ISNUMBER(MATCH(DATEVALUE($A237),'recurring1_based on steps'!AT$1:AT$400,0)),AT$2,)</f>
        <v>0</v>
      </c>
      <c r="AU237" s="179">
        <f ca="1">IF(ISNUMBER(MATCH(DATEVALUE($A237),'recurring1_based on steps'!AU$1:AU$400,0)),AU$2,)</f>
        <v>0</v>
      </c>
      <c r="AV237" s="179">
        <f ca="1">IF(ISNUMBER(MATCH(DATEVALUE($A237),'recurring1_based on steps'!AV$1:AV$400,0)),AV$2,)</f>
        <v>0</v>
      </c>
      <c r="AW237" s="179">
        <f ca="1">IF(ISNUMBER(MATCH(DATEVALUE($A237),'recurring1_based on steps'!AW$1:AW$400,0)),AW$2,)</f>
        <v>0</v>
      </c>
      <c r="AX237" s="179">
        <f ca="1">IF(ISNUMBER(MATCH(DATEVALUE($A237),'recurring1_based on steps'!AX$1:AX$400,0)),AX$2,)</f>
        <v>0</v>
      </c>
      <c r="AY237" s="179">
        <f ca="1">IF(ISNUMBER(MATCH(DATEVALUE($A237),'recurring1_based on steps'!AY$1:AY$400,0)),AY$2,)</f>
        <v>0</v>
      </c>
    </row>
    <row r="238" spans="1:51" x14ac:dyDescent="0.2">
      <c r="A238" s="32" t="str">
        <f t="shared" ca="1" si="3"/>
        <v>2025-11-19</v>
      </c>
      <c r="B238" s="179">
        <f ca="1">IF(ISNUMBER(MATCH(DATEVALUE($A238),'recurring1_based on steps'!B$1:B$400,0)),B$2,)</f>
        <v>0</v>
      </c>
      <c r="C238" s="179">
        <f ca="1">IF(ISNUMBER(MATCH(DATEVALUE($A238),'recurring1_based on steps'!C$1:C$400,0)),C$2,)</f>
        <v>0</v>
      </c>
      <c r="D238" s="179">
        <f ca="1">IF(ISNUMBER(MATCH(DATEVALUE($A238),'recurring1_based on steps'!D$1:D$400,0)),D$2,)</f>
        <v>0</v>
      </c>
      <c r="E238" s="179">
        <f ca="1">IF(ISNUMBER(MATCH(DATEVALUE($A238),'recurring1_based on steps'!E$1:E$400,0)),E$2,)</f>
        <v>0</v>
      </c>
      <c r="F238" s="179">
        <f ca="1">IF(ISNUMBER(MATCH(DATEVALUE($A238),'recurring1_based on steps'!F$1:F$400,0)),F$2,)</f>
        <v>0</v>
      </c>
      <c r="G238" s="179">
        <f ca="1">IF(ISNUMBER(MATCH(DATEVALUE($A238),'recurring1_based on steps'!G$1:G$400,0)),G$2,)</f>
        <v>0</v>
      </c>
      <c r="H238" s="179">
        <f ca="1">IF(ISNUMBER(MATCH(DATEVALUE($A238),'recurring1_based on steps'!H$1:H$400,0)),H$2,)</f>
        <v>0</v>
      </c>
      <c r="I238" s="179">
        <f ca="1">IF(ISNUMBER(MATCH(DATEVALUE($A238),'recurring1_based on steps'!I$1:I$400,0)),I$2,)</f>
        <v>0</v>
      </c>
      <c r="J238" s="179">
        <f ca="1">IF(ISNUMBER(MATCH(DATEVALUE($A238),'recurring1_based on steps'!J$1:J$400,0)),J$2,)</f>
        <v>0</v>
      </c>
      <c r="K238" s="179">
        <f ca="1">IF(ISNUMBER(MATCH(DATEVALUE($A238),'recurring1_based on steps'!K$1:K$400,0)),K$2,)</f>
        <v>0</v>
      </c>
      <c r="L238" s="179">
        <f ca="1">IF(ISNUMBER(MATCH(DATEVALUE($A238),'recurring1_based on steps'!L$1:L$400,0)),L$2,)</f>
        <v>0</v>
      </c>
      <c r="M238" s="179">
        <f ca="1">IF(ISNUMBER(MATCH(DATEVALUE($A238),'recurring1_based on steps'!M$1:M$400,0)),M$2,)</f>
        <v>0</v>
      </c>
      <c r="N238" s="179">
        <f ca="1">IF(ISNUMBER(MATCH(DATEVALUE($A238),'recurring1_based on steps'!N$1:N$400,0)),N$2,)</f>
        <v>0</v>
      </c>
      <c r="O238" s="179">
        <f ca="1">IF(ISNUMBER(MATCH(DATEVALUE($A238),'recurring1_based on steps'!O$1:O$400,0)),O$2,)</f>
        <v>0</v>
      </c>
      <c r="P238" s="179">
        <f ca="1">IF(ISNUMBER(MATCH(DATEVALUE($A238),'recurring1_based on steps'!P$1:P$400,0)),P$2,)</f>
        <v>0</v>
      </c>
      <c r="Q238" s="179">
        <f ca="1">IF(ISNUMBER(MATCH(DATEVALUE($A238),'recurring1_based on steps'!Q$1:Q$400,0)),Q$2,)</f>
        <v>0</v>
      </c>
      <c r="R238" s="179">
        <f ca="1">IF(ISNUMBER(MATCH(DATEVALUE($A238),'recurring1_based on steps'!R$1:R$400,0)),R$2,)</f>
        <v>0</v>
      </c>
      <c r="S238" s="179">
        <f ca="1">IF(ISNUMBER(MATCH(DATEVALUE($A238),'recurring1_based on steps'!S$1:S$400,0)),S$2,)</f>
        <v>0</v>
      </c>
      <c r="T238" s="179">
        <f ca="1">IF(ISNUMBER(MATCH(DATEVALUE($A238),'recurring1_based on steps'!T$1:T$400,0)),T$2,)</f>
        <v>0</v>
      </c>
      <c r="U238" s="179">
        <f ca="1">IF(ISNUMBER(MATCH(DATEVALUE($A238),'recurring1_based on steps'!U$1:U$400,0)),U$2,)</f>
        <v>0</v>
      </c>
      <c r="V238" s="179">
        <f ca="1">IF(ISNUMBER(MATCH(DATEVALUE($A238),'recurring1_based on steps'!V$1:V$400,0)),V$2,)</f>
        <v>0</v>
      </c>
      <c r="W238" s="179">
        <f ca="1">IF(ISNUMBER(MATCH(DATEVALUE($A238),'recurring1_based on steps'!W$1:W$400,0)),W$2,)</f>
        <v>0</v>
      </c>
      <c r="X238" s="179">
        <f ca="1">IF(ISNUMBER(MATCH(DATEVALUE($A238),'recurring1_based on steps'!X$1:X$400,0)),X$2,)</f>
        <v>0</v>
      </c>
      <c r="Y238" s="179">
        <f ca="1">IF(ISNUMBER(MATCH(DATEVALUE($A238),'recurring1_based on steps'!Y$1:Y$400,0)),Y$2,)</f>
        <v>0</v>
      </c>
      <c r="Z238" s="179">
        <f ca="1">IF(ISNUMBER(MATCH(DATEVALUE($A238),'recurring1_based on steps'!Z$1:Z$400,0)),Z$2,)</f>
        <v>0</v>
      </c>
      <c r="AA238" s="179">
        <f ca="1">IF(ISNUMBER(MATCH(DATEVALUE($A238),'recurring1_based on steps'!AA$1:AA$400,0)),AA$2,)</f>
        <v>0</v>
      </c>
      <c r="AB238" s="179">
        <f ca="1">IF(ISNUMBER(MATCH(DATEVALUE($A238),'recurring1_based on steps'!AB$1:AB$400,0)),AB$2,)</f>
        <v>0</v>
      </c>
      <c r="AC238" s="179">
        <f ca="1">IF(ISNUMBER(MATCH(DATEVALUE($A238),'recurring1_based on steps'!AC$1:AC$400,0)),AC$2,)</f>
        <v>0</v>
      </c>
      <c r="AD238" s="179">
        <f ca="1">IF(ISNUMBER(MATCH(DATEVALUE($A238),'recurring1_based on steps'!AD$1:AD$400,0)),AD$2,)</f>
        <v>0</v>
      </c>
      <c r="AE238" s="179">
        <f ca="1">IF(ISNUMBER(MATCH(DATEVALUE($A238),'recurring1_based on steps'!AE$1:AE$400,0)),AE$2,)</f>
        <v>0</v>
      </c>
      <c r="AF238" s="179">
        <f ca="1">IF(ISNUMBER(MATCH(DATEVALUE($A238),'recurring1_based on steps'!AF$1:AF$400,0)),AF$2,)</f>
        <v>0</v>
      </c>
      <c r="AG238" s="179">
        <f ca="1">IF(ISNUMBER(MATCH(DATEVALUE($A238),'recurring1_based on steps'!AG$1:AG$400,0)),AG$2,)</f>
        <v>0</v>
      </c>
      <c r="AH238" s="179">
        <f ca="1">IF(ISNUMBER(MATCH(DATEVALUE($A238),'recurring1_based on steps'!AH$1:AH$400,0)),AH$2,)</f>
        <v>0</v>
      </c>
      <c r="AI238" s="179">
        <f ca="1">IF(ISNUMBER(MATCH(DATEVALUE($A238),'recurring1_based on steps'!AI$1:AI$400,0)),AI$2,)</f>
        <v>0</v>
      </c>
      <c r="AJ238" s="179">
        <f ca="1">IF(ISNUMBER(MATCH(DATEVALUE($A238),'recurring1_based on steps'!AJ$1:AJ$400,0)),AJ$2,)</f>
        <v>0</v>
      </c>
      <c r="AK238" s="179">
        <f ca="1">IF(ISNUMBER(MATCH(DATEVALUE($A238),'recurring1_based on steps'!AK$1:AK$400,0)),AK$2,)</f>
        <v>0</v>
      </c>
      <c r="AL238" s="179">
        <f ca="1">IF(ISNUMBER(MATCH(DATEVALUE($A238),'recurring1_based on steps'!AL$1:AL$400,0)),AL$2,)</f>
        <v>0</v>
      </c>
      <c r="AM238" s="179">
        <f ca="1">IF(ISNUMBER(MATCH(DATEVALUE($A238),'recurring1_based on steps'!AM$1:AM$400,0)),AM$2,)</f>
        <v>0</v>
      </c>
      <c r="AN238" s="179">
        <f ca="1">IF(ISNUMBER(MATCH(DATEVALUE($A238),'recurring1_based on steps'!AN$1:AN$400,0)),AN$2,)</f>
        <v>0</v>
      </c>
      <c r="AO238" s="179">
        <f ca="1">IF(ISNUMBER(MATCH(DATEVALUE($A238),'recurring1_based on steps'!AO$1:AO$400,0)),AO$2,)</f>
        <v>0</v>
      </c>
      <c r="AP238" s="179">
        <f ca="1">IF(ISNUMBER(MATCH(DATEVALUE($A238),'recurring1_based on steps'!AP$1:AP$400,0)),AP$2,)</f>
        <v>0</v>
      </c>
      <c r="AQ238" s="179">
        <f ca="1">IF(ISNUMBER(MATCH(DATEVALUE($A238),'recurring1_based on steps'!AQ$1:AQ$400,0)),AQ$2,)</f>
        <v>0</v>
      </c>
      <c r="AR238" s="179">
        <f ca="1">IF(ISNUMBER(MATCH(DATEVALUE($A238),'recurring1_based on steps'!AR$1:AR$400,0)),AR$2,)</f>
        <v>0</v>
      </c>
      <c r="AS238" s="179">
        <f ca="1">IF(ISNUMBER(MATCH(DATEVALUE($A238),'recurring1_based on steps'!AS$1:AS$400,0)),AS$2,)</f>
        <v>0</v>
      </c>
      <c r="AT238" s="179">
        <f ca="1">IF(ISNUMBER(MATCH(DATEVALUE($A238),'recurring1_based on steps'!AT$1:AT$400,0)),AT$2,)</f>
        <v>0</v>
      </c>
      <c r="AU238" s="179">
        <f ca="1">IF(ISNUMBER(MATCH(DATEVALUE($A238),'recurring1_based on steps'!AU$1:AU$400,0)),AU$2,)</f>
        <v>0</v>
      </c>
      <c r="AV238" s="179">
        <f ca="1">IF(ISNUMBER(MATCH(DATEVALUE($A238),'recurring1_based on steps'!AV$1:AV$400,0)),AV$2,)</f>
        <v>0</v>
      </c>
      <c r="AW238" s="179">
        <f ca="1">IF(ISNUMBER(MATCH(DATEVALUE($A238),'recurring1_based on steps'!AW$1:AW$400,0)),AW$2,)</f>
        <v>0</v>
      </c>
      <c r="AX238" s="179">
        <f ca="1">IF(ISNUMBER(MATCH(DATEVALUE($A238),'recurring1_based on steps'!AX$1:AX$400,0)),AX$2,)</f>
        <v>0</v>
      </c>
      <c r="AY238" s="179">
        <f ca="1">IF(ISNUMBER(MATCH(DATEVALUE($A238),'recurring1_based on steps'!AY$1:AY$400,0)),AY$2,)</f>
        <v>0</v>
      </c>
    </row>
    <row r="239" spans="1:51" x14ac:dyDescent="0.2">
      <c r="A239" s="32" t="str">
        <f t="shared" ca="1" si="3"/>
        <v>2025-11-20</v>
      </c>
      <c r="B239" s="179">
        <f ca="1">IF(ISNUMBER(MATCH(DATEVALUE($A239),'recurring1_based on steps'!B$1:B$400,0)),B$2,)</f>
        <v>0</v>
      </c>
      <c r="C239" s="179">
        <f ca="1">IF(ISNUMBER(MATCH(DATEVALUE($A239),'recurring1_based on steps'!C$1:C$400,0)),C$2,)</f>
        <v>0</v>
      </c>
      <c r="D239" s="179">
        <f ca="1">IF(ISNUMBER(MATCH(DATEVALUE($A239),'recurring1_based on steps'!D$1:D$400,0)),D$2,)</f>
        <v>0</v>
      </c>
      <c r="E239" s="179">
        <f ca="1">IF(ISNUMBER(MATCH(DATEVALUE($A239),'recurring1_based on steps'!E$1:E$400,0)),E$2,)</f>
        <v>0</v>
      </c>
      <c r="F239" s="179">
        <f ca="1">IF(ISNUMBER(MATCH(DATEVALUE($A239),'recurring1_based on steps'!F$1:F$400,0)),F$2,)</f>
        <v>0</v>
      </c>
      <c r="G239" s="179">
        <f ca="1">IF(ISNUMBER(MATCH(DATEVALUE($A239),'recurring1_based on steps'!G$1:G$400,0)),G$2,)</f>
        <v>0</v>
      </c>
      <c r="H239" s="179">
        <f ca="1">IF(ISNUMBER(MATCH(DATEVALUE($A239),'recurring1_based on steps'!H$1:H$400,0)),H$2,)</f>
        <v>0</v>
      </c>
      <c r="I239" s="179">
        <f ca="1">IF(ISNUMBER(MATCH(DATEVALUE($A239),'recurring1_based on steps'!I$1:I$400,0)),I$2,)</f>
        <v>0</v>
      </c>
      <c r="J239" s="179">
        <f ca="1">IF(ISNUMBER(MATCH(DATEVALUE($A239),'recurring1_based on steps'!J$1:J$400,0)),J$2,)</f>
        <v>0</v>
      </c>
      <c r="K239" s="179">
        <f ca="1">IF(ISNUMBER(MATCH(DATEVALUE($A239),'recurring1_based on steps'!K$1:K$400,0)),K$2,)</f>
        <v>0</v>
      </c>
      <c r="L239" s="179">
        <f ca="1">IF(ISNUMBER(MATCH(DATEVALUE($A239),'recurring1_based on steps'!L$1:L$400,0)),L$2,)</f>
        <v>0</v>
      </c>
      <c r="M239" s="179">
        <f ca="1">IF(ISNUMBER(MATCH(DATEVALUE($A239),'recurring1_based on steps'!M$1:M$400,0)),M$2,)</f>
        <v>0</v>
      </c>
      <c r="N239" s="179">
        <f ca="1">IF(ISNUMBER(MATCH(DATEVALUE($A239),'recurring1_based on steps'!N$1:N$400,0)),N$2,)</f>
        <v>0</v>
      </c>
      <c r="O239" s="179">
        <f ca="1">IF(ISNUMBER(MATCH(DATEVALUE($A239),'recurring1_based on steps'!O$1:O$400,0)),O$2,)</f>
        <v>0</v>
      </c>
      <c r="P239" s="179">
        <f ca="1">IF(ISNUMBER(MATCH(DATEVALUE($A239),'recurring1_based on steps'!P$1:P$400,0)),P$2,)</f>
        <v>0</v>
      </c>
      <c r="Q239" s="179">
        <f ca="1">IF(ISNUMBER(MATCH(DATEVALUE($A239),'recurring1_based on steps'!Q$1:Q$400,0)),Q$2,)</f>
        <v>0</v>
      </c>
      <c r="R239" s="179">
        <f ca="1">IF(ISNUMBER(MATCH(DATEVALUE($A239),'recurring1_based on steps'!R$1:R$400,0)),R$2,)</f>
        <v>0</v>
      </c>
      <c r="S239" s="179">
        <f ca="1">IF(ISNUMBER(MATCH(DATEVALUE($A239),'recurring1_based on steps'!S$1:S$400,0)),S$2,)</f>
        <v>0</v>
      </c>
      <c r="T239" s="179">
        <f ca="1">IF(ISNUMBER(MATCH(DATEVALUE($A239),'recurring1_based on steps'!T$1:T$400,0)),T$2,)</f>
        <v>0</v>
      </c>
      <c r="U239" s="179">
        <f ca="1">IF(ISNUMBER(MATCH(DATEVALUE($A239),'recurring1_based on steps'!U$1:U$400,0)),U$2,)</f>
        <v>0</v>
      </c>
      <c r="V239" s="179">
        <f ca="1">IF(ISNUMBER(MATCH(DATEVALUE($A239),'recurring1_based on steps'!V$1:V$400,0)),V$2,)</f>
        <v>0</v>
      </c>
      <c r="W239" s="179">
        <f ca="1">IF(ISNUMBER(MATCH(DATEVALUE($A239),'recurring1_based on steps'!W$1:W$400,0)),W$2,)</f>
        <v>0</v>
      </c>
      <c r="X239" s="179">
        <f ca="1">IF(ISNUMBER(MATCH(DATEVALUE($A239),'recurring1_based on steps'!X$1:X$400,0)),X$2,)</f>
        <v>0</v>
      </c>
      <c r="Y239" s="179">
        <f ca="1">IF(ISNUMBER(MATCH(DATEVALUE($A239),'recurring1_based on steps'!Y$1:Y$400,0)),Y$2,)</f>
        <v>0</v>
      </c>
      <c r="Z239" s="179">
        <f ca="1">IF(ISNUMBER(MATCH(DATEVALUE($A239),'recurring1_based on steps'!Z$1:Z$400,0)),Z$2,)</f>
        <v>0</v>
      </c>
      <c r="AA239" s="179">
        <f ca="1">IF(ISNUMBER(MATCH(DATEVALUE($A239),'recurring1_based on steps'!AA$1:AA$400,0)),AA$2,)</f>
        <v>0</v>
      </c>
      <c r="AB239" s="179">
        <f ca="1">IF(ISNUMBER(MATCH(DATEVALUE($A239),'recurring1_based on steps'!AB$1:AB$400,0)),AB$2,)</f>
        <v>0</v>
      </c>
      <c r="AC239" s="179">
        <f ca="1">IF(ISNUMBER(MATCH(DATEVALUE($A239),'recurring1_based on steps'!AC$1:AC$400,0)),AC$2,)</f>
        <v>0</v>
      </c>
      <c r="AD239" s="179">
        <f ca="1">IF(ISNUMBER(MATCH(DATEVALUE($A239),'recurring1_based on steps'!AD$1:AD$400,0)),AD$2,)</f>
        <v>0</v>
      </c>
      <c r="AE239" s="179">
        <f ca="1">IF(ISNUMBER(MATCH(DATEVALUE($A239),'recurring1_based on steps'!AE$1:AE$400,0)),AE$2,)</f>
        <v>0</v>
      </c>
      <c r="AF239" s="179">
        <f ca="1">IF(ISNUMBER(MATCH(DATEVALUE($A239),'recurring1_based on steps'!AF$1:AF$400,0)),AF$2,)</f>
        <v>0</v>
      </c>
      <c r="AG239" s="179">
        <f ca="1">IF(ISNUMBER(MATCH(DATEVALUE($A239),'recurring1_based on steps'!AG$1:AG$400,0)),AG$2,)</f>
        <v>0</v>
      </c>
      <c r="AH239" s="179">
        <f ca="1">IF(ISNUMBER(MATCH(DATEVALUE($A239),'recurring1_based on steps'!AH$1:AH$400,0)),AH$2,)</f>
        <v>0</v>
      </c>
      <c r="AI239" s="179">
        <f ca="1">IF(ISNUMBER(MATCH(DATEVALUE($A239),'recurring1_based on steps'!AI$1:AI$400,0)),AI$2,)</f>
        <v>0</v>
      </c>
      <c r="AJ239" s="179">
        <f ca="1">IF(ISNUMBER(MATCH(DATEVALUE($A239),'recurring1_based on steps'!AJ$1:AJ$400,0)),AJ$2,)</f>
        <v>0</v>
      </c>
      <c r="AK239" s="179">
        <f ca="1">IF(ISNUMBER(MATCH(DATEVALUE($A239),'recurring1_based on steps'!AK$1:AK$400,0)),AK$2,)</f>
        <v>0</v>
      </c>
      <c r="AL239" s="179">
        <f ca="1">IF(ISNUMBER(MATCH(DATEVALUE($A239),'recurring1_based on steps'!AL$1:AL$400,0)),AL$2,)</f>
        <v>0</v>
      </c>
      <c r="AM239" s="179">
        <f ca="1">IF(ISNUMBER(MATCH(DATEVALUE($A239),'recurring1_based on steps'!AM$1:AM$400,0)),AM$2,)</f>
        <v>0</v>
      </c>
      <c r="AN239" s="179">
        <f ca="1">IF(ISNUMBER(MATCH(DATEVALUE($A239),'recurring1_based on steps'!AN$1:AN$400,0)),AN$2,)</f>
        <v>0</v>
      </c>
      <c r="AO239" s="179">
        <f ca="1">IF(ISNUMBER(MATCH(DATEVALUE($A239),'recurring1_based on steps'!AO$1:AO$400,0)),AO$2,)</f>
        <v>0</v>
      </c>
      <c r="AP239" s="179">
        <f ca="1">IF(ISNUMBER(MATCH(DATEVALUE($A239),'recurring1_based on steps'!AP$1:AP$400,0)),AP$2,)</f>
        <v>0</v>
      </c>
      <c r="AQ239" s="179">
        <f ca="1">IF(ISNUMBER(MATCH(DATEVALUE($A239),'recurring1_based on steps'!AQ$1:AQ$400,0)),AQ$2,)</f>
        <v>0</v>
      </c>
      <c r="AR239" s="179">
        <f ca="1">IF(ISNUMBER(MATCH(DATEVALUE($A239),'recurring1_based on steps'!AR$1:AR$400,0)),AR$2,)</f>
        <v>0</v>
      </c>
      <c r="AS239" s="179">
        <f ca="1">IF(ISNUMBER(MATCH(DATEVALUE($A239),'recurring1_based on steps'!AS$1:AS$400,0)),AS$2,)</f>
        <v>0</v>
      </c>
      <c r="AT239" s="179">
        <f ca="1">IF(ISNUMBER(MATCH(DATEVALUE($A239),'recurring1_based on steps'!AT$1:AT$400,0)),AT$2,)</f>
        <v>0</v>
      </c>
      <c r="AU239" s="179">
        <f ca="1">IF(ISNUMBER(MATCH(DATEVALUE($A239),'recurring1_based on steps'!AU$1:AU$400,0)),AU$2,)</f>
        <v>0</v>
      </c>
      <c r="AV239" s="179">
        <f ca="1">IF(ISNUMBER(MATCH(DATEVALUE($A239),'recurring1_based on steps'!AV$1:AV$400,0)),AV$2,)</f>
        <v>0</v>
      </c>
      <c r="AW239" s="179">
        <f ca="1">IF(ISNUMBER(MATCH(DATEVALUE($A239),'recurring1_based on steps'!AW$1:AW$400,0)),AW$2,)</f>
        <v>0</v>
      </c>
      <c r="AX239" s="179">
        <f ca="1">IF(ISNUMBER(MATCH(DATEVALUE($A239),'recurring1_based on steps'!AX$1:AX$400,0)),AX$2,)</f>
        <v>0</v>
      </c>
      <c r="AY239" s="179">
        <f ca="1">IF(ISNUMBER(MATCH(DATEVALUE($A239),'recurring1_based on steps'!AY$1:AY$400,0)),AY$2,)</f>
        <v>0</v>
      </c>
    </row>
    <row r="240" spans="1:51" x14ac:dyDescent="0.2">
      <c r="A240" s="32" t="str">
        <f t="shared" ca="1" si="3"/>
        <v>2025-11-21</v>
      </c>
      <c r="B240" s="179">
        <f ca="1">IF(ISNUMBER(MATCH(DATEVALUE($A240),'recurring1_based on steps'!B$1:B$400,0)),B$2,)</f>
        <v>0</v>
      </c>
      <c r="C240" s="179">
        <f ca="1">IF(ISNUMBER(MATCH(DATEVALUE($A240),'recurring1_based on steps'!C$1:C$400,0)),C$2,)</f>
        <v>0</v>
      </c>
      <c r="D240" s="179">
        <f ca="1">IF(ISNUMBER(MATCH(DATEVALUE($A240),'recurring1_based on steps'!D$1:D$400,0)),D$2,)</f>
        <v>0</v>
      </c>
      <c r="E240" s="179">
        <f ca="1">IF(ISNUMBER(MATCH(DATEVALUE($A240),'recurring1_based on steps'!E$1:E$400,0)),E$2,)</f>
        <v>0</v>
      </c>
      <c r="F240" s="179">
        <f ca="1">IF(ISNUMBER(MATCH(DATEVALUE($A240),'recurring1_based on steps'!F$1:F$400,0)),F$2,)</f>
        <v>0</v>
      </c>
      <c r="G240" s="179">
        <f ca="1">IF(ISNUMBER(MATCH(DATEVALUE($A240),'recurring1_based on steps'!G$1:G$400,0)),G$2,)</f>
        <v>0</v>
      </c>
      <c r="H240" s="179">
        <f ca="1">IF(ISNUMBER(MATCH(DATEVALUE($A240),'recurring1_based on steps'!H$1:H$400,0)),H$2,)</f>
        <v>0</v>
      </c>
      <c r="I240" s="179">
        <f ca="1">IF(ISNUMBER(MATCH(DATEVALUE($A240),'recurring1_based on steps'!I$1:I$400,0)),I$2,)</f>
        <v>0</v>
      </c>
      <c r="J240" s="179">
        <f ca="1">IF(ISNUMBER(MATCH(DATEVALUE($A240),'recurring1_based on steps'!J$1:J$400,0)),J$2,)</f>
        <v>0</v>
      </c>
      <c r="K240" s="179">
        <f ca="1">IF(ISNUMBER(MATCH(DATEVALUE($A240),'recurring1_based on steps'!K$1:K$400,0)),K$2,)</f>
        <v>0</v>
      </c>
      <c r="L240" s="179">
        <f ca="1">IF(ISNUMBER(MATCH(DATEVALUE($A240),'recurring1_based on steps'!L$1:L$400,0)),L$2,)</f>
        <v>0</v>
      </c>
      <c r="M240" s="179">
        <f ca="1">IF(ISNUMBER(MATCH(DATEVALUE($A240),'recurring1_based on steps'!M$1:M$400,0)),M$2,)</f>
        <v>0</v>
      </c>
      <c r="N240" s="179">
        <f ca="1">IF(ISNUMBER(MATCH(DATEVALUE($A240),'recurring1_based on steps'!N$1:N$400,0)),N$2,)</f>
        <v>0</v>
      </c>
      <c r="O240" s="179">
        <f ca="1">IF(ISNUMBER(MATCH(DATEVALUE($A240),'recurring1_based on steps'!O$1:O$400,0)),O$2,)</f>
        <v>0</v>
      </c>
      <c r="P240" s="179">
        <f ca="1">IF(ISNUMBER(MATCH(DATEVALUE($A240),'recurring1_based on steps'!P$1:P$400,0)),P$2,)</f>
        <v>0</v>
      </c>
      <c r="Q240" s="179">
        <f ca="1">IF(ISNUMBER(MATCH(DATEVALUE($A240),'recurring1_based on steps'!Q$1:Q$400,0)),Q$2,)</f>
        <v>0</v>
      </c>
      <c r="R240" s="179">
        <f ca="1">IF(ISNUMBER(MATCH(DATEVALUE($A240),'recurring1_based on steps'!R$1:R$400,0)),R$2,)</f>
        <v>0</v>
      </c>
      <c r="S240" s="179">
        <f ca="1">IF(ISNUMBER(MATCH(DATEVALUE($A240),'recurring1_based on steps'!S$1:S$400,0)),S$2,)</f>
        <v>0</v>
      </c>
      <c r="T240" s="179">
        <f ca="1">IF(ISNUMBER(MATCH(DATEVALUE($A240),'recurring1_based on steps'!T$1:T$400,0)),T$2,)</f>
        <v>0</v>
      </c>
      <c r="U240" s="179">
        <f ca="1">IF(ISNUMBER(MATCH(DATEVALUE($A240),'recurring1_based on steps'!U$1:U$400,0)),U$2,)</f>
        <v>0</v>
      </c>
      <c r="V240" s="179">
        <f ca="1">IF(ISNUMBER(MATCH(DATEVALUE($A240),'recurring1_based on steps'!V$1:V$400,0)),V$2,)</f>
        <v>0</v>
      </c>
      <c r="W240" s="179">
        <f ca="1">IF(ISNUMBER(MATCH(DATEVALUE($A240),'recurring1_based on steps'!W$1:W$400,0)),W$2,)</f>
        <v>0</v>
      </c>
      <c r="X240" s="179">
        <f ca="1">IF(ISNUMBER(MATCH(DATEVALUE($A240),'recurring1_based on steps'!X$1:X$400,0)),X$2,)</f>
        <v>0</v>
      </c>
      <c r="Y240" s="179">
        <f ca="1">IF(ISNUMBER(MATCH(DATEVALUE($A240),'recurring1_based on steps'!Y$1:Y$400,0)),Y$2,)</f>
        <v>0</v>
      </c>
      <c r="Z240" s="179">
        <f ca="1">IF(ISNUMBER(MATCH(DATEVALUE($A240),'recurring1_based on steps'!Z$1:Z$400,0)),Z$2,)</f>
        <v>0</v>
      </c>
      <c r="AA240" s="179">
        <f ca="1">IF(ISNUMBER(MATCH(DATEVALUE($A240),'recurring1_based on steps'!AA$1:AA$400,0)),AA$2,)</f>
        <v>0</v>
      </c>
      <c r="AB240" s="179">
        <f ca="1">IF(ISNUMBER(MATCH(DATEVALUE($A240),'recurring1_based on steps'!AB$1:AB$400,0)),AB$2,)</f>
        <v>0</v>
      </c>
      <c r="AC240" s="179">
        <f ca="1">IF(ISNUMBER(MATCH(DATEVALUE($A240),'recurring1_based on steps'!AC$1:AC$400,0)),AC$2,)</f>
        <v>0</v>
      </c>
      <c r="AD240" s="179">
        <f ca="1">IF(ISNUMBER(MATCH(DATEVALUE($A240),'recurring1_based on steps'!AD$1:AD$400,0)),AD$2,)</f>
        <v>0</v>
      </c>
      <c r="AE240" s="179">
        <f ca="1">IF(ISNUMBER(MATCH(DATEVALUE($A240),'recurring1_based on steps'!AE$1:AE$400,0)),AE$2,)</f>
        <v>0</v>
      </c>
      <c r="AF240" s="179">
        <f ca="1">IF(ISNUMBER(MATCH(DATEVALUE($A240),'recurring1_based on steps'!AF$1:AF$400,0)),AF$2,)</f>
        <v>0</v>
      </c>
      <c r="AG240" s="179">
        <f ca="1">IF(ISNUMBER(MATCH(DATEVALUE($A240),'recurring1_based on steps'!AG$1:AG$400,0)),AG$2,)</f>
        <v>0</v>
      </c>
      <c r="AH240" s="179">
        <f ca="1">IF(ISNUMBER(MATCH(DATEVALUE($A240),'recurring1_based on steps'!AH$1:AH$400,0)),AH$2,)</f>
        <v>0</v>
      </c>
      <c r="AI240" s="179">
        <f ca="1">IF(ISNUMBER(MATCH(DATEVALUE($A240),'recurring1_based on steps'!AI$1:AI$400,0)),AI$2,)</f>
        <v>0</v>
      </c>
      <c r="AJ240" s="179">
        <f ca="1">IF(ISNUMBER(MATCH(DATEVALUE($A240),'recurring1_based on steps'!AJ$1:AJ$400,0)),AJ$2,)</f>
        <v>0</v>
      </c>
      <c r="AK240" s="179">
        <f ca="1">IF(ISNUMBER(MATCH(DATEVALUE($A240),'recurring1_based on steps'!AK$1:AK$400,0)),AK$2,)</f>
        <v>0</v>
      </c>
      <c r="AL240" s="179">
        <f ca="1">IF(ISNUMBER(MATCH(DATEVALUE($A240),'recurring1_based on steps'!AL$1:AL$400,0)),AL$2,)</f>
        <v>0</v>
      </c>
      <c r="AM240" s="179">
        <f ca="1">IF(ISNUMBER(MATCH(DATEVALUE($A240),'recurring1_based on steps'!AM$1:AM$400,0)),AM$2,)</f>
        <v>0</v>
      </c>
      <c r="AN240" s="179">
        <f ca="1">IF(ISNUMBER(MATCH(DATEVALUE($A240),'recurring1_based on steps'!AN$1:AN$400,0)),AN$2,)</f>
        <v>0</v>
      </c>
      <c r="AO240" s="179">
        <f ca="1">IF(ISNUMBER(MATCH(DATEVALUE($A240),'recurring1_based on steps'!AO$1:AO$400,0)),AO$2,)</f>
        <v>0</v>
      </c>
      <c r="AP240" s="179">
        <f ca="1">IF(ISNUMBER(MATCH(DATEVALUE($A240),'recurring1_based on steps'!AP$1:AP$400,0)),AP$2,)</f>
        <v>0</v>
      </c>
      <c r="AQ240" s="179">
        <f ca="1">IF(ISNUMBER(MATCH(DATEVALUE($A240),'recurring1_based on steps'!AQ$1:AQ$400,0)),AQ$2,)</f>
        <v>0</v>
      </c>
      <c r="AR240" s="179">
        <f ca="1">IF(ISNUMBER(MATCH(DATEVALUE($A240),'recurring1_based on steps'!AR$1:AR$400,0)),AR$2,)</f>
        <v>0</v>
      </c>
      <c r="AS240" s="179">
        <f ca="1">IF(ISNUMBER(MATCH(DATEVALUE($A240),'recurring1_based on steps'!AS$1:AS$400,0)),AS$2,)</f>
        <v>0</v>
      </c>
      <c r="AT240" s="179">
        <f ca="1">IF(ISNUMBER(MATCH(DATEVALUE($A240),'recurring1_based on steps'!AT$1:AT$400,0)),AT$2,)</f>
        <v>0</v>
      </c>
      <c r="AU240" s="179">
        <f ca="1">IF(ISNUMBER(MATCH(DATEVALUE($A240),'recurring1_based on steps'!AU$1:AU$400,0)),AU$2,)</f>
        <v>0</v>
      </c>
      <c r="AV240" s="179">
        <f ca="1">IF(ISNUMBER(MATCH(DATEVALUE($A240),'recurring1_based on steps'!AV$1:AV$400,0)),AV$2,)</f>
        <v>0</v>
      </c>
      <c r="AW240" s="179">
        <f ca="1">IF(ISNUMBER(MATCH(DATEVALUE($A240),'recurring1_based on steps'!AW$1:AW$400,0)),AW$2,)</f>
        <v>0</v>
      </c>
      <c r="AX240" s="179">
        <f ca="1">IF(ISNUMBER(MATCH(DATEVALUE($A240),'recurring1_based on steps'!AX$1:AX$400,0)),AX$2,)</f>
        <v>0</v>
      </c>
      <c r="AY240" s="179">
        <f ca="1">IF(ISNUMBER(MATCH(DATEVALUE($A240),'recurring1_based on steps'!AY$1:AY$400,0)),AY$2,)</f>
        <v>0</v>
      </c>
    </row>
    <row r="241" spans="1:51" x14ac:dyDescent="0.2">
      <c r="A241" s="32" t="str">
        <f t="shared" ca="1" si="3"/>
        <v>2025-11-22</v>
      </c>
      <c r="B241" s="179">
        <f ca="1">IF(ISNUMBER(MATCH(DATEVALUE($A241),'recurring1_based on steps'!B$1:B$400,0)),B$2,)</f>
        <v>0</v>
      </c>
      <c r="C241" s="179">
        <f ca="1">IF(ISNUMBER(MATCH(DATEVALUE($A241),'recurring1_based on steps'!C$1:C$400,0)),C$2,)</f>
        <v>0</v>
      </c>
      <c r="D241" s="179">
        <f ca="1">IF(ISNUMBER(MATCH(DATEVALUE($A241),'recurring1_based on steps'!D$1:D$400,0)),D$2,)</f>
        <v>0</v>
      </c>
      <c r="E241" s="179">
        <f ca="1">IF(ISNUMBER(MATCH(DATEVALUE($A241),'recurring1_based on steps'!E$1:E$400,0)),E$2,)</f>
        <v>0</v>
      </c>
      <c r="F241" s="179">
        <f ca="1">IF(ISNUMBER(MATCH(DATEVALUE($A241),'recurring1_based on steps'!F$1:F$400,0)),F$2,)</f>
        <v>0</v>
      </c>
      <c r="G241" s="179">
        <f ca="1">IF(ISNUMBER(MATCH(DATEVALUE($A241),'recurring1_based on steps'!G$1:G$400,0)),G$2,)</f>
        <v>0</v>
      </c>
      <c r="H241" s="179">
        <f ca="1">IF(ISNUMBER(MATCH(DATEVALUE($A241),'recurring1_based on steps'!H$1:H$400,0)),H$2,)</f>
        <v>0</v>
      </c>
      <c r="I241" s="179">
        <f ca="1">IF(ISNUMBER(MATCH(DATEVALUE($A241),'recurring1_based on steps'!I$1:I$400,0)),I$2,)</f>
        <v>0</v>
      </c>
      <c r="J241" s="179">
        <f ca="1">IF(ISNUMBER(MATCH(DATEVALUE($A241),'recurring1_based on steps'!J$1:J$400,0)),J$2,)</f>
        <v>0</v>
      </c>
      <c r="K241" s="179">
        <f ca="1">IF(ISNUMBER(MATCH(DATEVALUE($A241),'recurring1_based on steps'!K$1:K$400,0)),K$2,)</f>
        <v>0</v>
      </c>
      <c r="L241" s="179">
        <f ca="1">IF(ISNUMBER(MATCH(DATEVALUE($A241),'recurring1_based on steps'!L$1:L$400,0)),L$2,)</f>
        <v>0</v>
      </c>
      <c r="M241" s="179">
        <f ca="1">IF(ISNUMBER(MATCH(DATEVALUE($A241),'recurring1_based on steps'!M$1:M$400,0)),M$2,)</f>
        <v>0</v>
      </c>
      <c r="N241" s="179">
        <f ca="1">IF(ISNUMBER(MATCH(DATEVALUE($A241),'recurring1_based on steps'!N$1:N$400,0)),N$2,)</f>
        <v>0</v>
      </c>
      <c r="O241" s="179">
        <f ca="1">IF(ISNUMBER(MATCH(DATEVALUE($A241),'recurring1_based on steps'!O$1:O$400,0)),O$2,)</f>
        <v>0</v>
      </c>
      <c r="P241" s="179">
        <f ca="1">IF(ISNUMBER(MATCH(DATEVALUE($A241),'recurring1_based on steps'!P$1:P$400,0)),P$2,)</f>
        <v>0</v>
      </c>
      <c r="Q241" s="179">
        <f ca="1">IF(ISNUMBER(MATCH(DATEVALUE($A241),'recurring1_based on steps'!Q$1:Q$400,0)),Q$2,)</f>
        <v>0</v>
      </c>
      <c r="R241" s="179">
        <f ca="1">IF(ISNUMBER(MATCH(DATEVALUE($A241),'recurring1_based on steps'!R$1:R$400,0)),R$2,)</f>
        <v>0</v>
      </c>
      <c r="S241" s="179">
        <f ca="1">IF(ISNUMBER(MATCH(DATEVALUE($A241),'recurring1_based on steps'!S$1:S$400,0)),S$2,)</f>
        <v>0</v>
      </c>
      <c r="T241" s="179">
        <f ca="1">IF(ISNUMBER(MATCH(DATEVALUE($A241),'recurring1_based on steps'!T$1:T$400,0)),T$2,)</f>
        <v>0</v>
      </c>
      <c r="U241" s="179">
        <f ca="1">IF(ISNUMBER(MATCH(DATEVALUE($A241),'recurring1_based on steps'!U$1:U$400,0)),U$2,)</f>
        <v>0</v>
      </c>
      <c r="V241" s="179">
        <f ca="1">IF(ISNUMBER(MATCH(DATEVALUE($A241),'recurring1_based on steps'!V$1:V$400,0)),V$2,)</f>
        <v>0</v>
      </c>
      <c r="W241" s="179">
        <f ca="1">IF(ISNUMBER(MATCH(DATEVALUE($A241),'recurring1_based on steps'!W$1:W$400,0)),W$2,)</f>
        <v>0</v>
      </c>
      <c r="X241" s="179">
        <f ca="1">IF(ISNUMBER(MATCH(DATEVALUE($A241),'recurring1_based on steps'!X$1:X$400,0)),X$2,)</f>
        <v>0</v>
      </c>
      <c r="Y241" s="179">
        <f ca="1">IF(ISNUMBER(MATCH(DATEVALUE($A241),'recurring1_based on steps'!Y$1:Y$400,0)),Y$2,)</f>
        <v>0</v>
      </c>
      <c r="Z241" s="179">
        <f ca="1">IF(ISNUMBER(MATCH(DATEVALUE($A241),'recurring1_based on steps'!Z$1:Z$400,0)),Z$2,)</f>
        <v>0</v>
      </c>
      <c r="AA241" s="179">
        <f ca="1">IF(ISNUMBER(MATCH(DATEVALUE($A241),'recurring1_based on steps'!AA$1:AA$400,0)),AA$2,)</f>
        <v>0</v>
      </c>
      <c r="AB241" s="179">
        <f ca="1">IF(ISNUMBER(MATCH(DATEVALUE($A241),'recurring1_based on steps'!AB$1:AB$400,0)),AB$2,)</f>
        <v>0</v>
      </c>
      <c r="AC241" s="179">
        <f ca="1">IF(ISNUMBER(MATCH(DATEVALUE($A241),'recurring1_based on steps'!AC$1:AC$400,0)),AC$2,)</f>
        <v>0</v>
      </c>
      <c r="AD241" s="179">
        <f ca="1">IF(ISNUMBER(MATCH(DATEVALUE($A241),'recurring1_based on steps'!AD$1:AD$400,0)),AD$2,)</f>
        <v>0</v>
      </c>
      <c r="AE241" s="179">
        <f ca="1">IF(ISNUMBER(MATCH(DATEVALUE($A241),'recurring1_based on steps'!AE$1:AE$400,0)),AE$2,)</f>
        <v>0</v>
      </c>
      <c r="AF241" s="179">
        <f ca="1">IF(ISNUMBER(MATCH(DATEVALUE($A241),'recurring1_based on steps'!AF$1:AF$400,0)),AF$2,)</f>
        <v>0</v>
      </c>
      <c r="AG241" s="179">
        <f ca="1">IF(ISNUMBER(MATCH(DATEVALUE($A241),'recurring1_based on steps'!AG$1:AG$400,0)),AG$2,)</f>
        <v>0</v>
      </c>
      <c r="AH241" s="179">
        <f ca="1">IF(ISNUMBER(MATCH(DATEVALUE($A241),'recurring1_based on steps'!AH$1:AH$400,0)),AH$2,)</f>
        <v>0</v>
      </c>
      <c r="AI241" s="179">
        <f ca="1">IF(ISNUMBER(MATCH(DATEVALUE($A241),'recurring1_based on steps'!AI$1:AI$400,0)),AI$2,)</f>
        <v>0</v>
      </c>
      <c r="AJ241" s="179">
        <f ca="1">IF(ISNUMBER(MATCH(DATEVALUE($A241),'recurring1_based on steps'!AJ$1:AJ$400,0)),AJ$2,)</f>
        <v>0</v>
      </c>
      <c r="AK241" s="179">
        <f ca="1">IF(ISNUMBER(MATCH(DATEVALUE($A241),'recurring1_based on steps'!AK$1:AK$400,0)),AK$2,)</f>
        <v>0</v>
      </c>
      <c r="AL241" s="179">
        <f ca="1">IF(ISNUMBER(MATCH(DATEVALUE($A241),'recurring1_based on steps'!AL$1:AL$400,0)),AL$2,)</f>
        <v>0</v>
      </c>
      <c r="AM241" s="179">
        <f ca="1">IF(ISNUMBER(MATCH(DATEVALUE($A241),'recurring1_based on steps'!AM$1:AM$400,0)),AM$2,)</f>
        <v>0</v>
      </c>
      <c r="AN241" s="179">
        <f ca="1">IF(ISNUMBER(MATCH(DATEVALUE($A241),'recurring1_based on steps'!AN$1:AN$400,0)),AN$2,)</f>
        <v>0</v>
      </c>
      <c r="AO241" s="179">
        <f ca="1">IF(ISNUMBER(MATCH(DATEVALUE($A241),'recurring1_based on steps'!AO$1:AO$400,0)),AO$2,)</f>
        <v>0</v>
      </c>
      <c r="AP241" s="179">
        <f ca="1">IF(ISNUMBER(MATCH(DATEVALUE($A241),'recurring1_based on steps'!AP$1:AP$400,0)),AP$2,)</f>
        <v>0</v>
      </c>
      <c r="AQ241" s="179">
        <f ca="1">IF(ISNUMBER(MATCH(DATEVALUE($A241),'recurring1_based on steps'!AQ$1:AQ$400,0)),AQ$2,)</f>
        <v>0</v>
      </c>
      <c r="AR241" s="179">
        <f ca="1">IF(ISNUMBER(MATCH(DATEVALUE($A241),'recurring1_based on steps'!AR$1:AR$400,0)),AR$2,)</f>
        <v>0</v>
      </c>
      <c r="AS241" s="179">
        <f ca="1">IF(ISNUMBER(MATCH(DATEVALUE($A241),'recurring1_based on steps'!AS$1:AS$400,0)),AS$2,)</f>
        <v>0</v>
      </c>
      <c r="AT241" s="179">
        <f ca="1">IF(ISNUMBER(MATCH(DATEVALUE($A241),'recurring1_based on steps'!AT$1:AT$400,0)),AT$2,)</f>
        <v>0</v>
      </c>
      <c r="AU241" s="179">
        <f ca="1">IF(ISNUMBER(MATCH(DATEVALUE($A241),'recurring1_based on steps'!AU$1:AU$400,0)),AU$2,)</f>
        <v>0</v>
      </c>
      <c r="AV241" s="179">
        <f ca="1">IF(ISNUMBER(MATCH(DATEVALUE($A241),'recurring1_based on steps'!AV$1:AV$400,0)),AV$2,)</f>
        <v>0</v>
      </c>
      <c r="AW241" s="179">
        <f ca="1">IF(ISNUMBER(MATCH(DATEVALUE($A241),'recurring1_based on steps'!AW$1:AW$400,0)),AW$2,)</f>
        <v>0</v>
      </c>
      <c r="AX241" s="179">
        <f ca="1">IF(ISNUMBER(MATCH(DATEVALUE($A241),'recurring1_based on steps'!AX$1:AX$400,0)),AX$2,)</f>
        <v>0</v>
      </c>
      <c r="AY241" s="179">
        <f ca="1">IF(ISNUMBER(MATCH(DATEVALUE($A241),'recurring1_based on steps'!AY$1:AY$400,0)),AY$2,)</f>
        <v>0</v>
      </c>
    </row>
    <row r="242" spans="1:51" x14ac:dyDescent="0.2">
      <c r="A242" s="32" t="str">
        <f t="shared" ca="1" si="3"/>
        <v>2025-11-23</v>
      </c>
      <c r="B242" s="179">
        <f ca="1">IF(ISNUMBER(MATCH(DATEVALUE($A242),'recurring1_based on steps'!B$1:B$400,0)),B$2,)</f>
        <v>0</v>
      </c>
      <c r="C242" s="179">
        <f ca="1">IF(ISNUMBER(MATCH(DATEVALUE($A242),'recurring1_based on steps'!C$1:C$400,0)),C$2,)</f>
        <v>0</v>
      </c>
      <c r="D242" s="179">
        <f ca="1">IF(ISNUMBER(MATCH(DATEVALUE($A242),'recurring1_based on steps'!D$1:D$400,0)),D$2,)</f>
        <v>0</v>
      </c>
      <c r="E242" s="179">
        <f ca="1">IF(ISNUMBER(MATCH(DATEVALUE($A242),'recurring1_based on steps'!E$1:E$400,0)),E$2,)</f>
        <v>0</v>
      </c>
      <c r="F242" s="179">
        <f ca="1">IF(ISNUMBER(MATCH(DATEVALUE($A242),'recurring1_based on steps'!F$1:F$400,0)),F$2,)</f>
        <v>0</v>
      </c>
      <c r="G242" s="179">
        <f ca="1">IF(ISNUMBER(MATCH(DATEVALUE($A242),'recurring1_based on steps'!G$1:G$400,0)),G$2,)</f>
        <v>0</v>
      </c>
      <c r="H242" s="179">
        <f ca="1">IF(ISNUMBER(MATCH(DATEVALUE($A242),'recurring1_based on steps'!H$1:H$400,0)),H$2,)</f>
        <v>0</v>
      </c>
      <c r="I242" s="179">
        <f ca="1">IF(ISNUMBER(MATCH(DATEVALUE($A242),'recurring1_based on steps'!I$1:I$400,0)),I$2,)</f>
        <v>0</v>
      </c>
      <c r="J242" s="179">
        <f ca="1">IF(ISNUMBER(MATCH(DATEVALUE($A242),'recurring1_based on steps'!J$1:J$400,0)),J$2,)</f>
        <v>0</v>
      </c>
      <c r="K242" s="179">
        <f ca="1">IF(ISNUMBER(MATCH(DATEVALUE($A242),'recurring1_based on steps'!K$1:K$400,0)),K$2,)</f>
        <v>0</v>
      </c>
      <c r="L242" s="179">
        <f ca="1">IF(ISNUMBER(MATCH(DATEVALUE($A242),'recurring1_based on steps'!L$1:L$400,0)),L$2,)</f>
        <v>0</v>
      </c>
      <c r="M242" s="179">
        <f ca="1">IF(ISNUMBER(MATCH(DATEVALUE($A242),'recurring1_based on steps'!M$1:M$400,0)),M$2,)</f>
        <v>0</v>
      </c>
      <c r="N242" s="179">
        <f ca="1">IF(ISNUMBER(MATCH(DATEVALUE($A242),'recurring1_based on steps'!N$1:N$400,0)),N$2,)</f>
        <v>0</v>
      </c>
      <c r="O242" s="179">
        <f ca="1">IF(ISNUMBER(MATCH(DATEVALUE($A242),'recurring1_based on steps'!O$1:O$400,0)),O$2,)</f>
        <v>0</v>
      </c>
      <c r="P242" s="179">
        <f ca="1">IF(ISNUMBER(MATCH(DATEVALUE($A242),'recurring1_based on steps'!P$1:P$400,0)),P$2,)</f>
        <v>0</v>
      </c>
      <c r="Q242" s="179">
        <f ca="1">IF(ISNUMBER(MATCH(DATEVALUE($A242),'recurring1_based on steps'!Q$1:Q$400,0)),Q$2,)</f>
        <v>0</v>
      </c>
      <c r="R242" s="179">
        <f ca="1">IF(ISNUMBER(MATCH(DATEVALUE($A242),'recurring1_based on steps'!R$1:R$400,0)),R$2,)</f>
        <v>0</v>
      </c>
      <c r="S242" s="179">
        <f ca="1">IF(ISNUMBER(MATCH(DATEVALUE($A242),'recurring1_based on steps'!S$1:S$400,0)),S$2,)</f>
        <v>0</v>
      </c>
      <c r="T242" s="179">
        <f ca="1">IF(ISNUMBER(MATCH(DATEVALUE($A242),'recurring1_based on steps'!T$1:T$400,0)),T$2,)</f>
        <v>0</v>
      </c>
      <c r="U242" s="179">
        <f ca="1">IF(ISNUMBER(MATCH(DATEVALUE($A242),'recurring1_based on steps'!U$1:U$400,0)),U$2,)</f>
        <v>0</v>
      </c>
      <c r="V242" s="179">
        <f ca="1">IF(ISNUMBER(MATCH(DATEVALUE($A242),'recurring1_based on steps'!V$1:V$400,0)),V$2,)</f>
        <v>0</v>
      </c>
      <c r="W242" s="179">
        <f ca="1">IF(ISNUMBER(MATCH(DATEVALUE($A242),'recurring1_based on steps'!W$1:W$400,0)),W$2,)</f>
        <v>0</v>
      </c>
      <c r="X242" s="179">
        <f ca="1">IF(ISNUMBER(MATCH(DATEVALUE($A242),'recurring1_based on steps'!X$1:X$400,0)),X$2,)</f>
        <v>0</v>
      </c>
      <c r="Y242" s="179">
        <f ca="1">IF(ISNUMBER(MATCH(DATEVALUE($A242),'recurring1_based on steps'!Y$1:Y$400,0)),Y$2,)</f>
        <v>0</v>
      </c>
      <c r="Z242" s="179">
        <f ca="1">IF(ISNUMBER(MATCH(DATEVALUE($A242),'recurring1_based on steps'!Z$1:Z$400,0)),Z$2,)</f>
        <v>0</v>
      </c>
      <c r="AA242" s="179">
        <f ca="1">IF(ISNUMBER(MATCH(DATEVALUE($A242),'recurring1_based on steps'!AA$1:AA$400,0)),AA$2,)</f>
        <v>0</v>
      </c>
      <c r="AB242" s="179">
        <f ca="1">IF(ISNUMBER(MATCH(DATEVALUE($A242),'recurring1_based on steps'!AB$1:AB$400,0)),AB$2,)</f>
        <v>0</v>
      </c>
      <c r="AC242" s="179">
        <f ca="1">IF(ISNUMBER(MATCH(DATEVALUE($A242),'recurring1_based on steps'!AC$1:AC$400,0)),AC$2,)</f>
        <v>0</v>
      </c>
      <c r="AD242" s="179">
        <f ca="1">IF(ISNUMBER(MATCH(DATEVALUE($A242),'recurring1_based on steps'!AD$1:AD$400,0)),AD$2,)</f>
        <v>0</v>
      </c>
      <c r="AE242" s="179">
        <f ca="1">IF(ISNUMBER(MATCH(DATEVALUE($A242),'recurring1_based on steps'!AE$1:AE$400,0)),AE$2,)</f>
        <v>0</v>
      </c>
      <c r="AF242" s="179">
        <f ca="1">IF(ISNUMBER(MATCH(DATEVALUE($A242),'recurring1_based on steps'!AF$1:AF$400,0)),AF$2,)</f>
        <v>0</v>
      </c>
      <c r="AG242" s="179">
        <f ca="1">IF(ISNUMBER(MATCH(DATEVALUE($A242),'recurring1_based on steps'!AG$1:AG$400,0)),AG$2,)</f>
        <v>0</v>
      </c>
      <c r="AH242" s="179">
        <f ca="1">IF(ISNUMBER(MATCH(DATEVALUE($A242),'recurring1_based on steps'!AH$1:AH$400,0)),AH$2,)</f>
        <v>0</v>
      </c>
      <c r="AI242" s="179">
        <f ca="1">IF(ISNUMBER(MATCH(DATEVALUE($A242),'recurring1_based on steps'!AI$1:AI$400,0)),AI$2,)</f>
        <v>0</v>
      </c>
      <c r="AJ242" s="179">
        <f ca="1">IF(ISNUMBER(MATCH(DATEVALUE($A242),'recurring1_based on steps'!AJ$1:AJ$400,0)),AJ$2,)</f>
        <v>0</v>
      </c>
      <c r="AK242" s="179">
        <f ca="1">IF(ISNUMBER(MATCH(DATEVALUE($A242),'recurring1_based on steps'!AK$1:AK$400,0)),AK$2,)</f>
        <v>0</v>
      </c>
      <c r="AL242" s="179">
        <f ca="1">IF(ISNUMBER(MATCH(DATEVALUE($A242),'recurring1_based on steps'!AL$1:AL$400,0)),AL$2,)</f>
        <v>0</v>
      </c>
      <c r="AM242" s="179">
        <f ca="1">IF(ISNUMBER(MATCH(DATEVALUE($A242),'recurring1_based on steps'!AM$1:AM$400,0)),AM$2,)</f>
        <v>0</v>
      </c>
      <c r="AN242" s="179">
        <f ca="1">IF(ISNUMBER(MATCH(DATEVALUE($A242),'recurring1_based on steps'!AN$1:AN$400,0)),AN$2,)</f>
        <v>0</v>
      </c>
      <c r="AO242" s="179">
        <f ca="1">IF(ISNUMBER(MATCH(DATEVALUE($A242),'recurring1_based on steps'!AO$1:AO$400,0)),AO$2,)</f>
        <v>0</v>
      </c>
      <c r="AP242" s="179">
        <f ca="1">IF(ISNUMBER(MATCH(DATEVALUE($A242),'recurring1_based on steps'!AP$1:AP$400,0)),AP$2,)</f>
        <v>0</v>
      </c>
      <c r="AQ242" s="179">
        <f ca="1">IF(ISNUMBER(MATCH(DATEVALUE($A242),'recurring1_based on steps'!AQ$1:AQ$400,0)),AQ$2,)</f>
        <v>0</v>
      </c>
      <c r="AR242" s="179">
        <f ca="1">IF(ISNUMBER(MATCH(DATEVALUE($A242),'recurring1_based on steps'!AR$1:AR$400,0)),AR$2,)</f>
        <v>0</v>
      </c>
      <c r="AS242" s="179">
        <f ca="1">IF(ISNUMBER(MATCH(DATEVALUE($A242),'recurring1_based on steps'!AS$1:AS$400,0)),AS$2,)</f>
        <v>0</v>
      </c>
      <c r="AT242" s="179">
        <f ca="1">IF(ISNUMBER(MATCH(DATEVALUE($A242),'recurring1_based on steps'!AT$1:AT$400,0)),AT$2,)</f>
        <v>0</v>
      </c>
      <c r="AU242" s="179">
        <f ca="1">IF(ISNUMBER(MATCH(DATEVALUE($A242),'recurring1_based on steps'!AU$1:AU$400,0)),AU$2,)</f>
        <v>0</v>
      </c>
      <c r="AV242" s="179">
        <f ca="1">IF(ISNUMBER(MATCH(DATEVALUE($A242),'recurring1_based on steps'!AV$1:AV$400,0)),AV$2,)</f>
        <v>0</v>
      </c>
      <c r="AW242" s="179">
        <f ca="1">IF(ISNUMBER(MATCH(DATEVALUE($A242),'recurring1_based on steps'!AW$1:AW$400,0)),AW$2,)</f>
        <v>0</v>
      </c>
      <c r="AX242" s="179">
        <f ca="1">IF(ISNUMBER(MATCH(DATEVALUE($A242),'recurring1_based on steps'!AX$1:AX$400,0)),AX$2,)</f>
        <v>0</v>
      </c>
      <c r="AY242" s="179">
        <f ca="1">IF(ISNUMBER(MATCH(DATEVALUE($A242),'recurring1_based on steps'!AY$1:AY$400,0)),AY$2,)</f>
        <v>0</v>
      </c>
    </row>
    <row r="243" spans="1:51" x14ac:dyDescent="0.2">
      <c r="A243" s="32" t="str">
        <f t="shared" ca="1" si="3"/>
        <v>2025-11-24</v>
      </c>
      <c r="B243" s="179">
        <f ca="1">IF(ISNUMBER(MATCH(DATEVALUE($A243),'recurring1_based on steps'!B$1:B$400,0)),B$2,)</f>
        <v>0</v>
      </c>
      <c r="C243" s="179">
        <f ca="1">IF(ISNUMBER(MATCH(DATEVALUE($A243),'recurring1_based on steps'!C$1:C$400,0)),C$2,)</f>
        <v>0</v>
      </c>
      <c r="D243" s="179">
        <f ca="1">IF(ISNUMBER(MATCH(DATEVALUE($A243),'recurring1_based on steps'!D$1:D$400,0)),D$2,)</f>
        <v>0</v>
      </c>
      <c r="E243" s="179">
        <f ca="1">IF(ISNUMBER(MATCH(DATEVALUE($A243),'recurring1_based on steps'!E$1:E$400,0)),E$2,)</f>
        <v>0</v>
      </c>
      <c r="F243" s="179">
        <f ca="1">IF(ISNUMBER(MATCH(DATEVALUE($A243),'recurring1_based on steps'!F$1:F$400,0)),F$2,)</f>
        <v>0</v>
      </c>
      <c r="G243" s="179">
        <f ca="1">IF(ISNUMBER(MATCH(DATEVALUE($A243),'recurring1_based on steps'!G$1:G$400,0)),G$2,)</f>
        <v>0</v>
      </c>
      <c r="H243" s="179">
        <f ca="1">IF(ISNUMBER(MATCH(DATEVALUE($A243),'recurring1_based on steps'!H$1:H$400,0)),H$2,)</f>
        <v>0</v>
      </c>
      <c r="I243" s="179">
        <f ca="1">IF(ISNUMBER(MATCH(DATEVALUE($A243),'recurring1_based on steps'!I$1:I$400,0)),I$2,)</f>
        <v>0</v>
      </c>
      <c r="J243" s="179">
        <f ca="1">IF(ISNUMBER(MATCH(DATEVALUE($A243),'recurring1_based on steps'!J$1:J$400,0)),J$2,)</f>
        <v>0</v>
      </c>
      <c r="K243" s="179">
        <f ca="1">IF(ISNUMBER(MATCH(DATEVALUE($A243),'recurring1_based on steps'!K$1:K$400,0)),K$2,)</f>
        <v>0</v>
      </c>
      <c r="L243" s="179">
        <f ca="1">IF(ISNUMBER(MATCH(DATEVALUE($A243),'recurring1_based on steps'!L$1:L$400,0)),L$2,)</f>
        <v>0</v>
      </c>
      <c r="M243" s="179">
        <f ca="1">IF(ISNUMBER(MATCH(DATEVALUE($A243),'recurring1_based on steps'!M$1:M$400,0)),M$2,)</f>
        <v>0</v>
      </c>
      <c r="N243" s="179">
        <f ca="1">IF(ISNUMBER(MATCH(DATEVALUE($A243),'recurring1_based on steps'!N$1:N$400,0)),N$2,)</f>
        <v>0</v>
      </c>
      <c r="O243" s="179">
        <f ca="1">IF(ISNUMBER(MATCH(DATEVALUE($A243),'recurring1_based on steps'!O$1:O$400,0)),O$2,)</f>
        <v>0</v>
      </c>
      <c r="P243" s="179">
        <f ca="1">IF(ISNUMBER(MATCH(DATEVALUE($A243),'recurring1_based on steps'!P$1:P$400,0)),P$2,)</f>
        <v>0</v>
      </c>
      <c r="Q243" s="179">
        <f ca="1">IF(ISNUMBER(MATCH(DATEVALUE($A243),'recurring1_based on steps'!Q$1:Q$400,0)),Q$2,)</f>
        <v>0</v>
      </c>
      <c r="R243" s="179">
        <f ca="1">IF(ISNUMBER(MATCH(DATEVALUE($A243),'recurring1_based on steps'!R$1:R$400,0)),R$2,)</f>
        <v>0</v>
      </c>
      <c r="S243" s="179">
        <f ca="1">IF(ISNUMBER(MATCH(DATEVALUE($A243),'recurring1_based on steps'!S$1:S$400,0)),S$2,)</f>
        <v>0</v>
      </c>
      <c r="T243" s="179">
        <f ca="1">IF(ISNUMBER(MATCH(DATEVALUE($A243),'recurring1_based on steps'!T$1:T$400,0)),T$2,)</f>
        <v>0</v>
      </c>
      <c r="U243" s="179">
        <f ca="1">IF(ISNUMBER(MATCH(DATEVALUE($A243),'recurring1_based on steps'!U$1:U$400,0)),U$2,)</f>
        <v>0</v>
      </c>
      <c r="V243" s="179">
        <f ca="1">IF(ISNUMBER(MATCH(DATEVALUE($A243),'recurring1_based on steps'!V$1:V$400,0)),V$2,)</f>
        <v>0</v>
      </c>
      <c r="W243" s="179">
        <f ca="1">IF(ISNUMBER(MATCH(DATEVALUE($A243),'recurring1_based on steps'!W$1:W$400,0)),W$2,)</f>
        <v>0</v>
      </c>
      <c r="X243" s="179">
        <f ca="1">IF(ISNUMBER(MATCH(DATEVALUE($A243),'recurring1_based on steps'!X$1:X$400,0)),X$2,)</f>
        <v>0</v>
      </c>
      <c r="Y243" s="179">
        <f ca="1">IF(ISNUMBER(MATCH(DATEVALUE($A243),'recurring1_based on steps'!Y$1:Y$400,0)),Y$2,)</f>
        <v>0</v>
      </c>
      <c r="Z243" s="179">
        <f ca="1">IF(ISNUMBER(MATCH(DATEVALUE($A243),'recurring1_based on steps'!Z$1:Z$400,0)),Z$2,)</f>
        <v>0</v>
      </c>
      <c r="AA243" s="179">
        <f ca="1">IF(ISNUMBER(MATCH(DATEVALUE($A243),'recurring1_based on steps'!AA$1:AA$400,0)),AA$2,)</f>
        <v>0</v>
      </c>
      <c r="AB243" s="179">
        <f ca="1">IF(ISNUMBER(MATCH(DATEVALUE($A243),'recurring1_based on steps'!AB$1:AB$400,0)),AB$2,)</f>
        <v>0</v>
      </c>
      <c r="AC243" s="179">
        <f ca="1">IF(ISNUMBER(MATCH(DATEVALUE($A243),'recurring1_based on steps'!AC$1:AC$400,0)),AC$2,)</f>
        <v>0</v>
      </c>
      <c r="AD243" s="179">
        <f ca="1">IF(ISNUMBER(MATCH(DATEVALUE($A243),'recurring1_based on steps'!AD$1:AD$400,0)),AD$2,)</f>
        <v>0</v>
      </c>
      <c r="AE243" s="179">
        <f ca="1">IF(ISNUMBER(MATCH(DATEVALUE($A243),'recurring1_based on steps'!AE$1:AE$400,0)),AE$2,)</f>
        <v>0</v>
      </c>
      <c r="AF243" s="179">
        <f ca="1">IF(ISNUMBER(MATCH(DATEVALUE($A243),'recurring1_based on steps'!AF$1:AF$400,0)),AF$2,)</f>
        <v>0</v>
      </c>
      <c r="AG243" s="179">
        <f ca="1">IF(ISNUMBER(MATCH(DATEVALUE($A243),'recurring1_based on steps'!AG$1:AG$400,0)),AG$2,)</f>
        <v>0</v>
      </c>
      <c r="AH243" s="179">
        <f ca="1">IF(ISNUMBER(MATCH(DATEVALUE($A243),'recurring1_based on steps'!AH$1:AH$400,0)),AH$2,)</f>
        <v>0</v>
      </c>
      <c r="AI243" s="179">
        <f ca="1">IF(ISNUMBER(MATCH(DATEVALUE($A243),'recurring1_based on steps'!AI$1:AI$400,0)),AI$2,)</f>
        <v>0</v>
      </c>
      <c r="AJ243" s="179">
        <f ca="1">IF(ISNUMBER(MATCH(DATEVALUE($A243),'recurring1_based on steps'!AJ$1:AJ$400,0)),AJ$2,)</f>
        <v>0</v>
      </c>
      <c r="AK243" s="179">
        <f ca="1">IF(ISNUMBER(MATCH(DATEVALUE($A243),'recurring1_based on steps'!AK$1:AK$400,0)),AK$2,)</f>
        <v>0</v>
      </c>
      <c r="AL243" s="179">
        <f ca="1">IF(ISNUMBER(MATCH(DATEVALUE($A243),'recurring1_based on steps'!AL$1:AL$400,0)),AL$2,)</f>
        <v>0</v>
      </c>
      <c r="AM243" s="179">
        <f ca="1">IF(ISNUMBER(MATCH(DATEVALUE($A243),'recurring1_based on steps'!AM$1:AM$400,0)),AM$2,)</f>
        <v>0</v>
      </c>
      <c r="AN243" s="179">
        <f ca="1">IF(ISNUMBER(MATCH(DATEVALUE($A243),'recurring1_based on steps'!AN$1:AN$400,0)),AN$2,)</f>
        <v>0</v>
      </c>
      <c r="AO243" s="179">
        <f ca="1">IF(ISNUMBER(MATCH(DATEVALUE($A243),'recurring1_based on steps'!AO$1:AO$400,0)),AO$2,)</f>
        <v>0</v>
      </c>
      <c r="AP243" s="179">
        <f ca="1">IF(ISNUMBER(MATCH(DATEVALUE($A243),'recurring1_based on steps'!AP$1:AP$400,0)),AP$2,)</f>
        <v>0</v>
      </c>
      <c r="AQ243" s="179">
        <f ca="1">IF(ISNUMBER(MATCH(DATEVALUE($A243),'recurring1_based on steps'!AQ$1:AQ$400,0)),AQ$2,)</f>
        <v>0</v>
      </c>
      <c r="AR243" s="179">
        <f ca="1">IF(ISNUMBER(MATCH(DATEVALUE($A243),'recurring1_based on steps'!AR$1:AR$400,0)),AR$2,)</f>
        <v>0</v>
      </c>
      <c r="AS243" s="179">
        <f ca="1">IF(ISNUMBER(MATCH(DATEVALUE($A243),'recurring1_based on steps'!AS$1:AS$400,0)),AS$2,)</f>
        <v>0</v>
      </c>
      <c r="AT243" s="179">
        <f ca="1">IF(ISNUMBER(MATCH(DATEVALUE($A243),'recurring1_based on steps'!AT$1:AT$400,0)),AT$2,)</f>
        <v>0</v>
      </c>
      <c r="AU243" s="179">
        <f ca="1">IF(ISNUMBER(MATCH(DATEVALUE($A243),'recurring1_based on steps'!AU$1:AU$400,0)),AU$2,)</f>
        <v>0</v>
      </c>
      <c r="AV243" s="179">
        <f ca="1">IF(ISNUMBER(MATCH(DATEVALUE($A243),'recurring1_based on steps'!AV$1:AV$400,0)),AV$2,)</f>
        <v>0</v>
      </c>
      <c r="AW243" s="179">
        <f ca="1">IF(ISNUMBER(MATCH(DATEVALUE($A243),'recurring1_based on steps'!AW$1:AW$400,0)),AW$2,)</f>
        <v>0</v>
      </c>
      <c r="AX243" s="179">
        <f ca="1">IF(ISNUMBER(MATCH(DATEVALUE($A243),'recurring1_based on steps'!AX$1:AX$400,0)),AX$2,)</f>
        <v>0</v>
      </c>
      <c r="AY243" s="179">
        <f ca="1">IF(ISNUMBER(MATCH(DATEVALUE($A243),'recurring1_based on steps'!AY$1:AY$400,0)),AY$2,)</f>
        <v>0</v>
      </c>
    </row>
    <row r="244" spans="1:51" x14ac:dyDescent="0.2">
      <c r="A244" s="32" t="str">
        <f t="shared" ca="1" si="3"/>
        <v>2025-11-25</v>
      </c>
      <c r="B244" s="179">
        <f ca="1">IF(ISNUMBER(MATCH(DATEVALUE($A244),'recurring1_based on steps'!B$1:B$400,0)),B$2,)</f>
        <v>0</v>
      </c>
      <c r="C244" s="179">
        <f ca="1">IF(ISNUMBER(MATCH(DATEVALUE($A244),'recurring1_based on steps'!C$1:C$400,0)),C$2,)</f>
        <v>0</v>
      </c>
      <c r="D244" s="179">
        <f ca="1">IF(ISNUMBER(MATCH(DATEVALUE($A244),'recurring1_based on steps'!D$1:D$400,0)),D$2,)</f>
        <v>0</v>
      </c>
      <c r="E244" s="179">
        <f ca="1">IF(ISNUMBER(MATCH(DATEVALUE($A244),'recurring1_based on steps'!E$1:E$400,0)),E$2,)</f>
        <v>0</v>
      </c>
      <c r="F244" s="179">
        <f ca="1">IF(ISNUMBER(MATCH(DATEVALUE($A244),'recurring1_based on steps'!F$1:F$400,0)),F$2,)</f>
        <v>0</v>
      </c>
      <c r="G244" s="179">
        <f ca="1">IF(ISNUMBER(MATCH(DATEVALUE($A244),'recurring1_based on steps'!G$1:G$400,0)),G$2,)</f>
        <v>0</v>
      </c>
      <c r="H244" s="179">
        <f ca="1">IF(ISNUMBER(MATCH(DATEVALUE($A244),'recurring1_based on steps'!H$1:H$400,0)),H$2,)</f>
        <v>0</v>
      </c>
      <c r="I244" s="179">
        <f ca="1">IF(ISNUMBER(MATCH(DATEVALUE($A244),'recurring1_based on steps'!I$1:I$400,0)),I$2,)</f>
        <v>0</v>
      </c>
      <c r="J244" s="179">
        <f ca="1">IF(ISNUMBER(MATCH(DATEVALUE($A244),'recurring1_based on steps'!J$1:J$400,0)),J$2,)</f>
        <v>0</v>
      </c>
      <c r="K244" s="179">
        <f ca="1">IF(ISNUMBER(MATCH(DATEVALUE($A244),'recurring1_based on steps'!K$1:K$400,0)),K$2,)</f>
        <v>0</v>
      </c>
      <c r="L244" s="179">
        <f ca="1">IF(ISNUMBER(MATCH(DATEVALUE($A244),'recurring1_based on steps'!L$1:L$400,0)),L$2,)</f>
        <v>0</v>
      </c>
      <c r="M244" s="179">
        <f ca="1">IF(ISNUMBER(MATCH(DATEVALUE($A244),'recurring1_based on steps'!M$1:M$400,0)),M$2,)</f>
        <v>0</v>
      </c>
      <c r="N244" s="179">
        <f ca="1">IF(ISNUMBER(MATCH(DATEVALUE($A244),'recurring1_based on steps'!N$1:N$400,0)),N$2,)</f>
        <v>0</v>
      </c>
      <c r="O244" s="179">
        <f ca="1">IF(ISNUMBER(MATCH(DATEVALUE($A244),'recurring1_based on steps'!O$1:O$400,0)),O$2,)</f>
        <v>0</v>
      </c>
      <c r="P244" s="179">
        <f ca="1">IF(ISNUMBER(MATCH(DATEVALUE($A244),'recurring1_based on steps'!P$1:P$400,0)),P$2,)</f>
        <v>0</v>
      </c>
      <c r="Q244" s="179">
        <f ca="1">IF(ISNUMBER(MATCH(DATEVALUE($A244),'recurring1_based on steps'!Q$1:Q$400,0)),Q$2,)</f>
        <v>0</v>
      </c>
      <c r="R244" s="179">
        <f ca="1">IF(ISNUMBER(MATCH(DATEVALUE($A244),'recurring1_based on steps'!R$1:R$400,0)),R$2,)</f>
        <v>0</v>
      </c>
      <c r="S244" s="179">
        <f ca="1">IF(ISNUMBER(MATCH(DATEVALUE($A244),'recurring1_based on steps'!S$1:S$400,0)),S$2,)</f>
        <v>0</v>
      </c>
      <c r="T244" s="179">
        <f ca="1">IF(ISNUMBER(MATCH(DATEVALUE($A244),'recurring1_based on steps'!T$1:T$400,0)),T$2,)</f>
        <v>0</v>
      </c>
      <c r="U244" s="179">
        <f ca="1">IF(ISNUMBER(MATCH(DATEVALUE($A244),'recurring1_based on steps'!U$1:U$400,0)),U$2,)</f>
        <v>0</v>
      </c>
      <c r="V244" s="179">
        <f ca="1">IF(ISNUMBER(MATCH(DATEVALUE($A244),'recurring1_based on steps'!V$1:V$400,0)),V$2,)</f>
        <v>0</v>
      </c>
      <c r="W244" s="179">
        <f ca="1">IF(ISNUMBER(MATCH(DATEVALUE($A244),'recurring1_based on steps'!W$1:W$400,0)),W$2,)</f>
        <v>0</v>
      </c>
      <c r="X244" s="179">
        <f ca="1">IF(ISNUMBER(MATCH(DATEVALUE($A244),'recurring1_based on steps'!X$1:X$400,0)),X$2,)</f>
        <v>0</v>
      </c>
      <c r="Y244" s="179">
        <f ca="1">IF(ISNUMBER(MATCH(DATEVALUE($A244),'recurring1_based on steps'!Y$1:Y$400,0)),Y$2,)</f>
        <v>0</v>
      </c>
      <c r="Z244" s="179">
        <f ca="1">IF(ISNUMBER(MATCH(DATEVALUE($A244),'recurring1_based on steps'!Z$1:Z$400,0)),Z$2,)</f>
        <v>0</v>
      </c>
      <c r="AA244" s="179">
        <f ca="1">IF(ISNUMBER(MATCH(DATEVALUE($A244),'recurring1_based on steps'!AA$1:AA$400,0)),AA$2,)</f>
        <v>0</v>
      </c>
      <c r="AB244" s="179">
        <f ca="1">IF(ISNUMBER(MATCH(DATEVALUE($A244),'recurring1_based on steps'!AB$1:AB$400,0)),AB$2,)</f>
        <v>0</v>
      </c>
      <c r="AC244" s="179">
        <f ca="1">IF(ISNUMBER(MATCH(DATEVALUE($A244),'recurring1_based on steps'!AC$1:AC$400,0)),AC$2,)</f>
        <v>0</v>
      </c>
      <c r="AD244" s="179">
        <f ca="1">IF(ISNUMBER(MATCH(DATEVALUE($A244),'recurring1_based on steps'!AD$1:AD$400,0)),AD$2,)</f>
        <v>0</v>
      </c>
      <c r="AE244" s="179">
        <f ca="1">IF(ISNUMBER(MATCH(DATEVALUE($A244),'recurring1_based on steps'!AE$1:AE$400,0)),AE$2,)</f>
        <v>0</v>
      </c>
      <c r="AF244" s="179">
        <f ca="1">IF(ISNUMBER(MATCH(DATEVALUE($A244),'recurring1_based on steps'!AF$1:AF$400,0)),AF$2,)</f>
        <v>0</v>
      </c>
      <c r="AG244" s="179">
        <f ca="1">IF(ISNUMBER(MATCH(DATEVALUE($A244),'recurring1_based on steps'!AG$1:AG$400,0)),AG$2,)</f>
        <v>0</v>
      </c>
      <c r="AH244" s="179">
        <f ca="1">IF(ISNUMBER(MATCH(DATEVALUE($A244),'recurring1_based on steps'!AH$1:AH$400,0)),AH$2,)</f>
        <v>0</v>
      </c>
      <c r="AI244" s="179">
        <f ca="1">IF(ISNUMBER(MATCH(DATEVALUE($A244),'recurring1_based on steps'!AI$1:AI$400,0)),AI$2,)</f>
        <v>0</v>
      </c>
      <c r="AJ244" s="179">
        <f ca="1">IF(ISNUMBER(MATCH(DATEVALUE($A244),'recurring1_based on steps'!AJ$1:AJ$400,0)),AJ$2,)</f>
        <v>0</v>
      </c>
      <c r="AK244" s="179">
        <f ca="1">IF(ISNUMBER(MATCH(DATEVALUE($A244),'recurring1_based on steps'!AK$1:AK$400,0)),AK$2,)</f>
        <v>0</v>
      </c>
      <c r="AL244" s="179">
        <f ca="1">IF(ISNUMBER(MATCH(DATEVALUE($A244),'recurring1_based on steps'!AL$1:AL$400,0)),AL$2,)</f>
        <v>0</v>
      </c>
      <c r="AM244" s="179">
        <f ca="1">IF(ISNUMBER(MATCH(DATEVALUE($A244),'recurring1_based on steps'!AM$1:AM$400,0)),AM$2,)</f>
        <v>0</v>
      </c>
      <c r="AN244" s="179">
        <f ca="1">IF(ISNUMBER(MATCH(DATEVALUE($A244),'recurring1_based on steps'!AN$1:AN$400,0)),AN$2,)</f>
        <v>0</v>
      </c>
      <c r="AO244" s="179">
        <f ca="1">IF(ISNUMBER(MATCH(DATEVALUE($A244),'recurring1_based on steps'!AO$1:AO$400,0)),AO$2,)</f>
        <v>0</v>
      </c>
      <c r="AP244" s="179">
        <f ca="1">IF(ISNUMBER(MATCH(DATEVALUE($A244),'recurring1_based on steps'!AP$1:AP$400,0)),AP$2,)</f>
        <v>0</v>
      </c>
      <c r="AQ244" s="179">
        <f ca="1">IF(ISNUMBER(MATCH(DATEVALUE($A244),'recurring1_based on steps'!AQ$1:AQ$400,0)),AQ$2,)</f>
        <v>0</v>
      </c>
      <c r="AR244" s="179">
        <f ca="1">IF(ISNUMBER(MATCH(DATEVALUE($A244),'recurring1_based on steps'!AR$1:AR$400,0)),AR$2,)</f>
        <v>0</v>
      </c>
      <c r="AS244" s="179">
        <f ca="1">IF(ISNUMBER(MATCH(DATEVALUE($A244),'recurring1_based on steps'!AS$1:AS$400,0)),AS$2,)</f>
        <v>0</v>
      </c>
      <c r="AT244" s="179">
        <f ca="1">IF(ISNUMBER(MATCH(DATEVALUE($A244),'recurring1_based on steps'!AT$1:AT$400,0)),AT$2,)</f>
        <v>0</v>
      </c>
      <c r="AU244" s="179">
        <f ca="1">IF(ISNUMBER(MATCH(DATEVALUE($A244),'recurring1_based on steps'!AU$1:AU$400,0)),AU$2,)</f>
        <v>0</v>
      </c>
      <c r="AV244" s="179">
        <f ca="1">IF(ISNUMBER(MATCH(DATEVALUE($A244),'recurring1_based on steps'!AV$1:AV$400,0)),AV$2,)</f>
        <v>0</v>
      </c>
      <c r="AW244" s="179">
        <f ca="1">IF(ISNUMBER(MATCH(DATEVALUE($A244),'recurring1_based on steps'!AW$1:AW$400,0)),AW$2,)</f>
        <v>0</v>
      </c>
      <c r="AX244" s="179">
        <f ca="1">IF(ISNUMBER(MATCH(DATEVALUE($A244),'recurring1_based on steps'!AX$1:AX$400,0)),AX$2,)</f>
        <v>0</v>
      </c>
      <c r="AY244" s="179">
        <f ca="1">IF(ISNUMBER(MATCH(DATEVALUE($A244),'recurring1_based on steps'!AY$1:AY$400,0)),AY$2,)</f>
        <v>0</v>
      </c>
    </row>
    <row r="245" spans="1:51" x14ac:dyDescent="0.2">
      <c r="A245" s="32" t="str">
        <f t="shared" ca="1" si="3"/>
        <v>2025-11-26</v>
      </c>
      <c r="B245" s="179">
        <f ca="1">IF(ISNUMBER(MATCH(DATEVALUE($A245),'recurring1_based on steps'!B$1:B$400,0)),B$2,)</f>
        <v>0</v>
      </c>
      <c r="C245" s="179">
        <f ca="1">IF(ISNUMBER(MATCH(DATEVALUE($A245),'recurring1_based on steps'!C$1:C$400,0)),C$2,)</f>
        <v>0</v>
      </c>
      <c r="D245" s="179">
        <f ca="1">IF(ISNUMBER(MATCH(DATEVALUE($A245),'recurring1_based on steps'!D$1:D$400,0)),D$2,)</f>
        <v>0</v>
      </c>
      <c r="E245" s="179">
        <f ca="1">IF(ISNUMBER(MATCH(DATEVALUE($A245),'recurring1_based on steps'!E$1:E$400,0)),E$2,)</f>
        <v>0</v>
      </c>
      <c r="F245" s="179">
        <f ca="1">IF(ISNUMBER(MATCH(DATEVALUE($A245),'recurring1_based on steps'!F$1:F$400,0)),F$2,)</f>
        <v>0</v>
      </c>
      <c r="G245" s="179">
        <f ca="1">IF(ISNUMBER(MATCH(DATEVALUE($A245),'recurring1_based on steps'!G$1:G$400,0)),G$2,)</f>
        <v>0</v>
      </c>
      <c r="H245" s="179">
        <f ca="1">IF(ISNUMBER(MATCH(DATEVALUE($A245),'recurring1_based on steps'!H$1:H$400,0)),H$2,)</f>
        <v>0</v>
      </c>
      <c r="I245" s="179">
        <f ca="1">IF(ISNUMBER(MATCH(DATEVALUE($A245),'recurring1_based on steps'!I$1:I$400,0)),I$2,)</f>
        <v>0</v>
      </c>
      <c r="J245" s="179">
        <f ca="1">IF(ISNUMBER(MATCH(DATEVALUE($A245),'recurring1_based on steps'!J$1:J$400,0)),J$2,)</f>
        <v>0</v>
      </c>
      <c r="K245" s="179">
        <f ca="1">IF(ISNUMBER(MATCH(DATEVALUE($A245),'recurring1_based on steps'!K$1:K$400,0)),K$2,)</f>
        <v>0</v>
      </c>
      <c r="L245" s="179">
        <f ca="1">IF(ISNUMBER(MATCH(DATEVALUE($A245),'recurring1_based on steps'!L$1:L$400,0)),L$2,)</f>
        <v>0</v>
      </c>
      <c r="M245" s="179">
        <f ca="1">IF(ISNUMBER(MATCH(DATEVALUE($A245),'recurring1_based on steps'!M$1:M$400,0)),M$2,)</f>
        <v>0</v>
      </c>
      <c r="N245" s="179">
        <f ca="1">IF(ISNUMBER(MATCH(DATEVALUE($A245),'recurring1_based on steps'!N$1:N$400,0)),N$2,)</f>
        <v>0</v>
      </c>
      <c r="O245" s="179">
        <f ca="1">IF(ISNUMBER(MATCH(DATEVALUE($A245),'recurring1_based on steps'!O$1:O$400,0)),O$2,)</f>
        <v>0</v>
      </c>
      <c r="P245" s="179">
        <f ca="1">IF(ISNUMBER(MATCH(DATEVALUE($A245),'recurring1_based on steps'!P$1:P$400,0)),P$2,)</f>
        <v>0</v>
      </c>
      <c r="Q245" s="179">
        <f ca="1">IF(ISNUMBER(MATCH(DATEVALUE($A245),'recurring1_based on steps'!Q$1:Q$400,0)),Q$2,)</f>
        <v>0</v>
      </c>
      <c r="R245" s="179">
        <f ca="1">IF(ISNUMBER(MATCH(DATEVALUE($A245),'recurring1_based on steps'!R$1:R$400,0)),R$2,)</f>
        <v>0</v>
      </c>
      <c r="S245" s="179">
        <f ca="1">IF(ISNUMBER(MATCH(DATEVALUE($A245),'recurring1_based on steps'!S$1:S$400,0)),S$2,)</f>
        <v>0</v>
      </c>
      <c r="T245" s="179">
        <f ca="1">IF(ISNUMBER(MATCH(DATEVALUE($A245),'recurring1_based on steps'!T$1:T$400,0)),T$2,)</f>
        <v>0</v>
      </c>
      <c r="U245" s="179">
        <f ca="1">IF(ISNUMBER(MATCH(DATEVALUE($A245),'recurring1_based on steps'!U$1:U$400,0)),U$2,)</f>
        <v>0</v>
      </c>
      <c r="V245" s="179">
        <f ca="1">IF(ISNUMBER(MATCH(DATEVALUE($A245),'recurring1_based on steps'!V$1:V$400,0)),V$2,)</f>
        <v>0</v>
      </c>
      <c r="W245" s="179">
        <f ca="1">IF(ISNUMBER(MATCH(DATEVALUE($A245),'recurring1_based on steps'!W$1:W$400,0)),W$2,)</f>
        <v>0</v>
      </c>
      <c r="X245" s="179">
        <f ca="1">IF(ISNUMBER(MATCH(DATEVALUE($A245),'recurring1_based on steps'!X$1:X$400,0)),X$2,)</f>
        <v>0</v>
      </c>
      <c r="Y245" s="179">
        <f ca="1">IF(ISNUMBER(MATCH(DATEVALUE($A245),'recurring1_based on steps'!Y$1:Y$400,0)),Y$2,)</f>
        <v>0</v>
      </c>
      <c r="Z245" s="179">
        <f ca="1">IF(ISNUMBER(MATCH(DATEVALUE($A245),'recurring1_based on steps'!Z$1:Z$400,0)),Z$2,)</f>
        <v>0</v>
      </c>
      <c r="AA245" s="179">
        <f ca="1">IF(ISNUMBER(MATCH(DATEVALUE($A245),'recurring1_based on steps'!AA$1:AA$400,0)),AA$2,)</f>
        <v>0</v>
      </c>
      <c r="AB245" s="179">
        <f ca="1">IF(ISNUMBER(MATCH(DATEVALUE($A245),'recurring1_based on steps'!AB$1:AB$400,0)),AB$2,)</f>
        <v>0</v>
      </c>
      <c r="AC245" s="179">
        <f ca="1">IF(ISNUMBER(MATCH(DATEVALUE($A245),'recurring1_based on steps'!AC$1:AC$400,0)),AC$2,)</f>
        <v>0</v>
      </c>
      <c r="AD245" s="179">
        <f ca="1">IF(ISNUMBER(MATCH(DATEVALUE($A245),'recurring1_based on steps'!AD$1:AD$400,0)),AD$2,)</f>
        <v>0</v>
      </c>
      <c r="AE245" s="179">
        <f ca="1">IF(ISNUMBER(MATCH(DATEVALUE($A245),'recurring1_based on steps'!AE$1:AE$400,0)),AE$2,)</f>
        <v>0</v>
      </c>
      <c r="AF245" s="179">
        <f ca="1">IF(ISNUMBER(MATCH(DATEVALUE($A245),'recurring1_based on steps'!AF$1:AF$400,0)),AF$2,)</f>
        <v>0</v>
      </c>
      <c r="AG245" s="179">
        <f ca="1">IF(ISNUMBER(MATCH(DATEVALUE($A245),'recurring1_based on steps'!AG$1:AG$400,0)),AG$2,)</f>
        <v>0</v>
      </c>
      <c r="AH245" s="179">
        <f ca="1">IF(ISNUMBER(MATCH(DATEVALUE($A245),'recurring1_based on steps'!AH$1:AH$400,0)),AH$2,)</f>
        <v>0</v>
      </c>
      <c r="AI245" s="179">
        <f ca="1">IF(ISNUMBER(MATCH(DATEVALUE($A245),'recurring1_based on steps'!AI$1:AI$400,0)),AI$2,)</f>
        <v>0</v>
      </c>
      <c r="AJ245" s="179">
        <f ca="1">IF(ISNUMBER(MATCH(DATEVALUE($A245),'recurring1_based on steps'!AJ$1:AJ$400,0)),AJ$2,)</f>
        <v>0</v>
      </c>
      <c r="AK245" s="179">
        <f ca="1">IF(ISNUMBER(MATCH(DATEVALUE($A245),'recurring1_based on steps'!AK$1:AK$400,0)),AK$2,)</f>
        <v>0</v>
      </c>
      <c r="AL245" s="179">
        <f ca="1">IF(ISNUMBER(MATCH(DATEVALUE($A245),'recurring1_based on steps'!AL$1:AL$400,0)),AL$2,)</f>
        <v>0</v>
      </c>
      <c r="AM245" s="179">
        <f ca="1">IF(ISNUMBER(MATCH(DATEVALUE($A245),'recurring1_based on steps'!AM$1:AM$400,0)),AM$2,)</f>
        <v>0</v>
      </c>
      <c r="AN245" s="179">
        <f ca="1">IF(ISNUMBER(MATCH(DATEVALUE($A245),'recurring1_based on steps'!AN$1:AN$400,0)),AN$2,)</f>
        <v>0</v>
      </c>
      <c r="AO245" s="179">
        <f ca="1">IF(ISNUMBER(MATCH(DATEVALUE($A245),'recurring1_based on steps'!AO$1:AO$400,0)),AO$2,)</f>
        <v>0</v>
      </c>
      <c r="AP245" s="179">
        <f ca="1">IF(ISNUMBER(MATCH(DATEVALUE($A245),'recurring1_based on steps'!AP$1:AP$400,0)),AP$2,)</f>
        <v>0</v>
      </c>
      <c r="AQ245" s="179">
        <f ca="1">IF(ISNUMBER(MATCH(DATEVALUE($A245),'recurring1_based on steps'!AQ$1:AQ$400,0)),AQ$2,)</f>
        <v>0</v>
      </c>
      <c r="AR245" s="179">
        <f ca="1">IF(ISNUMBER(MATCH(DATEVALUE($A245),'recurring1_based on steps'!AR$1:AR$400,0)),AR$2,)</f>
        <v>0</v>
      </c>
      <c r="AS245" s="179">
        <f ca="1">IF(ISNUMBER(MATCH(DATEVALUE($A245),'recurring1_based on steps'!AS$1:AS$400,0)),AS$2,)</f>
        <v>0</v>
      </c>
      <c r="AT245" s="179">
        <f ca="1">IF(ISNUMBER(MATCH(DATEVALUE($A245),'recurring1_based on steps'!AT$1:AT$400,0)),AT$2,)</f>
        <v>0</v>
      </c>
      <c r="AU245" s="179">
        <f ca="1">IF(ISNUMBER(MATCH(DATEVALUE($A245),'recurring1_based on steps'!AU$1:AU$400,0)),AU$2,)</f>
        <v>0</v>
      </c>
      <c r="AV245" s="179">
        <f ca="1">IF(ISNUMBER(MATCH(DATEVALUE($A245),'recurring1_based on steps'!AV$1:AV$400,0)),AV$2,)</f>
        <v>0</v>
      </c>
      <c r="AW245" s="179">
        <f ca="1">IF(ISNUMBER(MATCH(DATEVALUE($A245),'recurring1_based on steps'!AW$1:AW$400,0)),AW$2,)</f>
        <v>0</v>
      </c>
      <c r="AX245" s="179">
        <f ca="1">IF(ISNUMBER(MATCH(DATEVALUE($A245),'recurring1_based on steps'!AX$1:AX$400,0)),AX$2,)</f>
        <v>0</v>
      </c>
      <c r="AY245" s="179">
        <f ca="1">IF(ISNUMBER(MATCH(DATEVALUE($A245),'recurring1_based on steps'!AY$1:AY$400,0)),AY$2,)</f>
        <v>0</v>
      </c>
    </row>
    <row r="246" spans="1:51" x14ac:dyDescent="0.2">
      <c r="A246" s="32" t="str">
        <f t="shared" ca="1" si="3"/>
        <v>2025-11-27</v>
      </c>
      <c r="B246" s="179">
        <f ca="1">IF(ISNUMBER(MATCH(DATEVALUE($A246),'recurring1_based on steps'!B$1:B$400,0)),B$2,)</f>
        <v>0</v>
      </c>
      <c r="C246" s="179">
        <f ca="1">IF(ISNUMBER(MATCH(DATEVALUE($A246),'recurring1_based on steps'!C$1:C$400,0)),C$2,)</f>
        <v>0</v>
      </c>
      <c r="D246" s="179">
        <f ca="1">IF(ISNUMBER(MATCH(DATEVALUE($A246),'recurring1_based on steps'!D$1:D$400,0)),D$2,)</f>
        <v>0</v>
      </c>
      <c r="E246" s="179">
        <f ca="1">IF(ISNUMBER(MATCH(DATEVALUE($A246),'recurring1_based on steps'!E$1:E$400,0)),E$2,)</f>
        <v>0</v>
      </c>
      <c r="F246" s="179">
        <f ca="1">IF(ISNUMBER(MATCH(DATEVALUE($A246),'recurring1_based on steps'!F$1:F$400,0)),F$2,)</f>
        <v>0</v>
      </c>
      <c r="G246" s="179">
        <f ca="1">IF(ISNUMBER(MATCH(DATEVALUE($A246),'recurring1_based on steps'!G$1:G$400,0)),G$2,)</f>
        <v>0</v>
      </c>
      <c r="H246" s="179">
        <f ca="1">IF(ISNUMBER(MATCH(DATEVALUE($A246),'recurring1_based on steps'!H$1:H$400,0)),H$2,)</f>
        <v>0</v>
      </c>
      <c r="I246" s="179">
        <f ca="1">IF(ISNUMBER(MATCH(DATEVALUE($A246),'recurring1_based on steps'!I$1:I$400,0)),I$2,)</f>
        <v>0</v>
      </c>
      <c r="J246" s="179">
        <f ca="1">IF(ISNUMBER(MATCH(DATEVALUE($A246),'recurring1_based on steps'!J$1:J$400,0)),J$2,)</f>
        <v>0</v>
      </c>
      <c r="K246" s="179">
        <f ca="1">IF(ISNUMBER(MATCH(DATEVALUE($A246),'recurring1_based on steps'!K$1:K$400,0)),K$2,)</f>
        <v>0</v>
      </c>
      <c r="L246" s="179">
        <f ca="1">IF(ISNUMBER(MATCH(DATEVALUE($A246),'recurring1_based on steps'!L$1:L$400,0)),L$2,)</f>
        <v>0</v>
      </c>
      <c r="M246" s="179">
        <f ca="1">IF(ISNUMBER(MATCH(DATEVALUE($A246),'recurring1_based on steps'!M$1:M$400,0)),M$2,)</f>
        <v>0</v>
      </c>
      <c r="N246" s="179">
        <f ca="1">IF(ISNUMBER(MATCH(DATEVALUE($A246),'recurring1_based on steps'!N$1:N$400,0)),N$2,)</f>
        <v>0</v>
      </c>
      <c r="O246" s="179">
        <f ca="1">IF(ISNUMBER(MATCH(DATEVALUE($A246),'recurring1_based on steps'!O$1:O$400,0)),O$2,)</f>
        <v>0</v>
      </c>
      <c r="P246" s="179">
        <f ca="1">IF(ISNUMBER(MATCH(DATEVALUE($A246),'recurring1_based on steps'!P$1:P$400,0)),P$2,)</f>
        <v>0</v>
      </c>
      <c r="Q246" s="179">
        <f ca="1">IF(ISNUMBER(MATCH(DATEVALUE($A246),'recurring1_based on steps'!Q$1:Q$400,0)),Q$2,)</f>
        <v>0</v>
      </c>
      <c r="R246" s="179">
        <f ca="1">IF(ISNUMBER(MATCH(DATEVALUE($A246),'recurring1_based on steps'!R$1:R$400,0)),R$2,)</f>
        <v>0</v>
      </c>
      <c r="S246" s="179">
        <f ca="1">IF(ISNUMBER(MATCH(DATEVALUE($A246),'recurring1_based on steps'!S$1:S$400,0)),S$2,)</f>
        <v>0</v>
      </c>
      <c r="T246" s="179">
        <f ca="1">IF(ISNUMBER(MATCH(DATEVALUE($A246),'recurring1_based on steps'!T$1:T$400,0)),T$2,)</f>
        <v>0</v>
      </c>
      <c r="U246" s="179">
        <f ca="1">IF(ISNUMBER(MATCH(DATEVALUE($A246),'recurring1_based on steps'!U$1:U$400,0)),U$2,)</f>
        <v>0</v>
      </c>
      <c r="V246" s="179">
        <f ca="1">IF(ISNUMBER(MATCH(DATEVALUE($A246),'recurring1_based on steps'!V$1:V$400,0)),V$2,)</f>
        <v>0</v>
      </c>
      <c r="W246" s="179">
        <f ca="1">IF(ISNUMBER(MATCH(DATEVALUE($A246),'recurring1_based on steps'!W$1:W$400,0)),W$2,)</f>
        <v>0</v>
      </c>
      <c r="X246" s="179">
        <f ca="1">IF(ISNUMBER(MATCH(DATEVALUE($A246),'recurring1_based on steps'!X$1:X$400,0)),X$2,)</f>
        <v>0</v>
      </c>
      <c r="Y246" s="179">
        <f ca="1">IF(ISNUMBER(MATCH(DATEVALUE($A246),'recurring1_based on steps'!Y$1:Y$400,0)),Y$2,)</f>
        <v>0</v>
      </c>
      <c r="Z246" s="179">
        <f ca="1">IF(ISNUMBER(MATCH(DATEVALUE($A246),'recurring1_based on steps'!Z$1:Z$400,0)),Z$2,)</f>
        <v>0</v>
      </c>
      <c r="AA246" s="179">
        <f ca="1">IF(ISNUMBER(MATCH(DATEVALUE($A246),'recurring1_based on steps'!AA$1:AA$400,0)),AA$2,)</f>
        <v>0</v>
      </c>
      <c r="AB246" s="179">
        <f ca="1">IF(ISNUMBER(MATCH(DATEVALUE($A246),'recurring1_based on steps'!AB$1:AB$400,0)),AB$2,)</f>
        <v>0</v>
      </c>
      <c r="AC246" s="179">
        <f ca="1">IF(ISNUMBER(MATCH(DATEVALUE($A246),'recurring1_based on steps'!AC$1:AC$400,0)),AC$2,)</f>
        <v>0</v>
      </c>
      <c r="AD246" s="179">
        <f ca="1">IF(ISNUMBER(MATCH(DATEVALUE($A246),'recurring1_based on steps'!AD$1:AD$400,0)),AD$2,)</f>
        <v>0</v>
      </c>
      <c r="AE246" s="179">
        <f ca="1">IF(ISNUMBER(MATCH(DATEVALUE($A246),'recurring1_based on steps'!AE$1:AE$400,0)),AE$2,)</f>
        <v>0</v>
      </c>
      <c r="AF246" s="179">
        <f ca="1">IF(ISNUMBER(MATCH(DATEVALUE($A246),'recurring1_based on steps'!AF$1:AF$400,0)),AF$2,)</f>
        <v>0</v>
      </c>
      <c r="AG246" s="179">
        <f ca="1">IF(ISNUMBER(MATCH(DATEVALUE($A246),'recurring1_based on steps'!AG$1:AG$400,0)),AG$2,)</f>
        <v>0</v>
      </c>
      <c r="AH246" s="179">
        <f ca="1">IF(ISNUMBER(MATCH(DATEVALUE($A246),'recurring1_based on steps'!AH$1:AH$400,0)),AH$2,)</f>
        <v>0</v>
      </c>
      <c r="AI246" s="179">
        <f ca="1">IF(ISNUMBER(MATCH(DATEVALUE($A246),'recurring1_based on steps'!AI$1:AI$400,0)),AI$2,)</f>
        <v>0</v>
      </c>
      <c r="AJ246" s="179">
        <f ca="1">IF(ISNUMBER(MATCH(DATEVALUE($A246),'recurring1_based on steps'!AJ$1:AJ$400,0)),AJ$2,)</f>
        <v>0</v>
      </c>
      <c r="AK246" s="179">
        <f ca="1">IF(ISNUMBER(MATCH(DATEVALUE($A246),'recurring1_based on steps'!AK$1:AK$400,0)),AK$2,)</f>
        <v>0</v>
      </c>
      <c r="AL246" s="179">
        <f ca="1">IF(ISNUMBER(MATCH(DATEVALUE($A246),'recurring1_based on steps'!AL$1:AL$400,0)),AL$2,)</f>
        <v>0</v>
      </c>
      <c r="AM246" s="179">
        <f ca="1">IF(ISNUMBER(MATCH(DATEVALUE($A246),'recurring1_based on steps'!AM$1:AM$400,0)),AM$2,)</f>
        <v>0</v>
      </c>
      <c r="AN246" s="179">
        <f ca="1">IF(ISNUMBER(MATCH(DATEVALUE($A246),'recurring1_based on steps'!AN$1:AN$400,0)),AN$2,)</f>
        <v>0</v>
      </c>
      <c r="AO246" s="179">
        <f ca="1">IF(ISNUMBER(MATCH(DATEVALUE($A246),'recurring1_based on steps'!AO$1:AO$400,0)),AO$2,)</f>
        <v>0</v>
      </c>
      <c r="AP246" s="179">
        <f ca="1">IF(ISNUMBER(MATCH(DATEVALUE($A246),'recurring1_based on steps'!AP$1:AP$400,0)),AP$2,)</f>
        <v>0</v>
      </c>
      <c r="AQ246" s="179">
        <f ca="1">IF(ISNUMBER(MATCH(DATEVALUE($A246),'recurring1_based on steps'!AQ$1:AQ$400,0)),AQ$2,)</f>
        <v>0</v>
      </c>
      <c r="AR246" s="179">
        <f ca="1">IF(ISNUMBER(MATCH(DATEVALUE($A246),'recurring1_based on steps'!AR$1:AR$400,0)),AR$2,)</f>
        <v>0</v>
      </c>
      <c r="AS246" s="179">
        <f ca="1">IF(ISNUMBER(MATCH(DATEVALUE($A246),'recurring1_based on steps'!AS$1:AS$400,0)),AS$2,)</f>
        <v>0</v>
      </c>
      <c r="AT246" s="179">
        <f ca="1">IF(ISNUMBER(MATCH(DATEVALUE($A246),'recurring1_based on steps'!AT$1:AT$400,0)),AT$2,)</f>
        <v>0</v>
      </c>
      <c r="AU246" s="179">
        <f ca="1">IF(ISNUMBER(MATCH(DATEVALUE($A246),'recurring1_based on steps'!AU$1:AU$400,0)),AU$2,)</f>
        <v>0</v>
      </c>
      <c r="AV246" s="179">
        <f ca="1">IF(ISNUMBER(MATCH(DATEVALUE($A246),'recurring1_based on steps'!AV$1:AV$400,0)),AV$2,)</f>
        <v>0</v>
      </c>
      <c r="AW246" s="179">
        <f ca="1">IF(ISNUMBER(MATCH(DATEVALUE($A246),'recurring1_based on steps'!AW$1:AW$400,0)),AW$2,)</f>
        <v>0</v>
      </c>
      <c r="AX246" s="179">
        <f ca="1">IF(ISNUMBER(MATCH(DATEVALUE($A246),'recurring1_based on steps'!AX$1:AX$400,0)),AX$2,)</f>
        <v>0</v>
      </c>
      <c r="AY246" s="179">
        <f ca="1">IF(ISNUMBER(MATCH(DATEVALUE($A246),'recurring1_based on steps'!AY$1:AY$400,0)),AY$2,)</f>
        <v>0</v>
      </c>
    </row>
    <row r="247" spans="1:51" x14ac:dyDescent="0.2">
      <c r="A247" s="32" t="str">
        <f t="shared" ca="1" si="3"/>
        <v>2025-11-28</v>
      </c>
      <c r="B247" s="179">
        <f ca="1">IF(ISNUMBER(MATCH(DATEVALUE($A247),'recurring1_based on steps'!B$1:B$400,0)),B$2,)</f>
        <v>0</v>
      </c>
      <c r="C247" s="179">
        <f ca="1">IF(ISNUMBER(MATCH(DATEVALUE($A247),'recurring1_based on steps'!C$1:C$400,0)),C$2,)</f>
        <v>0</v>
      </c>
      <c r="D247" s="179">
        <f ca="1">IF(ISNUMBER(MATCH(DATEVALUE($A247),'recurring1_based on steps'!D$1:D$400,0)),D$2,)</f>
        <v>0</v>
      </c>
      <c r="E247" s="179">
        <f ca="1">IF(ISNUMBER(MATCH(DATEVALUE($A247),'recurring1_based on steps'!E$1:E$400,0)),E$2,)</f>
        <v>0</v>
      </c>
      <c r="F247" s="179">
        <f ca="1">IF(ISNUMBER(MATCH(DATEVALUE($A247),'recurring1_based on steps'!F$1:F$400,0)),F$2,)</f>
        <v>0</v>
      </c>
      <c r="G247" s="179">
        <f ca="1">IF(ISNUMBER(MATCH(DATEVALUE($A247),'recurring1_based on steps'!G$1:G$400,0)),G$2,)</f>
        <v>0</v>
      </c>
      <c r="H247" s="179">
        <f ca="1">IF(ISNUMBER(MATCH(DATEVALUE($A247),'recurring1_based on steps'!H$1:H$400,0)),H$2,)</f>
        <v>0</v>
      </c>
      <c r="I247" s="179">
        <f ca="1">IF(ISNUMBER(MATCH(DATEVALUE($A247),'recurring1_based on steps'!I$1:I$400,0)),I$2,)</f>
        <v>0</v>
      </c>
      <c r="J247" s="179">
        <f ca="1">IF(ISNUMBER(MATCH(DATEVALUE($A247),'recurring1_based on steps'!J$1:J$400,0)),J$2,)</f>
        <v>0</v>
      </c>
      <c r="K247" s="179">
        <f ca="1">IF(ISNUMBER(MATCH(DATEVALUE($A247),'recurring1_based on steps'!K$1:K$400,0)),K$2,)</f>
        <v>0</v>
      </c>
      <c r="L247" s="179">
        <f ca="1">IF(ISNUMBER(MATCH(DATEVALUE($A247),'recurring1_based on steps'!L$1:L$400,0)),L$2,)</f>
        <v>0</v>
      </c>
      <c r="M247" s="179">
        <f ca="1">IF(ISNUMBER(MATCH(DATEVALUE($A247),'recurring1_based on steps'!M$1:M$400,0)),M$2,)</f>
        <v>0</v>
      </c>
      <c r="N247" s="179">
        <f ca="1">IF(ISNUMBER(MATCH(DATEVALUE($A247),'recurring1_based on steps'!N$1:N$400,0)),N$2,)</f>
        <v>0</v>
      </c>
      <c r="O247" s="179">
        <f ca="1">IF(ISNUMBER(MATCH(DATEVALUE($A247),'recurring1_based on steps'!O$1:O$400,0)),O$2,)</f>
        <v>0</v>
      </c>
      <c r="P247" s="179">
        <f ca="1">IF(ISNUMBER(MATCH(DATEVALUE($A247),'recurring1_based on steps'!P$1:P$400,0)),P$2,)</f>
        <v>0</v>
      </c>
      <c r="Q247" s="179">
        <f ca="1">IF(ISNUMBER(MATCH(DATEVALUE($A247),'recurring1_based on steps'!Q$1:Q$400,0)),Q$2,)</f>
        <v>0</v>
      </c>
      <c r="R247" s="179">
        <f ca="1">IF(ISNUMBER(MATCH(DATEVALUE($A247),'recurring1_based on steps'!R$1:R$400,0)),R$2,)</f>
        <v>0</v>
      </c>
      <c r="S247" s="179">
        <f ca="1">IF(ISNUMBER(MATCH(DATEVALUE($A247),'recurring1_based on steps'!S$1:S$400,0)),S$2,)</f>
        <v>0</v>
      </c>
      <c r="T247" s="179">
        <f ca="1">IF(ISNUMBER(MATCH(DATEVALUE($A247),'recurring1_based on steps'!T$1:T$400,0)),T$2,)</f>
        <v>0</v>
      </c>
      <c r="U247" s="179">
        <f ca="1">IF(ISNUMBER(MATCH(DATEVALUE($A247),'recurring1_based on steps'!U$1:U$400,0)),U$2,)</f>
        <v>0</v>
      </c>
      <c r="V247" s="179">
        <f ca="1">IF(ISNUMBER(MATCH(DATEVALUE($A247),'recurring1_based on steps'!V$1:V$400,0)),V$2,)</f>
        <v>0</v>
      </c>
      <c r="W247" s="179">
        <f ca="1">IF(ISNUMBER(MATCH(DATEVALUE($A247),'recurring1_based on steps'!W$1:W$400,0)),W$2,)</f>
        <v>0</v>
      </c>
      <c r="X247" s="179">
        <f ca="1">IF(ISNUMBER(MATCH(DATEVALUE($A247),'recurring1_based on steps'!X$1:X$400,0)),X$2,)</f>
        <v>0</v>
      </c>
      <c r="Y247" s="179">
        <f ca="1">IF(ISNUMBER(MATCH(DATEVALUE($A247),'recurring1_based on steps'!Y$1:Y$400,0)),Y$2,)</f>
        <v>0</v>
      </c>
      <c r="Z247" s="179">
        <f ca="1">IF(ISNUMBER(MATCH(DATEVALUE($A247),'recurring1_based on steps'!Z$1:Z$400,0)),Z$2,)</f>
        <v>0</v>
      </c>
      <c r="AA247" s="179">
        <f ca="1">IF(ISNUMBER(MATCH(DATEVALUE($A247),'recurring1_based on steps'!AA$1:AA$400,0)),AA$2,)</f>
        <v>0</v>
      </c>
      <c r="AB247" s="179">
        <f ca="1">IF(ISNUMBER(MATCH(DATEVALUE($A247),'recurring1_based on steps'!AB$1:AB$400,0)),AB$2,)</f>
        <v>0</v>
      </c>
      <c r="AC247" s="179">
        <f ca="1">IF(ISNUMBER(MATCH(DATEVALUE($A247),'recurring1_based on steps'!AC$1:AC$400,0)),AC$2,)</f>
        <v>0</v>
      </c>
      <c r="AD247" s="179">
        <f ca="1">IF(ISNUMBER(MATCH(DATEVALUE($A247),'recurring1_based on steps'!AD$1:AD$400,0)),AD$2,)</f>
        <v>0</v>
      </c>
      <c r="AE247" s="179">
        <f ca="1">IF(ISNUMBER(MATCH(DATEVALUE($A247),'recurring1_based on steps'!AE$1:AE$400,0)),AE$2,)</f>
        <v>0</v>
      </c>
      <c r="AF247" s="179">
        <f ca="1">IF(ISNUMBER(MATCH(DATEVALUE($A247),'recurring1_based on steps'!AF$1:AF$400,0)),AF$2,)</f>
        <v>0</v>
      </c>
      <c r="AG247" s="179">
        <f ca="1">IF(ISNUMBER(MATCH(DATEVALUE($A247),'recurring1_based on steps'!AG$1:AG$400,0)),AG$2,)</f>
        <v>0</v>
      </c>
      <c r="AH247" s="179">
        <f ca="1">IF(ISNUMBER(MATCH(DATEVALUE($A247),'recurring1_based on steps'!AH$1:AH$400,0)),AH$2,)</f>
        <v>0</v>
      </c>
      <c r="AI247" s="179">
        <f ca="1">IF(ISNUMBER(MATCH(DATEVALUE($A247),'recurring1_based on steps'!AI$1:AI$400,0)),AI$2,)</f>
        <v>0</v>
      </c>
      <c r="AJ247" s="179">
        <f ca="1">IF(ISNUMBER(MATCH(DATEVALUE($A247),'recurring1_based on steps'!AJ$1:AJ$400,0)),AJ$2,)</f>
        <v>0</v>
      </c>
      <c r="AK247" s="179">
        <f ca="1">IF(ISNUMBER(MATCH(DATEVALUE($A247),'recurring1_based on steps'!AK$1:AK$400,0)),AK$2,)</f>
        <v>0</v>
      </c>
      <c r="AL247" s="179">
        <f ca="1">IF(ISNUMBER(MATCH(DATEVALUE($A247),'recurring1_based on steps'!AL$1:AL$400,0)),AL$2,)</f>
        <v>0</v>
      </c>
      <c r="AM247" s="179">
        <f ca="1">IF(ISNUMBER(MATCH(DATEVALUE($A247),'recurring1_based on steps'!AM$1:AM$400,0)),AM$2,)</f>
        <v>0</v>
      </c>
      <c r="AN247" s="179">
        <f ca="1">IF(ISNUMBER(MATCH(DATEVALUE($A247),'recurring1_based on steps'!AN$1:AN$400,0)),AN$2,)</f>
        <v>0</v>
      </c>
      <c r="AO247" s="179">
        <f ca="1">IF(ISNUMBER(MATCH(DATEVALUE($A247),'recurring1_based on steps'!AO$1:AO$400,0)),AO$2,)</f>
        <v>0</v>
      </c>
      <c r="AP247" s="179">
        <f ca="1">IF(ISNUMBER(MATCH(DATEVALUE($A247),'recurring1_based on steps'!AP$1:AP$400,0)),AP$2,)</f>
        <v>0</v>
      </c>
      <c r="AQ247" s="179">
        <f ca="1">IF(ISNUMBER(MATCH(DATEVALUE($A247),'recurring1_based on steps'!AQ$1:AQ$400,0)),AQ$2,)</f>
        <v>0</v>
      </c>
      <c r="AR247" s="179">
        <f ca="1">IF(ISNUMBER(MATCH(DATEVALUE($A247),'recurring1_based on steps'!AR$1:AR$400,0)),AR$2,)</f>
        <v>0</v>
      </c>
      <c r="AS247" s="179">
        <f ca="1">IF(ISNUMBER(MATCH(DATEVALUE($A247),'recurring1_based on steps'!AS$1:AS$400,0)),AS$2,)</f>
        <v>0</v>
      </c>
      <c r="AT247" s="179">
        <f ca="1">IF(ISNUMBER(MATCH(DATEVALUE($A247),'recurring1_based on steps'!AT$1:AT$400,0)),AT$2,)</f>
        <v>0</v>
      </c>
      <c r="AU247" s="179">
        <f ca="1">IF(ISNUMBER(MATCH(DATEVALUE($A247),'recurring1_based on steps'!AU$1:AU$400,0)),AU$2,)</f>
        <v>0</v>
      </c>
      <c r="AV247" s="179">
        <f ca="1">IF(ISNUMBER(MATCH(DATEVALUE($A247),'recurring1_based on steps'!AV$1:AV$400,0)),AV$2,)</f>
        <v>0</v>
      </c>
      <c r="AW247" s="179">
        <f ca="1">IF(ISNUMBER(MATCH(DATEVALUE($A247),'recurring1_based on steps'!AW$1:AW$400,0)),AW$2,)</f>
        <v>0</v>
      </c>
      <c r="AX247" s="179">
        <f ca="1">IF(ISNUMBER(MATCH(DATEVALUE($A247),'recurring1_based on steps'!AX$1:AX$400,0)),AX$2,)</f>
        <v>0</v>
      </c>
      <c r="AY247" s="179">
        <f ca="1">IF(ISNUMBER(MATCH(DATEVALUE($A247),'recurring1_based on steps'!AY$1:AY$400,0)),AY$2,)</f>
        <v>0</v>
      </c>
    </row>
    <row r="248" spans="1:51" x14ac:dyDescent="0.2">
      <c r="A248" s="32" t="str">
        <f t="shared" ca="1" si="3"/>
        <v>2025-11-29</v>
      </c>
      <c r="B248" s="179">
        <f ca="1">IF(ISNUMBER(MATCH(DATEVALUE($A248),'recurring1_based on steps'!B$1:B$400,0)),B$2,)</f>
        <v>0</v>
      </c>
      <c r="C248" s="179">
        <f ca="1">IF(ISNUMBER(MATCH(DATEVALUE($A248),'recurring1_based on steps'!C$1:C$400,0)),C$2,)</f>
        <v>0</v>
      </c>
      <c r="D248" s="179">
        <f ca="1">IF(ISNUMBER(MATCH(DATEVALUE($A248),'recurring1_based on steps'!D$1:D$400,0)),D$2,)</f>
        <v>0</v>
      </c>
      <c r="E248" s="179">
        <f ca="1">IF(ISNUMBER(MATCH(DATEVALUE($A248),'recurring1_based on steps'!E$1:E$400,0)),E$2,)</f>
        <v>0</v>
      </c>
      <c r="F248" s="179">
        <f ca="1">IF(ISNUMBER(MATCH(DATEVALUE($A248),'recurring1_based on steps'!F$1:F$400,0)),F$2,)</f>
        <v>0</v>
      </c>
      <c r="G248" s="179">
        <f ca="1">IF(ISNUMBER(MATCH(DATEVALUE($A248),'recurring1_based on steps'!G$1:G$400,0)),G$2,)</f>
        <v>0</v>
      </c>
      <c r="H248" s="179">
        <f ca="1">IF(ISNUMBER(MATCH(DATEVALUE($A248),'recurring1_based on steps'!H$1:H$400,0)),H$2,)</f>
        <v>0</v>
      </c>
      <c r="I248" s="179">
        <f ca="1">IF(ISNUMBER(MATCH(DATEVALUE($A248),'recurring1_based on steps'!I$1:I$400,0)),I$2,)</f>
        <v>0</v>
      </c>
      <c r="J248" s="179">
        <f ca="1">IF(ISNUMBER(MATCH(DATEVALUE($A248),'recurring1_based on steps'!J$1:J$400,0)),J$2,)</f>
        <v>0</v>
      </c>
      <c r="K248" s="179">
        <f ca="1">IF(ISNUMBER(MATCH(DATEVALUE($A248),'recurring1_based on steps'!K$1:K$400,0)),K$2,)</f>
        <v>0</v>
      </c>
      <c r="L248" s="179">
        <f ca="1">IF(ISNUMBER(MATCH(DATEVALUE($A248),'recurring1_based on steps'!L$1:L$400,0)),L$2,)</f>
        <v>0</v>
      </c>
      <c r="M248" s="179">
        <f ca="1">IF(ISNUMBER(MATCH(DATEVALUE($A248),'recurring1_based on steps'!M$1:M$400,0)),M$2,)</f>
        <v>0</v>
      </c>
      <c r="N248" s="179">
        <f ca="1">IF(ISNUMBER(MATCH(DATEVALUE($A248),'recurring1_based on steps'!N$1:N$400,0)),N$2,)</f>
        <v>0</v>
      </c>
      <c r="O248" s="179">
        <f ca="1">IF(ISNUMBER(MATCH(DATEVALUE($A248),'recurring1_based on steps'!O$1:O$400,0)),O$2,)</f>
        <v>0</v>
      </c>
      <c r="P248" s="179">
        <f ca="1">IF(ISNUMBER(MATCH(DATEVALUE($A248),'recurring1_based on steps'!P$1:P$400,0)),P$2,)</f>
        <v>0</v>
      </c>
      <c r="Q248" s="179">
        <f ca="1">IF(ISNUMBER(MATCH(DATEVALUE($A248),'recurring1_based on steps'!Q$1:Q$400,0)),Q$2,)</f>
        <v>0</v>
      </c>
      <c r="R248" s="179">
        <f ca="1">IF(ISNUMBER(MATCH(DATEVALUE($A248),'recurring1_based on steps'!R$1:R$400,0)),R$2,)</f>
        <v>0</v>
      </c>
      <c r="S248" s="179">
        <f ca="1">IF(ISNUMBER(MATCH(DATEVALUE($A248),'recurring1_based on steps'!S$1:S$400,0)),S$2,)</f>
        <v>0</v>
      </c>
      <c r="T248" s="179">
        <f ca="1">IF(ISNUMBER(MATCH(DATEVALUE($A248),'recurring1_based on steps'!T$1:T$400,0)),T$2,)</f>
        <v>0</v>
      </c>
      <c r="U248" s="179">
        <f ca="1">IF(ISNUMBER(MATCH(DATEVALUE($A248),'recurring1_based on steps'!U$1:U$400,0)),U$2,)</f>
        <v>0</v>
      </c>
      <c r="V248" s="179">
        <f ca="1">IF(ISNUMBER(MATCH(DATEVALUE($A248),'recurring1_based on steps'!V$1:V$400,0)),V$2,)</f>
        <v>0</v>
      </c>
      <c r="W248" s="179">
        <f ca="1">IF(ISNUMBER(MATCH(DATEVALUE($A248),'recurring1_based on steps'!W$1:W$400,0)),W$2,)</f>
        <v>0</v>
      </c>
      <c r="X248" s="179">
        <f ca="1">IF(ISNUMBER(MATCH(DATEVALUE($A248),'recurring1_based on steps'!X$1:X$400,0)),X$2,)</f>
        <v>0</v>
      </c>
      <c r="Y248" s="179">
        <f ca="1">IF(ISNUMBER(MATCH(DATEVALUE($A248),'recurring1_based on steps'!Y$1:Y$400,0)),Y$2,)</f>
        <v>0</v>
      </c>
      <c r="Z248" s="179">
        <f ca="1">IF(ISNUMBER(MATCH(DATEVALUE($A248),'recurring1_based on steps'!Z$1:Z$400,0)),Z$2,)</f>
        <v>0</v>
      </c>
      <c r="AA248" s="179">
        <f ca="1">IF(ISNUMBER(MATCH(DATEVALUE($A248),'recurring1_based on steps'!AA$1:AA$400,0)),AA$2,)</f>
        <v>0</v>
      </c>
      <c r="AB248" s="179">
        <f ca="1">IF(ISNUMBER(MATCH(DATEVALUE($A248),'recurring1_based on steps'!AB$1:AB$400,0)),AB$2,)</f>
        <v>0</v>
      </c>
      <c r="AC248" s="179">
        <f ca="1">IF(ISNUMBER(MATCH(DATEVALUE($A248),'recurring1_based on steps'!AC$1:AC$400,0)),AC$2,)</f>
        <v>0</v>
      </c>
      <c r="AD248" s="179">
        <f ca="1">IF(ISNUMBER(MATCH(DATEVALUE($A248),'recurring1_based on steps'!AD$1:AD$400,0)),AD$2,)</f>
        <v>0</v>
      </c>
      <c r="AE248" s="179">
        <f ca="1">IF(ISNUMBER(MATCH(DATEVALUE($A248),'recurring1_based on steps'!AE$1:AE$400,0)),AE$2,)</f>
        <v>0</v>
      </c>
      <c r="AF248" s="179">
        <f ca="1">IF(ISNUMBER(MATCH(DATEVALUE($A248),'recurring1_based on steps'!AF$1:AF$400,0)),AF$2,)</f>
        <v>0</v>
      </c>
      <c r="AG248" s="179">
        <f ca="1">IF(ISNUMBER(MATCH(DATEVALUE($A248),'recurring1_based on steps'!AG$1:AG$400,0)),AG$2,)</f>
        <v>0</v>
      </c>
      <c r="AH248" s="179">
        <f ca="1">IF(ISNUMBER(MATCH(DATEVALUE($A248),'recurring1_based on steps'!AH$1:AH$400,0)),AH$2,)</f>
        <v>0</v>
      </c>
      <c r="AI248" s="179">
        <f ca="1">IF(ISNUMBER(MATCH(DATEVALUE($A248),'recurring1_based on steps'!AI$1:AI$400,0)),AI$2,)</f>
        <v>0</v>
      </c>
      <c r="AJ248" s="179">
        <f ca="1">IF(ISNUMBER(MATCH(DATEVALUE($A248),'recurring1_based on steps'!AJ$1:AJ$400,0)),AJ$2,)</f>
        <v>0</v>
      </c>
      <c r="AK248" s="179">
        <f ca="1">IF(ISNUMBER(MATCH(DATEVALUE($A248),'recurring1_based on steps'!AK$1:AK$400,0)),AK$2,)</f>
        <v>0</v>
      </c>
      <c r="AL248" s="179">
        <f ca="1">IF(ISNUMBER(MATCH(DATEVALUE($A248),'recurring1_based on steps'!AL$1:AL$400,0)),AL$2,)</f>
        <v>0</v>
      </c>
      <c r="AM248" s="179">
        <f ca="1">IF(ISNUMBER(MATCH(DATEVALUE($A248),'recurring1_based on steps'!AM$1:AM$400,0)),AM$2,)</f>
        <v>0</v>
      </c>
      <c r="AN248" s="179">
        <f ca="1">IF(ISNUMBER(MATCH(DATEVALUE($A248),'recurring1_based on steps'!AN$1:AN$400,0)),AN$2,)</f>
        <v>0</v>
      </c>
      <c r="AO248" s="179">
        <f ca="1">IF(ISNUMBER(MATCH(DATEVALUE($A248),'recurring1_based on steps'!AO$1:AO$400,0)),AO$2,)</f>
        <v>0</v>
      </c>
      <c r="AP248" s="179">
        <f ca="1">IF(ISNUMBER(MATCH(DATEVALUE($A248),'recurring1_based on steps'!AP$1:AP$400,0)),AP$2,)</f>
        <v>0</v>
      </c>
      <c r="AQ248" s="179">
        <f ca="1">IF(ISNUMBER(MATCH(DATEVALUE($A248),'recurring1_based on steps'!AQ$1:AQ$400,0)),AQ$2,)</f>
        <v>0</v>
      </c>
      <c r="AR248" s="179">
        <f ca="1">IF(ISNUMBER(MATCH(DATEVALUE($A248),'recurring1_based on steps'!AR$1:AR$400,0)),AR$2,)</f>
        <v>0</v>
      </c>
      <c r="AS248" s="179">
        <f ca="1">IF(ISNUMBER(MATCH(DATEVALUE($A248),'recurring1_based on steps'!AS$1:AS$400,0)),AS$2,)</f>
        <v>0</v>
      </c>
      <c r="AT248" s="179">
        <f ca="1">IF(ISNUMBER(MATCH(DATEVALUE($A248),'recurring1_based on steps'!AT$1:AT$400,0)),AT$2,)</f>
        <v>0</v>
      </c>
      <c r="AU248" s="179">
        <f ca="1">IF(ISNUMBER(MATCH(DATEVALUE($A248),'recurring1_based on steps'!AU$1:AU$400,0)),AU$2,)</f>
        <v>0</v>
      </c>
      <c r="AV248" s="179">
        <f ca="1">IF(ISNUMBER(MATCH(DATEVALUE($A248),'recurring1_based on steps'!AV$1:AV$400,0)),AV$2,)</f>
        <v>0</v>
      </c>
      <c r="AW248" s="179">
        <f ca="1">IF(ISNUMBER(MATCH(DATEVALUE($A248),'recurring1_based on steps'!AW$1:AW$400,0)),AW$2,)</f>
        <v>0</v>
      </c>
      <c r="AX248" s="179">
        <f ca="1">IF(ISNUMBER(MATCH(DATEVALUE($A248),'recurring1_based on steps'!AX$1:AX$400,0)),AX$2,)</f>
        <v>0</v>
      </c>
      <c r="AY248" s="179">
        <f ca="1">IF(ISNUMBER(MATCH(DATEVALUE($A248),'recurring1_based on steps'!AY$1:AY$400,0)),AY$2,)</f>
        <v>0</v>
      </c>
    </row>
    <row r="249" spans="1:51" x14ac:dyDescent="0.2">
      <c r="A249" s="32" t="str">
        <f t="shared" ca="1" si="3"/>
        <v>2025-11-30</v>
      </c>
      <c r="B249" s="179">
        <f ca="1">IF(ISNUMBER(MATCH(DATEVALUE($A249),'recurring1_based on steps'!B$1:B$400,0)),B$2,)</f>
        <v>0</v>
      </c>
      <c r="C249" s="179">
        <f ca="1">IF(ISNUMBER(MATCH(DATEVALUE($A249),'recurring1_based on steps'!C$1:C$400,0)),C$2,)</f>
        <v>0</v>
      </c>
      <c r="D249" s="179">
        <f ca="1">IF(ISNUMBER(MATCH(DATEVALUE($A249),'recurring1_based on steps'!D$1:D$400,0)),D$2,)</f>
        <v>0</v>
      </c>
      <c r="E249" s="179">
        <f ca="1">IF(ISNUMBER(MATCH(DATEVALUE($A249),'recurring1_based on steps'!E$1:E$400,0)),E$2,)</f>
        <v>0</v>
      </c>
      <c r="F249" s="179">
        <f ca="1">IF(ISNUMBER(MATCH(DATEVALUE($A249),'recurring1_based on steps'!F$1:F$400,0)),F$2,)</f>
        <v>0</v>
      </c>
      <c r="G249" s="179">
        <f ca="1">IF(ISNUMBER(MATCH(DATEVALUE($A249),'recurring1_based on steps'!G$1:G$400,0)),G$2,)</f>
        <v>0</v>
      </c>
      <c r="H249" s="179">
        <f ca="1">IF(ISNUMBER(MATCH(DATEVALUE($A249),'recurring1_based on steps'!H$1:H$400,0)),H$2,)</f>
        <v>0</v>
      </c>
      <c r="I249" s="179">
        <f ca="1">IF(ISNUMBER(MATCH(DATEVALUE($A249),'recurring1_based on steps'!I$1:I$400,0)),I$2,)</f>
        <v>0</v>
      </c>
      <c r="J249" s="179">
        <f ca="1">IF(ISNUMBER(MATCH(DATEVALUE($A249),'recurring1_based on steps'!J$1:J$400,0)),J$2,)</f>
        <v>0</v>
      </c>
      <c r="K249" s="179">
        <f ca="1">IF(ISNUMBER(MATCH(DATEVALUE($A249),'recurring1_based on steps'!K$1:K$400,0)),K$2,)</f>
        <v>0</v>
      </c>
      <c r="L249" s="179">
        <f ca="1">IF(ISNUMBER(MATCH(DATEVALUE($A249),'recurring1_based on steps'!L$1:L$400,0)),L$2,)</f>
        <v>0</v>
      </c>
      <c r="M249" s="179">
        <f ca="1">IF(ISNUMBER(MATCH(DATEVALUE($A249),'recurring1_based on steps'!M$1:M$400,0)),M$2,)</f>
        <v>0</v>
      </c>
      <c r="N249" s="179">
        <f ca="1">IF(ISNUMBER(MATCH(DATEVALUE($A249),'recurring1_based on steps'!N$1:N$400,0)),N$2,)</f>
        <v>0</v>
      </c>
      <c r="O249" s="179">
        <f ca="1">IF(ISNUMBER(MATCH(DATEVALUE($A249),'recurring1_based on steps'!O$1:O$400,0)),O$2,)</f>
        <v>0</v>
      </c>
      <c r="P249" s="179">
        <f ca="1">IF(ISNUMBER(MATCH(DATEVALUE($A249),'recurring1_based on steps'!P$1:P$400,0)),P$2,)</f>
        <v>0</v>
      </c>
      <c r="Q249" s="179">
        <f ca="1">IF(ISNUMBER(MATCH(DATEVALUE($A249),'recurring1_based on steps'!Q$1:Q$400,0)),Q$2,)</f>
        <v>0</v>
      </c>
      <c r="R249" s="179">
        <f ca="1">IF(ISNUMBER(MATCH(DATEVALUE($A249),'recurring1_based on steps'!R$1:R$400,0)),R$2,)</f>
        <v>0</v>
      </c>
      <c r="S249" s="179">
        <f ca="1">IF(ISNUMBER(MATCH(DATEVALUE($A249),'recurring1_based on steps'!S$1:S$400,0)),S$2,)</f>
        <v>0</v>
      </c>
      <c r="T249" s="179">
        <f ca="1">IF(ISNUMBER(MATCH(DATEVALUE($A249),'recurring1_based on steps'!T$1:T$400,0)),T$2,)</f>
        <v>0</v>
      </c>
      <c r="U249" s="179">
        <f ca="1">IF(ISNUMBER(MATCH(DATEVALUE($A249),'recurring1_based on steps'!U$1:U$400,0)),U$2,)</f>
        <v>0</v>
      </c>
      <c r="V249" s="179">
        <f ca="1">IF(ISNUMBER(MATCH(DATEVALUE($A249),'recurring1_based on steps'!V$1:V$400,0)),V$2,)</f>
        <v>0</v>
      </c>
      <c r="W249" s="179">
        <f ca="1">IF(ISNUMBER(MATCH(DATEVALUE($A249),'recurring1_based on steps'!W$1:W$400,0)),W$2,)</f>
        <v>0</v>
      </c>
      <c r="X249" s="179">
        <f ca="1">IF(ISNUMBER(MATCH(DATEVALUE($A249),'recurring1_based on steps'!X$1:X$400,0)),X$2,)</f>
        <v>0</v>
      </c>
      <c r="Y249" s="179">
        <f ca="1">IF(ISNUMBER(MATCH(DATEVALUE($A249),'recurring1_based on steps'!Y$1:Y$400,0)),Y$2,)</f>
        <v>0</v>
      </c>
      <c r="Z249" s="179">
        <f ca="1">IF(ISNUMBER(MATCH(DATEVALUE($A249),'recurring1_based on steps'!Z$1:Z$400,0)),Z$2,)</f>
        <v>0</v>
      </c>
      <c r="AA249" s="179">
        <f ca="1">IF(ISNUMBER(MATCH(DATEVALUE($A249),'recurring1_based on steps'!AA$1:AA$400,0)),AA$2,)</f>
        <v>0</v>
      </c>
      <c r="AB249" s="179">
        <f ca="1">IF(ISNUMBER(MATCH(DATEVALUE($A249),'recurring1_based on steps'!AB$1:AB$400,0)),AB$2,)</f>
        <v>0</v>
      </c>
      <c r="AC249" s="179">
        <f ca="1">IF(ISNUMBER(MATCH(DATEVALUE($A249),'recurring1_based on steps'!AC$1:AC$400,0)),AC$2,)</f>
        <v>0</v>
      </c>
      <c r="AD249" s="179">
        <f ca="1">IF(ISNUMBER(MATCH(DATEVALUE($A249),'recurring1_based on steps'!AD$1:AD$400,0)),AD$2,)</f>
        <v>0</v>
      </c>
      <c r="AE249" s="179">
        <f ca="1">IF(ISNUMBER(MATCH(DATEVALUE($A249),'recurring1_based on steps'!AE$1:AE$400,0)),AE$2,)</f>
        <v>0</v>
      </c>
      <c r="AF249" s="179">
        <f ca="1">IF(ISNUMBER(MATCH(DATEVALUE($A249),'recurring1_based on steps'!AF$1:AF$400,0)),AF$2,)</f>
        <v>0</v>
      </c>
      <c r="AG249" s="179">
        <f ca="1">IF(ISNUMBER(MATCH(DATEVALUE($A249),'recurring1_based on steps'!AG$1:AG$400,0)),AG$2,)</f>
        <v>0</v>
      </c>
      <c r="AH249" s="179">
        <f ca="1">IF(ISNUMBER(MATCH(DATEVALUE($A249),'recurring1_based on steps'!AH$1:AH$400,0)),AH$2,)</f>
        <v>0</v>
      </c>
      <c r="AI249" s="179">
        <f ca="1">IF(ISNUMBER(MATCH(DATEVALUE($A249),'recurring1_based on steps'!AI$1:AI$400,0)),AI$2,)</f>
        <v>0</v>
      </c>
      <c r="AJ249" s="179">
        <f ca="1">IF(ISNUMBER(MATCH(DATEVALUE($A249),'recurring1_based on steps'!AJ$1:AJ$400,0)),AJ$2,)</f>
        <v>0</v>
      </c>
      <c r="AK249" s="179">
        <f ca="1">IF(ISNUMBER(MATCH(DATEVALUE($A249),'recurring1_based on steps'!AK$1:AK$400,0)),AK$2,)</f>
        <v>0</v>
      </c>
      <c r="AL249" s="179">
        <f ca="1">IF(ISNUMBER(MATCH(DATEVALUE($A249),'recurring1_based on steps'!AL$1:AL$400,0)),AL$2,)</f>
        <v>0</v>
      </c>
      <c r="AM249" s="179">
        <f ca="1">IF(ISNUMBER(MATCH(DATEVALUE($A249),'recurring1_based on steps'!AM$1:AM$400,0)),AM$2,)</f>
        <v>0</v>
      </c>
      <c r="AN249" s="179">
        <f ca="1">IF(ISNUMBER(MATCH(DATEVALUE($A249),'recurring1_based on steps'!AN$1:AN$400,0)),AN$2,)</f>
        <v>0</v>
      </c>
      <c r="AO249" s="179">
        <f ca="1">IF(ISNUMBER(MATCH(DATEVALUE($A249),'recurring1_based on steps'!AO$1:AO$400,0)),AO$2,)</f>
        <v>0</v>
      </c>
      <c r="AP249" s="179">
        <f ca="1">IF(ISNUMBER(MATCH(DATEVALUE($A249),'recurring1_based on steps'!AP$1:AP$400,0)),AP$2,)</f>
        <v>0</v>
      </c>
      <c r="AQ249" s="179">
        <f ca="1">IF(ISNUMBER(MATCH(DATEVALUE($A249),'recurring1_based on steps'!AQ$1:AQ$400,0)),AQ$2,)</f>
        <v>0</v>
      </c>
      <c r="AR249" s="179">
        <f ca="1">IF(ISNUMBER(MATCH(DATEVALUE($A249),'recurring1_based on steps'!AR$1:AR$400,0)),AR$2,)</f>
        <v>0</v>
      </c>
      <c r="AS249" s="179">
        <f ca="1">IF(ISNUMBER(MATCH(DATEVALUE($A249),'recurring1_based on steps'!AS$1:AS$400,0)),AS$2,)</f>
        <v>0</v>
      </c>
      <c r="AT249" s="179">
        <f ca="1">IF(ISNUMBER(MATCH(DATEVALUE($A249),'recurring1_based on steps'!AT$1:AT$400,0)),AT$2,)</f>
        <v>0</v>
      </c>
      <c r="AU249" s="179">
        <f ca="1">IF(ISNUMBER(MATCH(DATEVALUE($A249),'recurring1_based on steps'!AU$1:AU$400,0)),AU$2,)</f>
        <v>0</v>
      </c>
      <c r="AV249" s="179">
        <f ca="1">IF(ISNUMBER(MATCH(DATEVALUE($A249),'recurring1_based on steps'!AV$1:AV$400,0)),AV$2,)</f>
        <v>0</v>
      </c>
      <c r="AW249" s="179">
        <f ca="1">IF(ISNUMBER(MATCH(DATEVALUE($A249),'recurring1_based on steps'!AW$1:AW$400,0)),AW$2,)</f>
        <v>0</v>
      </c>
      <c r="AX249" s="179">
        <f ca="1">IF(ISNUMBER(MATCH(DATEVALUE($A249),'recurring1_based on steps'!AX$1:AX$400,0)),AX$2,)</f>
        <v>0</v>
      </c>
      <c r="AY249" s="179">
        <f ca="1">IF(ISNUMBER(MATCH(DATEVALUE($A249),'recurring1_based on steps'!AY$1:AY$400,0)),AY$2,)</f>
        <v>0</v>
      </c>
    </row>
    <row r="250" spans="1:51" x14ac:dyDescent="0.2">
      <c r="A250" s="32" t="str">
        <f t="shared" ca="1" si="3"/>
        <v>2025-12-01</v>
      </c>
      <c r="B250" s="179">
        <f ca="1">IF(ISNUMBER(MATCH(DATEVALUE($A250),'recurring1_based on steps'!B$1:B$400,0)),B$2,)</f>
        <v>0</v>
      </c>
      <c r="C250" s="179">
        <f ca="1">IF(ISNUMBER(MATCH(DATEVALUE($A250),'recurring1_based on steps'!C$1:C$400,0)),C$2,)</f>
        <v>0</v>
      </c>
      <c r="D250" s="179">
        <f ca="1">IF(ISNUMBER(MATCH(DATEVALUE($A250),'recurring1_based on steps'!D$1:D$400,0)),D$2,)</f>
        <v>0</v>
      </c>
      <c r="E250" s="179">
        <f ca="1">IF(ISNUMBER(MATCH(DATEVALUE($A250),'recurring1_based on steps'!E$1:E$400,0)),E$2,)</f>
        <v>0</v>
      </c>
      <c r="F250" s="179">
        <f ca="1">IF(ISNUMBER(MATCH(DATEVALUE($A250),'recurring1_based on steps'!F$1:F$400,0)),F$2,)</f>
        <v>0</v>
      </c>
      <c r="G250" s="179">
        <f ca="1">IF(ISNUMBER(MATCH(DATEVALUE($A250),'recurring1_based on steps'!G$1:G$400,0)),G$2,)</f>
        <v>0</v>
      </c>
      <c r="H250" s="179">
        <f ca="1">IF(ISNUMBER(MATCH(DATEVALUE($A250),'recurring1_based on steps'!H$1:H$400,0)),H$2,)</f>
        <v>0</v>
      </c>
      <c r="I250" s="179">
        <f ca="1">IF(ISNUMBER(MATCH(DATEVALUE($A250),'recurring1_based on steps'!I$1:I$400,0)),I$2,)</f>
        <v>0</v>
      </c>
      <c r="J250" s="179">
        <f ca="1">IF(ISNUMBER(MATCH(DATEVALUE($A250),'recurring1_based on steps'!J$1:J$400,0)),J$2,)</f>
        <v>0</v>
      </c>
      <c r="K250" s="179">
        <f ca="1">IF(ISNUMBER(MATCH(DATEVALUE($A250),'recurring1_based on steps'!K$1:K$400,0)),K$2,)</f>
        <v>0</v>
      </c>
      <c r="L250" s="179">
        <f ca="1">IF(ISNUMBER(MATCH(DATEVALUE($A250),'recurring1_based on steps'!L$1:L$400,0)),L$2,)</f>
        <v>0</v>
      </c>
      <c r="M250" s="179">
        <f ca="1">IF(ISNUMBER(MATCH(DATEVALUE($A250),'recurring1_based on steps'!M$1:M$400,0)),M$2,)</f>
        <v>0</v>
      </c>
      <c r="N250" s="179">
        <f ca="1">IF(ISNUMBER(MATCH(DATEVALUE($A250),'recurring1_based on steps'!N$1:N$400,0)),N$2,)</f>
        <v>0</v>
      </c>
      <c r="O250" s="179">
        <f ca="1">IF(ISNUMBER(MATCH(DATEVALUE($A250),'recurring1_based on steps'!O$1:O$400,0)),O$2,)</f>
        <v>0</v>
      </c>
      <c r="P250" s="179">
        <f ca="1">IF(ISNUMBER(MATCH(DATEVALUE($A250),'recurring1_based on steps'!P$1:P$400,0)),P$2,)</f>
        <v>0</v>
      </c>
      <c r="Q250" s="179">
        <f ca="1">IF(ISNUMBER(MATCH(DATEVALUE($A250),'recurring1_based on steps'!Q$1:Q$400,0)),Q$2,)</f>
        <v>0</v>
      </c>
      <c r="R250" s="179">
        <f ca="1">IF(ISNUMBER(MATCH(DATEVALUE($A250),'recurring1_based on steps'!R$1:R$400,0)),R$2,)</f>
        <v>0</v>
      </c>
      <c r="S250" s="179">
        <f ca="1">IF(ISNUMBER(MATCH(DATEVALUE($A250),'recurring1_based on steps'!S$1:S$400,0)),S$2,)</f>
        <v>0</v>
      </c>
      <c r="T250" s="179">
        <f ca="1">IF(ISNUMBER(MATCH(DATEVALUE($A250),'recurring1_based on steps'!T$1:T$400,0)),T$2,)</f>
        <v>0</v>
      </c>
      <c r="U250" s="179">
        <f ca="1">IF(ISNUMBER(MATCH(DATEVALUE($A250),'recurring1_based on steps'!U$1:U$400,0)),U$2,)</f>
        <v>0</v>
      </c>
      <c r="V250" s="179">
        <f ca="1">IF(ISNUMBER(MATCH(DATEVALUE($A250),'recurring1_based on steps'!V$1:V$400,0)),V$2,)</f>
        <v>0</v>
      </c>
      <c r="W250" s="179">
        <f ca="1">IF(ISNUMBER(MATCH(DATEVALUE($A250),'recurring1_based on steps'!W$1:W$400,0)),W$2,)</f>
        <v>0</v>
      </c>
      <c r="X250" s="179">
        <f ca="1">IF(ISNUMBER(MATCH(DATEVALUE($A250),'recurring1_based on steps'!X$1:X$400,0)),X$2,)</f>
        <v>0</v>
      </c>
      <c r="Y250" s="179">
        <f ca="1">IF(ISNUMBER(MATCH(DATEVALUE($A250),'recurring1_based on steps'!Y$1:Y$400,0)),Y$2,)</f>
        <v>0</v>
      </c>
      <c r="Z250" s="179">
        <f ca="1">IF(ISNUMBER(MATCH(DATEVALUE($A250),'recurring1_based on steps'!Z$1:Z$400,0)),Z$2,)</f>
        <v>0</v>
      </c>
      <c r="AA250" s="179">
        <f ca="1">IF(ISNUMBER(MATCH(DATEVALUE($A250),'recurring1_based on steps'!AA$1:AA$400,0)),AA$2,)</f>
        <v>0</v>
      </c>
      <c r="AB250" s="179">
        <f ca="1">IF(ISNUMBER(MATCH(DATEVALUE($A250),'recurring1_based on steps'!AB$1:AB$400,0)),AB$2,)</f>
        <v>0</v>
      </c>
      <c r="AC250" s="179">
        <f ca="1">IF(ISNUMBER(MATCH(DATEVALUE($A250),'recurring1_based on steps'!AC$1:AC$400,0)),AC$2,)</f>
        <v>0</v>
      </c>
      <c r="AD250" s="179">
        <f ca="1">IF(ISNUMBER(MATCH(DATEVALUE($A250),'recurring1_based on steps'!AD$1:AD$400,0)),AD$2,)</f>
        <v>0</v>
      </c>
      <c r="AE250" s="179">
        <f ca="1">IF(ISNUMBER(MATCH(DATEVALUE($A250),'recurring1_based on steps'!AE$1:AE$400,0)),AE$2,)</f>
        <v>0</v>
      </c>
      <c r="AF250" s="179">
        <f ca="1">IF(ISNUMBER(MATCH(DATEVALUE($A250),'recurring1_based on steps'!AF$1:AF$400,0)),AF$2,)</f>
        <v>0</v>
      </c>
      <c r="AG250" s="179">
        <f ca="1">IF(ISNUMBER(MATCH(DATEVALUE($A250),'recurring1_based on steps'!AG$1:AG$400,0)),AG$2,)</f>
        <v>0</v>
      </c>
      <c r="AH250" s="179">
        <f ca="1">IF(ISNUMBER(MATCH(DATEVALUE($A250),'recurring1_based on steps'!AH$1:AH$400,0)),AH$2,)</f>
        <v>0</v>
      </c>
      <c r="AI250" s="179">
        <f ca="1">IF(ISNUMBER(MATCH(DATEVALUE($A250),'recurring1_based on steps'!AI$1:AI$400,0)),AI$2,)</f>
        <v>0</v>
      </c>
      <c r="AJ250" s="179">
        <f ca="1">IF(ISNUMBER(MATCH(DATEVALUE($A250),'recurring1_based on steps'!AJ$1:AJ$400,0)),AJ$2,)</f>
        <v>0</v>
      </c>
      <c r="AK250" s="179">
        <f ca="1">IF(ISNUMBER(MATCH(DATEVALUE($A250),'recurring1_based on steps'!AK$1:AK$400,0)),AK$2,)</f>
        <v>0</v>
      </c>
      <c r="AL250" s="179">
        <f ca="1">IF(ISNUMBER(MATCH(DATEVALUE($A250),'recurring1_based on steps'!AL$1:AL$400,0)),AL$2,)</f>
        <v>0</v>
      </c>
      <c r="AM250" s="179">
        <f ca="1">IF(ISNUMBER(MATCH(DATEVALUE($A250),'recurring1_based on steps'!AM$1:AM$400,0)),AM$2,)</f>
        <v>0</v>
      </c>
      <c r="AN250" s="179">
        <f ca="1">IF(ISNUMBER(MATCH(DATEVALUE($A250),'recurring1_based on steps'!AN$1:AN$400,0)),AN$2,)</f>
        <v>0</v>
      </c>
      <c r="AO250" s="179">
        <f ca="1">IF(ISNUMBER(MATCH(DATEVALUE($A250),'recurring1_based on steps'!AO$1:AO$400,0)),AO$2,)</f>
        <v>0</v>
      </c>
      <c r="AP250" s="179">
        <f ca="1">IF(ISNUMBER(MATCH(DATEVALUE($A250),'recurring1_based on steps'!AP$1:AP$400,0)),AP$2,)</f>
        <v>0</v>
      </c>
      <c r="AQ250" s="179">
        <f ca="1">IF(ISNUMBER(MATCH(DATEVALUE($A250),'recurring1_based on steps'!AQ$1:AQ$400,0)),AQ$2,)</f>
        <v>0</v>
      </c>
      <c r="AR250" s="179">
        <f ca="1">IF(ISNUMBER(MATCH(DATEVALUE($A250),'recurring1_based on steps'!AR$1:AR$400,0)),AR$2,)</f>
        <v>0</v>
      </c>
      <c r="AS250" s="179">
        <f ca="1">IF(ISNUMBER(MATCH(DATEVALUE($A250),'recurring1_based on steps'!AS$1:AS$400,0)),AS$2,)</f>
        <v>0</v>
      </c>
      <c r="AT250" s="179">
        <f ca="1">IF(ISNUMBER(MATCH(DATEVALUE($A250),'recurring1_based on steps'!AT$1:AT$400,0)),AT$2,)</f>
        <v>0</v>
      </c>
      <c r="AU250" s="179">
        <f ca="1">IF(ISNUMBER(MATCH(DATEVALUE($A250),'recurring1_based on steps'!AU$1:AU$400,0)),AU$2,)</f>
        <v>0</v>
      </c>
      <c r="AV250" s="179">
        <f ca="1">IF(ISNUMBER(MATCH(DATEVALUE($A250),'recurring1_based on steps'!AV$1:AV$400,0)),AV$2,)</f>
        <v>0</v>
      </c>
      <c r="AW250" s="179">
        <f ca="1">IF(ISNUMBER(MATCH(DATEVALUE($A250),'recurring1_based on steps'!AW$1:AW$400,0)),AW$2,)</f>
        <v>0</v>
      </c>
      <c r="AX250" s="179">
        <f ca="1">IF(ISNUMBER(MATCH(DATEVALUE($A250),'recurring1_based on steps'!AX$1:AX$400,0)),AX$2,)</f>
        <v>0</v>
      </c>
      <c r="AY250" s="179">
        <f ca="1">IF(ISNUMBER(MATCH(DATEVALUE($A250),'recurring1_based on steps'!AY$1:AY$400,0)),AY$2,)</f>
        <v>0</v>
      </c>
    </row>
    <row r="251" spans="1:51" x14ac:dyDescent="0.2">
      <c r="A251" s="32" t="str">
        <f t="shared" ca="1" si="3"/>
        <v>2025-12-02</v>
      </c>
      <c r="B251" s="179">
        <f ca="1">IF(ISNUMBER(MATCH(DATEVALUE($A251),'recurring1_based on steps'!B$1:B$400,0)),B$2,)</f>
        <v>0</v>
      </c>
      <c r="C251" s="179">
        <f ca="1">IF(ISNUMBER(MATCH(DATEVALUE($A251),'recurring1_based on steps'!C$1:C$400,0)),C$2,)</f>
        <v>0</v>
      </c>
      <c r="D251" s="179">
        <f ca="1">IF(ISNUMBER(MATCH(DATEVALUE($A251),'recurring1_based on steps'!D$1:D$400,0)),D$2,)</f>
        <v>0</v>
      </c>
      <c r="E251" s="179">
        <f ca="1">IF(ISNUMBER(MATCH(DATEVALUE($A251),'recurring1_based on steps'!E$1:E$400,0)),E$2,)</f>
        <v>0</v>
      </c>
      <c r="F251" s="179">
        <f ca="1">IF(ISNUMBER(MATCH(DATEVALUE($A251),'recurring1_based on steps'!F$1:F$400,0)),F$2,)</f>
        <v>0</v>
      </c>
      <c r="G251" s="179">
        <f ca="1">IF(ISNUMBER(MATCH(DATEVALUE($A251),'recurring1_based on steps'!G$1:G$400,0)),G$2,)</f>
        <v>0</v>
      </c>
      <c r="H251" s="179">
        <f ca="1">IF(ISNUMBER(MATCH(DATEVALUE($A251),'recurring1_based on steps'!H$1:H$400,0)),H$2,)</f>
        <v>0</v>
      </c>
      <c r="I251" s="179">
        <f ca="1">IF(ISNUMBER(MATCH(DATEVALUE($A251),'recurring1_based on steps'!I$1:I$400,0)),I$2,)</f>
        <v>0</v>
      </c>
      <c r="J251" s="179">
        <f ca="1">IF(ISNUMBER(MATCH(DATEVALUE($A251),'recurring1_based on steps'!J$1:J$400,0)),J$2,)</f>
        <v>0</v>
      </c>
      <c r="K251" s="179">
        <f ca="1">IF(ISNUMBER(MATCH(DATEVALUE($A251),'recurring1_based on steps'!K$1:K$400,0)),K$2,)</f>
        <v>0</v>
      </c>
      <c r="L251" s="179">
        <f ca="1">IF(ISNUMBER(MATCH(DATEVALUE($A251),'recurring1_based on steps'!L$1:L$400,0)),L$2,)</f>
        <v>0</v>
      </c>
      <c r="M251" s="179">
        <f ca="1">IF(ISNUMBER(MATCH(DATEVALUE($A251),'recurring1_based on steps'!M$1:M$400,0)),M$2,)</f>
        <v>0</v>
      </c>
      <c r="N251" s="179">
        <f ca="1">IF(ISNUMBER(MATCH(DATEVALUE($A251),'recurring1_based on steps'!N$1:N$400,0)),N$2,)</f>
        <v>0</v>
      </c>
      <c r="O251" s="179">
        <f ca="1">IF(ISNUMBER(MATCH(DATEVALUE($A251),'recurring1_based on steps'!O$1:O$400,0)),O$2,)</f>
        <v>0</v>
      </c>
      <c r="P251" s="179">
        <f ca="1">IF(ISNUMBER(MATCH(DATEVALUE($A251),'recurring1_based on steps'!P$1:P$400,0)),P$2,)</f>
        <v>0</v>
      </c>
      <c r="Q251" s="179">
        <f ca="1">IF(ISNUMBER(MATCH(DATEVALUE($A251),'recurring1_based on steps'!Q$1:Q$400,0)),Q$2,)</f>
        <v>0</v>
      </c>
      <c r="R251" s="179">
        <f ca="1">IF(ISNUMBER(MATCH(DATEVALUE($A251),'recurring1_based on steps'!R$1:R$400,0)),R$2,)</f>
        <v>0</v>
      </c>
      <c r="S251" s="179">
        <f ca="1">IF(ISNUMBER(MATCH(DATEVALUE($A251),'recurring1_based on steps'!S$1:S$400,0)),S$2,)</f>
        <v>0</v>
      </c>
      <c r="T251" s="179">
        <f ca="1">IF(ISNUMBER(MATCH(DATEVALUE($A251),'recurring1_based on steps'!T$1:T$400,0)),T$2,)</f>
        <v>0</v>
      </c>
      <c r="U251" s="179">
        <f ca="1">IF(ISNUMBER(MATCH(DATEVALUE($A251),'recurring1_based on steps'!U$1:U$400,0)),U$2,)</f>
        <v>0</v>
      </c>
      <c r="V251" s="179">
        <f ca="1">IF(ISNUMBER(MATCH(DATEVALUE($A251),'recurring1_based on steps'!V$1:V$400,0)),V$2,)</f>
        <v>0</v>
      </c>
      <c r="W251" s="179">
        <f ca="1">IF(ISNUMBER(MATCH(DATEVALUE($A251),'recurring1_based on steps'!W$1:W$400,0)),W$2,)</f>
        <v>0</v>
      </c>
      <c r="X251" s="179">
        <f ca="1">IF(ISNUMBER(MATCH(DATEVALUE($A251),'recurring1_based on steps'!X$1:X$400,0)),X$2,)</f>
        <v>0</v>
      </c>
      <c r="Y251" s="179">
        <f ca="1">IF(ISNUMBER(MATCH(DATEVALUE($A251),'recurring1_based on steps'!Y$1:Y$400,0)),Y$2,)</f>
        <v>0</v>
      </c>
      <c r="Z251" s="179">
        <f ca="1">IF(ISNUMBER(MATCH(DATEVALUE($A251),'recurring1_based on steps'!Z$1:Z$400,0)),Z$2,)</f>
        <v>0</v>
      </c>
      <c r="AA251" s="179">
        <f ca="1">IF(ISNUMBER(MATCH(DATEVALUE($A251),'recurring1_based on steps'!AA$1:AA$400,0)),AA$2,)</f>
        <v>0</v>
      </c>
      <c r="AB251" s="179">
        <f ca="1">IF(ISNUMBER(MATCH(DATEVALUE($A251),'recurring1_based on steps'!AB$1:AB$400,0)),AB$2,)</f>
        <v>0</v>
      </c>
      <c r="AC251" s="179">
        <f ca="1">IF(ISNUMBER(MATCH(DATEVALUE($A251),'recurring1_based on steps'!AC$1:AC$400,0)),AC$2,)</f>
        <v>0</v>
      </c>
      <c r="AD251" s="179">
        <f ca="1">IF(ISNUMBER(MATCH(DATEVALUE($A251),'recurring1_based on steps'!AD$1:AD$400,0)),AD$2,)</f>
        <v>0</v>
      </c>
      <c r="AE251" s="179">
        <f ca="1">IF(ISNUMBER(MATCH(DATEVALUE($A251),'recurring1_based on steps'!AE$1:AE$400,0)),AE$2,)</f>
        <v>0</v>
      </c>
      <c r="AF251" s="179">
        <f ca="1">IF(ISNUMBER(MATCH(DATEVALUE($A251),'recurring1_based on steps'!AF$1:AF$400,0)),AF$2,)</f>
        <v>0</v>
      </c>
      <c r="AG251" s="179">
        <f ca="1">IF(ISNUMBER(MATCH(DATEVALUE($A251),'recurring1_based on steps'!AG$1:AG$400,0)),AG$2,)</f>
        <v>0</v>
      </c>
      <c r="AH251" s="179">
        <f ca="1">IF(ISNUMBER(MATCH(DATEVALUE($A251),'recurring1_based on steps'!AH$1:AH$400,0)),AH$2,)</f>
        <v>0</v>
      </c>
      <c r="AI251" s="179">
        <f ca="1">IF(ISNUMBER(MATCH(DATEVALUE($A251),'recurring1_based on steps'!AI$1:AI$400,0)),AI$2,)</f>
        <v>0</v>
      </c>
      <c r="AJ251" s="179">
        <f ca="1">IF(ISNUMBER(MATCH(DATEVALUE($A251),'recurring1_based on steps'!AJ$1:AJ$400,0)),AJ$2,)</f>
        <v>0</v>
      </c>
      <c r="AK251" s="179">
        <f ca="1">IF(ISNUMBER(MATCH(DATEVALUE($A251),'recurring1_based on steps'!AK$1:AK$400,0)),AK$2,)</f>
        <v>0</v>
      </c>
      <c r="AL251" s="179">
        <f ca="1">IF(ISNUMBER(MATCH(DATEVALUE($A251),'recurring1_based on steps'!AL$1:AL$400,0)),AL$2,)</f>
        <v>0</v>
      </c>
      <c r="AM251" s="179">
        <f ca="1">IF(ISNUMBER(MATCH(DATEVALUE($A251),'recurring1_based on steps'!AM$1:AM$400,0)),AM$2,)</f>
        <v>0</v>
      </c>
      <c r="AN251" s="179">
        <f ca="1">IF(ISNUMBER(MATCH(DATEVALUE($A251),'recurring1_based on steps'!AN$1:AN$400,0)),AN$2,)</f>
        <v>0</v>
      </c>
      <c r="AO251" s="179">
        <f ca="1">IF(ISNUMBER(MATCH(DATEVALUE($A251),'recurring1_based on steps'!AO$1:AO$400,0)),AO$2,)</f>
        <v>0</v>
      </c>
      <c r="AP251" s="179">
        <f ca="1">IF(ISNUMBER(MATCH(DATEVALUE($A251),'recurring1_based on steps'!AP$1:AP$400,0)),AP$2,)</f>
        <v>0</v>
      </c>
      <c r="AQ251" s="179">
        <f ca="1">IF(ISNUMBER(MATCH(DATEVALUE($A251),'recurring1_based on steps'!AQ$1:AQ$400,0)),AQ$2,)</f>
        <v>0</v>
      </c>
      <c r="AR251" s="179">
        <f ca="1">IF(ISNUMBER(MATCH(DATEVALUE($A251),'recurring1_based on steps'!AR$1:AR$400,0)),AR$2,)</f>
        <v>0</v>
      </c>
      <c r="AS251" s="179">
        <f ca="1">IF(ISNUMBER(MATCH(DATEVALUE($A251),'recurring1_based on steps'!AS$1:AS$400,0)),AS$2,)</f>
        <v>0</v>
      </c>
      <c r="AT251" s="179">
        <f ca="1">IF(ISNUMBER(MATCH(DATEVALUE($A251),'recurring1_based on steps'!AT$1:AT$400,0)),AT$2,)</f>
        <v>0</v>
      </c>
      <c r="AU251" s="179">
        <f ca="1">IF(ISNUMBER(MATCH(DATEVALUE($A251),'recurring1_based on steps'!AU$1:AU$400,0)),AU$2,)</f>
        <v>0</v>
      </c>
      <c r="AV251" s="179">
        <f ca="1">IF(ISNUMBER(MATCH(DATEVALUE($A251),'recurring1_based on steps'!AV$1:AV$400,0)),AV$2,)</f>
        <v>0</v>
      </c>
      <c r="AW251" s="179">
        <f ca="1">IF(ISNUMBER(MATCH(DATEVALUE($A251),'recurring1_based on steps'!AW$1:AW$400,0)),AW$2,)</f>
        <v>0</v>
      </c>
      <c r="AX251" s="179">
        <f ca="1">IF(ISNUMBER(MATCH(DATEVALUE($A251),'recurring1_based on steps'!AX$1:AX$400,0)),AX$2,)</f>
        <v>0</v>
      </c>
      <c r="AY251" s="179">
        <f ca="1">IF(ISNUMBER(MATCH(DATEVALUE($A251),'recurring1_based on steps'!AY$1:AY$400,0)),AY$2,)</f>
        <v>0</v>
      </c>
    </row>
    <row r="252" spans="1:51" x14ac:dyDescent="0.2">
      <c r="A252" s="32" t="str">
        <f t="shared" ca="1" si="3"/>
        <v>2025-12-03</v>
      </c>
      <c r="B252" s="179">
        <f ca="1">IF(ISNUMBER(MATCH(DATEVALUE($A252),'recurring1_based on steps'!B$1:B$400,0)),B$2,)</f>
        <v>0</v>
      </c>
      <c r="C252" s="179">
        <f ca="1">IF(ISNUMBER(MATCH(DATEVALUE($A252),'recurring1_based on steps'!C$1:C$400,0)),C$2,)</f>
        <v>0</v>
      </c>
      <c r="D252" s="179">
        <f ca="1">IF(ISNUMBER(MATCH(DATEVALUE($A252),'recurring1_based on steps'!D$1:D$400,0)),D$2,)</f>
        <v>0</v>
      </c>
      <c r="E252" s="179">
        <f ca="1">IF(ISNUMBER(MATCH(DATEVALUE($A252),'recurring1_based on steps'!E$1:E$400,0)),E$2,)</f>
        <v>0</v>
      </c>
      <c r="F252" s="179">
        <f ca="1">IF(ISNUMBER(MATCH(DATEVALUE($A252),'recurring1_based on steps'!F$1:F$400,0)),F$2,)</f>
        <v>0</v>
      </c>
      <c r="G252" s="179">
        <f ca="1">IF(ISNUMBER(MATCH(DATEVALUE($A252),'recurring1_based on steps'!G$1:G$400,0)),G$2,)</f>
        <v>0</v>
      </c>
      <c r="H252" s="179">
        <f ca="1">IF(ISNUMBER(MATCH(DATEVALUE($A252),'recurring1_based on steps'!H$1:H$400,0)),H$2,)</f>
        <v>0</v>
      </c>
      <c r="I252" s="179">
        <f ca="1">IF(ISNUMBER(MATCH(DATEVALUE($A252),'recurring1_based on steps'!I$1:I$400,0)),I$2,)</f>
        <v>0</v>
      </c>
      <c r="J252" s="179">
        <f ca="1">IF(ISNUMBER(MATCH(DATEVALUE($A252),'recurring1_based on steps'!J$1:J$400,0)),J$2,)</f>
        <v>0</v>
      </c>
      <c r="K252" s="179">
        <f ca="1">IF(ISNUMBER(MATCH(DATEVALUE($A252),'recurring1_based on steps'!K$1:K$400,0)),K$2,)</f>
        <v>0</v>
      </c>
      <c r="L252" s="179">
        <f ca="1">IF(ISNUMBER(MATCH(DATEVALUE($A252),'recurring1_based on steps'!L$1:L$400,0)),L$2,)</f>
        <v>0</v>
      </c>
      <c r="M252" s="179">
        <f ca="1">IF(ISNUMBER(MATCH(DATEVALUE($A252),'recurring1_based on steps'!M$1:M$400,0)),M$2,)</f>
        <v>0</v>
      </c>
      <c r="N252" s="179">
        <f ca="1">IF(ISNUMBER(MATCH(DATEVALUE($A252),'recurring1_based on steps'!N$1:N$400,0)),N$2,)</f>
        <v>0</v>
      </c>
      <c r="O252" s="179">
        <f ca="1">IF(ISNUMBER(MATCH(DATEVALUE($A252),'recurring1_based on steps'!O$1:O$400,0)),O$2,)</f>
        <v>0</v>
      </c>
      <c r="P252" s="179">
        <f ca="1">IF(ISNUMBER(MATCH(DATEVALUE($A252),'recurring1_based on steps'!P$1:P$400,0)),P$2,)</f>
        <v>0</v>
      </c>
      <c r="Q252" s="179">
        <f ca="1">IF(ISNUMBER(MATCH(DATEVALUE($A252),'recurring1_based on steps'!Q$1:Q$400,0)),Q$2,)</f>
        <v>0</v>
      </c>
      <c r="R252" s="179">
        <f ca="1">IF(ISNUMBER(MATCH(DATEVALUE($A252),'recurring1_based on steps'!R$1:R$400,0)),R$2,)</f>
        <v>0</v>
      </c>
      <c r="S252" s="179">
        <f ca="1">IF(ISNUMBER(MATCH(DATEVALUE($A252),'recurring1_based on steps'!S$1:S$400,0)),S$2,)</f>
        <v>0</v>
      </c>
      <c r="T252" s="179">
        <f ca="1">IF(ISNUMBER(MATCH(DATEVALUE($A252),'recurring1_based on steps'!T$1:T$400,0)),T$2,)</f>
        <v>0</v>
      </c>
      <c r="U252" s="179">
        <f ca="1">IF(ISNUMBER(MATCH(DATEVALUE($A252),'recurring1_based on steps'!U$1:U$400,0)),U$2,)</f>
        <v>0</v>
      </c>
      <c r="V252" s="179">
        <f ca="1">IF(ISNUMBER(MATCH(DATEVALUE($A252),'recurring1_based on steps'!V$1:V$400,0)),V$2,)</f>
        <v>0</v>
      </c>
      <c r="W252" s="179">
        <f ca="1">IF(ISNUMBER(MATCH(DATEVALUE($A252),'recurring1_based on steps'!W$1:W$400,0)),W$2,)</f>
        <v>0</v>
      </c>
      <c r="X252" s="179">
        <f ca="1">IF(ISNUMBER(MATCH(DATEVALUE($A252),'recurring1_based on steps'!X$1:X$400,0)),X$2,)</f>
        <v>0</v>
      </c>
      <c r="Y252" s="179">
        <f ca="1">IF(ISNUMBER(MATCH(DATEVALUE($A252),'recurring1_based on steps'!Y$1:Y$400,0)),Y$2,)</f>
        <v>0</v>
      </c>
      <c r="Z252" s="179">
        <f ca="1">IF(ISNUMBER(MATCH(DATEVALUE($A252),'recurring1_based on steps'!Z$1:Z$400,0)),Z$2,)</f>
        <v>0</v>
      </c>
      <c r="AA252" s="179">
        <f ca="1">IF(ISNUMBER(MATCH(DATEVALUE($A252),'recurring1_based on steps'!AA$1:AA$400,0)),AA$2,)</f>
        <v>0</v>
      </c>
      <c r="AB252" s="179">
        <f ca="1">IF(ISNUMBER(MATCH(DATEVALUE($A252),'recurring1_based on steps'!AB$1:AB$400,0)),AB$2,)</f>
        <v>0</v>
      </c>
      <c r="AC252" s="179">
        <f ca="1">IF(ISNUMBER(MATCH(DATEVALUE($A252),'recurring1_based on steps'!AC$1:AC$400,0)),AC$2,)</f>
        <v>0</v>
      </c>
      <c r="AD252" s="179">
        <f ca="1">IF(ISNUMBER(MATCH(DATEVALUE($A252),'recurring1_based on steps'!AD$1:AD$400,0)),AD$2,)</f>
        <v>0</v>
      </c>
      <c r="AE252" s="179">
        <f ca="1">IF(ISNUMBER(MATCH(DATEVALUE($A252),'recurring1_based on steps'!AE$1:AE$400,0)),AE$2,)</f>
        <v>0</v>
      </c>
      <c r="AF252" s="179">
        <f ca="1">IF(ISNUMBER(MATCH(DATEVALUE($A252),'recurring1_based on steps'!AF$1:AF$400,0)),AF$2,)</f>
        <v>0</v>
      </c>
      <c r="AG252" s="179">
        <f ca="1">IF(ISNUMBER(MATCH(DATEVALUE($A252),'recurring1_based on steps'!AG$1:AG$400,0)),AG$2,)</f>
        <v>0</v>
      </c>
      <c r="AH252" s="179">
        <f ca="1">IF(ISNUMBER(MATCH(DATEVALUE($A252),'recurring1_based on steps'!AH$1:AH$400,0)),AH$2,)</f>
        <v>0</v>
      </c>
      <c r="AI252" s="179">
        <f ca="1">IF(ISNUMBER(MATCH(DATEVALUE($A252),'recurring1_based on steps'!AI$1:AI$400,0)),AI$2,)</f>
        <v>0</v>
      </c>
      <c r="AJ252" s="179">
        <f ca="1">IF(ISNUMBER(MATCH(DATEVALUE($A252),'recurring1_based on steps'!AJ$1:AJ$400,0)),AJ$2,)</f>
        <v>0</v>
      </c>
      <c r="AK252" s="179">
        <f ca="1">IF(ISNUMBER(MATCH(DATEVALUE($A252),'recurring1_based on steps'!AK$1:AK$400,0)),AK$2,)</f>
        <v>0</v>
      </c>
      <c r="AL252" s="179">
        <f ca="1">IF(ISNUMBER(MATCH(DATEVALUE($A252),'recurring1_based on steps'!AL$1:AL$400,0)),AL$2,)</f>
        <v>0</v>
      </c>
      <c r="AM252" s="179">
        <f ca="1">IF(ISNUMBER(MATCH(DATEVALUE($A252),'recurring1_based on steps'!AM$1:AM$400,0)),AM$2,)</f>
        <v>0</v>
      </c>
      <c r="AN252" s="179">
        <f ca="1">IF(ISNUMBER(MATCH(DATEVALUE($A252),'recurring1_based on steps'!AN$1:AN$400,0)),AN$2,)</f>
        <v>0</v>
      </c>
      <c r="AO252" s="179">
        <f ca="1">IF(ISNUMBER(MATCH(DATEVALUE($A252),'recurring1_based on steps'!AO$1:AO$400,0)),AO$2,)</f>
        <v>0</v>
      </c>
      <c r="AP252" s="179">
        <f ca="1">IF(ISNUMBER(MATCH(DATEVALUE($A252),'recurring1_based on steps'!AP$1:AP$400,0)),AP$2,)</f>
        <v>0</v>
      </c>
      <c r="AQ252" s="179">
        <f ca="1">IF(ISNUMBER(MATCH(DATEVALUE($A252),'recurring1_based on steps'!AQ$1:AQ$400,0)),AQ$2,)</f>
        <v>0</v>
      </c>
      <c r="AR252" s="179">
        <f ca="1">IF(ISNUMBER(MATCH(DATEVALUE($A252),'recurring1_based on steps'!AR$1:AR$400,0)),AR$2,)</f>
        <v>0</v>
      </c>
      <c r="AS252" s="179">
        <f ca="1">IF(ISNUMBER(MATCH(DATEVALUE($A252),'recurring1_based on steps'!AS$1:AS$400,0)),AS$2,)</f>
        <v>0</v>
      </c>
      <c r="AT252" s="179">
        <f ca="1">IF(ISNUMBER(MATCH(DATEVALUE($A252),'recurring1_based on steps'!AT$1:AT$400,0)),AT$2,)</f>
        <v>0</v>
      </c>
      <c r="AU252" s="179">
        <f ca="1">IF(ISNUMBER(MATCH(DATEVALUE($A252),'recurring1_based on steps'!AU$1:AU$400,0)),AU$2,)</f>
        <v>0</v>
      </c>
      <c r="AV252" s="179">
        <f ca="1">IF(ISNUMBER(MATCH(DATEVALUE($A252),'recurring1_based on steps'!AV$1:AV$400,0)),AV$2,)</f>
        <v>0</v>
      </c>
      <c r="AW252" s="179">
        <f ca="1">IF(ISNUMBER(MATCH(DATEVALUE($A252),'recurring1_based on steps'!AW$1:AW$400,0)),AW$2,)</f>
        <v>0</v>
      </c>
      <c r="AX252" s="179">
        <f ca="1">IF(ISNUMBER(MATCH(DATEVALUE($A252),'recurring1_based on steps'!AX$1:AX$400,0)),AX$2,)</f>
        <v>0</v>
      </c>
      <c r="AY252" s="179">
        <f ca="1">IF(ISNUMBER(MATCH(DATEVALUE($A252),'recurring1_based on steps'!AY$1:AY$400,0)),AY$2,)</f>
        <v>0</v>
      </c>
    </row>
    <row r="253" spans="1:51" x14ac:dyDescent="0.2">
      <c r="A253" s="32" t="str">
        <f t="shared" ca="1" si="3"/>
        <v>2025-12-04</v>
      </c>
      <c r="B253" s="179">
        <f ca="1">IF(ISNUMBER(MATCH(DATEVALUE($A253),'recurring1_based on steps'!B$1:B$400,0)),B$2,)</f>
        <v>0</v>
      </c>
      <c r="C253" s="179">
        <f ca="1">IF(ISNUMBER(MATCH(DATEVALUE($A253),'recurring1_based on steps'!C$1:C$400,0)),C$2,)</f>
        <v>0</v>
      </c>
      <c r="D253" s="179">
        <f ca="1">IF(ISNUMBER(MATCH(DATEVALUE($A253),'recurring1_based on steps'!D$1:D$400,0)),D$2,)</f>
        <v>0</v>
      </c>
      <c r="E253" s="179">
        <f ca="1">IF(ISNUMBER(MATCH(DATEVALUE($A253),'recurring1_based on steps'!E$1:E$400,0)),E$2,)</f>
        <v>0</v>
      </c>
      <c r="F253" s="179">
        <f ca="1">IF(ISNUMBER(MATCH(DATEVALUE($A253),'recurring1_based on steps'!F$1:F$400,0)),F$2,)</f>
        <v>0</v>
      </c>
      <c r="G253" s="179">
        <f ca="1">IF(ISNUMBER(MATCH(DATEVALUE($A253),'recurring1_based on steps'!G$1:G$400,0)),G$2,)</f>
        <v>0</v>
      </c>
      <c r="H253" s="179">
        <f ca="1">IF(ISNUMBER(MATCH(DATEVALUE($A253),'recurring1_based on steps'!H$1:H$400,0)),H$2,)</f>
        <v>0</v>
      </c>
      <c r="I253" s="179">
        <f ca="1">IF(ISNUMBER(MATCH(DATEVALUE($A253),'recurring1_based on steps'!I$1:I$400,0)),I$2,)</f>
        <v>0</v>
      </c>
      <c r="J253" s="179">
        <f ca="1">IF(ISNUMBER(MATCH(DATEVALUE($A253),'recurring1_based on steps'!J$1:J$400,0)),J$2,)</f>
        <v>0</v>
      </c>
      <c r="K253" s="179">
        <f ca="1">IF(ISNUMBER(MATCH(DATEVALUE($A253),'recurring1_based on steps'!K$1:K$400,0)),K$2,)</f>
        <v>0</v>
      </c>
      <c r="L253" s="179">
        <f ca="1">IF(ISNUMBER(MATCH(DATEVALUE($A253),'recurring1_based on steps'!L$1:L$400,0)),L$2,)</f>
        <v>0</v>
      </c>
      <c r="M253" s="179">
        <f ca="1">IF(ISNUMBER(MATCH(DATEVALUE($A253),'recurring1_based on steps'!M$1:M$400,0)),M$2,)</f>
        <v>0</v>
      </c>
      <c r="N253" s="179">
        <f ca="1">IF(ISNUMBER(MATCH(DATEVALUE($A253),'recurring1_based on steps'!N$1:N$400,0)),N$2,)</f>
        <v>0</v>
      </c>
      <c r="O253" s="179">
        <f ca="1">IF(ISNUMBER(MATCH(DATEVALUE($A253),'recurring1_based on steps'!O$1:O$400,0)),O$2,)</f>
        <v>0</v>
      </c>
      <c r="P253" s="179">
        <f ca="1">IF(ISNUMBER(MATCH(DATEVALUE($A253),'recurring1_based on steps'!P$1:P$400,0)),P$2,)</f>
        <v>0</v>
      </c>
      <c r="Q253" s="179">
        <f ca="1">IF(ISNUMBER(MATCH(DATEVALUE($A253),'recurring1_based on steps'!Q$1:Q$400,0)),Q$2,)</f>
        <v>0</v>
      </c>
      <c r="R253" s="179">
        <f ca="1">IF(ISNUMBER(MATCH(DATEVALUE($A253),'recurring1_based on steps'!R$1:R$400,0)),R$2,)</f>
        <v>0</v>
      </c>
      <c r="S253" s="179">
        <f ca="1">IF(ISNUMBER(MATCH(DATEVALUE($A253),'recurring1_based on steps'!S$1:S$400,0)),S$2,)</f>
        <v>0</v>
      </c>
      <c r="T253" s="179">
        <f ca="1">IF(ISNUMBER(MATCH(DATEVALUE($A253),'recurring1_based on steps'!T$1:T$400,0)),T$2,)</f>
        <v>0</v>
      </c>
      <c r="U253" s="179">
        <f ca="1">IF(ISNUMBER(MATCH(DATEVALUE($A253),'recurring1_based on steps'!U$1:U$400,0)),U$2,)</f>
        <v>0</v>
      </c>
      <c r="V253" s="179">
        <f ca="1">IF(ISNUMBER(MATCH(DATEVALUE($A253),'recurring1_based on steps'!V$1:V$400,0)),V$2,)</f>
        <v>0</v>
      </c>
      <c r="W253" s="179">
        <f ca="1">IF(ISNUMBER(MATCH(DATEVALUE($A253),'recurring1_based on steps'!W$1:W$400,0)),W$2,)</f>
        <v>0</v>
      </c>
      <c r="X253" s="179">
        <f ca="1">IF(ISNUMBER(MATCH(DATEVALUE($A253),'recurring1_based on steps'!X$1:X$400,0)),X$2,)</f>
        <v>0</v>
      </c>
      <c r="Y253" s="179">
        <f ca="1">IF(ISNUMBER(MATCH(DATEVALUE($A253),'recurring1_based on steps'!Y$1:Y$400,0)),Y$2,)</f>
        <v>0</v>
      </c>
      <c r="Z253" s="179">
        <f ca="1">IF(ISNUMBER(MATCH(DATEVALUE($A253),'recurring1_based on steps'!Z$1:Z$400,0)),Z$2,)</f>
        <v>0</v>
      </c>
      <c r="AA253" s="179">
        <f ca="1">IF(ISNUMBER(MATCH(DATEVALUE($A253),'recurring1_based on steps'!AA$1:AA$400,0)),AA$2,)</f>
        <v>0</v>
      </c>
      <c r="AB253" s="179">
        <f ca="1">IF(ISNUMBER(MATCH(DATEVALUE($A253),'recurring1_based on steps'!AB$1:AB$400,0)),AB$2,)</f>
        <v>0</v>
      </c>
      <c r="AC253" s="179">
        <f ca="1">IF(ISNUMBER(MATCH(DATEVALUE($A253),'recurring1_based on steps'!AC$1:AC$400,0)),AC$2,)</f>
        <v>0</v>
      </c>
      <c r="AD253" s="179">
        <f ca="1">IF(ISNUMBER(MATCH(DATEVALUE($A253),'recurring1_based on steps'!AD$1:AD$400,0)),AD$2,)</f>
        <v>0</v>
      </c>
      <c r="AE253" s="179">
        <f ca="1">IF(ISNUMBER(MATCH(DATEVALUE($A253),'recurring1_based on steps'!AE$1:AE$400,0)),AE$2,)</f>
        <v>0</v>
      </c>
      <c r="AF253" s="179">
        <f ca="1">IF(ISNUMBER(MATCH(DATEVALUE($A253),'recurring1_based on steps'!AF$1:AF$400,0)),AF$2,)</f>
        <v>0</v>
      </c>
      <c r="AG253" s="179">
        <f ca="1">IF(ISNUMBER(MATCH(DATEVALUE($A253),'recurring1_based on steps'!AG$1:AG$400,0)),AG$2,)</f>
        <v>0</v>
      </c>
      <c r="AH253" s="179">
        <f ca="1">IF(ISNUMBER(MATCH(DATEVALUE($A253),'recurring1_based on steps'!AH$1:AH$400,0)),AH$2,)</f>
        <v>0</v>
      </c>
      <c r="AI253" s="179">
        <f ca="1">IF(ISNUMBER(MATCH(DATEVALUE($A253),'recurring1_based on steps'!AI$1:AI$400,0)),AI$2,)</f>
        <v>0</v>
      </c>
      <c r="AJ253" s="179">
        <f ca="1">IF(ISNUMBER(MATCH(DATEVALUE($A253),'recurring1_based on steps'!AJ$1:AJ$400,0)),AJ$2,)</f>
        <v>0</v>
      </c>
      <c r="AK253" s="179">
        <f ca="1">IF(ISNUMBER(MATCH(DATEVALUE($A253),'recurring1_based on steps'!AK$1:AK$400,0)),AK$2,)</f>
        <v>0</v>
      </c>
      <c r="AL253" s="179">
        <f ca="1">IF(ISNUMBER(MATCH(DATEVALUE($A253),'recurring1_based on steps'!AL$1:AL$400,0)),AL$2,)</f>
        <v>0</v>
      </c>
      <c r="AM253" s="179">
        <f ca="1">IF(ISNUMBER(MATCH(DATEVALUE($A253),'recurring1_based on steps'!AM$1:AM$400,0)),AM$2,)</f>
        <v>0</v>
      </c>
      <c r="AN253" s="179">
        <f ca="1">IF(ISNUMBER(MATCH(DATEVALUE($A253),'recurring1_based on steps'!AN$1:AN$400,0)),AN$2,)</f>
        <v>0</v>
      </c>
      <c r="AO253" s="179">
        <f ca="1">IF(ISNUMBER(MATCH(DATEVALUE($A253),'recurring1_based on steps'!AO$1:AO$400,0)),AO$2,)</f>
        <v>0</v>
      </c>
      <c r="AP253" s="179">
        <f ca="1">IF(ISNUMBER(MATCH(DATEVALUE($A253),'recurring1_based on steps'!AP$1:AP$400,0)),AP$2,)</f>
        <v>0</v>
      </c>
      <c r="AQ253" s="179">
        <f ca="1">IF(ISNUMBER(MATCH(DATEVALUE($A253),'recurring1_based on steps'!AQ$1:AQ$400,0)),AQ$2,)</f>
        <v>0</v>
      </c>
      <c r="AR253" s="179">
        <f ca="1">IF(ISNUMBER(MATCH(DATEVALUE($A253),'recurring1_based on steps'!AR$1:AR$400,0)),AR$2,)</f>
        <v>0</v>
      </c>
      <c r="AS253" s="179">
        <f ca="1">IF(ISNUMBER(MATCH(DATEVALUE($A253),'recurring1_based on steps'!AS$1:AS$400,0)),AS$2,)</f>
        <v>0</v>
      </c>
      <c r="AT253" s="179">
        <f ca="1">IF(ISNUMBER(MATCH(DATEVALUE($A253),'recurring1_based on steps'!AT$1:AT$400,0)),AT$2,)</f>
        <v>0</v>
      </c>
      <c r="AU253" s="179">
        <f ca="1">IF(ISNUMBER(MATCH(DATEVALUE($A253),'recurring1_based on steps'!AU$1:AU$400,0)),AU$2,)</f>
        <v>0</v>
      </c>
      <c r="AV253" s="179">
        <f ca="1">IF(ISNUMBER(MATCH(DATEVALUE($A253),'recurring1_based on steps'!AV$1:AV$400,0)),AV$2,)</f>
        <v>0</v>
      </c>
      <c r="AW253" s="179">
        <f ca="1">IF(ISNUMBER(MATCH(DATEVALUE($A253),'recurring1_based on steps'!AW$1:AW$400,0)),AW$2,)</f>
        <v>0</v>
      </c>
      <c r="AX253" s="179">
        <f ca="1">IF(ISNUMBER(MATCH(DATEVALUE($A253),'recurring1_based on steps'!AX$1:AX$400,0)),AX$2,)</f>
        <v>0</v>
      </c>
      <c r="AY253" s="179">
        <f ca="1">IF(ISNUMBER(MATCH(DATEVALUE($A253),'recurring1_based on steps'!AY$1:AY$400,0)),AY$2,)</f>
        <v>0</v>
      </c>
    </row>
    <row r="254" spans="1:51" x14ac:dyDescent="0.2">
      <c r="A254" s="32" t="str">
        <f t="shared" ca="1" si="3"/>
        <v>2025-12-05</v>
      </c>
      <c r="B254" s="179">
        <f ca="1">IF(ISNUMBER(MATCH(DATEVALUE($A254),'recurring1_based on steps'!B$1:B$400,0)),B$2,)</f>
        <v>0</v>
      </c>
      <c r="C254" s="179">
        <f ca="1">IF(ISNUMBER(MATCH(DATEVALUE($A254),'recurring1_based on steps'!C$1:C$400,0)),C$2,)</f>
        <v>0</v>
      </c>
      <c r="D254" s="179">
        <f ca="1">IF(ISNUMBER(MATCH(DATEVALUE($A254),'recurring1_based on steps'!D$1:D$400,0)),D$2,)</f>
        <v>0</v>
      </c>
      <c r="E254" s="179">
        <f ca="1">IF(ISNUMBER(MATCH(DATEVALUE($A254),'recurring1_based on steps'!E$1:E$400,0)),E$2,)</f>
        <v>0</v>
      </c>
      <c r="F254" s="179">
        <f ca="1">IF(ISNUMBER(MATCH(DATEVALUE($A254),'recurring1_based on steps'!F$1:F$400,0)),F$2,)</f>
        <v>0</v>
      </c>
      <c r="G254" s="179">
        <f ca="1">IF(ISNUMBER(MATCH(DATEVALUE($A254),'recurring1_based on steps'!G$1:G$400,0)),G$2,)</f>
        <v>0</v>
      </c>
      <c r="H254" s="179">
        <f ca="1">IF(ISNUMBER(MATCH(DATEVALUE($A254),'recurring1_based on steps'!H$1:H$400,0)),H$2,)</f>
        <v>0</v>
      </c>
      <c r="I254" s="179">
        <f ca="1">IF(ISNUMBER(MATCH(DATEVALUE($A254),'recurring1_based on steps'!I$1:I$400,0)),I$2,)</f>
        <v>0</v>
      </c>
      <c r="J254" s="179">
        <f ca="1">IF(ISNUMBER(MATCH(DATEVALUE($A254),'recurring1_based on steps'!J$1:J$400,0)),J$2,)</f>
        <v>0</v>
      </c>
      <c r="K254" s="179">
        <f ca="1">IF(ISNUMBER(MATCH(DATEVALUE($A254),'recurring1_based on steps'!K$1:K$400,0)),K$2,)</f>
        <v>0</v>
      </c>
      <c r="L254" s="179">
        <f ca="1">IF(ISNUMBER(MATCH(DATEVALUE($A254),'recurring1_based on steps'!L$1:L$400,0)),L$2,)</f>
        <v>0</v>
      </c>
      <c r="M254" s="179">
        <f ca="1">IF(ISNUMBER(MATCH(DATEVALUE($A254),'recurring1_based on steps'!M$1:M$400,0)),M$2,)</f>
        <v>0</v>
      </c>
      <c r="N254" s="179">
        <f ca="1">IF(ISNUMBER(MATCH(DATEVALUE($A254),'recurring1_based on steps'!N$1:N$400,0)),N$2,)</f>
        <v>0</v>
      </c>
      <c r="O254" s="179">
        <f ca="1">IF(ISNUMBER(MATCH(DATEVALUE($A254),'recurring1_based on steps'!O$1:O$400,0)),O$2,)</f>
        <v>0</v>
      </c>
      <c r="P254" s="179">
        <f ca="1">IF(ISNUMBER(MATCH(DATEVALUE($A254),'recurring1_based on steps'!P$1:P$400,0)),P$2,)</f>
        <v>0</v>
      </c>
      <c r="Q254" s="179">
        <f ca="1">IF(ISNUMBER(MATCH(DATEVALUE($A254),'recurring1_based on steps'!Q$1:Q$400,0)),Q$2,)</f>
        <v>0</v>
      </c>
      <c r="R254" s="179">
        <f ca="1">IF(ISNUMBER(MATCH(DATEVALUE($A254),'recurring1_based on steps'!R$1:R$400,0)),R$2,)</f>
        <v>0</v>
      </c>
      <c r="S254" s="179">
        <f ca="1">IF(ISNUMBER(MATCH(DATEVALUE($A254),'recurring1_based on steps'!S$1:S$400,0)),S$2,)</f>
        <v>0</v>
      </c>
      <c r="T254" s="179">
        <f ca="1">IF(ISNUMBER(MATCH(DATEVALUE($A254),'recurring1_based on steps'!T$1:T$400,0)),T$2,)</f>
        <v>0</v>
      </c>
      <c r="U254" s="179">
        <f ca="1">IF(ISNUMBER(MATCH(DATEVALUE($A254),'recurring1_based on steps'!U$1:U$400,0)),U$2,)</f>
        <v>0</v>
      </c>
      <c r="V254" s="179">
        <f ca="1">IF(ISNUMBER(MATCH(DATEVALUE($A254),'recurring1_based on steps'!V$1:V$400,0)),V$2,)</f>
        <v>0</v>
      </c>
      <c r="W254" s="179">
        <f ca="1">IF(ISNUMBER(MATCH(DATEVALUE($A254),'recurring1_based on steps'!W$1:W$400,0)),W$2,)</f>
        <v>0</v>
      </c>
      <c r="X254" s="179">
        <f ca="1">IF(ISNUMBER(MATCH(DATEVALUE($A254),'recurring1_based on steps'!X$1:X$400,0)),X$2,)</f>
        <v>0</v>
      </c>
      <c r="Y254" s="179">
        <f ca="1">IF(ISNUMBER(MATCH(DATEVALUE($A254),'recurring1_based on steps'!Y$1:Y$400,0)),Y$2,)</f>
        <v>0</v>
      </c>
      <c r="Z254" s="179">
        <f ca="1">IF(ISNUMBER(MATCH(DATEVALUE($A254),'recurring1_based on steps'!Z$1:Z$400,0)),Z$2,)</f>
        <v>0</v>
      </c>
      <c r="AA254" s="179">
        <f ca="1">IF(ISNUMBER(MATCH(DATEVALUE($A254),'recurring1_based on steps'!AA$1:AA$400,0)),AA$2,)</f>
        <v>0</v>
      </c>
      <c r="AB254" s="179">
        <f ca="1">IF(ISNUMBER(MATCH(DATEVALUE($A254),'recurring1_based on steps'!AB$1:AB$400,0)),AB$2,)</f>
        <v>0</v>
      </c>
      <c r="AC254" s="179">
        <f ca="1">IF(ISNUMBER(MATCH(DATEVALUE($A254),'recurring1_based on steps'!AC$1:AC$400,0)),AC$2,)</f>
        <v>0</v>
      </c>
      <c r="AD254" s="179">
        <f ca="1">IF(ISNUMBER(MATCH(DATEVALUE($A254),'recurring1_based on steps'!AD$1:AD$400,0)),AD$2,)</f>
        <v>0</v>
      </c>
      <c r="AE254" s="179">
        <f ca="1">IF(ISNUMBER(MATCH(DATEVALUE($A254),'recurring1_based on steps'!AE$1:AE$400,0)),AE$2,)</f>
        <v>0</v>
      </c>
      <c r="AF254" s="179">
        <f ca="1">IF(ISNUMBER(MATCH(DATEVALUE($A254),'recurring1_based on steps'!AF$1:AF$400,0)),AF$2,)</f>
        <v>0</v>
      </c>
      <c r="AG254" s="179">
        <f ca="1">IF(ISNUMBER(MATCH(DATEVALUE($A254),'recurring1_based on steps'!AG$1:AG$400,0)),AG$2,)</f>
        <v>0</v>
      </c>
      <c r="AH254" s="179">
        <f ca="1">IF(ISNUMBER(MATCH(DATEVALUE($A254),'recurring1_based on steps'!AH$1:AH$400,0)),AH$2,)</f>
        <v>0</v>
      </c>
      <c r="AI254" s="179">
        <f ca="1">IF(ISNUMBER(MATCH(DATEVALUE($A254),'recurring1_based on steps'!AI$1:AI$400,0)),AI$2,)</f>
        <v>0</v>
      </c>
      <c r="AJ254" s="179">
        <f ca="1">IF(ISNUMBER(MATCH(DATEVALUE($A254),'recurring1_based on steps'!AJ$1:AJ$400,0)),AJ$2,)</f>
        <v>0</v>
      </c>
      <c r="AK254" s="179">
        <f ca="1">IF(ISNUMBER(MATCH(DATEVALUE($A254),'recurring1_based on steps'!AK$1:AK$400,0)),AK$2,)</f>
        <v>0</v>
      </c>
      <c r="AL254" s="179">
        <f ca="1">IF(ISNUMBER(MATCH(DATEVALUE($A254),'recurring1_based on steps'!AL$1:AL$400,0)),AL$2,)</f>
        <v>0</v>
      </c>
      <c r="AM254" s="179">
        <f ca="1">IF(ISNUMBER(MATCH(DATEVALUE($A254),'recurring1_based on steps'!AM$1:AM$400,0)),AM$2,)</f>
        <v>0</v>
      </c>
      <c r="AN254" s="179">
        <f ca="1">IF(ISNUMBER(MATCH(DATEVALUE($A254),'recurring1_based on steps'!AN$1:AN$400,0)),AN$2,)</f>
        <v>0</v>
      </c>
      <c r="AO254" s="179">
        <f ca="1">IF(ISNUMBER(MATCH(DATEVALUE($A254),'recurring1_based on steps'!AO$1:AO$400,0)),AO$2,)</f>
        <v>0</v>
      </c>
      <c r="AP254" s="179">
        <f ca="1">IF(ISNUMBER(MATCH(DATEVALUE($A254),'recurring1_based on steps'!AP$1:AP$400,0)),AP$2,)</f>
        <v>0</v>
      </c>
      <c r="AQ254" s="179">
        <f ca="1">IF(ISNUMBER(MATCH(DATEVALUE($A254),'recurring1_based on steps'!AQ$1:AQ$400,0)),AQ$2,)</f>
        <v>0</v>
      </c>
      <c r="AR254" s="179">
        <f ca="1">IF(ISNUMBER(MATCH(DATEVALUE($A254),'recurring1_based on steps'!AR$1:AR$400,0)),AR$2,)</f>
        <v>0</v>
      </c>
      <c r="AS254" s="179">
        <f ca="1">IF(ISNUMBER(MATCH(DATEVALUE($A254),'recurring1_based on steps'!AS$1:AS$400,0)),AS$2,)</f>
        <v>0</v>
      </c>
      <c r="AT254" s="179">
        <f ca="1">IF(ISNUMBER(MATCH(DATEVALUE($A254),'recurring1_based on steps'!AT$1:AT$400,0)),AT$2,)</f>
        <v>0</v>
      </c>
      <c r="AU254" s="179">
        <f ca="1">IF(ISNUMBER(MATCH(DATEVALUE($A254),'recurring1_based on steps'!AU$1:AU$400,0)),AU$2,)</f>
        <v>0</v>
      </c>
      <c r="AV254" s="179">
        <f ca="1">IF(ISNUMBER(MATCH(DATEVALUE($A254),'recurring1_based on steps'!AV$1:AV$400,0)),AV$2,)</f>
        <v>0</v>
      </c>
      <c r="AW254" s="179">
        <f ca="1">IF(ISNUMBER(MATCH(DATEVALUE($A254),'recurring1_based on steps'!AW$1:AW$400,0)),AW$2,)</f>
        <v>0</v>
      </c>
      <c r="AX254" s="179">
        <f ca="1">IF(ISNUMBER(MATCH(DATEVALUE($A254),'recurring1_based on steps'!AX$1:AX$400,0)),AX$2,)</f>
        <v>0</v>
      </c>
      <c r="AY254" s="179">
        <f ca="1">IF(ISNUMBER(MATCH(DATEVALUE($A254),'recurring1_based on steps'!AY$1:AY$400,0)),AY$2,)</f>
        <v>0</v>
      </c>
    </row>
    <row r="255" spans="1:51" x14ac:dyDescent="0.2">
      <c r="A255" s="32" t="str">
        <f t="shared" ca="1" si="3"/>
        <v>2025-12-06</v>
      </c>
      <c r="B255" s="179">
        <f ca="1">IF(ISNUMBER(MATCH(DATEVALUE($A255),'recurring1_based on steps'!B$1:B$400,0)),B$2,)</f>
        <v>0</v>
      </c>
      <c r="C255" s="179">
        <f ca="1">IF(ISNUMBER(MATCH(DATEVALUE($A255),'recurring1_based on steps'!C$1:C$400,0)),C$2,)</f>
        <v>0</v>
      </c>
      <c r="D255" s="179">
        <f ca="1">IF(ISNUMBER(MATCH(DATEVALUE($A255),'recurring1_based on steps'!D$1:D$400,0)),D$2,)</f>
        <v>0</v>
      </c>
      <c r="E255" s="179">
        <f ca="1">IF(ISNUMBER(MATCH(DATEVALUE($A255),'recurring1_based on steps'!E$1:E$400,0)),E$2,)</f>
        <v>0</v>
      </c>
      <c r="F255" s="179">
        <f ca="1">IF(ISNUMBER(MATCH(DATEVALUE($A255),'recurring1_based on steps'!F$1:F$400,0)),F$2,)</f>
        <v>0</v>
      </c>
      <c r="G255" s="179">
        <f ca="1">IF(ISNUMBER(MATCH(DATEVALUE($A255),'recurring1_based on steps'!G$1:G$400,0)),G$2,)</f>
        <v>0</v>
      </c>
      <c r="H255" s="179">
        <f ca="1">IF(ISNUMBER(MATCH(DATEVALUE($A255),'recurring1_based on steps'!H$1:H$400,0)),H$2,)</f>
        <v>0</v>
      </c>
      <c r="I255" s="179">
        <f ca="1">IF(ISNUMBER(MATCH(DATEVALUE($A255),'recurring1_based on steps'!I$1:I$400,0)),I$2,)</f>
        <v>0</v>
      </c>
      <c r="J255" s="179">
        <f ca="1">IF(ISNUMBER(MATCH(DATEVALUE($A255),'recurring1_based on steps'!J$1:J$400,0)),J$2,)</f>
        <v>0</v>
      </c>
      <c r="K255" s="179">
        <f ca="1">IF(ISNUMBER(MATCH(DATEVALUE($A255),'recurring1_based on steps'!K$1:K$400,0)),K$2,)</f>
        <v>0</v>
      </c>
      <c r="L255" s="179">
        <f ca="1">IF(ISNUMBER(MATCH(DATEVALUE($A255),'recurring1_based on steps'!L$1:L$400,0)),L$2,)</f>
        <v>0</v>
      </c>
      <c r="M255" s="179">
        <f ca="1">IF(ISNUMBER(MATCH(DATEVALUE($A255),'recurring1_based on steps'!M$1:M$400,0)),M$2,)</f>
        <v>0</v>
      </c>
      <c r="N255" s="179">
        <f ca="1">IF(ISNUMBER(MATCH(DATEVALUE($A255),'recurring1_based on steps'!N$1:N$400,0)),N$2,)</f>
        <v>0</v>
      </c>
      <c r="O255" s="179">
        <f ca="1">IF(ISNUMBER(MATCH(DATEVALUE($A255),'recurring1_based on steps'!O$1:O$400,0)),O$2,)</f>
        <v>0</v>
      </c>
      <c r="P255" s="179">
        <f ca="1">IF(ISNUMBER(MATCH(DATEVALUE($A255),'recurring1_based on steps'!P$1:P$400,0)),P$2,)</f>
        <v>0</v>
      </c>
      <c r="Q255" s="179">
        <f ca="1">IF(ISNUMBER(MATCH(DATEVALUE($A255),'recurring1_based on steps'!Q$1:Q$400,0)),Q$2,)</f>
        <v>0</v>
      </c>
      <c r="R255" s="179">
        <f ca="1">IF(ISNUMBER(MATCH(DATEVALUE($A255),'recurring1_based on steps'!R$1:R$400,0)),R$2,)</f>
        <v>0</v>
      </c>
      <c r="S255" s="179">
        <f ca="1">IF(ISNUMBER(MATCH(DATEVALUE($A255),'recurring1_based on steps'!S$1:S$400,0)),S$2,)</f>
        <v>0</v>
      </c>
      <c r="T255" s="179">
        <f ca="1">IF(ISNUMBER(MATCH(DATEVALUE($A255),'recurring1_based on steps'!T$1:T$400,0)),T$2,)</f>
        <v>0</v>
      </c>
      <c r="U255" s="179">
        <f ca="1">IF(ISNUMBER(MATCH(DATEVALUE($A255),'recurring1_based on steps'!U$1:U$400,0)),U$2,)</f>
        <v>0</v>
      </c>
      <c r="V255" s="179">
        <f ca="1">IF(ISNUMBER(MATCH(DATEVALUE($A255),'recurring1_based on steps'!V$1:V$400,0)),V$2,)</f>
        <v>0</v>
      </c>
      <c r="W255" s="179">
        <f ca="1">IF(ISNUMBER(MATCH(DATEVALUE($A255),'recurring1_based on steps'!W$1:W$400,0)),W$2,)</f>
        <v>0</v>
      </c>
      <c r="X255" s="179">
        <f ca="1">IF(ISNUMBER(MATCH(DATEVALUE($A255),'recurring1_based on steps'!X$1:X$400,0)),X$2,)</f>
        <v>0</v>
      </c>
      <c r="Y255" s="179">
        <f ca="1">IF(ISNUMBER(MATCH(DATEVALUE($A255),'recurring1_based on steps'!Y$1:Y$400,0)),Y$2,)</f>
        <v>0</v>
      </c>
      <c r="Z255" s="179">
        <f ca="1">IF(ISNUMBER(MATCH(DATEVALUE($A255),'recurring1_based on steps'!Z$1:Z$400,0)),Z$2,)</f>
        <v>0</v>
      </c>
      <c r="AA255" s="179">
        <f ca="1">IF(ISNUMBER(MATCH(DATEVALUE($A255),'recurring1_based on steps'!AA$1:AA$400,0)),AA$2,)</f>
        <v>0</v>
      </c>
      <c r="AB255" s="179">
        <f ca="1">IF(ISNUMBER(MATCH(DATEVALUE($A255),'recurring1_based on steps'!AB$1:AB$400,0)),AB$2,)</f>
        <v>0</v>
      </c>
      <c r="AC255" s="179">
        <f ca="1">IF(ISNUMBER(MATCH(DATEVALUE($A255),'recurring1_based on steps'!AC$1:AC$400,0)),AC$2,)</f>
        <v>0</v>
      </c>
      <c r="AD255" s="179">
        <f ca="1">IF(ISNUMBER(MATCH(DATEVALUE($A255),'recurring1_based on steps'!AD$1:AD$400,0)),AD$2,)</f>
        <v>0</v>
      </c>
      <c r="AE255" s="179">
        <f ca="1">IF(ISNUMBER(MATCH(DATEVALUE($A255),'recurring1_based on steps'!AE$1:AE$400,0)),AE$2,)</f>
        <v>0</v>
      </c>
      <c r="AF255" s="179">
        <f ca="1">IF(ISNUMBER(MATCH(DATEVALUE($A255),'recurring1_based on steps'!AF$1:AF$400,0)),AF$2,)</f>
        <v>0</v>
      </c>
      <c r="AG255" s="179">
        <f ca="1">IF(ISNUMBER(MATCH(DATEVALUE($A255),'recurring1_based on steps'!AG$1:AG$400,0)),AG$2,)</f>
        <v>0</v>
      </c>
      <c r="AH255" s="179">
        <f ca="1">IF(ISNUMBER(MATCH(DATEVALUE($A255),'recurring1_based on steps'!AH$1:AH$400,0)),AH$2,)</f>
        <v>0</v>
      </c>
      <c r="AI255" s="179">
        <f ca="1">IF(ISNUMBER(MATCH(DATEVALUE($A255),'recurring1_based on steps'!AI$1:AI$400,0)),AI$2,)</f>
        <v>0</v>
      </c>
      <c r="AJ255" s="179">
        <f ca="1">IF(ISNUMBER(MATCH(DATEVALUE($A255),'recurring1_based on steps'!AJ$1:AJ$400,0)),AJ$2,)</f>
        <v>0</v>
      </c>
      <c r="AK255" s="179">
        <f ca="1">IF(ISNUMBER(MATCH(DATEVALUE($A255),'recurring1_based on steps'!AK$1:AK$400,0)),AK$2,)</f>
        <v>0</v>
      </c>
      <c r="AL255" s="179">
        <f ca="1">IF(ISNUMBER(MATCH(DATEVALUE($A255),'recurring1_based on steps'!AL$1:AL$400,0)),AL$2,)</f>
        <v>0</v>
      </c>
      <c r="AM255" s="179">
        <f ca="1">IF(ISNUMBER(MATCH(DATEVALUE($A255),'recurring1_based on steps'!AM$1:AM$400,0)),AM$2,)</f>
        <v>0</v>
      </c>
      <c r="AN255" s="179">
        <f ca="1">IF(ISNUMBER(MATCH(DATEVALUE($A255),'recurring1_based on steps'!AN$1:AN$400,0)),AN$2,)</f>
        <v>0</v>
      </c>
      <c r="AO255" s="179">
        <f ca="1">IF(ISNUMBER(MATCH(DATEVALUE($A255),'recurring1_based on steps'!AO$1:AO$400,0)),AO$2,)</f>
        <v>0</v>
      </c>
      <c r="AP255" s="179">
        <f ca="1">IF(ISNUMBER(MATCH(DATEVALUE($A255),'recurring1_based on steps'!AP$1:AP$400,0)),AP$2,)</f>
        <v>0</v>
      </c>
      <c r="AQ255" s="179">
        <f ca="1">IF(ISNUMBER(MATCH(DATEVALUE($A255),'recurring1_based on steps'!AQ$1:AQ$400,0)),AQ$2,)</f>
        <v>0</v>
      </c>
      <c r="AR255" s="179">
        <f ca="1">IF(ISNUMBER(MATCH(DATEVALUE($A255),'recurring1_based on steps'!AR$1:AR$400,0)),AR$2,)</f>
        <v>0</v>
      </c>
      <c r="AS255" s="179">
        <f ca="1">IF(ISNUMBER(MATCH(DATEVALUE($A255),'recurring1_based on steps'!AS$1:AS$400,0)),AS$2,)</f>
        <v>0</v>
      </c>
      <c r="AT255" s="179">
        <f ca="1">IF(ISNUMBER(MATCH(DATEVALUE($A255),'recurring1_based on steps'!AT$1:AT$400,0)),AT$2,)</f>
        <v>0</v>
      </c>
      <c r="AU255" s="179">
        <f ca="1">IF(ISNUMBER(MATCH(DATEVALUE($A255),'recurring1_based on steps'!AU$1:AU$400,0)),AU$2,)</f>
        <v>0</v>
      </c>
      <c r="AV255" s="179">
        <f ca="1">IF(ISNUMBER(MATCH(DATEVALUE($A255),'recurring1_based on steps'!AV$1:AV$400,0)),AV$2,)</f>
        <v>0</v>
      </c>
      <c r="AW255" s="179">
        <f ca="1">IF(ISNUMBER(MATCH(DATEVALUE($A255),'recurring1_based on steps'!AW$1:AW$400,0)),AW$2,)</f>
        <v>0</v>
      </c>
      <c r="AX255" s="179">
        <f ca="1">IF(ISNUMBER(MATCH(DATEVALUE($A255),'recurring1_based on steps'!AX$1:AX$400,0)),AX$2,)</f>
        <v>0</v>
      </c>
      <c r="AY255" s="179">
        <f ca="1">IF(ISNUMBER(MATCH(DATEVALUE($A255),'recurring1_based on steps'!AY$1:AY$400,0)),AY$2,)</f>
        <v>0</v>
      </c>
    </row>
    <row r="256" spans="1:51" x14ac:dyDescent="0.2">
      <c r="A256" s="32" t="str">
        <f t="shared" ca="1" si="3"/>
        <v>2025-12-07</v>
      </c>
      <c r="B256" s="179">
        <f ca="1">IF(ISNUMBER(MATCH(DATEVALUE($A256),'recurring1_based on steps'!B$1:B$400,0)),B$2,)</f>
        <v>0</v>
      </c>
      <c r="C256" s="179">
        <f ca="1">IF(ISNUMBER(MATCH(DATEVALUE($A256),'recurring1_based on steps'!C$1:C$400,0)),C$2,)</f>
        <v>0</v>
      </c>
      <c r="D256" s="179">
        <f ca="1">IF(ISNUMBER(MATCH(DATEVALUE($A256),'recurring1_based on steps'!D$1:D$400,0)),D$2,)</f>
        <v>0</v>
      </c>
      <c r="E256" s="179">
        <f ca="1">IF(ISNUMBER(MATCH(DATEVALUE($A256),'recurring1_based on steps'!E$1:E$400,0)),E$2,)</f>
        <v>0</v>
      </c>
      <c r="F256" s="179">
        <f ca="1">IF(ISNUMBER(MATCH(DATEVALUE($A256),'recurring1_based on steps'!F$1:F$400,0)),F$2,)</f>
        <v>0</v>
      </c>
      <c r="G256" s="179">
        <f ca="1">IF(ISNUMBER(MATCH(DATEVALUE($A256),'recurring1_based on steps'!G$1:G$400,0)),G$2,)</f>
        <v>0</v>
      </c>
      <c r="H256" s="179">
        <f ca="1">IF(ISNUMBER(MATCH(DATEVALUE($A256),'recurring1_based on steps'!H$1:H$400,0)),H$2,)</f>
        <v>0</v>
      </c>
      <c r="I256" s="179">
        <f ca="1">IF(ISNUMBER(MATCH(DATEVALUE($A256),'recurring1_based on steps'!I$1:I$400,0)),I$2,)</f>
        <v>0</v>
      </c>
      <c r="J256" s="179">
        <f ca="1">IF(ISNUMBER(MATCH(DATEVALUE($A256),'recurring1_based on steps'!J$1:J$400,0)),J$2,)</f>
        <v>0</v>
      </c>
      <c r="K256" s="179">
        <f ca="1">IF(ISNUMBER(MATCH(DATEVALUE($A256),'recurring1_based on steps'!K$1:K$400,0)),K$2,)</f>
        <v>0</v>
      </c>
      <c r="L256" s="179">
        <f ca="1">IF(ISNUMBER(MATCH(DATEVALUE($A256),'recurring1_based on steps'!L$1:L$400,0)),L$2,)</f>
        <v>0</v>
      </c>
      <c r="M256" s="179">
        <f ca="1">IF(ISNUMBER(MATCH(DATEVALUE($A256),'recurring1_based on steps'!M$1:M$400,0)),M$2,)</f>
        <v>0</v>
      </c>
      <c r="N256" s="179">
        <f ca="1">IF(ISNUMBER(MATCH(DATEVALUE($A256),'recurring1_based on steps'!N$1:N$400,0)),N$2,)</f>
        <v>0</v>
      </c>
      <c r="O256" s="179">
        <f ca="1">IF(ISNUMBER(MATCH(DATEVALUE($A256),'recurring1_based on steps'!O$1:O$400,0)),O$2,)</f>
        <v>0</v>
      </c>
      <c r="P256" s="179">
        <f ca="1">IF(ISNUMBER(MATCH(DATEVALUE($A256),'recurring1_based on steps'!P$1:P$400,0)),P$2,)</f>
        <v>0</v>
      </c>
      <c r="Q256" s="179">
        <f ca="1">IF(ISNUMBER(MATCH(DATEVALUE($A256),'recurring1_based on steps'!Q$1:Q$400,0)),Q$2,)</f>
        <v>0</v>
      </c>
      <c r="R256" s="179">
        <f ca="1">IF(ISNUMBER(MATCH(DATEVALUE($A256),'recurring1_based on steps'!R$1:R$400,0)),R$2,)</f>
        <v>0</v>
      </c>
      <c r="S256" s="179">
        <f ca="1">IF(ISNUMBER(MATCH(DATEVALUE($A256),'recurring1_based on steps'!S$1:S$400,0)),S$2,)</f>
        <v>0</v>
      </c>
      <c r="T256" s="179">
        <f ca="1">IF(ISNUMBER(MATCH(DATEVALUE($A256),'recurring1_based on steps'!T$1:T$400,0)),T$2,)</f>
        <v>0</v>
      </c>
      <c r="U256" s="179">
        <f ca="1">IF(ISNUMBER(MATCH(DATEVALUE($A256),'recurring1_based on steps'!U$1:U$400,0)),U$2,)</f>
        <v>0</v>
      </c>
      <c r="V256" s="179">
        <f ca="1">IF(ISNUMBER(MATCH(DATEVALUE($A256),'recurring1_based on steps'!V$1:V$400,0)),V$2,)</f>
        <v>0</v>
      </c>
      <c r="W256" s="179">
        <f ca="1">IF(ISNUMBER(MATCH(DATEVALUE($A256),'recurring1_based on steps'!W$1:W$400,0)),W$2,)</f>
        <v>0</v>
      </c>
      <c r="X256" s="179">
        <f ca="1">IF(ISNUMBER(MATCH(DATEVALUE($A256),'recurring1_based on steps'!X$1:X$400,0)),X$2,)</f>
        <v>0</v>
      </c>
      <c r="Y256" s="179">
        <f ca="1">IF(ISNUMBER(MATCH(DATEVALUE($A256),'recurring1_based on steps'!Y$1:Y$400,0)),Y$2,)</f>
        <v>0</v>
      </c>
      <c r="Z256" s="179">
        <f ca="1">IF(ISNUMBER(MATCH(DATEVALUE($A256),'recurring1_based on steps'!Z$1:Z$400,0)),Z$2,)</f>
        <v>0</v>
      </c>
      <c r="AA256" s="179">
        <f ca="1">IF(ISNUMBER(MATCH(DATEVALUE($A256),'recurring1_based on steps'!AA$1:AA$400,0)),AA$2,)</f>
        <v>0</v>
      </c>
      <c r="AB256" s="179">
        <f ca="1">IF(ISNUMBER(MATCH(DATEVALUE($A256),'recurring1_based on steps'!AB$1:AB$400,0)),AB$2,)</f>
        <v>0</v>
      </c>
      <c r="AC256" s="179">
        <f ca="1">IF(ISNUMBER(MATCH(DATEVALUE($A256),'recurring1_based on steps'!AC$1:AC$400,0)),AC$2,)</f>
        <v>0</v>
      </c>
      <c r="AD256" s="179">
        <f ca="1">IF(ISNUMBER(MATCH(DATEVALUE($A256),'recurring1_based on steps'!AD$1:AD$400,0)),AD$2,)</f>
        <v>0</v>
      </c>
      <c r="AE256" s="179">
        <f ca="1">IF(ISNUMBER(MATCH(DATEVALUE($A256),'recurring1_based on steps'!AE$1:AE$400,0)),AE$2,)</f>
        <v>0</v>
      </c>
      <c r="AF256" s="179">
        <f ca="1">IF(ISNUMBER(MATCH(DATEVALUE($A256),'recurring1_based on steps'!AF$1:AF$400,0)),AF$2,)</f>
        <v>0</v>
      </c>
      <c r="AG256" s="179">
        <f ca="1">IF(ISNUMBER(MATCH(DATEVALUE($A256),'recurring1_based on steps'!AG$1:AG$400,0)),AG$2,)</f>
        <v>0</v>
      </c>
      <c r="AH256" s="179">
        <f ca="1">IF(ISNUMBER(MATCH(DATEVALUE($A256),'recurring1_based on steps'!AH$1:AH$400,0)),AH$2,)</f>
        <v>0</v>
      </c>
      <c r="AI256" s="179">
        <f ca="1">IF(ISNUMBER(MATCH(DATEVALUE($A256),'recurring1_based on steps'!AI$1:AI$400,0)),AI$2,)</f>
        <v>0</v>
      </c>
      <c r="AJ256" s="179">
        <f ca="1">IF(ISNUMBER(MATCH(DATEVALUE($A256),'recurring1_based on steps'!AJ$1:AJ$400,0)),AJ$2,)</f>
        <v>0</v>
      </c>
      <c r="AK256" s="179">
        <f ca="1">IF(ISNUMBER(MATCH(DATEVALUE($A256),'recurring1_based on steps'!AK$1:AK$400,0)),AK$2,)</f>
        <v>0</v>
      </c>
      <c r="AL256" s="179">
        <f ca="1">IF(ISNUMBER(MATCH(DATEVALUE($A256),'recurring1_based on steps'!AL$1:AL$400,0)),AL$2,)</f>
        <v>0</v>
      </c>
      <c r="AM256" s="179">
        <f ca="1">IF(ISNUMBER(MATCH(DATEVALUE($A256),'recurring1_based on steps'!AM$1:AM$400,0)),AM$2,)</f>
        <v>0</v>
      </c>
      <c r="AN256" s="179">
        <f ca="1">IF(ISNUMBER(MATCH(DATEVALUE($A256),'recurring1_based on steps'!AN$1:AN$400,0)),AN$2,)</f>
        <v>0</v>
      </c>
      <c r="AO256" s="179">
        <f ca="1">IF(ISNUMBER(MATCH(DATEVALUE($A256),'recurring1_based on steps'!AO$1:AO$400,0)),AO$2,)</f>
        <v>0</v>
      </c>
      <c r="AP256" s="179">
        <f ca="1">IF(ISNUMBER(MATCH(DATEVALUE($A256),'recurring1_based on steps'!AP$1:AP$400,0)),AP$2,)</f>
        <v>0</v>
      </c>
      <c r="AQ256" s="179">
        <f ca="1">IF(ISNUMBER(MATCH(DATEVALUE($A256),'recurring1_based on steps'!AQ$1:AQ$400,0)),AQ$2,)</f>
        <v>0</v>
      </c>
      <c r="AR256" s="179">
        <f ca="1">IF(ISNUMBER(MATCH(DATEVALUE($A256),'recurring1_based on steps'!AR$1:AR$400,0)),AR$2,)</f>
        <v>0</v>
      </c>
      <c r="AS256" s="179">
        <f ca="1">IF(ISNUMBER(MATCH(DATEVALUE($A256),'recurring1_based on steps'!AS$1:AS$400,0)),AS$2,)</f>
        <v>0</v>
      </c>
      <c r="AT256" s="179">
        <f ca="1">IF(ISNUMBER(MATCH(DATEVALUE($A256),'recurring1_based on steps'!AT$1:AT$400,0)),AT$2,)</f>
        <v>0</v>
      </c>
      <c r="AU256" s="179">
        <f ca="1">IF(ISNUMBER(MATCH(DATEVALUE($A256),'recurring1_based on steps'!AU$1:AU$400,0)),AU$2,)</f>
        <v>0</v>
      </c>
      <c r="AV256" s="179">
        <f ca="1">IF(ISNUMBER(MATCH(DATEVALUE($A256),'recurring1_based on steps'!AV$1:AV$400,0)),AV$2,)</f>
        <v>0</v>
      </c>
      <c r="AW256" s="179">
        <f ca="1">IF(ISNUMBER(MATCH(DATEVALUE($A256),'recurring1_based on steps'!AW$1:AW$400,0)),AW$2,)</f>
        <v>0</v>
      </c>
      <c r="AX256" s="179">
        <f ca="1">IF(ISNUMBER(MATCH(DATEVALUE($A256),'recurring1_based on steps'!AX$1:AX$400,0)),AX$2,)</f>
        <v>0</v>
      </c>
      <c r="AY256" s="179">
        <f ca="1">IF(ISNUMBER(MATCH(DATEVALUE($A256),'recurring1_based on steps'!AY$1:AY$400,0)),AY$2,)</f>
        <v>0</v>
      </c>
    </row>
    <row r="257" spans="1:51" x14ac:dyDescent="0.2">
      <c r="A257" s="32" t="str">
        <f t="shared" ca="1" si="3"/>
        <v>2025-12-08</v>
      </c>
      <c r="B257" s="179">
        <f ca="1">IF(ISNUMBER(MATCH(DATEVALUE($A257),'recurring1_based on steps'!B$1:B$400,0)),B$2,)</f>
        <v>0</v>
      </c>
      <c r="C257" s="179">
        <f ca="1">IF(ISNUMBER(MATCH(DATEVALUE($A257),'recurring1_based on steps'!C$1:C$400,0)),C$2,)</f>
        <v>0</v>
      </c>
      <c r="D257" s="179">
        <f ca="1">IF(ISNUMBER(MATCH(DATEVALUE($A257),'recurring1_based on steps'!D$1:D$400,0)),D$2,)</f>
        <v>0</v>
      </c>
      <c r="E257" s="179">
        <f ca="1">IF(ISNUMBER(MATCH(DATEVALUE($A257),'recurring1_based on steps'!E$1:E$400,0)),E$2,)</f>
        <v>0</v>
      </c>
      <c r="F257" s="179">
        <f ca="1">IF(ISNUMBER(MATCH(DATEVALUE($A257),'recurring1_based on steps'!F$1:F$400,0)),F$2,)</f>
        <v>0</v>
      </c>
      <c r="G257" s="179">
        <f ca="1">IF(ISNUMBER(MATCH(DATEVALUE($A257),'recurring1_based on steps'!G$1:G$400,0)),G$2,)</f>
        <v>0</v>
      </c>
      <c r="H257" s="179">
        <f ca="1">IF(ISNUMBER(MATCH(DATEVALUE($A257),'recurring1_based on steps'!H$1:H$400,0)),H$2,)</f>
        <v>0</v>
      </c>
      <c r="I257" s="179">
        <f ca="1">IF(ISNUMBER(MATCH(DATEVALUE($A257),'recurring1_based on steps'!I$1:I$400,0)),I$2,)</f>
        <v>0</v>
      </c>
      <c r="J257" s="179">
        <f ca="1">IF(ISNUMBER(MATCH(DATEVALUE($A257),'recurring1_based on steps'!J$1:J$400,0)),J$2,)</f>
        <v>0</v>
      </c>
      <c r="K257" s="179">
        <f ca="1">IF(ISNUMBER(MATCH(DATEVALUE($A257),'recurring1_based on steps'!K$1:K$400,0)),K$2,)</f>
        <v>0</v>
      </c>
      <c r="L257" s="179">
        <f ca="1">IF(ISNUMBER(MATCH(DATEVALUE($A257),'recurring1_based on steps'!L$1:L$400,0)),L$2,)</f>
        <v>0</v>
      </c>
      <c r="M257" s="179">
        <f ca="1">IF(ISNUMBER(MATCH(DATEVALUE($A257),'recurring1_based on steps'!M$1:M$400,0)),M$2,)</f>
        <v>0</v>
      </c>
      <c r="N257" s="179">
        <f ca="1">IF(ISNUMBER(MATCH(DATEVALUE($A257),'recurring1_based on steps'!N$1:N$400,0)),N$2,)</f>
        <v>0</v>
      </c>
      <c r="O257" s="179">
        <f ca="1">IF(ISNUMBER(MATCH(DATEVALUE($A257),'recurring1_based on steps'!O$1:O$400,0)),O$2,)</f>
        <v>0</v>
      </c>
      <c r="P257" s="179">
        <f ca="1">IF(ISNUMBER(MATCH(DATEVALUE($A257),'recurring1_based on steps'!P$1:P$400,0)),P$2,)</f>
        <v>0</v>
      </c>
      <c r="Q257" s="179">
        <f ca="1">IF(ISNUMBER(MATCH(DATEVALUE($A257),'recurring1_based on steps'!Q$1:Q$400,0)),Q$2,)</f>
        <v>0</v>
      </c>
      <c r="R257" s="179">
        <f ca="1">IF(ISNUMBER(MATCH(DATEVALUE($A257),'recurring1_based on steps'!R$1:R$400,0)),R$2,)</f>
        <v>0</v>
      </c>
      <c r="S257" s="179">
        <f ca="1">IF(ISNUMBER(MATCH(DATEVALUE($A257),'recurring1_based on steps'!S$1:S$400,0)),S$2,)</f>
        <v>0</v>
      </c>
      <c r="T257" s="179">
        <f ca="1">IF(ISNUMBER(MATCH(DATEVALUE($A257),'recurring1_based on steps'!T$1:T$400,0)),T$2,)</f>
        <v>0</v>
      </c>
      <c r="U257" s="179">
        <f ca="1">IF(ISNUMBER(MATCH(DATEVALUE($A257),'recurring1_based on steps'!U$1:U$400,0)),U$2,)</f>
        <v>0</v>
      </c>
      <c r="V257" s="179">
        <f ca="1">IF(ISNUMBER(MATCH(DATEVALUE($A257),'recurring1_based on steps'!V$1:V$400,0)),V$2,)</f>
        <v>0</v>
      </c>
      <c r="W257" s="179">
        <f ca="1">IF(ISNUMBER(MATCH(DATEVALUE($A257),'recurring1_based on steps'!W$1:W$400,0)),W$2,)</f>
        <v>0</v>
      </c>
      <c r="X257" s="179">
        <f ca="1">IF(ISNUMBER(MATCH(DATEVALUE($A257),'recurring1_based on steps'!X$1:X$400,0)),X$2,)</f>
        <v>0</v>
      </c>
      <c r="Y257" s="179">
        <f ca="1">IF(ISNUMBER(MATCH(DATEVALUE($A257),'recurring1_based on steps'!Y$1:Y$400,0)),Y$2,)</f>
        <v>0</v>
      </c>
      <c r="Z257" s="179">
        <f ca="1">IF(ISNUMBER(MATCH(DATEVALUE($A257),'recurring1_based on steps'!Z$1:Z$400,0)),Z$2,)</f>
        <v>0</v>
      </c>
      <c r="AA257" s="179">
        <f ca="1">IF(ISNUMBER(MATCH(DATEVALUE($A257),'recurring1_based on steps'!AA$1:AA$400,0)),AA$2,)</f>
        <v>0</v>
      </c>
      <c r="AB257" s="179">
        <f ca="1">IF(ISNUMBER(MATCH(DATEVALUE($A257),'recurring1_based on steps'!AB$1:AB$400,0)),AB$2,)</f>
        <v>0</v>
      </c>
      <c r="AC257" s="179">
        <f ca="1">IF(ISNUMBER(MATCH(DATEVALUE($A257),'recurring1_based on steps'!AC$1:AC$400,0)),AC$2,)</f>
        <v>0</v>
      </c>
      <c r="AD257" s="179">
        <f ca="1">IF(ISNUMBER(MATCH(DATEVALUE($A257),'recurring1_based on steps'!AD$1:AD$400,0)),AD$2,)</f>
        <v>0</v>
      </c>
      <c r="AE257" s="179">
        <f ca="1">IF(ISNUMBER(MATCH(DATEVALUE($A257),'recurring1_based on steps'!AE$1:AE$400,0)),AE$2,)</f>
        <v>0</v>
      </c>
      <c r="AF257" s="179">
        <f ca="1">IF(ISNUMBER(MATCH(DATEVALUE($A257),'recurring1_based on steps'!AF$1:AF$400,0)),AF$2,)</f>
        <v>0</v>
      </c>
      <c r="AG257" s="179">
        <f ca="1">IF(ISNUMBER(MATCH(DATEVALUE($A257),'recurring1_based on steps'!AG$1:AG$400,0)),AG$2,)</f>
        <v>0</v>
      </c>
      <c r="AH257" s="179">
        <f ca="1">IF(ISNUMBER(MATCH(DATEVALUE($A257),'recurring1_based on steps'!AH$1:AH$400,0)),AH$2,)</f>
        <v>0</v>
      </c>
      <c r="AI257" s="179">
        <f ca="1">IF(ISNUMBER(MATCH(DATEVALUE($A257),'recurring1_based on steps'!AI$1:AI$400,0)),AI$2,)</f>
        <v>0</v>
      </c>
      <c r="AJ257" s="179">
        <f ca="1">IF(ISNUMBER(MATCH(DATEVALUE($A257),'recurring1_based on steps'!AJ$1:AJ$400,0)),AJ$2,)</f>
        <v>0</v>
      </c>
      <c r="AK257" s="179">
        <f ca="1">IF(ISNUMBER(MATCH(DATEVALUE($A257),'recurring1_based on steps'!AK$1:AK$400,0)),AK$2,)</f>
        <v>0</v>
      </c>
      <c r="AL257" s="179">
        <f ca="1">IF(ISNUMBER(MATCH(DATEVALUE($A257),'recurring1_based on steps'!AL$1:AL$400,0)),AL$2,)</f>
        <v>0</v>
      </c>
      <c r="AM257" s="179">
        <f ca="1">IF(ISNUMBER(MATCH(DATEVALUE($A257),'recurring1_based on steps'!AM$1:AM$400,0)),AM$2,)</f>
        <v>0</v>
      </c>
      <c r="AN257" s="179">
        <f ca="1">IF(ISNUMBER(MATCH(DATEVALUE($A257),'recurring1_based on steps'!AN$1:AN$400,0)),AN$2,)</f>
        <v>0</v>
      </c>
      <c r="AO257" s="179">
        <f ca="1">IF(ISNUMBER(MATCH(DATEVALUE($A257),'recurring1_based on steps'!AO$1:AO$400,0)),AO$2,)</f>
        <v>0</v>
      </c>
      <c r="AP257" s="179">
        <f ca="1">IF(ISNUMBER(MATCH(DATEVALUE($A257),'recurring1_based on steps'!AP$1:AP$400,0)),AP$2,)</f>
        <v>0</v>
      </c>
      <c r="AQ257" s="179">
        <f ca="1">IF(ISNUMBER(MATCH(DATEVALUE($A257),'recurring1_based on steps'!AQ$1:AQ$400,0)),AQ$2,)</f>
        <v>0</v>
      </c>
      <c r="AR257" s="179">
        <f ca="1">IF(ISNUMBER(MATCH(DATEVALUE($A257),'recurring1_based on steps'!AR$1:AR$400,0)),AR$2,)</f>
        <v>0</v>
      </c>
      <c r="AS257" s="179">
        <f ca="1">IF(ISNUMBER(MATCH(DATEVALUE($A257),'recurring1_based on steps'!AS$1:AS$400,0)),AS$2,)</f>
        <v>0</v>
      </c>
      <c r="AT257" s="179">
        <f ca="1">IF(ISNUMBER(MATCH(DATEVALUE($A257),'recurring1_based on steps'!AT$1:AT$400,0)),AT$2,)</f>
        <v>0</v>
      </c>
      <c r="AU257" s="179">
        <f ca="1">IF(ISNUMBER(MATCH(DATEVALUE($A257),'recurring1_based on steps'!AU$1:AU$400,0)),AU$2,)</f>
        <v>0</v>
      </c>
      <c r="AV257" s="179">
        <f ca="1">IF(ISNUMBER(MATCH(DATEVALUE($A257),'recurring1_based on steps'!AV$1:AV$400,0)),AV$2,)</f>
        <v>0</v>
      </c>
      <c r="AW257" s="179">
        <f ca="1">IF(ISNUMBER(MATCH(DATEVALUE($A257),'recurring1_based on steps'!AW$1:AW$400,0)),AW$2,)</f>
        <v>0</v>
      </c>
      <c r="AX257" s="179">
        <f ca="1">IF(ISNUMBER(MATCH(DATEVALUE($A257),'recurring1_based on steps'!AX$1:AX$400,0)),AX$2,)</f>
        <v>0</v>
      </c>
      <c r="AY257" s="179">
        <f ca="1">IF(ISNUMBER(MATCH(DATEVALUE($A257),'recurring1_based on steps'!AY$1:AY$400,0)),AY$2,)</f>
        <v>0</v>
      </c>
    </row>
    <row r="258" spans="1:51" x14ac:dyDescent="0.2">
      <c r="A258" s="32" t="str">
        <f t="shared" ca="1" si="3"/>
        <v>2025-12-09</v>
      </c>
      <c r="B258" s="179">
        <f ca="1">IF(ISNUMBER(MATCH(DATEVALUE($A258),'recurring1_based on steps'!B$1:B$400,0)),B$2,)</f>
        <v>0</v>
      </c>
      <c r="C258" s="179">
        <f ca="1">IF(ISNUMBER(MATCH(DATEVALUE($A258),'recurring1_based on steps'!C$1:C$400,0)),C$2,)</f>
        <v>0</v>
      </c>
      <c r="D258" s="179">
        <f ca="1">IF(ISNUMBER(MATCH(DATEVALUE($A258),'recurring1_based on steps'!D$1:D$400,0)),D$2,)</f>
        <v>0</v>
      </c>
      <c r="E258" s="179">
        <f ca="1">IF(ISNUMBER(MATCH(DATEVALUE($A258),'recurring1_based on steps'!E$1:E$400,0)),E$2,)</f>
        <v>0</v>
      </c>
      <c r="F258" s="179">
        <f ca="1">IF(ISNUMBER(MATCH(DATEVALUE($A258),'recurring1_based on steps'!F$1:F$400,0)),F$2,)</f>
        <v>0</v>
      </c>
      <c r="G258" s="179">
        <f ca="1">IF(ISNUMBER(MATCH(DATEVALUE($A258),'recurring1_based on steps'!G$1:G$400,0)),G$2,)</f>
        <v>0</v>
      </c>
      <c r="H258" s="179">
        <f ca="1">IF(ISNUMBER(MATCH(DATEVALUE($A258),'recurring1_based on steps'!H$1:H$400,0)),H$2,)</f>
        <v>0</v>
      </c>
      <c r="I258" s="179">
        <f ca="1">IF(ISNUMBER(MATCH(DATEVALUE($A258),'recurring1_based on steps'!I$1:I$400,0)),I$2,)</f>
        <v>0</v>
      </c>
      <c r="J258" s="179">
        <f ca="1">IF(ISNUMBER(MATCH(DATEVALUE($A258),'recurring1_based on steps'!J$1:J$400,0)),J$2,)</f>
        <v>0</v>
      </c>
      <c r="K258" s="179">
        <f ca="1">IF(ISNUMBER(MATCH(DATEVALUE($A258),'recurring1_based on steps'!K$1:K$400,0)),K$2,)</f>
        <v>0</v>
      </c>
      <c r="L258" s="179">
        <f ca="1">IF(ISNUMBER(MATCH(DATEVALUE($A258),'recurring1_based on steps'!L$1:L$400,0)),L$2,)</f>
        <v>0</v>
      </c>
      <c r="M258" s="179">
        <f ca="1">IF(ISNUMBER(MATCH(DATEVALUE($A258),'recurring1_based on steps'!M$1:M$400,0)),M$2,)</f>
        <v>0</v>
      </c>
      <c r="N258" s="179">
        <f ca="1">IF(ISNUMBER(MATCH(DATEVALUE($A258),'recurring1_based on steps'!N$1:N$400,0)),N$2,)</f>
        <v>0</v>
      </c>
      <c r="O258" s="179">
        <f ca="1">IF(ISNUMBER(MATCH(DATEVALUE($A258),'recurring1_based on steps'!O$1:O$400,0)),O$2,)</f>
        <v>0</v>
      </c>
      <c r="P258" s="179">
        <f ca="1">IF(ISNUMBER(MATCH(DATEVALUE($A258),'recurring1_based on steps'!P$1:P$400,0)),P$2,)</f>
        <v>0</v>
      </c>
      <c r="Q258" s="179">
        <f ca="1">IF(ISNUMBER(MATCH(DATEVALUE($A258),'recurring1_based on steps'!Q$1:Q$400,0)),Q$2,)</f>
        <v>0</v>
      </c>
      <c r="R258" s="179">
        <f ca="1">IF(ISNUMBER(MATCH(DATEVALUE($A258),'recurring1_based on steps'!R$1:R$400,0)),R$2,)</f>
        <v>0</v>
      </c>
      <c r="S258" s="179">
        <f ca="1">IF(ISNUMBER(MATCH(DATEVALUE($A258),'recurring1_based on steps'!S$1:S$400,0)),S$2,)</f>
        <v>0</v>
      </c>
      <c r="T258" s="179">
        <f ca="1">IF(ISNUMBER(MATCH(DATEVALUE($A258),'recurring1_based on steps'!T$1:T$400,0)),T$2,)</f>
        <v>0</v>
      </c>
      <c r="U258" s="179">
        <f ca="1">IF(ISNUMBER(MATCH(DATEVALUE($A258),'recurring1_based on steps'!U$1:U$400,0)),U$2,)</f>
        <v>0</v>
      </c>
      <c r="V258" s="179">
        <f ca="1">IF(ISNUMBER(MATCH(DATEVALUE($A258),'recurring1_based on steps'!V$1:V$400,0)),V$2,)</f>
        <v>0</v>
      </c>
      <c r="W258" s="179">
        <f ca="1">IF(ISNUMBER(MATCH(DATEVALUE($A258),'recurring1_based on steps'!W$1:W$400,0)),W$2,)</f>
        <v>0</v>
      </c>
      <c r="X258" s="179">
        <f ca="1">IF(ISNUMBER(MATCH(DATEVALUE($A258),'recurring1_based on steps'!X$1:X$400,0)),X$2,)</f>
        <v>0</v>
      </c>
      <c r="Y258" s="179">
        <f ca="1">IF(ISNUMBER(MATCH(DATEVALUE($A258),'recurring1_based on steps'!Y$1:Y$400,0)),Y$2,)</f>
        <v>0</v>
      </c>
      <c r="Z258" s="179">
        <f ca="1">IF(ISNUMBER(MATCH(DATEVALUE($A258),'recurring1_based on steps'!Z$1:Z$400,0)),Z$2,)</f>
        <v>0</v>
      </c>
      <c r="AA258" s="179">
        <f ca="1">IF(ISNUMBER(MATCH(DATEVALUE($A258),'recurring1_based on steps'!AA$1:AA$400,0)),AA$2,)</f>
        <v>0</v>
      </c>
      <c r="AB258" s="179">
        <f ca="1">IF(ISNUMBER(MATCH(DATEVALUE($A258),'recurring1_based on steps'!AB$1:AB$400,0)),AB$2,)</f>
        <v>0</v>
      </c>
      <c r="AC258" s="179">
        <f ca="1">IF(ISNUMBER(MATCH(DATEVALUE($A258),'recurring1_based on steps'!AC$1:AC$400,0)),AC$2,)</f>
        <v>0</v>
      </c>
      <c r="AD258" s="179">
        <f ca="1">IF(ISNUMBER(MATCH(DATEVALUE($A258),'recurring1_based on steps'!AD$1:AD$400,0)),AD$2,)</f>
        <v>0</v>
      </c>
      <c r="AE258" s="179">
        <f ca="1">IF(ISNUMBER(MATCH(DATEVALUE($A258),'recurring1_based on steps'!AE$1:AE$400,0)),AE$2,)</f>
        <v>0</v>
      </c>
      <c r="AF258" s="179">
        <f ca="1">IF(ISNUMBER(MATCH(DATEVALUE($A258),'recurring1_based on steps'!AF$1:AF$400,0)),AF$2,)</f>
        <v>0</v>
      </c>
      <c r="AG258" s="179">
        <f ca="1">IF(ISNUMBER(MATCH(DATEVALUE($A258),'recurring1_based on steps'!AG$1:AG$400,0)),AG$2,)</f>
        <v>0</v>
      </c>
      <c r="AH258" s="179">
        <f ca="1">IF(ISNUMBER(MATCH(DATEVALUE($A258),'recurring1_based on steps'!AH$1:AH$400,0)),AH$2,)</f>
        <v>0</v>
      </c>
      <c r="AI258" s="179">
        <f ca="1">IF(ISNUMBER(MATCH(DATEVALUE($A258),'recurring1_based on steps'!AI$1:AI$400,0)),AI$2,)</f>
        <v>0</v>
      </c>
      <c r="AJ258" s="179">
        <f ca="1">IF(ISNUMBER(MATCH(DATEVALUE($A258),'recurring1_based on steps'!AJ$1:AJ$400,0)),AJ$2,)</f>
        <v>0</v>
      </c>
      <c r="AK258" s="179">
        <f ca="1">IF(ISNUMBER(MATCH(DATEVALUE($A258),'recurring1_based on steps'!AK$1:AK$400,0)),AK$2,)</f>
        <v>0</v>
      </c>
      <c r="AL258" s="179">
        <f ca="1">IF(ISNUMBER(MATCH(DATEVALUE($A258),'recurring1_based on steps'!AL$1:AL$400,0)),AL$2,)</f>
        <v>0</v>
      </c>
      <c r="AM258" s="179">
        <f ca="1">IF(ISNUMBER(MATCH(DATEVALUE($A258),'recurring1_based on steps'!AM$1:AM$400,0)),AM$2,)</f>
        <v>0</v>
      </c>
      <c r="AN258" s="179">
        <f ca="1">IF(ISNUMBER(MATCH(DATEVALUE($A258),'recurring1_based on steps'!AN$1:AN$400,0)),AN$2,)</f>
        <v>0</v>
      </c>
      <c r="AO258" s="179">
        <f ca="1">IF(ISNUMBER(MATCH(DATEVALUE($A258),'recurring1_based on steps'!AO$1:AO$400,0)),AO$2,)</f>
        <v>0</v>
      </c>
      <c r="AP258" s="179">
        <f ca="1">IF(ISNUMBER(MATCH(DATEVALUE($A258),'recurring1_based on steps'!AP$1:AP$400,0)),AP$2,)</f>
        <v>0</v>
      </c>
      <c r="AQ258" s="179">
        <f ca="1">IF(ISNUMBER(MATCH(DATEVALUE($A258),'recurring1_based on steps'!AQ$1:AQ$400,0)),AQ$2,)</f>
        <v>0</v>
      </c>
      <c r="AR258" s="179">
        <f ca="1">IF(ISNUMBER(MATCH(DATEVALUE($A258),'recurring1_based on steps'!AR$1:AR$400,0)),AR$2,)</f>
        <v>0</v>
      </c>
      <c r="AS258" s="179">
        <f ca="1">IF(ISNUMBER(MATCH(DATEVALUE($A258),'recurring1_based on steps'!AS$1:AS$400,0)),AS$2,)</f>
        <v>0</v>
      </c>
      <c r="AT258" s="179">
        <f ca="1">IF(ISNUMBER(MATCH(DATEVALUE($A258),'recurring1_based on steps'!AT$1:AT$400,0)),AT$2,)</f>
        <v>0</v>
      </c>
      <c r="AU258" s="179">
        <f ca="1">IF(ISNUMBER(MATCH(DATEVALUE($A258),'recurring1_based on steps'!AU$1:AU$400,0)),AU$2,)</f>
        <v>0</v>
      </c>
      <c r="AV258" s="179">
        <f ca="1">IF(ISNUMBER(MATCH(DATEVALUE($A258),'recurring1_based on steps'!AV$1:AV$400,0)),AV$2,)</f>
        <v>0</v>
      </c>
      <c r="AW258" s="179">
        <f ca="1">IF(ISNUMBER(MATCH(DATEVALUE($A258),'recurring1_based on steps'!AW$1:AW$400,0)),AW$2,)</f>
        <v>0</v>
      </c>
      <c r="AX258" s="179">
        <f ca="1">IF(ISNUMBER(MATCH(DATEVALUE($A258),'recurring1_based on steps'!AX$1:AX$400,0)),AX$2,)</f>
        <v>0</v>
      </c>
      <c r="AY258" s="179">
        <f ca="1">IF(ISNUMBER(MATCH(DATEVALUE($A258),'recurring1_based on steps'!AY$1:AY$400,0)),AY$2,)</f>
        <v>0</v>
      </c>
    </row>
    <row r="259" spans="1:51" x14ac:dyDescent="0.2">
      <c r="A259" s="32" t="str">
        <f t="shared" ca="1" si="3"/>
        <v>2025-12-10</v>
      </c>
      <c r="B259" s="179">
        <f ca="1">IF(ISNUMBER(MATCH(DATEVALUE($A259),'recurring1_based on steps'!B$1:B$400,0)),B$2,)</f>
        <v>0</v>
      </c>
      <c r="C259" s="179">
        <f ca="1">IF(ISNUMBER(MATCH(DATEVALUE($A259),'recurring1_based on steps'!C$1:C$400,0)),C$2,)</f>
        <v>0</v>
      </c>
      <c r="D259" s="179">
        <f ca="1">IF(ISNUMBER(MATCH(DATEVALUE($A259),'recurring1_based on steps'!D$1:D$400,0)),D$2,)</f>
        <v>0</v>
      </c>
      <c r="E259" s="179">
        <f ca="1">IF(ISNUMBER(MATCH(DATEVALUE($A259),'recurring1_based on steps'!E$1:E$400,0)),E$2,)</f>
        <v>0</v>
      </c>
      <c r="F259" s="179">
        <f ca="1">IF(ISNUMBER(MATCH(DATEVALUE($A259),'recurring1_based on steps'!F$1:F$400,0)),F$2,)</f>
        <v>0</v>
      </c>
      <c r="G259" s="179">
        <f ca="1">IF(ISNUMBER(MATCH(DATEVALUE($A259),'recurring1_based on steps'!G$1:G$400,0)),G$2,)</f>
        <v>0</v>
      </c>
      <c r="H259" s="179">
        <f ca="1">IF(ISNUMBER(MATCH(DATEVALUE($A259),'recurring1_based on steps'!H$1:H$400,0)),H$2,)</f>
        <v>0</v>
      </c>
      <c r="I259" s="179">
        <f ca="1">IF(ISNUMBER(MATCH(DATEVALUE($A259),'recurring1_based on steps'!I$1:I$400,0)),I$2,)</f>
        <v>0</v>
      </c>
      <c r="J259" s="179">
        <f ca="1">IF(ISNUMBER(MATCH(DATEVALUE($A259),'recurring1_based on steps'!J$1:J$400,0)),J$2,)</f>
        <v>0</v>
      </c>
      <c r="K259" s="179">
        <f ca="1">IF(ISNUMBER(MATCH(DATEVALUE($A259),'recurring1_based on steps'!K$1:K$400,0)),K$2,)</f>
        <v>0</v>
      </c>
      <c r="L259" s="179">
        <f ca="1">IF(ISNUMBER(MATCH(DATEVALUE($A259),'recurring1_based on steps'!L$1:L$400,0)),L$2,)</f>
        <v>0</v>
      </c>
      <c r="M259" s="179">
        <f ca="1">IF(ISNUMBER(MATCH(DATEVALUE($A259),'recurring1_based on steps'!M$1:M$400,0)),M$2,)</f>
        <v>0</v>
      </c>
      <c r="N259" s="179">
        <f ca="1">IF(ISNUMBER(MATCH(DATEVALUE($A259),'recurring1_based on steps'!N$1:N$400,0)),N$2,)</f>
        <v>0</v>
      </c>
      <c r="O259" s="179">
        <f ca="1">IF(ISNUMBER(MATCH(DATEVALUE($A259),'recurring1_based on steps'!O$1:O$400,0)),O$2,)</f>
        <v>0</v>
      </c>
      <c r="P259" s="179">
        <f ca="1">IF(ISNUMBER(MATCH(DATEVALUE($A259),'recurring1_based on steps'!P$1:P$400,0)),P$2,)</f>
        <v>0</v>
      </c>
      <c r="Q259" s="179">
        <f ca="1">IF(ISNUMBER(MATCH(DATEVALUE($A259),'recurring1_based on steps'!Q$1:Q$400,0)),Q$2,)</f>
        <v>0</v>
      </c>
      <c r="R259" s="179">
        <f ca="1">IF(ISNUMBER(MATCH(DATEVALUE($A259),'recurring1_based on steps'!R$1:R$400,0)),R$2,)</f>
        <v>0</v>
      </c>
      <c r="S259" s="179">
        <f ca="1">IF(ISNUMBER(MATCH(DATEVALUE($A259),'recurring1_based on steps'!S$1:S$400,0)),S$2,)</f>
        <v>0</v>
      </c>
      <c r="T259" s="179">
        <f ca="1">IF(ISNUMBER(MATCH(DATEVALUE($A259),'recurring1_based on steps'!T$1:T$400,0)),T$2,)</f>
        <v>0</v>
      </c>
      <c r="U259" s="179">
        <f ca="1">IF(ISNUMBER(MATCH(DATEVALUE($A259),'recurring1_based on steps'!U$1:U$400,0)),U$2,)</f>
        <v>0</v>
      </c>
      <c r="V259" s="179">
        <f ca="1">IF(ISNUMBER(MATCH(DATEVALUE($A259),'recurring1_based on steps'!V$1:V$400,0)),V$2,)</f>
        <v>0</v>
      </c>
      <c r="W259" s="179">
        <f ca="1">IF(ISNUMBER(MATCH(DATEVALUE($A259),'recurring1_based on steps'!W$1:W$400,0)),W$2,)</f>
        <v>0</v>
      </c>
      <c r="X259" s="179">
        <f ca="1">IF(ISNUMBER(MATCH(DATEVALUE($A259),'recurring1_based on steps'!X$1:X$400,0)),X$2,)</f>
        <v>0</v>
      </c>
      <c r="Y259" s="179">
        <f ca="1">IF(ISNUMBER(MATCH(DATEVALUE($A259),'recurring1_based on steps'!Y$1:Y$400,0)),Y$2,)</f>
        <v>0</v>
      </c>
      <c r="Z259" s="179">
        <f ca="1">IF(ISNUMBER(MATCH(DATEVALUE($A259),'recurring1_based on steps'!Z$1:Z$400,0)),Z$2,)</f>
        <v>0</v>
      </c>
      <c r="AA259" s="179">
        <f ca="1">IF(ISNUMBER(MATCH(DATEVALUE($A259),'recurring1_based on steps'!AA$1:AA$400,0)),AA$2,)</f>
        <v>0</v>
      </c>
      <c r="AB259" s="179">
        <f ca="1">IF(ISNUMBER(MATCH(DATEVALUE($A259),'recurring1_based on steps'!AB$1:AB$400,0)),AB$2,)</f>
        <v>0</v>
      </c>
      <c r="AC259" s="179">
        <f ca="1">IF(ISNUMBER(MATCH(DATEVALUE($A259),'recurring1_based on steps'!AC$1:AC$400,0)),AC$2,)</f>
        <v>0</v>
      </c>
      <c r="AD259" s="179">
        <f ca="1">IF(ISNUMBER(MATCH(DATEVALUE($A259),'recurring1_based on steps'!AD$1:AD$400,0)),AD$2,)</f>
        <v>0</v>
      </c>
      <c r="AE259" s="179">
        <f ca="1">IF(ISNUMBER(MATCH(DATEVALUE($A259),'recurring1_based on steps'!AE$1:AE$400,0)),AE$2,)</f>
        <v>0</v>
      </c>
      <c r="AF259" s="179">
        <f ca="1">IF(ISNUMBER(MATCH(DATEVALUE($A259),'recurring1_based on steps'!AF$1:AF$400,0)),AF$2,)</f>
        <v>0</v>
      </c>
      <c r="AG259" s="179">
        <f ca="1">IF(ISNUMBER(MATCH(DATEVALUE($A259),'recurring1_based on steps'!AG$1:AG$400,0)),AG$2,)</f>
        <v>0</v>
      </c>
      <c r="AH259" s="179">
        <f ca="1">IF(ISNUMBER(MATCH(DATEVALUE($A259),'recurring1_based on steps'!AH$1:AH$400,0)),AH$2,)</f>
        <v>0</v>
      </c>
      <c r="AI259" s="179">
        <f ca="1">IF(ISNUMBER(MATCH(DATEVALUE($A259),'recurring1_based on steps'!AI$1:AI$400,0)),AI$2,)</f>
        <v>0</v>
      </c>
      <c r="AJ259" s="179">
        <f ca="1">IF(ISNUMBER(MATCH(DATEVALUE($A259),'recurring1_based on steps'!AJ$1:AJ$400,0)),AJ$2,)</f>
        <v>0</v>
      </c>
      <c r="AK259" s="179">
        <f ca="1">IF(ISNUMBER(MATCH(DATEVALUE($A259),'recurring1_based on steps'!AK$1:AK$400,0)),AK$2,)</f>
        <v>0</v>
      </c>
      <c r="AL259" s="179">
        <f ca="1">IF(ISNUMBER(MATCH(DATEVALUE($A259),'recurring1_based on steps'!AL$1:AL$400,0)),AL$2,)</f>
        <v>0</v>
      </c>
      <c r="AM259" s="179">
        <f ca="1">IF(ISNUMBER(MATCH(DATEVALUE($A259),'recurring1_based on steps'!AM$1:AM$400,0)),AM$2,)</f>
        <v>0</v>
      </c>
      <c r="AN259" s="179">
        <f ca="1">IF(ISNUMBER(MATCH(DATEVALUE($A259),'recurring1_based on steps'!AN$1:AN$400,0)),AN$2,)</f>
        <v>0</v>
      </c>
      <c r="AO259" s="179">
        <f ca="1">IF(ISNUMBER(MATCH(DATEVALUE($A259),'recurring1_based on steps'!AO$1:AO$400,0)),AO$2,)</f>
        <v>0</v>
      </c>
      <c r="AP259" s="179">
        <f ca="1">IF(ISNUMBER(MATCH(DATEVALUE($A259),'recurring1_based on steps'!AP$1:AP$400,0)),AP$2,)</f>
        <v>0</v>
      </c>
      <c r="AQ259" s="179">
        <f ca="1">IF(ISNUMBER(MATCH(DATEVALUE($A259),'recurring1_based on steps'!AQ$1:AQ$400,0)),AQ$2,)</f>
        <v>0</v>
      </c>
      <c r="AR259" s="179">
        <f ca="1">IF(ISNUMBER(MATCH(DATEVALUE($A259),'recurring1_based on steps'!AR$1:AR$400,0)),AR$2,)</f>
        <v>0</v>
      </c>
      <c r="AS259" s="179">
        <f ca="1">IF(ISNUMBER(MATCH(DATEVALUE($A259),'recurring1_based on steps'!AS$1:AS$400,0)),AS$2,)</f>
        <v>0</v>
      </c>
      <c r="AT259" s="179">
        <f ca="1">IF(ISNUMBER(MATCH(DATEVALUE($A259),'recurring1_based on steps'!AT$1:AT$400,0)),AT$2,)</f>
        <v>0</v>
      </c>
      <c r="AU259" s="179">
        <f ca="1">IF(ISNUMBER(MATCH(DATEVALUE($A259),'recurring1_based on steps'!AU$1:AU$400,0)),AU$2,)</f>
        <v>0</v>
      </c>
      <c r="AV259" s="179">
        <f ca="1">IF(ISNUMBER(MATCH(DATEVALUE($A259),'recurring1_based on steps'!AV$1:AV$400,0)),AV$2,)</f>
        <v>0</v>
      </c>
      <c r="AW259" s="179">
        <f ca="1">IF(ISNUMBER(MATCH(DATEVALUE($A259),'recurring1_based on steps'!AW$1:AW$400,0)),AW$2,)</f>
        <v>0</v>
      </c>
      <c r="AX259" s="179">
        <f ca="1">IF(ISNUMBER(MATCH(DATEVALUE($A259),'recurring1_based on steps'!AX$1:AX$400,0)),AX$2,)</f>
        <v>0</v>
      </c>
      <c r="AY259" s="179">
        <f ca="1">IF(ISNUMBER(MATCH(DATEVALUE($A259),'recurring1_based on steps'!AY$1:AY$400,0)),AY$2,)</f>
        <v>0</v>
      </c>
    </row>
    <row r="260" spans="1:51" x14ac:dyDescent="0.2">
      <c r="A260" s="32" t="str">
        <f t="shared" ca="1" si="3"/>
        <v>2025-12-11</v>
      </c>
      <c r="B260" s="179">
        <f ca="1">IF(ISNUMBER(MATCH(DATEVALUE($A260),'recurring1_based on steps'!B$1:B$400,0)),B$2,)</f>
        <v>0</v>
      </c>
      <c r="C260" s="179">
        <f ca="1">IF(ISNUMBER(MATCH(DATEVALUE($A260),'recurring1_based on steps'!C$1:C$400,0)),C$2,)</f>
        <v>0</v>
      </c>
      <c r="D260" s="179">
        <f ca="1">IF(ISNUMBER(MATCH(DATEVALUE($A260),'recurring1_based on steps'!D$1:D$400,0)),D$2,)</f>
        <v>0</v>
      </c>
      <c r="E260" s="179">
        <f ca="1">IF(ISNUMBER(MATCH(DATEVALUE($A260),'recurring1_based on steps'!E$1:E$400,0)),E$2,)</f>
        <v>0</v>
      </c>
      <c r="F260" s="179">
        <f ca="1">IF(ISNUMBER(MATCH(DATEVALUE($A260),'recurring1_based on steps'!F$1:F$400,0)),F$2,)</f>
        <v>0</v>
      </c>
      <c r="G260" s="179">
        <f ca="1">IF(ISNUMBER(MATCH(DATEVALUE($A260),'recurring1_based on steps'!G$1:G$400,0)),G$2,)</f>
        <v>0</v>
      </c>
      <c r="H260" s="179">
        <f ca="1">IF(ISNUMBER(MATCH(DATEVALUE($A260),'recurring1_based on steps'!H$1:H$400,0)),H$2,)</f>
        <v>0</v>
      </c>
      <c r="I260" s="179">
        <f ca="1">IF(ISNUMBER(MATCH(DATEVALUE($A260),'recurring1_based on steps'!I$1:I$400,0)),I$2,)</f>
        <v>0</v>
      </c>
      <c r="J260" s="179">
        <f ca="1">IF(ISNUMBER(MATCH(DATEVALUE($A260),'recurring1_based on steps'!J$1:J$400,0)),J$2,)</f>
        <v>0</v>
      </c>
      <c r="K260" s="179">
        <f ca="1">IF(ISNUMBER(MATCH(DATEVALUE($A260),'recurring1_based on steps'!K$1:K$400,0)),K$2,)</f>
        <v>0</v>
      </c>
      <c r="L260" s="179">
        <f ca="1">IF(ISNUMBER(MATCH(DATEVALUE($A260),'recurring1_based on steps'!L$1:L$400,0)),L$2,)</f>
        <v>0</v>
      </c>
      <c r="M260" s="179">
        <f ca="1">IF(ISNUMBER(MATCH(DATEVALUE($A260),'recurring1_based on steps'!M$1:M$400,0)),M$2,)</f>
        <v>0</v>
      </c>
      <c r="N260" s="179">
        <f ca="1">IF(ISNUMBER(MATCH(DATEVALUE($A260),'recurring1_based on steps'!N$1:N$400,0)),N$2,)</f>
        <v>0</v>
      </c>
      <c r="O260" s="179">
        <f ca="1">IF(ISNUMBER(MATCH(DATEVALUE($A260),'recurring1_based on steps'!O$1:O$400,0)),O$2,)</f>
        <v>0</v>
      </c>
      <c r="P260" s="179">
        <f ca="1">IF(ISNUMBER(MATCH(DATEVALUE($A260),'recurring1_based on steps'!P$1:P$400,0)),P$2,)</f>
        <v>0</v>
      </c>
      <c r="Q260" s="179">
        <f ca="1">IF(ISNUMBER(MATCH(DATEVALUE($A260),'recurring1_based on steps'!Q$1:Q$400,0)),Q$2,)</f>
        <v>0</v>
      </c>
      <c r="R260" s="179">
        <f ca="1">IF(ISNUMBER(MATCH(DATEVALUE($A260),'recurring1_based on steps'!R$1:R$400,0)),R$2,)</f>
        <v>0</v>
      </c>
      <c r="S260" s="179">
        <f ca="1">IF(ISNUMBER(MATCH(DATEVALUE($A260),'recurring1_based on steps'!S$1:S$400,0)),S$2,)</f>
        <v>0</v>
      </c>
      <c r="T260" s="179">
        <f ca="1">IF(ISNUMBER(MATCH(DATEVALUE($A260),'recurring1_based on steps'!T$1:T$400,0)),T$2,)</f>
        <v>0</v>
      </c>
      <c r="U260" s="179">
        <f ca="1">IF(ISNUMBER(MATCH(DATEVALUE($A260),'recurring1_based on steps'!U$1:U$400,0)),U$2,)</f>
        <v>0</v>
      </c>
      <c r="V260" s="179">
        <f ca="1">IF(ISNUMBER(MATCH(DATEVALUE($A260),'recurring1_based on steps'!V$1:V$400,0)),V$2,)</f>
        <v>0</v>
      </c>
      <c r="W260" s="179">
        <f ca="1">IF(ISNUMBER(MATCH(DATEVALUE($A260),'recurring1_based on steps'!W$1:W$400,0)),W$2,)</f>
        <v>0</v>
      </c>
      <c r="X260" s="179">
        <f ca="1">IF(ISNUMBER(MATCH(DATEVALUE($A260),'recurring1_based on steps'!X$1:X$400,0)),X$2,)</f>
        <v>0</v>
      </c>
      <c r="Y260" s="179">
        <f ca="1">IF(ISNUMBER(MATCH(DATEVALUE($A260),'recurring1_based on steps'!Y$1:Y$400,0)),Y$2,)</f>
        <v>0</v>
      </c>
      <c r="Z260" s="179">
        <f ca="1">IF(ISNUMBER(MATCH(DATEVALUE($A260),'recurring1_based on steps'!Z$1:Z$400,0)),Z$2,)</f>
        <v>0</v>
      </c>
      <c r="AA260" s="179">
        <f ca="1">IF(ISNUMBER(MATCH(DATEVALUE($A260),'recurring1_based on steps'!AA$1:AA$400,0)),AA$2,)</f>
        <v>0</v>
      </c>
      <c r="AB260" s="179">
        <f ca="1">IF(ISNUMBER(MATCH(DATEVALUE($A260),'recurring1_based on steps'!AB$1:AB$400,0)),AB$2,)</f>
        <v>0</v>
      </c>
      <c r="AC260" s="179">
        <f ca="1">IF(ISNUMBER(MATCH(DATEVALUE($A260),'recurring1_based on steps'!AC$1:AC$400,0)),AC$2,)</f>
        <v>0</v>
      </c>
      <c r="AD260" s="179">
        <f ca="1">IF(ISNUMBER(MATCH(DATEVALUE($A260),'recurring1_based on steps'!AD$1:AD$400,0)),AD$2,)</f>
        <v>0</v>
      </c>
      <c r="AE260" s="179">
        <f ca="1">IF(ISNUMBER(MATCH(DATEVALUE($A260),'recurring1_based on steps'!AE$1:AE$400,0)),AE$2,)</f>
        <v>0</v>
      </c>
      <c r="AF260" s="179">
        <f ca="1">IF(ISNUMBER(MATCH(DATEVALUE($A260),'recurring1_based on steps'!AF$1:AF$400,0)),AF$2,)</f>
        <v>0</v>
      </c>
      <c r="AG260" s="179">
        <f ca="1">IF(ISNUMBER(MATCH(DATEVALUE($A260),'recurring1_based on steps'!AG$1:AG$400,0)),AG$2,)</f>
        <v>0</v>
      </c>
      <c r="AH260" s="179">
        <f ca="1">IF(ISNUMBER(MATCH(DATEVALUE($A260),'recurring1_based on steps'!AH$1:AH$400,0)),AH$2,)</f>
        <v>0</v>
      </c>
      <c r="AI260" s="179">
        <f ca="1">IF(ISNUMBER(MATCH(DATEVALUE($A260),'recurring1_based on steps'!AI$1:AI$400,0)),AI$2,)</f>
        <v>0</v>
      </c>
      <c r="AJ260" s="179">
        <f ca="1">IF(ISNUMBER(MATCH(DATEVALUE($A260),'recurring1_based on steps'!AJ$1:AJ$400,0)),AJ$2,)</f>
        <v>0</v>
      </c>
      <c r="AK260" s="179">
        <f ca="1">IF(ISNUMBER(MATCH(DATEVALUE($A260),'recurring1_based on steps'!AK$1:AK$400,0)),AK$2,)</f>
        <v>0</v>
      </c>
      <c r="AL260" s="179">
        <f ca="1">IF(ISNUMBER(MATCH(DATEVALUE($A260),'recurring1_based on steps'!AL$1:AL$400,0)),AL$2,)</f>
        <v>0</v>
      </c>
      <c r="AM260" s="179">
        <f ca="1">IF(ISNUMBER(MATCH(DATEVALUE($A260),'recurring1_based on steps'!AM$1:AM$400,0)),AM$2,)</f>
        <v>0</v>
      </c>
      <c r="AN260" s="179">
        <f ca="1">IF(ISNUMBER(MATCH(DATEVALUE($A260),'recurring1_based on steps'!AN$1:AN$400,0)),AN$2,)</f>
        <v>0</v>
      </c>
      <c r="AO260" s="179">
        <f ca="1">IF(ISNUMBER(MATCH(DATEVALUE($A260),'recurring1_based on steps'!AO$1:AO$400,0)),AO$2,)</f>
        <v>0</v>
      </c>
      <c r="AP260" s="179">
        <f ca="1">IF(ISNUMBER(MATCH(DATEVALUE($A260),'recurring1_based on steps'!AP$1:AP$400,0)),AP$2,)</f>
        <v>0</v>
      </c>
      <c r="AQ260" s="179">
        <f ca="1">IF(ISNUMBER(MATCH(DATEVALUE($A260),'recurring1_based on steps'!AQ$1:AQ$400,0)),AQ$2,)</f>
        <v>0</v>
      </c>
      <c r="AR260" s="179">
        <f ca="1">IF(ISNUMBER(MATCH(DATEVALUE($A260),'recurring1_based on steps'!AR$1:AR$400,0)),AR$2,)</f>
        <v>0</v>
      </c>
      <c r="AS260" s="179">
        <f ca="1">IF(ISNUMBER(MATCH(DATEVALUE($A260),'recurring1_based on steps'!AS$1:AS$400,0)),AS$2,)</f>
        <v>0</v>
      </c>
      <c r="AT260" s="179">
        <f ca="1">IF(ISNUMBER(MATCH(DATEVALUE($A260),'recurring1_based on steps'!AT$1:AT$400,0)),AT$2,)</f>
        <v>0</v>
      </c>
      <c r="AU260" s="179">
        <f ca="1">IF(ISNUMBER(MATCH(DATEVALUE($A260),'recurring1_based on steps'!AU$1:AU$400,0)),AU$2,)</f>
        <v>0</v>
      </c>
      <c r="AV260" s="179">
        <f ca="1">IF(ISNUMBER(MATCH(DATEVALUE($A260),'recurring1_based on steps'!AV$1:AV$400,0)),AV$2,)</f>
        <v>0</v>
      </c>
      <c r="AW260" s="179">
        <f ca="1">IF(ISNUMBER(MATCH(DATEVALUE($A260),'recurring1_based on steps'!AW$1:AW$400,0)),AW$2,)</f>
        <v>0</v>
      </c>
      <c r="AX260" s="179">
        <f ca="1">IF(ISNUMBER(MATCH(DATEVALUE($A260),'recurring1_based on steps'!AX$1:AX$400,0)),AX$2,)</f>
        <v>0</v>
      </c>
      <c r="AY260" s="179">
        <f ca="1">IF(ISNUMBER(MATCH(DATEVALUE($A260),'recurring1_based on steps'!AY$1:AY$400,0)),AY$2,)</f>
        <v>0</v>
      </c>
    </row>
    <row r="261" spans="1:51" x14ac:dyDescent="0.2">
      <c r="A261" s="32" t="str">
        <f t="shared" ref="A261:A324" ca="1" si="4">TEXT(DATEVALUE(A260)+1,"yyyy-mm-dd")</f>
        <v>2025-12-12</v>
      </c>
      <c r="B261" s="179">
        <f ca="1">IF(ISNUMBER(MATCH(DATEVALUE($A261),'recurring1_based on steps'!B$1:B$400,0)),B$2,)</f>
        <v>0</v>
      </c>
      <c r="C261" s="179">
        <f ca="1">IF(ISNUMBER(MATCH(DATEVALUE($A261),'recurring1_based on steps'!C$1:C$400,0)),C$2,)</f>
        <v>0</v>
      </c>
      <c r="D261" s="179">
        <f ca="1">IF(ISNUMBER(MATCH(DATEVALUE($A261),'recurring1_based on steps'!D$1:D$400,0)),D$2,)</f>
        <v>0</v>
      </c>
      <c r="E261" s="179">
        <f ca="1">IF(ISNUMBER(MATCH(DATEVALUE($A261),'recurring1_based on steps'!E$1:E$400,0)),E$2,)</f>
        <v>0</v>
      </c>
      <c r="F261" s="179">
        <f ca="1">IF(ISNUMBER(MATCH(DATEVALUE($A261),'recurring1_based on steps'!F$1:F$400,0)),F$2,)</f>
        <v>0</v>
      </c>
      <c r="G261" s="179">
        <f ca="1">IF(ISNUMBER(MATCH(DATEVALUE($A261),'recurring1_based on steps'!G$1:G$400,0)),G$2,)</f>
        <v>0</v>
      </c>
      <c r="H261" s="179">
        <f ca="1">IF(ISNUMBER(MATCH(DATEVALUE($A261),'recurring1_based on steps'!H$1:H$400,0)),H$2,)</f>
        <v>0</v>
      </c>
      <c r="I261" s="179">
        <f ca="1">IF(ISNUMBER(MATCH(DATEVALUE($A261),'recurring1_based on steps'!I$1:I$400,0)),I$2,)</f>
        <v>0</v>
      </c>
      <c r="J261" s="179">
        <f ca="1">IF(ISNUMBER(MATCH(DATEVALUE($A261),'recurring1_based on steps'!J$1:J$400,0)),J$2,)</f>
        <v>0</v>
      </c>
      <c r="K261" s="179">
        <f ca="1">IF(ISNUMBER(MATCH(DATEVALUE($A261),'recurring1_based on steps'!K$1:K$400,0)),K$2,)</f>
        <v>0</v>
      </c>
      <c r="L261" s="179">
        <f ca="1">IF(ISNUMBER(MATCH(DATEVALUE($A261),'recurring1_based on steps'!L$1:L$400,0)),L$2,)</f>
        <v>0</v>
      </c>
      <c r="M261" s="179">
        <f ca="1">IF(ISNUMBER(MATCH(DATEVALUE($A261),'recurring1_based on steps'!M$1:M$400,0)),M$2,)</f>
        <v>0</v>
      </c>
      <c r="N261" s="179">
        <f ca="1">IF(ISNUMBER(MATCH(DATEVALUE($A261),'recurring1_based on steps'!N$1:N$400,0)),N$2,)</f>
        <v>0</v>
      </c>
      <c r="O261" s="179">
        <f ca="1">IF(ISNUMBER(MATCH(DATEVALUE($A261),'recurring1_based on steps'!O$1:O$400,0)),O$2,)</f>
        <v>0</v>
      </c>
      <c r="P261" s="179">
        <f ca="1">IF(ISNUMBER(MATCH(DATEVALUE($A261),'recurring1_based on steps'!P$1:P$400,0)),P$2,)</f>
        <v>0</v>
      </c>
      <c r="Q261" s="179">
        <f ca="1">IF(ISNUMBER(MATCH(DATEVALUE($A261),'recurring1_based on steps'!Q$1:Q$400,0)),Q$2,)</f>
        <v>0</v>
      </c>
      <c r="R261" s="179">
        <f ca="1">IF(ISNUMBER(MATCH(DATEVALUE($A261),'recurring1_based on steps'!R$1:R$400,0)),R$2,)</f>
        <v>0</v>
      </c>
      <c r="S261" s="179">
        <f ca="1">IF(ISNUMBER(MATCH(DATEVALUE($A261),'recurring1_based on steps'!S$1:S$400,0)),S$2,)</f>
        <v>0</v>
      </c>
      <c r="T261" s="179">
        <f ca="1">IF(ISNUMBER(MATCH(DATEVALUE($A261),'recurring1_based on steps'!T$1:T$400,0)),T$2,)</f>
        <v>0</v>
      </c>
      <c r="U261" s="179">
        <f ca="1">IF(ISNUMBER(MATCH(DATEVALUE($A261),'recurring1_based on steps'!U$1:U$400,0)),U$2,)</f>
        <v>0</v>
      </c>
      <c r="V261" s="179">
        <f ca="1">IF(ISNUMBER(MATCH(DATEVALUE($A261),'recurring1_based on steps'!V$1:V$400,0)),V$2,)</f>
        <v>0</v>
      </c>
      <c r="W261" s="179">
        <f ca="1">IF(ISNUMBER(MATCH(DATEVALUE($A261),'recurring1_based on steps'!W$1:W$400,0)),W$2,)</f>
        <v>0</v>
      </c>
      <c r="X261" s="179">
        <f ca="1">IF(ISNUMBER(MATCH(DATEVALUE($A261),'recurring1_based on steps'!X$1:X$400,0)),X$2,)</f>
        <v>0</v>
      </c>
      <c r="Y261" s="179">
        <f ca="1">IF(ISNUMBER(MATCH(DATEVALUE($A261),'recurring1_based on steps'!Y$1:Y$400,0)),Y$2,)</f>
        <v>0</v>
      </c>
      <c r="Z261" s="179">
        <f ca="1">IF(ISNUMBER(MATCH(DATEVALUE($A261),'recurring1_based on steps'!Z$1:Z$400,0)),Z$2,)</f>
        <v>0</v>
      </c>
      <c r="AA261" s="179">
        <f ca="1">IF(ISNUMBER(MATCH(DATEVALUE($A261),'recurring1_based on steps'!AA$1:AA$400,0)),AA$2,)</f>
        <v>0</v>
      </c>
      <c r="AB261" s="179">
        <f ca="1">IF(ISNUMBER(MATCH(DATEVALUE($A261),'recurring1_based on steps'!AB$1:AB$400,0)),AB$2,)</f>
        <v>0</v>
      </c>
      <c r="AC261" s="179">
        <f ca="1">IF(ISNUMBER(MATCH(DATEVALUE($A261),'recurring1_based on steps'!AC$1:AC$400,0)),AC$2,)</f>
        <v>0</v>
      </c>
      <c r="AD261" s="179">
        <f ca="1">IF(ISNUMBER(MATCH(DATEVALUE($A261),'recurring1_based on steps'!AD$1:AD$400,0)),AD$2,)</f>
        <v>0</v>
      </c>
      <c r="AE261" s="179">
        <f ca="1">IF(ISNUMBER(MATCH(DATEVALUE($A261),'recurring1_based on steps'!AE$1:AE$400,0)),AE$2,)</f>
        <v>0</v>
      </c>
      <c r="AF261" s="179">
        <f ca="1">IF(ISNUMBER(MATCH(DATEVALUE($A261),'recurring1_based on steps'!AF$1:AF$400,0)),AF$2,)</f>
        <v>0</v>
      </c>
      <c r="AG261" s="179">
        <f ca="1">IF(ISNUMBER(MATCH(DATEVALUE($A261),'recurring1_based on steps'!AG$1:AG$400,0)),AG$2,)</f>
        <v>0</v>
      </c>
      <c r="AH261" s="179">
        <f ca="1">IF(ISNUMBER(MATCH(DATEVALUE($A261),'recurring1_based on steps'!AH$1:AH$400,0)),AH$2,)</f>
        <v>0</v>
      </c>
      <c r="AI261" s="179">
        <f ca="1">IF(ISNUMBER(MATCH(DATEVALUE($A261),'recurring1_based on steps'!AI$1:AI$400,0)),AI$2,)</f>
        <v>0</v>
      </c>
      <c r="AJ261" s="179">
        <f ca="1">IF(ISNUMBER(MATCH(DATEVALUE($A261),'recurring1_based on steps'!AJ$1:AJ$400,0)),AJ$2,)</f>
        <v>0</v>
      </c>
      <c r="AK261" s="179">
        <f ca="1">IF(ISNUMBER(MATCH(DATEVALUE($A261),'recurring1_based on steps'!AK$1:AK$400,0)),AK$2,)</f>
        <v>0</v>
      </c>
      <c r="AL261" s="179">
        <f ca="1">IF(ISNUMBER(MATCH(DATEVALUE($A261),'recurring1_based on steps'!AL$1:AL$400,0)),AL$2,)</f>
        <v>0</v>
      </c>
      <c r="AM261" s="179">
        <f ca="1">IF(ISNUMBER(MATCH(DATEVALUE($A261),'recurring1_based on steps'!AM$1:AM$400,0)),AM$2,)</f>
        <v>0</v>
      </c>
      <c r="AN261" s="179">
        <f ca="1">IF(ISNUMBER(MATCH(DATEVALUE($A261),'recurring1_based on steps'!AN$1:AN$400,0)),AN$2,)</f>
        <v>0</v>
      </c>
      <c r="AO261" s="179">
        <f ca="1">IF(ISNUMBER(MATCH(DATEVALUE($A261),'recurring1_based on steps'!AO$1:AO$400,0)),AO$2,)</f>
        <v>0</v>
      </c>
      <c r="AP261" s="179">
        <f ca="1">IF(ISNUMBER(MATCH(DATEVALUE($A261),'recurring1_based on steps'!AP$1:AP$400,0)),AP$2,)</f>
        <v>0</v>
      </c>
      <c r="AQ261" s="179">
        <f ca="1">IF(ISNUMBER(MATCH(DATEVALUE($A261),'recurring1_based on steps'!AQ$1:AQ$400,0)),AQ$2,)</f>
        <v>0</v>
      </c>
      <c r="AR261" s="179">
        <f ca="1">IF(ISNUMBER(MATCH(DATEVALUE($A261),'recurring1_based on steps'!AR$1:AR$400,0)),AR$2,)</f>
        <v>0</v>
      </c>
      <c r="AS261" s="179">
        <f ca="1">IF(ISNUMBER(MATCH(DATEVALUE($A261),'recurring1_based on steps'!AS$1:AS$400,0)),AS$2,)</f>
        <v>0</v>
      </c>
      <c r="AT261" s="179">
        <f ca="1">IF(ISNUMBER(MATCH(DATEVALUE($A261),'recurring1_based on steps'!AT$1:AT$400,0)),AT$2,)</f>
        <v>0</v>
      </c>
      <c r="AU261" s="179">
        <f ca="1">IF(ISNUMBER(MATCH(DATEVALUE($A261),'recurring1_based on steps'!AU$1:AU$400,0)),AU$2,)</f>
        <v>0</v>
      </c>
      <c r="AV261" s="179">
        <f ca="1">IF(ISNUMBER(MATCH(DATEVALUE($A261),'recurring1_based on steps'!AV$1:AV$400,0)),AV$2,)</f>
        <v>0</v>
      </c>
      <c r="AW261" s="179">
        <f ca="1">IF(ISNUMBER(MATCH(DATEVALUE($A261),'recurring1_based on steps'!AW$1:AW$400,0)),AW$2,)</f>
        <v>0</v>
      </c>
      <c r="AX261" s="179">
        <f ca="1">IF(ISNUMBER(MATCH(DATEVALUE($A261),'recurring1_based on steps'!AX$1:AX$400,0)),AX$2,)</f>
        <v>0</v>
      </c>
      <c r="AY261" s="179">
        <f ca="1">IF(ISNUMBER(MATCH(DATEVALUE($A261),'recurring1_based on steps'!AY$1:AY$400,0)),AY$2,)</f>
        <v>0</v>
      </c>
    </row>
    <row r="262" spans="1:51" x14ac:dyDescent="0.2">
      <c r="A262" s="32" t="str">
        <f t="shared" ca="1" si="4"/>
        <v>2025-12-13</v>
      </c>
      <c r="B262" s="179">
        <f ca="1">IF(ISNUMBER(MATCH(DATEVALUE($A262),'recurring1_based on steps'!B$1:B$400,0)),B$2,)</f>
        <v>0</v>
      </c>
      <c r="C262" s="179">
        <f ca="1">IF(ISNUMBER(MATCH(DATEVALUE($A262),'recurring1_based on steps'!C$1:C$400,0)),C$2,)</f>
        <v>0</v>
      </c>
      <c r="D262" s="179">
        <f ca="1">IF(ISNUMBER(MATCH(DATEVALUE($A262),'recurring1_based on steps'!D$1:D$400,0)),D$2,)</f>
        <v>0</v>
      </c>
      <c r="E262" s="179">
        <f ca="1">IF(ISNUMBER(MATCH(DATEVALUE($A262),'recurring1_based on steps'!E$1:E$400,0)),E$2,)</f>
        <v>0</v>
      </c>
      <c r="F262" s="179">
        <f ca="1">IF(ISNUMBER(MATCH(DATEVALUE($A262),'recurring1_based on steps'!F$1:F$400,0)),F$2,)</f>
        <v>0</v>
      </c>
      <c r="G262" s="179">
        <f ca="1">IF(ISNUMBER(MATCH(DATEVALUE($A262),'recurring1_based on steps'!G$1:G$400,0)),G$2,)</f>
        <v>0</v>
      </c>
      <c r="H262" s="179">
        <f ca="1">IF(ISNUMBER(MATCH(DATEVALUE($A262),'recurring1_based on steps'!H$1:H$400,0)),H$2,)</f>
        <v>0</v>
      </c>
      <c r="I262" s="179">
        <f ca="1">IF(ISNUMBER(MATCH(DATEVALUE($A262),'recurring1_based on steps'!I$1:I$400,0)),I$2,)</f>
        <v>0</v>
      </c>
      <c r="J262" s="179">
        <f ca="1">IF(ISNUMBER(MATCH(DATEVALUE($A262),'recurring1_based on steps'!J$1:J$400,0)),J$2,)</f>
        <v>0</v>
      </c>
      <c r="K262" s="179">
        <f ca="1">IF(ISNUMBER(MATCH(DATEVALUE($A262),'recurring1_based on steps'!K$1:K$400,0)),K$2,)</f>
        <v>0</v>
      </c>
      <c r="L262" s="179">
        <f ca="1">IF(ISNUMBER(MATCH(DATEVALUE($A262),'recurring1_based on steps'!L$1:L$400,0)),L$2,)</f>
        <v>0</v>
      </c>
      <c r="M262" s="179">
        <f ca="1">IF(ISNUMBER(MATCH(DATEVALUE($A262),'recurring1_based on steps'!M$1:M$400,0)),M$2,)</f>
        <v>0</v>
      </c>
      <c r="N262" s="179">
        <f ca="1">IF(ISNUMBER(MATCH(DATEVALUE($A262),'recurring1_based on steps'!N$1:N$400,0)),N$2,)</f>
        <v>0</v>
      </c>
      <c r="O262" s="179">
        <f ca="1">IF(ISNUMBER(MATCH(DATEVALUE($A262),'recurring1_based on steps'!O$1:O$400,0)),O$2,)</f>
        <v>0</v>
      </c>
      <c r="P262" s="179">
        <f ca="1">IF(ISNUMBER(MATCH(DATEVALUE($A262),'recurring1_based on steps'!P$1:P$400,0)),P$2,)</f>
        <v>0</v>
      </c>
      <c r="Q262" s="179">
        <f ca="1">IF(ISNUMBER(MATCH(DATEVALUE($A262),'recurring1_based on steps'!Q$1:Q$400,0)),Q$2,)</f>
        <v>0</v>
      </c>
      <c r="R262" s="179">
        <f ca="1">IF(ISNUMBER(MATCH(DATEVALUE($A262),'recurring1_based on steps'!R$1:R$400,0)),R$2,)</f>
        <v>0</v>
      </c>
      <c r="S262" s="179">
        <f ca="1">IF(ISNUMBER(MATCH(DATEVALUE($A262),'recurring1_based on steps'!S$1:S$400,0)),S$2,)</f>
        <v>0</v>
      </c>
      <c r="T262" s="179">
        <f ca="1">IF(ISNUMBER(MATCH(DATEVALUE($A262),'recurring1_based on steps'!T$1:T$400,0)),T$2,)</f>
        <v>0</v>
      </c>
      <c r="U262" s="179">
        <f ca="1">IF(ISNUMBER(MATCH(DATEVALUE($A262),'recurring1_based on steps'!U$1:U$400,0)),U$2,)</f>
        <v>0</v>
      </c>
      <c r="V262" s="179">
        <f ca="1">IF(ISNUMBER(MATCH(DATEVALUE($A262),'recurring1_based on steps'!V$1:V$400,0)),V$2,)</f>
        <v>0</v>
      </c>
      <c r="W262" s="179">
        <f ca="1">IF(ISNUMBER(MATCH(DATEVALUE($A262),'recurring1_based on steps'!W$1:W$400,0)),W$2,)</f>
        <v>0</v>
      </c>
      <c r="X262" s="179">
        <f ca="1">IF(ISNUMBER(MATCH(DATEVALUE($A262),'recurring1_based on steps'!X$1:X$400,0)),X$2,)</f>
        <v>0</v>
      </c>
      <c r="Y262" s="179">
        <f ca="1">IF(ISNUMBER(MATCH(DATEVALUE($A262),'recurring1_based on steps'!Y$1:Y$400,0)),Y$2,)</f>
        <v>0</v>
      </c>
      <c r="Z262" s="179">
        <f ca="1">IF(ISNUMBER(MATCH(DATEVALUE($A262),'recurring1_based on steps'!Z$1:Z$400,0)),Z$2,)</f>
        <v>0</v>
      </c>
      <c r="AA262" s="179">
        <f ca="1">IF(ISNUMBER(MATCH(DATEVALUE($A262),'recurring1_based on steps'!AA$1:AA$400,0)),AA$2,)</f>
        <v>0</v>
      </c>
      <c r="AB262" s="179">
        <f ca="1">IF(ISNUMBER(MATCH(DATEVALUE($A262),'recurring1_based on steps'!AB$1:AB$400,0)),AB$2,)</f>
        <v>0</v>
      </c>
      <c r="AC262" s="179">
        <f ca="1">IF(ISNUMBER(MATCH(DATEVALUE($A262),'recurring1_based on steps'!AC$1:AC$400,0)),AC$2,)</f>
        <v>0</v>
      </c>
      <c r="AD262" s="179">
        <f ca="1">IF(ISNUMBER(MATCH(DATEVALUE($A262),'recurring1_based on steps'!AD$1:AD$400,0)),AD$2,)</f>
        <v>0</v>
      </c>
      <c r="AE262" s="179">
        <f ca="1">IF(ISNUMBER(MATCH(DATEVALUE($A262),'recurring1_based on steps'!AE$1:AE$400,0)),AE$2,)</f>
        <v>0</v>
      </c>
      <c r="AF262" s="179">
        <f ca="1">IF(ISNUMBER(MATCH(DATEVALUE($A262),'recurring1_based on steps'!AF$1:AF$400,0)),AF$2,)</f>
        <v>0</v>
      </c>
      <c r="AG262" s="179">
        <f ca="1">IF(ISNUMBER(MATCH(DATEVALUE($A262),'recurring1_based on steps'!AG$1:AG$400,0)),AG$2,)</f>
        <v>0</v>
      </c>
      <c r="AH262" s="179">
        <f ca="1">IF(ISNUMBER(MATCH(DATEVALUE($A262),'recurring1_based on steps'!AH$1:AH$400,0)),AH$2,)</f>
        <v>0</v>
      </c>
      <c r="AI262" s="179">
        <f ca="1">IF(ISNUMBER(MATCH(DATEVALUE($A262),'recurring1_based on steps'!AI$1:AI$400,0)),AI$2,)</f>
        <v>0</v>
      </c>
      <c r="AJ262" s="179">
        <f ca="1">IF(ISNUMBER(MATCH(DATEVALUE($A262),'recurring1_based on steps'!AJ$1:AJ$400,0)),AJ$2,)</f>
        <v>0</v>
      </c>
      <c r="AK262" s="179">
        <f ca="1">IF(ISNUMBER(MATCH(DATEVALUE($A262),'recurring1_based on steps'!AK$1:AK$400,0)),AK$2,)</f>
        <v>0</v>
      </c>
      <c r="AL262" s="179">
        <f ca="1">IF(ISNUMBER(MATCH(DATEVALUE($A262),'recurring1_based on steps'!AL$1:AL$400,0)),AL$2,)</f>
        <v>0</v>
      </c>
      <c r="AM262" s="179">
        <f ca="1">IF(ISNUMBER(MATCH(DATEVALUE($A262),'recurring1_based on steps'!AM$1:AM$400,0)),AM$2,)</f>
        <v>0</v>
      </c>
      <c r="AN262" s="179">
        <f ca="1">IF(ISNUMBER(MATCH(DATEVALUE($A262),'recurring1_based on steps'!AN$1:AN$400,0)),AN$2,)</f>
        <v>0</v>
      </c>
      <c r="AO262" s="179">
        <f ca="1">IF(ISNUMBER(MATCH(DATEVALUE($A262),'recurring1_based on steps'!AO$1:AO$400,0)),AO$2,)</f>
        <v>0</v>
      </c>
      <c r="AP262" s="179">
        <f ca="1">IF(ISNUMBER(MATCH(DATEVALUE($A262),'recurring1_based on steps'!AP$1:AP$400,0)),AP$2,)</f>
        <v>0</v>
      </c>
      <c r="AQ262" s="179">
        <f ca="1">IF(ISNUMBER(MATCH(DATEVALUE($A262),'recurring1_based on steps'!AQ$1:AQ$400,0)),AQ$2,)</f>
        <v>0</v>
      </c>
      <c r="AR262" s="179">
        <f ca="1">IF(ISNUMBER(MATCH(DATEVALUE($A262),'recurring1_based on steps'!AR$1:AR$400,0)),AR$2,)</f>
        <v>0</v>
      </c>
      <c r="AS262" s="179">
        <f ca="1">IF(ISNUMBER(MATCH(DATEVALUE($A262),'recurring1_based on steps'!AS$1:AS$400,0)),AS$2,)</f>
        <v>0</v>
      </c>
      <c r="AT262" s="179">
        <f ca="1">IF(ISNUMBER(MATCH(DATEVALUE($A262),'recurring1_based on steps'!AT$1:AT$400,0)),AT$2,)</f>
        <v>0</v>
      </c>
      <c r="AU262" s="179">
        <f ca="1">IF(ISNUMBER(MATCH(DATEVALUE($A262),'recurring1_based on steps'!AU$1:AU$400,0)),AU$2,)</f>
        <v>0</v>
      </c>
      <c r="AV262" s="179">
        <f ca="1">IF(ISNUMBER(MATCH(DATEVALUE($A262),'recurring1_based on steps'!AV$1:AV$400,0)),AV$2,)</f>
        <v>0</v>
      </c>
      <c r="AW262" s="179">
        <f ca="1">IF(ISNUMBER(MATCH(DATEVALUE($A262),'recurring1_based on steps'!AW$1:AW$400,0)),AW$2,)</f>
        <v>0</v>
      </c>
      <c r="AX262" s="179">
        <f ca="1">IF(ISNUMBER(MATCH(DATEVALUE($A262),'recurring1_based on steps'!AX$1:AX$400,0)),AX$2,)</f>
        <v>0</v>
      </c>
      <c r="AY262" s="179">
        <f ca="1">IF(ISNUMBER(MATCH(DATEVALUE($A262),'recurring1_based on steps'!AY$1:AY$400,0)),AY$2,)</f>
        <v>0</v>
      </c>
    </row>
    <row r="263" spans="1:51" x14ac:dyDescent="0.2">
      <c r="A263" s="32" t="str">
        <f t="shared" ca="1" si="4"/>
        <v>2025-12-14</v>
      </c>
      <c r="B263" s="179">
        <f ca="1">IF(ISNUMBER(MATCH(DATEVALUE($A263),'recurring1_based on steps'!B$1:B$400,0)),B$2,)</f>
        <v>0</v>
      </c>
      <c r="C263" s="179">
        <f ca="1">IF(ISNUMBER(MATCH(DATEVALUE($A263),'recurring1_based on steps'!C$1:C$400,0)),C$2,)</f>
        <v>0</v>
      </c>
      <c r="D263" s="179">
        <f ca="1">IF(ISNUMBER(MATCH(DATEVALUE($A263),'recurring1_based on steps'!D$1:D$400,0)),D$2,)</f>
        <v>0</v>
      </c>
      <c r="E263" s="179">
        <f ca="1">IF(ISNUMBER(MATCH(DATEVALUE($A263),'recurring1_based on steps'!E$1:E$400,0)),E$2,)</f>
        <v>0</v>
      </c>
      <c r="F263" s="179">
        <f ca="1">IF(ISNUMBER(MATCH(DATEVALUE($A263),'recurring1_based on steps'!F$1:F$400,0)),F$2,)</f>
        <v>0</v>
      </c>
      <c r="G263" s="179">
        <f ca="1">IF(ISNUMBER(MATCH(DATEVALUE($A263),'recurring1_based on steps'!G$1:G$400,0)),G$2,)</f>
        <v>0</v>
      </c>
      <c r="H263" s="179">
        <f ca="1">IF(ISNUMBER(MATCH(DATEVALUE($A263),'recurring1_based on steps'!H$1:H$400,0)),H$2,)</f>
        <v>0</v>
      </c>
      <c r="I263" s="179">
        <f ca="1">IF(ISNUMBER(MATCH(DATEVALUE($A263),'recurring1_based on steps'!I$1:I$400,0)),I$2,)</f>
        <v>0</v>
      </c>
      <c r="J263" s="179">
        <f ca="1">IF(ISNUMBER(MATCH(DATEVALUE($A263),'recurring1_based on steps'!J$1:J$400,0)),J$2,)</f>
        <v>0</v>
      </c>
      <c r="K263" s="179">
        <f ca="1">IF(ISNUMBER(MATCH(DATEVALUE($A263),'recurring1_based on steps'!K$1:K$400,0)),K$2,)</f>
        <v>0</v>
      </c>
      <c r="L263" s="179">
        <f ca="1">IF(ISNUMBER(MATCH(DATEVALUE($A263),'recurring1_based on steps'!L$1:L$400,0)),L$2,)</f>
        <v>0</v>
      </c>
      <c r="M263" s="179">
        <f ca="1">IF(ISNUMBER(MATCH(DATEVALUE($A263),'recurring1_based on steps'!M$1:M$400,0)),M$2,)</f>
        <v>0</v>
      </c>
      <c r="N263" s="179">
        <f ca="1">IF(ISNUMBER(MATCH(DATEVALUE($A263),'recurring1_based on steps'!N$1:N$400,0)),N$2,)</f>
        <v>0</v>
      </c>
      <c r="O263" s="179">
        <f ca="1">IF(ISNUMBER(MATCH(DATEVALUE($A263),'recurring1_based on steps'!O$1:O$400,0)),O$2,)</f>
        <v>0</v>
      </c>
      <c r="P263" s="179">
        <f ca="1">IF(ISNUMBER(MATCH(DATEVALUE($A263),'recurring1_based on steps'!P$1:P$400,0)),P$2,)</f>
        <v>0</v>
      </c>
      <c r="Q263" s="179">
        <f ca="1">IF(ISNUMBER(MATCH(DATEVALUE($A263),'recurring1_based on steps'!Q$1:Q$400,0)),Q$2,)</f>
        <v>0</v>
      </c>
      <c r="R263" s="179">
        <f ca="1">IF(ISNUMBER(MATCH(DATEVALUE($A263),'recurring1_based on steps'!R$1:R$400,0)),R$2,)</f>
        <v>0</v>
      </c>
      <c r="S263" s="179">
        <f ca="1">IF(ISNUMBER(MATCH(DATEVALUE($A263),'recurring1_based on steps'!S$1:S$400,0)),S$2,)</f>
        <v>0</v>
      </c>
      <c r="T263" s="179">
        <f ca="1">IF(ISNUMBER(MATCH(DATEVALUE($A263),'recurring1_based on steps'!T$1:T$400,0)),T$2,)</f>
        <v>0</v>
      </c>
      <c r="U263" s="179">
        <f ca="1">IF(ISNUMBER(MATCH(DATEVALUE($A263),'recurring1_based on steps'!U$1:U$400,0)),U$2,)</f>
        <v>0</v>
      </c>
      <c r="V263" s="179">
        <f ca="1">IF(ISNUMBER(MATCH(DATEVALUE($A263),'recurring1_based on steps'!V$1:V$400,0)),V$2,)</f>
        <v>0</v>
      </c>
      <c r="W263" s="179">
        <f ca="1">IF(ISNUMBER(MATCH(DATEVALUE($A263),'recurring1_based on steps'!W$1:W$400,0)),W$2,)</f>
        <v>0</v>
      </c>
      <c r="X263" s="179">
        <f ca="1">IF(ISNUMBER(MATCH(DATEVALUE($A263),'recurring1_based on steps'!X$1:X$400,0)),X$2,)</f>
        <v>0</v>
      </c>
      <c r="Y263" s="179">
        <f ca="1">IF(ISNUMBER(MATCH(DATEVALUE($A263),'recurring1_based on steps'!Y$1:Y$400,0)),Y$2,)</f>
        <v>0</v>
      </c>
      <c r="Z263" s="179">
        <f ca="1">IF(ISNUMBER(MATCH(DATEVALUE($A263),'recurring1_based on steps'!Z$1:Z$400,0)),Z$2,)</f>
        <v>0</v>
      </c>
      <c r="AA263" s="179">
        <f ca="1">IF(ISNUMBER(MATCH(DATEVALUE($A263),'recurring1_based on steps'!AA$1:AA$400,0)),AA$2,)</f>
        <v>0</v>
      </c>
      <c r="AB263" s="179">
        <f ca="1">IF(ISNUMBER(MATCH(DATEVALUE($A263),'recurring1_based on steps'!AB$1:AB$400,0)),AB$2,)</f>
        <v>0</v>
      </c>
      <c r="AC263" s="179">
        <f ca="1">IF(ISNUMBER(MATCH(DATEVALUE($A263),'recurring1_based on steps'!AC$1:AC$400,0)),AC$2,)</f>
        <v>0</v>
      </c>
      <c r="AD263" s="179">
        <f ca="1">IF(ISNUMBER(MATCH(DATEVALUE($A263),'recurring1_based on steps'!AD$1:AD$400,0)),AD$2,)</f>
        <v>0</v>
      </c>
      <c r="AE263" s="179">
        <f ca="1">IF(ISNUMBER(MATCH(DATEVALUE($A263),'recurring1_based on steps'!AE$1:AE$400,0)),AE$2,)</f>
        <v>0</v>
      </c>
      <c r="AF263" s="179">
        <f ca="1">IF(ISNUMBER(MATCH(DATEVALUE($A263),'recurring1_based on steps'!AF$1:AF$400,0)),AF$2,)</f>
        <v>0</v>
      </c>
      <c r="AG263" s="179">
        <f ca="1">IF(ISNUMBER(MATCH(DATEVALUE($A263),'recurring1_based on steps'!AG$1:AG$400,0)),AG$2,)</f>
        <v>0</v>
      </c>
      <c r="AH263" s="179">
        <f ca="1">IF(ISNUMBER(MATCH(DATEVALUE($A263),'recurring1_based on steps'!AH$1:AH$400,0)),AH$2,)</f>
        <v>0</v>
      </c>
      <c r="AI263" s="179">
        <f ca="1">IF(ISNUMBER(MATCH(DATEVALUE($A263),'recurring1_based on steps'!AI$1:AI$400,0)),AI$2,)</f>
        <v>0</v>
      </c>
      <c r="AJ263" s="179">
        <f ca="1">IF(ISNUMBER(MATCH(DATEVALUE($A263),'recurring1_based on steps'!AJ$1:AJ$400,0)),AJ$2,)</f>
        <v>0</v>
      </c>
      <c r="AK263" s="179">
        <f ca="1">IF(ISNUMBER(MATCH(DATEVALUE($A263),'recurring1_based on steps'!AK$1:AK$400,0)),AK$2,)</f>
        <v>0</v>
      </c>
      <c r="AL263" s="179">
        <f ca="1">IF(ISNUMBER(MATCH(DATEVALUE($A263),'recurring1_based on steps'!AL$1:AL$400,0)),AL$2,)</f>
        <v>0</v>
      </c>
      <c r="AM263" s="179">
        <f ca="1">IF(ISNUMBER(MATCH(DATEVALUE($A263),'recurring1_based on steps'!AM$1:AM$400,0)),AM$2,)</f>
        <v>0</v>
      </c>
      <c r="AN263" s="179">
        <f ca="1">IF(ISNUMBER(MATCH(DATEVALUE($A263),'recurring1_based on steps'!AN$1:AN$400,0)),AN$2,)</f>
        <v>0</v>
      </c>
      <c r="AO263" s="179">
        <f ca="1">IF(ISNUMBER(MATCH(DATEVALUE($A263),'recurring1_based on steps'!AO$1:AO$400,0)),AO$2,)</f>
        <v>0</v>
      </c>
      <c r="AP263" s="179">
        <f ca="1">IF(ISNUMBER(MATCH(DATEVALUE($A263),'recurring1_based on steps'!AP$1:AP$400,0)),AP$2,)</f>
        <v>0</v>
      </c>
      <c r="AQ263" s="179">
        <f ca="1">IF(ISNUMBER(MATCH(DATEVALUE($A263),'recurring1_based on steps'!AQ$1:AQ$400,0)),AQ$2,)</f>
        <v>0</v>
      </c>
      <c r="AR263" s="179">
        <f ca="1">IF(ISNUMBER(MATCH(DATEVALUE($A263),'recurring1_based on steps'!AR$1:AR$400,0)),AR$2,)</f>
        <v>0</v>
      </c>
      <c r="AS263" s="179">
        <f ca="1">IF(ISNUMBER(MATCH(DATEVALUE($A263),'recurring1_based on steps'!AS$1:AS$400,0)),AS$2,)</f>
        <v>0</v>
      </c>
      <c r="AT263" s="179">
        <f ca="1">IF(ISNUMBER(MATCH(DATEVALUE($A263),'recurring1_based on steps'!AT$1:AT$400,0)),AT$2,)</f>
        <v>0</v>
      </c>
      <c r="AU263" s="179">
        <f ca="1">IF(ISNUMBER(MATCH(DATEVALUE($A263),'recurring1_based on steps'!AU$1:AU$400,0)),AU$2,)</f>
        <v>0</v>
      </c>
      <c r="AV263" s="179">
        <f ca="1">IF(ISNUMBER(MATCH(DATEVALUE($A263),'recurring1_based on steps'!AV$1:AV$400,0)),AV$2,)</f>
        <v>0</v>
      </c>
      <c r="AW263" s="179">
        <f ca="1">IF(ISNUMBER(MATCH(DATEVALUE($A263),'recurring1_based on steps'!AW$1:AW$400,0)),AW$2,)</f>
        <v>0</v>
      </c>
      <c r="AX263" s="179">
        <f ca="1">IF(ISNUMBER(MATCH(DATEVALUE($A263),'recurring1_based on steps'!AX$1:AX$400,0)),AX$2,)</f>
        <v>0</v>
      </c>
      <c r="AY263" s="179">
        <f ca="1">IF(ISNUMBER(MATCH(DATEVALUE($A263),'recurring1_based on steps'!AY$1:AY$400,0)),AY$2,)</f>
        <v>0</v>
      </c>
    </row>
    <row r="264" spans="1:51" x14ac:dyDescent="0.2">
      <c r="A264" s="32" t="str">
        <f t="shared" ca="1" si="4"/>
        <v>2025-12-15</v>
      </c>
      <c r="B264" s="179">
        <f ca="1">IF(ISNUMBER(MATCH(DATEVALUE($A264),'recurring1_based on steps'!B$1:B$400,0)),B$2,)</f>
        <v>0</v>
      </c>
      <c r="C264" s="179">
        <f ca="1">IF(ISNUMBER(MATCH(DATEVALUE($A264),'recurring1_based on steps'!C$1:C$400,0)),C$2,)</f>
        <v>0</v>
      </c>
      <c r="D264" s="179">
        <f ca="1">IF(ISNUMBER(MATCH(DATEVALUE($A264),'recurring1_based on steps'!D$1:D$400,0)),D$2,)</f>
        <v>0</v>
      </c>
      <c r="E264" s="179">
        <f ca="1">IF(ISNUMBER(MATCH(DATEVALUE($A264),'recurring1_based on steps'!E$1:E$400,0)),E$2,)</f>
        <v>0</v>
      </c>
      <c r="F264" s="179">
        <f ca="1">IF(ISNUMBER(MATCH(DATEVALUE($A264),'recurring1_based on steps'!F$1:F$400,0)),F$2,)</f>
        <v>0</v>
      </c>
      <c r="G264" s="179">
        <f ca="1">IF(ISNUMBER(MATCH(DATEVALUE($A264),'recurring1_based on steps'!G$1:G$400,0)),G$2,)</f>
        <v>0</v>
      </c>
      <c r="H264" s="179">
        <f ca="1">IF(ISNUMBER(MATCH(DATEVALUE($A264),'recurring1_based on steps'!H$1:H$400,0)),H$2,)</f>
        <v>0</v>
      </c>
      <c r="I264" s="179">
        <f ca="1">IF(ISNUMBER(MATCH(DATEVALUE($A264),'recurring1_based on steps'!I$1:I$400,0)),I$2,)</f>
        <v>0</v>
      </c>
      <c r="J264" s="179">
        <f ca="1">IF(ISNUMBER(MATCH(DATEVALUE($A264),'recurring1_based on steps'!J$1:J$400,0)),J$2,)</f>
        <v>0</v>
      </c>
      <c r="K264" s="179">
        <f ca="1">IF(ISNUMBER(MATCH(DATEVALUE($A264),'recurring1_based on steps'!K$1:K$400,0)),K$2,)</f>
        <v>0</v>
      </c>
      <c r="L264" s="179">
        <f ca="1">IF(ISNUMBER(MATCH(DATEVALUE($A264),'recurring1_based on steps'!L$1:L$400,0)),L$2,)</f>
        <v>0</v>
      </c>
      <c r="M264" s="179">
        <f ca="1">IF(ISNUMBER(MATCH(DATEVALUE($A264),'recurring1_based on steps'!M$1:M$400,0)),M$2,)</f>
        <v>0</v>
      </c>
      <c r="N264" s="179">
        <f ca="1">IF(ISNUMBER(MATCH(DATEVALUE($A264),'recurring1_based on steps'!N$1:N$400,0)),N$2,)</f>
        <v>0</v>
      </c>
      <c r="O264" s="179">
        <f ca="1">IF(ISNUMBER(MATCH(DATEVALUE($A264),'recurring1_based on steps'!O$1:O$400,0)),O$2,)</f>
        <v>0</v>
      </c>
      <c r="P264" s="179">
        <f ca="1">IF(ISNUMBER(MATCH(DATEVALUE($A264),'recurring1_based on steps'!P$1:P$400,0)),P$2,)</f>
        <v>0</v>
      </c>
      <c r="Q264" s="179">
        <f ca="1">IF(ISNUMBER(MATCH(DATEVALUE($A264),'recurring1_based on steps'!Q$1:Q$400,0)),Q$2,)</f>
        <v>0</v>
      </c>
      <c r="R264" s="179">
        <f ca="1">IF(ISNUMBER(MATCH(DATEVALUE($A264),'recurring1_based on steps'!R$1:R$400,0)),R$2,)</f>
        <v>0</v>
      </c>
      <c r="S264" s="179">
        <f ca="1">IF(ISNUMBER(MATCH(DATEVALUE($A264),'recurring1_based on steps'!S$1:S$400,0)),S$2,)</f>
        <v>0</v>
      </c>
      <c r="T264" s="179">
        <f ca="1">IF(ISNUMBER(MATCH(DATEVALUE($A264),'recurring1_based on steps'!T$1:T$400,0)),T$2,)</f>
        <v>0</v>
      </c>
      <c r="U264" s="179">
        <f ca="1">IF(ISNUMBER(MATCH(DATEVALUE($A264),'recurring1_based on steps'!U$1:U$400,0)),U$2,)</f>
        <v>0</v>
      </c>
      <c r="V264" s="179">
        <f ca="1">IF(ISNUMBER(MATCH(DATEVALUE($A264),'recurring1_based on steps'!V$1:V$400,0)),V$2,)</f>
        <v>0</v>
      </c>
      <c r="W264" s="179">
        <f ca="1">IF(ISNUMBER(MATCH(DATEVALUE($A264),'recurring1_based on steps'!W$1:W$400,0)),W$2,)</f>
        <v>0</v>
      </c>
      <c r="X264" s="179">
        <f ca="1">IF(ISNUMBER(MATCH(DATEVALUE($A264),'recurring1_based on steps'!X$1:X$400,0)),X$2,)</f>
        <v>0</v>
      </c>
      <c r="Y264" s="179">
        <f ca="1">IF(ISNUMBER(MATCH(DATEVALUE($A264),'recurring1_based on steps'!Y$1:Y$400,0)),Y$2,)</f>
        <v>0</v>
      </c>
      <c r="Z264" s="179">
        <f ca="1">IF(ISNUMBER(MATCH(DATEVALUE($A264),'recurring1_based on steps'!Z$1:Z$400,0)),Z$2,)</f>
        <v>0</v>
      </c>
      <c r="AA264" s="179">
        <f ca="1">IF(ISNUMBER(MATCH(DATEVALUE($A264),'recurring1_based on steps'!AA$1:AA$400,0)),AA$2,)</f>
        <v>0</v>
      </c>
      <c r="AB264" s="179">
        <f ca="1">IF(ISNUMBER(MATCH(DATEVALUE($A264),'recurring1_based on steps'!AB$1:AB$400,0)),AB$2,)</f>
        <v>0</v>
      </c>
      <c r="AC264" s="179">
        <f ca="1">IF(ISNUMBER(MATCH(DATEVALUE($A264),'recurring1_based on steps'!AC$1:AC$400,0)),AC$2,)</f>
        <v>0</v>
      </c>
      <c r="AD264" s="179">
        <f ca="1">IF(ISNUMBER(MATCH(DATEVALUE($A264),'recurring1_based on steps'!AD$1:AD$400,0)),AD$2,)</f>
        <v>0</v>
      </c>
      <c r="AE264" s="179">
        <f ca="1">IF(ISNUMBER(MATCH(DATEVALUE($A264),'recurring1_based on steps'!AE$1:AE$400,0)),AE$2,)</f>
        <v>0</v>
      </c>
      <c r="AF264" s="179">
        <f ca="1">IF(ISNUMBER(MATCH(DATEVALUE($A264),'recurring1_based on steps'!AF$1:AF$400,0)),AF$2,)</f>
        <v>0</v>
      </c>
      <c r="AG264" s="179">
        <f ca="1">IF(ISNUMBER(MATCH(DATEVALUE($A264),'recurring1_based on steps'!AG$1:AG$400,0)),AG$2,)</f>
        <v>0</v>
      </c>
      <c r="AH264" s="179">
        <f ca="1">IF(ISNUMBER(MATCH(DATEVALUE($A264),'recurring1_based on steps'!AH$1:AH$400,0)),AH$2,)</f>
        <v>0</v>
      </c>
      <c r="AI264" s="179">
        <f ca="1">IF(ISNUMBER(MATCH(DATEVALUE($A264),'recurring1_based on steps'!AI$1:AI$400,0)),AI$2,)</f>
        <v>0</v>
      </c>
      <c r="AJ264" s="179">
        <f ca="1">IF(ISNUMBER(MATCH(DATEVALUE($A264),'recurring1_based on steps'!AJ$1:AJ$400,0)),AJ$2,)</f>
        <v>0</v>
      </c>
      <c r="AK264" s="179">
        <f ca="1">IF(ISNUMBER(MATCH(DATEVALUE($A264),'recurring1_based on steps'!AK$1:AK$400,0)),AK$2,)</f>
        <v>0</v>
      </c>
      <c r="AL264" s="179">
        <f ca="1">IF(ISNUMBER(MATCH(DATEVALUE($A264),'recurring1_based on steps'!AL$1:AL$400,0)),AL$2,)</f>
        <v>0</v>
      </c>
      <c r="AM264" s="179">
        <f ca="1">IF(ISNUMBER(MATCH(DATEVALUE($A264),'recurring1_based on steps'!AM$1:AM$400,0)),AM$2,)</f>
        <v>0</v>
      </c>
      <c r="AN264" s="179">
        <f ca="1">IF(ISNUMBER(MATCH(DATEVALUE($A264),'recurring1_based on steps'!AN$1:AN$400,0)),AN$2,)</f>
        <v>0</v>
      </c>
      <c r="AO264" s="179">
        <f ca="1">IF(ISNUMBER(MATCH(DATEVALUE($A264),'recurring1_based on steps'!AO$1:AO$400,0)),AO$2,)</f>
        <v>0</v>
      </c>
      <c r="AP264" s="179">
        <f ca="1">IF(ISNUMBER(MATCH(DATEVALUE($A264),'recurring1_based on steps'!AP$1:AP$400,0)),AP$2,)</f>
        <v>0</v>
      </c>
      <c r="AQ264" s="179">
        <f ca="1">IF(ISNUMBER(MATCH(DATEVALUE($A264),'recurring1_based on steps'!AQ$1:AQ$400,0)),AQ$2,)</f>
        <v>0</v>
      </c>
      <c r="AR264" s="179">
        <f ca="1">IF(ISNUMBER(MATCH(DATEVALUE($A264),'recurring1_based on steps'!AR$1:AR$400,0)),AR$2,)</f>
        <v>0</v>
      </c>
      <c r="AS264" s="179">
        <f ca="1">IF(ISNUMBER(MATCH(DATEVALUE($A264),'recurring1_based on steps'!AS$1:AS$400,0)),AS$2,)</f>
        <v>0</v>
      </c>
      <c r="AT264" s="179">
        <f ca="1">IF(ISNUMBER(MATCH(DATEVALUE($A264),'recurring1_based on steps'!AT$1:AT$400,0)),AT$2,)</f>
        <v>0</v>
      </c>
      <c r="AU264" s="179">
        <f ca="1">IF(ISNUMBER(MATCH(DATEVALUE($A264),'recurring1_based on steps'!AU$1:AU$400,0)),AU$2,)</f>
        <v>0</v>
      </c>
      <c r="AV264" s="179">
        <f ca="1">IF(ISNUMBER(MATCH(DATEVALUE($A264),'recurring1_based on steps'!AV$1:AV$400,0)),AV$2,)</f>
        <v>0</v>
      </c>
      <c r="AW264" s="179">
        <f ca="1">IF(ISNUMBER(MATCH(DATEVALUE($A264),'recurring1_based on steps'!AW$1:AW$400,0)),AW$2,)</f>
        <v>0</v>
      </c>
      <c r="AX264" s="179">
        <f ca="1">IF(ISNUMBER(MATCH(DATEVALUE($A264),'recurring1_based on steps'!AX$1:AX$400,0)),AX$2,)</f>
        <v>0</v>
      </c>
      <c r="AY264" s="179">
        <f ca="1">IF(ISNUMBER(MATCH(DATEVALUE($A264),'recurring1_based on steps'!AY$1:AY$400,0)),AY$2,)</f>
        <v>0</v>
      </c>
    </row>
    <row r="265" spans="1:51" x14ac:dyDescent="0.2">
      <c r="A265" s="32" t="str">
        <f t="shared" ca="1" si="4"/>
        <v>2025-12-16</v>
      </c>
      <c r="B265" s="179">
        <f ca="1">IF(ISNUMBER(MATCH(DATEVALUE($A265),'recurring1_based on steps'!B$1:B$400,0)),B$2,)</f>
        <v>0</v>
      </c>
      <c r="C265" s="179">
        <f ca="1">IF(ISNUMBER(MATCH(DATEVALUE($A265),'recurring1_based on steps'!C$1:C$400,0)),C$2,)</f>
        <v>0</v>
      </c>
      <c r="D265" s="179">
        <f ca="1">IF(ISNUMBER(MATCH(DATEVALUE($A265),'recurring1_based on steps'!D$1:D$400,0)),D$2,)</f>
        <v>0</v>
      </c>
      <c r="E265" s="179">
        <f ca="1">IF(ISNUMBER(MATCH(DATEVALUE($A265),'recurring1_based on steps'!E$1:E$400,0)),E$2,)</f>
        <v>0</v>
      </c>
      <c r="F265" s="179">
        <f ca="1">IF(ISNUMBER(MATCH(DATEVALUE($A265),'recurring1_based on steps'!F$1:F$400,0)),F$2,)</f>
        <v>0</v>
      </c>
      <c r="G265" s="179">
        <f ca="1">IF(ISNUMBER(MATCH(DATEVALUE($A265),'recurring1_based on steps'!G$1:G$400,0)),G$2,)</f>
        <v>0</v>
      </c>
      <c r="H265" s="179">
        <f ca="1">IF(ISNUMBER(MATCH(DATEVALUE($A265),'recurring1_based on steps'!H$1:H$400,0)),H$2,)</f>
        <v>0</v>
      </c>
      <c r="I265" s="179">
        <f ca="1">IF(ISNUMBER(MATCH(DATEVALUE($A265),'recurring1_based on steps'!I$1:I$400,0)),I$2,)</f>
        <v>0</v>
      </c>
      <c r="J265" s="179">
        <f ca="1">IF(ISNUMBER(MATCH(DATEVALUE($A265),'recurring1_based on steps'!J$1:J$400,0)),J$2,)</f>
        <v>0</v>
      </c>
      <c r="K265" s="179">
        <f ca="1">IF(ISNUMBER(MATCH(DATEVALUE($A265),'recurring1_based on steps'!K$1:K$400,0)),K$2,)</f>
        <v>0</v>
      </c>
      <c r="L265" s="179">
        <f ca="1">IF(ISNUMBER(MATCH(DATEVALUE($A265),'recurring1_based on steps'!L$1:L$400,0)),L$2,)</f>
        <v>0</v>
      </c>
      <c r="M265" s="179">
        <f ca="1">IF(ISNUMBER(MATCH(DATEVALUE($A265),'recurring1_based on steps'!M$1:M$400,0)),M$2,)</f>
        <v>0</v>
      </c>
      <c r="N265" s="179">
        <f ca="1">IF(ISNUMBER(MATCH(DATEVALUE($A265),'recurring1_based on steps'!N$1:N$400,0)),N$2,)</f>
        <v>0</v>
      </c>
      <c r="O265" s="179">
        <f ca="1">IF(ISNUMBER(MATCH(DATEVALUE($A265),'recurring1_based on steps'!O$1:O$400,0)),O$2,)</f>
        <v>0</v>
      </c>
      <c r="P265" s="179">
        <f ca="1">IF(ISNUMBER(MATCH(DATEVALUE($A265),'recurring1_based on steps'!P$1:P$400,0)),P$2,)</f>
        <v>0</v>
      </c>
      <c r="Q265" s="179">
        <f ca="1">IF(ISNUMBER(MATCH(DATEVALUE($A265),'recurring1_based on steps'!Q$1:Q$400,0)),Q$2,)</f>
        <v>0</v>
      </c>
      <c r="R265" s="179">
        <f ca="1">IF(ISNUMBER(MATCH(DATEVALUE($A265),'recurring1_based on steps'!R$1:R$400,0)),R$2,)</f>
        <v>0</v>
      </c>
      <c r="S265" s="179">
        <f ca="1">IF(ISNUMBER(MATCH(DATEVALUE($A265),'recurring1_based on steps'!S$1:S$400,0)),S$2,)</f>
        <v>0</v>
      </c>
      <c r="T265" s="179">
        <f ca="1">IF(ISNUMBER(MATCH(DATEVALUE($A265),'recurring1_based on steps'!T$1:T$400,0)),T$2,)</f>
        <v>0</v>
      </c>
      <c r="U265" s="179">
        <f ca="1">IF(ISNUMBER(MATCH(DATEVALUE($A265),'recurring1_based on steps'!U$1:U$400,0)),U$2,)</f>
        <v>0</v>
      </c>
      <c r="V265" s="179">
        <f ca="1">IF(ISNUMBER(MATCH(DATEVALUE($A265),'recurring1_based on steps'!V$1:V$400,0)),V$2,)</f>
        <v>0</v>
      </c>
      <c r="W265" s="179">
        <f ca="1">IF(ISNUMBER(MATCH(DATEVALUE($A265),'recurring1_based on steps'!W$1:W$400,0)),W$2,)</f>
        <v>0</v>
      </c>
      <c r="X265" s="179">
        <f ca="1">IF(ISNUMBER(MATCH(DATEVALUE($A265),'recurring1_based on steps'!X$1:X$400,0)),X$2,)</f>
        <v>0</v>
      </c>
      <c r="Y265" s="179">
        <f ca="1">IF(ISNUMBER(MATCH(DATEVALUE($A265),'recurring1_based on steps'!Y$1:Y$400,0)),Y$2,)</f>
        <v>0</v>
      </c>
      <c r="Z265" s="179">
        <f ca="1">IF(ISNUMBER(MATCH(DATEVALUE($A265),'recurring1_based on steps'!Z$1:Z$400,0)),Z$2,)</f>
        <v>0</v>
      </c>
      <c r="AA265" s="179">
        <f ca="1">IF(ISNUMBER(MATCH(DATEVALUE($A265),'recurring1_based on steps'!AA$1:AA$400,0)),AA$2,)</f>
        <v>0</v>
      </c>
      <c r="AB265" s="179">
        <f ca="1">IF(ISNUMBER(MATCH(DATEVALUE($A265),'recurring1_based on steps'!AB$1:AB$400,0)),AB$2,)</f>
        <v>0</v>
      </c>
      <c r="AC265" s="179">
        <f ca="1">IF(ISNUMBER(MATCH(DATEVALUE($A265),'recurring1_based on steps'!AC$1:AC$400,0)),AC$2,)</f>
        <v>0</v>
      </c>
      <c r="AD265" s="179">
        <f ca="1">IF(ISNUMBER(MATCH(DATEVALUE($A265),'recurring1_based on steps'!AD$1:AD$400,0)),AD$2,)</f>
        <v>0</v>
      </c>
      <c r="AE265" s="179">
        <f ca="1">IF(ISNUMBER(MATCH(DATEVALUE($A265),'recurring1_based on steps'!AE$1:AE$400,0)),AE$2,)</f>
        <v>0</v>
      </c>
      <c r="AF265" s="179">
        <f ca="1">IF(ISNUMBER(MATCH(DATEVALUE($A265),'recurring1_based on steps'!AF$1:AF$400,0)),AF$2,)</f>
        <v>0</v>
      </c>
      <c r="AG265" s="179">
        <f ca="1">IF(ISNUMBER(MATCH(DATEVALUE($A265),'recurring1_based on steps'!AG$1:AG$400,0)),AG$2,)</f>
        <v>0</v>
      </c>
      <c r="AH265" s="179">
        <f ca="1">IF(ISNUMBER(MATCH(DATEVALUE($A265),'recurring1_based on steps'!AH$1:AH$400,0)),AH$2,)</f>
        <v>0</v>
      </c>
      <c r="AI265" s="179">
        <f ca="1">IF(ISNUMBER(MATCH(DATEVALUE($A265),'recurring1_based on steps'!AI$1:AI$400,0)),AI$2,)</f>
        <v>0</v>
      </c>
      <c r="AJ265" s="179">
        <f ca="1">IF(ISNUMBER(MATCH(DATEVALUE($A265),'recurring1_based on steps'!AJ$1:AJ$400,0)),AJ$2,)</f>
        <v>0</v>
      </c>
      <c r="AK265" s="179">
        <f ca="1">IF(ISNUMBER(MATCH(DATEVALUE($A265),'recurring1_based on steps'!AK$1:AK$400,0)),AK$2,)</f>
        <v>0</v>
      </c>
      <c r="AL265" s="179">
        <f ca="1">IF(ISNUMBER(MATCH(DATEVALUE($A265),'recurring1_based on steps'!AL$1:AL$400,0)),AL$2,)</f>
        <v>0</v>
      </c>
      <c r="AM265" s="179">
        <f ca="1">IF(ISNUMBER(MATCH(DATEVALUE($A265),'recurring1_based on steps'!AM$1:AM$400,0)),AM$2,)</f>
        <v>0</v>
      </c>
      <c r="AN265" s="179">
        <f ca="1">IF(ISNUMBER(MATCH(DATEVALUE($A265),'recurring1_based on steps'!AN$1:AN$400,0)),AN$2,)</f>
        <v>0</v>
      </c>
      <c r="AO265" s="179">
        <f ca="1">IF(ISNUMBER(MATCH(DATEVALUE($A265),'recurring1_based on steps'!AO$1:AO$400,0)),AO$2,)</f>
        <v>0</v>
      </c>
      <c r="AP265" s="179">
        <f ca="1">IF(ISNUMBER(MATCH(DATEVALUE($A265),'recurring1_based on steps'!AP$1:AP$400,0)),AP$2,)</f>
        <v>0</v>
      </c>
      <c r="AQ265" s="179">
        <f ca="1">IF(ISNUMBER(MATCH(DATEVALUE($A265),'recurring1_based on steps'!AQ$1:AQ$400,0)),AQ$2,)</f>
        <v>0</v>
      </c>
      <c r="AR265" s="179">
        <f ca="1">IF(ISNUMBER(MATCH(DATEVALUE($A265),'recurring1_based on steps'!AR$1:AR$400,0)),AR$2,)</f>
        <v>0</v>
      </c>
      <c r="AS265" s="179">
        <f ca="1">IF(ISNUMBER(MATCH(DATEVALUE($A265),'recurring1_based on steps'!AS$1:AS$400,0)),AS$2,)</f>
        <v>0</v>
      </c>
      <c r="AT265" s="179">
        <f ca="1">IF(ISNUMBER(MATCH(DATEVALUE($A265),'recurring1_based on steps'!AT$1:AT$400,0)),AT$2,)</f>
        <v>0</v>
      </c>
      <c r="AU265" s="179">
        <f ca="1">IF(ISNUMBER(MATCH(DATEVALUE($A265),'recurring1_based on steps'!AU$1:AU$400,0)),AU$2,)</f>
        <v>0</v>
      </c>
      <c r="AV265" s="179">
        <f ca="1">IF(ISNUMBER(MATCH(DATEVALUE($A265),'recurring1_based on steps'!AV$1:AV$400,0)),AV$2,)</f>
        <v>0</v>
      </c>
      <c r="AW265" s="179">
        <f ca="1">IF(ISNUMBER(MATCH(DATEVALUE($A265),'recurring1_based on steps'!AW$1:AW$400,0)),AW$2,)</f>
        <v>0</v>
      </c>
      <c r="AX265" s="179">
        <f ca="1">IF(ISNUMBER(MATCH(DATEVALUE($A265),'recurring1_based on steps'!AX$1:AX$400,0)),AX$2,)</f>
        <v>0</v>
      </c>
      <c r="AY265" s="179">
        <f ca="1">IF(ISNUMBER(MATCH(DATEVALUE($A265),'recurring1_based on steps'!AY$1:AY$400,0)),AY$2,)</f>
        <v>0</v>
      </c>
    </row>
    <row r="266" spans="1:51" x14ac:dyDescent="0.2">
      <c r="A266" s="32" t="str">
        <f t="shared" ca="1" si="4"/>
        <v>2025-12-17</v>
      </c>
      <c r="B266" s="179">
        <f ca="1">IF(ISNUMBER(MATCH(DATEVALUE($A266),'recurring1_based on steps'!B$1:B$400,0)),B$2,)</f>
        <v>0</v>
      </c>
      <c r="C266" s="179">
        <f ca="1">IF(ISNUMBER(MATCH(DATEVALUE($A266),'recurring1_based on steps'!C$1:C$400,0)),C$2,)</f>
        <v>0</v>
      </c>
      <c r="D266" s="179">
        <f ca="1">IF(ISNUMBER(MATCH(DATEVALUE($A266),'recurring1_based on steps'!D$1:D$400,0)),D$2,)</f>
        <v>0</v>
      </c>
      <c r="E266" s="179">
        <f ca="1">IF(ISNUMBER(MATCH(DATEVALUE($A266),'recurring1_based on steps'!E$1:E$400,0)),E$2,)</f>
        <v>0</v>
      </c>
      <c r="F266" s="179">
        <f ca="1">IF(ISNUMBER(MATCH(DATEVALUE($A266),'recurring1_based on steps'!F$1:F$400,0)),F$2,)</f>
        <v>0</v>
      </c>
      <c r="G266" s="179">
        <f ca="1">IF(ISNUMBER(MATCH(DATEVALUE($A266),'recurring1_based on steps'!G$1:G$400,0)),G$2,)</f>
        <v>0</v>
      </c>
      <c r="H266" s="179">
        <f ca="1">IF(ISNUMBER(MATCH(DATEVALUE($A266),'recurring1_based on steps'!H$1:H$400,0)),H$2,)</f>
        <v>0</v>
      </c>
      <c r="I266" s="179">
        <f ca="1">IF(ISNUMBER(MATCH(DATEVALUE($A266),'recurring1_based on steps'!I$1:I$400,0)),I$2,)</f>
        <v>0</v>
      </c>
      <c r="J266" s="179">
        <f ca="1">IF(ISNUMBER(MATCH(DATEVALUE($A266),'recurring1_based on steps'!J$1:J$400,0)),J$2,)</f>
        <v>0</v>
      </c>
      <c r="K266" s="179">
        <f ca="1">IF(ISNUMBER(MATCH(DATEVALUE($A266),'recurring1_based on steps'!K$1:K$400,0)),K$2,)</f>
        <v>0</v>
      </c>
      <c r="L266" s="179">
        <f ca="1">IF(ISNUMBER(MATCH(DATEVALUE($A266),'recurring1_based on steps'!L$1:L$400,0)),L$2,)</f>
        <v>0</v>
      </c>
      <c r="M266" s="179">
        <f ca="1">IF(ISNUMBER(MATCH(DATEVALUE($A266),'recurring1_based on steps'!M$1:M$400,0)),M$2,)</f>
        <v>0</v>
      </c>
      <c r="N266" s="179">
        <f ca="1">IF(ISNUMBER(MATCH(DATEVALUE($A266),'recurring1_based on steps'!N$1:N$400,0)),N$2,)</f>
        <v>0</v>
      </c>
      <c r="O266" s="179">
        <f ca="1">IF(ISNUMBER(MATCH(DATEVALUE($A266),'recurring1_based on steps'!O$1:O$400,0)),O$2,)</f>
        <v>0</v>
      </c>
      <c r="P266" s="179">
        <f ca="1">IF(ISNUMBER(MATCH(DATEVALUE($A266),'recurring1_based on steps'!P$1:P$400,0)),P$2,)</f>
        <v>0</v>
      </c>
      <c r="Q266" s="179">
        <f ca="1">IF(ISNUMBER(MATCH(DATEVALUE($A266),'recurring1_based on steps'!Q$1:Q$400,0)),Q$2,)</f>
        <v>0</v>
      </c>
      <c r="R266" s="179">
        <f ca="1">IF(ISNUMBER(MATCH(DATEVALUE($A266),'recurring1_based on steps'!R$1:R$400,0)),R$2,)</f>
        <v>0</v>
      </c>
      <c r="S266" s="179">
        <f ca="1">IF(ISNUMBER(MATCH(DATEVALUE($A266),'recurring1_based on steps'!S$1:S$400,0)),S$2,)</f>
        <v>0</v>
      </c>
      <c r="T266" s="179">
        <f ca="1">IF(ISNUMBER(MATCH(DATEVALUE($A266),'recurring1_based on steps'!T$1:T$400,0)),T$2,)</f>
        <v>0</v>
      </c>
      <c r="U266" s="179">
        <f ca="1">IF(ISNUMBER(MATCH(DATEVALUE($A266),'recurring1_based on steps'!U$1:U$400,0)),U$2,)</f>
        <v>0</v>
      </c>
      <c r="V266" s="179">
        <f ca="1">IF(ISNUMBER(MATCH(DATEVALUE($A266),'recurring1_based on steps'!V$1:V$400,0)),V$2,)</f>
        <v>0</v>
      </c>
      <c r="W266" s="179">
        <f ca="1">IF(ISNUMBER(MATCH(DATEVALUE($A266),'recurring1_based on steps'!W$1:W$400,0)),W$2,)</f>
        <v>0</v>
      </c>
      <c r="X266" s="179">
        <f ca="1">IF(ISNUMBER(MATCH(DATEVALUE($A266),'recurring1_based on steps'!X$1:X$400,0)),X$2,)</f>
        <v>0</v>
      </c>
      <c r="Y266" s="179">
        <f ca="1">IF(ISNUMBER(MATCH(DATEVALUE($A266),'recurring1_based on steps'!Y$1:Y$400,0)),Y$2,)</f>
        <v>0</v>
      </c>
      <c r="Z266" s="179">
        <f ca="1">IF(ISNUMBER(MATCH(DATEVALUE($A266),'recurring1_based on steps'!Z$1:Z$400,0)),Z$2,)</f>
        <v>0</v>
      </c>
      <c r="AA266" s="179">
        <f ca="1">IF(ISNUMBER(MATCH(DATEVALUE($A266),'recurring1_based on steps'!AA$1:AA$400,0)),AA$2,)</f>
        <v>0</v>
      </c>
      <c r="AB266" s="179">
        <f ca="1">IF(ISNUMBER(MATCH(DATEVALUE($A266),'recurring1_based on steps'!AB$1:AB$400,0)),AB$2,)</f>
        <v>0</v>
      </c>
      <c r="AC266" s="179">
        <f ca="1">IF(ISNUMBER(MATCH(DATEVALUE($A266),'recurring1_based on steps'!AC$1:AC$400,0)),AC$2,)</f>
        <v>0</v>
      </c>
      <c r="AD266" s="179">
        <f ca="1">IF(ISNUMBER(MATCH(DATEVALUE($A266),'recurring1_based on steps'!AD$1:AD$400,0)),AD$2,)</f>
        <v>0</v>
      </c>
      <c r="AE266" s="179">
        <f ca="1">IF(ISNUMBER(MATCH(DATEVALUE($A266),'recurring1_based on steps'!AE$1:AE$400,0)),AE$2,)</f>
        <v>0</v>
      </c>
      <c r="AF266" s="179">
        <f ca="1">IF(ISNUMBER(MATCH(DATEVALUE($A266),'recurring1_based on steps'!AF$1:AF$400,0)),AF$2,)</f>
        <v>0</v>
      </c>
      <c r="AG266" s="179">
        <f ca="1">IF(ISNUMBER(MATCH(DATEVALUE($A266),'recurring1_based on steps'!AG$1:AG$400,0)),AG$2,)</f>
        <v>0</v>
      </c>
      <c r="AH266" s="179">
        <f ca="1">IF(ISNUMBER(MATCH(DATEVALUE($A266),'recurring1_based on steps'!AH$1:AH$400,0)),AH$2,)</f>
        <v>0</v>
      </c>
      <c r="AI266" s="179">
        <f ca="1">IF(ISNUMBER(MATCH(DATEVALUE($A266),'recurring1_based on steps'!AI$1:AI$400,0)),AI$2,)</f>
        <v>0</v>
      </c>
      <c r="AJ266" s="179">
        <f ca="1">IF(ISNUMBER(MATCH(DATEVALUE($A266),'recurring1_based on steps'!AJ$1:AJ$400,0)),AJ$2,)</f>
        <v>0</v>
      </c>
      <c r="AK266" s="179">
        <f ca="1">IF(ISNUMBER(MATCH(DATEVALUE($A266),'recurring1_based on steps'!AK$1:AK$400,0)),AK$2,)</f>
        <v>0</v>
      </c>
      <c r="AL266" s="179">
        <f ca="1">IF(ISNUMBER(MATCH(DATEVALUE($A266),'recurring1_based on steps'!AL$1:AL$400,0)),AL$2,)</f>
        <v>0</v>
      </c>
      <c r="AM266" s="179">
        <f ca="1">IF(ISNUMBER(MATCH(DATEVALUE($A266),'recurring1_based on steps'!AM$1:AM$400,0)),AM$2,)</f>
        <v>0</v>
      </c>
      <c r="AN266" s="179">
        <f ca="1">IF(ISNUMBER(MATCH(DATEVALUE($A266),'recurring1_based on steps'!AN$1:AN$400,0)),AN$2,)</f>
        <v>0</v>
      </c>
      <c r="AO266" s="179">
        <f ca="1">IF(ISNUMBER(MATCH(DATEVALUE($A266),'recurring1_based on steps'!AO$1:AO$400,0)),AO$2,)</f>
        <v>0</v>
      </c>
      <c r="AP266" s="179">
        <f ca="1">IF(ISNUMBER(MATCH(DATEVALUE($A266),'recurring1_based on steps'!AP$1:AP$400,0)),AP$2,)</f>
        <v>0</v>
      </c>
      <c r="AQ266" s="179">
        <f ca="1">IF(ISNUMBER(MATCH(DATEVALUE($A266),'recurring1_based on steps'!AQ$1:AQ$400,0)),AQ$2,)</f>
        <v>0</v>
      </c>
      <c r="AR266" s="179">
        <f ca="1">IF(ISNUMBER(MATCH(DATEVALUE($A266),'recurring1_based on steps'!AR$1:AR$400,0)),AR$2,)</f>
        <v>0</v>
      </c>
      <c r="AS266" s="179">
        <f ca="1">IF(ISNUMBER(MATCH(DATEVALUE($A266),'recurring1_based on steps'!AS$1:AS$400,0)),AS$2,)</f>
        <v>0</v>
      </c>
      <c r="AT266" s="179">
        <f ca="1">IF(ISNUMBER(MATCH(DATEVALUE($A266),'recurring1_based on steps'!AT$1:AT$400,0)),AT$2,)</f>
        <v>0</v>
      </c>
      <c r="AU266" s="179">
        <f ca="1">IF(ISNUMBER(MATCH(DATEVALUE($A266),'recurring1_based on steps'!AU$1:AU$400,0)),AU$2,)</f>
        <v>0</v>
      </c>
      <c r="AV266" s="179">
        <f ca="1">IF(ISNUMBER(MATCH(DATEVALUE($A266),'recurring1_based on steps'!AV$1:AV$400,0)),AV$2,)</f>
        <v>0</v>
      </c>
      <c r="AW266" s="179">
        <f ca="1">IF(ISNUMBER(MATCH(DATEVALUE($A266),'recurring1_based on steps'!AW$1:AW$400,0)),AW$2,)</f>
        <v>0</v>
      </c>
      <c r="AX266" s="179">
        <f ca="1">IF(ISNUMBER(MATCH(DATEVALUE($A266),'recurring1_based on steps'!AX$1:AX$400,0)),AX$2,)</f>
        <v>0</v>
      </c>
      <c r="AY266" s="179">
        <f ca="1">IF(ISNUMBER(MATCH(DATEVALUE($A266),'recurring1_based on steps'!AY$1:AY$400,0)),AY$2,)</f>
        <v>0</v>
      </c>
    </row>
    <row r="267" spans="1:51" x14ac:dyDescent="0.2">
      <c r="A267" s="32" t="str">
        <f t="shared" ca="1" si="4"/>
        <v>2025-12-18</v>
      </c>
      <c r="B267" s="179">
        <f ca="1">IF(ISNUMBER(MATCH(DATEVALUE($A267),'recurring1_based on steps'!B$1:B$400,0)),B$2,)</f>
        <v>0</v>
      </c>
      <c r="C267" s="179">
        <f ca="1">IF(ISNUMBER(MATCH(DATEVALUE($A267),'recurring1_based on steps'!C$1:C$400,0)),C$2,)</f>
        <v>0</v>
      </c>
      <c r="D267" s="179">
        <f ca="1">IF(ISNUMBER(MATCH(DATEVALUE($A267),'recurring1_based on steps'!D$1:D$400,0)),D$2,)</f>
        <v>0</v>
      </c>
      <c r="E267" s="179">
        <f ca="1">IF(ISNUMBER(MATCH(DATEVALUE($A267),'recurring1_based on steps'!E$1:E$400,0)),E$2,)</f>
        <v>0</v>
      </c>
      <c r="F267" s="179">
        <f ca="1">IF(ISNUMBER(MATCH(DATEVALUE($A267),'recurring1_based on steps'!F$1:F$400,0)),F$2,)</f>
        <v>0</v>
      </c>
      <c r="G267" s="179">
        <f ca="1">IF(ISNUMBER(MATCH(DATEVALUE($A267),'recurring1_based on steps'!G$1:G$400,0)),G$2,)</f>
        <v>0</v>
      </c>
      <c r="H267" s="179">
        <f ca="1">IF(ISNUMBER(MATCH(DATEVALUE($A267),'recurring1_based on steps'!H$1:H$400,0)),H$2,)</f>
        <v>0</v>
      </c>
      <c r="I267" s="179">
        <f ca="1">IF(ISNUMBER(MATCH(DATEVALUE($A267),'recurring1_based on steps'!I$1:I$400,0)),I$2,)</f>
        <v>0</v>
      </c>
      <c r="J267" s="179">
        <f ca="1">IF(ISNUMBER(MATCH(DATEVALUE($A267),'recurring1_based on steps'!J$1:J$400,0)),J$2,)</f>
        <v>0</v>
      </c>
      <c r="K267" s="179">
        <f ca="1">IF(ISNUMBER(MATCH(DATEVALUE($A267),'recurring1_based on steps'!K$1:K$400,0)),K$2,)</f>
        <v>0</v>
      </c>
      <c r="L267" s="179">
        <f ca="1">IF(ISNUMBER(MATCH(DATEVALUE($A267),'recurring1_based on steps'!L$1:L$400,0)),L$2,)</f>
        <v>0</v>
      </c>
      <c r="M267" s="179">
        <f ca="1">IF(ISNUMBER(MATCH(DATEVALUE($A267),'recurring1_based on steps'!M$1:M$400,0)),M$2,)</f>
        <v>0</v>
      </c>
      <c r="N267" s="179">
        <f ca="1">IF(ISNUMBER(MATCH(DATEVALUE($A267),'recurring1_based on steps'!N$1:N$400,0)),N$2,)</f>
        <v>0</v>
      </c>
      <c r="O267" s="179">
        <f ca="1">IF(ISNUMBER(MATCH(DATEVALUE($A267),'recurring1_based on steps'!O$1:O$400,0)),O$2,)</f>
        <v>0</v>
      </c>
      <c r="P267" s="179">
        <f ca="1">IF(ISNUMBER(MATCH(DATEVALUE($A267),'recurring1_based on steps'!P$1:P$400,0)),P$2,)</f>
        <v>0</v>
      </c>
      <c r="Q267" s="179">
        <f ca="1">IF(ISNUMBER(MATCH(DATEVALUE($A267),'recurring1_based on steps'!Q$1:Q$400,0)),Q$2,)</f>
        <v>0</v>
      </c>
      <c r="R267" s="179">
        <f ca="1">IF(ISNUMBER(MATCH(DATEVALUE($A267),'recurring1_based on steps'!R$1:R$400,0)),R$2,)</f>
        <v>0</v>
      </c>
      <c r="S267" s="179">
        <f ca="1">IF(ISNUMBER(MATCH(DATEVALUE($A267),'recurring1_based on steps'!S$1:S$400,0)),S$2,)</f>
        <v>0</v>
      </c>
      <c r="T267" s="179">
        <f ca="1">IF(ISNUMBER(MATCH(DATEVALUE($A267),'recurring1_based on steps'!T$1:T$400,0)),T$2,)</f>
        <v>0</v>
      </c>
      <c r="U267" s="179">
        <f ca="1">IF(ISNUMBER(MATCH(DATEVALUE($A267),'recurring1_based on steps'!U$1:U$400,0)),U$2,)</f>
        <v>0</v>
      </c>
      <c r="V267" s="179">
        <f ca="1">IF(ISNUMBER(MATCH(DATEVALUE($A267),'recurring1_based on steps'!V$1:V$400,0)),V$2,)</f>
        <v>0</v>
      </c>
      <c r="W267" s="179">
        <f ca="1">IF(ISNUMBER(MATCH(DATEVALUE($A267),'recurring1_based on steps'!W$1:W$400,0)),W$2,)</f>
        <v>0</v>
      </c>
      <c r="X267" s="179">
        <f ca="1">IF(ISNUMBER(MATCH(DATEVALUE($A267),'recurring1_based on steps'!X$1:X$400,0)),X$2,)</f>
        <v>0</v>
      </c>
      <c r="Y267" s="179">
        <f ca="1">IF(ISNUMBER(MATCH(DATEVALUE($A267),'recurring1_based on steps'!Y$1:Y$400,0)),Y$2,)</f>
        <v>0</v>
      </c>
      <c r="Z267" s="179">
        <f ca="1">IF(ISNUMBER(MATCH(DATEVALUE($A267),'recurring1_based on steps'!Z$1:Z$400,0)),Z$2,)</f>
        <v>0</v>
      </c>
      <c r="AA267" s="179">
        <f ca="1">IF(ISNUMBER(MATCH(DATEVALUE($A267),'recurring1_based on steps'!AA$1:AA$400,0)),AA$2,)</f>
        <v>0</v>
      </c>
      <c r="AB267" s="179">
        <f ca="1">IF(ISNUMBER(MATCH(DATEVALUE($A267),'recurring1_based on steps'!AB$1:AB$400,0)),AB$2,)</f>
        <v>0</v>
      </c>
      <c r="AC267" s="179">
        <f ca="1">IF(ISNUMBER(MATCH(DATEVALUE($A267),'recurring1_based on steps'!AC$1:AC$400,0)),AC$2,)</f>
        <v>0</v>
      </c>
      <c r="AD267" s="179">
        <f ca="1">IF(ISNUMBER(MATCH(DATEVALUE($A267),'recurring1_based on steps'!AD$1:AD$400,0)),AD$2,)</f>
        <v>0</v>
      </c>
      <c r="AE267" s="179">
        <f ca="1">IF(ISNUMBER(MATCH(DATEVALUE($A267),'recurring1_based on steps'!AE$1:AE$400,0)),AE$2,)</f>
        <v>0</v>
      </c>
      <c r="AF267" s="179">
        <f ca="1">IF(ISNUMBER(MATCH(DATEVALUE($A267),'recurring1_based on steps'!AF$1:AF$400,0)),AF$2,)</f>
        <v>0</v>
      </c>
      <c r="AG267" s="179">
        <f ca="1">IF(ISNUMBER(MATCH(DATEVALUE($A267),'recurring1_based on steps'!AG$1:AG$400,0)),AG$2,)</f>
        <v>0</v>
      </c>
      <c r="AH267" s="179">
        <f ca="1">IF(ISNUMBER(MATCH(DATEVALUE($A267),'recurring1_based on steps'!AH$1:AH$400,0)),AH$2,)</f>
        <v>0</v>
      </c>
      <c r="AI267" s="179">
        <f ca="1">IF(ISNUMBER(MATCH(DATEVALUE($A267),'recurring1_based on steps'!AI$1:AI$400,0)),AI$2,)</f>
        <v>0</v>
      </c>
      <c r="AJ267" s="179">
        <f ca="1">IF(ISNUMBER(MATCH(DATEVALUE($A267),'recurring1_based on steps'!AJ$1:AJ$400,0)),AJ$2,)</f>
        <v>0</v>
      </c>
      <c r="AK267" s="179">
        <f ca="1">IF(ISNUMBER(MATCH(DATEVALUE($A267),'recurring1_based on steps'!AK$1:AK$400,0)),AK$2,)</f>
        <v>0</v>
      </c>
      <c r="AL267" s="179">
        <f ca="1">IF(ISNUMBER(MATCH(DATEVALUE($A267),'recurring1_based on steps'!AL$1:AL$400,0)),AL$2,)</f>
        <v>0</v>
      </c>
      <c r="AM267" s="179">
        <f ca="1">IF(ISNUMBER(MATCH(DATEVALUE($A267),'recurring1_based on steps'!AM$1:AM$400,0)),AM$2,)</f>
        <v>0</v>
      </c>
      <c r="AN267" s="179">
        <f ca="1">IF(ISNUMBER(MATCH(DATEVALUE($A267),'recurring1_based on steps'!AN$1:AN$400,0)),AN$2,)</f>
        <v>0</v>
      </c>
      <c r="AO267" s="179">
        <f ca="1">IF(ISNUMBER(MATCH(DATEVALUE($A267),'recurring1_based on steps'!AO$1:AO$400,0)),AO$2,)</f>
        <v>0</v>
      </c>
      <c r="AP267" s="179">
        <f ca="1">IF(ISNUMBER(MATCH(DATEVALUE($A267),'recurring1_based on steps'!AP$1:AP$400,0)),AP$2,)</f>
        <v>0</v>
      </c>
      <c r="AQ267" s="179">
        <f ca="1">IF(ISNUMBER(MATCH(DATEVALUE($A267),'recurring1_based on steps'!AQ$1:AQ$400,0)),AQ$2,)</f>
        <v>0</v>
      </c>
      <c r="AR267" s="179">
        <f ca="1">IF(ISNUMBER(MATCH(DATEVALUE($A267),'recurring1_based on steps'!AR$1:AR$400,0)),AR$2,)</f>
        <v>0</v>
      </c>
      <c r="AS267" s="179">
        <f ca="1">IF(ISNUMBER(MATCH(DATEVALUE($A267),'recurring1_based on steps'!AS$1:AS$400,0)),AS$2,)</f>
        <v>0</v>
      </c>
      <c r="AT267" s="179">
        <f ca="1">IF(ISNUMBER(MATCH(DATEVALUE($A267),'recurring1_based on steps'!AT$1:AT$400,0)),AT$2,)</f>
        <v>0</v>
      </c>
      <c r="AU267" s="179">
        <f ca="1">IF(ISNUMBER(MATCH(DATEVALUE($A267),'recurring1_based on steps'!AU$1:AU$400,0)),AU$2,)</f>
        <v>0</v>
      </c>
      <c r="AV267" s="179">
        <f ca="1">IF(ISNUMBER(MATCH(DATEVALUE($A267),'recurring1_based on steps'!AV$1:AV$400,0)),AV$2,)</f>
        <v>0</v>
      </c>
      <c r="AW267" s="179">
        <f ca="1">IF(ISNUMBER(MATCH(DATEVALUE($A267),'recurring1_based on steps'!AW$1:AW$400,0)),AW$2,)</f>
        <v>0</v>
      </c>
      <c r="AX267" s="179">
        <f ca="1">IF(ISNUMBER(MATCH(DATEVALUE($A267),'recurring1_based on steps'!AX$1:AX$400,0)),AX$2,)</f>
        <v>0</v>
      </c>
      <c r="AY267" s="179">
        <f ca="1">IF(ISNUMBER(MATCH(DATEVALUE($A267),'recurring1_based on steps'!AY$1:AY$400,0)),AY$2,)</f>
        <v>0</v>
      </c>
    </row>
    <row r="268" spans="1:51" x14ac:dyDescent="0.2">
      <c r="A268" s="32" t="str">
        <f t="shared" ca="1" si="4"/>
        <v>2025-12-19</v>
      </c>
      <c r="B268" s="179">
        <f ca="1">IF(ISNUMBER(MATCH(DATEVALUE($A268),'recurring1_based on steps'!B$1:B$400,0)),B$2,)</f>
        <v>0</v>
      </c>
      <c r="C268" s="179">
        <f ca="1">IF(ISNUMBER(MATCH(DATEVALUE($A268),'recurring1_based on steps'!C$1:C$400,0)),C$2,)</f>
        <v>0</v>
      </c>
      <c r="D268" s="179">
        <f ca="1">IF(ISNUMBER(MATCH(DATEVALUE($A268),'recurring1_based on steps'!D$1:D$400,0)),D$2,)</f>
        <v>0</v>
      </c>
      <c r="E268" s="179">
        <f ca="1">IF(ISNUMBER(MATCH(DATEVALUE($A268),'recurring1_based on steps'!E$1:E$400,0)),E$2,)</f>
        <v>0</v>
      </c>
      <c r="F268" s="179">
        <f ca="1">IF(ISNUMBER(MATCH(DATEVALUE($A268),'recurring1_based on steps'!F$1:F$400,0)),F$2,)</f>
        <v>0</v>
      </c>
      <c r="G268" s="179">
        <f ca="1">IF(ISNUMBER(MATCH(DATEVALUE($A268),'recurring1_based on steps'!G$1:G$400,0)),G$2,)</f>
        <v>0</v>
      </c>
      <c r="H268" s="179">
        <f ca="1">IF(ISNUMBER(MATCH(DATEVALUE($A268),'recurring1_based on steps'!H$1:H$400,0)),H$2,)</f>
        <v>0</v>
      </c>
      <c r="I268" s="179">
        <f ca="1">IF(ISNUMBER(MATCH(DATEVALUE($A268),'recurring1_based on steps'!I$1:I$400,0)),I$2,)</f>
        <v>0</v>
      </c>
      <c r="J268" s="179">
        <f ca="1">IF(ISNUMBER(MATCH(DATEVALUE($A268),'recurring1_based on steps'!J$1:J$400,0)),J$2,)</f>
        <v>0</v>
      </c>
      <c r="K268" s="179">
        <f ca="1">IF(ISNUMBER(MATCH(DATEVALUE($A268),'recurring1_based on steps'!K$1:K$400,0)),K$2,)</f>
        <v>0</v>
      </c>
      <c r="L268" s="179">
        <f ca="1">IF(ISNUMBER(MATCH(DATEVALUE($A268),'recurring1_based on steps'!L$1:L$400,0)),L$2,)</f>
        <v>0</v>
      </c>
      <c r="M268" s="179">
        <f ca="1">IF(ISNUMBER(MATCH(DATEVALUE($A268),'recurring1_based on steps'!M$1:M$400,0)),M$2,)</f>
        <v>0</v>
      </c>
      <c r="N268" s="179">
        <f ca="1">IF(ISNUMBER(MATCH(DATEVALUE($A268),'recurring1_based on steps'!N$1:N$400,0)),N$2,)</f>
        <v>0</v>
      </c>
      <c r="O268" s="179">
        <f ca="1">IF(ISNUMBER(MATCH(DATEVALUE($A268),'recurring1_based on steps'!O$1:O$400,0)),O$2,)</f>
        <v>0</v>
      </c>
      <c r="P268" s="179">
        <f ca="1">IF(ISNUMBER(MATCH(DATEVALUE($A268),'recurring1_based on steps'!P$1:P$400,0)),P$2,)</f>
        <v>0</v>
      </c>
      <c r="Q268" s="179">
        <f ca="1">IF(ISNUMBER(MATCH(DATEVALUE($A268),'recurring1_based on steps'!Q$1:Q$400,0)),Q$2,)</f>
        <v>0</v>
      </c>
      <c r="R268" s="179">
        <f ca="1">IF(ISNUMBER(MATCH(DATEVALUE($A268),'recurring1_based on steps'!R$1:R$400,0)),R$2,)</f>
        <v>0</v>
      </c>
      <c r="S268" s="179">
        <f ca="1">IF(ISNUMBER(MATCH(DATEVALUE($A268),'recurring1_based on steps'!S$1:S$400,0)),S$2,)</f>
        <v>0</v>
      </c>
      <c r="T268" s="179">
        <f ca="1">IF(ISNUMBER(MATCH(DATEVALUE($A268),'recurring1_based on steps'!T$1:T$400,0)),T$2,)</f>
        <v>0</v>
      </c>
      <c r="U268" s="179">
        <f ca="1">IF(ISNUMBER(MATCH(DATEVALUE($A268),'recurring1_based on steps'!U$1:U$400,0)),U$2,)</f>
        <v>0</v>
      </c>
      <c r="V268" s="179">
        <f ca="1">IF(ISNUMBER(MATCH(DATEVALUE($A268),'recurring1_based on steps'!V$1:V$400,0)),V$2,)</f>
        <v>0</v>
      </c>
      <c r="W268" s="179">
        <f ca="1">IF(ISNUMBER(MATCH(DATEVALUE($A268),'recurring1_based on steps'!W$1:W$400,0)),W$2,)</f>
        <v>0</v>
      </c>
      <c r="X268" s="179">
        <f ca="1">IF(ISNUMBER(MATCH(DATEVALUE($A268),'recurring1_based on steps'!X$1:X$400,0)),X$2,)</f>
        <v>0</v>
      </c>
      <c r="Y268" s="179">
        <f ca="1">IF(ISNUMBER(MATCH(DATEVALUE($A268),'recurring1_based on steps'!Y$1:Y$400,0)),Y$2,)</f>
        <v>0</v>
      </c>
      <c r="Z268" s="179">
        <f ca="1">IF(ISNUMBER(MATCH(DATEVALUE($A268),'recurring1_based on steps'!Z$1:Z$400,0)),Z$2,)</f>
        <v>0</v>
      </c>
      <c r="AA268" s="179">
        <f ca="1">IF(ISNUMBER(MATCH(DATEVALUE($A268),'recurring1_based on steps'!AA$1:AA$400,0)),AA$2,)</f>
        <v>0</v>
      </c>
      <c r="AB268" s="179">
        <f ca="1">IF(ISNUMBER(MATCH(DATEVALUE($A268),'recurring1_based on steps'!AB$1:AB$400,0)),AB$2,)</f>
        <v>0</v>
      </c>
      <c r="AC268" s="179">
        <f ca="1">IF(ISNUMBER(MATCH(DATEVALUE($A268),'recurring1_based on steps'!AC$1:AC$400,0)),AC$2,)</f>
        <v>0</v>
      </c>
      <c r="AD268" s="179">
        <f ca="1">IF(ISNUMBER(MATCH(DATEVALUE($A268),'recurring1_based on steps'!AD$1:AD$400,0)),AD$2,)</f>
        <v>0</v>
      </c>
      <c r="AE268" s="179">
        <f ca="1">IF(ISNUMBER(MATCH(DATEVALUE($A268),'recurring1_based on steps'!AE$1:AE$400,0)),AE$2,)</f>
        <v>0</v>
      </c>
      <c r="AF268" s="179">
        <f ca="1">IF(ISNUMBER(MATCH(DATEVALUE($A268),'recurring1_based on steps'!AF$1:AF$400,0)),AF$2,)</f>
        <v>0</v>
      </c>
      <c r="AG268" s="179">
        <f ca="1">IF(ISNUMBER(MATCH(DATEVALUE($A268),'recurring1_based on steps'!AG$1:AG$400,0)),AG$2,)</f>
        <v>0</v>
      </c>
      <c r="AH268" s="179">
        <f ca="1">IF(ISNUMBER(MATCH(DATEVALUE($A268),'recurring1_based on steps'!AH$1:AH$400,0)),AH$2,)</f>
        <v>0</v>
      </c>
      <c r="AI268" s="179">
        <f ca="1">IF(ISNUMBER(MATCH(DATEVALUE($A268),'recurring1_based on steps'!AI$1:AI$400,0)),AI$2,)</f>
        <v>0</v>
      </c>
      <c r="AJ268" s="179">
        <f ca="1">IF(ISNUMBER(MATCH(DATEVALUE($A268),'recurring1_based on steps'!AJ$1:AJ$400,0)),AJ$2,)</f>
        <v>0</v>
      </c>
      <c r="AK268" s="179">
        <f ca="1">IF(ISNUMBER(MATCH(DATEVALUE($A268),'recurring1_based on steps'!AK$1:AK$400,0)),AK$2,)</f>
        <v>0</v>
      </c>
      <c r="AL268" s="179">
        <f ca="1">IF(ISNUMBER(MATCH(DATEVALUE($A268),'recurring1_based on steps'!AL$1:AL$400,0)),AL$2,)</f>
        <v>0</v>
      </c>
      <c r="AM268" s="179">
        <f ca="1">IF(ISNUMBER(MATCH(DATEVALUE($A268),'recurring1_based on steps'!AM$1:AM$400,0)),AM$2,)</f>
        <v>0</v>
      </c>
      <c r="AN268" s="179">
        <f ca="1">IF(ISNUMBER(MATCH(DATEVALUE($A268),'recurring1_based on steps'!AN$1:AN$400,0)),AN$2,)</f>
        <v>0</v>
      </c>
      <c r="AO268" s="179">
        <f ca="1">IF(ISNUMBER(MATCH(DATEVALUE($A268),'recurring1_based on steps'!AO$1:AO$400,0)),AO$2,)</f>
        <v>0</v>
      </c>
      <c r="AP268" s="179">
        <f ca="1">IF(ISNUMBER(MATCH(DATEVALUE($A268),'recurring1_based on steps'!AP$1:AP$400,0)),AP$2,)</f>
        <v>0</v>
      </c>
      <c r="AQ268" s="179">
        <f ca="1">IF(ISNUMBER(MATCH(DATEVALUE($A268),'recurring1_based on steps'!AQ$1:AQ$400,0)),AQ$2,)</f>
        <v>0</v>
      </c>
      <c r="AR268" s="179">
        <f ca="1">IF(ISNUMBER(MATCH(DATEVALUE($A268),'recurring1_based on steps'!AR$1:AR$400,0)),AR$2,)</f>
        <v>0</v>
      </c>
      <c r="AS268" s="179">
        <f ca="1">IF(ISNUMBER(MATCH(DATEVALUE($A268),'recurring1_based on steps'!AS$1:AS$400,0)),AS$2,)</f>
        <v>0</v>
      </c>
      <c r="AT268" s="179">
        <f ca="1">IF(ISNUMBER(MATCH(DATEVALUE($A268),'recurring1_based on steps'!AT$1:AT$400,0)),AT$2,)</f>
        <v>0</v>
      </c>
      <c r="AU268" s="179">
        <f ca="1">IF(ISNUMBER(MATCH(DATEVALUE($A268),'recurring1_based on steps'!AU$1:AU$400,0)),AU$2,)</f>
        <v>0</v>
      </c>
      <c r="AV268" s="179">
        <f ca="1">IF(ISNUMBER(MATCH(DATEVALUE($A268),'recurring1_based on steps'!AV$1:AV$400,0)),AV$2,)</f>
        <v>0</v>
      </c>
      <c r="AW268" s="179">
        <f ca="1">IF(ISNUMBER(MATCH(DATEVALUE($A268),'recurring1_based on steps'!AW$1:AW$400,0)),AW$2,)</f>
        <v>0</v>
      </c>
      <c r="AX268" s="179">
        <f ca="1">IF(ISNUMBER(MATCH(DATEVALUE($A268),'recurring1_based on steps'!AX$1:AX$400,0)),AX$2,)</f>
        <v>0</v>
      </c>
      <c r="AY268" s="179">
        <f ca="1">IF(ISNUMBER(MATCH(DATEVALUE($A268),'recurring1_based on steps'!AY$1:AY$400,0)),AY$2,)</f>
        <v>0</v>
      </c>
    </row>
    <row r="269" spans="1:51" x14ac:dyDescent="0.2">
      <c r="A269" s="32" t="str">
        <f t="shared" ca="1" si="4"/>
        <v>2025-12-20</v>
      </c>
      <c r="B269" s="179">
        <f ca="1">IF(ISNUMBER(MATCH(DATEVALUE($A269),'recurring1_based on steps'!B$1:B$400,0)),B$2,)</f>
        <v>0</v>
      </c>
      <c r="C269" s="179">
        <f ca="1">IF(ISNUMBER(MATCH(DATEVALUE($A269),'recurring1_based on steps'!C$1:C$400,0)),C$2,)</f>
        <v>0</v>
      </c>
      <c r="D269" s="179">
        <f ca="1">IF(ISNUMBER(MATCH(DATEVALUE($A269),'recurring1_based on steps'!D$1:D$400,0)),D$2,)</f>
        <v>0</v>
      </c>
      <c r="E269" s="179">
        <f ca="1">IF(ISNUMBER(MATCH(DATEVALUE($A269),'recurring1_based on steps'!E$1:E$400,0)),E$2,)</f>
        <v>0</v>
      </c>
      <c r="F269" s="179">
        <f ca="1">IF(ISNUMBER(MATCH(DATEVALUE($A269),'recurring1_based on steps'!F$1:F$400,0)),F$2,)</f>
        <v>0</v>
      </c>
      <c r="G269" s="179">
        <f ca="1">IF(ISNUMBER(MATCH(DATEVALUE($A269),'recurring1_based on steps'!G$1:G$400,0)),G$2,)</f>
        <v>0</v>
      </c>
      <c r="H269" s="179">
        <f ca="1">IF(ISNUMBER(MATCH(DATEVALUE($A269),'recurring1_based on steps'!H$1:H$400,0)),H$2,)</f>
        <v>0</v>
      </c>
      <c r="I269" s="179">
        <f ca="1">IF(ISNUMBER(MATCH(DATEVALUE($A269),'recurring1_based on steps'!I$1:I$400,0)),I$2,)</f>
        <v>0</v>
      </c>
      <c r="J269" s="179">
        <f ca="1">IF(ISNUMBER(MATCH(DATEVALUE($A269),'recurring1_based on steps'!J$1:J$400,0)),J$2,)</f>
        <v>0</v>
      </c>
      <c r="K269" s="179">
        <f ca="1">IF(ISNUMBER(MATCH(DATEVALUE($A269),'recurring1_based on steps'!K$1:K$400,0)),K$2,)</f>
        <v>0</v>
      </c>
      <c r="L269" s="179">
        <f ca="1">IF(ISNUMBER(MATCH(DATEVALUE($A269),'recurring1_based on steps'!L$1:L$400,0)),L$2,)</f>
        <v>0</v>
      </c>
      <c r="M269" s="179">
        <f ca="1">IF(ISNUMBER(MATCH(DATEVALUE($A269),'recurring1_based on steps'!M$1:M$400,0)),M$2,)</f>
        <v>0</v>
      </c>
      <c r="N269" s="179">
        <f ca="1">IF(ISNUMBER(MATCH(DATEVALUE($A269),'recurring1_based on steps'!N$1:N$400,0)),N$2,)</f>
        <v>0</v>
      </c>
      <c r="O269" s="179">
        <f ca="1">IF(ISNUMBER(MATCH(DATEVALUE($A269),'recurring1_based on steps'!O$1:O$400,0)),O$2,)</f>
        <v>0</v>
      </c>
      <c r="P269" s="179">
        <f ca="1">IF(ISNUMBER(MATCH(DATEVALUE($A269),'recurring1_based on steps'!P$1:P$400,0)),P$2,)</f>
        <v>0</v>
      </c>
      <c r="Q269" s="179">
        <f ca="1">IF(ISNUMBER(MATCH(DATEVALUE($A269),'recurring1_based on steps'!Q$1:Q$400,0)),Q$2,)</f>
        <v>0</v>
      </c>
      <c r="R269" s="179">
        <f ca="1">IF(ISNUMBER(MATCH(DATEVALUE($A269),'recurring1_based on steps'!R$1:R$400,0)),R$2,)</f>
        <v>0</v>
      </c>
      <c r="S269" s="179">
        <f ca="1">IF(ISNUMBER(MATCH(DATEVALUE($A269),'recurring1_based on steps'!S$1:S$400,0)),S$2,)</f>
        <v>0</v>
      </c>
      <c r="T269" s="179">
        <f ca="1">IF(ISNUMBER(MATCH(DATEVALUE($A269),'recurring1_based on steps'!T$1:T$400,0)),T$2,)</f>
        <v>0</v>
      </c>
      <c r="U269" s="179">
        <f ca="1">IF(ISNUMBER(MATCH(DATEVALUE($A269),'recurring1_based on steps'!U$1:U$400,0)),U$2,)</f>
        <v>0</v>
      </c>
      <c r="V269" s="179">
        <f ca="1">IF(ISNUMBER(MATCH(DATEVALUE($A269),'recurring1_based on steps'!V$1:V$400,0)),V$2,)</f>
        <v>0</v>
      </c>
      <c r="W269" s="179">
        <f ca="1">IF(ISNUMBER(MATCH(DATEVALUE($A269),'recurring1_based on steps'!W$1:W$400,0)),W$2,)</f>
        <v>0</v>
      </c>
      <c r="X269" s="179">
        <f ca="1">IF(ISNUMBER(MATCH(DATEVALUE($A269),'recurring1_based on steps'!X$1:X$400,0)),X$2,)</f>
        <v>0</v>
      </c>
      <c r="Y269" s="179">
        <f ca="1">IF(ISNUMBER(MATCH(DATEVALUE($A269),'recurring1_based on steps'!Y$1:Y$400,0)),Y$2,)</f>
        <v>0</v>
      </c>
      <c r="Z269" s="179">
        <f ca="1">IF(ISNUMBER(MATCH(DATEVALUE($A269),'recurring1_based on steps'!Z$1:Z$400,0)),Z$2,)</f>
        <v>0</v>
      </c>
      <c r="AA269" s="179">
        <f ca="1">IF(ISNUMBER(MATCH(DATEVALUE($A269),'recurring1_based on steps'!AA$1:AA$400,0)),AA$2,)</f>
        <v>0</v>
      </c>
      <c r="AB269" s="179">
        <f ca="1">IF(ISNUMBER(MATCH(DATEVALUE($A269),'recurring1_based on steps'!AB$1:AB$400,0)),AB$2,)</f>
        <v>0</v>
      </c>
      <c r="AC269" s="179">
        <f ca="1">IF(ISNUMBER(MATCH(DATEVALUE($A269),'recurring1_based on steps'!AC$1:AC$400,0)),AC$2,)</f>
        <v>0</v>
      </c>
      <c r="AD269" s="179">
        <f ca="1">IF(ISNUMBER(MATCH(DATEVALUE($A269),'recurring1_based on steps'!AD$1:AD$400,0)),AD$2,)</f>
        <v>0</v>
      </c>
      <c r="AE269" s="179">
        <f ca="1">IF(ISNUMBER(MATCH(DATEVALUE($A269),'recurring1_based on steps'!AE$1:AE$400,0)),AE$2,)</f>
        <v>0</v>
      </c>
      <c r="AF269" s="179">
        <f ca="1">IF(ISNUMBER(MATCH(DATEVALUE($A269),'recurring1_based on steps'!AF$1:AF$400,0)),AF$2,)</f>
        <v>0</v>
      </c>
      <c r="AG269" s="179">
        <f ca="1">IF(ISNUMBER(MATCH(DATEVALUE($A269),'recurring1_based on steps'!AG$1:AG$400,0)),AG$2,)</f>
        <v>0</v>
      </c>
      <c r="AH269" s="179">
        <f ca="1">IF(ISNUMBER(MATCH(DATEVALUE($A269),'recurring1_based on steps'!AH$1:AH$400,0)),AH$2,)</f>
        <v>0</v>
      </c>
      <c r="AI269" s="179">
        <f ca="1">IF(ISNUMBER(MATCH(DATEVALUE($A269),'recurring1_based on steps'!AI$1:AI$400,0)),AI$2,)</f>
        <v>0</v>
      </c>
      <c r="AJ269" s="179">
        <f ca="1">IF(ISNUMBER(MATCH(DATEVALUE($A269),'recurring1_based on steps'!AJ$1:AJ$400,0)),AJ$2,)</f>
        <v>0</v>
      </c>
      <c r="AK269" s="179">
        <f ca="1">IF(ISNUMBER(MATCH(DATEVALUE($A269),'recurring1_based on steps'!AK$1:AK$400,0)),AK$2,)</f>
        <v>0</v>
      </c>
      <c r="AL269" s="179">
        <f ca="1">IF(ISNUMBER(MATCH(DATEVALUE($A269),'recurring1_based on steps'!AL$1:AL$400,0)),AL$2,)</f>
        <v>0</v>
      </c>
      <c r="AM269" s="179">
        <f ca="1">IF(ISNUMBER(MATCH(DATEVALUE($A269),'recurring1_based on steps'!AM$1:AM$400,0)),AM$2,)</f>
        <v>0</v>
      </c>
      <c r="AN269" s="179">
        <f ca="1">IF(ISNUMBER(MATCH(DATEVALUE($A269),'recurring1_based on steps'!AN$1:AN$400,0)),AN$2,)</f>
        <v>0</v>
      </c>
      <c r="AO269" s="179">
        <f ca="1">IF(ISNUMBER(MATCH(DATEVALUE($A269),'recurring1_based on steps'!AO$1:AO$400,0)),AO$2,)</f>
        <v>0</v>
      </c>
      <c r="AP269" s="179">
        <f ca="1">IF(ISNUMBER(MATCH(DATEVALUE($A269),'recurring1_based on steps'!AP$1:AP$400,0)),AP$2,)</f>
        <v>0</v>
      </c>
      <c r="AQ269" s="179">
        <f ca="1">IF(ISNUMBER(MATCH(DATEVALUE($A269),'recurring1_based on steps'!AQ$1:AQ$400,0)),AQ$2,)</f>
        <v>0</v>
      </c>
      <c r="AR269" s="179">
        <f ca="1">IF(ISNUMBER(MATCH(DATEVALUE($A269),'recurring1_based on steps'!AR$1:AR$400,0)),AR$2,)</f>
        <v>0</v>
      </c>
      <c r="AS269" s="179">
        <f ca="1">IF(ISNUMBER(MATCH(DATEVALUE($A269),'recurring1_based on steps'!AS$1:AS$400,0)),AS$2,)</f>
        <v>0</v>
      </c>
      <c r="AT269" s="179">
        <f ca="1">IF(ISNUMBER(MATCH(DATEVALUE($A269),'recurring1_based on steps'!AT$1:AT$400,0)),AT$2,)</f>
        <v>0</v>
      </c>
      <c r="AU269" s="179">
        <f ca="1">IF(ISNUMBER(MATCH(DATEVALUE($A269),'recurring1_based on steps'!AU$1:AU$400,0)),AU$2,)</f>
        <v>0</v>
      </c>
      <c r="AV269" s="179">
        <f ca="1">IF(ISNUMBER(MATCH(DATEVALUE($A269),'recurring1_based on steps'!AV$1:AV$400,0)),AV$2,)</f>
        <v>0</v>
      </c>
      <c r="AW269" s="179">
        <f ca="1">IF(ISNUMBER(MATCH(DATEVALUE($A269),'recurring1_based on steps'!AW$1:AW$400,0)),AW$2,)</f>
        <v>0</v>
      </c>
      <c r="AX269" s="179">
        <f ca="1">IF(ISNUMBER(MATCH(DATEVALUE($A269),'recurring1_based on steps'!AX$1:AX$400,0)),AX$2,)</f>
        <v>0</v>
      </c>
      <c r="AY269" s="179">
        <f ca="1">IF(ISNUMBER(MATCH(DATEVALUE($A269),'recurring1_based on steps'!AY$1:AY$400,0)),AY$2,)</f>
        <v>0</v>
      </c>
    </row>
    <row r="270" spans="1:51" x14ac:dyDescent="0.2">
      <c r="A270" s="32" t="str">
        <f t="shared" ca="1" si="4"/>
        <v>2025-12-21</v>
      </c>
      <c r="B270" s="179">
        <f ca="1">IF(ISNUMBER(MATCH(DATEVALUE($A270),'recurring1_based on steps'!B$1:B$400,0)),B$2,)</f>
        <v>0</v>
      </c>
      <c r="C270" s="179">
        <f ca="1">IF(ISNUMBER(MATCH(DATEVALUE($A270),'recurring1_based on steps'!C$1:C$400,0)),C$2,)</f>
        <v>0</v>
      </c>
      <c r="D270" s="179">
        <f ca="1">IF(ISNUMBER(MATCH(DATEVALUE($A270),'recurring1_based on steps'!D$1:D$400,0)),D$2,)</f>
        <v>0</v>
      </c>
      <c r="E270" s="179">
        <f ca="1">IF(ISNUMBER(MATCH(DATEVALUE($A270),'recurring1_based on steps'!E$1:E$400,0)),E$2,)</f>
        <v>0</v>
      </c>
      <c r="F270" s="179">
        <f ca="1">IF(ISNUMBER(MATCH(DATEVALUE($A270),'recurring1_based on steps'!F$1:F$400,0)),F$2,)</f>
        <v>0</v>
      </c>
      <c r="G270" s="179">
        <f ca="1">IF(ISNUMBER(MATCH(DATEVALUE($A270),'recurring1_based on steps'!G$1:G$400,0)),G$2,)</f>
        <v>0</v>
      </c>
      <c r="H270" s="179">
        <f ca="1">IF(ISNUMBER(MATCH(DATEVALUE($A270),'recurring1_based on steps'!H$1:H$400,0)),H$2,)</f>
        <v>0</v>
      </c>
      <c r="I270" s="179">
        <f ca="1">IF(ISNUMBER(MATCH(DATEVALUE($A270),'recurring1_based on steps'!I$1:I$400,0)),I$2,)</f>
        <v>0</v>
      </c>
      <c r="J270" s="179">
        <f ca="1">IF(ISNUMBER(MATCH(DATEVALUE($A270),'recurring1_based on steps'!J$1:J$400,0)),J$2,)</f>
        <v>0</v>
      </c>
      <c r="K270" s="179">
        <f ca="1">IF(ISNUMBER(MATCH(DATEVALUE($A270),'recurring1_based on steps'!K$1:K$400,0)),K$2,)</f>
        <v>0</v>
      </c>
      <c r="L270" s="179">
        <f ca="1">IF(ISNUMBER(MATCH(DATEVALUE($A270),'recurring1_based on steps'!L$1:L$400,0)),L$2,)</f>
        <v>0</v>
      </c>
      <c r="M270" s="179">
        <f ca="1">IF(ISNUMBER(MATCH(DATEVALUE($A270),'recurring1_based on steps'!M$1:M$400,0)),M$2,)</f>
        <v>0</v>
      </c>
      <c r="N270" s="179">
        <f ca="1">IF(ISNUMBER(MATCH(DATEVALUE($A270),'recurring1_based on steps'!N$1:N$400,0)),N$2,)</f>
        <v>0</v>
      </c>
      <c r="O270" s="179">
        <f ca="1">IF(ISNUMBER(MATCH(DATEVALUE($A270),'recurring1_based on steps'!O$1:O$400,0)),O$2,)</f>
        <v>0</v>
      </c>
      <c r="P270" s="179">
        <f ca="1">IF(ISNUMBER(MATCH(DATEVALUE($A270),'recurring1_based on steps'!P$1:P$400,0)),P$2,)</f>
        <v>0</v>
      </c>
      <c r="Q270" s="179">
        <f ca="1">IF(ISNUMBER(MATCH(DATEVALUE($A270),'recurring1_based on steps'!Q$1:Q$400,0)),Q$2,)</f>
        <v>0</v>
      </c>
      <c r="R270" s="179">
        <f ca="1">IF(ISNUMBER(MATCH(DATEVALUE($A270),'recurring1_based on steps'!R$1:R$400,0)),R$2,)</f>
        <v>0</v>
      </c>
      <c r="S270" s="179">
        <f ca="1">IF(ISNUMBER(MATCH(DATEVALUE($A270),'recurring1_based on steps'!S$1:S$400,0)),S$2,)</f>
        <v>0</v>
      </c>
      <c r="T270" s="179">
        <f ca="1">IF(ISNUMBER(MATCH(DATEVALUE($A270),'recurring1_based on steps'!T$1:T$400,0)),T$2,)</f>
        <v>0</v>
      </c>
      <c r="U270" s="179">
        <f ca="1">IF(ISNUMBER(MATCH(DATEVALUE($A270),'recurring1_based on steps'!U$1:U$400,0)),U$2,)</f>
        <v>0</v>
      </c>
      <c r="V270" s="179">
        <f ca="1">IF(ISNUMBER(MATCH(DATEVALUE($A270),'recurring1_based on steps'!V$1:V$400,0)),V$2,)</f>
        <v>0</v>
      </c>
      <c r="W270" s="179">
        <f ca="1">IF(ISNUMBER(MATCH(DATEVALUE($A270),'recurring1_based on steps'!W$1:W$400,0)),W$2,)</f>
        <v>0</v>
      </c>
      <c r="X270" s="179">
        <f ca="1">IF(ISNUMBER(MATCH(DATEVALUE($A270),'recurring1_based on steps'!X$1:X$400,0)),X$2,)</f>
        <v>0</v>
      </c>
      <c r="Y270" s="179">
        <f ca="1">IF(ISNUMBER(MATCH(DATEVALUE($A270),'recurring1_based on steps'!Y$1:Y$400,0)),Y$2,)</f>
        <v>0</v>
      </c>
      <c r="Z270" s="179">
        <f ca="1">IF(ISNUMBER(MATCH(DATEVALUE($A270),'recurring1_based on steps'!Z$1:Z$400,0)),Z$2,)</f>
        <v>0</v>
      </c>
      <c r="AA270" s="179">
        <f ca="1">IF(ISNUMBER(MATCH(DATEVALUE($A270),'recurring1_based on steps'!AA$1:AA$400,0)),AA$2,)</f>
        <v>0</v>
      </c>
      <c r="AB270" s="179">
        <f ca="1">IF(ISNUMBER(MATCH(DATEVALUE($A270),'recurring1_based on steps'!AB$1:AB$400,0)),AB$2,)</f>
        <v>0</v>
      </c>
      <c r="AC270" s="179">
        <f ca="1">IF(ISNUMBER(MATCH(DATEVALUE($A270),'recurring1_based on steps'!AC$1:AC$400,0)),AC$2,)</f>
        <v>0</v>
      </c>
      <c r="AD270" s="179">
        <f ca="1">IF(ISNUMBER(MATCH(DATEVALUE($A270),'recurring1_based on steps'!AD$1:AD$400,0)),AD$2,)</f>
        <v>0</v>
      </c>
      <c r="AE270" s="179">
        <f ca="1">IF(ISNUMBER(MATCH(DATEVALUE($A270),'recurring1_based on steps'!AE$1:AE$400,0)),AE$2,)</f>
        <v>0</v>
      </c>
      <c r="AF270" s="179">
        <f ca="1">IF(ISNUMBER(MATCH(DATEVALUE($A270),'recurring1_based on steps'!AF$1:AF$400,0)),AF$2,)</f>
        <v>0</v>
      </c>
      <c r="AG270" s="179">
        <f ca="1">IF(ISNUMBER(MATCH(DATEVALUE($A270),'recurring1_based on steps'!AG$1:AG$400,0)),AG$2,)</f>
        <v>0</v>
      </c>
      <c r="AH270" s="179">
        <f ca="1">IF(ISNUMBER(MATCH(DATEVALUE($A270),'recurring1_based on steps'!AH$1:AH$400,0)),AH$2,)</f>
        <v>0</v>
      </c>
      <c r="AI270" s="179">
        <f ca="1">IF(ISNUMBER(MATCH(DATEVALUE($A270),'recurring1_based on steps'!AI$1:AI$400,0)),AI$2,)</f>
        <v>0</v>
      </c>
      <c r="AJ270" s="179">
        <f ca="1">IF(ISNUMBER(MATCH(DATEVALUE($A270),'recurring1_based on steps'!AJ$1:AJ$400,0)),AJ$2,)</f>
        <v>0</v>
      </c>
      <c r="AK270" s="179">
        <f ca="1">IF(ISNUMBER(MATCH(DATEVALUE($A270),'recurring1_based on steps'!AK$1:AK$400,0)),AK$2,)</f>
        <v>0</v>
      </c>
      <c r="AL270" s="179">
        <f ca="1">IF(ISNUMBER(MATCH(DATEVALUE($A270),'recurring1_based on steps'!AL$1:AL$400,0)),AL$2,)</f>
        <v>0</v>
      </c>
      <c r="AM270" s="179">
        <f ca="1">IF(ISNUMBER(MATCH(DATEVALUE($A270),'recurring1_based on steps'!AM$1:AM$400,0)),AM$2,)</f>
        <v>0</v>
      </c>
      <c r="AN270" s="179">
        <f ca="1">IF(ISNUMBER(MATCH(DATEVALUE($A270),'recurring1_based on steps'!AN$1:AN$400,0)),AN$2,)</f>
        <v>0</v>
      </c>
      <c r="AO270" s="179">
        <f ca="1">IF(ISNUMBER(MATCH(DATEVALUE($A270),'recurring1_based on steps'!AO$1:AO$400,0)),AO$2,)</f>
        <v>0</v>
      </c>
      <c r="AP270" s="179">
        <f ca="1">IF(ISNUMBER(MATCH(DATEVALUE($A270),'recurring1_based on steps'!AP$1:AP$400,0)),AP$2,)</f>
        <v>0</v>
      </c>
      <c r="AQ270" s="179">
        <f ca="1">IF(ISNUMBER(MATCH(DATEVALUE($A270),'recurring1_based on steps'!AQ$1:AQ$400,0)),AQ$2,)</f>
        <v>0</v>
      </c>
      <c r="AR270" s="179">
        <f ca="1">IF(ISNUMBER(MATCH(DATEVALUE($A270),'recurring1_based on steps'!AR$1:AR$400,0)),AR$2,)</f>
        <v>0</v>
      </c>
      <c r="AS270" s="179">
        <f ca="1">IF(ISNUMBER(MATCH(DATEVALUE($A270),'recurring1_based on steps'!AS$1:AS$400,0)),AS$2,)</f>
        <v>0</v>
      </c>
      <c r="AT270" s="179">
        <f ca="1">IF(ISNUMBER(MATCH(DATEVALUE($A270),'recurring1_based on steps'!AT$1:AT$400,0)),AT$2,)</f>
        <v>0</v>
      </c>
      <c r="AU270" s="179">
        <f ca="1">IF(ISNUMBER(MATCH(DATEVALUE($A270),'recurring1_based on steps'!AU$1:AU$400,0)),AU$2,)</f>
        <v>0</v>
      </c>
      <c r="AV270" s="179">
        <f ca="1">IF(ISNUMBER(MATCH(DATEVALUE($A270),'recurring1_based on steps'!AV$1:AV$400,0)),AV$2,)</f>
        <v>0</v>
      </c>
      <c r="AW270" s="179">
        <f ca="1">IF(ISNUMBER(MATCH(DATEVALUE($A270),'recurring1_based on steps'!AW$1:AW$400,0)),AW$2,)</f>
        <v>0</v>
      </c>
      <c r="AX270" s="179">
        <f ca="1">IF(ISNUMBER(MATCH(DATEVALUE($A270),'recurring1_based on steps'!AX$1:AX$400,0)),AX$2,)</f>
        <v>0</v>
      </c>
      <c r="AY270" s="179">
        <f ca="1">IF(ISNUMBER(MATCH(DATEVALUE($A270),'recurring1_based on steps'!AY$1:AY$400,0)),AY$2,)</f>
        <v>0</v>
      </c>
    </row>
    <row r="271" spans="1:51" x14ac:dyDescent="0.2">
      <c r="A271" s="32" t="str">
        <f t="shared" ca="1" si="4"/>
        <v>2025-12-22</v>
      </c>
      <c r="B271" s="179">
        <f ca="1">IF(ISNUMBER(MATCH(DATEVALUE($A271),'recurring1_based on steps'!B$1:B$400,0)),B$2,)</f>
        <v>0</v>
      </c>
      <c r="C271" s="179">
        <f ca="1">IF(ISNUMBER(MATCH(DATEVALUE($A271),'recurring1_based on steps'!C$1:C$400,0)),C$2,)</f>
        <v>0</v>
      </c>
      <c r="D271" s="179">
        <f ca="1">IF(ISNUMBER(MATCH(DATEVALUE($A271),'recurring1_based on steps'!D$1:D$400,0)),D$2,)</f>
        <v>0</v>
      </c>
      <c r="E271" s="179">
        <f ca="1">IF(ISNUMBER(MATCH(DATEVALUE($A271),'recurring1_based on steps'!E$1:E$400,0)),E$2,)</f>
        <v>0</v>
      </c>
      <c r="F271" s="179">
        <f ca="1">IF(ISNUMBER(MATCH(DATEVALUE($A271),'recurring1_based on steps'!F$1:F$400,0)),F$2,)</f>
        <v>0</v>
      </c>
      <c r="G271" s="179">
        <f ca="1">IF(ISNUMBER(MATCH(DATEVALUE($A271),'recurring1_based on steps'!G$1:G$400,0)),G$2,)</f>
        <v>0</v>
      </c>
      <c r="H271" s="179">
        <f ca="1">IF(ISNUMBER(MATCH(DATEVALUE($A271),'recurring1_based on steps'!H$1:H$400,0)),H$2,)</f>
        <v>0</v>
      </c>
      <c r="I271" s="179">
        <f ca="1">IF(ISNUMBER(MATCH(DATEVALUE($A271),'recurring1_based on steps'!I$1:I$400,0)),I$2,)</f>
        <v>0</v>
      </c>
      <c r="J271" s="179">
        <f ca="1">IF(ISNUMBER(MATCH(DATEVALUE($A271),'recurring1_based on steps'!J$1:J$400,0)),J$2,)</f>
        <v>0</v>
      </c>
      <c r="K271" s="179">
        <f ca="1">IF(ISNUMBER(MATCH(DATEVALUE($A271),'recurring1_based on steps'!K$1:K$400,0)),K$2,)</f>
        <v>0</v>
      </c>
      <c r="L271" s="179">
        <f ca="1">IF(ISNUMBER(MATCH(DATEVALUE($A271),'recurring1_based on steps'!L$1:L$400,0)),L$2,)</f>
        <v>0</v>
      </c>
      <c r="M271" s="179">
        <f ca="1">IF(ISNUMBER(MATCH(DATEVALUE($A271),'recurring1_based on steps'!M$1:M$400,0)),M$2,)</f>
        <v>0</v>
      </c>
      <c r="N271" s="179">
        <f ca="1">IF(ISNUMBER(MATCH(DATEVALUE($A271),'recurring1_based on steps'!N$1:N$400,0)),N$2,)</f>
        <v>0</v>
      </c>
      <c r="O271" s="179">
        <f ca="1">IF(ISNUMBER(MATCH(DATEVALUE($A271),'recurring1_based on steps'!O$1:O$400,0)),O$2,)</f>
        <v>0</v>
      </c>
      <c r="P271" s="179">
        <f ca="1">IF(ISNUMBER(MATCH(DATEVALUE($A271),'recurring1_based on steps'!P$1:P$400,0)),P$2,)</f>
        <v>0</v>
      </c>
      <c r="Q271" s="179">
        <f ca="1">IF(ISNUMBER(MATCH(DATEVALUE($A271),'recurring1_based on steps'!Q$1:Q$400,0)),Q$2,)</f>
        <v>0</v>
      </c>
      <c r="R271" s="179">
        <f ca="1">IF(ISNUMBER(MATCH(DATEVALUE($A271),'recurring1_based on steps'!R$1:R$400,0)),R$2,)</f>
        <v>0</v>
      </c>
      <c r="S271" s="179">
        <f ca="1">IF(ISNUMBER(MATCH(DATEVALUE($A271),'recurring1_based on steps'!S$1:S$400,0)),S$2,)</f>
        <v>0</v>
      </c>
      <c r="T271" s="179">
        <f ca="1">IF(ISNUMBER(MATCH(DATEVALUE($A271),'recurring1_based on steps'!T$1:T$400,0)),T$2,)</f>
        <v>0</v>
      </c>
      <c r="U271" s="179">
        <f ca="1">IF(ISNUMBER(MATCH(DATEVALUE($A271),'recurring1_based on steps'!U$1:U$400,0)),U$2,)</f>
        <v>0</v>
      </c>
      <c r="V271" s="179">
        <f ca="1">IF(ISNUMBER(MATCH(DATEVALUE($A271),'recurring1_based on steps'!V$1:V$400,0)),V$2,)</f>
        <v>0</v>
      </c>
      <c r="W271" s="179">
        <f ca="1">IF(ISNUMBER(MATCH(DATEVALUE($A271),'recurring1_based on steps'!W$1:W$400,0)),W$2,)</f>
        <v>0</v>
      </c>
      <c r="X271" s="179">
        <f ca="1">IF(ISNUMBER(MATCH(DATEVALUE($A271),'recurring1_based on steps'!X$1:X$400,0)),X$2,)</f>
        <v>0</v>
      </c>
      <c r="Y271" s="179">
        <f ca="1">IF(ISNUMBER(MATCH(DATEVALUE($A271),'recurring1_based on steps'!Y$1:Y$400,0)),Y$2,)</f>
        <v>0</v>
      </c>
      <c r="Z271" s="179">
        <f ca="1">IF(ISNUMBER(MATCH(DATEVALUE($A271),'recurring1_based on steps'!Z$1:Z$400,0)),Z$2,)</f>
        <v>0</v>
      </c>
      <c r="AA271" s="179">
        <f ca="1">IF(ISNUMBER(MATCH(DATEVALUE($A271),'recurring1_based on steps'!AA$1:AA$400,0)),AA$2,)</f>
        <v>0</v>
      </c>
      <c r="AB271" s="179">
        <f ca="1">IF(ISNUMBER(MATCH(DATEVALUE($A271),'recurring1_based on steps'!AB$1:AB$400,0)),AB$2,)</f>
        <v>0</v>
      </c>
      <c r="AC271" s="179">
        <f ca="1">IF(ISNUMBER(MATCH(DATEVALUE($A271),'recurring1_based on steps'!AC$1:AC$400,0)),AC$2,)</f>
        <v>0</v>
      </c>
      <c r="AD271" s="179">
        <f ca="1">IF(ISNUMBER(MATCH(DATEVALUE($A271),'recurring1_based on steps'!AD$1:AD$400,0)),AD$2,)</f>
        <v>0</v>
      </c>
      <c r="AE271" s="179">
        <f ca="1">IF(ISNUMBER(MATCH(DATEVALUE($A271),'recurring1_based on steps'!AE$1:AE$400,0)),AE$2,)</f>
        <v>0</v>
      </c>
      <c r="AF271" s="179">
        <f ca="1">IF(ISNUMBER(MATCH(DATEVALUE($A271),'recurring1_based on steps'!AF$1:AF$400,0)),AF$2,)</f>
        <v>0</v>
      </c>
      <c r="AG271" s="179">
        <f ca="1">IF(ISNUMBER(MATCH(DATEVALUE($A271),'recurring1_based on steps'!AG$1:AG$400,0)),AG$2,)</f>
        <v>0</v>
      </c>
      <c r="AH271" s="179">
        <f ca="1">IF(ISNUMBER(MATCH(DATEVALUE($A271),'recurring1_based on steps'!AH$1:AH$400,0)),AH$2,)</f>
        <v>0</v>
      </c>
      <c r="AI271" s="179">
        <f ca="1">IF(ISNUMBER(MATCH(DATEVALUE($A271),'recurring1_based on steps'!AI$1:AI$400,0)),AI$2,)</f>
        <v>0</v>
      </c>
      <c r="AJ271" s="179">
        <f ca="1">IF(ISNUMBER(MATCH(DATEVALUE($A271),'recurring1_based on steps'!AJ$1:AJ$400,0)),AJ$2,)</f>
        <v>0</v>
      </c>
      <c r="AK271" s="179">
        <f ca="1">IF(ISNUMBER(MATCH(DATEVALUE($A271),'recurring1_based on steps'!AK$1:AK$400,0)),AK$2,)</f>
        <v>0</v>
      </c>
      <c r="AL271" s="179">
        <f ca="1">IF(ISNUMBER(MATCH(DATEVALUE($A271),'recurring1_based on steps'!AL$1:AL$400,0)),AL$2,)</f>
        <v>0</v>
      </c>
      <c r="AM271" s="179">
        <f ca="1">IF(ISNUMBER(MATCH(DATEVALUE($A271),'recurring1_based on steps'!AM$1:AM$400,0)),AM$2,)</f>
        <v>0</v>
      </c>
      <c r="AN271" s="179">
        <f ca="1">IF(ISNUMBER(MATCH(DATEVALUE($A271),'recurring1_based on steps'!AN$1:AN$400,0)),AN$2,)</f>
        <v>0</v>
      </c>
      <c r="AO271" s="179">
        <f ca="1">IF(ISNUMBER(MATCH(DATEVALUE($A271),'recurring1_based on steps'!AO$1:AO$400,0)),AO$2,)</f>
        <v>0</v>
      </c>
      <c r="AP271" s="179">
        <f ca="1">IF(ISNUMBER(MATCH(DATEVALUE($A271),'recurring1_based on steps'!AP$1:AP$400,0)),AP$2,)</f>
        <v>0</v>
      </c>
      <c r="AQ271" s="179">
        <f ca="1">IF(ISNUMBER(MATCH(DATEVALUE($A271),'recurring1_based on steps'!AQ$1:AQ$400,0)),AQ$2,)</f>
        <v>0</v>
      </c>
      <c r="AR271" s="179">
        <f ca="1">IF(ISNUMBER(MATCH(DATEVALUE($A271),'recurring1_based on steps'!AR$1:AR$400,0)),AR$2,)</f>
        <v>0</v>
      </c>
      <c r="AS271" s="179">
        <f ca="1">IF(ISNUMBER(MATCH(DATEVALUE($A271),'recurring1_based on steps'!AS$1:AS$400,0)),AS$2,)</f>
        <v>0</v>
      </c>
      <c r="AT271" s="179">
        <f ca="1">IF(ISNUMBER(MATCH(DATEVALUE($A271),'recurring1_based on steps'!AT$1:AT$400,0)),AT$2,)</f>
        <v>0</v>
      </c>
      <c r="AU271" s="179">
        <f ca="1">IF(ISNUMBER(MATCH(DATEVALUE($A271),'recurring1_based on steps'!AU$1:AU$400,0)),AU$2,)</f>
        <v>0</v>
      </c>
      <c r="AV271" s="179">
        <f ca="1">IF(ISNUMBER(MATCH(DATEVALUE($A271),'recurring1_based on steps'!AV$1:AV$400,0)),AV$2,)</f>
        <v>0</v>
      </c>
      <c r="AW271" s="179">
        <f ca="1">IF(ISNUMBER(MATCH(DATEVALUE($A271),'recurring1_based on steps'!AW$1:AW$400,0)),AW$2,)</f>
        <v>0</v>
      </c>
      <c r="AX271" s="179">
        <f ca="1">IF(ISNUMBER(MATCH(DATEVALUE($A271),'recurring1_based on steps'!AX$1:AX$400,0)),AX$2,)</f>
        <v>0</v>
      </c>
      <c r="AY271" s="179">
        <f ca="1">IF(ISNUMBER(MATCH(DATEVALUE($A271),'recurring1_based on steps'!AY$1:AY$400,0)),AY$2,)</f>
        <v>0</v>
      </c>
    </row>
    <row r="272" spans="1:51" x14ac:dyDescent="0.2">
      <c r="A272" s="32" t="str">
        <f t="shared" ca="1" si="4"/>
        <v>2025-12-23</v>
      </c>
      <c r="B272" s="179">
        <f ca="1">IF(ISNUMBER(MATCH(DATEVALUE($A272),'recurring1_based on steps'!B$1:B$400,0)),B$2,)</f>
        <v>0</v>
      </c>
      <c r="C272" s="179">
        <f ca="1">IF(ISNUMBER(MATCH(DATEVALUE($A272),'recurring1_based on steps'!C$1:C$400,0)),C$2,)</f>
        <v>0</v>
      </c>
      <c r="D272" s="179">
        <f ca="1">IF(ISNUMBER(MATCH(DATEVALUE($A272),'recurring1_based on steps'!D$1:D$400,0)),D$2,)</f>
        <v>0</v>
      </c>
      <c r="E272" s="179">
        <f ca="1">IF(ISNUMBER(MATCH(DATEVALUE($A272),'recurring1_based on steps'!E$1:E$400,0)),E$2,)</f>
        <v>0</v>
      </c>
      <c r="F272" s="179">
        <f ca="1">IF(ISNUMBER(MATCH(DATEVALUE($A272),'recurring1_based on steps'!F$1:F$400,0)),F$2,)</f>
        <v>0</v>
      </c>
      <c r="G272" s="179">
        <f ca="1">IF(ISNUMBER(MATCH(DATEVALUE($A272),'recurring1_based on steps'!G$1:G$400,0)),G$2,)</f>
        <v>0</v>
      </c>
      <c r="H272" s="179">
        <f ca="1">IF(ISNUMBER(MATCH(DATEVALUE($A272),'recurring1_based on steps'!H$1:H$400,0)),H$2,)</f>
        <v>0</v>
      </c>
      <c r="I272" s="179">
        <f ca="1">IF(ISNUMBER(MATCH(DATEVALUE($A272),'recurring1_based on steps'!I$1:I$400,0)),I$2,)</f>
        <v>0</v>
      </c>
      <c r="J272" s="179">
        <f ca="1">IF(ISNUMBER(MATCH(DATEVALUE($A272),'recurring1_based on steps'!J$1:J$400,0)),J$2,)</f>
        <v>0</v>
      </c>
      <c r="K272" s="179">
        <f ca="1">IF(ISNUMBER(MATCH(DATEVALUE($A272),'recurring1_based on steps'!K$1:K$400,0)),K$2,)</f>
        <v>0</v>
      </c>
      <c r="L272" s="179">
        <f ca="1">IF(ISNUMBER(MATCH(DATEVALUE($A272),'recurring1_based on steps'!L$1:L$400,0)),L$2,)</f>
        <v>0</v>
      </c>
      <c r="M272" s="179">
        <f ca="1">IF(ISNUMBER(MATCH(DATEVALUE($A272),'recurring1_based on steps'!M$1:M$400,0)),M$2,)</f>
        <v>0</v>
      </c>
      <c r="N272" s="179">
        <f ca="1">IF(ISNUMBER(MATCH(DATEVALUE($A272),'recurring1_based on steps'!N$1:N$400,0)),N$2,)</f>
        <v>0</v>
      </c>
      <c r="O272" s="179">
        <f ca="1">IF(ISNUMBER(MATCH(DATEVALUE($A272),'recurring1_based on steps'!O$1:O$400,0)),O$2,)</f>
        <v>0</v>
      </c>
      <c r="P272" s="179">
        <f ca="1">IF(ISNUMBER(MATCH(DATEVALUE($A272),'recurring1_based on steps'!P$1:P$400,0)),P$2,)</f>
        <v>0</v>
      </c>
      <c r="Q272" s="179">
        <f ca="1">IF(ISNUMBER(MATCH(DATEVALUE($A272),'recurring1_based on steps'!Q$1:Q$400,0)),Q$2,)</f>
        <v>0</v>
      </c>
      <c r="R272" s="179">
        <f ca="1">IF(ISNUMBER(MATCH(DATEVALUE($A272),'recurring1_based on steps'!R$1:R$400,0)),R$2,)</f>
        <v>0</v>
      </c>
      <c r="S272" s="179">
        <f ca="1">IF(ISNUMBER(MATCH(DATEVALUE($A272),'recurring1_based on steps'!S$1:S$400,0)),S$2,)</f>
        <v>0</v>
      </c>
      <c r="T272" s="179">
        <f ca="1">IF(ISNUMBER(MATCH(DATEVALUE($A272),'recurring1_based on steps'!T$1:T$400,0)),T$2,)</f>
        <v>0</v>
      </c>
      <c r="U272" s="179">
        <f ca="1">IF(ISNUMBER(MATCH(DATEVALUE($A272),'recurring1_based on steps'!U$1:U$400,0)),U$2,)</f>
        <v>0</v>
      </c>
      <c r="V272" s="179">
        <f ca="1">IF(ISNUMBER(MATCH(DATEVALUE($A272),'recurring1_based on steps'!V$1:V$400,0)),V$2,)</f>
        <v>0</v>
      </c>
      <c r="W272" s="179">
        <f ca="1">IF(ISNUMBER(MATCH(DATEVALUE($A272),'recurring1_based on steps'!W$1:W$400,0)),W$2,)</f>
        <v>0</v>
      </c>
      <c r="X272" s="179">
        <f ca="1">IF(ISNUMBER(MATCH(DATEVALUE($A272),'recurring1_based on steps'!X$1:X$400,0)),X$2,)</f>
        <v>0</v>
      </c>
      <c r="Y272" s="179">
        <f ca="1">IF(ISNUMBER(MATCH(DATEVALUE($A272),'recurring1_based on steps'!Y$1:Y$400,0)),Y$2,)</f>
        <v>0</v>
      </c>
      <c r="Z272" s="179">
        <f ca="1">IF(ISNUMBER(MATCH(DATEVALUE($A272),'recurring1_based on steps'!Z$1:Z$400,0)),Z$2,)</f>
        <v>0</v>
      </c>
      <c r="AA272" s="179">
        <f ca="1">IF(ISNUMBER(MATCH(DATEVALUE($A272),'recurring1_based on steps'!AA$1:AA$400,0)),AA$2,)</f>
        <v>0</v>
      </c>
      <c r="AB272" s="179">
        <f ca="1">IF(ISNUMBER(MATCH(DATEVALUE($A272),'recurring1_based on steps'!AB$1:AB$400,0)),AB$2,)</f>
        <v>0</v>
      </c>
      <c r="AC272" s="179">
        <f ca="1">IF(ISNUMBER(MATCH(DATEVALUE($A272),'recurring1_based on steps'!AC$1:AC$400,0)),AC$2,)</f>
        <v>0</v>
      </c>
      <c r="AD272" s="179">
        <f ca="1">IF(ISNUMBER(MATCH(DATEVALUE($A272),'recurring1_based on steps'!AD$1:AD$400,0)),AD$2,)</f>
        <v>0</v>
      </c>
      <c r="AE272" s="179">
        <f ca="1">IF(ISNUMBER(MATCH(DATEVALUE($A272),'recurring1_based on steps'!AE$1:AE$400,0)),AE$2,)</f>
        <v>0</v>
      </c>
      <c r="AF272" s="179">
        <f ca="1">IF(ISNUMBER(MATCH(DATEVALUE($A272),'recurring1_based on steps'!AF$1:AF$400,0)),AF$2,)</f>
        <v>0</v>
      </c>
      <c r="AG272" s="179">
        <f ca="1">IF(ISNUMBER(MATCH(DATEVALUE($A272),'recurring1_based on steps'!AG$1:AG$400,0)),AG$2,)</f>
        <v>0</v>
      </c>
      <c r="AH272" s="179">
        <f ca="1">IF(ISNUMBER(MATCH(DATEVALUE($A272),'recurring1_based on steps'!AH$1:AH$400,0)),AH$2,)</f>
        <v>0</v>
      </c>
      <c r="AI272" s="179">
        <f ca="1">IF(ISNUMBER(MATCH(DATEVALUE($A272),'recurring1_based on steps'!AI$1:AI$400,0)),AI$2,)</f>
        <v>0</v>
      </c>
      <c r="AJ272" s="179">
        <f ca="1">IF(ISNUMBER(MATCH(DATEVALUE($A272),'recurring1_based on steps'!AJ$1:AJ$400,0)),AJ$2,)</f>
        <v>0</v>
      </c>
      <c r="AK272" s="179">
        <f ca="1">IF(ISNUMBER(MATCH(DATEVALUE($A272),'recurring1_based on steps'!AK$1:AK$400,0)),AK$2,)</f>
        <v>0</v>
      </c>
      <c r="AL272" s="179">
        <f ca="1">IF(ISNUMBER(MATCH(DATEVALUE($A272),'recurring1_based on steps'!AL$1:AL$400,0)),AL$2,)</f>
        <v>0</v>
      </c>
      <c r="AM272" s="179">
        <f ca="1">IF(ISNUMBER(MATCH(DATEVALUE($A272),'recurring1_based on steps'!AM$1:AM$400,0)),AM$2,)</f>
        <v>0</v>
      </c>
      <c r="AN272" s="179">
        <f ca="1">IF(ISNUMBER(MATCH(DATEVALUE($A272),'recurring1_based on steps'!AN$1:AN$400,0)),AN$2,)</f>
        <v>0</v>
      </c>
      <c r="AO272" s="179">
        <f ca="1">IF(ISNUMBER(MATCH(DATEVALUE($A272),'recurring1_based on steps'!AO$1:AO$400,0)),AO$2,)</f>
        <v>0</v>
      </c>
      <c r="AP272" s="179">
        <f ca="1">IF(ISNUMBER(MATCH(DATEVALUE($A272),'recurring1_based on steps'!AP$1:AP$400,0)),AP$2,)</f>
        <v>0</v>
      </c>
      <c r="AQ272" s="179">
        <f ca="1">IF(ISNUMBER(MATCH(DATEVALUE($A272),'recurring1_based on steps'!AQ$1:AQ$400,0)),AQ$2,)</f>
        <v>0</v>
      </c>
      <c r="AR272" s="179">
        <f ca="1">IF(ISNUMBER(MATCH(DATEVALUE($A272),'recurring1_based on steps'!AR$1:AR$400,0)),AR$2,)</f>
        <v>0</v>
      </c>
      <c r="AS272" s="179">
        <f ca="1">IF(ISNUMBER(MATCH(DATEVALUE($A272),'recurring1_based on steps'!AS$1:AS$400,0)),AS$2,)</f>
        <v>0</v>
      </c>
      <c r="AT272" s="179">
        <f ca="1">IF(ISNUMBER(MATCH(DATEVALUE($A272),'recurring1_based on steps'!AT$1:AT$400,0)),AT$2,)</f>
        <v>0</v>
      </c>
      <c r="AU272" s="179">
        <f ca="1">IF(ISNUMBER(MATCH(DATEVALUE($A272),'recurring1_based on steps'!AU$1:AU$400,0)),AU$2,)</f>
        <v>0</v>
      </c>
      <c r="AV272" s="179">
        <f ca="1">IF(ISNUMBER(MATCH(DATEVALUE($A272),'recurring1_based on steps'!AV$1:AV$400,0)),AV$2,)</f>
        <v>0</v>
      </c>
      <c r="AW272" s="179">
        <f ca="1">IF(ISNUMBER(MATCH(DATEVALUE($A272),'recurring1_based on steps'!AW$1:AW$400,0)),AW$2,)</f>
        <v>0</v>
      </c>
      <c r="AX272" s="179">
        <f ca="1">IF(ISNUMBER(MATCH(DATEVALUE($A272),'recurring1_based on steps'!AX$1:AX$400,0)),AX$2,)</f>
        <v>0</v>
      </c>
      <c r="AY272" s="179">
        <f ca="1">IF(ISNUMBER(MATCH(DATEVALUE($A272),'recurring1_based on steps'!AY$1:AY$400,0)),AY$2,)</f>
        <v>0</v>
      </c>
    </row>
    <row r="273" spans="1:51" x14ac:dyDescent="0.2">
      <c r="A273" s="32" t="str">
        <f t="shared" ca="1" si="4"/>
        <v>2025-12-24</v>
      </c>
      <c r="B273" s="179">
        <f ca="1">IF(ISNUMBER(MATCH(DATEVALUE($A273),'recurring1_based on steps'!B$1:B$400,0)),B$2,)</f>
        <v>0</v>
      </c>
      <c r="C273" s="179">
        <f ca="1">IF(ISNUMBER(MATCH(DATEVALUE($A273),'recurring1_based on steps'!C$1:C$400,0)),C$2,)</f>
        <v>0</v>
      </c>
      <c r="D273" s="179">
        <f ca="1">IF(ISNUMBER(MATCH(DATEVALUE($A273),'recurring1_based on steps'!D$1:D$400,0)),D$2,)</f>
        <v>0</v>
      </c>
      <c r="E273" s="179">
        <f ca="1">IF(ISNUMBER(MATCH(DATEVALUE($A273),'recurring1_based on steps'!E$1:E$400,0)),E$2,)</f>
        <v>0</v>
      </c>
      <c r="F273" s="179">
        <f ca="1">IF(ISNUMBER(MATCH(DATEVALUE($A273),'recurring1_based on steps'!F$1:F$400,0)),F$2,)</f>
        <v>0</v>
      </c>
      <c r="G273" s="179">
        <f ca="1">IF(ISNUMBER(MATCH(DATEVALUE($A273),'recurring1_based on steps'!G$1:G$400,0)),G$2,)</f>
        <v>0</v>
      </c>
      <c r="H273" s="179">
        <f ca="1">IF(ISNUMBER(MATCH(DATEVALUE($A273),'recurring1_based on steps'!H$1:H$400,0)),H$2,)</f>
        <v>0</v>
      </c>
      <c r="I273" s="179">
        <f ca="1">IF(ISNUMBER(MATCH(DATEVALUE($A273),'recurring1_based on steps'!I$1:I$400,0)),I$2,)</f>
        <v>0</v>
      </c>
      <c r="J273" s="179">
        <f ca="1">IF(ISNUMBER(MATCH(DATEVALUE($A273),'recurring1_based on steps'!J$1:J$400,0)),J$2,)</f>
        <v>0</v>
      </c>
      <c r="K273" s="179">
        <f ca="1">IF(ISNUMBER(MATCH(DATEVALUE($A273),'recurring1_based on steps'!K$1:K$400,0)),K$2,)</f>
        <v>0</v>
      </c>
      <c r="L273" s="179">
        <f ca="1">IF(ISNUMBER(MATCH(DATEVALUE($A273),'recurring1_based on steps'!L$1:L$400,0)),L$2,)</f>
        <v>0</v>
      </c>
      <c r="M273" s="179">
        <f ca="1">IF(ISNUMBER(MATCH(DATEVALUE($A273),'recurring1_based on steps'!M$1:M$400,0)),M$2,)</f>
        <v>0</v>
      </c>
      <c r="N273" s="179">
        <f ca="1">IF(ISNUMBER(MATCH(DATEVALUE($A273),'recurring1_based on steps'!N$1:N$400,0)),N$2,)</f>
        <v>0</v>
      </c>
      <c r="O273" s="179">
        <f ca="1">IF(ISNUMBER(MATCH(DATEVALUE($A273),'recurring1_based on steps'!O$1:O$400,0)),O$2,)</f>
        <v>0</v>
      </c>
      <c r="P273" s="179">
        <f ca="1">IF(ISNUMBER(MATCH(DATEVALUE($A273),'recurring1_based on steps'!P$1:P$400,0)),P$2,)</f>
        <v>0</v>
      </c>
      <c r="Q273" s="179">
        <f ca="1">IF(ISNUMBER(MATCH(DATEVALUE($A273),'recurring1_based on steps'!Q$1:Q$400,0)),Q$2,)</f>
        <v>0</v>
      </c>
      <c r="R273" s="179">
        <f ca="1">IF(ISNUMBER(MATCH(DATEVALUE($A273),'recurring1_based on steps'!R$1:R$400,0)),R$2,)</f>
        <v>0</v>
      </c>
      <c r="S273" s="179">
        <f ca="1">IF(ISNUMBER(MATCH(DATEVALUE($A273),'recurring1_based on steps'!S$1:S$400,0)),S$2,)</f>
        <v>0</v>
      </c>
      <c r="T273" s="179">
        <f ca="1">IF(ISNUMBER(MATCH(DATEVALUE($A273),'recurring1_based on steps'!T$1:T$400,0)),T$2,)</f>
        <v>0</v>
      </c>
      <c r="U273" s="179">
        <f ca="1">IF(ISNUMBER(MATCH(DATEVALUE($A273),'recurring1_based on steps'!U$1:U$400,0)),U$2,)</f>
        <v>0</v>
      </c>
      <c r="V273" s="179">
        <f ca="1">IF(ISNUMBER(MATCH(DATEVALUE($A273),'recurring1_based on steps'!V$1:V$400,0)),V$2,)</f>
        <v>0</v>
      </c>
      <c r="W273" s="179">
        <f ca="1">IF(ISNUMBER(MATCH(DATEVALUE($A273),'recurring1_based on steps'!W$1:W$400,0)),W$2,)</f>
        <v>0</v>
      </c>
      <c r="X273" s="179">
        <f ca="1">IF(ISNUMBER(MATCH(DATEVALUE($A273),'recurring1_based on steps'!X$1:X$400,0)),X$2,)</f>
        <v>0</v>
      </c>
      <c r="Y273" s="179">
        <f ca="1">IF(ISNUMBER(MATCH(DATEVALUE($A273),'recurring1_based on steps'!Y$1:Y$400,0)),Y$2,)</f>
        <v>0</v>
      </c>
      <c r="Z273" s="179">
        <f ca="1">IF(ISNUMBER(MATCH(DATEVALUE($A273),'recurring1_based on steps'!Z$1:Z$400,0)),Z$2,)</f>
        <v>0</v>
      </c>
      <c r="AA273" s="179">
        <f ca="1">IF(ISNUMBER(MATCH(DATEVALUE($A273),'recurring1_based on steps'!AA$1:AA$400,0)),AA$2,)</f>
        <v>0</v>
      </c>
      <c r="AB273" s="179">
        <f ca="1">IF(ISNUMBER(MATCH(DATEVALUE($A273),'recurring1_based on steps'!AB$1:AB$400,0)),AB$2,)</f>
        <v>0</v>
      </c>
      <c r="AC273" s="179">
        <f ca="1">IF(ISNUMBER(MATCH(DATEVALUE($A273),'recurring1_based on steps'!AC$1:AC$400,0)),AC$2,)</f>
        <v>0</v>
      </c>
      <c r="AD273" s="179">
        <f ca="1">IF(ISNUMBER(MATCH(DATEVALUE($A273),'recurring1_based on steps'!AD$1:AD$400,0)),AD$2,)</f>
        <v>0</v>
      </c>
      <c r="AE273" s="179">
        <f ca="1">IF(ISNUMBER(MATCH(DATEVALUE($A273),'recurring1_based on steps'!AE$1:AE$400,0)),AE$2,)</f>
        <v>0</v>
      </c>
      <c r="AF273" s="179">
        <f ca="1">IF(ISNUMBER(MATCH(DATEVALUE($A273),'recurring1_based on steps'!AF$1:AF$400,0)),AF$2,)</f>
        <v>0</v>
      </c>
      <c r="AG273" s="179">
        <f ca="1">IF(ISNUMBER(MATCH(DATEVALUE($A273),'recurring1_based on steps'!AG$1:AG$400,0)),AG$2,)</f>
        <v>0</v>
      </c>
      <c r="AH273" s="179">
        <f ca="1">IF(ISNUMBER(MATCH(DATEVALUE($A273),'recurring1_based on steps'!AH$1:AH$400,0)),AH$2,)</f>
        <v>0</v>
      </c>
      <c r="AI273" s="179">
        <f ca="1">IF(ISNUMBER(MATCH(DATEVALUE($A273),'recurring1_based on steps'!AI$1:AI$400,0)),AI$2,)</f>
        <v>0</v>
      </c>
      <c r="AJ273" s="179">
        <f ca="1">IF(ISNUMBER(MATCH(DATEVALUE($A273),'recurring1_based on steps'!AJ$1:AJ$400,0)),AJ$2,)</f>
        <v>0</v>
      </c>
      <c r="AK273" s="179">
        <f ca="1">IF(ISNUMBER(MATCH(DATEVALUE($A273),'recurring1_based on steps'!AK$1:AK$400,0)),AK$2,)</f>
        <v>0</v>
      </c>
      <c r="AL273" s="179">
        <f ca="1">IF(ISNUMBER(MATCH(DATEVALUE($A273),'recurring1_based on steps'!AL$1:AL$400,0)),AL$2,)</f>
        <v>0</v>
      </c>
      <c r="AM273" s="179">
        <f ca="1">IF(ISNUMBER(MATCH(DATEVALUE($A273),'recurring1_based on steps'!AM$1:AM$400,0)),AM$2,)</f>
        <v>0</v>
      </c>
      <c r="AN273" s="179">
        <f ca="1">IF(ISNUMBER(MATCH(DATEVALUE($A273),'recurring1_based on steps'!AN$1:AN$400,0)),AN$2,)</f>
        <v>0</v>
      </c>
      <c r="AO273" s="179">
        <f ca="1">IF(ISNUMBER(MATCH(DATEVALUE($A273),'recurring1_based on steps'!AO$1:AO$400,0)),AO$2,)</f>
        <v>0</v>
      </c>
      <c r="AP273" s="179">
        <f ca="1">IF(ISNUMBER(MATCH(DATEVALUE($A273),'recurring1_based on steps'!AP$1:AP$400,0)),AP$2,)</f>
        <v>0</v>
      </c>
      <c r="AQ273" s="179">
        <f ca="1">IF(ISNUMBER(MATCH(DATEVALUE($A273),'recurring1_based on steps'!AQ$1:AQ$400,0)),AQ$2,)</f>
        <v>0</v>
      </c>
      <c r="AR273" s="179">
        <f ca="1">IF(ISNUMBER(MATCH(DATEVALUE($A273),'recurring1_based on steps'!AR$1:AR$400,0)),AR$2,)</f>
        <v>0</v>
      </c>
      <c r="AS273" s="179">
        <f ca="1">IF(ISNUMBER(MATCH(DATEVALUE($A273),'recurring1_based on steps'!AS$1:AS$400,0)),AS$2,)</f>
        <v>0</v>
      </c>
      <c r="AT273" s="179">
        <f ca="1">IF(ISNUMBER(MATCH(DATEVALUE($A273),'recurring1_based on steps'!AT$1:AT$400,0)),AT$2,)</f>
        <v>0</v>
      </c>
      <c r="AU273" s="179">
        <f ca="1">IF(ISNUMBER(MATCH(DATEVALUE($A273),'recurring1_based on steps'!AU$1:AU$400,0)),AU$2,)</f>
        <v>0</v>
      </c>
      <c r="AV273" s="179">
        <f ca="1">IF(ISNUMBER(MATCH(DATEVALUE($A273),'recurring1_based on steps'!AV$1:AV$400,0)),AV$2,)</f>
        <v>0</v>
      </c>
      <c r="AW273" s="179">
        <f ca="1">IF(ISNUMBER(MATCH(DATEVALUE($A273),'recurring1_based on steps'!AW$1:AW$400,0)),AW$2,)</f>
        <v>0</v>
      </c>
      <c r="AX273" s="179">
        <f ca="1">IF(ISNUMBER(MATCH(DATEVALUE($A273),'recurring1_based on steps'!AX$1:AX$400,0)),AX$2,)</f>
        <v>0</v>
      </c>
      <c r="AY273" s="179">
        <f ca="1">IF(ISNUMBER(MATCH(DATEVALUE($A273),'recurring1_based on steps'!AY$1:AY$400,0)),AY$2,)</f>
        <v>0</v>
      </c>
    </row>
    <row r="274" spans="1:51" x14ac:dyDescent="0.2">
      <c r="A274" s="32" t="str">
        <f t="shared" ca="1" si="4"/>
        <v>2025-12-25</v>
      </c>
      <c r="B274" s="179">
        <f ca="1">IF(ISNUMBER(MATCH(DATEVALUE($A274),'recurring1_based on steps'!B$1:B$400,0)),B$2,)</f>
        <v>0</v>
      </c>
      <c r="C274" s="179">
        <f ca="1">IF(ISNUMBER(MATCH(DATEVALUE($A274),'recurring1_based on steps'!C$1:C$400,0)),C$2,)</f>
        <v>0</v>
      </c>
      <c r="D274" s="179">
        <f ca="1">IF(ISNUMBER(MATCH(DATEVALUE($A274),'recurring1_based on steps'!D$1:D$400,0)),D$2,)</f>
        <v>0</v>
      </c>
      <c r="E274" s="179">
        <f ca="1">IF(ISNUMBER(MATCH(DATEVALUE($A274),'recurring1_based on steps'!E$1:E$400,0)),E$2,)</f>
        <v>0</v>
      </c>
      <c r="F274" s="179">
        <f ca="1">IF(ISNUMBER(MATCH(DATEVALUE($A274),'recurring1_based on steps'!F$1:F$400,0)),F$2,)</f>
        <v>0</v>
      </c>
      <c r="G274" s="179">
        <f ca="1">IF(ISNUMBER(MATCH(DATEVALUE($A274),'recurring1_based on steps'!G$1:G$400,0)),G$2,)</f>
        <v>0</v>
      </c>
      <c r="H274" s="179">
        <f ca="1">IF(ISNUMBER(MATCH(DATEVALUE($A274),'recurring1_based on steps'!H$1:H$400,0)),H$2,)</f>
        <v>0</v>
      </c>
      <c r="I274" s="179">
        <f ca="1">IF(ISNUMBER(MATCH(DATEVALUE($A274),'recurring1_based on steps'!I$1:I$400,0)),I$2,)</f>
        <v>0</v>
      </c>
      <c r="J274" s="179">
        <f ca="1">IF(ISNUMBER(MATCH(DATEVALUE($A274),'recurring1_based on steps'!J$1:J$400,0)),J$2,)</f>
        <v>0</v>
      </c>
      <c r="K274" s="179">
        <f ca="1">IF(ISNUMBER(MATCH(DATEVALUE($A274),'recurring1_based on steps'!K$1:K$400,0)),K$2,)</f>
        <v>0</v>
      </c>
      <c r="L274" s="179">
        <f ca="1">IF(ISNUMBER(MATCH(DATEVALUE($A274),'recurring1_based on steps'!L$1:L$400,0)),L$2,)</f>
        <v>0</v>
      </c>
      <c r="M274" s="179">
        <f ca="1">IF(ISNUMBER(MATCH(DATEVALUE($A274),'recurring1_based on steps'!M$1:M$400,0)),M$2,)</f>
        <v>0</v>
      </c>
      <c r="N274" s="179">
        <f ca="1">IF(ISNUMBER(MATCH(DATEVALUE($A274),'recurring1_based on steps'!N$1:N$400,0)),N$2,)</f>
        <v>0</v>
      </c>
      <c r="O274" s="179">
        <f ca="1">IF(ISNUMBER(MATCH(DATEVALUE($A274),'recurring1_based on steps'!O$1:O$400,0)),O$2,)</f>
        <v>0</v>
      </c>
      <c r="P274" s="179">
        <f ca="1">IF(ISNUMBER(MATCH(DATEVALUE($A274),'recurring1_based on steps'!P$1:P$400,0)),P$2,)</f>
        <v>0</v>
      </c>
      <c r="Q274" s="179">
        <f ca="1">IF(ISNUMBER(MATCH(DATEVALUE($A274),'recurring1_based on steps'!Q$1:Q$400,0)),Q$2,)</f>
        <v>0</v>
      </c>
      <c r="R274" s="179">
        <f ca="1">IF(ISNUMBER(MATCH(DATEVALUE($A274),'recurring1_based on steps'!R$1:R$400,0)),R$2,)</f>
        <v>0</v>
      </c>
      <c r="S274" s="179">
        <f ca="1">IF(ISNUMBER(MATCH(DATEVALUE($A274),'recurring1_based on steps'!S$1:S$400,0)),S$2,)</f>
        <v>0</v>
      </c>
      <c r="T274" s="179">
        <f ca="1">IF(ISNUMBER(MATCH(DATEVALUE($A274),'recurring1_based on steps'!T$1:T$400,0)),T$2,)</f>
        <v>0</v>
      </c>
      <c r="U274" s="179">
        <f ca="1">IF(ISNUMBER(MATCH(DATEVALUE($A274),'recurring1_based on steps'!U$1:U$400,0)),U$2,)</f>
        <v>0</v>
      </c>
      <c r="V274" s="179">
        <f ca="1">IF(ISNUMBER(MATCH(DATEVALUE($A274),'recurring1_based on steps'!V$1:V$400,0)),V$2,)</f>
        <v>0</v>
      </c>
      <c r="W274" s="179">
        <f ca="1">IF(ISNUMBER(MATCH(DATEVALUE($A274),'recurring1_based on steps'!W$1:W$400,0)),W$2,)</f>
        <v>0</v>
      </c>
      <c r="X274" s="179">
        <f ca="1">IF(ISNUMBER(MATCH(DATEVALUE($A274),'recurring1_based on steps'!X$1:X$400,0)),X$2,)</f>
        <v>0</v>
      </c>
      <c r="Y274" s="179">
        <f ca="1">IF(ISNUMBER(MATCH(DATEVALUE($A274),'recurring1_based on steps'!Y$1:Y$400,0)),Y$2,)</f>
        <v>0</v>
      </c>
      <c r="Z274" s="179">
        <f ca="1">IF(ISNUMBER(MATCH(DATEVALUE($A274),'recurring1_based on steps'!Z$1:Z$400,0)),Z$2,)</f>
        <v>0</v>
      </c>
      <c r="AA274" s="179">
        <f ca="1">IF(ISNUMBER(MATCH(DATEVALUE($A274),'recurring1_based on steps'!AA$1:AA$400,0)),AA$2,)</f>
        <v>0</v>
      </c>
      <c r="AB274" s="179">
        <f ca="1">IF(ISNUMBER(MATCH(DATEVALUE($A274),'recurring1_based on steps'!AB$1:AB$400,0)),AB$2,)</f>
        <v>0</v>
      </c>
      <c r="AC274" s="179">
        <f ca="1">IF(ISNUMBER(MATCH(DATEVALUE($A274),'recurring1_based on steps'!AC$1:AC$400,0)),AC$2,)</f>
        <v>0</v>
      </c>
      <c r="AD274" s="179">
        <f ca="1">IF(ISNUMBER(MATCH(DATEVALUE($A274),'recurring1_based on steps'!AD$1:AD$400,0)),AD$2,)</f>
        <v>0</v>
      </c>
      <c r="AE274" s="179">
        <f ca="1">IF(ISNUMBER(MATCH(DATEVALUE($A274),'recurring1_based on steps'!AE$1:AE$400,0)),AE$2,)</f>
        <v>0</v>
      </c>
      <c r="AF274" s="179">
        <f ca="1">IF(ISNUMBER(MATCH(DATEVALUE($A274),'recurring1_based on steps'!AF$1:AF$400,0)),AF$2,)</f>
        <v>0</v>
      </c>
      <c r="AG274" s="179">
        <f ca="1">IF(ISNUMBER(MATCH(DATEVALUE($A274),'recurring1_based on steps'!AG$1:AG$400,0)),AG$2,)</f>
        <v>0</v>
      </c>
      <c r="AH274" s="179">
        <f ca="1">IF(ISNUMBER(MATCH(DATEVALUE($A274),'recurring1_based on steps'!AH$1:AH$400,0)),AH$2,)</f>
        <v>0</v>
      </c>
      <c r="AI274" s="179">
        <f ca="1">IF(ISNUMBER(MATCH(DATEVALUE($A274),'recurring1_based on steps'!AI$1:AI$400,0)),AI$2,)</f>
        <v>0</v>
      </c>
      <c r="AJ274" s="179">
        <f ca="1">IF(ISNUMBER(MATCH(DATEVALUE($A274),'recurring1_based on steps'!AJ$1:AJ$400,0)),AJ$2,)</f>
        <v>0</v>
      </c>
      <c r="AK274" s="179">
        <f ca="1">IF(ISNUMBER(MATCH(DATEVALUE($A274),'recurring1_based on steps'!AK$1:AK$400,0)),AK$2,)</f>
        <v>0</v>
      </c>
      <c r="AL274" s="179">
        <f ca="1">IF(ISNUMBER(MATCH(DATEVALUE($A274),'recurring1_based on steps'!AL$1:AL$400,0)),AL$2,)</f>
        <v>0</v>
      </c>
      <c r="AM274" s="179">
        <f ca="1">IF(ISNUMBER(MATCH(DATEVALUE($A274),'recurring1_based on steps'!AM$1:AM$400,0)),AM$2,)</f>
        <v>0</v>
      </c>
      <c r="AN274" s="179">
        <f ca="1">IF(ISNUMBER(MATCH(DATEVALUE($A274),'recurring1_based on steps'!AN$1:AN$400,0)),AN$2,)</f>
        <v>0</v>
      </c>
      <c r="AO274" s="179">
        <f ca="1">IF(ISNUMBER(MATCH(DATEVALUE($A274),'recurring1_based on steps'!AO$1:AO$400,0)),AO$2,)</f>
        <v>0</v>
      </c>
      <c r="AP274" s="179">
        <f ca="1">IF(ISNUMBER(MATCH(DATEVALUE($A274),'recurring1_based on steps'!AP$1:AP$400,0)),AP$2,)</f>
        <v>0</v>
      </c>
      <c r="AQ274" s="179">
        <f ca="1">IF(ISNUMBER(MATCH(DATEVALUE($A274),'recurring1_based on steps'!AQ$1:AQ$400,0)),AQ$2,)</f>
        <v>0</v>
      </c>
      <c r="AR274" s="179">
        <f ca="1">IF(ISNUMBER(MATCH(DATEVALUE($A274),'recurring1_based on steps'!AR$1:AR$400,0)),AR$2,)</f>
        <v>0</v>
      </c>
      <c r="AS274" s="179">
        <f ca="1">IF(ISNUMBER(MATCH(DATEVALUE($A274),'recurring1_based on steps'!AS$1:AS$400,0)),AS$2,)</f>
        <v>0</v>
      </c>
      <c r="AT274" s="179">
        <f ca="1">IF(ISNUMBER(MATCH(DATEVALUE($A274),'recurring1_based on steps'!AT$1:AT$400,0)),AT$2,)</f>
        <v>0</v>
      </c>
      <c r="AU274" s="179">
        <f ca="1">IF(ISNUMBER(MATCH(DATEVALUE($A274),'recurring1_based on steps'!AU$1:AU$400,0)),AU$2,)</f>
        <v>0</v>
      </c>
      <c r="AV274" s="179">
        <f ca="1">IF(ISNUMBER(MATCH(DATEVALUE($A274),'recurring1_based on steps'!AV$1:AV$400,0)),AV$2,)</f>
        <v>0</v>
      </c>
      <c r="AW274" s="179">
        <f ca="1">IF(ISNUMBER(MATCH(DATEVALUE($A274),'recurring1_based on steps'!AW$1:AW$400,0)),AW$2,)</f>
        <v>0</v>
      </c>
      <c r="AX274" s="179">
        <f ca="1">IF(ISNUMBER(MATCH(DATEVALUE($A274),'recurring1_based on steps'!AX$1:AX$400,0)),AX$2,)</f>
        <v>0</v>
      </c>
      <c r="AY274" s="179">
        <f ca="1">IF(ISNUMBER(MATCH(DATEVALUE($A274),'recurring1_based on steps'!AY$1:AY$400,0)),AY$2,)</f>
        <v>0</v>
      </c>
    </row>
    <row r="275" spans="1:51" x14ac:dyDescent="0.2">
      <c r="A275" s="32" t="str">
        <f t="shared" ca="1" si="4"/>
        <v>2025-12-26</v>
      </c>
      <c r="B275" s="179">
        <f ca="1">IF(ISNUMBER(MATCH(DATEVALUE($A275),'recurring1_based on steps'!B$1:B$400,0)),B$2,)</f>
        <v>0</v>
      </c>
      <c r="C275" s="179">
        <f ca="1">IF(ISNUMBER(MATCH(DATEVALUE($A275),'recurring1_based on steps'!C$1:C$400,0)),C$2,)</f>
        <v>0</v>
      </c>
      <c r="D275" s="179">
        <f ca="1">IF(ISNUMBER(MATCH(DATEVALUE($A275),'recurring1_based on steps'!D$1:D$400,0)),D$2,)</f>
        <v>0</v>
      </c>
      <c r="E275" s="179">
        <f ca="1">IF(ISNUMBER(MATCH(DATEVALUE($A275),'recurring1_based on steps'!E$1:E$400,0)),E$2,)</f>
        <v>0</v>
      </c>
      <c r="F275" s="179">
        <f ca="1">IF(ISNUMBER(MATCH(DATEVALUE($A275),'recurring1_based on steps'!F$1:F$400,0)),F$2,)</f>
        <v>0</v>
      </c>
      <c r="G275" s="179">
        <f ca="1">IF(ISNUMBER(MATCH(DATEVALUE($A275),'recurring1_based on steps'!G$1:G$400,0)),G$2,)</f>
        <v>0</v>
      </c>
      <c r="H275" s="179">
        <f ca="1">IF(ISNUMBER(MATCH(DATEVALUE($A275),'recurring1_based on steps'!H$1:H$400,0)),H$2,)</f>
        <v>0</v>
      </c>
      <c r="I275" s="179">
        <f ca="1">IF(ISNUMBER(MATCH(DATEVALUE($A275),'recurring1_based on steps'!I$1:I$400,0)),I$2,)</f>
        <v>0</v>
      </c>
      <c r="J275" s="179">
        <f ca="1">IF(ISNUMBER(MATCH(DATEVALUE($A275),'recurring1_based on steps'!J$1:J$400,0)),J$2,)</f>
        <v>0</v>
      </c>
      <c r="K275" s="179">
        <f ca="1">IF(ISNUMBER(MATCH(DATEVALUE($A275),'recurring1_based on steps'!K$1:K$400,0)),K$2,)</f>
        <v>0</v>
      </c>
      <c r="L275" s="179">
        <f ca="1">IF(ISNUMBER(MATCH(DATEVALUE($A275),'recurring1_based on steps'!L$1:L$400,0)),L$2,)</f>
        <v>0</v>
      </c>
      <c r="M275" s="179">
        <f ca="1">IF(ISNUMBER(MATCH(DATEVALUE($A275),'recurring1_based on steps'!M$1:M$400,0)),M$2,)</f>
        <v>0</v>
      </c>
      <c r="N275" s="179">
        <f ca="1">IF(ISNUMBER(MATCH(DATEVALUE($A275),'recurring1_based on steps'!N$1:N$400,0)),N$2,)</f>
        <v>0</v>
      </c>
      <c r="O275" s="179">
        <f ca="1">IF(ISNUMBER(MATCH(DATEVALUE($A275),'recurring1_based on steps'!O$1:O$400,0)),O$2,)</f>
        <v>0</v>
      </c>
      <c r="P275" s="179">
        <f ca="1">IF(ISNUMBER(MATCH(DATEVALUE($A275),'recurring1_based on steps'!P$1:P$400,0)),P$2,)</f>
        <v>0</v>
      </c>
      <c r="Q275" s="179">
        <f ca="1">IF(ISNUMBER(MATCH(DATEVALUE($A275),'recurring1_based on steps'!Q$1:Q$400,0)),Q$2,)</f>
        <v>0</v>
      </c>
      <c r="R275" s="179">
        <f ca="1">IF(ISNUMBER(MATCH(DATEVALUE($A275),'recurring1_based on steps'!R$1:R$400,0)),R$2,)</f>
        <v>0</v>
      </c>
      <c r="S275" s="179">
        <f ca="1">IF(ISNUMBER(MATCH(DATEVALUE($A275),'recurring1_based on steps'!S$1:S$400,0)),S$2,)</f>
        <v>0</v>
      </c>
      <c r="T275" s="179">
        <f ca="1">IF(ISNUMBER(MATCH(DATEVALUE($A275),'recurring1_based on steps'!T$1:T$400,0)),T$2,)</f>
        <v>0</v>
      </c>
      <c r="U275" s="179">
        <f ca="1">IF(ISNUMBER(MATCH(DATEVALUE($A275),'recurring1_based on steps'!U$1:U$400,0)),U$2,)</f>
        <v>0</v>
      </c>
      <c r="V275" s="179">
        <f ca="1">IF(ISNUMBER(MATCH(DATEVALUE($A275),'recurring1_based on steps'!V$1:V$400,0)),V$2,)</f>
        <v>0</v>
      </c>
      <c r="W275" s="179">
        <f ca="1">IF(ISNUMBER(MATCH(DATEVALUE($A275),'recurring1_based on steps'!W$1:W$400,0)),W$2,)</f>
        <v>0</v>
      </c>
      <c r="X275" s="179">
        <f ca="1">IF(ISNUMBER(MATCH(DATEVALUE($A275),'recurring1_based on steps'!X$1:X$400,0)),X$2,)</f>
        <v>0</v>
      </c>
      <c r="Y275" s="179">
        <f ca="1">IF(ISNUMBER(MATCH(DATEVALUE($A275),'recurring1_based on steps'!Y$1:Y$400,0)),Y$2,)</f>
        <v>0</v>
      </c>
      <c r="Z275" s="179">
        <f ca="1">IF(ISNUMBER(MATCH(DATEVALUE($A275),'recurring1_based on steps'!Z$1:Z$400,0)),Z$2,)</f>
        <v>0</v>
      </c>
      <c r="AA275" s="179">
        <f ca="1">IF(ISNUMBER(MATCH(DATEVALUE($A275),'recurring1_based on steps'!AA$1:AA$400,0)),AA$2,)</f>
        <v>0</v>
      </c>
      <c r="AB275" s="179">
        <f ca="1">IF(ISNUMBER(MATCH(DATEVALUE($A275),'recurring1_based on steps'!AB$1:AB$400,0)),AB$2,)</f>
        <v>0</v>
      </c>
      <c r="AC275" s="179">
        <f ca="1">IF(ISNUMBER(MATCH(DATEVALUE($A275),'recurring1_based on steps'!AC$1:AC$400,0)),AC$2,)</f>
        <v>0</v>
      </c>
      <c r="AD275" s="179">
        <f ca="1">IF(ISNUMBER(MATCH(DATEVALUE($A275),'recurring1_based on steps'!AD$1:AD$400,0)),AD$2,)</f>
        <v>0</v>
      </c>
      <c r="AE275" s="179">
        <f ca="1">IF(ISNUMBER(MATCH(DATEVALUE($A275),'recurring1_based on steps'!AE$1:AE$400,0)),AE$2,)</f>
        <v>0</v>
      </c>
      <c r="AF275" s="179">
        <f ca="1">IF(ISNUMBER(MATCH(DATEVALUE($A275),'recurring1_based on steps'!AF$1:AF$400,0)),AF$2,)</f>
        <v>0</v>
      </c>
      <c r="AG275" s="179">
        <f ca="1">IF(ISNUMBER(MATCH(DATEVALUE($A275),'recurring1_based on steps'!AG$1:AG$400,0)),AG$2,)</f>
        <v>0</v>
      </c>
      <c r="AH275" s="179">
        <f ca="1">IF(ISNUMBER(MATCH(DATEVALUE($A275),'recurring1_based on steps'!AH$1:AH$400,0)),AH$2,)</f>
        <v>0</v>
      </c>
      <c r="AI275" s="179">
        <f ca="1">IF(ISNUMBER(MATCH(DATEVALUE($A275),'recurring1_based on steps'!AI$1:AI$400,0)),AI$2,)</f>
        <v>0</v>
      </c>
      <c r="AJ275" s="179">
        <f ca="1">IF(ISNUMBER(MATCH(DATEVALUE($A275),'recurring1_based on steps'!AJ$1:AJ$400,0)),AJ$2,)</f>
        <v>0</v>
      </c>
      <c r="AK275" s="179">
        <f ca="1">IF(ISNUMBER(MATCH(DATEVALUE($A275),'recurring1_based on steps'!AK$1:AK$400,0)),AK$2,)</f>
        <v>0</v>
      </c>
      <c r="AL275" s="179">
        <f ca="1">IF(ISNUMBER(MATCH(DATEVALUE($A275),'recurring1_based on steps'!AL$1:AL$400,0)),AL$2,)</f>
        <v>0</v>
      </c>
      <c r="AM275" s="179">
        <f ca="1">IF(ISNUMBER(MATCH(DATEVALUE($A275),'recurring1_based on steps'!AM$1:AM$400,0)),AM$2,)</f>
        <v>0</v>
      </c>
      <c r="AN275" s="179">
        <f ca="1">IF(ISNUMBER(MATCH(DATEVALUE($A275),'recurring1_based on steps'!AN$1:AN$400,0)),AN$2,)</f>
        <v>0</v>
      </c>
      <c r="AO275" s="179">
        <f ca="1">IF(ISNUMBER(MATCH(DATEVALUE($A275),'recurring1_based on steps'!AO$1:AO$400,0)),AO$2,)</f>
        <v>0</v>
      </c>
      <c r="AP275" s="179">
        <f ca="1">IF(ISNUMBER(MATCH(DATEVALUE($A275),'recurring1_based on steps'!AP$1:AP$400,0)),AP$2,)</f>
        <v>0</v>
      </c>
      <c r="AQ275" s="179">
        <f ca="1">IF(ISNUMBER(MATCH(DATEVALUE($A275),'recurring1_based on steps'!AQ$1:AQ$400,0)),AQ$2,)</f>
        <v>0</v>
      </c>
      <c r="AR275" s="179">
        <f ca="1">IF(ISNUMBER(MATCH(DATEVALUE($A275),'recurring1_based on steps'!AR$1:AR$400,0)),AR$2,)</f>
        <v>0</v>
      </c>
      <c r="AS275" s="179">
        <f ca="1">IF(ISNUMBER(MATCH(DATEVALUE($A275),'recurring1_based on steps'!AS$1:AS$400,0)),AS$2,)</f>
        <v>0</v>
      </c>
      <c r="AT275" s="179">
        <f ca="1">IF(ISNUMBER(MATCH(DATEVALUE($A275),'recurring1_based on steps'!AT$1:AT$400,0)),AT$2,)</f>
        <v>0</v>
      </c>
      <c r="AU275" s="179">
        <f ca="1">IF(ISNUMBER(MATCH(DATEVALUE($A275),'recurring1_based on steps'!AU$1:AU$400,0)),AU$2,)</f>
        <v>0</v>
      </c>
      <c r="AV275" s="179">
        <f ca="1">IF(ISNUMBER(MATCH(DATEVALUE($A275),'recurring1_based on steps'!AV$1:AV$400,0)),AV$2,)</f>
        <v>0</v>
      </c>
      <c r="AW275" s="179">
        <f ca="1">IF(ISNUMBER(MATCH(DATEVALUE($A275),'recurring1_based on steps'!AW$1:AW$400,0)),AW$2,)</f>
        <v>0</v>
      </c>
      <c r="AX275" s="179">
        <f ca="1">IF(ISNUMBER(MATCH(DATEVALUE($A275),'recurring1_based on steps'!AX$1:AX$400,0)),AX$2,)</f>
        <v>0</v>
      </c>
      <c r="AY275" s="179">
        <f ca="1">IF(ISNUMBER(MATCH(DATEVALUE($A275),'recurring1_based on steps'!AY$1:AY$400,0)),AY$2,)</f>
        <v>0</v>
      </c>
    </row>
    <row r="276" spans="1:51" x14ac:dyDescent="0.2">
      <c r="A276" s="32" t="str">
        <f t="shared" ca="1" si="4"/>
        <v>2025-12-27</v>
      </c>
      <c r="B276" s="179">
        <f ca="1">IF(ISNUMBER(MATCH(DATEVALUE($A276),'recurring1_based on steps'!B$1:B$400,0)),B$2,)</f>
        <v>0</v>
      </c>
      <c r="C276" s="179">
        <f ca="1">IF(ISNUMBER(MATCH(DATEVALUE($A276),'recurring1_based on steps'!C$1:C$400,0)),C$2,)</f>
        <v>0</v>
      </c>
      <c r="D276" s="179">
        <f ca="1">IF(ISNUMBER(MATCH(DATEVALUE($A276),'recurring1_based on steps'!D$1:D$400,0)),D$2,)</f>
        <v>0</v>
      </c>
      <c r="E276" s="179">
        <f ca="1">IF(ISNUMBER(MATCH(DATEVALUE($A276),'recurring1_based on steps'!E$1:E$400,0)),E$2,)</f>
        <v>0</v>
      </c>
      <c r="F276" s="179">
        <f ca="1">IF(ISNUMBER(MATCH(DATEVALUE($A276),'recurring1_based on steps'!F$1:F$400,0)),F$2,)</f>
        <v>0</v>
      </c>
      <c r="G276" s="179">
        <f ca="1">IF(ISNUMBER(MATCH(DATEVALUE($A276),'recurring1_based on steps'!G$1:G$400,0)),G$2,)</f>
        <v>0</v>
      </c>
      <c r="H276" s="179">
        <f ca="1">IF(ISNUMBER(MATCH(DATEVALUE($A276),'recurring1_based on steps'!H$1:H$400,0)),H$2,)</f>
        <v>0</v>
      </c>
      <c r="I276" s="179">
        <f ca="1">IF(ISNUMBER(MATCH(DATEVALUE($A276),'recurring1_based on steps'!I$1:I$400,0)),I$2,)</f>
        <v>0</v>
      </c>
      <c r="J276" s="179">
        <f ca="1">IF(ISNUMBER(MATCH(DATEVALUE($A276),'recurring1_based on steps'!J$1:J$400,0)),J$2,)</f>
        <v>0</v>
      </c>
      <c r="K276" s="179">
        <f ca="1">IF(ISNUMBER(MATCH(DATEVALUE($A276),'recurring1_based on steps'!K$1:K$400,0)),K$2,)</f>
        <v>0</v>
      </c>
      <c r="L276" s="179">
        <f ca="1">IF(ISNUMBER(MATCH(DATEVALUE($A276),'recurring1_based on steps'!L$1:L$400,0)),L$2,)</f>
        <v>0</v>
      </c>
      <c r="M276" s="179">
        <f ca="1">IF(ISNUMBER(MATCH(DATEVALUE($A276),'recurring1_based on steps'!M$1:M$400,0)),M$2,)</f>
        <v>0</v>
      </c>
      <c r="N276" s="179">
        <f ca="1">IF(ISNUMBER(MATCH(DATEVALUE($A276),'recurring1_based on steps'!N$1:N$400,0)),N$2,)</f>
        <v>0</v>
      </c>
      <c r="O276" s="179">
        <f ca="1">IF(ISNUMBER(MATCH(DATEVALUE($A276),'recurring1_based on steps'!O$1:O$400,0)),O$2,)</f>
        <v>0</v>
      </c>
      <c r="P276" s="179">
        <f ca="1">IF(ISNUMBER(MATCH(DATEVALUE($A276),'recurring1_based on steps'!P$1:P$400,0)),P$2,)</f>
        <v>0</v>
      </c>
      <c r="Q276" s="179">
        <f ca="1">IF(ISNUMBER(MATCH(DATEVALUE($A276),'recurring1_based on steps'!Q$1:Q$400,0)),Q$2,)</f>
        <v>0</v>
      </c>
      <c r="R276" s="179">
        <f ca="1">IF(ISNUMBER(MATCH(DATEVALUE($A276),'recurring1_based on steps'!R$1:R$400,0)),R$2,)</f>
        <v>0</v>
      </c>
      <c r="S276" s="179">
        <f ca="1">IF(ISNUMBER(MATCH(DATEVALUE($A276),'recurring1_based on steps'!S$1:S$400,0)),S$2,)</f>
        <v>0</v>
      </c>
      <c r="T276" s="179">
        <f ca="1">IF(ISNUMBER(MATCH(DATEVALUE($A276),'recurring1_based on steps'!T$1:T$400,0)),T$2,)</f>
        <v>0</v>
      </c>
      <c r="U276" s="179">
        <f ca="1">IF(ISNUMBER(MATCH(DATEVALUE($A276),'recurring1_based on steps'!U$1:U$400,0)),U$2,)</f>
        <v>0</v>
      </c>
      <c r="V276" s="179">
        <f ca="1">IF(ISNUMBER(MATCH(DATEVALUE($A276),'recurring1_based on steps'!V$1:V$400,0)),V$2,)</f>
        <v>0</v>
      </c>
      <c r="W276" s="179">
        <f ca="1">IF(ISNUMBER(MATCH(DATEVALUE($A276),'recurring1_based on steps'!W$1:W$400,0)),W$2,)</f>
        <v>0</v>
      </c>
      <c r="X276" s="179">
        <f ca="1">IF(ISNUMBER(MATCH(DATEVALUE($A276),'recurring1_based on steps'!X$1:X$400,0)),X$2,)</f>
        <v>0</v>
      </c>
      <c r="Y276" s="179">
        <f ca="1">IF(ISNUMBER(MATCH(DATEVALUE($A276),'recurring1_based on steps'!Y$1:Y$400,0)),Y$2,)</f>
        <v>0</v>
      </c>
      <c r="Z276" s="179">
        <f ca="1">IF(ISNUMBER(MATCH(DATEVALUE($A276),'recurring1_based on steps'!Z$1:Z$400,0)),Z$2,)</f>
        <v>0</v>
      </c>
      <c r="AA276" s="179">
        <f ca="1">IF(ISNUMBER(MATCH(DATEVALUE($A276),'recurring1_based on steps'!AA$1:AA$400,0)),AA$2,)</f>
        <v>0</v>
      </c>
      <c r="AB276" s="179">
        <f ca="1">IF(ISNUMBER(MATCH(DATEVALUE($A276),'recurring1_based on steps'!AB$1:AB$400,0)),AB$2,)</f>
        <v>0</v>
      </c>
      <c r="AC276" s="179">
        <f ca="1">IF(ISNUMBER(MATCH(DATEVALUE($A276),'recurring1_based on steps'!AC$1:AC$400,0)),AC$2,)</f>
        <v>0</v>
      </c>
      <c r="AD276" s="179">
        <f ca="1">IF(ISNUMBER(MATCH(DATEVALUE($A276),'recurring1_based on steps'!AD$1:AD$400,0)),AD$2,)</f>
        <v>0</v>
      </c>
      <c r="AE276" s="179">
        <f ca="1">IF(ISNUMBER(MATCH(DATEVALUE($A276),'recurring1_based on steps'!AE$1:AE$400,0)),AE$2,)</f>
        <v>0</v>
      </c>
      <c r="AF276" s="179">
        <f ca="1">IF(ISNUMBER(MATCH(DATEVALUE($A276),'recurring1_based on steps'!AF$1:AF$400,0)),AF$2,)</f>
        <v>0</v>
      </c>
      <c r="AG276" s="179">
        <f ca="1">IF(ISNUMBER(MATCH(DATEVALUE($A276),'recurring1_based on steps'!AG$1:AG$400,0)),AG$2,)</f>
        <v>0</v>
      </c>
      <c r="AH276" s="179">
        <f ca="1">IF(ISNUMBER(MATCH(DATEVALUE($A276),'recurring1_based on steps'!AH$1:AH$400,0)),AH$2,)</f>
        <v>0</v>
      </c>
      <c r="AI276" s="179">
        <f ca="1">IF(ISNUMBER(MATCH(DATEVALUE($A276),'recurring1_based on steps'!AI$1:AI$400,0)),AI$2,)</f>
        <v>0</v>
      </c>
      <c r="AJ276" s="179">
        <f ca="1">IF(ISNUMBER(MATCH(DATEVALUE($A276),'recurring1_based on steps'!AJ$1:AJ$400,0)),AJ$2,)</f>
        <v>0</v>
      </c>
      <c r="AK276" s="179">
        <f ca="1">IF(ISNUMBER(MATCH(DATEVALUE($A276),'recurring1_based on steps'!AK$1:AK$400,0)),AK$2,)</f>
        <v>0</v>
      </c>
      <c r="AL276" s="179">
        <f ca="1">IF(ISNUMBER(MATCH(DATEVALUE($A276),'recurring1_based on steps'!AL$1:AL$400,0)),AL$2,)</f>
        <v>0</v>
      </c>
      <c r="AM276" s="179">
        <f ca="1">IF(ISNUMBER(MATCH(DATEVALUE($A276),'recurring1_based on steps'!AM$1:AM$400,0)),AM$2,)</f>
        <v>0</v>
      </c>
      <c r="AN276" s="179">
        <f ca="1">IF(ISNUMBER(MATCH(DATEVALUE($A276),'recurring1_based on steps'!AN$1:AN$400,0)),AN$2,)</f>
        <v>0</v>
      </c>
      <c r="AO276" s="179">
        <f ca="1">IF(ISNUMBER(MATCH(DATEVALUE($A276),'recurring1_based on steps'!AO$1:AO$400,0)),AO$2,)</f>
        <v>0</v>
      </c>
      <c r="AP276" s="179">
        <f ca="1">IF(ISNUMBER(MATCH(DATEVALUE($A276),'recurring1_based on steps'!AP$1:AP$400,0)),AP$2,)</f>
        <v>0</v>
      </c>
      <c r="AQ276" s="179">
        <f ca="1">IF(ISNUMBER(MATCH(DATEVALUE($A276),'recurring1_based on steps'!AQ$1:AQ$400,0)),AQ$2,)</f>
        <v>0</v>
      </c>
      <c r="AR276" s="179">
        <f ca="1">IF(ISNUMBER(MATCH(DATEVALUE($A276),'recurring1_based on steps'!AR$1:AR$400,0)),AR$2,)</f>
        <v>0</v>
      </c>
      <c r="AS276" s="179">
        <f ca="1">IF(ISNUMBER(MATCH(DATEVALUE($A276),'recurring1_based on steps'!AS$1:AS$400,0)),AS$2,)</f>
        <v>0</v>
      </c>
      <c r="AT276" s="179">
        <f ca="1">IF(ISNUMBER(MATCH(DATEVALUE($A276),'recurring1_based on steps'!AT$1:AT$400,0)),AT$2,)</f>
        <v>0</v>
      </c>
      <c r="AU276" s="179">
        <f ca="1">IF(ISNUMBER(MATCH(DATEVALUE($A276),'recurring1_based on steps'!AU$1:AU$400,0)),AU$2,)</f>
        <v>0</v>
      </c>
      <c r="AV276" s="179">
        <f ca="1">IF(ISNUMBER(MATCH(DATEVALUE($A276),'recurring1_based on steps'!AV$1:AV$400,0)),AV$2,)</f>
        <v>0</v>
      </c>
      <c r="AW276" s="179">
        <f ca="1">IF(ISNUMBER(MATCH(DATEVALUE($A276),'recurring1_based on steps'!AW$1:AW$400,0)),AW$2,)</f>
        <v>0</v>
      </c>
      <c r="AX276" s="179">
        <f ca="1">IF(ISNUMBER(MATCH(DATEVALUE($A276),'recurring1_based on steps'!AX$1:AX$400,0)),AX$2,)</f>
        <v>0</v>
      </c>
      <c r="AY276" s="179">
        <f ca="1">IF(ISNUMBER(MATCH(DATEVALUE($A276),'recurring1_based on steps'!AY$1:AY$400,0)),AY$2,)</f>
        <v>0</v>
      </c>
    </row>
    <row r="277" spans="1:51" x14ac:dyDescent="0.2">
      <c r="A277" s="32" t="str">
        <f t="shared" ca="1" si="4"/>
        <v>2025-12-28</v>
      </c>
      <c r="B277" s="179">
        <f ca="1">IF(ISNUMBER(MATCH(DATEVALUE($A277),'recurring1_based on steps'!B$1:B$400,0)),B$2,)</f>
        <v>0</v>
      </c>
      <c r="C277" s="179">
        <f ca="1">IF(ISNUMBER(MATCH(DATEVALUE($A277),'recurring1_based on steps'!C$1:C$400,0)),C$2,)</f>
        <v>0</v>
      </c>
      <c r="D277" s="179">
        <f ca="1">IF(ISNUMBER(MATCH(DATEVALUE($A277),'recurring1_based on steps'!D$1:D$400,0)),D$2,)</f>
        <v>0</v>
      </c>
      <c r="E277" s="179">
        <f ca="1">IF(ISNUMBER(MATCH(DATEVALUE($A277),'recurring1_based on steps'!E$1:E$400,0)),E$2,)</f>
        <v>0</v>
      </c>
      <c r="F277" s="179">
        <f ca="1">IF(ISNUMBER(MATCH(DATEVALUE($A277),'recurring1_based on steps'!F$1:F$400,0)),F$2,)</f>
        <v>0</v>
      </c>
      <c r="G277" s="179">
        <f ca="1">IF(ISNUMBER(MATCH(DATEVALUE($A277),'recurring1_based on steps'!G$1:G$400,0)),G$2,)</f>
        <v>0</v>
      </c>
      <c r="H277" s="179">
        <f ca="1">IF(ISNUMBER(MATCH(DATEVALUE($A277),'recurring1_based on steps'!H$1:H$400,0)),H$2,)</f>
        <v>0</v>
      </c>
      <c r="I277" s="179">
        <f ca="1">IF(ISNUMBER(MATCH(DATEVALUE($A277),'recurring1_based on steps'!I$1:I$400,0)),I$2,)</f>
        <v>0</v>
      </c>
      <c r="J277" s="179">
        <f ca="1">IF(ISNUMBER(MATCH(DATEVALUE($A277),'recurring1_based on steps'!J$1:J$400,0)),J$2,)</f>
        <v>0</v>
      </c>
      <c r="K277" s="179">
        <f ca="1">IF(ISNUMBER(MATCH(DATEVALUE($A277),'recurring1_based on steps'!K$1:K$400,0)),K$2,)</f>
        <v>0</v>
      </c>
      <c r="L277" s="179">
        <f ca="1">IF(ISNUMBER(MATCH(DATEVALUE($A277),'recurring1_based on steps'!L$1:L$400,0)),L$2,)</f>
        <v>0</v>
      </c>
      <c r="M277" s="179">
        <f ca="1">IF(ISNUMBER(MATCH(DATEVALUE($A277),'recurring1_based on steps'!M$1:M$400,0)),M$2,)</f>
        <v>0</v>
      </c>
      <c r="N277" s="179">
        <f ca="1">IF(ISNUMBER(MATCH(DATEVALUE($A277),'recurring1_based on steps'!N$1:N$400,0)),N$2,)</f>
        <v>0</v>
      </c>
      <c r="O277" s="179">
        <f ca="1">IF(ISNUMBER(MATCH(DATEVALUE($A277),'recurring1_based on steps'!O$1:O$400,0)),O$2,)</f>
        <v>0</v>
      </c>
      <c r="P277" s="179">
        <f ca="1">IF(ISNUMBER(MATCH(DATEVALUE($A277),'recurring1_based on steps'!P$1:P$400,0)),P$2,)</f>
        <v>0</v>
      </c>
      <c r="Q277" s="179">
        <f ca="1">IF(ISNUMBER(MATCH(DATEVALUE($A277),'recurring1_based on steps'!Q$1:Q$400,0)),Q$2,)</f>
        <v>0</v>
      </c>
      <c r="R277" s="179">
        <f ca="1">IF(ISNUMBER(MATCH(DATEVALUE($A277),'recurring1_based on steps'!R$1:R$400,0)),R$2,)</f>
        <v>0</v>
      </c>
      <c r="S277" s="179">
        <f ca="1">IF(ISNUMBER(MATCH(DATEVALUE($A277),'recurring1_based on steps'!S$1:S$400,0)),S$2,)</f>
        <v>0</v>
      </c>
      <c r="T277" s="179">
        <f ca="1">IF(ISNUMBER(MATCH(DATEVALUE($A277),'recurring1_based on steps'!T$1:T$400,0)),T$2,)</f>
        <v>0</v>
      </c>
      <c r="U277" s="179">
        <f ca="1">IF(ISNUMBER(MATCH(DATEVALUE($A277),'recurring1_based on steps'!U$1:U$400,0)),U$2,)</f>
        <v>0</v>
      </c>
      <c r="V277" s="179">
        <f ca="1">IF(ISNUMBER(MATCH(DATEVALUE($A277),'recurring1_based on steps'!V$1:V$400,0)),V$2,)</f>
        <v>0</v>
      </c>
      <c r="W277" s="179">
        <f ca="1">IF(ISNUMBER(MATCH(DATEVALUE($A277),'recurring1_based on steps'!W$1:W$400,0)),W$2,)</f>
        <v>0</v>
      </c>
      <c r="X277" s="179">
        <f ca="1">IF(ISNUMBER(MATCH(DATEVALUE($A277),'recurring1_based on steps'!X$1:X$400,0)),X$2,)</f>
        <v>0</v>
      </c>
      <c r="Y277" s="179">
        <f ca="1">IF(ISNUMBER(MATCH(DATEVALUE($A277),'recurring1_based on steps'!Y$1:Y$400,0)),Y$2,)</f>
        <v>0</v>
      </c>
      <c r="Z277" s="179">
        <f ca="1">IF(ISNUMBER(MATCH(DATEVALUE($A277),'recurring1_based on steps'!Z$1:Z$400,0)),Z$2,)</f>
        <v>0</v>
      </c>
      <c r="AA277" s="179">
        <f ca="1">IF(ISNUMBER(MATCH(DATEVALUE($A277),'recurring1_based on steps'!AA$1:AA$400,0)),AA$2,)</f>
        <v>0</v>
      </c>
      <c r="AB277" s="179">
        <f ca="1">IF(ISNUMBER(MATCH(DATEVALUE($A277),'recurring1_based on steps'!AB$1:AB$400,0)),AB$2,)</f>
        <v>0</v>
      </c>
      <c r="AC277" s="179">
        <f ca="1">IF(ISNUMBER(MATCH(DATEVALUE($A277),'recurring1_based on steps'!AC$1:AC$400,0)),AC$2,)</f>
        <v>0</v>
      </c>
      <c r="AD277" s="179">
        <f ca="1">IF(ISNUMBER(MATCH(DATEVALUE($A277),'recurring1_based on steps'!AD$1:AD$400,0)),AD$2,)</f>
        <v>0</v>
      </c>
      <c r="AE277" s="179">
        <f ca="1">IF(ISNUMBER(MATCH(DATEVALUE($A277),'recurring1_based on steps'!AE$1:AE$400,0)),AE$2,)</f>
        <v>0</v>
      </c>
      <c r="AF277" s="179">
        <f ca="1">IF(ISNUMBER(MATCH(DATEVALUE($A277),'recurring1_based on steps'!AF$1:AF$400,0)),AF$2,)</f>
        <v>0</v>
      </c>
      <c r="AG277" s="179">
        <f ca="1">IF(ISNUMBER(MATCH(DATEVALUE($A277),'recurring1_based on steps'!AG$1:AG$400,0)),AG$2,)</f>
        <v>0</v>
      </c>
      <c r="AH277" s="179">
        <f ca="1">IF(ISNUMBER(MATCH(DATEVALUE($A277),'recurring1_based on steps'!AH$1:AH$400,0)),AH$2,)</f>
        <v>0</v>
      </c>
      <c r="AI277" s="179">
        <f ca="1">IF(ISNUMBER(MATCH(DATEVALUE($A277),'recurring1_based on steps'!AI$1:AI$400,0)),AI$2,)</f>
        <v>0</v>
      </c>
      <c r="AJ277" s="179">
        <f ca="1">IF(ISNUMBER(MATCH(DATEVALUE($A277),'recurring1_based on steps'!AJ$1:AJ$400,0)),AJ$2,)</f>
        <v>0</v>
      </c>
      <c r="AK277" s="179">
        <f ca="1">IF(ISNUMBER(MATCH(DATEVALUE($A277),'recurring1_based on steps'!AK$1:AK$400,0)),AK$2,)</f>
        <v>0</v>
      </c>
      <c r="AL277" s="179">
        <f ca="1">IF(ISNUMBER(MATCH(DATEVALUE($A277),'recurring1_based on steps'!AL$1:AL$400,0)),AL$2,)</f>
        <v>0</v>
      </c>
      <c r="AM277" s="179">
        <f ca="1">IF(ISNUMBER(MATCH(DATEVALUE($A277),'recurring1_based on steps'!AM$1:AM$400,0)),AM$2,)</f>
        <v>0</v>
      </c>
      <c r="AN277" s="179">
        <f ca="1">IF(ISNUMBER(MATCH(DATEVALUE($A277),'recurring1_based on steps'!AN$1:AN$400,0)),AN$2,)</f>
        <v>0</v>
      </c>
      <c r="AO277" s="179">
        <f ca="1">IF(ISNUMBER(MATCH(DATEVALUE($A277),'recurring1_based on steps'!AO$1:AO$400,0)),AO$2,)</f>
        <v>0</v>
      </c>
      <c r="AP277" s="179">
        <f ca="1">IF(ISNUMBER(MATCH(DATEVALUE($A277),'recurring1_based on steps'!AP$1:AP$400,0)),AP$2,)</f>
        <v>0</v>
      </c>
      <c r="AQ277" s="179">
        <f ca="1">IF(ISNUMBER(MATCH(DATEVALUE($A277),'recurring1_based on steps'!AQ$1:AQ$400,0)),AQ$2,)</f>
        <v>0</v>
      </c>
      <c r="AR277" s="179">
        <f ca="1">IF(ISNUMBER(MATCH(DATEVALUE($A277),'recurring1_based on steps'!AR$1:AR$400,0)),AR$2,)</f>
        <v>0</v>
      </c>
      <c r="AS277" s="179">
        <f ca="1">IF(ISNUMBER(MATCH(DATEVALUE($A277),'recurring1_based on steps'!AS$1:AS$400,0)),AS$2,)</f>
        <v>0</v>
      </c>
      <c r="AT277" s="179">
        <f ca="1">IF(ISNUMBER(MATCH(DATEVALUE($A277),'recurring1_based on steps'!AT$1:AT$400,0)),AT$2,)</f>
        <v>0</v>
      </c>
      <c r="AU277" s="179">
        <f ca="1">IF(ISNUMBER(MATCH(DATEVALUE($A277),'recurring1_based on steps'!AU$1:AU$400,0)),AU$2,)</f>
        <v>0</v>
      </c>
      <c r="AV277" s="179">
        <f ca="1">IF(ISNUMBER(MATCH(DATEVALUE($A277),'recurring1_based on steps'!AV$1:AV$400,0)),AV$2,)</f>
        <v>0</v>
      </c>
      <c r="AW277" s="179">
        <f ca="1">IF(ISNUMBER(MATCH(DATEVALUE($A277),'recurring1_based on steps'!AW$1:AW$400,0)),AW$2,)</f>
        <v>0</v>
      </c>
      <c r="AX277" s="179">
        <f ca="1">IF(ISNUMBER(MATCH(DATEVALUE($A277),'recurring1_based on steps'!AX$1:AX$400,0)),AX$2,)</f>
        <v>0</v>
      </c>
      <c r="AY277" s="179">
        <f ca="1">IF(ISNUMBER(MATCH(DATEVALUE($A277),'recurring1_based on steps'!AY$1:AY$400,0)),AY$2,)</f>
        <v>0</v>
      </c>
    </row>
    <row r="278" spans="1:51" x14ac:dyDescent="0.2">
      <c r="A278" s="32" t="str">
        <f t="shared" ca="1" si="4"/>
        <v>2025-12-29</v>
      </c>
      <c r="B278" s="179">
        <f ca="1">IF(ISNUMBER(MATCH(DATEVALUE($A278),'recurring1_based on steps'!B$1:B$400,0)),B$2,)</f>
        <v>0</v>
      </c>
      <c r="C278" s="179">
        <f ca="1">IF(ISNUMBER(MATCH(DATEVALUE($A278),'recurring1_based on steps'!C$1:C$400,0)),C$2,)</f>
        <v>0</v>
      </c>
      <c r="D278" s="179">
        <f ca="1">IF(ISNUMBER(MATCH(DATEVALUE($A278),'recurring1_based on steps'!D$1:D$400,0)),D$2,)</f>
        <v>0</v>
      </c>
      <c r="E278" s="179">
        <f ca="1">IF(ISNUMBER(MATCH(DATEVALUE($A278),'recurring1_based on steps'!E$1:E$400,0)),E$2,)</f>
        <v>0</v>
      </c>
      <c r="F278" s="179">
        <f ca="1">IF(ISNUMBER(MATCH(DATEVALUE($A278),'recurring1_based on steps'!F$1:F$400,0)),F$2,)</f>
        <v>0</v>
      </c>
      <c r="G278" s="179">
        <f ca="1">IF(ISNUMBER(MATCH(DATEVALUE($A278),'recurring1_based on steps'!G$1:G$400,0)),G$2,)</f>
        <v>0</v>
      </c>
      <c r="H278" s="179">
        <f ca="1">IF(ISNUMBER(MATCH(DATEVALUE($A278),'recurring1_based on steps'!H$1:H$400,0)),H$2,)</f>
        <v>0</v>
      </c>
      <c r="I278" s="179">
        <f ca="1">IF(ISNUMBER(MATCH(DATEVALUE($A278),'recurring1_based on steps'!I$1:I$400,0)),I$2,)</f>
        <v>0</v>
      </c>
      <c r="J278" s="179">
        <f ca="1">IF(ISNUMBER(MATCH(DATEVALUE($A278),'recurring1_based on steps'!J$1:J$400,0)),J$2,)</f>
        <v>0</v>
      </c>
      <c r="K278" s="179">
        <f ca="1">IF(ISNUMBER(MATCH(DATEVALUE($A278),'recurring1_based on steps'!K$1:K$400,0)),K$2,)</f>
        <v>0</v>
      </c>
      <c r="L278" s="179">
        <f ca="1">IF(ISNUMBER(MATCH(DATEVALUE($A278),'recurring1_based on steps'!L$1:L$400,0)),L$2,)</f>
        <v>0</v>
      </c>
      <c r="M278" s="179">
        <f ca="1">IF(ISNUMBER(MATCH(DATEVALUE($A278),'recurring1_based on steps'!M$1:M$400,0)),M$2,)</f>
        <v>0</v>
      </c>
      <c r="N278" s="179">
        <f ca="1">IF(ISNUMBER(MATCH(DATEVALUE($A278),'recurring1_based on steps'!N$1:N$400,0)),N$2,)</f>
        <v>0</v>
      </c>
      <c r="O278" s="179">
        <f ca="1">IF(ISNUMBER(MATCH(DATEVALUE($A278),'recurring1_based on steps'!O$1:O$400,0)),O$2,)</f>
        <v>0</v>
      </c>
      <c r="P278" s="179">
        <f ca="1">IF(ISNUMBER(MATCH(DATEVALUE($A278),'recurring1_based on steps'!P$1:P$400,0)),P$2,)</f>
        <v>0</v>
      </c>
      <c r="Q278" s="179">
        <f ca="1">IF(ISNUMBER(MATCH(DATEVALUE($A278),'recurring1_based on steps'!Q$1:Q$400,0)),Q$2,)</f>
        <v>0</v>
      </c>
      <c r="R278" s="179">
        <f ca="1">IF(ISNUMBER(MATCH(DATEVALUE($A278),'recurring1_based on steps'!R$1:R$400,0)),R$2,)</f>
        <v>0</v>
      </c>
      <c r="S278" s="179">
        <f ca="1">IF(ISNUMBER(MATCH(DATEVALUE($A278),'recurring1_based on steps'!S$1:S$400,0)),S$2,)</f>
        <v>0</v>
      </c>
      <c r="T278" s="179">
        <f ca="1">IF(ISNUMBER(MATCH(DATEVALUE($A278),'recurring1_based on steps'!T$1:T$400,0)),T$2,)</f>
        <v>0</v>
      </c>
      <c r="U278" s="179">
        <f ca="1">IF(ISNUMBER(MATCH(DATEVALUE($A278),'recurring1_based on steps'!U$1:U$400,0)),U$2,)</f>
        <v>0</v>
      </c>
      <c r="V278" s="179">
        <f ca="1">IF(ISNUMBER(MATCH(DATEVALUE($A278),'recurring1_based on steps'!V$1:V$400,0)),V$2,)</f>
        <v>0</v>
      </c>
      <c r="W278" s="179">
        <f ca="1">IF(ISNUMBER(MATCH(DATEVALUE($A278),'recurring1_based on steps'!W$1:W$400,0)),W$2,)</f>
        <v>0</v>
      </c>
      <c r="X278" s="179">
        <f ca="1">IF(ISNUMBER(MATCH(DATEVALUE($A278),'recurring1_based on steps'!X$1:X$400,0)),X$2,)</f>
        <v>0</v>
      </c>
      <c r="Y278" s="179">
        <f ca="1">IF(ISNUMBER(MATCH(DATEVALUE($A278),'recurring1_based on steps'!Y$1:Y$400,0)),Y$2,)</f>
        <v>0</v>
      </c>
      <c r="Z278" s="179">
        <f ca="1">IF(ISNUMBER(MATCH(DATEVALUE($A278),'recurring1_based on steps'!Z$1:Z$400,0)),Z$2,)</f>
        <v>0</v>
      </c>
      <c r="AA278" s="179">
        <f ca="1">IF(ISNUMBER(MATCH(DATEVALUE($A278),'recurring1_based on steps'!AA$1:AA$400,0)),AA$2,)</f>
        <v>0</v>
      </c>
      <c r="AB278" s="179">
        <f ca="1">IF(ISNUMBER(MATCH(DATEVALUE($A278),'recurring1_based on steps'!AB$1:AB$400,0)),AB$2,)</f>
        <v>0</v>
      </c>
      <c r="AC278" s="179">
        <f ca="1">IF(ISNUMBER(MATCH(DATEVALUE($A278),'recurring1_based on steps'!AC$1:AC$400,0)),AC$2,)</f>
        <v>0</v>
      </c>
      <c r="AD278" s="179">
        <f ca="1">IF(ISNUMBER(MATCH(DATEVALUE($A278),'recurring1_based on steps'!AD$1:AD$400,0)),AD$2,)</f>
        <v>0</v>
      </c>
      <c r="AE278" s="179">
        <f ca="1">IF(ISNUMBER(MATCH(DATEVALUE($A278),'recurring1_based on steps'!AE$1:AE$400,0)),AE$2,)</f>
        <v>0</v>
      </c>
      <c r="AF278" s="179">
        <f ca="1">IF(ISNUMBER(MATCH(DATEVALUE($A278),'recurring1_based on steps'!AF$1:AF$400,0)),AF$2,)</f>
        <v>0</v>
      </c>
      <c r="AG278" s="179">
        <f ca="1">IF(ISNUMBER(MATCH(DATEVALUE($A278),'recurring1_based on steps'!AG$1:AG$400,0)),AG$2,)</f>
        <v>0</v>
      </c>
      <c r="AH278" s="179">
        <f ca="1">IF(ISNUMBER(MATCH(DATEVALUE($A278),'recurring1_based on steps'!AH$1:AH$400,0)),AH$2,)</f>
        <v>0</v>
      </c>
      <c r="AI278" s="179">
        <f ca="1">IF(ISNUMBER(MATCH(DATEVALUE($A278),'recurring1_based on steps'!AI$1:AI$400,0)),AI$2,)</f>
        <v>0</v>
      </c>
      <c r="AJ278" s="179">
        <f ca="1">IF(ISNUMBER(MATCH(DATEVALUE($A278),'recurring1_based on steps'!AJ$1:AJ$400,0)),AJ$2,)</f>
        <v>0</v>
      </c>
      <c r="AK278" s="179">
        <f ca="1">IF(ISNUMBER(MATCH(DATEVALUE($A278),'recurring1_based on steps'!AK$1:AK$400,0)),AK$2,)</f>
        <v>0</v>
      </c>
      <c r="AL278" s="179">
        <f ca="1">IF(ISNUMBER(MATCH(DATEVALUE($A278),'recurring1_based on steps'!AL$1:AL$400,0)),AL$2,)</f>
        <v>0</v>
      </c>
      <c r="AM278" s="179">
        <f ca="1">IF(ISNUMBER(MATCH(DATEVALUE($A278),'recurring1_based on steps'!AM$1:AM$400,0)),AM$2,)</f>
        <v>0</v>
      </c>
      <c r="AN278" s="179">
        <f ca="1">IF(ISNUMBER(MATCH(DATEVALUE($A278),'recurring1_based on steps'!AN$1:AN$400,0)),AN$2,)</f>
        <v>0</v>
      </c>
      <c r="AO278" s="179">
        <f ca="1">IF(ISNUMBER(MATCH(DATEVALUE($A278),'recurring1_based on steps'!AO$1:AO$400,0)),AO$2,)</f>
        <v>0</v>
      </c>
      <c r="AP278" s="179">
        <f ca="1">IF(ISNUMBER(MATCH(DATEVALUE($A278),'recurring1_based on steps'!AP$1:AP$400,0)),AP$2,)</f>
        <v>0</v>
      </c>
      <c r="AQ278" s="179">
        <f ca="1">IF(ISNUMBER(MATCH(DATEVALUE($A278),'recurring1_based on steps'!AQ$1:AQ$400,0)),AQ$2,)</f>
        <v>0</v>
      </c>
      <c r="AR278" s="179">
        <f ca="1">IF(ISNUMBER(MATCH(DATEVALUE($A278),'recurring1_based on steps'!AR$1:AR$400,0)),AR$2,)</f>
        <v>0</v>
      </c>
      <c r="AS278" s="179">
        <f ca="1">IF(ISNUMBER(MATCH(DATEVALUE($A278),'recurring1_based on steps'!AS$1:AS$400,0)),AS$2,)</f>
        <v>0</v>
      </c>
      <c r="AT278" s="179">
        <f ca="1">IF(ISNUMBER(MATCH(DATEVALUE($A278),'recurring1_based on steps'!AT$1:AT$400,0)),AT$2,)</f>
        <v>0</v>
      </c>
      <c r="AU278" s="179">
        <f ca="1">IF(ISNUMBER(MATCH(DATEVALUE($A278),'recurring1_based on steps'!AU$1:AU$400,0)),AU$2,)</f>
        <v>0</v>
      </c>
      <c r="AV278" s="179">
        <f ca="1">IF(ISNUMBER(MATCH(DATEVALUE($A278),'recurring1_based on steps'!AV$1:AV$400,0)),AV$2,)</f>
        <v>0</v>
      </c>
      <c r="AW278" s="179">
        <f ca="1">IF(ISNUMBER(MATCH(DATEVALUE($A278),'recurring1_based on steps'!AW$1:AW$400,0)),AW$2,)</f>
        <v>0</v>
      </c>
      <c r="AX278" s="179">
        <f ca="1">IF(ISNUMBER(MATCH(DATEVALUE($A278),'recurring1_based on steps'!AX$1:AX$400,0)),AX$2,)</f>
        <v>0</v>
      </c>
      <c r="AY278" s="179">
        <f ca="1">IF(ISNUMBER(MATCH(DATEVALUE($A278),'recurring1_based on steps'!AY$1:AY$400,0)),AY$2,)</f>
        <v>0</v>
      </c>
    </row>
    <row r="279" spans="1:51" x14ac:dyDescent="0.2">
      <c r="A279" s="32" t="str">
        <f t="shared" ca="1" si="4"/>
        <v>2025-12-30</v>
      </c>
      <c r="B279" s="179">
        <f ca="1">IF(ISNUMBER(MATCH(DATEVALUE($A279),'recurring1_based on steps'!B$1:B$400,0)),B$2,)</f>
        <v>0</v>
      </c>
      <c r="C279" s="179">
        <f ca="1">IF(ISNUMBER(MATCH(DATEVALUE($A279),'recurring1_based on steps'!C$1:C$400,0)),C$2,)</f>
        <v>0</v>
      </c>
      <c r="D279" s="179">
        <f ca="1">IF(ISNUMBER(MATCH(DATEVALUE($A279),'recurring1_based on steps'!D$1:D$400,0)),D$2,)</f>
        <v>0</v>
      </c>
      <c r="E279" s="179">
        <f ca="1">IF(ISNUMBER(MATCH(DATEVALUE($A279),'recurring1_based on steps'!E$1:E$400,0)),E$2,)</f>
        <v>0</v>
      </c>
      <c r="F279" s="179">
        <f ca="1">IF(ISNUMBER(MATCH(DATEVALUE($A279),'recurring1_based on steps'!F$1:F$400,0)),F$2,)</f>
        <v>0</v>
      </c>
      <c r="G279" s="179">
        <f ca="1">IF(ISNUMBER(MATCH(DATEVALUE($A279),'recurring1_based on steps'!G$1:G$400,0)),G$2,)</f>
        <v>0</v>
      </c>
      <c r="H279" s="179">
        <f ca="1">IF(ISNUMBER(MATCH(DATEVALUE($A279),'recurring1_based on steps'!H$1:H$400,0)),H$2,)</f>
        <v>0</v>
      </c>
      <c r="I279" s="179">
        <f ca="1">IF(ISNUMBER(MATCH(DATEVALUE($A279),'recurring1_based on steps'!I$1:I$400,0)),I$2,)</f>
        <v>0</v>
      </c>
      <c r="J279" s="179">
        <f ca="1">IF(ISNUMBER(MATCH(DATEVALUE($A279),'recurring1_based on steps'!J$1:J$400,0)),J$2,)</f>
        <v>0</v>
      </c>
      <c r="K279" s="179">
        <f ca="1">IF(ISNUMBER(MATCH(DATEVALUE($A279),'recurring1_based on steps'!K$1:K$400,0)),K$2,)</f>
        <v>0</v>
      </c>
      <c r="L279" s="179">
        <f ca="1">IF(ISNUMBER(MATCH(DATEVALUE($A279),'recurring1_based on steps'!L$1:L$400,0)),L$2,)</f>
        <v>0</v>
      </c>
      <c r="M279" s="179">
        <f ca="1">IF(ISNUMBER(MATCH(DATEVALUE($A279),'recurring1_based on steps'!M$1:M$400,0)),M$2,)</f>
        <v>0</v>
      </c>
      <c r="N279" s="179">
        <f ca="1">IF(ISNUMBER(MATCH(DATEVALUE($A279),'recurring1_based on steps'!N$1:N$400,0)),N$2,)</f>
        <v>0</v>
      </c>
      <c r="O279" s="179">
        <f ca="1">IF(ISNUMBER(MATCH(DATEVALUE($A279),'recurring1_based on steps'!O$1:O$400,0)),O$2,)</f>
        <v>0</v>
      </c>
      <c r="P279" s="179">
        <f ca="1">IF(ISNUMBER(MATCH(DATEVALUE($A279),'recurring1_based on steps'!P$1:P$400,0)),P$2,)</f>
        <v>0</v>
      </c>
      <c r="Q279" s="179">
        <f ca="1">IF(ISNUMBER(MATCH(DATEVALUE($A279),'recurring1_based on steps'!Q$1:Q$400,0)),Q$2,)</f>
        <v>0</v>
      </c>
      <c r="R279" s="179">
        <f ca="1">IF(ISNUMBER(MATCH(DATEVALUE($A279),'recurring1_based on steps'!R$1:R$400,0)),R$2,)</f>
        <v>0</v>
      </c>
      <c r="S279" s="179">
        <f ca="1">IF(ISNUMBER(MATCH(DATEVALUE($A279),'recurring1_based on steps'!S$1:S$400,0)),S$2,)</f>
        <v>0</v>
      </c>
      <c r="T279" s="179">
        <f ca="1">IF(ISNUMBER(MATCH(DATEVALUE($A279),'recurring1_based on steps'!T$1:T$400,0)),T$2,)</f>
        <v>0</v>
      </c>
      <c r="U279" s="179">
        <f ca="1">IF(ISNUMBER(MATCH(DATEVALUE($A279),'recurring1_based on steps'!U$1:U$400,0)),U$2,)</f>
        <v>0</v>
      </c>
      <c r="V279" s="179">
        <f ca="1">IF(ISNUMBER(MATCH(DATEVALUE($A279),'recurring1_based on steps'!V$1:V$400,0)),V$2,)</f>
        <v>0</v>
      </c>
      <c r="W279" s="179">
        <f ca="1">IF(ISNUMBER(MATCH(DATEVALUE($A279),'recurring1_based on steps'!W$1:W$400,0)),W$2,)</f>
        <v>0</v>
      </c>
      <c r="X279" s="179">
        <f ca="1">IF(ISNUMBER(MATCH(DATEVALUE($A279),'recurring1_based on steps'!X$1:X$400,0)),X$2,)</f>
        <v>0</v>
      </c>
      <c r="Y279" s="179">
        <f ca="1">IF(ISNUMBER(MATCH(DATEVALUE($A279),'recurring1_based on steps'!Y$1:Y$400,0)),Y$2,)</f>
        <v>0</v>
      </c>
      <c r="Z279" s="179">
        <f ca="1">IF(ISNUMBER(MATCH(DATEVALUE($A279),'recurring1_based on steps'!Z$1:Z$400,0)),Z$2,)</f>
        <v>0</v>
      </c>
      <c r="AA279" s="179">
        <f ca="1">IF(ISNUMBER(MATCH(DATEVALUE($A279),'recurring1_based on steps'!AA$1:AA$400,0)),AA$2,)</f>
        <v>0</v>
      </c>
      <c r="AB279" s="179">
        <f ca="1">IF(ISNUMBER(MATCH(DATEVALUE($A279),'recurring1_based on steps'!AB$1:AB$400,0)),AB$2,)</f>
        <v>0</v>
      </c>
      <c r="AC279" s="179">
        <f ca="1">IF(ISNUMBER(MATCH(DATEVALUE($A279),'recurring1_based on steps'!AC$1:AC$400,0)),AC$2,)</f>
        <v>0</v>
      </c>
      <c r="AD279" s="179">
        <f ca="1">IF(ISNUMBER(MATCH(DATEVALUE($A279),'recurring1_based on steps'!AD$1:AD$400,0)),AD$2,)</f>
        <v>0</v>
      </c>
      <c r="AE279" s="179">
        <f ca="1">IF(ISNUMBER(MATCH(DATEVALUE($A279),'recurring1_based on steps'!AE$1:AE$400,0)),AE$2,)</f>
        <v>0</v>
      </c>
      <c r="AF279" s="179">
        <f ca="1">IF(ISNUMBER(MATCH(DATEVALUE($A279),'recurring1_based on steps'!AF$1:AF$400,0)),AF$2,)</f>
        <v>0</v>
      </c>
      <c r="AG279" s="179">
        <f ca="1">IF(ISNUMBER(MATCH(DATEVALUE($A279),'recurring1_based on steps'!AG$1:AG$400,0)),AG$2,)</f>
        <v>0</v>
      </c>
      <c r="AH279" s="179">
        <f ca="1">IF(ISNUMBER(MATCH(DATEVALUE($A279),'recurring1_based on steps'!AH$1:AH$400,0)),AH$2,)</f>
        <v>0</v>
      </c>
      <c r="AI279" s="179">
        <f ca="1">IF(ISNUMBER(MATCH(DATEVALUE($A279),'recurring1_based on steps'!AI$1:AI$400,0)),AI$2,)</f>
        <v>0</v>
      </c>
      <c r="AJ279" s="179">
        <f ca="1">IF(ISNUMBER(MATCH(DATEVALUE($A279),'recurring1_based on steps'!AJ$1:AJ$400,0)),AJ$2,)</f>
        <v>0</v>
      </c>
      <c r="AK279" s="179">
        <f ca="1">IF(ISNUMBER(MATCH(DATEVALUE($A279),'recurring1_based on steps'!AK$1:AK$400,0)),AK$2,)</f>
        <v>0</v>
      </c>
      <c r="AL279" s="179">
        <f ca="1">IF(ISNUMBER(MATCH(DATEVALUE($A279),'recurring1_based on steps'!AL$1:AL$400,0)),AL$2,)</f>
        <v>0</v>
      </c>
      <c r="AM279" s="179">
        <f ca="1">IF(ISNUMBER(MATCH(DATEVALUE($A279),'recurring1_based on steps'!AM$1:AM$400,0)),AM$2,)</f>
        <v>0</v>
      </c>
      <c r="AN279" s="179">
        <f ca="1">IF(ISNUMBER(MATCH(DATEVALUE($A279),'recurring1_based on steps'!AN$1:AN$400,0)),AN$2,)</f>
        <v>0</v>
      </c>
      <c r="AO279" s="179">
        <f ca="1">IF(ISNUMBER(MATCH(DATEVALUE($A279),'recurring1_based on steps'!AO$1:AO$400,0)),AO$2,)</f>
        <v>0</v>
      </c>
      <c r="AP279" s="179">
        <f ca="1">IF(ISNUMBER(MATCH(DATEVALUE($A279),'recurring1_based on steps'!AP$1:AP$400,0)),AP$2,)</f>
        <v>0</v>
      </c>
      <c r="AQ279" s="179">
        <f ca="1">IF(ISNUMBER(MATCH(DATEVALUE($A279),'recurring1_based on steps'!AQ$1:AQ$400,0)),AQ$2,)</f>
        <v>0</v>
      </c>
      <c r="AR279" s="179">
        <f ca="1">IF(ISNUMBER(MATCH(DATEVALUE($A279),'recurring1_based on steps'!AR$1:AR$400,0)),AR$2,)</f>
        <v>0</v>
      </c>
      <c r="AS279" s="179">
        <f ca="1">IF(ISNUMBER(MATCH(DATEVALUE($A279),'recurring1_based on steps'!AS$1:AS$400,0)),AS$2,)</f>
        <v>0</v>
      </c>
      <c r="AT279" s="179">
        <f ca="1">IF(ISNUMBER(MATCH(DATEVALUE($A279),'recurring1_based on steps'!AT$1:AT$400,0)),AT$2,)</f>
        <v>0</v>
      </c>
      <c r="AU279" s="179">
        <f ca="1">IF(ISNUMBER(MATCH(DATEVALUE($A279),'recurring1_based on steps'!AU$1:AU$400,0)),AU$2,)</f>
        <v>0</v>
      </c>
      <c r="AV279" s="179">
        <f ca="1">IF(ISNUMBER(MATCH(DATEVALUE($A279),'recurring1_based on steps'!AV$1:AV$400,0)),AV$2,)</f>
        <v>0</v>
      </c>
      <c r="AW279" s="179">
        <f ca="1">IF(ISNUMBER(MATCH(DATEVALUE($A279),'recurring1_based on steps'!AW$1:AW$400,0)),AW$2,)</f>
        <v>0</v>
      </c>
      <c r="AX279" s="179">
        <f ca="1">IF(ISNUMBER(MATCH(DATEVALUE($A279),'recurring1_based on steps'!AX$1:AX$400,0)),AX$2,)</f>
        <v>0</v>
      </c>
      <c r="AY279" s="179">
        <f ca="1">IF(ISNUMBER(MATCH(DATEVALUE($A279),'recurring1_based on steps'!AY$1:AY$400,0)),AY$2,)</f>
        <v>0</v>
      </c>
    </row>
    <row r="280" spans="1:51" x14ac:dyDescent="0.2">
      <c r="A280" s="32" t="str">
        <f t="shared" ca="1" si="4"/>
        <v>2025-12-31</v>
      </c>
      <c r="B280" s="179">
        <f ca="1">IF(ISNUMBER(MATCH(DATEVALUE($A280),'recurring1_based on steps'!B$1:B$400,0)),B$2,)</f>
        <v>0</v>
      </c>
      <c r="C280" s="179">
        <f ca="1">IF(ISNUMBER(MATCH(DATEVALUE($A280),'recurring1_based on steps'!C$1:C$400,0)),C$2,)</f>
        <v>0</v>
      </c>
      <c r="D280" s="179">
        <f ca="1">IF(ISNUMBER(MATCH(DATEVALUE($A280),'recurring1_based on steps'!D$1:D$400,0)),D$2,)</f>
        <v>0</v>
      </c>
      <c r="E280" s="179">
        <f ca="1">IF(ISNUMBER(MATCH(DATEVALUE($A280),'recurring1_based on steps'!E$1:E$400,0)),E$2,)</f>
        <v>0</v>
      </c>
      <c r="F280" s="179">
        <f ca="1">IF(ISNUMBER(MATCH(DATEVALUE($A280),'recurring1_based on steps'!F$1:F$400,0)),F$2,)</f>
        <v>0</v>
      </c>
      <c r="G280" s="179">
        <f ca="1">IF(ISNUMBER(MATCH(DATEVALUE($A280),'recurring1_based on steps'!G$1:G$400,0)),G$2,)</f>
        <v>0</v>
      </c>
      <c r="H280" s="179">
        <f ca="1">IF(ISNUMBER(MATCH(DATEVALUE($A280),'recurring1_based on steps'!H$1:H$400,0)),H$2,)</f>
        <v>0</v>
      </c>
      <c r="I280" s="179">
        <f ca="1">IF(ISNUMBER(MATCH(DATEVALUE($A280),'recurring1_based on steps'!I$1:I$400,0)),I$2,)</f>
        <v>0</v>
      </c>
      <c r="J280" s="179">
        <f ca="1">IF(ISNUMBER(MATCH(DATEVALUE($A280),'recurring1_based on steps'!J$1:J$400,0)),J$2,)</f>
        <v>0</v>
      </c>
      <c r="K280" s="179">
        <f ca="1">IF(ISNUMBER(MATCH(DATEVALUE($A280),'recurring1_based on steps'!K$1:K$400,0)),K$2,)</f>
        <v>0</v>
      </c>
      <c r="L280" s="179">
        <f ca="1">IF(ISNUMBER(MATCH(DATEVALUE($A280),'recurring1_based on steps'!L$1:L$400,0)),L$2,)</f>
        <v>0</v>
      </c>
      <c r="M280" s="179">
        <f ca="1">IF(ISNUMBER(MATCH(DATEVALUE($A280),'recurring1_based on steps'!M$1:M$400,0)),M$2,)</f>
        <v>0</v>
      </c>
      <c r="N280" s="179">
        <f ca="1">IF(ISNUMBER(MATCH(DATEVALUE($A280),'recurring1_based on steps'!N$1:N$400,0)),N$2,)</f>
        <v>0</v>
      </c>
      <c r="O280" s="179">
        <f ca="1">IF(ISNUMBER(MATCH(DATEVALUE($A280),'recurring1_based on steps'!O$1:O$400,0)),O$2,)</f>
        <v>0</v>
      </c>
      <c r="P280" s="179">
        <f ca="1">IF(ISNUMBER(MATCH(DATEVALUE($A280),'recurring1_based on steps'!P$1:P$400,0)),P$2,)</f>
        <v>0</v>
      </c>
      <c r="Q280" s="179">
        <f ca="1">IF(ISNUMBER(MATCH(DATEVALUE($A280),'recurring1_based on steps'!Q$1:Q$400,0)),Q$2,)</f>
        <v>0</v>
      </c>
      <c r="R280" s="179">
        <f ca="1">IF(ISNUMBER(MATCH(DATEVALUE($A280),'recurring1_based on steps'!R$1:R$400,0)),R$2,)</f>
        <v>0</v>
      </c>
      <c r="S280" s="179">
        <f ca="1">IF(ISNUMBER(MATCH(DATEVALUE($A280),'recurring1_based on steps'!S$1:S$400,0)),S$2,)</f>
        <v>0</v>
      </c>
      <c r="T280" s="179">
        <f ca="1">IF(ISNUMBER(MATCH(DATEVALUE($A280),'recurring1_based on steps'!T$1:T$400,0)),T$2,)</f>
        <v>0</v>
      </c>
      <c r="U280" s="179">
        <f ca="1">IF(ISNUMBER(MATCH(DATEVALUE($A280),'recurring1_based on steps'!U$1:U$400,0)),U$2,)</f>
        <v>0</v>
      </c>
      <c r="V280" s="179">
        <f ca="1">IF(ISNUMBER(MATCH(DATEVALUE($A280),'recurring1_based on steps'!V$1:V$400,0)),V$2,)</f>
        <v>0</v>
      </c>
      <c r="W280" s="179">
        <f ca="1">IF(ISNUMBER(MATCH(DATEVALUE($A280),'recurring1_based on steps'!W$1:W$400,0)),W$2,)</f>
        <v>0</v>
      </c>
      <c r="X280" s="179">
        <f ca="1">IF(ISNUMBER(MATCH(DATEVALUE($A280),'recurring1_based on steps'!X$1:X$400,0)),X$2,)</f>
        <v>0</v>
      </c>
      <c r="Y280" s="179">
        <f ca="1">IF(ISNUMBER(MATCH(DATEVALUE($A280),'recurring1_based on steps'!Y$1:Y$400,0)),Y$2,)</f>
        <v>0</v>
      </c>
      <c r="Z280" s="179">
        <f ca="1">IF(ISNUMBER(MATCH(DATEVALUE($A280),'recurring1_based on steps'!Z$1:Z$400,0)),Z$2,)</f>
        <v>0</v>
      </c>
      <c r="AA280" s="179">
        <f ca="1">IF(ISNUMBER(MATCH(DATEVALUE($A280),'recurring1_based on steps'!AA$1:AA$400,0)),AA$2,)</f>
        <v>0</v>
      </c>
      <c r="AB280" s="179">
        <f ca="1">IF(ISNUMBER(MATCH(DATEVALUE($A280),'recurring1_based on steps'!AB$1:AB$400,0)),AB$2,)</f>
        <v>0</v>
      </c>
      <c r="AC280" s="179">
        <f ca="1">IF(ISNUMBER(MATCH(DATEVALUE($A280),'recurring1_based on steps'!AC$1:AC$400,0)),AC$2,)</f>
        <v>0</v>
      </c>
      <c r="AD280" s="179">
        <f ca="1">IF(ISNUMBER(MATCH(DATEVALUE($A280),'recurring1_based on steps'!AD$1:AD$400,0)),AD$2,)</f>
        <v>0</v>
      </c>
      <c r="AE280" s="179">
        <f ca="1">IF(ISNUMBER(MATCH(DATEVALUE($A280),'recurring1_based on steps'!AE$1:AE$400,0)),AE$2,)</f>
        <v>0</v>
      </c>
      <c r="AF280" s="179">
        <f ca="1">IF(ISNUMBER(MATCH(DATEVALUE($A280),'recurring1_based on steps'!AF$1:AF$400,0)),AF$2,)</f>
        <v>0</v>
      </c>
      <c r="AG280" s="179">
        <f ca="1">IF(ISNUMBER(MATCH(DATEVALUE($A280),'recurring1_based on steps'!AG$1:AG$400,0)),AG$2,)</f>
        <v>0</v>
      </c>
      <c r="AH280" s="179">
        <f ca="1">IF(ISNUMBER(MATCH(DATEVALUE($A280),'recurring1_based on steps'!AH$1:AH$400,0)),AH$2,)</f>
        <v>0</v>
      </c>
      <c r="AI280" s="179">
        <f ca="1">IF(ISNUMBER(MATCH(DATEVALUE($A280),'recurring1_based on steps'!AI$1:AI$400,0)),AI$2,)</f>
        <v>0</v>
      </c>
      <c r="AJ280" s="179">
        <f ca="1">IF(ISNUMBER(MATCH(DATEVALUE($A280),'recurring1_based on steps'!AJ$1:AJ$400,0)),AJ$2,)</f>
        <v>0</v>
      </c>
      <c r="AK280" s="179">
        <f ca="1">IF(ISNUMBER(MATCH(DATEVALUE($A280),'recurring1_based on steps'!AK$1:AK$400,0)),AK$2,)</f>
        <v>0</v>
      </c>
      <c r="AL280" s="179">
        <f ca="1">IF(ISNUMBER(MATCH(DATEVALUE($A280),'recurring1_based on steps'!AL$1:AL$400,0)),AL$2,)</f>
        <v>0</v>
      </c>
      <c r="AM280" s="179">
        <f ca="1">IF(ISNUMBER(MATCH(DATEVALUE($A280),'recurring1_based on steps'!AM$1:AM$400,0)),AM$2,)</f>
        <v>0</v>
      </c>
      <c r="AN280" s="179">
        <f ca="1">IF(ISNUMBER(MATCH(DATEVALUE($A280),'recurring1_based on steps'!AN$1:AN$400,0)),AN$2,)</f>
        <v>0</v>
      </c>
      <c r="AO280" s="179">
        <f ca="1">IF(ISNUMBER(MATCH(DATEVALUE($A280),'recurring1_based on steps'!AO$1:AO$400,0)),AO$2,)</f>
        <v>0</v>
      </c>
      <c r="AP280" s="179">
        <f ca="1">IF(ISNUMBER(MATCH(DATEVALUE($A280),'recurring1_based on steps'!AP$1:AP$400,0)),AP$2,)</f>
        <v>0</v>
      </c>
      <c r="AQ280" s="179">
        <f ca="1">IF(ISNUMBER(MATCH(DATEVALUE($A280),'recurring1_based on steps'!AQ$1:AQ$400,0)),AQ$2,)</f>
        <v>0</v>
      </c>
      <c r="AR280" s="179">
        <f ca="1">IF(ISNUMBER(MATCH(DATEVALUE($A280),'recurring1_based on steps'!AR$1:AR$400,0)),AR$2,)</f>
        <v>0</v>
      </c>
      <c r="AS280" s="179">
        <f ca="1">IF(ISNUMBER(MATCH(DATEVALUE($A280),'recurring1_based on steps'!AS$1:AS$400,0)),AS$2,)</f>
        <v>0</v>
      </c>
      <c r="AT280" s="179">
        <f ca="1">IF(ISNUMBER(MATCH(DATEVALUE($A280),'recurring1_based on steps'!AT$1:AT$400,0)),AT$2,)</f>
        <v>0</v>
      </c>
      <c r="AU280" s="179">
        <f ca="1">IF(ISNUMBER(MATCH(DATEVALUE($A280),'recurring1_based on steps'!AU$1:AU$400,0)),AU$2,)</f>
        <v>0</v>
      </c>
      <c r="AV280" s="179">
        <f ca="1">IF(ISNUMBER(MATCH(DATEVALUE($A280),'recurring1_based on steps'!AV$1:AV$400,0)),AV$2,)</f>
        <v>0</v>
      </c>
      <c r="AW280" s="179">
        <f ca="1">IF(ISNUMBER(MATCH(DATEVALUE($A280),'recurring1_based on steps'!AW$1:AW$400,0)),AW$2,)</f>
        <v>0</v>
      </c>
      <c r="AX280" s="179">
        <f ca="1">IF(ISNUMBER(MATCH(DATEVALUE($A280),'recurring1_based on steps'!AX$1:AX$400,0)),AX$2,)</f>
        <v>0</v>
      </c>
      <c r="AY280" s="179">
        <f ca="1">IF(ISNUMBER(MATCH(DATEVALUE($A280),'recurring1_based on steps'!AY$1:AY$400,0)),AY$2,)</f>
        <v>0</v>
      </c>
    </row>
    <row r="281" spans="1:51" x14ac:dyDescent="0.2">
      <c r="A281" s="32" t="str">
        <f t="shared" ca="1" si="4"/>
        <v>2026-01-01</v>
      </c>
      <c r="B281" s="179">
        <f ca="1">IF(ISNUMBER(MATCH(DATEVALUE($A281),'recurring1_based on steps'!B$1:B$400,0)),B$2,)</f>
        <v>0</v>
      </c>
      <c r="C281" s="179">
        <f ca="1">IF(ISNUMBER(MATCH(DATEVALUE($A281),'recurring1_based on steps'!C$1:C$400,0)),C$2,)</f>
        <v>0</v>
      </c>
      <c r="D281" s="179">
        <f ca="1">IF(ISNUMBER(MATCH(DATEVALUE($A281),'recurring1_based on steps'!D$1:D$400,0)),D$2,)</f>
        <v>0</v>
      </c>
      <c r="E281" s="179">
        <f ca="1">IF(ISNUMBER(MATCH(DATEVALUE($A281),'recurring1_based on steps'!E$1:E$400,0)),E$2,)</f>
        <v>0</v>
      </c>
      <c r="F281" s="179">
        <f ca="1">IF(ISNUMBER(MATCH(DATEVALUE($A281),'recurring1_based on steps'!F$1:F$400,0)),F$2,)</f>
        <v>0</v>
      </c>
      <c r="G281" s="179">
        <f ca="1">IF(ISNUMBER(MATCH(DATEVALUE($A281),'recurring1_based on steps'!G$1:G$400,0)),G$2,)</f>
        <v>0</v>
      </c>
      <c r="H281" s="179">
        <f ca="1">IF(ISNUMBER(MATCH(DATEVALUE($A281),'recurring1_based on steps'!H$1:H$400,0)),H$2,)</f>
        <v>0</v>
      </c>
      <c r="I281" s="179">
        <f ca="1">IF(ISNUMBER(MATCH(DATEVALUE($A281),'recurring1_based on steps'!I$1:I$400,0)),I$2,)</f>
        <v>0</v>
      </c>
      <c r="J281" s="179">
        <f ca="1">IF(ISNUMBER(MATCH(DATEVALUE($A281),'recurring1_based on steps'!J$1:J$400,0)),J$2,)</f>
        <v>0</v>
      </c>
      <c r="K281" s="179">
        <f ca="1">IF(ISNUMBER(MATCH(DATEVALUE($A281),'recurring1_based on steps'!K$1:K$400,0)),K$2,)</f>
        <v>0</v>
      </c>
      <c r="L281" s="179">
        <f ca="1">IF(ISNUMBER(MATCH(DATEVALUE($A281),'recurring1_based on steps'!L$1:L$400,0)),L$2,)</f>
        <v>0</v>
      </c>
      <c r="M281" s="179">
        <f ca="1">IF(ISNUMBER(MATCH(DATEVALUE($A281),'recurring1_based on steps'!M$1:M$400,0)),M$2,)</f>
        <v>0</v>
      </c>
      <c r="N281" s="179">
        <f ca="1">IF(ISNUMBER(MATCH(DATEVALUE($A281),'recurring1_based on steps'!N$1:N$400,0)),N$2,)</f>
        <v>0</v>
      </c>
      <c r="O281" s="179">
        <f ca="1">IF(ISNUMBER(MATCH(DATEVALUE($A281),'recurring1_based on steps'!O$1:O$400,0)),O$2,)</f>
        <v>0</v>
      </c>
      <c r="P281" s="179">
        <f ca="1">IF(ISNUMBER(MATCH(DATEVALUE($A281),'recurring1_based on steps'!P$1:P$400,0)),P$2,)</f>
        <v>0</v>
      </c>
      <c r="Q281" s="179">
        <f ca="1">IF(ISNUMBER(MATCH(DATEVALUE($A281),'recurring1_based on steps'!Q$1:Q$400,0)),Q$2,)</f>
        <v>0</v>
      </c>
      <c r="R281" s="179">
        <f ca="1">IF(ISNUMBER(MATCH(DATEVALUE($A281),'recurring1_based on steps'!R$1:R$400,0)),R$2,)</f>
        <v>0</v>
      </c>
      <c r="S281" s="179">
        <f ca="1">IF(ISNUMBER(MATCH(DATEVALUE($A281),'recurring1_based on steps'!S$1:S$400,0)),S$2,)</f>
        <v>0</v>
      </c>
      <c r="T281" s="179">
        <f ca="1">IF(ISNUMBER(MATCH(DATEVALUE($A281),'recurring1_based on steps'!T$1:T$400,0)),T$2,)</f>
        <v>0</v>
      </c>
      <c r="U281" s="179">
        <f ca="1">IF(ISNUMBER(MATCH(DATEVALUE($A281),'recurring1_based on steps'!U$1:U$400,0)),U$2,)</f>
        <v>0</v>
      </c>
      <c r="V281" s="179">
        <f ca="1">IF(ISNUMBER(MATCH(DATEVALUE($A281),'recurring1_based on steps'!V$1:V$400,0)),V$2,)</f>
        <v>0</v>
      </c>
      <c r="W281" s="179">
        <f ca="1">IF(ISNUMBER(MATCH(DATEVALUE($A281),'recurring1_based on steps'!W$1:W$400,0)),W$2,)</f>
        <v>0</v>
      </c>
      <c r="X281" s="179">
        <f ca="1">IF(ISNUMBER(MATCH(DATEVALUE($A281),'recurring1_based on steps'!X$1:X$400,0)),X$2,)</f>
        <v>0</v>
      </c>
      <c r="Y281" s="179">
        <f ca="1">IF(ISNUMBER(MATCH(DATEVALUE($A281),'recurring1_based on steps'!Y$1:Y$400,0)),Y$2,)</f>
        <v>0</v>
      </c>
      <c r="Z281" s="179">
        <f ca="1">IF(ISNUMBER(MATCH(DATEVALUE($A281),'recurring1_based on steps'!Z$1:Z$400,0)),Z$2,)</f>
        <v>0</v>
      </c>
      <c r="AA281" s="179">
        <f ca="1">IF(ISNUMBER(MATCH(DATEVALUE($A281),'recurring1_based on steps'!AA$1:AA$400,0)),AA$2,)</f>
        <v>0</v>
      </c>
      <c r="AB281" s="179">
        <f ca="1">IF(ISNUMBER(MATCH(DATEVALUE($A281),'recurring1_based on steps'!AB$1:AB$400,0)),AB$2,)</f>
        <v>0</v>
      </c>
      <c r="AC281" s="179">
        <f ca="1">IF(ISNUMBER(MATCH(DATEVALUE($A281),'recurring1_based on steps'!AC$1:AC$400,0)),AC$2,)</f>
        <v>0</v>
      </c>
      <c r="AD281" s="179">
        <f ca="1">IF(ISNUMBER(MATCH(DATEVALUE($A281),'recurring1_based on steps'!AD$1:AD$400,0)),AD$2,)</f>
        <v>0</v>
      </c>
      <c r="AE281" s="179">
        <f ca="1">IF(ISNUMBER(MATCH(DATEVALUE($A281),'recurring1_based on steps'!AE$1:AE$400,0)),AE$2,)</f>
        <v>0</v>
      </c>
      <c r="AF281" s="179">
        <f ca="1">IF(ISNUMBER(MATCH(DATEVALUE($A281),'recurring1_based on steps'!AF$1:AF$400,0)),AF$2,)</f>
        <v>0</v>
      </c>
      <c r="AG281" s="179">
        <f ca="1">IF(ISNUMBER(MATCH(DATEVALUE($A281),'recurring1_based on steps'!AG$1:AG$400,0)),AG$2,)</f>
        <v>0</v>
      </c>
      <c r="AH281" s="179">
        <f ca="1">IF(ISNUMBER(MATCH(DATEVALUE($A281),'recurring1_based on steps'!AH$1:AH$400,0)),AH$2,)</f>
        <v>0</v>
      </c>
      <c r="AI281" s="179">
        <f ca="1">IF(ISNUMBER(MATCH(DATEVALUE($A281),'recurring1_based on steps'!AI$1:AI$400,0)),AI$2,)</f>
        <v>0</v>
      </c>
      <c r="AJ281" s="179">
        <f ca="1">IF(ISNUMBER(MATCH(DATEVALUE($A281),'recurring1_based on steps'!AJ$1:AJ$400,0)),AJ$2,)</f>
        <v>0</v>
      </c>
      <c r="AK281" s="179">
        <f ca="1">IF(ISNUMBER(MATCH(DATEVALUE($A281),'recurring1_based on steps'!AK$1:AK$400,0)),AK$2,)</f>
        <v>0</v>
      </c>
      <c r="AL281" s="179">
        <f ca="1">IF(ISNUMBER(MATCH(DATEVALUE($A281),'recurring1_based on steps'!AL$1:AL$400,0)),AL$2,)</f>
        <v>0</v>
      </c>
      <c r="AM281" s="179">
        <f ca="1">IF(ISNUMBER(MATCH(DATEVALUE($A281),'recurring1_based on steps'!AM$1:AM$400,0)),AM$2,)</f>
        <v>0</v>
      </c>
      <c r="AN281" s="179">
        <f ca="1">IF(ISNUMBER(MATCH(DATEVALUE($A281),'recurring1_based on steps'!AN$1:AN$400,0)),AN$2,)</f>
        <v>0</v>
      </c>
      <c r="AO281" s="179">
        <f ca="1">IF(ISNUMBER(MATCH(DATEVALUE($A281),'recurring1_based on steps'!AO$1:AO$400,0)),AO$2,)</f>
        <v>0</v>
      </c>
      <c r="AP281" s="179">
        <f ca="1">IF(ISNUMBER(MATCH(DATEVALUE($A281),'recurring1_based on steps'!AP$1:AP$400,0)),AP$2,)</f>
        <v>0</v>
      </c>
      <c r="AQ281" s="179">
        <f ca="1">IF(ISNUMBER(MATCH(DATEVALUE($A281),'recurring1_based on steps'!AQ$1:AQ$400,0)),AQ$2,)</f>
        <v>0</v>
      </c>
      <c r="AR281" s="179">
        <f ca="1">IF(ISNUMBER(MATCH(DATEVALUE($A281),'recurring1_based on steps'!AR$1:AR$400,0)),AR$2,)</f>
        <v>0</v>
      </c>
      <c r="AS281" s="179">
        <f ca="1">IF(ISNUMBER(MATCH(DATEVALUE($A281),'recurring1_based on steps'!AS$1:AS$400,0)),AS$2,)</f>
        <v>0</v>
      </c>
      <c r="AT281" s="179">
        <f ca="1">IF(ISNUMBER(MATCH(DATEVALUE($A281),'recurring1_based on steps'!AT$1:AT$400,0)),AT$2,)</f>
        <v>0</v>
      </c>
      <c r="AU281" s="179">
        <f ca="1">IF(ISNUMBER(MATCH(DATEVALUE($A281),'recurring1_based on steps'!AU$1:AU$400,0)),AU$2,)</f>
        <v>0</v>
      </c>
      <c r="AV281" s="179">
        <f ca="1">IF(ISNUMBER(MATCH(DATEVALUE($A281),'recurring1_based on steps'!AV$1:AV$400,0)),AV$2,)</f>
        <v>0</v>
      </c>
      <c r="AW281" s="179">
        <f ca="1">IF(ISNUMBER(MATCH(DATEVALUE($A281),'recurring1_based on steps'!AW$1:AW$400,0)),AW$2,)</f>
        <v>0</v>
      </c>
      <c r="AX281" s="179">
        <f ca="1">IF(ISNUMBER(MATCH(DATEVALUE($A281),'recurring1_based on steps'!AX$1:AX$400,0)),AX$2,)</f>
        <v>0</v>
      </c>
      <c r="AY281" s="179">
        <f ca="1">IF(ISNUMBER(MATCH(DATEVALUE($A281),'recurring1_based on steps'!AY$1:AY$400,0)),AY$2,)</f>
        <v>0</v>
      </c>
    </row>
    <row r="282" spans="1:51" x14ac:dyDescent="0.2">
      <c r="A282" s="32" t="str">
        <f t="shared" ca="1" si="4"/>
        <v>2026-01-02</v>
      </c>
      <c r="B282" s="179">
        <f ca="1">IF(ISNUMBER(MATCH(DATEVALUE($A282),'recurring1_based on steps'!B$1:B$400,0)),B$2,)</f>
        <v>0</v>
      </c>
      <c r="C282" s="179">
        <f ca="1">IF(ISNUMBER(MATCH(DATEVALUE($A282),'recurring1_based on steps'!C$1:C$400,0)),C$2,)</f>
        <v>0</v>
      </c>
      <c r="D282" s="179">
        <f ca="1">IF(ISNUMBER(MATCH(DATEVALUE($A282),'recurring1_based on steps'!D$1:D$400,0)),D$2,)</f>
        <v>0</v>
      </c>
      <c r="E282" s="179">
        <f ca="1">IF(ISNUMBER(MATCH(DATEVALUE($A282),'recurring1_based on steps'!E$1:E$400,0)),E$2,)</f>
        <v>0</v>
      </c>
      <c r="F282" s="179">
        <f ca="1">IF(ISNUMBER(MATCH(DATEVALUE($A282),'recurring1_based on steps'!F$1:F$400,0)),F$2,)</f>
        <v>0</v>
      </c>
      <c r="G282" s="179">
        <f ca="1">IF(ISNUMBER(MATCH(DATEVALUE($A282),'recurring1_based on steps'!G$1:G$400,0)),G$2,)</f>
        <v>0</v>
      </c>
      <c r="H282" s="179">
        <f ca="1">IF(ISNUMBER(MATCH(DATEVALUE($A282),'recurring1_based on steps'!H$1:H$400,0)),H$2,)</f>
        <v>0</v>
      </c>
      <c r="I282" s="179">
        <f ca="1">IF(ISNUMBER(MATCH(DATEVALUE($A282),'recurring1_based on steps'!I$1:I$400,0)),I$2,)</f>
        <v>0</v>
      </c>
      <c r="J282" s="179">
        <f ca="1">IF(ISNUMBER(MATCH(DATEVALUE($A282),'recurring1_based on steps'!J$1:J$400,0)),J$2,)</f>
        <v>0</v>
      </c>
      <c r="K282" s="179">
        <f ca="1">IF(ISNUMBER(MATCH(DATEVALUE($A282),'recurring1_based on steps'!K$1:K$400,0)),K$2,)</f>
        <v>0</v>
      </c>
      <c r="L282" s="179">
        <f ca="1">IF(ISNUMBER(MATCH(DATEVALUE($A282),'recurring1_based on steps'!L$1:L$400,0)),L$2,)</f>
        <v>0</v>
      </c>
      <c r="M282" s="179">
        <f ca="1">IF(ISNUMBER(MATCH(DATEVALUE($A282),'recurring1_based on steps'!M$1:M$400,0)),M$2,)</f>
        <v>0</v>
      </c>
      <c r="N282" s="179">
        <f ca="1">IF(ISNUMBER(MATCH(DATEVALUE($A282),'recurring1_based on steps'!N$1:N$400,0)),N$2,)</f>
        <v>0</v>
      </c>
      <c r="O282" s="179">
        <f ca="1">IF(ISNUMBER(MATCH(DATEVALUE($A282),'recurring1_based on steps'!O$1:O$400,0)),O$2,)</f>
        <v>0</v>
      </c>
      <c r="P282" s="179">
        <f ca="1">IF(ISNUMBER(MATCH(DATEVALUE($A282),'recurring1_based on steps'!P$1:P$400,0)),P$2,)</f>
        <v>0</v>
      </c>
      <c r="Q282" s="179">
        <f ca="1">IF(ISNUMBER(MATCH(DATEVALUE($A282),'recurring1_based on steps'!Q$1:Q$400,0)),Q$2,)</f>
        <v>0</v>
      </c>
      <c r="R282" s="179">
        <f ca="1">IF(ISNUMBER(MATCH(DATEVALUE($A282),'recurring1_based on steps'!R$1:R$400,0)),R$2,)</f>
        <v>0</v>
      </c>
      <c r="S282" s="179">
        <f ca="1">IF(ISNUMBER(MATCH(DATEVALUE($A282),'recurring1_based on steps'!S$1:S$400,0)),S$2,)</f>
        <v>0</v>
      </c>
      <c r="T282" s="179">
        <f ca="1">IF(ISNUMBER(MATCH(DATEVALUE($A282),'recurring1_based on steps'!T$1:T$400,0)),T$2,)</f>
        <v>0</v>
      </c>
      <c r="U282" s="179">
        <f ca="1">IF(ISNUMBER(MATCH(DATEVALUE($A282),'recurring1_based on steps'!U$1:U$400,0)),U$2,)</f>
        <v>0</v>
      </c>
      <c r="V282" s="179">
        <f ca="1">IF(ISNUMBER(MATCH(DATEVALUE($A282),'recurring1_based on steps'!V$1:V$400,0)),V$2,)</f>
        <v>0</v>
      </c>
      <c r="W282" s="179">
        <f ca="1">IF(ISNUMBER(MATCH(DATEVALUE($A282),'recurring1_based on steps'!W$1:W$400,0)),W$2,)</f>
        <v>0</v>
      </c>
      <c r="X282" s="179">
        <f ca="1">IF(ISNUMBER(MATCH(DATEVALUE($A282),'recurring1_based on steps'!X$1:X$400,0)),X$2,)</f>
        <v>0</v>
      </c>
      <c r="Y282" s="179">
        <f ca="1">IF(ISNUMBER(MATCH(DATEVALUE($A282),'recurring1_based on steps'!Y$1:Y$400,0)),Y$2,)</f>
        <v>0</v>
      </c>
      <c r="Z282" s="179">
        <f ca="1">IF(ISNUMBER(MATCH(DATEVALUE($A282),'recurring1_based on steps'!Z$1:Z$400,0)),Z$2,)</f>
        <v>0</v>
      </c>
      <c r="AA282" s="179">
        <f ca="1">IF(ISNUMBER(MATCH(DATEVALUE($A282),'recurring1_based on steps'!AA$1:AA$400,0)),AA$2,)</f>
        <v>0</v>
      </c>
      <c r="AB282" s="179">
        <f ca="1">IF(ISNUMBER(MATCH(DATEVALUE($A282),'recurring1_based on steps'!AB$1:AB$400,0)),AB$2,)</f>
        <v>0</v>
      </c>
      <c r="AC282" s="179">
        <f ca="1">IF(ISNUMBER(MATCH(DATEVALUE($A282),'recurring1_based on steps'!AC$1:AC$400,0)),AC$2,)</f>
        <v>0</v>
      </c>
      <c r="AD282" s="179">
        <f ca="1">IF(ISNUMBER(MATCH(DATEVALUE($A282),'recurring1_based on steps'!AD$1:AD$400,0)),AD$2,)</f>
        <v>0</v>
      </c>
      <c r="AE282" s="179">
        <f ca="1">IF(ISNUMBER(MATCH(DATEVALUE($A282),'recurring1_based on steps'!AE$1:AE$400,0)),AE$2,)</f>
        <v>0</v>
      </c>
      <c r="AF282" s="179">
        <f ca="1">IF(ISNUMBER(MATCH(DATEVALUE($A282),'recurring1_based on steps'!AF$1:AF$400,0)),AF$2,)</f>
        <v>0</v>
      </c>
      <c r="AG282" s="179">
        <f ca="1">IF(ISNUMBER(MATCH(DATEVALUE($A282),'recurring1_based on steps'!AG$1:AG$400,0)),AG$2,)</f>
        <v>0</v>
      </c>
      <c r="AH282" s="179">
        <f ca="1">IF(ISNUMBER(MATCH(DATEVALUE($A282),'recurring1_based on steps'!AH$1:AH$400,0)),AH$2,)</f>
        <v>0</v>
      </c>
      <c r="AI282" s="179">
        <f ca="1">IF(ISNUMBER(MATCH(DATEVALUE($A282),'recurring1_based on steps'!AI$1:AI$400,0)),AI$2,)</f>
        <v>0</v>
      </c>
      <c r="AJ282" s="179">
        <f ca="1">IF(ISNUMBER(MATCH(DATEVALUE($A282),'recurring1_based on steps'!AJ$1:AJ$400,0)),AJ$2,)</f>
        <v>0</v>
      </c>
      <c r="AK282" s="179">
        <f ca="1">IF(ISNUMBER(MATCH(DATEVALUE($A282),'recurring1_based on steps'!AK$1:AK$400,0)),AK$2,)</f>
        <v>0</v>
      </c>
      <c r="AL282" s="179">
        <f ca="1">IF(ISNUMBER(MATCH(DATEVALUE($A282),'recurring1_based on steps'!AL$1:AL$400,0)),AL$2,)</f>
        <v>0</v>
      </c>
      <c r="AM282" s="179">
        <f ca="1">IF(ISNUMBER(MATCH(DATEVALUE($A282),'recurring1_based on steps'!AM$1:AM$400,0)),AM$2,)</f>
        <v>0</v>
      </c>
      <c r="AN282" s="179">
        <f ca="1">IF(ISNUMBER(MATCH(DATEVALUE($A282),'recurring1_based on steps'!AN$1:AN$400,0)),AN$2,)</f>
        <v>0</v>
      </c>
      <c r="AO282" s="179">
        <f ca="1">IF(ISNUMBER(MATCH(DATEVALUE($A282),'recurring1_based on steps'!AO$1:AO$400,0)),AO$2,)</f>
        <v>0</v>
      </c>
      <c r="AP282" s="179">
        <f ca="1">IF(ISNUMBER(MATCH(DATEVALUE($A282),'recurring1_based on steps'!AP$1:AP$400,0)),AP$2,)</f>
        <v>0</v>
      </c>
      <c r="AQ282" s="179">
        <f ca="1">IF(ISNUMBER(MATCH(DATEVALUE($A282),'recurring1_based on steps'!AQ$1:AQ$400,0)),AQ$2,)</f>
        <v>0</v>
      </c>
      <c r="AR282" s="179">
        <f ca="1">IF(ISNUMBER(MATCH(DATEVALUE($A282),'recurring1_based on steps'!AR$1:AR$400,0)),AR$2,)</f>
        <v>0</v>
      </c>
      <c r="AS282" s="179">
        <f ca="1">IF(ISNUMBER(MATCH(DATEVALUE($A282),'recurring1_based on steps'!AS$1:AS$400,0)),AS$2,)</f>
        <v>0</v>
      </c>
      <c r="AT282" s="179">
        <f ca="1">IF(ISNUMBER(MATCH(DATEVALUE($A282),'recurring1_based on steps'!AT$1:AT$400,0)),AT$2,)</f>
        <v>0</v>
      </c>
      <c r="AU282" s="179">
        <f ca="1">IF(ISNUMBER(MATCH(DATEVALUE($A282),'recurring1_based on steps'!AU$1:AU$400,0)),AU$2,)</f>
        <v>0</v>
      </c>
      <c r="AV282" s="179">
        <f ca="1">IF(ISNUMBER(MATCH(DATEVALUE($A282),'recurring1_based on steps'!AV$1:AV$400,0)),AV$2,)</f>
        <v>0</v>
      </c>
      <c r="AW282" s="179">
        <f ca="1">IF(ISNUMBER(MATCH(DATEVALUE($A282),'recurring1_based on steps'!AW$1:AW$400,0)),AW$2,)</f>
        <v>0</v>
      </c>
      <c r="AX282" s="179">
        <f ca="1">IF(ISNUMBER(MATCH(DATEVALUE($A282),'recurring1_based on steps'!AX$1:AX$400,0)),AX$2,)</f>
        <v>0</v>
      </c>
      <c r="AY282" s="179">
        <f ca="1">IF(ISNUMBER(MATCH(DATEVALUE($A282),'recurring1_based on steps'!AY$1:AY$400,0)),AY$2,)</f>
        <v>0</v>
      </c>
    </row>
    <row r="283" spans="1:51" x14ac:dyDescent="0.2">
      <c r="A283" s="32" t="str">
        <f t="shared" ca="1" si="4"/>
        <v>2026-01-03</v>
      </c>
      <c r="B283" s="179">
        <f ca="1">IF(ISNUMBER(MATCH(DATEVALUE($A283),'recurring1_based on steps'!B$1:B$400,0)),B$2,)</f>
        <v>0</v>
      </c>
      <c r="C283" s="179">
        <f ca="1">IF(ISNUMBER(MATCH(DATEVALUE($A283),'recurring1_based on steps'!C$1:C$400,0)),C$2,)</f>
        <v>0</v>
      </c>
      <c r="D283" s="179">
        <f ca="1">IF(ISNUMBER(MATCH(DATEVALUE($A283),'recurring1_based on steps'!D$1:D$400,0)),D$2,)</f>
        <v>0</v>
      </c>
      <c r="E283" s="179">
        <f ca="1">IF(ISNUMBER(MATCH(DATEVALUE($A283),'recurring1_based on steps'!E$1:E$400,0)),E$2,)</f>
        <v>0</v>
      </c>
      <c r="F283" s="179">
        <f ca="1">IF(ISNUMBER(MATCH(DATEVALUE($A283),'recurring1_based on steps'!F$1:F$400,0)),F$2,)</f>
        <v>0</v>
      </c>
      <c r="G283" s="179">
        <f ca="1">IF(ISNUMBER(MATCH(DATEVALUE($A283),'recurring1_based on steps'!G$1:G$400,0)),G$2,)</f>
        <v>0</v>
      </c>
      <c r="H283" s="179">
        <f ca="1">IF(ISNUMBER(MATCH(DATEVALUE($A283),'recurring1_based on steps'!H$1:H$400,0)),H$2,)</f>
        <v>0</v>
      </c>
      <c r="I283" s="179">
        <f ca="1">IF(ISNUMBER(MATCH(DATEVALUE($A283),'recurring1_based on steps'!I$1:I$400,0)),I$2,)</f>
        <v>0</v>
      </c>
      <c r="J283" s="179">
        <f ca="1">IF(ISNUMBER(MATCH(DATEVALUE($A283),'recurring1_based on steps'!J$1:J$400,0)),J$2,)</f>
        <v>0</v>
      </c>
      <c r="K283" s="179">
        <f ca="1">IF(ISNUMBER(MATCH(DATEVALUE($A283),'recurring1_based on steps'!K$1:K$400,0)),K$2,)</f>
        <v>0</v>
      </c>
      <c r="L283" s="179">
        <f ca="1">IF(ISNUMBER(MATCH(DATEVALUE($A283),'recurring1_based on steps'!L$1:L$400,0)),L$2,)</f>
        <v>0</v>
      </c>
      <c r="M283" s="179">
        <f ca="1">IF(ISNUMBER(MATCH(DATEVALUE($A283),'recurring1_based on steps'!M$1:M$400,0)),M$2,)</f>
        <v>0</v>
      </c>
      <c r="N283" s="179">
        <f ca="1">IF(ISNUMBER(MATCH(DATEVALUE($A283),'recurring1_based on steps'!N$1:N$400,0)),N$2,)</f>
        <v>0</v>
      </c>
      <c r="O283" s="179">
        <f ca="1">IF(ISNUMBER(MATCH(DATEVALUE($A283),'recurring1_based on steps'!O$1:O$400,0)),O$2,)</f>
        <v>0</v>
      </c>
      <c r="P283" s="179">
        <f ca="1">IF(ISNUMBER(MATCH(DATEVALUE($A283),'recurring1_based on steps'!P$1:P$400,0)),P$2,)</f>
        <v>0</v>
      </c>
      <c r="Q283" s="179">
        <f ca="1">IF(ISNUMBER(MATCH(DATEVALUE($A283),'recurring1_based on steps'!Q$1:Q$400,0)),Q$2,)</f>
        <v>0</v>
      </c>
      <c r="R283" s="179">
        <f ca="1">IF(ISNUMBER(MATCH(DATEVALUE($A283),'recurring1_based on steps'!R$1:R$400,0)),R$2,)</f>
        <v>0</v>
      </c>
      <c r="S283" s="179">
        <f ca="1">IF(ISNUMBER(MATCH(DATEVALUE($A283),'recurring1_based on steps'!S$1:S$400,0)),S$2,)</f>
        <v>0</v>
      </c>
      <c r="T283" s="179">
        <f ca="1">IF(ISNUMBER(MATCH(DATEVALUE($A283),'recurring1_based on steps'!T$1:T$400,0)),T$2,)</f>
        <v>0</v>
      </c>
      <c r="U283" s="179">
        <f ca="1">IF(ISNUMBER(MATCH(DATEVALUE($A283),'recurring1_based on steps'!U$1:U$400,0)),U$2,)</f>
        <v>0</v>
      </c>
      <c r="V283" s="179">
        <f ca="1">IF(ISNUMBER(MATCH(DATEVALUE($A283),'recurring1_based on steps'!V$1:V$400,0)),V$2,)</f>
        <v>0</v>
      </c>
      <c r="W283" s="179">
        <f ca="1">IF(ISNUMBER(MATCH(DATEVALUE($A283),'recurring1_based on steps'!W$1:W$400,0)),W$2,)</f>
        <v>0</v>
      </c>
      <c r="X283" s="179">
        <f ca="1">IF(ISNUMBER(MATCH(DATEVALUE($A283),'recurring1_based on steps'!X$1:X$400,0)),X$2,)</f>
        <v>0</v>
      </c>
      <c r="Y283" s="179">
        <f ca="1">IF(ISNUMBER(MATCH(DATEVALUE($A283),'recurring1_based on steps'!Y$1:Y$400,0)),Y$2,)</f>
        <v>0</v>
      </c>
      <c r="Z283" s="179">
        <f ca="1">IF(ISNUMBER(MATCH(DATEVALUE($A283),'recurring1_based on steps'!Z$1:Z$400,0)),Z$2,)</f>
        <v>0</v>
      </c>
      <c r="AA283" s="179">
        <f ca="1">IF(ISNUMBER(MATCH(DATEVALUE($A283),'recurring1_based on steps'!AA$1:AA$400,0)),AA$2,)</f>
        <v>0</v>
      </c>
      <c r="AB283" s="179">
        <f ca="1">IF(ISNUMBER(MATCH(DATEVALUE($A283),'recurring1_based on steps'!AB$1:AB$400,0)),AB$2,)</f>
        <v>0</v>
      </c>
      <c r="AC283" s="179">
        <f ca="1">IF(ISNUMBER(MATCH(DATEVALUE($A283),'recurring1_based on steps'!AC$1:AC$400,0)),AC$2,)</f>
        <v>0</v>
      </c>
      <c r="AD283" s="179">
        <f ca="1">IF(ISNUMBER(MATCH(DATEVALUE($A283),'recurring1_based on steps'!AD$1:AD$400,0)),AD$2,)</f>
        <v>0</v>
      </c>
      <c r="AE283" s="179">
        <f ca="1">IF(ISNUMBER(MATCH(DATEVALUE($A283),'recurring1_based on steps'!AE$1:AE$400,0)),AE$2,)</f>
        <v>0</v>
      </c>
      <c r="AF283" s="179">
        <f ca="1">IF(ISNUMBER(MATCH(DATEVALUE($A283),'recurring1_based on steps'!AF$1:AF$400,0)),AF$2,)</f>
        <v>0</v>
      </c>
      <c r="AG283" s="179">
        <f ca="1">IF(ISNUMBER(MATCH(DATEVALUE($A283),'recurring1_based on steps'!AG$1:AG$400,0)),AG$2,)</f>
        <v>0</v>
      </c>
      <c r="AH283" s="179">
        <f ca="1">IF(ISNUMBER(MATCH(DATEVALUE($A283),'recurring1_based on steps'!AH$1:AH$400,0)),AH$2,)</f>
        <v>0</v>
      </c>
      <c r="AI283" s="179">
        <f ca="1">IF(ISNUMBER(MATCH(DATEVALUE($A283),'recurring1_based on steps'!AI$1:AI$400,0)),AI$2,)</f>
        <v>0</v>
      </c>
      <c r="AJ283" s="179">
        <f ca="1">IF(ISNUMBER(MATCH(DATEVALUE($A283),'recurring1_based on steps'!AJ$1:AJ$400,0)),AJ$2,)</f>
        <v>0</v>
      </c>
      <c r="AK283" s="179">
        <f ca="1">IF(ISNUMBER(MATCH(DATEVALUE($A283),'recurring1_based on steps'!AK$1:AK$400,0)),AK$2,)</f>
        <v>0</v>
      </c>
      <c r="AL283" s="179">
        <f ca="1">IF(ISNUMBER(MATCH(DATEVALUE($A283),'recurring1_based on steps'!AL$1:AL$400,0)),AL$2,)</f>
        <v>0</v>
      </c>
      <c r="AM283" s="179">
        <f ca="1">IF(ISNUMBER(MATCH(DATEVALUE($A283),'recurring1_based on steps'!AM$1:AM$400,0)),AM$2,)</f>
        <v>0</v>
      </c>
      <c r="AN283" s="179">
        <f ca="1">IF(ISNUMBER(MATCH(DATEVALUE($A283),'recurring1_based on steps'!AN$1:AN$400,0)),AN$2,)</f>
        <v>0</v>
      </c>
      <c r="AO283" s="179">
        <f ca="1">IF(ISNUMBER(MATCH(DATEVALUE($A283),'recurring1_based on steps'!AO$1:AO$400,0)),AO$2,)</f>
        <v>0</v>
      </c>
      <c r="AP283" s="179">
        <f ca="1">IF(ISNUMBER(MATCH(DATEVALUE($A283),'recurring1_based on steps'!AP$1:AP$400,0)),AP$2,)</f>
        <v>0</v>
      </c>
      <c r="AQ283" s="179">
        <f ca="1">IF(ISNUMBER(MATCH(DATEVALUE($A283),'recurring1_based on steps'!AQ$1:AQ$400,0)),AQ$2,)</f>
        <v>0</v>
      </c>
      <c r="AR283" s="179">
        <f ca="1">IF(ISNUMBER(MATCH(DATEVALUE($A283),'recurring1_based on steps'!AR$1:AR$400,0)),AR$2,)</f>
        <v>0</v>
      </c>
      <c r="AS283" s="179">
        <f ca="1">IF(ISNUMBER(MATCH(DATEVALUE($A283),'recurring1_based on steps'!AS$1:AS$400,0)),AS$2,)</f>
        <v>0</v>
      </c>
      <c r="AT283" s="179">
        <f ca="1">IF(ISNUMBER(MATCH(DATEVALUE($A283),'recurring1_based on steps'!AT$1:AT$400,0)),AT$2,)</f>
        <v>0</v>
      </c>
      <c r="AU283" s="179">
        <f ca="1">IF(ISNUMBER(MATCH(DATEVALUE($A283),'recurring1_based on steps'!AU$1:AU$400,0)),AU$2,)</f>
        <v>0</v>
      </c>
      <c r="AV283" s="179">
        <f ca="1">IF(ISNUMBER(MATCH(DATEVALUE($A283),'recurring1_based on steps'!AV$1:AV$400,0)),AV$2,)</f>
        <v>0</v>
      </c>
      <c r="AW283" s="179">
        <f ca="1">IF(ISNUMBER(MATCH(DATEVALUE($A283),'recurring1_based on steps'!AW$1:AW$400,0)),AW$2,)</f>
        <v>0</v>
      </c>
      <c r="AX283" s="179">
        <f ca="1">IF(ISNUMBER(MATCH(DATEVALUE($A283),'recurring1_based on steps'!AX$1:AX$400,0)),AX$2,)</f>
        <v>0</v>
      </c>
      <c r="AY283" s="179">
        <f ca="1">IF(ISNUMBER(MATCH(DATEVALUE($A283),'recurring1_based on steps'!AY$1:AY$400,0)),AY$2,)</f>
        <v>0</v>
      </c>
    </row>
    <row r="284" spans="1:51" x14ac:dyDescent="0.2">
      <c r="A284" s="32" t="str">
        <f t="shared" ca="1" si="4"/>
        <v>2026-01-04</v>
      </c>
      <c r="B284" s="179">
        <f ca="1">IF(ISNUMBER(MATCH(DATEVALUE($A284),'recurring1_based on steps'!B$1:B$400,0)),B$2,)</f>
        <v>0</v>
      </c>
      <c r="C284" s="179">
        <f ca="1">IF(ISNUMBER(MATCH(DATEVALUE($A284),'recurring1_based on steps'!C$1:C$400,0)),C$2,)</f>
        <v>0</v>
      </c>
      <c r="D284" s="179">
        <f ca="1">IF(ISNUMBER(MATCH(DATEVALUE($A284),'recurring1_based on steps'!D$1:D$400,0)),D$2,)</f>
        <v>0</v>
      </c>
      <c r="E284" s="179">
        <f ca="1">IF(ISNUMBER(MATCH(DATEVALUE($A284),'recurring1_based on steps'!E$1:E$400,0)),E$2,)</f>
        <v>0</v>
      </c>
      <c r="F284" s="179">
        <f ca="1">IF(ISNUMBER(MATCH(DATEVALUE($A284),'recurring1_based on steps'!F$1:F$400,0)),F$2,)</f>
        <v>0</v>
      </c>
      <c r="G284" s="179">
        <f ca="1">IF(ISNUMBER(MATCH(DATEVALUE($A284),'recurring1_based on steps'!G$1:G$400,0)),G$2,)</f>
        <v>0</v>
      </c>
      <c r="H284" s="179">
        <f ca="1">IF(ISNUMBER(MATCH(DATEVALUE($A284),'recurring1_based on steps'!H$1:H$400,0)),H$2,)</f>
        <v>0</v>
      </c>
      <c r="I284" s="179">
        <f ca="1">IF(ISNUMBER(MATCH(DATEVALUE($A284),'recurring1_based on steps'!I$1:I$400,0)),I$2,)</f>
        <v>0</v>
      </c>
      <c r="J284" s="179">
        <f ca="1">IF(ISNUMBER(MATCH(DATEVALUE($A284),'recurring1_based on steps'!J$1:J$400,0)),J$2,)</f>
        <v>0</v>
      </c>
      <c r="K284" s="179">
        <f ca="1">IF(ISNUMBER(MATCH(DATEVALUE($A284),'recurring1_based on steps'!K$1:K$400,0)),K$2,)</f>
        <v>0</v>
      </c>
      <c r="L284" s="179">
        <f ca="1">IF(ISNUMBER(MATCH(DATEVALUE($A284),'recurring1_based on steps'!L$1:L$400,0)),L$2,)</f>
        <v>0</v>
      </c>
      <c r="M284" s="179">
        <f ca="1">IF(ISNUMBER(MATCH(DATEVALUE($A284),'recurring1_based on steps'!M$1:M$400,0)),M$2,)</f>
        <v>0</v>
      </c>
      <c r="N284" s="179">
        <f ca="1">IF(ISNUMBER(MATCH(DATEVALUE($A284),'recurring1_based on steps'!N$1:N$400,0)),N$2,)</f>
        <v>0</v>
      </c>
      <c r="O284" s="179">
        <f ca="1">IF(ISNUMBER(MATCH(DATEVALUE($A284),'recurring1_based on steps'!O$1:O$400,0)),O$2,)</f>
        <v>0</v>
      </c>
      <c r="P284" s="179">
        <f ca="1">IF(ISNUMBER(MATCH(DATEVALUE($A284),'recurring1_based on steps'!P$1:P$400,0)),P$2,)</f>
        <v>0</v>
      </c>
      <c r="Q284" s="179">
        <f ca="1">IF(ISNUMBER(MATCH(DATEVALUE($A284),'recurring1_based on steps'!Q$1:Q$400,0)),Q$2,)</f>
        <v>0</v>
      </c>
      <c r="R284" s="179">
        <f ca="1">IF(ISNUMBER(MATCH(DATEVALUE($A284),'recurring1_based on steps'!R$1:R$400,0)),R$2,)</f>
        <v>0</v>
      </c>
      <c r="S284" s="179">
        <f ca="1">IF(ISNUMBER(MATCH(DATEVALUE($A284),'recurring1_based on steps'!S$1:S$400,0)),S$2,)</f>
        <v>0</v>
      </c>
      <c r="T284" s="179">
        <f ca="1">IF(ISNUMBER(MATCH(DATEVALUE($A284),'recurring1_based on steps'!T$1:T$400,0)),T$2,)</f>
        <v>0</v>
      </c>
      <c r="U284" s="179">
        <f ca="1">IF(ISNUMBER(MATCH(DATEVALUE($A284),'recurring1_based on steps'!U$1:U$400,0)),U$2,)</f>
        <v>0</v>
      </c>
      <c r="V284" s="179">
        <f ca="1">IF(ISNUMBER(MATCH(DATEVALUE($A284),'recurring1_based on steps'!V$1:V$400,0)),V$2,)</f>
        <v>0</v>
      </c>
      <c r="W284" s="179">
        <f ca="1">IF(ISNUMBER(MATCH(DATEVALUE($A284),'recurring1_based on steps'!W$1:W$400,0)),W$2,)</f>
        <v>0</v>
      </c>
      <c r="X284" s="179">
        <f ca="1">IF(ISNUMBER(MATCH(DATEVALUE($A284),'recurring1_based on steps'!X$1:X$400,0)),X$2,)</f>
        <v>0</v>
      </c>
      <c r="Y284" s="179">
        <f ca="1">IF(ISNUMBER(MATCH(DATEVALUE($A284),'recurring1_based on steps'!Y$1:Y$400,0)),Y$2,)</f>
        <v>0</v>
      </c>
      <c r="Z284" s="179">
        <f ca="1">IF(ISNUMBER(MATCH(DATEVALUE($A284),'recurring1_based on steps'!Z$1:Z$400,0)),Z$2,)</f>
        <v>0</v>
      </c>
      <c r="AA284" s="179">
        <f ca="1">IF(ISNUMBER(MATCH(DATEVALUE($A284),'recurring1_based on steps'!AA$1:AA$400,0)),AA$2,)</f>
        <v>0</v>
      </c>
      <c r="AB284" s="179">
        <f ca="1">IF(ISNUMBER(MATCH(DATEVALUE($A284),'recurring1_based on steps'!AB$1:AB$400,0)),AB$2,)</f>
        <v>0</v>
      </c>
      <c r="AC284" s="179">
        <f ca="1">IF(ISNUMBER(MATCH(DATEVALUE($A284),'recurring1_based on steps'!AC$1:AC$400,0)),AC$2,)</f>
        <v>0</v>
      </c>
      <c r="AD284" s="179">
        <f ca="1">IF(ISNUMBER(MATCH(DATEVALUE($A284),'recurring1_based on steps'!AD$1:AD$400,0)),AD$2,)</f>
        <v>0</v>
      </c>
      <c r="AE284" s="179">
        <f ca="1">IF(ISNUMBER(MATCH(DATEVALUE($A284),'recurring1_based on steps'!AE$1:AE$400,0)),AE$2,)</f>
        <v>0</v>
      </c>
      <c r="AF284" s="179">
        <f ca="1">IF(ISNUMBER(MATCH(DATEVALUE($A284),'recurring1_based on steps'!AF$1:AF$400,0)),AF$2,)</f>
        <v>0</v>
      </c>
      <c r="AG284" s="179">
        <f ca="1">IF(ISNUMBER(MATCH(DATEVALUE($A284),'recurring1_based on steps'!AG$1:AG$400,0)),AG$2,)</f>
        <v>0</v>
      </c>
      <c r="AH284" s="179">
        <f ca="1">IF(ISNUMBER(MATCH(DATEVALUE($A284),'recurring1_based on steps'!AH$1:AH$400,0)),AH$2,)</f>
        <v>0</v>
      </c>
      <c r="AI284" s="179">
        <f ca="1">IF(ISNUMBER(MATCH(DATEVALUE($A284),'recurring1_based on steps'!AI$1:AI$400,0)),AI$2,)</f>
        <v>0</v>
      </c>
      <c r="AJ284" s="179">
        <f ca="1">IF(ISNUMBER(MATCH(DATEVALUE($A284),'recurring1_based on steps'!AJ$1:AJ$400,0)),AJ$2,)</f>
        <v>0</v>
      </c>
      <c r="AK284" s="179">
        <f ca="1">IF(ISNUMBER(MATCH(DATEVALUE($A284),'recurring1_based on steps'!AK$1:AK$400,0)),AK$2,)</f>
        <v>0</v>
      </c>
      <c r="AL284" s="179">
        <f ca="1">IF(ISNUMBER(MATCH(DATEVALUE($A284),'recurring1_based on steps'!AL$1:AL$400,0)),AL$2,)</f>
        <v>0</v>
      </c>
      <c r="AM284" s="179">
        <f ca="1">IF(ISNUMBER(MATCH(DATEVALUE($A284),'recurring1_based on steps'!AM$1:AM$400,0)),AM$2,)</f>
        <v>0</v>
      </c>
      <c r="AN284" s="179">
        <f ca="1">IF(ISNUMBER(MATCH(DATEVALUE($A284),'recurring1_based on steps'!AN$1:AN$400,0)),AN$2,)</f>
        <v>0</v>
      </c>
      <c r="AO284" s="179">
        <f ca="1">IF(ISNUMBER(MATCH(DATEVALUE($A284),'recurring1_based on steps'!AO$1:AO$400,0)),AO$2,)</f>
        <v>0</v>
      </c>
      <c r="AP284" s="179">
        <f ca="1">IF(ISNUMBER(MATCH(DATEVALUE($A284),'recurring1_based on steps'!AP$1:AP$400,0)),AP$2,)</f>
        <v>0</v>
      </c>
      <c r="AQ284" s="179">
        <f ca="1">IF(ISNUMBER(MATCH(DATEVALUE($A284),'recurring1_based on steps'!AQ$1:AQ$400,0)),AQ$2,)</f>
        <v>0</v>
      </c>
      <c r="AR284" s="179">
        <f ca="1">IF(ISNUMBER(MATCH(DATEVALUE($A284),'recurring1_based on steps'!AR$1:AR$400,0)),AR$2,)</f>
        <v>0</v>
      </c>
      <c r="AS284" s="179">
        <f ca="1">IF(ISNUMBER(MATCH(DATEVALUE($A284),'recurring1_based on steps'!AS$1:AS$400,0)),AS$2,)</f>
        <v>0</v>
      </c>
      <c r="AT284" s="179">
        <f ca="1">IF(ISNUMBER(MATCH(DATEVALUE($A284),'recurring1_based on steps'!AT$1:AT$400,0)),AT$2,)</f>
        <v>0</v>
      </c>
      <c r="AU284" s="179">
        <f ca="1">IF(ISNUMBER(MATCH(DATEVALUE($A284),'recurring1_based on steps'!AU$1:AU$400,0)),AU$2,)</f>
        <v>0</v>
      </c>
      <c r="AV284" s="179">
        <f ca="1">IF(ISNUMBER(MATCH(DATEVALUE($A284),'recurring1_based on steps'!AV$1:AV$400,0)),AV$2,)</f>
        <v>0</v>
      </c>
      <c r="AW284" s="179">
        <f ca="1">IF(ISNUMBER(MATCH(DATEVALUE($A284),'recurring1_based on steps'!AW$1:AW$400,0)),AW$2,)</f>
        <v>0</v>
      </c>
      <c r="AX284" s="179">
        <f ca="1">IF(ISNUMBER(MATCH(DATEVALUE($A284),'recurring1_based on steps'!AX$1:AX$400,0)),AX$2,)</f>
        <v>0</v>
      </c>
      <c r="AY284" s="179">
        <f ca="1">IF(ISNUMBER(MATCH(DATEVALUE($A284),'recurring1_based on steps'!AY$1:AY$400,0)),AY$2,)</f>
        <v>0</v>
      </c>
    </row>
    <row r="285" spans="1:51" x14ac:dyDescent="0.2">
      <c r="A285" s="32" t="str">
        <f t="shared" ca="1" si="4"/>
        <v>2026-01-05</v>
      </c>
      <c r="B285" s="179">
        <f ca="1">IF(ISNUMBER(MATCH(DATEVALUE($A285),'recurring1_based on steps'!B$1:B$400,0)),B$2,)</f>
        <v>0</v>
      </c>
      <c r="C285" s="179">
        <f ca="1">IF(ISNUMBER(MATCH(DATEVALUE($A285),'recurring1_based on steps'!C$1:C$400,0)),C$2,)</f>
        <v>0</v>
      </c>
      <c r="D285" s="179">
        <f ca="1">IF(ISNUMBER(MATCH(DATEVALUE($A285),'recurring1_based on steps'!D$1:D$400,0)),D$2,)</f>
        <v>0</v>
      </c>
      <c r="E285" s="179">
        <f ca="1">IF(ISNUMBER(MATCH(DATEVALUE($A285),'recurring1_based on steps'!E$1:E$400,0)),E$2,)</f>
        <v>0</v>
      </c>
      <c r="F285" s="179">
        <f ca="1">IF(ISNUMBER(MATCH(DATEVALUE($A285),'recurring1_based on steps'!F$1:F$400,0)),F$2,)</f>
        <v>0</v>
      </c>
      <c r="G285" s="179">
        <f ca="1">IF(ISNUMBER(MATCH(DATEVALUE($A285),'recurring1_based on steps'!G$1:G$400,0)),G$2,)</f>
        <v>0</v>
      </c>
      <c r="H285" s="179">
        <f ca="1">IF(ISNUMBER(MATCH(DATEVALUE($A285),'recurring1_based on steps'!H$1:H$400,0)),H$2,)</f>
        <v>0</v>
      </c>
      <c r="I285" s="179">
        <f ca="1">IF(ISNUMBER(MATCH(DATEVALUE($A285),'recurring1_based on steps'!I$1:I$400,0)),I$2,)</f>
        <v>0</v>
      </c>
      <c r="J285" s="179">
        <f ca="1">IF(ISNUMBER(MATCH(DATEVALUE($A285),'recurring1_based on steps'!J$1:J$400,0)),J$2,)</f>
        <v>0</v>
      </c>
      <c r="K285" s="179">
        <f ca="1">IF(ISNUMBER(MATCH(DATEVALUE($A285),'recurring1_based on steps'!K$1:K$400,0)),K$2,)</f>
        <v>0</v>
      </c>
      <c r="L285" s="179">
        <f ca="1">IF(ISNUMBER(MATCH(DATEVALUE($A285),'recurring1_based on steps'!L$1:L$400,0)),L$2,)</f>
        <v>0</v>
      </c>
      <c r="M285" s="179">
        <f ca="1">IF(ISNUMBER(MATCH(DATEVALUE($A285),'recurring1_based on steps'!M$1:M$400,0)),M$2,)</f>
        <v>0</v>
      </c>
      <c r="N285" s="179">
        <f ca="1">IF(ISNUMBER(MATCH(DATEVALUE($A285),'recurring1_based on steps'!N$1:N$400,0)),N$2,)</f>
        <v>0</v>
      </c>
      <c r="O285" s="179">
        <f ca="1">IF(ISNUMBER(MATCH(DATEVALUE($A285),'recurring1_based on steps'!O$1:O$400,0)),O$2,)</f>
        <v>0</v>
      </c>
      <c r="P285" s="179">
        <f ca="1">IF(ISNUMBER(MATCH(DATEVALUE($A285),'recurring1_based on steps'!P$1:P$400,0)),P$2,)</f>
        <v>0</v>
      </c>
      <c r="Q285" s="179">
        <f ca="1">IF(ISNUMBER(MATCH(DATEVALUE($A285),'recurring1_based on steps'!Q$1:Q$400,0)),Q$2,)</f>
        <v>0</v>
      </c>
      <c r="R285" s="179">
        <f ca="1">IF(ISNUMBER(MATCH(DATEVALUE($A285),'recurring1_based on steps'!R$1:R$400,0)),R$2,)</f>
        <v>0</v>
      </c>
      <c r="S285" s="179">
        <f ca="1">IF(ISNUMBER(MATCH(DATEVALUE($A285),'recurring1_based on steps'!S$1:S$400,0)),S$2,)</f>
        <v>0</v>
      </c>
      <c r="T285" s="179">
        <f ca="1">IF(ISNUMBER(MATCH(DATEVALUE($A285),'recurring1_based on steps'!T$1:T$400,0)),T$2,)</f>
        <v>0</v>
      </c>
      <c r="U285" s="179">
        <f ca="1">IF(ISNUMBER(MATCH(DATEVALUE($A285),'recurring1_based on steps'!U$1:U$400,0)),U$2,)</f>
        <v>0</v>
      </c>
      <c r="V285" s="179">
        <f ca="1">IF(ISNUMBER(MATCH(DATEVALUE($A285),'recurring1_based on steps'!V$1:V$400,0)),V$2,)</f>
        <v>0</v>
      </c>
      <c r="W285" s="179">
        <f ca="1">IF(ISNUMBER(MATCH(DATEVALUE($A285),'recurring1_based on steps'!W$1:W$400,0)),W$2,)</f>
        <v>0</v>
      </c>
      <c r="X285" s="179">
        <f ca="1">IF(ISNUMBER(MATCH(DATEVALUE($A285),'recurring1_based on steps'!X$1:X$400,0)),X$2,)</f>
        <v>0</v>
      </c>
      <c r="Y285" s="179">
        <f ca="1">IF(ISNUMBER(MATCH(DATEVALUE($A285),'recurring1_based on steps'!Y$1:Y$400,0)),Y$2,)</f>
        <v>0</v>
      </c>
      <c r="Z285" s="179">
        <f ca="1">IF(ISNUMBER(MATCH(DATEVALUE($A285),'recurring1_based on steps'!Z$1:Z$400,0)),Z$2,)</f>
        <v>0</v>
      </c>
      <c r="AA285" s="179">
        <f ca="1">IF(ISNUMBER(MATCH(DATEVALUE($A285),'recurring1_based on steps'!AA$1:AA$400,0)),AA$2,)</f>
        <v>0</v>
      </c>
      <c r="AB285" s="179">
        <f ca="1">IF(ISNUMBER(MATCH(DATEVALUE($A285),'recurring1_based on steps'!AB$1:AB$400,0)),AB$2,)</f>
        <v>0</v>
      </c>
      <c r="AC285" s="179">
        <f ca="1">IF(ISNUMBER(MATCH(DATEVALUE($A285),'recurring1_based on steps'!AC$1:AC$400,0)),AC$2,)</f>
        <v>0</v>
      </c>
      <c r="AD285" s="179">
        <f ca="1">IF(ISNUMBER(MATCH(DATEVALUE($A285),'recurring1_based on steps'!AD$1:AD$400,0)),AD$2,)</f>
        <v>0</v>
      </c>
      <c r="AE285" s="179">
        <f ca="1">IF(ISNUMBER(MATCH(DATEVALUE($A285),'recurring1_based on steps'!AE$1:AE$400,0)),AE$2,)</f>
        <v>0</v>
      </c>
      <c r="AF285" s="179">
        <f ca="1">IF(ISNUMBER(MATCH(DATEVALUE($A285),'recurring1_based on steps'!AF$1:AF$400,0)),AF$2,)</f>
        <v>0</v>
      </c>
      <c r="AG285" s="179">
        <f ca="1">IF(ISNUMBER(MATCH(DATEVALUE($A285),'recurring1_based on steps'!AG$1:AG$400,0)),AG$2,)</f>
        <v>0</v>
      </c>
      <c r="AH285" s="179">
        <f ca="1">IF(ISNUMBER(MATCH(DATEVALUE($A285),'recurring1_based on steps'!AH$1:AH$400,0)),AH$2,)</f>
        <v>0</v>
      </c>
      <c r="AI285" s="179">
        <f ca="1">IF(ISNUMBER(MATCH(DATEVALUE($A285),'recurring1_based on steps'!AI$1:AI$400,0)),AI$2,)</f>
        <v>0</v>
      </c>
      <c r="AJ285" s="179">
        <f ca="1">IF(ISNUMBER(MATCH(DATEVALUE($A285),'recurring1_based on steps'!AJ$1:AJ$400,0)),AJ$2,)</f>
        <v>0</v>
      </c>
      <c r="AK285" s="179">
        <f ca="1">IF(ISNUMBER(MATCH(DATEVALUE($A285),'recurring1_based on steps'!AK$1:AK$400,0)),AK$2,)</f>
        <v>0</v>
      </c>
      <c r="AL285" s="179">
        <f ca="1">IF(ISNUMBER(MATCH(DATEVALUE($A285),'recurring1_based on steps'!AL$1:AL$400,0)),AL$2,)</f>
        <v>0</v>
      </c>
      <c r="AM285" s="179">
        <f ca="1">IF(ISNUMBER(MATCH(DATEVALUE($A285),'recurring1_based on steps'!AM$1:AM$400,0)),AM$2,)</f>
        <v>0</v>
      </c>
      <c r="AN285" s="179">
        <f ca="1">IF(ISNUMBER(MATCH(DATEVALUE($A285),'recurring1_based on steps'!AN$1:AN$400,0)),AN$2,)</f>
        <v>0</v>
      </c>
      <c r="AO285" s="179">
        <f ca="1">IF(ISNUMBER(MATCH(DATEVALUE($A285),'recurring1_based on steps'!AO$1:AO$400,0)),AO$2,)</f>
        <v>0</v>
      </c>
      <c r="AP285" s="179">
        <f ca="1">IF(ISNUMBER(MATCH(DATEVALUE($A285),'recurring1_based on steps'!AP$1:AP$400,0)),AP$2,)</f>
        <v>0</v>
      </c>
      <c r="AQ285" s="179">
        <f ca="1">IF(ISNUMBER(MATCH(DATEVALUE($A285),'recurring1_based on steps'!AQ$1:AQ$400,0)),AQ$2,)</f>
        <v>0</v>
      </c>
      <c r="AR285" s="179">
        <f ca="1">IF(ISNUMBER(MATCH(DATEVALUE($A285),'recurring1_based on steps'!AR$1:AR$400,0)),AR$2,)</f>
        <v>0</v>
      </c>
      <c r="AS285" s="179">
        <f ca="1">IF(ISNUMBER(MATCH(DATEVALUE($A285),'recurring1_based on steps'!AS$1:AS$400,0)),AS$2,)</f>
        <v>0</v>
      </c>
      <c r="AT285" s="179">
        <f ca="1">IF(ISNUMBER(MATCH(DATEVALUE($A285),'recurring1_based on steps'!AT$1:AT$400,0)),AT$2,)</f>
        <v>0</v>
      </c>
      <c r="AU285" s="179">
        <f ca="1">IF(ISNUMBER(MATCH(DATEVALUE($A285),'recurring1_based on steps'!AU$1:AU$400,0)),AU$2,)</f>
        <v>0</v>
      </c>
      <c r="AV285" s="179">
        <f ca="1">IF(ISNUMBER(MATCH(DATEVALUE($A285),'recurring1_based on steps'!AV$1:AV$400,0)),AV$2,)</f>
        <v>0</v>
      </c>
      <c r="AW285" s="179">
        <f ca="1">IF(ISNUMBER(MATCH(DATEVALUE($A285),'recurring1_based on steps'!AW$1:AW$400,0)),AW$2,)</f>
        <v>0</v>
      </c>
      <c r="AX285" s="179">
        <f ca="1">IF(ISNUMBER(MATCH(DATEVALUE($A285),'recurring1_based on steps'!AX$1:AX$400,0)),AX$2,)</f>
        <v>0</v>
      </c>
      <c r="AY285" s="179">
        <f ca="1">IF(ISNUMBER(MATCH(DATEVALUE($A285),'recurring1_based on steps'!AY$1:AY$400,0)),AY$2,)</f>
        <v>0</v>
      </c>
    </row>
    <row r="286" spans="1:51" x14ac:dyDescent="0.2">
      <c r="A286" s="32" t="str">
        <f t="shared" ca="1" si="4"/>
        <v>2026-01-06</v>
      </c>
      <c r="B286" s="179">
        <f ca="1">IF(ISNUMBER(MATCH(DATEVALUE($A286),'recurring1_based on steps'!B$1:B$400,0)),B$2,)</f>
        <v>0</v>
      </c>
      <c r="C286" s="179">
        <f ca="1">IF(ISNUMBER(MATCH(DATEVALUE($A286),'recurring1_based on steps'!C$1:C$400,0)),C$2,)</f>
        <v>0</v>
      </c>
      <c r="D286" s="179">
        <f ca="1">IF(ISNUMBER(MATCH(DATEVALUE($A286),'recurring1_based on steps'!D$1:D$400,0)),D$2,)</f>
        <v>0</v>
      </c>
      <c r="E286" s="179">
        <f ca="1">IF(ISNUMBER(MATCH(DATEVALUE($A286),'recurring1_based on steps'!E$1:E$400,0)),E$2,)</f>
        <v>0</v>
      </c>
      <c r="F286" s="179">
        <f ca="1">IF(ISNUMBER(MATCH(DATEVALUE($A286),'recurring1_based on steps'!F$1:F$400,0)),F$2,)</f>
        <v>0</v>
      </c>
      <c r="G286" s="179">
        <f ca="1">IF(ISNUMBER(MATCH(DATEVALUE($A286),'recurring1_based on steps'!G$1:G$400,0)),G$2,)</f>
        <v>0</v>
      </c>
      <c r="H286" s="179">
        <f ca="1">IF(ISNUMBER(MATCH(DATEVALUE($A286),'recurring1_based on steps'!H$1:H$400,0)),H$2,)</f>
        <v>0</v>
      </c>
      <c r="I286" s="179">
        <f ca="1">IF(ISNUMBER(MATCH(DATEVALUE($A286),'recurring1_based on steps'!I$1:I$400,0)),I$2,)</f>
        <v>0</v>
      </c>
      <c r="J286" s="179">
        <f ca="1">IF(ISNUMBER(MATCH(DATEVALUE($A286),'recurring1_based on steps'!J$1:J$400,0)),J$2,)</f>
        <v>0</v>
      </c>
      <c r="K286" s="179">
        <f ca="1">IF(ISNUMBER(MATCH(DATEVALUE($A286),'recurring1_based on steps'!K$1:K$400,0)),K$2,)</f>
        <v>0</v>
      </c>
      <c r="L286" s="179">
        <f ca="1">IF(ISNUMBER(MATCH(DATEVALUE($A286),'recurring1_based on steps'!L$1:L$400,0)),L$2,)</f>
        <v>0</v>
      </c>
      <c r="M286" s="179">
        <f ca="1">IF(ISNUMBER(MATCH(DATEVALUE($A286),'recurring1_based on steps'!M$1:M$400,0)),M$2,)</f>
        <v>0</v>
      </c>
      <c r="N286" s="179">
        <f ca="1">IF(ISNUMBER(MATCH(DATEVALUE($A286),'recurring1_based on steps'!N$1:N$400,0)),N$2,)</f>
        <v>0</v>
      </c>
      <c r="O286" s="179">
        <f ca="1">IF(ISNUMBER(MATCH(DATEVALUE($A286),'recurring1_based on steps'!O$1:O$400,0)),O$2,)</f>
        <v>0</v>
      </c>
      <c r="P286" s="179">
        <f ca="1">IF(ISNUMBER(MATCH(DATEVALUE($A286),'recurring1_based on steps'!P$1:P$400,0)),P$2,)</f>
        <v>0</v>
      </c>
      <c r="Q286" s="179">
        <f ca="1">IF(ISNUMBER(MATCH(DATEVALUE($A286),'recurring1_based on steps'!Q$1:Q$400,0)),Q$2,)</f>
        <v>0</v>
      </c>
      <c r="R286" s="179">
        <f ca="1">IF(ISNUMBER(MATCH(DATEVALUE($A286),'recurring1_based on steps'!R$1:R$400,0)),R$2,)</f>
        <v>0</v>
      </c>
      <c r="S286" s="179">
        <f ca="1">IF(ISNUMBER(MATCH(DATEVALUE($A286),'recurring1_based on steps'!S$1:S$400,0)),S$2,)</f>
        <v>0</v>
      </c>
      <c r="T286" s="179">
        <f ca="1">IF(ISNUMBER(MATCH(DATEVALUE($A286),'recurring1_based on steps'!T$1:T$400,0)),T$2,)</f>
        <v>0</v>
      </c>
      <c r="U286" s="179">
        <f ca="1">IF(ISNUMBER(MATCH(DATEVALUE($A286),'recurring1_based on steps'!U$1:U$400,0)),U$2,)</f>
        <v>0</v>
      </c>
      <c r="V286" s="179">
        <f ca="1">IF(ISNUMBER(MATCH(DATEVALUE($A286),'recurring1_based on steps'!V$1:V$400,0)),V$2,)</f>
        <v>0</v>
      </c>
      <c r="W286" s="179">
        <f ca="1">IF(ISNUMBER(MATCH(DATEVALUE($A286),'recurring1_based on steps'!W$1:W$400,0)),W$2,)</f>
        <v>0</v>
      </c>
      <c r="X286" s="179">
        <f ca="1">IF(ISNUMBER(MATCH(DATEVALUE($A286),'recurring1_based on steps'!X$1:X$400,0)),X$2,)</f>
        <v>0</v>
      </c>
      <c r="Y286" s="179">
        <f ca="1">IF(ISNUMBER(MATCH(DATEVALUE($A286),'recurring1_based on steps'!Y$1:Y$400,0)),Y$2,)</f>
        <v>0</v>
      </c>
      <c r="Z286" s="179">
        <f ca="1">IF(ISNUMBER(MATCH(DATEVALUE($A286),'recurring1_based on steps'!Z$1:Z$400,0)),Z$2,)</f>
        <v>0</v>
      </c>
      <c r="AA286" s="179">
        <f ca="1">IF(ISNUMBER(MATCH(DATEVALUE($A286),'recurring1_based on steps'!AA$1:AA$400,0)),AA$2,)</f>
        <v>0</v>
      </c>
      <c r="AB286" s="179">
        <f ca="1">IF(ISNUMBER(MATCH(DATEVALUE($A286),'recurring1_based on steps'!AB$1:AB$400,0)),AB$2,)</f>
        <v>0</v>
      </c>
      <c r="AC286" s="179">
        <f ca="1">IF(ISNUMBER(MATCH(DATEVALUE($A286),'recurring1_based on steps'!AC$1:AC$400,0)),AC$2,)</f>
        <v>0</v>
      </c>
      <c r="AD286" s="179">
        <f ca="1">IF(ISNUMBER(MATCH(DATEVALUE($A286),'recurring1_based on steps'!AD$1:AD$400,0)),AD$2,)</f>
        <v>0</v>
      </c>
      <c r="AE286" s="179">
        <f ca="1">IF(ISNUMBER(MATCH(DATEVALUE($A286),'recurring1_based on steps'!AE$1:AE$400,0)),AE$2,)</f>
        <v>0</v>
      </c>
      <c r="AF286" s="179">
        <f ca="1">IF(ISNUMBER(MATCH(DATEVALUE($A286),'recurring1_based on steps'!AF$1:AF$400,0)),AF$2,)</f>
        <v>0</v>
      </c>
      <c r="AG286" s="179">
        <f ca="1">IF(ISNUMBER(MATCH(DATEVALUE($A286),'recurring1_based on steps'!AG$1:AG$400,0)),AG$2,)</f>
        <v>0</v>
      </c>
      <c r="AH286" s="179">
        <f ca="1">IF(ISNUMBER(MATCH(DATEVALUE($A286),'recurring1_based on steps'!AH$1:AH$400,0)),AH$2,)</f>
        <v>0</v>
      </c>
      <c r="AI286" s="179">
        <f ca="1">IF(ISNUMBER(MATCH(DATEVALUE($A286),'recurring1_based on steps'!AI$1:AI$400,0)),AI$2,)</f>
        <v>0</v>
      </c>
      <c r="AJ286" s="179">
        <f ca="1">IF(ISNUMBER(MATCH(DATEVALUE($A286),'recurring1_based on steps'!AJ$1:AJ$400,0)),AJ$2,)</f>
        <v>0</v>
      </c>
      <c r="AK286" s="179">
        <f ca="1">IF(ISNUMBER(MATCH(DATEVALUE($A286),'recurring1_based on steps'!AK$1:AK$400,0)),AK$2,)</f>
        <v>0</v>
      </c>
      <c r="AL286" s="179">
        <f ca="1">IF(ISNUMBER(MATCH(DATEVALUE($A286),'recurring1_based on steps'!AL$1:AL$400,0)),AL$2,)</f>
        <v>0</v>
      </c>
      <c r="AM286" s="179">
        <f ca="1">IF(ISNUMBER(MATCH(DATEVALUE($A286),'recurring1_based on steps'!AM$1:AM$400,0)),AM$2,)</f>
        <v>0</v>
      </c>
      <c r="AN286" s="179">
        <f ca="1">IF(ISNUMBER(MATCH(DATEVALUE($A286),'recurring1_based on steps'!AN$1:AN$400,0)),AN$2,)</f>
        <v>0</v>
      </c>
      <c r="AO286" s="179">
        <f ca="1">IF(ISNUMBER(MATCH(DATEVALUE($A286),'recurring1_based on steps'!AO$1:AO$400,0)),AO$2,)</f>
        <v>0</v>
      </c>
      <c r="AP286" s="179">
        <f ca="1">IF(ISNUMBER(MATCH(DATEVALUE($A286),'recurring1_based on steps'!AP$1:AP$400,0)),AP$2,)</f>
        <v>0</v>
      </c>
      <c r="AQ286" s="179">
        <f ca="1">IF(ISNUMBER(MATCH(DATEVALUE($A286),'recurring1_based on steps'!AQ$1:AQ$400,0)),AQ$2,)</f>
        <v>0</v>
      </c>
      <c r="AR286" s="179">
        <f ca="1">IF(ISNUMBER(MATCH(DATEVALUE($A286),'recurring1_based on steps'!AR$1:AR$400,0)),AR$2,)</f>
        <v>0</v>
      </c>
      <c r="AS286" s="179">
        <f ca="1">IF(ISNUMBER(MATCH(DATEVALUE($A286),'recurring1_based on steps'!AS$1:AS$400,0)),AS$2,)</f>
        <v>0</v>
      </c>
      <c r="AT286" s="179">
        <f ca="1">IF(ISNUMBER(MATCH(DATEVALUE($A286),'recurring1_based on steps'!AT$1:AT$400,0)),AT$2,)</f>
        <v>0</v>
      </c>
      <c r="AU286" s="179">
        <f ca="1">IF(ISNUMBER(MATCH(DATEVALUE($A286),'recurring1_based on steps'!AU$1:AU$400,0)),AU$2,)</f>
        <v>0</v>
      </c>
      <c r="AV286" s="179">
        <f ca="1">IF(ISNUMBER(MATCH(DATEVALUE($A286),'recurring1_based on steps'!AV$1:AV$400,0)),AV$2,)</f>
        <v>0</v>
      </c>
      <c r="AW286" s="179">
        <f ca="1">IF(ISNUMBER(MATCH(DATEVALUE($A286),'recurring1_based on steps'!AW$1:AW$400,0)),AW$2,)</f>
        <v>0</v>
      </c>
      <c r="AX286" s="179">
        <f ca="1">IF(ISNUMBER(MATCH(DATEVALUE($A286),'recurring1_based on steps'!AX$1:AX$400,0)),AX$2,)</f>
        <v>0</v>
      </c>
      <c r="AY286" s="179">
        <f ca="1">IF(ISNUMBER(MATCH(DATEVALUE($A286),'recurring1_based on steps'!AY$1:AY$400,0)),AY$2,)</f>
        <v>0</v>
      </c>
    </row>
    <row r="287" spans="1:51" x14ac:dyDescent="0.2">
      <c r="A287" s="32" t="str">
        <f t="shared" ca="1" si="4"/>
        <v>2026-01-07</v>
      </c>
      <c r="B287" s="179">
        <f ca="1">IF(ISNUMBER(MATCH(DATEVALUE($A287),'recurring1_based on steps'!B$1:B$400,0)),B$2,)</f>
        <v>0</v>
      </c>
      <c r="C287" s="179">
        <f ca="1">IF(ISNUMBER(MATCH(DATEVALUE($A287),'recurring1_based on steps'!C$1:C$400,0)),C$2,)</f>
        <v>0</v>
      </c>
      <c r="D287" s="179">
        <f ca="1">IF(ISNUMBER(MATCH(DATEVALUE($A287),'recurring1_based on steps'!D$1:D$400,0)),D$2,)</f>
        <v>0</v>
      </c>
      <c r="E287" s="179">
        <f ca="1">IF(ISNUMBER(MATCH(DATEVALUE($A287),'recurring1_based on steps'!E$1:E$400,0)),E$2,)</f>
        <v>0</v>
      </c>
      <c r="F287" s="179">
        <f ca="1">IF(ISNUMBER(MATCH(DATEVALUE($A287),'recurring1_based on steps'!F$1:F$400,0)),F$2,)</f>
        <v>0</v>
      </c>
      <c r="G287" s="179">
        <f ca="1">IF(ISNUMBER(MATCH(DATEVALUE($A287),'recurring1_based on steps'!G$1:G$400,0)),G$2,)</f>
        <v>0</v>
      </c>
      <c r="H287" s="179">
        <f ca="1">IF(ISNUMBER(MATCH(DATEVALUE($A287),'recurring1_based on steps'!H$1:H$400,0)),H$2,)</f>
        <v>0</v>
      </c>
      <c r="I287" s="179">
        <f ca="1">IF(ISNUMBER(MATCH(DATEVALUE($A287),'recurring1_based on steps'!I$1:I$400,0)),I$2,)</f>
        <v>0</v>
      </c>
      <c r="J287" s="179">
        <f ca="1">IF(ISNUMBER(MATCH(DATEVALUE($A287),'recurring1_based on steps'!J$1:J$400,0)),J$2,)</f>
        <v>0</v>
      </c>
      <c r="K287" s="179">
        <f ca="1">IF(ISNUMBER(MATCH(DATEVALUE($A287),'recurring1_based on steps'!K$1:K$400,0)),K$2,)</f>
        <v>0</v>
      </c>
      <c r="L287" s="179">
        <f ca="1">IF(ISNUMBER(MATCH(DATEVALUE($A287),'recurring1_based on steps'!L$1:L$400,0)),L$2,)</f>
        <v>0</v>
      </c>
      <c r="M287" s="179">
        <f ca="1">IF(ISNUMBER(MATCH(DATEVALUE($A287),'recurring1_based on steps'!M$1:M$400,0)),M$2,)</f>
        <v>0</v>
      </c>
      <c r="N287" s="179">
        <f ca="1">IF(ISNUMBER(MATCH(DATEVALUE($A287),'recurring1_based on steps'!N$1:N$400,0)),N$2,)</f>
        <v>0</v>
      </c>
      <c r="O287" s="179">
        <f ca="1">IF(ISNUMBER(MATCH(DATEVALUE($A287),'recurring1_based on steps'!O$1:O$400,0)),O$2,)</f>
        <v>0</v>
      </c>
      <c r="P287" s="179">
        <f ca="1">IF(ISNUMBER(MATCH(DATEVALUE($A287),'recurring1_based on steps'!P$1:P$400,0)),P$2,)</f>
        <v>0</v>
      </c>
      <c r="Q287" s="179">
        <f ca="1">IF(ISNUMBER(MATCH(DATEVALUE($A287),'recurring1_based on steps'!Q$1:Q$400,0)),Q$2,)</f>
        <v>0</v>
      </c>
      <c r="R287" s="179">
        <f ca="1">IF(ISNUMBER(MATCH(DATEVALUE($A287),'recurring1_based on steps'!R$1:R$400,0)),R$2,)</f>
        <v>0</v>
      </c>
      <c r="S287" s="179">
        <f ca="1">IF(ISNUMBER(MATCH(DATEVALUE($A287),'recurring1_based on steps'!S$1:S$400,0)),S$2,)</f>
        <v>0</v>
      </c>
      <c r="T287" s="179">
        <f ca="1">IF(ISNUMBER(MATCH(DATEVALUE($A287),'recurring1_based on steps'!T$1:T$400,0)),T$2,)</f>
        <v>0</v>
      </c>
      <c r="U287" s="179">
        <f ca="1">IF(ISNUMBER(MATCH(DATEVALUE($A287),'recurring1_based on steps'!U$1:U$400,0)),U$2,)</f>
        <v>0</v>
      </c>
      <c r="V287" s="179">
        <f ca="1">IF(ISNUMBER(MATCH(DATEVALUE($A287),'recurring1_based on steps'!V$1:V$400,0)),V$2,)</f>
        <v>0</v>
      </c>
      <c r="W287" s="179">
        <f ca="1">IF(ISNUMBER(MATCH(DATEVALUE($A287),'recurring1_based on steps'!W$1:W$400,0)),W$2,)</f>
        <v>0</v>
      </c>
      <c r="X287" s="179">
        <f ca="1">IF(ISNUMBER(MATCH(DATEVALUE($A287),'recurring1_based on steps'!X$1:X$400,0)),X$2,)</f>
        <v>0</v>
      </c>
      <c r="Y287" s="179">
        <f ca="1">IF(ISNUMBER(MATCH(DATEVALUE($A287),'recurring1_based on steps'!Y$1:Y$400,0)),Y$2,)</f>
        <v>0</v>
      </c>
      <c r="Z287" s="179">
        <f ca="1">IF(ISNUMBER(MATCH(DATEVALUE($A287),'recurring1_based on steps'!Z$1:Z$400,0)),Z$2,)</f>
        <v>0</v>
      </c>
      <c r="AA287" s="179">
        <f ca="1">IF(ISNUMBER(MATCH(DATEVALUE($A287),'recurring1_based on steps'!AA$1:AA$400,0)),AA$2,)</f>
        <v>0</v>
      </c>
      <c r="AB287" s="179">
        <f ca="1">IF(ISNUMBER(MATCH(DATEVALUE($A287),'recurring1_based on steps'!AB$1:AB$400,0)),AB$2,)</f>
        <v>0</v>
      </c>
      <c r="AC287" s="179">
        <f ca="1">IF(ISNUMBER(MATCH(DATEVALUE($A287),'recurring1_based on steps'!AC$1:AC$400,0)),AC$2,)</f>
        <v>0</v>
      </c>
      <c r="AD287" s="179">
        <f ca="1">IF(ISNUMBER(MATCH(DATEVALUE($A287),'recurring1_based on steps'!AD$1:AD$400,0)),AD$2,)</f>
        <v>0</v>
      </c>
      <c r="AE287" s="179">
        <f ca="1">IF(ISNUMBER(MATCH(DATEVALUE($A287),'recurring1_based on steps'!AE$1:AE$400,0)),AE$2,)</f>
        <v>0</v>
      </c>
      <c r="AF287" s="179">
        <f ca="1">IF(ISNUMBER(MATCH(DATEVALUE($A287),'recurring1_based on steps'!AF$1:AF$400,0)),AF$2,)</f>
        <v>0</v>
      </c>
      <c r="AG287" s="179">
        <f ca="1">IF(ISNUMBER(MATCH(DATEVALUE($A287),'recurring1_based on steps'!AG$1:AG$400,0)),AG$2,)</f>
        <v>0</v>
      </c>
      <c r="AH287" s="179">
        <f ca="1">IF(ISNUMBER(MATCH(DATEVALUE($A287),'recurring1_based on steps'!AH$1:AH$400,0)),AH$2,)</f>
        <v>0</v>
      </c>
      <c r="AI287" s="179">
        <f ca="1">IF(ISNUMBER(MATCH(DATEVALUE($A287),'recurring1_based on steps'!AI$1:AI$400,0)),AI$2,)</f>
        <v>0</v>
      </c>
      <c r="AJ287" s="179">
        <f ca="1">IF(ISNUMBER(MATCH(DATEVALUE($A287),'recurring1_based on steps'!AJ$1:AJ$400,0)),AJ$2,)</f>
        <v>0</v>
      </c>
      <c r="AK287" s="179">
        <f ca="1">IF(ISNUMBER(MATCH(DATEVALUE($A287),'recurring1_based on steps'!AK$1:AK$400,0)),AK$2,)</f>
        <v>0</v>
      </c>
      <c r="AL287" s="179">
        <f ca="1">IF(ISNUMBER(MATCH(DATEVALUE($A287),'recurring1_based on steps'!AL$1:AL$400,0)),AL$2,)</f>
        <v>0</v>
      </c>
      <c r="AM287" s="179">
        <f ca="1">IF(ISNUMBER(MATCH(DATEVALUE($A287),'recurring1_based on steps'!AM$1:AM$400,0)),AM$2,)</f>
        <v>0</v>
      </c>
      <c r="AN287" s="179">
        <f ca="1">IF(ISNUMBER(MATCH(DATEVALUE($A287),'recurring1_based on steps'!AN$1:AN$400,0)),AN$2,)</f>
        <v>0</v>
      </c>
      <c r="AO287" s="179">
        <f ca="1">IF(ISNUMBER(MATCH(DATEVALUE($A287),'recurring1_based on steps'!AO$1:AO$400,0)),AO$2,)</f>
        <v>0</v>
      </c>
      <c r="AP287" s="179">
        <f ca="1">IF(ISNUMBER(MATCH(DATEVALUE($A287),'recurring1_based on steps'!AP$1:AP$400,0)),AP$2,)</f>
        <v>0</v>
      </c>
      <c r="AQ287" s="179">
        <f ca="1">IF(ISNUMBER(MATCH(DATEVALUE($A287),'recurring1_based on steps'!AQ$1:AQ$400,0)),AQ$2,)</f>
        <v>0</v>
      </c>
      <c r="AR287" s="179">
        <f ca="1">IF(ISNUMBER(MATCH(DATEVALUE($A287),'recurring1_based on steps'!AR$1:AR$400,0)),AR$2,)</f>
        <v>0</v>
      </c>
      <c r="AS287" s="179">
        <f ca="1">IF(ISNUMBER(MATCH(DATEVALUE($A287),'recurring1_based on steps'!AS$1:AS$400,0)),AS$2,)</f>
        <v>0</v>
      </c>
      <c r="AT287" s="179">
        <f ca="1">IF(ISNUMBER(MATCH(DATEVALUE($A287),'recurring1_based on steps'!AT$1:AT$400,0)),AT$2,)</f>
        <v>0</v>
      </c>
      <c r="AU287" s="179">
        <f ca="1">IF(ISNUMBER(MATCH(DATEVALUE($A287),'recurring1_based on steps'!AU$1:AU$400,0)),AU$2,)</f>
        <v>0</v>
      </c>
      <c r="AV287" s="179">
        <f ca="1">IF(ISNUMBER(MATCH(DATEVALUE($A287),'recurring1_based on steps'!AV$1:AV$400,0)),AV$2,)</f>
        <v>0</v>
      </c>
      <c r="AW287" s="179">
        <f ca="1">IF(ISNUMBER(MATCH(DATEVALUE($A287),'recurring1_based on steps'!AW$1:AW$400,0)),AW$2,)</f>
        <v>0</v>
      </c>
      <c r="AX287" s="179">
        <f ca="1">IF(ISNUMBER(MATCH(DATEVALUE($A287),'recurring1_based on steps'!AX$1:AX$400,0)),AX$2,)</f>
        <v>0</v>
      </c>
      <c r="AY287" s="179">
        <f ca="1">IF(ISNUMBER(MATCH(DATEVALUE($A287),'recurring1_based on steps'!AY$1:AY$400,0)),AY$2,)</f>
        <v>0</v>
      </c>
    </row>
    <row r="288" spans="1:51" x14ac:dyDescent="0.2">
      <c r="A288" s="32" t="str">
        <f t="shared" ca="1" si="4"/>
        <v>2026-01-08</v>
      </c>
      <c r="B288" s="179">
        <f ca="1">IF(ISNUMBER(MATCH(DATEVALUE($A288),'recurring1_based on steps'!B$1:B$400,0)),B$2,)</f>
        <v>0</v>
      </c>
      <c r="C288" s="179">
        <f ca="1">IF(ISNUMBER(MATCH(DATEVALUE($A288),'recurring1_based on steps'!C$1:C$400,0)),C$2,)</f>
        <v>0</v>
      </c>
      <c r="D288" s="179">
        <f ca="1">IF(ISNUMBER(MATCH(DATEVALUE($A288),'recurring1_based on steps'!D$1:D$400,0)),D$2,)</f>
        <v>0</v>
      </c>
      <c r="E288" s="179">
        <f ca="1">IF(ISNUMBER(MATCH(DATEVALUE($A288),'recurring1_based on steps'!E$1:E$400,0)),E$2,)</f>
        <v>0</v>
      </c>
      <c r="F288" s="179">
        <f ca="1">IF(ISNUMBER(MATCH(DATEVALUE($A288),'recurring1_based on steps'!F$1:F$400,0)),F$2,)</f>
        <v>0</v>
      </c>
      <c r="G288" s="179">
        <f ca="1">IF(ISNUMBER(MATCH(DATEVALUE($A288),'recurring1_based on steps'!G$1:G$400,0)),G$2,)</f>
        <v>0</v>
      </c>
      <c r="H288" s="179">
        <f ca="1">IF(ISNUMBER(MATCH(DATEVALUE($A288),'recurring1_based on steps'!H$1:H$400,0)),H$2,)</f>
        <v>0</v>
      </c>
      <c r="I288" s="179">
        <f ca="1">IF(ISNUMBER(MATCH(DATEVALUE($A288),'recurring1_based on steps'!I$1:I$400,0)),I$2,)</f>
        <v>0</v>
      </c>
      <c r="J288" s="179">
        <f ca="1">IF(ISNUMBER(MATCH(DATEVALUE($A288),'recurring1_based on steps'!J$1:J$400,0)),J$2,)</f>
        <v>0</v>
      </c>
      <c r="K288" s="179">
        <f ca="1">IF(ISNUMBER(MATCH(DATEVALUE($A288),'recurring1_based on steps'!K$1:K$400,0)),K$2,)</f>
        <v>0</v>
      </c>
      <c r="L288" s="179">
        <f ca="1">IF(ISNUMBER(MATCH(DATEVALUE($A288),'recurring1_based on steps'!L$1:L$400,0)),L$2,)</f>
        <v>0</v>
      </c>
      <c r="M288" s="179">
        <f ca="1">IF(ISNUMBER(MATCH(DATEVALUE($A288),'recurring1_based on steps'!M$1:M$400,0)),M$2,)</f>
        <v>0</v>
      </c>
      <c r="N288" s="179">
        <f ca="1">IF(ISNUMBER(MATCH(DATEVALUE($A288),'recurring1_based on steps'!N$1:N$400,0)),N$2,)</f>
        <v>0</v>
      </c>
      <c r="O288" s="179">
        <f ca="1">IF(ISNUMBER(MATCH(DATEVALUE($A288),'recurring1_based on steps'!O$1:O$400,0)),O$2,)</f>
        <v>0</v>
      </c>
      <c r="P288" s="179">
        <f ca="1">IF(ISNUMBER(MATCH(DATEVALUE($A288),'recurring1_based on steps'!P$1:P$400,0)),P$2,)</f>
        <v>0</v>
      </c>
      <c r="Q288" s="179">
        <f ca="1">IF(ISNUMBER(MATCH(DATEVALUE($A288),'recurring1_based on steps'!Q$1:Q$400,0)),Q$2,)</f>
        <v>0</v>
      </c>
      <c r="R288" s="179">
        <f ca="1">IF(ISNUMBER(MATCH(DATEVALUE($A288),'recurring1_based on steps'!R$1:R$400,0)),R$2,)</f>
        <v>0</v>
      </c>
      <c r="S288" s="179">
        <f ca="1">IF(ISNUMBER(MATCH(DATEVALUE($A288),'recurring1_based on steps'!S$1:S$400,0)),S$2,)</f>
        <v>0</v>
      </c>
      <c r="T288" s="179">
        <f ca="1">IF(ISNUMBER(MATCH(DATEVALUE($A288),'recurring1_based on steps'!T$1:T$400,0)),T$2,)</f>
        <v>0</v>
      </c>
      <c r="U288" s="179">
        <f ca="1">IF(ISNUMBER(MATCH(DATEVALUE($A288),'recurring1_based on steps'!U$1:U$400,0)),U$2,)</f>
        <v>0</v>
      </c>
      <c r="V288" s="179">
        <f ca="1">IF(ISNUMBER(MATCH(DATEVALUE($A288),'recurring1_based on steps'!V$1:V$400,0)),V$2,)</f>
        <v>0</v>
      </c>
      <c r="W288" s="179">
        <f ca="1">IF(ISNUMBER(MATCH(DATEVALUE($A288),'recurring1_based on steps'!W$1:W$400,0)),W$2,)</f>
        <v>0</v>
      </c>
      <c r="X288" s="179">
        <f ca="1">IF(ISNUMBER(MATCH(DATEVALUE($A288),'recurring1_based on steps'!X$1:X$400,0)),X$2,)</f>
        <v>0</v>
      </c>
      <c r="Y288" s="179">
        <f ca="1">IF(ISNUMBER(MATCH(DATEVALUE($A288),'recurring1_based on steps'!Y$1:Y$400,0)),Y$2,)</f>
        <v>0</v>
      </c>
      <c r="Z288" s="179">
        <f ca="1">IF(ISNUMBER(MATCH(DATEVALUE($A288),'recurring1_based on steps'!Z$1:Z$400,0)),Z$2,)</f>
        <v>0</v>
      </c>
      <c r="AA288" s="179">
        <f ca="1">IF(ISNUMBER(MATCH(DATEVALUE($A288),'recurring1_based on steps'!AA$1:AA$400,0)),AA$2,)</f>
        <v>0</v>
      </c>
      <c r="AB288" s="179">
        <f ca="1">IF(ISNUMBER(MATCH(DATEVALUE($A288),'recurring1_based on steps'!AB$1:AB$400,0)),AB$2,)</f>
        <v>0</v>
      </c>
      <c r="AC288" s="179">
        <f ca="1">IF(ISNUMBER(MATCH(DATEVALUE($A288),'recurring1_based on steps'!AC$1:AC$400,0)),AC$2,)</f>
        <v>0</v>
      </c>
      <c r="AD288" s="179">
        <f ca="1">IF(ISNUMBER(MATCH(DATEVALUE($A288),'recurring1_based on steps'!AD$1:AD$400,0)),AD$2,)</f>
        <v>0</v>
      </c>
      <c r="AE288" s="179">
        <f ca="1">IF(ISNUMBER(MATCH(DATEVALUE($A288),'recurring1_based on steps'!AE$1:AE$400,0)),AE$2,)</f>
        <v>0</v>
      </c>
      <c r="AF288" s="179">
        <f ca="1">IF(ISNUMBER(MATCH(DATEVALUE($A288),'recurring1_based on steps'!AF$1:AF$400,0)),AF$2,)</f>
        <v>0</v>
      </c>
      <c r="AG288" s="179">
        <f ca="1">IF(ISNUMBER(MATCH(DATEVALUE($A288),'recurring1_based on steps'!AG$1:AG$400,0)),AG$2,)</f>
        <v>0</v>
      </c>
      <c r="AH288" s="179">
        <f ca="1">IF(ISNUMBER(MATCH(DATEVALUE($A288),'recurring1_based on steps'!AH$1:AH$400,0)),AH$2,)</f>
        <v>0</v>
      </c>
      <c r="AI288" s="179">
        <f ca="1">IF(ISNUMBER(MATCH(DATEVALUE($A288),'recurring1_based on steps'!AI$1:AI$400,0)),AI$2,)</f>
        <v>0</v>
      </c>
      <c r="AJ288" s="179">
        <f ca="1">IF(ISNUMBER(MATCH(DATEVALUE($A288),'recurring1_based on steps'!AJ$1:AJ$400,0)),AJ$2,)</f>
        <v>0</v>
      </c>
      <c r="AK288" s="179">
        <f ca="1">IF(ISNUMBER(MATCH(DATEVALUE($A288),'recurring1_based on steps'!AK$1:AK$400,0)),AK$2,)</f>
        <v>0</v>
      </c>
      <c r="AL288" s="179">
        <f ca="1">IF(ISNUMBER(MATCH(DATEVALUE($A288),'recurring1_based on steps'!AL$1:AL$400,0)),AL$2,)</f>
        <v>0</v>
      </c>
      <c r="AM288" s="179">
        <f ca="1">IF(ISNUMBER(MATCH(DATEVALUE($A288),'recurring1_based on steps'!AM$1:AM$400,0)),AM$2,)</f>
        <v>0</v>
      </c>
      <c r="AN288" s="179">
        <f ca="1">IF(ISNUMBER(MATCH(DATEVALUE($A288),'recurring1_based on steps'!AN$1:AN$400,0)),AN$2,)</f>
        <v>0</v>
      </c>
      <c r="AO288" s="179">
        <f ca="1">IF(ISNUMBER(MATCH(DATEVALUE($A288),'recurring1_based on steps'!AO$1:AO$400,0)),AO$2,)</f>
        <v>0</v>
      </c>
      <c r="AP288" s="179">
        <f ca="1">IF(ISNUMBER(MATCH(DATEVALUE($A288),'recurring1_based on steps'!AP$1:AP$400,0)),AP$2,)</f>
        <v>0</v>
      </c>
      <c r="AQ288" s="179">
        <f ca="1">IF(ISNUMBER(MATCH(DATEVALUE($A288),'recurring1_based on steps'!AQ$1:AQ$400,0)),AQ$2,)</f>
        <v>0</v>
      </c>
      <c r="AR288" s="179">
        <f ca="1">IF(ISNUMBER(MATCH(DATEVALUE($A288),'recurring1_based on steps'!AR$1:AR$400,0)),AR$2,)</f>
        <v>0</v>
      </c>
      <c r="AS288" s="179">
        <f ca="1">IF(ISNUMBER(MATCH(DATEVALUE($A288),'recurring1_based on steps'!AS$1:AS$400,0)),AS$2,)</f>
        <v>0</v>
      </c>
      <c r="AT288" s="179">
        <f ca="1">IF(ISNUMBER(MATCH(DATEVALUE($A288),'recurring1_based on steps'!AT$1:AT$400,0)),AT$2,)</f>
        <v>0</v>
      </c>
      <c r="AU288" s="179">
        <f ca="1">IF(ISNUMBER(MATCH(DATEVALUE($A288),'recurring1_based on steps'!AU$1:AU$400,0)),AU$2,)</f>
        <v>0</v>
      </c>
      <c r="AV288" s="179">
        <f ca="1">IF(ISNUMBER(MATCH(DATEVALUE($A288),'recurring1_based on steps'!AV$1:AV$400,0)),AV$2,)</f>
        <v>0</v>
      </c>
      <c r="AW288" s="179">
        <f ca="1">IF(ISNUMBER(MATCH(DATEVALUE($A288),'recurring1_based on steps'!AW$1:AW$400,0)),AW$2,)</f>
        <v>0</v>
      </c>
      <c r="AX288" s="179">
        <f ca="1">IF(ISNUMBER(MATCH(DATEVALUE($A288),'recurring1_based on steps'!AX$1:AX$400,0)),AX$2,)</f>
        <v>0</v>
      </c>
      <c r="AY288" s="179">
        <f ca="1">IF(ISNUMBER(MATCH(DATEVALUE($A288),'recurring1_based on steps'!AY$1:AY$400,0)),AY$2,)</f>
        <v>0</v>
      </c>
    </row>
    <row r="289" spans="1:51" x14ac:dyDescent="0.2">
      <c r="A289" s="32" t="str">
        <f t="shared" ca="1" si="4"/>
        <v>2026-01-09</v>
      </c>
      <c r="B289" s="179">
        <f ca="1">IF(ISNUMBER(MATCH(DATEVALUE($A289),'recurring1_based on steps'!B$1:B$400,0)),B$2,)</f>
        <v>0</v>
      </c>
      <c r="C289" s="179">
        <f ca="1">IF(ISNUMBER(MATCH(DATEVALUE($A289),'recurring1_based on steps'!C$1:C$400,0)),C$2,)</f>
        <v>0</v>
      </c>
      <c r="D289" s="179">
        <f ca="1">IF(ISNUMBER(MATCH(DATEVALUE($A289),'recurring1_based on steps'!D$1:D$400,0)),D$2,)</f>
        <v>0</v>
      </c>
      <c r="E289" s="179">
        <f ca="1">IF(ISNUMBER(MATCH(DATEVALUE($A289),'recurring1_based on steps'!E$1:E$400,0)),E$2,)</f>
        <v>0</v>
      </c>
      <c r="F289" s="179">
        <f ca="1">IF(ISNUMBER(MATCH(DATEVALUE($A289),'recurring1_based on steps'!F$1:F$400,0)),F$2,)</f>
        <v>0</v>
      </c>
      <c r="G289" s="179">
        <f ca="1">IF(ISNUMBER(MATCH(DATEVALUE($A289),'recurring1_based on steps'!G$1:G$400,0)),G$2,)</f>
        <v>0</v>
      </c>
      <c r="H289" s="179">
        <f ca="1">IF(ISNUMBER(MATCH(DATEVALUE($A289),'recurring1_based on steps'!H$1:H$400,0)),H$2,)</f>
        <v>0</v>
      </c>
      <c r="I289" s="179">
        <f ca="1">IF(ISNUMBER(MATCH(DATEVALUE($A289),'recurring1_based on steps'!I$1:I$400,0)),I$2,)</f>
        <v>0</v>
      </c>
      <c r="J289" s="179">
        <f ca="1">IF(ISNUMBER(MATCH(DATEVALUE($A289),'recurring1_based on steps'!J$1:J$400,0)),J$2,)</f>
        <v>0</v>
      </c>
      <c r="K289" s="179">
        <f ca="1">IF(ISNUMBER(MATCH(DATEVALUE($A289),'recurring1_based on steps'!K$1:K$400,0)),K$2,)</f>
        <v>0</v>
      </c>
      <c r="L289" s="179">
        <f ca="1">IF(ISNUMBER(MATCH(DATEVALUE($A289),'recurring1_based on steps'!L$1:L$400,0)),L$2,)</f>
        <v>0</v>
      </c>
      <c r="M289" s="179">
        <f ca="1">IF(ISNUMBER(MATCH(DATEVALUE($A289),'recurring1_based on steps'!M$1:M$400,0)),M$2,)</f>
        <v>0</v>
      </c>
      <c r="N289" s="179">
        <f ca="1">IF(ISNUMBER(MATCH(DATEVALUE($A289),'recurring1_based on steps'!N$1:N$400,0)),N$2,)</f>
        <v>0</v>
      </c>
      <c r="O289" s="179">
        <f ca="1">IF(ISNUMBER(MATCH(DATEVALUE($A289),'recurring1_based on steps'!O$1:O$400,0)),O$2,)</f>
        <v>0</v>
      </c>
      <c r="P289" s="179">
        <f ca="1">IF(ISNUMBER(MATCH(DATEVALUE($A289),'recurring1_based on steps'!P$1:P$400,0)),P$2,)</f>
        <v>0</v>
      </c>
      <c r="Q289" s="179">
        <f ca="1">IF(ISNUMBER(MATCH(DATEVALUE($A289),'recurring1_based on steps'!Q$1:Q$400,0)),Q$2,)</f>
        <v>0</v>
      </c>
      <c r="R289" s="179">
        <f ca="1">IF(ISNUMBER(MATCH(DATEVALUE($A289),'recurring1_based on steps'!R$1:R$400,0)),R$2,)</f>
        <v>0</v>
      </c>
      <c r="S289" s="179">
        <f ca="1">IF(ISNUMBER(MATCH(DATEVALUE($A289),'recurring1_based on steps'!S$1:S$400,0)),S$2,)</f>
        <v>0</v>
      </c>
      <c r="T289" s="179">
        <f ca="1">IF(ISNUMBER(MATCH(DATEVALUE($A289),'recurring1_based on steps'!T$1:T$400,0)),T$2,)</f>
        <v>0</v>
      </c>
      <c r="U289" s="179">
        <f ca="1">IF(ISNUMBER(MATCH(DATEVALUE($A289),'recurring1_based on steps'!U$1:U$400,0)),U$2,)</f>
        <v>0</v>
      </c>
      <c r="V289" s="179">
        <f ca="1">IF(ISNUMBER(MATCH(DATEVALUE($A289),'recurring1_based on steps'!V$1:V$400,0)),V$2,)</f>
        <v>0</v>
      </c>
      <c r="W289" s="179">
        <f ca="1">IF(ISNUMBER(MATCH(DATEVALUE($A289),'recurring1_based on steps'!W$1:W$400,0)),W$2,)</f>
        <v>0</v>
      </c>
      <c r="X289" s="179">
        <f ca="1">IF(ISNUMBER(MATCH(DATEVALUE($A289),'recurring1_based on steps'!X$1:X$400,0)),X$2,)</f>
        <v>0</v>
      </c>
      <c r="Y289" s="179">
        <f ca="1">IF(ISNUMBER(MATCH(DATEVALUE($A289),'recurring1_based on steps'!Y$1:Y$400,0)),Y$2,)</f>
        <v>0</v>
      </c>
      <c r="Z289" s="179">
        <f ca="1">IF(ISNUMBER(MATCH(DATEVALUE($A289),'recurring1_based on steps'!Z$1:Z$400,0)),Z$2,)</f>
        <v>0</v>
      </c>
      <c r="AA289" s="179">
        <f ca="1">IF(ISNUMBER(MATCH(DATEVALUE($A289),'recurring1_based on steps'!AA$1:AA$400,0)),AA$2,)</f>
        <v>0</v>
      </c>
      <c r="AB289" s="179">
        <f ca="1">IF(ISNUMBER(MATCH(DATEVALUE($A289),'recurring1_based on steps'!AB$1:AB$400,0)),AB$2,)</f>
        <v>0</v>
      </c>
      <c r="AC289" s="179">
        <f ca="1">IF(ISNUMBER(MATCH(DATEVALUE($A289),'recurring1_based on steps'!AC$1:AC$400,0)),AC$2,)</f>
        <v>0</v>
      </c>
      <c r="AD289" s="179">
        <f ca="1">IF(ISNUMBER(MATCH(DATEVALUE($A289),'recurring1_based on steps'!AD$1:AD$400,0)),AD$2,)</f>
        <v>0</v>
      </c>
      <c r="AE289" s="179">
        <f ca="1">IF(ISNUMBER(MATCH(DATEVALUE($A289),'recurring1_based on steps'!AE$1:AE$400,0)),AE$2,)</f>
        <v>0</v>
      </c>
      <c r="AF289" s="179">
        <f ca="1">IF(ISNUMBER(MATCH(DATEVALUE($A289),'recurring1_based on steps'!AF$1:AF$400,0)),AF$2,)</f>
        <v>0</v>
      </c>
      <c r="AG289" s="179">
        <f ca="1">IF(ISNUMBER(MATCH(DATEVALUE($A289),'recurring1_based on steps'!AG$1:AG$400,0)),AG$2,)</f>
        <v>0</v>
      </c>
      <c r="AH289" s="179">
        <f ca="1">IF(ISNUMBER(MATCH(DATEVALUE($A289),'recurring1_based on steps'!AH$1:AH$400,0)),AH$2,)</f>
        <v>0</v>
      </c>
      <c r="AI289" s="179">
        <f ca="1">IF(ISNUMBER(MATCH(DATEVALUE($A289),'recurring1_based on steps'!AI$1:AI$400,0)),AI$2,)</f>
        <v>0</v>
      </c>
      <c r="AJ289" s="179">
        <f ca="1">IF(ISNUMBER(MATCH(DATEVALUE($A289),'recurring1_based on steps'!AJ$1:AJ$400,0)),AJ$2,)</f>
        <v>0</v>
      </c>
      <c r="AK289" s="179">
        <f ca="1">IF(ISNUMBER(MATCH(DATEVALUE($A289),'recurring1_based on steps'!AK$1:AK$400,0)),AK$2,)</f>
        <v>0</v>
      </c>
      <c r="AL289" s="179">
        <f ca="1">IF(ISNUMBER(MATCH(DATEVALUE($A289),'recurring1_based on steps'!AL$1:AL$400,0)),AL$2,)</f>
        <v>0</v>
      </c>
      <c r="AM289" s="179">
        <f ca="1">IF(ISNUMBER(MATCH(DATEVALUE($A289),'recurring1_based on steps'!AM$1:AM$400,0)),AM$2,)</f>
        <v>0</v>
      </c>
      <c r="AN289" s="179">
        <f ca="1">IF(ISNUMBER(MATCH(DATEVALUE($A289),'recurring1_based on steps'!AN$1:AN$400,0)),AN$2,)</f>
        <v>0</v>
      </c>
      <c r="AO289" s="179">
        <f ca="1">IF(ISNUMBER(MATCH(DATEVALUE($A289),'recurring1_based on steps'!AO$1:AO$400,0)),AO$2,)</f>
        <v>0</v>
      </c>
      <c r="AP289" s="179">
        <f ca="1">IF(ISNUMBER(MATCH(DATEVALUE($A289),'recurring1_based on steps'!AP$1:AP$400,0)),AP$2,)</f>
        <v>0</v>
      </c>
      <c r="AQ289" s="179">
        <f ca="1">IF(ISNUMBER(MATCH(DATEVALUE($A289),'recurring1_based on steps'!AQ$1:AQ$400,0)),AQ$2,)</f>
        <v>0</v>
      </c>
      <c r="AR289" s="179">
        <f ca="1">IF(ISNUMBER(MATCH(DATEVALUE($A289),'recurring1_based on steps'!AR$1:AR$400,0)),AR$2,)</f>
        <v>0</v>
      </c>
      <c r="AS289" s="179">
        <f ca="1">IF(ISNUMBER(MATCH(DATEVALUE($A289),'recurring1_based on steps'!AS$1:AS$400,0)),AS$2,)</f>
        <v>0</v>
      </c>
      <c r="AT289" s="179">
        <f ca="1">IF(ISNUMBER(MATCH(DATEVALUE($A289),'recurring1_based on steps'!AT$1:AT$400,0)),AT$2,)</f>
        <v>0</v>
      </c>
      <c r="AU289" s="179">
        <f ca="1">IF(ISNUMBER(MATCH(DATEVALUE($A289),'recurring1_based on steps'!AU$1:AU$400,0)),AU$2,)</f>
        <v>0</v>
      </c>
      <c r="AV289" s="179">
        <f ca="1">IF(ISNUMBER(MATCH(DATEVALUE($A289),'recurring1_based on steps'!AV$1:AV$400,0)),AV$2,)</f>
        <v>0</v>
      </c>
      <c r="AW289" s="179">
        <f ca="1">IF(ISNUMBER(MATCH(DATEVALUE($A289),'recurring1_based on steps'!AW$1:AW$400,0)),AW$2,)</f>
        <v>0</v>
      </c>
      <c r="AX289" s="179">
        <f ca="1">IF(ISNUMBER(MATCH(DATEVALUE($A289),'recurring1_based on steps'!AX$1:AX$400,0)),AX$2,)</f>
        <v>0</v>
      </c>
      <c r="AY289" s="179">
        <f ca="1">IF(ISNUMBER(MATCH(DATEVALUE($A289),'recurring1_based on steps'!AY$1:AY$400,0)),AY$2,)</f>
        <v>0</v>
      </c>
    </row>
    <row r="290" spans="1:51" x14ac:dyDescent="0.2">
      <c r="A290" s="32" t="str">
        <f t="shared" ca="1" si="4"/>
        <v>2026-01-10</v>
      </c>
      <c r="B290" s="179">
        <f ca="1">IF(ISNUMBER(MATCH(DATEVALUE($A290),'recurring1_based on steps'!B$1:B$400,0)),B$2,)</f>
        <v>0</v>
      </c>
      <c r="C290" s="179">
        <f ca="1">IF(ISNUMBER(MATCH(DATEVALUE($A290),'recurring1_based on steps'!C$1:C$400,0)),C$2,)</f>
        <v>0</v>
      </c>
      <c r="D290" s="179">
        <f ca="1">IF(ISNUMBER(MATCH(DATEVALUE($A290),'recurring1_based on steps'!D$1:D$400,0)),D$2,)</f>
        <v>0</v>
      </c>
      <c r="E290" s="179">
        <f ca="1">IF(ISNUMBER(MATCH(DATEVALUE($A290),'recurring1_based on steps'!E$1:E$400,0)),E$2,)</f>
        <v>0</v>
      </c>
      <c r="F290" s="179">
        <f ca="1">IF(ISNUMBER(MATCH(DATEVALUE($A290),'recurring1_based on steps'!F$1:F$400,0)),F$2,)</f>
        <v>0</v>
      </c>
      <c r="G290" s="179">
        <f ca="1">IF(ISNUMBER(MATCH(DATEVALUE($A290),'recurring1_based on steps'!G$1:G$400,0)),G$2,)</f>
        <v>0</v>
      </c>
      <c r="H290" s="179">
        <f ca="1">IF(ISNUMBER(MATCH(DATEVALUE($A290),'recurring1_based on steps'!H$1:H$400,0)),H$2,)</f>
        <v>0</v>
      </c>
      <c r="I290" s="179">
        <f ca="1">IF(ISNUMBER(MATCH(DATEVALUE($A290),'recurring1_based on steps'!I$1:I$400,0)),I$2,)</f>
        <v>0</v>
      </c>
      <c r="J290" s="179">
        <f ca="1">IF(ISNUMBER(MATCH(DATEVALUE($A290),'recurring1_based on steps'!J$1:J$400,0)),J$2,)</f>
        <v>0</v>
      </c>
      <c r="K290" s="179">
        <f ca="1">IF(ISNUMBER(MATCH(DATEVALUE($A290),'recurring1_based on steps'!K$1:K$400,0)),K$2,)</f>
        <v>0</v>
      </c>
      <c r="L290" s="179">
        <f ca="1">IF(ISNUMBER(MATCH(DATEVALUE($A290),'recurring1_based on steps'!L$1:L$400,0)),L$2,)</f>
        <v>0</v>
      </c>
      <c r="M290" s="179">
        <f ca="1">IF(ISNUMBER(MATCH(DATEVALUE($A290),'recurring1_based on steps'!M$1:M$400,0)),M$2,)</f>
        <v>0</v>
      </c>
      <c r="N290" s="179">
        <f ca="1">IF(ISNUMBER(MATCH(DATEVALUE($A290),'recurring1_based on steps'!N$1:N$400,0)),N$2,)</f>
        <v>0</v>
      </c>
      <c r="O290" s="179">
        <f ca="1">IF(ISNUMBER(MATCH(DATEVALUE($A290),'recurring1_based on steps'!O$1:O$400,0)),O$2,)</f>
        <v>0</v>
      </c>
      <c r="P290" s="179">
        <f ca="1">IF(ISNUMBER(MATCH(DATEVALUE($A290),'recurring1_based on steps'!P$1:P$400,0)),P$2,)</f>
        <v>0</v>
      </c>
      <c r="Q290" s="179">
        <f ca="1">IF(ISNUMBER(MATCH(DATEVALUE($A290),'recurring1_based on steps'!Q$1:Q$400,0)),Q$2,)</f>
        <v>0</v>
      </c>
      <c r="R290" s="179">
        <f ca="1">IF(ISNUMBER(MATCH(DATEVALUE($A290),'recurring1_based on steps'!R$1:R$400,0)),R$2,)</f>
        <v>0</v>
      </c>
      <c r="S290" s="179">
        <f ca="1">IF(ISNUMBER(MATCH(DATEVALUE($A290),'recurring1_based on steps'!S$1:S$400,0)),S$2,)</f>
        <v>0</v>
      </c>
      <c r="T290" s="179">
        <f ca="1">IF(ISNUMBER(MATCH(DATEVALUE($A290),'recurring1_based on steps'!T$1:T$400,0)),T$2,)</f>
        <v>0</v>
      </c>
      <c r="U290" s="179">
        <f ca="1">IF(ISNUMBER(MATCH(DATEVALUE($A290),'recurring1_based on steps'!U$1:U$400,0)),U$2,)</f>
        <v>0</v>
      </c>
      <c r="V290" s="179">
        <f ca="1">IF(ISNUMBER(MATCH(DATEVALUE($A290),'recurring1_based on steps'!V$1:V$400,0)),V$2,)</f>
        <v>0</v>
      </c>
      <c r="W290" s="179">
        <f ca="1">IF(ISNUMBER(MATCH(DATEVALUE($A290),'recurring1_based on steps'!W$1:W$400,0)),W$2,)</f>
        <v>0</v>
      </c>
      <c r="X290" s="179">
        <f ca="1">IF(ISNUMBER(MATCH(DATEVALUE($A290),'recurring1_based on steps'!X$1:X$400,0)),X$2,)</f>
        <v>0</v>
      </c>
      <c r="Y290" s="179">
        <f ca="1">IF(ISNUMBER(MATCH(DATEVALUE($A290),'recurring1_based on steps'!Y$1:Y$400,0)),Y$2,)</f>
        <v>0</v>
      </c>
      <c r="Z290" s="179">
        <f ca="1">IF(ISNUMBER(MATCH(DATEVALUE($A290),'recurring1_based on steps'!Z$1:Z$400,0)),Z$2,)</f>
        <v>0</v>
      </c>
      <c r="AA290" s="179">
        <f ca="1">IF(ISNUMBER(MATCH(DATEVALUE($A290),'recurring1_based on steps'!AA$1:AA$400,0)),AA$2,)</f>
        <v>0</v>
      </c>
      <c r="AB290" s="179">
        <f ca="1">IF(ISNUMBER(MATCH(DATEVALUE($A290),'recurring1_based on steps'!AB$1:AB$400,0)),AB$2,)</f>
        <v>0</v>
      </c>
      <c r="AC290" s="179">
        <f ca="1">IF(ISNUMBER(MATCH(DATEVALUE($A290),'recurring1_based on steps'!AC$1:AC$400,0)),AC$2,)</f>
        <v>0</v>
      </c>
      <c r="AD290" s="179">
        <f ca="1">IF(ISNUMBER(MATCH(DATEVALUE($A290),'recurring1_based on steps'!AD$1:AD$400,0)),AD$2,)</f>
        <v>0</v>
      </c>
      <c r="AE290" s="179">
        <f ca="1">IF(ISNUMBER(MATCH(DATEVALUE($A290),'recurring1_based on steps'!AE$1:AE$400,0)),AE$2,)</f>
        <v>0</v>
      </c>
      <c r="AF290" s="179">
        <f ca="1">IF(ISNUMBER(MATCH(DATEVALUE($A290),'recurring1_based on steps'!AF$1:AF$400,0)),AF$2,)</f>
        <v>0</v>
      </c>
      <c r="AG290" s="179">
        <f ca="1">IF(ISNUMBER(MATCH(DATEVALUE($A290),'recurring1_based on steps'!AG$1:AG$400,0)),AG$2,)</f>
        <v>0</v>
      </c>
      <c r="AH290" s="179">
        <f ca="1">IF(ISNUMBER(MATCH(DATEVALUE($A290),'recurring1_based on steps'!AH$1:AH$400,0)),AH$2,)</f>
        <v>0</v>
      </c>
      <c r="AI290" s="179">
        <f ca="1">IF(ISNUMBER(MATCH(DATEVALUE($A290),'recurring1_based on steps'!AI$1:AI$400,0)),AI$2,)</f>
        <v>0</v>
      </c>
      <c r="AJ290" s="179">
        <f ca="1">IF(ISNUMBER(MATCH(DATEVALUE($A290),'recurring1_based on steps'!AJ$1:AJ$400,0)),AJ$2,)</f>
        <v>0</v>
      </c>
      <c r="AK290" s="179">
        <f ca="1">IF(ISNUMBER(MATCH(DATEVALUE($A290),'recurring1_based on steps'!AK$1:AK$400,0)),AK$2,)</f>
        <v>0</v>
      </c>
      <c r="AL290" s="179">
        <f ca="1">IF(ISNUMBER(MATCH(DATEVALUE($A290),'recurring1_based on steps'!AL$1:AL$400,0)),AL$2,)</f>
        <v>0</v>
      </c>
      <c r="AM290" s="179">
        <f ca="1">IF(ISNUMBER(MATCH(DATEVALUE($A290),'recurring1_based on steps'!AM$1:AM$400,0)),AM$2,)</f>
        <v>0</v>
      </c>
      <c r="AN290" s="179">
        <f ca="1">IF(ISNUMBER(MATCH(DATEVALUE($A290),'recurring1_based on steps'!AN$1:AN$400,0)),AN$2,)</f>
        <v>0</v>
      </c>
      <c r="AO290" s="179">
        <f ca="1">IF(ISNUMBER(MATCH(DATEVALUE($A290),'recurring1_based on steps'!AO$1:AO$400,0)),AO$2,)</f>
        <v>0</v>
      </c>
      <c r="AP290" s="179">
        <f ca="1">IF(ISNUMBER(MATCH(DATEVALUE($A290),'recurring1_based on steps'!AP$1:AP$400,0)),AP$2,)</f>
        <v>0</v>
      </c>
      <c r="AQ290" s="179">
        <f ca="1">IF(ISNUMBER(MATCH(DATEVALUE($A290),'recurring1_based on steps'!AQ$1:AQ$400,0)),AQ$2,)</f>
        <v>0</v>
      </c>
      <c r="AR290" s="179">
        <f ca="1">IF(ISNUMBER(MATCH(DATEVALUE($A290),'recurring1_based on steps'!AR$1:AR$400,0)),AR$2,)</f>
        <v>0</v>
      </c>
      <c r="AS290" s="179">
        <f ca="1">IF(ISNUMBER(MATCH(DATEVALUE($A290),'recurring1_based on steps'!AS$1:AS$400,0)),AS$2,)</f>
        <v>0</v>
      </c>
      <c r="AT290" s="179">
        <f ca="1">IF(ISNUMBER(MATCH(DATEVALUE($A290),'recurring1_based on steps'!AT$1:AT$400,0)),AT$2,)</f>
        <v>0</v>
      </c>
      <c r="AU290" s="179">
        <f ca="1">IF(ISNUMBER(MATCH(DATEVALUE($A290),'recurring1_based on steps'!AU$1:AU$400,0)),AU$2,)</f>
        <v>0</v>
      </c>
      <c r="AV290" s="179">
        <f ca="1">IF(ISNUMBER(MATCH(DATEVALUE($A290),'recurring1_based on steps'!AV$1:AV$400,0)),AV$2,)</f>
        <v>0</v>
      </c>
      <c r="AW290" s="179">
        <f ca="1">IF(ISNUMBER(MATCH(DATEVALUE($A290),'recurring1_based on steps'!AW$1:AW$400,0)),AW$2,)</f>
        <v>0</v>
      </c>
      <c r="AX290" s="179">
        <f ca="1">IF(ISNUMBER(MATCH(DATEVALUE($A290),'recurring1_based on steps'!AX$1:AX$400,0)),AX$2,)</f>
        <v>0</v>
      </c>
      <c r="AY290" s="179">
        <f ca="1">IF(ISNUMBER(MATCH(DATEVALUE($A290),'recurring1_based on steps'!AY$1:AY$400,0)),AY$2,)</f>
        <v>0</v>
      </c>
    </row>
    <row r="291" spans="1:51" x14ac:dyDescent="0.2">
      <c r="A291" s="32" t="str">
        <f t="shared" ca="1" si="4"/>
        <v>2026-01-11</v>
      </c>
      <c r="B291" s="179">
        <f ca="1">IF(ISNUMBER(MATCH(DATEVALUE($A291),'recurring1_based on steps'!B$1:B$400,0)),B$2,)</f>
        <v>0</v>
      </c>
      <c r="C291" s="179">
        <f ca="1">IF(ISNUMBER(MATCH(DATEVALUE($A291),'recurring1_based on steps'!C$1:C$400,0)),C$2,)</f>
        <v>0</v>
      </c>
      <c r="D291" s="179">
        <f ca="1">IF(ISNUMBER(MATCH(DATEVALUE($A291),'recurring1_based on steps'!D$1:D$400,0)),D$2,)</f>
        <v>0</v>
      </c>
      <c r="E291" s="179">
        <f ca="1">IF(ISNUMBER(MATCH(DATEVALUE($A291),'recurring1_based on steps'!E$1:E$400,0)),E$2,)</f>
        <v>0</v>
      </c>
      <c r="F291" s="179">
        <f ca="1">IF(ISNUMBER(MATCH(DATEVALUE($A291),'recurring1_based on steps'!F$1:F$400,0)),F$2,)</f>
        <v>0</v>
      </c>
      <c r="G291" s="179">
        <f ca="1">IF(ISNUMBER(MATCH(DATEVALUE($A291),'recurring1_based on steps'!G$1:G$400,0)),G$2,)</f>
        <v>0</v>
      </c>
      <c r="H291" s="179">
        <f ca="1">IF(ISNUMBER(MATCH(DATEVALUE($A291),'recurring1_based on steps'!H$1:H$400,0)),H$2,)</f>
        <v>0</v>
      </c>
      <c r="I291" s="179">
        <f ca="1">IF(ISNUMBER(MATCH(DATEVALUE($A291),'recurring1_based on steps'!I$1:I$400,0)),I$2,)</f>
        <v>0</v>
      </c>
      <c r="J291" s="179">
        <f ca="1">IF(ISNUMBER(MATCH(DATEVALUE($A291),'recurring1_based on steps'!J$1:J$400,0)),J$2,)</f>
        <v>0</v>
      </c>
      <c r="K291" s="179">
        <f ca="1">IF(ISNUMBER(MATCH(DATEVALUE($A291),'recurring1_based on steps'!K$1:K$400,0)),K$2,)</f>
        <v>0</v>
      </c>
      <c r="L291" s="179">
        <f ca="1">IF(ISNUMBER(MATCH(DATEVALUE($A291),'recurring1_based on steps'!L$1:L$400,0)),L$2,)</f>
        <v>0</v>
      </c>
      <c r="M291" s="179">
        <f ca="1">IF(ISNUMBER(MATCH(DATEVALUE($A291),'recurring1_based on steps'!M$1:M$400,0)),M$2,)</f>
        <v>0</v>
      </c>
      <c r="N291" s="179">
        <f ca="1">IF(ISNUMBER(MATCH(DATEVALUE($A291),'recurring1_based on steps'!N$1:N$400,0)),N$2,)</f>
        <v>0</v>
      </c>
      <c r="O291" s="179">
        <f ca="1">IF(ISNUMBER(MATCH(DATEVALUE($A291),'recurring1_based on steps'!O$1:O$400,0)),O$2,)</f>
        <v>0</v>
      </c>
      <c r="P291" s="179">
        <f ca="1">IF(ISNUMBER(MATCH(DATEVALUE($A291),'recurring1_based on steps'!P$1:P$400,0)),P$2,)</f>
        <v>0</v>
      </c>
      <c r="Q291" s="179">
        <f ca="1">IF(ISNUMBER(MATCH(DATEVALUE($A291),'recurring1_based on steps'!Q$1:Q$400,0)),Q$2,)</f>
        <v>0</v>
      </c>
      <c r="R291" s="179">
        <f ca="1">IF(ISNUMBER(MATCH(DATEVALUE($A291),'recurring1_based on steps'!R$1:R$400,0)),R$2,)</f>
        <v>0</v>
      </c>
      <c r="S291" s="179">
        <f ca="1">IF(ISNUMBER(MATCH(DATEVALUE($A291),'recurring1_based on steps'!S$1:S$400,0)),S$2,)</f>
        <v>0</v>
      </c>
      <c r="T291" s="179">
        <f ca="1">IF(ISNUMBER(MATCH(DATEVALUE($A291),'recurring1_based on steps'!T$1:T$400,0)),T$2,)</f>
        <v>0</v>
      </c>
      <c r="U291" s="179">
        <f ca="1">IF(ISNUMBER(MATCH(DATEVALUE($A291),'recurring1_based on steps'!U$1:U$400,0)),U$2,)</f>
        <v>0</v>
      </c>
      <c r="V291" s="179">
        <f ca="1">IF(ISNUMBER(MATCH(DATEVALUE($A291),'recurring1_based on steps'!V$1:V$400,0)),V$2,)</f>
        <v>0</v>
      </c>
      <c r="W291" s="179">
        <f ca="1">IF(ISNUMBER(MATCH(DATEVALUE($A291),'recurring1_based on steps'!W$1:W$400,0)),W$2,)</f>
        <v>0</v>
      </c>
      <c r="X291" s="179">
        <f ca="1">IF(ISNUMBER(MATCH(DATEVALUE($A291),'recurring1_based on steps'!X$1:X$400,0)),X$2,)</f>
        <v>0</v>
      </c>
      <c r="Y291" s="179">
        <f ca="1">IF(ISNUMBER(MATCH(DATEVALUE($A291),'recurring1_based on steps'!Y$1:Y$400,0)),Y$2,)</f>
        <v>0</v>
      </c>
      <c r="Z291" s="179">
        <f ca="1">IF(ISNUMBER(MATCH(DATEVALUE($A291),'recurring1_based on steps'!Z$1:Z$400,0)),Z$2,)</f>
        <v>0</v>
      </c>
      <c r="AA291" s="179">
        <f ca="1">IF(ISNUMBER(MATCH(DATEVALUE($A291),'recurring1_based on steps'!AA$1:AA$400,0)),AA$2,)</f>
        <v>0</v>
      </c>
      <c r="AB291" s="179">
        <f ca="1">IF(ISNUMBER(MATCH(DATEVALUE($A291),'recurring1_based on steps'!AB$1:AB$400,0)),AB$2,)</f>
        <v>0</v>
      </c>
      <c r="AC291" s="179">
        <f ca="1">IF(ISNUMBER(MATCH(DATEVALUE($A291),'recurring1_based on steps'!AC$1:AC$400,0)),AC$2,)</f>
        <v>0</v>
      </c>
      <c r="AD291" s="179">
        <f ca="1">IF(ISNUMBER(MATCH(DATEVALUE($A291),'recurring1_based on steps'!AD$1:AD$400,0)),AD$2,)</f>
        <v>0</v>
      </c>
      <c r="AE291" s="179">
        <f ca="1">IF(ISNUMBER(MATCH(DATEVALUE($A291),'recurring1_based on steps'!AE$1:AE$400,0)),AE$2,)</f>
        <v>0</v>
      </c>
      <c r="AF291" s="179">
        <f ca="1">IF(ISNUMBER(MATCH(DATEVALUE($A291),'recurring1_based on steps'!AF$1:AF$400,0)),AF$2,)</f>
        <v>0</v>
      </c>
      <c r="AG291" s="179">
        <f ca="1">IF(ISNUMBER(MATCH(DATEVALUE($A291),'recurring1_based on steps'!AG$1:AG$400,0)),AG$2,)</f>
        <v>0</v>
      </c>
      <c r="AH291" s="179">
        <f ca="1">IF(ISNUMBER(MATCH(DATEVALUE($A291),'recurring1_based on steps'!AH$1:AH$400,0)),AH$2,)</f>
        <v>0</v>
      </c>
      <c r="AI291" s="179">
        <f ca="1">IF(ISNUMBER(MATCH(DATEVALUE($A291),'recurring1_based on steps'!AI$1:AI$400,0)),AI$2,)</f>
        <v>0</v>
      </c>
      <c r="AJ291" s="179">
        <f ca="1">IF(ISNUMBER(MATCH(DATEVALUE($A291),'recurring1_based on steps'!AJ$1:AJ$400,0)),AJ$2,)</f>
        <v>0</v>
      </c>
      <c r="AK291" s="179">
        <f ca="1">IF(ISNUMBER(MATCH(DATEVALUE($A291),'recurring1_based on steps'!AK$1:AK$400,0)),AK$2,)</f>
        <v>0</v>
      </c>
      <c r="AL291" s="179">
        <f ca="1">IF(ISNUMBER(MATCH(DATEVALUE($A291),'recurring1_based on steps'!AL$1:AL$400,0)),AL$2,)</f>
        <v>0</v>
      </c>
      <c r="AM291" s="179">
        <f ca="1">IF(ISNUMBER(MATCH(DATEVALUE($A291),'recurring1_based on steps'!AM$1:AM$400,0)),AM$2,)</f>
        <v>0</v>
      </c>
      <c r="AN291" s="179">
        <f ca="1">IF(ISNUMBER(MATCH(DATEVALUE($A291),'recurring1_based on steps'!AN$1:AN$400,0)),AN$2,)</f>
        <v>0</v>
      </c>
      <c r="AO291" s="179">
        <f ca="1">IF(ISNUMBER(MATCH(DATEVALUE($A291),'recurring1_based on steps'!AO$1:AO$400,0)),AO$2,)</f>
        <v>0</v>
      </c>
      <c r="AP291" s="179">
        <f ca="1">IF(ISNUMBER(MATCH(DATEVALUE($A291),'recurring1_based on steps'!AP$1:AP$400,0)),AP$2,)</f>
        <v>0</v>
      </c>
      <c r="AQ291" s="179">
        <f ca="1">IF(ISNUMBER(MATCH(DATEVALUE($A291),'recurring1_based on steps'!AQ$1:AQ$400,0)),AQ$2,)</f>
        <v>0</v>
      </c>
      <c r="AR291" s="179">
        <f ca="1">IF(ISNUMBER(MATCH(DATEVALUE($A291),'recurring1_based on steps'!AR$1:AR$400,0)),AR$2,)</f>
        <v>0</v>
      </c>
      <c r="AS291" s="179">
        <f ca="1">IF(ISNUMBER(MATCH(DATEVALUE($A291),'recurring1_based on steps'!AS$1:AS$400,0)),AS$2,)</f>
        <v>0</v>
      </c>
      <c r="AT291" s="179">
        <f ca="1">IF(ISNUMBER(MATCH(DATEVALUE($A291),'recurring1_based on steps'!AT$1:AT$400,0)),AT$2,)</f>
        <v>0</v>
      </c>
      <c r="AU291" s="179">
        <f ca="1">IF(ISNUMBER(MATCH(DATEVALUE($A291),'recurring1_based on steps'!AU$1:AU$400,0)),AU$2,)</f>
        <v>0</v>
      </c>
      <c r="AV291" s="179">
        <f ca="1">IF(ISNUMBER(MATCH(DATEVALUE($A291),'recurring1_based on steps'!AV$1:AV$400,0)),AV$2,)</f>
        <v>0</v>
      </c>
      <c r="AW291" s="179">
        <f ca="1">IF(ISNUMBER(MATCH(DATEVALUE($A291),'recurring1_based on steps'!AW$1:AW$400,0)),AW$2,)</f>
        <v>0</v>
      </c>
      <c r="AX291" s="179">
        <f ca="1">IF(ISNUMBER(MATCH(DATEVALUE($A291),'recurring1_based on steps'!AX$1:AX$400,0)),AX$2,)</f>
        <v>0</v>
      </c>
      <c r="AY291" s="179">
        <f ca="1">IF(ISNUMBER(MATCH(DATEVALUE($A291),'recurring1_based on steps'!AY$1:AY$400,0)),AY$2,)</f>
        <v>0</v>
      </c>
    </row>
    <row r="292" spans="1:51" x14ac:dyDescent="0.2">
      <c r="A292" s="32" t="str">
        <f t="shared" ca="1" si="4"/>
        <v>2026-01-12</v>
      </c>
      <c r="B292" s="179">
        <f ca="1">IF(ISNUMBER(MATCH(DATEVALUE($A292),'recurring1_based on steps'!B$1:B$400,0)),B$2,)</f>
        <v>0</v>
      </c>
      <c r="C292" s="179">
        <f ca="1">IF(ISNUMBER(MATCH(DATEVALUE($A292),'recurring1_based on steps'!C$1:C$400,0)),C$2,)</f>
        <v>0</v>
      </c>
      <c r="D292" s="179">
        <f ca="1">IF(ISNUMBER(MATCH(DATEVALUE($A292),'recurring1_based on steps'!D$1:D$400,0)),D$2,)</f>
        <v>0</v>
      </c>
      <c r="E292" s="179">
        <f ca="1">IF(ISNUMBER(MATCH(DATEVALUE($A292),'recurring1_based on steps'!E$1:E$400,0)),E$2,)</f>
        <v>0</v>
      </c>
      <c r="F292" s="179">
        <f ca="1">IF(ISNUMBER(MATCH(DATEVALUE($A292),'recurring1_based on steps'!F$1:F$400,0)),F$2,)</f>
        <v>0</v>
      </c>
      <c r="G292" s="179">
        <f ca="1">IF(ISNUMBER(MATCH(DATEVALUE($A292),'recurring1_based on steps'!G$1:G$400,0)),G$2,)</f>
        <v>0</v>
      </c>
      <c r="H292" s="179">
        <f ca="1">IF(ISNUMBER(MATCH(DATEVALUE($A292),'recurring1_based on steps'!H$1:H$400,0)),H$2,)</f>
        <v>0</v>
      </c>
      <c r="I292" s="179">
        <f ca="1">IF(ISNUMBER(MATCH(DATEVALUE($A292),'recurring1_based on steps'!I$1:I$400,0)),I$2,)</f>
        <v>0</v>
      </c>
      <c r="J292" s="179">
        <f ca="1">IF(ISNUMBER(MATCH(DATEVALUE($A292),'recurring1_based on steps'!J$1:J$400,0)),J$2,)</f>
        <v>0</v>
      </c>
      <c r="K292" s="179">
        <f ca="1">IF(ISNUMBER(MATCH(DATEVALUE($A292),'recurring1_based on steps'!K$1:K$400,0)),K$2,)</f>
        <v>0</v>
      </c>
      <c r="L292" s="179">
        <f ca="1">IF(ISNUMBER(MATCH(DATEVALUE($A292),'recurring1_based on steps'!L$1:L$400,0)),L$2,)</f>
        <v>0</v>
      </c>
      <c r="M292" s="179">
        <f ca="1">IF(ISNUMBER(MATCH(DATEVALUE($A292),'recurring1_based on steps'!M$1:M$400,0)),M$2,)</f>
        <v>0</v>
      </c>
      <c r="N292" s="179">
        <f ca="1">IF(ISNUMBER(MATCH(DATEVALUE($A292),'recurring1_based on steps'!N$1:N$400,0)),N$2,)</f>
        <v>0</v>
      </c>
      <c r="O292" s="179">
        <f ca="1">IF(ISNUMBER(MATCH(DATEVALUE($A292),'recurring1_based on steps'!O$1:O$400,0)),O$2,)</f>
        <v>0</v>
      </c>
      <c r="P292" s="179">
        <f ca="1">IF(ISNUMBER(MATCH(DATEVALUE($A292),'recurring1_based on steps'!P$1:P$400,0)),P$2,)</f>
        <v>0</v>
      </c>
      <c r="Q292" s="179">
        <f ca="1">IF(ISNUMBER(MATCH(DATEVALUE($A292),'recurring1_based on steps'!Q$1:Q$400,0)),Q$2,)</f>
        <v>0</v>
      </c>
      <c r="R292" s="179">
        <f ca="1">IF(ISNUMBER(MATCH(DATEVALUE($A292),'recurring1_based on steps'!R$1:R$400,0)),R$2,)</f>
        <v>0</v>
      </c>
      <c r="S292" s="179">
        <f ca="1">IF(ISNUMBER(MATCH(DATEVALUE($A292),'recurring1_based on steps'!S$1:S$400,0)),S$2,)</f>
        <v>0</v>
      </c>
      <c r="T292" s="179">
        <f ca="1">IF(ISNUMBER(MATCH(DATEVALUE($A292),'recurring1_based on steps'!T$1:T$400,0)),T$2,)</f>
        <v>0</v>
      </c>
      <c r="U292" s="179">
        <f ca="1">IF(ISNUMBER(MATCH(DATEVALUE($A292),'recurring1_based on steps'!U$1:U$400,0)),U$2,)</f>
        <v>0</v>
      </c>
      <c r="V292" s="179">
        <f ca="1">IF(ISNUMBER(MATCH(DATEVALUE($A292),'recurring1_based on steps'!V$1:V$400,0)),V$2,)</f>
        <v>0</v>
      </c>
      <c r="W292" s="179">
        <f ca="1">IF(ISNUMBER(MATCH(DATEVALUE($A292),'recurring1_based on steps'!W$1:W$400,0)),W$2,)</f>
        <v>0</v>
      </c>
      <c r="X292" s="179">
        <f ca="1">IF(ISNUMBER(MATCH(DATEVALUE($A292),'recurring1_based on steps'!X$1:X$400,0)),X$2,)</f>
        <v>0</v>
      </c>
      <c r="Y292" s="179">
        <f ca="1">IF(ISNUMBER(MATCH(DATEVALUE($A292),'recurring1_based on steps'!Y$1:Y$400,0)),Y$2,)</f>
        <v>0</v>
      </c>
      <c r="Z292" s="179">
        <f ca="1">IF(ISNUMBER(MATCH(DATEVALUE($A292),'recurring1_based on steps'!Z$1:Z$400,0)),Z$2,)</f>
        <v>0</v>
      </c>
      <c r="AA292" s="179">
        <f ca="1">IF(ISNUMBER(MATCH(DATEVALUE($A292),'recurring1_based on steps'!AA$1:AA$400,0)),AA$2,)</f>
        <v>0</v>
      </c>
      <c r="AB292" s="179">
        <f ca="1">IF(ISNUMBER(MATCH(DATEVALUE($A292),'recurring1_based on steps'!AB$1:AB$400,0)),AB$2,)</f>
        <v>0</v>
      </c>
      <c r="AC292" s="179">
        <f ca="1">IF(ISNUMBER(MATCH(DATEVALUE($A292),'recurring1_based on steps'!AC$1:AC$400,0)),AC$2,)</f>
        <v>0</v>
      </c>
      <c r="AD292" s="179">
        <f ca="1">IF(ISNUMBER(MATCH(DATEVALUE($A292),'recurring1_based on steps'!AD$1:AD$400,0)),AD$2,)</f>
        <v>0</v>
      </c>
      <c r="AE292" s="179">
        <f ca="1">IF(ISNUMBER(MATCH(DATEVALUE($A292),'recurring1_based on steps'!AE$1:AE$400,0)),AE$2,)</f>
        <v>0</v>
      </c>
      <c r="AF292" s="179">
        <f ca="1">IF(ISNUMBER(MATCH(DATEVALUE($A292),'recurring1_based on steps'!AF$1:AF$400,0)),AF$2,)</f>
        <v>0</v>
      </c>
      <c r="AG292" s="179">
        <f ca="1">IF(ISNUMBER(MATCH(DATEVALUE($A292),'recurring1_based on steps'!AG$1:AG$400,0)),AG$2,)</f>
        <v>0</v>
      </c>
      <c r="AH292" s="179">
        <f ca="1">IF(ISNUMBER(MATCH(DATEVALUE($A292),'recurring1_based on steps'!AH$1:AH$400,0)),AH$2,)</f>
        <v>0</v>
      </c>
      <c r="AI292" s="179">
        <f ca="1">IF(ISNUMBER(MATCH(DATEVALUE($A292),'recurring1_based on steps'!AI$1:AI$400,0)),AI$2,)</f>
        <v>0</v>
      </c>
      <c r="AJ292" s="179">
        <f ca="1">IF(ISNUMBER(MATCH(DATEVALUE($A292),'recurring1_based on steps'!AJ$1:AJ$400,0)),AJ$2,)</f>
        <v>0</v>
      </c>
      <c r="AK292" s="179">
        <f ca="1">IF(ISNUMBER(MATCH(DATEVALUE($A292),'recurring1_based on steps'!AK$1:AK$400,0)),AK$2,)</f>
        <v>0</v>
      </c>
      <c r="AL292" s="179">
        <f ca="1">IF(ISNUMBER(MATCH(DATEVALUE($A292),'recurring1_based on steps'!AL$1:AL$400,0)),AL$2,)</f>
        <v>0</v>
      </c>
      <c r="AM292" s="179">
        <f ca="1">IF(ISNUMBER(MATCH(DATEVALUE($A292),'recurring1_based on steps'!AM$1:AM$400,0)),AM$2,)</f>
        <v>0</v>
      </c>
      <c r="AN292" s="179">
        <f ca="1">IF(ISNUMBER(MATCH(DATEVALUE($A292),'recurring1_based on steps'!AN$1:AN$400,0)),AN$2,)</f>
        <v>0</v>
      </c>
      <c r="AO292" s="179">
        <f ca="1">IF(ISNUMBER(MATCH(DATEVALUE($A292),'recurring1_based on steps'!AO$1:AO$400,0)),AO$2,)</f>
        <v>0</v>
      </c>
      <c r="AP292" s="179">
        <f ca="1">IF(ISNUMBER(MATCH(DATEVALUE($A292),'recurring1_based on steps'!AP$1:AP$400,0)),AP$2,)</f>
        <v>0</v>
      </c>
      <c r="AQ292" s="179">
        <f ca="1">IF(ISNUMBER(MATCH(DATEVALUE($A292),'recurring1_based on steps'!AQ$1:AQ$400,0)),AQ$2,)</f>
        <v>0</v>
      </c>
      <c r="AR292" s="179">
        <f ca="1">IF(ISNUMBER(MATCH(DATEVALUE($A292),'recurring1_based on steps'!AR$1:AR$400,0)),AR$2,)</f>
        <v>0</v>
      </c>
      <c r="AS292" s="179">
        <f ca="1">IF(ISNUMBER(MATCH(DATEVALUE($A292),'recurring1_based on steps'!AS$1:AS$400,0)),AS$2,)</f>
        <v>0</v>
      </c>
      <c r="AT292" s="179">
        <f ca="1">IF(ISNUMBER(MATCH(DATEVALUE($A292),'recurring1_based on steps'!AT$1:AT$400,0)),AT$2,)</f>
        <v>0</v>
      </c>
      <c r="AU292" s="179">
        <f ca="1">IF(ISNUMBER(MATCH(DATEVALUE($A292),'recurring1_based on steps'!AU$1:AU$400,0)),AU$2,)</f>
        <v>0</v>
      </c>
      <c r="AV292" s="179">
        <f ca="1">IF(ISNUMBER(MATCH(DATEVALUE($A292),'recurring1_based on steps'!AV$1:AV$400,0)),AV$2,)</f>
        <v>0</v>
      </c>
      <c r="AW292" s="179">
        <f ca="1">IF(ISNUMBER(MATCH(DATEVALUE($A292),'recurring1_based on steps'!AW$1:AW$400,0)),AW$2,)</f>
        <v>0</v>
      </c>
      <c r="AX292" s="179">
        <f ca="1">IF(ISNUMBER(MATCH(DATEVALUE($A292),'recurring1_based on steps'!AX$1:AX$400,0)),AX$2,)</f>
        <v>0</v>
      </c>
      <c r="AY292" s="179">
        <f ca="1">IF(ISNUMBER(MATCH(DATEVALUE($A292),'recurring1_based on steps'!AY$1:AY$400,0)),AY$2,)</f>
        <v>0</v>
      </c>
    </row>
    <row r="293" spans="1:51" x14ac:dyDescent="0.2">
      <c r="A293" s="32" t="str">
        <f t="shared" ca="1" si="4"/>
        <v>2026-01-13</v>
      </c>
      <c r="B293" s="179">
        <f ca="1">IF(ISNUMBER(MATCH(DATEVALUE($A293),'recurring1_based on steps'!B$1:B$400,0)),B$2,)</f>
        <v>0</v>
      </c>
      <c r="C293" s="179">
        <f ca="1">IF(ISNUMBER(MATCH(DATEVALUE($A293),'recurring1_based on steps'!C$1:C$400,0)),C$2,)</f>
        <v>0</v>
      </c>
      <c r="D293" s="179">
        <f ca="1">IF(ISNUMBER(MATCH(DATEVALUE($A293),'recurring1_based on steps'!D$1:D$400,0)),D$2,)</f>
        <v>0</v>
      </c>
      <c r="E293" s="179">
        <f ca="1">IF(ISNUMBER(MATCH(DATEVALUE($A293),'recurring1_based on steps'!E$1:E$400,0)),E$2,)</f>
        <v>0</v>
      </c>
      <c r="F293" s="179">
        <f ca="1">IF(ISNUMBER(MATCH(DATEVALUE($A293),'recurring1_based on steps'!F$1:F$400,0)),F$2,)</f>
        <v>0</v>
      </c>
      <c r="G293" s="179">
        <f ca="1">IF(ISNUMBER(MATCH(DATEVALUE($A293),'recurring1_based on steps'!G$1:G$400,0)),G$2,)</f>
        <v>0</v>
      </c>
      <c r="H293" s="179">
        <f ca="1">IF(ISNUMBER(MATCH(DATEVALUE($A293),'recurring1_based on steps'!H$1:H$400,0)),H$2,)</f>
        <v>0</v>
      </c>
      <c r="I293" s="179">
        <f ca="1">IF(ISNUMBER(MATCH(DATEVALUE($A293),'recurring1_based on steps'!I$1:I$400,0)),I$2,)</f>
        <v>0</v>
      </c>
      <c r="J293" s="179">
        <f ca="1">IF(ISNUMBER(MATCH(DATEVALUE($A293),'recurring1_based on steps'!J$1:J$400,0)),J$2,)</f>
        <v>0</v>
      </c>
      <c r="K293" s="179">
        <f ca="1">IF(ISNUMBER(MATCH(DATEVALUE($A293),'recurring1_based on steps'!K$1:K$400,0)),K$2,)</f>
        <v>0</v>
      </c>
      <c r="L293" s="179">
        <f ca="1">IF(ISNUMBER(MATCH(DATEVALUE($A293),'recurring1_based on steps'!L$1:L$400,0)),L$2,)</f>
        <v>0</v>
      </c>
      <c r="M293" s="179">
        <f ca="1">IF(ISNUMBER(MATCH(DATEVALUE($A293),'recurring1_based on steps'!M$1:M$400,0)),M$2,)</f>
        <v>0</v>
      </c>
      <c r="N293" s="179">
        <f ca="1">IF(ISNUMBER(MATCH(DATEVALUE($A293),'recurring1_based on steps'!N$1:N$400,0)),N$2,)</f>
        <v>0</v>
      </c>
      <c r="O293" s="179">
        <f ca="1">IF(ISNUMBER(MATCH(DATEVALUE($A293),'recurring1_based on steps'!O$1:O$400,0)),O$2,)</f>
        <v>0</v>
      </c>
      <c r="P293" s="179">
        <f ca="1">IF(ISNUMBER(MATCH(DATEVALUE($A293),'recurring1_based on steps'!P$1:P$400,0)),P$2,)</f>
        <v>0</v>
      </c>
      <c r="Q293" s="179">
        <f ca="1">IF(ISNUMBER(MATCH(DATEVALUE($A293),'recurring1_based on steps'!Q$1:Q$400,0)),Q$2,)</f>
        <v>0</v>
      </c>
      <c r="R293" s="179">
        <f ca="1">IF(ISNUMBER(MATCH(DATEVALUE($A293),'recurring1_based on steps'!R$1:R$400,0)),R$2,)</f>
        <v>0</v>
      </c>
      <c r="S293" s="179">
        <f ca="1">IF(ISNUMBER(MATCH(DATEVALUE($A293),'recurring1_based on steps'!S$1:S$400,0)),S$2,)</f>
        <v>0</v>
      </c>
      <c r="T293" s="179">
        <f ca="1">IF(ISNUMBER(MATCH(DATEVALUE($A293),'recurring1_based on steps'!T$1:T$400,0)),T$2,)</f>
        <v>0</v>
      </c>
      <c r="U293" s="179">
        <f ca="1">IF(ISNUMBER(MATCH(DATEVALUE($A293),'recurring1_based on steps'!U$1:U$400,0)),U$2,)</f>
        <v>0</v>
      </c>
      <c r="V293" s="179">
        <f ca="1">IF(ISNUMBER(MATCH(DATEVALUE($A293),'recurring1_based on steps'!V$1:V$400,0)),V$2,)</f>
        <v>0</v>
      </c>
      <c r="W293" s="179">
        <f ca="1">IF(ISNUMBER(MATCH(DATEVALUE($A293),'recurring1_based on steps'!W$1:W$400,0)),W$2,)</f>
        <v>0</v>
      </c>
      <c r="X293" s="179">
        <f ca="1">IF(ISNUMBER(MATCH(DATEVALUE($A293),'recurring1_based on steps'!X$1:X$400,0)),X$2,)</f>
        <v>0</v>
      </c>
      <c r="Y293" s="179">
        <f ca="1">IF(ISNUMBER(MATCH(DATEVALUE($A293),'recurring1_based on steps'!Y$1:Y$400,0)),Y$2,)</f>
        <v>0</v>
      </c>
      <c r="Z293" s="179">
        <f ca="1">IF(ISNUMBER(MATCH(DATEVALUE($A293),'recurring1_based on steps'!Z$1:Z$400,0)),Z$2,)</f>
        <v>0</v>
      </c>
      <c r="AA293" s="179">
        <f ca="1">IF(ISNUMBER(MATCH(DATEVALUE($A293),'recurring1_based on steps'!AA$1:AA$400,0)),AA$2,)</f>
        <v>0</v>
      </c>
      <c r="AB293" s="179">
        <f ca="1">IF(ISNUMBER(MATCH(DATEVALUE($A293),'recurring1_based on steps'!AB$1:AB$400,0)),AB$2,)</f>
        <v>0</v>
      </c>
      <c r="AC293" s="179">
        <f ca="1">IF(ISNUMBER(MATCH(DATEVALUE($A293),'recurring1_based on steps'!AC$1:AC$400,0)),AC$2,)</f>
        <v>0</v>
      </c>
      <c r="AD293" s="179">
        <f ca="1">IF(ISNUMBER(MATCH(DATEVALUE($A293),'recurring1_based on steps'!AD$1:AD$400,0)),AD$2,)</f>
        <v>0</v>
      </c>
      <c r="AE293" s="179">
        <f ca="1">IF(ISNUMBER(MATCH(DATEVALUE($A293),'recurring1_based on steps'!AE$1:AE$400,0)),AE$2,)</f>
        <v>0</v>
      </c>
      <c r="AF293" s="179">
        <f ca="1">IF(ISNUMBER(MATCH(DATEVALUE($A293),'recurring1_based on steps'!AF$1:AF$400,0)),AF$2,)</f>
        <v>0</v>
      </c>
      <c r="AG293" s="179">
        <f ca="1">IF(ISNUMBER(MATCH(DATEVALUE($A293),'recurring1_based on steps'!AG$1:AG$400,0)),AG$2,)</f>
        <v>0</v>
      </c>
      <c r="AH293" s="179">
        <f ca="1">IF(ISNUMBER(MATCH(DATEVALUE($A293),'recurring1_based on steps'!AH$1:AH$400,0)),AH$2,)</f>
        <v>0</v>
      </c>
      <c r="AI293" s="179">
        <f ca="1">IF(ISNUMBER(MATCH(DATEVALUE($A293),'recurring1_based on steps'!AI$1:AI$400,0)),AI$2,)</f>
        <v>0</v>
      </c>
      <c r="AJ293" s="179">
        <f ca="1">IF(ISNUMBER(MATCH(DATEVALUE($A293),'recurring1_based on steps'!AJ$1:AJ$400,0)),AJ$2,)</f>
        <v>0</v>
      </c>
      <c r="AK293" s="179">
        <f ca="1">IF(ISNUMBER(MATCH(DATEVALUE($A293),'recurring1_based on steps'!AK$1:AK$400,0)),AK$2,)</f>
        <v>0</v>
      </c>
      <c r="AL293" s="179">
        <f ca="1">IF(ISNUMBER(MATCH(DATEVALUE($A293),'recurring1_based on steps'!AL$1:AL$400,0)),AL$2,)</f>
        <v>0</v>
      </c>
      <c r="AM293" s="179">
        <f ca="1">IF(ISNUMBER(MATCH(DATEVALUE($A293),'recurring1_based on steps'!AM$1:AM$400,0)),AM$2,)</f>
        <v>0</v>
      </c>
      <c r="AN293" s="179">
        <f ca="1">IF(ISNUMBER(MATCH(DATEVALUE($A293),'recurring1_based on steps'!AN$1:AN$400,0)),AN$2,)</f>
        <v>0</v>
      </c>
      <c r="AO293" s="179">
        <f ca="1">IF(ISNUMBER(MATCH(DATEVALUE($A293),'recurring1_based on steps'!AO$1:AO$400,0)),AO$2,)</f>
        <v>0</v>
      </c>
      <c r="AP293" s="179">
        <f ca="1">IF(ISNUMBER(MATCH(DATEVALUE($A293),'recurring1_based on steps'!AP$1:AP$400,0)),AP$2,)</f>
        <v>0</v>
      </c>
      <c r="AQ293" s="179">
        <f ca="1">IF(ISNUMBER(MATCH(DATEVALUE($A293),'recurring1_based on steps'!AQ$1:AQ$400,0)),AQ$2,)</f>
        <v>0</v>
      </c>
      <c r="AR293" s="179">
        <f ca="1">IF(ISNUMBER(MATCH(DATEVALUE($A293),'recurring1_based on steps'!AR$1:AR$400,0)),AR$2,)</f>
        <v>0</v>
      </c>
      <c r="AS293" s="179">
        <f ca="1">IF(ISNUMBER(MATCH(DATEVALUE($A293),'recurring1_based on steps'!AS$1:AS$400,0)),AS$2,)</f>
        <v>0</v>
      </c>
      <c r="AT293" s="179">
        <f ca="1">IF(ISNUMBER(MATCH(DATEVALUE($A293),'recurring1_based on steps'!AT$1:AT$400,0)),AT$2,)</f>
        <v>0</v>
      </c>
      <c r="AU293" s="179">
        <f ca="1">IF(ISNUMBER(MATCH(DATEVALUE($A293),'recurring1_based on steps'!AU$1:AU$400,0)),AU$2,)</f>
        <v>0</v>
      </c>
      <c r="AV293" s="179">
        <f ca="1">IF(ISNUMBER(MATCH(DATEVALUE($A293),'recurring1_based on steps'!AV$1:AV$400,0)),AV$2,)</f>
        <v>0</v>
      </c>
      <c r="AW293" s="179">
        <f ca="1">IF(ISNUMBER(MATCH(DATEVALUE($A293),'recurring1_based on steps'!AW$1:AW$400,0)),AW$2,)</f>
        <v>0</v>
      </c>
      <c r="AX293" s="179">
        <f ca="1">IF(ISNUMBER(MATCH(DATEVALUE($A293),'recurring1_based on steps'!AX$1:AX$400,0)),AX$2,)</f>
        <v>0</v>
      </c>
      <c r="AY293" s="179">
        <f ca="1">IF(ISNUMBER(MATCH(DATEVALUE($A293),'recurring1_based on steps'!AY$1:AY$400,0)),AY$2,)</f>
        <v>0</v>
      </c>
    </row>
    <row r="294" spans="1:51" x14ac:dyDescent="0.2">
      <c r="A294" s="32" t="str">
        <f t="shared" ca="1" si="4"/>
        <v>2026-01-14</v>
      </c>
      <c r="B294" s="179">
        <f ca="1">IF(ISNUMBER(MATCH(DATEVALUE($A294),'recurring1_based on steps'!B$1:B$400,0)),B$2,)</f>
        <v>0</v>
      </c>
      <c r="C294" s="179">
        <f ca="1">IF(ISNUMBER(MATCH(DATEVALUE($A294),'recurring1_based on steps'!C$1:C$400,0)),C$2,)</f>
        <v>0</v>
      </c>
      <c r="D294" s="179">
        <f ca="1">IF(ISNUMBER(MATCH(DATEVALUE($A294),'recurring1_based on steps'!D$1:D$400,0)),D$2,)</f>
        <v>0</v>
      </c>
      <c r="E294" s="179">
        <f ca="1">IF(ISNUMBER(MATCH(DATEVALUE($A294),'recurring1_based on steps'!E$1:E$400,0)),E$2,)</f>
        <v>0</v>
      </c>
      <c r="F294" s="179">
        <f ca="1">IF(ISNUMBER(MATCH(DATEVALUE($A294),'recurring1_based on steps'!F$1:F$400,0)),F$2,)</f>
        <v>0</v>
      </c>
      <c r="G294" s="179">
        <f ca="1">IF(ISNUMBER(MATCH(DATEVALUE($A294),'recurring1_based on steps'!G$1:G$400,0)),G$2,)</f>
        <v>0</v>
      </c>
      <c r="H294" s="179">
        <f ca="1">IF(ISNUMBER(MATCH(DATEVALUE($A294),'recurring1_based on steps'!H$1:H$400,0)),H$2,)</f>
        <v>0</v>
      </c>
      <c r="I294" s="179">
        <f ca="1">IF(ISNUMBER(MATCH(DATEVALUE($A294),'recurring1_based on steps'!I$1:I$400,0)),I$2,)</f>
        <v>0</v>
      </c>
      <c r="J294" s="179">
        <f ca="1">IF(ISNUMBER(MATCH(DATEVALUE($A294),'recurring1_based on steps'!J$1:J$400,0)),J$2,)</f>
        <v>0</v>
      </c>
      <c r="K294" s="179">
        <f ca="1">IF(ISNUMBER(MATCH(DATEVALUE($A294),'recurring1_based on steps'!K$1:K$400,0)),K$2,)</f>
        <v>0</v>
      </c>
      <c r="L294" s="179">
        <f ca="1">IF(ISNUMBER(MATCH(DATEVALUE($A294),'recurring1_based on steps'!L$1:L$400,0)),L$2,)</f>
        <v>0</v>
      </c>
      <c r="M294" s="179">
        <f ca="1">IF(ISNUMBER(MATCH(DATEVALUE($A294),'recurring1_based on steps'!M$1:M$400,0)),M$2,)</f>
        <v>0</v>
      </c>
      <c r="N294" s="179">
        <f ca="1">IF(ISNUMBER(MATCH(DATEVALUE($A294),'recurring1_based on steps'!N$1:N$400,0)),N$2,)</f>
        <v>0</v>
      </c>
      <c r="O294" s="179">
        <f ca="1">IF(ISNUMBER(MATCH(DATEVALUE($A294),'recurring1_based on steps'!O$1:O$400,0)),O$2,)</f>
        <v>0</v>
      </c>
      <c r="P294" s="179">
        <f ca="1">IF(ISNUMBER(MATCH(DATEVALUE($A294),'recurring1_based on steps'!P$1:P$400,0)),P$2,)</f>
        <v>0</v>
      </c>
      <c r="Q294" s="179">
        <f ca="1">IF(ISNUMBER(MATCH(DATEVALUE($A294),'recurring1_based on steps'!Q$1:Q$400,0)),Q$2,)</f>
        <v>0</v>
      </c>
      <c r="R294" s="179">
        <f ca="1">IF(ISNUMBER(MATCH(DATEVALUE($A294),'recurring1_based on steps'!R$1:R$400,0)),R$2,)</f>
        <v>0</v>
      </c>
      <c r="S294" s="179">
        <f ca="1">IF(ISNUMBER(MATCH(DATEVALUE($A294),'recurring1_based on steps'!S$1:S$400,0)),S$2,)</f>
        <v>0</v>
      </c>
      <c r="T294" s="179">
        <f ca="1">IF(ISNUMBER(MATCH(DATEVALUE($A294),'recurring1_based on steps'!T$1:T$400,0)),T$2,)</f>
        <v>0</v>
      </c>
      <c r="U294" s="179">
        <f ca="1">IF(ISNUMBER(MATCH(DATEVALUE($A294),'recurring1_based on steps'!U$1:U$400,0)),U$2,)</f>
        <v>0</v>
      </c>
      <c r="V294" s="179">
        <f ca="1">IF(ISNUMBER(MATCH(DATEVALUE($A294),'recurring1_based on steps'!V$1:V$400,0)),V$2,)</f>
        <v>0</v>
      </c>
      <c r="W294" s="179">
        <f ca="1">IF(ISNUMBER(MATCH(DATEVALUE($A294),'recurring1_based on steps'!W$1:W$400,0)),W$2,)</f>
        <v>0</v>
      </c>
      <c r="X294" s="179">
        <f ca="1">IF(ISNUMBER(MATCH(DATEVALUE($A294),'recurring1_based on steps'!X$1:X$400,0)),X$2,)</f>
        <v>0</v>
      </c>
      <c r="Y294" s="179">
        <f ca="1">IF(ISNUMBER(MATCH(DATEVALUE($A294),'recurring1_based on steps'!Y$1:Y$400,0)),Y$2,)</f>
        <v>0</v>
      </c>
      <c r="Z294" s="179">
        <f ca="1">IF(ISNUMBER(MATCH(DATEVALUE($A294),'recurring1_based on steps'!Z$1:Z$400,0)),Z$2,)</f>
        <v>0</v>
      </c>
      <c r="AA294" s="179">
        <f ca="1">IF(ISNUMBER(MATCH(DATEVALUE($A294),'recurring1_based on steps'!AA$1:AA$400,0)),AA$2,)</f>
        <v>0</v>
      </c>
      <c r="AB294" s="179">
        <f ca="1">IF(ISNUMBER(MATCH(DATEVALUE($A294),'recurring1_based on steps'!AB$1:AB$400,0)),AB$2,)</f>
        <v>0</v>
      </c>
      <c r="AC294" s="179">
        <f ca="1">IF(ISNUMBER(MATCH(DATEVALUE($A294),'recurring1_based on steps'!AC$1:AC$400,0)),AC$2,)</f>
        <v>0</v>
      </c>
      <c r="AD294" s="179">
        <f ca="1">IF(ISNUMBER(MATCH(DATEVALUE($A294),'recurring1_based on steps'!AD$1:AD$400,0)),AD$2,)</f>
        <v>0</v>
      </c>
      <c r="AE294" s="179">
        <f ca="1">IF(ISNUMBER(MATCH(DATEVALUE($A294),'recurring1_based on steps'!AE$1:AE$400,0)),AE$2,)</f>
        <v>0</v>
      </c>
      <c r="AF294" s="179">
        <f ca="1">IF(ISNUMBER(MATCH(DATEVALUE($A294),'recurring1_based on steps'!AF$1:AF$400,0)),AF$2,)</f>
        <v>0</v>
      </c>
      <c r="AG294" s="179">
        <f ca="1">IF(ISNUMBER(MATCH(DATEVALUE($A294),'recurring1_based on steps'!AG$1:AG$400,0)),AG$2,)</f>
        <v>0</v>
      </c>
      <c r="AH294" s="179">
        <f ca="1">IF(ISNUMBER(MATCH(DATEVALUE($A294),'recurring1_based on steps'!AH$1:AH$400,0)),AH$2,)</f>
        <v>0</v>
      </c>
      <c r="AI294" s="179">
        <f ca="1">IF(ISNUMBER(MATCH(DATEVALUE($A294),'recurring1_based on steps'!AI$1:AI$400,0)),AI$2,)</f>
        <v>0</v>
      </c>
      <c r="AJ294" s="179">
        <f ca="1">IF(ISNUMBER(MATCH(DATEVALUE($A294),'recurring1_based on steps'!AJ$1:AJ$400,0)),AJ$2,)</f>
        <v>0</v>
      </c>
      <c r="AK294" s="179">
        <f ca="1">IF(ISNUMBER(MATCH(DATEVALUE($A294),'recurring1_based on steps'!AK$1:AK$400,0)),AK$2,)</f>
        <v>0</v>
      </c>
      <c r="AL294" s="179">
        <f ca="1">IF(ISNUMBER(MATCH(DATEVALUE($A294),'recurring1_based on steps'!AL$1:AL$400,0)),AL$2,)</f>
        <v>0</v>
      </c>
      <c r="AM294" s="179">
        <f ca="1">IF(ISNUMBER(MATCH(DATEVALUE($A294),'recurring1_based on steps'!AM$1:AM$400,0)),AM$2,)</f>
        <v>0</v>
      </c>
      <c r="AN294" s="179">
        <f ca="1">IF(ISNUMBER(MATCH(DATEVALUE($A294),'recurring1_based on steps'!AN$1:AN$400,0)),AN$2,)</f>
        <v>0</v>
      </c>
      <c r="AO294" s="179">
        <f ca="1">IF(ISNUMBER(MATCH(DATEVALUE($A294),'recurring1_based on steps'!AO$1:AO$400,0)),AO$2,)</f>
        <v>0</v>
      </c>
      <c r="AP294" s="179">
        <f ca="1">IF(ISNUMBER(MATCH(DATEVALUE($A294),'recurring1_based on steps'!AP$1:AP$400,0)),AP$2,)</f>
        <v>0</v>
      </c>
      <c r="AQ294" s="179">
        <f ca="1">IF(ISNUMBER(MATCH(DATEVALUE($A294),'recurring1_based on steps'!AQ$1:AQ$400,0)),AQ$2,)</f>
        <v>0</v>
      </c>
      <c r="AR294" s="179">
        <f ca="1">IF(ISNUMBER(MATCH(DATEVALUE($A294),'recurring1_based on steps'!AR$1:AR$400,0)),AR$2,)</f>
        <v>0</v>
      </c>
      <c r="AS294" s="179">
        <f ca="1">IF(ISNUMBER(MATCH(DATEVALUE($A294),'recurring1_based on steps'!AS$1:AS$400,0)),AS$2,)</f>
        <v>0</v>
      </c>
      <c r="AT294" s="179">
        <f ca="1">IF(ISNUMBER(MATCH(DATEVALUE($A294),'recurring1_based on steps'!AT$1:AT$400,0)),AT$2,)</f>
        <v>0</v>
      </c>
      <c r="AU294" s="179">
        <f ca="1">IF(ISNUMBER(MATCH(DATEVALUE($A294),'recurring1_based on steps'!AU$1:AU$400,0)),AU$2,)</f>
        <v>0</v>
      </c>
      <c r="AV294" s="179">
        <f ca="1">IF(ISNUMBER(MATCH(DATEVALUE($A294),'recurring1_based on steps'!AV$1:AV$400,0)),AV$2,)</f>
        <v>0</v>
      </c>
      <c r="AW294" s="179">
        <f ca="1">IF(ISNUMBER(MATCH(DATEVALUE($A294),'recurring1_based on steps'!AW$1:AW$400,0)),AW$2,)</f>
        <v>0</v>
      </c>
      <c r="AX294" s="179">
        <f ca="1">IF(ISNUMBER(MATCH(DATEVALUE($A294),'recurring1_based on steps'!AX$1:AX$400,0)),AX$2,)</f>
        <v>0</v>
      </c>
      <c r="AY294" s="179">
        <f ca="1">IF(ISNUMBER(MATCH(DATEVALUE($A294),'recurring1_based on steps'!AY$1:AY$400,0)),AY$2,)</f>
        <v>0</v>
      </c>
    </row>
    <row r="295" spans="1:51" x14ac:dyDescent="0.2">
      <c r="A295" s="32" t="str">
        <f t="shared" ca="1" si="4"/>
        <v>2026-01-15</v>
      </c>
      <c r="B295" s="179">
        <f ca="1">IF(ISNUMBER(MATCH(DATEVALUE($A295),'recurring1_based on steps'!B$1:B$400,0)),B$2,)</f>
        <v>0</v>
      </c>
      <c r="C295" s="179">
        <f ca="1">IF(ISNUMBER(MATCH(DATEVALUE($A295),'recurring1_based on steps'!C$1:C$400,0)),C$2,)</f>
        <v>0</v>
      </c>
      <c r="D295" s="179">
        <f ca="1">IF(ISNUMBER(MATCH(DATEVALUE($A295),'recurring1_based on steps'!D$1:D$400,0)),D$2,)</f>
        <v>0</v>
      </c>
      <c r="E295" s="179">
        <f ca="1">IF(ISNUMBER(MATCH(DATEVALUE($A295),'recurring1_based on steps'!E$1:E$400,0)),E$2,)</f>
        <v>0</v>
      </c>
      <c r="F295" s="179">
        <f ca="1">IF(ISNUMBER(MATCH(DATEVALUE($A295),'recurring1_based on steps'!F$1:F$400,0)),F$2,)</f>
        <v>0</v>
      </c>
      <c r="G295" s="179">
        <f ca="1">IF(ISNUMBER(MATCH(DATEVALUE($A295),'recurring1_based on steps'!G$1:G$400,0)),G$2,)</f>
        <v>0</v>
      </c>
      <c r="H295" s="179">
        <f ca="1">IF(ISNUMBER(MATCH(DATEVALUE($A295),'recurring1_based on steps'!H$1:H$400,0)),H$2,)</f>
        <v>0</v>
      </c>
      <c r="I295" s="179">
        <f ca="1">IF(ISNUMBER(MATCH(DATEVALUE($A295),'recurring1_based on steps'!I$1:I$400,0)),I$2,)</f>
        <v>0</v>
      </c>
      <c r="J295" s="179">
        <f ca="1">IF(ISNUMBER(MATCH(DATEVALUE($A295),'recurring1_based on steps'!J$1:J$400,0)),J$2,)</f>
        <v>0</v>
      </c>
      <c r="K295" s="179">
        <f ca="1">IF(ISNUMBER(MATCH(DATEVALUE($A295),'recurring1_based on steps'!K$1:K$400,0)),K$2,)</f>
        <v>0</v>
      </c>
      <c r="L295" s="179">
        <f ca="1">IF(ISNUMBER(MATCH(DATEVALUE($A295),'recurring1_based on steps'!L$1:L$400,0)),L$2,)</f>
        <v>0</v>
      </c>
      <c r="M295" s="179">
        <f ca="1">IF(ISNUMBER(MATCH(DATEVALUE($A295),'recurring1_based on steps'!M$1:M$400,0)),M$2,)</f>
        <v>0</v>
      </c>
      <c r="N295" s="179">
        <f ca="1">IF(ISNUMBER(MATCH(DATEVALUE($A295),'recurring1_based on steps'!N$1:N$400,0)),N$2,)</f>
        <v>0</v>
      </c>
      <c r="O295" s="179">
        <f ca="1">IF(ISNUMBER(MATCH(DATEVALUE($A295),'recurring1_based on steps'!O$1:O$400,0)),O$2,)</f>
        <v>0</v>
      </c>
      <c r="P295" s="179">
        <f ca="1">IF(ISNUMBER(MATCH(DATEVALUE($A295),'recurring1_based on steps'!P$1:P$400,0)),P$2,)</f>
        <v>0</v>
      </c>
      <c r="Q295" s="179">
        <f ca="1">IF(ISNUMBER(MATCH(DATEVALUE($A295),'recurring1_based on steps'!Q$1:Q$400,0)),Q$2,)</f>
        <v>0</v>
      </c>
      <c r="R295" s="179">
        <f ca="1">IF(ISNUMBER(MATCH(DATEVALUE($A295),'recurring1_based on steps'!R$1:R$400,0)),R$2,)</f>
        <v>0</v>
      </c>
      <c r="S295" s="179">
        <f ca="1">IF(ISNUMBER(MATCH(DATEVALUE($A295),'recurring1_based on steps'!S$1:S$400,0)),S$2,)</f>
        <v>0</v>
      </c>
      <c r="T295" s="179">
        <f ca="1">IF(ISNUMBER(MATCH(DATEVALUE($A295),'recurring1_based on steps'!T$1:T$400,0)),T$2,)</f>
        <v>0</v>
      </c>
      <c r="U295" s="179">
        <f ca="1">IF(ISNUMBER(MATCH(DATEVALUE($A295),'recurring1_based on steps'!U$1:U$400,0)),U$2,)</f>
        <v>0</v>
      </c>
      <c r="V295" s="179">
        <f ca="1">IF(ISNUMBER(MATCH(DATEVALUE($A295),'recurring1_based on steps'!V$1:V$400,0)),V$2,)</f>
        <v>0</v>
      </c>
      <c r="W295" s="179">
        <f ca="1">IF(ISNUMBER(MATCH(DATEVALUE($A295),'recurring1_based on steps'!W$1:W$400,0)),W$2,)</f>
        <v>0</v>
      </c>
      <c r="X295" s="179">
        <f ca="1">IF(ISNUMBER(MATCH(DATEVALUE($A295),'recurring1_based on steps'!X$1:X$400,0)),X$2,)</f>
        <v>0</v>
      </c>
      <c r="Y295" s="179">
        <f ca="1">IF(ISNUMBER(MATCH(DATEVALUE($A295),'recurring1_based on steps'!Y$1:Y$400,0)),Y$2,)</f>
        <v>0</v>
      </c>
      <c r="Z295" s="179">
        <f ca="1">IF(ISNUMBER(MATCH(DATEVALUE($A295),'recurring1_based on steps'!Z$1:Z$400,0)),Z$2,)</f>
        <v>0</v>
      </c>
      <c r="AA295" s="179">
        <f ca="1">IF(ISNUMBER(MATCH(DATEVALUE($A295),'recurring1_based on steps'!AA$1:AA$400,0)),AA$2,)</f>
        <v>0</v>
      </c>
      <c r="AB295" s="179">
        <f ca="1">IF(ISNUMBER(MATCH(DATEVALUE($A295),'recurring1_based on steps'!AB$1:AB$400,0)),AB$2,)</f>
        <v>0</v>
      </c>
      <c r="AC295" s="179">
        <f ca="1">IF(ISNUMBER(MATCH(DATEVALUE($A295),'recurring1_based on steps'!AC$1:AC$400,0)),AC$2,)</f>
        <v>0</v>
      </c>
      <c r="AD295" s="179">
        <f ca="1">IF(ISNUMBER(MATCH(DATEVALUE($A295),'recurring1_based on steps'!AD$1:AD$400,0)),AD$2,)</f>
        <v>0</v>
      </c>
      <c r="AE295" s="179">
        <f ca="1">IF(ISNUMBER(MATCH(DATEVALUE($A295),'recurring1_based on steps'!AE$1:AE$400,0)),AE$2,)</f>
        <v>0</v>
      </c>
      <c r="AF295" s="179">
        <f ca="1">IF(ISNUMBER(MATCH(DATEVALUE($A295),'recurring1_based on steps'!AF$1:AF$400,0)),AF$2,)</f>
        <v>0</v>
      </c>
      <c r="AG295" s="179">
        <f ca="1">IF(ISNUMBER(MATCH(DATEVALUE($A295),'recurring1_based on steps'!AG$1:AG$400,0)),AG$2,)</f>
        <v>0</v>
      </c>
      <c r="AH295" s="179">
        <f ca="1">IF(ISNUMBER(MATCH(DATEVALUE($A295),'recurring1_based on steps'!AH$1:AH$400,0)),AH$2,)</f>
        <v>0</v>
      </c>
      <c r="AI295" s="179">
        <f ca="1">IF(ISNUMBER(MATCH(DATEVALUE($A295),'recurring1_based on steps'!AI$1:AI$400,0)),AI$2,)</f>
        <v>0</v>
      </c>
      <c r="AJ295" s="179">
        <f ca="1">IF(ISNUMBER(MATCH(DATEVALUE($A295),'recurring1_based on steps'!AJ$1:AJ$400,0)),AJ$2,)</f>
        <v>0</v>
      </c>
      <c r="AK295" s="179">
        <f ca="1">IF(ISNUMBER(MATCH(DATEVALUE($A295),'recurring1_based on steps'!AK$1:AK$400,0)),AK$2,)</f>
        <v>0</v>
      </c>
      <c r="AL295" s="179">
        <f ca="1">IF(ISNUMBER(MATCH(DATEVALUE($A295),'recurring1_based on steps'!AL$1:AL$400,0)),AL$2,)</f>
        <v>0</v>
      </c>
      <c r="AM295" s="179">
        <f ca="1">IF(ISNUMBER(MATCH(DATEVALUE($A295),'recurring1_based on steps'!AM$1:AM$400,0)),AM$2,)</f>
        <v>0</v>
      </c>
      <c r="AN295" s="179">
        <f ca="1">IF(ISNUMBER(MATCH(DATEVALUE($A295),'recurring1_based on steps'!AN$1:AN$400,0)),AN$2,)</f>
        <v>0</v>
      </c>
      <c r="AO295" s="179">
        <f ca="1">IF(ISNUMBER(MATCH(DATEVALUE($A295),'recurring1_based on steps'!AO$1:AO$400,0)),AO$2,)</f>
        <v>0</v>
      </c>
      <c r="AP295" s="179">
        <f ca="1">IF(ISNUMBER(MATCH(DATEVALUE($A295),'recurring1_based on steps'!AP$1:AP$400,0)),AP$2,)</f>
        <v>0</v>
      </c>
      <c r="AQ295" s="179">
        <f ca="1">IF(ISNUMBER(MATCH(DATEVALUE($A295),'recurring1_based on steps'!AQ$1:AQ$400,0)),AQ$2,)</f>
        <v>0</v>
      </c>
      <c r="AR295" s="179">
        <f ca="1">IF(ISNUMBER(MATCH(DATEVALUE($A295),'recurring1_based on steps'!AR$1:AR$400,0)),AR$2,)</f>
        <v>0</v>
      </c>
      <c r="AS295" s="179">
        <f ca="1">IF(ISNUMBER(MATCH(DATEVALUE($A295),'recurring1_based on steps'!AS$1:AS$400,0)),AS$2,)</f>
        <v>0</v>
      </c>
      <c r="AT295" s="179">
        <f ca="1">IF(ISNUMBER(MATCH(DATEVALUE($A295),'recurring1_based on steps'!AT$1:AT$400,0)),AT$2,)</f>
        <v>0</v>
      </c>
      <c r="AU295" s="179">
        <f ca="1">IF(ISNUMBER(MATCH(DATEVALUE($A295),'recurring1_based on steps'!AU$1:AU$400,0)),AU$2,)</f>
        <v>0</v>
      </c>
      <c r="AV295" s="179">
        <f ca="1">IF(ISNUMBER(MATCH(DATEVALUE($A295),'recurring1_based on steps'!AV$1:AV$400,0)),AV$2,)</f>
        <v>0</v>
      </c>
      <c r="AW295" s="179">
        <f ca="1">IF(ISNUMBER(MATCH(DATEVALUE($A295),'recurring1_based on steps'!AW$1:AW$400,0)),AW$2,)</f>
        <v>0</v>
      </c>
      <c r="AX295" s="179">
        <f ca="1">IF(ISNUMBER(MATCH(DATEVALUE($A295),'recurring1_based on steps'!AX$1:AX$400,0)),AX$2,)</f>
        <v>0</v>
      </c>
      <c r="AY295" s="179">
        <f ca="1">IF(ISNUMBER(MATCH(DATEVALUE($A295),'recurring1_based on steps'!AY$1:AY$400,0)),AY$2,)</f>
        <v>0</v>
      </c>
    </row>
    <row r="296" spans="1:51" x14ac:dyDescent="0.2">
      <c r="A296" s="32" t="str">
        <f t="shared" ca="1" si="4"/>
        <v>2026-01-16</v>
      </c>
      <c r="B296" s="179">
        <f ca="1">IF(ISNUMBER(MATCH(DATEVALUE($A296),'recurring1_based on steps'!B$1:B$400,0)),B$2,)</f>
        <v>0</v>
      </c>
      <c r="C296" s="179">
        <f ca="1">IF(ISNUMBER(MATCH(DATEVALUE($A296),'recurring1_based on steps'!C$1:C$400,0)),C$2,)</f>
        <v>0</v>
      </c>
      <c r="D296" s="179">
        <f ca="1">IF(ISNUMBER(MATCH(DATEVALUE($A296),'recurring1_based on steps'!D$1:D$400,0)),D$2,)</f>
        <v>0</v>
      </c>
      <c r="E296" s="179">
        <f ca="1">IF(ISNUMBER(MATCH(DATEVALUE($A296),'recurring1_based on steps'!E$1:E$400,0)),E$2,)</f>
        <v>0</v>
      </c>
      <c r="F296" s="179">
        <f ca="1">IF(ISNUMBER(MATCH(DATEVALUE($A296),'recurring1_based on steps'!F$1:F$400,0)),F$2,)</f>
        <v>0</v>
      </c>
      <c r="G296" s="179">
        <f ca="1">IF(ISNUMBER(MATCH(DATEVALUE($A296),'recurring1_based on steps'!G$1:G$400,0)),G$2,)</f>
        <v>0</v>
      </c>
      <c r="H296" s="179">
        <f ca="1">IF(ISNUMBER(MATCH(DATEVALUE($A296),'recurring1_based on steps'!H$1:H$400,0)),H$2,)</f>
        <v>0</v>
      </c>
      <c r="I296" s="179">
        <f ca="1">IF(ISNUMBER(MATCH(DATEVALUE($A296),'recurring1_based on steps'!I$1:I$400,0)),I$2,)</f>
        <v>0</v>
      </c>
      <c r="J296" s="179">
        <f ca="1">IF(ISNUMBER(MATCH(DATEVALUE($A296),'recurring1_based on steps'!J$1:J$400,0)),J$2,)</f>
        <v>0</v>
      </c>
      <c r="K296" s="179">
        <f ca="1">IF(ISNUMBER(MATCH(DATEVALUE($A296),'recurring1_based on steps'!K$1:K$400,0)),K$2,)</f>
        <v>0</v>
      </c>
      <c r="L296" s="179">
        <f ca="1">IF(ISNUMBER(MATCH(DATEVALUE($A296),'recurring1_based on steps'!L$1:L$400,0)),L$2,)</f>
        <v>0</v>
      </c>
      <c r="M296" s="179">
        <f ca="1">IF(ISNUMBER(MATCH(DATEVALUE($A296),'recurring1_based on steps'!M$1:M$400,0)),M$2,)</f>
        <v>0</v>
      </c>
      <c r="N296" s="179">
        <f ca="1">IF(ISNUMBER(MATCH(DATEVALUE($A296),'recurring1_based on steps'!N$1:N$400,0)),N$2,)</f>
        <v>0</v>
      </c>
      <c r="O296" s="179">
        <f ca="1">IF(ISNUMBER(MATCH(DATEVALUE($A296),'recurring1_based on steps'!O$1:O$400,0)),O$2,)</f>
        <v>0</v>
      </c>
      <c r="P296" s="179">
        <f ca="1">IF(ISNUMBER(MATCH(DATEVALUE($A296),'recurring1_based on steps'!P$1:P$400,0)),P$2,)</f>
        <v>0</v>
      </c>
      <c r="Q296" s="179">
        <f ca="1">IF(ISNUMBER(MATCH(DATEVALUE($A296),'recurring1_based on steps'!Q$1:Q$400,0)),Q$2,)</f>
        <v>0</v>
      </c>
      <c r="R296" s="179">
        <f ca="1">IF(ISNUMBER(MATCH(DATEVALUE($A296),'recurring1_based on steps'!R$1:R$400,0)),R$2,)</f>
        <v>0</v>
      </c>
      <c r="S296" s="179">
        <f ca="1">IF(ISNUMBER(MATCH(DATEVALUE($A296),'recurring1_based on steps'!S$1:S$400,0)),S$2,)</f>
        <v>0</v>
      </c>
      <c r="T296" s="179">
        <f ca="1">IF(ISNUMBER(MATCH(DATEVALUE($A296),'recurring1_based on steps'!T$1:T$400,0)),T$2,)</f>
        <v>0</v>
      </c>
      <c r="U296" s="179">
        <f ca="1">IF(ISNUMBER(MATCH(DATEVALUE($A296),'recurring1_based on steps'!U$1:U$400,0)),U$2,)</f>
        <v>0</v>
      </c>
      <c r="V296" s="179">
        <f ca="1">IF(ISNUMBER(MATCH(DATEVALUE($A296),'recurring1_based on steps'!V$1:V$400,0)),V$2,)</f>
        <v>0</v>
      </c>
      <c r="W296" s="179">
        <f ca="1">IF(ISNUMBER(MATCH(DATEVALUE($A296),'recurring1_based on steps'!W$1:W$400,0)),W$2,)</f>
        <v>0</v>
      </c>
      <c r="X296" s="179">
        <f ca="1">IF(ISNUMBER(MATCH(DATEVALUE($A296),'recurring1_based on steps'!X$1:X$400,0)),X$2,)</f>
        <v>0</v>
      </c>
      <c r="Y296" s="179">
        <f ca="1">IF(ISNUMBER(MATCH(DATEVALUE($A296),'recurring1_based on steps'!Y$1:Y$400,0)),Y$2,)</f>
        <v>0</v>
      </c>
      <c r="Z296" s="179">
        <f ca="1">IF(ISNUMBER(MATCH(DATEVALUE($A296),'recurring1_based on steps'!Z$1:Z$400,0)),Z$2,)</f>
        <v>0</v>
      </c>
      <c r="AA296" s="179">
        <f ca="1">IF(ISNUMBER(MATCH(DATEVALUE($A296),'recurring1_based on steps'!AA$1:AA$400,0)),AA$2,)</f>
        <v>0</v>
      </c>
      <c r="AB296" s="179">
        <f ca="1">IF(ISNUMBER(MATCH(DATEVALUE($A296),'recurring1_based on steps'!AB$1:AB$400,0)),AB$2,)</f>
        <v>0</v>
      </c>
      <c r="AC296" s="179">
        <f ca="1">IF(ISNUMBER(MATCH(DATEVALUE($A296),'recurring1_based on steps'!AC$1:AC$400,0)),AC$2,)</f>
        <v>0</v>
      </c>
      <c r="AD296" s="179">
        <f ca="1">IF(ISNUMBER(MATCH(DATEVALUE($A296),'recurring1_based on steps'!AD$1:AD$400,0)),AD$2,)</f>
        <v>0</v>
      </c>
      <c r="AE296" s="179">
        <f ca="1">IF(ISNUMBER(MATCH(DATEVALUE($A296),'recurring1_based on steps'!AE$1:AE$400,0)),AE$2,)</f>
        <v>0</v>
      </c>
      <c r="AF296" s="179">
        <f ca="1">IF(ISNUMBER(MATCH(DATEVALUE($A296),'recurring1_based on steps'!AF$1:AF$400,0)),AF$2,)</f>
        <v>0</v>
      </c>
      <c r="AG296" s="179">
        <f ca="1">IF(ISNUMBER(MATCH(DATEVALUE($A296),'recurring1_based on steps'!AG$1:AG$400,0)),AG$2,)</f>
        <v>0</v>
      </c>
      <c r="AH296" s="179">
        <f ca="1">IF(ISNUMBER(MATCH(DATEVALUE($A296),'recurring1_based on steps'!AH$1:AH$400,0)),AH$2,)</f>
        <v>0</v>
      </c>
      <c r="AI296" s="179">
        <f ca="1">IF(ISNUMBER(MATCH(DATEVALUE($A296),'recurring1_based on steps'!AI$1:AI$400,0)),AI$2,)</f>
        <v>0</v>
      </c>
      <c r="AJ296" s="179">
        <f ca="1">IF(ISNUMBER(MATCH(DATEVALUE($A296),'recurring1_based on steps'!AJ$1:AJ$400,0)),AJ$2,)</f>
        <v>0</v>
      </c>
      <c r="AK296" s="179">
        <f ca="1">IF(ISNUMBER(MATCH(DATEVALUE($A296),'recurring1_based on steps'!AK$1:AK$400,0)),AK$2,)</f>
        <v>0</v>
      </c>
      <c r="AL296" s="179">
        <f ca="1">IF(ISNUMBER(MATCH(DATEVALUE($A296),'recurring1_based on steps'!AL$1:AL$400,0)),AL$2,)</f>
        <v>0</v>
      </c>
      <c r="AM296" s="179">
        <f ca="1">IF(ISNUMBER(MATCH(DATEVALUE($A296),'recurring1_based on steps'!AM$1:AM$400,0)),AM$2,)</f>
        <v>0</v>
      </c>
      <c r="AN296" s="179">
        <f ca="1">IF(ISNUMBER(MATCH(DATEVALUE($A296),'recurring1_based on steps'!AN$1:AN$400,0)),AN$2,)</f>
        <v>0</v>
      </c>
      <c r="AO296" s="179">
        <f ca="1">IF(ISNUMBER(MATCH(DATEVALUE($A296),'recurring1_based on steps'!AO$1:AO$400,0)),AO$2,)</f>
        <v>0</v>
      </c>
      <c r="AP296" s="179">
        <f ca="1">IF(ISNUMBER(MATCH(DATEVALUE($A296),'recurring1_based on steps'!AP$1:AP$400,0)),AP$2,)</f>
        <v>0</v>
      </c>
      <c r="AQ296" s="179">
        <f ca="1">IF(ISNUMBER(MATCH(DATEVALUE($A296),'recurring1_based on steps'!AQ$1:AQ$400,0)),AQ$2,)</f>
        <v>0</v>
      </c>
      <c r="AR296" s="179">
        <f ca="1">IF(ISNUMBER(MATCH(DATEVALUE($A296),'recurring1_based on steps'!AR$1:AR$400,0)),AR$2,)</f>
        <v>0</v>
      </c>
      <c r="AS296" s="179">
        <f ca="1">IF(ISNUMBER(MATCH(DATEVALUE($A296),'recurring1_based on steps'!AS$1:AS$400,0)),AS$2,)</f>
        <v>0</v>
      </c>
      <c r="AT296" s="179">
        <f ca="1">IF(ISNUMBER(MATCH(DATEVALUE($A296),'recurring1_based on steps'!AT$1:AT$400,0)),AT$2,)</f>
        <v>0</v>
      </c>
      <c r="AU296" s="179">
        <f ca="1">IF(ISNUMBER(MATCH(DATEVALUE($A296),'recurring1_based on steps'!AU$1:AU$400,0)),AU$2,)</f>
        <v>0</v>
      </c>
      <c r="AV296" s="179">
        <f ca="1">IF(ISNUMBER(MATCH(DATEVALUE($A296),'recurring1_based on steps'!AV$1:AV$400,0)),AV$2,)</f>
        <v>0</v>
      </c>
      <c r="AW296" s="179">
        <f ca="1">IF(ISNUMBER(MATCH(DATEVALUE($A296),'recurring1_based on steps'!AW$1:AW$400,0)),AW$2,)</f>
        <v>0</v>
      </c>
      <c r="AX296" s="179">
        <f ca="1">IF(ISNUMBER(MATCH(DATEVALUE($A296),'recurring1_based on steps'!AX$1:AX$400,0)),AX$2,)</f>
        <v>0</v>
      </c>
      <c r="AY296" s="179">
        <f ca="1">IF(ISNUMBER(MATCH(DATEVALUE($A296),'recurring1_based on steps'!AY$1:AY$400,0)),AY$2,)</f>
        <v>0</v>
      </c>
    </row>
    <row r="297" spans="1:51" x14ac:dyDescent="0.2">
      <c r="A297" s="32" t="str">
        <f t="shared" ca="1" si="4"/>
        <v>2026-01-17</v>
      </c>
      <c r="B297" s="179">
        <f ca="1">IF(ISNUMBER(MATCH(DATEVALUE($A297),'recurring1_based on steps'!B$1:B$400,0)),B$2,)</f>
        <v>0</v>
      </c>
      <c r="C297" s="179">
        <f ca="1">IF(ISNUMBER(MATCH(DATEVALUE($A297),'recurring1_based on steps'!C$1:C$400,0)),C$2,)</f>
        <v>0</v>
      </c>
      <c r="D297" s="179">
        <f ca="1">IF(ISNUMBER(MATCH(DATEVALUE($A297),'recurring1_based on steps'!D$1:D$400,0)),D$2,)</f>
        <v>0</v>
      </c>
      <c r="E297" s="179">
        <f ca="1">IF(ISNUMBER(MATCH(DATEVALUE($A297),'recurring1_based on steps'!E$1:E$400,0)),E$2,)</f>
        <v>0</v>
      </c>
      <c r="F297" s="179">
        <f ca="1">IF(ISNUMBER(MATCH(DATEVALUE($A297),'recurring1_based on steps'!F$1:F$400,0)),F$2,)</f>
        <v>0</v>
      </c>
      <c r="G297" s="179">
        <f ca="1">IF(ISNUMBER(MATCH(DATEVALUE($A297),'recurring1_based on steps'!G$1:G$400,0)),G$2,)</f>
        <v>0</v>
      </c>
      <c r="H297" s="179">
        <f ca="1">IF(ISNUMBER(MATCH(DATEVALUE($A297),'recurring1_based on steps'!H$1:H$400,0)),H$2,)</f>
        <v>0</v>
      </c>
      <c r="I297" s="179">
        <f ca="1">IF(ISNUMBER(MATCH(DATEVALUE($A297),'recurring1_based on steps'!I$1:I$400,0)),I$2,)</f>
        <v>0</v>
      </c>
      <c r="J297" s="179">
        <f ca="1">IF(ISNUMBER(MATCH(DATEVALUE($A297),'recurring1_based on steps'!J$1:J$400,0)),J$2,)</f>
        <v>0</v>
      </c>
      <c r="K297" s="179">
        <f ca="1">IF(ISNUMBER(MATCH(DATEVALUE($A297),'recurring1_based on steps'!K$1:K$400,0)),K$2,)</f>
        <v>0</v>
      </c>
      <c r="L297" s="179">
        <f ca="1">IF(ISNUMBER(MATCH(DATEVALUE($A297),'recurring1_based on steps'!L$1:L$400,0)),L$2,)</f>
        <v>0</v>
      </c>
      <c r="M297" s="179">
        <f ca="1">IF(ISNUMBER(MATCH(DATEVALUE($A297),'recurring1_based on steps'!M$1:M$400,0)),M$2,)</f>
        <v>0</v>
      </c>
      <c r="N297" s="179">
        <f ca="1">IF(ISNUMBER(MATCH(DATEVALUE($A297),'recurring1_based on steps'!N$1:N$400,0)),N$2,)</f>
        <v>0</v>
      </c>
      <c r="O297" s="179">
        <f ca="1">IF(ISNUMBER(MATCH(DATEVALUE($A297),'recurring1_based on steps'!O$1:O$400,0)),O$2,)</f>
        <v>0</v>
      </c>
      <c r="P297" s="179">
        <f ca="1">IF(ISNUMBER(MATCH(DATEVALUE($A297),'recurring1_based on steps'!P$1:P$400,0)),P$2,)</f>
        <v>0</v>
      </c>
      <c r="Q297" s="179">
        <f ca="1">IF(ISNUMBER(MATCH(DATEVALUE($A297),'recurring1_based on steps'!Q$1:Q$400,0)),Q$2,)</f>
        <v>0</v>
      </c>
      <c r="R297" s="179">
        <f ca="1">IF(ISNUMBER(MATCH(DATEVALUE($A297),'recurring1_based on steps'!R$1:R$400,0)),R$2,)</f>
        <v>0</v>
      </c>
      <c r="S297" s="179">
        <f ca="1">IF(ISNUMBER(MATCH(DATEVALUE($A297),'recurring1_based on steps'!S$1:S$400,0)),S$2,)</f>
        <v>0</v>
      </c>
      <c r="T297" s="179">
        <f ca="1">IF(ISNUMBER(MATCH(DATEVALUE($A297),'recurring1_based on steps'!T$1:T$400,0)),T$2,)</f>
        <v>0</v>
      </c>
      <c r="U297" s="179">
        <f ca="1">IF(ISNUMBER(MATCH(DATEVALUE($A297),'recurring1_based on steps'!U$1:U$400,0)),U$2,)</f>
        <v>0</v>
      </c>
      <c r="V297" s="179">
        <f ca="1">IF(ISNUMBER(MATCH(DATEVALUE($A297),'recurring1_based on steps'!V$1:V$400,0)),V$2,)</f>
        <v>0</v>
      </c>
      <c r="W297" s="179">
        <f ca="1">IF(ISNUMBER(MATCH(DATEVALUE($A297),'recurring1_based on steps'!W$1:W$400,0)),W$2,)</f>
        <v>0</v>
      </c>
      <c r="X297" s="179">
        <f ca="1">IF(ISNUMBER(MATCH(DATEVALUE($A297),'recurring1_based on steps'!X$1:X$400,0)),X$2,)</f>
        <v>0</v>
      </c>
      <c r="Y297" s="179">
        <f ca="1">IF(ISNUMBER(MATCH(DATEVALUE($A297),'recurring1_based on steps'!Y$1:Y$400,0)),Y$2,)</f>
        <v>0</v>
      </c>
      <c r="Z297" s="179">
        <f ca="1">IF(ISNUMBER(MATCH(DATEVALUE($A297),'recurring1_based on steps'!Z$1:Z$400,0)),Z$2,)</f>
        <v>0</v>
      </c>
      <c r="AA297" s="179">
        <f ca="1">IF(ISNUMBER(MATCH(DATEVALUE($A297),'recurring1_based on steps'!AA$1:AA$400,0)),AA$2,)</f>
        <v>0</v>
      </c>
      <c r="AB297" s="179">
        <f ca="1">IF(ISNUMBER(MATCH(DATEVALUE($A297),'recurring1_based on steps'!AB$1:AB$400,0)),AB$2,)</f>
        <v>0</v>
      </c>
      <c r="AC297" s="179">
        <f ca="1">IF(ISNUMBER(MATCH(DATEVALUE($A297),'recurring1_based on steps'!AC$1:AC$400,0)),AC$2,)</f>
        <v>0</v>
      </c>
      <c r="AD297" s="179">
        <f ca="1">IF(ISNUMBER(MATCH(DATEVALUE($A297),'recurring1_based on steps'!AD$1:AD$400,0)),AD$2,)</f>
        <v>0</v>
      </c>
      <c r="AE297" s="179">
        <f ca="1">IF(ISNUMBER(MATCH(DATEVALUE($A297),'recurring1_based on steps'!AE$1:AE$400,0)),AE$2,)</f>
        <v>0</v>
      </c>
      <c r="AF297" s="179">
        <f ca="1">IF(ISNUMBER(MATCH(DATEVALUE($A297),'recurring1_based on steps'!AF$1:AF$400,0)),AF$2,)</f>
        <v>0</v>
      </c>
      <c r="AG297" s="179">
        <f ca="1">IF(ISNUMBER(MATCH(DATEVALUE($A297),'recurring1_based on steps'!AG$1:AG$400,0)),AG$2,)</f>
        <v>0</v>
      </c>
      <c r="AH297" s="179">
        <f ca="1">IF(ISNUMBER(MATCH(DATEVALUE($A297),'recurring1_based on steps'!AH$1:AH$400,0)),AH$2,)</f>
        <v>0</v>
      </c>
      <c r="AI297" s="179">
        <f ca="1">IF(ISNUMBER(MATCH(DATEVALUE($A297),'recurring1_based on steps'!AI$1:AI$400,0)),AI$2,)</f>
        <v>0</v>
      </c>
      <c r="AJ297" s="179">
        <f ca="1">IF(ISNUMBER(MATCH(DATEVALUE($A297),'recurring1_based on steps'!AJ$1:AJ$400,0)),AJ$2,)</f>
        <v>0</v>
      </c>
      <c r="AK297" s="179">
        <f ca="1">IF(ISNUMBER(MATCH(DATEVALUE($A297),'recurring1_based on steps'!AK$1:AK$400,0)),AK$2,)</f>
        <v>0</v>
      </c>
      <c r="AL297" s="179">
        <f ca="1">IF(ISNUMBER(MATCH(DATEVALUE($A297),'recurring1_based on steps'!AL$1:AL$400,0)),AL$2,)</f>
        <v>0</v>
      </c>
      <c r="AM297" s="179">
        <f ca="1">IF(ISNUMBER(MATCH(DATEVALUE($A297),'recurring1_based on steps'!AM$1:AM$400,0)),AM$2,)</f>
        <v>0</v>
      </c>
      <c r="AN297" s="179">
        <f ca="1">IF(ISNUMBER(MATCH(DATEVALUE($A297),'recurring1_based on steps'!AN$1:AN$400,0)),AN$2,)</f>
        <v>0</v>
      </c>
      <c r="AO297" s="179">
        <f ca="1">IF(ISNUMBER(MATCH(DATEVALUE($A297),'recurring1_based on steps'!AO$1:AO$400,0)),AO$2,)</f>
        <v>0</v>
      </c>
      <c r="AP297" s="179">
        <f ca="1">IF(ISNUMBER(MATCH(DATEVALUE($A297),'recurring1_based on steps'!AP$1:AP$400,0)),AP$2,)</f>
        <v>0</v>
      </c>
      <c r="AQ297" s="179">
        <f ca="1">IF(ISNUMBER(MATCH(DATEVALUE($A297),'recurring1_based on steps'!AQ$1:AQ$400,0)),AQ$2,)</f>
        <v>0</v>
      </c>
      <c r="AR297" s="179">
        <f ca="1">IF(ISNUMBER(MATCH(DATEVALUE($A297),'recurring1_based on steps'!AR$1:AR$400,0)),AR$2,)</f>
        <v>0</v>
      </c>
      <c r="AS297" s="179">
        <f ca="1">IF(ISNUMBER(MATCH(DATEVALUE($A297),'recurring1_based on steps'!AS$1:AS$400,0)),AS$2,)</f>
        <v>0</v>
      </c>
      <c r="AT297" s="179">
        <f ca="1">IF(ISNUMBER(MATCH(DATEVALUE($A297),'recurring1_based on steps'!AT$1:AT$400,0)),AT$2,)</f>
        <v>0</v>
      </c>
      <c r="AU297" s="179">
        <f ca="1">IF(ISNUMBER(MATCH(DATEVALUE($A297),'recurring1_based on steps'!AU$1:AU$400,0)),AU$2,)</f>
        <v>0</v>
      </c>
      <c r="AV297" s="179">
        <f ca="1">IF(ISNUMBER(MATCH(DATEVALUE($A297),'recurring1_based on steps'!AV$1:AV$400,0)),AV$2,)</f>
        <v>0</v>
      </c>
      <c r="AW297" s="179">
        <f ca="1">IF(ISNUMBER(MATCH(DATEVALUE($A297),'recurring1_based on steps'!AW$1:AW$400,0)),AW$2,)</f>
        <v>0</v>
      </c>
      <c r="AX297" s="179">
        <f ca="1">IF(ISNUMBER(MATCH(DATEVALUE($A297),'recurring1_based on steps'!AX$1:AX$400,0)),AX$2,)</f>
        <v>0</v>
      </c>
      <c r="AY297" s="179">
        <f ca="1">IF(ISNUMBER(MATCH(DATEVALUE($A297),'recurring1_based on steps'!AY$1:AY$400,0)),AY$2,)</f>
        <v>0</v>
      </c>
    </row>
    <row r="298" spans="1:51" x14ac:dyDescent="0.2">
      <c r="A298" s="32" t="str">
        <f t="shared" ca="1" si="4"/>
        <v>2026-01-18</v>
      </c>
      <c r="B298" s="179">
        <f ca="1">IF(ISNUMBER(MATCH(DATEVALUE($A298),'recurring1_based on steps'!B$1:B$400,0)),B$2,)</f>
        <v>0</v>
      </c>
      <c r="C298" s="179">
        <f ca="1">IF(ISNUMBER(MATCH(DATEVALUE($A298),'recurring1_based on steps'!C$1:C$400,0)),C$2,)</f>
        <v>0</v>
      </c>
      <c r="D298" s="179">
        <f ca="1">IF(ISNUMBER(MATCH(DATEVALUE($A298),'recurring1_based on steps'!D$1:D$400,0)),D$2,)</f>
        <v>0</v>
      </c>
      <c r="E298" s="179">
        <f ca="1">IF(ISNUMBER(MATCH(DATEVALUE($A298),'recurring1_based on steps'!E$1:E$400,0)),E$2,)</f>
        <v>0</v>
      </c>
      <c r="F298" s="179">
        <f ca="1">IF(ISNUMBER(MATCH(DATEVALUE($A298),'recurring1_based on steps'!F$1:F$400,0)),F$2,)</f>
        <v>0</v>
      </c>
      <c r="G298" s="179">
        <f ca="1">IF(ISNUMBER(MATCH(DATEVALUE($A298),'recurring1_based on steps'!G$1:G$400,0)),G$2,)</f>
        <v>0</v>
      </c>
      <c r="H298" s="179">
        <f ca="1">IF(ISNUMBER(MATCH(DATEVALUE($A298),'recurring1_based on steps'!H$1:H$400,0)),H$2,)</f>
        <v>0</v>
      </c>
      <c r="I298" s="179">
        <f ca="1">IF(ISNUMBER(MATCH(DATEVALUE($A298),'recurring1_based on steps'!I$1:I$400,0)),I$2,)</f>
        <v>0</v>
      </c>
      <c r="J298" s="179">
        <f ca="1">IF(ISNUMBER(MATCH(DATEVALUE($A298),'recurring1_based on steps'!J$1:J$400,0)),J$2,)</f>
        <v>0</v>
      </c>
      <c r="K298" s="179">
        <f ca="1">IF(ISNUMBER(MATCH(DATEVALUE($A298),'recurring1_based on steps'!K$1:K$400,0)),K$2,)</f>
        <v>0</v>
      </c>
      <c r="L298" s="179">
        <f ca="1">IF(ISNUMBER(MATCH(DATEVALUE($A298),'recurring1_based on steps'!L$1:L$400,0)),L$2,)</f>
        <v>0</v>
      </c>
      <c r="M298" s="179">
        <f ca="1">IF(ISNUMBER(MATCH(DATEVALUE($A298),'recurring1_based on steps'!M$1:M$400,0)),M$2,)</f>
        <v>0</v>
      </c>
      <c r="N298" s="179">
        <f ca="1">IF(ISNUMBER(MATCH(DATEVALUE($A298),'recurring1_based on steps'!N$1:N$400,0)),N$2,)</f>
        <v>0</v>
      </c>
      <c r="O298" s="179">
        <f ca="1">IF(ISNUMBER(MATCH(DATEVALUE($A298),'recurring1_based on steps'!O$1:O$400,0)),O$2,)</f>
        <v>0</v>
      </c>
      <c r="P298" s="179">
        <f ca="1">IF(ISNUMBER(MATCH(DATEVALUE($A298),'recurring1_based on steps'!P$1:P$400,0)),P$2,)</f>
        <v>0</v>
      </c>
      <c r="Q298" s="179">
        <f ca="1">IF(ISNUMBER(MATCH(DATEVALUE($A298),'recurring1_based on steps'!Q$1:Q$400,0)),Q$2,)</f>
        <v>0</v>
      </c>
      <c r="R298" s="179">
        <f ca="1">IF(ISNUMBER(MATCH(DATEVALUE($A298),'recurring1_based on steps'!R$1:R$400,0)),R$2,)</f>
        <v>0</v>
      </c>
      <c r="S298" s="179">
        <f ca="1">IF(ISNUMBER(MATCH(DATEVALUE($A298),'recurring1_based on steps'!S$1:S$400,0)),S$2,)</f>
        <v>0</v>
      </c>
      <c r="T298" s="179">
        <f ca="1">IF(ISNUMBER(MATCH(DATEVALUE($A298),'recurring1_based on steps'!T$1:T$400,0)),T$2,)</f>
        <v>0</v>
      </c>
      <c r="U298" s="179">
        <f ca="1">IF(ISNUMBER(MATCH(DATEVALUE($A298),'recurring1_based on steps'!U$1:U$400,0)),U$2,)</f>
        <v>0</v>
      </c>
      <c r="V298" s="179">
        <f ca="1">IF(ISNUMBER(MATCH(DATEVALUE($A298),'recurring1_based on steps'!V$1:V$400,0)),V$2,)</f>
        <v>0</v>
      </c>
      <c r="W298" s="179">
        <f ca="1">IF(ISNUMBER(MATCH(DATEVALUE($A298),'recurring1_based on steps'!W$1:W$400,0)),W$2,)</f>
        <v>0</v>
      </c>
      <c r="X298" s="179">
        <f ca="1">IF(ISNUMBER(MATCH(DATEVALUE($A298),'recurring1_based on steps'!X$1:X$400,0)),X$2,)</f>
        <v>0</v>
      </c>
      <c r="Y298" s="179">
        <f ca="1">IF(ISNUMBER(MATCH(DATEVALUE($A298),'recurring1_based on steps'!Y$1:Y$400,0)),Y$2,)</f>
        <v>0</v>
      </c>
      <c r="Z298" s="179">
        <f ca="1">IF(ISNUMBER(MATCH(DATEVALUE($A298),'recurring1_based on steps'!Z$1:Z$400,0)),Z$2,)</f>
        <v>0</v>
      </c>
      <c r="AA298" s="179">
        <f ca="1">IF(ISNUMBER(MATCH(DATEVALUE($A298),'recurring1_based on steps'!AA$1:AA$400,0)),AA$2,)</f>
        <v>0</v>
      </c>
      <c r="AB298" s="179">
        <f ca="1">IF(ISNUMBER(MATCH(DATEVALUE($A298),'recurring1_based on steps'!AB$1:AB$400,0)),AB$2,)</f>
        <v>0</v>
      </c>
      <c r="AC298" s="179">
        <f ca="1">IF(ISNUMBER(MATCH(DATEVALUE($A298),'recurring1_based on steps'!AC$1:AC$400,0)),AC$2,)</f>
        <v>0</v>
      </c>
      <c r="AD298" s="179">
        <f ca="1">IF(ISNUMBER(MATCH(DATEVALUE($A298),'recurring1_based on steps'!AD$1:AD$400,0)),AD$2,)</f>
        <v>0</v>
      </c>
      <c r="AE298" s="179">
        <f ca="1">IF(ISNUMBER(MATCH(DATEVALUE($A298),'recurring1_based on steps'!AE$1:AE$400,0)),AE$2,)</f>
        <v>0</v>
      </c>
      <c r="AF298" s="179">
        <f ca="1">IF(ISNUMBER(MATCH(DATEVALUE($A298),'recurring1_based on steps'!AF$1:AF$400,0)),AF$2,)</f>
        <v>0</v>
      </c>
      <c r="AG298" s="179">
        <f ca="1">IF(ISNUMBER(MATCH(DATEVALUE($A298),'recurring1_based on steps'!AG$1:AG$400,0)),AG$2,)</f>
        <v>0</v>
      </c>
      <c r="AH298" s="179">
        <f ca="1">IF(ISNUMBER(MATCH(DATEVALUE($A298),'recurring1_based on steps'!AH$1:AH$400,0)),AH$2,)</f>
        <v>0</v>
      </c>
      <c r="AI298" s="179">
        <f ca="1">IF(ISNUMBER(MATCH(DATEVALUE($A298),'recurring1_based on steps'!AI$1:AI$400,0)),AI$2,)</f>
        <v>0</v>
      </c>
      <c r="AJ298" s="179">
        <f ca="1">IF(ISNUMBER(MATCH(DATEVALUE($A298),'recurring1_based on steps'!AJ$1:AJ$400,0)),AJ$2,)</f>
        <v>0</v>
      </c>
      <c r="AK298" s="179">
        <f ca="1">IF(ISNUMBER(MATCH(DATEVALUE($A298),'recurring1_based on steps'!AK$1:AK$400,0)),AK$2,)</f>
        <v>0</v>
      </c>
      <c r="AL298" s="179">
        <f ca="1">IF(ISNUMBER(MATCH(DATEVALUE($A298),'recurring1_based on steps'!AL$1:AL$400,0)),AL$2,)</f>
        <v>0</v>
      </c>
      <c r="AM298" s="179">
        <f ca="1">IF(ISNUMBER(MATCH(DATEVALUE($A298),'recurring1_based on steps'!AM$1:AM$400,0)),AM$2,)</f>
        <v>0</v>
      </c>
      <c r="AN298" s="179">
        <f ca="1">IF(ISNUMBER(MATCH(DATEVALUE($A298),'recurring1_based on steps'!AN$1:AN$400,0)),AN$2,)</f>
        <v>0</v>
      </c>
      <c r="AO298" s="179">
        <f ca="1">IF(ISNUMBER(MATCH(DATEVALUE($A298),'recurring1_based on steps'!AO$1:AO$400,0)),AO$2,)</f>
        <v>0</v>
      </c>
      <c r="AP298" s="179">
        <f ca="1">IF(ISNUMBER(MATCH(DATEVALUE($A298),'recurring1_based on steps'!AP$1:AP$400,0)),AP$2,)</f>
        <v>0</v>
      </c>
      <c r="AQ298" s="179">
        <f ca="1">IF(ISNUMBER(MATCH(DATEVALUE($A298),'recurring1_based on steps'!AQ$1:AQ$400,0)),AQ$2,)</f>
        <v>0</v>
      </c>
      <c r="AR298" s="179">
        <f ca="1">IF(ISNUMBER(MATCH(DATEVALUE($A298),'recurring1_based on steps'!AR$1:AR$400,0)),AR$2,)</f>
        <v>0</v>
      </c>
      <c r="AS298" s="179">
        <f ca="1">IF(ISNUMBER(MATCH(DATEVALUE($A298),'recurring1_based on steps'!AS$1:AS$400,0)),AS$2,)</f>
        <v>0</v>
      </c>
      <c r="AT298" s="179">
        <f ca="1">IF(ISNUMBER(MATCH(DATEVALUE($A298),'recurring1_based on steps'!AT$1:AT$400,0)),AT$2,)</f>
        <v>0</v>
      </c>
      <c r="AU298" s="179">
        <f ca="1">IF(ISNUMBER(MATCH(DATEVALUE($A298),'recurring1_based on steps'!AU$1:AU$400,0)),AU$2,)</f>
        <v>0</v>
      </c>
      <c r="AV298" s="179">
        <f ca="1">IF(ISNUMBER(MATCH(DATEVALUE($A298),'recurring1_based on steps'!AV$1:AV$400,0)),AV$2,)</f>
        <v>0</v>
      </c>
      <c r="AW298" s="179">
        <f ca="1">IF(ISNUMBER(MATCH(DATEVALUE($A298),'recurring1_based on steps'!AW$1:AW$400,0)),AW$2,)</f>
        <v>0</v>
      </c>
      <c r="AX298" s="179">
        <f ca="1">IF(ISNUMBER(MATCH(DATEVALUE($A298),'recurring1_based on steps'!AX$1:AX$400,0)),AX$2,)</f>
        <v>0</v>
      </c>
      <c r="AY298" s="179">
        <f ca="1">IF(ISNUMBER(MATCH(DATEVALUE($A298),'recurring1_based on steps'!AY$1:AY$400,0)),AY$2,)</f>
        <v>0</v>
      </c>
    </row>
    <row r="299" spans="1:51" x14ac:dyDescent="0.2">
      <c r="A299" s="32" t="str">
        <f t="shared" ca="1" si="4"/>
        <v>2026-01-19</v>
      </c>
      <c r="B299" s="179">
        <f ca="1">IF(ISNUMBER(MATCH(DATEVALUE($A299),'recurring1_based on steps'!B$1:B$400,0)),B$2,)</f>
        <v>0</v>
      </c>
      <c r="C299" s="179">
        <f ca="1">IF(ISNUMBER(MATCH(DATEVALUE($A299),'recurring1_based on steps'!C$1:C$400,0)),C$2,)</f>
        <v>0</v>
      </c>
      <c r="D299" s="179">
        <f ca="1">IF(ISNUMBER(MATCH(DATEVALUE($A299),'recurring1_based on steps'!D$1:D$400,0)),D$2,)</f>
        <v>0</v>
      </c>
      <c r="E299" s="179">
        <f ca="1">IF(ISNUMBER(MATCH(DATEVALUE($A299),'recurring1_based on steps'!E$1:E$400,0)),E$2,)</f>
        <v>0</v>
      </c>
      <c r="F299" s="179">
        <f ca="1">IF(ISNUMBER(MATCH(DATEVALUE($A299),'recurring1_based on steps'!F$1:F$400,0)),F$2,)</f>
        <v>0</v>
      </c>
      <c r="G299" s="179">
        <f ca="1">IF(ISNUMBER(MATCH(DATEVALUE($A299),'recurring1_based on steps'!G$1:G$400,0)),G$2,)</f>
        <v>0</v>
      </c>
      <c r="H299" s="179">
        <f ca="1">IF(ISNUMBER(MATCH(DATEVALUE($A299),'recurring1_based on steps'!H$1:H$400,0)),H$2,)</f>
        <v>0</v>
      </c>
      <c r="I299" s="179">
        <f ca="1">IF(ISNUMBER(MATCH(DATEVALUE($A299),'recurring1_based on steps'!I$1:I$400,0)),I$2,)</f>
        <v>0</v>
      </c>
      <c r="J299" s="179">
        <f ca="1">IF(ISNUMBER(MATCH(DATEVALUE($A299),'recurring1_based on steps'!J$1:J$400,0)),J$2,)</f>
        <v>0</v>
      </c>
      <c r="K299" s="179">
        <f ca="1">IF(ISNUMBER(MATCH(DATEVALUE($A299),'recurring1_based on steps'!K$1:K$400,0)),K$2,)</f>
        <v>0</v>
      </c>
      <c r="L299" s="179">
        <f ca="1">IF(ISNUMBER(MATCH(DATEVALUE($A299),'recurring1_based on steps'!L$1:L$400,0)),L$2,)</f>
        <v>0</v>
      </c>
      <c r="M299" s="179">
        <f ca="1">IF(ISNUMBER(MATCH(DATEVALUE($A299),'recurring1_based on steps'!M$1:M$400,0)),M$2,)</f>
        <v>0</v>
      </c>
      <c r="N299" s="179">
        <f ca="1">IF(ISNUMBER(MATCH(DATEVALUE($A299),'recurring1_based on steps'!N$1:N$400,0)),N$2,)</f>
        <v>0</v>
      </c>
      <c r="O299" s="179">
        <f ca="1">IF(ISNUMBER(MATCH(DATEVALUE($A299),'recurring1_based on steps'!O$1:O$400,0)),O$2,)</f>
        <v>0</v>
      </c>
      <c r="P299" s="179">
        <f ca="1">IF(ISNUMBER(MATCH(DATEVALUE($A299),'recurring1_based on steps'!P$1:P$400,0)),P$2,)</f>
        <v>0</v>
      </c>
      <c r="Q299" s="179">
        <f ca="1">IF(ISNUMBER(MATCH(DATEVALUE($A299),'recurring1_based on steps'!Q$1:Q$400,0)),Q$2,)</f>
        <v>0</v>
      </c>
      <c r="R299" s="179">
        <f ca="1">IF(ISNUMBER(MATCH(DATEVALUE($A299),'recurring1_based on steps'!R$1:R$400,0)),R$2,)</f>
        <v>0</v>
      </c>
      <c r="S299" s="179">
        <f ca="1">IF(ISNUMBER(MATCH(DATEVALUE($A299),'recurring1_based on steps'!S$1:S$400,0)),S$2,)</f>
        <v>0</v>
      </c>
      <c r="T299" s="179">
        <f ca="1">IF(ISNUMBER(MATCH(DATEVALUE($A299),'recurring1_based on steps'!T$1:T$400,0)),T$2,)</f>
        <v>0</v>
      </c>
      <c r="U299" s="179">
        <f ca="1">IF(ISNUMBER(MATCH(DATEVALUE($A299),'recurring1_based on steps'!U$1:U$400,0)),U$2,)</f>
        <v>0</v>
      </c>
      <c r="V299" s="179">
        <f ca="1">IF(ISNUMBER(MATCH(DATEVALUE($A299),'recurring1_based on steps'!V$1:V$400,0)),V$2,)</f>
        <v>0</v>
      </c>
      <c r="W299" s="179">
        <f ca="1">IF(ISNUMBER(MATCH(DATEVALUE($A299),'recurring1_based on steps'!W$1:W$400,0)),W$2,)</f>
        <v>0</v>
      </c>
      <c r="X299" s="179">
        <f ca="1">IF(ISNUMBER(MATCH(DATEVALUE($A299),'recurring1_based on steps'!X$1:X$400,0)),X$2,)</f>
        <v>0</v>
      </c>
      <c r="Y299" s="179">
        <f ca="1">IF(ISNUMBER(MATCH(DATEVALUE($A299),'recurring1_based on steps'!Y$1:Y$400,0)),Y$2,)</f>
        <v>0</v>
      </c>
      <c r="Z299" s="179">
        <f ca="1">IF(ISNUMBER(MATCH(DATEVALUE($A299),'recurring1_based on steps'!Z$1:Z$400,0)),Z$2,)</f>
        <v>0</v>
      </c>
      <c r="AA299" s="179">
        <f ca="1">IF(ISNUMBER(MATCH(DATEVALUE($A299),'recurring1_based on steps'!AA$1:AA$400,0)),AA$2,)</f>
        <v>0</v>
      </c>
      <c r="AB299" s="179">
        <f ca="1">IF(ISNUMBER(MATCH(DATEVALUE($A299),'recurring1_based on steps'!AB$1:AB$400,0)),AB$2,)</f>
        <v>0</v>
      </c>
      <c r="AC299" s="179">
        <f ca="1">IF(ISNUMBER(MATCH(DATEVALUE($A299),'recurring1_based on steps'!AC$1:AC$400,0)),AC$2,)</f>
        <v>0</v>
      </c>
      <c r="AD299" s="179">
        <f ca="1">IF(ISNUMBER(MATCH(DATEVALUE($A299),'recurring1_based on steps'!AD$1:AD$400,0)),AD$2,)</f>
        <v>0</v>
      </c>
      <c r="AE299" s="179">
        <f ca="1">IF(ISNUMBER(MATCH(DATEVALUE($A299),'recurring1_based on steps'!AE$1:AE$400,0)),AE$2,)</f>
        <v>0</v>
      </c>
      <c r="AF299" s="179">
        <f ca="1">IF(ISNUMBER(MATCH(DATEVALUE($A299),'recurring1_based on steps'!AF$1:AF$400,0)),AF$2,)</f>
        <v>0</v>
      </c>
      <c r="AG299" s="179">
        <f ca="1">IF(ISNUMBER(MATCH(DATEVALUE($A299),'recurring1_based on steps'!AG$1:AG$400,0)),AG$2,)</f>
        <v>0</v>
      </c>
      <c r="AH299" s="179">
        <f ca="1">IF(ISNUMBER(MATCH(DATEVALUE($A299),'recurring1_based on steps'!AH$1:AH$400,0)),AH$2,)</f>
        <v>0</v>
      </c>
      <c r="AI299" s="179">
        <f ca="1">IF(ISNUMBER(MATCH(DATEVALUE($A299),'recurring1_based on steps'!AI$1:AI$400,0)),AI$2,)</f>
        <v>0</v>
      </c>
      <c r="AJ299" s="179">
        <f ca="1">IF(ISNUMBER(MATCH(DATEVALUE($A299),'recurring1_based on steps'!AJ$1:AJ$400,0)),AJ$2,)</f>
        <v>0</v>
      </c>
      <c r="AK299" s="179">
        <f ca="1">IF(ISNUMBER(MATCH(DATEVALUE($A299),'recurring1_based on steps'!AK$1:AK$400,0)),AK$2,)</f>
        <v>0</v>
      </c>
      <c r="AL299" s="179">
        <f ca="1">IF(ISNUMBER(MATCH(DATEVALUE($A299),'recurring1_based on steps'!AL$1:AL$400,0)),AL$2,)</f>
        <v>0</v>
      </c>
      <c r="AM299" s="179">
        <f ca="1">IF(ISNUMBER(MATCH(DATEVALUE($A299),'recurring1_based on steps'!AM$1:AM$400,0)),AM$2,)</f>
        <v>0</v>
      </c>
      <c r="AN299" s="179">
        <f ca="1">IF(ISNUMBER(MATCH(DATEVALUE($A299),'recurring1_based on steps'!AN$1:AN$400,0)),AN$2,)</f>
        <v>0</v>
      </c>
      <c r="AO299" s="179">
        <f ca="1">IF(ISNUMBER(MATCH(DATEVALUE($A299),'recurring1_based on steps'!AO$1:AO$400,0)),AO$2,)</f>
        <v>0</v>
      </c>
      <c r="AP299" s="179">
        <f ca="1">IF(ISNUMBER(MATCH(DATEVALUE($A299),'recurring1_based on steps'!AP$1:AP$400,0)),AP$2,)</f>
        <v>0</v>
      </c>
      <c r="AQ299" s="179">
        <f ca="1">IF(ISNUMBER(MATCH(DATEVALUE($A299),'recurring1_based on steps'!AQ$1:AQ$400,0)),AQ$2,)</f>
        <v>0</v>
      </c>
      <c r="AR299" s="179">
        <f ca="1">IF(ISNUMBER(MATCH(DATEVALUE($A299),'recurring1_based on steps'!AR$1:AR$400,0)),AR$2,)</f>
        <v>0</v>
      </c>
      <c r="AS299" s="179">
        <f ca="1">IF(ISNUMBER(MATCH(DATEVALUE($A299),'recurring1_based on steps'!AS$1:AS$400,0)),AS$2,)</f>
        <v>0</v>
      </c>
      <c r="AT299" s="179">
        <f ca="1">IF(ISNUMBER(MATCH(DATEVALUE($A299),'recurring1_based on steps'!AT$1:AT$400,0)),AT$2,)</f>
        <v>0</v>
      </c>
      <c r="AU299" s="179">
        <f ca="1">IF(ISNUMBER(MATCH(DATEVALUE($A299),'recurring1_based on steps'!AU$1:AU$400,0)),AU$2,)</f>
        <v>0</v>
      </c>
      <c r="AV299" s="179">
        <f ca="1">IF(ISNUMBER(MATCH(DATEVALUE($A299),'recurring1_based on steps'!AV$1:AV$400,0)),AV$2,)</f>
        <v>0</v>
      </c>
      <c r="AW299" s="179">
        <f ca="1">IF(ISNUMBER(MATCH(DATEVALUE($A299),'recurring1_based on steps'!AW$1:AW$400,0)),AW$2,)</f>
        <v>0</v>
      </c>
      <c r="AX299" s="179">
        <f ca="1">IF(ISNUMBER(MATCH(DATEVALUE($A299),'recurring1_based on steps'!AX$1:AX$400,0)),AX$2,)</f>
        <v>0</v>
      </c>
      <c r="AY299" s="179">
        <f ca="1">IF(ISNUMBER(MATCH(DATEVALUE($A299),'recurring1_based on steps'!AY$1:AY$400,0)),AY$2,)</f>
        <v>0</v>
      </c>
    </row>
    <row r="300" spans="1:51" x14ac:dyDescent="0.2">
      <c r="A300" s="32" t="str">
        <f t="shared" ca="1" si="4"/>
        <v>2026-01-20</v>
      </c>
      <c r="B300" s="179">
        <f ca="1">IF(ISNUMBER(MATCH(DATEVALUE($A300),'recurring1_based on steps'!B$1:B$400,0)),B$2,)</f>
        <v>0</v>
      </c>
      <c r="C300" s="179">
        <f ca="1">IF(ISNUMBER(MATCH(DATEVALUE($A300),'recurring1_based on steps'!C$1:C$400,0)),C$2,)</f>
        <v>0</v>
      </c>
      <c r="D300" s="179">
        <f ca="1">IF(ISNUMBER(MATCH(DATEVALUE($A300),'recurring1_based on steps'!D$1:D$400,0)),D$2,)</f>
        <v>0</v>
      </c>
      <c r="E300" s="179">
        <f ca="1">IF(ISNUMBER(MATCH(DATEVALUE($A300),'recurring1_based on steps'!E$1:E$400,0)),E$2,)</f>
        <v>0</v>
      </c>
      <c r="F300" s="179">
        <f ca="1">IF(ISNUMBER(MATCH(DATEVALUE($A300),'recurring1_based on steps'!F$1:F$400,0)),F$2,)</f>
        <v>0</v>
      </c>
      <c r="G300" s="179">
        <f ca="1">IF(ISNUMBER(MATCH(DATEVALUE($A300),'recurring1_based on steps'!G$1:G$400,0)),G$2,)</f>
        <v>0</v>
      </c>
      <c r="H300" s="179">
        <f ca="1">IF(ISNUMBER(MATCH(DATEVALUE($A300),'recurring1_based on steps'!H$1:H$400,0)),H$2,)</f>
        <v>0</v>
      </c>
      <c r="I300" s="179">
        <f ca="1">IF(ISNUMBER(MATCH(DATEVALUE($A300),'recurring1_based on steps'!I$1:I$400,0)),I$2,)</f>
        <v>0</v>
      </c>
      <c r="J300" s="179">
        <f ca="1">IF(ISNUMBER(MATCH(DATEVALUE($A300),'recurring1_based on steps'!J$1:J$400,0)),J$2,)</f>
        <v>0</v>
      </c>
      <c r="K300" s="179">
        <f ca="1">IF(ISNUMBER(MATCH(DATEVALUE($A300),'recurring1_based on steps'!K$1:K$400,0)),K$2,)</f>
        <v>0</v>
      </c>
      <c r="L300" s="179">
        <f ca="1">IF(ISNUMBER(MATCH(DATEVALUE($A300),'recurring1_based on steps'!L$1:L$400,0)),L$2,)</f>
        <v>0</v>
      </c>
      <c r="M300" s="179">
        <f ca="1">IF(ISNUMBER(MATCH(DATEVALUE($A300),'recurring1_based on steps'!M$1:M$400,0)),M$2,)</f>
        <v>0</v>
      </c>
      <c r="N300" s="179">
        <f ca="1">IF(ISNUMBER(MATCH(DATEVALUE($A300),'recurring1_based on steps'!N$1:N$400,0)),N$2,)</f>
        <v>0</v>
      </c>
      <c r="O300" s="179">
        <f ca="1">IF(ISNUMBER(MATCH(DATEVALUE($A300),'recurring1_based on steps'!O$1:O$400,0)),O$2,)</f>
        <v>0</v>
      </c>
      <c r="P300" s="179">
        <f ca="1">IF(ISNUMBER(MATCH(DATEVALUE($A300),'recurring1_based on steps'!P$1:P$400,0)),P$2,)</f>
        <v>0</v>
      </c>
      <c r="Q300" s="179">
        <f ca="1">IF(ISNUMBER(MATCH(DATEVALUE($A300),'recurring1_based on steps'!Q$1:Q$400,0)),Q$2,)</f>
        <v>0</v>
      </c>
      <c r="R300" s="179">
        <f ca="1">IF(ISNUMBER(MATCH(DATEVALUE($A300),'recurring1_based on steps'!R$1:R$400,0)),R$2,)</f>
        <v>0</v>
      </c>
      <c r="S300" s="179">
        <f ca="1">IF(ISNUMBER(MATCH(DATEVALUE($A300),'recurring1_based on steps'!S$1:S$400,0)),S$2,)</f>
        <v>0</v>
      </c>
      <c r="T300" s="179">
        <f ca="1">IF(ISNUMBER(MATCH(DATEVALUE($A300),'recurring1_based on steps'!T$1:T$400,0)),T$2,)</f>
        <v>0</v>
      </c>
      <c r="U300" s="179">
        <f ca="1">IF(ISNUMBER(MATCH(DATEVALUE($A300),'recurring1_based on steps'!U$1:U$400,0)),U$2,)</f>
        <v>0</v>
      </c>
      <c r="V300" s="179">
        <f ca="1">IF(ISNUMBER(MATCH(DATEVALUE($A300),'recurring1_based on steps'!V$1:V$400,0)),V$2,)</f>
        <v>0</v>
      </c>
      <c r="W300" s="179">
        <f ca="1">IF(ISNUMBER(MATCH(DATEVALUE($A300),'recurring1_based on steps'!W$1:W$400,0)),W$2,)</f>
        <v>0</v>
      </c>
      <c r="X300" s="179">
        <f ca="1">IF(ISNUMBER(MATCH(DATEVALUE($A300),'recurring1_based on steps'!X$1:X$400,0)),X$2,)</f>
        <v>0</v>
      </c>
      <c r="Y300" s="179">
        <f ca="1">IF(ISNUMBER(MATCH(DATEVALUE($A300),'recurring1_based on steps'!Y$1:Y$400,0)),Y$2,)</f>
        <v>0</v>
      </c>
      <c r="Z300" s="179">
        <f ca="1">IF(ISNUMBER(MATCH(DATEVALUE($A300),'recurring1_based on steps'!Z$1:Z$400,0)),Z$2,)</f>
        <v>0</v>
      </c>
      <c r="AA300" s="179">
        <f ca="1">IF(ISNUMBER(MATCH(DATEVALUE($A300),'recurring1_based on steps'!AA$1:AA$400,0)),AA$2,)</f>
        <v>0</v>
      </c>
      <c r="AB300" s="179">
        <f ca="1">IF(ISNUMBER(MATCH(DATEVALUE($A300),'recurring1_based on steps'!AB$1:AB$400,0)),AB$2,)</f>
        <v>0</v>
      </c>
      <c r="AC300" s="179">
        <f ca="1">IF(ISNUMBER(MATCH(DATEVALUE($A300),'recurring1_based on steps'!AC$1:AC$400,0)),AC$2,)</f>
        <v>0</v>
      </c>
      <c r="AD300" s="179">
        <f ca="1">IF(ISNUMBER(MATCH(DATEVALUE($A300),'recurring1_based on steps'!AD$1:AD$400,0)),AD$2,)</f>
        <v>0</v>
      </c>
      <c r="AE300" s="179">
        <f ca="1">IF(ISNUMBER(MATCH(DATEVALUE($A300),'recurring1_based on steps'!AE$1:AE$400,0)),AE$2,)</f>
        <v>0</v>
      </c>
      <c r="AF300" s="179">
        <f ca="1">IF(ISNUMBER(MATCH(DATEVALUE($A300),'recurring1_based on steps'!AF$1:AF$400,0)),AF$2,)</f>
        <v>0</v>
      </c>
      <c r="AG300" s="179">
        <f ca="1">IF(ISNUMBER(MATCH(DATEVALUE($A300),'recurring1_based on steps'!AG$1:AG$400,0)),AG$2,)</f>
        <v>0</v>
      </c>
      <c r="AH300" s="179">
        <f ca="1">IF(ISNUMBER(MATCH(DATEVALUE($A300),'recurring1_based on steps'!AH$1:AH$400,0)),AH$2,)</f>
        <v>0</v>
      </c>
      <c r="AI300" s="179">
        <f ca="1">IF(ISNUMBER(MATCH(DATEVALUE($A300),'recurring1_based on steps'!AI$1:AI$400,0)),AI$2,)</f>
        <v>0</v>
      </c>
      <c r="AJ300" s="179">
        <f ca="1">IF(ISNUMBER(MATCH(DATEVALUE($A300),'recurring1_based on steps'!AJ$1:AJ$400,0)),AJ$2,)</f>
        <v>0</v>
      </c>
      <c r="AK300" s="179">
        <f ca="1">IF(ISNUMBER(MATCH(DATEVALUE($A300),'recurring1_based on steps'!AK$1:AK$400,0)),AK$2,)</f>
        <v>0</v>
      </c>
      <c r="AL300" s="179">
        <f ca="1">IF(ISNUMBER(MATCH(DATEVALUE($A300),'recurring1_based on steps'!AL$1:AL$400,0)),AL$2,)</f>
        <v>0</v>
      </c>
      <c r="AM300" s="179">
        <f ca="1">IF(ISNUMBER(MATCH(DATEVALUE($A300),'recurring1_based on steps'!AM$1:AM$400,0)),AM$2,)</f>
        <v>0</v>
      </c>
      <c r="AN300" s="179">
        <f ca="1">IF(ISNUMBER(MATCH(DATEVALUE($A300),'recurring1_based on steps'!AN$1:AN$400,0)),AN$2,)</f>
        <v>0</v>
      </c>
      <c r="AO300" s="179">
        <f ca="1">IF(ISNUMBER(MATCH(DATEVALUE($A300),'recurring1_based on steps'!AO$1:AO$400,0)),AO$2,)</f>
        <v>0</v>
      </c>
      <c r="AP300" s="179">
        <f ca="1">IF(ISNUMBER(MATCH(DATEVALUE($A300),'recurring1_based on steps'!AP$1:AP$400,0)),AP$2,)</f>
        <v>0</v>
      </c>
      <c r="AQ300" s="179">
        <f ca="1">IF(ISNUMBER(MATCH(DATEVALUE($A300),'recurring1_based on steps'!AQ$1:AQ$400,0)),AQ$2,)</f>
        <v>0</v>
      </c>
      <c r="AR300" s="179">
        <f ca="1">IF(ISNUMBER(MATCH(DATEVALUE($A300),'recurring1_based on steps'!AR$1:AR$400,0)),AR$2,)</f>
        <v>0</v>
      </c>
      <c r="AS300" s="179">
        <f ca="1">IF(ISNUMBER(MATCH(DATEVALUE($A300),'recurring1_based on steps'!AS$1:AS$400,0)),AS$2,)</f>
        <v>0</v>
      </c>
      <c r="AT300" s="179">
        <f ca="1">IF(ISNUMBER(MATCH(DATEVALUE($A300),'recurring1_based on steps'!AT$1:AT$400,0)),AT$2,)</f>
        <v>0</v>
      </c>
      <c r="AU300" s="179">
        <f ca="1">IF(ISNUMBER(MATCH(DATEVALUE($A300),'recurring1_based on steps'!AU$1:AU$400,0)),AU$2,)</f>
        <v>0</v>
      </c>
      <c r="AV300" s="179">
        <f ca="1">IF(ISNUMBER(MATCH(DATEVALUE($A300),'recurring1_based on steps'!AV$1:AV$400,0)),AV$2,)</f>
        <v>0</v>
      </c>
      <c r="AW300" s="179">
        <f ca="1">IF(ISNUMBER(MATCH(DATEVALUE($A300),'recurring1_based on steps'!AW$1:AW$400,0)),AW$2,)</f>
        <v>0</v>
      </c>
      <c r="AX300" s="179">
        <f ca="1">IF(ISNUMBER(MATCH(DATEVALUE($A300),'recurring1_based on steps'!AX$1:AX$400,0)),AX$2,)</f>
        <v>0</v>
      </c>
      <c r="AY300" s="179">
        <f ca="1">IF(ISNUMBER(MATCH(DATEVALUE($A300),'recurring1_based on steps'!AY$1:AY$400,0)),AY$2,)</f>
        <v>0</v>
      </c>
    </row>
    <row r="301" spans="1:51" x14ac:dyDescent="0.2">
      <c r="A301" s="32" t="str">
        <f t="shared" ca="1" si="4"/>
        <v>2026-01-21</v>
      </c>
      <c r="B301" s="179">
        <f ca="1">IF(ISNUMBER(MATCH(DATEVALUE($A301),'recurring1_based on steps'!B$1:B$400,0)),B$2,)</f>
        <v>0</v>
      </c>
      <c r="C301" s="179">
        <f ca="1">IF(ISNUMBER(MATCH(DATEVALUE($A301),'recurring1_based on steps'!C$1:C$400,0)),C$2,)</f>
        <v>0</v>
      </c>
      <c r="D301" s="179">
        <f ca="1">IF(ISNUMBER(MATCH(DATEVALUE($A301),'recurring1_based on steps'!D$1:D$400,0)),D$2,)</f>
        <v>0</v>
      </c>
      <c r="E301" s="179">
        <f ca="1">IF(ISNUMBER(MATCH(DATEVALUE($A301),'recurring1_based on steps'!E$1:E$400,0)),E$2,)</f>
        <v>0</v>
      </c>
      <c r="F301" s="179">
        <f ca="1">IF(ISNUMBER(MATCH(DATEVALUE($A301),'recurring1_based on steps'!F$1:F$400,0)),F$2,)</f>
        <v>0</v>
      </c>
      <c r="G301" s="179">
        <f ca="1">IF(ISNUMBER(MATCH(DATEVALUE($A301),'recurring1_based on steps'!G$1:G$400,0)),G$2,)</f>
        <v>0</v>
      </c>
      <c r="H301" s="179">
        <f ca="1">IF(ISNUMBER(MATCH(DATEVALUE($A301),'recurring1_based on steps'!H$1:H$400,0)),H$2,)</f>
        <v>0</v>
      </c>
      <c r="I301" s="179">
        <f ca="1">IF(ISNUMBER(MATCH(DATEVALUE($A301),'recurring1_based on steps'!I$1:I$400,0)),I$2,)</f>
        <v>0</v>
      </c>
      <c r="J301" s="179">
        <f ca="1">IF(ISNUMBER(MATCH(DATEVALUE($A301),'recurring1_based on steps'!J$1:J$400,0)),J$2,)</f>
        <v>0</v>
      </c>
      <c r="K301" s="179">
        <f ca="1">IF(ISNUMBER(MATCH(DATEVALUE($A301),'recurring1_based on steps'!K$1:K$400,0)),K$2,)</f>
        <v>0</v>
      </c>
      <c r="L301" s="179">
        <f ca="1">IF(ISNUMBER(MATCH(DATEVALUE($A301),'recurring1_based on steps'!L$1:L$400,0)),L$2,)</f>
        <v>0</v>
      </c>
      <c r="M301" s="179">
        <f ca="1">IF(ISNUMBER(MATCH(DATEVALUE($A301),'recurring1_based on steps'!M$1:M$400,0)),M$2,)</f>
        <v>0</v>
      </c>
      <c r="N301" s="179">
        <f ca="1">IF(ISNUMBER(MATCH(DATEVALUE($A301),'recurring1_based on steps'!N$1:N$400,0)),N$2,)</f>
        <v>0</v>
      </c>
      <c r="O301" s="179">
        <f ca="1">IF(ISNUMBER(MATCH(DATEVALUE($A301),'recurring1_based on steps'!O$1:O$400,0)),O$2,)</f>
        <v>0</v>
      </c>
      <c r="P301" s="179">
        <f ca="1">IF(ISNUMBER(MATCH(DATEVALUE($A301),'recurring1_based on steps'!P$1:P$400,0)),P$2,)</f>
        <v>0</v>
      </c>
      <c r="Q301" s="179">
        <f ca="1">IF(ISNUMBER(MATCH(DATEVALUE($A301),'recurring1_based on steps'!Q$1:Q$400,0)),Q$2,)</f>
        <v>0</v>
      </c>
      <c r="R301" s="179">
        <f ca="1">IF(ISNUMBER(MATCH(DATEVALUE($A301),'recurring1_based on steps'!R$1:R$400,0)),R$2,)</f>
        <v>0</v>
      </c>
      <c r="S301" s="179">
        <f ca="1">IF(ISNUMBER(MATCH(DATEVALUE($A301),'recurring1_based on steps'!S$1:S$400,0)),S$2,)</f>
        <v>0</v>
      </c>
      <c r="T301" s="179">
        <f ca="1">IF(ISNUMBER(MATCH(DATEVALUE($A301),'recurring1_based on steps'!T$1:T$400,0)),T$2,)</f>
        <v>0</v>
      </c>
      <c r="U301" s="179">
        <f ca="1">IF(ISNUMBER(MATCH(DATEVALUE($A301),'recurring1_based on steps'!U$1:U$400,0)),U$2,)</f>
        <v>0</v>
      </c>
      <c r="V301" s="179">
        <f ca="1">IF(ISNUMBER(MATCH(DATEVALUE($A301),'recurring1_based on steps'!V$1:V$400,0)),V$2,)</f>
        <v>0</v>
      </c>
      <c r="W301" s="179">
        <f ca="1">IF(ISNUMBER(MATCH(DATEVALUE($A301),'recurring1_based on steps'!W$1:W$400,0)),W$2,)</f>
        <v>0</v>
      </c>
      <c r="X301" s="179">
        <f ca="1">IF(ISNUMBER(MATCH(DATEVALUE($A301),'recurring1_based on steps'!X$1:X$400,0)),X$2,)</f>
        <v>0</v>
      </c>
      <c r="Y301" s="179">
        <f ca="1">IF(ISNUMBER(MATCH(DATEVALUE($A301),'recurring1_based on steps'!Y$1:Y$400,0)),Y$2,)</f>
        <v>0</v>
      </c>
      <c r="Z301" s="179">
        <f ca="1">IF(ISNUMBER(MATCH(DATEVALUE($A301),'recurring1_based on steps'!Z$1:Z$400,0)),Z$2,)</f>
        <v>0</v>
      </c>
      <c r="AA301" s="179">
        <f ca="1">IF(ISNUMBER(MATCH(DATEVALUE($A301),'recurring1_based on steps'!AA$1:AA$400,0)),AA$2,)</f>
        <v>0</v>
      </c>
      <c r="AB301" s="179">
        <f ca="1">IF(ISNUMBER(MATCH(DATEVALUE($A301),'recurring1_based on steps'!AB$1:AB$400,0)),AB$2,)</f>
        <v>0</v>
      </c>
      <c r="AC301" s="179">
        <f ca="1">IF(ISNUMBER(MATCH(DATEVALUE($A301),'recurring1_based on steps'!AC$1:AC$400,0)),AC$2,)</f>
        <v>0</v>
      </c>
      <c r="AD301" s="179">
        <f ca="1">IF(ISNUMBER(MATCH(DATEVALUE($A301),'recurring1_based on steps'!AD$1:AD$400,0)),AD$2,)</f>
        <v>0</v>
      </c>
      <c r="AE301" s="179">
        <f ca="1">IF(ISNUMBER(MATCH(DATEVALUE($A301),'recurring1_based on steps'!AE$1:AE$400,0)),AE$2,)</f>
        <v>0</v>
      </c>
      <c r="AF301" s="179">
        <f ca="1">IF(ISNUMBER(MATCH(DATEVALUE($A301),'recurring1_based on steps'!AF$1:AF$400,0)),AF$2,)</f>
        <v>0</v>
      </c>
      <c r="AG301" s="179">
        <f ca="1">IF(ISNUMBER(MATCH(DATEVALUE($A301),'recurring1_based on steps'!AG$1:AG$400,0)),AG$2,)</f>
        <v>0</v>
      </c>
      <c r="AH301" s="179">
        <f ca="1">IF(ISNUMBER(MATCH(DATEVALUE($A301),'recurring1_based on steps'!AH$1:AH$400,0)),AH$2,)</f>
        <v>0</v>
      </c>
      <c r="AI301" s="179">
        <f ca="1">IF(ISNUMBER(MATCH(DATEVALUE($A301),'recurring1_based on steps'!AI$1:AI$400,0)),AI$2,)</f>
        <v>0</v>
      </c>
      <c r="AJ301" s="179">
        <f ca="1">IF(ISNUMBER(MATCH(DATEVALUE($A301),'recurring1_based on steps'!AJ$1:AJ$400,0)),AJ$2,)</f>
        <v>0</v>
      </c>
      <c r="AK301" s="179">
        <f ca="1">IF(ISNUMBER(MATCH(DATEVALUE($A301),'recurring1_based on steps'!AK$1:AK$400,0)),AK$2,)</f>
        <v>0</v>
      </c>
      <c r="AL301" s="179">
        <f ca="1">IF(ISNUMBER(MATCH(DATEVALUE($A301),'recurring1_based on steps'!AL$1:AL$400,0)),AL$2,)</f>
        <v>0</v>
      </c>
      <c r="AM301" s="179">
        <f ca="1">IF(ISNUMBER(MATCH(DATEVALUE($A301),'recurring1_based on steps'!AM$1:AM$400,0)),AM$2,)</f>
        <v>0</v>
      </c>
      <c r="AN301" s="179">
        <f ca="1">IF(ISNUMBER(MATCH(DATEVALUE($A301),'recurring1_based on steps'!AN$1:AN$400,0)),AN$2,)</f>
        <v>0</v>
      </c>
      <c r="AO301" s="179">
        <f ca="1">IF(ISNUMBER(MATCH(DATEVALUE($A301),'recurring1_based on steps'!AO$1:AO$400,0)),AO$2,)</f>
        <v>0</v>
      </c>
      <c r="AP301" s="179">
        <f ca="1">IF(ISNUMBER(MATCH(DATEVALUE($A301),'recurring1_based on steps'!AP$1:AP$400,0)),AP$2,)</f>
        <v>0</v>
      </c>
      <c r="AQ301" s="179">
        <f ca="1">IF(ISNUMBER(MATCH(DATEVALUE($A301),'recurring1_based on steps'!AQ$1:AQ$400,0)),AQ$2,)</f>
        <v>0</v>
      </c>
      <c r="AR301" s="179">
        <f ca="1">IF(ISNUMBER(MATCH(DATEVALUE($A301),'recurring1_based on steps'!AR$1:AR$400,0)),AR$2,)</f>
        <v>0</v>
      </c>
      <c r="AS301" s="179">
        <f ca="1">IF(ISNUMBER(MATCH(DATEVALUE($A301),'recurring1_based on steps'!AS$1:AS$400,0)),AS$2,)</f>
        <v>0</v>
      </c>
      <c r="AT301" s="179">
        <f ca="1">IF(ISNUMBER(MATCH(DATEVALUE($A301),'recurring1_based on steps'!AT$1:AT$400,0)),AT$2,)</f>
        <v>0</v>
      </c>
      <c r="AU301" s="179">
        <f ca="1">IF(ISNUMBER(MATCH(DATEVALUE($A301),'recurring1_based on steps'!AU$1:AU$400,0)),AU$2,)</f>
        <v>0</v>
      </c>
      <c r="AV301" s="179">
        <f ca="1">IF(ISNUMBER(MATCH(DATEVALUE($A301),'recurring1_based on steps'!AV$1:AV$400,0)),AV$2,)</f>
        <v>0</v>
      </c>
      <c r="AW301" s="179">
        <f ca="1">IF(ISNUMBER(MATCH(DATEVALUE($A301),'recurring1_based on steps'!AW$1:AW$400,0)),AW$2,)</f>
        <v>0</v>
      </c>
      <c r="AX301" s="179">
        <f ca="1">IF(ISNUMBER(MATCH(DATEVALUE($A301),'recurring1_based on steps'!AX$1:AX$400,0)),AX$2,)</f>
        <v>0</v>
      </c>
      <c r="AY301" s="179">
        <f ca="1">IF(ISNUMBER(MATCH(DATEVALUE($A301),'recurring1_based on steps'!AY$1:AY$400,0)),AY$2,)</f>
        <v>0</v>
      </c>
    </row>
    <row r="302" spans="1:51" x14ac:dyDescent="0.2">
      <c r="A302" s="32" t="str">
        <f t="shared" ca="1" si="4"/>
        <v>2026-01-22</v>
      </c>
      <c r="B302" s="179">
        <f ca="1">IF(ISNUMBER(MATCH(DATEVALUE($A302),'recurring1_based on steps'!B$1:B$400,0)),B$2,)</f>
        <v>0</v>
      </c>
      <c r="C302" s="179">
        <f ca="1">IF(ISNUMBER(MATCH(DATEVALUE($A302),'recurring1_based on steps'!C$1:C$400,0)),C$2,)</f>
        <v>0</v>
      </c>
      <c r="D302" s="179">
        <f ca="1">IF(ISNUMBER(MATCH(DATEVALUE($A302),'recurring1_based on steps'!D$1:D$400,0)),D$2,)</f>
        <v>0</v>
      </c>
      <c r="E302" s="179">
        <f ca="1">IF(ISNUMBER(MATCH(DATEVALUE($A302),'recurring1_based on steps'!E$1:E$400,0)),E$2,)</f>
        <v>0</v>
      </c>
      <c r="F302" s="179">
        <f ca="1">IF(ISNUMBER(MATCH(DATEVALUE($A302),'recurring1_based on steps'!F$1:F$400,0)),F$2,)</f>
        <v>0</v>
      </c>
      <c r="G302" s="179">
        <f ca="1">IF(ISNUMBER(MATCH(DATEVALUE($A302),'recurring1_based on steps'!G$1:G$400,0)),G$2,)</f>
        <v>0</v>
      </c>
      <c r="H302" s="179">
        <f ca="1">IF(ISNUMBER(MATCH(DATEVALUE($A302),'recurring1_based on steps'!H$1:H$400,0)),H$2,)</f>
        <v>0</v>
      </c>
      <c r="I302" s="179">
        <f ca="1">IF(ISNUMBER(MATCH(DATEVALUE($A302),'recurring1_based on steps'!I$1:I$400,0)),I$2,)</f>
        <v>0</v>
      </c>
      <c r="J302" s="179">
        <f ca="1">IF(ISNUMBER(MATCH(DATEVALUE($A302),'recurring1_based on steps'!J$1:J$400,0)),J$2,)</f>
        <v>0</v>
      </c>
      <c r="K302" s="179">
        <f ca="1">IF(ISNUMBER(MATCH(DATEVALUE($A302),'recurring1_based on steps'!K$1:K$400,0)),K$2,)</f>
        <v>0</v>
      </c>
      <c r="L302" s="179">
        <f ca="1">IF(ISNUMBER(MATCH(DATEVALUE($A302),'recurring1_based on steps'!L$1:L$400,0)),L$2,)</f>
        <v>0</v>
      </c>
      <c r="M302" s="179">
        <f ca="1">IF(ISNUMBER(MATCH(DATEVALUE($A302),'recurring1_based on steps'!M$1:M$400,0)),M$2,)</f>
        <v>0</v>
      </c>
      <c r="N302" s="179">
        <f ca="1">IF(ISNUMBER(MATCH(DATEVALUE($A302),'recurring1_based on steps'!N$1:N$400,0)),N$2,)</f>
        <v>0</v>
      </c>
      <c r="O302" s="179">
        <f ca="1">IF(ISNUMBER(MATCH(DATEVALUE($A302),'recurring1_based on steps'!O$1:O$400,0)),O$2,)</f>
        <v>0</v>
      </c>
      <c r="P302" s="179">
        <f ca="1">IF(ISNUMBER(MATCH(DATEVALUE($A302),'recurring1_based on steps'!P$1:P$400,0)),P$2,)</f>
        <v>0</v>
      </c>
      <c r="Q302" s="179">
        <f ca="1">IF(ISNUMBER(MATCH(DATEVALUE($A302),'recurring1_based on steps'!Q$1:Q$400,0)),Q$2,)</f>
        <v>0</v>
      </c>
      <c r="R302" s="179">
        <f ca="1">IF(ISNUMBER(MATCH(DATEVALUE($A302),'recurring1_based on steps'!R$1:R$400,0)),R$2,)</f>
        <v>0</v>
      </c>
      <c r="S302" s="179">
        <f ca="1">IF(ISNUMBER(MATCH(DATEVALUE($A302),'recurring1_based on steps'!S$1:S$400,0)),S$2,)</f>
        <v>0</v>
      </c>
      <c r="T302" s="179">
        <f ca="1">IF(ISNUMBER(MATCH(DATEVALUE($A302),'recurring1_based on steps'!T$1:T$400,0)),T$2,)</f>
        <v>0</v>
      </c>
      <c r="U302" s="179">
        <f ca="1">IF(ISNUMBER(MATCH(DATEVALUE($A302),'recurring1_based on steps'!U$1:U$400,0)),U$2,)</f>
        <v>0</v>
      </c>
      <c r="V302" s="179">
        <f ca="1">IF(ISNUMBER(MATCH(DATEVALUE($A302),'recurring1_based on steps'!V$1:V$400,0)),V$2,)</f>
        <v>0</v>
      </c>
      <c r="W302" s="179">
        <f ca="1">IF(ISNUMBER(MATCH(DATEVALUE($A302),'recurring1_based on steps'!W$1:W$400,0)),W$2,)</f>
        <v>0</v>
      </c>
      <c r="X302" s="179">
        <f ca="1">IF(ISNUMBER(MATCH(DATEVALUE($A302),'recurring1_based on steps'!X$1:X$400,0)),X$2,)</f>
        <v>0</v>
      </c>
      <c r="Y302" s="179">
        <f ca="1">IF(ISNUMBER(MATCH(DATEVALUE($A302),'recurring1_based on steps'!Y$1:Y$400,0)),Y$2,)</f>
        <v>0</v>
      </c>
      <c r="Z302" s="179">
        <f ca="1">IF(ISNUMBER(MATCH(DATEVALUE($A302),'recurring1_based on steps'!Z$1:Z$400,0)),Z$2,)</f>
        <v>0</v>
      </c>
      <c r="AA302" s="179">
        <f ca="1">IF(ISNUMBER(MATCH(DATEVALUE($A302),'recurring1_based on steps'!AA$1:AA$400,0)),AA$2,)</f>
        <v>0</v>
      </c>
      <c r="AB302" s="179">
        <f ca="1">IF(ISNUMBER(MATCH(DATEVALUE($A302),'recurring1_based on steps'!AB$1:AB$400,0)),AB$2,)</f>
        <v>0</v>
      </c>
      <c r="AC302" s="179">
        <f ca="1">IF(ISNUMBER(MATCH(DATEVALUE($A302),'recurring1_based on steps'!AC$1:AC$400,0)),AC$2,)</f>
        <v>0</v>
      </c>
      <c r="AD302" s="179">
        <f ca="1">IF(ISNUMBER(MATCH(DATEVALUE($A302),'recurring1_based on steps'!AD$1:AD$400,0)),AD$2,)</f>
        <v>0</v>
      </c>
      <c r="AE302" s="179">
        <f ca="1">IF(ISNUMBER(MATCH(DATEVALUE($A302),'recurring1_based on steps'!AE$1:AE$400,0)),AE$2,)</f>
        <v>0</v>
      </c>
      <c r="AF302" s="179">
        <f ca="1">IF(ISNUMBER(MATCH(DATEVALUE($A302),'recurring1_based on steps'!AF$1:AF$400,0)),AF$2,)</f>
        <v>0</v>
      </c>
      <c r="AG302" s="179">
        <f ca="1">IF(ISNUMBER(MATCH(DATEVALUE($A302),'recurring1_based on steps'!AG$1:AG$400,0)),AG$2,)</f>
        <v>0</v>
      </c>
      <c r="AH302" s="179">
        <f ca="1">IF(ISNUMBER(MATCH(DATEVALUE($A302),'recurring1_based on steps'!AH$1:AH$400,0)),AH$2,)</f>
        <v>0</v>
      </c>
      <c r="AI302" s="179">
        <f ca="1">IF(ISNUMBER(MATCH(DATEVALUE($A302),'recurring1_based on steps'!AI$1:AI$400,0)),AI$2,)</f>
        <v>0</v>
      </c>
      <c r="AJ302" s="179">
        <f ca="1">IF(ISNUMBER(MATCH(DATEVALUE($A302),'recurring1_based on steps'!AJ$1:AJ$400,0)),AJ$2,)</f>
        <v>0</v>
      </c>
      <c r="AK302" s="179">
        <f ca="1">IF(ISNUMBER(MATCH(DATEVALUE($A302),'recurring1_based on steps'!AK$1:AK$400,0)),AK$2,)</f>
        <v>0</v>
      </c>
      <c r="AL302" s="179">
        <f ca="1">IF(ISNUMBER(MATCH(DATEVALUE($A302),'recurring1_based on steps'!AL$1:AL$400,0)),AL$2,)</f>
        <v>0</v>
      </c>
      <c r="AM302" s="179">
        <f ca="1">IF(ISNUMBER(MATCH(DATEVALUE($A302),'recurring1_based on steps'!AM$1:AM$400,0)),AM$2,)</f>
        <v>0</v>
      </c>
      <c r="AN302" s="179">
        <f ca="1">IF(ISNUMBER(MATCH(DATEVALUE($A302),'recurring1_based on steps'!AN$1:AN$400,0)),AN$2,)</f>
        <v>0</v>
      </c>
      <c r="AO302" s="179">
        <f ca="1">IF(ISNUMBER(MATCH(DATEVALUE($A302),'recurring1_based on steps'!AO$1:AO$400,0)),AO$2,)</f>
        <v>0</v>
      </c>
      <c r="AP302" s="179">
        <f ca="1">IF(ISNUMBER(MATCH(DATEVALUE($A302),'recurring1_based on steps'!AP$1:AP$400,0)),AP$2,)</f>
        <v>0</v>
      </c>
      <c r="AQ302" s="179">
        <f ca="1">IF(ISNUMBER(MATCH(DATEVALUE($A302),'recurring1_based on steps'!AQ$1:AQ$400,0)),AQ$2,)</f>
        <v>0</v>
      </c>
      <c r="AR302" s="179">
        <f ca="1">IF(ISNUMBER(MATCH(DATEVALUE($A302),'recurring1_based on steps'!AR$1:AR$400,0)),AR$2,)</f>
        <v>0</v>
      </c>
      <c r="AS302" s="179">
        <f ca="1">IF(ISNUMBER(MATCH(DATEVALUE($A302),'recurring1_based on steps'!AS$1:AS$400,0)),AS$2,)</f>
        <v>0</v>
      </c>
      <c r="AT302" s="179">
        <f ca="1">IF(ISNUMBER(MATCH(DATEVALUE($A302),'recurring1_based on steps'!AT$1:AT$400,0)),AT$2,)</f>
        <v>0</v>
      </c>
      <c r="AU302" s="179">
        <f ca="1">IF(ISNUMBER(MATCH(DATEVALUE($A302),'recurring1_based on steps'!AU$1:AU$400,0)),AU$2,)</f>
        <v>0</v>
      </c>
      <c r="AV302" s="179">
        <f ca="1">IF(ISNUMBER(MATCH(DATEVALUE($A302),'recurring1_based on steps'!AV$1:AV$400,0)),AV$2,)</f>
        <v>0</v>
      </c>
      <c r="AW302" s="179">
        <f ca="1">IF(ISNUMBER(MATCH(DATEVALUE($A302),'recurring1_based on steps'!AW$1:AW$400,0)),AW$2,)</f>
        <v>0</v>
      </c>
      <c r="AX302" s="179">
        <f ca="1">IF(ISNUMBER(MATCH(DATEVALUE($A302),'recurring1_based on steps'!AX$1:AX$400,0)),AX$2,)</f>
        <v>0</v>
      </c>
      <c r="AY302" s="179">
        <f ca="1">IF(ISNUMBER(MATCH(DATEVALUE($A302),'recurring1_based on steps'!AY$1:AY$400,0)),AY$2,)</f>
        <v>0</v>
      </c>
    </row>
    <row r="303" spans="1:51" x14ac:dyDescent="0.2">
      <c r="A303" s="32" t="str">
        <f t="shared" ca="1" si="4"/>
        <v>2026-01-23</v>
      </c>
      <c r="B303" s="179">
        <f ca="1">IF(ISNUMBER(MATCH(DATEVALUE($A303),'recurring1_based on steps'!B$1:B$400,0)),B$2,)</f>
        <v>0</v>
      </c>
      <c r="C303" s="179">
        <f ca="1">IF(ISNUMBER(MATCH(DATEVALUE($A303),'recurring1_based on steps'!C$1:C$400,0)),C$2,)</f>
        <v>0</v>
      </c>
      <c r="D303" s="179">
        <f ca="1">IF(ISNUMBER(MATCH(DATEVALUE($A303),'recurring1_based on steps'!D$1:D$400,0)),D$2,)</f>
        <v>0</v>
      </c>
      <c r="E303" s="179">
        <f ca="1">IF(ISNUMBER(MATCH(DATEVALUE($A303),'recurring1_based on steps'!E$1:E$400,0)),E$2,)</f>
        <v>0</v>
      </c>
      <c r="F303" s="179">
        <f ca="1">IF(ISNUMBER(MATCH(DATEVALUE($A303),'recurring1_based on steps'!F$1:F$400,0)),F$2,)</f>
        <v>0</v>
      </c>
      <c r="G303" s="179">
        <f ca="1">IF(ISNUMBER(MATCH(DATEVALUE($A303),'recurring1_based on steps'!G$1:G$400,0)),G$2,)</f>
        <v>0</v>
      </c>
      <c r="H303" s="179">
        <f ca="1">IF(ISNUMBER(MATCH(DATEVALUE($A303),'recurring1_based on steps'!H$1:H$400,0)),H$2,)</f>
        <v>0</v>
      </c>
      <c r="I303" s="179">
        <f ca="1">IF(ISNUMBER(MATCH(DATEVALUE($A303),'recurring1_based on steps'!I$1:I$400,0)),I$2,)</f>
        <v>0</v>
      </c>
      <c r="J303" s="179">
        <f ca="1">IF(ISNUMBER(MATCH(DATEVALUE($A303),'recurring1_based on steps'!J$1:J$400,0)),J$2,)</f>
        <v>0</v>
      </c>
      <c r="K303" s="179">
        <f ca="1">IF(ISNUMBER(MATCH(DATEVALUE($A303),'recurring1_based on steps'!K$1:K$400,0)),K$2,)</f>
        <v>0</v>
      </c>
      <c r="L303" s="179">
        <f ca="1">IF(ISNUMBER(MATCH(DATEVALUE($A303),'recurring1_based on steps'!L$1:L$400,0)),L$2,)</f>
        <v>0</v>
      </c>
      <c r="M303" s="179">
        <f ca="1">IF(ISNUMBER(MATCH(DATEVALUE($A303),'recurring1_based on steps'!M$1:M$400,0)),M$2,)</f>
        <v>0</v>
      </c>
      <c r="N303" s="179">
        <f ca="1">IF(ISNUMBER(MATCH(DATEVALUE($A303),'recurring1_based on steps'!N$1:N$400,0)),N$2,)</f>
        <v>0</v>
      </c>
      <c r="O303" s="179">
        <f ca="1">IF(ISNUMBER(MATCH(DATEVALUE($A303),'recurring1_based on steps'!O$1:O$400,0)),O$2,)</f>
        <v>0</v>
      </c>
      <c r="P303" s="179">
        <f ca="1">IF(ISNUMBER(MATCH(DATEVALUE($A303),'recurring1_based on steps'!P$1:P$400,0)),P$2,)</f>
        <v>0</v>
      </c>
      <c r="Q303" s="179">
        <f ca="1">IF(ISNUMBER(MATCH(DATEVALUE($A303),'recurring1_based on steps'!Q$1:Q$400,0)),Q$2,)</f>
        <v>0</v>
      </c>
      <c r="R303" s="179">
        <f ca="1">IF(ISNUMBER(MATCH(DATEVALUE($A303),'recurring1_based on steps'!R$1:R$400,0)),R$2,)</f>
        <v>0</v>
      </c>
      <c r="S303" s="179">
        <f ca="1">IF(ISNUMBER(MATCH(DATEVALUE($A303),'recurring1_based on steps'!S$1:S$400,0)),S$2,)</f>
        <v>0</v>
      </c>
      <c r="T303" s="179">
        <f ca="1">IF(ISNUMBER(MATCH(DATEVALUE($A303),'recurring1_based on steps'!T$1:T$400,0)),T$2,)</f>
        <v>0</v>
      </c>
      <c r="U303" s="179">
        <f ca="1">IF(ISNUMBER(MATCH(DATEVALUE($A303),'recurring1_based on steps'!U$1:U$400,0)),U$2,)</f>
        <v>0</v>
      </c>
      <c r="V303" s="179">
        <f ca="1">IF(ISNUMBER(MATCH(DATEVALUE($A303),'recurring1_based on steps'!V$1:V$400,0)),V$2,)</f>
        <v>0</v>
      </c>
      <c r="W303" s="179">
        <f ca="1">IF(ISNUMBER(MATCH(DATEVALUE($A303),'recurring1_based on steps'!W$1:W$400,0)),W$2,)</f>
        <v>0</v>
      </c>
      <c r="X303" s="179">
        <f ca="1">IF(ISNUMBER(MATCH(DATEVALUE($A303),'recurring1_based on steps'!X$1:X$400,0)),X$2,)</f>
        <v>0</v>
      </c>
      <c r="Y303" s="179">
        <f ca="1">IF(ISNUMBER(MATCH(DATEVALUE($A303),'recurring1_based on steps'!Y$1:Y$400,0)),Y$2,)</f>
        <v>0</v>
      </c>
      <c r="Z303" s="179">
        <f ca="1">IF(ISNUMBER(MATCH(DATEVALUE($A303),'recurring1_based on steps'!Z$1:Z$400,0)),Z$2,)</f>
        <v>0</v>
      </c>
      <c r="AA303" s="179">
        <f ca="1">IF(ISNUMBER(MATCH(DATEVALUE($A303),'recurring1_based on steps'!AA$1:AA$400,0)),AA$2,)</f>
        <v>0</v>
      </c>
      <c r="AB303" s="179">
        <f ca="1">IF(ISNUMBER(MATCH(DATEVALUE($A303),'recurring1_based on steps'!AB$1:AB$400,0)),AB$2,)</f>
        <v>0</v>
      </c>
      <c r="AC303" s="179">
        <f ca="1">IF(ISNUMBER(MATCH(DATEVALUE($A303),'recurring1_based on steps'!AC$1:AC$400,0)),AC$2,)</f>
        <v>0</v>
      </c>
      <c r="AD303" s="179">
        <f ca="1">IF(ISNUMBER(MATCH(DATEVALUE($A303),'recurring1_based on steps'!AD$1:AD$400,0)),AD$2,)</f>
        <v>0</v>
      </c>
      <c r="AE303" s="179">
        <f ca="1">IF(ISNUMBER(MATCH(DATEVALUE($A303),'recurring1_based on steps'!AE$1:AE$400,0)),AE$2,)</f>
        <v>0</v>
      </c>
      <c r="AF303" s="179">
        <f ca="1">IF(ISNUMBER(MATCH(DATEVALUE($A303),'recurring1_based on steps'!AF$1:AF$400,0)),AF$2,)</f>
        <v>0</v>
      </c>
      <c r="AG303" s="179">
        <f ca="1">IF(ISNUMBER(MATCH(DATEVALUE($A303),'recurring1_based on steps'!AG$1:AG$400,0)),AG$2,)</f>
        <v>0</v>
      </c>
      <c r="AH303" s="179">
        <f ca="1">IF(ISNUMBER(MATCH(DATEVALUE($A303),'recurring1_based on steps'!AH$1:AH$400,0)),AH$2,)</f>
        <v>0</v>
      </c>
      <c r="AI303" s="179">
        <f ca="1">IF(ISNUMBER(MATCH(DATEVALUE($A303),'recurring1_based on steps'!AI$1:AI$400,0)),AI$2,)</f>
        <v>0</v>
      </c>
      <c r="AJ303" s="179">
        <f ca="1">IF(ISNUMBER(MATCH(DATEVALUE($A303),'recurring1_based on steps'!AJ$1:AJ$400,0)),AJ$2,)</f>
        <v>0</v>
      </c>
      <c r="AK303" s="179">
        <f ca="1">IF(ISNUMBER(MATCH(DATEVALUE($A303),'recurring1_based on steps'!AK$1:AK$400,0)),AK$2,)</f>
        <v>0</v>
      </c>
      <c r="AL303" s="179">
        <f ca="1">IF(ISNUMBER(MATCH(DATEVALUE($A303),'recurring1_based on steps'!AL$1:AL$400,0)),AL$2,)</f>
        <v>0</v>
      </c>
      <c r="AM303" s="179">
        <f ca="1">IF(ISNUMBER(MATCH(DATEVALUE($A303),'recurring1_based on steps'!AM$1:AM$400,0)),AM$2,)</f>
        <v>0</v>
      </c>
      <c r="AN303" s="179">
        <f ca="1">IF(ISNUMBER(MATCH(DATEVALUE($A303),'recurring1_based on steps'!AN$1:AN$400,0)),AN$2,)</f>
        <v>0</v>
      </c>
      <c r="AO303" s="179">
        <f ca="1">IF(ISNUMBER(MATCH(DATEVALUE($A303),'recurring1_based on steps'!AO$1:AO$400,0)),AO$2,)</f>
        <v>0</v>
      </c>
      <c r="AP303" s="179">
        <f ca="1">IF(ISNUMBER(MATCH(DATEVALUE($A303),'recurring1_based on steps'!AP$1:AP$400,0)),AP$2,)</f>
        <v>0</v>
      </c>
      <c r="AQ303" s="179">
        <f ca="1">IF(ISNUMBER(MATCH(DATEVALUE($A303),'recurring1_based on steps'!AQ$1:AQ$400,0)),AQ$2,)</f>
        <v>0</v>
      </c>
      <c r="AR303" s="179">
        <f ca="1">IF(ISNUMBER(MATCH(DATEVALUE($A303),'recurring1_based on steps'!AR$1:AR$400,0)),AR$2,)</f>
        <v>0</v>
      </c>
      <c r="AS303" s="179">
        <f ca="1">IF(ISNUMBER(MATCH(DATEVALUE($A303),'recurring1_based on steps'!AS$1:AS$400,0)),AS$2,)</f>
        <v>0</v>
      </c>
      <c r="AT303" s="179">
        <f ca="1">IF(ISNUMBER(MATCH(DATEVALUE($A303),'recurring1_based on steps'!AT$1:AT$400,0)),AT$2,)</f>
        <v>0</v>
      </c>
      <c r="AU303" s="179">
        <f ca="1">IF(ISNUMBER(MATCH(DATEVALUE($A303),'recurring1_based on steps'!AU$1:AU$400,0)),AU$2,)</f>
        <v>0</v>
      </c>
      <c r="AV303" s="179">
        <f ca="1">IF(ISNUMBER(MATCH(DATEVALUE($A303),'recurring1_based on steps'!AV$1:AV$400,0)),AV$2,)</f>
        <v>0</v>
      </c>
      <c r="AW303" s="179">
        <f ca="1">IF(ISNUMBER(MATCH(DATEVALUE($A303),'recurring1_based on steps'!AW$1:AW$400,0)),AW$2,)</f>
        <v>0</v>
      </c>
      <c r="AX303" s="179">
        <f ca="1">IF(ISNUMBER(MATCH(DATEVALUE($A303),'recurring1_based on steps'!AX$1:AX$400,0)),AX$2,)</f>
        <v>0</v>
      </c>
      <c r="AY303" s="179">
        <f ca="1">IF(ISNUMBER(MATCH(DATEVALUE($A303),'recurring1_based on steps'!AY$1:AY$400,0)),AY$2,)</f>
        <v>0</v>
      </c>
    </row>
    <row r="304" spans="1:51" x14ac:dyDescent="0.2">
      <c r="A304" s="32" t="str">
        <f t="shared" ca="1" si="4"/>
        <v>2026-01-24</v>
      </c>
      <c r="B304" s="179">
        <f ca="1">IF(ISNUMBER(MATCH(DATEVALUE($A304),'recurring1_based on steps'!B$1:B$400,0)),B$2,)</f>
        <v>0</v>
      </c>
      <c r="C304" s="179">
        <f ca="1">IF(ISNUMBER(MATCH(DATEVALUE($A304),'recurring1_based on steps'!C$1:C$400,0)),C$2,)</f>
        <v>0</v>
      </c>
      <c r="D304" s="179">
        <f ca="1">IF(ISNUMBER(MATCH(DATEVALUE($A304),'recurring1_based on steps'!D$1:D$400,0)),D$2,)</f>
        <v>0</v>
      </c>
      <c r="E304" s="179">
        <f ca="1">IF(ISNUMBER(MATCH(DATEVALUE($A304),'recurring1_based on steps'!E$1:E$400,0)),E$2,)</f>
        <v>0</v>
      </c>
      <c r="F304" s="179">
        <f ca="1">IF(ISNUMBER(MATCH(DATEVALUE($A304),'recurring1_based on steps'!F$1:F$400,0)),F$2,)</f>
        <v>0</v>
      </c>
      <c r="G304" s="179">
        <f ca="1">IF(ISNUMBER(MATCH(DATEVALUE($A304),'recurring1_based on steps'!G$1:G$400,0)),G$2,)</f>
        <v>0</v>
      </c>
      <c r="H304" s="179">
        <f ca="1">IF(ISNUMBER(MATCH(DATEVALUE($A304),'recurring1_based on steps'!H$1:H$400,0)),H$2,)</f>
        <v>0</v>
      </c>
      <c r="I304" s="179">
        <f ca="1">IF(ISNUMBER(MATCH(DATEVALUE($A304),'recurring1_based on steps'!I$1:I$400,0)),I$2,)</f>
        <v>0</v>
      </c>
      <c r="J304" s="179">
        <f ca="1">IF(ISNUMBER(MATCH(DATEVALUE($A304),'recurring1_based on steps'!J$1:J$400,0)),J$2,)</f>
        <v>0</v>
      </c>
      <c r="K304" s="179">
        <f ca="1">IF(ISNUMBER(MATCH(DATEVALUE($A304),'recurring1_based on steps'!K$1:K$400,0)),K$2,)</f>
        <v>0</v>
      </c>
      <c r="L304" s="179">
        <f ca="1">IF(ISNUMBER(MATCH(DATEVALUE($A304),'recurring1_based on steps'!L$1:L$400,0)),L$2,)</f>
        <v>0</v>
      </c>
      <c r="M304" s="179">
        <f ca="1">IF(ISNUMBER(MATCH(DATEVALUE($A304),'recurring1_based on steps'!M$1:M$400,0)),M$2,)</f>
        <v>0</v>
      </c>
      <c r="N304" s="179">
        <f ca="1">IF(ISNUMBER(MATCH(DATEVALUE($A304),'recurring1_based on steps'!N$1:N$400,0)),N$2,)</f>
        <v>0</v>
      </c>
      <c r="O304" s="179">
        <f ca="1">IF(ISNUMBER(MATCH(DATEVALUE($A304),'recurring1_based on steps'!O$1:O$400,0)),O$2,)</f>
        <v>0</v>
      </c>
      <c r="P304" s="179">
        <f ca="1">IF(ISNUMBER(MATCH(DATEVALUE($A304),'recurring1_based on steps'!P$1:P$400,0)),P$2,)</f>
        <v>0</v>
      </c>
      <c r="Q304" s="179">
        <f ca="1">IF(ISNUMBER(MATCH(DATEVALUE($A304),'recurring1_based on steps'!Q$1:Q$400,0)),Q$2,)</f>
        <v>0</v>
      </c>
      <c r="R304" s="179">
        <f ca="1">IF(ISNUMBER(MATCH(DATEVALUE($A304),'recurring1_based on steps'!R$1:R$400,0)),R$2,)</f>
        <v>0</v>
      </c>
      <c r="S304" s="179">
        <f ca="1">IF(ISNUMBER(MATCH(DATEVALUE($A304),'recurring1_based on steps'!S$1:S$400,0)),S$2,)</f>
        <v>0</v>
      </c>
      <c r="T304" s="179">
        <f ca="1">IF(ISNUMBER(MATCH(DATEVALUE($A304),'recurring1_based on steps'!T$1:T$400,0)),T$2,)</f>
        <v>0</v>
      </c>
      <c r="U304" s="179">
        <f ca="1">IF(ISNUMBER(MATCH(DATEVALUE($A304),'recurring1_based on steps'!U$1:U$400,0)),U$2,)</f>
        <v>0</v>
      </c>
      <c r="V304" s="179">
        <f ca="1">IF(ISNUMBER(MATCH(DATEVALUE($A304),'recurring1_based on steps'!V$1:V$400,0)),V$2,)</f>
        <v>0</v>
      </c>
      <c r="W304" s="179">
        <f ca="1">IF(ISNUMBER(MATCH(DATEVALUE($A304),'recurring1_based on steps'!W$1:W$400,0)),W$2,)</f>
        <v>0</v>
      </c>
      <c r="X304" s="179">
        <f ca="1">IF(ISNUMBER(MATCH(DATEVALUE($A304),'recurring1_based on steps'!X$1:X$400,0)),X$2,)</f>
        <v>0</v>
      </c>
      <c r="Y304" s="179">
        <f ca="1">IF(ISNUMBER(MATCH(DATEVALUE($A304),'recurring1_based on steps'!Y$1:Y$400,0)),Y$2,)</f>
        <v>0</v>
      </c>
      <c r="Z304" s="179">
        <f ca="1">IF(ISNUMBER(MATCH(DATEVALUE($A304),'recurring1_based on steps'!Z$1:Z$400,0)),Z$2,)</f>
        <v>0</v>
      </c>
      <c r="AA304" s="179">
        <f ca="1">IF(ISNUMBER(MATCH(DATEVALUE($A304),'recurring1_based on steps'!AA$1:AA$400,0)),AA$2,)</f>
        <v>0</v>
      </c>
      <c r="AB304" s="179">
        <f ca="1">IF(ISNUMBER(MATCH(DATEVALUE($A304),'recurring1_based on steps'!AB$1:AB$400,0)),AB$2,)</f>
        <v>0</v>
      </c>
      <c r="AC304" s="179">
        <f ca="1">IF(ISNUMBER(MATCH(DATEVALUE($A304),'recurring1_based on steps'!AC$1:AC$400,0)),AC$2,)</f>
        <v>0</v>
      </c>
      <c r="AD304" s="179">
        <f ca="1">IF(ISNUMBER(MATCH(DATEVALUE($A304),'recurring1_based on steps'!AD$1:AD$400,0)),AD$2,)</f>
        <v>0</v>
      </c>
      <c r="AE304" s="179">
        <f ca="1">IF(ISNUMBER(MATCH(DATEVALUE($A304),'recurring1_based on steps'!AE$1:AE$400,0)),AE$2,)</f>
        <v>0</v>
      </c>
      <c r="AF304" s="179">
        <f ca="1">IF(ISNUMBER(MATCH(DATEVALUE($A304),'recurring1_based on steps'!AF$1:AF$400,0)),AF$2,)</f>
        <v>0</v>
      </c>
      <c r="AG304" s="179">
        <f ca="1">IF(ISNUMBER(MATCH(DATEVALUE($A304),'recurring1_based on steps'!AG$1:AG$400,0)),AG$2,)</f>
        <v>0</v>
      </c>
      <c r="AH304" s="179">
        <f ca="1">IF(ISNUMBER(MATCH(DATEVALUE($A304),'recurring1_based on steps'!AH$1:AH$400,0)),AH$2,)</f>
        <v>0</v>
      </c>
      <c r="AI304" s="179">
        <f ca="1">IF(ISNUMBER(MATCH(DATEVALUE($A304),'recurring1_based on steps'!AI$1:AI$400,0)),AI$2,)</f>
        <v>0</v>
      </c>
      <c r="AJ304" s="179">
        <f ca="1">IF(ISNUMBER(MATCH(DATEVALUE($A304),'recurring1_based on steps'!AJ$1:AJ$400,0)),AJ$2,)</f>
        <v>0</v>
      </c>
      <c r="AK304" s="179">
        <f ca="1">IF(ISNUMBER(MATCH(DATEVALUE($A304),'recurring1_based on steps'!AK$1:AK$400,0)),AK$2,)</f>
        <v>0</v>
      </c>
      <c r="AL304" s="179">
        <f ca="1">IF(ISNUMBER(MATCH(DATEVALUE($A304),'recurring1_based on steps'!AL$1:AL$400,0)),AL$2,)</f>
        <v>0</v>
      </c>
      <c r="AM304" s="179">
        <f ca="1">IF(ISNUMBER(MATCH(DATEVALUE($A304),'recurring1_based on steps'!AM$1:AM$400,0)),AM$2,)</f>
        <v>0</v>
      </c>
      <c r="AN304" s="179">
        <f ca="1">IF(ISNUMBER(MATCH(DATEVALUE($A304),'recurring1_based on steps'!AN$1:AN$400,0)),AN$2,)</f>
        <v>0</v>
      </c>
      <c r="AO304" s="179">
        <f ca="1">IF(ISNUMBER(MATCH(DATEVALUE($A304),'recurring1_based on steps'!AO$1:AO$400,0)),AO$2,)</f>
        <v>0</v>
      </c>
      <c r="AP304" s="179">
        <f ca="1">IF(ISNUMBER(MATCH(DATEVALUE($A304),'recurring1_based on steps'!AP$1:AP$400,0)),AP$2,)</f>
        <v>0</v>
      </c>
      <c r="AQ304" s="179">
        <f ca="1">IF(ISNUMBER(MATCH(DATEVALUE($A304),'recurring1_based on steps'!AQ$1:AQ$400,0)),AQ$2,)</f>
        <v>0</v>
      </c>
      <c r="AR304" s="179">
        <f ca="1">IF(ISNUMBER(MATCH(DATEVALUE($A304),'recurring1_based on steps'!AR$1:AR$400,0)),AR$2,)</f>
        <v>0</v>
      </c>
      <c r="AS304" s="179">
        <f ca="1">IF(ISNUMBER(MATCH(DATEVALUE($A304),'recurring1_based on steps'!AS$1:AS$400,0)),AS$2,)</f>
        <v>0</v>
      </c>
      <c r="AT304" s="179">
        <f ca="1">IF(ISNUMBER(MATCH(DATEVALUE($A304),'recurring1_based on steps'!AT$1:AT$400,0)),AT$2,)</f>
        <v>0</v>
      </c>
      <c r="AU304" s="179">
        <f ca="1">IF(ISNUMBER(MATCH(DATEVALUE($A304),'recurring1_based on steps'!AU$1:AU$400,0)),AU$2,)</f>
        <v>0</v>
      </c>
      <c r="AV304" s="179">
        <f ca="1">IF(ISNUMBER(MATCH(DATEVALUE($A304),'recurring1_based on steps'!AV$1:AV$400,0)),AV$2,)</f>
        <v>0</v>
      </c>
      <c r="AW304" s="179">
        <f ca="1">IF(ISNUMBER(MATCH(DATEVALUE($A304),'recurring1_based on steps'!AW$1:AW$400,0)),AW$2,)</f>
        <v>0</v>
      </c>
      <c r="AX304" s="179">
        <f ca="1">IF(ISNUMBER(MATCH(DATEVALUE($A304),'recurring1_based on steps'!AX$1:AX$400,0)),AX$2,)</f>
        <v>0</v>
      </c>
      <c r="AY304" s="179">
        <f ca="1">IF(ISNUMBER(MATCH(DATEVALUE($A304),'recurring1_based on steps'!AY$1:AY$400,0)),AY$2,)</f>
        <v>0</v>
      </c>
    </row>
    <row r="305" spans="1:51" x14ac:dyDescent="0.2">
      <c r="A305" s="32" t="str">
        <f t="shared" ca="1" si="4"/>
        <v>2026-01-25</v>
      </c>
      <c r="B305" s="179">
        <f ca="1">IF(ISNUMBER(MATCH(DATEVALUE($A305),'recurring1_based on steps'!B$1:B$400,0)),B$2,)</f>
        <v>0</v>
      </c>
      <c r="C305" s="179">
        <f ca="1">IF(ISNUMBER(MATCH(DATEVALUE($A305),'recurring1_based on steps'!C$1:C$400,0)),C$2,)</f>
        <v>0</v>
      </c>
      <c r="D305" s="179">
        <f ca="1">IF(ISNUMBER(MATCH(DATEVALUE($A305),'recurring1_based on steps'!D$1:D$400,0)),D$2,)</f>
        <v>0</v>
      </c>
      <c r="E305" s="179">
        <f ca="1">IF(ISNUMBER(MATCH(DATEVALUE($A305),'recurring1_based on steps'!E$1:E$400,0)),E$2,)</f>
        <v>0</v>
      </c>
      <c r="F305" s="179">
        <f ca="1">IF(ISNUMBER(MATCH(DATEVALUE($A305),'recurring1_based on steps'!F$1:F$400,0)),F$2,)</f>
        <v>0</v>
      </c>
      <c r="G305" s="179">
        <f ca="1">IF(ISNUMBER(MATCH(DATEVALUE($A305),'recurring1_based on steps'!G$1:G$400,0)),G$2,)</f>
        <v>0</v>
      </c>
      <c r="H305" s="179">
        <f ca="1">IF(ISNUMBER(MATCH(DATEVALUE($A305),'recurring1_based on steps'!H$1:H$400,0)),H$2,)</f>
        <v>0</v>
      </c>
      <c r="I305" s="179">
        <f ca="1">IF(ISNUMBER(MATCH(DATEVALUE($A305),'recurring1_based on steps'!I$1:I$400,0)),I$2,)</f>
        <v>0</v>
      </c>
      <c r="J305" s="179">
        <f ca="1">IF(ISNUMBER(MATCH(DATEVALUE($A305),'recurring1_based on steps'!J$1:J$400,0)),J$2,)</f>
        <v>0</v>
      </c>
      <c r="K305" s="179">
        <f ca="1">IF(ISNUMBER(MATCH(DATEVALUE($A305),'recurring1_based on steps'!K$1:K$400,0)),K$2,)</f>
        <v>0</v>
      </c>
      <c r="L305" s="179">
        <f ca="1">IF(ISNUMBER(MATCH(DATEVALUE($A305),'recurring1_based on steps'!L$1:L$400,0)),L$2,)</f>
        <v>0</v>
      </c>
      <c r="M305" s="179">
        <f ca="1">IF(ISNUMBER(MATCH(DATEVALUE($A305),'recurring1_based on steps'!M$1:M$400,0)),M$2,)</f>
        <v>0</v>
      </c>
      <c r="N305" s="179">
        <f ca="1">IF(ISNUMBER(MATCH(DATEVALUE($A305),'recurring1_based on steps'!N$1:N$400,0)),N$2,)</f>
        <v>0</v>
      </c>
      <c r="O305" s="179">
        <f ca="1">IF(ISNUMBER(MATCH(DATEVALUE($A305),'recurring1_based on steps'!O$1:O$400,0)),O$2,)</f>
        <v>0</v>
      </c>
      <c r="P305" s="179">
        <f ca="1">IF(ISNUMBER(MATCH(DATEVALUE($A305),'recurring1_based on steps'!P$1:P$400,0)),P$2,)</f>
        <v>0</v>
      </c>
      <c r="Q305" s="179">
        <f ca="1">IF(ISNUMBER(MATCH(DATEVALUE($A305),'recurring1_based on steps'!Q$1:Q$400,0)),Q$2,)</f>
        <v>0</v>
      </c>
      <c r="R305" s="179">
        <f ca="1">IF(ISNUMBER(MATCH(DATEVALUE($A305),'recurring1_based on steps'!R$1:R$400,0)),R$2,)</f>
        <v>0</v>
      </c>
      <c r="S305" s="179">
        <f ca="1">IF(ISNUMBER(MATCH(DATEVALUE($A305),'recurring1_based on steps'!S$1:S$400,0)),S$2,)</f>
        <v>0</v>
      </c>
      <c r="T305" s="179">
        <f ca="1">IF(ISNUMBER(MATCH(DATEVALUE($A305),'recurring1_based on steps'!T$1:T$400,0)),T$2,)</f>
        <v>0</v>
      </c>
      <c r="U305" s="179">
        <f ca="1">IF(ISNUMBER(MATCH(DATEVALUE($A305),'recurring1_based on steps'!U$1:U$400,0)),U$2,)</f>
        <v>0</v>
      </c>
      <c r="V305" s="179">
        <f ca="1">IF(ISNUMBER(MATCH(DATEVALUE($A305),'recurring1_based on steps'!V$1:V$400,0)),V$2,)</f>
        <v>0</v>
      </c>
      <c r="W305" s="179">
        <f ca="1">IF(ISNUMBER(MATCH(DATEVALUE($A305),'recurring1_based on steps'!W$1:W$400,0)),W$2,)</f>
        <v>0</v>
      </c>
      <c r="X305" s="179">
        <f ca="1">IF(ISNUMBER(MATCH(DATEVALUE($A305),'recurring1_based on steps'!X$1:X$400,0)),X$2,)</f>
        <v>0</v>
      </c>
      <c r="Y305" s="179">
        <f ca="1">IF(ISNUMBER(MATCH(DATEVALUE($A305),'recurring1_based on steps'!Y$1:Y$400,0)),Y$2,)</f>
        <v>0</v>
      </c>
      <c r="Z305" s="179">
        <f ca="1">IF(ISNUMBER(MATCH(DATEVALUE($A305),'recurring1_based on steps'!Z$1:Z$400,0)),Z$2,)</f>
        <v>0</v>
      </c>
      <c r="AA305" s="179">
        <f ca="1">IF(ISNUMBER(MATCH(DATEVALUE($A305),'recurring1_based on steps'!AA$1:AA$400,0)),AA$2,)</f>
        <v>0</v>
      </c>
      <c r="AB305" s="179">
        <f ca="1">IF(ISNUMBER(MATCH(DATEVALUE($A305),'recurring1_based on steps'!AB$1:AB$400,0)),AB$2,)</f>
        <v>0</v>
      </c>
      <c r="AC305" s="179">
        <f ca="1">IF(ISNUMBER(MATCH(DATEVALUE($A305),'recurring1_based on steps'!AC$1:AC$400,0)),AC$2,)</f>
        <v>0</v>
      </c>
      <c r="AD305" s="179">
        <f ca="1">IF(ISNUMBER(MATCH(DATEVALUE($A305),'recurring1_based on steps'!AD$1:AD$400,0)),AD$2,)</f>
        <v>0</v>
      </c>
      <c r="AE305" s="179">
        <f ca="1">IF(ISNUMBER(MATCH(DATEVALUE($A305),'recurring1_based on steps'!AE$1:AE$400,0)),AE$2,)</f>
        <v>0</v>
      </c>
      <c r="AF305" s="179">
        <f ca="1">IF(ISNUMBER(MATCH(DATEVALUE($A305),'recurring1_based on steps'!AF$1:AF$400,0)),AF$2,)</f>
        <v>0</v>
      </c>
      <c r="AG305" s="179">
        <f ca="1">IF(ISNUMBER(MATCH(DATEVALUE($A305),'recurring1_based on steps'!AG$1:AG$400,0)),AG$2,)</f>
        <v>0</v>
      </c>
      <c r="AH305" s="179">
        <f ca="1">IF(ISNUMBER(MATCH(DATEVALUE($A305),'recurring1_based on steps'!AH$1:AH$400,0)),AH$2,)</f>
        <v>0</v>
      </c>
      <c r="AI305" s="179">
        <f ca="1">IF(ISNUMBER(MATCH(DATEVALUE($A305),'recurring1_based on steps'!AI$1:AI$400,0)),AI$2,)</f>
        <v>0</v>
      </c>
      <c r="AJ305" s="179">
        <f ca="1">IF(ISNUMBER(MATCH(DATEVALUE($A305),'recurring1_based on steps'!AJ$1:AJ$400,0)),AJ$2,)</f>
        <v>0</v>
      </c>
      <c r="AK305" s="179">
        <f ca="1">IF(ISNUMBER(MATCH(DATEVALUE($A305),'recurring1_based on steps'!AK$1:AK$400,0)),AK$2,)</f>
        <v>0</v>
      </c>
      <c r="AL305" s="179">
        <f ca="1">IF(ISNUMBER(MATCH(DATEVALUE($A305),'recurring1_based on steps'!AL$1:AL$400,0)),AL$2,)</f>
        <v>0</v>
      </c>
      <c r="AM305" s="179">
        <f ca="1">IF(ISNUMBER(MATCH(DATEVALUE($A305),'recurring1_based on steps'!AM$1:AM$400,0)),AM$2,)</f>
        <v>0</v>
      </c>
      <c r="AN305" s="179">
        <f ca="1">IF(ISNUMBER(MATCH(DATEVALUE($A305),'recurring1_based on steps'!AN$1:AN$400,0)),AN$2,)</f>
        <v>0</v>
      </c>
      <c r="AO305" s="179">
        <f ca="1">IF(ISNUMBER(MATCH(DATEVALUE($A305),'recurring1_based on steps'!AO$1:AO$400,0)),AO$2,)</f>
        <v>0</v>
      </c>
      <c r="AP305" s="179">
        <f ca="1">IF(ISNUMBER(MATCH(DATEVALUE($A305),'recurring1_based on steps'!AP$1:AP$400,0)),AP$2,)</f>
        <v>0</v>
      </c>
      <c r="AQ305" s="179">
        <f ca="1">IF(ISNUMBER(MATCH(DATEVALUE($A305),'recurring1_based on steps'!AQ$1:AQ$400,0)),AQ$2,)</f>
        <v>0</v>
      </c>
      <c r="AR305" s="179">
        <f ca="1">IF(ISNUMBER(MATCH(DATEVALUE($A305),'recurring1_based on steps'!AR$1:AR$400,0)),AR$2,)</f>
        <v>0</v>
      </c>
      <c r="AS305" s="179">
        <f ca="1">IF(ISNUMBER(MATCH(DATEVALUE($A305),'recurring1_based on steps'!AS$1:AS$400,0)),AS$2,)</f>
        <v>0</v>
      </c>
      <c r="AT305" s="179">
        <f ca="1">IF(ISNUMBER(MATCH(DATEVALUE($A305),'recurring1_based on steps'!AT$1:AT$400,0)),AT$2,)</f>
        <v>0</v>
      </c>
      <c r="AU305" s="179">
        <f ca="1">IF(ISNUMBER(MATCH(DATEVALUE($A305),'recurring1_based on steps'!AU$1:AU$400,0)),AU$2,)</f>
        <v>0</v>
      </c>
      <c r="AV305" s="179">
        <f ca="1">IF(ISNUMBER(MATCH(DATEVALUE($A305),'recurring1_based on steps'!AV$1:AV$400,0)),AV$2,)</f>
        <v>0</v>
      </c>
      <c r="AW305" s="179">
        <f ca="1">IF(ISNUMBER(MATCH(DATEVALUE($A305),'recurring1_based on steps'!AW$1:AW$400,0)),AW$2,)</f>
        <v>0</v>
      </c>
      <c r="AX305" s="179">
        <f ca="1">IF(ISNUMBER(MATCH(DATEVALUE($A305),'recurring1_based on steps'!AX$1:AX$400,0)),AX$2,)</f>
        <v>0</v>
      </c>
      <c r="AY305" s="179">
        <f ca="1">IF(ISNUMBER(MATCH(DATEVALUE($A305),'recurring1_based on steps'!AY$1:AY$400,0)),AY$2,)</f>
        <v>0</v>
      </c>
    </row>
    <row r="306" spans="1:51" x14ac:dyDescent="0.2">
      <c r="A306" s="32" t="str">
        <f t="shared" ca="1" si="4"/>
        <v>2026-01-26</v>
      </c>
      <c r="B306" s="179">
        <f ca="1">IF(ISNUMBER(MATCH(DATEVALUE($A306),'recurring1_based on steps'!B$1:B$400,0)),B$2,)</f>
        <v>0</v>
      </c>
      <c r="C306" s="179">
        <f ca="1">IF(ISNUMBER(MATCH(DATEVALUE($A306),'recurring1_based on steps'!C$1:C$400,0)),C$2,)</f>
        <v>0</v>
      </c>
      <c r="D306" s="179">
        <f ca="1">IF(ISNUMBER(MATCH(DATEVALUE($A306),'recurring1_based on steps'!D$1:D$400,0)),D$2,)</f>
        <v>0</v>
      </c>
      <c r="E306" s="179">
        <f ca="1">IF(ISNUMBER(MATCH(DATEVALUE($A306),'recurring1_based on steps'!E$1:E$400,0)),E$2,)</f>
        <v>0</v>
      </c>
      <c r="F306" s="179">
        <f ca="1">IF(ISNUMBER(MATCH(DATEVALUE($A306),'recurring1_based on steps'!F$1:F$400,0)),F$2,)</f>
        <v>0</v>
      </c>
      <c r="G306" s="179">
        <f ca="1">IF(ISNUMBER(MATCH(DATEVALUE($A306),'recurring1_based on steps'!G$1:G$400,0)),G$2,)</f>
        <v>0</v>
      </c>
      <c r="H306" s="179">
        <f ca="1">IF(ISNUMBER(MATCH(DATEVALUE($A306),'recurring1_based on steps'!H$1:H$400,0)),H$2,)</f>
        <v>0</v>
      </c>
      <c r="I306" s="179">
        <f ca="1">IF(ISNUMBER(MATCH(DATEVALUE($A306),'recurring1_based on steps'!I$1:I$400,0)),I$2,)</f>
        <v>0</v>
      </c>
      <c r="J306" s="179">
        <f ca="1">IF(ISNUMBER(MATCH(DATEVALUE($A306),'recurring1_based on steps'!J$1:J$400,0)),J$2,)</f>
        <v>0</v>
      </c>
      <c r="K306" s="179">
        <f ca="1">IF(ISNUMBER(MATCH(DATEVALUE($A306),'recurring1_based on steps'!K$1:K$400,0)),K$2,)</f>
        <v>0</v>
      </c>
      <c r="L306" s="179">
        <f ca="1">IF(ISNUMBER(MATCH(DATEVALUE($A306),'recurring1_based on steps'!L$1:L$400,0)),L$2,)</f>
        <v>0</v>
      </c>
      <c r="M306" s="179">
        <f ca="1">IF(ISNUMBER(MATCH(DATEVALUE($A306),'recurring1_based on steps'!M$1:M$400,0)),M$2,)</f>
        <v>0</v>
      </c>
      <c r="N306" s="179">
        <f ca="1">IF(ISNUMBER(MATCH(DATEVALUE($A306),'recurring1_based on steps'!N$1:N$400,0)),N$2,)</f>
        <v>0</v>
      </c>
      <c r="O306" s="179">
        <f ca="1">IF(ISNUMBER(MATCH(DATEVALUE($A306),'recurring1_based on steps'!O$1:O$400,0)),O$2,)</f>
        <v>0</v>
      </c>
      <c r="P306" s="179">
        <f ca="1">IF(ISNUMBER(MATCH(DATEVALUE($A306),'recurring1_based on steps'!P$1:P$400,0)),P$2,)</f>
        <v>0</v>
      </c>
      <c r="Q306" s="179">
        <f ca="1">IF(ISNUMBER(MATCH(DATEVALUE($A306),'recurring1_based on steps'!Q$1:Q$400,0)),Q$2,)</f>
        <v>0</v>
      </c>
      <c r="R306" s="179">
        <f ca="1">IF(ISNUMBER(MATCH(DATEVALUE($A306),'recurring1_based on steps'!R$1:R$400,0)),R$2,)</f>
        <v>0</v>
      </c>
      <c r="S306" s="179">
        <f ca="1">IF(ISNUMBER(MATCH(DATEVALUE($A306),'recurring1_based on steps'!S$1:S$400,0)),S$2,)</f>
        <v>0</v>
      </c>
      <c r="T306" s="179">
        <f ca="1">IF(ISNUMBER(MATCH(DATEVALUE($A306),'recurring1_based on steps'!T$1:T$400,0)),T$2,)</f>
        <v>0</v>
      </c>
      <c r="U306" s="179">
        <f ca="1">IF(ISNUMBER(MATCH(DATEVALUE($A306),'recurring1_based on steps'!U$1:U$400,0)),U$2,)</f>
        <v>0</v>
      </c>
      <c r="V306" s="179">
        <f ca="1">IF(ISNUMBER(MATCH(DATEVALUE($A306),'recurring1_based on steps'!V$1:V$400,0)),V$2,)</f>
        <v>0</v>
      </c>
      <c r="W306" s="179">
        <f ca="1">IF(ISNUMBER(MATCH(DATEVALUE($A306),'recurring1_based on steps'!W$1:W$400,0)),W$2,)</f>
        <v>0</v>
      </c>
      <c r="X306" s="179">
        <f ca="1">IF(ISNUMBER(MATCH(DATEVALUE($A306),'recurring1_based on steps'!X$1:X$400,0)),X$2,)</f>
        <v>0</v>
      </c>
      <c r="Y306" s="179">
        <f ca="1">IF(ISNUMBER(MATCH(DATEVALUE($A306),'recurring1_based on steps'!Y$1:Y$400,0)),Y$2,)</f>
        <v>0</v>
      </c>
      <c r="Z306" s="179">
        <f ca="1">IF(ISNUMBER(MATCH(DATEVALUE($A306),'recurring1_based on steps'!Z$1:Z$400,0)),Z$2,)</f>
        <v>0</v>
      </c>
      <c r="AA306" s="179">
        <f ca="1">IF(ISNUMBER(MATCH(DATEVALUE($A306),'recurring1_based on steps'!AA$1:AA$400,0)),AA$2,)</f>
        <v>0</v>
      </c>
      <c r="AB306" s="179">
        <f ca="1">IF(ISNUMBER(MATCH(DATEVALUE($A306),'recurring1_based on steps'!AB$1:AB$400,0)),AB$2,)</f>
        <v>0</v>
      </c>
      <c r="AC306" s="179">
        <f ca="1">IF(ISNUMBER(MATCH(DATEVALUE($A306),'recurring1_based on steps'!AC$1:AC$400,0)),AC$2,)</f>
        <v>0</v>
      </c>
      <c r="AD306" s="179">
        <f ca="1">IF(ISNUMBER(MATCH(DATEVALUE($A306),'recurring1_based on steps'!AD$1:AD$400,0)),AD$2,)</f>
        <v>0</v>
      </c>
      <c r="AE306" s="179">
        <f ca="1">IF(ISNUMBER(MATCH(DATEVALUE($A306),'recurring1_based on steps'!AE$1:AE$400,0)),AE$2,)</f>
        <v>0</v>
      </c>
      <c r="AF306" s="179">
        <f ca="1">IF(ISNUMBER(MATCH(DATEVALUE($A306),'recurring1_based on steps'!AF$1:AF$400,0)),AF$2,)</f>
        <v>0</v>
      </c>
      <c r="AG306" s="179">
        <f ca="1">IF(ISNUMBER(MATCH(DATEVALUE($A306),'recurring1_based on steps'!AG$1:AG$400,0)),AG$2,)</f>
        <v>0</v>
      </c>
      <c r="AH306" s="179">
        <f ca="1">IF(ISNUMBER(MATCH(DATEVALUE($A306),'recurring1_based on steps'!AH$1:AH$400,0)),AH$2,)</f>
        <v>0</v>
      </c>
      <c r="AI306" s="179">
        <f ca="1">IF(ISNUMBER(MATCH(DATEVALUE($A306),'recurring1_based on steps'!AI$1:AI$400,0)),AI$2,)</f>
        <v>0</v>
      </c>
      <c r="AJ306" s="179">
        <f ca="1">IF(ISNUMBER(MATCH(DATEVALUE($A306),'recurring1_based on steps'!AJ$1:AJ$400,0)),AJ$2,)</f>
        <v>0</v>
      </c>
      <c r="AK306" s="179">
        <f ca="1">IF(ISNUMBER(MATCH(DATEVALUE($A306),'recurring1_based on steps'!AK$1:AK$400,0)),AK$2,)</f>
        <v>0</v>
      </c>
      <c r="AL306" s="179">
        <f ca="1">IF(ISNUMBER(MATCH(DATEVALUE($A306),'recurring1_based on steps'!AL$1:AL$400,0)),AL$2,)</f>
        <v>0</v>
      </c>
      <c r="AM306" s="179">
        <f ca="1">IF(ISNUMBER(MATCH(DATEVALUE($A306),'recurring1_based on steps'!AM$1:AM$400,0)),AM$2,)</f>
        <v>0</v>
      </c>
      <c r="AN306" s="179">
        <f ca="1">IF(ISNUMBER(MATCH(DATEVALUE($A306),'recurring1_based on steps'!AN$1:AN$400,0)),AN$2,)</f>
        <v>0</v>
      </c>
      <c r="AO306" s="179">
        <f ca="1">IF(ISNUMBER(MATCH(DATEVALUE($A306),'recurring1_based on steps'!AO$1:AO$400,0)),AO$2,)</f>
        <v>0</v>
      </c>
      <c r="AP306" s="179">
        <f ca="1">IF(ISNUMBER(MATCH(DATEVALUE($A306),'recurring1_based on steps'!AP$1:AP$400,0)),AP$2,)</f>
        <v>0</v>
      </c>
      <c r="AQ306" s="179">
        <f ca="1">IF(ISNUMBER(MATCH(DATEVALUE($A306),'recurring1_based on steps'!AQ$1:AQ$400,0)),AQ$2,)</f>
        <v>0</v>
      </c>
      <c r="AR306" s="179">
        <f ca="1">IF(ISNUMBER(MATCH(DATEVALUE($A306),'recurring1_based on steps'!AR$1:AR$400,0)),AR$2,)</f>
        <v>0</v>
      </c>
      <c r="AS306" s="179">
        <f ca="1">IF(ISNUMBER(MATCH(DATEVALUE($A306),'recurring1_based on steps'!AS$1:AS$400,0)),AS$2,)</f>
        <v>0</v>
      </c>
      <c r="AT306" s="179">
        <f ca="1">IF(ISNUMBER(MATCH(DATEVALUE($A306),'recurring1_based on steps'!AT$1:AT$400,0)),AT$2,)</f>
        <v>0</v>
      </c>
      <c r="AU306" s="179">
        <f ca="1">IF(ISNUMBER(MATCH(DATEVALUE($A306),'recurring1_based on steps'!AU$1:AU$400,0)),AU$2,)</f>
        <v>0</v>
      </c>
      <c r="AV306" s="179">
        <f ca="1">IF(ISNUMBER(MATCH(DATEVALUE($A306),'recurring1_based on steps'!AV$1:AV$400,0)),AV$2,)</f>
        <v>0</v>
      </c>
      <c r="AW306" s="179">
        <f ca="1">IF(ISNUMBER(MATCH(DATEVALUE($A306),'recurring1_based on steps'!AW$1:AW$400,0)),AW$2,)</f>
        <v>0</v>
      </c>
      <c r="AX306" s="179">
        <f ca="1">IF(ISNUMBER(MATCH(DATEVALUE($A306),'recurring1_based on steps'!AX$1:AX$400,0)),AX$2,)</f>
        <v>0</v>
      </c>
      <c r="AY306" s="179">
        <f ca="1">IF(ISNUMBER(MATCH(DATEVALUE($A306),'recurring1_based on steps'!AY$1:AY$400,0)),AY$2,)</f>
        <v>0</v>
      </c>
    </row>
    <row r="307" spans="1:51" x14ac:dyDescent="0.2">
      <c r="A307" s="32" t="str">
        <f t="shared" ca="1" si="4"/>
        <v>2026-01-27</v>
      </c>
      <c r="B307" s="179">
        <f ca="1">IF(ISNUMBER(MATCH(DATEVALUE($A307),'recurring1_based on steps'!B$1:B$400,0)),B$2,)</f>
        <v>0</v>
      </c>
      <c r="C307" s="179">
        <f ca="1">IF(ISNUMBER(MATCH(DATEVALUE($A307),'recurring1_based on steps'!C$1:C$400,0)),C$2,)</f>
        <v>0</v>
      </c>
      <c r="D307" s="179">
        <f ca="1">IF(ISNUMBER(MATCH(DATEVALUE($A307),'recurring1_based on steps'!D$1:D$400,0)),D$2,)</f>
        <v>0</v>
      </c>
      <c r="E307" s="179">
        <f ca="1">IF(ISNUMBER(MATCH(DATEVALUE($A307),'recurring1_based on steps'!E$1:E$400,0)),E$2,)</f>
        <v>0</v>
      </c>
      <c r="F307" s="179">
        <f ca="1">IF(ISNUMBER(MATCH(DATEVALUE($A307),'recurring1_based on steps'!F$1:F$400,0)),F$2,)</f>
        <v>0</v>
      </c>
      <c r="G307" s="179">
        <f ca="1">IF(ISNUMBER(MATCH(DATEVALUE($A307),'recurring1_based on steps'!G$1:G$400,0)),G$2,)</f>
        <v>0</v>
      </c>
      <c r="H307" s="179">
        <f ca="1">IF(ISNUMBER(MATCH(DATEVALUE($A307),'recurring1_based on steps'!H$1:H$400,0)),H$2,)</f>
        <v>0</v>
      </c>
      <c r="I307" s="179">
        <f ca="1">IF(ISNUMBER(MATCH(DATEVALUE($A307),'recurring1_based on steps'!I$1:I$400,0)),I$2,)</f>
        <v>0</v>
      </c>
      <c r="J307" s="179">
        <f ca="1">IF(ISNUMBER(MATCH(DATEVALUE($A307),'recurring1_based on steps'!J$1:J$400,0)),J$2,)</f>
        <v>0</v>
      </c>
      <c r="K307" s="179">
        <f ca="1">IF(ISNUMBER(MATCH(DATEVALUE($A307),'recurring1_based on steps'!K$1:K$400,0)),K$2,)</f>
        <v>0</v>
      </c>
      <c r="L307" s="179">
        <f ca="1">IF(ISNUMBER(MATCH(DATEVALUE($A307),'recurring1_based on steps'!L$1:L$400,0)),L$2,)</f>
        <v>0</v>
      </c>
      <c r="M307" s="179">
        <f ca="1">IF(ISNUMBER(MATCH(DATEVALUE($A307),'recurring1_based on steps'!M$1:M$400,0)),M$2,)</f>
        <v>0</v>
      </c>
      <c r="N307" s="179">
        <f ca="1">IF(ISNUMBER(MATCH(DATEVALUE($A307),'recurring1_based on steps'!N$1:N$400,0)),N$2,)</f>
        <v>0</v>
      </c>
      <c r="O307" s="179">
        <f ca="1">IF(ISNUMBER(MATCH(DATEVALUE($A307),'recurring1_based on steps'!O$1:O$400,0)),O$2,)</f>
        <v>0</v>
      </c>
      <c r="P307" s="179">
        <f ca="1">IF(ISNUMBER(MATCH(DATEVALUE($A307),'recurring1_based on steps'!P$1:P$400,0)),P$2,)</f>
        <v>0</v>
      </c>
      <c r="Q307" s="179">
        <f ca="1">IF(ISNUMBER(MATCH(DATEVALUE($A307),'recurring1_based on steps'!Q$1:Q$400,0)),Q$2,)</f>
        <v>0</v>
      </c>
      <c r="R307" s="179">
        <f ca="1">IF(ISNUMBER(MATCH(DATEVALUE($A307),'recurring1_based on steps'!R$1:R$400,0)),R$2,)</f>
        <v>0</v>
      </c>
      <c r="S307" s="179">
        <f ca="1">IF(ISNUMBER(MATCH(DATEVALUE($A307),'recurring1_based on steps'!S$1:S$400,0)),S$2,)</f>
        <v>0</v>
      </c>
      <c r="T307" s="179">
        <f ca="1">IF(ISNUMBER(MATCH(DATEVALUE($A307),'recurring1_based on steps'!T$1:T$400,0)),T$2,)</f>
        <v>0</v>
      </c>
      <c r="U307" s="179">
        <f ca="1">IF(ISNUMBER(MATCH(DATEVALUE($A307),'recurring1_based on steps'!U$1:U$400,0)),U$2,)</f>
        <v>0</v>
      </c>
      <c r="V307" s="179">
        <f ca="1">IF(ISNUMBER(MATCH(DATEVALUE($A307),'recurring1_based on steps'!V$1:V$400,0)),V$2,)</f>
        <v>0</v>
      </c>
      <c r="W307" s="179">
        <f ca="1">IF(ISNUMBER(MATCH(DATEVALUE($A307),'recurring1_based on steps'!W$1:W$400,0)),W$2,)</f>
        <v>0</v>
      </c>
      <c r="X307" s="179">
        <f ca="1">IF(ISNUMBER(MATCH(DATEVALUE($A307),'recurring1_based on steps'!X$1:X$400,0)),X$2,)</f>
        <v>0</v>
      </c>
      <c r="Y307" s="179">
        <f ca="1">IF(ISNUMBER(MATCH(DATEVALUE($A307),'recurring1_based on steps'!Y$1:Y$400,0)),Y$2,)</f>
        <v>0</v>
      </c>
      <c r="Z307" s="179">
        <f ca="1">IF(ISNUMBER(MATCH(DATEVALUE($A307),'recurring1_based on steps'!Z$1:Z$400,0)),Z$2,)</f>
        <v>0</v>
      </c>
      <c r="AA307" s="179">
        <f ca="1">IF(ISNUMBER(MATCH(DATEVALUE($A307),'recurring1_based on steps'!AA$1:AA$400,0)),AA$2,)</f>
        <v>0</v>
      </c>
      <c r="AB307" s="179">
        <f ca="1">IF(ISNUMBER(MATCH(DATEVALUE($A307),'recurring1_based on steps'!AB$1:AB$400,0)),AB$2,)</f>
        <v>0</v>
      </c>
      <c r="AC307" s="179">
        <f ca="1">IF(ISNUMBER(MATCH(DATEVALUE($A307),'recurring1_based on steps'!AC$1:AC$400,0)),AC$2,)</f>
        <v>0</v>
      </c>
      <c r="AD307" s="179">
        <f ca="1">IF(ISNUMBER(MATCH(DATEVALUE($A307),'recurring1_based on steps'!AD$1:AD$400,0)),AD$2,)</f>
        <v>0</v>
      </c>
      <c r="AE307" s="179">
        <f ca="1">IF(ISNUMBER(MATCH(DATEVALUE($A307),'recurring1_based on steps'!AE$1:AE$400,0)),AE$2,)</f>
        <v>0</v>
      </c>
      <c r="AF307" s="179">
        <f ca="1">IF(ISNUMBER(MATCH(DATEVALUE($A307),'recurring1_based on steps'!AF$1:AF$400,0)),AF$2,)</f>
        <v>0</v>
      </c>
      <c r="AG307" s="179">
        <f ca="1">IF(ISNUMBER(MATCH(DATEVALUE($A307),'recurring1_based on steps'!AG$1:AG$400,0)),AG$2,)</f>
        <v>0</v>
      </c>
      <c r="AH307" s="179">
        <f ca="1">IF(ISNUMBER(MATCH(DATEVALUE($A307),'recurring1_based on steps'!AH$1:AH$400,0)),AH$2,)</f>
        <v>0</v>
      </c>
      <c r="AI307" s="179">
        <f ca="1">IF(ISNUMBER(MATCH(DATEVALUE($A307),'recurring1_based on steps'!AI$1:AI$400,0)),AI$2,)</f>
        <v>0</v>
      </c>
      <c r="AJ307" s="179">
        <f ca="1">IF(ISNUMBER(MATCH(DATEVALUE($A307),'recurring1_based on steps'!AJ$1:AJ$400,0)),AJ$2,)</f>
        <v>0</v>
      </c>
      <c r="AK307" s="179">
        <f ca="1">IF(ISNUMBER(MATCH(DATEVALUE($A307),'recurring1_based on steps'!AK$1:AK$400,0)),AK$2,)</f>
        <v>0</v>
      </c>
      <c r="AL307" s="179">
        <f ca="1">IF(ISNUMBER(MATCH(DATEVALUE($A307),'recurring1_based on steps'!AL$1:AL$400,0)),AL$2,)</f>
        <v>0</v>
      </c>
      <c r="AM307" s="179">
        <f ca="1">IF(ISNUMBER(MATCH(DATEVALUE($A307),'recurring1_based on steps'!AM$1:AM$400,0)),AM$2,)</f>
        <v>0</v>
      </c>
      <c r="AN307" s="179">
        <f ca="1">IF(ISNUMBER(MATCH(DATEVALUE($A307),'recurring1_based on steps'!AN$1:AN$400,0)),AN$2,)</f>
        <v>0</v>
      </c>
      <c r="AO307" s="179">
        <f ca="1">IF(ISNUMBER(MATCH(DATEVALUE($A307),'recurring1_based on steps'!AO$1:AO$400,0)),AO$2,)</f>
        <v>0</v>
      </c>
      <c r="AP307" s="179">
        <f ca="1">IF(ISNUMBER(MATCH(DATEVALUE($A307),'recurring1_based on steps'!AP$1:AP$400,0)),AP$2,)</f>
        <v>0</v>
      </c>
      <c r="AQ307" s="179">
        <f ca="1">IF(ISNUMBER(MATCH(DATEVALUE($A307),'recurring1_based on steps'!AQ$1:AQ$400,0)),AQ$2,)</f>
        <v>0</v>
      </c>
      <c r="AR307" s="179">
        <f ca="1">IF(ISNUMBER(MATCH(DATEVALUE($A307),'recurring1_based on steps'!AR$1:AR$400,0)),AR$2,)</f>
        <v>0</v>
      </c>
      <c r="AS307" s="179">
        <f ca="1">IF(ISNUMBER(MATCH(DATEVALUE($A307),'recurring1_based on steps'!AS$1:AS$400,0)),AS$2,)</f>
        <v>0</v>
      </c>
      <c r="AT307" s="179">
        <f ca="1">IF(ISNUMBER(MATCH(DATEVALUE($A307),'recurring1_based on steps'!AT$1:AT$400,0)),AT$2,)</f>
        <v>0</v>
      </c>
      <c r="AU307" s="179">
        <f ca="1">IF(ISNUMBER(MATCH(DATEVALUE($A307),'recurring1_based on steps'!AU$1:AU$400,0)),AU$2,)</f>
        <v>0</v>
      </c>
      <c r="AV307" s="179">
        <f ca="1">IF(ISNUMBER(MATCH(DATEVALUE($A307),'recurring1_based on steps'!AV$1:AV$400,0)),AV$2,)</f>
        <v>0</v>
      </c>
      <c r="AW307" s="179">
        <f ca="1">IF(ISNUMBER(MATCH(DATEVALUE($A307),'recurring1_based on steps'!AW$1:AW$400,0)),AW$2,)</f>
        <v>0</v>
      </c>
      <c r="AX307" s="179">
        <f ca="1">IF(ISNUMBER(MATCH(DATEVALUE($A307),'recurring1_based on steps'!AX$1:AX$400,0)),AX$2,)</f>
        <v>0</v>
      </c>
      <c r="AY307" s="179">
        <f ca="1">IF(ISNUMBER(MATCH(DATEVALUE($A307),'recurring1_based on steps'!AY$1:AY$400,0)),AY$2,)</f>
        <v>0</v>
      </c>
    </row>
    <row r="308" spans="1:51" x14ac:dyDescent="0.2">
      <c r="A308" s="32" t="str">
        <f t="shared" ca="1" si="4"/>
        <v>2026-01-28</v>
      </c>
      <c r="B308" s="179">
        <f ca="1">IF(ISNUMBER(MATCH(DATEVALUE($A308),'recurring1_based on steps'!B$1:B$400,0)),B$2,)</f>
        <v>0</v>
      </c>
      <c r="C308" s="179">
        <f ca="1">IF(ISNUMBER(MATCH(DATEVALUE($A308),'recurring1_based on steps'!C$1:C$400,0)),C$2,)</f>
        <v>0</v>
      </c>
      <c r="D308" s="179">
        <f ca="1">IF(ISNUMBER(MATCH(DATEVALUE($A308),'recurring1_based on steps'!D$1:D$400,0)),D$2,)</f>
        <v>0</v>
      </c>
      <c r="E308" s="179">
        <f ca="1">IF(ISNUMBER(MATCH(DATEVALUE($A308),'recurring1_based on steps'!E$1:E$400,0)),E$2,)</f>
        <v>0</v>
      </c>
      <c r="F308" s="179">
        <f ca="1">IF(ISNUMBER(MATCH(DATEVALUE($A308),'recurring1_based on steps'!F$1:F$400,0)),F$2,)</f>
        <v>0</v>
      </c>
      <c r="G308" s="179">
        <f ca="1">IF(ISNUMBER(MATCH(DATEVALUE($A308),'recurring1_based on steps'!G$1:G$400,0)),G$2,)</f>
        <v>0</v>
      </c>
      <c r="H308" s="179">
        <f ca="1">IF(ISNUMBER(MATCH(DATEVALUE($A308),'recurring1_based on steps'!H$1:H$400,0)),H$2,)</f>
        <v>0</v>
      </c>
      <c r="I308" s="179">
        <f ca="1">IF(ISNUMBER(MATCH(DATEVALUE($A308),'recurring1_based on steps'!I$1:I$400,0)),I$2,)</f>
        <v>0</v>
      </c>
      <c r="J308" s="179">
        <f ca="1">IF(ISNUMBER(MATCH(DATEVALUE($A308),'recurring1_based on steps'!J$1:J$400,0)),J$2,)</f>
        <v>0</v>
      </c>
      <c r="K308" s="179">
        <f ca="1">IF(ISNUMBER(MATCH(DATEVALUE($A308),'recurring1_based on steps'!K$1:K$400,0)),K$2,)</f>
        <v>0</v>
      </c>
      <c r="L308" s="179">
        <f ca="1">IF(ISNUMBER(MATCH(DATEVALUE($A308),'recurring1_based on steps'!L$1:L$400,0)),L$2,)</f>
        <v>0</v>
      </c>
      <c r="M308" s="179">
        <f ca="1">IF(ISNUMBER(MATCH(DATEVALUE($A308),'recurring1_based on steps'!M$1:M$400,0)),M$2,)</f>
        <v>0</v>
      </c>
      <c r="N308" s="179">
        <f ca="1">IF(ISNUMBER(MATCH(DATEVALUE($A308),'recurring1_based on steps'!N$1:N$400,0)),N$2,)</f>
        <v>0</v>
      </c>
      <c r="O308" s="179">
        <f ca="1">IF(ISNUMBER(MATCH(DATEVALUE($A308),'recurring1_based on steps'!O$1:O$400,0)),O$2,)</f>
        <v>0</v>
      </c>
      <c r="P308" s="179">
        <f ca="1">IF(ISNUMBER(MATCH(DATEVALUE($A308),'recurring1_based on steps'!P$1:P$400,0)),P$2,)</f>
        <v>0</v>
      </c>
      <c r="Q308" s="179">
        <f ca="1">IF(ISNUMBER(MATCH(DATEVALUE($A308),'recurring1_based on steps'!Q$1:Q$400,0)),Q$2,)</f>
        <v>0</v>
      </c>
      <c r="R308" s="179">
        <f ca="1">IF(ISNUMBER(MATCH(DATEVALUE($A308),'recurring1_based on steps'!R$1:R$400,0)),R$2,)</f>
        <v>0</v>
      </c>
      <c r="S308" s="179">
        <f ca="1">IF(ISNUMBER(MATCH(DATEVALUE($A308),'recurring1_based on steps'!S$1:S$400,0)),S$2,)</f>
        <v>0</v>
      </c>
      <c r="T308" s="179">
        <f ca="1">IF(ISNUMBER(MATCH(DATEVALUE($A308),'recurring1_based on steps'!T$1:T$400,0)),T$2,)</f>
        <v>0</v>
      </c>
      <c r="U308" s="179">
        <f ca="1">IF(ISNUMBER(MATCH(DATEVALUE($A308),'recurring1_based on steps'!U$1:U$400,0)),U$2,)</f>
        <v>0</v>
      </c>
      <c r="V308" s="179">
        <f ca="1">IF(ISNUMBER(MATCH(DATEVALUE($A308),'recurring1_based on steps'!V$1:V$400,0)),V$2,)</f>
        <v>0</v>
      </c>
      <c r="W308" s="179">
        <f ca="1">IF(ISNUMBER(MATCH(DATEVALUE($A308),'recurring1_based on steps'!W$1:W$400,0)),W$2,)</f>
        <v>0</v>
      </c>
      <c r="X308" s="179">
        <f ca="1">IF(ISNUMBER(MATCH(DATEVALUE($A308),'recurring1_based on steps'!X$1:X$400,0)),X$2,)</f>
        <v>0</v>
      </c>
      <c r="Y308" s="179">
        <f ca="1">IF(ISNUMBER(MATCH(DATEVALUE($A308),'recurring1_based on steps'!Y$1:Y$400,0)),Y$2,)</f>
        <v>0</v>
      </c>
      <c r="Z308" s="179">
        <f ca="1">IF(ISNUMBER(MATCH(DATEVALUE($A308),'recurring1_based on steps'!Z$1:Z$400,0)),Z$2,)</f>
        <v>0</v>
      </c>
      <c r="AA308" s="179">
        <f ca="1">IF(ISNUMBER(MATCH(DATEVALUE($A308),'recurring1_based on steps'!AA$1:AA$400,0)),AA$2,)</f>
        <v>0</v>
      </c>
      <c r="AB308" s="179">
        <f ca="1">IF(ISNUMBER(MATCH(DATEVALUE($A308),'recurring1_based on steps'!AB$1:AB$400,0)),AB$2,)</f>
        <v>0</v>
      </c>
      <c r="AC308" s="179">
        <f ca="1">IF(ISNUMBER(MATCH(DATEVALUE($A308),'recurring1_based on steps'!AC$1:AC$400,0)),AC$2,)</f>
        <v>0</v>
      </c>
      <c r="AD308" s="179">
        <f ca="1">IF(ISNUMBER(MATCH(DATEVALUE($A308),'recurring1_based on steps'!AD$1:AD$400,0)),AD$2,)</f>
        <v>0</v>
      </c>
      <c r="AE308" s="179">
        <f ca="1">IF(ISNUMBER(MATCH(DATEVALUE($A308),'recurring1_based on steps'!AE$1:AE$400,0)),AE$2,)</f>
        <v>0</v>
      </c>
      <c r="AF308" s="179">
        <f ca="1">IF(ISNUMBER(MATCH(DATEVALUE($A308),'recurring1_based on steps'!AF$1:AF$400,0)),AF$2,)</f>
        <v>0</v>
      </c>
      <c r="AG308" s="179">
        <f ca="1">IF(ISNUMBER(MATCH(DATEVALUE($A308),'recurring1_based on steps'!AG$1:AG$400,0)),AG$2,)</f>
        <v>0</v>
      </c>
      <c r="AH308" s="179">
        <f ca="1">IF(ISNUMBER(MATCH(DATEVALUE($A308),'recurring1_based on steps'!AH$1:AH$400,0)),AH$2,)</f>
        <v>0</v>
      </c>
      <c r="AI308" s="179">
        <f ca="1">IF(ISNUMBER(MATCH(DATEVALUE($A308),'recurring1_based on steps'!AI$1:AI$400,0)),AI$2,)</f>
        <v>0</v>
      </c>
      <c r="AJ308" s="179">
        <f ca="1">IF(ISNUMBER(MATCH(DATEVALUE($A308),'recurring1_based on steps'!AJ$1:AJ$400,0)),AJ$2,)</f>
        <v>0</v>
      </c>
      <c r="AK308" s="179">
        <f ca="1">IF(ISNUMBER(MATCH(DATEVALUE($A308),'recurring1_based on steps'!AK$1:AK$400,0)),AK$2,)</f>
        <v>0</v>
      </c>
      <c r="AL308" s="179">
        <f ca="1">IF(ISNUMBER(MATCH(DATEVALUE($A308),'recurring1_based on steps'!AL$1:AL$400,0)),AL$2,)</f>
        <v>0</v>
      </c>
      <c r="AM308" s="179">
        <f ca="1">IF(ISNUMBER(MATCH(DATEVALUE($A308),'recurring1_based on steps'!AM$1:AM$400,0)),AM$2,)</f>
        <v>0</v>
      </c>
      <c r="AN308" s="179">
        <f ca="1">IF(ISNUMBER(MATCH(DATEVALUE($A308),'recurring1_based on steps'!AN$1:AN$400,0)),AN$2,)</f>
        <v>0</v>
      </c>
      <c r="AO308" s="179">
        <f ca="1">IF(ISNUMBER(MATCH(DATEVALUE($A308),'recurring1_based on steps'!AO$1:AO$400,0)),AO$2,)</f>
        <v>0</v>
      </c>
      <c r="AP308" s="179">
        <f ca="1">IF(ISNUMBER(MATCH(DATEVALUE($A308),'recurring1_based on steps'!AP$1:AP$400,0)),AP$2,)</f>
        <v>0</v>
      </c>
      <c r="AQ308" s="179">
        <f ca="1">IF(ISNUMBER(MATCH(DATEVALUE($A308),'recurring1_based on steps'!AQ$1:AQ$400,0)),AQ$2,)</f>
        <v>0</v>
      </c>
      <c r="AR308" s="179">
        <f ca="1">IF(ISNUMBER(MATCH(DATEVALUE($A308),'recurring1_based on steps'!AR$1:AR$400,0)),AR$2,)</f>
        <v>0</v>
      </c>
      <c r="AS308" s="179">
        <f ca="1">IF(ISNUMBER(MATCH(DATEVALUE($A308),'recurring1_based on steps'!AS$1:AS$400,0)),AS$2,)</f>
        <v>0</v>
      </c>
      <c r="AT308" s="179">
        <f ca="1">IF(ISNUMBER(MATCH(DATEVALUE($A308),'recurring1_based on steps'!AT$1:AT$400,0)),AT$2,)</f>
        <v>0</v>
      </c>
      <c r="AU308" s="179">
        <f ca="1">IF(ISNUMBER(MATCH(DATEVALUE($A308),'recurring1_based on steps'!AU$1:AU$400,0)),AU$2,)</f>
        <v>0</v>
      </c>
      <c r="AV308" s="179">
        <f ca="1">IF(ISNUMBER(MATCH(DATEVALUE($A308),'recurring1_based on steps'!AV$1:AV$400,0)),AV$2,)</f>
        <v>0</v>
      </c>
      <c r="AW308" s="179">
        <f ca="1">IF(ISNUMBER(MATCH(DATEVALUE($A308),'recurring1_based on steps'!AW$1:AW$400,0)),AW$2,)</f>
        <v>0</v>
      </c>
      <c r="AX308" s="179">
        <f ca="1">IF(ISNUMBER(MATCH(DATEVALUE($A308),'recurring1_based on steps'!AX$1:AX$400,0)),AX$2,)</f>
        <v>0</v>
      </c>
      <c r="AY308" s="179">
        <f ca="1">IF(ISNUMBER(MATCH(DATEVALUE($A308),'recurring1_based on steps'!AY$1:AY$400,0)),AY$2,)</f>
        <v>0</v>
      </c>
    </row>
    <row r="309" spans="1:51" x14ac:dyDescent="0.2">
      <c r="A309" s="32" t="str">
        <f t="shared" ca="1" si="4"/>
        <v>2026-01-29</v>
      </c>
      <c r="B309" s="179">
        <f ca="1">IF(ISNUMBER(MATCH(DATEVALUE($A309),'recurring1_based on steps'!B$1:B$400,0)),B$2,)</f>
        <v>0</v>
      </c>
      <c r="C309" s="179">
        <f ca="1">IF(ISNUMBER(MATCH(DATEVALUE($A309),'recurring1_based on steps'!C$1:C$400,0)),C$2,)</f>
        <v>0</v>
      </c>
      <c r="D309" s="179">
        <f ca="1">IF(ISNUMBER(MATCH(DATEVALUE($A309),'recurring1_based on steps'!D$1:D$400,0)),D$2,)</f>
        <v>0</v>
      </c>
      <c r="E309" s="179">
        <f ca="1">IF(ISNUMBER(MATCH(DATEVALUE($A309),'recurring1_based on steps'!E$1:E$400,0)),E$2,)</f>
        <v>0</v>
      </c>
      <c r="F309" s="179">
        <f ca="1">IF(ISNUMBER(MATCH(DATEVALUE($A309),'recurring1_based on steps'!F$1:F$400,0)),F$2,)</f>
        <v>0</v>
      </c>
      <c r="G309" s="179">
        <f ca="1">IF(ISNUMBER(MATCH(DATEVALUE($A309),'recurring1_based on steps'!G$1:G$400,0)),G$2,)</f>
        <v>0</v>
      </c>
      <c r="H309" s="179">
        <f ca="1">IF(ISNUMBER(MATCH(DATEVALUE($A309),'recurring1_based on steps'!H$1:H$400,0)),H$2,)</f>
        <v>0</v>
      </c>
      <c r="I309" s="179">
        <f ca="1">IF(ISNUMBER(MATCH(DATEVALUE($A309),'recurring1_based on steps'!I$1:I$400,0)),I$2,)</f>
        <v>0</v>
      </c>
      <c r="J309" s="179">
        <f ca="1">IF(ISNUMBER(MATCH(DATEVALUE($A309),'recurring1_based on steps'!J$1:J$400,0)),J$2,)</f>
        <v>0</v>
      </c>
      <c r="K309" s="179">
        <f ca="1">IF(ISNUMBER(MATCH(DATEVALUE($A309),'recurring1_based on steps'!K$1:K$400,0)),K$2,)</f>
        <v>0</v>
      </c>
      <c r="L309" s="179">
        <f ca="1">IF(ISNUMBER(MATCH(DATEVALUE($A309),'recurring1_based on steps'!L$1:L$400,0)),L$2,)</f>
        <v>0</v>
      </c>
      <c r="M309" s="179">
        <f ca="1">IF(ISNUMBER(MATCH(DATEVALUE($A309),'recurring1_based on steps'!M$1:M$400,0)),M$2,)</f>
        <v>0</v>
      </c>
      <c r="N309" s="179">
        <f ca="1">IF(ISNUMBER(MATCH(DATEVALUE($A309),'recurring1_based on steps'!N$1:N$400,0)),N$2,)</f>
        <v>0</v>
      </c>
      <c r="O309" s="179">
        <f ca="1">IF(ISNUMBER(MATCH(DATEVALUE($A309),'recurring1_based on steps'!O$1:O$400,0)),O$2,)</f>
        <v>0</v>
      </c>
      <c r="P309" s="179">
        <f ca="1">IF(ISNUMBER(MATCH(DATEVALUE($A309),'recurring1_based on steps'!P$1:P$400,0)),P$2,)</f>
        <v>0</v>
      </c>
      <c r="Q309" s="179">
        <f ca="1">IF(ISNUMBER(MATCH(DATEVALUE($A309),'recurring1_based on steps'!Q$1:Q$400,0)),Q$2,)</f>
        <v>0</v>
      </c>
      <c r="R309" s="179">
        <f ca="1">IF(ISNUMBER(MATCH(DATEVALUE($A309),'recurring1_based on steps'!R$1:R$400,0)),R$2,)</f>
        <v>0</v>
      </c>
      <c r="S309" s="179">
        <f ca="1">IF(ISNUMBER(MATCH(DATEVALUE($A309),'recurring1_based on steps'!S$1:S$400,0)),S$2,)</f>
        <v>0</v>
      </c>
      <c r="T309" s="179">
        <f ca="1">IF(ISNUMBER(MATCH(DATEVALUE($A309),'recurring1_based on steps'!T$1:T$400,0)),T$2,)</f>
        <v>0</v>
      </c>
      <c r="U309" s="179">
        <f ca="1">IF(ISNUMBER(MATCH(DATEVALUE($A309),'recurring1_based on steps'!U$1:U$400,0)),U$2,)</f>
        <v>0</v>
      </c>
      <c r="V309" s="179">
        <f ca="1">IF(ISNUMBER(MATCH(DATEVALUE($A309),'recurring1_based on steps'!V$1:V$400,0)),V$2,)</f>
        <v>0</v>
      </c>
      <c r="W309" s="179">
        <f ca="1">IF(ISNUMBER(MATCH(DATEVALUE($A309),'recurring1_based on steps'!W$1:W$400,0)),W$2,)</f>
        <v>0</v>
      </c>
      <c r="X309" s="179">
        <f ca="1">IF(ISNUMBER(MATCH(DATEVALUE($A309),'recurring1_based on steps'!X$1:X$400,0)),X$2,)</f>
        <v>0</v>
      </c>
      <c r="Y309" s="179">
        <f ca="1">IF(ISNUMBER(MATCH(DATEVALUE($A309),'recurring1_based on steps'!Y$1:Y$400,0)),Y$2,)</f>
        <v>0</v>
      </c>
      <c r="Z309" s="179">
        <f ca="1">IF(ISNUMBER(MATCH(DATEVALUE($A309),'recurring1_based on steps'!Z$1:Z$400,0)),Z$2,)</f>
        <v>0</v>
      </c>
      <c r="AA309" s="179">
        <f ca="1">IF(ISNUMBER(MATCH(DATEVALUE($A309),'recurring1_based on steps'!AA$1:AA$400,0)),AA$2,)</f>
        <v>0</v>
      </c>
      <c r="AB309" s="179">
        <f ca="1">IF(ISNUMBER(MATCH(DATEVALUE($A309),'recurring1_based on steps'!AB$1:AB$400,0)),AB$2,)</f>
        <v>0</v>
      </c>
      <c r="AC309" s="179">
        <f ca="1">IF(ISNUMBER(MATCH(DATEVALUE($A309),'recurring1_based on steps'!AC$1:AC$400,0)),AC$2,)</f>
        <v>0</v>
      </c>
      <c r="AD309" s="179">
        <f ca="1">IF(ISNUMBER(MATCH(DATEVALUE($A309),'recurring1_based on steps'!AD$1:AD$400,0)),AD$2,)</f>
        <v>0</v>
      </c>
      <c r="AE309" s="179">
        <f ca="1">IF(ISNUMBER(MATCH(DATEVALUE($A309),'recurring1_based on steps'!AE$1:AE$400,0)),AE$2,)</f>
        <v>0</v>
      </c>
      <c r="AF309" s="179">
        <f ca="1">IF(ISNUMBER(MATCH(DATEVALUE($A309),'recurring1_based on steps'!AF$1:AF$400,0)),AF$2,)</f>
        <v>0</v>
      </c>
      <c r="AG309" s="179">
        <f ca="1">IF(ISNUMBER(MATCH(DATEVALUE($A309),'recurring1_based on steps'!AG$1:AG$400,0)),AG$2,)</f>
        <v>0</v>
      </c>
      <c r="AH309" s="179">
        <f ca="1">IF(ISNUMBER(MATCH(DATEVALUE($A309),'recurring1_based on steps'!AH$1:AH$400,0)),AH$2,)</f>
        <v>0</v>
      </c>
      <c r="AI309" s="179">
        <f ca="1">IF(ISNUMBER(MATCH(DATEVALUE($A309),'recurring1_based on steps'!AI$1:AI$400,0)),AI$2,)</f>
        <v>0</v>
      </c>
      <c r="AJ309" s="179">
        <f ca="1">IF(ISNUMBER(MATCH(DATEVALUE($A309),'recurring1_based on steps'!AJ$1:AJ$400,0)),AJ$2,)</f>
        <v>0</v>
      </c>
      <c r="AK309" s="179">
        <f ca="1">IF(ISNUMBER(MATCH(DATEVALUE($A309),'recurring1_based on steps'!AK$1:AK$400,0)),AK$2,)</f>
        <v>0</v>
      </c>
      <c r="AL309" s="179">
        <f ca="1">IF(ISNUMBER(MATCH(DATEVALUE($A309),'recurring1_based on steps'!AL$1:AL$400,0)),AL$2,)</f>
        <v>0</v>
      </c>
      <c r="AM309" s="179">
        <f ca="1">IF(ISNUMBER(MATCH(DATEVALUE($A309),'recurring1_based on steps'!AM$1:AM$400,0)),AM$2,)</f>
        <v>0</v>
      </c>
      <c r="AN309" s="179">
        <f ca="1">IF(ISNUMBER(MATCH(DATEVALUE($A309),'recurring1_based on steps'!AN$1:AN$400,0)),AN$2,)</f>
        <v>0</v>
      </c>
      <c r="AO309" s="179">
        <f ca="1">IF(ISNUMBER(MATCH(DATEVALUE($A309),'recurring1_based on steps'!AO$1:AO$400,0)),AO$2,)</f>
        <v>0</v>
      </c>
      <c r="AP309" s="179">
        <f ca="1">IF(ISNUMBER(MATCH(DATEVALUE($A309),'recurring1_based on steps'!AP$1:AP$400,0)),AP$2,)</f>
        <v>0</v>
      </c>
      <c r="AQ309" s="179">
        <f ca="1">IF(ISNUMBER(MATCH(DATEVALUE($A309),'recurring1_based on steps'!AQ$1:AQ$400,0)),AQ$2,)</f>
        <v>0</v>
      </c>
      <c r="AR309" s="179">
        <f ca="1">IF(ISNUMBER(MATCH(DATEVALUE($A309),'recurring1_based on steps'!AR$1:AR$400,0)),AR$2,)</f>
        <v>0</v>
      </c>
      <c r="AS309" s="179">
        <f ca="1">IF(ISNUMBER(MATCH(DATEVALUE($A309),'recurring1_based on steps'!AS$1:AS$400,0)),AS$2,)</f>
        <v>0</v>
      </c>
      <c r="AT309" s="179">
        <f ca="1">IF(ISNUMBER(MATCH(DATEVALUE($A309),'recurring1_based on steps'!AT$1:AT$400,0)),AT$2,)</f>
        <v>0</v>
      </c>
      <c r="AU309" s="179">
        <f ca="1">IF(ISNUMBER(MATCH(DATEVALUE($A309),'recurring1_based on steps'!AU$1:AU$400,0)),AU$2,)</f>
        <v>0</v>
      </c>
      <c r="AV309" s="179">
        <f ca="1">IF(ISNUMBER(MATCH(DATEVALUE($A309),'recurring1_based on steps'!AV$1:AV$400,0)),AV$2,)</f>
        <v>0</v>
      </c>
      <c r="AW309" s="179">
        <f ca="1">IF(ISNUMBER(MATCH(DATEVALUE($A309),'recurring1_based on steps'!AW$1:AW$400,0)),AW$2,)</f>
        <v>0</v>
      </c>
      <c r="AX309" s="179">
        <f ca="1">IF(ISNUMBER(MATCH(DATEVALUE($A309),'recurring1_based on steps'!AX$1:AX$400,0)),AX$2,)</f>
        <v>0</v>
      </c>
      <c r="AY309" s="179">
        <f ca="1">IF(ISNUMBER(MATCH(DATEVALUE($A309),'recurring1_based on steps'!AY$1:AY$400,0)),AY$2,)</f>
        <v>0</v>
      </c>
    </row>
    <row r="310" spans="1:51" x14ac:dyDescent="0.2">
      <c r="A310" s="32" t="str">
        <f t="shared" ca="1" si="4"/>
        <v>2026-01-30</v>
      </c>
      <c r="B310" s="179">
        <f ca="1">IF(ISNUMBER(MATCH(DATEVALUE($A310),'recurring1_based on steps'!B$1:B$400,0)),B$2,)</f>
        <v>0</v>
      </c>
      <c r="C310" s="179">
        <f ca="1">IF(ISNUMBER(MATCH(DATEVALUE($A310),'recurring1_based on steps'!C$1:C$400,0)),C$2,)</f>
        <v>0</v>
      </c>
      <c r="D310" s="179">
        <f ca="1">IF(ISNUMBER(MATCH(DATEVALUE($A310),'recurring1_based on steps'!D$1:D$400,0)),D$2,)</f>
        <v>0</v>
      </c>
      <c r="E310" s="179">
        <f ca="1">IF(ISNUMBER(MATCH(DATEVALUE($A310),'recurring1_based on steps'!E$1:E$400,0)),E$2,)</f>
        <v>0</v>
      </c>
      <c r="F310" s="179">
        <f ca="1">IF(ISNUMBER(MATCH(DATEVALUE($A310),'recurring1_based on steps'!F$1:F$400,0)),F$2,)</f>
        <v>0</v>
      </c>
      <c r="G310" s="179">
        <f ca="1">IF(ISNUMBER(MATCH(DATEVALUE($A310),'recurring1_based on steps'!G$1:G$400,0)),G$2,)</f>
        <v>0</v>
      </c>
      <c r="H310" s="179">
        <f ca="1">IF(ISNUMBER(MATCH(DATEVALUE($A310),'recurring1_based on steps'!H$1:H$400,0)),H$2,)</f>
        <v>0</v>
      </c>
      <c r="I310" s="179">
        <f ca="1">IF(ISNUMBER(MATCH(DATEVALUE($A310),'recurring1_based on steps'!I$1:I$400,0)),I$2,)</f>
        <v>0</v>
      </c>
      <c r="J310" s="179">
        <f ca="1">IF(ISNUMBER(MATCH(DATEVALUE($A310),'recurring1_based on steps'!J$1:J$400,0)),J$2,)</f>
        <v>0</v>
      </c>
      <c r="K310" s="179">
        <f ca="1">IF(ISNUMBER(MATCH(DATEVALUE($A310),'recurring1_based on steps'!K$1:K$400,0)),K$2,)</f>
        <v>0</v>
      </c>
      <c r="L310" s="179">
        <f ca="1">IF(ISNUMBER(MATCH(DATEVALUE($A310),'recurring1_based on steps'!L$1:L$400,0)),L$2,)</f>
        <v>0</v>
      </c>
      <c r="M310" s="179">
        <f ca="1">IF(ISNUMBER(MATCH(DATEVALUE($A310),'recurring1_based on steps'!M$1:M$400,0)),M$2,)</f>
        <v>0</v>
      </c>
      <c r="N310" s="179">
        <f ca="1">IF(ISNUMBER(MATCH(DATEVALUE($A310),'recurring1_based on steps'!N$1:N$400,0)),N$2,)</f>
        <v>0</v>
      </c>
      <c r="O310" s="179">
        <f ca="1">IF(ISNUMBER(MATCH(DATEVALUE($A310),'recurring1_based on steps'!O$1:O$400,0)),O$2,)</f>
        <v>0</v>
      </c>
      <c r="P310" s="179">
        <f ca="1">IF(ISNUMBER(MATCH(DATEVALUE($A310),'recurring1_based on steps'!P$1:P$400,0)),P$2,)</f>
        <v>0</v>
      </c>
      <c r="Q310" s="179">
        <f ca="1">IF(ISNUMBER(MATCH(DATEVALUE($A310),'recurring1_based on steps'!Q$1:Q$400,0)),Q$2,)</f>
        <v>0</v>
      </c>
      <c r="R310" s="179">
        <f ca="1">IF(ISNUMBER(MATCH(DATEVALUE($A310),'recurring1_based on steps'!R$1:R$400,0)),R$2,)</f>
        <v>0</v>
      </c>
      <c r="S310" s="179">
        <f ca="1">IF(ISNUMBER(MATCH(DATEVALUE($A310),'recurring1_based on steps'!S$1:S$400,0)),S$2,)</f>
        <v>0</v>
      </c>
      <c r="T310" s="179">
        <f ca="1">IF(ISNUMBER(MATCH(DATEVALUE($A310),'recurring1_based on steps'!T$1:T$400,0)),T$2,)</f>
        <v>0</v>
      </c>
      <c r="U310" s="179">
        <f ca="1">IF(ISNUMBER(MATCH(DATEVALUE($A310),'recurring1_based on steps'!U$1:U$400,0)),U$2,)</f>
        <v>0</v>
      </c>
      <c r="V310" s="179">
        <f ca="1">IF(ISNUMBER(MATCH(DATEVALUE($A310),'recurring1_based on steps'!V$1:V$400,0)),V$2,)</f>
        <v>0</v>
      </c>
      <c r="W310" s="179">
        <f ca="1">IF(ISNUMBER(MATCH(DATEVALUE($A310),'recurring1_based on steps'!W$1:W$400,0)),W$2,)</f>
        <v>0</v>
      </c>
      <c r="X310" s="179">
        <f ca="1">IF(ISNUMBER(MATCH(DATEVALUE($A310),'recurring1_based on steps'!X$1:X$400,0)),X$2,)</f>
        <v>0</v>
      </c>
      <c r="Y310" s="179">
        <f ca="1">IF(ISNUMBER(MATCH(DATEVALUE($A310),'recurring1_based on steps'!Y$1:Y$400,0)),Y$2,)</f>
        <v>0</v>
      </c>
      <c r="Z310" s="179">
        <f ca="1">IF(ISNUMBER(MATCH(DATEVALUE($A310),'recurring1_based on steps'!Z$1:Z$400,0)),Z$2,)</f>
        <v>0</v>
      </c>
      <c r="AA310" s="179">
        <f ca="1">IF(ISNUMBER(MATCH(DATEVALUE($A310),'recurring1_based on steps'!AA$1:AA$400,0)),AA$2,)</f>
        <v>0</v>
      </c>
      <c r="AB310" s="179">
        <f ca="1">IF(ISNUMBER(MATCH(DATEVALUE($A310),'recurring1_based on steps'!AB$1:AB$400,0)),AB$2,)</f>
        <v>0</v>
      </c>
      <c r="AC310" s="179">
        <f ca="1">IF(ISNUMBER(MATCH(DATEVALUE($A310),'recurring1_based on steps'!AC$1:AC$400,0)),AC$2,)</f>
        <v>0</v>
      </c>
      <c r="AD310" s="179">
        <f ca="1">IF(ISNUMBER(MATCH(DATEVALUE($A310),'recurring1_based on steps'!AD$1:AD$400,0)),AD$2,)</f>
        <v>0</v>
      </c>
      <c r="AE310" s="179">
        <f ca="1">IF(ISNUMBER(MATCH(DATEVALUE($A310),'recurring1_based on steps'!AE$1:AE$400,0)),AE$2,)</f>
        <v>0</v>
      </c>
      <c r="AF310" s="179">
        <f ca="1">IF(ISNUMBER(MATCH(DATEVALUE($A310),'recurring1_based on steps'!AF$1:AF$400,0)),AF$2,)</f>
        <v>0</v>
      </c>
      <c r="AG310" s="179">
        <f ca="1">IF(ISNUMBER(MATCH(DATEVALUE($A310),'recurring1_based on steps'!AG$1:AG$400,0)),AG$2,)</f>
        <v>0</v>
      </c>
      <c r="AH310" s="179">
        <f ca="1">IF(ISNUMBER(MATCH(DATEVALUE($A310),'recurring1_based on steps'!AH$1:AH$400,0)),AH$2,)</f>
        <v>0</v>
      </c>
      <c r="AI310" s="179">
        <f ca="1">IF(ISNUMBER(MATCH(DATEVALUE($A310),'recurring1_based on steps'!AI$1:AI$400,0)),AI$2,)</f>
        <v>0</v>
      </c>
      <c r="AJ310" s="179">
        <f ca="1">IF(ISNUMBER(MATCH(DATEVALUE($A310),'recurring1_based on steps'!AJ$1:AJ$400,0)),AJ$2,)</f>
        <v>0</v>
      </c>
      <c r="AK310" s="179">
        <f ca="1">IF(ISNUMBER(MATCH(DATEVALUE($A310),'recurring1_based on steps'!AK$1:AK$400,0)),AK$2,)</f>
        <v>0</v>
      </c>
      <c r="AL310" s="179">
        <f ca="1">IF(ISNUMBER(MATCH(DATEVALUE($A310),'recurring1_based on steps'!AL$1:AL$400,0)),AL$2,)</f>
        <v>0</v>
      </c>
      <c r="AM310" s="179">
        <f ca="1">IF(ISNUMBER(MATCH(DATEVALUE($A310),'recurring1_based on steps'!AM$1:AM$400,0)),AM$2,)</f>
        <v>0</v>
      </c>
      <c r="AN310" s="179">
        <f ca="1">IF(ISNUMBER(MATCH(DATEVALUE($A310),'recurring1_based on steps'!AN$1:AN$400,0)),AN$2,)</f>
        <v>0</v>
      </c>
      <c r="AO310" s="179">
        <f ca="1">IF(ISNUMBER(MATCH(DATEVALUE($A310),'recurring1_based on steps'!AO$1:AO$400,0)),AO$2,)</f>
        <v>0</v>
      </c>
      <c r="AP310" s="179">
        <f ca="1">IF(ISNUMBER(MATCH(DATEVALUE($A310),'recurring1_based on steps'!AP$1:AP$400,0)),AP$2,)</f>
        <v>0</v>
      </c>
      <c r="AQ310" s="179">
        <f ca="1">IF(ISNUMBER(MATCH(DATEVALUE($A310),'recurring1_based on steps'!AQ$1:AQ$400,0)),AQ$2,)</f>
        <v>0</v>
      </c>
      <c r="AR310" s="179">
        <f ca="1">IF(ISNUMBER(MATCH(DATEVALUE($A310),'recurring1_based on steps'!AR$1:AR$400,0)),AR$2,)</f>
        <v>0</v>
      </c>
      <c r="AS310" s="179">
        <f ca="1">IF(ISNUMBER(MATCH(DATEVALUE($A310),'recurring1_based on steps'!AS$1:AS$400,0)),AS$2,)</f>
        <v>0</v>
      </c>
      <c r="AT310" s="179">
        <f ca="1">IF(ISNUMBER(MATCH(DATEVALUE($A310),'recurring1_based on steps'!AT$1:AT$400,0)),AT$2,)</f>
        <v>0</v>
      </c>
      <c r="AU310" s="179">
        <f ca="1">IF(ISNUMBER(MATCH(DATEVALUE($A310),'recurring1_based on steps'!AU$1:AU$400,0)),AU$2,)</f>
        <v>0</v>
      </c>
      <c r="AV310" s="179">
        <f ca="1">IF(ISNUMBER(MATCH(DATEVALUE($A310),'recurring1_based on steps'!AV$1:AV$400,0)),AV$2,)</f>
        <v>0</v>
      </c>
      <c r="AW310" s="179">
        <f ca="1">IF(ISNUMBER(MATCH(DATEVALUE($A310),'recurring1_based on steps'!AW$1:AW$400,0)),AW$2,)</f>
        <v>0</v>
      </c>
      <c r="AX310" s="179">
        <f ca="1">IF(ISNUMBER(MATCH(DATEVALUE($A310),'recurring1_based on steps'!AX$1:AX$400,0)),AX$2,)</f>
        <v>0</v>
      </c>
      <c r="AY310" s="179">
        <f ca="1">IF(ISNUMBER(MATCH(DATEVALUE($A310),'recurring1_based on steps'!AY$1:AY$400,0)),AY$2,)</f>
        <v>0</v>
      </c>
    </row>
    <row r="311" spans="1:51" x14ac:dyDescent="0.2">
      <c r="A311" s="32" t="str">
        <f t="shared" ca="1" si="4"/>
        <v>2026-01-31</v>
      </c>
      <c r="B311" s="179">
        <f ca="1">IF(ISNUMBER(MATCH(DATEVALUE($A311),'recurring1_based on steps'!B$1:B$400,0)),B$2,)</f>
        <v>0</v>
      </c>
      <c r="C311" s="179">
        <f ca="1">IF(ISNUMBER(MATCH(DATEVALUE($A311),'recurring1_based on steps'!C$1:C$400,0)),C$2,)</f>
        <v>0</v>
      </c>
      <c r="D311" s="179">
        <f ca="1">IF(ISNUMBER(MATCH(DATEVALUE($A311),'recurring1_based on steps'!D$1:D$400,0)),D$2,)</f>
        <v>0</v>
      </c>
      <c r="E311" s="179">
        <f ca="1">IF(ISNUMBER(MATCH(DATEVALUE($A311),'recurring1_based on steps'!E$1:E$400,0)),E$2,)</f>
        <v>0</v>
      </c>
      <c r="F311" s="179">
        <f ca="1">IF(ISNUMBER(MATCH(DATEVALUE($A311),'recurring1_based on steps'!F$1:F$400,0)),F$2,)</f>
        <v>0</v>
      </c>
      <c r="G311" s="179">
        <f ca="1">IF(ISNUMBER(MATCH(DATEVALUE($A311),'recurring1_based on steps'!G$1:G$400,0)),G$2,)</f>
        <v>0</v>
      </c>
      <c r="H311" s="179">
        <f ca="1">IF(ISNUMBER(MATCH(DATEVALUE($A311),'recurring1_based on steps'!H$1:H$400,0)),H$2,)</f>
        <v>0</v>
      </c>
      <c r="I311" s="179">
        <f ca="1">IF(ISNUMBER(MATCH(DATEVALUE($A311),'recurring1_based on steps'!I$1:I$400,0)),I$2,)</f>
        <v>0</v>
      </c>
      <c r="J311" s="179">
        <f ca="1">IF(ISNUMBER(MATCH(DATEVALUE($A311),'recurring1_based on steps'!J$1:J$400,0)),J$2,)</f>
        <v>0</v>
      </c>
      <c r="K311" s="179">
        <f ca="1">IF(ISNUMBER(MATCH(DATEVALUE($A311),'recurring1_based on steps'!K$1:K$400,0)),K$2,)</f>
        <v>0</v>
      </c>
      <c r="L311" s="179">
        <f ca="1">IF(ISNUMBER(MATCH(DATEVALUE($A311),'recurring1_based on steps'!L$1:L$400,0)),L$2,)</f>
        <v>0</v>
      </c>
      <c r="M311" s="179">
        <f ca="1">IF(ISNUMBER(MATCH(DATEVALUE($A311),'recurring1_based on steps'!M$1:M$400,0)),M$2,)</f>
        <v>0</v>
      </c>
      <c r="N311" s="179">
        <f ca="1">IF(ISNUMBER(MATCH(DATEVALUE($A311),'recurring1_based on steps'!N$1:N$400,0)),N$2,)</f>
        <v>0</v>
      </c>
      <c r="O311" s="179">
        <f ca="1">IF(ISNUMBER(MATCH(DATEVALUE($A311),'recurring1_based on steps'!O$1:O$400,0)),O$2,)</f>
        <v>0</v>
      </c>
      <c r="P311" s="179">
        <f ca="1">IF(ISNUMBER(MATCH(DATEVALUE($A311),'recurring1_based on steps'!P$1:P$400,0)),P$2,)</f>
        <v>0</v>
      </c>
      <c r="Q311" s="179">
        <f ca="1">IF(ISNUMBER(MATCH(DATEVALUE($A311),'recurring1_based on steps'!Q$1:Q$400,0)),Q$2,)</f>
        <v>0</v>
      </c>
      <c r="R311" s="179">
        <f ca="1">IF(ISNUMBER(MATCH(DATEVALUE($A311),'recurring1_based on steps'!R$1:R$400,0)),R$2,)</f>
        <v>0</v>
      </c>
      <c r="S311" s="179">
        <f ca="1">IF(ISNUMBER(MATCH(DATEVALUE($A311),'recurring1_based on steps'!S$1:S$400,0)),S$2,)</f>
        <v>0</v>
      </c>
      <c r="T311" s="179">
        <f ca="1">IF(ISNUMBER(MATCH(DATEVALUE($A311),'recurring1_based on steps'!T$1:T$400,0)),T$2,)</f>
        <v>0</v>
      </c>
      <c r="U311" s="179">
        <f ca="1">IF(ISNUMBER(MATCH(DATEVALUE($A311),'recurring1_based on steps'!U$1:U$400,0)),U$2,)</f>
        <v>0</v>
      </c>
      <c r="V311" s="179">
        <f ca="1">IF(ISNUMBER(MATCH(DATEVALUE($A311),'recurring1_based on steps'!V$1:V$400,0)),V$2,)</f>
        <v>0</v>
      </c>
      <c r="W311" s="179">
        <f ca="1">IF(ISNUMBER(MATCH(DATEVALUE($A311),'recurring1_based on steps'!W$1:W$400,0)),W$2,)</f>
        <v>0</v>
      </c>
      <c r="X311" s="179">
        <f ca="1">IF(ISNUMBER(MATCH(DATEVALUE($A311),'recurring1_based on steps'!X$1:X$400,0)),X$2,)</f>
        <v>0</v>
      </c>
      <c r="Y311" s="179">
        <f ca="1">IF(ISNUMBER(MATCH(DATEVALUE($A311),'recurring1_based on steps'!Y$1:Y$400,0)),Y$2,)</f>
        <v>0</v>
      </c>
      <c r="Z311" s="179">
        <f ca="1">IF(ISNUMBER(MATCH(DATEVALUE($A311),'recurring1_based on steps'!Z$1:Z$400,0)),Z$2,)</f>
        <v>0</v>
      </c>
      <c r="AA311" s="179">
        <f ca="1">IF(ISNUMBER(MATCH(DATEVALUE($A311),'recurring1_based on steps'!AA$1:AA$400,0)),AA$2,)</f>
        <v>0</v>
      </c>
      <c r="AB311" s="179">
        <f ca="1">IF(ISNUMBER(MATCH(DATEVALUE($A311),'recurring1_based on steps'!AB$1:AB$400,0)),AB$2,)</f>
        <v>0</v>
      </c>
      <c r="AC311" s="179">
        <f ca="1">IF(ISNUMBER(MATCH(DATEVALUE($A311),'recurring1_based on steps'!AC$1:AC$400,0)),AC$2,)</f>
        <v>0</v>
      </c>
      <c r="AD311" s="179">
        <f ca="1">IF(ISNUMBER(MATCH(DATEVALUE($A311),'recurring1_based on steps'!AD$1:AD$400,0)),AD$2,)</f>
        <v>0</v>
      </c>
      <c r="AE311" s="179">
        <f ca="1">IF(ISNUMBER(MATCH(DATEVALUE($A311),'recurring1_based on steps'!AE$1:AE$400,0)),AE$2,)</f>
        <v>0</v>
      </c>
      <c r="AF311" s="179">
        <f ca="1">IF(ISNUMBER(MATCH(DATEVALUE($A311),'recurring1_based on steps'!AF$1:AF$400,0)),AF$2,)</f>
        <v>0</v>
      </c>
      <c r="AG311" s="179">
        <f ca="1">IF(ISNUMBER(MATCH(DATEVALUE($A311),'recurring1_based on steps'!AG$1:AG$400,0)),AG$2,)</f>
        <v>0</v>
      </c>
      <c r="AH311" s="179">
        <f ca="1">IF(ISNUMBER(MATCH(DATEVALUE($A311),'recurring1_based on steps'!AH$1:AH$400,0)),AH$2,)</f>
        <v>0</v>
      </c>
      <c r="AI311" s="179">
        <f ca="1">IF(ISNUMBER(MATCH(DATEVALUE($A311),'recurring1_based on steps'!AI$1:AI$400,0)),AI$2,)</f>
        <v>0</v>
      </c>
      <c r="AJ311" s="179">
        <f ca="1">IF(ISNUMBER(MATCH(DATEVALUE($A311),'recurring1_based on steps'!AJ$1:AJ$400,0)),AJ$2,)</f>
        <v>0</v>
      </c>
      <c r="AK311" s="179">
        <f ca="1">IF(ISNUMBER(MATCH(DATEVALUE($A311),'recurring1_based on steps'!AK$1:AK$400,0)),AK$2,)</f>
        <v>0</v>
      </c>
      <c r="AL311" s="179">
        <f ca="1">IF(ISNUMBER(MATCH(DATEVALUE($A311),'recurring1_based on steps'!AL$1:AL$400,0)),AL$2,)</f>
        <v>0</v>
      </c>
      <c r="AM311" s="179">
        <f ca="1">IF(ISNUMBER(MATCH(DATEVALUE($A311),'recurring1_based on steps'!AM$1:AM$400,0)),AM$2,)</f>
        <v>0</v>
      </c>
      <c r="AN311" s="179">
        <f ca="1">IF(ISNUMBER(MATCH(DATEVALUE($A311),'recurring1_based on steps'!AN$1:AN$400,0)),AN$2,)</f>
        <v>0</v>
      </c>
      <c r="AO311" s="179">
        <f ca="1">IF(ISNUMBER(MATCH(DATEVALUE($A311),'recurring1_based on steps'!AO$1:AO$400,0)),AO$2,)</f>
        <v>0</v>
      </c>
      <c r="AP311" s="179">
        <f ca="1">IF(ISNUMBER(MATCH(DATEVALUE($A311),'recurring1_based on steps'!AP$1:AP$400,0)),AP$2,)</f>
        <v>0</v>
      </c>
      <c r="AQ311" s="179">
        <f ca="1">IF(ISNUMBER(MATCH(DATEVALUE($A311),'recurring1_based on steps'!AQ$1:AQ$400,0)),AQ$2,)</f>
        <v>0</v>
      </c>
      <c r="AR311" s="179">
        <f ca="1">IF(ISNUMBER(MATCH(DATEVALUE($A311),'recurring1_based on steps'!AR$1:AR$400,0)),AR$2,)</f>
        <v>0</v>
      </c>
      <c r="AS311" s="179">
        <f ca="1">IF(ISNUMBER(MATCH(DATEVALUE($A311),'recurring1_based on steps'!AS$1:AS$400,0)),AS$2,)</f>
        <v>0</v>
      </c>
      <c r="AT311" s="179">
        <f ca="1">IF(ISNUMBER(MATCH(DATEVALUE($A311),'recurring1_based on steps'!AT$1:AT$400,0)),AT$2,)</f>
        <v>0</v>
      </c>
      <c r="AU311" s="179">
        <f ca="1">IF(ISNUMBER(MATCH(DATEVALUE($A311),'recurring1_based on steps'!AU$1:AU$400,0)),AU$2,)</f>
        <v>0</v>
      </c>
      <c r="AV311" s="179">
        <f ca="1">IF(ISNUMBER(MATCH(DATEVALUE($A311),'recurring1_based on steps'!AV$1:AV$400,0)),AV$2,)</f>
        <v>0</v>
      </c>
      <c r="AW311" s="179">
        <f ca="1">IF(ISNUMBER(MATCH(DATEVALUE($A311),'recurring1_based on steps'!AW$1:AW$400,0)),AW$2,)</f>
        <v>0</v>
      </c>
      <c r="AX311" s="179">
        <f ca="1">IF(ISNUMBER(MATCH(DATEVALUE($A311),'recurring1_based on steps'!AX$1:AX$400,0)),AX$2,)</f>
        <v>0</v>
      </c>
      <c r="AY311" s="179">
        <f ca="1">IF(ISNUMBER(MATCH(DATEVALUE($A311),'recurring1_based on steps'!AY$1:AY$400,0)),AY$2,)</f>
        <v>0</v>
      </c>
    </row>
    <row r="312" spans="1:51" x14ac:dyDescent="0.2">
      <c r="A312" s="32" t="str">
        <f t="shared" ca="1" si="4"/>
        <v>2026-02-01</v>
      </c>
      <c r="B312" s="179">
        <f ca="1">IF(ISNUMBER(MATCH(DATEVALUE($A312),'recurring1_based on steps'!B$1:B$400,0)),B$2,)</f>
        <v>0</v>
      </c>
      <c r="C312" s="179">
        <f ca="1">IF(ISNUMBER(MATCH(DATEVALUE($A312),'recurring1_based on steps'!C$1:C$400,0)),C$2,)</f>
        <v>0</v>
      </c>
      <c r="D312" s="179">
        <f ca="1">IF(ISNUMBER(MATCH(DATEVALUE($A312),'recurring1_based on steps'!D$1:D$400,0)),D$2,)</f>
        <v>0</v>
      </c>
      <c r="E312" s="179">
        <f ca="1">IF(ISNUMBER(MATCH(DATEVALUE($A312),'recurring1_based on steps'!E$1:E$400,0)),E$2,)</f>
        <v>0</v>
      </c>
      <c r="F312" s="179">
        <f ca="1">IF(ISNUMBER(MATCH(DATEVALUE($A312),'recurring1_based on steps'!F$1:F$400,0)),F$2,)</f>
        <v>0</v>
      </c>
      <c r="G312" s="179">
        <f ca="1">IF(ISNUMBER(MATCH(DATEVALUE($A312),'recurring1_based on steps'!G$1:G$400,0)),G$2,)</f>
        <v>0</v>
      </c>
      <c r="H312" s="179">
        <f ca="1">IF(ISNUMBER(MATCH(DATEVALUE($A312),'recurring1_based on steps'!H$1:H$400,0)),H$2,)</f>
        <v>0</v>
      </c>
      <c r="I312" s="179">
        <f ca="1">IF(ISNUMBER(MATCH(DATEVALUE($A312),'recurring1_based on steps'!I$1:I$400,0)),I$2,)</f>
        <v>0</v>
      </c>
      <c r="J312" s="179">
        <f ca="1">IF(ISNUMBER(MATCH(DATEVALUE($A312),'recurring1_based on steps'!J$1:J$400,0)),J$2,)</f>
        <v>0</v>
      </c>
      <c r="K312" s="179">
        <f ca="1">IF(ISNUMBER(MATCH(DATEVALUE($A312),'recurring1_based on steps'!K$1:K$400,0)),K$2,)</f>
        <v>0</v>
      </c>
      <c r="L312" s="179">
        <f ca="1">IF(ISNUMBER(MATCH(DATEVALUE($A312),'recurring1_based on steps'!L$1:L$400,0)),L$2,)</f>
        <v>0</v>
      </c>
      <c r="M312" s="179">
        <f ca="1">IF(ISNUMBER(MATCH(DATEVALUE($A312),'recurring1_based on steps'!M$1:M$400,0)),M$2,)</f>
        <v>0</v>
      </c>
      <c r="N312" s="179">
        <f ca="1">IF(ISNUMBER(MATCH(DATEVALUE($A312),'recurring1_based on steps'!N$1:N$400,0)),N$2,)</f>
        <v>0</v>
      </c>
      <c r="O312" s="179">
        <f ca="1">IF(ISNUMBER(MATCH(DATEVALUE($A312),'recurring1_based on steps'!O$1:O$400,0)),O$2,)</f>
        <v>0</v>
      </c>
      <c r="P312" s="179">
        <f ca="1">IF(ISNUMBER(MATCH(DATEVALUE($A312),'recurring1_based on steps'!P$1:P$400,0)),P$2,)</f>
        <v>0</v>
      </c>
      <c r="Q312" s="179">
        <f ca="1">IF(ISNUMBER(MATCH(DATEVALUE($A312),'recurring1_based on steps'!Q$1:Q$400,0)),Q$2,)</f>
        <v>0</v>
      </c>
      <c r="R312" s="179">
        <f ca="1">IF(ISNUMBER(MATCH(DATEVALUE($A312),'recurring1_based on steps'!R$1:R$400,0)),R$2,)</f>
        <v>0</v>
      </c>
      <c r="S312" s="179">
        <f ca="1">IF(ISNUMBER(MATCH(DATEVALUE($A312),'recurring1_based on steps'!S$1:S$400,0)),S$2,)</f>
        <v>0</v>
      </c>
      <c r="T312" s="179">
        <f ca="1">IF(ISNUMBER(MATCH(DATEVALUE($A312),'recurring1_based on steps'!T$1:T$400,0)),T$2,)</f>
        <v>0</v>
      </c>
      <c r="U312" s="179">
        <f ca="1">IF(ISNUMBER(MATCH(DATEVALUE($A312),'recurring1_based on steps'!U$1:U$400,0)),U$2,)</f>
        <v>0</v>
      </c>
      <c r="V312" s="179">
        <f ca="1">IF(ISNUMBER(MATCH(DATEVALUE($A312),'recurring1_based on steps'!V$1:V$400,0)),V$2,)</f>
        <v>0</v>
      </c>
      <c r="W312" s="179">
        <f ca="1">IF(ISNUMBER(MATCH(DATEVALUE($A312),'recurring1_based on steps'!W$1:W$400,0)),W$2,)</f>
        <v>0</v>
      </c>
      <c r="X312" s="179">
        <f ca="1">IF(ISNUMBER(MATCH(DATEVALUE($A312),'recurring1_based on steps'!X$1:X$400,0)),X$2,)</f>
        <v>0</v>
      </c>
      <c r="Y312" s="179">
        <f ca="1">IF(ISNUMBER(MATCH(DATEVALUE($A312),'recurring1_based on steps'!Y$1:Y$400,0)),Y$2,)</f>
        <v>0</v>
      </c>
      <c r="Z312" s="179">
        <f ca="1">IF(ISNUMBER(MATCH(DATEVALUE($A312),'recurring1_based on steps'!Z$1:Z$400,0)),Z$2,)</f>
        <v>0</v>
      </c>
      <c r="AA312" s="179">
        <f ca="1">IF(ISNUMBER(MATCH(DATEVALUE($A312),'recurring1_based on steps'!AA$1:AA$400,0)),AA$2,)</f>
        <v>0</v>
      </c>
      <c r="AB312" s="179">
        <f ca="1">IF(ISNUMBER(MATCH(DATEVALUE($A312),'recurring1_based on steps'!AB$1:AB$400,0)),AB$2,)</f>
        <v>0</v>
      </c>
      <c r="AC312" s="179">
        <f ca="1">IF(ISNUMBER(MATCH(DATEVALUE($A312),'recurring1_based on steps'!AC$1:AC$400,0)),AC$2,)</f>
        <v>0</v>
      </c>
      <c r="AD312" s="179">
        <f ca="1">IF(ISNUMBER(MATCH(DATEVALUE($A312),'recurring1_based on steps'!AD$1:AD$400,0)),AD$2,)</f>
        <v>0</v>
      </c>
      <c r="AE312" s="179">
        <f ca="1">IF(ISNUMBER(MATCH(DATEVALUE($A312),'recurring1_based on steps'!AE$1:AE$400,0)),AE$2,)</f>
        <v>0</v>
      </c>
      <c r="AF312" s="179">
        <f ca="1">IF(ISNUMBER(MATCH(DATEVALUE($A312),'recurring1_based on steps'!AF$1:AF$400,0)),AF$2,)</f>
        <v>0</v>
      </c>
      <c r="AG312" s="179">
        <f ca="1">IF(ISNUMBER(MATCH(DATEVALUE($A312),'recurring1_based on steps'!AG$1:AG$400,0)),AG$2,)</f>
        <v>0</v>
      </c>
      <c r="AH312" s="179">
        <f ca="1">IF(ISNUMBER(MATCH(DATEVALUE($A312),'recurring1_based on steps'!AH$1:AH$400,0)),AH$2,)</f>
        <v>0</v>
      </c>
      <c r="AI312" s="179">
        <f ca="1">IF(ISNUMBER(MATCH(DATEVALUE($A312),'recurring1_based on steps'!AI$1:AI$400,0)),AI$2,)</f>
        <v>0</v>
      </c>
      <c r="AJ312" s="179">
        <f ca="1">IF(ISNUMBER(MATCH(DATEVALUE($A312),'recurring1_based on steps'!AJ$1:AJ$400,0)),AJ$2,)</f>
        <v>0</v>
      </c>
      <c r="AK312" s="179">
        <f ca="1">IF(ISNUMBER(MATCH(DATEVALUE($A312),'recurring1_based on steps'!AK$1:AK$400,0)),AK$2,)</f>
        <v>0</v>
      </c>
      <c r="AL312" s="179">
        <f ca="1">IF(ISNUMBER(MATCH(DATEVALUE($A312),'recurring1_based on steps'!AL$1:AL$400,0)),AL$2,)</f>
        <v>0</v>
      </c>
      <c r="AM312" s="179">
        <f ca="1">IF(ISNUMBER(MATCH(DATEVALUE($A312),'recurring1_based on steps'!AM$1:AM$400,0)),AM$2,)</f>
        <v>0</v>
      </c>
      <c r="AN312" s="179">
        <f ca="1">IF(ISNUMBER(MATCH(DATEVALUE($A312),'recurring1_based on steps'!AN$1:AN$400,0)),AN$2,)</f>
        <v>0</v>
      </c>
      <c r="AO312" s="179">
        <f ca="1">IF(ISNUMBER(MATCH(DATEVALUE($A312),'recurring1_based on steps'!AO$1:AO$400,0)),AO$2,)</f>
        <v>0</v>
      </c>
      <c r="AP312" s="179">
        <f ca="1">IF(ISNUMBER(MATCH(DATEVALUE($A312),'recurring1_based on steps'!AP$1:AP$400,0)),AP$2,)</f>
        <v>0</v>
      </c>
      <c r="AQ312" s="179">
        <f ca="1">IF(ISNUMBER(MATCH(DATEVALUE($A312),'recurring1_based on steps'!AQ$1:AQ$400,0)),AQ$2,)</f>
        <v>0</v>
      </c>
      <c r="AR312" s="179">
        <f ca="1">IF(ISNUMBER(MATCH(DATEVALUE($A312),'recurring1_based on steps'!AR$1:AR$400,0)),AR$2,)</f>
        <v>0</v>
      </c>
      <c r="AS312" s="179">
        <f ca="1">IF(ISNUMBER(MATCH(DATEVALUE($A312),'recurring1_based on steps'!AS$1:AS$400,0)),AS$2,)</f>
        <v>0</v>
      </c>
      <c r="AT312" s="179">
        <f ca="1">IF(ISNUMBER(MATCH(DATEVALUE($A312),'recurring1_based on steps'!AT$1:AT$400,0)),AT$2,)</f>
        <v>0</v>
      </c>
      <c r="AU312" s="179">
        <f ca="1">IF(ISNUMBER(MATCH(DATEVALUE($A312),'recurring1_based on steps'!AU$1:AU$400,0)),AU$2,)</f>
        <v>0</v>
      </c>
      <c r="AV312" s="179">
        <f ca="1">IF(ISNUMBER(MATCH(DATEVALUE($A312),'recurring1_based on steps'!AV$1:AV$400,0)),AV$2,)</f>
        <v>0</v>
      </c>
      <c r="AW312" s="179">
        <f ca="1">IF(ISNUMBER(MATCH(DATEVALUE($A312),'recurring1_based on steps'!AW$1:AW$400,0)),AW$2,)</f>
        <v>0</v>
      </c>
      <c r="AX312" s="179">
        <f ca="1">IF(ISNUMBER(MATCH(DATEVALUE($A312),'recurring1_based on steps'!AX$1:AX$400,0)),AX$2,)</f>
        <v>0</v>
      </c>
      <c r="AY312" s="179">
        <f ca="1">IF(ISNUMBER(MATCH(DATEVALUE($A312),'recurring1_based on steps'!AY$1:AY$400,0)),AY$2,)</f>
        <v>0</v>
      </c>
    </row>
    <row r="313" spans="1:51" x14ac:dyDescent="0.2">
      <c r="A313" s="32" t="str">
        <f t="shared" ca="1" si="4"/>
        <v>2026-02-02</v>
      </c>
      <c r="B313" s="179">
        <f ca="1">IF(ISNUMBER(MATCH(DATEVALUE($A313),'recurring1_based on steps'!B$1:B$400,0)),B$2,)</f>
        <v>0</v>
      </c>
      <c r="C313" s="179">
        <f ca="1">IF(ISNUMBER(MATCH(DATEVALUE($A313),'recurring1_based on steps'!C$1:C$400,0)),C$2,)</f>
        <v>0</v>
      </c>
      <c r="D313" s="179">
        <f ca="1">IF(ISNUMBER(MATCH(DATEVALUE($A313),'recurring1_based on steps'!D$1:D$400,0)),D$2,)</f>
        <v>0</v>
      </c>
      <c r="E313" s="179">
        <f ca="1">IF(ISNUMBER(MATCH(DATEVALUE($A313),'recurring1_based on steps'!E$1:E$400,0)),E$2,)</f>
        <v>0</v>
      </c>
      <c r="F313" s="179">
        <f ca="1">IF(ISNUMBER(MATCH(DATEVALUE($A313),'recurring1_based on steps'!F$1:F$400,0)),F$2,)</f>
        <v>0</v>
      </c>
      <c r="G313" s="179">
        <f ca="1">IF(ISNUMBER(MATCH(DATEVALUE($A313),'recurring1_based on steps'!G$1:G$400,0)),G$2,)</f>
        <v>0</v>
      </c>
      <c r="H313" s="179">
        <f ca="1">IF(ISNUMBER(MATCH(DATEVALUE($A313),'recurring1_based on steps'!H$1:H$400,0)),H$2,)</f>
        <v>0</v>
      </c>
      <c r="I313" s="179">
        <f ca="1">IF(ISNUMBER(MATCH(DATEVALUE($A313),'recurring1_based on steps'!I$1:I$400,0)),I$2,)</f>
        <v>0</v>
      </c>
      <c r="J313" s="179">
        <f ca="1">IF(ISNUMBER(MATCH(DATEVALUE($A313),'recurring1_based on steps'!J$1:J$400,0)),J$2,)</f>
        <v>0</v>
      </c>
      <c r="K313" s="179">
        <f ca="1">IF(ISNUMBER(MATCH(DATEVALUE($A313),'recurring1_based on steps'!K$1:K$400,0)),K$2,)</f>
        <v>0</v>
      </c>
      <c r="L313" s="179">
        <f ca="1">IF(ISNUMBER(MATCH(DATEVALUE($A313),'recurring1_based on steps'!L$1:L$400,0)),L$2,)</f>
        <v>0</v>
      </c>
      <c r="M313" s="179">
        <f ca="1">IF(ISNUMBER(MATCH(DATEVALUE($A313),'recurring1_based on steps'!M$1:M$400,0)),M$2,)</f>
        <v>0</v>
      </c>
      <c r="N313" s="179">
        <f ca="1">IF(ISNUMBER(MATCH(DATEVALUE($A313),'recurring1_based on steps'!N$1:N$400,0)),N$2,)</f>
        <v>0</v>
      </c>
      <c r="O313" s="179">
        <f ca="1">IF(ISNUMBER(MATCH(DATEVALUE($A313),'recurring1_based on steps'!O$1:O$400,0)),O$2,)</f>
        <v>0</v>
      </c>
      <c r="P313" s="179">
        <f ca="1">IF(ISNUMBER(MATCH(DATEVALUE($A313),'recurring1_based on steps'!P$1:P$400,0)),P$2,)</f>
        <v>0</v>
      </c>
      <c r="Q313" s="179">
        <f ca="1">IF(ISNUMBER(MATCH(DATEVALUE($A313),'recurring1_based on steps'!Q$1:Q$400,0)),Q$2,)</f>
        <v>0</v>
      </c>
      <c r="R313" s="179">
        <f ca="1">IF(ISNUMBER(MATCH(DATEVALUE($A313),'recurring1_based on steps'!R$1:R$400,0)),R$2,)</f>
        <v>0</v>
      </c>
      <c r="S313" s="179">
        <f ca="1">IF(ISNUMBER(MATCH(DATEVALUE($A313),'recurring1_based on steps'!S$1:S$400,0)),S$2,)</f>
        <v>0</v>
      </c>
      <c r="T313" s="179">
        <f ca="1">IF(ISNUMBER(MATCH(DATEVALUE($A313),'recurring1_based on steps'!T$1:T$400,0)),T$2,)</f>
        <v>0</v>
      </c>
      <c r="U313" s="179">
        <f ca="1">IF(ISNUMBER(MATCH(DATEVALUE($A313),'recurring1_based on steps'!U$1:U$400,0)),U$2,)</f>
        <v>0</v>
      </c>
      <c r="V313" s="179">
        <f ca="1">IF(ISNUMBER(MATCH(DATEVALUE($A313),'recurring1_based on steps'!V$1:V$400,0)),V$2,)</f>
        <v>0</v>
      </c>
      <c r="W313" s="179">
        <f ca="1">IF(ISNUMBER(MATCH(DATEVALUE($A313),'recurring1_based on steps'!W$1:W$400,0)),W$2,)</f>
        <v>0</v>
      </c>
      <c r="X313" s="179">
        <f ca="1">IF(ISNUMBER(MATCH(DATEVALUE($A313),'recurring1_based on steps'!X$1:X$400,0)),X$2,)</f>
        <v>0</v>
      </c>
      <c r="Y313" s="179">
        <f ca="1">IF(ISNUMBER(MATCH(DATEVALUE($A313),'recurring1_based on steps'!Y$1:Y$400,0)),Y$2,)</f>
        <v>0</v>
      </c>
      <c r="Z313" s="179">
        <f ca="1">IF(ISNUMBER(MATCH(DATEVALUE($A313),'recurring1_based on steps'!Z$1:Z$400,0)),Z$2,)</f>
        <v>0</v>
      </c>
      <c r="AA313" s="179">
        <f ca="1">IF(ISNUMBER(MATCH(DATEVALUE($A313),'recurring1_based on steps'!AA$1:AA$400,0)),AA$2,)</f>
        <v>0</v>
      </c>
      <c r="AB313" s="179">
        <f ca="1">IF(ISNUMBER(MATCH(DATEVALUE($A313),'recurring1_based on steps'!AB$1:AB$400,0)),AB$2,)</f>
        <v>0</v>
      </c>
      <c r="AC313" s="179">
        <f ca="1">IF(ISNUMBER(MATCH(DATEVALUE($A313),'recurring1_based on steps'!AC$1:AC$400,0)),AC$2,)</f>
        <v>0</v>
      </c>
      <c r="AD313" s="179">
        <f ca="1">IF(ISNUMBER(MATCH(DATEVALUE($A313),'recurring1_based on steps'!AD$1:AD$400,0)),AD$2,)</f>
        <v>0</v>
      </c>
      <c r="AE313" s="179">
        <f ca="1">IF(ISNUMBER(MATCH(DATEVALUE($A313),'recurring1_based on steps'!AE$1:AE$400,0)),AE$2,)</f>
        <v>0</v>
      </c>
      <c r="AF313" s="179">
        <f ca="1">IF(ISNUMBER(MATCH(DATEVALUE($A313),'recurring1_based on steps'!AF$1:AF$400,0)),AF$2,)</f>
        <v>0</v>
      </c>
      <c r="AG313" s="179">
        <f ca="1">IF(ISNUMBER(MATCH(DATEVALUE($A313),'recurring1_based on steps'!AG$1:AG$400,0)),AG$2,)</f>
        <v>0</v>
      </c>
      <c r="AH313" s="179">
        <f ca="1">IF(ISNUMBER(MATCH(DATEVALUE($A313),'recurring1_based on steps'!AH$1:AH$400,0)),AH$2,)</f>
        <v>0</v>
      </c>
      <c r="AI313" s="179">
        <f ca="1">IF(ISNUMBER(MATCH(DATEVALUE($A313),'recurring1_based on steps'!AI$1:AI$400,0)),AI$2,)</f>
        <v>0</v>
      </c>
      <c r="AJ313" s="179">
        <f ca="1">IF(ISNUMBER(MATCH(DATEVALUE($A313),'recurring1_based on steps'!AJ$1:AJ$400,0)),AJ$2,)</f>
        <v>0</v>
      </c>
      <c r="AK313" s="179">
        <f ca="1">IF(ISNUMBER(MATCH(DATEVALUE($A313),'recurring1_based on steps'!AK$1:AK$400,0)),AK$2,)</f>
        <v>0</v>
      </c>
      <c r="AL313" s="179">
        <f ca="1">IF(ISNUMBER(MATCH(DATEVALUE($A313),'recurring1_based on steps'!AL$1:AL$400,0)),AL$2,)</f>
        <v>0</v>
      </c>
      <c r="AM313" s="179">
        <f ca="1">IF(ISNUMBER(MATCH(DATEVALUE($A313),'recurring1_based on steps'!AM$1:AM$400,0)),AM$2,)</f>
        <v>0</v>
      </c>
      <c r="AN313" s="179">
        <f ca="1">IF(ISNUMBER(MATCH(DATEVALUE($A313),'recurring1_based on steps'!AN$1:AN$400,0)),AN$2,)</f>
        <v>0</v>
      </c>
      <c r="AO313" s="179">
        <f ca="1">IF(ISNUMBER(MATCH(DATEVALUE($A313),'recurring1_based on steps'!AO$1:AO$400,0)),AO$2,)</f>
        <v>0</v>
      </c>
      <c r="AP313" s="179">
        <f ca="1">IF(ISNUMBER(MATCH(DATEVALUE($A313),'recurring1_based on steps'!AP$1:AP$400,0)),AP$2,)</f>
        <v>0</v>
      </c>
      <c r="AQ313" s="179">
        <f ca="1">IF(ISNUMBER(MATCH(DATEVALUE($A313),'recurring1_based on steps'!AQ$1:AQ$400,0)),AQ$2,)</f>
        <v>0</v>
      </c>
      <c r="AR313" s="179">
        <f ca="1">IF(ISNUMBER(MATCH(DATEVALUE($A313),'recurring1_based on steps'!AR$1:AR$400,0)),AR$2,)</f>
        <v>0</v>
      </c>
      <c r="AS313" s="179">
        <f ca="1">IF(ISNUMBER(MATCH(DATEVALUE($A313),'recurring1_based on steps'!AS$1:AS$400,0)),AS$2,)</f>
        <v>0</v>
      </c>
      <c r="AT313" s="179">
        <f ca="1">IF(ISNUMBER(MATCH(DATEVALUE($A313),'recurring1_based on steps'!AT$1:AT$400,0)),AT$2,)</f>
        <v>0</v>
      </c>
      <c r="AU313" s="179">
        <f ca="1">IF(ISNUMBER(MATCH(DATEVALUE($A313),'recurring1_based on steps'!AU$1:AU$400,0)),AU$2,)</f>
        <v>0</v>
      </c>
      <c r="AV313" s="179">
        <f ca="1">IF(ISNUMBER(MATCH(DATEVALUE($A313),'recurring1_based on steps'!AV$1:AV$400,0)),AV$2,)</f>
        <v>0</v>
      </c>
      <c r="AW313" s="179">
        <f ca="1">IF(ISNUMBER(MATCH(DATEVALUE($A313),'recurring1_based on steps'!AW$1:AW$400,0)),AW$2,)</f>
        <v>0</v>
      </c>
      <c r="AX313" s="179">
        <f ca="1">IF(ISNUMBER(MATCH(DATEVALUE($A313),'recurring1_based on steps'!AX$1:AX$400,0)),AX$2,)</f>
        <v>0</v>
      </c>
      <c r="AY313" s="179">
        <f ca="1">IF(ISNUMBER(MATCH(DATEVALUE($A313),'recurring1_based on steps'!AY$1:AY$400,0)),AY$2,)</f>
        <v>0</v>
      </c>
    </row>
    <row r="314" spans="1:51" x14ac:dyDescent="0.2">
      <c r="A314" s="32" t="str">
        <f t="shared" ca="1" si="4"/>
        <v>2026-02-03</v>
      </c>
      <c r="B314" s="179">
        <f ca="1">IF(ISNUMBER(MATCH(DATEVALUE($A314),'recurring1_based on steps'!B$1:B$400,0)),B$2,)</f>
        <v>0</v>
      </c>
      <c r="C314" s="179">
        <f ca="1">IF(ISNUMBER(MATCH(DATEVALUE($A314),'recurring1_based on steps'!C$1:C$400,0)),C$2,)</f>
        <v>0</v>
      </c>
      <c r="D314" s="179">
        <f ca="1">IF(ISNUMBER(MATCH(DATEVALUE($A314),'recurring1_based on steps'!D$1:D$400,0)),D$2,)</f>
        <v>0</v>
      </c>
      <c r="E314" s="179">
        <f ca="1">IF(ISNUMBER(MATCH(DATEVALUE($A314),'recurring1_based on steps'!E$1:E$400,0)),E$2,)</f>
        <v>0</v>
      </c>
      <c r="F314" s="179">
        <f ca="1">IF(ISNUMBER(MATCH(DATEVALUE($A314),'recurring1_based on steps'!F$1:F$400,0)),F$2,)</f>
        <v>0</v>
      </c>
      <c r="G314" s="179">
        <f ca="1">IF(ISNUMBER(MATCH(DATEVALUE($A314),'recurring1_based on steps'!G$1:G$400,0)),G$2,)</f>
        <v>0</v>
      </c>
      <c r="H314" s="179">
        <f ca="1">IF(ISNUMBER(MATCH(DATEVALUE($A314),'recurring1_based on steps'!H$1:H$400,0)),H$2,)</f>
        <v>0</v>
      </c>
      <c r="I314" s="179">
        <f ca="1">IF(ISNUMBER(MATCH(DATEVALUE($A314),'recurring1_based on steps'!I$1:I$400,0)),I$2,)</f>
        <v>0</v>
      </c>
      <c r="J314" s="179">
        <f ca="1">IF(ISNUMBER(MATCH(DATEVALUE($A314),'recurring1_based on steps'!J$1:J$400,0)),J$2,)</f>
        <v>0</v>
      </c>
      <c r="K314" s="179">
        <f ca="1">IF(ISNUMBER(MATCH(DATEVALUE($A314),'recurring1_based on steps'!K$1:K$400,0)),K$2,)</f>
        <v>0</v>
      </c>
      <c r="L314" s="179">
        <f ca="1">IF(ISNUMBER(MATCH(DATEVALUE($A314),'recurring1_based on steps'!L$1:L$400,0)),L$2,)</f>
        <v>0</v>
      </c>
      <c r="M314" s="179">
        <f ca="1">IF(ISNUMBER(MATCH(DATEVALUE($A314),'recurring1_based on steps'!M$1:M$400,0)),M$2,)</f>
        <v>0</v>
      </c>
      <c r="N314" s="179">
        <f ca="1">IF(ISNUMBER(MATCH(DATEVALUE($A314),'recurring1_based on steps'!N$1:N$400,0)),N$2,)</f>
        <v>0</v>
      </c>
      <c r="O314" s="179">
        <f ca="1">IF(ISNUMBER(MATCH(DATEVALUE($A314),'recurring1_based on steps'!O$1:O$400,0)),O$2,)</f>
        <v>0</v>
      </c>
      <c r="P314" s="179">
        <f ca="1">IF(ISNUMBER(MATCH(DATEVALUE($A314),'recurring1_based on steps'!P$1:P$400,0)),P$2,)</f>
        <v>0</v>
      </c>
      <c r="Q314" s="179">
        <f ca="1">IF(ISNUMBER(MATCH(DATEVALUE($A314),'recurring1_based on steps'!Q$1:Q$400,0)),Q$2,)</f>
        <v>0</v>
      </c>
      <c r="R314" s="179">
        <f ca="1">IF(ISNUMBER(MATCH(DATEVALUE($A314),'recurring1_based on steps'!R$1:R$400,0)),R$2,)</f>
        <v>0</v>
      </c>
      <c r="S314" s="179">
        <f ca="1">IF(ISNUMBER(MATCH(DATEVALUE($A314),'recurring1_based on steps'!S$1:S$400,0)),S$2,)</f>
        <v>0</v>
      </c>
      <c r="T314" s="179">
        <f ca="1">IF(ISNUMBER(MATCH(DATEVALUE($A314),'recurring1_based on steps'!T$1:T$400,0)),T$2,)</f>
        <v>0</v>
      </c>
      <c r="U314" s="179">
        <f ca="1">IF(ISNUMBER(MATCH(DATEVALUE($A314),'recurring1_based on steps'!U$1:U$400,0)),U$2,)</f>
        <v>0</v>
      </c>
      <c r="V314" s="179">
        <f ca="1">IF(ISNUMBER(MATCH(DATEVALUE($A314),'recurring1_based on steps'!V$1:V$400,0)),V$2,)</f>
        <v>0</v>
      </c>
      <c r="W314" s="179">
        <f ca="1">IF(ISNUMBER(MATCH(DATEVALUE($A314),'recurring1_based on steps'!W$1:W$400,0)),W$2,)</f>
        <v>0</v>
      </c>
      <c r="X314" s="179">
        <f ca="1">IF(ISNUMBER(MATCH(DATEVALUE($A314),'recurring1_based on steps'!X$1:X$400,0)),X$2,)</f>
        <v>0</v>
      </c>
      <c r="Y314" s="179">
        <f ca="1">IF(ISNUMBER(MATCH(DATEVALUE($A314),'recurring1_based on steps'!Y$1:Y$400,0)),Y$2,)</f>
        <v>0</v>
      </c>
      <c r="Z314" s="179">
        <f ca="1">IF(ISNUMBER(MATCH(DATEVALUE($A314),'recurring1_based on steps'!Z$1:Z$400,0)),Z$2,)</f>
        <v>0</v>
      </c>
      <c r="AA314" s="179">
        <f ca="1">IF(ISNUMBER(MATCH(DATEVALUE($A314),'recurring1_based on steps'!AA$1:AA$400,0)),AA$2,)</f>
        <v>0</v>
      </c>
      <c r="AB314" s="179">
        <f ca="1">IF(ISNUMBER(MATCH(DATEVALUE($A314),'recurring1_based on steps'!AB$1:AB$400,0)),AB$2,)</f>
        <v>0</v>
      </c>
      <c r="AC314" s="179">
        <f ca="1">IF(ISNUMBER(MATCH(DATEVALUE($A314),'recurring1_based on steps'!AC$1:AC$400,0)),AC$2,)</f>
        <v>0</v>
      </c>
      <c r="AD314" s="179">
        <f ca="1">IF(ISNUMBER(MATCH(DATEVALUE($A314),'recurring1_based on steps'!AD$1:AD$400,0)),AD$2,)</f>
        <v>0</v>
      </c>
      <c r="AE314" s="179">
        <f ca="1">IF(ISNUMBER(MATCH(DATEVALUE($A314),'recurring1_based on steps'!AE$1:AE$400,0)),AE$2,)</f>
        <v>0</v>
      </c>
      <c r="AF314" s="179">
        <f ca="1">IF(ISNUMBER(MATCH(DATEVALUE($A314),'recurring1_based on steps'!AF$1:AF$400,0)),AF$2,)</f>
        <v>0</v>
      </c>
      <c r="AG314" s="179">
        <f ca="1">IF(ISNUMBER(MATCH(DATEVALUE($A314),'recurring1_based on steps'!AG$1:AG$400,0)),AG$2,)</f>
        <v>0</v>
      </c>
      <c r="AH314" s="179">
        <f ca="1">IF(ISNUMBER(MATCH(DATEVALUE($A314),'recurring1_based on steps'!AH$1:AH$400,0)),AH$2,)</f>
        <v>0</v>
      </c>
      <c r="AI314" s="179">
        <f ca="1">IF(ISNUMBER(MATCH(DATEVALUE($A314),'recurring1_based on steps'!AI$1:AI$400,0)),AI$2,)</f>
        <v>0</v>
      </c>
      <c r="AJ314" s="179">
        <f ca="1">IF(ISNUMBER(MATCH(DATEVALUE($A314),'recurring1_based on steps'!AJ$1:AJ$400,0)),AJ$2,)</f>
        <v>0</v>
      </c>
      <c r="AK314" s="179">
        <f ca="1">IF(ISNUMBER(MATCH(DATEVALUE($A314),'recurring1_based on steps'!AK$1:AK$400,0)),AK$2,)</f>
        <v>0</v>
      </c>
      <c r="AL314" s="179">
        <f ca="1">IF(ISNUMBER(MATCH(DATEVALUE($A314),'recurring1_based on steps'!AL$1:AL$400,0)),AL$2,)</f>
        <v>0</v>
      </c>
      <c r="AM314" s="179">
        <f ca="1">IF(ISNUMBER(MATCH(DATEVALUE($A314),'recurring1_based on steps'!AM$1:AM$400,0)),AM$2,)</f>
        <v>0</v>
      </c>
      <c r="AN314" s="179">
        <f ca="1">IF(ISNUMBER(MATCH(DATEVALUE($A314),'recurring1_based on steps'!AN$1:AN$400,0)),AN$2,)</f>
        <v>0</v>
      </c>
      <c r="AO314" s="179">
        <f ca="1">IF(ISNUMBER(MATCH(DATEVALUE($A314),'recurring1_based on steps'!AO$1:AO$400,0)),AO$2,)</f>
        <v>0</v>
      </c>
      <c r="AP314" s="179">
        <f ca="1">IF(ISNUMBER(MATCH(DATEVALUE($A314),'recurring1_based on steps'!AP$1:AP$400,0)),AP$2,)</f>
        <v>0</v>
      </c>
      <c r="AQ314" s="179">
        <f ca="1">IF(ISNUMBER(MATCH(DATEVALUE($A314),'recurring1_based on steps'!AQ$1:AQ$400,0)),AQ$2,)</f>
        <v>0</v>
      </c>
      <c r="AR314" s="179">
        <f ca="1">IF(ISNUMBER(MATCH(DATEVALUE($A314),'recurring1_based on steps'!AR$1:AR$400,0)),AR$2,)</f>
        <v>0</v>
      </c>
      <c r="AS314" s="179">
        <f ca="1">IF(ISNUMBER(MATCH(DATEVALUE($A314),'recurring1_based on steps'!AS$1:AS$400,0)),AS$2,)</f>
        <v>0</v>
      </c>
      <c r="AT314" s="179">
        <f ca="1">IF(ISNUMBER(MATCH(DATEVALUE($A314),'recurring1_based on steps'!AT$1:AT$400,0)),AT$2,)</f>
        <v>0</v>
      </c>
      <c r="AU314" s="179">
        <f ca="1">IF(ISNUMBER(MATCH(DATEVALUE($A314),'recurring1_based on steps'!AU$1:AU$400,0)),AU$2,)</f>
        <v>0</v>
      </c>
      <c r="AV314" s="179">
        <f ca="1">IF(ISNUMBER(MATCH(DATEVALUE($A314),'recurring1_based on steps'!AV$1:AV$400,0)),AV$2,)</f>
        <v>0</v>
      </c>
      <c r="AW314" s="179">
        <f ca="1">IF(ISNUMBER(MATCH(DATEVALUE($A314),'recurring1_based on steps'!AW$1:AW$400,0)),AW$2,)</f>
        <v>0</v>
      </c>
      <c r="AX314" s="179">
        <f ca="1">IF(ISNUMBER(MATCH(DATEVALUE($A314),'recurring1_based on steps'!AX$1:AX$400,0)),AX$2,)</f>
        <v>0</v>
      </c>
      <c r="AY314" s="179">
        <f ca="1">IF(ISNUMBER(MATCH(DATEVALUE($A314),'recurring1_based on steps'!AY$1:AY$400,0)),AY$2,)</f>
        <v>0</v>
      </c>
    </row>
    <row r="315" spans="1:51" x14ac:dyDescent="0.2">
      <c r="A315" s="32" t="str">
        <f t="shared" ca="1" si="4"/>
        <v>2026-02-04</v>
      </c>
      <c r="B315" s="179">
        <f ca="1">IF(ISNUMBER(MATCH(DATEVALUE($A315),'recurring1_based on steps'!B$1:B$400,0)),B$2,)</f>
        <v>0</v>
      </c>
      <c r="C315" s="179">
        <f ca="1">IF(ISNUMBER(MATCH(DATEVALUE($A315),'recurring1_based on steps'!C$1:C$400,0)),C$2,)</f>
        <v>0</v>
      </c>
      <c r="D315" s="179">
        <f ca="1">IF(ISNUMBER(MATCH(DATEVALUE($A315),'recurring1_based on steps'!D$1:D$400,0)),D$2,)</f>
        <v>0</v>
      </c>
      <c r="E315" s="179">
        <f ca="1">IF(ISNUMBER(MATCH(DATEVALUE($A315),'recurring1_based on steps'!E$1:E$400,0)),E$2,)</f>
        <v>0</v>
      </c>
      <c r="F315" s="179">
        <f ca="1">IF(ISNUMBER(MATCH(DATEVALUE($A315),'recurring1_based on steps'!F$1:F$400,0)),F$2,)</f>
        <v>0</v>
      </c>
      <c r="G315" s="179">
        <f ca="1">IF(ISNUMBER(MATCH(DATEVALUE($A315),'recurring1_based on steps'!G$1:G$400,0)),G$2,)</f>
        <v>0</v>
      </c>
      <c r="H315" s="179">
        <f ca="1">IF(ISNUMBER(MATCH(DATEVALUE($A315),'recurring1_based on steps'!H$1:H$400,0)),H$2,)</f>
        <v>0</v>
      </c>
      <c r="I315" s="179">
        <f ca="1">IF(ISNUMBER(MATCH(DATEVALUE($A315),'recurring1_based on steps'!I$1:I$400,0)),I$2,)</f>
        <v>0</v>
      </c>
      <c r="J315" s="179">
        <f ca="1">IF(ISNUMBER(MATCH(DATEVALUE($A315),'recurring1_based on steps'!J$1:J$400,0)),J$2,)</f>
        <v>0</v>
      </c>
      <c r="K315" s="179">
        <f ca="1">IF(ISNUMBER(MATCH(DATEVALUE($A315),'recurring1_based on steps'!K$1:K$400,0)),K$2,)</f>
        <v>0</v>
      </c>
      <c r="L315" s="179">
        <f ca="1">IF(ISNUMBER(MATCH(DATEVALUE($A315),'recurring1_based on steps'!L$1:L$400,0)),L$2,)</f>
        <v>0</v>
      </c>
      <c r="M315" s="179">
        <f ca="1">IF(ISNUMBER(MATCH(DATEVALUE($A315),'recurring1_based on steps'!M$1:M$400,0)),M$2,)</f>
        <v>0</v>
      </c>
      <c r="N315" s="179">
        <f ca="1">IF(ISNUMBER(MATCH(DATEVALUE($A315),'recurring1_based on steps'!N$1:N$400,0)),N$2,)</f>
        <v>0</v>
      </c>
      <c r="O315" s="179">
        <f ca="1">IF(ISNUMBER(MATCH(DATEVALUE($A315),'recurring1_based on steps'!O$1:O$400,0)),O$2,)</f>
        <v>0</v>
      </c>
      <c r="P315" s="179">
        <f ca="1">IF(ISNUMBER(MATCH(DATEVALUE($A315),'recurring1_based on steps'!P$1:P$400,0)),P$2,)</f>
        <v>0</v>
      </c>
      <c r="Q315" s="179">
        <f ca="1">IF(ISNUMBER(MATCH(DATEVALUE($A315),'recurring1_based on steps'!Q$1:Q$400,0)),Q$2,)</f>
        <v>0</v>
      </c>
      <c r="R315" s="179">
        <f ca="1">IF(ISNUMBER(MATCH(DATEVALUE($A315),'recurring1_based on steps'!R$1:R$400,0)),R$2,)</f>
        <v>0</v>
      </c>
      <c r="S315" s="179">
        <f ca="1">IF(ISNUMBER(MATCH(DATEVALUE($A315),'recurring1_based on steps'!S$1:S$400,0)),S$2,)</f>
        <v>0</v>
      </c>
      <c r="T315" s="179">
        <f ca="1">IF(ISNUMBER(MATCH(DATEVALUE($A315),'recurring1_based on steps'!T$1:T$400,0)),T$2,)</f>
        <v>0</v>
      </c>
      <c r="U315" s="179">
        <f ca="1">IF(ISNUMBER(MATCH(DATEVALUE($A315),'recurring1_based on steps'!U$1:U$400,0)),U$2,)</f>
        <v>0</v>
      </c>
      <c r="V315" s="179">
        <f ca="1">IF(ISNUMBER(MATCH(DATEVALUE($A315),'recurring1_based on steps'!V$1:V$400,0)),V$2,)</f>
        <v>0</v>
      </c>
      <c r="W315" s="179">
        <f ca="1">IF(ISNUMBER(MATCH(DATEVALUE($A315),'recurring1_based on steps'!W$1:W$400,0)),W$2,)</f>
        <v>0</v>
      </c>
      <c r="X315" s="179">
        <f ca="1">IF(ISNUMBER(MATCH(DATEVALUE($A315),'recurring1_based on steps'!X$1:X$400,0)),X$2,)</f>
        <v>0</v>
      </c>
      <c r="Y315" s="179">
        <f ca="1">IF(ISNUMBER(MATCH(DATEVALUE($A315),'recurring1_based on steps'!Y$1:Y$400,0)),Y$2,)</f>
        <v>0</v>
      </c>
      <c r="Z315" s="179">
        <f ca="1">IF(ISNUMBER(MATCH(DATEVALUE($A315),'recurring1_based on steps'!Z$1:Z$400,0)),Z$2,)</f>
        <v>0</v>
      </c>
      <c r="AA315" s="179">
        <f ca="1">IF(ISNUMBER(MATCH(DATEVALUE($A315),'recurring1_based on steps'!AA$1:AA$400,0)),AA$2,)</f>
        <v>0</v>
      </c>
      <c r="AB315" s="179">
        <f ca="1">IF(ISNUMBER(MATCH(DATEVALUE($A315),'recurring1_based on steps'!AB$1:AB$400,0)),AB$2,)</f>
        <v>0</v>
      </c>
      <c r="AC315" s="179">
        <f ca="1">IF(ISNUMBER(MATCH(DATEVALUE($A315),'recurring1_based on steps'!AC$1:AC$400,0)),AC$2,)</f>
        <v>0</v>
      </c>
      <c r="AD315" s="179">
        <f ca="1">IF(ISNUMBER(MATCH(DATEVALUE($A315),'recurring1_based on steps'!AD$1:AD$400,0)),AD$2,)</f>
        <v>0</v>
      </c>
      <c r="AE315" s="179">
        <f ca="1">IF(ISNUMBER(MATCH(DATEVALUE($A315),'recurring1_based on steps'!AE$1:AE$400,0)),AE$2,)</f>
        <v>0</v>
      </c>
      <c r="AF315" s="179">
        <f ca="1">IF(ISNUMBER(MATCH(DATEVALUE($A315),'recurring1_based on steps'!AF$1:AF$400,0)),AF$2,)</f>
        <v>0</v>
      </c>
      <c r="AG315" s="179">
        <f ca="1">IF(ISNUMBER(MATCH(DATEVALUE($A315),'recurring1_based on steps'!AG$1:AG$400,0)),AG$2,)</f>
        <v>0</v>
      </c>
      <c r="AH315" s="179">
        <f ca="1">IF(ISNUMBER(MATCH(DATEVALUE($A315),'recurring1_based on steps'!AH$1:AH$400,0)),AH$2,)</f>
        <v>0</v>
      </c>
      <c r="AI315" s="179">
        <f ca="1">IF(ISNUMBER(MATCH(DATEVALUE($A315),'recurring1_based on steps'!AI$1:AI$400,0)),AI$2,)</f>
        <v>0</v>
      </c>
      <c r="AJ315" s="179">
        <f ca="1">IF(ISNUMBER(MATCH(DATEVALUE($A315),'recurring1_based on steps'!AJ$1:AJ$400,0)),AJ$2,)</f>
        <v>0</v>
      </c>
      <c r="AK315" s="179">
        <f ca="1">IF(ISNUMBER(MATCH(DATEVALUE($A315),'recurring1_based on steps'!AK$1:AK$400,0)),AK$2,)</f>
        <v>0</v>
      </c>
      <c r="AL315" s="179">
        <f ca="1">IF(ISNUMBER(MATCH(DATEVALUE($A315),'recurring1_based on steps'!AL$1:AL$400,0)),AL$2,)</f>
        <v>0</v>
      </c>
      <c r="AM315" s="179">
        <f ca="1">IF(ISNUMBER(MATCH(DATEVALUE($A315),'recurring1_based on steps'!AM$1:AM$400,0)),AM$2,)</f>
        <v>0</v>
      </c>
      <c r="AN315" s="179">
        <f ca="1">IF(ISNUMBER(MATCH(DATEVALUE($A315),'recurring1_based on steps'!AN$1:AN$400,0)),AN$2,)</f>
        <v>0</v>
      </c>
      <c r="AO315" s="179">
        <f ca="1">IF(ISNUMBER(MATCH(DATEVALUE($A315),'recurring1_based on steps'!AO$1:AO$400,0)),AO$2,)</f>
        <v>0</v>
      </c>
      <c r="AP315" s="179">
        <f ca="1">IF(ISNUMBER(MATCH(DATEVALUE($A315),'recurring1_based on steps'!AP$1:AP$400,0)),AP$2,)</f>
        <v>0</v>
      </c>
      <c r="AQ315" s="179">
        <f ca="1">IF(ISNUMBER(MATCH(DATEVALUE($A315),'recurring1_based on steps'!AQ$1:AQ$400,0)),AQ$2,)</f>
        <v>0</v>
      </c>
      <c r="AR315" s="179">
        <f ca="1">IF(ISNUMBER(MATCH(DATEVALUE($A315),'recurring1_based on steps'!AR$1:AR$400,0)),AR$2,)</f>
        <v>0</v>
      </c>
      <c r="AS315" s="179">
        <f ca="1">IF(ISNUMBER(MATCH(DATEVALUE($A315),'recurring1_based on steps'!AS$1:AS$400,0)),AS$2,)</f>
        <v>0</v>
      </c>
      <c r="AT315" s="179">
        <f ca="1">IF(ISNUMBER(MATCH(DATEVALUE($A315),'recurring1_based on steps'!AT$1:AT$400,0)),AT$2,)</f>
        <v>0</v>
      </c>
      <c r="AU315" s="179">
        <f ca="1">IF(ISNUMBER(MATCH(DATEVALUE($A315),'recurring1_based on steps'!AU$1:AU$400,0)),AU$2,)</f>
        <v>0</v>
      </c>
      <c r="AV315" s="179">
        <f ca="1">IF(ISNUMBER(MATCH(DATEVALUE($A315),'recurring1_based on steps'!AV$1:AV$400,0)),AV$2,)</f>
        <v>0</v>
      </c>
      <c r="AW315" s="179">
        <f ca="1">IF(ISNUMBER(MATCH(DATEVALUE($A315),'recurring1_based on steps'!AW$1:AW$400,0)),AW$2,)</f>
        <v>0</v>
      </c>
      <c r="AX315" s="179">
        <f ca="1">IF(ISNUMBER(MATCH(DATEVALUE($A315),'recurring1_based on steps'!AX$1:AX$400,0)),AX$2,)</f>
        <v>0</v>
      </c>
      <c r="AY315" s="179">
        <f ca="1">IF(ISNUMBER(MATCH(DATEVALUE($A315),'recurring1_based on steps'!AY$1:AY$400,0)),AY$2,)</f>
        <v>0</v>
      </c>
    </row>
    <row r="316" spans="1:51" x14ac:dyDescent="0.2">
      <c r="A316" s="32" t="str">
        <f t="shared" ca="1" si="4"/>
        <v>2026-02-05</v>
      </c>
      <c r="B316" s="179">
        <f ca="1">IF(ISNUMBER(MATCH(DATEVALUE($A316),'recurring1_based on steps'!B$1:B$400,0)),B$2,)</f>
        <v>0</v>
      </c>
      <c r="C316" s="179">
        <f ca="1">IF(ISNUMBER(MATCH(DATEVALUE($A316),'recurring1_based on steps'!C$1:C$400,0)),C$2,)</f>
        <v>0</v>
      </c>
      <c r="D316" s="179">
        <f ca="1">IF(ISNUMBER(MATCH(DATEVALUE($A316),'recurring1_based on steps'!D$1:D$400,0)),D$2,)</f>
        <v>0</v>
      </c>
      <c r="E316" s="179">
        <f ca="1">IF(ISNUMBER(MATCH(DATEVALUE($A316),'recurring1_based on steps'!E$1:E$400,0)),E$2,)</f>
        <v>0</v>
      </c>
      <c r="F316" s="179">
        <f ca="1">IF(ISNUMBER(MATCH(DATEVALUE($A316),'recurring1_based on steps'!F$1:F$400,0)),F$2,)</f>
        <v>0</v>
      </c>
      <c r="G316" s="179">
        <f ca="1">IF(ISNUMBER(MATCH(DATEVALUE($A316),'recurring1_based on steps'!G$1:G$400,0)),G$2,)</f>
        <v>0</v>
      </c>
      <c r="H316" s="179">
        <f ca="1">IF(ISNUMBER(MATCH(DATEVALUE($A316),'recurring1_based on steps'!H$1:H$400,0)),H$2,)</f>
        <v>0</v>
      </c>
      <c r="I316" s="179">
        <f ca="1">IF(ISNUMBER(MATCH(DATEVALUE($A316),'recurring1_based on steps'!I$1:I$400,0)),I$2,)</f>
        <v>0</v>
      </c>
      <c r="J316" s="179">
        <f ca="1">IF(ISNUMBER(MATCH(DATEVALUE($A316),'recurring1_based on steps'!J$1:J$400,0)),J$2,)</f>
        <v>0</v>
      </c>
      <c r="K316" s="179">
        <f ca="1">IF(ISNUMBER(MATCH(DATEVALUE($A316),'recurring1_based on steps'!K$1:K$400,0)),K$2,)</f>
        <v>0</v>
      </c>
      <c r="L316" s="179">
        <f ca="1">IF(ISNUMBER(MATCH(DATEVALUE($A316),'recurring1_based on steps'!L$1:L$400,0)),L$2,)</f>
        <v>0</v>
      </c>
      <c r="M316" s="179">
        <f ca="1">IF(ISNUMBER(MATCH(DATEVALUE($A316),'recurring1_based on steps'!M$1:M$400,0)),M$2,)</f>
        <v>0</v>
      </c>
      <c r="N316" s="179">
        <f ca="1">IF(ISNUMBER(MATCH(DATEVALUE($A316),'recurring1_based on steps'!N$1:N$400,0)),N$2,)</f>
        <v>0</v>
      </c>
      <c r="O316" s="179">
        <f ca="1">IF(ISNUMBER(MATCH(DATEVALUE($A316),'recurring1_based on steps'!O$1:O$400,0)),O$2,)</f>
        <v>0</v>
      </c>
      <c r="P316" s="179">
        <f ca="1">IF(ISNUMBER(MATCH(DATEVALUE($A316),'recurring1_based on steps'!P$1:P$400,0)),P$2,)</f>
        <v>0</v>
      </c>
      <c r="Q316" s="179">
        <f ca="1">IF(ISNUMBER(MATCH(DATEVALUE($A316),'recurring1_based on steps'!Q$1:Q$400,0)),Q$2,)</f>
        <v>0</v>
      </c>
      <c r="R316" s="179">
        <f ca="1">IF(ISNUMBER(MATCH(DATEVALUE($A316),'recurring1_based on steps'!R$1:R$400,0)),R$2,)</f>
        <v>0</v>
      </c>
      <c r="S316" s="179">
        <f ca="1">IF(ISNUMBER(MATCH(DATEVALUE($A316),'recurring1_based on steps'!S$1:S$400,0)),S$2,)</f>
        <v>0</v>
      </c>
      <c r="T316" s="179">
        <f ca="1">IF(ISNUMBER(MATCH(DATEVALUE($A316),'recurring1_based on steps'!T$1:T$400,0)),T$2,)</f>
        <v>0</v>
      </c>
      <c r="U316" s="179">
        <f ca="1">IF(ISNUMBER(MATCH(DATEVALUE($A316),'recurring1_based on steps'!U$1:U$400,0)),U$2,)</f>
        <v>0</v>
      </c>
      <c r="V316" s="179">
        <f ca="1">IF(ISNUMBER(MATCH(DATEVALUE($A316),'recurring1_based on steps'!V$1:V$400,0)),V$2,)</f>
        <v>0</v>
      </c>
      <c r="W316" s="179">
        <f ca="1">IF(ISNUMBER(MATCH(DATEVALUE($A316),'recurring1_based on steps'!W$1:W$400,0)),W$2,)</f>
        <v>0</v>
      </c>
      <c r="X316" s="179">
        <f ca="1">IF(ISNUMBER(MATCH(DATEVALUE($A316),'recurring1_based on steps'!X$1:X$400,0)),X$2,)</f>
        <v>0</v>
      </c>
      <c r="Y316" s="179">
        <f ca="1">IF(ISNUMBER(MATCH(DATEVALUE($A316),'recurring1_based on steps'!Y$1:Y$400,0)),Y$2,)</f>
        <v>0</v>
      </c>
      <c r="Z316" s="179">
        <f ca="1">IF(ISNUMBER(MATCH(DATEVALUE($A316),'recurring1_based on steps'!Z$1:Z$400,0)),Z$2,)</f>
        <v>0</v>
      </c>
      <c r="AA316" s="179">
        <f ca="1">IF(ISNUMBER(MATCH(DATEVALUE($A316),'recurring1_based on steps'!AA$1:AA$400,0)),AA$2,)</f>
        <v>0</v>
      </c>
      <c r="AB316" s="179">
        <f ca="1">IF(ISNUMBER(MATCH(DATEVALUE($A316),'recurring1_based on steps'!AB$1:AB$400,0)),AB$2,)</f>
        <v>0</v>
      </c>
      <c r="AC316" s="179">
        <f ca="1">IF(ISNUMBER(MATCH(DATEVALUE($A316),'recurring1_based on steps'!AC$1:AC$400,0)),AC$2,)</f>
        <v>0</v>
      </c>
      <c r="AD316" s="179">
        <f ca="1">IF(ISNUMBER(MATCH(DATEVALUE($A316),'recurring1_based on steps'!AD$1:AD$400,0)),AD$2,)</f>
        <v>0</v>
      </c>
      <c r="AE316" s="179">
        <f ca="1">IF(ISNUMBER(MATCH(DATEVALUE($A316),'recurring1_based on steps'!AE$1:AE$400,0)),AE$2,)</f>
        <v>0</v>
      </c>
      <c r="AF316" s="179">
        <f ca="1">IF(ISNUMBER(MATCH(DATEVALUE($A316),'recurring1_based on steps'!AF$1:AF$400,0)),AF$2,)</f>
        <v>0</v>
      </c>
      <c r="AG316" s="179">
        <f ca="1">IF(ISNUMBER(MATCH(DATEVALUE($A316),'recurring1_based on steps'!AG$1:AG$400,0)),AG$2,)</f>
        <v>0</v>
      </c>
      <c r="AH316" s="179">
        <f ca="1">IF(ISNUMBER(MATCH(DATEVALUE($A316),'recurring1_based on steps'!AH$1:AH$400,0)),AH$2,)</f>
        <v>0</v>
      </c>
      <c r="AI316" s="179">
        <f ca="1">IF(ISNUMBER(MATCH(DATEVALUE($A316),'recurring1_based on steps'!AI$1:AI$400,0)),AI$2,)</f>
        <v>0</v>
      </c>
      <c r="AJ316" s="179">
        <f ca="1">IF(ISNUMBER(MATCH(DATEVALUE($A316),'recurring1_based on steps'!AJ$1:AJ$400,0)),AJ$2,)</f>
        <v>0</v>
      </c>
      <c r="AK316" s="179">
        <f ca="1">IF(ISNUMBER(MATCH(DATEVALUE($A316),'recurring1_based on steps'!AK$1:AK$400,0)),AK$2,)</f>
        <v>0</v>
      </c>
      <c r="AL316" s="179">
        <f ca="1">IF(ISNUMBER(MATCH(DATEVALUE($A316),'recurring1_based on steps'!AL$1:AL$400,0)),AL$2,)</f>
        <v>0</v>
      </c>
      <c r="AM316" s="179">
        <f ca="1">IF(ISNUMBER(MATCH(DATEVALUE($A316),'recurring1_based on steps'!AM$1:AM$400,0)),AM$2,)</f>
        <v>0</v>
      </c>
      <c r="AN316" s="179">
        <f ca="1">IF(ISNUMBER(MATCH(DATEVALUE($A316),'recurring1_based on steps'!AN$1:AN$400,0)),AN$2,)</f>
        <v>0</v>
      </c>
      <c r="AO316" s="179">
        <f ca="1">IF(ISNUMBER(MATCH(DATEVALUE($A316),'recurring1_based on steps'!AO$1:AO$400,0)),AO$2,)</f>
        <v>0</v>
      </c>
      <c r="AP316" s="179">
        <f ca="1">IF(ISNUMBER(MATCH(DATEVALUE($A316),'recurring1_based on steps'!AP$1:AP$400,0)),AP$2,)</f>
        <v>0</v>
      </c>
      <c r="AQ316" s="179">
        <f ca="1">IF(ISNUMBER(MATCH(DATEVALUE($A316),'recurring1_based on steps'!AQ$1:AQ$400,0)),AQ$2,)</f>
        <v>0</v>
      </c>
      <c r="AR316" s="179">
        <f ca="1">IF(ISNUMBER(MATCH(DATEVALUE($A316),'recurring1_based on steps'!AR$1:AR$400,0)),AR$2,)</f>
        <v>0</v>
      </c>
      <c r="AS316" s="179">
        <f ca="1">IF(ISNUMBER(MATCH(DATEVALUE($A316),'recurring1_based on steps'!AS$1:AS$400,0)),AS$2,)</f>
        <v>0</v>
      </c>
      <c r="AT316" s="179">
        <f ca="1">IF(ISNUMBER(MATCH(DATEVALUE($A316),'recurring1_based on steps'!AT$1:AT$400,0)),AT$2,)</f>
        <v>0</v>
      </c>
      <c r="AU316" s="179">
        <f ca="1">IF(ISNUMBER(MATCH(DATEVALUE($A316),'recurring1_based on steps'!AU$1:AU$400,0)),AU$2,)</f>
        <v>0</v>
      </c>
      <c r="AV316" s="179">
        <f ca="1">IF(ISNUMBER(MATCH(DATEVALUE($A316),'recurring1_based on steps'!AV$1:AV$400,0)),AV$2,)</f>
        <v>0</v>
      </c>
      <c r="AW316" s="179">
        <f ca="1">IF(ISNUMBER(MATCH(DATEVALUE($A316),'recurring1_based on steps'!AW$1:AW$400,0)),AW$2,)</f>
        <v>0</v>
      </c>
      <c r="AX316" s="179">
        <f ca="1">IF(ISNUMBER(MATCH(DATEVALUE($A316),'recurring1_based on steps'!AX$1:AX$400,0)),AX$2,)</f>
        <v>0</v>
      </c>
      <c r="AY316" s="179">
        <f ca="1">IF(ISNUMBER(MATCH(DATEVALUE($A316),'recurring1_based on steps'!AY$1:AY$400,0)),AY$2,)</f>
        <v>0</v>
      </c>
    </row>
    <row r="317" spans="1:51" x14ac:dyDescent="0.2">
      <c r="A317" s="32" t="str">
        <f t="shared" ca="1" si="4"/>
        <v>2026-02-06</v>
      </c>
      <c r="B317" s="179">
        <f ca="1">IF(ISNUMBER(MATCH(DATEVALUE($A317),'recurring1_based on steps'!B$1:B$400,0)),B$2,)</f>
        <v>0</v>
      </c>
      <c r="C317" s="179">
        <f ca="1">IF(ISNUMBER(MATCH(DATEVALUE($A317),'recurring1_based on steps'!C$1:C$400,0)),C$2,)</f>
        <v>0</v>
      </c>
      <c r="D317" s="179">
        <f ca="1">IF(ISNUMBER(MATCH(DATEVALUE($A317),'recurring1_based on steps'!D$1:D$400,0)),D$2,)</f>
        <v>0</v>
      </c>
      <c r="E317" s="179">
        <f ca="1">IF(ISNUMBER(MATCH(DATEVALUE($A317),'recurring1_based on steps'!E$1:E$400,0)),E$2,)</f>
        <v>0</v>
      </c>
      <c r="F317" s="179">
        <f ca="1">IF(ISNUMBER(MATCH(DATEVALUE($A317),'recurring1_based on steps'!F$1:F$400,0)),F$2,)</f>
        <v>0</v>
      </c>
      <c r="G317" s="179">
        <f ca="1">IF(ISNUMBER(MATCH(DATEVALUE($A317),'recurring1_based on steps'!G$1:G$400,0)),G$2,)</f>
        <v>0</v>
      </c>
      <c r="H317" s="179">
        <f ca="1">IF(ISNUMBER(MATCH(DATEVALUE($A317),'recurring1_based on steps'!H$1:H$400,0)),H$2,)</f>
        <v>0</v>
      </c>
      <c r="I317" s="179">
        <f ca="1">IF(ISNUMBER(MATCH(DATEVALUE($A317),'recurring1_based on steps'!I$1:I$400,0)),I$2,)</f>
        <v>0</v>
      </c>
      <c r="J317" s="179">
        <f ca="1">IF(ISNUMBER(MATCH(DATEVALUE($A317),'recurring1_based on steps'!J$1:J$400,0)),J$2,)</f>
        <v>0</v>
      </c>
      <c r="K317" s="179">
        <f ca="1">IF(ISNUMBER(MATCH(DATEVALUE($A317),'recurring1_based on steps'!K$1:K$400,0)),K$2,)</f>
        <v>0</v>
      </c>
      <c r="L317" s="179">
        <f ca="1">IF(ISNUMBER(MATCH(DATEVALUE($A317),'recurring1_based on steps'!L$1:L$400,0)),L$2,)</f>
        <v>0</v>
      </c>
      <c r="M317" s="179">
        <f ca="1">IF(ISNUMBER(MATCH(DATEVALUE($A317),'recurring1_based on steps'!M$1:M$400,0)),M$2,)</f>
        <v>0</v>
      </c>
      <c r="N317" s="179">
        <f ca="1">IF(ISNUMBER(MATCH(DATEVALUE($A317),'recurring1_based on steps'!N$1:N$400,0)),N$2,)</f>
        <v>0</v>
      </c>
      <c r="O317" s="179">
        <f ca="1">IF(ISNUMBER(MATCH(DATEVALUE($A317),'recurring1_based on steps'!O$1:O$400,0)),O$2,)</f>
        <v>0</v>
      </c>
      <c r="P317" s="179">
        <f ca="1">IF(ISNUMBER(MATCH(DATEVALUE($A317),'recurring1_based on steps'!P$1:P$400,0)),P$2,)</f>
        <v>0</v>
      </c>
      <c r="Q317" s="179">
        <f ca="1">IF(ISNUMBER(MATCH(DATEVALUE($A317),'recurring1_based on steps'!Q$1:Q$400,0)),Q$2,)</f>
        <v>0</v>
      </c>
      <c r="R317" s="179">
        <f ca="1">IF(ISNUMBER(MATCH(DATEVALUE($A317),'recurring1_based on steps'!R$1:R$400,0)),R$2,)</f>
        <v>0</v>
      </c>
      <c r="S317" s="179">
        <f ca="1">IF(ISNUMBER(MATCH(DATEVALUE($A317),'recurring1_based on steps'!S$1:S$400,0)),S$2,)</f>
        <v>0</v>
      </c>
      <c r="T317" s="179">
        <f ca="1">IF(ISNUMBER(MATCH(DATEVALUE($A317),'recurring1_based on steps'!T$1:T$400,0)),T$2,)</f>
        <v>0</v>
      </c>
      <c r="U317" s="179">
        <f ca="1">IF(ISNUMBER(MATCH(DATEVALUE($A317),'recurring1_based on steps'!U$1:U$400,0)),U$2,)</f>
        <v>0</v>
      </c>
      <c r="V317" s="179">
        <f ca="1">IF(ISNUMBER(MATCH(DATEVALUE($A317),'recurring1_based on steps'!V$1:V$400,0)),V$2,)</f>
        <v>0</v>
      </c>
      <c r="W317" s="179">
        <f ca="1">IF(ISNUMBER(MATCH(DATEVALUE($A317),'recurring1_based on steps'!W$1:W$400,0)),W$2,)</f>
        <v>0</v>
      </c>
      <c r="X317" s="179">
        <f ca="1">IF(ISNUMBER(MATCH(DATEVALUE($A317),'recurring1_based on steps'!X$1:X$400,0)),X$2,)</f>
        <v>0</v>
      </c>
      <c r="Y317" s="179">
        <f ca="1">IF(ISNUMBER(MATCH(DATEVALUE($A317),'recurring1_based on steps'!Y$1:Y$400,0)),Y$2,)</f>
        <v>0</v>
      </c>
      <c r="Z317" s="179">
        <f ca="1">IF(ISNUMBER(MATCH(DATEVALUE($A317),'recurring1_based on steps'!Z$1:Z$400,0)),Z$2,)</f>
        <v>0</v>
      </c>
      <c r="AA317" s="179">
        <f ca="1">IF(ISNUMBER(MATCH(DATEVALUE($A317),'recurring1_based on steps'!AA$1:AA$400,0)),AA$2,)</f>
        <v>0</v>
      </c>
      <c r="AB317" s="179">
        <f ca="1">IF(ISNUMBER(MATCH(DATEVALUE($A317),'recurring1_based on steps'!AB$1:AB$400,0)),AB$2,)</f>
        <v>0</v>
      </c>
      <c r="AC317" s="179">
        <f ca="1">IF(ISNUMBER(MATCH(DATEVALUE($A317),'recurring1_based on steps'!AC$1:AC$400,0)),AC$2,)</f>
        <v>0</v>
      </c>
      <c r="AD317" s="179">
        <f ca="1">IF(ISNUMBER(MATCH(DATEVALUE($A317),'recurring1_based on steps'!AD$1:AD$400,0)),AD$2,)</f>
        <v>0</v>
      </c>
      <c r="AE317" s="179">
        <f ca="1">IF(ISNUMBER(MATCH(DATEVALUE($A317),'recurring1_based on steps'!AE$1:AE$400,0)),AE$2,)</f>
        <v>0</v>
      </c>
      <c r="AF317" s="179">
        <f ca="1">IF(ISNUMBER(MATCH(DATEVALUE($A317),'recurring1_based on steps'!AF$1:AF$400,0)),AF$2,)</f>
        <v>0</v>
      </c>
      <c r="AG317" s="179">
        <f ca="1">IF(ISNUMBER(MATCH(DATEVALUE($A317),'recurring1_based on steps'!AG$1:AG$400,0)),AG$2,)</f>
        <v>0</v>
      </c>
      <c r="AH317" s="179">
        <f ca="1">IF(ISNUMBER(MATCH(DATEVALUE($A317),'recurring1_based on steps'!AH$1:AH$400,0)),AH$2,)</f>
        <v>0</v>
      </c>
      <c r="AI317" s="179">
        <f ca="1">IF(ISNUMBER(MATCH(DATEVALUE($A317),'recurring1_based on steps'!AI$1:AI$400,0)),AI$2,)</f>
        <v>0</v>
      </c>
      <c r="AJ317" s="179">
        <f ca="1">IF(ISNUMBER(MATCH(DATEVALUE($A317),'recurring1_based on steps'!AJ$1:AJ$400,0)),AJ$2,)</f>
        <v>0</v>
      </c>
      <c r="AK317" s="179">
        <f ca="1">IF(ISNUMBER(MATCH(DATEVALUE($A317),'recurring1_based on steps'!AK$1:AK$400,0)),AK$2,)</f>
        <v>0</v>
      </c>
      <c r="AL317" s="179">
        <f ca="1">IF(ISNUMBER(MATCH(DATEVALUE($A317),'recurring1_based on steps'!AL$1:AL$400,0)),AL$2,)</f>
        <v>0</v>
      </c>
      <c r="AM317" s="179">
        <f ca="1">IF(ISNUMBER(MATCH(DATEVALUE($A317),'recurring1_based on steps'!AM$1:AM$400,0)),AM$2,)</f>
        <v>0</v>
      </c>
      <c r="AN317" s="179">
        <f ca="1">IF(ISNUMBER(MATCH(DATEVALUE($A317),'recurring1_based on steps'!AN$1:AN$400,0)),AN$2,)</f>
        <v>0</v>
      </c>
      <c r="AO317" s="179">
        <f ca="1">IF(ISNUMBER(MATCH(DATEVALUE($A317),'recurring1_based on steps'!AO$1:AO$400,0)),AO$2,)</f>
        <v>0</v>
      </c>
      <c r="AP317" s="179">
        <f ca="1">IF(ISNUMBER(MATCH(DATEVALUE($A317),'recurring1_based on steps'!AP$1:AP$400,0)),AP$2,)</f>
        <v>0</v>
      </c>
      <c r="AQ317" s="179">
        <f ca="1">IF(ISNUMBER(MATCH(DATEVALUE($A317),'recurring1_based on steps'!AQ$1:AQ$400,0)),AQ$2,)</f>
        <v>0</v>
      </c>
      <c r="AR317" s="179">
        <f ca="1">IF(ISNUMBER(MATCH(DATEVALUE($A317),'recurring1_based on steps'!AR$1:AR$400,0)),AR$2,)</f>
        <v>0</v>
      </c>
      <c r="AS317" s="179">
        <f ca="1">IF(ISNUMBER(MATCH(DATEVALUE($A317),'recurring1_based on steps'!AS$1:AS$400,0)),AS$2,)</f>
        <v>0</v>
      </c>
      <c r="AT317" s="179">
        <f ca="1">IF(ISNUMBER(MATCH(DATEVALUE($A317),'recurring1_based on steps'!AT$1:AT$400,0)),AT$2,)</f>
        <v>0</v>
      </c>
      <c r="AU317" s="179">
        <f ca="1">IF(ISNUMBER(MATCH(DATEVALUE($A317),'recurring1_based on steps'!AU$1:AU$400,0)),AU$2,)</f>
        <v>0</v>
      </c>
      <c r="AV317" s="179">
        <f ca="1">IF(ISNUMBER(MATCH(DATEVALUE($A317),'recurring1_based on steps'!AV$1:AV$400,0)),AV$2,)</f>
        <v>0</v>
      </c>
      <c r="AW317" s="179">
        <f ca="1">IF(ISNUMBER(MATCH(DATEVALUE($A317),'recurring1_based on steps'!AW$1:AW$400,0)),AW$2,)</f>
        <v>0</v>
      </c>
      <c r="AX317" s="179">
        <f ca="1">IF(ISNUMBER(MATCH(DATEVALUE($A317),'recurring1_based on steps'!AX$1:AX$400,0)),AX$2,)</f>
        <v>0</v>
      </c>
      <c r="AY317" s="179">
        <f ca="1">IF(ISNUMBER(MATCH(DATEVALUE($A317),'recurring1_based on steps'!AY$1:AY$400,0)),AY$2,)</f>
        <v>0</v>
      </c>
    </row>
    <row r="318" spans="1:51" x14ac:dyDescent="0.2">
      <c r="A318" s="32" t="str">
        <f t="shared" ca="1" si="4"/>
        <v>2026-02-07</v>
      </c>
      <c r="B318" s="179">
        <f ca="1">IF(ISNUMBER(MATCH(DATEVALUE($A318),'recurring1_based on steps'!B$1:B$400,0)),B$2,)</f>
        <v>0</v>
      </c>
      <c r="C318" s="179">
        <f ca="1">IF(ISNUMBER(MATCH(DATEVALUE($A318),'recurring1_based on steps'!C$1:C$400,0)),C$2,)</f>
        <v>0</v>
      </c>
      <c r="D318" s="179">
        <f ca="1">IF(ISNUMBER(MATCH(DATEVALUE($A318),'recurring1_based on steps'!D$1:D$400,0)),D$2,)</f>
        <v>0</v>
      </c>
      <c r="E318" s="179">
        <f ca="1">IF(ISNUMBER(MATCH(DATEVALUE($A318),'recurring1_based on steps'!E$1:E$400,0)),E$2,)</f>
        <v>0</v>
      </c>
      <c r="F318" s="179">
        <f ca="1">IF(ISNUMBER(MATCH(DATEVALUE($A318),'recurring1_based on steps'!F$1:F$400,0)),F$2,)</f>
        <v>0</v>
      </c>
      <c r="G318" s="179">
        <f ca="1">IF(ISNUMBER(MATCH(DATEVALUE($A318),'recurring1_based on steps'!G$1:G$400,0)),G$2,)</f>
        <v>0</v>
      </c>
      <c r="H318" s="179">
        <f ca="1">IF(ISNUMBER(MATCH(DATEVALUE($A318),'recurring1_based on steps'!H$1:H$400,0)),H$2,)</f>
        <v>0</v>
      </c>
      <c r="I318" s="179">
        <f ca="1">IF(ISNUMBER(MATCH(DATEVALUE($A318),'recurring1_based on steps'!I$1:I$400,0)),I$2,)</f>
        <v>0</v>
      </c>
      <c r="J318" s="179">
        <f ca="1">IF(ISNUMBER(MATCH(DATEVALUE($A318),'recurring1_based on steps'!J$1:J$400,0)),J$2,)</f>
        <v>0</v>
      </c>
      <c r="K318" s="179">
        <f ca="1">IF(ISNUMBER(MATCH(DATEVALUE($A318),'recurring1_based on steps'!K$1:K$400,0)),K$2,)</f>
        <v>0</v>
      </c>
      <c r="L318" s="179">
        <f ca="1">IF(ISNUMBER(MATCH(DATEVALUE($A318),'recurring1_based on steps'!L$1:L$400,0)),L$2,)</f>
        <v>0</v>
      </c>
      <c r="M318" s="179">
        <f ca="1">IF(ISNUMBER(MATCH(DATEVALUE($A318),'recurring1_based on steps'!M$1:M$400,0)),M$2,)</f>
        <v>0</v>
      </c>
      <c r="N318" s="179">
        <f ca="1">IF(ISNUMBER(MATCH(DATEVALUE($A318),'recurring1_based on steps'!N$1:N$400,0)),N$2,)</f>
        <v>0</v>
      </c>
      <c r="O318" s="179">
        <f ca="1">IF(ISNUMBER(MATCH(DATEVALUE($A318),'recurring1_based on steps'!O$1:O$400,0)),O$2,)</f>
        <v>0</v>
      </c>
      <c r="P318" s="179">
        <f ca="1">IF(ISNUMBER(MATCH(DATEVALUE($A318),'recurring1_based on steps'!P$1:P$400,0)),P$2,)</f>
        <v>0</v>
      </c>
      <c r="Q318" s="179">
        <f ca="1">IF(ISNUMBER(MATCH(DATEVALUE($A318),'recurring1_based on steps'!Q$1:Q$400,0)),Q$2,)</f>
        <v>0</v>
      </c>
      <c r="R318" s="179">
        <f ca="1">IF(ISNUMBER(MATCH(DATEVALUE($A318),'recurring1_based on steps'!R$1:R$400,0)),R$2,)</f>
        <v>0</v>
      </c>
      <c r="S318" s="179">
        <f ca="1">IF(ISNUMBER(MATCH(DATEVALUE($A318),'recurring1_based on steps'!S$1:S$400,0)),S$2,)</f>
        <v>0</v>
      </c>
      <c r="T318" s="179">
        <f ca="1">IF(ISNUMBER(MATCH(DATEVALUE($A318),'recurring1_based on steps'!T$1:T$400,0)),T$2,)</f>
        <v>0</v>
      </c>
      <c r="U318" s="179">
        <f ca="1">IF(ISNUMBER(MATCH(DATEVALUE($A318),'recurring1_based on steps'!U$1:U$400,0)),U$2,)</f>
        <v>0</v>
      </c>
      <c r="V318" s="179">
        <f ca="1">IF(ISNUMBER(MATCH(DATEVALUE($A318),'recurring1_based on steps'!V$1:V$400,0)),V$2,)</f>
        <v>0</v>
      </c>
      <c r="W318" s="179">
        <f ca="1">IF(ISNUMBER(MATCH(DATEVALUE($A318),'recurring1_based on steps'!W$1:W$400,0)),W$2,)</f>
        <v>0</v>
      </c>
      <c r="X318" s="179">
        <f ca="1">IF(ISNUMBER(MATCH(DATEVALUE($A318),'recurring1_based on steps'!X$1:X$400,0)),X$2,)</f>
        <v>0</v>
      </c>
      <c r="Y318" s="179">
        <f ca="1">IF(ISNUMBER(MATCH(DATEVALUE($A318),'recurring1_based on steps'!Y$1:Y$400,0)),Y$2,)</f>
        <v>0</v>
      </c>
      <c r="Z318" s="179">
        <f ca="1">IF(ISNUMBER(MATCH(DATEVALUE($A318),'recurring1_based on steps'!Z$1:Z$400,0)),Z$2,)</f>
        <v>0</v>
      </c>
      <c r="AA318" s="179">
        <f ca="1">IF(ISNUMBER(MATCH(DATEVALUE($A318),'recurring1_based on steps'!AA$1:AA$400,0)),AA$2,)</f>
        <v>0</v>
      </c>
      <c r="AB318" s="179">
        <f ca="1">IF(ISNUMBER(MATCH(DATEVALUE($A318),'recurring1_based on steps'!AB$1:AB$400,0)),AB$2,)</f>
        <v>0</v>
      </c>
      <c r="AC318" s="179">
        <f ca="1">IF(ISNUMBER(MATCH(DATEVALUE($A318),'recurring1_based on steps'!AC$1:AC$400,0)),AC$2,)</f>
        <v>0</v>
      </c>
      <c r="AD318" s="179">
        <f ca="1">IF(ISNUMBER(MATCH(DATEVALUE($A318),'recurring1_based on steps'!AD$1:AD$400,0)),AD$2,)</f>
        <v>0</v>
      </c>
      <c r="AE318" s="179">
        <f ca="1">IF(ISNUMBER(MATCH(DATEVALUE($A318),'recurring1_based on steps'!AE$1:AE$400,0)),AE$2,)</f>
        <v>0</v>
      </c>
      <c r="AF318" s="179">
        <f ca="1">IF(ISNUMBER(MATCH(DATEVALUE($A318),'recurring1_based on steps'!AF$1:AF$400,0)),AF$2,)</f>
        <v>0</v>
      </c>
      <c r="AG318" s="179">
        <f ca="1">IF(ISNUMBER(MATCH(DATEVALUE($A318),'recurring1_based on steps'!AG$1:AG$400,0)),AG$2,)</f>
        <v>0</v>
      </c>
      <c r="AH318" s="179">
        <f ca="1">IF(ISNUMBER(MATCH(DATEVALUE($A318),'recurring1_based on steps'!AH$1:AH$400,0)),AH$2,)</f>
        <v>0</v>
      </c>
      <c r="AI318" s="179">
        <f ca="1">IF(ISNUMBER(MATCH(DATEVALUE($A318),'recurring1_based on steps'!AI$1:AI$400,0)),AI$2,)</f>
        <v>0</v>
      </c>
      <c r="AJ318" s="179">
        <f ca="1">IF(ISNUMBER(MATCH(DATEVALUE($A318),'recurring1_based on steps'!AJ$1:AJ$400,0)),AJ$2,)</f>
        <v>0</v>
      </c>
      <c r="AK318" s="179">
        <f ca="1">IF(ISNUMBER(MATCH(DATEVALUE($A318),'recurring1_based on steps'!AK$1:AK$400,0)),AK$2,)</f>
        <v>0</v>
      </c>
      <c r="AL318" s="179">
        <f ca="1">IF(ISNUMBER(MATCH(DATEVALUE($A318),'recurring1_based on steps'!AL$1:AL$400,0)),AL$2,)</f>
        <v>0</v>
      </c>
      <c r="AM318" s="179">
        <f ca="1">IF(ISNUMBER(MATCH(DATEVALUE($A318),'recurring1_based on steps'!AM$1:AM$400,0)),AM$2,)</f>
        <v>0</v>
      </c>
      <c r="AN318" s="179">
        <f ca="1">IF(ISNUMBER(MATCH(DATEVALUE($A318),'recurring1_based on steps'!AN$1:AN$400,0)),AN$2,)</f>
        <v>0</v>
      </c>
      <c r="AO318" s="179">
        <f ca="1">IF(ISNUMBER(MATCH(DATEVALUE($A318),'recurring1_based on steps'!AO$1:AO$400,0)),AO$2,)</f>
        <v>0</v>
      </c>
      <c r="AP318" s="179">
        <f ca="1">IF(ISNUMBER(MATCH(DATEVALUE($A318),'recurring1_based on steps'!AP$1:AP$400,0)),AP$2,)</f>
        <v>0</v>
      </c>
      <c r="AQ318" s="179">
        <f ca="1">IF(ISNUMBER(MATCH(DATEVALUE($A318),'recurring1_based on steps'!AQ$1:AQ$400,0)),AQ$2,)</f>
        <v>0</v>
      </c>
      <c r="AR318" s="179">
        <f ca="1">IF(ISNUMBER(MATCH(DATEVALUE($A318),'recurring1_based on steps'!AR$1:AR$400,0)),AR$2,)</f>
        <v>0</v>
      </c>
      <c r="AS318" s="179">
        <f ca="1">IF(ISNUMBER(MATCH(DATEVALUE($A318),'recurring1_based on steps'!AS$1:AS$400,0)),AS$2,)</f>
        <v>0</v>
      </c>
      <c r="AT318" s="179">
        <f ca="1">IF(ISNUMBER(MATCH(DATEVALUE($A318),'recurring1_based on steps'!AT$1:AT$400,0)),AT$2,)</f>
        <v>0</v>
      </c>
      <c r="AU318" s="179">
        <f ca="1">IF(ISNUMBER(MATCH(DATEVALUE($A318),'recurring1_based on steps'!AU$1:AU$400,0)),AU$2,)</f>
        <v>0</v>
      </c>
      <c r="AV318" s="179">
        <f ca="1">IF(ISNUMBER(MATCH(DATEVALUE($A318),'recurring1_based on steps'!AV$1:AV$400,0)),AV$2,)</f>
        <v>0</v>
      </c>
      <c r="AW318" s="179">
        <f ca="1">IF(ISNUMBER(MATCH(DATEVALUE($A318),'recurring1_based on steps'!AW$1:AW$400,0)),AW$2,)</f>
        <v>0</v>
      </c>
      <c r="AX318" s="179">
        <f ca="1">IF(ISNUMBER(MATCH(DATEVALUE($A318),'recurring1_based on steps'!AX$1:AX$400,0)),AX$2,)</f>
        <v>0</v>
      </c>
      <c r="AY318" s="179">
        <f ca="1">IF(ISNUMBER(MATCH(DATEVALUE($A318),'recurring1_based on steps'!AY$1:AY$400,0)),AY$2,)</f>
        <v>0</v>
      </c>
    </row>
    <row r="319" spans="1:51" x14ac:dyDescent="0.2">
      <c r="A319" s="32" t="str">
        <f t="shared" ca="1" si="4"/>
        <v>2026-02-08</v>
      </c>
      <c r="B319" s="179">
        <f ca="1">IF(ISNUMBER(MATCH(DATEVALUE($A319),'recurring1_based on steps'!B$1:B$400,0)),B$2,)</f>
        <v>0</v>
      </c>
      <c r="C319" s="179">
        <f ca="1">IF(ISNUMBER(MATCH(DATEVALUE($A319),'recurring1_based on steps'!C$1:C$400,0)),C$2,)</f>
        <v>0</v>
      </c>
      <c r="D319" s="179">
        <f ca="1">IF(ISNUMBER(MATCH(DATEVALUE($A319),'recurring1_based on steps'!D$1:D$400,0)),D$2,)</f>
        <v>0</v>
      </c>
      <c r="E319" s="179">
        <f ca="1">IF(ISNUMBER(MATCH(DATEVALUE($A319),'recurring1_based on steps'!E$1:E$400,0)),E$2,)</f>
        <v>0</v>
      </c>
      <c r="F319" s="179">
        <f ca="1">IF(ISNUMBER(MATCH(DATEVALUE($A319),'recurring1_based on steps'!F$1:F$400,0)),F$2,)</f>
        <v>0</v>
      </c>
      <c r="G319" s="179">
        <f ca="1">IF(ISNUMBER(MATCH(DATEVALUE($A319),'recurring1_based on steps'!G$1:G$400,0)),G$2,)</f>
        <v>0</v>
      </c>
      <c r="H319" s="179">
        <f ca="1">IF(ISNUMBER(MATCH(DATEVALUE($A319),'recurring1_based on steps'!H$1:H$400,0)),H$2,)</f>
        <v>0</v>
      </c>
      <c r="I319" s="179">
        <f ca="1">IF(ISNUMBER(MATCH(DATEVALUE($A319),'recurring1_based on steps'!I$1:I$400,0)),I$2,)</f>
        <v>0</v>
      </c>
      <c r="J319" s="179">
        <f ca="1">IF(ISNUMBER(MATCH(DATEVALUE($A319),'recurring1_based on steps'!J$1:J$400,0)),J$2,)</f>
        <v>0</v>
      </c>
      <c r="K319" s="179">
        <f ca="1">IF(ISNUMBER(MATCH(DATEVALUE($A319),'recurring1_based on steps'!K$1:K$400,0)),K$2,)</f>
        <v>0</v>
      </c>
      <c r="L319" s="179">
        <f ca="1">IF(ISNUMBER(MATCH(DATEVALUE($A319),'recurring1_based on steps'!L$1:L$400,0)),L$2,)</f>
        <v>0</v>
      </c>
      <c r="M319" s="179">
        <f ca="1">IF(ISNUMBER(MATCH(DATEVALUE($A319),'recurring1_based on steps'!M$1:M$400,0)),M$2,)</f>
        <v>0</v>
      </c>
      <c r="N319" s="179">
        <f ca="1">IF(ISNUMBER(MATCH(DATEVALUE($A319),'recurring1_based on steps'!N$1:N$400,0)),N$2,)</f>
        <v>0</v>
      </c>
      <c r="O319" s="179">
        <f ca="1">IF(ISNUMBER(MATCH(DATEVALUE($A319),'recurring1_based on steps'!O$1:O$400,0)),O$2,)</f>
        <v>0</v>
      </c>
      <c r="P319" s="179">
        <f ca="1">IF(ISNUMBER(MATCH(DATEVALUE($A319),'recurring1_based on steps'!P$1:P$400,0)),P$2,)</f>
        <v>0</v>
      </c>
      <c r="Q319" s="179">
        <f ca="1">IF(ISNUMBER(MATCH(DATEVALUE($A319),'recurring1_based on steps'!Q$1:Q$400,0)),Q$2,)</f>
        <v>0</v>
      </c>
      <c r="R319" s="179">
        <f ca="1">IF(ISNUMBER(MATCH(DATEVALUE($A319),'recurring1_based on steps'!R$1:R$400,0)),R$2,)</f>
        <v>0</v>
      </c>
      <c r="S319" s="179">
        <f ca="1">IF(ISNUMBER(MATCH(DATEVALUE($A319),'recurring1_based on steps'!S$1:S$400,0)),S$2,)</f>
        <v>0</v>
      </c>
      <c r="T319" s="179">
        <f ca="1">IF(ISNUMBER(MATCH(DATEVALUE($A319),'recurring1_based on steps'!T$1:T$400,0)),T$2,)</f>
        <v>0</v>
      </c>
      <c r="U319" s="179">
        <f ca="1">IF(ISNUMBER(MATCH(DATEVALUE($A319),'recurring1_based on steps'!U$1:U$400,0)),U$2,)</f>
        <v>0</v>
      </c>
      <c r="V319" s="179">
        <f ca="1">IF(ISNUMBER(MATCH(DATEVALUE($A319),'recurring1_based on steps'!V$1:V$400,0)),V$2,)</f>
        <v>0</v>
      </c>
      <c r="W319" s="179">
        <f ca="1">IF(ISNUMBER(MATCH(DATEVALUE($A319),'recurring1_based on steps'!W$1:W$400,0)),W$2,)</f>
        <v>0</v>
      </c>
      <c r="X319" s="179">
        <f ca="1">IF(ISNUMBER(MATCH(DATEVALUE($A319),'recurring1_based on steps'!X$1:X$400,0)),X$2,)</f>
        <v>0</v>
      </c>
      <c r="Y319" s="179">
        <f ca="1">IF(ISNUMBER(MATCH(DATEVALUE($A319),'recurring1_based on steps'!Y$1:Y$400,0)),Y$2,)</f>
        <v>0</v>
      </c>
      <c r="Z319" s="179">
        <f ca="1">IF(ISNUMBER(MATCH(DATEVALUE($A319),'recurring1_based on steps'!Z$1:Z$400,0)),Z$2,)</f>
        <v>0</v>
      </c>
      <c r="AA319" s="179">
        <f ca="1">IF(ISNUMBER(MATCH(DATEVALUE($A319),'recurring1_based on steps'!AA$1:AA$400,0)),AA$2,)</f>
        <v>0</v>
      </c>
      <c r="AB319" s="179">
        <f ca="1">IF(ISNUMBER(MATCH(DATEVALUE($A319),'recurring1_based on steps'!AB$1:AB$400,0)),AB$2,)</f>
        <v>0</v>
      </c>
      <c r="AC319" s="179">
        <f ca="1">IF(ISNUMBER(MATCH(DATEVALUE($A319),'recurring1_based on steps'!AC$1:AC$400,0)),AC$2,)</f>
        <v>0</v>
      </c>
      <c r="AD319" s="179">
        <f ca="1">IF(ISNUMBER(MATCH(DATEVALUE($A319),'recurring1_based on steps'!AD$1:AD$400,0)),AD$2,)</f>
        <v>0</v>
      </c>
      <c r="AE319" s="179">
        <f ca="1">IF(ISNUMBER(MATCH(DATEVALUE($A319),'recurring1_based on steps'!AE$1:AE$400,0)),AE$2,)</f>
        <v>0</v>
      </c>
      <c r="AF319" s="179">
        <f ca="1">IF(ISNUMBER(MATCH(DATEVALUE($A319),'recurring1_based on steps'!AF$1:AF$400,0)),AF$2,)</f>
        <v>0</v>
      </c>
      <c r="AG319" s="179">
        <f ca="1">IF(ISNUMBER(MATCH(DATEVALUE($A319),'recurring1_based on steps'!AG$1:AG$400,0)),AG$2,)</f>
        <v>0</v>
      </c>
      <c r="AH319" s="179">
        <f ca="1">IF(ISNUMBER(MATCH(DATEVALUE($A319),'recurring1_based on steps'!AH$1:AH$400,0)),AH$2,)</f>
        <v>0</v>
      </c>
      <c r="AI319" s="179">
        <f ca="1">IF(ISNUMBER(MATCH(DATEVALUE($A319),'recurring1_based on steps'!AI$1:AI$400,0)),AI$2,)</f>
        <v>0</v>
      </c>
      <c r="AJ319" s="179">
        <f ca="1">IF(ISNUMBER(MATCH(DATEVALUE($A319),'recurring1_based on steps'!AJ$1:AJ$400,0)),AJ$2,)</f>
        <v>0</v>
      </c>
      <c r="AK319" s="179">
        <f ca="1">IF(ISNUMBER(MATCH(DATEVALUE($A319),'recurring1_based on steps'!AK$1:AK$400,0)),AK$2,)</f>
        <v>0</v>
      </c>
      <c r="AL319" s="179">
        <f ca="1">IF(ISNUMBER(MATCH(DATEVALUE($A319),'recurring1_based on steps'!AL$1:AL$400,0)),AL$2,)</f>
        <v>0</v>
      </c>
      <c r="AM319" s="179">
        <f ca="1">IF(ISNUMBER(MATCH(DATEVALUE($A319),'recurring1_based on steps'!AM$1:AM$400,0)),AM$2,)</f>
        <v>0</v>
      </c>
      <c r="AN319" s="179">
        <f ca="1">IF(ISNUMBER(MATCH(DATEVALUE($A319),'recurring1_based on steps'!AN$1:AN$400,0)),AN$2,)</f>
        <v>0</v>
      </c>
      <c r="AO319" s="179">
        <f ca="1">IF(ISNUMBER(MATCH(DATEVALUE($A319),'recurring1_based on steps'!AO$1:AO$400,0)),AO$2,)</f>
        <v>0</v>
      </c>
      <c r="AP319" s="179">
        <f ca="1">IF(ISNUMBER(MATCH(DATEVALUE($A319),'recurring1_based on steps'!AP$1:AP$400,0)),AP$2,)</f>
        <v>0</v>
      </c>
      <c r="AQ319" s="179">
        <f ca="1">IF(ISNUMBER(MATCH(DATEVALUE($A319),'recurring1_based on steps'!AQ$1:AQ$400,0)),AQ$2,)</f>
        <v>0</v>
      </c>
      <c r="AR319" s="179">
        <f ca="1">IF(ISNUMBER(MATCH(DATEVALUE($A319),'recurring1_based on steps'!AR$1:AR$400,0)),AR$2,)</f>
        <v>0</v>
      </c>
      <c r="AS319" s="179">
        <f ca="1">IF(ISNUMBER(MATCH(DATEVALUE($A319),'recurring1_based on steps'!AS$1:AS$400,0)),AS$2,)</f>
        <v>0</v>
      </c>
      <c r="AT319" s="179">
        <f ca="1">IF(ISNUMBER(MATCH(DATEVALUE($A319),'recurring1_based on steps'!AT$1:AT$400,0)),AT$2,)</f>
        <v>0</v>
      </c>
      <c r="AU319" s="179">
        <f ca="1">IF(ISNUMBER(MATCH(DATEVALUE($A319),'recurring1_based on steps'!AU$1:AU$400,0)),AU$2,)</f>
        <v>0</v>
      </c>
      <c r="AV319" s="179">
        <f ca="1">IF(ISNUMBER(MATCH(DATEVALUE($A319),'recurring1_based on steps'!AV$1:AV$400,0)),AV$2,)</f>
        <v>0</v>
      </c>
      <c r="AW319" s="179">
        <f ca="1">IF(ISNUMBER(MATCH(DATEVALUE($A319),'recurring1_based on steps'!AW$1:AW$400,0)),AW$2,)</f>
        <v>0</v>
      </c>
      <c r="AX319" s="179">
        <f ca="1">IF(ISNUMBER(MATCH(DATEVALUE($A319),'recurring1_based on steps'!AX$1:AX$400,0)),AX$2,)</f>
        <v>0</v>
      </c>
      <c r="AY319" s="179">
        <f ca="1">IF(ISNUMBER(MATCH(DATEVALUE($A319),'recurring1_based on steps'!AY$1:AY$400,0)),AY$2,)</f>
        <v>0</v>
      </c>
    </row>
    <row r="320" spans="1:51" x14ac:dyDescent="0.2">
      <c r="A320" s="32" t="str">
        <f t="shared" ca="1" si="4"/>
        <v>2026-02-09</v>
      </c>
      <c r="B320" s="179">
        <f ca="1">IF(ISNUMBER(MATCH(DATEVALUE($A320),'recurring1_based on steps'!B$1:B$400,0)),B$2,)</f>
        <v>0</v>
      </c>
      <c r="C320" s="179">
        <f ca="1">IF(ISNUMBER(MATCH(DATEVALUE($A320),'recurring1_based on steps'!C$1:C$400,0)),C$2,)</f>
        <v>0</v>
      </c>
      <c r="D320" s="179">
        <f ca="1">IF(ISNUMBER(MATCH(DATEVALUE($A320),'recurring1_based on steps'!D$1:D$400,0)),D$2,)</f>
        <v>0</v>
      </c>
      <c r="E320" s="179">
        <f ca="1">IF(ISNUMBER(MATCH(DATEVALUE($A320),'recurring1_based on steps'!E$1:E$400,0)),E$2,)</f>
        <v>0</v>
      </c>
      <c r="F320" s="179">
        <f ca="1">IF(ISNUMBER(MATCH(DATEVALUE($A320),'recurring1_based on steps'!F$1:F$400,0)),F$2,)</f>
        <v>0</v>
      </c>
      <c r="G320" s="179">
        <f ca="1">IF(ISNUMBER(MATCH(DATEVALUE($A320),'recurring1_based on steps'!G$1:G$400,0)),G$2,)</f>
        <v>0</v>
      </c>
      <c r="H320" s="179">
        <f ca="1">IF(ISNUMBER(MATCH(DATEVALUE($A320),'recurring1_based on steps'!H$1:H$400,0)),H$2,)</f>
        <v>0</v>
      </c>
      <c r="I320" s="179">
        <f ca="1">IF(ISNUMBER(MATCH(DATEVALUE($A320),'recurring1_based on steps'!I$1:I$400,0)),I$2,)</f>
        <v>0</v>
      </c>
      <c r="J320" s="179">
        <f ca="1">IF(ISNUMBER(MATCH(DATEVALUE($A320),'recurring1_based on steps'!J$1:J$400,0)),J$2,)</f>
        <v>0</v>
      </c>
      <c r="K320" s="179">
        <f ca="1">IF(ISNUMBER(MATCH(DATEVALUE($A320),'recurring1_based on steps'!K$1:K$400,0)),K$2,)</f>
        <v>0</v>
      </c>
      <c r="L320" s="179">
        <f ca="1">IF(ISNUMBER(MATCH(DATEVALUE($A320),'recurring1_based on steps'!L$1:L$400,0)),L$2,)</f>
        <v>0</v>
      </c>
      <c r="M320" s="179">
        <f ca="1">IF(ISNUMBER(MATCH(DATEVALUE($A320),'recurring1_based on steps'!M$1:M$400,0)),M$2,)</f>
        <v>0</v>
      </c>
      <c r="N320" s="179">
        <f ca="1">IF(ISNUMBER(MATCH(DATEVALUE($A320),'recurring1_based on steps'!N$1:N$400,0)),N$2,)</f>
        <v>0</v>
      </c>
      <c r="O320" s="179">
        <f ca="1">IF(ISNUMBER(MATCH(DATEVALUE($A320),'recurring1_based on steps'!O$1:O$400,0)),O$2,)</f>
        <v>0</v>
      </c>
      <c r="P320" s="179">
        <f ca="1">IF(ISNUMBER(MATCH(DATEVALUE($A320),'recurring1_based on steps'!P$1:P$400,0)),P$2,)</f>
        <v>0</v>
      </c>
      <c r="Q320" s="179">
        <f ca="1">IF(ISNUMBER(MATCH(DATEVALUE($A320),'recurring1_based on steps'!Q$1:Q$400,0)),Q$2,)</f>
        <v>0</v>
      </c>
      <c r="R320" s="179">
        <f ca="1">IF(ISNUMBER(MATCH(DATEVALUE($A320),'recurring1_based on steps'!R$1:R$400,0)),R$2,)</f>
        <v>0</v>
      </c>
      <c r="S320" s="179">
        <f ca="1">IF(ISNUMBER(MATCH(DATEVALUE($A320),'recurring1_based on steps'!S$1:S$400,0)),S$2,)</f>
        <v>0</v>
      </c>
      <c r="T320" s="179">
        <f ca="1">IF(ISNUMBER(MATCH(DATEVALUE($A320),'recurring1_based on steps'!T$1:T$400,0)),T$2,)</f>
        <v>0</v>
      </c>
      <c r="U320" s="179">
        <f ca="1">IF(ISNUMBER(MATCH(DATEVALUE($A320),'recurring1_based on steps'!U$1:U$400,0)),U$2,)</f>
        <v>0</v>
      </c>
      <c r="V320" s="179">
        <f ca="1">IF(ISNUMBER(MATCH(DATEVALUE($A320),'recurring1_based on steps'!V$1:V$400,0)),V$2,)</f>
        <v>0</v>
      </c>
      <c r="W320" s="179">
        <f ca="1">IF(ISNUMBER(MATCH(DATEVALUE($A320),'recurring1_based on steps'!W$1:W$400,0)),W$2,)</f>
        <v>0</v>
      </c>
      <c r="X320" s="179">
        <f ca="1">IF(ISNUMBER(MATCH(DATEVALUE($A320),'recurring1_based on steps'!X$1:X$400,0)),X$2,)</f>
        <v>0</v>
      </c>
      <c r="Y320" s="179">
        <f ca="1">IF(ISNUMBER(MATCH(DATEVALUE($A320),'recurring1_based on steps'!Y$1:Y$400,0)),Y$2,)</f>
        <v>0</v>
      </c>
      <c r="Z320" s="179">
        <f ca="1">IF(ISNUMBER(MATCH(DATEVALUE($A320),'recurring1_based on steps'!Z$1:Z$400,0)),Z$2,)</f>
        <v>0</v>
      </c>
      <c r="AA320" s="179">
        <f ca="1">IF(ISNUMBER(MATCH(DATEVALUE($A320),'recurring1_based on steps'!AA$1:AA$400,0)),AA$2,)</f>
        <v>0</v>
      </c>
      <c r="AB320" s="179">
        <f ca="1">IF(ISNUMBER(MATCH(DATEVALUE($A320),'recurring1_based on steps'!AB$1:AB$400,0)),AB$2,)</f>
        <v>0</v>
      </c>
      <c r="AC320" s="179">
        <f ca="1">IF(ISNUMBER(MATCH(DATEVALUE($A320),'recurring1_based on steps'!AC$1:AC$400,0)),AC$2,)</f>
        <v>0</v>
      </c>
      <c r="AD320" s="179">
        <f ca="1">IF(ISNUMBER(MATCH(DATEVALUE($A320),'recurring1_based on steps'!AD$1:AD$400,0)),AD$2,)</f>
        <v>0</v>
      </c>
      <c r="AE320" s="179">
        <f ca="1">IF(ISNUMBER(MATCH(DATEVALUE($A320),'recurring1_based on steps'!AE$1:AE$400,0)),AE$2,)</f>
        <v>0</v>
      </c>
      <c r="AF320" s="179">
        <f ca="1">IF(ISNUMBER(MATCH(DATEVALUE($A320),'recurring1_based on steps'!AF$1:AF$400,0)),AF$2,)</f>
        <v>0</v>
      </c>
      <c r="AG320" s="179">
        <f ca="1">IF(ISNUMBER(MATCH(DATEVALUE($A320),'recurring1_based on steps'!AG$1:AG$400,0)),AG$2,)</f>
        <v>0</v>
      </c>
      <c r="AH320" s="179">
        <f ca="1">IF(ISNUMBER(MATCH(DATEVALUE($A320),'recurring1_based on steps'!AH$1:AH$400,0)),AH$2,)</f>
        <v>0</v>
      </c>
      <c r="AI320" s="179">
        <f ca="1">IF(ISNUMBER(MATCH(DATEVALUE($A320),'recurring1_based on steps'!AI$1:AI$400,0)),AI$2,)</f>
        <v>0</v>
      </c>
      <c r="AJ320" s="179">
        <f ca="1">IF(ISNUMBER(MATCH(DATEVALUE($A320),'recurring1_based on steps'!AJ$1:AJ$400,0)),AJ$2,)</f>
        <v>0</v>
      </c>
      <c r="AK320" s="179">
        <f ca="1">IF(ISNUMBER(MATCH(DATEVALUE($A320),'recurring1_based on steps'!AK$1:AK$400,0)),AK$2,)</f>
        <v>0</v>
      </c>
      <c r="AL320" s="179">
        <f ca="1">IF(ISNUMBER(MATCH(DATEVALUE($A320),'recurring1_based on steps'!AL$1:AL$400,0)),AL$2,)</f>
        <v>0</v>
      </c>
      <c r="AM320" s="179">
        <f ca="1">IF(ISNUMBER(MATCH(DATEVALUE($A320),'recurring1_based on steps'!AM$1:AM$400,0)),AM$2,)</f>
        <v>0</v>
      </c>
      <c r="AN320" s="179">
        <f ca="1">IF(ISNUMBER(MATCH(DATEVALUE($A320),'recurring1_based on steps'!AN$1:AN$400,0)),AN$2,)</f>
        <v>0</v>
      </c>
      <c r="AO320" s="179">
        <f ca="1">IF(ISNUMBER(MATCH(DATEVALUE($A320),'recurring1_based on steps'!AO$1:AO$400,0)),AO$2,)</f>
        <v>0</v>
      </c>
      <c r="AP320" s="179">
        <f ca="1">IF(ISNUMBER(MATCH(DATEVALUE($A320),'recurring1_based on steps'!AP$1:AP$400,0)),AP$2,)</f>
        <v>0</v>
      </c>
      <c r="AQ320" s="179">
        <f ca="1">IF(ISNUMBER(MATCH(DATEVALUE($A320),'recurring1_based on steps'!AQ$1:AQ$400,0)),AQ$2,)</f>
        <v>0</v>
      </c>
      <c r="AR320" s="179">
        <f ca="1">IF(ISNUMBER(MATCH(DATEVALUE($A320),'recurring1_based on steps'!AR$1:AR$400,0)),AR$2,)</f>
        <v>0</v>
      </c>
      <c r="AS320" s="179">
        <f ca="1">IF(ISNUMBER(MATCH(DATEVALUE($A320),'recurring1_based on steps'!AS$1:AS$400,0)),AS$2,)</f>
        <v>0</v>
      </c>
      <c r="AT320" s="179">
        <f ca="1">IF(ISNUMBER(MATCH(DATEVALUE($A320),'recurring1_based on steps'!AT$1:AT$400,0)),AT$2,)</f>
        <v>0</v>
      </c>
      <c r="AU320" s="179">
        <f ca="1">IF(ISNUMBER(MATCH(DATEVALUE($A320),'recurring1_based on steps'!AU$1:AU$400,0)),AU$2,)</f>
        <v>0</v>
      </c>
      <c r="AV320" s="179">
        <f ca="1">IF(ISNUMBER(MATCH(DATEVALUE($A320),'recurring1_based on steps'!AV$1:AV$400,0)),AV$2,)</f>
        <v>0</v>
      </c>
      <c r="AW320" s="179">
        <f ca="1">IF(ISNUMBER(MATCH(DATEVALUE($A320),'recurring1_based on steps'!AW$1:AW$400,0)),AW$2,)</f>
        <v>0</v>
      </c>
      <c r="AX320" s="179">
        <f ca="1">IF(ISNUMBER(MATCH(DATEVALUE($A320),'recurring1_based on steps'!AX$1:AX$400,0)),AX$2,)</f>
        <v>0</v>
      </c>
      <c r="AY320" s="179">
        <f ca="1">IF(ISNUMBER(MATCH(DATEVALUE($A320),'recurring1_based on steps'!AY$1:AY$400,0)),AY$2,)</f>
        <v>0</v>
      </c>
    </row>
    <row r="321" spans="1:51" x14ac:dyDescent="0.2">
      <c r="A321" s="32" t="str">
        <f t="shared" ca="1" si="4"/>
        <v>2026-02-10</v>
      </c>
      <c r="B321" s="179">
        <f ca="1">IF(ISNUMBER(MATCH(DATEVALUE($A321),'recurring1_based on steps'!B$1:B$400,0)),B$2,)</f>
        <v>0</v>
      </c>
      <c r="C321" s="179">
        <f ca="1">IF(ISNUMBER(MATCH(DATEVALUE($A321),'recurring1_based on steps'!C$1:C$400,0)),C$2,)</f>
        <v>0</v>
      </c>
      <c r="D321" s="179">
        <f ca="1">IF(ISNUMBER(MATCH(DATEVALUE($A321),'recurring1_based on steps'!D$1:D$400,0)),D$2,)</f>
        <v>0</v>
      </c>
      <c r="E321" s="179">
        <f ca="1">IF(ISNUMBER(MATCH(DATEVALUE($A321),'recurring1_based on steps'!E$1:E$400,0)),E$2,)</f>
        <v>0</v>
      </c>
      <c r="F321" s="179">
        <f ca="1">IF(ISNUMBER(MATCH(DATEVALUE($A321),'recurring1_based on steps'!F$1:F$400,0)),F$2,)</f>
        <v>0</v>
      </c>
      <c r="G321" s="179">
        <f ca="1">IF(ISNUMBER(MATCH(DATEVALUE($A321),'recurring1_based on steps'!G$1:G$400,0)),G$2,)</f>
        <v>0</v>
      </c>
      <c r="H321" s="179">
        <f ca="1">IF(ISNUMBER(MATCH(DATEVALUE($A321),'recurring1_based on steps'!H$1:H$400,0)),H$2,)</f>
        <v>0</v>
      </c>
      <c r="I321" s="179">
        <f ca="1">IF(ISNUMBER(MATCH(DATEVALUE($A321),'recurring1_based on steps'!I$1:I$400,0)),I$2,)</f>
        <v>0</v>
      </c>
      <c r="J321" s="179">
        <f ca="1">IF(ISNUMBER(MATCH(DATEVALUE($A321),'recurring1_based on steps'!J$1:J$400,0)),J$2,)</f>
        <v>0</v>
      </c>
      <c r="K321" s="179">
        <f ca="1">IF(ISNUMBER(MATCH(DATEVALUE($A321),'recurring1_based on steps'!K$1:K$400,0)),K$2,)</f>
        <v>0</v>
      </c>
      <c r="L321" s="179">
        <f ca="1">IF(ISNUMBER(MATCH(DATEVALUE($A321),'recurring1_based on steps'!L$1:L$400,0)),L$2,)</f>
        <v>0</v>
      </c>
      <c r="M321" s="179">
        <f ca="1">IF(ISNUMBER(MATCH(DATEVALUE($A321),'recurring1_based on steps'!M$1:M$400,0)),M$2,)</f>
        <v>0</v>
      </c>
      <c r="N321" s="179">
        <f ca="1">IF(ISNUMBER(MATCH(DATEVALUE($A321),'recurring1_based on steps'!N$1:N$400,0)),N$2,)</f>
        <v>0</v>
      </c>
      <c r="O321" s="179">
        <f ca="1">IF(ISNUMBER(MATCH(DATEVALUE($A321),'recurring1_based on steps'!O$1:O$400,0)),O$2,)</f>
        <v>0</v>
      </c>
      <c r="P321" s="179">
        <f ca="1">IF(ISNUMBER(MATCH(DATEVALUE($A321),'recurring1_based on steps'!P$1:P$400,0)),P$2,)</f>
        <v>0</v>
      </c>
      <c r="Q321" s="179">
        <f ca="1">IF(ISNUMBER(MATCH(DATEVALUE($A321),'recurring1_based on steps'!Q$1:Q$400,0)),Q$2,)</f>
        <v>0</v>
      </c>
      <c r="R321" s="179">
        <f ca="1">IF(ISNUMBER(MATCH(DATEVALUE($A321),'recurring1_based on steps'!R$1:R$400,0)),R$2,)</f>
        <v>0</v>
      </c>
      <c r="S321" s="179">
        <f ca="1">IF(ISNUMBER(MATCH(DATEVALUE($A321),'recurring1_based on steps'!S$1:S$400,0)),S$2,)</f>
        <v>0</v>
      </c>
      <c r="T321" s="179">
        <f ca="1">IF(ISNUMBER(MATCH(DATEVALUE($A321),'recurring1_based on steps'!T$1:T$400,0)),T$2,)</f>
        <v>0</v>
      </c>
      <c r="U321" s="179">
        <f ca="1">IF(ISNUMBER(MATCH(DATEVALUE($A321),'recurring1_based on steps'!U$1:U$400,0)),U$2,)</f>
        <v>0</v>
      </c>
      <c r="V321" s="179">
        <f ca="1">IF(ISNUMBER(MATCH(DATEVALUE($A321),'recurring1_based on steps'!V$1:V$400,0)),V$2,)</f>
        <v>0</v>
      </c>
      <c r="W321" s="179">
        <f ca="1">IF(ISNUMBER(MATCH(DATEVALUE($A321),'recurring1_based on steps'!W$1:W$400,0)),W$2,)</f>
        <v>0</v>
      </c>
      <c r="X321" s="179">
        <f ca="1">IF(ISNUMBER(MATCH(DATEVALUE($A321),'recurring1_based on steps'!X$1:X$400,0)),X$2,)</f>
        <v>0</v>
      </c>
      <c r="Y321" s="179">
        <f ca="1">IF(ISNUMBER(MATCH(DATEVALUE($A321),'recurring1_based on steps'!Y$1:Y$400,0)),Y$2,)</f>
        <v>0</v>
      </c>
      <c r="Z321" s="179">
        <f ca="1">IF(ISNUMBER(MATCH(DATEVALUE($A321),'recurring1_based on steps'!Z$1:Z$400,0)),Z$2,)</f>
        <v>0</v>
      </c>
      <c r="AA321" s="179">
        <f ca="1">IF(ISNUMBER(MATCH(DATEVALUE($A321),'recurring1_based on steps'!AA$1:AA$400,0)),AA$2,)</f>
        <v>0</v>
      </c>
      <c r="AB321" s="179">
        <f ca="1">IF(ISNUMBER(MATCH(DATEVALUE($A321),'recurring1_based on steps'!AB$1:AB$400,0)),AB$2,)</f>
        <v>0</v>
      </c>
      <c r="AC321" s="179">
        <f ca="1">IF(ISNUMBER(MATCH(DATEVALUE($A321),'recurring1_based on steps'!AC$1:AC$400,0)),AC$2,)</f>
        <v>0</v>
      </c>
      <c r="AD321" s="179">
        <f ca="1">IF(ISNUMBER(MATCH(DATEVALUE($A321),'recurring1_based on steps'!AD$1:AD$400,0)),AD$2,)</f>
        <v>0</v>
      </c>
      <c r="AE321" s="179">
        <f ca="1">IF(ISNUMBER(MATCH(DATEVALUE($A321),'recurring1_based on steps'!AE$1:AE$400,0)),AE$2,)</f>
        <v>0</v>
      </c>
      <c r="AF321" s="179">
        <f ca="1">IF(ISNUMBER(MATCH(DATEVALUE($A321),'recurring1_based on steps'!AF$1:AF$400,0)),AF$2,)</f>
        <v>0</v>
      </c>
      <c r="AG321" s="179">
        <f ca="1">IF(ISNUMBER(MATCH(DATEVALUE($A321),'recurring1_based on steps'!AG$1:AG$400,0)),AG$2,)</f>
        <v>0</v>
      </c>
      <c r="AH321" s="179">
        <f ca="1">IF(ISNUMBER(MATCH(DATEVALUE($A321),'recurring1_based on steps'!AH$1:AH$400,0)),AH$2,)</f>
        <v>0</v>
      </c>
      <c r="AI321" s="179">
        <f ca="1">IF(ISNUMBER(MATCH(DATEVALUE($A321),'recurring1_based on steps'!AI$1:AI$400,0)),AI$2,)</f>
        <v>0</v>
      </c>
      <c r="AJ321" s="179">
        <f ca="1">IF(ISNUMBER(MATCH(DATEVALUE($A321),'recurring1_based on steps'!AJ$1:AJ$400,0)),AJ$2,)</f>
        <v>0</v>
      </c>
      <c r="AK321" s="179">
        <f ca="1">IF(ISNUMBER(MATCH(DATEVALUE($A321),'recurring1_based on steps'!AK$1:AK$400,0)),AK$2,)</f>
        <v>0</v>
      </c>
      <c r="AL321" s="179">
        <f ca="1">IF(ISNUMBER(MATCH(DATEVALUE($A321),'recurring1_based on steps'!AL$1:AL$400,0)),AL$2,)</f>
        <v>0</v>
      </c>
      <c r="AM321" s="179">
        <f ca="1">IF(ISNUMBER(MATCH(DATEVALUE($A321),'recurring1_based on steps'!AM$1:AM$400,0)),AM$2,)</f>
        <v>0</v>
      </c>
      <c r="AN321" s="179">
        <f ca="1">IF(ISNUMBER(MATCH(DATEVALUE($A321),'recurring1_based on steps'!AN$1:AN$400,0)),AN$2,)</f>
        <v>0</v>
      </c>
      <c r="AO321" s="179">
        <f ca="1">IF(ISNUMBER(MATCH(DATEVALUE($A321),'recurring1_based on steps'!AO$1:AO$400,0)),AO$2,)</f>
        <v>0</v>
      </c>
      <c r="AP321" s="179">
        <f ca="1">IF(ISNUMBER(MATCH(DATEVALUE($A321),'recurring1_based on steps'!AP$1:AP$400,0)),AP$2,)</f>
        <v>0</v>
      </c>
      <c r="AQ321" s="179">
        <f ca="1">IF(ISNUMBER(MATCH(DATEVALUE($A321),'recurring1_based on steps'!AQ$1:AQ$400,0)),AQ$2,)</f>
        <v>0</v>
      </c>
      <c r="AR321" s="179">
        <f ca="1">IF(ISNUMBER(MATCH(DATEVALUE($A321),'recurring1_based on steps'!AR$1:AR$400,0)),AR$2,)</f>
        <v>0</v>
      </c>
      <c r="AS321" s="179">
        <f ca="1">IF(ISNUMBER(MATCH(DATEVALUE($A321),'recurring1_based on steps'!AS$1:AS$400,0)),AS$2,)</f>
        <v>0</v>
      </c>
      <c r="AT321" s="179">
        <f ca="1">IF(ISNUMBER(MATCH(DATEVALUE($A321),'recurring1_based on steps'!AT$1:AT$400,0)),AT$2,)</f>
        <v>0</v>
      </c>
      <c r="AU321" s="179">
        <f ca="1">IF(ISNUMBER(MATCH(DATEVALUE($A321),'recurring1_based on steps'!AU$1:AU$400,0)),AU$2,)</f>
        <v>0</v>
      </c>
      <c r="AV321" s="179">
        <f ca="1">IF(ISNUMBER(MATCH(DATEVALUE($A321),'recurring1_based on steps'!AV$1:AV$400,0)),AV$2,)</f>
        <v>0</v>
      </c>
      <c r="AW321" s="179">
        <f ca="1">IF(ISNUMBER(MATCH(DATEVALUE($A321),'recurring1_based on steps'!AW$1:AW$400,0)),AW$2,)</f>
        <v>0</v>
      </c>
      <c r="AX321" s="179">
        <f ca="1">IF(ISNUMBER(MATCH(DATEVALUE($A321),'recurring1_based on steps'!AX$1:AX$400,0)),AX$2,)</f>
        <v>0</v>
      </c>
      <c r="AY321" s="179">
        <f ca="1">IF(ISNUMBER(MATCH(DATEVALUE($A321),'recurring1_based on steps'!AY$1:AY$400,0)),AY$2,)</f>
        <v>0</v>
      </c>
    </row>
    <row r="322" spans="1:51" x14ac:dyDescent="0.2">
      <c r="A322" s="32" t="str">
        <f t="shared" ca="1" si="4"/>
        <v>2026-02-11</v>
      </c>
      <c r="B322" s="179">
        <f ca="1">IF(ISNUMBER(MATCH(DATEVALUE($A322),'recurring1_based on steps'!B$1:B$400,0)),B$2,)</f>
        <v>0</v>
      </c>
      <c r="C322" s="179">
        <f ca="1">IF(ISNUMBER(MATCH(DATEVALUE($A322),'recurring1_based on steps'!C$1:C$400,0)),C$2,)</f>
        <v>0</v>
      </c>
      <c r="D322" s="179">
        <f ca="1">IF(ISNUMBER(MATCH(DATEVALUE($A322),'recurring1_based on steps'!D$1:D$400,0)),D$2,)</f>
        <v>0</v>
      </c>
      <c r="E322" s="179">
        <f ca="1">IF(ISNUMBER(MATCH(DATEVALUE($A322),'recurring1_based on steps'!E$1:E$400,0)),E$2,)</f>
        <v>0</v>
      </c>
      <c r="F322" s="179">
        <f ca="1">IF(ISNUMBER(MATCH(DATEVALUE($A322),'recurring1_based on steps'!F$1:F$400,0)),F$2,)</f>
        <v>0</v>
      </c>
      <c r="G322" s="179">
        <f ca="1">IF(ISNUMBER(MATCH(DATEVALUE($A322),'recurring1_based on steps'!G$1:G$400,0)),G$2,)</f>
        <v>0</v>
      </c>
      <c r="H322" s="179">
        <f ca="1">IF(ISNUMBER(MATCH(DATEVALUE($A322),'recurring1_based on steps'!H$1:H$400,0)),H$2,)</f>
        <v>0</v>
      </c>
      <c r="I322" s="179">
        <f ca="1">IF(ISNUMBER(MATCH(DATEVALUE($A322),'recurring1_based on steps'!I$1:I$400,0)),I$2,)</f>
        <v>0</v>
      </c>
      <c r="J322" s="179">
        <f ca="1">IF(ISNUMBER(MATCH(DATEVALUE($A322),'recurring1_based on steps'!J$1:J$400,0)),J$2,)</f>
        <v>0</v>
      </c>
      <c r="K322" s="179">
        <f ca="1">IF(ISNUMBER(MATCH(DATEVALUE($A322),'recurring1_based on steps'!K$1:K$400,0)),K$2,)</f>
        <v>0</v>
      </c>
      <c r="L322" s="179">
        <f ca="1">IF(ISNUMBER(MATCH(DATEVALUE($A322),'recurring1_based on steps'!L$1:L$400,0)),L$2,)</f>
        <v>0</v>
      </c>
      <c r="M322" s="179">
        <f ca="1">IF(ISNUMBER(MATCH(DATEVALUE($A322),'recurring1_based on steps'!M$1:M$400,0)),M$2,)</f>
        <v>0</v>
      </c>
      <c r="N322" s="179">
        <f ca="1">IF(ISNUMBER(MATCH(DATEVALUE($A322),'recurring1_based on steps'!N$1:N$400,0)),N$2,)</f>
        <v>0</v>
      </c>
      <c r="O322" s="179">
        <f ca="1">IF(ISNUMBER(MATCH(DATEVALUE($A322),'recurring1_based on steps'!O$1:O$400,0)),O$2,)</f>
        <v>0</v>
      </c>
      <c r="P322" s="179">
        <f ca="1">IF(ISNUMBER(MATCH(DATEVALUE($A322),'recurring1_based on steps'!P$1:P$400,0)),P$2,)</f>
        <v>0</v>
      </c>
      <c r="Q322" s="179">
        <f ca="1">IF(ISNUMBER(MATCH(DATEVALUE($A322),'recurring1_based on steps'!Q$1:Q$400,0)),Q$2,)</f>
        <v>0</v>
      </c>
      <c r="R322" s="179">
        <f ca="1">IF(ISNUMBER(MATCH(DATEVALUE($A322),'recurring1_based on steps'!R$1:R$400,0)),R$2,)</f>
        <v>0</v>
      </c>
      <c r="S322" s="179">
        <f ca="1">IF(ISNUMBER(MATCH(DATEVALUE($A322),'recurring1_based on steps'!S$1:S$400,0)),S$2,)</f>
        <v>0</v>
      </c>
      <c r="T322" s="179">
        <f ca="1">IF(ISNUMBER(MATCH(DATEVALUE($A322),'recurring1_based on steps'!T$1:T$400,0)),T$2,)</f>
        <v>0</v>
      </c>
      <c r="U322" s="179">
        <f ca="1">IF(ISNUMBER(MATCH(DATEVALUE($A322),'recurring1_based on steps'!U$1:U$400,0)),U$2,)</f>
        <v>0</v>
      </c>
      <c r="V322" s="179">
        <f ca="1">IF(ISNUMBER(MATCH(DATEVALUE($A322),'recurring1_based on steps'!V$1:V$400,0)),V$2,)</f>
        <v>0</v>
      </c>
      <c r="W322" s="179">
        <f ca="1">IF(ISNUMBER(MATCH(DATEVALUE($A322),'recurring1_based on steps'!W$1:W$400,0)),W$2,)</f>
        <v>0</v>
      </c>
      <c r="X322" s="179">
        <f ca="1">IF(ISNUMBER(MATCH(DATEVALUE($A322),'recurring1_based on steps'!X$1:X$400,0)),X$2,)</f>
        <v>0</v>
      </c>
      <c r="Y322" s="179">
        <f ca="1">IF(ISNUMBER(MATCH(DATEVALUE($A322),'recurring1_based on steps'!Y$1:Y$400,0)),Y$2,)</f>
        <v>0</v>
      </c>
      <c r="Z322" s="179">
        <f ca="1">IF(ISNUMBER(MATCH(DATEVALUE($A322),'recurring1_based on steps'!Z$1:Z$400,0)),Z$2,)</f>
        <v>0</v>
      </c>
      <c r="AA322" s="179">
        <f ca="1">IF(ISNUMBER(MATCH(DATEVALUE($A322),'recurring1_based on steps'!AA$1:AA$400,0)),AA$2,)</f>
        <v>0</v>
      </c>
      <c r="AB322" s="179">
        <f ca="1">IF(ISNUMBER(MATCH(DATEVALUE($A322),'recurring1_based on steps'!AB$1:AB$400,0)),AB$2,)</f>
        <v>0</v>
      </c>
      <c r="AC322" s="179">
        <f ca="1">IF(ISNUMBER(MATCH(DATEVALUE($A322),'recurring1_based on steps'!AC$1:AC$400,0)),AC$2,)</f>
        <v>0</v>
      </c>
      <c r="AD322" s="179">
        <f ca="1">IF(ISNUMBER(MATCH(DATEVALUE($A322),'recurring1_based on steps'!AD$1:AD$400,0)),AD$2,)</f>
        <v>0</v>
      </c>
      <c r="AE322" s="179">
        <f ca="1">IF(ISNUMBER(MATCH(DATEVALUE($A322),'recurring1_based on steps'!AE$1:AE$400,0)),AE$2,)</f>
        <v>0</v>
      </c>
      <c r="AF322" s="179">
        <f ca="1">IF(ISNUMBER(MATCH(DATEVALUE($A322),'recurring1_based on steps'!AF$1:AF$400,0)),AF$2,)</f>
        <v>0</v>
      </c>
      <c r="AG322" s="179">
        <f ca="1">IF(ISNUMBER(MATCH(DATEVALUE($A322),'recurring1_based on steps'!AG$1:AG$400,0)),AG$2,)</f>
        <v>0</v>
      </c>
      <c r="AH322" s="179">
        <f ca="1">IF(ISNUMBER(MATCH(DATEVALUE($A322),'recurring1_based on steps'!AH$1:AH$400,0)),AH$2,)</f>
        <v>0</v>
      </c>
      <c r="AI322" s="179">
        <f ca="1">IF(ISNUMBER(MATCH(DATEVALUE($A322),'recurring1_based on steps'!AI$1:AI$400,0)),AI$2,)</f>
        <v>0</v>
      </c>
      <c r="AJ322" s="179">
        <f ca="1">IF(ISNUMBER(MATCH(DATEVALUE($A322),'recurring1_based on steps'!AJ$1:AJ$400,0)),AJ$2,)</f>
        <v>0</v>
      </c>
      <c r="AK322" s="179">
        <f ca="1">IF(ISNUMBER(MATCH(DATEVALUE($A322),'recurring1_based on steps'!AK$1:AK$400,0)),AK$2,)</f>
        <v>0</v>
      </c>
      <c r="AL322" s="179">
        <f ca="1">IF(ISNUMBER(MATCH(DATEVALUE($A322),'recurring1_based on steps'!AL$1:AL$400,0)),AL$2,)</f>
        <v>0</v>
      </c>
      <c r="AM322" s="179">
        <f ca="1">IF(ISNUMBER(MATCH(DATEVALUE($A322),'recurring1_based on steps'!AM$1:AM$400,0)),AM$2,)</f>
        <v>0</v>
      </c>
      <c r="AN322" s="179">
        <f ca="1">IF(ISNUMBER(MATCH(DATEVALUE($A322),'recurring1_based on steps'!AN$1:AN$400,0)),AN$2,)</f>
        <v>0</v>
      </c>
      <c r="AO322" s="179">
        <f ca="1">IF(ISNUMBER(MATCH(DATEVALUE($A322),'recurring1_based on steps'!AO$1:AO$400,0)),AO$2,)</f>
        <v>0</v>
      </c>
      <c r="AP322" s="179">
        <f ca="1">IF(ISNUMBER(MATCH(DATEVALUE($A322),'recurring1_based on steps'!AP$1:AP$400,0)),AP$2,)</f>
        <v>0</v>
      </c>
      <c r="AQ322" s="179">
        <f ca="1">IF(ISNUMBER(MATCH(DATEVALUE($A322),'recurring1_based on steps'!AQ$1:AQ$400,0)),AQ$2,)</f>
        <v>0</v>
      </c>
      <c r="AR322" s="179">
        <f ca="1">IF(ISNUMBER(MATCH(DATEVALUE($A322),'recurring1_based on steps'!AR$1:AR$400,0)),AR$2,)</f>
        <v>0</v>
      </c>
      <c r="AS322" s="179">
        <f ca="1">IF(ISNUMBER(MATCH(DATEVALUE($A322),'recurring1_based on steps'!AS$1:AS$400,0)),AS$2,)</f>
        <v>0</v>
      </c>
      <c r="AT322" s="179">
        <f ca="1">IF(ISNUMBER(MATCH(DATEVALUE($A322),'recurring1_based on steps'!AT$1:AT$400,0)),AT$2,)</f>
        <v>0</v>
      </c>
      <c r="AU322" s="179">
        <f ca="1">IF(ISNUMBER(MATCH(DATEVALUE($A322),'recurring1_based on steps'!AU$1:AU$400,0)),AU$2,)</f>
        <v>0</v>
      </c>
      <c r="AV322" s="179">
        <f ca="1">IF(ISNUMBER(MATCH(DATEVALUE($A322),'recurring1_based on steps'!AV$1:AV$400,0)),AV$2,)</f>
        <v>0</v>
      </c>
      <c r="AW322" s="179">
        <f ca="1">IF(ISNUMBER(MATCH(DATEVALUE($A322),'recurring1_based on steps'!AW$1:AW$400,0)),AW$2,)</f>
        <v>0</v>
      </c>
      <c r="AX322" s="179">
        <f ca="1">IF(ISNUMBER(MATCH(DATEVALUE($A322),'recurring1_based on steps'!AX$1:AX$400,0)),AX$2,)</f>
        <v>0</v>
      </c>
      <c r="AY322" s="179">
        <f ca="1">IF(ISNUMBER(MATCH(DATEVALUE($A322),'recurring1_based on steps'!AY$1:AY$400,0)),AY$2,)</f>
        <v>0</v>
      </c>
    </row>
    <row r="323" spans="1:51" x14ac:dyDescent="0.2">
      <c r="A323" s="32" t="str">
        <f t="shared" ca="1" si="4"/>
        <v>2026-02-12</v>
      </c>
      <c r="B323" s="179">
        <f ca="1">IF(ISNUMBER(MATCH(DATEVALUE($A323),'recurring1_based on steps'!B$1:B$400,0)),B$2,)</f>
        <v>0</v>
      </c>
      <c r="C323" s="179">
        <f ca="1">IF(ISNUMBER(MATCH(DATEVALUE($A323),'recurring1_based on steps'!C$1:C$400,0)),C$2,)</f>
        <v>0</v>
      </c>
      <c r="D323" s="179">
        <f ca="1">IF(ISNUMBER(MATCH(DATEVALUE($A323),'recurring1_based on steps'!D$1:D$400,0)),D$2,)</f>
        <v>0</v>
      </c>
      <c r="E323" s="179">
        <f ca="1">IF(ISNUMBER(MATCH(DATEVALUE($A323),'recurring1_based on steps'!E$1:E$400,0)),E$2,)</f>
        <v>0</v>
      </c>
      <c r="F323" s="179">
        <f ca="1">IF(ISNUMBER(MATCH(DATEVALUE($A323),'recurring1_based on steps'!F$1:F$400,0)),F$2,)</f>
        <v>0</v>
      </c>
      <c r="G323" s="179">
        <f ca="1">IF(ISNUMBER(MATCH(DATEVALUE($A323),'recurring1_based on steps'!G$1:G$400,0)),G$2,)</f>
        <v>0</v>
      </c>
      <c r="H323" s="179">
        <f ca="1">IF(ISNUMBER(MATCH(DATEVALUE($A323),'recurring1_based on steps'!H$1:H$400,0)),H$2,)</f>
        <v>0</v>
      </c>
      <c r="I323" s="179">
        <f ca="1">IF(ISNUMBER(MATCH(DATEVALUE($A323),'recurring1_based on steps'!I$1:I$400,0)),I$2,)</f>
        <v>0</v>
      </c>
      <c r="J323" s="179">
        <f ca="1">IF(ISNUMBER(MATCH(DATEVALUE($A323),'recurring1_based on steps'!J$1:J$400,0)),J$2,)</f>
        <v>0</v>
      </c>
      <c r="K323" s="179">
        <f ca="1">IF(ISNUMBER(MATCH(DATEVALUE($A323),'recurring1_based on steps'!K$1:K$400,0)),K$2,)</f>
        <v>0</v>
      </c>
      <c r="L323" s="179">
        <f ca="1">IF(ISNUMBER(MATCH(DATEVALUE($A323),'recurring1_based on steps'!L$1:L$400,0)),L$2,)</f>
        <v>0</v>
      </c>
      <c r="M323" s="179">
        <f ca="1">IF(ISNUMBER(MATCH(DATEVALUE($A323),'recurring1_based on steps'!M$1:M$400,0)),M$2,)</f>
        <v>0</v>
      </c>
      <c r="N323" s="179">
        <f ca="1">IF(ISNUMBER(MATCH(DATEVALUE($A323),'recurring1_based on steps'!N$1:N$400,0)),N$2,)</f>
        <v>0</v>
      </c>
      <c r="O323" s="179">
        <f ca="1">IF(ISNUMBER(MATCH(DATEVALUE($A323),'recurring1_based on steps'!O$1:O$400,0)),O$2,)</f>
        <v>0</v>
      </c>
      <c r="P323" s="179">
        <f ca="1">IF(ISNUMBER(MATCH(DATEVALUE($A323),'recurring1_based on steps'!P$1:P$400,0)),P$2,)</f>
        <v>0</v>
      </c>
      <c r="Q323" s="179">
        <f ca="1">IF(ISNUMBER(MATCH(DATEVALUE($A323),'recurring1_based on steps'!Q$1:Q$400,0)),Q$2,)</f>
        <v>0</v>
      </c>
      <c r="R323" s="179">
        <f ca="1">IF(ISNUMBER(MATCH(DATEVALUE($A323),'recurring1_based on steps'!R$1:R$400,0)),R$2,)</f>
        <v>0</v>
      </c>
      <c r="S323" s="179">
        <f ca="1">IF(ISNUMBER(MATCH(DATEVALUE($A323),'recurring1_based on steps'!S$1:S$400,0)),S$2,)</f>
        <v>0</v>
      </c>
      <c r="T323" s="179">
        <f ca="1">IF(ISNUMBER(MATCH(DATEVALUE($A323),'recurring1_based on steps'!T$1:T$400,0)),T$2,)</f>
        <v>0</v>
      </c>
      <c r="U323" s="179">
        <f ca="1">IF(ISNUMBER(MATCH(DATEVALUE($A323),'recurring1_based on steps'!U$1:U$400,0)),U$2,)</f>
        <v>0</v>
      </c>
      <c r="V323" s="179">
        <f ca="1">IF(ISNUMBER(MATCH(DATEVALUE($A323),'recurring1_based on steps'!V$1:V$400,0)),V$2,)</f>
        <v>0</v>
      </c>
      <c r="W323" s="179">
        <f ca="1">IF(ISNUMBER(MATCH(DATEVALUE($A323),'recurring1_based on steps'!W$1:W$400,0)),W$2,)</f>
        <v>0</v>
      </c>
      <c r="X323" s="179">
        <f ca="1">IF(ISNUMBER(MATCH(DATEVALUE($A323),'recurring1_based on steps'!X$1:X$400,0)),X$2,)</f>
        <v>0</v>
      </c>
      <c r="Y323" s="179">
        <f ca="1">IF(ISNUMBER(MATCH(DATEVALUE($A323),'recurring1_based on steps'!Y$1:Y$400,0)),Y$2,)</f>
        <v>0</v>
      </c>
      <c r="Z323" s="179">
        <f ca="1">IF(ISNUMBER(MATCH(DATEVALUE($A323),'recurring1_based on steps'!Z$1:Z$400,0)),Z$2,)</f>
        <v>0</v>
      </c>
      <c r="AA323" s="179">
        <f ca="1">IF(ISNUMBER(MATCH(DATEVALUE($A323),'recurring1_based on steps'!AA$1:AA$400,0)),AA$2,)</f>
        <v>0</v>
      </c>
      <c r="AB323" s="179">
        <f ca="1">IF(ISNUMBER(MATCH(DATEVALUE($A323),'recurring1_based on steps'!AB$1:AB$400,0)),AB$2,)</f>
        <v>0</v>
      </c>
      <c r="AC323" s="179">
        <f ca="1">IF(ISNUMBER(MATCH(DATEVALUE($A323),'recurring1_based on steps'!AC$1:AC$400,0)),AC$2,)</f>
        <v>0</v>
      </c>
      <c r="AD323" s="179">
        <f ca="1">IF(ISNUMBER(MATCH(DATEVALUE($A323),'recurring1_based on steps'!AD$1:AD$400,0)),AD$2,)</f>
        <v>0</v>
      </c>
      <c r="AE323" s="179">
        <f ca="1">IF(ISNUMBER(MATCH(DATEVALUE($A323),'recurring1_based on steps'!AE$1:AE$400,0)),AE$2,)</f>
        <v>0</v>
      </c>
      <c r="AF323" s="179">
        <f ca="1">IF(ISNUMBER(MATCH(DATEVALUE($A323),'recurring1_based on steps'!AF$1:AF$400,0)),AF$2,)</f>
        <v>0</v>
      </c>
      <c r="AG323" s="179">
        <f ca="1">IF(ISNUMBER(MATCH(DATEVALUE($A323),'recurring1_based on steps'!AG$1:AG$400,0)),AG$2,)</f>
        <v>0</v>
      </c>
      <c r="AH323" s="179">
        <f ca="1">IF(ISNUMBER(MATCH(DATEVALUE($A323),'recurring1_based on steps'!AH$1:AH$400,0)),AH$2,)</f>
        <v>0</v>
      </c>
      <c r="AI323" s="179">
        <f ca="1">IF(ISNUMBER(MATCH(DATEVALUE($A323),'recurring1_based on steps'!AI$1:AI$400,0)),AI$2,)</f>
        <v>0</v>
      </c>
      <c r="AJ323" s="179">
        <f ca="1">IF(ISNUMBER(MATCH(DATEVALUE($A323),'recurring1_based on steps'!AJ$1:AJ$400,0)),AJ$2,)</f>
        <v>0</v>
      </c>
      <c r="AK323" s="179">
        <f ca="1">IF(ISNUMBER(MATCH(DATEVALUE($A323),'recurring1_based on steps'!AK$1:AK$400,0)),AK$2,)</f>
        <v>0</v>
      </c>
      <c r="AL323" s="179">
        <f ca="1">IF(ISNUMBER(MATCH(DATEVALUE($A323),'recurring1_based on steps'!AL$1:AL$400,0)),AL$2,)</f>
        <v>0</v>
      </c>
      <c r="AM323" s="179">
        <f ca="1">IF(ISNUMBER(MATCH(DATEVALUE($A323),'recurring1_based on steps'!AM$1:AM$400,0)),AM$2,)</f>
        <v>0</v>
      </c>
      <c r="AN323" s="179">
        <f ca="1">IF(ISNUMBER(MATCH(DATEVALUE($A323),'recurring1_based on steps'!AN$1:AN$400,0)),AN$2,)</f>
        <v>0</v>
      </c>
      <c r="AO323" s="179">
        <f ca="1">IF(ISNUMBER(MATCH(DATEVALUE($A323),'recurring1_based on steps'!AO$1:AO$400,0)),AO$2,)</f>
        <v>0</v>
      </c>
      <c r="AP323" s="179">
        <f ca="1">IF(ISNUMBER(MATCH(DATEVALUE($A323),'recurring1_based on steps'!AP$1:AP$400,0)),AP$2,)</f>
        <v>0</v>
      </c>
      <c r="AQ323" s="179">
        <f ca="1">IF(ISNUMBER(MATCH(DATEVALUE($A323),'recurring1_based on steps'!AQ$1:AQ$400,0)),AQ$2,)</f>
        <v>0</v>
      </c>
      <c r="AR323" s="179">
        <f ca="1">IF(ISNUMBER(MATCH(DATEVALUE($A323),'recurring1_based on steps'!AR$1:AR$400,0)),AR$2,)</f>
        <v>0</v>
      </c>
      <c r="AS323" s="179">
        <f ca="1">IF(ISNUMBER(MATCH(DATEVALUE($A323),'recurring1_based on steps'!AS$1:AS$400,0)),AS$2,)</f>
        <v>0</v>
      </c>
      <c r="AT323" s="179">
        <f ca="1">IF(ISNUMBER(MATCH(DATEVALUE($A323),'recurring1_based on steps'!AT$1:AT$400,0)),AT$2,)</f>
        <v>0</v>
      </c>
      <c r="AU323" s="179">
        <f ca="1">IF(ISNUMBER(MATCH(DATEVALUE($A323),'recurring1_based on steps'!AU$1:AU$400,0)),AU$2,)</f>
        <v>0</v>
      </c>
      <c r="AV323" s="179">
        <f ca="1">IF(ISNUMBER(MATCH(DATEVALUE($A323),'recurring1_based on steps'!AV$1:AV$400,0)),AV$2,)</f>
        <v>0</v>
      </c>
      <c r="AW323" s="179">
        <f ca="1">IF(ISNUMBER(MATCH(DATEVALUE($A323),'recurring1_based on steps'!AW$1:AW$400,0)),AW$2,)</f>
        <v>0</v>
      </c>
      <c r="AX323" s="179">
        <f ca="1">IF(ISNUMBER(MATCH(DATEVALUE($A323),'recurring1_based on steps'!AX$1:AX$400,0)),AX$2,)</f>
        <v>0</v>
      </c>
      <c r="AY323" s="179">
        <f ca="1">IF(ISNUMBER(MATCH(DATEVALUE($A323),'recurring1_based on steps'!AY$1:AY$400,0)),AY$2,)</f>
        <v>0</v>
      </c>
    </row>
    <row r="324" spans="1:51" x14ac:dyDescent="0.2">
      <c r="A324" s="32" t="str">
        <f t="shared" ca="1" si="4"/>
        <v>2026-02-13</v>
      </c>
      <c r="B324" s="179">
        <f ca="1">IF(ISNUMBER(MATCH(DATEVALUE($A324),'recurring1_based on steps'!B$1:B$400,0)),B$2,)</f>
        <v>0</v>
      </c>
      <c r="C324" s="179">
        <f ca="1">IF(ISNUMBER(MATCH(DATEVALUE($A324),'recurring1_based on steps'!C$1:C$400,0)),C$2,)</f>
        <v>0</v>
      </c>
      <c r="D324" s="179">
        <f ca="1">IF(ISNUMBER(MATCH(DATEVALUE($A324),'recurring1_based on steps'!D$1:D$400,0)),D$2,)</f>
        <v>0</v>
      </c>
      <c r="E324" s="179">
        <f ca="1">IF(ISNUMBER(MATCH(DATEVALUE($A324),'recurring1_based on steps'!E$1:E$400,0)),E$2,)</f>
        <v>0</v>
      </c>
      <c r="F324" s="179">
        <f ca="1">IF(ISNUMBER(MATCH(DATEVALUE($A324),'recurring1_based on steps'!F$1:F$400,0)),F$2,)</f>
        <v>0</v>
      </c>
      <c r="G324" s="179">
        <f ca="1">IF(ISNUMBER(MATCH(DATEVALUE($A324),'recurring1_based on steps'!G$1:G$400,0)),G$2,)</f>
        <v>0</v>
      </c>
      <c r="H324" s="179">
        <f ca="1">IF(ISNUMBER(MATCH(DATEVALUE($A324),'recurring1_based on steps'!H$1:H$400,0)),H$2,)</f>
        <v>0</v>
      </c>
      <c r="I324" s="179">
        <f ca="1">IF(ISNUMBER(MATCH(DATEVALUE($A324),'recurring1_based on steps'!I$1:I$400,0)),I$2,)</f>
        <v>0</v>
      </c>
      <c r="J324" s="179">
        <f ca="1">IF(ISNUMBER(MATCH(DATEVALUE($A324),'recurring1_based on steps'!J$1:J$400,0)),J$2,)</f>
        <v>0</v>
      </c>
      <c r="K324" s="179">
        <f ca="1">IF(ISNUMBER(MATCH(DATEVALUE($A324),'recurring1_based on steps'!K$1:K$400,0)),K$2,)</f>
        <v>0</v>
      </c>
      <c r="L324" s="179">
        <f ca="1">IF(ISNUMBER(MATCH(DATEVALUE($A324),'recurring1_based on steps'!L$1:L$400,0)),L$2,)</f>
        <v>0</v>
      </c>
      <c r="M324" s="179">
        <f ca="1">IF(ISNUMBER(MATCH(DATEVALUE($A324),'recurring1_based on steps'!M$1:M$400,0)),M$2,)</f>
        <v>0</v>
      </c>
      <c r="N324" s="179">
        <f ca="1">IF(ISNUMBER(MATCH(DATEVALUE($A324),'recurring1_based on steps'!N$1:N$400,0)),N$2,)</f>
        <v>0</v>
      </c>
      <c r="O324" s="179">
        <f ca="1">IF(ISNUMBER(MATCH(DATEVALUE($A324),'recurring1_based on steps'!O$1:O$400,0)),O$2,)</f>
        <v>0</v>
      </c>
      <c r="P324" s="179">
        <f ca="1">IF(ISNUMBER(MATCH(DATEVALUE($A324),'recurring1_based on steps'!P$1:P$400,0)),P$2,)</f>
        <v>0</v>
      </c>
      <c r="Q324" s="179">
        <f ca="1">IF(ISNUMBER(MATCH(DATEVALUE($A324),'recurring1_based on steps'!Q$1:Q$400,0)),Q$2,)</f>
        <v>0</v>
      </c>
      <c r="R324" s="179">
        <f ca="1">IF(ISNUMBER(MATCH(DATEVALUE($A324),'recurring1_based on steps'!R$1:R$400,0)),R$2,)</f>
        <v>0</v>
      </c>
      <c r="S324" s="179">
        <f ca="1">IF(ISNUMBER(MATCH(DATEVALUE($A324),'recurring1_based on steps'!S$1:S$400,0)),S$2,)</f>
        <v>0</v>
      </c>
      <c r="T324" s="179">
        <f ca="1">IF(ISNUMBER(MATCH(DATEVALUE($A324),'recurring1_based on steps'!T$1:T$400,0)),T$2,)</f>
        <v>0</v>
      </c>
      <c r="U324" s="179">
        <f ca="1">IF(ISNUMBER(MATCH(DATEVALUE($A324),'recurring1_based on steps'!U$1:U$400,0)),U$2,)</f>
        <v>0</v>
      </c>
      <c r="V324" s="179">
        <f ca="1">IF(ISNUMBER(MATCH(DATEVALUE($A324),'recurring1_based on steps'!V$1:V$400,0)),V$2,)</f>
        <v>0</v>
      </c>
      <c r="W324" s="179">
        <f ca="1">IF(ISNUMBER(MATCH(DATEVALUE($A324),'recurring1_based on steps'!W$1:W$400,0)),W$2,)</f>
        <v>0</v>
      </c>
      <c r="X324" s="179">
        <f ca="1">IF(ISNUMBER(MATCH(DATEVALUE($A324),'recurring1_based on steps'!X$1:X$400,0)),X$2,)</f>
        <v>0</v>
      </c>
      <c r="Y324" s="179">
        <f ca="1">IF(ISNUMBER(MATCH(DATEVALUE($A324),'recurring1_based on steps'!Y$1:Y$400,0)),Y$2,)</f>
        <v>0</v>
      </c>
      <c r="Z324" s="179">
        <f ca="1">IF(ISNUMBER(MATCH(DATEVALUE($A324),'recurring1_based on steps'!Z$1:Z$400,0)),Z$2,)</f>
        <v>0</v>
      </c>
      <c r="AA324" s="179">
        <f ca="1">IF(ISNUMBER(MATCH(DATEVALUE($A324),'recurring1_based on steps'!AA$1:AA$400,0)),AA$2,)</f>
        <v>0</v>
      </c>
      <c r="AB324" s="179">
        <f ca="1">IF(ISNUMBER(MATCH(DATEVALUE($A324),'recurring1_based on steps'!AB$1:AB$400,0)),AB$2,)</f>
        <v>0</v>
      </c>
      <c r="AC324" s="179">
        <f ca="1">IF(ISNUMBER(MATCH(DATEVALUE($A324),'recurring1_based on steps'!AC$1:AC$400,0)),AC$2,)</f>
        <v>0</v>
      </c>
      <c r="AD324" s="179">
        <f ca="1">IF(ISNUMBER(MATCH(DATEVALUE($A324),'recurring1_based on steps'!AD$1:AD$400,0)),AD$2,)</f>
        <v>0</v>
      </c>
      <c r="AE324" s="179">
        <f ca="1">IF(ISNUMBER(MATCH(DATEVALUE($A324),'recurring1_based on steps'!AE$1:AE$400,0)),AE$2,)</f>
        <v>0</v>
      </c>
      <c r="AF324" s="179">
        <f ca="1">IF(ISNUMBER(MATCH(DATEVALUE($A324),'recurring1_based on steps'!AF$1:AF$400,0)),AF$2,)</f>
        <v>0</v>
      </c>
      <c r="AG324" s="179">
        <f ca="1">IF(ISNUMBER(MATCH(DATEVALUE($A324),'recurring1_based on steps'!AG$1:AG$400,0)),AG$2,)</f>
        <v>0</v>
      </c>
      <c r="AH324" s="179">
        <f ca="1">IF(ISNUMBER(MATCH(DATEVALUE($A324),'recurring1_based on steps'!AH$1:AH$400,0)),AH$2,)</f>
        <v>0</v>
      </c>
      <c r="AI324" s="179">
        <f ca="1">IF(ISNUMBER(MATCH(DATEVALUE($A324),'recurring1_based on steps'!AI$1:AI$400,0)),AI$2,)</f>
        <v>0</v>
      </c>
      <c r="AJ324" s="179">
        <f ca="1">IF(ISNUMBER(MATCH(DATEVALUE($A324),'recurring1_based on steps'!AJ$1:AJ$400,0)),AJ$2,)</f>
        <v>0</v>
      </c>
      <c r="AK324" s="179">
        <f ca="1">IF(ISNUMBER(MATCH(DATEVALUE($A324),'recurring1_based on steps'!AK$1:AK$400,0)),AK$2,)</f>
        <v>0</v>
      </c>
      <c r="AL324" s="179">
        <f ca="1">IF(ISNUMBER(MATCH(DATEVALUE($A324),'recurring1_based on steps'!AL$1:AL$400,0)),AL$2,)</f>
        <v>0</v>
      </c>
      <c r="AM324" s="179">
        <f ca="1">IF(ISNUMBER(MATCH(DATEVALUE($A324),'recurring1_based on steps'!AM$1:AM$400,0)),AM$2,)</f>
        <v>0</v>
      </c>
      <c r="AN324" s="179">
        <f ca="1">IF(ISNUMBER(MATCH(DATEVALUE($A324),'recurring1_based on steps'!AN$1:AN$400,0)),AN$2,)</f>
        <v>0</v>
      </c>
      <c r="AO324" s="179">
        <f ca="1">IF(ISNUMBER(MATCH(DATEVALUE($A324),'recurring1_based on steps'!AO$1:AO$400,0)),AO$2,)</f>
        <v>0</v>
      </c>
      <c r="AP324" s="179">
        <f ca="1">IF(ISNUMBER(MATCH(DATEVALUE($A324),'recurring1_based on steps'!AP$1:AP$400,0)),AP$2,)</f>
        <v>0</v>
      </c>
      <c r="AQ324" s="179">
        <f ca="1">IF(ISNUMBER(MATCH(DATEVALUE($A324),'recurring1_based on steps'!AQ$1:AQ$400,0)),AQ$2,)</f>
        <v>0</v>
      </c>
      <c r="AR324" s="179">
        <f ca="1">IF(ISNUMBER(MATCH(DATEVALUE($A324),'recurring1_based on steps'!AR$1:AR$400,0)),AR$2,)</f>
        <v>0</v>
      </c>
      <c r="AS324" s="179">
        <f ca="1">IF(ISNUMBER(MATCH(DATEVALUE($A324),'recurring1_based on steps'!AS$1:AS$400,0)),AS$2,)</f>
        <v>0</v>
      </c>
      <c r="AT324" s="179">
        <f ca="1">IF(ISNUMBER(MATCH(DATEVALUE($A324),'recurring1_based on steps'!AT$1:AT$400,0)),AT$2,)</f>
        <v>0</v>
      </c>
      <c r="AU324" s="179">
        <f ca="1">IF(ISNUMBER(MATCH(DATEVALUE($A324),'recurring1_based on steps'!AU$1:AU$400,0)),AU$2,)</f>
        <v>0</v>
      </c>
      <c r="AV324" s="179">
        <f ca="1">IF(ISNUMBER(MATCH(DATEVALUE($A324),'recurring1_based on steps'!AV$1:AV$400,0)),AV$2,)</f>
        <v>0</v>
      </c>
      <c r="AW324" s="179">
        <f ca="1">IF(ISNUMBER(MATCH(DATEVALUE($A324),'recurring1_based on steps'!AW$1:AW$400,0)),AW$2,)</f>
        <v>0</v>
      </c>
      <c r="AX324" s="179">
        <f ca="1">IF(ISNUMBER(MATCH(DATEVALUE($A324),'recurring1_based on steps'!AX$1:AX$400,0)),AX$2,)</f>
        <v>0</v>
      </c>
      <c r="AY324" s="179">
        <f ca="1">IF(ISNUMBER(MATCH(DATEVALUE($A324),'recurring1_based on steps'!AY$1:AY$400,0)),AY$2,)</f>
        <v>0</v>
      </c>
    </row>
    <row r="325" spans="1:51" x14ac:dyDescent="0.2">
      <c r="A325" s="32" t="str">
        <f t="shared" ref="A325:A369" ca="1" si="5">TEXT(DATEVALUE(A324)+1,"yyyy-mm-dd")</f>
        <v>2026-02-14</v>
      </c>
      <c r="B325" s="179">
        <f ca="1">IF(ISNUMBER(MATCH(DATEVALUE($A325),'recurring1_based on steps'!B$1:B$400,0)),B$2,)</f>
        <v>0</v>
      </c>
      <c r="C325" s="179">
        <f ca="1">IF(ISNUMBER(MATCH(DATEVALUE($A325),'recurring1_based on steps'!C$1:C$400,0)),C$2,)</f>
        <v>0</v>
      </c>
      <c r="D325" s="179">
        <f ca="1">IF(ISNUMBER(MATCH(DATEVALUE($A325),'recurring1_based on steps'!D$1:D$400,0)),D$2,)</f>
        <v>0</v>
      </c>
      <c r="E325" s="179">
        <f ca="1">IF(ISNUMBER(MATCH(DATEVALUE($A325),'recurring1_based on steps'!E$1:E$400,0)),E$2,)</f>
        <v>0</v>
      </c>
      <c r="F325" s="179">
        <f ca="1">IF(ISNUMBER(MATCH(DATEVALUE($A325),'recurring1_based on steps'!F$1:F$400,0)),F$2,)</f>
        <v>0</v>
      </c>
      <c r="G325" s="179">
        <f ca="1">IF(ISNUMBER(MATCH(DATEVALUE($A325),'recurring1_based on steps'!G$1:G$400,0)),G$2,)</f>
        <v>0</v>
      </c>
      <c r="H325" s="179">
        <f ca="1">IF(ISNUMBER(MATCH(DATEVALUE($A325),'recurring1_based on steps'!H$1:H$400,0)),H$2,)</f>
        <v>0</v>
      </c>
      <c r="I325" s="179">
        <f ca="1">IF(ISNUMBER(MATCH(DATEVALUE($A325),'recurring1_based on steps'!I$1:I$400,0)),I$2,)</f>
        <v>0</v>
      </c>
      <c r="J325" s="179">
        <f ca="1">IF(ISNUMBER(MATCH(DATEVALUE($A325),'recurring1_based on steps'!J$1:J$400,0)),J$2,)</f>
        <v>0</v>
      </c>
      <c r="K325" s="179">
        <f ca="1">IF(ISNUMBER(MATCH(DATEVALUE($A325),'recurring1_based on steps'!K$1:K$400,0)),K$2,)</f>
        <v>0</v>
      </c>
      <c r="L325" s="179">
        <f ca="1">IF(ISNUMBER(MATCH(DATEVALUE($A325),'recurring1_based on steps'!L$1:L$400,0)),L$2,)</f>
        <v>0</v>
      </c>
      <c r="M325" s="179">
        <f ca="1">IF(ISNUMBER(MATCH(DATEVALUE($A325),'recurring1_based on steps'!M$1:M$400,0)),M$2,)</f>
        <v>0</v>
      </c>
      <c r="N325" s="179">
        <f ca="1">IF(ISNUMBER(MATCH(DATEVALUE($A325),'recurring1_based on steps'!N$1:N$400,0)),N$2,)</f>
        <v>0</v>
      </c>
      <c r="O325" s="179">
        <f ca="1">IF(ISNUMBER(MATCH(DATEVALUE($A325),'recurring1_based on steps'!O$1:O$400,0)),O$2,)</f>
        <v>0</v>
      </c>
      <c r="P325" s="179">
        <f ca="1">IF(ISNUMBER(MATCH(DATEVALUE($A325),'recurring1_based on steps'!P$1:P$400,0)),P$2,)</f>
        <v>0</v>
      </c>
      <c r="Q325" s="179">
        <f ca="1">IF(ISNUMBER(MATCH(DATEVALUE($A325),'recurring1_based on steps'!Q$1:Q$400,0)),Q$2,)</f>
        <v>0</v>
      </c>
      <c r="R325" s="179">
        <f ca="1">IF(ISNUMBER(MATCH(DATEVALUE($A325),'recurring1_based on steps'!R$1:R$400,0)),R$2,)</f>
        <v>0</v>
      </c>
      <c r="S325" s="179">
        <f ca="1">IF(ISNUMBER(MATCH(DATEVALUE($A325),'recurring1_based on steps'!S$1:S$400,0)),S$2,)</f>
        <v>0</v>
      </c>
      <c r="T325" s="179">
        <f ca="1">IF(ISNUMBER(MATCH(DATEVALUE($A325),'recurring1_based on steps'!T$1:T$400,0)),T$2,)</f>
        <v>0</v>
      </c>
      <c r="U325" s="179">
        <f ca="1">IF(ISNUMBER(MATCH(DATEVALUE($A325),'recurring1_based on steps'!U$1:U$400,0)),U$2,)</f>
        <v>0</v>
      </c>
      <c r="V325" s="179">
        <f ca="1">IF(ISNUMBER(MATCH(DATEVALUE($A325),'recurring1_based on steps'!V$1:V$400,0)),V$2,)</f>
        <v>0</v>
      </c>
      <c r="W325" s="179">
        <f ca="1">IF(ISNUMBER(MATCH(DATEVALUE($A325),'recurring1_based on steps'!W$1:W$400,0)),W$2,)</f>
        <v>0</v>
      </c>
      <c r="X325" s="179">
        <f ca="1">IF(ISNUMBER(MATCH(DATEVALUE($A325),'recurring1_based on steps'!X$1:X$400,0)),X$2,)</f>
        <v>0</v>
      </c>
      <c r="Y325" s="179">
        <f ca="1">IF(ISNUMBER(MATCH(DATEVALUE($A325),'recurring1_based on steps'!Y$1:Y$400,0)),Y$2,)</f>
        <v>0</v>
      </c>
      <c r="Z325" s="179">
        <f ca="1">IF(ISNUMBER(MATCH(DATEVALUE($A325),'recurring1_based on steps'!Z$1:Z$400,0)),Z$2,)</f>
        <v>0</v>
      </c>
      <c r="AA325" s="179">
        <f ca="1">IF(ISNUMBER(MATCH(DATEVALUE($A325),'recurring1_based on steps'!AA$1:AA$400,0)),AA$2,)</f>
        <v>0</v>
      </c>
      <c r="AB325" s="179">
        <f ca="1">IF(ISNUMBER(MATCH(DATEVALUE($A325),'recurring1_based on steps'!AB$1:AB$400,0)),AB$2,)</f>
        <v>0</v>
      </c>
      <c r="AC325" s="179">
        <f ca="1">IF(ISNUMBER(MATCH(DATEVALUE($A325),'recurring1_based on steps'!AC$1:AC$400,0)),AC$2,)</f>
        <v>0</v>
      </c>
      <c r="AD325" s="179">
        <f ca="1">IF(ISNUMBER(MATCH(DATEVALUE($A325),'recurring1_based on steps'!AD$1:AD$400,0)),AD$2,)</f>
        <v>0</v>
      </c>
      <c r="AE325" s="179">
        <f ca="1">IF(ISNUMBER(MATCH(DATEVALUE($A325),'recurring1_based on steps'!AE$1:AE$400,0)),AE$2,)</f>
        <v>0</v>
      </c>
      <c r="AF325" s="179">
        <f ca="1">IF(ISNUMBER(MATCH(DATEVALUE($A325),'recurring1_based on steps'!AF$1:AF$400,0)),AF$2,)</f>
        <v>0</v>
      </c>
      <c r="AG325" s="179">
        <f ca="1">IF(ISNUMBER(MATCH(DATEVALUE($A325),'recurring1_based on steps'!AG$1:AG$400,0)),AG$2,)</f>
        <v>0</v>
      </c>
      <c r="AH325" s="179">
        <f ca="1">IF(ISNUMBER(MATCH(DATEVALUE($A325),'recurring1_based on steps'!AH$1:AH$400,0)),AH$2,)</f>
        <v>0</v>
      </c>
      <c r="AI325" s="179">
        <f ca="1">IF(ISNUMBER(MATCH(DATEVALUE($A325),'recurring1_based on steps'!AI$1:AI$400,0)),AI$2,)</f>
        <v>0</v>
      </c>
      <c r="AJ325" s="179">
        <f ca="1">IF(ISNUMBER(MATCH(DATEVALUE($A325),'recurring1_based on steps'!AJ$1:AJ$400,0)),AJ$2,)</f>
        <v>0</v>
      </c>
      <c r="AK325" s="179">
        <f ca="1">IF(ISNUMBER(MATCH(DATEVALUE($A325),'recurring1_based on steps'!AK$1:AK$400,0)),AK$2,)</f>
        <v>0</v>
      </c>
      <c r="AL325" s="179">
        <f ca="1">IF(ISNUMBER(MATCH(DATEVALUE($A325),'recurring1_based on steps'!AL$1:AL$400,0)),AL$2,)</f>
        <v>0</v>
      </c>
      <c r="AM325" s="179">
        <f ca="1">IF(ISNUMBER(MATCH(DATEVALUE($A325),'recurring1_based on steps'!AM$1:AM$400,0)),AM$2,)</f>
        <v>0</v>
      </c>
      <c r="AN325" s="179">
        <f ca="1">IF(ISNUMBER(MATCH(DATEVALUE($A325),'recurring1_based on steps'!AN$1:AN$400,0)),AN$2,)</f>
        <v>0</v>
      </c>
      <c r="AO325" s="179">
        <f ca="1">IF(ISNUMBER(MATCH(DATEVALUE($A325),'recurring1_based on steps'!AO$1:AO$400,0)),AO$2,)</f>
        <v>0</v>
      </c>
      <c r="AP325" s="179">
        <f ca="1">IF(ISNUMBER(MATCH(DATEVALUE($A325),'recurring1_based on steps'!AP$1:AP$400,0)),AP$2,)</f>
        <v>0</v>
      </c>
      <c r="AQ325" s="179">
        <f ca="1">IF(ISNUMBER(MATCH(DATEVALUE($A325),'recurring1_based on steps'!AQ$1:AQ$400,0)),AQ$2,)</f>
        <v>0</v>
      </c>
      <c r="AR325" s="179">
        <f ca="1">IF(ISNUMBER(MATCH(DATEVALUE($A325),'recurring1_based on steps'!AR$1:AR$400,0)),AR$2,)</f>
        <v>0</v>
      </c>
      <c r="AS325" s="179">
        <f ca="1">IF(ISNUMBER(MATCH(DATEVALUE($A325),'recurring1_based on steps'!AS$1:AS$400,0)),AS$2,)</f>
        <v>0</v>
      </c>
      <c r="AT325" s="179">
        <f ca="1">IF(ISNUMBER(MATCH(DATEVALUE($A325),'recurring1_based on steps'!AT$1:AT$400,0)),AT$2,)</f>
        <v>0</v>
      </c>
      <c r="AU325" s="179">
        <f ca="1">IF(ISNUMBER(MATCH(DATEVALUE($A325),'recurring1_based on steps'!AU$1:AU$400,0)),AU$2,)</f>
        <v>0</v>
      </c>
      <c r="AV325" s="179">
        <f ca="1">IF(ISNUMBER(MATCH(DATEVALUE($A325),'recurring1_based on steps'!AV$1:AV$400,0)),AV$2,)</f>
        <v>0</v>
      </c>
      <c r="AW325" s="179">
        <f ca="1">IF(ISNUMBER(MATCH(DATEVALUE($A325),'recurring1_based on steps'!AW$1:AW$400,0)),AW$2,)</f>
        <v>0</v>
      </c>
      <c r="AX325" s="179">
        <f ca="1">IF(ISNUMBER(MATCH(DATEVALUE($A325),'recurring1_based on steps'!AX$1:AX$400,0)),AX$2,)</f>
        <v>0</v>
      </c>
      <c r="AY325" s="179">
        <f ca="1">IF(ISNUMBER(MATCH(DATEVALUE($A325),'recurring1_based on steps'!AY$1:AY$400,0)),AY$2,)</f>
        <v>0</v>
      </c>
    </row>
    <row r="326" spans="1:51" x14ac:dyDescent="0.2">
      <c r="A326" s="32" t="str">
        <f t="shared" ca="1" si="5"/>
        <v>2026-02-15</v>
      </c>
      <c r="B326" s="179">
        <f ca="1">IF(ISNUMBER(MATCH(DATEVALUE($A326),'recurring1_based on steps'!B$1:B$400,0)),B$2,)</f>
        <v>0</v>
      </c>
      <c r="C326" s="179">
        <f ca="1">IF(ISNUMBER(MATCH(DATEVALUE($A326),'recurring1_based on steps'!C$1:C$400,0)),C$2,)</f>
        <v>0</v>
      </c>
      <c r="D326" s="179">
        <f ca="1">IF(ISNUMBER(MATCH(DATEVALUE($A326),'recurring1_based on steps'!D$1:D$400,0)),D$2,)</f>
        <v>0</v>
      </c>
      <c r="E326" s="179">
        <f ca="1">IF(ISNUMBER(MATCH(DATEVALUE($A326),'recurring1_based on steps'!E$1:E$400,0)),E$2,)</f>
        <v>0</v>
      </c>
      <c r="F326" s="179">
        <f ca="1">IF(ISNUMBER(MATCH(DATEVALUE($A326),'recurring1_based on steps'!F$1:F$400,0)),F$2,)</f>
        <v>0</v>
      </c>
      <c r="G326" s="179">
        <f ca="1">IF(ISNUMBER(MATCH(DATEVALUE($A326),'recurring1_based on steps'!G$1:G$400,0)),G$2,)</f>
        <v>0</v>
      </c>
      <c r="H326" s="179">
        <f ca="1">IF(ISNUMBER(MATCH(DATEVALUE($A326),'recurring1_based on steps'!H$1:H$400,0)),H$2,)</f>
        <v>0</v>
      </c>
      <c r="I326" s="179">
        <f ca="1">IF(ISNUMBER(MATCH(DATEVALUE($A326),'recurring1_based on steps'!I$1:I$400,0)),I$2,)</f>
        <v>0</v>
      </c>
      <c r="J326" s="179">
        <f ca="1">IF(ISNUMBER(MATCH(DATEVALUE($A326),'recurring1_based on steps'!J$1:J$400,0)),J$2,)</f>
        <v>0</v>
      </c>
      <c r="K326" s="179">
        <f ca="1">IF(ISNUMBER(MATCH(DATEVALUE($A326),'recurring1_based on steps'!K$1:K$400,0)),K$2,)</f>
        <v>0</v>
      </c>
      <c r="L326" s="179">
        <f ca="1">IF(ISNUMBER(MATCH(DATEVALUE($A326),'recurring1_based on steps'!L$1:L$400,0)),L$2,)</f>
        <v>0</v>
      </c>
      <c r="M326" s="179">
        <f ca="1">IF(ISNUMBER(MATCH(DATEVALUE($A326),'recurring1_based on steps'!M$1:M$400,0)),M$2,)</f>
        <v>0</v>
      </c>
      <c r="N326" s="179">
        <f ca="1">IF(ISNUMBER(MATCH(DATEVALUE($A326),'recurring1_based on steps'!N$1:N$400,0)),N$2,)</f>
        <v>0</v>
      </c>
      <c r="O326" s="179">
        <f ca="1">IF(ISNUMBER(MATCH(DATEVALUE($A326),'recurring1_based on steps'!O$1:O$400,0)),O$2,)</f>
        <v>0</v>
      </c>
      <c r="P326" s="179">
        <f ca="1">IF(ISNUMBER(MATCH(DATEVALUE($A326),'recurring1_based on steps'!P$1:P$400,0)),P$2,)</f>
        <v>0</v>
      </c>
      <c r="Q326" s="179">
        <f ca="1">IF(ISNUMBER(MATCH(DATEVALUE($A326),'recurring1_based on steps'!Q$1:Q$400,0)),Q$2,)</f>
        <v>0</v>
      </c>
      <c r="R326" s="179">
        <f ca="1">IF(ISNUMBER(MATCH(DATEVALUE($A326),'recurring1_based on steps'!R$1:R$400,0)),R$2,)</f>
        <v>0</v>
      </c>
      <c r="S326" s="179">
        <f ca="1">IF(ISNUMBER(MATCH(DATEVALUE($A326),'recurring1_based on steps'!S$1:S$400,0)),S$2,)</f>
        <v>0</v>
      </c>
      <c r="T326" s="179">
        <f ca="1">IF(ISNUMBER(MATCH(DATEVALUE($A326),'recurring1_based on steps'!T$1:T$400,0)),T$2,)</f>
        <v>0</v>
      </c>
      <c r="U326" s="179">
        <f ca="1">IF(ISNUMBER(MATCH(DATEVALUE($A326),'recurring1_based on steps'!U$1:U$400,0)),U$2,)</f>
        <v>0</v>
      </c>
      <c r="V326" s="179">
        <f ca="1">IF(ISNUMBER(MATCH(DATEVALUE($A326),'recurring1_based on steps'!V$1:V$400,0)),V$2,)</f>
        <v>0</v>
      </c>
      <c r="W326" s="179">
        <f ca="1">IF(ISNUMBER(MATCH(DATEVALUE($A326),'recurring1_based on steps'!W$1:W$400,0)),W$2,)</f>
        <v>0</v>
      </c>
      <c r="X326" s="179">
        <f ca="1">IF(ISNUMBER(MATCH(DATEVALUE($A326),'recurring1_based on steps'!X$1:X$400,0)),X$2,)</f>
        <v>0</v>
      </c>
      <c r="Y326" s="179">
        <f ca="1">IF(ISNUMBER(MATCH(DATEVALUE($A326),'recurring1_based on steps'!Y$1:Y$400,0)),Y$2,)</f>
        <v>0</v>
      </c>
      <c r="Z326" s="179">
        <f ca="1">IF(ISNUMBER(MATCH(DATEVALUE($A326),'recurring1_based on steps'!Z$1:Z$400,0)),Z$2,)</f>
        <v>0</v>
      </c>
      <c r="AA326" s="179">
        <f ca="1">IF(ISNUMBER(MATCH(DATEVALUE($A326),'recurring1_based on steps'!AA$1:AA$400,0)),AA$2,)</f>
        <v>0</v>
      </c>
      <c r="AB326" s="179">
        <f ca="1">IF(ISNUMBER(MATCH(DATEVALUE($A326),'recurring1_based on steps'!AB$1:AB$400,0)),AB$2,)</f>
        <v>0</v>
      </c>
      <c r="AC326" s="179">
        <f ca="1">IF(ISNUMBER(MATCH(DATEVALUE($A326),'recurring1_based on steps'!AC$1:AC$400,0)),AC$2,)</f>
        <v>0</v>
      </c>
      <c r="AD326" s="179">
        <f ca="1">IF(ISNUMBER(MATCH(DATEVALUE($A326),'recurring1_based on steps'!AD$1:AD$400,0)),AD$2,)</f>
        <v>0</v>
      </c>
      <c r="AE326" s="179">
        <f ca="1">IF(ISNUMBER(MATCH(DATEVALUE($A326),'recurring1_based on steps'!AE$1:AE$400,0)),AE$2,)</f>
        <v>0</v>
      </c>
      <c r="AF326" s="179">
        <f ca="1">IF(ISNUMBER(MATCH(DATEVALUE($A326),'recurring1_based on steps'!AF$1:AF$400,0)),AF$2,)</f>
        <v>0</v>
      </c>
      <c r="AG326" s="179">
        <f ca="1">IF(ISNUMBER(MATCH(DATEVALUE($A326),'recurring1_based on steps'!AG$1:AG$400,0)),AG$2,)</f>
        <v>0</v>
      </c>
      <c r="AH326" s="179">
        <f ca="1">IF(ISNUMBER(MATCH(DATEVALUE($A326),'recurring1_based on steps'!AH$1:AH$400,0)),AH$2,)</f>
        <v>0</v>
      </c>
      <c r="AI326" s="179">
        <f ca="1">IF(ISNUMBER(MATCH(DATEVALUE($A326),'recurring1_based on steps'!AI$1:AI$400,0)),AI$2,)</f>
        <v>0</v>
      </c>
      <c r="AJ326" s="179">
        <f ca="1">IF(ISNUMBER(MATCH(DATEVALUE($A326),'recurring1_based on steps'!AJ$1:AJ$400,0)),AJ$2,)</f>
        <v>0</v>
      </c>
      <c r="AK326" s="179">
        <f ca="1">IF(ISNUMBER(MATCH(DATEVALUE($A326),'recurring1_based on steps'!AK$1:AK$400,0)),AK$2,)</f>
        <v>0</v>
      </c>
      <c r="AL326" s="179">
        <f ca="1">IF(ISNUMBER(MATCH(DATEVALUE($A326),'recurring1_based on steps'!AL$1:AL$400,0)),AL$2,)</f>
        <v>0</v>
      </c>
      <c r="AM326" s="179">
        <f ca="1">IF(ISNUMBER(MATCH(DATEVALUE($A326),'recurring1_based on steps'!AM$1:AM$400,0)),AM$2,)</f>
        <v>0</v>
      </c>
      <c r="AN326" s="179">
        <f ca="1">IF(ISNUMBER(MATCH(DATEVALUE($A326),'recurring1_based on steps'!AN$1:AN$400,0)),AN$2,)</f>
        <v>0</v>
      </c>
      <c r="AO326" s="179">
        <f ca="1">IF(ISNUMBER(MATCH(DATEVALUE($A326),'recurring1_based on steps'!AO$1:AO$400,0)),AO$2,)</f>
        <v>0</v>
      </c>
      <c r="AP326" s="179">
        <f ca="1">IF(ISNUMBER(MATCH(DATEVALUE($A326),'recurring1_based on steps'!AP$1:AP$400,0)),AP$2,)</f>
        <v>0</v>
      </c>
      <c r="AQ326" s="179">
        <f ca="1">IF(ISNUMBER(MATCH(DATEVALUE($A326),'recurring1_based on steps'!AQ$1:AQ$400,0)),AQ$2,)</f>
        <v>0</v>
      </c>
      <c r="AR326" s="179">
        <f ca="1">IF(ISNUMBER(MATCH(DATEVALUE($A326),'recurring1_based on steps'!AR$1:AR$400,0)),AR$2,)</f>
        <v>0</v>
      </c>
      <c r="AS326" s="179">
        <f ca="1">IF(ISNUMBER(MATCH(DATEVALUE($A326),'recurring1_based on steps'!AS$1:AS$400,0)),AS$2,)</f>
        <v>0</v>
      </c>
      <c r="AT326" s="179">
        <f ca="1">IF(ISNUMBER(MATCH(DATEVALUE($A326),'recurring1_based on steps'!AT$1:AT$400,0)),AT$2,)</f>
        <v>0</v>
      </c>
      <c r="AU326" s="179">
        <f ca="1">IF(ISNUMBER(MATCH(DATEVALUE($A326),'recurring1_based on steps'!AU$1:AU$400,0)),AU$2,)</f>
        <v>0</v>
      </c>
      <c r="AV326" s="179">
        <f ca="1">IF(ISNUMBER(MATCH(DATEVALUE($A326),'recurring1_based on steps'!AV$1:AV$400,0)),AV$2,)</f>
        <v>0</v>
      </c>
      <c r="AW326" s="179">
        <f ca="1">IF(ISNUMBER(MATCH(DATEVALUE($A326),'recurring1_based on steps'!AW$1:AW$400,0)),AW$2,)</f>
        <v>0</v>
      </c>
      <c r="AX326" s="179">
        <f ca="1">IF(ISNUMBER(MATCH(DATEVALUE($A326),'recurring1_based on steps'!AX$1:AX$400,0)),AX$2,)</f>
        <v>0</v>
      </c>
      <c r="AY326" s="179">
        <f ca="1">IF(ISNUMBER(MATCH(DATEVALUE($A326),'recurring1_based on steps'!AY$1:AY$400,0)),AY$2,)</f>
        <v>0</v>
      </c>
    </row>
    <row r="327" spans="1:51" x14ac:dyDescent="0.2">
      <c r="A327" s="32" t="str">
        <f t="shared" ca="1" si="5"/>
        <v>2026-02-16</v>
      </c>
      <c r="B327" s="179">
        <f ca="1">IF(ISNUMBER(MATCH(DATEVALUE($A327),'recurring1_based on steps'!B$1:B$400,0)),B$2,)</f>
        <v>0</v>
      </c>
      <c r="C327" s="179">
        <f ca="1">IF(ISNUMBER(MATCH(DATEVALUE($A327),'recurring1_based on steps'!C$1:C$400,0)),C$2,)</f>
        <v>0</v>
      </c>
      <c r="D327" s="179">
        <f ca="1">IF(ISNUMBER(MATCH(DATEVALUE($A327),'recurring1_based on steps'!D$1:D$400,0)),D$2,)</f>
        <v>0</v>
      </c>
      <c r="E327" s="179">
        <f ca="1">IF(ISNUMBER(MATCH(DATEVALUE($A327),'recurring1_based on steps'!E$1:E$400,0)),E$2,)</f>
        <v>0</v>
      </c>
      <c r="F327" s="179">
        <f ca="1">IF(ISNUMBER(MATCH(DATEVALUE($A327),'recurring1_based on steps'!F$1:F$400,0)),F$2,)</f>
        <v>0</v>
      </c>
      <c r="G327" s="179">
        <f ca="1">IF(ISNUMBER(MATCH(DATEVALUE($A327),'recurring1_based on steps'!G$1:G$400,0)),G$2,)</f>
        <v>0</v>
      </c>
      <c r="H327" s="179">
        <f ca="1">IF(ISNUMBER(MATCH(DATEVALUE($A327),'recurring1_based on steps'!H$1:H$400,0)),H$2,)</f>
        <v>0</v>
      </c>
      <c r="I327" s="179">
        <f ca="1">IF(ISNUMBER(MATCH(DATEVALUE($A327),'recurring1_based on steps'!I$1:I$400,0)),I$2,)</f>
        <v>0</v>
      </c>
      <c r="J327" s="179">
        <f ca="1">IF(ISNUMBER(MATCH(DATEVALUE($A327),'recurring1_based on steps'!J$1:J$400,0)),J$2,)</f>
        <v>0</v>
      </c>
      <c r="K327" s="179">
        <f ca="1">IF(ISNUMBER(MATCH(DATEVALUE($A327),'recurring1_based on steps'!K$1:K$400,0)),K$2,)</f>
        <v>0</v>
      </c>
      <c r="L327" s="179">
        <f ca="1">IF(ISNUMBER(MATCH(DATEVALUE($A327),'recurring1_based on steps'!L$1:L$400,0)),L$2,)</f>
        <v>0</v>
      </c>
      <c r="M327" s="179">
        <f ca="1">IF(ISNUMBER(MATCH(DATEVALUE($A327),'recurring1_based on steps'!M$1:M$400,0)),M$2,)</f>
        <v>0</v>
      </c>
      <c r="N327" s="179">
        <f ca="1">IF(ISNUMBER(MATCH(DATEVALUE($A327),'recurring1_based on steps'!N$1:N$400,0)),N$2,)</f>
        <v>0</v>
      </c>
      <c r="O327" s="179">
        <f ca="1">IF(ISNUMBER(MATCH(DATEVALUE($A327),'recurring1_based on steps'!O$1:O$400,0)),O$2,)</f>
        <v>0</v>
      </c>
      <c r="P327" s="179">
        <f ca="1">IF(ISNUMBER(MATCH(DATEVALUE($A327),'recurring1_based on steps'!P$1:P$400,0)),P$2,)</f>
        <v>0</v>
      </c>
      <c r="Q327" s="179">
        <f ca="1">IF(ISNUMBER(MATCH(DATEVALUE($A327),'recurring1_based on steps'!Q$1:Q$400,0)),Q$2,)</f>
        <v>0</v>
      </c>
      <c r="R327" s="179">
        <f ca="1">IF(ISNUMBER(MATCH(DATEVALUE($A327),'recurring1_based on steps'!R$1:R$400,0)),R$2,)</f>
        <v>0</v>
      </c>
      <c r="S327" s="179">
        <f ca="1">IF(ISNUMBER(MATCH(DATEVALUE($A327),'recurring1_based on steps'!S$1:S$400,0)),S$2,)</f>
        <v>0</v>
      </c>
      <c r="T327" s="179">
        <f ca="1">IF(ISNUMBER(MATCH(DATEVALUE($A327),'recurring1_based on steps'!T$1:T$400,0)),T$2,)</f>
        <v>0</v>
      </c>
      <c r="U327" s="179">
        <f ca="1">IF(ISNUMBER(MATCH(DATEVALUE($A327),'recurring1_based on steps'!U$1:U$400,0)),U$2,)</f>
        <v>0</v>
      </c>
      <c r="V327" s="179">
        <f ca="1">IF(ISNUMBER(MATCH(DATEVALUE($A327),'recurring1_based on steps'!V$1:V$400,0)),V$2,)</f>
        <v>0</v>
      </c>
      <c r="W327" s="179">
        <f ca="1">IF(ISNUMBER(MATCH(DATEVALUE($A327),'recurring1_based on steps'!W$1:W$400,0)),W$2,)</f>
        <v>0</v>
      </c>
      <c r="X327" s="179">
        <f ca="1">IF(ISNUMBER(MATCH(DATEVALUE($A327),'recurring1_based on steps'!X$1:X$400,0)),X$2,)</f>
        <v>0</v>
      </c>
      <c r="Y327" s="179">
        <f ca="1">IF(ISNUMBER(MATCH(DATEVALUE($A327),'recurring1_based on steps'!Y$1:Y$400,0)),Y$2,)</f>
        <v>0</v>
      </c>
      <c r="Z327" s="179">
        <f ca="1">IF(ISNUMBER(MATCH(DATEVALUE($A327),'recurring1_based on steps'!Z$1:Z$400,0)),Z$2,)</f>
        <v>0</v>
      </c>
      <c r="AA327" s="179">
        <f ca="1">IF(ISNUMBER(MATCH(DATEVALUE($A327),'recurring1_based on steps'!AA$1:AA$400,0)),AA$2,)</f>
        <v>0</v>
      </c>
      <c r="AB327" s="179">
        <f ca="1">IF(ISNUMBER(MATCH(DATEVALUE($A327),'recurring1_based on steps'!AB$1:AB$400,0)),AB$2,)</f>
        <v>0</v>
      </c>
      <c r="AC327" s="179">
        <f ca="1">IF(ISNUMBER(MATCH(DATEVALUE($A327),'recurring1_based on steps'!AC$1:AC$400,0)),AC$2,)</f>
        <v>0</v>
      </c>
      <c r="AD327" s="179">
        <f ca="1">IF(ISNUMBER(MATCH(DATEVALUE($A327),'recurring1_based on steps'!AD$1:AD$400,0)),AD$2,)</f>
        <v>0</v>
      </c>
      <c r="AE327" s="179">
        <f ca="1">IF(ISNUMBER(MATCH(DATEVALUE($A327),'recurring1_based on steps'!AE$1:AE$400,0)),AE$2,)</f>
        <v>0</v>
      </c>
      <c r="AF327" s="179">
        <f ca="1">IF(ISNUMBER(MATCH(DATEVALUE($A327),'recurring1_based on steps'!AF$1:AF$400,0)),AF$2,)</f>
        <v>0</v>
      </c>
      <c r="AG327" s="179">
        <f ca="1">IF(ISNUMBER(MATCH(DATEVALUE($A327),'recurring1_based on steps'!AG$1:AG$400,0)),AG$2,)</f>
        <v>0</v>
      </c>
      <c r="AH327" s="179">
        <f ca="1">IF(ISNUMBER(MATCH(DATEVALUE($A327),'recurring1_based on steps'!AH$1:AH$400,0)),AH$2,)</f>
        <v>0</v>
      </c>
      <c r="AI327" s="179">
        <f ca="1">IF(ISNUMBER(MATCH(DATEVALUE($A327),'recurring1_based on steps'!AI$1:AI$400,0)),AI$2,)</f>
        <v>0</v>
      </c>
      <c r="AJ327" s="179">
        <f ca="1">IF(ISNUMBER(MATCH(DATEVALUE($A327),'recurring1_based on steps'!AJ$1:AJ$400,0)),AJ$2,)</f>
        <v>0</v>
      </c>
      <c r="AK327" s="179">
        <f ca="1">IF(ISNUMBER(MATCH(DATEVALUE($A327),'recurring1_based on steps'!AK$1:AK$400,0)),AK$2,)</f>
        <v>0</v>
      </c>
      <c r="AL327" s="179">
        <f ca="1">IF(ISNUMBER(MATCH(DATEVALUE($A327),'recurring1_based on steps'!AL$1:AL$400,0)),AL$2,)</f>
        <v>0</v>
      </c>
      <c r="AM327" s="179">
        <f ca="1">IF(ISNUMBER(MATCH(DATEVALUE($A327),'recurring1_based on steps'!AM$1:AM$400,0)),AM$2,)</f>
        <v>0</v>
      </c>
      <c r="AN327" s="179">
        <f ca="1">IF(ISNUMBER(MATCH(DATEVALUE($A327),'recurring1_based on steps'!AN$1:AN$400,0)),AN$2,)</f>
        <v>0</v>
      </c>
      <c r="AO327" s="179">
        <f ca="1">IF(ISNUMBER(MATCH(DATEVALUE($A327),'recurring1_based on steps'!AO$1:AO$400,0)),AO$2,)</f>
        <v>0</v>
      </c>
      <c r="AP327" s="179">
        <f ca="1">IF(ISNUMBER(MATCH(DATEVALUE($A327),'recurring1_based on steps'!AP$1:AP$400,0)),AP$2,)</f>
        <v>0</v>
      </c>
      <c r="AQ327" s="179">
        <f ca="1">IF(ISNUMBER(MATCH(DATEVALUE($A327),'recurring1_based on steps'!AQ$1:AQ$400,0)),AQ$2,)</f>
        <v>0</v>
      </c>
      <c r="AR327" s="179">
        <f ca="1">IF(ISNUMBER(MATCH(DATEVALUE($A327),'recurring1_based on steps'!AR$1:AR$400,0)),AR$2,)</f>
        <v>0</v>
      </c>
      <c r="AS327" s="179">
        <f ca="1">IF(ISNUMBER(MATCH(DATEVALUE($A327),'recurring1_based on steps'!AS$1:AS$400,0)),AS$2,)</f>
        <v>0</v>
      </c>
      <c r="AT327" s="179">
        <f ca="1">IF(ISNUMBER(MATCH(DATEVALUE($A327),'recurring1_based on steps'!AT$1:AT$400,0)),AT$2,)</f>
        <v>0</v>
      </c>
      <c r="AU327" s="179">
        <f ca="1">IF(ISNUMBER(MATCH(DATEVALUE($A327),'recurring1_based on steps'!AU$1:AU$400,0)),AU$2,)</f>
        <v>0</v>
      </c>
      <c r="AV327" s="179">
        <f ca="1">IF(ISNUMBER(MATCH(DATEVALUE($A327),'recurring1_based on steps'!AV$1:AV$400,0)),AV$2,)</f>
        <v>0</v>
      </c>
      <c r="AW327" s="179">
        <f ca="1">IF(ISNUMBER(MATCH(DATEVALUE($A327),'recurring1_based on steps'!AW$1:AW$400,0)),AW$2,)</f>
        <v>0</v>
      </c>
      <c r="AX327" s="179">
        <f ca="1">IF(ISNUMBER(MATCH(DATEVALUE($A327),'recurring1_based on steps'!AX$1:AX$400,0)),AX$2,)</f>
        <v>0</v>
      </c>
      <c r="AY327" s="179">
        <f ca="1">IF(ISNUMBER(MATCH(DATEVALUE($A327),'recurring1_based on steps'!AY$1:AY$400,0)),AY$2,)</f>
        <v>0</v>
      </c>
    </row>
    <row r="328" spans="1:51" x14ac:dyDescent="0.2">
      <c r="A328" s="32" t="str">
        <f t="shared" ca="1" si="5"/>
        <v>2026-02-17</v>
      </c>
      <c r="B328" s="179">
        <f ca="1">IF(ISNUMBER(MATCH(DATEVALUE($A328),'recurring1_based on steps'!B$1:B$400,0)),B$2,)</f>
        <v>0</v>
      </c>
      <c r="C328" s="179">
        <f ca="1">IF(ISNUMBER(MATCH(DATEVALUE($A328),'recurring1_based on steps'!C$1:C$400,0)),C$2,)</f>
        <v>0</v>
      </c>
      <c r="D328" s="179">
        <f ca="1">IF(ISNUMBER(MATCH(DATEVALUE($A328),'recurring1_based on steps'!D$1:D$400,0)),D$2,)</f>
        <v>0</v>
      </c>
      <c r="E328" s="179">
        <f ca="1">IF(ISNUMBER(MATCH(DATEVALUE($A328),'recurring1_based on steps'!E$1:E$400,0)),E$2,)</f>
        <v>0</v>
      </c>
      <c r="F328" s="179">
        <f ca="1">IF(ISNUMBER(MATCH(DATEVALUE($A328),'recurring1_based on steps'!F$1:F$400,0)),F$2,)</f>
        <v>0</v>
      </c>
      <c r="G328" s="179">
        <f ca="1">IF(ISNUMBER(MATCH(DATEVALUE($A328),'recurring1_based on steps'!G$1:G$400,0)),G$2,)</f>
        <v>0</v>
      </c>
      <c r="H328" s="179">
        <f ca="1">IF(ISNUMBER(MATCH(DATEVALUE($A328),'recurring1_based on steps'!H$1:H$400,0)),H$2,)</f>
        <v>0</v>
      </c>
      <c r="I328" s="179">
        <f ca="1">IF(ISNUMBER(MATCH(DATEVALUE($A328),'recurring1_based on steps'!I$1:I$400,0)),I$2,)</f>
        <v>0</v>
      </c>
      <c r="J328" s="179">
        <f ca="1">IF(ISNUMBER(MATCH(DATEVALUE($A328),'recurring1_based on steps'!J$1:J$400,0)),J$2,)</f>
        <v>0</v>
      </c>
      <c r="K328" s="179">
        <f ca="1">IF(ISNUMBER(MATCH(DATEVALUE($A328),'recurring1_based on steps'!K$1:K$400,0)),K$2,)</f>
        <v>0</v>
      </c>
      <c r="L328" s="179">
        <f ca="1">IF(ISNUMBER(MATCH(DATEVALUE($A328),'recurring1_based on steps'!L$1:L$400,0)),L$2,)</f>
        <v>0</v>
      </c>
      <c r="M328" s="179">
        <f ca="1">IF(ISNUMBER(MATCH(DATEVALUE($A328),'recurring1_based on steps'!M$1:M$400,0)),M$2,)</f>
        <v>0</v>
      </c>
      <c r="N328" s="179">
        <f ca="1">IF(ISNUMBER(MATCH(DATEVALUE($A328),'recurring1_based on steps'!N$1:N$400,0)),N$2,)</f>
        <v>0</v>
      </c>
      <c r="O328" s="179">
        <f ca="1">IF(ISNUMBER(MATCH(DATEVALUE($A328),'recurring1_based on steps'!O$1:O$400,0)),O$2,)</f>
        <v>0</v>
      </c>
      <c r="P328" s="179">
        <f ca="1">IF(ISNUMBER(MATCH(DATEVALUE($A328),'recurring1_based on steps'!P$1:P$400,0)),P$2,)</f>
        <v>0</v>
      </c>
      <c r="Q328" s="179">
        <f ca="1">IF(ISNUMBER(MATCH(DATEVALUE($A328),'recurring1_based on steps'!Q$1:Q$400,0)),Q$2,)</f>
        <v>0</v>
      </c>
      <c r="R328" s="179">
        <f ca="1">IF(ISNUMBER(MATCH(DATEVALUE($A328),'recurring1_based on steps'!R$1:R$400,0)),R$2,)</f>
        <v>0</v>
      </c>
      <c r="S328" s="179">
        <f ca="1">IF(ISNUMBER(MATCH(DATEVALUE($A328),'recurring1_based on steps'!S$1:S$400,0)),S$2,)</f>
        <v>0</v>
      </c>
      <c r="T328" s="179">
        <f ca="1">IF(ISNUMBER(MATCH(DATEVALUE($A328),'recurring1_based on steps'!T$1:T$400,0)),T$2,)</f>
        <v>0</v>
      </c>
      <c r="U328" s="179">
        <f ca="1">IF(ISNUMBER(MATCH(DATEVALUE($A328),'recurring1_based on steps'!U$1:U$400,0)),U$2,)</f>
        <v>0</v>
      </c>
      <c r="V328" s="179">
        <f ca="1">IF(ISNUMBER(MATCH(DATEVALUE($A328),'recurring1_based on steps'!V$1:V$400,0)),V$2,)</f>
        <v>0</v>
      </c>
      <c r="W328" s="179">
        <f ca="1">IF(ISNUMBER(MATCH(DATEVALUE($A328),'recurring1_based on steps'!W$1:W$400,0)),W$2,)</f>
        <v>0</v>
      </c>
      <c r="X328" s="179">
        <f ca="1">IF(ISNUMBER(MATCH(DATEVALUE($A328),'recurring1_based on steps'!X$1:X$400,0)),X$2,)</f>
        <v>0</v>
      </c>
      <c r="Y328" s="179">
        <f ca="1">IF(ISNUMBER(MATCH(DATEVALUE($A328),'recurring1_based on steps'!Y$1:Y$400,0)),Y$2,)</f>
        <v>0</v>
      </c>
      <c r="Z328" s="179">
        <f ca="1">IF(ISNUMBER(MATCH(DATEVALUE($A328),'recurring1_based on steps'!Z$1:Z$400,0)),Z$2,)</f>
        <v>0</v>
      </c>
      <c r="AA328" s="179">
        <f ca="1">IF(ISNUMBER(MATCH(DATEVALUE($A328),'recurring1_based on steps'!AA$1:AA$400,0)),AA$2,)</f>
        <v>0</v>
      </c>
      <c r="AB328" s="179">
        <f ca="1">IF(ISNUMBER(MATCH(DATEVALUE($A328),'recurring1_based on steps'!AB$1:AB$400,0)),AB$2,)</f>
        <v>0</v>
      </c>
      <c r="AC328" s="179">
        <f ca="1">IF(ISNUMBER(MATCH(DATEVALUE($A328),'recurring1_based on steps'!AC$1:AC$400,0)),AC$2,)</f>
        <v>0</v>
      </c>
      <c r="AD328" s="179">
        <f ca="1">IF(ISNUMBER(MATCH(DATEVALUE($A328),'recurring1_based on steps'!AD$1:AD$400,0)),AD$2,)</f>
        <v>0</v>
      </c>
      <c r="AE328" s="179">
        <f ca="1">IF(ISNUMBER(MATCH(DATEVALUE($A328),'recurring1_based on steps'!AE$1:AE$400,0)),AE$2,)</f>
        <v>0</v>
      </c>
      <c r="AF328" s="179">
        <f ca="1">IF(ISNUMBER(MATCH(DATEVALUE($A328),'recurring1_based on steps'!AF$1:AF$400,0)),AF$2,)</f>
        <v>0</v>
      </c>
      <c r="AG328" s="179">
        <f ca="1">IF(ISNUMBER(MATCH(DATEVALUE($A328),'recurring1_based on steps'!AG$1:AG$400,0)),AG$2,)</f>
        <v>0</v>
      </c>
      <c r="AH328" s="179">
        <f ca="1">IF(ISNUMBER(MATCH(DATEVALUE($A328),'recurring1_based on steps'!AH$1:AH$400,0)),AH$2,)</f>
        <v>0</v>
      </c>
      <c r="AI328" s="179">
        <f ca="1">IF(ISNUMBER(MATCH(DATEVALUE($A328),'recurring1_based on steps'!AI$1:AI$400,0)),AI$2,)</f>
        <v>0</v>
      </c>
      <c r="AJ328" s="179">
        <f ca="1">IF(ISNUMBER(MATCH(DATEVALUE($A328),'recurring1_based on steps'!AJ$1:AJ$400,0)),AJ$2,)</f>
        <v>0</v>
      </c>
      <c r="AK328" s="179">
        <f ca="1">IF(ISNUMBER(MATCH(DATEVALUE($A328),'recurring1_based on steps'!AK$1:AK$400,0)),AK$2,)</f>
        <v>0</v>
      </c>
      <c r="AL328" s="179">
        <f ca="1">IF(ISNUMBER(MATCH(DATEVALUE($A328),'recurring1_based on steps'!AL$1:AL$400,0)),AL$2,)</f>
        <v>0</v>
      </c>
      <c r="AM328" s="179">
        <f ca="1">IF(ISNUMBER(MATCH(DATEVALUE($A328),'recurring1_based on steps'!AM$1:AM$400,0)),AM$2,)</f>
        <v>0</v>
      </c>
      <c r="AN328" s="179">
        <f ca="1">IF(ISNUMBER(MATCH(DATEVALUE($A328),'recurring1_based on steps'!AN$1:AN$400,0)),AN$2,)</f>
        <v>0</v>
      </c>
      <c r="AO328" s="179">
        <f ca="1">IF(ISNUMBER(MATCH(DATEVALUE($A328),'recurring1_based on steps'!AO$1:AO$400,0)),AO$2,)</f>
        <v>0</v>
      </c>
      <c r="AP328" s="179">
        <f ca="1">IF(ISNUMBER(MATCH(DATEVALUE($A328),'recurring1_based on steps'!AP$1:AP$400,0)),AP$2,)</f>
        <v>0</v>
      </c>
      <c r="AQ328" s="179">
        <f ca="1">IF(ISNUMBER(MATCH(DATEVALUE($A328),'recurring1_based on steps'!AQ$1:AQ$400,0)),AQ$2,)</f>
        <v>0</v>
      </c>
      <c r="AR328" s="179">
        <f ca="1">IF(ISNUMBER(MATCH(DATEVALUE($A328),'recurring1_based on steps'!AR$1:AR$400,0)),AR$2,)</f>
        <v>0</v>
      </c>
      <c r="AS328" s="179">
        <f ca="1">IF(ISNUMBER(MATCH(DATEVALUE($A328),'recurring1_based on steps'!AS$1:AS$400,0)),AS$2,)</f>
        <v>0</v>
      </c>
      <c r="AT328" s="179">
        <f ca="1">IF(ISNUMBER(MATCH(DATEVALUE($A328),'recurring1_based on steps'!AT$1:AT$400,0)),AT$2,)</f>
        <v>0</v>
      </c>
      <c r="AU328" s="179">
        <f ca="1">IF(ISNUMBER(MATCH(DATEVALUE($A328),'recurring1_based on steps'!AU$1:AU$400,0)),AU$2,)</f>
        <v>0</v>
      </c>
      <c r="AV328" s="179">
        <f ca="1">IF(ISNUMBER(MATCH(DATEVALUE($A328),'recurring1_based on steps'!AV$1:AV$400,0)),AV$2,)</f>
        <v>0</v>
      </c>
      <c r="AW328" s="179">
        <f ca="1">IF(ISNUMBER(MATCH(DATEVALUE($A328),'recurring1_based on steps'!AW$1:AW$400,0)),AW$2,)</f>
        <v>0</v>
      </c>
      <c r="AX328" s="179">
        <f ca="1">IF(ISNUMBER(MATCH(DATEVALUE($A328),'recurring1_based on steps'!AX$1:AX$400,0)),AX$2,)</f>
        <v>0</v>
      </c>
      <c r="AY328" s="179">
        <f ca="1">IF(ISNUMBER(MATCH(DATEVALUE($A328),'recurring1_based on steps'!AY$1:AY$400,0)),AY$2,)</f>
        <v>0</v>
      </c>
    </row>
    <row r="329" spans="1:51" x14ac:dyDescent="0.2">
      <c r="A329" s="32" t="str">
        <f t="shared" ca="1" si="5"/>
        <v>2026-02-18</v>
      </c>
      <c r="B329" s="179">
        <f ca="1">IF(ISNUMBER(MATCH(DATEVALUE($A329),'recurring1_based on steps'!B$1:B$400,0)),B$2,)</f>
        <v>0</v>
      </c>
      <c r="C329" s="179">
        <f ca="1">IF(ISNUMBER(MATCH(DATEVALUE($A329),'recurring1_based on steps'!C$1:C$400,0)),C$2,)</f>
        <v>0</v>
      </c>
      <c r="D329" s="179">
        <f ca="1">IF(ISNUMBER(MATCH(DATEVALUE($A329),'recurring1_based on steps'!D$1:D$400,0)),D$2,)</f>
        <v>0</v>
      </c>
      <c r="E329" s="179">
        <f ca="1">IF(ISNUMBER(MATCH(DATEVALUE($A329),'recurring1_based on steps'!E$1:E$400,0)),E$2,)</f>
        <v>0</v>
      </c>
      <c r="F329" s="179">
        <f ca="1">IF(ISNUMBER(MATCH(DATEVALUE($A329),'recurring1_based on steps'!F$1:F$400,0)),F$2,)</f>
        <v>0</v>
      </c>
      <c r="G329" s="179">
        <f ca="1">IF(ISNUMBER(MATCH(DATEVALUE($A329),'recurring1_based on steps'!G$1:G$400,0)),G$2,)</f>
        <v>0</v>
      </c>
      <c r="H329" s="179">
        <f ca="1">IF(ISNUMBER(MATCH(DATEVALUE($A329),'recurring1_based on steps'!H$1:H$400,0)),H$2,)</f>
        <v>0</v>
      </c>
      <c r="I329" s="179">
        <f ca="1">IF(ISNUMBER(MATCH(DATEVALUE($A329),'recurring1_based on steps'!I$1:I$400,0)),I$2,)</f>
        <v>0</v>
      </c>
      <c r="J329" s="179">
        <f ca="1">IF(ISNUMBER(MATCH(DATEVALUE($A329),'recurring1_based on steps'!J$1:J$400,0)),J$2,)</f>
        <v>0</v>
      </c>
      <c r="K329" s="179">
        <f ca="1">IF(ISNUMBER(MATCH(DATEVALUE($A329),'recurring1_based on steps'!K$1:K$400,0)),K$2,)</f>
        <v>0</v>
      </c>
      <c r="L329" s="179">
        <f ca="1">IF(ISNUMBER(MATCH(DATEVALUE($A329),'recurring1_based on steps'!L$1:L$400,0)),L$2,)</f>
        <v>0</v>
      </c>
      <c r="M329" s="179">
        <f ca="1">IF(ISNUMBER(MATCH(DATEVALUE($A329),'recurring1_based on steps'!M$1:M$400,0)),M$2,)</f>
        <v>0</v>
      </c>
      <c r="N329" s="179">
        <f ca="1">IF(ISNUMBER(MATCH(DATEVALUE($A329),'recurring1_based on steps'!N$1:N$400,0)),N$2,)</f>
        <v>0</v>
      </c>
      <c r="O329" s="179">
        <f ca="1">IF(ISNUMBER(MATCH(DATEVALUE($A329),'recurring1_based on steps'!O$1:O$400,0)),O$2,)</f>
        <v>0</v>
      </c>
      <c r="P329" s="179">
        <f ca="1">IF(ISNUMBER(MATCH(DATEVALUE($A329),'recurring1_based on steps'!P$1:P$400,0)),P$2,)</f>
        <v>0</v>
      </c>
      <c r="Q329" s="179">
        <f ca="1">IF(ISNUMBER(MATCH(DATEVALUE($A329),'recurring1_based on steps'!Q$1:Q$400,0)),Q$2,)</f>
        <v>0</v>
      </c>
      <c r="R329" s="179">
        <f ca="1">IF(ISNUMBER(MATCH(DATEVALUE($A329),'recurring1_based on steps'!R$1:R$400,0)),R$2,)</f>
        <v>0</v>
      </c>
      <c r="S329" s="179">
        <f ca="1">IF(ISNUMBER(MATCH(DATEVALUE($A329),'recurring1_based on steps'!S$1:S$400,0)),S$2,)</f>
        <v>0</v>
      </c>
      <c r="T329" s="179">
        <f ca="1">IF(ISNUMBER(MATCH(DATEVALUE($A329),'recurring1_based on steps'!T$1:T$400,0)),T$2,)</f>
        <v>0</v>
      </c>
      <c r="U329" s="179">
        <f ca="1">IF(ISNUMBER(MATCH(DATEVALUE($A329),'recurring1_based on steps'!U$1:U$400,0)),U$2,)</f>
        <v>0</v>
      </c>
      <c r="V329" s="179">
        <f ca="1">IF(ISNUMBER(MATCH(DATEVALUE($A329),'recurring1_based on steps'!V$1:V$400,0)),V$2,)</f>
        <v>0</v>
      </c>
      <c r="W329" s="179">
        <f ca="1">IF(ISNUMBER(MATCH(DATEVALUE($A329),'recurring1_based on steps'!W$1:W$400,0)),W$2,)</f>
        <v>0</v>
      </c>
      <c r="X329" s="179">
        <f ca="1">IF(ISNUMBER(MATCH(DATEVALUE($A329),'recurring1_based on steps'!X$1:X$400,0)),X$2,)</f>
        <v>0</v>
      </c>
      <c r="Y329" s="179">
        <f ca="1">IF(ISNUMBER(MATCH(DATEVALUE($A329),'recurring1_based on steps'!Y$1:Y$400,0)),Y$2,)</f>
        <v>0</v>
      </c>
      <c r="Z329" s="179">
        <f ca="1">IF(ISNUMBER(MATCH(DATEVALUE($A329),'recurring1_based on steps'!Z$1:Z$400,0)),Z$2,)</f>
        <v>0</v>
      </c>
      <c r="AA329" s="179">
        <f ca="1">IF(ISNUMBER(MATCH(DATEVALUE($A329),'recurring1_based on steps'!AA$1:AA$400,0)),AA$2,)</f>
        <v>0</v>
      </c>
      <c r="AB329" s="179">
        <f ca="1">IF(ISNUMBER(MATCH(DATEVALUE($A329),'recurring1_based on steps'!AB$1:AB$400,0)),AB$2,)</f>
        <v>0</v>
      </c>
      <c r="AC329" s="179">
        <f ca="1">IF(ISNUMBER(MATCH(DATEVALUE($A329),'recurring1_based on steps'!AC$1:AC$400,0)),AC$2,)</f>
        <v>0</v>
      </c>
      <c r="AD329" s="179">
        <f ca="1">IF(ISNUMBER(MATCH(DATEVALUE($A329),'recurring1_based on steps'!AD$1:AD$400,0)),AD$2,)</f>
        <v>0</v>
      </c>
      <c r="AE329" s="179">
        <f ca="1">IF(ISNUMBER(MATCH(DATEVALUE($A329),'recurring1_based on steps'!AE$1:AE$400,0)),AE$2,)</f>
        <v>0</v>
      </c>
      <c r="AF329" s="179">
        <f ca="1">IF(ISNUMBER(MATCH(DATEVALUE($A329),'recurring1_based on steps'!AF$1:AF$400,0)),AF$2,)</f>
        <v>0</v>
      </c>
      <c r="AG329" s="179">
        <f ca="1">IF(ISNUMBER(MATCH(DATEVALUE($A329),'recurring1_based on steps'!AG$1:AG$400,0)),AG$2,)</f>
        <v>0</v>
      </c>
      <c r="AH329" s="179">
        <f ca="1">IF(ISNUMBER(MATCH(DATEVALUE($A329),'recurring1_based on steps'!AH$1:AH$400,0)),AH$2,)</f>
        <v>0</v>
      </c>
      <c r="AI329" s="179">
        <f ca="1">IF(ISNUMBER(MATCH(DATEVALUE($A329),'recurring1_based on steps'!AI$1:AI$400,0)),AI$2,)</f>
        <v>0</v>
      </c>
      <c r="AJ329" s="179">
        <f ca="1">IF(ISNUMBER(MATCH(DATEVALUE($A329),'recurring1_based on steps'!AJ$1:AJ$400,0)),AJ$2,)</f>
        <v>0</v>
      </c>
      <c r="AK329" s="179">
        <f ca="1">IF(ISNUMBER(MATCH(DATEVALUE($A329),'recurring1_based on steps'!AK$1:AK$400,0)),AK$2,)</f>
        <v>0</v>
      </c>
      <c r="AL329" s="179">
        <f ca="1">IF(ISNUMBER(MATCH(DATEVALUE($A329),'recurring1_based on steps'!AL$1:AL$400,0)),AL$2,)</f>
        <v>0</v>
      </c>
      <c r="AM329" s="179">
        <f ca="1">IF(ISNUMBER(MATCH(DATEVALUE($A329),'recurring1_based on steps'!AM$1:AM$400,0)),AM$2,)</f>
        <v>0</v>
      </c>
      <c r="AN329" s="179">
        <f ca="1">IF(ISNUMBER(MATCH(DATEVALUE($A329),'recurring1_based on steps'!AN$1:AN$400,0)),AN$2,)</f>
        <v>0</v>
      </c>
      <c r="AO329" s="179">
        <f ca="1">IF(ISNUMBER(MATCH(DATEVALUE($A329),'recurring1_based on steps'!AO$1:AO$400,0)),AO$2,)</f>
        <v>0</v>
      </c>
      <c r="AP329" s="179">
        <f ca="1">IF(ISNUMBER(MATCH(DATEVALUE($A329),'recurring1_based on steps'!AP$1:AP$400,0)),AP$2,)</f>
        <v>0</v>
      </c>
      <c r="AQ329" s="179">
        <f ca="1">IF(ISNUMBER(MATCH(DATEVALUE($A329),'recurring1_based on steps'!AQ$1:AQ$400,0)),AQ$2,)</f>
        <v>0</v>
      </c>
      <c r="AR329" s="179">
        <f ca="1">IF(ISNUMBER(MATCH(DATEVALUE($A329),'recurring1_based on steps'!AR$1:AR$400,0)),AR$2,)</f>
        <v>0</v>
      </c>
      <c r="AS329" s="179">
        <f ca="1">IF(ISNUMBER(MATCH(DATEVALUE($A329),'recurring1_based on steps'!AS$1:AS$400,0)),AS$2,)</f>
        <v>0</v>
      </c>
      <c r="AT329" s="179">
        <f ca="1">IF(ISNUMBER(MATCH(DATEVALUE($A329),'recurring1_based on steps'!AT$1:AT$400,0)),AT$2,)</f>
        <v>0</v>
      </c>
      <c r="AU329" s="179">
        <f ca="1">IF(ISNUMBER(MATCH(DATEVALUE($A329),'recurring1_based on steps'!AU$1:AU$400,0)),AU$2,)</f>
        <v>0</v>
      </c>
      <c r="AV329" s="179">
        <f ca="1">IF(ISNUMBER(MATCH(DATEVALUE($A329),'recurring1_based on steps'!AV$1:AV$400,0)),AV$2,)</f>
        <v>0</v>
      </c>
      <c r="AW329" s="179">
        <f ca="1">IF(ISNUMBER(MATCH(DATEVALUE($A329),'recurring1_based on steps'!AW$1:AW$400,0)),AW$2,)</f>
        <v>0</v>
      </c>
      <c r="AX329" s="179">
        <f ca="1">IF(ISNUMBER(MATCH(DATEVALUE($A329),'recurring1_based on steps'!AX$1:AX$400,0)),AX$2,)</f>
        <v>0</v>
      </c>
      <c r="AY329" s="179">
        <f ca="1">IF(ISNUMBER(MATCH(DATEVALUE($A329),'recurring1_based on steps'!AY$1:AY$400,0)),AY$2,)</f>
        <v>0</v>
      </c>
    </row>
    <row r="330" spans="1:51" x14ac:dyDescent="0.2">
      <c r="A330" s="32" t="str">
        <f t="shared" ca="1" si="5"/>
        <v>2026-02-19</v>
      </c>
      <c r="B330" s="179">
        <f ca="1">IF(ISNUMBER(MATCH(DATEVALUE($A330),'recurring1_based on steps'!B$1:B$400,0)),B$2,)</f>
        <v>0</v>
      </c>
      <c r="C330" s="179">
        <f ca="1">IF(ISNUMBER(MATCH(DATEVALUE($A330),'recurring1_based on steps'!C$1:C$400,0)),C$2,)</f>
        <v>0</v>
      </c>
      <c r="D330" s="179">
        <f ca="1">IF(ISNUMBER(MATCH(DATEVALUE($A330),'recurring1_based on steps'!D$1:D$400,0)),D$2,)</f>
        <v>0</v>
      </c>
      <c r="E330" s="179">
        <f ca="1">IF(ISNUMBER(MATCH(DATEVALUE($A330),'recurring1_based on steps'!E$1:E$400,0)),E$2,)</f>
        <v>0</v>
      </c>
      <c r="F330" s="179">
        <f ca="1">IF(ISNUMBER(MATCH(DATEVALUE($A330),'recurring1_based on steps'!F$1:F$400,0)),F$2,)</f>
        <v>0</v>
      </c>
      <c r="G330" s="179">
        <f ca="1">IF(ISNUMBER(MATCH(DATEVALUE($A330),'recurring1_based on steps'!G$1:G$400,0)),G$2,)</f>
        <v>0</v>
      </c>
      <c r="H330" s="179">
        <f ca="1">IF(ISNUMBER(MATCH(DATEVALUE($A330),'recurring1_based on steps'!H$1:H$400,0)),H$2,)</f>
        <v>0</v>
      </c>
      <c r="I330" s="179">
        <f ca="1">IF(ISNUMBER(MATCH(DATEVALUE($A330),'recurring1_based on steps'!I$1:I$400,0)),I$2,)</f>
        <v>0</v>
      </c>
      <c r="J330" s="179">
        <f ca="1">IF(ISNUMBER(MATCH(DATEVALUE($A330),'recurring1_based on steps'!J$1:J$400,0)),J$2,)</f>
        <v>0</v>
      </c>
      <c r="K330" s="179">
        <f ca="1">IF(ISNUMBER(MATCH(DATEVALUE($A330),'recurring1_based on steps'!K$1:K$400,0)),K$2,)</f>
        <v>0</v>
      </c>
      <c r="L330" s="179">
        <f ca="1">IF(ISNUMBER(MATCH(DATEVALUE($A330),'recurring1_based on steps'!L$1:L$400,0)),L$2,)</f>
        <v>0</v>
      </c>
      <c r="M330" s="179">
        <f ca="1">IF(ISNUMBER(MATCH(DATEVALUE($A330),'recurring1_based on steps'!M$1:M$400,0)),M$2,)</f>
        <v>0</v>
      </c>
      <c r="N330" s="179">
        <f ca="1">IF(ISNUMBER(MATCH(DATEVALUE($A330),'recurring1_based on steps'!N$1:N$400,0)),N$2,)</f>
        <v>0</v>
      </c>
      <c r="O330" s="179">
        <f ca="1">IF(ISNUMBER(MATCH(DATEVALUE($A330),'recurring1_based on steps'!O$1:O$400,0)),O$2,)</f>
        <v>0</v>
      </c>
      <c r="P330" s="179">
        <f ca="1">IF(ISNUMBER(MATCH(DATEVALUE($A330),'recurring1_based on steps'!P$1:P$400,0)),P$2,)</f>
        <v>0</v>
      </c>
      <c r="Q330" s="179">
        <f ca="1">IF(ISNUMBER(MATCH(DATEVALUE($A330),'recurring1_based on steps'!Q$1:Q$400,0)),Q$2,)</f>
        <v>0</v>
      </c>
      <c r="R330" s="179">
        <f ca="1">IF(ISNUMBER(MATCH(DATEVALUE($A330),'recurring1_based on steps'!R$1:R$400,0)),R$2,)</f>
        <v>0</v>
      </c>
      <c r="S330" s="179">
        <f ca="1">IF(ISNUMBER(MATCH(DATEVALUE($A330),'recurring1_based on steps'!S$1:S$400,0)),S$2,)</f>
        <v>0</v>
      </c>
      <c r="T330" s="179">
        <f ca="1">IF(ISNUMBER(MATCH(DATEVALUE($A330),'recurring1_based on steps'!T$1:T$400,0)),T$2,)</f>
        <v>0</v>
      </c>
      <c r="U330" s="179">
        <f ca="1">IF(ISNUMBER(MATCH(DATEVALUE($A330),'recurring1_based on steps'!U$1:U$400,0)),U$2,)</f>
        <v>0</v>
      </c>
      <c r="V330" s="179">
        <f ca="1">IF(ISNUMBER(MATCH(DATEVALUE($A330),'recurring1_based on steps'!V$1:V$400,0)),V$2,)</f>
        <v>0</v>
      </c>
      <c r="W330" s="179">
        <f ca="1">IF(ISNUMBER(MATCH(DATEVALUE($A330),'recurring1_based on steps'!W$1:W$400,0)),W$2,)</f>
        <v>0</v>
      </c>
      <c r="X330" s="179">
        <f ca="1">IF(ISNUMBER(MATCH(DATEVALUE($A330),'recurring1_based on steps'!X$1:X$400,0)),X$2,)</f>
        <v>0</v>
      </c>
      <c r="Y330" s="179">
        <f ca="1">IF(ISNUMBER(MATCH(DATEVALUE($A330),'recurring1_based on steps'!Y$1:Y$400,0)),Y$2,)</f>
        <v>0</v>
      </c>
      <c r="Z330" s="179">
        <f ca="1">IF(ISNUMBER(MATCH(DATEVALUE($A330),'recurring1_based on steps'!Z$1:Z$400,0)),Z$2,)</f>
        <v>0</v>
      </c>
      <c r="AA330" s="179">
        <f ca="1">IF(ISNUMBER(MATCH(DATEVALUE($A330),'recurring1_based on steps'!AA$1:AA$400,0)),AA$2,)</f>
        <v>0</v>
      </c>
      <c r="AB330" s="179">
        <f ca="1">IF(ISNUMBER(MATCH(DATEVALUE($A330),'recurring1_based on steps'!AB$1:AB$400,0)),AB$2,)</f>
        <v>0</v>
      </c>
      <c r="AC330" s="179">
        <f ca="1">IF(ISNUMBER(MATCH(DATEVALUE($A330),'recurring1_based on steps'!AC$1:AC$400,0)),AC$2,)</f>
        <v>0</v>
      </c>
      <c r="AD330" s="179">
        <f ca="1">IF(ISNUMBER(MATCH(DATEVALUE($A330),'recurring1_based on steps'!AD$1:AD$400,0)),AD$2,)</f>
        <v>0</v>
      </c>
      <c r="AE330" s="179">
        <f ca="1">IF(ISNUMBER(MATCH(DATEVALUE($A330),'recurring1_based on steps'!AE$1:AE$400,0)),AE$2,)</f>
        <v>0</v>
      </c>
      <c r="AF330" s="179">
        <f ca="1">IF(ISNUMBER(MATCH(DATEVALUE($A330),'recurring1_based on steps'!AF$1:AF$400,0)),AF$2,)</f>
        <v>0</v>
      </c>
      <c r="AG330" s="179">
        <f ca="1">IF(ISNUMBER(MATCH(DATEVALUE($A330),'recurring1_based on steps'!AG$1:AG$400,0)),AG$2,)</f>
        <v>0</v>
      </c>
      <c r="AH330" s="179">
        <f ca="1">IF(ISNUMBER(MATCH(DATEVALUE($A330),'recurring1_based on steps'!AH$1:AH$400,0)),AH$2,)</f>
        <v>0</v>
      </c>
      <c r="AI330" s="179">
        <f ca="1">IF(ISNUMBER(MATCH(DATEVALUE($A330),'recurring1_based on steps'!AI$1:AI$400,0)),AI$2,)</f>
        <v>0</v>
      </c>
      <c r="AJ330" s="179">
        <f ca="1">IF(ISNUMBER(MATCH(DATEVALUE($A330),'recurring1_based on steps'!AJ$1:AJ$400,0)),AJ$2,)</f>
        <v>0</v>
      </c>
      <c r="AK330" s="179">
        <f ca="1">IF(ISNUMBER(MATCH(DATEVALUE($A330),'recurring1_based on steps'!AK$1:AK$400,0)),AK$2,)</f>
        <v>0</v>
      </c>
      <c r="AL330" s="179">
        <f ca="1">IF(ISNUMBER(MATCH(DATEVALUE($A330),'recurring1_based on steps'!AL$1:AL$400,0)),AL$2,)</f>
        <v>0</v>
      </c>
      <c r="AM330" s="179">
        <f ca="1">IF(ISNUMBER(MATCH(DATEVALUE($A330),'recurring1_based on steps'!AM$1:AM$400,0)),AM$2,)</f>
        <v>0</v>
      </c>
      <c r="AN330" s="179">
        <f ca="1">IF(ISNUMBER(MATCH(DATEVALUE($A330),'recurring1_based on steps'!AN$1:AN$400,0)),AN$2,)</f>
        <v>0</v>
      </c>
      <c r="AO330" s="179">
        <f ca="1">IF(ISNUMBER(MATCH(DATEVALUE($A330),'recurring1_based on steps'!AO$1:AO$400,0)),AO$2,)</f>
        <v>0</v>
      </c>
      <c r="AP330" s="179">
        <f ca="1">IF(ISNUMBER(MATCH(DATEVALUE($A330),'recurring1_based on steps'!AP$1:AP$400,0)),AP$2,)</f>
        <v>0</v>
      </c>
      <c r="AQ330" s="179">
        <f ca="1">IF(ISNUMBER(MATCH(DATEVALUE($A330),'recurring1_based on steps'!AQ$1:AQ$400,0)),AQ$2,)</f>
        <v>0</v>
      </c>
      <c r="AR330" s="179">
        <f ca="1">IF(ISNUMBER(MATCH(DATEVALUE($A330),'recurring1_based on steps'!AR$1:AR$400,0)),AR$2,)</f>
        <v>0</v>
      </c>
      <c r="AS330" s="179">
        <f ca="1">IF(ISNUMBER(MATCH(DATEVALUE($A330),'recurring1_based on steps'!AS$1:AS$400,0)),AS$2,)</f>
        <v>0</v>
      </c>
      <c r="AT330" s="179">
        <f ca="1">IF(ISNUMBER(MATCH(DATEVALUE($A330),'recurring1_based on steps'!AT$1:AT$400,0)),AT$2,)</f>
        <v>0</v>
      </c>
      <c r="AU330" s="179">
        <f ca="1">IF(ISNUMBER(MATCH(DATEVALUE($A330),'recurring1_based on steps'!AU$1:AU$400,0)),AU$2,)</f>
        <v>0</v>
      </c>
      <c r="AV330" s="179">
        <f ca="1">IF(ISNUMBER(MATCH(DATEVALUE($A330),'recurring1_based on steps'!AV$1:AV$400,0)),AV$2,)</f>
        <v>0</v>
      </c>
      <c r="AW330" s="179">
        <f ca="1">IF(ISNUMBER(MATCH(DATEVALUE($A330),'recurring1_based on steps'!AW$1:AW$400,0)),AW$2,)</f>
        <v>0</v>
      </c>
      <c r="AX330" s="179">
        <f ca="1">IF(ISNUMBER(MATCH(DATEVALUE($A330),'recurring1_based on steps'!AX$1:AX$400,0)),AX$2,)</f>
        <v>0</v>
      </c>
      <c r="AY330" s="179">
        <f ca="1">IF(ISNUMBER(MATCH(DATEVALUE($A330),'recurring1_based on steps'!AY$1:AY$400,0)),AY$2,)</f>
        <v>0</v>
      </c>
    </row>
    <row r="331" spans="1:51" x14ac:dyDescent="0.2">
      <c r="A331" s="32" t="str">
        <f t="shared" ca="1" si="5"/>
        <v>2026-02-20</v>
      </c>
      <c r="B331" s="179">
        <f ca="1">IF(ISNUMBER(MATCH(DATEVALUE($A331),'recurring1_based on steps'!B$1:B$400,0)),B$2,)</f>
        <v>0</v>
      </c>
      <c r="C331" s="179">
        <f ca="1">IF(ISNUMBER(MATCH(DATEVALUE($A331),'recurring1_based on steps'!C$1:C$400,0)),C$2,)</f>
        <v>0</v>
      </c>
      <c r="D331" s="179">
        <f ca="1">IF(ISNUMBER(MATCH(DATEVALUE($A331),'recurring1_based on steps'!D$1:D$400,0)),D$2,)</f>
        <v>0</v>
      </c>
      <c r="E331" s="179">
        <f ca="1">IF(ISNUMBER(MATCH(DATEVALUE($A331),'recurring1_based on steps'!E$1:E$400,0)),E$2,)</f>
        <v>0</v>
      </c>
      <c r="F331" s="179">
        <f ca="1">IF(ISNUMBER(MATCH(DATEVALUE($A331),'recurring1_based on steps'!F$1:F$400,0)),F$2,)</f>
        <v>0</v>
      </c>
      <c r="G331" s="179">
        <f ca="1">IF(ISNUMBER(MATCH(DATEVALUE($A331),'recurring1_based on steps'!G$1:G$400,0)),G$2,)</f>
        <v>0</v>
      </c>
      <c r="H331" s="179">
        <f ca="1">IF(ISNUMBER(MATCH(DATEVALUE($A331),'recurring1_based on steps'!H$1:H$400,0)),H$2,)</f>
        <v>0</v>
      </c>
      <c r="I331" s="179">
        <f ca="1">IF(ISNUMBER(MATCH(DATEVALUE($A331),'recurring1_based on steps'!I$1:I$400,0)),I$2,)</f>
        <v>0</v>
      </c>
      <c r="J331" s="179">
        <f ca="1">IF(ISNUMBER(MATCH(DATEVALUE($A331),'recurring1_based on steps'!J$1:J$400,0)),J$2,)</f>
        <v>0</v>
      </c>
      <c r="K331" s="179">
        <f ca="1">IF(ISNUMBER(MATCH(DATEVALUE($A331),'recurring1_based on steps'!K$1:K$400,0)),K$2,)</f>
        <v>0</v>
      </c>
      <c r="L331" s="179">
        <f ca="1">IF(ISNUMBER(MATCH(DATEVALUE($A331),'recurring1_based on steps'!L$1:L$400,0)),L$2,)</f>
        <v>0</v>
      </c>
      <c r="M331" s="179">
        <f ca="1">IF(ISNUMBER(MATCH(DATEVALUE($A331),'recurring1_based on steps'!M$1:M$400,0)),M$2,)</f>
        <v>0</v>
      </c>
      <c r="N331" s="179">
        <f ca="1">IF(ISNUMBER(MATCH(DATEVALUE($A331),'recurring1_based on steps'!N$1:N$400,0)),N$2,)</f>
        <v>0</v>
      </c>
      <c r="O331" s="179">
        <f ca="1">IF(ISNUMBER(MATCH(DATEVALUE($A331),'recurring1_based on steps'!O$1:O$400,0)),O$2,)</f>
        <v>0</v>
      </c>
      <c r="P331" s="179">
        <f ca="1">IF(ISNUMBER(MATCH(DATEVALUE($A331),'recurring1_based on steps'!P$1:P$400,0)),P$2,)</f>
        <v>0</v>
      </c>
      <c r="Q331" s="179">
        <f ca="1">IF(ISNUMBER(MATCH(DATEVALUE($A331),'recurring1_based on steps'!Q$1:Q$400,0)),Q$2,)</f>
        <v>0</v>
      </c>
      <c r="R331" s="179">
        <f ca="1">IF(ISNUMBER(MATCH(DATEVALUE($A331),'recurring1_based on steps'!R$1:R$400,0)),R$2,)</f>
        <v>0</v>
      </c>
      <c r="S331" s="179">
        <f ca="1">IF(ISNUMBER(MATCH(DATEVALUE($A331),'recurring1_based on steps'!S$1:S$400,0)),S$2,)</f>
        <v>0</v>
      </c>
      <c r="T331" s="179">
        <f ca="1">IF(ISNUMBER(MATCH(DATEVALUE($A331),'recurring1_based on steps'!T$1:T$400,0)),T$2,)</f>
        <v>0</v>
      </c>
      <c r="U331" s="179">
        <f ca="1">IF(ISNUMBER(MATCH(DATEVALUE($A331),'recurring1_based on steps'!U$1:U$400,0)),U$2,)</f>
        <v>0</v>
      </c>
      <c r="V331" s="179">
        <f ca="1">IF(ISNUMBER(MATCH(DATEVALUE($A331),'recurring1_based on steps'!V$1:V$400,0)),V$2,)</f>
        <v>0</v>
      </c>
      <c r="W331" s="179">
        <f ca="1">IF(ISNUMBER(MATCH(DATEVALUE($A331),'recurring1_based on steps'!W$1:W$400,0)),W$2,)</f>
        <v>0</v>
      </c>
      <c r="X331" s="179">
        <f ca="1">IF(ISNUMBER(MATCH(DATEVALUE($A331),'recurring1_based on steps'!X$1:X$400,0)),X$2,)</f>
        <v>0</v>
      </c>
      <c r="Y331" s="179">
        <f ca="1">IF(ISNUMBER(MATCH(DATEVALUE($A331),'recurring1_based on steps'!Y$1:Y$400,0)),Y$2,)</f>
        <v>0</v>
      </c>
      <c r="Z331" s="179">
        <f ca="1">IF(ISNUMBER(MATCH(DATEVALUE($A331),'recurring1_based on steps'!Z$1:Z$400,0)),Z$2,)</f>
        <v>0</v>
      </c>
      <c r="AA331" s="179">
        <f ca="1">IF(ISNUMBER(MATCH(DATEVALUE($A331),'recurring1_based on steps'!AA$1:AA$400,0)),AA$2,)</f>
        <v>0</v>
      </c>
      <c r="AB331" s="179">
        <f ca="1">IF(ISNUMBER(MATCH(DATEVALUE($A331),'recurring1_based on steps'!AB$1:AB$400,0)),AB$2,)</f>
        <v>0</v>
      </c>
      <c r="AC331" s="179">
        <f ca="1">IF(ISNUMBER(MATCH(DATEVALUE($A331),'recurring1_based on steps'!AC$1:AC$400,0)),AC$2,)</f>
        <v>0</v>
      </c>
      <c r="AD331" s="179">
        <f ca="1">IF(ISNUMBER(MATCH(DATEVALUE($A331),'recurring1_based on steps'!AD$1:AD$400,0)),AD$2,)</f>
        <v>0</v>
      </c>
      <c r="AE331" s="179">
        <f ca="1">IF(ISNUMBER(MATCH(DATEVALUE($A331),'recurring1_based on steps'!AE$1:AE$400,0)),AE$2,)</f>
        <v>0</v>
      </c>
      <c r="AF331" s="179">
        <f ca="1">IF(ISNUMBER(MATCH(DATEVALUE($A331),'recurring1_based on steps'!AF$1:AF$400,0)),AF$2,)</f>
        <v>0</v>
      </c>
      <c r="AG331" s="179">
        <f ca="1">IF(ISNUMBER(MATCH(DATEVALUE($A331),'recurring1_based on steps'!AG$1:AG$400,0)),AG$2,)</f>
        <v>0</v>
      </c>
      <c r="AH331" s="179">
        <f ca="1">IF(ISNUMBER(MATCH(DATEVALUE($A331),'recurring1_based on steps'!AH$1:AH$400,0)),AH$2,)</f>
        <v>0</v>
      </c>
      <c r="AI331" s="179">
        <f ca="1">IF(ISNUMBER(MATCH(DATEVALUE($A331),'recurring1_based on steps'!AI$1:AI$400,0)),AI$2,)</f>
        <v>0</v>
      </c>
      <c r="AJ331" s="179">
        <f ca="1">IF(ISNUMBER(MATCH(DATEVALUE($A331),'recurring1_based on steps'!AJ$1:AJ$400,0)),AJ$2,)</f>
        <v>0</v>
      </c>
      <c r="AK331" s="179">
        <f ca="1">IF(ISNUMBER(MATCH(DATEVALUE($A331),'recurring1_based on steps'!AK$1:AK$400,0)),AK$2,)</f>
        <v>0</v>
      </c>
      <c r="AL331" s="179">
        <f ca="1">IF(ISNUMBER(MATCH(DATEVALUE($A331),'recurring1_based on steps'!AL$1:AL$400,0)),AL$2,)</f>
        <v>0</v>
      </c>
      <c r="AM331" s="179">
        <f ca="1">IF(ISNUMBER(MATCH(DATEVALUE($A331),'recurring1_based on steps'!AM$1:AM$400,0)),AM$2,)</f>
        <v>0</v>
      </c>
      <c r="AN331" s="179">
        <f ca="1">IF(ISNUMBER(MATCH(DATEVALUE($A331),'recurring1_based on steps'!AN$1:AN$400,0)),AN$2,)</f>
        <v>0</v>
      </c>
      <c r="AO331" s="179">
        <f ca="1">IF(ISNUMBER(MATCH(DATEVALUE($A331),'recurring1_based on steps'!AO$1:AO$400,0)),AO$2,)</f>
        <v>0</v>
      </c>
      <c r="AP331" s="179">
        <f ca="1">IF(ISNUMBER(MATCH(DATEVALUE($A331),'recurring1_based on steps'!AP$1:AP$400,0)),AP$2,)</f>
        <v>0</v>
      </c>
      <c r="AQ331" s="179">
        <f ca="1">IF(ISNUMBER(MATCH(DATEVALUE($A331),'recurring1_based on steps'!AQ$1:AQ$400,0)),AQ$2,)</f>
        <v>0</v>
      </c>
      <c r="AR331" s="179">
        <f ca="1">IF(ISNUMBER(MATCH(DATEVALUE($A331),'recurring1_based on steps'!AR$1:AR$400,0)),AR$2,)</f>
        <v>0</v>
      </c>
      <c r="AS331" s="179">
        <f ca="1">IF(ISNUMBER(MATCH(DATEVALUE($A331),'recurring1_based on steps'!AS$1:AS$400,0)),AS$2,)</f>
        <v>0</v>
      </c>
      <c r="AT331" s="179">
        <f ca="1">IF(ISNUMBER(MATCH(DATEVALUE($A331),'recurring1_based on steps'!AT$1:AT$400,0)),AT$2,)</f>
        <v>0</v>
      </c>
      <c r="AU331" s="179">
        <f ca="1">IF(ISNUMBER(MATCH(DATEVALUE($A331),'recurring1_based on steps'!AU$1:AU$400,0)),AU$2,)</f>
        <v>0</v>
      </c>
      <c r="AV331" s="179">
        <f ca="1">IF(ISNUMBER(MATCH(DATEVALUE($A331),'recurring1_based on steps'!AV$1:AV$400,0)),AV$2,)</f>
        <v>0</v>
      </c>
      <c r="AW331" s="179">
        <f ca="1">IF(ISNUMBER(MATCH(DATEVALUE($A331),'recurring1_based on steps'!AW$1:AW$400,0)),AW$2,)</f>
        <v>0</v>
      </c>
      <c r="AX331" s="179">
        <f ca="1">IF(ISNUMBER(MATCH(DATEVALUE($A331),'recurring1_based on steps'!AX$1:AX$400,0)),AX$2,)</f>
        <v>0</v>
      </c>
      <c r="AY331" s="179">
        <f ca="1">IF(ISNUMBER(MATCH(DATEVALUE($A331),'recurring1_based on steps'!AY$1:AY$400,0)),AY$2,)</f>
        <v>0</v>
      </c>
    </row>
    <row r="332" spans="1:51" x14ac:dyDescent="0.2">
      <c r="A332" s="32" t="str">
        <f t="shared" ca="1" si="5"/>
        <v>2026-02-21</v>
      </c>
      <c r="B332" s="179">
        <f ca="1">IF(ISNUMBER(MATCH(DATEVALUE($A332),'recurring1_based on steps'!B$1:B$400,0)),B$2,)</f>
        <v>0</v>
      </c>
      <c r="C332" s="179">
        <f ca="1">IF(ISNUMBER(MATCH(DATEVALUE($A332),'recurring1_based on steps'!C$1:C$400,0)),C$2,)</f>
        <v>0</v>
      </c>
      <c r="D332" s="179">
        <f ca="1">IF(ISNUMBER(MATCH(DATEVALUE($A332),'recurring1_based on steps'!D$1:D$400,0)),D$2,)</f>
        <v>0</v>
      </c>
      <c r="E332" s="179">
        <f ca="1">IF(ISNUMBER(MATCH(DATEVALUE($A332),'recurring1_based on steps'!E$1:E$400,0)),E$2,)</f>
        <v>0</v>
      </c>
      <c r="F332" s="179">
        <f ca="1">IF(ISNUMBER(MATCH(DATEVALUE($A332),'recurring1_based on steps'!F$1:F$400,0)),F$2,)</f>
        <v>0</v>
      </c>
      <c r="G332" s="179">
        <f ca="1">IF(ISNUMBER(MATCH(DATEVALUE($A332),'recurring1_based on steps'!G$1:G$400,0)),G$2,)</f>
        <v>0</v>
      </c>
      <c r="H332" s="179">
        <f ca="1">IF(ISNUMBER(MATCH(DATEVALUE($A332),'recurring1_based on steps'!H$1:H$400,0)),H$2,)</f>
        <v>0</v>
      </c>
      <c r="I332" s="179">
        <f ca="1">IF(ISNUMBER(MATCH(DATEVALUE($A332),'recurring1_based on steps'!I$1:I$400,0)),I$2,)</f>
        <v>0</v>
      </c>
      <c r="J332" s="179">
        <f ca="1">IF(ISNUMBER(MATCH(DATEVALUE($A332),'recurring1_based on steps'!J$1:J$400,0)),J$2,)</f>
        <v>0</v>
      </c>
      <c r="K332" s="179">
        <f ca="1">IF(ISNUMBER(MATCH(DATEVALUE($A332),'recurring1_based on steps'!K$1:K$400,0)),K$2,)</f>
        <v>0</v>
      </c>
      <c r="L332" s="179">
        <f ca="1">IF(ISNUMBER(MATCH(DATEVALUE($A332),'recurring1_based on steps'!L$1:L$400,0)),L$2,)</f>
        <v>0</v>
      </c>
      <c r="M332" s="179">
        <f ca="1">IF(ISNUMBER(MATCH(DATEVALUE($A332),'recurring1_based on steps'!M$1:M$400,0)),M$2,)</f>
        <v>0</v>
      </c>
      <c r="N332" s="179">
        <f ca="1">IF(ISNUMBER(MATCH(DATEVALUE($A332),'recurring1_based on steps'!N$1:N$400,0)),N$2,)</f>
        <v>0</v>
      </c>
      <c r="O332" s="179">
        <f ca="1">IF(ISNUMBER(MATCH(DATEVALUE($A332),'recurring1_based on steps'!O$1:O$400,0)),O$2,)</f>
        <v>0</v>
      </c>
      <c r="P332" s="179">
        <f ca="1">IF(ISNUMBER(MATCH(DATEVALUE($A332),'recurring1_based on steps'!P$1:P$400,0)),P$2,)</f>
        <v>0</v>
      </c>
      <c r="Q332" s="179">
        <f ca="1">IF(ISNUMBER(MATCH(DATEVALUE($A332),'recurring1_based on steps'!Q$1:Q$400,0)),Q$2,)</f>
        <v>0</v>
      </c>
      <c r="R332" s="179">
        <f ca="1">IF(ISNUMBER(MATCH(DATEVALUE($A332),'recurring1_based on steps'!R$1:R$400,0)),R$2,)</f>
        <v>0</v>
      </c>
      <c r="S332" s="179">
        <f ca="1">IF(ISNUMBER(MATCH(DATEVALUE($A332),'recurring1_based on steps'!S$1:S$400,0)),S$2,)</f>
        <v>0</v>
      </c>
      <c r="T332" s="179">
        <f ca="1">IF(ISNUMBER(MATCH(DATEVALUE($A332),'recurring1_based on steps'!T$1:T$400,0)),T$2,)</f>
        <v>0</v>
      </c>
      <c r="U332" s="179">
        <f ca="1">IF(ISNUMBER(MATCH(DATEVALUE($A332),'recurring1_based on steps'!U$1:U$400,0)),U$2,)</f>
        <v>0</v>
      </c>
      <c r="V332" s="179">
        <f ca="1">IF(ISNUMBER(MATCH(DATEVALUE($A332),'recurring1_based on steps'!V$1:V$400,0)),V$2,)</f>
        <v>0</v>
      </c>
      <c r="W332" s="179">
        <f ca="1">IF(ISNUMBER(MATCH(DATEVALUE($A332),'recurring1_based on steps'!W$1:W$400,0)),W$2,)</f>
        <v>0</v>
      </c>
      <c r="X332" s="179">
        <f ca="1">IF(ISNUMBER(MATCH(DATEVALUE($A332),'recurring1_based on steps'!X$1:X$400,0)),X$2,)</f>
        <v>0</v>
      </c>
      <c r="Y332" s="179">
        <f ca="1">IF(ISNUMBER(MATCH(DATEVALUE($A332),'recurring1_based on steps'!Y$1:Y$400,0)),Y$2,)</f>
        <v>0</v>
      </c>
      <c r="Z332" s="179">
        <f ca="1">IF(ISNUMBER(MATCH(DATEVALUE($A332),'recurring1_based on steps'!Z$1:Z$400,0)),Z$2,)</f>
        <v>0</v>
      </c>
      <c r="AA332" s="179">
        <f ca="1">IF(ISNUMBER(MATCH(DATEVALUE($A332),'recurring1_based on steps'!AA$1:AA$400,0)),AA$2,)</f>
        <v>0</v>
      </c>
      <c r="AB332" s="179">
        <f ca="1">IF(ISNUMBER(MATCH(DATEVALUE($A332),'recurring1_based on steps'!AB$1:AB$400,0)),AB$2,)</f>
        <v>0</v>
      </c>
      <c r="AC332" s="179">
        <f ca="1">IF(ISNUMBER(MATCH(DATEVALUE($A332),'recurring1_based on steps'!AC$1:AC$400,0)),AC$2,)</f>
        <v>0</v>
      </c>
      <c r="AD332" s="179">
        <f ca="1">IF(ISNUMBER(MATCH(DATEVALUE($A332),'recurring1_based on steps'!AD$1:AD$400,0)),AD$2,)</f>
        <v>0</v>
      </c>
      <c r="AE332" s="179">
        <f ca="1">IF(ISNUMBER(MATCH(DATEVALUE($A332),'recurring1_based on steps'!AE$1:AE$400,0)),AE$2,)</f>
        <v>0</v>
      </c>
      <c r="AF332" s="179">
        <f ca="1">IF(ISNUMBER(MATCH(DATEVALUE($A332),'recurring1_based on steps'!AF$1:AF$400,0)),AF$2,)</f>
        <v>0</v>
      </c>
      <c r="AG332" s="179">
        <f ca="1">IF(ISNUMBER(MATCH(DATEVALUE($A332),'recurring1_based on steps'!AG$1:AG$400,0)),AG$2,)</f>
        <v>0</v>
      </c>
      <c r="AH332" s="179">
        <f ca="1">IF(ISNUMBER(MATCH(DATEVALUE($A332),'recurring1_based on steps'!AH$1:AH$400,0)),AH$2,)</f>
        <v>0</v>
      </c>
      <c r="AI332" s="179">
        <f ca="1">IF(ISNUMBER(MATCH(DATEVALUE($A332),'recurring1_based on steps'!AI$1:AI$400,0)),AI$2,)</f>
        <v>0</v>
      </c>
      <c r="AJ332" s="179">
        <f ca="1">IF(ISNUMBER(MATCH(DATEVALUE($A332),'recurring1_based on steps'!AJ$1:AJ$400,0)),AJ$2,)</f>
        <v>0</v>
      </c>
      <c r="AK332" s="179">
        <f ca="1">IF(ISNUMBER(MATCH(DATEVALUE($A332),'recurring1_based on steps'!AK$1:AK$400,0)),AK$2,)</f>
        <v>0</v>
      </c>
      <c r="AL332" s="179">
        <f ca="1">IF(ISNUMBER(MATCH(DATEVALUE($A332),'recurring1_based on steps'!AL$1:AL$400,0)),AL$2,)</f>
        <v>0</v>
      </c>
      <c r="AM332" s="179">
        <f ca="1">IF(ISNUMBER(MATCH(DATEVALUE($A332),'recurring1_based on steps'!AM$1:AM$400,0)),AM$2,)</f>
        <v>0</v>
      </c>
      <c r="AN332" s="179">
        <f ca="1">IF(ISNUMBER(MATCH(DATEVALUE($A332),'recurring1_based on steps'!AN$1:AN$400,0)),AN$2,)</f>
        <v>0</v>
      </c>
      <c r="AO332" s="179">
        <f ca="1">IF(ISNUMBER(MATCH(DATEVALUE($A332),'recurring1_based on steps'!AO$1:AO$400,0)),AO$2,)</f>
        <v>0</v>
      </c>
      <c r="AP332" s="179">
        <f ca="1">IF(ISNUMBER(MATCH(DATEVALUE($A332),'recurring1_based on steps'!AP$1:AP$400,0)),AP$2,)</f>
        <v>0</v>
      </c>
      <c r="AQ332" s="179">
        <f ca="1">IF(ISNUMBER(MATCH(DATEVALUE($A332),'recurring1_based on steps'!AQ$1:AQ$400,0)),AQ$2,)</f>
        <v>0</v>
      </c>
      <c r="AR332" s="179">
        <f ca="1">IF(ISNUMBER(MATCH(DATEVALUE($A332),'recurring1_based on steps'!AR$1:AR$400,0)),AR$2,)</f>
        <v>0</v>
      </c>
      <c r="AS332" s="179">
        <f ca="1">IF(ISNUMBER(MATCH(DATEVALUE($A332),'recurring1_based on steps'!AS$1:AS$400,0)),AS$2,)</f>
        <v>0</v>
      </c>
      <c r="AT332" s="179">
        <f ca="1">IF(ISNUMBER(MATCH(DATEVALUE($A332),'recurring1_based on steps'!AT$1:AT$400,0)),AT$2,)</f>
        <v>0</v>
      </c>
      <c r="AU332" s="179">
        <f ca="1">IF(ISNUMBER(MATCH(DATEVALUE($A332),'recurring1_based on steps'!AU$1:AU$400,0)),AU$2,)</f>
        <v>0</v>
      </c>
      <c r="AV332" s="179">
        <f ca="1">IF(ISNUMBER(MATCH(DATEVALUE($A332),'recurring1_based on steps'!AV$1:AV$400,0)),AV$2,)</f>
        <v>0</v>
      </c>
      <c r="AW332" s="179">
        <f ca="1">IF(ISNUMBER(MATCH(DATEVALUE($A332),'recurring1_based on steps'!AW$1:AW$400,0)),AW$2,)</f>
        <v>0</v>
      </c>
      <c r="AX332" s="179">
        <f ca="1">IF(ISNUMBER(MATCH(DATEVALUE($A332),'recurring1_based on steps'!AX$1:AX$400,0)),AX$2,)</f>
        <v>0</v>
      </c>
      <c r="AY332" s="179">
        <f ca="1">IF(ISNUMBER(MATCH(DATEVALUE($A332),'recurring1_based on steps'!AY$1:AY$400,0)),AY$2,)</f>
        <v>0</v>
      </c>
    </row>
    <row r="333" spans="1:51" x14ac:dyDescent="0.2">
      <c r="A333" s="32" t="str">
        <f t="shared" ca="1" si="5"/>
        <v>2026-02-22</v>
      </c>
      <c r="B333" s="179">
        <f ca="1">IF(ISNUMBER(MATCH(DATEVALUE($A333),'recurring1_based on steps'!B$1:B$400,0)),B$2,)</f>
        <v>0</v>
      </c>
      <c r="C333" s="179">
        <f ca="1">IF(ISNUMBER(MATCH(DATEVALUE($A333),'recurring1_based on steps'!C$1:C$400,0)),C$2,)</f>
        <v>0</v>
      </c>
      <c r="D333" s="179">
        <f ca="1">IF(ISNUMBER(MATCH(DATEVALUE($A333),'recurring1_based on steps'!D$1:D$400,0)),D$2,)</f>
        <v>0</v>
      </c>
      <c r="E333" s="179">
        <f ca="1">IF(ISNUMBER(MATCH(DATEVALUE($A333),'recurring1_based on steps'!E$1:E$400,0)),E$2,)</f>
        <v>0</v>
      </c>
      <c r="F333" s="179">
        <f ca="1">IF(ISNUMBER(MATCH(DATEVALUE($A333),'recurring1_based on steps'!F$1:F$400,0)),F$2,)</f>
        <v>0</v>
      </c>
      <c r="G333" s="179">
        <f ca="1">IF(ISNUMBER(MATCH(DATEVALUE($A333),'recurring1_based on steps'!G$1:G$400,0)),G$2,)</f>
        <v>0</v>
      </c>
      <c r="H333" s="179">
        <f ca="1">IF(ISNUMBER(MATCH(DATEVALUE($A333),'recurring1_based on steps'!H$1:H$400,0)),H$2,)</f>
        <v>0</v>
      </c>
      <c r="I333" s="179">
        <f ca="1">IF(ISNUMBER(MATCH(DATEVALUE($A333),'recurring1_based on steps'!I$1:I$400,0)),I$2,)</f>
        <v>0</v>
      </c>
      <c r="J333" s="179">
        <f ca="1">IF(ISNUMBER(MATCH(DATEVALUE($A333),'recurring1_based on steps'!J$1:J$400,0)),J$2,)</f>
        <v>0</v>
      </c>
      <c r="K333" s="179">
        <f ca="1">IF(ISNUMBER(MATCH(DATEVALUE($A333),'recurring1_based on steps'!K$1:K$400,0)),K$2,)</f>
        <v>0</v>
      </c>
      <c r="L333" s="179">
        <f ca="1">IF(ISNUMBER(MATCH(DATEVALUE($A333),'recurring1_based on steps'!L$1:L$400,0)),L$2,)</f>
        <v>0</v>
      </c>
      <c r="M333" s="179">
        <f ca="1">IF(ISNUMBER(MATCH(DATEVALUE($A333),'recurring1_based on steps'!M$1:M$400,0)),M$2,)</f>
        <v>0</v>
      </c>
      <c r="N333" s="179">
        <f ca="1">IF(ISNUMBER(MATCH(DATEVALUE($A333),'recurring1_based on steps'!N$1:N$400,0)),N$2,)</f>
        <v>0</v>
      </c>
      <c r="O333" s="179">
        <f ca="1">IF(ISNUMBER(MATCH(DATEVALUE($A333),'recurring1_based on steps'!O$1:O$400,0)),O$2,)</f>
        <v>0</v>
      </c>
      <c r="P333" s="179">
        <f ca="1">IF(ISNUMBER(MATCH(DATEVALUE($A333),'recurring1_based on steps'!P$1:P$400,0)),P$2,)</f>
        <v>0</v>
      </c>
      <c r="Q333" s="179">
        <f ca="1">IF(ISNUMBER(MATCH(DATEVALUE($A333),'recurring1_based on steps'!Q$1:Q$400,0)),Q$2,)</f>
        <v>0</v>
      </c>
      <c r="R333" s="179">
        <f ca="1">IF(ISNUMBER(MATCH(DATEVALUE($A333),'recurring1_based on steps'!R$1:R$400,0)),R$2,)</f>
        <v>0</v>
      </c>
      <c r="S333" s="179">
        <f ca="1">IF(ISNUMBER(MATCH(DATEVALUE($A333),'recurring1_based on steps'!S$1:S$400,0)),S$2,)</f>
        <v>0</v>
      </c>
      <c r="T333" s="179">
        <f ca="1">IF(ISNUMBER(MATCH(DATEVALUE($A333),'recurring1_based on steps'!T$1:T$400,0)),T$2,)</f>
        <v>0</v>
      </c>
      <c r="U333" s="179">
        <f ca="1">IF(ISNUMBER(MATCH(DATEVALUE($A333),'recurring1_based on steps'!U$1:U$400,0)),U$2,)</f>
        <v>0</v>
      </c>
      <c r="V333" s="179">
        <f ca="1">IF(ISNUMBER(MATCH(DATEVALUE($A333),'recurring1_based on steps'!V$1:V$400,0)),V$2,)</f>
        <v>0</v>
      </c>
      <c r="W333" s="179">
        <f ca="1">IF(ISNUMBER(MATCH(DATEVALUE($A333),'recurring1_based on steps'!W$1:W$400,0)),W$2,)</f>
        <v>0</v>
      </c>
      <c r="X333" s="179">
        <f ca="1">IF(ISNUMBER(MATCH(DATEVALUE($A333),'recurring1_based on steps'!X$1:X$400,0)),X$2,)</f>
        <v>0</v>
      </c>
      <c r="Y333" s="179">
        <f ca="1">IF(ISNUMBER(MATCH(DATEVALUE($A333),'recurring1_based on steps'!Y$1:Y$400,0)),Y$2,)</f>
        <v>0</v>
      </c>
      <c r="Z333" s="179">
        <f ca="1">IF(ISNUMBER(MATCH(DATEVALUE($A333),'recurring1_based on steps'!Z$1:Z$400,0)),Z$2,)</f>
        <v>0</v>
      </c>
      <c r="AA333" s="179">
        <f ca="1">IF(ISNUMBER(MATCH(DATEVALUE($A333),'recurring1_based on steps'!AA$1:AA$400,0)),AA$2,)</f>
        <v>0</v>
      </c>
      <c r="AB333" s="179">
        <f ca="1">IF(ISNUMBER(MATCH(DATEVALUE($A333),'recurring1_based on steps'!AB$1:AB$400,0)),AB$2,)</f>
        <v>0</v>
      </c>
      <c r="AC333" s="179">
        <f ca="1">IF(ISNUMBER(MATCH(DATEVALUE($A333),'recurring1_based on steps'!AC$1:AC$400,0)),AC$2,)</f>
        <v>0</v>
      </c>
      <c r="AD333" s="179">
        <f ca="1">IF(ISNUMBER(MATCH(DATEVALUE($A333),'recurring1_based on steps'!AD$1:AD$400,0)),AD$2,)</f>
        <v>0</v>
      </c>
      <c r="AE333" s="179">
        <f ca="1">IF(ISNUMBER(MATCH(DATEVALUE($A333),'recurring1_based on steps'!AE$1:AE$400,0)),AE$2,)</f>
        <v>0</v>
      </c>
      <c r="AF333" s="179">
        <f ca="1">IF(ISNUMBER(MATCH(DATEVALUE($A333),'recurring1_based on steps'!AF$1:AF$400,0)),AF$2,)</f>
        <v>0</v>
      </c>
      <c r="AG333" s="179">
        <f ca="1">IF(ISNUMBER(MATCH(DATEVALUE($A333),'recurring1_based on steps'!AG$1:AG$400,0)),AG$2,)</f>
        <v>0</v>
      </c>
      <c r="AH333" s="179">
        <f ca="1">IF(ISNUMBER(MATCH(DATEVALUE($A333),'recurring1_based on steps'!AH$1:AH$400,0)),AH$2,)</f>
        <v>0</v>
      </c>
      <c r="AI333" s="179">
        <f ca="1">IF(ISNUMBER(MATCH(DATEVALUE($A333),'recurring1_based on steps'!AI$1:AI$400,0)),AI$2,)</f>
        <v>0</v>
      </c>
      <c r="AJ333" s="179">
        <f ca="1">IF(ISNUMBER(MATCH(DATEVALUE($A333),'recurring1_based on steps'!AJ$1:AJ$400,0)),AJ$2,)</f>
        <v>0</v>
      </c>
      <c r="AK333" s="179">
        <f ca="1">IF(ISNUMBER(MATCH(DATEVALUE($A333),'recurring1_based on steps'!AK$1:AK$400,0)),AK$2,)</f>
        <v>0</v>
      </c>
      <c r="AL333" s="179">
        <f ca="1">IF(ISNUMBER(MATCH(DATEVALUE($A333),'recurring1_based on steps'!AL$1:AL$400,0)),AL$2,)</f>
        <v>0</v>
      </c>
      <c r="AM333" s="179">
        <f ca="1">IF(ISNUMBER(MATCH(DATEVALUE($A333),'recurring1_based on steps'!AM$1:AM$400,0)),AM$2,)</f>
        <v>0</v>
      </c>
      <c r="AN333" s="179">
        <f ca="1">IF(ISNUMBER(MATCH(DATEVALUE($A333),'recurring1_based on steps'!AN$1:AN$400,0)),AN$2,)</f>
        <v>0</v>
      </c>
      <c r="AO333" s="179">
        <f ca="1">IF(ISNUMBER(MATCH(DATEVALUE($A333),'recurring1_based on steps'!AO$1:AO$400,0)),AO$2,)</f>
        <v>0</v>
      </c>
      <c r="AP333" s="179">
        <f ca="1">IF(ISNUMBER(MATCH(DATEVALUE($A333),'recurring1_based on steps'!AP$1:AP$400,0)),AP$2,)</f>
        <v>0</v>
      </c>
      <c r="AQ333" s="179">
        <f ca="1">IF(ISNUMBER(MATCH(DATEVALUE($A333),'recurring1_based on steps'!AQ$1:AQ$400,0)),AQ$2,)</f>
        <v>0</v>
      </c>
      <c r="AR333" s="179">
        <f ca="1">IF(ISNUMBER(MATCH(DATEVALUE($A333),'recurring1_based on steps'!AR$1:AR$400,0)),AR$2,)</f>
        <v>0</v>
      </c>
      <c r="AS333" s="179">
        <f ca="1">IF(ISNUMBER(MATCH(DATEVALUE($A333),'recurring1_based on steps'!AS$1:AS$400,0)),AS$2,)</f>
        <v>0</v>
      </c>
      <c r="AT333" s="179">
        <f ca="1">IF(ISNUMBER(MATCH(DATEVALUE($A333),'recurring1_based on steps'!AT$1:AT$400,0)),AT$2,)</f>
        <v>0</v>
      </c>
      <c r="AU333" s="179">
        <f ca="1">IF(ISNUMBER(MATCH(DATEVALUE($A333),'recurring1_based on steps'!AU$1:AU$400,0)),AU$2,)</f>
        <v>0</v>
      </c>
      <c r="AV333" s="179">
        <f ca="1">IF(ISNUMBER(MATCH(DATEVALUE($A333),'recurring1_based on steps'!AV$1:AV$400,0)),AV$2,)</f>
        <v>0</v>
      </c>
      <c r="AW333" s="179">
        <f ca="1">IF(ISNUMBER(MATCH(DATEVALUE($A333),'recurring1_based on steps'!AW$1:AW$400,0)),AW$2,)</f>
        <v>0</v>
      </c>
      <c r="AX333" s="179">
        <f ca="1">IF(ISNUMBER(MATCH(DATEVALUE($A333),'recurring1_based on steps'!AX$1:AX$400,0)),AX$2,)</f>
        <v>0</v>
      </c>
      <c r="AY333" s="179">
        <f ca="1">IF(ISNUMBER(MATCH(DATEVALUE($A333),'recurring1_based on steps'!AY$1:AY$400,0)),AY$2,)</f>
        <v>0</v>
      </c>
    </row>
    <row r="334" spans="1:51" x14ac:dyDescent="0.2">
      <c r="A334" s="32" t="str">
        <f t="shared" ca="1" si="5"/>
        <v>2026-02-23</v>
      </c>
      <c r="B334" s="179">
        <f ca="1">IF(ISNUMBER(MATCH(DATEVALUE($A334),'recurring1_based on steps'!B$1:B$400,0)),B$2,)</f>
        <v>0</v>
      </c>
      <c r="C334" s="179">
        <f ca="1">IF(ISNUMBER(MATCH(DATEVALUE($A334),'recurring1_based on steps'!C$1:C$400,0)),C$2,)</f>
        <v>0</v>
      </c>
      <c r="D334" s="179">
        <f ca="1">IF(ISNUMBER(MATCH(DATEVALUE($A334),'recurring1_based on steps'!D$1:D$400,0)),D$2,)</f>
        <v>0</v>
      </c>
      <c r="E334" s="179">
        <f ca="1">IF(ISNUMBER(MATCH(DATEVALUE($A334),'recurring1_based on steps'!E$1:E$400,0)),E$2,)</f>
        <v>0</v>
      </c>
      <c r="F334" s="179">
        <f ca="1">IF(ISNUMBER(MATCH(DATEVALUE($A334),'recurring1_based on steps'!F$1:F$400,0)),F$2,)</f>
        <v>0</v>
      </c>
      <c r="G334" s="179">
        <f ca="1">IF(ISNUMBER(MATCH(DATEVALUE($A334),'recurring1_based on steps'!G$1:G$400,0)),G$2,)</f>
        <v>0</v>
      </c>
      <c r="H334" s="179">
        <f ca="1">IF(ISNUMBER(MATCH(DATEVALUE($A334),'recurring1_based on steps'!H$1:H$400,0)),H$2,)</f>
        <v>0</v>
      </c>
      <c r="I334" s="179">
        <f ca="1">IF(ISNUMBER(MATCH(DATEVALUE($A334),'recurring1_based on steps'!I$1:I$400,0)),I$2,)</f>
        <v>0</v>
      </c>
      <c r="J334" s="179">
        <f ca="1">IF(ISNUMBER(MATCH(DATEVALUE($A334),'recurring1_based on steps'!J$1:J$400,0)),J$2,)</f>
        <v>0</v>
      </c>
      <c r="K334" s="179">
        <f ca="1">IF(ISNUMBER(MATCH(DATEVALUE($A334),'recurring1_based on steps'!K$1:K$400,0)),K$2,)</f>
        <v>0</v>
      </c>
      <c r="L334" s="179">
        <f ca="1">IF(ISNUMBER(MATCH(DATEVALUE($A334),'recurring1_based on steps'!L$1:L$400,0)),L$2,)</f>
        <v>0</v>
      </c>
      <c r="M334" s="179">
        <f ca="1">IF(ISNUMBER(MATCH(DATEVALUE($A334),'recurring1_based on steps'!M$1:M$400,0)),M$2,)</f>
        <v>0</v>
      </c>
      <c r="N334" s="179">
        <f ca="1">IF(ISNUMBER(MATCH(DATEVALUE($A334),'recurring1_based on steps'!N$1:N$400,0)),N$2,)</f>
        <v>0</v>
      </c>
      <c r="O334" s="179">
        <f ca="1">IF(ISNUMBER(MATCH(DATEVALUE($A334),'recurring1_based on steps'!O$1:O$400,0)),O$2,)</f>
        <v>0</v>
      </c>
      <c r="P334" s="179">
        <f ca="1">IF(ISNUMBER(MATCH(DATEVALUE($A334),'recurring1_based on steps'!P$1:P$400,0)),P$2,)</f>
        <v>0</v>
      </c>
      <c r="Q334" s="179">
        <f ca="1">IF(ISNUMBER(MATCH(DATEVALUE($A334),'recurring1_based on steps'!Q$1:Q$400,0)),Q$2,)</f>
        <v>0</v>
      </c>
      <c r="R334" s="179">
        <f ca="1">IF(ISNUMBER(MATCH(DATEVALUE($A334),'recurring1_based on steps'!R$1:R$400,0)),R$2,)</f>
        <v>0</v>
      </c>
      <c r="S334" s="179">
        <f ca="1">IF(ISNUMBER(MATCH(DATEVALUE($A334),'recurring1_based on steps'!S$1:S$400,0)),S$2,)</f>
        <v>0</v>
      </c>
      <c r="T334" s="179">
        <f ca="1">IF(ISNUMBER(MATCH(DATEVALUE($A334),'recurring1_based on steps'!T$1:T$400,0)),T$2,)</f>
        <v>0</v>
      </c>
      <c r="U334" s="179">
        <f ca="1">IF(ISNUMBER(MATCH(DATEVALUE($A334),'recurring1_based on steps'!U$1:U$400,0)),U$2,)</f>
        <v>0</v>
      </c>
      <c r="V334" s="179">
        <f ca="1">IF(ISNUMBER(MATCH(DATEVALUE($A334),'recurring1_based on steps'!V$1:V$400,0)),V$2,)</f>
        <v>0</v>
      </c>
      <c r="W334" s="179">
        <f ca="1">IF(ISNUMBER(MATCH(DATEVALUE($A334),'recurring1_based on steps'!W$1:W$400,0)),W$2,)</f>
        <v>0</v>
      </c>
      <c r="X334" s="179">
        <f ca="1">IF(ISNUMBER(MATCH(DATEVALUE($A334),'recurring1_based on steps'!X$1:X$400,0)),X$2,)</f>
        <v>0</v>
      </c>
      <c r="Y334" s="179">
        <f ca="1">IF(ISNUMBER(MATCH(DATEVALUE($A334),'recurring1_based on steps'!Y$1:Y$400,0)),Y$2,)</f>
        <v>0</v>
      </c>
      <c r="Z334" s="179">
        <f ca="1">IF(ISNUMBER(MATCH(DATEVALUE($A334),'recurring1_based on steps'!Z$1:Z$400,0)),Z$2,)</f>
        <v>0</v>
      </c>
      <c r="AA334" s="179">
        <f ca="1">IF(ISNUMBER(MATCH(DATEVALUE($A334),'recurring1_based on steps'!AA$1:AA$400,0)),AA$2,)</f>
        <v>0</v>
      </c>
      <c r="AB334" s="179">
        <f ca="1">IF(ISNUMBER(MATCH(DATEVALUE($A334),'recurring1_based on steps'!AB$1:AB$400,0)),AB$2,)</f>
        <v>0</v>
      </c>
      <c r="AC334" s="179">
        <f ca="1">IF(ISNUMBER(MATCH(DATEVALUE($A334),'recurring1_based on steps'!AC$1:AC$400,0)),AC$2,)</f>
        <v>0</v>
      </c>
      <c r="AD334" s="179">
        <f ca="1">IF(ISNUMBER(MATCH(DATEVALUE($A334),'recurring1_based on steps'!AD$1:AD$400,0)),AD$2,)</f>
        <v>0</v>
      </c>
      <c r="AE334" s="179">
        <f ca="1">IF(ISNUMBER(MATCH(DATEVALUE($A334),'recurring1_based on steps'!AE$1:AE$400,0)),AE$2,)</f>
        <v>0</v>
      </c>
      <c r="AF334" s="179">
        <f ca="1">IF(ISNUMBER(MATCH(DATEVALUE($A334),'recurring1_based on steps'!AF$1:AF$400,0)),AF$2,)</f>
        <v>0</v>
      </c>
      <c r="AG334" s="179">
        <f ca="1">IF(ISNUMBER(MATCH(DATEVALUE($A334),'recurring1_based on steps'!AG$1:AG$400,0)),AG$2,)</f>
        <v>0</v>
      </c>
      <c r="AH334" s="179">
        <f ca="1">IF(ISNUMBER(MATCH(DATEVALUE($A334),'recurring1_based on steps'!AH$1:AH$400,0)),AH$2,)</f>
        <v>0</v>
      </c>
      <c r="AI334" s="179">
        <f ca="1">IF(ISNUMBER(MATCH(DATEVALUE($A334),'recurring1_based on steps'!AI$1:AI$400,0)),AI$2,)</f>
        <v>0</v>
      </c>
      <c r="AJ334" s="179">
        <f ca="1">IF(ISNUMBER(MATCH(DATEVALUE($A334),'recurring1_based on steps'!AJ$1:AJ$400,0)),AJ$2,)</f>
        <v>0</v>
      </c>
      <c r="AK334" s="179">
        <f ca="1">IF(ISNUMBER(MATCH(DATEVALUE($A334),'recurring1_based on steps'!AK$1:AK$400,0)),AK$2,)</f>
        <v>0</v>
      </c>
      <c r="AL334" s="179">
        <f ca="1">IF(ISNUMBER(MATCH(DATEVALUE($A334),'recurring1_based on steps'!AL$1:AL$400,0)),AL$2,)</f>
        <v>0</v>
      </c>
      <c r="AM334" s="179">
        <f ca="1">IF(ISNUMBER(MATCH(DATEVALUE($A334),'recurring1_based on steps'!AM$1:AM$400,0)),AM$2,)</f>
        <v>0</v>
      </c>
      <c r="AN334" s="179">
        <f ca="1">IF(ISNUMBER(MATCH(DATEVALUE($A334),'recurring1_based on steps'!AN$1:AN$400,0)),AN$2,)</f>
        <v>0</v>
      </c>
      <c r="AO334" s="179">
        <f ca="1">IF(ISNUMBER(MATCH(DATEVALUE($A334),'recurring1_based on steps'!AO$1:AO$400,0)),AO$2,)</f>
        <v>0</v>
      </c>
      <c r="AP334" s="179">
        <f ca="1">IF(ISNUMBER(MATCH(DATEVALUE($A334),'recurring1_based on steps'!AP$1:AP$400,0)),AP$2,)</f>
        <v>0</v>
      </c>
      <c r="AQ334" s="179">
        <f ca="1">IF(ISNUMBER(MATCH(DATEVALUE($A334),'recurring1_based on steps'!AQ$1:AQ$400,0)),AQ$2,)</f>
        <v>0</v>
      </c>
      <c r="AR334" s="179">
        <f ca="1">IF(ISNUMBER(MATCH(DATEVALUE($A334),'recurring1_based on steps'!AR$1:AR$400,0)),AR$2,)</f>
        <v>0</v>
      </c>
      <c r="AS334" s="179">
        <f ca="1">IF(ISNUMBER(MATCH(DATEVALUE($A334),'recurring1_based on steps'!AS$1:AS$400,0)),AS$2,)</f>
        <v>0</v>
      </c>
      <c r="AT334" s="179">
        <f ca="1">IF(ISNUMBER(MATCH(DATEVALUE($A334),'recurring1_based on steps'!AT$1:AT$400,0)),AT$2,)</f>
        <v>0</v>
      </c>
      <c r="AU334" s="179">
        <f ca="1">IF(ISNUMBER(MATCH(DATEVALUE($A334),'recurring1_based on steps'!AU$1:AU$400,0)),AU$2,)</f>
        <v>0</v>
      </c>
      <c r="AV334" s="179">
        <f ca="1">IF(ISNUMBER(MATCH(DATEVALUE($A334),'recurring1_based on steps'!AV$1:AV$400,0)),AV$2,)</f>
        <v>0</v>
      </c>
      <c r="AW334" s="179">
        <f ca="1">IF(ISNUMBER(MATCH(DATEVALUE($A334),'recurring1_based on steps'!AW$1:AW$400,0)),AW$2,)</f>
        <v>0</v>
      </c>
      <c r="AX334" s="179">
        <f ca="1">IF(ISNUMBER(MATCH(DATEVALUE($A334),'recurring1_based on steps'!AX$1:AX$400,0)),AX$2,)</f>
        <v>0</v>
      </c>
      <c r="AY334" s="179">
        <f ca="1">IF(ISNUMBER(MATCH(DATEVALUE($A334),'recurring1_based on steps'!AY$1:AY$400,0)),AY$2,)</f>
        <v>0</v>
      </c>
    </row>
    <row r="335" spans="1:51" x14ac:dyDescent="0.2">
      <c r="A335" s="32" t="str">
        <f t="shared" ca="1" si="5"/>
        <v>2026-02-24</v>
      </c>
      <c r="B335" s="179">
        <f ca="1">IF(ISNUMBER(MATCH(DATEVALUE($A335),'recurring1_based on steps'!B$1:B$400,0)),B$2,)</f>
        <v>0</v>
      </c>
      <c r="C335" s="179">
        <f ca="1">IF(ISNUMBER(MATCH(DATEVALUE($A335),'recurring1_based on steps'!C$1:C$400,0)),C$2,)</f>
        <v>0</v>
      </c>
      <c r="D335" s="179">
        <f ca="1">IF(ISNUMBER(MATCH(DATEVALUE($A335),'recurring1_based on steps'!D$1:D$400,0)),D$2,)</f>
        <v>0</v>
      </c>
      <c r="E335" s="179">
        <f ca="1">IF(ISNUMBER(MATCH(DATEVALUE($A335),'recurring1_based on steps'!E$1:E$400,0)),E$2,)</f>
        <v>0</v>
      </c>
      <c r="F335" s="179">
        <f ca="1">IF(ISNUMBER(MATCH(DATEVALUE($A335),'recurring1_based on steps'!F$1:F$400,0)),F$2,)</f>
        <v>0</v>
      </c>
      <c r="G335" s="179">
        <f ca="1">IF(ISNUMBER(MATCH(DATEVALUE($A335),'recurring1_based on steps'!G$1:G$400,0)),G$2,)</f>
        <v>0</v>
      </c>
      <c r="H335" s="179">
        <f ca="1">IF(ISNUMBER(MATCH(DATEVALUE($A335),'recurring1_based on steps'!H$1:H$400,0)),H$2,)</f>
        <v>0</v>
      </c>
      <c r="I335" s="179">
        <f ca="1">IF(ISNUMBER(MATCH(DATEVALUE($A335),'recurring1_based on steps'!I$1:I$400,0)),I$2,)</f>
        <v>0</v>
      </c>
      <c r="J335" s="179">
        <f ca="1">IF(ISNUMBER(MATCH(DATEVALUE($A335),'recurring1_based on steps'!J$1:J$400,0)),J$2,)</f>
        <v>0</v>
      </c>
      <c r="K335" s="179">
        <f ca="1">IF(ISNUMBER(MATCH(DATEVALUE($A335),'recurring1_based on steps'!K$1:K$400,0)),K$2,)</f>
        <v>0</v>
      </c>
      <c r="L335" s="179">
        <f ca="1">IF(ISNUMBER(MATCH(DATEVALUE($A335),'recurring1_based on steps'!L$1:L$400,0)),L$2,)</f>
        <v>0</v>
      </c>
      <c r="M335" s="179">
        <f ca="1">IF(ISNUMBER(MATCH(DATEVALUE($A335),'recurring1_based on steps'!M$1:M$400,0)),M$2,)</f>
        <v>0</v>
      </c>
      <c r="N335" s="179">
        <f ca="1">IF(ISNUMBER(MATCH(DATEVALUE($A335),'recurring1_based on steps'!N$1:N$400,0)),N$2,)</f>
        <v>0</v>
      </c>
      <c r="O335" s="179">
        <f ca="1">IF(ISNUMBER(MATCH(DATEVALUE($A335),'recurring1_based on steps'!O$1:O$400,0)),O$2,)</f>
        <v>0</v>
      </c>
      <c r="P335" s="179">
        <f ca="1">IF(ISNUMBER(MATCH(DATEVALUE($A335),'recurring1_based on steps'!P$1:P$400,0)),P$2,)</f>
        <v>0</v>
      </c>
      <c r="Q335" s="179">
        <f ca="1">IF(ISNUMBER(MATCH(DATEVALUE($A335),'recurring1_based on steps'!Q$1:Q$400,0)),Q$2,)</f>
        <v>0</v>
      </c>
      <c r="R335" s="179">
        <f ca="1">IF(ISNUMBER(MATCH(DATEVALUE($A335),'recurring1_based on steps'!R$1:R$400,0)),R$2,)</f>
        <v>0</v>
      </c>
      <c r="S335" s="179">
        <f ca="1">IF(ISNUMBER(MATCH(DATEVALUE($A335),'recurring1_based on steps'!S$1:S$400,0)),S$2,)</f>
        <v>0</v>
      </c>
      <c r="T335" s="179">
        <f ca="1">IF(ISNUMBER(MATCH(DATEVALUE($A335),'recurring1_based on steps'!T$1:T$400,0)),T$2,)</f>
        <v>0</v>
      </c>
      <c r="U335" s="179">
        <f ca="1">IF(ISNUMBER(MATCH(DATEVALUE($A335),'recurring1_based on steps'!U$1:U$400,0)),U$2,)</f>
        <v>0</v>
      </c>
      <c r="V335" s="179">
        <f ca="1">IF(ISNUMBER(MATCH(DATEVALUE($A335),'recurring1_based on steps'!V$1:V$400,0)),V$2,)</f>
        <v>0</v>
      </c>
      <c r="W335" s="179">
        <f ca="1">IF(ISNUMBER(MATCH(DATEVALUE($A335),'recurring1_based on steps'!W$1:W$400,0)),W$2,)</f>
        <v>0</v>
      </c>
      <c r="X335" s="179">
        <f ca="1">IF(ISNUMBER(MATCH(DATEVALUE($A335),'recurring1_based on steps'!X$1:X$400,0)),X$2,)</f>
        <v>0</v>
      </c>
      <c r="Y335" s="179">
        <f ca="1">IF(ISNUMBER(MATCH(DATEVALUE($A335),'recurring1_based on steps'!Y$1:Y$400,0)),Y$2,)</f>
        <v>0</v>
      </c>
      <c r="Z335" s="179">
        <f ca="1">IF(ISNUMBER(MATCH(DATEVALUE($A335),'recurring1_based on steps'!Z$1:Z$400,0)),Z$2,)</f>
        <v>0</v>
      </c>
      <c r="AA335" s="179">
        <f ca="1">IF(ISNUMBER(MATCH(DATEVALUE($A335),'recurring1_based on steps'!AA$1:AA$400,0)),AA$2,)</f>
        <v>0</v>
      </c>
      <c r="AB335" s="179">
        <f ca="1">IF(ISNUMBER(MATCH(DATEVALUE($A335),'recurring1_based on steps'!AB$1:AB$400,0)),AB$2,)</f>
        <v>0</v>
      </c>
      <c r="AC335" s="179">
        <f ca="1">IF(ISNUMBER(MATCH(DATEVALUE($A335),'recurring1_based on steps'!AC$1:AC$400,0)),AC$2,)</f>
        <v>0</v>
      </c>
      <c r="AD335" s="179">
        <f ca="1">IF(ISNUMBER(MATCH(DATEVALUE($A335),'recurring1_based on steps'!AD$1:AD$400,0)),AD$2,)</f>
        <v>0</v>
      </c>
      <c r="AE335" s="179">
        <f ca="1">IF(ISNUMBER(MATCH(DATEVALUE($A335),'recurring1_based on steps'!AE$1:AE$400,0)),AE$2,)</f>
        <v>0</v>
      </c>
      <c r="AF335" s="179">
        <f ca="1">IF(ISNUMBER(MATCH(DATEVALUE($A335),'recurring1_based on steps'!AF$1:AF$400,0)),AF$2,)</f>
        <v>0</v>
      </c>
      <c r="AG335" s="179">
        <f ca="1">IF(ISNUMBER(MATCH(DATEVALUE($A335),'recurring1_based on steps'!AG$1:AG$400,0)),AG$2,)</f>
        <v>0</v>
      </c>
      <c r="AH335" s="179">
        <f ca="1">IF(ISNUMBER(MATCH(DATEVALUE($A335),'recurring1_based on steps'!AH$1:AH$400,0)),AH$2,)</f>
        <v>0</v>
      </c>
      <c r="AI335" s="179">
        <f ca="1">IF(ISNUMBER(MATCH(DATEVALUE($A335),'recurring1_based on steps'!AI$1:AI$400,0)),AI$2,)</f>
        <v>0</v>
      </c>
      <c r="AJ335" s="179">
        <f ca="1">IF(ISNUMBER(MATCH(DATEVALUE($A335),'recurring1_based on steps'!AJ$1:AJ$400,0)),AJ$2,)</f>
        <v>0</v>
      </c>
      <c r="AK335" s="179">
        <f ca="1">IF(ISNUMBER(MATCH(DATEVALUE($A335),'recurring1_based on steps'!AK$1:AK$400,0)),AK$2,)</f>
        <v>0</v>
      </c>
      <c r="AL335" s="179">
        <f ca="1">IF(ISNUMBER(MATCH(DATEVALUE($A335),'recurring1_based on steps'!AL$1:AL$400,0)),AL$2,)</f>
        <v>0</v>
      </c>
      <c r="AM335" s="179">
        <f ca="1">IF(ISNUMBER(MATCH(DATEVALUE($A335),'recurring1_based on steps'!AM$1:AM$400,0)),AM$2,)</f>
        <v>0</v>
      </c>
      <c r="AN335" s="179">
        <f ca="1">IF(ISNUMBER(MATCH(DATEVALUE($A335),'recurring1_based on steps'!AN$1:AN$400,0)),AN$2,)</f>
        <v>0</v>
      </c>
      <c r="AO335" s="179">
        <f ca="1">IF(ISNUMBER(MATCH(DATEVALUE($A335),'recurring1_based on steps'!AO$1:AO$400,0)),AO$2,)</f>
        <v>0</v>
      </c>
      <c r="AP335" s="179">
        <f ca="1">IF(ISNUMBER(MATCH(DATEVALUE($A335),'recurring1_based on steps'!AP$1:AP$400,0)),AP$2,)</f>
        <v>0</v>
      </c>
      <c r="AQ335" s="179">
        <f ca="1">IF(ISNUMBER(MATCH(DATEVALUE($A335),'recurring1_based on steps'!AQ$1:AQ$400,0)),AQ$2,)</f>
        <v>0</v>
      </c>
      <c r="AR335" s="179">
        <f ca="1">IF(ISNUMBER(MATCH(DATEVALUE($A335),'recurring1_based on steps'!AR$1:AR$400,0)),AR$2,)</f>
        <v>0</v>
      </c>
      <c r="AS335" s="179">
        <f ca="1">IF(ISNUMBER(MATCH(DATEVALUE($A335),'recurring1_based on steps'!AS$1:AS$400,0)),AS$2,)</f>
        <v>0</v>
      </c>
      <c r="AT335" s="179">
        <f ca="1">IF(ISNUMBER(MATCH(DATEVALUE($A335),'recurring1_based on steps'!AT$1:AT$400,0)),AT$2,)</f>
        <v>0</v>
      </c>
      <c r="AU335" s="179">
        <f ca="1">IF(ISNUMBER(MATCH(DATEVALUE($A335),'recurring1_based on steps'!AU$1:AU$400,0)),AU$2,)</f>
        <v>0</v>
      </c>
      <c r="AV335" s="179">
        <f ca="1">IF(ISNUMBER(MATCH(DATEVALUE($A335),'recurring1_based on steps'!AV$1:AV$400,0)),AV$2,)</f>
        <v>0</v>
      </c>
      <c r="AW335" s="179">
        <f ca="1">IF(ISNUMBER(MATCH(DATEVALUE($A335),'recurring1_based on steps'!AW$1:AW$400,0)),AW$2,)</f>
        <v>0</v>
      </c>
      <c r="AX335" s="179">
        <f ca="1">IF(ISNUMBER(MATCH(DATEVALUE($A335),'recurring1_based on steps'!AX$1:AX$400,0)),AX$2,)</f>
        <v>0</v>
      </c>
      <c r="AY335" s="179">
        <f ca="1">IF(ISNUMBER(MATCH(DATEVALUE($A335),'recurring1_based on steps'!AY$1:AY$400,0)),AY$2,)</f>
        <v>0</v>
      </c>
    </row>
    <row r="336" spans="1:51" x14ac:dyDescent="0.2">
      <c r="A336" s="32" t="str">
        <f t="shared" ca="1" si="5"/>
        <v>2026-02-25</v>
      </c>
      <c r="B336" s="179">
        <f ca="1">IF(ISNUMBER(MATCH(DATEVALUE($A336),'recurring1_based on steps'!B$1:B$400,0)),B$2,)</f>
        <v>0</v>
      </c>
      <c r="C336" s="179">
        <f ca="1">IF(ISNUMBER(MATCH(DATEVALUE($A336),'recurring1_based on steps'!C$1:C$400,0)),C$2,)</f>
        <v>0</v>
      </c>
      <c r="D336" s="179">
        <f ca="1">IF(ISNUMBER(MATCH(DATEVALUE($A336),'recurring1_based on steps'!D$1:D$400,0)),D$2,)</f>
        <v>0</v>
      </c>
      <c r="E336" s="179">
        <f ca="1">IF(ISNUMBER(MATCH(DATEVALUE($A336),'recurring1_based on steps'!E$1:E$400,0)),E$2,)</f>
        <v>0</v>
      </c>
      <c r="F336" s="179">
        <f ca="1">IF(ISNUMBER(MATCH(DATEVALUE($A336),'recurring1_based on steps'!F$1:F$400,0)),F$2,)</f>
        <v>0</v>
      </c>
      <c r="G336" s="179">
        <f ca="1">IF(ISNUMBER(MATCH(DATEVALUE($A336),'recurring1_based on steps'!G$1:G$400,0)),G$2,)</f>
        <v>0</v>
      </c>
      <c r="H336" s="179">
        <f ca="1">IF(ISNUMBER(MATCH(DATEVALUE($A336),'recurring1_based on steps'!H$1:H$400,0)),H$2,)</f>
        <v>0</v>
      </c>
      <c r="I336" s="179">
        <f ca="1">IF(ISNUMBER(MATCH(DATEVALUE($A336),'recurring1_based on steps'!I$1:I$400,0)),I$2,)</f>
        <v>0</v>
      </c>
      <c r="J336" s="179">
        <f ca="1">IF(ISNUMBER(MATCH(DATEVALUE($A336),'recurring1_based on steps'!J$1:J$400,0)),J$2,)</f>
        <v>0</v>
      </c>
      <c r="K336" s="179">
        <f ca="1">IF(ISNUMBER(MATCH(DATEVALUE($A336),'recurring1_based on steps'!K$1:K$400,0)),K$2,)</f>
        <v>0</v>
      </c>
      <c r="L336" s="179">
        <f ca="1">IF(ISNUMBER(MATCH(DATEVALUE($A336),'recurring1_based on steps'!L$1:L$400,0)),L$2,)</f>
        <v>0</v>
      </c>
      <c r="M336" s="179">
        <f ca="1">IF(ISNUMBER(MATCH(DATEVALUE($A336),'recurring1_based on steps'!M$1:M$400,0)),M$2,)</f>
        <v>0</v>
      </c>
      <c r="N336" s="179">
        <f ca="1">IF(ISNUMBER(MATCH(DATEVALUE($A336),'recurring1_based on steps'!N$1:N$400,0)),N$2,)</f>
        <v>0</v>
      </c>
      <c r="O336" s="179">
        <f ca="1">IF(ISNUMBER(MATCH(DATEVALUE($A336),'recurring1_based on steps'!O$1:O$400,0)),O$2,)</f>
        <v>0</v>
      </c>
      <c r="P336" s="179">
        <f ca="1">IF(ISNUMBER(MATCH(DATEVALUE($A336),'recurring1_based on steps'!P$1:P$400,0)),P$2,)</f>
        <v>0</v>
      </c>
      <c r="Q336" s="179">
        <f ca="1">IF(ISNUMBER(MATCH(DATEVALUE($A336),'recurring1_based on steps'!Q$1:Q$400,0)),Q$2,)</f>
        <v>0</v>
      </c>
      <c r="R336" s="179">
        <f ca="1">IF(ISNUMBER(MATCH(DATEVALUE($A336),'recurring1_based on steps'!R$1:R$400,0)),R$2,)</f>
        <v>0</v>
      </c>
      <c r="S336" s="179">
        <f ca="1">IF(ISNUMBER(MATCH(DATEVALUE($A336),'recurring1_based on steps'!S$1:S$400,0)),S$2,)</f>
        <v>0</v>
      </c>
      <c r="T336" s="179">
        <f ca="1">IF(ISNUMBER(MATCH(DATEVALUE($A336),'recurring1_based on steps'!T$1:T$400,0)),T$2,)</f>
        <v>0</v>
      </c>
      <c r="U336" s="179">
        <f ca="1">IF(ISNUMBER(MATCH(DATEVALUE($A336),'recurring1_based on steps'!U$1:U$400,0)),U$2,)</f>
        <v>0</v>
      </c>
      <c r="V336" s="179">
        <f ca="1">IF(ISNUMBER(MATCH(DATEVALUE($A336),'recurring1_based on steps'!V$1:V$400,0)),V$2,)</f>
        <v>0</v>
      </c>
      <c r="W336" s="179">
        <f ca="1">IF(ISNUMBER(MATCH(DATEVALUE($A336),'recurring1_based on steps'!W$1:W$400,0)),W$2,)</f>
        <v>0</v>
      </c>
      <c r="X336" s="179">
        <f ca="1">IF(ISNUMBER(MATCH(DATEVALUE($A336),'recurring1_based on steps'!X$1:X$400,0)),X$2,)</f>
        <v>0</v>
      </c>
      <c r="Y336" s="179">
        <f ca="1">IF(ISNUMBER(MATCH(DATEVALUE($A336),'recurring1_based on steps'!Y$1:Y$400,0)),Y$2,)</f>
        <v>0</v>
      </c>
      <c r="Z336" s="179">
        <f ca="1">IF(ISNUMBER(MATCH(DATEVALUE($A336),'recurring1_based on steps'!Z$1:Z$400,0)),Z$2,)</f>
        <v>0</v>
      </c>
      <c r="AA336" s="179">
        <f ca="1">IF(ISNUMBER(MATCH(DATEVALUE($A336),'recurring1_based on steps'!AA$1:AA$400,0)),AA$2,)</f>
        <v>0</v>
      </c>
      <c r="AB336" s="179">
        <f ca="1">IF(ISNUMBER(MATCH(DATEVALUE($A336),'recurring1_based on steps'!AB$1:AB$400,0)),AB$2,)</f>
        <v>0</v>
      </c>
      <c r="AC336" s="179">
        <f ca="1">IF(ISNUMBER(MATCH(DATEVALUE($A336),'recurring1_based on steps'!AC$1:AC$400,0)),AC$2,)</f>
        <v>0</v>
      </c>
      <c r="AD336" s="179">
        <f ca="1">IF(ISNUMBER(MATCH(DATEVALUE($A336),'recurring1_based on steps'!AD$1:AD$400,0)),AD$2,)</f>
        <v>0</v>
      </c>
      <c r="AE336" s="179">
        <f ca="1">IF(ISNUMBER(MATCH(DATEVALUE($A336),'recurring1_based on steps'!AE$1:AE$400,0)),AE$2,)</f>
        <v>0</v>
      </c>
      <c r="AF336" s="179">
        <f ca="1">IF(ISNUMBER(MATCH(DATEVALUE($A336),'recurring1_based on steps'!AF$1:AF$400,0)),AF$2,)</f>
        <v>0</v>
      </c>
      <c r="AG336" s="179">
        <f ca="1">IF(ISNUMBER(MATCH(DATEVALUE($A336),'recurring1_based on steps'!AG$1:AG$400,0)),AG$2,)</f>
        <v>0</v>
      </c>
      <c r="AH336" s="179">
        <f ca="1">IF(ISNUMBER(MATCH(DATEVALUE($A336),'recurring1_based on steps'!AH$1:AH$400,0)),AH$2,)</f>
        <v>0</v>
      </c>
      <c r="AI336" s="179">
        <f ca="1">IF(ISNUMBER(MATCH(DATEVALUE($A336),'recurring1_based on steps'!AI$1:AI$400,0)),AI$2,)</f>
        <v>0</v>
      </c>
      <c r="AJ336" s="179">
        <f ca="1">IF(ISNUMBER(MATCH(DATEVALUE($A336),'recurring1_based on steps'!AJ$1:AJ$400,0)),AJ$2,)</f>
        <v>0</v>
      </c>
      <c r="AK336" s="179">
        <f ca="1">IF(ISNUMBER(MATCH(DATEVALUE($A336),'recurring1_based on steps'!AK$1:AK$400,0)),AK$2,)</f>
        <v>0</v>
      </c>
      <c r="AL336" s="179">
        <f ca="1">IF(ISNUMBER(MATCH(DATEVALUE($A336),'recurring1_based on steps'!AL$1:AL$400,0)),AL$2,)</f>
        <v>0</v>
      </c>
      <c r="AM336" s="179">
        <f ca="1">IF(ISNUMBER(MATCH(DATEVALUE($A336),'recurring1_based on steps'!AM$1:AM$400,0)),AM$2,)</f>
        <v>0</v>
      </c>
      <c r="AN336" s="179">
        <f ca="1">IF(ISNUMBER(MATCH(DATEVALUE($A336),'recurring1_based on steps'!AN$1:AN$400,0)),AN$2,)</f>
        <v>0</v>
      </c>
      <c r="AO336" s="179">
        <f ca="1">IF(ISNUMBER(MATCH(DATEVALUE($A336),'recurring1_based on steps'!AO$1:AO$400,0)),AO$2,)</f>
        <v>0</v>
      </c>
      <c r="AP336" s="179">
        <f ca="1">IF(ISNUMBER(MATCH(DATEVALUE($A336),'recurring1_based on steps'!AP$1:AP$400,0)),AP$2,)</f>
        <v>0</v>
      </c>
      <c r="AQ336" s="179">
        <f ca="1">IF(ISNUMBER(MATCH(DATEVALUE($A336),'recurring1_based on steps'!AQ$1:AQ$400,0)),AQ$2,)</f>
        <v>0</v>
      </c>
      <c r="AR336" s="179">
        <f ca="1">IF(ISNUMBER(MATCH(DATEVALUE($A336),'recurring1_based on steps'!AR$1:AR$400,0)),AR$2,)</f>
        <v>0</v>
      </c>
      <c r="AS336" s="179">
        <f ca="1">IF(ISNUMBER(MATCH(DATEVALUE($A336),'recurring1_based on steps'!AS$1:AS$400,0)),AS$2,)</f>
        <v>0</v>
      </c>
      <c r="AT336" s="179">
        <f ca="1">IF(ISNUMBER(MATCH(DATEVALUE($A336),'recurring1_based on steps'!AT$1:AT$400,0)),AT$2,)</f>
        <v>0</v>
      </c>
      <c r="AU336" s="179">
        <f ca="1">IF(ISNUMBER(MATCH(DATEVALUE($A336),'recurring1_based on steps'!AU$1:AU$400,0)),AU$2,)</f>
        <v>0</v>
      </c>
      <c r="AV336" s="179">
        <f ca="1">IF(ISNUMBER(MATCH(DATEVALUE($A336),'recurring1_based on steps'!AV$1:AV$400,0)),AV$2,)</f>
        <v>0</v>
      </c>
      <c r="AW336" s="179">
        <f ca="1">IF(ISNUMBER(MATCH(DATEVALUE($A336),'recurring1_based on steps'!AW$1:AW$400,0)),AW$2,)</f>
        <v>0</v>
      </c>
      <c r="AX336" s="179">
        <f ca="1">IF(ISNUMBER(MATCH(DATEVALUE($A336),'recurring1_based on steps'!AX$1:AX$400,0)),AX$2,)</f>
        <v>0</v>
      </c>
      <c r="AY336" s="179">
        <f ca="1">IF(ISNUMBER(MATCH(DATEVALUE($A336),'recurring1_based on steps'!AY$1:AY$400,0)),AY$2,)</f>
        <v>0</v>
      </c>
    </row>
    <row r="337" spans="1:51" x14ac:dyDescent="0.2">
      <c r="A337" s="32" t="str">
        <f t="shared" ca="1" si="5"/>
        <v>2026-02-26</v>
      </c>
      <c r="B337" s="179">
        <f ca="1">IF(ISNUMBER(MATCH(DATEVALUE($A337),'recurring1_based on steps'!B$1:B$400,0)),B$2,)</f>
        <v>0</v>
      </c>
      <c r="C337" s="179">
        <f ca="1">IF(ISNUMBER(MATCH(DATEVALUE($A337),'recurring1_based on steps'!C$1:C$400,0)),C$2,)</f>
        <v>0</v>
      </c>
      <c r="D337" s="179">
        <f ca="1">IF(ISNUMBER(MATCH(DATEVALUE($A337),'recurring1_based on steps'!D$1:D$400,0)),D$2,)</f>
        <v>0</v>
      </c>
      <c r="E337" s="179">
        <f ca="1">IF(ISNUMBER(MATCH(DATEVALUE($A337),'recurring1_based on steps'!E$1:E$400,0)),E$2,)</f>
        <v>0</v>
      </c>
      <c r="F337" s="179">
        <f ca="1">IF(ISNUMBER(MATCH(DATEVALUE($A337),'recurring1_based on steps'!F$1:F$400,0)),F$2,)</f>
        <v>0</v>
      </c>
      <c r="G337" s="179">
        <f ca="1">IF(ISNUMBER(MATCH(DATEVALUE($A337),'recurring1_based on steps'!G$1:G$400,0)),G$2,)</f>
        <v>0</v>
      </c>
      <c r="H337" s="179">
        <f ca="1">IF(ISNUMBER(MATCH(DATEVALUE($A337),'recurring1_based on steps'!H$1:H$400,0)),H$2,)</f>
        <v>0</v>
      </c>
      <c r="I337" s="179">
        <f ca="1">IF(ISNUMBER(MATCH(DATEVALUE($A337),'recurring1_based on steps'!I$1:I$400,0)),I$2,)</f>
        <v>0</v>
      </c>
      <c r="J337" s="179">
        <f ca="1">IF(ISNUMBER(MATCH(DATEVALUE($A337),'recurring1_based on steps'!J$1:J$400,0)),J$2,)</f>
        <v>0</v>
      </c>
      <c r="K337" s="179">
        <f ca="1">IF(ISNUMBER(MATCH(DATEVALUE($A337),'recurring1_based on steps'!K$1:K$400,0)),K$2,)</f>
        <v>0</v>
      </c>
      <c r="L337" s="179">
        <f ca="1">IF(ISNUMBER(MATCH(DATEVALUE($A337),'recurring1_based on steps'!L$1:L$400,0)),L$2,)</f>
        <v>0</v>
      </c>
      <c r="M337" s="179">
        <f ca="1">IF(ISNUMBER(MATCH(DATEVALUE($A337),'recurring1_based on steps'!M$1:M$400,0)),M$2,)</f>
        <v>0</v>
      </c>
      <c r="N337" s="179">
        <f ca="1">IF(ISNUMBER(MATCH(DATEVALUE($A337),'recurring1_based on steps'!N$1:N$400,0)),N$2,)</f>
        <v>0</v>
      </c>
      <c r="O337" s="179">
        <f ca="1">IF(ISNUMBER(MATCH(DATEVALUE($A337),'recurring1_based on steps'!O$1:O$400,0)),O$2,)</f>
        <v>0</v>
      </c>
      <c r="P337" s="179">
        <f ca="1">IF(ISNUMBER(MATCH(DATEVALUE($A337),'recurring1_based on steps'!P$1:P$400,0)),P$2,)</f>
        <v>0</v>
      </c>
      <c r="Q337" s="179">
        <f ca="1">IF(ISNUMBER(MATCH(DATEVALUE($A337),'recurring1_based on steps'!Q$1:Q$400,0)),Q$2,)</f>
        <v>0</v>
      </c>
      <c r="R337" s="179">
        <f ca="1">IF(ISNUMBER(MATCH(DATEVALUE($A337),'recurring1_based on steps'!R$1:R$400,0)),R$2,)</f>
        <v>0</v>
      </c>
      <c r="S337" s="179">
        <f ca="1">IF(ISNUMBER(MATCH(DATEVALUE($A337),'recurring1_based on steps'!S$1:S$400,0)),S$2,)</f>
        <v>0</v>
      </c>
      <c r="T337" s="179">
        <f ca="1">IF(ISNUMBER(MATCH(DATEVALUE($A337),'recurring1_based on steps'!T$1:T$400,0)),T$2,)</f>
        <v>0</v>
      </c>
      <c r="U337" s="179">
        <f ca="1">IF(ISNUMBER(MATCH(DATEVALUE($A337),'recurring1_based on steps'!U$1:U$400,0)),U$2,)</f>
        <v>0</v>
      </c>
      <c r="V337" s="179">
        <f ca="1">IF(ISNUMBER(MATCH(DATEVALUE($A337),'recurring1_based on steps'!V$1:V$400,0)),V$2,)</f>
        <v>0</v>
      </c>
      <c r="W337" s="179">
        <f ca="1">IF(ISNUMBER(MATCH(DATEVALUE($A337),'recurring1_based on steps'!W$1:W$400,0)),W$2,)</f>
        <v>0</v>
      </c>
      <c r="X337" s="179">
        <f ca="1">IF(ISNUMBER(MATCH(DATEVALUE($A337),'recurring1_based on steps'!X$1:X$400,0)),X$2,)</f>
        <v>0</v>
      </c>
      <c r="Y337" s="179">
        <f ca="1">IF(ISNUMBER(MATCH(DATEVALUE($A337),'recurring1_based on steps'!Y$1:Y$400,0)),Y$2,)</f>
        <v>0</v>
      </c>
      <c r="Z337" s="179">
        <f ca="1">IF(ISNUMBER(MATCH(DATEVALUE($A337),'recurring1_based on steps'!Z$1:Z$400,0)),Z$2,)</f>
        <v>0</v>
      </c>
      <c r="AA337" s="179">
        <f ca="1">IF(ISNUMBER(MATCH(DATEVALUE($A337),'recurring1_based on steps'!AA$1:AA$400,0)),AA$2,)</f>
        <v>0</v>
      </c>
      <c r="AB337" s="179">
        <f ca="1">IF(ISNUMBER(MATCH(DATEVALUE($A337),'recurring1_based on steps'!AB$1:AB$400,0)),AB$2,)</f>
        <v>0</v>
      </c>
      <c r="AC337" s="179">
        <f ca="1">IF(ISNUMBER(MATCH(DATEVALUE($A337),'recurring1_based on steps'!AC$1:AC$400,0)),AC$2,)</f>
        <v>0</v>
      </c>
      <c r="AD337" s="179">
        <f ca="1">IF(ISNUMBER(MATCH(DATEVALUE($A337),'recurring1_based on steps'!AD$1:AD$400,0)),AD$2,)</f>
        <v>0</v>
      </c>
      <c r="AE337" s="179">
        <f ca="1">IF(ISNUMBER(MATCH(DATEVALUE($A337),'recurring1_based on steps'!AE$1:AE$400,0)),AE$2,)</f>
        <v>0</v>
      </c>
      <c r="AF337" s="179">
        <f ca="1">IF(ISNUMBER(MATCH(DATEVALUE($A337),'recurring1_based on steps'!AF$1:AF$400,0)),AF$2,)</f>
        <v>0</v>
      </c>
      <c r="AG337" s="179">
        <f ca="1">IF(ISNUMBER(MATCH(DATEVALUE($A337),'recurring1_based on steps'!AG$1:AG$400,0)),AG$2,)</f>
        <v>0</v>
      </c>
      <c r="AH337" s="179">
        <f ca="1">IF(ISNUMBER(MATCH(DATEVALUE($A337),'recurring1_based on steps'!AH$1:AH$400,0)),AH$2,)</f>
        <v>0</v>
      </c>
      <c r="AI337" s="179">
        <f ca="1">IF(ISNUMBER(MATCH(DATEVALUE($A337),'recurring1_based on steps'!AI$1:AI$400,0)),AI$2,)</f>
        <v>0</v>
      </c>
      <c r="AJ337" s="179">
        <f ca="1">IF(ISNUMBER(MATCH(DATEVALUE($A337),'recurring1_based on steps'!AJ$1:AJ$400,0)),AJ$2,)</f>
        <v>0</v>
      </c>
      <c r="AK337" s="179">
        <f ca="1">IF(ISNUMBER(MATCH(DATEVALUE($A337),'recurring1_based on steps'!AK$1:AK$400,0)),AK$2,)</f>
        <v>0</v>
      </c>
      <c r="AL337" s="179">
        <f ca="1">IF(ISNUMBER(MATCH(DATEVALUE($A337),'recurring1_based on steps'!AL$1:AL$400,0)),AL$2,)</f>
        <v>0</v>
      </c>
      <c r="AM337" s="179">
        <f ca="1">IF(ISNUMBER(MATCH(DATEVALUE($A337),'recurring1_based on steps'!AM$1:AM$400,0)),AM$2,)</f>
        <v>0</v>
      </c>
      <c r="AN337" s="179">
        <f ca="1">IF(ISNUMBER(MATCH(DATEVALUE($A337),'recurring1_based on steps'!AN$1:AN$400,0)),AN$2,)</f>
        <v>0</v>
      </c>
      <c r="AO337" s="179">
        <f ca="1">IF(ISNUMBER(MATCH(DATEVALUE($A337),'recurring1_based on steps'!AO$1:AO$400,0)),AO$2,)</f>
        <v>0</v>
      </c>
      <c r="AP337" s="179">
        <f ca="1">IF(ISNUMBER(MATCH(DATEVALUE($A337),'recurring1_based on steps'!AP$1:AP$400,0)),AP$2,)</f>
        <v>0</v>
      </c>
      <c r="AQ337" s="179">
        <f ca="1">IF(ISNUMBER(MATCH(DATEVALUE($A337),'recurring1_based on steps'!AQ$1:AQ$400,0)),AQ$2,)</f>
        <v>0</v>
      </c>
      <c r="AR337" s="179">
        <f ca="1">IF(ISNUMBER(MATCH(DATEVALUE($A337),'recurring1_based on steps'!AR$1:AR$400,0)),AR$2,)</f>
        <v>0</v>
      </c>
      <c r="AS337" s="179">
        <f ca="1">IF(ISNUMBER(MATCH(DATEVALUE($A337),'recurring1_based on steps'!AS$1:AS$400,0)),AS$2,)</f>
        <v>0</v>
      </c>
      <c r="AT337" s="179">
        <f ca="1">IF(ISNUMBER(MATCH(DATEVALUE($A337),'recurring1_based on steps'!AT$1:AT$400,0)),AT$2,)</f>
        <v>0</v>
      </c>
      <c r="AU337" s="179">
        <f ca="1">IF(ISNUMBER(MATCH(DATEVALUE($A337),'recurring1_based on steps'!AU$1:AU$400,0)),AU$2,)</f>
        <v>0</v>
      </c>
      <c r="AV337" s="179">
        <f ca="1">IF(ISNUMBER(MATCH(DATEVALUE($A337),'recurring1_based on steps'!AV$1:AV$400,0)),AV$2,)</f>
        <v>0</v>
      </c>
      <c r="AW337" s="179">
        <f ca="1">IF(ISNUMBER(MATCH(DATEVALUE($A337),'recurring1_based on steps'!AW$1:AW$400,0)),AW$2,)</f>
        <v>0</v>
      </c>
      <c r="AX337" s="179">
        <f ca="1">IF(ISNUMBER(MATCH(DATEVALUE($A337),'recurring1_based on steps'!AX$1:AX$400,0)),AX$2,)</f>
        <v>0</v>
      </c>
      <c r="AY337" s="179">
        <f ca="1">IF(ISNUMBER(MATCH(DATEVALUE($A337),'recurring1_based on steps'!AY$1:AY$400,0)),AY$2,)</f>
        <v>0</v>
      </c>
    </row>
    <row r="338" spans="1:51" x14ac:dyDescent="0.2">
      <c r="A338" s="32" t="str">
        <f t="shared" ca="1" si="5"/>
        <v>2026-02-27</v>
      </c>
      <c r="B338" s="179">
        <f ca="1">IF(ISNUMBER(MATCH(DATEVALUE($A338),'recurring1_based on steps'!B$1:B$400,0)),B$2,)</f>
        <v>0</v>
      </c>
      <c r="C338" s="179">
        <f ca="1">IF(ISNUMBER(MATCH(DATEVALUE($A338),'recurring1_based on steps'!C$1:C$400,0)),C$2,)</f>
        <v>0</v>
      </c>
      <c r="D338" s="179">
        <f ca="1">IF(ISNUMBER(MATCH(DATEVALUE($A338),'recurring1_based on steps'!D$1:D$400,0)),D$2,)</f>
        <v>0</v>
      </c>
      <c r="E338" s="179">
        <f ca="1">IF(ISNUMBER(MATCH(DATEVALUE($A338),'recurring1_based on steps'!E$1:E$400,0)),E$2,)</f>
        <v>0</v>
      </c>
      <c r="F338" s="179">
        <f ca="1">IF(ISNUMBER(MATCH(DATEVALUE($A338),'recurring1_based on steps'!F$1:F$400,0)),F$2,)</f>
        <v>0</v>
      </c>
      <c r="G338" s="179">
        <f ca="1">IF(ISNUMBER(MATCH(DATEVALUE($A338),'recurring1_based on steps'!G$1:G$400,0)),G$2,)</f>
        <v>0</v>
      </c>
      <c r="H338" s="179">
        <f ca="1">IF(ISNUMBER(MATCH(DATEVALUE($A338),'recurring1_based on steps'!H$1:H$400,0)),H$2,)</f>
        <v>0</v>
      </c>
      <c r="I338" s="179">
        <f ca="1">IF(ISNUMBER(MATCH(DATEVALUE($A338),'recurring1_based on steps'!I$1:I$400,0)),I$2,)</f>
        <v>0</v>
      </c>
      <c r="J338" s="179">
        <f ca="1">IF(ISNUMBER(MATCH(DATEVALUE($A338),'recurring1_based on steps'!J$1:J$400,0)),J$2,)</f>
        <v>0</v>
      </c>
      <c r="K338" s="179">
        <f ca="1">IF(ISNUMBER(MATCH(DATEVALUE($A338),'recurring1_based on steps'!K$1:K$400,0)),K$2,)</f>
        <v>0</v>
      </c>
      <c r="L338" s="179">
        <f ca="1">IF(ISNUMBER(MATCH(DATEVALUE($A338),'recurring1_based on steps'!L$1:L$400,0)),L$2,)</f>
        <v>0</v>
      </c>
      <c r="M338" s="179">
        <f ca="1">IF(ISNUMBER(MATCH(DATEVALUE($A338),'recurring1_based on steps'!M$1:M$400,0)),M$2,)</f>
        <v>0</v>
      </c>
      <c r="N338" s="179">
        <f ca="1">IF(ISNUMBER(MATCH(DATEVALUE($A338),'recurring1_based on steps'!N$1:N$400,0)),N$2,)</f>
        <v>0</v>
      </c>
      <c r="O338" s="179">
        <f ca="1">IF(ISNUMBER(MATCH(DATEVALUE($A338),'recurring1_based on steps'!O$1:O$400,0)),O$2,)</f>
        <v>0</v>
      </c>
      <c r="P338" s="179">
        <f ca="1">IF(ISNUMBER(MATCH(DATEVALUE($A338),'recurring1_based on steps'!P$1:P$400,0)),P$2,)</f>
        <v>0</v>
      </c>
      <c r="Q338" s="179">
        <f ca="1">IF(ISNUMBER(MATCH(DATEVALUE($A338),'recurring1_based on steps'!Q$1:Q$400,0)),Q$2,)</f>
        <v>0</v>
      </c>
      <c r="R338" s="179">
        <f ca="1">IF(ISNUMBER(MATCH(DATEVALUE($A338),'recurring1_based on steps'!R$1:R$400,0)),R$2,)</f>
        <v>0</v>
      </c>
      <c r="S338" s="179">
        <f ca="1">IF(ISNUMBER(MATCH(DATEVALUE($A338),'recurring1_based on steps'!S$1:S$400,0)),S$2,)</f>
        <v>0</v>
      </c>
      <c r="T338" s="179">
        <f ca="1">IF(ISNUMBER(MATCH(DATEVALUE($A338),'recurring1_based on steps'!T$1:T$400,0)),T$2,)</f>
        <v>0</v>
      </c>
      <c r="U338" s="179">
        <f ca="1">IF(ISNUMBER(MATCH(DATEVALUE($A338),'recurring1_based on steps'!U$1:U$400,0)),U$2,)</f>
        <v>0</v>
      </c>
      <c r="V338" s="179">
        <f ca="1">IF(ISNUMBER(MATCH(DATEVALUE($A338),'recurring1_based on steps'!V$1:V$400,0)),V$2,)</f>
        <v>0</v>
      </c>
      <c r="W338" s="179">
        <f ca="1">IF(ISNUMBER(MATCH(DATEVALUE($A338),'recurring1_based on steps'!W$1:W$400,0)),W$2,)</f>
        <v>0</v>
      </c>
      <c r="X338" s="179">
        <f ca="1">IF(ISNUMBER(MATCH(DATEVALUE($A338),'recurring1_based on steps'!X$1:X$400,0)),X$2,)</f>
        <v>0</v>
      </c>
      <c r="Y338" s="179">
        <f ca="1">IF(ISNUMBER(MATCH(DATEVALUE($A338),'recurring1_based on steps'!Y$1:Y$400,0)),Y$2,)</f>
        <v>0</v>
      </c>
      <c r="Z338" s="179">
        <f ca="1">IF(ISNUMBER(MATCH(DATEVALUE($A338),'recurring1_based on steps'!Z$1:Z$400,0)),Z$2,)</f>
        <v>0</v>
      </c>
      <c r="AA338" s="179">
        <f ca="1">IF(ISNUMBER(MATCH(DATEVALUE($A338),'recurring1_based on steps'!AA$1:AA$400,0)),AA$2,)</f>
        <v>0</v>
      </c>
      <c r="AB338" s="179">
        <f ca="1">IF(ISNUMBER(MATCH(DATEVALUE($A338),'recurring1_based on steps'!AB$1:AB$400,0)),AB$2,)</f>
        <v>0</v>
      </c>
      <c r="AC338" s="179">
        <f ca="1">IF(ISNUMBER(MATCH(DATEVALUE($A338),'recurring1_based on steps'!AC$1:AC$400,0)),AC$2,)</f>
        <v>0</v>
      </c>
      <c r="AD338" s="179">
        <f ca="1">IF(ISNUMBER(MATCH(DATEVALUE($A338),'recurring1_based on steps'!AD$1:AD$400,0)),AD$2,)</f>
        <v>0</v>
      </c>
      <c r="AE338" s="179">
        <f ca="1">IF(ISNUMBER(MATCH(DATEVALUE($A338),'recurring1_based on steps'!AE$1:AE$400,0)),AE$2,)</f>
        <v>0</v>
      </c>
      <c r="AF338" s="179">
        <f ca="1">IF(ISNUMBER(MATCH(DATEVALUE($A338),'recurring1_based on steps'!AF$1:AF$400,0)),AF$2,)</f>
        <v>0</v>
      </c>
      <c r="AG338" s="179">
        <f ca="1">IF(ISNUMBER(MATCH(DATEVALUE($A338),'recurring1_based on steps'!AG$1:AG$400,0)),AG$2,)</f>
        <v>0</v>
      </c>
      <c r="AH338" s="179">
        <f ca="1">IF(ISNUMBER(MATCH(DATEVALUE($A338),'recurring1_based on steps'!AH$1:AH$400,0)),AH$2,)</f>
        <v>0</v>
      </c>
      <c r="AI338" s="179">
        <f ca="1">IF(ISNUMBER(MATCH(DATEVALUE($A338),'recurring1_based on steps'!AI$1:AI$400,0)),AI$2,)</f>
        <v>0</v>
      </c>
      <c r="AJ338" s="179">
        <f ca="1">IF(ISNUMBER(MATCH(DATEVALUE($A338),'recurring1_based on steps'!AJ$1:AJ$400,0)),AJ$2,)</f>
        <v>0</v>
      </c>
      <c r="AK338" s="179">
        <f ca="1">IF(ISNUMBER(MATCH(DATEVALUE($A338),'recurring1_based on steps'!AK$1:AK$400,0)),AK$2,)</f>
        <v>0</v>
      </c>
      <c r="AL338" s="179">
        <f ca="1">IF(ISNUMBER(MATCH(DATEVALUE($A338),'recurring1_based on steps'!AL$1:AL$400,0)),AL$2,)</f>
        <v>0</v>
      </c>
      <c r="AM338" s="179">
        <f ca="1">IF(ISNUMBER(MATCH(DATEVALUE($A338),'recurring1_based on steps'!AM$1:AM$400,0)),AM$2,)</f>
        <v>0</v>
      </c>
      <c r="AN338" s="179">
        <f ca="1">IF(ISNUMBER(MATCH(DATEVALUE($A338),'recurring1_based on steps'!AN$1:AN$400,0)),AN$2,)</f>
        <v>0</v>
      </c>
      <c r="AO338" s="179">
        <f ca="1">IF(ISNUMBER(MATCH(DATEVALUE($A338),'recurring1_based on steps'!AO$1:AO$400,0)),AO$2,)</f>
        <v>0</v>
      </c>
      <c r="AP338" s="179">
        <f ca="1">IF(ISNUMBER(MATCH(DATEVALUE($A338),'recurring1_based on steps'!AP$1:AP$400,0)),AP$2,)</f>
        <v>0</v>
      </c>
      <c r="AQ338" s="179">
        <f ca="1">IF(ISNUMBER(MATCH(DATEVALUE($A338),'recurring1_based on steps'!AQ$1:AQ$400,0)),AQ$2,)</f>
        <v>0</v>
      </c>
      <c r="AR338" s="179">
        <f ca="1">IF(ISNUMBER(MATCH(DATEVALUE($A338),'recurring1_based on steps'!AR$1:AR$400,0)),AR$2,)</f>
        <v>0</v>
      </c>
      <c r="AS338" s="179">
        <f ca="1">IF(ISNUMBER(MATCH(DATEVALUE($A338),'recurring1_based on steps'!AS$1:AS$400,0)),AS$2,)</f>
        <v>0</v>
      </c>
      <c r="AT338" s="179">
        <f ca="1">IF(ISNUMBER(MATCH(DATEVALUE($A338),'recurring1_based on steps'!AT$1:AT$400,0)),AT$2,)</f>
        <v>0</v>
      </c>
      <c r="AU338" s="179">
        <f ca="1">IF(ISNUMBER(MATCH(DATEVALUE($A338),'recurring1_based on steps'!AU$1:AU$400,0)),AU$2,)</f>
        <v>0</v>
      </c>
      <c r="AV338" s="179">
        <f ca="1">IF(ISNUMBER(MATCH(DATEVALUE($A338),'recurring1_based on steps'!AV$1:AV$400,0)),AV$2,)</f>
        <v>0</v>
      </c>
      <c r="AW338" s="179">
        <f ca="1">IF(ISNUMBER(MATCH(DATEVALUE($A338),'recurring1_based on steps'!AW$1:AW$400,0)),AW$2,)</f>
        <v>0</v>
      </c>
      <c r="AX338" s="179">
        <f ca="1">IF(ISNUMBER(MATCH(DATEVALUE($A338),'recurring1_based on steps'!AX$1:AX$400,0)),AX$2,)</f>
        <v>0</v>
      </c>
      <c r="AY338" s="179">
        <f ca="1">IF(ISNUMBER(MATCH(DATEVALUE($A338),'recurring1_based on steps'!AY$1:AY$400,0)),AY$2,)</f>
        <v>0</v>
      </c>
    </row>
    <row r="339" spans="1:51" x14ac:dyDescent="0.2">
      <c r="A339" s="32" t="str">
        <f t="shared" ca="1" si="5"/>
        <v>2026-02-28</v>
      </c>
      <c r="B339" s="179">
        <f ca="1">IF(ISNUMBER(MATCH(DATEVALUE($A339),'recurring1_based on steps'!B$1:B$400,0)),B$2,)</f>
        <v>0</v>
      </c>
      <c r="C339" s="179">
        <f ca="1">IF(ISNUMBER(MATCH(DATEVALUE($A339),'recurring1_based on steps'!C$1:C$400,0)),C$2,)</f>
        <v>0</v>
      </c>
      <c r="D339" s="179">
        <f ca="1">IF(ISNUMBER(MATCH(DATEVALUE($A339),'recurring1_based on steps'!D$1:D$400,0)),D$2,)</f>
        <v>0</v>
      </c>
      <c r="E339" s="179">
        <f ca="1">IF(ISNUMBER(MATCH(DATEVALUE($A339),'recurring1_based on steps'!E$1:E$400,0)),E$2,)</f>
        <v>0</v>
      </c>
      <c r="F339" s="179">
        <f ca="1">IF(ISNUMBER(MATCH(DATEVALUE($A339),'recurring1_based on steps'!F$1:F$400,0)),F$2,)</f>
        <v>0</v>
      </c>
      <c r="G339" s="179">
        <f ca="1">IF(ISNUMBER(MATCH(DATEVALUE($A339),'recurring1_based on steps'!G$1:G$400,0)),G$2,)</f>
        <v>0</v>
      </c>
      <c r="H339" s="179">
        <f ca="1">IF(ISNUMBER(MATCH(DATEVALUE($A339),'recurring1_based on steps'!H$1:H$400,0)),H$2,)</f>
        <v>0</v>
      </c>
      <c r="I339" s="179">
        <f ca="1">IF(ISNUMBER(MATCH(DATEVALUE($A339),'recurring1_based on steps'!I$1:I$400,0)),I$2,)</f>
        <v>0</v>
      </c>
      <c r="J339" s="179">
        <f ca="1">IF(ISNUMBER(MATCH(DATEVALUE($A339),'recurring1_based on steps'!J$1:J$400,0)),J$2,)</f>
        <v>0</v>
      </c>
      <c r="K339" s="179">
        <f ca="1">IF(ISNUMBER(MATCH(DATEVALUE($A339),'recurring1_based on steps'!K$1:K$400,0)),K$2,)</f>
        <v>0</v>
      </c>
      <c r="L339" s="179">
        <f ca="1">IF(ISNUMBER(MATCH(DATEVALUE($A339),'recurring1_based on steps'!L$1:L$400,0)),L$2,)</f>
        <v>0</v>
      </c>
      <c r="M339" s="179">
        <f ca="1">IF(ISNUMBER(MATCH(DATEVALUE($A339),'recurring1_based on steps'!M$1:M$400,0)),M$2,)</f>
        <v>0</v>
      </c>
      <c r="N339" s="179">
        <f ca="1">IF(ISNUMBER(MATCH(DATEVALUE($A339),'recurring1_based on steps'!N$1:N$400,0)),N$2,)</f>
        <v>0</v>
      </c>
      <c r="O339" s="179">
        <f ca="1">IF(ISNUMBER(MATCH(DATEVALUE($A339),'recurring1_based on steps'!O$1:O$400,0)),O$2,)</f>
        <v>0</v>
      </c>
      <c r="P339" s="179">
        <f ca="1">IF(ISNUMBER(MATCH(DATEVALUE($A339),'recurring1_based on steps'!P$1:P$400,0)),P$2,)</f>
        <v>0</v>
      </c>
      <c r="Q339" s="179">
        <f ca="1">IF(ISNUMBER(MATCH(DATEVALUE($A339),'recurring1_based on steps'!Q$1:Q$400,0)),Q$2,)</f>
        <v>0</v>
      </c>
      <c r="R339" s="179">
        <f ca="1">IF(ISNUMBER(MATCH(DATEVALUE($A339),'recurring1_based on steps'!R$1:R$400,0)),R$2,)</f>
        <v>0</v>
      </c>
      <c r="S339" s="179">
        <f ca="1">IF(ISNUMBER(MATCH(DATEVALUE($A339),'recurring1_based on steps'!S$1:S$400,0)),S$2,)</f>
        <v>0</v>
      </c>
      <c r="T339" s="179">
        <f ca="1">IF(ISNUMBER(MATCH(DATEVALUE($A339),'recurring1_based on steps'!T$1:T$400,0)),T$2,)</f>
        <v>0</v>
      </c>
      <c r="U339" s="179">
        <f ca="1">IF(ISNUMBER(MATCH(DATEVALUE($A339),'recurring1_based on steps'!U$1:U$400,0)),U$2,)</f>
        <v>0</v>
      </c>
      <c r="V339" s="179">
        <f ca="1">IF(ISNUMBER(MATCH(DATEVALUE($A339),'recurring1_based on steps'!V$1:V$400,0)),V$2,)</f>
        <v>0</v>
      </c>
      <c r="W339" s="179">
        <f ca="1">IF(ISNUMBER(MATCH(DATEVALUE($A339),'recurring1_based on steps'!W$1:W$400,0)),W$2,)</f>
        <v>0</v>
      </c>
      <c r="X339" s="179">
        <f ca="1">IF(ISNUMBER(MATCH(DATEVALUE($A339),'recurring1_based on steps'!X$1:X$400,0)),X$2,)</f>
        <v>0</v>
      </c>
      <c r="Y339" s="179">
        <f ca="1">IF(ISNUMBER(MATCH(DATEVALUE($A339),'recurring1_based on steps'!Y$1:Y$400,0)),Y$2,)</f>
        <v>0</v>
      </c>
      <c r="Z339" s="179">
        <f ca="1">IF(ISNUMBER(MATCH(DATEVALUE($A339),'recurring1_based on steps'!Z$1:Z$400,0)),Z$2,)</f>
        <v>0</v>
      </c>
      <c r="AA339" s="179">
        <f ca="1">IF(ISNUMBER(MATCH(DATEVALUE($A339),'recurring1_based on steps'!AA$1:AA$400,0)),AA$2,)</f>
        <v>0</v>
      </c>
      <c r="AB339" s="179">
        <f ca="1">IF(ISNUMBER(MATCH(DATEVALUE($A339),'recurring1_based on steps'!AB$1:AB$400,0)),AB$2,)</f>
        <v>0</v>
      </c>
      <c r="AC339" s="179">
        <f ca="1">IF(ISNUMBER(MATCH(DATEVALUE($A339),'recurring1_based on steps'!AC$1:AC$400,0)),AC$2,)</f>
        <v>0</v>
      </c>
      <c r="AD339" s="179">
        <f ca="1">IF(ISNUMBER(MATCH(DATEVALUE($A339),'recurring1_based on steps'!AD$1:AD$400,0)),AD$2,)</f>
        <v>0</v>
      </c>
      <c r="AE339" s="179">
        <f ca="1">IF(ISNUMBER(MATCH(DATEVALUE($A339),'recurring1_based on steps'!AE$1:AE$400,0)),AE$2,)</f>
        <v>0</v>
      </c>
      <c r="AF339" s="179">
        <f ca="1">IF(ISNUMBER(MATCH(DATEVALUE($A339),'recurring1_based on steps'!AF$1:AF$400,0)),AF$2,)</f>
        <v>0</v>
      </c>
      <c r="AG339" s="179">
        <f ca="1">IF(ISNUMBER(MATCH(DATEVALUE($A339),'recurring1_based on steps'!AG$1:AG$400,0)),AG$2,)</f>
        <v>0</v>
      </c>
      <c r="AH339" s="179">
        <f ca="1">IF(ISNUMBER(MATCH(DATEVALUE($A339),'recurring1_based on steps'!AH$1:AH$400,0)),AH$2,)</f>
        <v>0</v>
      </c>
      <c r="AI339" s="179">
        <f ca="1">IF(ISNUMBER(MATCH(DATEVALUE($A339),'recurring1_based on steps'!AI$1:AI$400,0)),AI$2,)</f>
        <v>0</v>
      </c>
      <c r="AJ339" s="179">
        <f ca="1">IF(ISNUMBER(MATCH(DATEVALUE($A339),'recurring1_based on steps'!AJ$1:AJ$400,0)),AJ$2,)</f>
        <v>0</v>
      </c>
      <c r="AK339" s="179">
        <f ca="1">IF(ISNUMBER(MATCH(DATEVALUE($A339),'recurring1_based on steps'!AK$1:AK$400,0)),AK$2,)</f>
        <v>0</v>
      </c>
      <c r="AL339" s="179">
        <f ca="1">IF(ISNUMBER(MATCH(DATEVALUE($A339),'recurring1_based on steps'!AL$1:AL$400,0)),AL$2,)</f>
        <v>0</v>
      </c>
      <c r="AM339" s="179">
        <f ca="1">IF(ISNUMBER(MATCH(DATEVALUE($A339),'recurring1_based on steps'!AM$1:AM$400,0)),AM$2,)</f>
        <v>0</v>
      </c>
      <c r="AN339" s="179">
        <f ca="1">IF(ISNUMBER(MATCH(DATEVALUE($A339),'recurring1_based on steps'!AN$1:AN$400,0)),AN$2,)</f>
        <v>0</v>
      </c>
      <c r="AO339" s="179">
        <f ca="1">IF(ISNUMBER(MATCH(DATEVALUE($A339),'recurring1_based on steps'!AO$1:AO$400,0)),AO$2,)</f>
        <v>0</v>
      </c>
      <c r="AP339" s="179">
        <f ca="1">IF(ISNUMBER(MATCH(DATEVALUE($A339),'recurring1_based on steps'!AP$1:AP$400,0)),AP$2,)</f>
        <v>0</v>
      </c>
      <c r="AQ339" s="179">
        <f ca="1">IF(ISNUMBER(MATCH(DATEVALUE($A339),'recurring1_based on steps'!AQ$1:AQ$400,0)),AQ$2,)</f>
        <v>0</v>
      </c>
      <c r="AR339" s="179">
        <f ca="1">IF(ISNUMBER(MATCH(DATEVALUE($A339),'recurring1_based on steps'!AR$1:AR$400,0)),AR$2,)</f>
        <v>0</v>
      </c>
      <c r="AS339" s="179">
        <f ca="1">IF(ISNUMBER(MATCH(DATEVALUE($A339),'recurring1_based on steps'!AS$1:AS$400,0)),AS$2,)</f>
        <v>0</v>
      </c>
      <c r="AT339" s="179">
        <f ca="1">IF(ISNUMBER(MATCH(DATEVALUE($A339),'recurring1_based on steps'!AT$1:AT$400,0)),AT$2,)</f>
        <v>0</v>
      </c>
      <c r="AU339" s="179">
        <f ca="1">IF(ISNUMBER(MATCH(DATEVALUE($A339),'recurring1_based on steps'!AU$1:AU$400,0)),AU$2,)</f>
        <v>0</v>
      </c>
      <c r="AV339" s="179">
        <f ca="1">IF(ISNUMBER(MATCH(DATEVALUE($A339),'recurring1_based on steps'!AV$1:AV$400,0)),AV$2,)</f>
        <v>0</v>
      </c>
      <c r="AW339" s="179">
        <f ca="1">IF(ISNUMBER(MATCH(DATEVALUE($A339),'recurring1_based on steps'!AW$1:AW$400,0)),AW$2,)</f>
        <v>0</v>
      </c>
      <c r="AX339" s="179">
        <f ca="1">IF(ISNUMBER(MATCH(DATEVALUE($A339),'recurring1_based on steps'!AX$1:AX$400,0)),AX$2,)</f>
        <v>0</v>
      </c>
      <c r="AY339" s="179">
        <f ca="1">IF(ISNUMBER(MATCH(DATEVALUE($A339),'recurring1_based on steps'!AY$1:AY$400,0)),AY$2,)</f>
        <v>0</v>
      </c>
    </row>
    <row r="340" spans="1:51" x14ac:dyDescent="0.2">
      <c r="A340" s="32" t="str">
        <f t="shared" ca="1" si="5"/>
        <v>2026-03-01</v>
      </c>
      <c r="B340" s="179">
        <f ca="1">IF(ISNUMBER(MATCH(DATEVALUE($A340),'recurring1_based on steps'!B$1:B$400,0)),B$2,)</f>
        <v>0</v>
      </c>
      <c r="C340" s="179">
        <f ca="1">IF(ISNUMBER(MATCH(DATEVALUE($A340),'recurring1_based on steps'!C$1:C$400,0)),C$2,)</f>
        <v>0</v>
      </c>
      <c r="D340" s="179">
        <f ca="1">IF(ISNUMBER(MATCH(DATEVALUE($A340),'recurring1_based on steps'!D$1:D$400,0)),D$2,)</f>
        <v>0</v>
      </c>
      <c r="E340" s="179">
        <f ca="1">IF(ISNUMBER(MATCH(DATEVALUE($A340),'recurring1_based on steps'!E$1:E$400,0)),E$2,)</f>
        <v>0</v>
      </c>
      <c r="F340" s="179">
        <f ca="1">IF(ISNUMBER(MATCH(DATEVALUE($A340),'recurring1_based on steps'!F$1:F$400,0)),F$2,)</f>
        <v>0</v>
      </c>
      <c r="G340" s="179">
        <f ca="1">IF(ISNUMBER(MATCH(DATEVALUE($A340),'recurring1_based on steps'!G$1:G$400,0)),G$2,)</f>
        <v>0</v>
      </c>
      <c r="H340" s="179">
        <f ca="1">IF(ISNUMBER(MATCH(DATEVALUE($A340),'recurring1_based on steps'!H$1:H$400,0)),H$2,)</f>
        <v>0</v>
      </c>
      <c r="I340" s="179">
        <f ca="1">IF(ISNUMBER(MATCH(DATEVALUE($A340),'recurring1_based on steps'!I$1:I$400,0)),I$2,)</f>
        <v>0</v>
      </c>
      <c r="J340" s="179">
        <f ca="1">IF(ISNUMBER(MATCH(DATEVALUE($A340),'recurring1_based on steps'!J$1:J$400,0)),J$2,)</f>
        <v>0</v>
      </c>
      <c r="K340" s="179">
        <f ca="1">IF(ISNUMBER(MATCH(DATEVALUE($A340),'recurring1_based on steps'!K$1:K$400,0)),K$2,)</f>
        <v>0</v>
      </c>
      <c r="L340" s="179">
        <f ca="1">IF(ISNUMBER(MATCH(DATEVALUE($A340),'recurring1_based on steps'!L$1:L$400,0)),L$2,)</f>
        <v>0</v>
      </c>
      <c r="M340" s="179">
        <f ca="1">IF(ISNUMBER(MATCH(DATEVALUE($A340),'recurring1_based on steps'!M$1:M$400,0)),M$2,)</f>
        <v>0</v>
      </c>
      <c r="N340" s="179">
        <f ca="1">IF(ISNUMBER(MATCH(DATEVALUE($A340),'recurring1_based on steps'!N$1:N$400,0)),N$2,)</f>
        <v>0</v>
      </c>
      <c r="O340" s="179">
        <f ca="1">IF(ISNUMBER(MATCH(DATEVALUE($A340),'recurring1_based on steps'!O$1:O$400,0)),O$2,)</f>
        <v>0</v>
      </c>
      <c r="P340" s="179">
        <f ca="1">IF(ISNUMBER(MATCH(DATEVALUE($A340),'recurring1_based on steps'!P$1:P$400,0)),P$2,)</f>
        <v>0</v>
      </c>
      <c r="Q340" s="179">
        <f ca="1">IF(ISNUMBER(MATCH(DATEVALUE($A340),'recurring1_based on steps'!Q$1:Q$400,0)),Q$2,)</f>
        <v>0</v>
      </c>
      <c r="R340" s="179">
        <f ca="1">IF(ISNUMBER(MATCH(DATEVALUE($A340),'recurring1_based on steps'!R$1:R$400,0)),R$2,)</f>
        <v>0</v>
      </c>
      <c r="S340" s="179">
        <f ca="1">IF(ISNUMBER(MATCH(DATEVALUE($A340),'recurring1_based on steps'!S$1:S$400,0)),S$2,)</f>
        <v>0</v>
      </c>
      <c r="T340" s="179">
        <f ca="1">IF(ISNUMBER(MATCH(DATEVALUE($A340),'recurring1_based on steps'!T$1:T$400,0)),T$2,)</f>
        <v>0</v>
      </c>
      <c r="U340" s="179">
        <f ca="1">IF(ISNUMBER(MATCH(DATEVALUE($A340),'recurring1_based on steps'!U$1:U$400,0)),U$2,)</f>
        <v>0</v>
      </c>
      <c r="V340" s="179">
        <f ca="1">IF(ISNUMBER(MATCH(DATEVALUE($A340),'recurring1_based on steps'!V$1:V$400,0)),V$2,)</f>
        <v>0</v>
      </c>
      <c r="W340" s="179">
        <f ca="1">IF(ISNUMBER(MATCH(DATEVALUE($A340),'recurring1_based on steps'!W$1:W$400,0)),W$2,)</f>
        <v>0</v>
      </c>
      <c r="X340" s="179">
        <f ca="1">IF(ISNUMBER(MATCH(DATEVALUE($A340),'recurring1_based on steps'!X$1:X$400,0)),X$2,)</f>
        <v>0</v>
      </c>
      <c r="Y340" s="179">
        <f ca="1">IF(ISNUMBER(MATCH(DATEVALUE($A340),'recurring1_based on steps'!Y$1:Y$400,0)),Y$2,)</f>
        <v>0</v>
      </c>
      <c r="Z340" s="179">
        <f ca="1">IF(ISNUMBER(MATCH(DATEVALUE($A340),'recurring1_based on steps'!Z$1:Z$400,0)),Z$2,)</f>
        <v>0</v>
      </c>
      <c r="AA340" s="179">
        <f ca="1">IF(ISNUMBER(MATCH(DATEVALUE($A340),'recurring1_based on steps'!AA$1:AA$400,0)),AA$2,)</f>
        <v>0</v>
      </c>
      <c r="AB340" s="179">
        <f ca="1">IF(ISNUMBER(MATCH(DATEVALUE($A340),'recurring1_based on steps'!AB$1:AB$400,0)),AB$2,)</f>
        <v>0</v>
      </c>
      <c r="AC340" s="179">
        <f ca="1">IF(ISNUMBER(MATCH(DATEVALUE($A340),'recurring1_based on steps'!AC$1:AC$400,0)),AC$2,)</f>
        <v>0</v>
      </c>
      <c r="AD340" s="179">
        <f ca="1">IF(ISNUMBER(MATCH(DATEVALUE($A340),'recurring1_based on steps'!AD$1:AD$400,0)),AD$2,)</f>
        <v>0</v>
      </c>
      <c r="AE340" s="179">
        <f ca="1">IF(ISNUMBER(MATCH(DATEVALUE($A340),'recurring1_based on steps'!AE$1:AE$400,0)),AE$2,)</f>
        <v>0</v>
      </c>
      <c r="AF340" s="179">
        <f ca="1">IF(ISNUMBER(MATCH(DATEVALUE($A340),'recurring1_based on steps'!AF$1:AF$400,0)),AF$2,)</f>
        <v>0</v>
      </c>
      <c r="AG340" s="179">
        <f ca="1">IF(ISNUMBER(MATCH(DATEVALUE($A340),'recurring1_based on steps'!AG$1:AG$400,0)),AG$2,)</f>
        <v>0</v>
      </c>
      <c r="AH340" s="179">
        <f ca="1">IF(ISNUMBER(MATCH(DATEVALUE($A340),'recurring1_based on steps'!AH$1:AH$400,0)),AH$2,)</f>
        <v>0</v>
      </c>
      <c r="AI340" s="179">
        <f ca="1">IF(ISNUMBER(MATCH(DATEVALUE($A340),'recurring1_based on steps'!AI$1:AI$400,0)),AI$2,)</f>
        <v>0</v>
      </c>
      <c r="AJ340" s="179">
        <f ca="1">IF(ISNUMBER(MATCH(DATEVALUE($A340),'recurring1_based on steps'!AJ$1:AJ$400,0)),AJ$2,)</f>
        <v>0</v>
      </c>
      <c r="AK340" s="179">
        <f ca="1">IF(ISNUMBER(MATCH(DATEVALUE($A340),'recurring1_based on steps'!AK$1:AK$400,0)),AK$2,)</f>
        <v>0</v>
      </c>
      <c r="AL340" s="179">
        <f ca="1">IF(ISNUMBER(MATCH(DATEVALUE($A340),'recurring1_based on steps'!AL$1:AL$400,0)),AL$2,)</f>
        <v>0</v>
      </c>
      <c r="AM340" s="179">
        <f ca="1">IF(ISNUMBER(MATCH(DATEVALUE($A340),'recurring1_based on steps'!AM$1:AM$400,0)),AM$2,)</f>
        <v>0</v>
      </c>
      <c r="AN340" s="179">
        <f ca="1">IF(ISNUMBER(MATCH(DATEVALUE($A340),'recurring1_based on steps'!AN$1:AN$400,0)),AN$2,)</f>
        <v>0</v>
      </c>
      <c r="AO340" s="179">
        <f ca="1">IF(ISNUMBER(MATCH(DATEVALUE($A340),'recurring1_based on steps'!AO$1:AO$400,0)),AO$2,)</f>
        <v>0</v>
      </c>
      <c r="AP340" s="179">
        <f ca="1">IF(ISNUMBER(MATCH(DATEVALUE($A340),'recurring1_based on steps'!AP$1:AP$400,0)),AP$2,)</f>
        <v>0</v>
      </c>
      <c r="AQ340" s="179">
        <f ca="1">IF(ISNUMBER(MATCH(DATEVALUE($A340),'recurring1_based on steps'!AQ$1:AQ$400,0)),AQ$2,)</f>
        <v>0</v>
      </c>
      <c r="AR340" s="179">
        <f ca="1">IF(ISNUMBER(MATCH(DATEVALUE($A340),'recurring1_based on steps'!AR$1:AR$400,0)),AR$2,)</f>
        <v>0</v>
      </c>
      <c r="AS340" s="179">
        <f ca="1">IF(ISNUMBER(MATCH(DATEVALUE($A340),'recurring1_based on steps'!AS$1:AS$400,0)),AS$2,)</f>
        <v>0</v>
      </c>
      <c r="AT340" s="179">
        <f ca="1">IF(ISNUMBER(MATCH(DATEVALUE($A340),'recurring1_based on steps'!AT$1:AT$400,0)),AT$2,)</f>
        <v>0</v>
      </c>
      <c r="AU340" s="179">
        <f ca="1">IF(ISNUMBER(MATCH(DATEVALUE($A340),'recurring1_based on steps'!AU$1:AU$400,0)),AU$2,)</f>
        <v>0</v>
      </c>
      <c r="AV340" s="179">
        <f ca="1">IF(ISNUMBER(MATCH(DATEVALUE($A340),'recurring1_based on steps'!AV$1:AV$400,0)),AV$2,)</f>
        <v>0</v>
      </c>
      <c r="AW340" s="179">
        <f ca="1">IF(ISNUMBER(MATCH(DATEVALUE($A340),'recurring1_based on steps'!AW$1:AW$400,0)),AW$2,)</f>
        <v>0</v>
      </c>
      <c r="AX340" s="179">
        <f ca="1">IF(ISNUMBER(MATCH(DATEVALUE($A340),'recurring1_based on steps'!AX$1:AX$400,0)),AX$2,)</f>
        <v>0</v>
      </c>
      <c r="AY340" s="179">
        <f ca="1">IF(ISNUMBER(MATCH(DATEVALUE($A340),'recurring1_based on steps'!AY$1:AY$400,0)),AY$2,)</f>
        <v>0</v>
      </c>
    </row>
    <row r="341" spans="1:51" x14ac:dyDescent="0.2">
      <c r="A341" s="32" t="str">
        <f t="shared" ca="1" si="5"/>
        <v>2026-03-02</v>
      </c>
      <c r="B341" s="179">
        <f ca="1">IF(ISNUMBER(MATCH(DATEVALUE($A341),'recurring1_based on steps'!B$1:B$400,0)),B$2,)</f>
        <v>0</v>
      </c>
      <c r="C341" s="179">
        <f ca="1">IF(ISNUMBER(MATCH(DATEVALUE($A341),'recurring1_based on steps'!C$1:C$400,0)),C$2,)</f>
        <v>0</v>
      </c>
      <c r="D341" s="179">
        <f ca="1">IF(ISNUMBER(MATCH(DATEVALUE($A341),'recurring1_based on steps'!D$1:D$400,0)),D$2,)</f>
        <v>0</v>
      </c>
      <c r="E341" s="179">
        <f ca="1">IF(ISNUMBER(MATCH(DATEVALUE($A341),'recurring1_based on steps'!E$1:E$400,0)),E$2,)</f>
        <v>0</v>
      </c>
      <c r="F341" s="179">
        <f ca="1">IF(ISNUMBER(MATCH(DATEVALUE($A341),'recurring1_based on steps'!F$1:F$400,0)),F$2,)</f>
        <v>0</v>
      </c>
      <c r="G341" s="179">
        <f ca="1">IF(ISNUMBER(MATCH(DATEVALUE($A341),'recurring1_based on steps'!G$1:G$400,0)),G$2,)</f>
        <v>0</v>
      </c>
      <c r="H341" s="179">
        <f ca="1">IF(ISNUMBER(MATCH(DATEVALUE($A341),'recurring1_based on steps'!H$1:H$400,0)),H$2,)</f>
        <v>0</v>
      </c>
      <c r="I341" s="179">
        <f ca="1">IF(ISNUMBER(MATCH(DATEVALUE($A341),'recurring1_based on steps'!I$1:I$400,0)),I$2,)</f>
        <v>0</v>
      </c>
      <c r="J341" s="179">
        <f ca="1">IF(ISNUMBER(MATCH(DATEVALUE($A341),'recurring1_based on steps'!J$1:J$400,0)),J$2,)</f>
        <v>0</v>
      </c>
      <c r="K341" s="179">
        <f ca="1">IF(ISNUMBER(MATCH(DATEVALUE($A341),'recurring1_based on steps'!K$1:K$400,0)),K$2,)</f>
        <v>0</v>
      </c>
      <c r="L341" s="179">
        <f ca="1">IF(ISNUMBER(MATCH(DATEVALUE($A341),'recurring1_based on steps'!L$1:L$400,0)),L$2,)</f>
        <v>0</v>
      </c>
      <c r="M341" s="179">
        <f ca="1">IF(ISNUMBER(MATCH(DATEVALUE($A341),'recurring1_based on steps'!M$1:M$400,0)),M$2,)</f>
        <v>0</v>
      </c>
      <c r="N341" s="179">
        <f ca="1">IF(ISNUMBER(MATCH(DATEVALUE($A341),'recurring1_based on steps'!N$1:N$400,0)),N$2,)</f>
        <v>0</v>
      </c>
      <c r="O341" s="179">
        <f ca="1">IF(ISNUMBER(MATCH(DATEVALUE($A341),'recurring1_based on steps'!O$1:O$400,0)),O$2,)</f>
        <v>0</v>
      </c>
      <c r="P341" s="179">
        <f ca="1">IF(ISNUMBER(MATCH(DATEVALUE($A341),'recurring1_based on steps'!P$1:P$400,0)),P$2,)</f>
        <v>0</v>
      </c>
      <c r="Q341" s="179">
        <f ca="1">IF(ISNUMBER(MATCH(DATEVALUE($A341),'recurring1_based on steps'!Q$1:Q$400,0)),Q$2,)</f>
        <v>0</v>
      </c>
      <c r="R341" s="179">
        <f ca="1">IF(ISNUMBER(MATCH(DATEVALUE($A341),'recurring1_based on steps'!R$1:R$400,0)),R$2,)</f>
        <v>0</v>
      </c>
      <c r="S341" s="179">
        <f ca="1">IF(ISNUMBER(MATCH(DATEVALUE($A341),'recurring1_based on steps'!S$1:S$400,0)),S$2,)</f>
        <v>0</v>
      </c>
      <c r="T341" s="179">
        <f ca="1">IF(ISNUMBER(MATCH(DATEVALUE($A341),'recurring1_based on steps'!T$1:T$400,0)),T$2,)</f>
        <v>0</v>
      </c>
      <c r="U341" s="179">
        <f ca="1">IF(ISNUMBER(MATCH(DATEVALUE($A341),'recurring1_based on steps'!U$1:U$400,0)),U$2,)</f>
        <v>0</v>
      </c>
      <c r="V341" s="179">
        <f ca="1">IF(ISNUMBER(MATCH(DATEVALUE($A341),'recurring1_based on steps'!V$1:V$400,0)),V$2,)</f>
        <v>0</v>
      </c>
      <c r="W341" s="179">
        <f ca="1">IF(ISNUMBER(MATCH(DATEVALUE($A341),'recurring1_based on steps'!W$1:W$400,0)),W$2,)</f>
        <v>0</v>
      </c>
      <c r="X341" s="179">
        <f ca="1">IF(ISNUMBER(MATCH(DATEVALUE($A341),'recurring1_based on steps'!X$1:X$400,0)),X$2,)</f>
        <v>0</v>
      </c>
      <c r="Y341" s="179">
        <f ca="1">IF(ISNUMBER(MATCH(DATEVALUE($A341),'recurring1_based on steps'!Y$1:Y$400,0)),Y$2,)</f>
        <v>0</v>
      </c>
      <c r="Z341" s="179">
        <f ca="1">IF(ISNUMBER(MATCH(DATEVALUE($A341),'recurring1_based on steps'!Z$1:Z$400,0)),Z$2,)</f>
        <v>0</v>
      </c>
      <c r="AA341" s="179">
        <f ca="1">IF(ISNUMBER(MATCH(DATEVALUE($A341),'recurring1_based on steps'!AA$1:AA$400,0)),AA$2,)</f>
        <v>0</v>
      </c>
      <c r="AB341" s="179">
        <f ca="1">IF(ISNUMBER(MATCH(DATEVALUE($A341),'recurring1_based on steps'!AB$1:AB$400,0)),AB$2,)</f>
        <v>0</v>
      </c>
      <c r="AC341" s="179">
        <f ca="1">IF(ISNUMBER(MATCH(DATEVALUE($A341),'recurring1_based on steps'!AC$1:AC$400,0)),AC$2,)</f>
        <v>0</v>
      </c>
      <c r="AD341" s="179">
        <f ca="1">IF(ISNUMBER(MATCH(DATEVALUE($A341),'recurring1_based on steps'!AD$1:AD$400,0)),AD$2,)</f>
        <v>0</v>
      </c>
      <c r="AE341" s="179">
        <f ca="1">IF(ISNUMBER(MATCH(DATEVALUE($A341),'recurring1_based on steps'!AE$1:AE$400,0)),AE$2,)</f>
        <v>0</v>
      </c>
      <c r="AF341" s="179">
        <f ca="1">IF(ISNUMBER(MATCH(DATEVALUE($A341),'recurring1_based on steps'!AF$1:AF$400,0)),AF$2,)</f>
        <v>0</v>
      </c>
      <c r="AG341" s="179">
        <f ca="1">IF(ISNUMBER(MATCH(DATEVALUE($A341),'recurring1_based on steps'!AG$1:AG$400,0)),AG$2,)</f>
        <v>0</v>
      </c>
      <c r="AH341" s="179">
        <f ca="1">IF(ISNUMBER(MATCH(DATEVALUE($A341),'recurring1_based on steps'!AH$1:AH$400,0)),AH$2,)</f>
        <v>0</v>
      </c>
      <c r="AI341" s="179">
        <f ca="1">IF(ISNUMBER(MATCH(DATEVALUE($A341),'recurring1_based on steps'!AI$1:AI$400,0)),AI$2,)</f>
        <v>0</v>
      </c>
      <c r="AJ341" s="179">
        <f ca="1">IF(ISNUMBER(MATCH(DATEVALUE($A341),'recurring1_based on steps'!AJ$1:AJ$400,0)),AJ$2,)</f>
        <v>0</v>
      </c>
      <c r="AK341" s="179">
        <f ca="1">IF(ISNUMBER(MATCH(DATEVALUE($A341),'recurring1_based on steps'!AK$1:AK$400,0)),AK$2,)</f>
        <v>0</v>
      </c>
      <c r="AL341" s="179">
        <f ca="1">IF(ISNUMBER(MATCH(DATEVALUE($A341),'recurring1_based on steps'!AL$1:AL$400,0)),AL$2,)</f>
        <v>0</v>
      </c>
      <c r="AM341" s="179">
        <f ca="1">IF(ISNUMBER(MATCH(DATEVALUE($A341),'recurring1_based on steps'!AM$1:AM$400,0)),AM$2,)</f>
        <v>0</v>
      </c>
      <c r="AN341" s="179">
        <f ca="1">IF(ISNUMBER(MATCH(DATEVALUE($A341),'recurring1_based on steps'!AN$1:AN$400,0)),AN$2,)</f>
        <v>0</v>
      </c>
      <c r="AO341" s="179">
        <f ca="1">IF(ISNUMBER(MATCH(DATEVALUE($A341),'recurring1_based on steps'!AO$1:AO$400,0)),AO$2,)</f>
        <v>0</v>
      </c>
      <c r="AP341" s="179">
        <f ca="1">IF(ISNUMBER(MATCH(DATEVALUE($A341),'recurring1_based on steps'!AP$1:AP$400,0)),AP$2,)</f>
        <v>0</v>
      </c>
      <c r="AQ341" s="179">
        <f ca="1">IF(ISNUMBER(MATCH(DATEVALUE($A341),'recurring1_based on steps'!AQ$1:AQ$400,0)),AQ$2,)</f>
        <v>0</v>
      </c>
      <c r="AR341" s="179">
        <f ca="1">IF(ISNUMBER(MATCH(DATEVALUE($A341),'recurring1_based on steps'!AR$1:AR$400,0)),AR$2,)</f>
        <v>0</v>
      </c>
      <c r="AS341" s="179">
        <f ca="1">IF(ISNUMBER(MATCH(DATEVALUE($A341),'recurring1_based on steps'!AS$1:AS$400,0)),AS$2,)</f>
        <v>0</v>
      </c>
      <c r="AT341" s="179">
        <f ca="1">IF(ISNUMBER(MATCH(DATEVALUE($A341),'recurring1_based on steps'!AT$1:AT$400,0)),AT$2,)</f>
        <v>0</v>
      </c>
      <c r="AU341" s="179">
        <f ca="1">IF(ISNUMBER(MATCH(DATEVALUE($A341),'recurring1_based on steps'!AU$1:AU$400,0)),AU$2,)</f>
        <v>0</v>
      </c>
      <c r="AV341" s="179">
        <f ca="1">IF(ISNUMBER(MATCH(DATEVALUE($A341),'recurring1_based on steps'!AV$1:AV$400,0)),AV$2,)</f>
        <v>0</v>
      </c>
      <c r="AW341" s="179">
        <f ca="1">IF(ISNUMBER(MATCH(DATEVALUE($A341),'recurring1_based on steps'!AW$1:AW$400,0)),AW$2,)</f>
        <v>0</v>
      </c>
      <c r="AX341" s="179">
        <f ca="1">IF(ISNUMBER(MATCH(DATEVALUE($A341),'recurring1_based on steps'!AX$1:AX$400,0)),AX$2,)</f>
        <v>0</v>
      </c>
      <c r="AY341" s="179">
        <f ca="1">IF(ISNUMBER(MATCH(DATEVALUE($A341),'recurring1_based on steps'!AY$1:AY$400,0)),AY$2,)</f>
        <v>0</v>
      </c>
    </row>
    <row r="342" spans="1:51" x14ac:dyDescent="0.2">
      <c r="A342" s="32" t="str">
        <f t="shared" ca="1" si="5"/>
        <v>2026-03-03</v>
      </c>
      <c r="B342" s="179">
        <f ca="1">IF(ISNUMBER(MATCH(DATEVALUE($A342),'recurring1_based on steps'!B$1:B$400,0)),B$2,)</f>
        <v>0</v>
      </c>
      <c r="C342" s="179">
        <f ca="1">IF(ISNUMBER(MATCH(DATEVALUE($A342),'recurring1_based on steps'!C$1:C$400,0)),C$2,)</f>
        <v>0</v>
      </c>
      <c r="D342" s="179">
        <f ca="1">IF(ISNUMBER(MATCH(DATEVALUE($A342),'recurring1_based on steps'!D$1:D$400,0)),D$2,)</f>
        <v>0</v>
      </c>
      <c r="E342" s="179">
        <f ca="1">IF(ISNUMBER(MATCH(DATEVALUE($A342),'recurring1_based on steps'!E$1:E$400,0)),E$2,)</f>
        <v>0</v>
      </c>
      <c r="F342" s="179">
        <f ca="1">IF(ISNUMBER(MATCH(DATEVALUE($A342),'recurring1_based on steps'!F$1:F$400,0)),F$2,)</f>
        <v>0</v>
      </c>
      <c r="G342" s="179">
        <f ca="1">IF(ISNUMBER(MATCH(DATEVALUE($A342),'recurring1_based on steps'!G$1:G$400,0)),G$2,)</f>
        <v>0</v>
      </c>
      <c r="H342" s="179">
        <f ca="1">IF(ISNUMBER(MATCH(DATEVALUE($A342),'recurring1_based on steps'!H$1:H$400,0)),H$2,)</f>
        <v>0</v>
      </c>
      <c r="I342" s="179">
        <f ca="1">IF(ISNUMBER(MATCH(DATEVALUE($A342),'recurring1_based on steps'!I$1:I$400,0)),I$2,)</f>
        <v>0</v>
      </c>
      <c r="J342" s="179">
        <f ca="1">IF(ISNUMBER(MATCH(DATEVALUE($A342),'recurring1_based on steps'!J$1:J$400,0)),J$2,)</f>
        <v>0</v>
      </c>
      <c r="K342" s="179">
        <f ca="1">IF(ISNUMBER(MATCH(DATEVALUE($A342),'recurring1_based on steps'!K$1:K$400,0)),K$2,)</f>
        <v>0</v>
      </c>
      <c r="L342" s="179">
        <f ca="1">IF(ISNUMBER(MATCH(DATEVALUE($A342),'recurring1_based on steps'!L$1:L$400,0)),L$2,)</f>
        <v>0</v>
      </c>
      <c r="M342" s="179">
        <f ca="1">IF(ISNUMBER(MATCH(DATEVALUE($A342),'recurring1_based on steps'!M$1:M$400,0)),M$2,)</f>
        <v>0</v>
      </c>
      <c r="N342" s="179">
        <f ca="1">IF(ISNUMBER(MATCH(DATEVALUE($A342),'recurring1_based on steps'!N$1:N$400,0)),N$2,)</f>
        <v>0</v>
      </c>
      <c r="O342" s="179">
        <f ca="1">IF(ISNUMBER(MATCH(DATEVALUE($A342),'recurring1_based on steps'!O$1:O$400,0)),O$2,)</f>
        <v>0</v>
      </c>
      <c r="P342" s="179">
        <f ca="1">IF(ISNUMBER(MATCH(DATEVALUE($A342),'recurring1_based on steps'!P$1:P$400,0)),P$2,)</f>
        <v>0</v>
      </c>
      <c r="Q342" s="179">
        <f ca="1">IF(ISNUMBER(MATCH(DATEVALUE($A342),'recurring1_based on steps'!Q$1:Q$400,0)),Q$2,)</f>
        <v>0</v>
      </c>
      <c r="R342" s="179">
        <f ca="1">IF(ISNUMBER(MATCH(DATEVALUE($A342),'recurring1_based on steps'!R$1:R$400,0)),R$2,)</f>
        <v>0</v>
      </c>
      <c r="S342" s="179">
        <f ca="1">IF(ISNUMBER(MATCH(DATEVALUE($A342),'recurring1_based on steps'!S$1:S$400,0)),S$2,)</f>
        <v>0</v>
      </c>
      <c r="T342" s="179">
        <f ca="1">IF(ISNUMBER(MATCH(DATEVALUE($A342),'recurring1_based on steps'!T$1:T$400,0)),T$2,)</f>
        <v>0</v>
      </c>
      <c r="U342" s="179">
        <f ca="1">IF(ISNUMBER(MATCH(DATEVALUE($A342),'recurring1_based on steps'!U$1:U$400,0)),U$2,)</f>
        <v>0</v>
      </c>
      <c r="V342" s="179">
        <f ca="1">IF(ISNUMBER(MATCH(DATEVALUE($A342),'recurring1_based on steps'!V$1:V$400,0)),V$2,)</f>
        <v>0</v>
      </c>
      <c r="W342" s="179">
        <f ca="1">IF(ISNUMBER(MATCH(DATEVALUE($A342),'recurring1_based on steps'!W$1:W$400,0)),W$2,)</f>
        <v>0</v>
      </c>
      <c r="X342" s="179">
        <f ca="1">IF(ISNUMBER(MATCH(DATEVALUE($A342),'recurring1_based on steps'!X$1:X$400,0)),X$2,)</f>
        <v>0</v>
      </c>
      <c r="Y342" s="179">
        <f ca="1">IF(ISNUMBER(MATCH(DATEVALUE($A342),'recurring1_based on steps'!Y$1:Y$400,0)),Y$2,)</f>
        <v>0</v>
      </c>
      <c r="Z342" s="179">
        <f ca="1">IF(ISNUMBER(MATCH(DATEVALUE($A342),'recurring1_based on steps'!Z$1:Z$400,0)),Z$2,)</f>
        <v>0</v>
      </c>
      <c r="AA342" s="179">
        <f ca="1">IF(ISNUMBER(MATCH(DATEVALUE($A342),'recurring1_based on steps'!AA$1:AA$400,0)),AA$2,)</f>
        <v>0</v>
      </c>
      <c r="AB342" s="179">
        <f ca="1">IF(ISNUMBER(MATCH(DATEVALUE($A342),'recurring1_based on steps'!AB$1:AB$400,0)),AB$2,)</f>
        <v>0</v>
      </c>
      <c r="AC342" s="179">
        <f ca="1">IF(ISNUMBER(MATCH(DATEVALUE($A342),'recurring1_based on steps'!AC$1:AC$400,0)),AC$2,)</f>
        <v>0</v>
      </c>
      <c r="AD342" s="179">
        <f ca="1">IF(ISNUMBER(MATCH(DATEVALUE($A342),'recurring1_based on steps'!AD$1:AD$400,0)),AD$2,)</f>
        <v>0</v>
      </c>
      <c r="AE342" s="179">
        <f ca="1">IF(ISNUMBER(MATCH(DATEVALUE($A342),'recurring1_based on steps'!AE$1:AE$400,0)),AE$2,)</f>
        <v>0</v>
      </c>
      <c r="AF342" s="179">
        <f ca="1">IF(ISNUMBER(MATCH(DATEVALUE($A342),'recurring1_based on steps'!AF$1:AF$400,0)),AF$2,)</f>
        <v>0</v>
      </c>
      <c r="AG342" s="179">
        <f ca="1">IF(ISNUMBER(MATCH(DATEVALUE($A342),'recurring1_based on steps'!AG$1:AG$400,0)),AG$2,)</f>
        <v>0</v>
      </c>
      <c r="AH342" s="179">
        <f ca="1">IF(ISNUMBER(MATCH(DATEVALUE($A342),'recurring1_based on steps'!AH$1:AH$400,0)),AH$2,)</f>
        <v>0</v>
      </c>
      <c r="AI342" s="179">
        <f ca="1">IF(ISNUMBER(MATCH(DATEVALUE($A342),'recurring1_based on steps'!AI$1:AI$400,0)),AI$2,)</f>
        <v>0</v>
      </c>
      <c r="AJ342" s="179">
        <f ca="1">IF(ISNUMBER(MATCH(DATEVALUE($A342),'recurring1_based on steps'!AJ$1:AJ$400,0)),AJ$2,)</f>
        <v>0</v>
      </c>
      <c r="AK342" s="179">
        <f ca="1">IF(ISNUMBER(MATCH(DATEVALUE($A342),'recurring1_based on steps'!AK$1:AK$400,0)),AK$2,)</f>
        <v>0</v>
      </c>
      <c r="AL342" s="179">
        <f ca="1">IF(ISNUMBER(MATCH(DATEVALUE($A342),'recurring1_based on steps'!AL$1:AL$400,0)),AL$2,)</f>
        <v>0</v>
      </c>
      <c r="AM342" s="179">
        <f ca="1">IF(ISNUMBER(MATCH(DATEVALUE($A342),'recurring1_based on steps'!AM$1:AM$400,0)),AM$2,)</f>
        <v>0</v>
      </c>
      <c r="AN342" s="179">
        <f ca="1">IF(ISNUMBER(MATCH(DATEVALUE($A342),'recurring1_based on steps'!AN$1:AN$400,0)),AN$2,)</f>
        <v>0</v>
      </c>
      <c r="AO342" s="179">
        <f ca="1">IF(ISNUMBER(MATCH(DATEVALUE($A342),'recurring1_based on steps'!AO$1:AO$400,0)),AO$2,)</f>
        <v>0</v>
      </c>
      <c r="AP342" s="179">
        <f ca="1">IF(ISNUMBER(MATCH(DATEVALUE($A342),'recurring1_based on steps'!AP$1:AP$400,0)),AP$2,)</f>
        <v>0</v>
      </c>
      <c r="AQ342" s="179">
        <f ca="1">IF(ISNUMBER(MATCH(DATEVALUE($A342),'recurring1_based on steps'!AQ$1:AQ$400,0)),AQ$2,)</f>
        <v>0</v>
      </c>
      <c r="AR342" s="179">
        <f ca="1">IF(ISNUMBER(MATCH(DATEVALUE($A342),'recurring1_based on steps'!AR$1:AR$400,0)),AR$2,)</f>
        <v>0</v>
      </c>
      <c r="AS342" s="179">
        <f ca="1">IF(ISNUMBER(MATCH(DATEVALUE($A342),'recurring1_based on steps'!AS$1:AS$400,0)),AS$2,)</f>
        <v>0</v>
      </c>
      <c r="AT342" s="179">
        <f ca="1">IF(ISNUMBER(MATCH(DATEVALUE($A342),'recurring1_based on steps'!AT$1:AT$400,0)),AT$2,)</f>
        <v>0</v>
      </c>
      <c r="AU342" s="179">
        <f ca="1">IF(ISNUMBER(MATCH(DATEVALUE($A342),'recurring1_based on steps'!AU$1:AU$400,0)),AU$2,)</f>
        <v>0</v>
      </c>
      <c r="AV342" s="179">
        <f ca="1">IF(ISNUMBER(MATCH(DATEVALUE($A342),'recurring1_based on steps'!AV$1:AV$400,0)),AV$2,)</f>
        <v>0</v>
      </c>
      <c r="AW342" s="179">
        <f ca="1">IF(ISNUMBER(MATCH(DATEVALUE($A342),'recurring1_based on steps'!AW$1:AW$400,0)),AW$2,)</f>
        <v>0</v>
      </c>
      <c r="AX342" s="179">
        <f ca="1">IF(ISNUMBER(MATCH(DATEVALUE($A342),'recurring1_based on steps'!AX$1:AX$400,0)),AX$2,)</f>
        <v>0</v>
      </c>
      <c r="AY342" s="179">
        <f ca="1">IF(ISNUMBER(MATCH(DATEVALUE($A342),'recurring1_based on steps'!AY$1:AY$400,0)),AY$2,)</f>
        <v>0</v>
      </c>
    </row>
    <row r="343" spans="1:51" x14ac:dyDescent="0.2">
      <c r="A343" s="32" t="str">
        <f t="shared" ca="1" si="5"/>
        <v>2026-03-04</v>
      </c>
      <c r="B343" s="179">
        <f ca="1">IF(ISNUMBER(MATCH(DATEVALUE($A343),'recurring1_based on steps'!B$1:B$400,0)),B$2,)</f>
        <v>0</v>
      </c>
      <c r="C343" s="179">
        <f ca="1">IF(ISNUMBER(MATCH(DATEVALUE($A343),'recurring1_based on steps'!C$1:C$400,0)),C$2,)</f>
        <v>0</v>
      </c>
      <c r="D343" s="179">
        <f ca="1">IF(ISNUMBER(MATCH(DATEVALUE($A343),'recurring1_based on steps'!D$1:D$400,0)),D$2,)</f>
        <v>0</v>
      </c>
      <c r="E343" s="179">
        <f ca="1">IF(ISNUMBER(MATCH(DATEVALUE($A343),'recurring1_based on steps'!E$1:E$400,0)),E$2,)</f>
        <v>0</v>
      </c>
      <c r="F343" s="179">
        <f ca="1">IF(ISNUMBER(MATCH(DATEVALUE($A343),'recurring1_based on steps'!F$1:F$400,0)),F$2,)</f>
        <v>0</v>
      </c>
      <c r="G343" s="179">
        <f ca="1">IF(ISNUMBER(MATCH(DATEVALUE($A343),'recurring1_based on steps'!G$1:G$400,0)),G$2,)</f>
        <v>0</v>
      </c>
      <c r="H343" s="179">
        <f ca="1">IF(ISNUMBER(MATCH(DATEVALUE($A343),'recurring1_based on steps'!H$1:H$400,0)),H$2,)</f>
        <v>0</v>
      </c>
      <c r="I343" s="179">
        <f ca="1">IF(ISNUMBER(MATCH(DATEVALUE($A343),'recurring1_based on steps'!I$1:I$400,0)),I$2,)</f>
        <v>0</v>
      </c>
      <c r="J343" s="179">
        <f ca="1">IF(ISNUMBER(MATCH(DATEVALUE($A343),'recurring1_based on steps'!J$1:J$400,0)),J$2,)</f>
        <v>0</v>
      </c>
      <c r="K343" s="179">
        <f ca="1">IF(ISNUMBER(MATCH(DATEVALUE($A343),'recurring1_based on steps'!K$1:K$400,0)),K$2,)</f>
        <v>0</v>
      </c>
      <c r="L343" s="179">
        <f ca="1">IF(ISNUMBER(MATCH(DATEVALUE($A343),'recurring1_based on steps'!L$1:L$400,0)),L$2,)</f>
        <v>0</v>
      </c>
      <c r="M343" s="179">
        <f ca="1">IF(ISNUMBER(MATCH(DATEVALUE($A343),'recurring1_based on steps'!M$1:M$400,0)),M$2,)</f>
        <v>0</v>
      </c>
      <c r="N343" s="179">
        <f ca="1">IF(ISNUMBER(MATCH(DATEVALUE($A343),'recurring1_based on steps'!N$1:N$400,0)),N$2,)</f>
        <v>0</v>
      </c>
      <c r="O343" s="179">
        <f ca="1">IF(ISNUMBER(MATCH(DATEVALUE($A343),'recurring1_based on steps'!O$1:O$400,0)),O$2,)</f>
        <v>0</v>
      </c>
      <c r="P343" s="179">
        <f ca="1">IF(ISNUMBER(MATCH(DATEVALUE($A343),'recurring1_based on steps'!P$1:P$400,0)),P$2,)</f>
        <v>0</v>
      </c>
      <c r="Q343" s="179">
        <f ca="1">IF(ISNUMBER(MATCH(DATEVALUE($A343),'recurring1_based on steps'!Q$1:Q$400,0)),Q$2,)</f>
        <v>0</v>
      </c>
      <c r="R343" s="179">
        <f ca="1">IF(ISNUMBER(MATCH(DATEVALUE($A343),'recurring1_based on steps'!R$1:R$400,0)),R$2,)</f>
        <v>0</v>
      </c>
      <c r="S343" s="179">
        <f ca="1">IF(ISNUMBER(MATCH(DATEVALUE($A343),'recurring1_based on steps'!S$1:S$400,0)),S$2,)</f>
        <v>0</v>
      </c>
      <c r="T343" s="179">
        <f ca="1">IF(ISNUMBER(MATCH(DATEVALUE($A343),'recurring1_based on steps'!T$1:T$400,0)),T$2,)</f>
        <v>0</v>
      </c>
      <c r="U343" s="179">
        <f ca="1">IF(ISNUMBER(MATCH(DATEVALUE($A343),'recurring1_based on steps'!U$1:U$400,0)),U$2,)</f>
        <v>0</v>
      </c>
      <c r="V343" s="179">
        <f ca="1">IF(ISNUMBER(MATCH(DATEVALUE($A343),'recurring1_based on steps'!V$1:V$400,0)),V$2,)</f>
        <v>0</v>
      </c>
      <c r="W343" s="179">
        <f ca="1">IF(ISNUMBER(MATCH(DATEVALUE($A343),'recurring1_based on steps'!W$1:W$400,0)),W$2,)</f>
        <v>0</v>
      </c>
      <c r="X343" s="179">
        <f ca="1">IF(ISNUMBER(MATCH(DATEVALUE($A343),'recurring1_based on steps'!X$1:X$400,0)),X$2,)</f>
        <v>0</v>
      </c>
      <c r="Y343" s="179">
        <f ca="1">IF(ISNUMBER(MATCH(DATEVALUE($A343),'recurring1_based on steps'!Y$1:Y$400,0)),Y$2,)</f>
        <v>0</v>
      </c>
      <c r="Z343" s="179">
        <f ca="1">IF(ISNUMBER(MATCH(DATEVALUE($A343),'recurring1_based on steps'!Z$1:Z$400,0)),Z$2,)</f>
        <v>0</v>
      </c>
      <c r="AA343" s="179">
        <f ca="1">IF(ISNUMBER(MATCH(DATEVALUE($A343),'recurring1_based on steps'!AA$1:AA$400,0)),AA$2,)</f>
        <v>0</v>
      </c>
      <c r="AB343" s="179">
        <f ca="1">IF(ISNUMBER(MATCH(DATEVALUE($A343),'recurring1_based on steps'!AB$1:AB$400,0)),AB$2,)</f>
        <v>0</v>
      </c>
      <c r="AC343" s="179">
        <f ca="1">IF(ISNUMBER(MATCH(DATEVALUE($A343),'recurring1_based on steps'!AC$1:AC$400,0)),AC$2,)</f>
        <v>0</v>
      </c>
      <c r="AD343" s="179">
        <f ca="1">IF(ISNUMBER(MATCH(DATEVALUE($A343),'recurring1_based on steps'!AD$1:AD$400,0)),AD$2,)</f>
        <v>0</v>
      </c>
      <c r="AE343" s="179">
        <f ca="1">IF(ISNUMBER(MATCH(DATEVALUE($A343),'recurring1_based on steps'!AE$1:AE$400,0)),AE$2,)</f>
        <v>0</v>
      </c>
      <c r="AF343" s="179">
        <f ca="1">IF(ISNUMBER(MATCH(DATEVALUE($A343),'recurring1_based on steps'!AF$1:AF$400,0)),AF$2,)</f>
        <v>0</v>
      </c>
      <c r="AG343" s="179">
        <f ca="1">IF(ISNUMBER(MATCH(DATEVALUE($A343),'recurring1_based on steps'!AG$1:AG$400,0)),AG$2,)</f>
        <v>0</v>
      </c>
      <c r="AH343" s="179">
        <f ca="1">IF(ISNUMBER(MATCH(DATEVALUE($A343),'recurring1_based on steps'!AH$1:AH$400,0)),AH$2,)</f>
        <v>0</v>
      </c>
      <c r="AI343" s="179">
        <f ca="1">IF(ISNUMBER(MATCH(DATEVALUE($A343),'recurring1_based on steps'!AI$1:AI$400,0)),AI$2,)</f>
        <v>0</v>
      </c>
      <c r="AJ343" s="179">
        <f ca="1">IF(ISNUMBER(MATCH(DATEVALUE($A343),'recurring1_based on steps'!AJ$1:AJ$400,0)),AJ$2,)</f>
        <v>0</v>
      </c>
      <c r="AK343" s="179">
        <f ca="1">IF(ISNUMBER(MATCH(DATEVALUE($A343),'recurring1_based on steps'!AK$1:AK$400,0)),AK$2,)</f>
        <v>0</v>
      </c>
      <c r="AL343" s="179">
        <f ca="1">IF(ISNUMBER(MATCH(DATEVALUE($A343),'recurring1_based on steps'!AL$1:AL$400,0)),AL$2,)</f>
        <v>0</v>
      </c>
      <c r="AM343" s="179">
        <f ca="1">IF(ISNUMBER(MATCH(DATEVALUE($A343),'recurring1_based on steps'!AM$1:AM$400,0)),AM$2,)</f>
        <v>0</v>
      </c>
      <c r="AN343" s="179">
        <f ca="1">IF(ISNUMBER(MATCH(DATEVALUE($A343),'recurring1_based on steps'!AN$1:AN$400,0)),AN$2,)</f>
        <v>0</v>
      </c>
      <c r="AO343" s="179">
        <f ca="1">IF(ISNUMBER(MATCH(DATEVALUE($A343),'recurring1_based on steps'!AO$1:AO$400,0)),AO$2,)</f>
        <v>0</v>
      </c>
      <c r="AP343" s="179">
        <f ca="1">IF(ISNUMBER(MATCH(DATEVALUE($A343),'recurring1_based on steps'!AP$1:AP$400,0)),AP$2,)</f>
        <v>0</v>
      </c>
      <c r="AQ343" s="179">
        <f ca="1">IF(ISNUMBER(MATCH(DATEVALUE($A343),'recurring1_based on steps'!AQ$1:AQ$400,0)),AQ$2,)</f>
        <v>0</v>
      </c>
      <c r="AR343" s="179">
        <f ca="1">IF(ISNUMBER(MATCH(DATEVALUE($A343),'recurring1_based on steps'!AR$1:AR$400,0)),AR$2,)</f>
        <v>0</v>
      </c>
      <c r="AS343" s="179">
        <f ca="1">IF(ISNUMBER(MATCH(DATEVALUE($A343),'recurring1_based on steps'!AS$1:AS$400,0)),AS$2,)</f>
        <v>0</v>
      </c>
      <c r="AT343" s="179">
        <f ca="1">IF(ISNUMBER(MATCH(DATEVALUE($A343),'recurring1_based on steps'!AT$1:AT$400,0)),AT$2,)</f>
        <v>0</v>
      </c>
      <c r="AU343" s="179">
        <f ca="1">IF(ISNUMBER(MATCH(DATEVALUE($A343),'recurring1_based on steps'!AU$1:AU$400,0)),AU$2,)</f>
        <v>0</v>
      </c>
      <c r="AV343" s="179">
        <f ca="1">IF(ISNUMBER(MATCH(DATEVALUE($A343),'recurring1_based on steps'!AV$1:AV$400,0)),AV$2,)</f>
        <v>0</v>
      </c>
      <c r="AW343" s="179">
        <f ca="1">IF(ISNUMBER(MATCH(DATEVALUE($A343),'recurring1_based on steps'!AW$1:AW$400,0)),AW$2,)</f>
        <v>0</v>
      </c>
      <c r="AX343" s="179">
        <f ca="1">IF(ISNUMBER(MATCH(DATEVALUE($A343),'recurring1_based on steps'!AX$1:AX$400,0)),AX$2,)</f>
        <v>0</v>
      </c>
      <c r="AY343" s="179">
        <f ca="1">IF(ISNUMBER(MATCH(DATEVALUE($A343),'recurring1_based on steps'!AY$1:AY$400,0)),AY$2,)</f>
        <v>0</v>
      </c>
    </row>
    <row r="344" spans="1:51" x14ac:dyDescent="0.2">
      <c r="A344" s="32" t="str">
        <f t="shared" ca="1" si="5"/>
        <v>2026-03-05</v>
      </c>
      <c r="B344" s="179">
        <f ca="1">IF(ISNUMBER(MATCH(DATEVALUE($A344),'recurring1_based on steps'!B$1:B$400,0)),B$2,)</f>
        <v>0</v>
      </c>
      <c r="C344" s="179">
        <f ca="1">IF(ISNUMBER(MATCH(DATEVALUE($A344),'recurring1_based on steps'!C$1:C$400,0)),C$2,)</f>
        <v>0</v>
      </c>
      <c r="D344" s="179">
        <f ca="1">IF(ISNUMBER(MATCH(DATEVALUE($A344),'recurring1_based on steps'!D$1:D$400,0)),D$2,)</f>
        <v>0</v>
      </c>
      <c r="E344" s="179">
        <f ca="1">IF(ISNUMBER(MATCH(DATEVALUE($A344),'recurring1_based on steps'!E$1:E$400,0)),E$2,)</f>
        <v>0</v>
      </c>
      <c r="F344" s="179">
        <f ca="1">IF(ISNUMBER(MATCH(DATEVALUE($A344),'recurring1_based on steps'!F$1:F$400,0)),F$2,)</f>
        <v>0</v>
      </c>
      <c r="G344" s="179">
        <f ca="1">IF(ISNUMBER(MATCH(DATEVALUE($A344),'recurring1_based on steps'!G$1:G$400,0)),G$2,)</f>
        <v>0</v>
      </c>
      <c r="H344" s="179">
        <f ca="1">IF(ISNUMBER(MATCH(DATEVALUE($A344),'recurring1_based on steps'!H$1:H$400,0)),H$2,)</f>
        <v>0</v>
      </c>
      <c r="I344" s="179">
        <f ca="1">IF(ISNUMBER(MATCH(DATEVALUE($A344),'recurring1_based on steps'!I$1:I$400,0)),I$2,)</f>
        <v>0</v>
      </c>
      <c r="J344" s="179">
        <f ca="1">IF(ISNUMBER(MATCH(DATEVALUE($A344),'recurring1_based on steps'!J$1:J$400,0)),J$2,)</f>
        <v>0</v>
      </c>
      <c r="K344" s="179">
        <f ca="1">IF(ISNUMBER(MATCH(DATEVALUE($A344),'recurring1_based on steps'!K$1:K$400,0)),K$2,)</f>
        <v>0</v>
      </c>
      <c r="L344" s="179">
        <f ca="1">IF(ISNUMBER(MATCH(DATEVALUE($A344),'recurring1_based on steps'!L$1:L$400,0)),L$2,)</f>
        <v>0</v>
      </c>
      <c r="M344" s="179">
        <f ca="1">IF(ISNUMBER(MATCH(DATEVALUE($A344),'recurring1_based on steps'!M$1:M$400,0)),M$2,)</f>
        <v>0</v>
      </c>
      <c r="N344" s="179">
        <f ca="1">IF(ISNUMBER(MATCH(DATEVALUE($A344),'recurring1_based on steps'!N$1:N$400,0)),N$2,)</f>
        <v>0</v>
      </c>
      <c r="O344" s="179">
        <f ca="1">IF(ISNUMBER(MATCH(DATEVALUE($A344),'recurring1_based on steps'!O$1:O$400,0)),O$2,)</f>
        <v>0</v>
      </c>
      <c r="P344" s="179">
        <f ca="1">IF(ISNUMBER(MATCH(DATEVALUE($A344),'recurring1_based on steps'!P$1:P$400,0)),P$2,)</f>
        <v>0</v>
      </c>
      <c r="Q344" s="179">
        <f ca="1">IF(ISNUMBER(MATCH(DATEVALUE($A344),'recurring1_based on steps'!Q$1:Q$400,0)),Q$2,)</f>
        <v>0</v>
      </c>
      <c r="R344" s="179">
        <f ca="1">IF(ISNUMBER(MATCH(DATEVALUE($A344),'recurring1_based on steps'!R$1:R$400,0)),R$2,)</f>
        <v>0</v>
      </c>
      <c r="S344" s="179">
        <f ca="1">IF(ISNUMBER(MATCH(DATEVALUE($A344),'recurring1_based on steps'!S$1:S$400,0)),S$2,)</f>
        <v>0</v>
      </c>
      <c r="T344" s="179">
        <f ca="1">IF(ISNUMBER(MATCH(DATEVALUE($A344),'recurring1_based on steps'!T$1:T$400,0)),T$2,)</f>
        <v>0</v>
      </c>
      <c r="U344" s="179">
        <f ca="1">IF(ISNUMBER(MATCH(DATEVALUE($A344),'recurring1_based on steps'!U$1:U$400,0)),U$2,)</f>
        <v>0</v>
      </c>
      <c r="V344" s="179">
        <f ca="1">IF(ISNUMBER(MATCH(DATEVALUE($A344),'recurring1_based on steps'!V$1:V$400,0)),V$2,)</f>
        <v>0</v>
      </c>
      <c r="W344" s="179">
        <f ca="1">IF(ISNUMBER(MATCH(DATEVALUE($A344),'recurring1_based on steps'!W$1:W$400,0)),W$2,)</f>
        <v>0</v>
      </c>
      <c r="X344" s="179">
        <f ca="1">IF(ISNUMBER(MATCH(DATEVALUE($A344),'recurring1_based on steps'!X$1:X$400,0)),X$2,)</f>
        <v>0</v>
      </c>
      <c r="Y344" s="179">
        <f ca="1">IF(ISNUMBER(MATCH(DATEVALUE($A344),'recurring1_based on steps'!Y$1:Y$400,0)),Y$2,)</f>
        <v>0</v>
      </c>
      <c r="Z344" s="179">
        <f ca="1">IF(ISNUMBER(MATCH(DATEVALUE($A344),'recurring1_based on steps'!Z$1:Z$400,0)),Z$2,)</f>
        <v>0</v>
      </c>
      <c r="AA344" s="179">
        <f ca="1">IF(ISNUMBER(MATCH(DATEVALUE($A344),'recurring1_based on steps'!AA$1:AA$400,0)),AA$2,)</f>
        <v>0</v>
      </c>
      <c r="AB344" s="179">
        <f ca="1">IF(ISNUMBER(MATCH(DATEVALUE($A344),'recurring1_based on steps'!AB$1:AB$400,0)),AB$2,)</f>
        <v>0</v>
      </c>
      <c r="AC344" s="179">
        <f ca="1">IF(ISNUMBER(MATCH(DATEVALUE($A344),'recurring1_based on steps'!AC$1:AC$400,0)),AC$2,)</f>
        <v>0</v>
      </c>
      <c r="AD344" s="179">
        <f ca="1">IF(ISNUMBER(MATCH(DATEVALUE($A344),'recurring1_based on steps'!AD$1:AD$400,0)),AD$2,)</f>
        <v>0</v>
      </c>
      <c r="AE344" s="179">
        <f ca="1">IF(ISNUMBER(MATCH(DATEVALUE($A344),'recurring1_based on steps'!AE$1:AE$400,0)),AE$2,)</f>
        <v>0</v>
      </c>
      <c r="AF344" s="179">
        <f ca="1">IF(ISNUMBER(MATCH(DATEVALUE($A344),'recurring1_based on steps'!AF$1:AF$400,0)),AF$2,)</f>
        <v>0</v>
      </c>
      <c r="AG344" s="179">
        <f ca="1">IF(ISNUMBER(MATCH(DATEVALUE($A344),'recurring1_based on steps'!AG$1:AG$400,0)),AG$2,)</f>
        <v>0</v>
      </c>
      <c r="AH344" s="179">
        <f ca="1">IF(ISNUMBER(MATCH(DATEVALUE($A344),'recurring1_based on steps'!AH$1:AH$400,0)),AH$2,)</f>
        <v>0</v>
      </c>
      <c r="AI344" s="179">
        <f ca="1">IF(ISNUMBER(MATCH(DATEVALUE($A344),'recurring1_based on steps'!AI$1:AI$400,0)),AI$2,)</f>
        <v>0</v>
      </c>
      <c r="AJ344" s="179">
        <f ca="1">IF(ISNUMBER(MATCH(DATEVALUE($A344),'recurring1_based on steps'!AJ$1:AJ$400,0)),AJ$2,)</f>
        <v>0</v>
      </c>
      <c r="AK344" s="179">
        <f ca="1">IF(ISNUMBER(MATCH(DATEVALUE($A344),'recurring1_based on steps'!AK$1:AK$400,0)),AK$2,)</f>
        <v>0</v>
      </c>
      <c r="AL344" s="179">
        <f ca="1">IF(ISNUMBER(MATCH(DATEVALUE($A344),'recurring1_based on steps'!AL$1:AL$400,0)),AL$2,)</f>
        <v>0</v>
      </c>
      <c r="AM344" s="179">
        <f ca="1">IF(ISNUMBER(MATCH(DATEVALUE($A344),'recurring1_based on steps'!AM$1:AM$400,0)),AM$2,)</f>
        <v>0</v>
      </c>
      <c r="AN344" s="179">
        <f ca="1">IF(ISNUMBER(MATCH(DATEVALUE($A344),'recurring1_based on steps'!AN$1:AN$400,0)),AN$2,)</f>
        <v>0</v>
      </c>
      <c r="AO344" s="179">
        <f ca="1">IF(ISNUMBER(MATCH(DATEVALUE($A344),'recurring1_based on steps'!AO$1:AO$400,0)),AO$2,)</f>
        <v>0</v>
      </c>
      <c r="AP344" s="179">
        <f ca="1">IF(ISNUMBER(MATCH(DATEVALUE($A344),'recurring1_based on steps'!AP$1:AP$400,0)),AP$2,)</f>
        <v>0</v>
      </c>
      <c r="AQ344" s="179">
        <f ca="1">IF(ISNUMBER(MATCH(DATEVALUE($A344),'recurring1_based on steps'!AQ$1:AQ$400,0)),AQ$2,)</f>
        <v>0</v>
      </c>
      <c r="AR344" s="179">
        <f ca="1">IF(ISNUMBER(MATCH(DATEVALUE($A344),'recurring1_based on steps'!AR$1:AR$400,0)),AR$2,)</f>
        <v>0</v>
      </c>
      <c r="AS344" s="179">
        <f ca="1">IF(ISNUMBER(MATCH(DATEVALUE($A344),'recurring1_based on steps'!AS$1:AS$400,0)),AS$2,)</f>
        <v>0</v>
      </c>
      <c r="AT344" s="179">
        <f ca="1">IF(ISNUMBER(MATCH(DATEVALUE($A344),'recurring1_based on steps'!AT$1:AT$400,0)),AT$2,)</f>
        <v>0</v>
      </c>
      <c r="AU344" s="179">
        <f ca="1">IF(ISNUMBER(MATCH(DATEVALUE($A344),'recurring1_based on steps'!AU$1:AU$400,0)),AU$2,)</f>
        <v>0</v>
      </c>
      <c r="AV344" s="179">
        <f ca="1">IF(ISNUMBER(MATCH(DATEVALUE($A344),'recurring1_based on steps'!AV$1:AV$400,0)),AV$2,)</f>
        <v>0</v>
      </c>
      <c r="AW344" s="179">
        <f ca="1">IF(ISNUMBER(MATCH(DATEVALUE($A344),'recurring1_based on steps'!AW$1:AW$400,0)),AW$2,)</f>
        <v>0</v>
      </c>
      <c r="AX344" s="179">
        <f ca="1">IF(ISNUMBER(MATCH(DATEVALUE($A344),'recurring1_based on steps'!AX$1:AX$400,0)),AX$2,)</f>
        <v>0</v>
      </c>
      <c r="AY344" s="179">
        <f ca="1">IF(ISNUMBER(MATCH(DATEVALUE($A344),'recurring1_based on steps'!AY$1:AY$400,0)),AY$2,)</f>
        <v>0</v>
      </c>
    </row>
    <row r="345" spans="1:51" x14ac:dyDescent="0.2">
      <c r="A345" s="32" t="str">
        <f t="shared" ca="1" si="5"/>
        <v>2026-03-06</v>
      </c>
      <c r="B345" s="179">
        <f ca="1">IF(ISNUMBER(MATCH(DATEVALUE($A345),'recurring1_based on steps'!B$1:B$400,0)),B$2,)</f>
        <v>0</v>
      </c>
      <c r="C345" s="179">
        <f ca="1">IF(ISNUMBER(MATCH(DATEVALUE($A345),'recurring1_based on steps'!C$1:C$400,0)),C$2,)</f>
        <v>0</v>
      </c>
      <c r="D345" s="179">
        <f ca="1">IF(ISNUMBER(MATCH(DATEVALUE($A345),'recurring1_based on steps'!D$1:D$400,0)),D$2,)</f>
        <v>0</v>
      </c>
      <c r="E345" s="179">
        <f ca="1">IF(ISNUMBER(MATCH(DATEVALUE($A345),'recurring1_based on steps'!E$1:E$400,0)),E$2,)</f>
        <v>0</v>
      </c>
      <c r="F345" s="179">
        <f ca="1">IF(ISNUMBER(MATCH(DATEVALUE($A345),'recurring1_based on steps'!F$1:F$400,0)),F$2,)</f>
        <v>0</v>
      </c>
      <c r="G345" s="179">
        <f ca="1">IF(ISNUMBER(MATCH(DATEVALUE($A345),'recurring1_based on steps'!G$1:G$400,0)),G$2,)</f>
        <v>0</v>
      </c>
      <c r="H345" s="179">
        <f ca="1">IF(ISNUMBER(MATCH(DATEVALUE($A345),'recurring1_based on steps'!H$1:H$400,0)),H$2,)</f>
        <v>0</v>
      </c>
      <c r="I345" s="179">
        <f ca="1">IF(ISNUMBER(MATCH(DATEVALUE($A345),'recurring1_based on steps'!I$1:I$400,0)),I$2,)</f>
        <v>0</v>
      </c>
      <c r="J345" s="179">
        <f ca="1">IF(ISNUMBER(MATCH(DATEVALUE($A345),'recurring1_based on steps'!J$1:J$400,0)),J$2,)</f>
        <v>0</v>
      </c>
      <c r="K345" s="179">
        <f ca="1">IF(ISNUMBER(MATCH(DATEVALUE($A345),'recurring1_based on steps'!K$1:K$400,0)),K$2,)</f>
        <v>0</v>
      </c>
      <c r="L345" s="179">
        <f ca="1">IF(ISNUMBER(MATCH(DATEVALUE($A345),'recurring1_based on steps'!L$1:L$400,0)),L$2,)</f>
        <v>0</v>
      </c>
      <c r="M345" s="179">
        <f ca="1">IF(ISNUMBER(MATCH(DATEVALUE($A345),'recurring1_based on steps'!M$1:M$400,0)),M$2,)</f>
        <v>0</v>
      </c>
      <c r="N345" s="179">
        <f ca="1">IF(ISNUMBER(MATCH(DATEVALUE($A345),'recurring1_based on steps'!N$1:N$400,0)),N$2,)</f>
        <v>0</v>
      </c>
      <c r="O345" s="179">
        <f ca="1">IF(ISNUMBER(MATCH(DATEVALUE($A345),'recurring1_based on steps'!O$1:O$400,0)),O$2,)</f>
        <v>0</v>
      </c>
      <c r="P345" s="179">
        <f ca="1">IF(ISNUMBER(MATCH(DATEVALUE($A345),'recurring1_based on steps'!P$1:P$400,0)),P$2,)</f>
        <v>0</v>
      </c>
      <c r="Q345" s="179">
        <f ca="1">IF(ISNUMBER(MATCH(DATEVALUE($A345),'recurring1_based on steps'!Q$1:Q$400,0)),Q$2,)</f>
        <v>0</v>
      </c>
      <c r="R345" s="179">
        <f ca="1">IF(ISNUMBER(MATCH(DATEVALUE($A345),'recurring1_based on steps'!R$1:R$400,0)),R$2,)</f>
        <v>0</v>
      </c>
      <c r="S345" s="179">
        <f ca="1">IF(ISNUMBER(MATCH(DATEVALUE($A345),'recurring1_based on steps'!S$1:S$400,0)),S$2,)</f>
        <v>0</v>
      </c>
      <c r="T345" s="179">
        <f ca="1">IF(ISNUMBER(MATCH(DATEVALUE($A345),'recurring1_based on steps'!T$1:T$400,0)),T$2,)</f>
        <v>0</v>
      </c>
      <c r="U345" s="179">
        <f ca="1">IF(ISNUMBER(MATCH(DATEVALUE($A345),'recurring1_based on steps'!U$1:U$400,0)),U$2,)</f>
        <v>0</v>
      </c>
      <c r="V345" s="179">
        <f ca="1">IF(ISNUMBER(MATCH(DATEVALUE($A345),'recurring1_based on steps'!V$1:V$400,0)),V$2,)</f>
        <v>0</v>
      </c>
      <c r="W345" s="179">
        <f ca="1">IF(ISNUMBER(MATCH(DATEVALUE($A345),'recurring1_based on steps'!W$1:W$400,0)),W$2,)</f>
        <v>0</v>
      </c>
      <c r="X345" s="179">
        <f ca="1">IF(ISNUMBER(MATCH(DATEVALUE($A345),'recurring1_based on steps'!X$1:X$400,0)),X$2,)</f>
        <v>0</v>
      </c>
      <c r="Y345" s="179">
        <f ca="1">IF(ISNUMBER(MATCH(DATEVALUE($A345),'recurring1_based on steps'!Y$1:Y$400,0)),Y$2,)</f>
        <v>0</v>
      </c>
      <c r="Z345" s="179">
        <f ca="1">IF(ISNUMBER(MATCH(DATEVALUE($A345),'recurring1_based on steps'!Z$1:Z$400,0)),Z$2,)</f>
        <v>0</v>
      </c>
      <c r="AA345" s="179">
        <f ca="1">IF(ISNUMBER(MATCH(DATEVALUE($A345),'recurring1_based on steps'!AA$1:AA$400,0)),AA$2,)</f>
        <v>0</v>
      </c>
      <c r="AB345" s="179">
        <f ca="1">IF(ISNUMBER(MATCH(DATEVALUE($A345),'recurring1_based on steps'!AB$1:AB$400,0)),AB$2,)</f>
        <v>0</v>
      </c>
      <c r="AC345" s="179">
        <f ca="1">IF(ISNUMBER(MATCH(DATEVALUE($A345),'recurring1_based on steps'!AC$1:AC$400,0)),AC$2,)</f>
        <v>0</v>
      </c>
      <c r="AD345" s="179">
        <f ca="1">IF(ISNUMBER(MATCH(DATEVALUE($A345),'recurring1_based on steps'!AD$1:AD$400,0)),AD$2,)</f>
        <v>0</v>
      </c>
      <c r="AE345" s="179">
        <f ca="1">IF(ISNUMBER(MATCH(DATEVALUE($A345),'recurring1_based on steps'!AE$1:AE$400,0)),AE$2,)</f>
        <v>0</v>
      </c>
      <c r="AF345" s="179">
        <f ca="1">IF(ISNUMBER(MATCH(DATEVALUE($A345),'recurring1_based on steps'!AF$1:AF$400,0)),AF$2,)</f>
        <v>0</v>
      </c>
      <c r="AG345" s="179">
        <f ca="1">IF(ISNUMBER(MATCH(DATEVALUE($A345),'recurring1_based on steps'!AG$1:AG$400,0)),AG$2,)</f>
        <v>0</v>
      </c>
      <c r="AH345" s="179">
        <f ca="1">IF(ISNUMBER(MATCH(DATEVALUE($A345),'recurring1_based on steps'!AH$1:AH$400,0)),AH$2,)</f>
        <v>0</v>
      </c>
      <c r="AI345" s="179">
        <f ca="1">IF(ISNUMBER(MATCH(DATEVALUE($A345),'recurring1_based on steps'!AI$1:AI$400,0)),AI$2,)</f>
        <v>0</v>
      </c>
      <c r="AJ345" s="179">
        <f ca="1">IF(ISNUMBER(MATCH(DATEVALUE($A345),'recurring1_based on steps'!AJ$1:AJ$400,0)),AJ$2,)</f>
        <v>0</v>
      </c>
      <c r="AK345" s="179">
        <f ca="1">IF(ISNUMBER(MATCH(DATEVALUE($A345),'recurring1_based on steps'!AK$1:AK$400,0)),AK$2,)</f>
        <v>0</v>
      </c>
      <c r="AL345" s="179">
        <f ca="1">IF(ISNUMBER(MATCH(DATEVALUE($A345),'recurring1_based on steps'!AL$1:AL$400,0)),AL$2,)</f>
        <v>0</v>
      </c>
      <c r="AM345" s="179">
        <f ca="1">IF(ISNUMBER(MATCH(DATEVALUE($A345),'recurring1_based on steps'!AM$1:AM$400,0)),AM$2,)</f>
        <v>0</v>
      </c>
      <c r="AN345" s="179">
        <f ca="1">IF(ISNUMBER(MATCH(DATEVALUE($A345),'recurring1_based on steps'!AN$1:AN$400,0)),AN$2,)</f>
        <v>0</v>
      </c>
      <c r="AO345" s="179">
        <f ca="1">IF(ISNUMBER(MATCH(DATEVALUE($A345),'recurring1_based on steps'!AO$1:AO$400,0)),AO$2,)</f>
        <v>0</v>
      </c>
      <c r="AP345" s="179">
        <f ca="1">IF(ISNUMBER(MATCH(DATEVALUE($A345),'recurring1_based on steps'!AP$1:AP$400,0)),AP$2,)</f>
        <v>0</v>
      </c>
      <c r="AQ345" s="179">
        <f ca="1">IF(ISNUMBER(MATCH(DATEVALUE($A345),'recurring1_based on steps'!AQ$1:AQ$400,0)),AQ$2,)</f>
        <v>0</v>
      </c>
      <c r="AR345" s="179">
        <f ca="1">IF(ISNUMBER(MATCH(DATEVALUE($A345),'recurring1_based on steps'!AR$1:AR$400,0)),AR$2,)</f>
        <v>0</v>
      </c>
      <c r="AS345" s="179">
        <f ca="1">IF(ISNUMBER(MATCH(DATEVALUE($A345),'recurring1_based on steps'!AS$1:AS$400,0)),AS$2,)</f>
        <v>0</v>
      </c>
      <c r="AT345" s="179">
        <f ca="1">IF(ISNUMBER(MATCH(DATEVALUE($A345),'recurring1_based on steps'!AT$1:AT$400,0)),AT$2,)</f>
        <v>0</v>
      </c>
      <c r="AU345" s="179">
        <f ca="1">IF(ISNUMBER(MATCH(DATEVALUE($A345),'recurring1_based on steps'!AU$1:AU$400,0)),AU$2,)</f>
        <v>0</v>
      </c>
      <c r="AV345" s="179">
        <f ca="1">IF(ISNUMBER(MATCH(DATEVALUE($A345),'recurring1_based on steps'!AV$1:AV$400,0)),AV$2,)</f>
        <v>0</v>
      </c>
      <c r="AW345" s="179">
        <f ca="1">IF(ISNUMBER(MATCH(DATEVALUE($A345),'recurring1_based on steps'!AW$1:AW$400,0)),AW$2,)</f>
        <v>0</v>
      </c>
      <c r="AX345" s="179">
        <f ca="1">IF(ISNUMBER(MATCH(DATEVALUE($A345),'recurring1_based on steps'!AX$1:AX$400,0)),AX$2,)</f>
        <v>0</v>
      </c>
      <c r="AY345" s="179">
        <f ca="1">IF(ISNUMBER(MATCH(DATEVALUE($A345),'recurring1_based on steps'!AY$1:AY$400,0)),AY$2,)</f>
        <v>0</v>
      </c>
    </row>
    <row r="346" spans="1:51" x14ac:dyDescent="0.2">
      <c r="A346" s="32" t="str">
        <f t="shared" ca="1" si="5"/>
        <v>2026-03-07</v>
      </c>
      <c r="B346" s="179">
        <f ca="1">IF(ISNUMBER(MATCH(DATEVALUE($A346),'recurring1_based on steps'!B$1:B$400,0)),B$2,)</f>
        <v>0</v>
      </c>
      <c r="C346" s="179">
        <f ca="1">IF(ISNUMBER(MATCH(DATEVALUE($A346),'recurring1_based on steps'!C$1:C$400,0)),C$2,)</f>
        <v>0</v>
      </c>
      <c r="D346" s="179">
        <f ca="1">IF(ISNUMBER(MATCH(DATEVALUE($A346),'recurring1_based on steps'!D$1:D$400,0)),D$2,)</f>
        <v>0</v>
      </c>
      <c r="E346" s="179">
        <f ca="1">IF(ISNUMBER(MATCH(DATEVALUE($A346),'recurring1_based on steps'!E$1:E$400,0)),E$2,)</f>
        <v>0</v>
      </c>
      <c r="F346" s="179">
        <f ca="1">IF(ISNUMBER(MATCH(DATEVALUE($A346),'recurring1_based on steps'!F$1:F$400,0)),F$2,)</f>
        <v>0</v>
      </c>
      <c r="G346" s="179">
        <f ca="1">IF(ISNUMBER(MATCH(DATEVALUE($A346),'recurring1_based on steps'!G$1:G$400,0)),G$2,)</f>
        <v>0</v>
      </c>
      <c r="H346" s="179">
        <f ca="1">IF(ISNUMBER(MATCH(DATEVALUE($A346),'recurring1_based on steps'!H$1:H$400,0)),H$2,)</f>
        <v>0</v>
      </c>
      <c r="I346" s="179">
        <f ca="1">IF(ISNUMBER(MATCH(DATEVALUE($A346),'recurring1_based on steps'!I$1:I$400,0)),I$2,)</f>
        <v>0</v>
      </c>
      <c r="J346" s="179">
        <f ca="1">IF(ISNUMBER(MATCH(DATEVALUE($A346),'recurring1_based on steps'!J$1:J$400,0)),J$2,)</f>
        <v>0</v>
      </c>
      <c r="K346" s="179">
        <f ca="1">IF(ISNUMBER(MATCH(DATEVALUE($A346),'recurring1_based on steps'!K$1:K$400,0)),K$2,)</f>
        <v>0</v>
      </c>
      <c r="L346" s="179">
        <f ca="1">IF(ISNUMBER(MATCH(DATEVALUE($A346),'recurring1_based on steps'!L$1:L$400,0)),L$2,)</f>
        <v>0</v>
      </c>
      <c r="M346" s="179">
        <f ca="1">IF(ISNUMBER(MATCH(DATEVALUE($A346),'recurring1_based on steps'!M$1:M$400,0)),M$2,)</f>
        <v>0</v>
      </c>
      <c r="N346" s="179">
        <f ca="1">IF(ISNUMBER(MATCH(DATEVALUE($A346),'recurring1_based on steps'!N$1:N$400,0)),N$2,)</f>
        <v>0</v>
      </c>
      <c r="O346" s="179">
        <f ca="1">IF(ISNUMBER(MATCH(DATEVALUE($A346),'recurring1_based on steps'!O$1:O$400,0)),O$2,)</f>
        <v>0</v>
      </c>
      <c r="P346" s="179">
        <f ca="1">IF(ISNUMBER(MATCH(DATEVALUE($A346),'recurring1_based on steps'!P$1:P$400,0)),P$2,)</f>
        <v>0</v>
      </c>
      <c r="Q346" s="179">
        <f ca="1">IF(ISNUMBER(MATCH(DATEVALUE($A346),'recurring1_based on steps'!Q$1:Q$400,0)),Q$2,)</f>
        <v>0</v>
      </c>
      <c r="R346" s="179">
        <f ca="1">IF(ISNUMBER(MATCH(DATEVALUE($A346),'recurring1_based on steps'!R$1:R$400,0)),R$2,)</f>
        <v>0</v>
      </c>
      <c r="S346" s="179">
        <f ca="1">IF(ISNUMBER(MATCH(DATEVALUE($A346),'recurring1_based on steps'!S$1:S$400,0)),S$2,)</f>
        <v>0</v>
      </c>
      <c r="T346" s="179">
        <f ca="1">IF(ISNUMBER(MATCH(DATEVALUE($A346),'recurring1_based on steps'!T$1:T$400,0)),T$2,)</f>
        <v>0</v>
      </c>
      <c r="U346" s="179">
        <f ca="1">IF(ISNUMBER(MATCH(DATEVALUE($A346),'recurring1_based on steps'!U$1:U$400,0)),U$2,)</f>
        <v>0</v>
      </c>
      <c r="V346" s="179">
        <f ca="1">IF(ISNUMBER(MATCH(DATEVALUE($A346),'recurring1_based on steps'!V$1:V$400,0)),V$2,)</f>
        <v>0</v>
      </c>
      <c r="W346" s="179">
        <f ca="1">IF(ISNUMBER(MATCH(DATEVALUE($A346),'recurring1_based on steps'!W$1:W$400,0)),W$2,)</f>
        <v>0</v>
      </c>
      <c r="X346" s="179">
        <f ca="1">IF(ISNUMBER(MATCH(DATEVALUE($A346),'recurring1_based on steps'!X$1:X$400,0)),X$2,)</f>
        <v>0</v>
      </c>
      <c r="Y346" s="179">
        <f ca="1">IF(ISNUMBER(MATCH(DATEVALUE($A346),'recurring1_based on steps'!Y$1:Y$400,0)),Y$2,)</f>
        <v>0</v>
      </c>
      <c r="Z346" s="179">
        <f ca="1">IF(ISNUMBER(MATCH(DATEVALUE($A346),'recurring1_based on steps'!Z$1:Z$400,0)),Z$2,)</f>
        <v>0</v>
      </c>
      <c r="AA346" s="179">
        <f ca="1">IF(ISNUMBER(MATCH(DATEVALUE($A346),'recurring1_based on steps'!AA$1:AA$400,0)),AA$2,)</f>
        <v>0</v>
      </c>
      <c r="AB346" s="179">
        <f ca="1">IF(ISNUMBER(MATCH(DATEVALUE($A346),'recurring1_based on steps'!AB$1:AB$400,0)),AB$2,)</f>
        <v>0</v>
      </c>
      <c r="AC346" s="179">
        <f ca="1">IF(ISNUMBER(MATCH(DATEVALUE($A346),'recurring1_based on steps'!AC$1:AC$400,0)),AC$2,)</f>
        <v>0</v>
      </c>
      <c r="AD346" s="179">
        <f ca="1">IF(ISNUMBER(MATCH(DATEVALUE($A346),'recurring1_based on steps'!AD$1:AD$400,0)),AD$2,)</f>
        <v>0</v>
      </c>
      <c r="AE346" s="179">
        <f ca="1">IF(ISNUMBER(MATCH(DATEVALUE($A346),'recurring1_based on steps'!AE$1:AE$400,0)),AE$2,)</f>
        <v>0</v>
      </c>
      <c r="AF346" s="179">
        <f ca="1">IF(ISNUMBER(MATCH(DATEVALUE($A346),'recurring1_based on steps'!AF$1:AF$400,0)),AF$2,)</f>
        <v>0</v>
      </c>
      <c r="AG346" s="179">
        <f ca="1">IF(ISNUMBER(MATCH(DATEVALUE($A346),'recurring1_based on steps'!AG$1:AG$400,0)),AG$2,)</f>
        <v>0</v>
      </c>
      <c r="AH346" s="179">
        <f ca="1">IF(ISNUMBER(MATCH(DATEVALUE($A346),'recurring1_based on steps'!AH$1:AH$400,0)),AH$2,)</f>
        <v>0</v>
      </c>
      <c r="AI346" s="179">
        <f ca="1">IF(ISNUMBER(MATCH(DATEVALUE($A346),'recurring1_based on steps'!AI$1:AI$400,0)),AI$2,)</f>
        <v>0</v>
      </c>
      <c r="AJ346" s="179">
        <f ca="1">IF(ISNUMBER(MATCH(DATEVALUE($A346),'recurring1_based on steps'!AJ$1:AJ$400,0)),AJ$2,)</f>
        <v>0</v>
      </c>
      <c r="AK346" s="179">
        <f ca="1">IF(ISNUMBER(MATCH(DATEVALUE($A346),'recurring1_based on steps'!AK$1:AK$400,0)),AK$2,)</f>
        <v>0</v>
      </c>
      <c r="AL346" s="179">
        <f ca="1">IF(ISNUMBER(MATCH(DATEVALUE($A346),'recurring1_based on steps'!AL$1:AL$400,0)),AL$2,)</f>
        <v>0</v>
      </c>
      <c r="AM346" s="179">
        <f ca="1">IF(ISNUMBER(MATCH(DATEVALUE($A346),'recurring1_based on steps'!AM$1:AM$400,0)),AM$2,)</f>
        <v>0</v>
      </c>
      <c r="AN346" s="179">
        <f ca="1">IF(ISNUMBER(MATCH(DATEVALUE($A346),'recurring1_based on steps'!AN$1:AN$400,0)),AN$2,)</f>
        <v>0</v>
      </c>
      <c r="AO346" s="179">
        <f ca="1">IF(ISNUMBER(MATCH(DATEVALUE($A346),'recurring1_based on steps'!AO$1:AO$400,0)),AO$2,)</f>
        <v>0</v>
      </c>
      <c r="AP346" s="179">
        <f ca="1">IF(ISNUMBER(MATCH(DATEVALUE($A346),'recurring1_based on steps'!AP$1:AP$400,0)),AP$2,)</f>
        <v>0</v>
      </c>
      <c r="AQ346" s="179">
        <f ca="1">IF(ISNUMBER(MATCH(DATEVALUE($A346),'recurring1_based on steps'!AQ$1:AQ$400,0)),AQ$2,)</f>
        <v>0</v>
      </c>
      <c r="AR346" s="179">
        <f ca="1">IF(ISNUMBER(MATCH(DATEVALUE($A346),'recurring1_based on steps'!AR$1:AR$400,0)),AR$2,)</f>
        <v>0</v>
      </c>
      <c r="AS346" s="179">
        <f ca="1">IF(ISNUMBER(MATCH(DATEVALUE($A346),'recurring1_based on steps'!AS$1:AS$400,0)),AS$2,)</f>
        <v>0</v>
      </c>
      <c r="AT346" s="179">
        <f ca="1">IF(ISNUMBER(MATCH(DATEVALUE($A346),'recurring1_based on steps'!AT$1:AT$400,0)),AT$2,)</f>
        <v>0</v>
      </c>
      <c r="AU346" s="179">
        <f ca="1">IF(ISNUMBER(MATCH(DATEVALUE($A346),'recurring1_based on steps'!AU$1:AU$400,0)),AU$2,)</f>
        <v>0</v>
      </c>
      <c r="AV346" s="179">
        <f ca="1">IF(ISNUMBER(MATCH(DATEVALUE($A346),'recurring1_based on steps'!AV$1:AV$400,0)),AV$2,)</f>
        <v>0</v>
      </c>
      <c r="AW346" s="179">
        <f ca="1">IF(ISNUMBER(MATCH(DATEVALUE($A346),'recurring1_based on steps'!AW$1:AW$400,0)),AW$2,)</f>
        <v>0</v>
      </c>
      <c r="AX346" s="179">
        <f ca="1">IF(ISNUMBER(MATCH(DATEVALUE($A346),'recurring1_based on steps'!AX$1:AX$400,0)),AX$2,)</f>
        <v>0</v>
      </c>
      <c r="AY346" s="179">
        <f ca="1">IF(ISNUMBER(MATCH(DATEVALUE($A346),'recurring1_based on steps'!AY$1:AY$400,0)),AY$2,)</f>
        <v>0</v>
      </c>
    </row>
    <row r="347" spans="1:51" x14ac:dyDescent="0.2">
      <c r="A347" s="32" t="str">
        <f t="shared" ca="1" si="5"/>
        <v>2026-03-08</v>
      </c>
      <c r="B347" s="179">
        <f ca="1">IF(ISNUMBER(MATCH(DATEVALUE($A347),'recurring1_based on steps'!B$1:B$400,0)),B$2,)</f>
        <v>0</v>
      </c>
      <c r="C347" s="179">
        <f ca="1">IF(ISNUMBER(MATCH(DATEVALUE($A347),'recurring1_based on steps'!C$1:C$400,0)),C$2,)</f>
        <v>0</v>
      </c>
      <c r="D347" s="179">
        <f ca="1">IF(ISNUMBER(MATCH(DATEVALUE($A347),'recurring1_based on steps'!D$1:D$400,0)),D$2,)</f>
        <v>0</v>
      </c>
      <c r="E347" s="179">
        <f ca="1">IF(ISNUMBER(MATCH(DATEVALUE($A347),'recurring1_based on steps'!E$1:E$400,0)),E$2,)</f>
        <v>0</v>
      </c>
      <c r="F347" s="179">
        <f ca="1">IF(ISNUMBER(MATCH(DATEVALUE($A347),'recurring1_based on steps'!F$1:F$400,0)),F$2,)</f>
        <v>0</v>
      </c>
      <c r="G347" s="179">
        <f ca="1">IF(ISNUMBER(MATCH(DATEVALUE($A347),'recurring1_based on steps'!G$1:G$400,0)),G$2,)</f>
        <v>0</v>
      </c>
      <c r="H347" s="179">
        <f ca="1">IF(ISNUMBER(MATCH(DATEVALUE($A347),'recurring1_based on steps'!H$1:H$400,0)),H$2,)</f>
        <v>0</v>
      </c>
      <c r="I347" s="179">
        <f ca="1">IF(ISNUMBER(MATCH(DATEVALUE($A347),'recurring1_based on steps'!I$1:I$400,0)),I$2,)</f>
        <v>0</v>
      </c>
      <c r="J347" s="179">
        <f ca="1">IF(ISNUMBER(MATCH(DATEVALUE($A347),'recurring1_based on steps'!J$1:J$400,0)),J$2,)</f>
        <v>0</v>
      </c>
      <c r="K347" s="179">
        <f ca="1">IF(ISNUMBER(MATCH(DATEVALUE($A347),'recurring1_based on steps'!K$1:K$400,0)),K$2,)</f>
        <v>0</v>
      </c>
      <c r="L347" s="179">
        <f ca="1">IF(ISNUMBER(MATCH(DATEVALUE($A347),'recurring1_based on steps'!L$1:L$400,0)),L$2,)</f>
        <v>0</v>
      </c>
      <c r="M347" s="179">
        <f ca="1">IF(ISNUMBER(MATCH(DATEVALUE($A347),'recurring1_based on steps'!M$1:M$400,0)),M$2,)</f>
        <v>0</v>
      </c>
      <c r="N347" s="179">
        <f ca="1">IF(ISNUMBER(MATCH(DATEVALUE($A347),'recurring1_based on steps'!N$1:N$400,0)),N$2,)</f>
        <v>0</v>
      </c>
      <c r="O347" s="179">
        <f ca="1">IF(ISNUMBER(MATCH(DATEVALUE($A347),'recurring1_based on steps'!O$1:O$400,0)),O$2,)</f>
        <v>0</v>
      </c>
      <c r="P347" s="179">
        <f ca="1">IF(ISNUMBER(MATCH(DATEVALUE($A347),'recurring1_based on steps'!P$1:P$400,0)),P$2,)</f>
        <v>0</v>
      </c>
      <c r="Q347" s="179">
        <f ca="1">IF(ISNUMBER(MATCH(DATEVALUE($A347),'recurring1_based on steps'!Q$1:Q$400,0)),Q$2,)</f>
        <v>0</v>
      </c>
      <c r="R347" s="179">
        <f ca="1">IF(ISNUMBER(MATCH(DATEVALUE($A347),'recurring1_based on steps'!R$1:R$400,0)),R$2,)</f>
        <v>0</v>
      </c>
      <c r="S347" s="179">
        <f ca="1">IF(ISNUMBER(MATCH(DATEVALUE($A347),'recurring1_based on steps'!S$1:S$400,0)),S$2,)</f>
        <v>0</v>
      </c>
      <c r="T347" s="179">
        <f ca="1">IF(ISNUMBER(MATCH(DATEVALUE($A347),'recurring1_based on steps'!T$1:T$400,0)),T$2,)</f>
        <v>0</v>
      </c>
      <c r="U347" s="179">
        <f ca="1">IF(ISNUMBER(MATCH(DATEVALUE($A347),'recurring1_based on steps'!U$1:U$400,0)),U$2,)</f>
        <v>0</v>
      </c>
      <c r="V347" s="179">
        <f ca="1">IF(ISNUMBER(MATCH(DATEVALUE($A347),'recurring1_based on steps'!V$1:V$400,0)),V$2,)</f>
        <v>0</v>
      </c>
      <c r="W347" s="179">
        <f ca="1">IF(ISNUMBER(MATCH(DATEVALUE($A347),'recurring1_based on steps'!W$1:W$400,0)),W$2,)</f>
        <v>0</v>
      </c>
      <c r="X347" s="179">
        <f ca="1">IF(ISNUMBER(MATCH(DATEVALUE($A347),'recurring1_based on steps'!X$1:X$400,0)),X$2,)</f>
        <v>0</v>
      </c>
      <c r="Y347" s="179">
        <f ca="1">IF(ISNUMBER(MATCH(DATEVALUE($A347),'recurring1_based on steps'!Y$1:Y$400,0)),Y$2,)</f>
        <v>0</v>
      </c>
      <c r="Z347" s="179">
        <f ca="1">IF(ISNUMBER(MATCH(DATEVALUE($A347),'recurring1_based on steps'!Z$1:Z$400,0)),Z$2,)</f>
        <v>0</v>
      </c>
      <c r="AA347" s="179">
        <f ca="1">IF(ISNUMBER(MATCH(DATEVALUE($A347),'recurring1_based on steps'!AA$1:AA$400,0)),AA$2,)</f>
        <v>0</v>
      </c>
      <c r="AB347" s="179">
        <f ca="1">IF(ISNUMBER(MATCH(DATEVALUE($A347),'recurring1_based on steps'!AB$1:AB$400,0)),AB$2,)</f>
        <v>0</v>
      </c>
      <c r="AC347" s="179">
        <f ca="1">IF(ISNUMBER(MATCH(DATEVALUE($A347),'recurring1_based on steps'!AC$1:AC$400,0)),AC$2,)</f>
        <v>0</v>
      </c>
      <c r="AD347" s="179">
        <f ca="1">IF(ISNUMBER(MATCH(DATEVALUE($A347),'recurring1_based on steps'!AD$1:AD$400,0)),AD$2,)</f>
        <v>0</v>
      </c>
      <c r="AE347" s="179">
        <f ca="1">IF(ISNUMBER(MATCH(DATEVALUE($A347),'recurring1_based on steps'!AE$1:AE$400,0)),AE$2,)</f>
        <v>0</v>
      </c>
      <c r="AF347" s="179">
        <f ca="1">IF(ISNUMBER(MATCH(DATEVALUE($A347),'recurring1_based on steps'!AF$1:AF$400,0)),AF$2,)</f>
        <v>0</v>
      </c>
      <c r="AG347" s="179">
        <f ca="1">IF(ISNUMBER(MATCH(DATEVALUE($A347),'recurring1_based on steps'!AG$1:AG$400,0)),AG$2,)</f>
        <v>0</v>
      </c>
      <c r="AH347" s="179">
        <f ca="1">IF(ISNUMBER(MATCH(DATEVALUE($A347),'recurring1_based on steps'!AH$1:AH$400,0)),AH$2,)</f>
        <v>0</v>
      </c>
      <c r="AI347" s="179">
        <f ca="1">IF(ISNUMBER(MATCH(DATEVALUE($A347),'recurring1_based on steps'!AI$1:AI$400,0)),AI$2,)</f>
        <v>0</v>
      </c>
      <c r="AJ347" s="179">
        <f ca="1">IF(ISNUMBER(MATCH(DATEVALUE($A347),'recurring1_based on steps'!AJ$1:AJ$400,0)),AJ$2,)</f>
        <v>0</v>
      </c>
      <c r="AK347" s="179">
        <f ca="1">IF(ISNUMBER(MATCH(DATEVALUE($A347),'recurring1_based on steps'!AK$1:AK$400,0)),AK$2,)</f>
        <v>0</v>
      </c>
      <c r="AL347" s="179">
        <f ca="1">IF(ISNUMBER(MATCH(DATEVALUE($A347),'recurring1_based on steps'!AL$1:AL$400,0)),AL$2,)</f>
        <v>0</v>
      </c>
      <c r="AM347" s="179">
        <f ca="1">IF(ISNUMBER(MATCH(DATEVALUE($A347),'recurring1_based on steps'!AM$1:AM$400,0)),AM$2,)</f>
        <v>0</v>
      </c>
      <c r="AN347" s="179">
        <f ca="1">IF(ISNUMBER(MATCH(DATEVALUE($A347),'recurring1_based on steps'!AN$1:AN$400,0)),AN$2,)</f>
        <v>0</v>
      </c>
      <c r="AO347" s="179">
        <f ca="1">IF(ISNUMBER(MATCH(DATEVALUE($A347),'recurring1_based on steps'!AO$1:AO$400,0)),AO$2,)</f>
        <v>0</v>
      </c>
      <c r="AP347" s="179">
        <f ca="1">IF(ISNUMBER(MATCH(DATEVALUE($A347),'recurring1_based on steps'!AP$1:AP$400,0)),AP$2,)</f>
        <v>0</v>
      </c>
      <c r="AQ347" s="179">
        <f ca="1">IF(ISNUMBER(MATCH(DATEVALUE($A347),'recurring1_based on steps'!AQ$1:AQ$400,0)),AQ$2,)</f>
        <v>0</v>
      </c>
      <c r="AR347" s="179">
        <f ca="1">IF(ISNUMBER(MATCH(DATEVALUE($A347),'recurring1_based on steps'!AR$1:AR$400,0)),AR$2,)</f>
        <v>0</v>
      </c>
      <c r="AS347" s="179">
        <f ca="1">IF(ISNUMBER(MATCH(DATEVALUE($A347),'recurring1_based on steps'!AS$1:AS$400,0)),AS$2,)</f>
        <v>0</v>
      </c>
      <c r="AT347" s="179">
        <f ca="1">IF(ISNUMBER(MATCH(DATEVALUE($A347),'recurring1_based on steps'!AT$1:AT$400,0)),AT$2,)</f>
        <v>0</v>
      </c>
      <c r="AU347" s="179">
        <f ca="1">IF(ISNUMBER(MATCH(DATEVALUE($A347),'recurring1_based on steps'!AU$1:AU$400,0)),AU$2,)</f>
        <v>0</v>
      </c>
      <c r="AV347" s="179">
        <f ca="1">IF(ISNUMBER(MATCH(DATEVALUE($A347),'recurring1_based on steps'!AV$1:AV$400,0)),AV$2,)</f>
        <v>0</v>
      </c>
      <c r="AW347" s="179">
        <f ca="1">IF(ISNUMBER(MATCH(DATEVALUE($A347),'recurring1_based on steps'!AW$1:AW$400,0)),AW$2,)</f>
        <v>0</v>
      </c>
      <c r="AX347" s="179">
        <f ca="1">IF(ISNUMBER(MATCH(DATEVALUE($A347),'recurring1_based on steps'!AX$1:AX$400,0)),AX$2,)</f>
        <v>0</v>
      </c>
      <c r="AY347" s="179">
        <f ca="1">IF(ISNUMBER(MATCH(DATEVALUE($A347),'recurring1_based on steps'!AY$1:AY$400,0)),AY$2,)</f>
        <v>0</v>
      </c>
    </row>
    <row r="348" spans="1:51" x14ac:dyDescent="0.2">
      <c r="A348" s="32" t="str">
        <f t="shared" ca="1" si="5"/>
        <v>2026-03-09</v>
      </c>
      <c r="B348" s="179">
        <f ca="1">IF(ISNUMBER(MATCH(DATEVALUE($A348),'recurring1_based on steps'!B$1:B$400,0)),B$2,)</f>
        <v>0</v>
      </c>
      <c r="C348" s="179">
        <f ca="1">IF(ISNUMBER(MATCH(DATEVALUE($A348),'recurring1_based on steps'!C$1:C$400,0)),C$2,)</f>
        <v>0</v>
      </c>
      <c r="D348" s="179">
        <f ca="1">IF(ISNUMBER(MATCH(DATEVALUE($A348),'recurring1_based on steps'!D$1:D$400,0)),D$2,)</f>
        <v>0</v>
      </c>
      <c r="E348" s="179">
        <f ca="1">IF(ISNUMBER(MATCH(DATEVALUE($A348),'recurring1_based on steps'!E$1:E$400,0)),E$2,)</f>
        <v>0</v>
      </c>
      <c r="F348" s="179">
        <f ca="1">IF(ISNUMBER(MATCH(DATEVALUE($A348),'recurring1_based on steps'!F$1:F$400,0)),F$2,)</f>
        <v>0</v>
      </c>
      <c r="G348" s="179">
        <f ca="1">IF(ISNUMBER(MATCH(DATEVALUE($A348),'recurring1_based on steps'!G$1:G$400,0)),G$2,)</f>
        <v>0</v>
      </c>
      <c r="H348" s="179">
        <f ca="1">IF(ISNUMBER(MATCH(DATEVALUE($A348),'recurring1_based on steps'!H$1:H$400,0)),H$2,)</f>
        <v>0</v>
      </c>
      <c r="I348" s="179">
        <f ca="1">IF(ISNUMBER(MATCH(DATEVALUE($A348),'recurring1_based on steps'!I$1:I$400,0)),I$2,)</f>
        <v>0</v>
      </c>
      <c r="J348" s="179">
        <f ca="1">IF(ISNUMBER(MATCH(DATEVALUE($A348),'recurring1_based on steps'!J$1:J$400,0)),J$2,)</f>
        <v>0</v>
      </c>
      <c r="K348" s="179">
        <f ca="1">IF(ISNUMBER(MATCH(DATEVALUE($A348),'recurring1_based on steps'!K$1:K$400,0)),K$2,)</f>
        <v>0</v>
      </c>
      <c r="L348" s="179">
        <f ca="1">IF(ISNUMBER(MATCH(DATEVALUE($A348),'recurring1_based on steps'!L$1:L$400,0)),L$2,)</f>
        <v>0</v>
      </c>
      <c r="M348" s="179">
        <f ca="1">IF(ISNUMBER(MATCH(DATEVALUE($A348),'recurring1_based on steps'!M$1:M$400,0)),M$2,)</f>
        <v>0</v>
      </c>
      <c r="N348" s="179">
        <f ca="1">IF(ISNUMBER(MATCH(DATEVALUE($A348),'recurring1_based on steps'!N$1:N$400,0)),N$2,)</f>
        <v>0</v>
      </c>
      <c r="O348" s="179">
        <f ca="1">IF(ISNUMBER(MATCH(DATEVALUE($A348),'recurring1_based on steps'!O$1:O$400,0)),O$2,)</f>
        <v>0</v>
      </c>
      <c r="P348" s="179">
        <f ca="1">IF(ISNUMBER(MATCH(DATEVALUE($A348),'recurring1_based on steps'!P$1:P$400,0)),P$2,)</f>
        <v>0</v>
      </c>
      <c r="Q348" s="179">
        <f ca="1">IF(ISNUMBER(MATCH(DATEVALUE($A348),'recurring1_based on steps'!Q$1:Q$400,0)),Q$2,)</f>
        <v>0</v>
      </c>
      <c r="R348" s="179">
        <f ca="1">IF(ISNUMBER(MATCH(DATEVALUE($A348),'recurring1_based on steps'!R$1:R$400,0)),R$2,)</f>
        <v>0</v>
      </c>
      <c r="S348" s="179">
        <f ca="1">IF(ISNUMBER(MATCH(DATEVALUE($A348),'recurring1_based on steps'!S$1:S$400,0)),S$2,)</f>
        <v>0</v>
      </c>
      <c r="T348" s="179">
        <f ca="1">IF(ISNUMBER(MATCH(DATEVALUE($A348),'recurring1_based on steps'!T$1:T$400,0)),T$2,)</f>
        <v>0</v>
      </c>
      <c r="U348" s="179">
        <f ca="1">IF(ISNUMBER(MATCH(DATEVALUE($A348),'recurring1_based on steps'!U$1:U$400,0)),U$2,)</f>
        <v>0</v>
      </c>
      <c r="V348" s="179">
        <f ca="1">IF(ISNUMBER(MATCH(DATEVALUE($A348),'recurring1_based on steps'!V$1:V$400,0)),V$2,)</f>
        <v>0</v>
      </c>
      <c r="W348" s="179">
        <f ca="1">IF(ISNUMBER(MATCH(DATEVALUE($A348),'recurring1_based on steps'!W$1:W$400,0)),W$2,)</f>
        <v>0</v>
      </c>
      <c r="X348" s="179">
        <f ca="1">IF(ISNUMBER(MATCH(DATEVALUE($A348),'recurring1_based on steps'!X$1:X$400,0)),X$2,)</f>
        <v>0</v>
      </c>
      <c r="Y348" s="179">
        <f ca="1">IF(ISNUMBER(MATCH(DATEVALUE($A348),'recurring1_based on steps'!Y$1:Y$400,0)),Y$2,)</f>
        <v>0</v>
      </c>
      <c r="Z348" s="179">
        <f ca="1">IF(ISNUMBER(MATCH(DATEVALUE($A348),'recurring1_based on steps'!Z$1:Z$400,0)),Z$2,)</f>
        <v>0</v>
      </c>
      <c r="AA348" s="179">
        <f ca="1">IF(ISNUMBER(MATCH(DATEVALUE($A348),'recurring1_based on steps'!AA$1:AA$400,0)),AA$2,)</f>
        <v>0</v>
      </c>
      <c r="AB348" s="179">
        <f ca="1">IF(ISNUMBER(MATCH(DATEVALUE($A348),'recurring1_based on steps'!AB$1:AB$400,0)),AB$2,)</f>
        <v>0</v>
      </c>
      <c r="AC348" s="179">
        <f ca="1">IF(ISNUMBER(MATCH(DATEVALUE($A348),'recurring1_based on steps'!AC$1:AC$400,0)),AC$2,)</f>
        <v>0</v>
      </c>
      <c r="AD348" s="179">
        <f ca="1">IF(ISNUMBER(MATCH(DATEVALUE($A348),'recurring1_based on steps'!AD$1:AD$400,0)),AD$2,)</f>
        <v>0</v>
      </c>
      <c r="AE348" s="179">
        <f ca="1">IF(ISNUMBER(MATCH(DATEVALUE($A348),'recurring1_based on steps'!AE$1:AE$400,0)),AE$2,)</f>
        <v>0</v>
      </c>
      <c r="AF348" s="179">
        <f ca="1">IF(ISNUMBER(MATCH(DATEVALUE($A348),'recurring1_based on steps'!AF$1:AF$400,0)),AF$2,)</f>
        <v>0</v>
      </c>
      <c r="AG348" s="179">
        <f ca="1">IF(ISNUMBER(MATCH(DATEVALUE($A348),'recurring1_based on steps'!AG$1:AG$400,0)),AG$2,)</f>
        <v>0</v>
      </c>
      <c r="AH348" s="179">
        <f ca="1">IF(ISNUMBER(MATCH(DATEVALUE($A348),'recurring1_based on steps'!AH$1:AH$400,0)),AH$2,)</f>
        <v>0</v>
      </c>
      <c r="AI348" s="179">
        <f ca="1">IF(ISNUMBER(MATCH(DATEVALUE($A348),'recurring1_based on steps'!AI$1:AI$400,0)),AI$2,)</f>
        <v>0</v>
      </c>
      <c r="AJ348" s="179">
        <f ca="1">IF(ISNUMBER(MATCH(DATEVALUE($A348),'recurring1_based on steps'!AJ$1:AJ$400,0)),AJ$2,)</f>
        <v>0</v>
      </c>
      <c r="AK348" s="179">
        <f ca="1">IF(ISNUMBER(MATCH(DATEVALUE($A348),'recurring1_based on steps'!AK$1:AK$400,0)),AK$2,)</f>
        <v>0</v>
      </c>
      <c r="AL348" s="179">
        <f ca="1">IF(ISNUMBER(MATCH(DATEVALUE($A348),'recurring1_based on steps'!AL$1:AL$400,0)),AL$2,)</f>
        <v>0</v>
      </c>
      <c r="AM348" s="179">
        <f ca="1">IF(ISNUMBER(MATCH(DATEVALUE($A348),'recurring1_based on steps'!AM$1:AM$400,0)),AM$2,)</f>
        <v>0</v>
      </c>
      <c r="AN348" s="179">
        <f ca="1">IF(ISNUMBER(MATCH(DATEVALUE($A348),'recurring1_based on steps'!AN$1:AN$400,0)),AN$2,)</f>
        <v>0</v>
      </c>
      <c r="AO348" s="179">
        <f ca="1">IF(ISNUMBER(MATCH(DATEVALUE($A348),'recurring1_based on steps'!AO$1:AO$400,0)),AO$2,)</f>
        <v>0</v>
      </c>
      <c r="AP348" s="179">
        <f ca="1">IF(ISNUMBER(MATCH(DATEVALUE($A348),'recurring1_based on steps'!AP$1:AP$400,0)),AP$2,)</f>
        <v>0</v>
      </c>
      <c r="AQ348" s="179">
        <f ca="1">IF(ISNUMBER(MATCH(DATEVALUE($A348),'recurring1_based on steps'!AQ$1:AQ$400,0)),AQ$2,)</f>
        <v>0</v>
      </c>
      <c r="AR348" s="179">
        <f ca="1">IF(ISNUMBER(MATCH(DATEVALUE($A348),'recurring1_based on steps'!AR$1:AR$400,0)),AR$2,)</f>
        <v>0</v>
      </c>
      <c r="AS348" s="179">
        <f ca="1">IF(ISNUMBER(MATCH(DATEVALUE($A348),'recurring1_based on steps'!AS$1:AS$400,0)),AS$2,)</f>
        <v>0</v>
      </c>
      <c r="AT348" s="179">
        <f ca="1">IF(ISNUMBER(MATCH(DATEVALUE($A348),'recurring1_based on steps'!AT$1:AT$400,0)),AT$2,)</f>
        <v>0</v>
      </c>
      <c r="AU348" s="179">
        <f ca="1">IF(ISNUMBER(MATCH(DATEVALUE($A348),'recurring1_based on steps'!AU$1:AU$400,0)),AU$2,)</f>
        <v>0</v>
      </c>
      <c r="AV348" s="179">
        <f ca="1">IF(ISNUMBER(MATCH(DATEVALUE($A348),'recurring1_based on steps'!AV$1:AV$400,0)),AV$2,)</f>
        <v>0</v>
      </c>
      <c r="AW348" s="179">
        <f ca="1">IF(ISNUMBER(MATCH(DATEVALUE($A348),'recurring1_based on steps'!AW$1:AW$400,0)),AW$2,)</f>
        <v>0</v>
      </c>
      <c r="AX348" s="179">
        <f ca="1">IF(ISNUMBER(MATCH(DATEVALUE($A348),'recurring1_based on steps'!AX$1:AX$400,0)),AX$2,)</f>
        <v>0</v>
      </c>
      <c r="AY348" s="179">
        <f ca="1">IF(ISNUMBER(MATCH(DATEVALUE($A348),'recurring1_based on steps'!AY$1:AY$400,0)),AY$2,)</f>
        <v>0</v>
      </c>
    </row>
    <row r="349" spans="1:51" x14ac:dyDescent="0.2">
      <c r="A349" s="32" t="str">
        <f t="shared" ca="1" si="5"/>
        <v>2026-03-10</v>
      </c>
      <c r="B349" s="179">
        <f ca="1">IF(ISNUMBER(MATCH(DATEVALUE($A349),'recurring1_based on steps'!B$1:B$400,0)),B$2,)</f>
        <v>0</v>
      </c>
      <c r="C349" s="179">
        <f ca="1">IF(ISNUMBER(MATCH(DATEVALUE($A349),'recurring1_based on steps'!C$1:C$400,0)),C$2,)</f>
        <v>0</v>
      </c>
      <c r="D349" s="179">
        <f ca="1">IF(ISNUMBER(MATCH(DATEVALUE($A349),'recurring1_based on steps'!D$1:D$400,0)),D$2,)</f>
        <v>0</v>
      </c>
      <c r="E349" s="179">
        <f ca="1">IF(ISNUMBER(MATCH(DATEVALUE($A349),'recurring1_based on steps'!E$1:E$400,0)),E$2,)</f>
        <v>0</v>
      </c>
      <c r="F349" s="179">
        <f ca="1">IF(ISNUMBER(MATCH(DATEVALUE($A349),'recurring1_based on steps'!F$1:F$400,0)),F$2,)</f>
        <v>0</v>
      </c>
      <c r="G349" s="179">
        <f ca="1">IF(ISNUMBER(MATCH(DATEVALUE($A349),'recurring1_based on steps'!G$1:G$400,0)),G$2,)</f>
        <v>0</v>
      </c>
      <c r="H349" s="179">
        <f ca="1">IF(ISNUMBER(MATCH(DATEVALUE($A349),'recurring1_based on steps'!H$1:H$400,0)),H$2,)</f>
        <v>0</v>
      </c>
      <c r="I349" s="179">
        <f ca="1">IF(ISNUMBER(MATCH(DATEVALUE($A349),'recurring1_based on steps'!I$1:I$400,0)),I$2,)</f>
        <v>0</v>
      </c>
      <c r="J349" s="179">
        <f ca="1">IF(ISNUMBER(MATCH(DATEVALUE($A349),'recurring1_based on steps'!J$1:J$400,0)),J$2,)</f>
        <v>0</v>
      </c>
      <c r="K349" s="179">
        <f ca="1">IF(ISNUMBER(MATCH(DATEVALUE($A349),'recurring1_based on steps'!K$1:K$400,0)),K$2,)</f>
        <v>0</v>
      </c>
      <c r="L349" s="179">
        <f ca="1">IF(ISNUMBER(MATCH(DATEVALUE($A349),'recurring1_based on steps'!L$1:L$400,0)),L$2,)</f>
        <v>0</v>
      </c>
      <c r="M349" s="179">
        <f ca="1">IF(ISNUMBER(MATCH(DATEVALUE($A349),'recurring1_based on steps'!M$1:M$400,0)),M$2,)</f>
        <v>0</v>
      </c>
      <c r="N349" s="179">
        <f ca="1">IF(ISNUMBER(MATCH(DATEVALUE($A349),'recurring1_based on steps'!N$1:N$400,0)),N$2,)</f>
        <v>0</v>
      </c>
      <c r="O349" s="179">
        <f ca="1">IF(ISNUMBER(MATCH(DATEVALUE($A349),'recurring1_based on steps'!O$1:O$400,0)),O$2,)</f>
        <v>0</v>
      </c>
      <c r="P349" s="179">
        <f ca="1">IF(ISNUMBER(MATCH(DATEVALUE($A349),'recurring1_based on steps'!P$1:P$400,0)),P$2,)</f>
        <v>0</v>
      </c>
      <c r="Q349" s="179">
        <f ca="1">IF(ISNUMBER(MATCH(DATEVALUE($A349),'recurring1_based on steps'!Q$1:Q$400,0)),Q$2,)</f>
        <v>0</v>
      </c>
      <c r="R349" s="179">
        <f ca="1">IF(ISNUMBER(MATCH(DATEVALUE($A349),'recurring1_based on steps'!R$1:R$400,0)),R$2,)</f>
        <v>0</v>
      </c>
      <c r="S349" s="179">
        <f ca="1">IF(ISNUMBER(MATCH(DATEVALUE($A349),'recurring1_based on steps'!S$1:S$400,0)),S$2,)</f>
        <v>0</v>
      </c>
      <c r="T349" s="179">
        <f ca="1">IF(ISNUMBER(MATCH(DATEVALUE($A349),'recurring1_based on steps'!T$1:T$400,0)),T$2,)</f>
        <v>0</v>
      </c>
      <c r="U349" s="179">
        <f ca="1">IF(ISNUMBER(MATCH(DATEVALUE($A349),'recurring1_based on steps'!U$1:U$400,0)),U$2,)</f>
        <v>0</v>
      </c>
      <c r="V349" s="179">
        <f ca="1">IF(ISNUMBER(MATCH(DATEVALUE($A349),'recurring1_based on steps'!V$1:V$400,0)),V$2,)</f>
        <v>0</v>
      </c>
      <c r="W349" s="179">
        <f ca="1">IF(ISNUMBER(MATCH(DATEVALUE($A349),'recurring1_based on steps'!W$1:W$400,0)),W$2,)</f>
        <v>0</v>
      </c>
      <c r="X349" s="179">
        <f ca="1">IF(ISNUMBER(MATCH(DATEVALUE($A349),'recurring1_based on steps'!X$1:X$400,0)),X$2,)</f>
        <v>0</v>
      </c>
      <c r="Y349" s="179">
        <f ca="1">IF(ISNUMBER(MATCH(DATEVALUE($A349),'recurring1_based on steps'!Y$1:Y$400,0)),Y$2,)</f>
        <v>0</v>
      </c>
      <c r="Z349" s="179">
        <f ca="1">IF(ISNUMBER(MATCH(DATEVALUE($A349),'recurring1_based on steps'!Z$1:Z$400,0)),Z$2,)</f>
        <v>0</v>
      </c>
      <c r="AA349" s="179">
        <f ca="1">IF(ISNUMBER(MATCH(DATEVALUE($A349),'recurring1_based on steps'!AA$1:AA$400,0)),AA$2,)</f>
        <v>0</v>
      </c>
      <c r="AB349" s="179">
        <f ca="1">IF(ISNUMBER(MATCH(DATEVALUE($A349),'recurring1_based on steps'!AB$1:AB$400,0)),AB$2,)</f>
        <v>0</v>
      </c>
      <c r="AC349" s="179">
        <f ca="1">IF(ISNUMBER(MATCH(DATEVALUE($A349),'recurring1_based on steps'!AC$1:AC$400,0)),AC$2,)</f>
        <v>0</v>
      </c>
      <c r="AD349" s="179">
        <f ca="1">IF(ISNUMBER(MATCH(DATEVALUE($A349),'recurring1_based on steps'!AD$1:AD$400,0)),AD$2,)</f>
        <v>0</v>
      </c>
      <c r="AE349" s="179">
        <f ca="1">IF(ISNUMBER(MATCH(DATEVALUE($A349),'recurring1_based on steps'!AE$1:AE$400,0)),AE$2,)</f>
        <v>0</v>
      </c>
      <c r="AF349" s="179">
        <f ca="1">IF(ISNUMBER(MATCH(DATEVALUE($A349),'recurring1_based on steps'!AF$1:AF$400,0)),AF$2,)</f>
        <v>0</v>
      </c>
      <c r="AG349" s="179">
        <f ca="1">IF(ISNUMBER(MATCH(DATEVALUE($A349),'recurring1_based on steps'!AG$1:AG$400,0)),AG$2,)</f>
        <v>0</v>
      </c>
      <c r="AH349" s="179">
        <f ca="1">IF(ISNUMBER(MATCH(DATEVALUE($A349),'recurring1_based on steps'!AH$1:AH$400,0)),AH$2,)</f>
        <v>0</v>
      </c>
      <c r="AI349" s="179">
        <f ca="1">IF(ISNUMBER(MATCH(DATEVALUE($A349),'recurring1_based on steps'!AI$1:AI$400,0)),AI$2,)</f>
        <v>0</v>
      </c>
      <c r="AJ349" s="179">
        <f ca="1">IF(ISNUMBER(MATCH(DATEVALUE($A349),'recurring1_based on steps'!AJ$1:AJ$400,0)),AJ$2,)</f>
        <v>0</v>
      </c>
      <c r="AK349" s="179">
        <f ca="1">IF(ISNUMBER(MATCH(DATEVALUE($A349),'recurring1_based on steps'!AK$1:AK$400,0)),AK$2,)</f>
        <v>0</v>
      </c>
      <c r="AL349" s="179">
        <f ca="1">IF(ISNUMBER(MATCH(DATEVALUE($A349),'recurring1_based on steps'!AL$1:AL$400,0)),AL$2,)</f>
        <v>0</v>
      </c>
      <c r="AM349" s="179">
        <f ca="1">IF(ISNUMBER(MATCH(DATEVALUE($A349),'recurring1_based on steps'!AM$1:AM$400,0)),AM$2,)</f>
        <v>0</v>
      </c>
      <c r="AN349" s="179">
        <f ca="1">IF(ISNUMBER(MATCH(DATEVALUE($A349),'recurring1_based on steps'!AN$1:AN$400,0)),AN$2,)</f>
        <v>0</v>
      </c>
      <c r="AO349" s="179">
        <f ca="1">IF(ISNUMBER(MATCH(DATEVALUE($A349),'recurring1_based on steps'!AO$1:AO$400,0)),AO$2,)</f>
        <v>0</v>
      </c>
      <c r="AP349" s="179">
        <f ca="1">IF(ISNUMBER(MATCH(DATEVALUE($A349),'recurring1_based on steps'!AP$1:AP$400,0)),AP$2,)</f>
        <v>0</v>
      </c>
      <c r="AQ349" s="179">
        <f ca="1">IF(ISNUMBER(MATCH(DATEVALUE($A349),'recurring1_based on steps'!AQ$1:AQ$400,0)),AQ$2,)</f>
        <v>0</v>
      </c>
      <c r="AR349" s="179">
        <f ca="1">IF(ISNUMBER(MATCH(DATEVALUE($A349),'recurring1_based on steps'!AR$1:AR$400,0)),AR$2,)</f>
        <v>0</v>
      </c>
      <c r="AS349" s="179">
        <f ca="1">IF(ISNUMBER(MATCH(DATEVALUE($A349),'recurring1_based on steps'!AS$1:AS$400,0)),AS$2,)</f>
        <v>0</v>
      </c>
      <c r="AT349" s="179">
        <f ca="1">IF(ISNUMBER(MATCH(DATEVALUE($A349),'recurring1_based on steps'!AT$1:AT$400,0)),AT$2,)</f>
        <v>0</v>
      </c>
      <c r="AU349" s="179">
        <f ca="1">IF(ISNUMBER(MATCH(DATEVALUE($A349),'recurring1_based on steps'!AU$1:AU$400,0)),AU$2,)</f>
        <v>0</v>
      </c>
      <c r="AV349" s="179">
        <f ca="1">IF(ISNUMBER(MATCH(DATEVALUE($A349),'recurring1_based on steps'!AV$1:AV$400,0)),AV$2,)</f>
        <v>0</v>
      </c>
      <c r="AW349" s="179">
        <f ca="1">IF(ISNUMBER(MATCH(DATEVALUE($A349),'recurring1_based on steps'!AW$1:AW$400,0)),AW$2,)</f>
        <v>0</v>
      </c>
      <c r="AX349" s="179">
        <f ca="1">IF(ISNUMBER(MATCH(DATEVALUE($A349),'recurring1_based on steps'!AX$1:AX$400,0)),AX$2,)</f>
        <v>0</v>
      </c>
      <c r="AY349" s="179">
        <f ca="1">IF(ISNUMBER(MATCH(DATEVALUE($A349),'recurring1_based on steps'!AY$1:AY$400,0)),AY$2,)</f>
        <v>0</v>
      </c>
    </row>
    <row r="350" spans="1:51" x14ac:dyDescent="0.2">
      <c r="A350" s="32" t="str">
        <f t="shared" ca="1" si="5"/>
        <v>2026-03-11</v>
      </c>
      <c r="B350" s="179">
        <f ca="1">IF(ISNUMBER(MATCH(DATEVALUE($A350),'recurring1_based on steps'!B$1:B$400,0)),B$2,)</f>
        <v>0</v>
      </c>
      <c r="C350" s="179">
        <f ca="1">IF(ISNUMBER(MATCH(DATEVALUE($A350),'recurring1_based on steps'!C$1:C$400,0)),C$2,)</f>
        <v>0</v>
      </c>
      <c r="D350" s="179">
        <f ca="1">IF(ISNUMBER(MATCH(DATEVALUE($A350),'recurring1_based on steps'!D$1:D$400,0)),D$2,)</f>
        <v>0</v>
      </c>
      <c r="E350" s="179">
        <f ca="1">IF(ISNUMBER(MATCH(DATEVALUE($A350),'recurring1_based on steps'!E$1:E$400,0)),E$2,)</f>
        <v>0</v>
      </c>
      <c r="F350" s="179">
        <f ca="1">IF(ISNUMBER(MATCH(DATEVALUE($A350),'recurring1_based on steps'!F$1:F$400,0)),F$2,)</f>
        <v>0</v>
      </c>
      <c r="G350" s="179">
        <f ca="1">IF(ISNUMBER(MATCH(DATEVALUE($A350),'recurring1_based on steps'!G$1:G$400,0)),G$2,)</f>
        <v>0</v>
      </c>
      <c r="H350" s="179">
        <f ca="1">IF(ISNUMBER(MATCH(DATEVALUE($A350),'recurring1_based on steps'!H$1:H$400,0)),H$2,)</f>
        <v>0</v>
      </c>
      <c r="I350" s="179">
        <f ca="1">IF(ISNUMBER(MATCH(DATEVALUE($A350),'recurring1_based on steps'!I$1:I$400,0)),I$2,)</f>
        <v>0</v>
      </c>
      <c r="J350" s="179">
        <f ca="1">IF(ISNUMBER(MATCH(DATEVALUE($A350),'recurring1_based on steps'!J$1:J$400,0)),J$2,)</f>
        <v>0</v>
      </c>
      <c r="K350" s="179">
        <f ca="1">IF(ISNUMBER(MATCH(DATEVALUE($A350),'recurring1_based on steps'!K$1:K$400,0)),K$2,)</f>
        <v>0</v>
      </c>
      <c r="L350" s="179">
        <f ca="1">IF(ISNUMBER(MATCH(DATEVALUE($A350),'recurring1_based on steps'!L$1:L$400,0)),L$2,)</f>
        <v>0</v>
      </c>
      <c r="M350" s="179">
        <f ca="1">IF(ISNUMBER(MATCH(DATEVALUE($A350),'recurring1_based on steps'!M$1:M$400,0)),M$2,)</f>
        <v>0</v>
      </c>
      <c r="N350" s="179">
        <f ca="1">IF(ISNUMBER(MATCH(DATEVALUE($A350),'recurring1_based on steps'!N$1:N$400,0)),N$2,)</f>
        <v>0</v>
      </c>
      <c r="O350" s="179">
        <f ca="1">IF(ISNUMBER(MATCH(DATEVALUE($A350),'recurring1_based on steps'!O$1:O$400,0)),O$2,)</f>
        <v>0</v>
      </c>
      <c r="P350" s="179">
        <f ca="1">IF(ISNUMBER(MATCH(DATEVALUE($A350),'recurring1_based on steps'!P$1:P$400,0)),P$2,)</f>
        <v>0</v>
      </c>
      <c r="Q350" s="179">
        <f ca="1">IF(ISNUMBER(MATCH(DATEVALUE($A350),'recurring1_based on steps'!Q$1:Q$400,0)),Q$2,)</f>
        <v>0</v>
      </c>
      <c r="R350" s="179">
        <f ca="1">IF(ISNUMBER(MATCH(DATEVALUE($A350),'recurring1_based on steps'!R$1:R$400,0)),R$2,)</f>
        <v>0</v>
      </c>
      <c r="S350" s="179">
        <f ca="1">IF(ISNUMBER(MATCH(DATEVALUE($A350),'recurring1_based on steps'!S$1:S$400,0)),S$2,)</f>
        <v>0</v>
      </c>
      <c r="T350" s="179">
        <f ca="1">IF(ISNUMBER(MATCH(DATEVALUE($A350),'recurring1_based on steps'!T$1:T$400,0)),T$2,)</f>
        <v>0</v>
      </c>
      <c r="U350" s="179">
        <f ca="1">IF(ISNUMBER(MATCH(DATEVALUE($A350),'recurring1_based on steps'!U$1:U$400,0)),U$2,)</f>
        <v>0</v>
      </c>
      <c r="V350" s="179">
        <f ca="1">IF(ISNUMBER(MATCH(DATEVALUE($A350),'recurring1_based on steps'!V$1:V$400,0)),V$2,)</f>
        <v>0</v>
      </c>
      <c r="W350" s="179">
        <f ca="1">IF(ISNUMBER(MATCH(DATEVALUE($A350),'recurring1_based on steps'!W$1:W$400,0)),W$2,)</f>
        <v>0</v>
      </c>
      <c r="X350" s="179">
        <f ca="1">IF(ISNUMBER(MATCH(DATEVALUE($A350),'recurring1_based on steps'!X$1:X$400,0)),X$2,)</f>
        <v>0</v>
      </c>
      <c r="Y350" s="179">
        <f ca="1">IF(ISNUMBER(MATCH(DATEVALUE($A350),'recurring1_based on steps'!Y$1:Y$400,0)),Y$2,)</f>
        <v>0</v>
      </c>
      <c r="Z350" s="179">
        <f ca="1">IF(ISNUMBER(MATCH(DATEVALUE($A350),'recurring1_based on steps'!Z$1:Z$400,0)),Z$2,)</f>
        <v>0</v>
      </c>
      <c r="AA350" s="179">
        <f ca="1">IF(ISNUMBER(MATCH(DATEVALUE($A350),'recurring1_based on steps'!AA$1:AA$400,0)),AA$2,)</f>
        <v>0</v>
      </c>
      <c r="AB350" s="179">
        <f ca="1">IF(ISNUMBER(MATCH(DATEVALUE($A350),'recurring1_based on steps'!AB$1:AB$400,0)),AB$2,)</f>
        <v>0</v>
      </c>
      <c r="AC350" s="179">
        <f ca="1">IF(ISNUMBER(MATCH(DATEVALUE($A350),'recurring1_based on steps'!AC$1:AC$400,0)),AC$2,)</f>
        <v>0</v>
      </c>
      <c r="AD350" s="179">
        <f ca="1">IF(ISNUMBER(MATCH(DATEVALUE($A350),'recurring1_based on steps'!AD$1:AD$400,0)),AD$2,)</f>
        <v>0</v>
      </c>
      <c r="AE350" s="179">
        <f ca="1">IF(ISNUMBER(MATCH(DATEVALUE($A350),'recurring1_based on steps'!AE$1:AE$400,0)),AE$2,)</f>
        <v>0</v>
      </c>
      <c r="AF350" s="179">
        <f ca="1">IF(ISNUMBER(MATCH(DATEVALUE($A350),'recurring1_based on steps'!AF$1:AF$400,0)),AF$2,)</f>
        <v>0</v>
      </c>
      <c r="AG350" s="179">
        <f ca="1">IF(ISNUMBER(MATCH(DATEVALUE($A350),'recurring1_based on steps'!AG$1:AG$400,0)),AG$2,)</f>
        <v>0</v>
      </c>
      <c r="AH350" s="179">
        <f ca="1">IF(ISNUMBER(MATCH(DATEVALUE($A350),'recurring1_based on steps'!AH$1:AH$400,0)),AH$2,)</f>
        <v>0</v>
      </c>
      <c r="AI350" s="179">
        <f ca="1">IF(ISNUMBER(MATCH(DATEVALUE($A350),'recurring1_based on steps'!AI$1:AI$400,0)),AI$2,)</f>
        <v>0</v>
      </c>
      <c r="AJ350" s="179">
        <f ca="1">IF(ISNUMBER(MATCH(DATEVALUE($A350),'recurring1_based on steps'!AJ$1:AJ$400,0)),AJ$2,)</f>
        <v>0</v>
      </c>
      <c r="AK350" s="179">
        <f ca="1">IF(ISNUMBER(MATCH(DATEVALUE($A350),'recurring1_based on steps'!AK$1:AK$400,0)),AK$2,)</f>
        <v>0</v>
      </c>
      <c r="AL350" s="179">
        <f ca="1">IF(ISNUMBER(MATCH(DATEVALUE($A350),'recurring1_based on steps'!AL$1:AL$400,0)),AL$2,)</f>
        <v>0</v>
      </c>
      <c r="AM350" s="179">
        <f ca="1">IF(ISNUMBER(MATCH(DATEVALUE($A350),'recurring1_based on steps'!AM$1:AM$400,0)),AM$2,)</f>
        <v>0</v>
      </c>
      <c r="AN350" s="179">
        <f ca="1">IF(ISNUMBER(MATCH(DATEVALUE($A350),'recurring1_based on steps'!AN$1:AN$400,0)),AN$2,)</f>
        <v>0</v>
      </c>
      <c r="AO350" s="179">
        <f ca="1">IF(ISNUMBER(MATCH(DATEVALUE($A350),'recurring1_based on steps'!AO$1:AO$400,0)),AO$2,)</f>
        <v>0</v>
      </c>
      <c r="AP350" s="179">
        <f ca="1">IF(ISNUMBER(MATCH(DATEVALUE($A350),'recurring1_based on steps'!AP$1:AP$400,0)),AP$2,)</f>
        <v>0</v>
      </c>
      <c r="AQ350" s="179">
        <f ca="1">IF(ISNUMBER(MATCH(DATEVALUE($A350),'recurring1_based on steps'!AQ$1:AQ$400,0)),AQ$2,)</f>
        <v>0</v>
      </c>
      <c r="AR350" s="179">
        <f ca="1">IF(ISNUMBER(MATCH(DATEVALUE($A350),'recurring1_based on steps'!AR$1:AR$400,0)),AR$2,)</f>
        <v>0</v>
      </c>
      <c r="AS350" s="179">
        <f ca="1">IF(ISNUMBER(MATCH(DATEVALUE($A350),'recurring1_based on steps'!AS$1:AS$400,0)),AS$2,)</f>
        <v>0</v>
      </c>
      <c r="AT350" s="179">
        <f ca="1">IF(ISNUMBER(MATCH(DATEVALUE($A350),'recurring1_based on steps'!AT$1:AT$400,0)),AT$2,)</f>
        <v>0</v>
      </c>
      <c r="AU350" s="179">
        <f ca="1">IF(ISNUMBER(MATCH(DATEVALUE($A350),'recurring1_based on steps'!AU$1:AU$400,0)),AU$2,)</f>
        <v>0</v>
      </c>
      <c r="AV350" s="179">
        <f ca="1">IF(ISNUMBER(MATCH(DATEVALUE($A350),'recurring1_based on steps'!AV$1:AV$400,0)),AV$2,)</f>
        <v>0</v>
      </c>
      <c r="AW350" s="179">
        <f ca="1">IF(ISNUMBER(MATCH(DATEVALUE($A350),'recurring1_based on steps'!AW$1:AW$400,0)),AW$2,)</f>
        <v>0</v>
      </c>
      <c r="AX350" s="179">
        <f ca="1">IF(ISNUMBER(MATCH(DATEVALUE($A350),'recurring1_based on steps'!AX$1:AX$400,0)),AX$2,)</f>
        <v>0</v>
      </c>
      <c r="AY350" s="179">
        <f ca="1">IF(ISNUMBER(MATCH(DATEVALUE($A350),'recurring1_based on steps'!AY$1:AY$400,0)),AY$2,)</f>
        <v>0</v>
      </c>
    </row>
    <row r="351" spans="1:51" x14ac:dyDescent="0.2">
      <c r="A351" s="32" t="str">
        <f t="shared" ca="1" si="5"/>
        <v>2026-03-12</v>
      </c>
      <c r="B351" s="179">
        <f ca="1">IF(ISNUMBER(MATCH(DATEVALUE($A351),'recurring1_based on steps'!B$1:B$400,0)),B$2,)</f>
        <v>0</v>
      </c>
      <c r="C351" s="179">
        <f ca="1">IF(ISNUMBER(MATCH(DATEVALUE($A351),'recurring1_based on steps'!C$1:C$400,0)),C$2,)</f>
        <v>0</v>
      </c>
      <c r="D351" s="179">
        <f ca="1">IF(ISNUMBER(MATCH(DATEVALUE($A351),'recurring1_based on steps'!D$1:D$400,0)),D$2,)</f>
        <v>0</v>
      </c>
      <c r="E351" s="179">
        <f ca="1">IF(ISNUMBER(MATCH(DATEVALUE($A351),'recurring1_based on steps'!E$1:E$400,0)),E$2,)</f>
        <v>0</v>
      </c>
      <c r="F351" s="179">
        <f ca="1">IF(ISNUMBER(MATCH(DATEVALUE($A351),'recurring1_based on steps'!F$1:F$400,0)),F$2,)</f>
        <v>0</v>
      </c>
      <c r="G351" s="179">
        <f ca="1">IF(ISNUMBER(MATCH(DATEVALUE($A351),'recurring1_based on steps'!G$1:G$400,0)),G$2,)</f>
        <v>0</v>
      </c>
      <c r="H351" s="179">
        <f ca="1">IF(ISNUMBER(MATCH(DATEVALUE($A351),'recurring1_based on steps'!H$1:H$400,0)),H$2,)</f>
        <v>0</v>
      </c>
      <c r="I351" s="179">
        <f ca="1">IF(ISNUMBER(MATCH(DATEVALUE($A351),'recurring1_based on steps'!I$1:I$400,0)),I$2,)</f>
        <v>0</v>
      </c>
      <c r="J351" s="179">
        <f ca="1">IF(ISNUMBER(MATCH(DATEVALUE($A351),'recurring1_based on steps'!J$1:J$400,0)),J$2,)</f>
        <v>0</v>
      </c>
      <c r="K351" s="179">
        <f ca="1">IF(ISNUMBER(MATCH(DATEVALUE($A351),'recurring1_based on steps'!K$1:K$400,0)),K$2,)</f>
        <v>0</v>
      </c>
      <c r="L351" s="179">
        <f ca="1">IF(ISNUMBER(MATCH(DATEVALUE($A351),'recurring1_based on steps'!L$1:L$400,0)),L$2,)</f>
        <v>0</v>
      </c>
      <c r="M351" s="179">
        <f ca="1">IF(ISNUMBER(MATCH(DATEVALUE($A351),'recurring1_based on steps'!M$1:M$400,0)),M$2,)</f>
        <v>0</v>
      </c>
      <c r="N351" s="179">
        <f ca="1">IF(ISNUMBER(MATCH(DATEVALUE($A351),'recurring1_based on steps'!N$1:N$400,0)),N$2,)</f>
        <v>0</v>
      </c>
      <c r="O351" s="179">
        <f ca="1">IF(ISNUMBER(MATCH(DATEVALUE($A351),'recurring1_based on steps'!O$1:O$400,0)),O$2,)</f>
        <v>0</v>
      </c>
      <c r="P351" s="179">
        <f ca="1">IF(ISNUMBER(MATCH(DATEVALUE($A351),'recurring1_based on steps'!P$1:P$400,0)),P$2,)</f>
        <v>0</v>
      </c>
      <c r="Q351" s="179">
        <f ca="1">IF(ISNUMBER(MATCH(DATEVALUE($A351),'recurring1_based on steps'!Q$1:Q$400,0)),Q$2,)</f>
        <v>0</v>
      </c>
      <c r="R351" s="179">
        <f ca="1">IF(ISNUMBER(MATCH(DATEVALUE($A351),'recurring1_based on steps'!R$1:R$400,0)),R$2,)</f>
        <v>0</v>
      </c>
      <c r="S351" s="179">
        <f ca="1">IF(ISNUMBER(MATCH(DATEVALUE($A351),'recurring1_based on steps'!S$1:S$400,0)),S$2,)</f>
        <v>0</v>
      </c>
      <c r="T351" s="179">
        <f ca="1">IF(ISNUMBER(MATCH(DATEVALUE($A351),'recurring1_based on steps'!T$1:T$400,0)),T$2,)</f>
        <v>0</v>
      </c>
      <c r="U351" s="179">
        <f ca="1">IF(ISNUMBER(MATCH(DATEVALUE($A351),'recurring1_based on steps'!U$1:U$400,0)),U$2,)</f>
        <v>0</v>
      </c>
      <c r="V351" s="179">
        <f ca="1">IF(ISNUMBER(MATCH(DATEVALUE($A351),'recurring1_based on steps'!V$1:V$400,0)),V$2,)</f>
        <v>0</v>
      </c>
      <c r="W351" s="179">
        <f ca="1">IF(ISNUMBER(MATCH(DATEVALUE($A351),'recurring1_based on steps'!W$1:W$400,0)),W$2,)</f>
        <v>0</v>
      </c>
      <c r="X351" s="179">
        <f ca="1">IF(ISNUMBER(MATCH(DATEVALUE($A351),'recurring1_based on steps'!X$1:X$400,0)),X$2,)</f>
        <v>0</v>
      </c>
      <c r="Y351" s="179">
        <f ca="1">IF(ISNUMBER(MATCH(DATEVALUE($A351),'recurring1_based on steps'!Y$1:Y$400,0)),Y$2,)</f>
        <v>0</v>
      </c>
      <c r="Z351" s="179">
        <f ca="1">IF(ISNUMBER(MATCH(DATEVALUE($A351),'recurring1_based on steps'!Z$1:Z$400,0)),Z$2,)</f>
        <v>0</v>
      </c>
      <c r="AA351" s="179">
        <f ca="1">IF(ISNUMBER(MATCH(DATEVALUE($A351),'recurring1_based on steps'!AA$1:AA$400,0)),AA$2,)</f>
        <v>0</v>
      </c>
      <c r="AB351" s="179">
        <f ca="1">IF(ISNUMBER(MATCH(DATEVALUE($A351),'recurring1_based on steps'!AB$1:AB$400,0)),AB$2,)</f>
        <v>0</v>
      </c>
      <c r="AC351" s="179">
        <f ca="1">IF(ISNUMBER(MATCH(DATEVALUE($A351),'recurring1_based on steps'!AC$1:AC$400,0)),AC$2,)</f>
        <v>0</v>
      </c>
      <c r="AD351" s="179">
        <f ca="1">IF(ISNUMBER(MATCH(DATEVALUE($A351),'recurring1_based on steps'!AD$1:AD$400,0)),AD$2,)</f>
        <v>0</v>
      </c>
      <c r="AE351" s="179">
        <f ca="1">IF(ISNUMBER(MATCH(DATEVALUE($A351),'recurring1_based on steps'!AE$1:AE$400,0)),AE$2,)</f>
        <v>0</v>
      </c>
      <c r="AF351" s="179">
        <f ca="1">IF(ISNUMBER(MATCH(DATEVALUE($A351),'recurring1_based on steps'!AF$1:AF$400,0)),AF$2,)</f>
        <v>0</v>
      </c>
      <c r="AG351" s="179">
        <f ca="1">IF(ISNUMBER(MATCH(DATEVALUE($A351),'recurring1_based on steps'!AG$1:AG$400,0)),AG$2,)</f>
        <v>0</v>
      </c>
      <c r="AH351" s="179">
        <f ca="1">IF(ISNUMBER(MATCH(DATEVALUE($A351),'recurring1_based on steps'!AH$1:AH$400,0)),AH$2,)</f>
        <v>0</v>
      </c>
      <c r="AI351" s="179">
        <f ca="1">IF(ISNUMBER(MATCH(DATEVALUE($A351),'recurring1_based on steps'!AI$1:AI$400,0)),AI$2,)</f>
        <v>0</v>
      </c>
      <c r="AJ351" s="179">
        <f ca="1">IF(ISNUMBER(MATCH(DATEVALUE($A351),'recurring1_based on steps'!AJ$1:AJ$400,0)),AJ$2,)</f>
        <v>0</v>
      </c>
      <c r="AK351" s="179">
        <f ca="1">IF(ISNUMBER(MATCH(DATEVALUE($A351),'recurring1_based on steps'!AK$1:AK$400,0)),AK$2,)</f>
        <v>0</v>
      </c>
      <c r="AL351" s="179">
        <f ca="1">IF(ISNUMBER(MATCH(DATEVALUE($A351),'recurring1_based on steps'!AL$1:AL$400,0)),AL$2,)</f>
        <v>0</v>
      </c>
      <c r="AM351" s="179">
        <f ca="1">IF(ISNUMBER(MATCH(DATEVALUE($A351),'recurring1_based on steps'!AM$1:AM$400,0)),AM$2,)</f>
        <v>0</v>
      </c>
      <c r="AN351" s="179">
        <f ca="1">IF(ISNUMBER(MATCH(DATEVALUE($A351),'recurring1_based on steps'!AN$1:AN$400,0)),AN$2,)</f>
        <v>0</v>
      </c>
      <c r="AO351" s="179">
        <f ca="1">IF(ISNUMBER(MATCH(DATEVALUE($A351),'recurring1_based on steps'!AO$1:AO$400,0)),AO$2,)</f>
        <v>0</v>
      </c>
      <c r="AP351" s="179">
        <f ca="1">IF(ISNUMBER(MATCH(DATEVALUE($A351),'recurring1_based on steps'!AP$1:AP$400,0)),AP$2,)</f>
        <v>0</v>
      </c>
      <c r="AQ351" s="179">
        <f ca="1">IF(ISNUMBER(MATCH(DATEVALUE($A351),'recurring1_based on steps'!AQ$1:AQ$400,0)),AQ$2,)</f>
        <v>0</v>
      </c>
      <c r="AR351" s="179">
        <f ca="1">IF(ISNUMBER(MATCH(DATEVALUE($A351),'recurring1_based on steps'!AR$1:AR$400,0)),AR$2,)</f>
        <v>0</v>
      </c>
      <c r="AS351" s="179">
        <f ca="1">IF(ISNUMBER(MATCH(DATEVALUE($A351),'recurring1_based on steps'!AS$1:AS$400,0)),AS$2,)</f>
        <v>0</v>
      </c>
      <c r="AT351" s="179">
        <f ca="1">IF(ISNUMBER(MATCH(DATEVALUE($A351),'recurring1_based on steps'!AT$1:AT$400,0)),AT$2,)</f>
        <v>0</v>
      </c>
      <c r="AU351" s="179">
        <f ca="1">IF(ISNUMBER(MATCH(DATEVALUE($A351),'recurring1_based on steps'!AU$1:AU$400,0)),AU$2,)</f>
        <v>0</v>
      </c>
      <c r="AV351" s="179">
        <f ca="1">IF(ISNUMBER(MATCH(DATEVALUE($A351),'recurring1_based on steps'!AV$1:AV$400,0)),AV$2,)</f>
        <v>0</v>
      </c>
      <c r="AW351" s="179">
        <f ca="1">IF(ISNUMBER(MATCH(DATEVALUE($A351),'recurring1_based on steps'!AW$1:AW$400,0)),AW$2,)</f>
        <v>0</v>
      </c>
      <c r="AX351" s="179">
        <f ca="1">IF(ISNUMBER(MATCH(DATEVALUE($A351),'recurring1_based on steps'!AX$1:AX$400,0)),AX$2,)</f>
        <v>0</v>
      </c>
      <c r="AY351" s="179">
        <f ca="1">IF(ISNUMBER(MATCH(DATEVALUE($A351),'recurring1_based on steps'!AY$1:AY$400,0)),AY$2,)</f>
        <v>0</v>
      </c>
    </row>
    <row r="352" spans="1:51" x14ac:dyDescent="0.2">
      <c r="A352" s="32" t="str">
        <f t="shared" ca="1" si="5"/>
        <v>2026-03-13</v>
      </c>
      <c r="B352" s="179">
        <f ca="1">IF(ISNUMBER(MATCH(DATEVALUE($A352),'recurring1_based on steps'!B$1:B$400,0)),B$2,)</f>
        <v>0</v>
      </c>
      <c r="C352" s="179">
        <f ca="1">IF(ISNUMBER(MATCH(DATEVALUE($A352),'recurring1_based on steps'!C$1:C$400,0)),C$2,)</f>
        <v>0</v>
      </c>
      <c r="D352" s="179">
        <f ca="1">IF(ISNUMBER(MATCH(DATEVALUE($A352),'recurring1_based on steps'!D$1:D$400,0)),D$2,)</f>
        <v>0</v>
      </c>
      <c r="E352" s="179">
        <f ca="1">IF(ISNUMBER(MATCH(DATEVALUE($A352),'recurring1_based on steps'!E$1:E$400,0)),E$2,)</f>
        <v>0</v>
      </c>
      <c r="F352" s="179">
        <f ca="1">IF(ISNUMBER(MATCH(DATEVALUE($A352),'recurring1_based on steps'!F$1:F$400,0)),F$2,)</f>
        <v>0</v>
      </c>
      <c r="G352" s="179">
        <f ca="1">IF(ISNUMBER(MATCH(DATEVALUE($A352),'recurring1_based on steps'!G$1:G$400,0)),G$2,)</f>
        <v>0</v>
      </c>
      <c r="H352" s="179">
        <f ca="1">IF(ISNUMBER(MATCH(DATEVALUE($A352),'recurring1_based on steps'!H$1:H$400,0)),H$2,)</f>
        <v>0</v>
      </c>
      <c r="I352" s="179">
        <f ca="1">IF(ISNUMBER(MATCH(DATEVALUE($A352),'recurring1_based on steps'!I$1:I$400,0)),I$2,)</f>
        <v>0</v>
      </c>
      <c r="J352" s="179">
        <f ca="1">IF(ISNUMBER(MATCH(DATEVALUE($A352),'recurring1_based on steps'!J$1:J$400,0)),J$2,)</f>
        <v>0</v>
      </c>
      <c r="K352" s="179">
        <f ca="1">IF(ISNUMBER(MATCH(DATEVALUE($A352),'recurring1_based on steps'!K$1:K$400,0)),K$2,)</f>
        <v>0</v>
      </c>
      <c r="L352" s="179">
        <f ca="1">IF(ISNUMBER(MATCH(DATEVALUE($A352),'recurring1_based on steps'!L$1:L$400,0)),L$2,)</f>
        <v>0</v>
      </c>
      <c r="M352" s="179">
        <f ca="1">IF(ISNUMBER(MATCH(DATEVALUE($A352),'recurring1_based on steps'!M$1:M$400,0)),M$2,)</f>
        <v>0</v>
      </c>
      <c r="N352" s="179">
        <f ca="1">IF(ISNUMBER(MATCH(DATEVALUE($A352),'recurring1_based on steps'!N$1:N$400,0)),N$2,)</f>
        <v>0</v>
      </c>
      <c r="O352" s="179">
        <f ca="1">IF(ISNUMBER(MATCH(DATEVALUE($A352),'recurring1_based on steps'!O$1:O$400,0)),O$2,)</f>
        <v>0</v>
      </c>
      <c r="P352" s="179">
        <f ca="1">IF(ISNUMBER(MATCH(DATEVALUE($A352),'recurring1_based on steps'!P$1:P$400,0)),P$2,)</f>
        <v>0</v>
      </c>
      <c r="Q352" s="179">
        <f ca="1">IF(ISNUMBER(MATCH(DATEVALUE($A352),'recurring1_based on steps'!Q$1:Q$400,0)),Q$2,)</f>
        <v>0</v>
      </c>
      <c r="R352" s="179">
        <f ca="1">IF(ISNUMBER(MATCH(DATEVALUE($A352),'recurring1_based on steps'!R$1:R$400,0)),R$2,)</f>
        <v>0</v>
      </c>
      <c r="S352" s="179">
        <f ca="1">IF(ISNUMBER(MATCH(DATEVALUE($A352),'recurring1_based on steps'!S$1:S$400,0)),S$2,)</f>
        <v>0</v>
      </c>
      <c r="T352" s="179">
        <f ca="1">IF(ISNUMBER(MATCH(DATEVALUE($A352),'recurring1_based on steps'!T$1:T$400,0)),T$2,)</f>
        <v>0</v>
      </c>
      <c r="U352" s="179">
        <f ca="1">IF(ISNUMBER(MATCH(DATEVALUE($A352),'recurring1_based on steps'!U$1:U$400,0)),U$2,)</f>
        <v>0</v>
      </c>
      <c r="V352" s="179">
        <f ca="1">IF(ISNUMBER(MATCH(DATEVALUE($A352),'recurring1_based on steps'!V$1:V$400,0)),V$2,)</f>
        <v>0</v>
      </c>
      <c r="W352" s="179">
        <f ca="1">IF(ISNUMBER(MATCH(DATEVALUE($A352),'recurring1_based on steps'!W$1:W$400,0)),W$2,)</f>
        <v>0</v>
      </c>
      <c r="X352" s="179">
        <f ca="1">IF(ISNUMBER(MATCH(DATEVALUE($A352),'recurring1_based on steps'!X$1:X$400,0)),X$2,)</f>
        <v>0</v>
      </c>
      <c r="Y352" s="179">
        <f ca="1">IF(ISNUMBER(MATCH(DATEVALUE($A352),'recurring1_based on steps'!Y$1:Y$400,0)),Y$2,)</f>
        <v>0</v>
      </c>
      <c r="Z352" s="179">
        <f ca="1">IF(ISNUMBER(MATCH(DATEVALUE($A352),'recurring1_based on steps'!Z$1:Z$400,0)),Z$2,)</f>
        <v>0</v>
      </c>
      <c r="AA352" s="179">
        <f ca="1">IF(ISNUMBER(MATCH(DATEVALUE($A352),'recurring1_based on steps'!AA$1:AA$400,0)),AA$2,)</f>
        <v>0</v>
      </c>
      <c r="AB352" s="179">
        <f ca="1">IF(ISNUMBER(MATCH(DATEVALUE($A352),'recurring1_based on steps'!AB$1:AB$400,0)),AB$2,)</f>
        <v>0</v>
      </c>
      <c r="AC352" s="179">
        <f ca="1">IF(ISNUMBER(MATCH(DATEVALUE($A352),'recurring1_based on steps'!AC$1:AC$400,0)),AC$2,)</f>
        <v>0</v>
      </c>
      <c r="AD352" s="179">
        <f ca="1">IF(ISNUMBER(MATCH(DATEVALUE($A352),'recurring1_based on steps'!AD$1:AD$400,0)),AD$2,)</f>
        <v>0</v>
      </c>
      <c r="AE352" s="179">
        <f ca="1">IF(ISNUMBER(MATCH(DATEVALUE($A352),'recurring1_based on steps'!AE$1:AE$400,0)),AE$2,)</f>
        <v>0</v>
      </c>
      <c r="AF352" s="179">
        <f ca="1">IF(ISNUMBER(MATCH(DATEVALUE($A352),'recurring1_based on steps'!AF$1:AF$400,0)),AF$2,)</f>
        <v>0</v>
      </c>
      <c r="AG352" s="179">
        <f ca="1">IF(ISNUMBER(MATCH(DATEVALUE($A352),'recurring1_based on steps'!AG$1:AG$400,0)),AG$2,)</f>
        <v>0</v>
      </c>
      <c r="AH352" s="179">
        <f ca="1">IF(ISNUMBER(MATCH(DATEVALUE($A352),'recurring1_based on steps'!AH$1:AH$400,0)),AH$2,)</f>
        <v>0</v>
      </c>
      <c r="AI352" s="179">
        <f ca="1">IF(ISNUMBER(MATCH(DATEVALUE($A352),'recurring1_based on steps'!AI$1:AI$400,0)),AI$2,)</f>
        <v>0</v>
      </c>
      <c r="AJ352" s="179">
        <f ca="1">IF(ISNUMBER(MATCH(DATEVALUE($A352),'recurring1_based on steps'!AJ$1:AJ$400,0)),AJ$2,)</f>
        <v>0</v>
      </c>
      <c r="AK352" s="179">
        <f ca="1">IF(ISNUMBER(MATCH(DATEVALUE($A352),'recurring1_based on steps'!AK$1:AK$400,0)),AK$2,)</f>
        <v>0</v>
      </c>
      <c r="AL352" s="179">
        <f ca="1">IF(ISNUMBER(MATCH(DATEVALUE($A352),'recurring1_based on steps'!AL$1:AL$400,0)),AL$2,)</f>
        <v>0</v>
      </c>
      <c r="AM352" s="179">
        <f ca="1">IF(ISNUMBER(MATCH(DATEVALUE($A352),'recurring1_based on steps'!AM$1:AM$400,0)),AM$2,)</f>
        <v>0</v>
      </c>
      <c r="AN352" s="179">
        <f ca="1">IF(ISNUMBER(MATCH(DATEVALUE($A352),'recurring1_based on steps'!AN$1:AN$400,0)),AN$2,)</f>
        <v>0</v>
      </c>
      <c r="AO352" s="179">
        <f ca="1">IF(ISNUMBER(MATCH(DATEVALUE($A352),'recurring1_based on steps'!AO$1:AO$400,0)),AO$2,)</f>
        <v>0</v>
      </c>
      <c r="AP352" s="179">
        <f ca="1">IF(ISNUMBER(MATCH(DATEVALUE($A352),'recurring1_based on steps'!AP$1:AP$400,0)),AP$2,)</f>
        <v>0</v>
      </c>
      <c r="AQ352" s="179">
        <f ca="1">IF(ISNUMBER(MATCH(DATEVALUE($A352),'recurring1_based on steps'!AQ$1:AQ$400,0)),AQ$2,)</f>
        <v>0</v>
      </c>
      <c r="AR352" s="179">
        <f ca="1">IF(ISNUMBER(MATCH(DATEVALUE($A352),'recurring1_based on steps'!AR$1:AR$400,0)),AR$2,)</f>
        <v>0</v>
      </c>
      <c r="AS352" s="179">
        <f ca="1">IF(ISNUMBER(MATCH(DATEVALUE($A352),'recurring1_based on steps'!AS$1:AS$400,0)),AS$2,)</f>
        <v>0</v>
      </c>
      <c r="AT352" s="179">
        <f ca="1">IF(ISNUMBER(MATCH(DATEVALUE($A352),'recurring1_based on steps'!AT$1:AT$400,0)),AT$2,)</f>
        <v>0</v>
      </c>
      <c r="AU352" s="179">
        <f ca="1">IF(ISNUMBER(MATCH(DATEVALUE($A352),'recurring1_based on steps'!AU$1:AU$400,0)),AU$2,)</f>
        <v>0</v>
      </c>
      <c r="AV352" s="179">
        <f ca="1">IF(ISNUMBER(MATCH(DATEVALUE($A352),'recurring1_based on steps'!AV$1:AV$400,0)),AV$2,)</f>
        <v>0</v>
      </c>
      <c r="AW352" s="179">
        <f ca="1">IF(ISNUMBER(MATCH(DATEVALUE($A352),'recurring1_based on steps'!AW$1:AW$400,0)),AW$2,)</f>
        <v>0</v>
      </c>
      <c r="AX352" s="179">
        <f ca="1">IF(ISNUMBER(MATCH(DATEVALUE($A352),'recurring1_based on steps'!AX$1:AX$400,0)),AX$2,)</f>
        <v>0</v>
      </c>
      <c r="AY352" s="179">
        <f ca="1">IF(ISNUMBER(MATCH(DATEVALUE($A352),'recurring1_based on steps'!AY$1:AY$400,0)),AY$2,)</f>
        <v>0</v>
      </c>
    </row>
    <row r="353" spans="1:51" x14ac:dyDescent="0.2">
      <c r="A353" s="32" t="str">
        <f t="shared" ca="1" si="5"/>
        <v>2026-03-14</v>
      </c>
      <c r="B353" s="179">
        <f ca="1">IF(ISNUMBER(MATCH(DATEVALUE($A353),'recurring1_based on steps'!B$1:B$400,0)),B$2,)</f>
        <v>0</v>
      </c>
      <c r="C353" s="179">
        <f ca="1">IF(ISNUMBER(MATCH(DATEVALUE($A353),'recurring1_based on steps'!C$1:C$400,0)),C$2,)</f>
        <v>0</v>
      </c>
      <c r="D353" s="179">
        <f ca="1">IF(ISNUMBER(MATCH(DATEVALUE($A353),'recurring1_based on steps'!D$1:D$400,0)),D$2,)</f>
        <v>0</v>
      </c>
      <c r="E353" s="179">
        <f ca="1">IF(ISNUMBER(MATCH(DATEVALUE($A353),'recurring1_based on steps'!E$1:E$400,0)),E$2,)</f>
        <v>0</v>
      </c>
      <c r="F353" s="179">
        <f ca="1">IF(ISNUMBER(MATCH(DATEVALUE($A353),'recurring1_based on steps'!F$1:F$400,0)),F$2,)</f>
        <v>0</v>
      </c>
      <c r="G353" s="179">
        <f ca="1">IF(ISNUMBER(MATCH(DATEVALUE($A353),'recurring1_based on steps'!G$1:G$400,0)),G$2,)</f>
        <v>0</v>
      </c>
      <c r="H353" s="179">
        <f ca="1">IF(ISNUMBER(MATCH(DATEVALUE($A353),'recurring1_based on steps'!H$1:H$400,0)),H$2,)</f>
        <v>0</v>
      </c>
      <c r="I353" s="179">
        <f ca="1">IF(ISNUMBER(MATCH(DATEVALUE($A353),'recurring1_based on steps'!I$1:I$400,0)),I$2,)</f>
        <v>0</v>
      </c>
      <c r="J353" s="179">
        <f ca="1">IF(ISNUMBER(MATCH(DATEVALUE($A353),'recurring1_based on steps'!J$1:J$400,0)),J$2,)</f>
        <v>0</v>
      </c>
      <c r="K353" s="179">
        <f ca="1">IF(ISNUMBER(MATCH(DATEVALUE($A353),'recurring1_based on steps'!K$1:K$400,0)),K$2,)</f>
        <v>0</v>
      </c>
      <c r="L353" s="179">
        <f ca="1">IF(ISNUMBER(MATCH(DATEVALUE($A353),'recurring1_based on steps'!L$1:L$400,0)),L$2,)</f>
        <v>0</v>
      </c>
      <c r="M353" s="179">
        <f ca="1">IF(ISNUMBER(MATCH(DATEVALUE($A353),'recurring1_based on steps'!M$1:M$400,0)),M$2,)</f>
        <v>0</v>
      </c>
      <c r="N353" s="179">
        <f ca="1">IF(ISNUMBER(MATCH(DATEVALUE($A353),'recurring1_based on steps'!N$1:N$400,0)),N$2,)</f>
        <v>0</v>
      </c>
      <c r="O353" s="179">
        <f ca="1">IF(ISNUMBER(MATCH(DATEVALUE($A353),'recurring1_based on steps'!O$1:O$400,0)),O$2,)</f>
        <v>0</v>
      </c>
      <c r="P353" s="179">
        <f ca="1">IF(ISNUMBER(MATCH(DATEVALUE($A353),'recurring1_based on steps'!P$1:P$400,0)),P$2,)</f>
        <v>0</v>
      </c>
      <c r="Q353" s="179">
        <f ca="1">IF(ISNUMBER(MATCH(DATEVALUE($A353),'recurring1_based on steps'!Q$1:Q$400,0)),Q$2,)</f>
        <v>0</v>
      </c>
      <c r="R353" s="179">
        <f ca="1">IF(ISNUMBER(MATCH(DATEVALUE($A353),'recurring1_based on steps'!R$1:R$400,0)),R$2,)</f>
        <v>0</v>
      </c>
      <c r="S353" s="179">
        <f ca="1">IF(ISNUMBER(MATCH(DATEVALUE($A353),'recurring1_based on steps'!S$1:S$400,0)),S$2,)</f>
        <v>0</v>
      </c>
      <c r="T353" s="179">
        <f ca="1">IF(ISNUMBER(MATCH(DATEVALUE($A353),'recurring1_based on steps'!T$1:T$400,0)),T$2,)</f>
        <v>0</v>
      </c>
      <c r="U353" s="179">
        <f ca="1">IF(ISNUMBER(MATCH(DATEVALUE($A353),'recurring1_based on steps'!U$1:U$400,0)),U$2,)</f>
        <v>0</v>
      </c>
      <c r="V353" s="179">
        <f ca="1">IF(ISNUMBER(MATCH(DATEVALUE($A353),'recurring1_based on steps'!V$1:V$400,0)),V$2,)</f>
        <v>0</v>
      </c>
      <c r="W353" s="179">
        <f ca="1">IF(ISNUMBER(MATCH(DATEVALUE($A353),'recurring1_based on steps'!W$1:W$400,0)),W$2,)</f>
        <v>0</v>
      </c>
      <c r="X353" s="179">
        <f ca="1">IF(ISNUMBER(MATCH(DATEVALUE($A353),'recurring1_based on steps'!X$1:X$400,0)),X$2,)</f>
        <v>0</v>
      </c>
      <c r="Y353" s="179">
        <f ca="1">IF(ISNUMBER(MATCH(DATEVALUE($A353),'recurring1_based on steps'!Y$1:Y$400,0)),Y$2,)</f>
        <v>0</v>
      </c>
      <c r="Z353" s="179">
        <f ca="1">IF(ISNUMBER(MATCH(DATEVALUE($A353),'recurring1_based on steps'!Z$1:Z$400,0)),Z$2,)</f>
        <v>0</v>
      </c>
      <c r="AA353" s="179">
        <f ca="1">IF(ISNUMBER(MATCH(DATEVALUE($A353),'recurring1_based on steps'!AA$1:AA$400,0)),AA$2,)</f>
        <v>0</v>
      </c>
      <c r="AB353" s="179">
        <f ca="1">IF(ISNUMBER(MATCH(DATEVALUE($A353),'recurring1_based on steps'!AB$1:AB$400,0)),AB$2,)</f>
        <v>0</v>
      </c>
      <c r="AC353" s="179">
        <f ca="1">IF(ISNUMBER(MATCH(DATEVALUE($A353),'recurring1_based on steps'!AC$1:AC$400,0)),AC$2,)</f>
        <v>0</v>
      </c>
      <c r="AD353" s="179">
        <f ca="1">IF(ISNUMBER(MATCH(DATEVALUE($A353),'recurring1_based on steps'!AD$1:AD$400,0)),AD$2,)</f>
        <v>0</v>
      </c>
      <c r="AE353" s="179">
        <f ca="1">IF(ISNUMBER(MATCH(DATEVALUE($A353),'recurring1_based on steps'!AE$1:AE$400,0)),AE$2,)</f>
        <v>0</v>
      </c>
      <c r="AF353" s="179">
        <f ca="1">IF(ISNUMBER(MATCH(DATEVALUE($A353),'recurring1_based on steps'!AF$1:AF$400,0)),AF$2,)</f>
        <v>0</v>
      </c>
      <c r="AG353" s="179">
        <f ca="1">IF(ISNUMBER(MATCH(DATEVALUE($A353),'recurring1_based on steps'!AG$1:AG$400,0)),AG$2,)</f>
        <v>0</v>
      </c>
      <c r="AH353" s="179">
        <f ca="1">IF(ISNUMBER(MATCH(DATEVALUE($A353),'recurring1_based on steps'!AH$1:AH$400,0)),AH$2,)</f>
        <v>0</v>
      </c>
      <c r="AI353" s="179">
        <f ca="1">IF(ISNUMBER(MATCH(DATEVALUE($A353),'recurring1_based on steps'!AI$1:AI$400,0)),AI$2,)</f>
        <v>0</v>
      </c>
      <c r="AJ353" s="179">
        <f ca="1">IF(ISNUMBER(MATCH(DATEVALUE($A353),'recurring1_based on steps'!AJ$1:AJ$400,0)),AJ$2,)</f>
        <v>0</v>
      </c>
      <c r="AK353" s="179">
        <f ca="1">IF(ISNUMBER(MATCH(DATEVALUE($A353),'recurring1_based on steps'!AK$1:AK$400,0)),AK$2,)</f>
        <v>0</v>
      </c>
      <c r="AL353" s="179">
        <f ca="1">IF(ISNUMBER(MATCH(DATEVALUE($A353),'recurring1_based on steps'!AL$1:AL$400,0)),AL$2,)</f>
        <v>0</v>
      </c>
      <c r="AM353" s="179">
        <f ca="1">IF(ISNUMBER(MATCH(DATEVALUE($A353),'recurring1_based on steps'!AM$1:AM$400,0)),AM$2,)</f>
        <v>0</v>
      </c>
      <c r="AN353" s="179">
        <f ca="1">IF(ISNUMBER(MATCH(DATEVALUE($A353),'recurring1_based on steps'!AN$1:AN$400,0)),AN$2,)</f>
        <v>0</v>
      </c>
      <c r="AO353" s="179">
        <f ca="1">IF(ISNUMBER(MATCH(DATEVALUE($A353),'recurring1_based on steps'!AO$1:AO$400,0)),AO$2,)</f>
        <v>0</v>
      </c>
      <c r="AP353" s="179">
        <f ca="1">IF(ISNUMBER(MATCH(DATEVALUE($A353),'recurring1_based on steps'!AP$1:AP$400,0)),AP$2,)</f>
        <v>0</v>
      </c>
      <c r="AQ353" s="179">
        <f ca="1">IF(ISNUMBER(MATCH(DATEVALUE($A353),'recurring1_based on steps'!AQ$1:AQ$400,0)),AQ$2,)</f>
        <v>0</v>
      </c>
      <c r="AR353" s="179">
        <f ca="1">IF(ISNUMBER(MATCH(DATEVALUE($A353),'recurring1_based on steps'!AR$1:AR$400,0)),AR$2,)</f>
        <v>0</v>
      </c>
      <c r="AS353" s="179">
        <f ca="1">IF(ISNUMBER(MATCH(DATEVALUE($A353),'recurring1_based on steps'!AS$1:AS$400,0)),AS$2,)</f>
        <v>0</v>
      </c>
      <c r="AT353" s="179">
        <f ca="1">IF(ISNUMBER(MATCH(DATEVALUE($A353),'recurring1_based on steps'!AT$1:AT$400,0)),AT$2,)</f>
        <v>0</v>
      </c>
      <c r="AU353" s="179">
        <f ca="1">IF(ISNUMBER(MATCH(DATEVALUE($A353),'recurring1_based on steps'!AU$1:AU$400,0)),AU$2,)</f>
        <v>0</v>
      </c>
      <c r="AV353" s="179">
        <f ca="1">IF(ISNUMBER(MATCH(DATEVALUE($A353),'recurring1_based on steps'!AV$1:AV$400,0)),AV$2,)</f>
        <v>0</v>
      </c>
      <c r="AW353" s="179">
        <f ca="1">IF(ISNUMBER(MATCH(DATEVALUE($A353),'recurring1_based on steps'!AW$1:AW$400,0)),AW$2,)</f>
        <v>0</v>
      </c>
      <c r="AX353" s="179">
        <f ca="1">IF(ISNUMBER(MATCH(DATEVALUE($A353),'recurring1_based on steps'!AX$1:AX$400,0)),AX$2,)</f>
        <v>0</v>
      </c>
      <c r="AY353" s="179">
        <f ca="1">IF(ISNUMBER(MATCH(DATEVALUE($A353),'recurring1_based on steps'!AY$1:AY$400,0)),AY$2,)</f>
        <v>0</v>
      </c>
    </row>
    <row r="354" spans="1:51" x14ac:dyDescent="0.2">
      <c r="A354" s="32" t="str">
        <f t="shared" ca="1" si="5"/>
        <v>2026-03-15</v>
      </c>
      <c r="B354" s="179">
        <f ca="1">IF(ISNUMBER(MATCH(DATEVALUE($A354),'recurring1_based on steps'!B$1:B$400,0)),B$2,)</f>
        <v>0</v>
      </c>
      <c r="C354" s="179">
        <f ca="1">IF(ISNUMBER(MATCH(DATEVALUE($A354),'recurring1_based on steps'!C$1:C$400,0)),C$2,)</f>
        <v>0</v>
      </c>
      <c r="D354" s="179">
        <f ca="1">IF(ISNUMBER(MATCH(DATEVALUE($A354),'recurring1_based on steps'!D$1:D$400,0)),D$2,)</f>
        <v>0</v>
      </c>
      <c r="E354" s="179">
        <f ca="1">IF(ISNUMBER(MATCH(DATEVALUE($A354),'recurring1_based on steps'!E$1:E$400,0)),E$2,)</f>
        <v>0</v>
      </c>
      <c r="F354" s="179">
        <f ca="1">IF(ISNUMBER(MATCH(DATEVALUE($A354),'recurring1_based on steps'!F$1:F$400,0)),F$2,)</f>
        <v>0</v>
      </c>
      <c r="G354" s="179">
        <f ca="1">IF(ISNUMBER(MATCH(DATEVALUE($A354),'recurring1_based on steps'!G$1:G$400,0)),G$2,)</f>
        <v>0</v>
      </c>
      <c r="H354" s="179">
        <f ca="1">IF(ISNUMBER(MATCH(DATEVALUE($A354),'recurring1_based on steps'!H$1:H$400,0)),H$2,)</f>
        <v>0</v>
      </c>
      <c r="I354" s="179">
        <f ca="1">IF(ISNUMBER(MATCH(DATEVALUE($A354),'recurring1_based on steps'!I$1:I$400,0)),I$2,)</f>
        <v>0</v>
      </c>
      <c r="J354" s="179">
        <f ca="1">IF(ISNUMBER(MATCH(DATEVALUE($A354),'recurring1_based on steps'!J$1:J$400,0)),J$2,)</f>
        <v>0</v>
      </c>
      <c r="K354" s="179">
        <f ca="1">IF(ISNUMBER(MATCH(DATEVALUE($A354),'recurring1_based on steps'!K$1:K$400,0)),K$2,)</f>
        <v>0</v>
      </c>
      <c r="L354" s="179">
        <f ca="1">IF(ISNUMBER(MATCH(DATEVALUE($A354),'recurring1_based on steps'!L$1:L$400,0)),L$2,)</f>
        <v>0</v>
      </c>
      <c r="M354" s="179">
        <f ca="1">IF(ISNUMBER(MATCH(DATEVALUE($A354),'recurring1_based on steps'!M$1:M$400,0)),M$2,)</f>
        <v>0</v>
      </c>
      <c r="N354" s="179">
        <f ca="1">IF(ISNUMBER(MATCH(DATEVALUE($A354),'recurring1_based on steps'!N$1:N$400,0)),N$2,)</f>
        <v>0</v>
      </c>
      <c r="O354" s="179">
        <f ca="1">IF(ISNUMBER(MATCH(DATEVALUE($A354),'recurring1_based on steps'!O$1:O$400,0)),O$2,)</f>
        <v>0</v>
      </c>
      <c r="P354" s="179">
        <f ca="1">IF(ISNUMBER(MATCH(DATEVALUE($A354),'recurring1_based on steps'!P$1:P$400,0)),P$2,)</f>
        <v>0</v>
      </c>
      <c r="Q354" s="179">
        <f ca="1">IF(ISNUMBER(MATCH(DATEVALUE($A354),'recurring1_based on steps'!Q$1:Q$400,0)),Q$2,)</f>
        <v>0</v>
      </c>
      <c r="R354" s="179">
        <f ca="1">IF(ISNUMBER(MATCH(DATEVALUE($A354),'recurring1_based on steps'!R$1:R$400,0)),R$2,)</f>
        <v>0</v>
      </c>
      <c r="S354" s="179">
        <f ca="1">IF(ISNUMBER(MATCH(DATEVALUE($A354),'recurring1_based on steps'!S$1:S$400,0)),S$2,)</f>
        <v>0</v>
      </c>
      <c r="T354" s="179">
        <f ca="1">IF(ISNUMBER(MATCH(DATEVALUE($A354),'recurring1_based on steps'!T$1:T$400,0)),T$2,)</f>
        <v>0</v>
      </c>
      <c r="U354" s="179">
        <f ca="1">IF(ISNUMBER(MATCH(DATEVALUE($A354),'recurring1_based on steps'!U$1:U$400,0)),U$2,)</f>
        <v>0</v>
      </c>
      <c r="V354" s="179">
        <f ca="1">IF(ISNUMBER(MATCH(DATEVALUE($A354),'recurring1_based on steps'!V$1:V$400,0)),V$2,)</f>
        <v>0</v>
      </c>
      <c r="W354" s="179">
        <f ca="1">IF(ISNUMBER(MATCH(DATEVALUE($A354),'recurring1_based on steps'!W$1:W$400,0)),W$2,)</f>
        <v>0</v>
      </c>
      <c r="X354" s="179">
        <f ca="1">IF(ISNUMBER(MATCH(DATEVALUE($A354),'recurring1_based on steps'!X$1:X$400,0)),X$2,)</f>
        <v>0</v>
      </c>
      <c r="Y354" s="179">
        <f ca="1">IF(ISNUMBER(MATCH(DATEVALUE($A354),'recurring1_based on steps'!Y$1:Y$400,0)),Y$2,)</f>
        <v>0</v>
      </c>
      <c r="Z354" s="179">
        <f ca="1">IF(ISNUMBER(MATCH(DATEVALUE($A354),'recurring1_based on steps'!Z$1:Z$400,0)),Z$2,)</f>
        <v>0</v>
      </c>
      <c r="AA354" s="179">
        <f ca="1">IF(ISNUMBER(MATCH(DATEVALUE($A354),'recurring1_based on steps'!AA$1:AA$400,0)),AA$2,)</f>
        <v>0</v>
      </c>
      <c r="AB354" s="179">
        <f ca="1">IF(ISNUMBER(MATCH(DATEVALUE($A354),'recurring1_based on steps'!AB$1:AB$400,0)),AB$2,)</f>
        <v>0</v>
      </c>
      <c r="AC354" s="179">
        <f ca="1">IF(ISNUMBER(MATCH(DATEVALUE($A354),'recurring1_based on steps'!AC$1:AC$400,0)),AC$2,)</f>
        <v>0</v>
      </c>
      <c r="AD354" s="179">
        <f ca="1">IF(ISNUMBER(MATCH(DATEVALUE($A354),'recurring1_based on steps'!AD$1:AD$400,0)),AD$2,)</f>
        <v>0</v>
      </c>
      <c r="AE354" s="179">
        <f ca="1">IF(ISNUMBER(MATCH(DATEVALUE($A354),'recurring1_based on steps'!AE$1:AE$400,0)),AE$2,)</f>
        <v>0</v>
      </c>
      <c r="AF354" s="179">
        <f ca="1">IF(ISNUMBER(MATCH(DATEVALUE($A354),'recurring1_based on steps'!AF$1:AF$400,0)),AF$2,)</f>
        <v>0</v>
      </c>
      <c r="AG354" s="179">
        <f ca="1">IF(ISNUMBER(MATCH(DATEVALUE($A354),'recurring1_based on steps'!AG$1:AG$400,0)),AG$2,)</f>
        <v>0</v>
      </c>
      <c r="AH354" s="179">
        <f ca="1">IF(ISNUMBER(MATCH(DATEVALUE($A354),'recurring1_based on steps'!AH$1:AH$400,0)),AH$2,)</f>
        <v>0</v>
      </c>
      <c r="AI354" s="179">
        <f ca="1">IF(ISNUMBER(MATCH(DATEVALUE($A354),'recurring1_based on steps'!AI$1:AI$400,0)),AI$2,)</f>
        <v>0</v>
      </c>
      <c r="AJ354" s="179">
        <f ca="1">IF(ISNUMBER(MATCH(DATEVALUE($A354),'recurring1_based on steps'!AJ$1:AJ$400,0)),AJ$2,)</f>
        <v>0</v>
      </c>
      <c r="AK354" s="179">
        <f ca="1">IF(ISNUMBER(MATCH(DATEVALUE($A354),'recurring1_based on steps'!AK$1:AK$400,0)),AK$2,)</f>
        <v>0</v>
      </c>
      <c r="AL354" s="179">
        <f ca="1">IF(ISNUMBER(MATCH(DATEVALUE($A354),'recurring1_based on steps'!AL$1:AL$400,0)),AL$2,)</f>
        <v>0</v>
      </c>
      <c r="AM354" s="179">
        <f ca="1">IF(ISNUMBER(MATCH(DATEVALUE($A354),'recurring1_based on steps'!AM$1:AM$400,0)),AM$2,)</f>
        <v>0</v>
      </c>
      <c r="AN354" s="179">
        <f ca="1">IF(ISNUMBER(MATCH(DATEVALUE($A354),'recurring1_based on steps'!AN$1:AN$400,0)),AN$2,)</f>
        <v>0</v>
      </c>
      <c r="AO354" s="179">
        <f ca="1">IF(ISNUMBER(MATCH(DATEVALUE($A354),'recurring1_based on steps'!AO$1:AO$400,0)),AO$2,)</f>
        <v>0</v>
      </c>
      <c r="AP354" s="179">
        <f ca="1">IF(ISNUMBER(MATCH(DATEVALUE($A354),'recurring1_based on steps'!AP$1:AP$400,0)),AP$2,)</f>
        <v>0</v>
      </c>
      <c r="AQ354" s="179">
        <f ca="1">IF(ISNUMBER(MATCH(DATEVALUE($A354),'recurring1_based on steps'!AQ$1:AQ$400,0)),AQ$2,)</f>
        <v>0</v>
      </c>
      <c r="AR354" s="179">
        <f ca="1">IF(ISNUMBER(MATCH(DATEVALUE($A354),'recurring1_based on steps'!AR$1:AR$400,0)),AR$2,)</f>
        <v>0</v>
      </c>
      <c r="AS354" s="179">
        <f ca="1">IF(ISNUMBER(MATCH(DATEVALUE($A354),'recurring1_based on steps'!AS$1:AS$400,0)),AS$2,)</f>
        <v>0</v>
      </c>
      <c r="AT354" s="179">
        <f ca="1">IF(ISNUMBER(MATCH(DATEVALUE($A354),'recurring1_based on steps'!AT$1:AT$400,0)),AT$2,)</f>
        <v>0</v>
      </c>
      <c r="AU354" s="179">
        <f ca="1">IF(ISNUMBER(MATCH(DATEVALUE($A354),'recurring1_based on steps'!AU$1:AU$400,0)),AU$2,)</f>
        <v>0</v>
      </c>
      <c r="AV354" s="179">
        <f ca="1">IF(ISNUMBER(MATCH(DATEVALUE($A354),'recurring1_based on steps'!AV$1:AV$400,0)),AV$2,)</f>
        <v>0</v>
      </c>
      <c r="AW354" s="179">
        <f ca="1">IF(ISNUMBER(MATCH(DATEVALUE($A354),'recurring1_based on steps'!AW$1:AW$400,0)),AW$2,)</f>
        <v>0</v>
      </c>
      <c r="AX354" s="179">
        <f ca="1">IF(ISNUMBER(MATCH(DATEVALUE($A354),'recurring1_based on steps'!AX$1:AX$400,0)),AX$2,)</f>
        <v>0</v>
      </c>
      <c r="AY354" s="179">
        <f ca="1">IF(ISNUMBER(MATCH(DATEVALUE($A354),'recurring1_based on steps'!AY$1:AY$400,0)),AY$2,)</f>
        <v>0</v>
      </c>
    </row>
    <row r="355" spans="1:51" x14ac:dyDescent="0.2">
      <c r="A355" s="32" t="str">
        <f t="shared" ca="1" si="5"/>
        <v>2026-03-16</v>
      </c>
      <c r="B355" s="179">
        <f ca="1">IF(ISNUMBER(MATCH(DATEVALUE($A355),'recurring1_based on steps'!B$1:B$400,0)),B$2,)</f>
        <v>0</v>
      </c>
      <c r="C355" s="179">
        <f ca="1">IF(ISNUMBER(MATCH(DATEVALUE($A355),'recurring1_based on steps'!C$1:C$400,0)),C$2,)</f>
        <v>0</v>
      </c>
      <c r="D355" s="179">
        <f ca="1">IF(ISNUMBER(MATCH(DATEVALUE($A355),'recurring1_based on steps'!D$1:D$400,0)),D$2,)</f>
        <v>0</v>
      </c>
      <c r="E355" s="179">
        <f ca="1">IF(ISNUMBER(MATCH(DATEVALUE($A355),'recurring1_based on steps'!E$1:E$400,0)),E$2,)</f>
        <v>0</v>
      </c>
      <c r="F355" s="179">
        <f ca="1">IF(ISNUMBER(MATCH(DATEVALUE($A355),'recurring1_based on steps'!F$1:F$400,0)),F$2,)</f>
        <v>0</v>
      </c>
      <c r="G355" s="179">
        <f ca="1">IF(ISNUMBER(MATCH(DATEVALUE($A355),'recurring1_based on steps'!G$1:G$400,0)),G$2,)</f>
        <v>0</v>
      </c>
      <c r="H355" s="179">
        <f ca="1">IF(ISNUMBER(MATCH(DATEVALUE($A355),'recurring1_based on steps'!H$1:H$400,0)),H$2,)</f>
        <v>0</v>
      </c>
      <c r="I355" s="179">
        <f ca="1">IF(ISNUMBER(MATCH(DATEVALUE($A355),'recurring1_based on steps'!I$1:I$400,0)),I$2,)</f>
        <v>0</v>
      </c>
      <c r="J355" s="179">
        <f ca="1">IF(ISNUMBER(MATCH(DATEVALUE($A355),'recurring1_based on steps'!J$1:J$400,0)),J$2,)</f>
        <v>0</v>
      </c>
      <c r="K355" s="179">
        <f ca="1">IF(ISNUMBER(MATCH(DATEVALUE($A355),'recurring1_based on steps'!K$1:K$400,0)),K$2,)</f>
        <v>0</v>
      </c>
      <c r="L355" s="179">
        <f ca="1">IF(ISNUMBER(MATCH(DATEVALUE($A355),'recurring1_based on steps'!L$1:L$400,0)),L$2,)</f>
        <v>0</v>
      </c>
      <c r="M355" s="179">
        <f ca="1">IF(ISNUMBER(MATCH(DATEVALUE($A355),'recurring1_based on steps'!M$1:M$400,0)),M$2,)</f>
        <v>0</v>
      </c>
      <c r="N355" s="179">
        <f ca="1">IF(ISNUMBER(MATCH(DATEVALUE($A355),'recurring1_based on steps'!N$1:N$400,0)),N$2,)</f>
        <v>0</v>
      </c>
      <c r="O355" s="179">
        <f ca="1">IF(ISNUMBER(MATCH(DATEVALUE($A355),'recurring1_based on steps'!O$1:O$400,0)),O$2,)</f>
        <v>0</v>
      </c>
      <c r="P355" s="179">
        <f ca="1">IF(ISNUMBER(MATCH(DATEVALUE($A355),'recurring1_based on steps'!P$1:P$400,0)),P$2,)</f>
        <v>0</v>
      </c>
      <c r="Q355" s="179">
        <f ca="1">IF(ISNUMBER(MATCH(DATEVALUE($A355),'recurring1_based on steps'!Q$1:Q$400,0)),Q$2,)</f>
        <v>0</v>
      </c>
      <c r="R355" s="179">
        <f ca="1">IF(ISNUMBER(MATCH(DATEVALUE($A355),'recurring1_based on steps'!R$1:R$400,0)),R$2,)</f>
        <v>0</v>
      </c>
      <c r="S355" s="179">
        <f ca="1">IF(ISNUMBER(MATCH(DATEVALUE($A355),'recurring1_based on steps'!S$1:S$400,0)),S$2,)</f>
        <v>0</v>
      </c>
      <c r="T355" s="179">
        <f ca="1">IF(ISNUMBER(MATCH(DATEVALUE($A355),'recurring1_based on steps'!T$1:T$400,0)),T$2,)</f>
        <v>0</v>
      </c>
      <c r="U355" s="179">
        <f ca="1">IF(ISNUMBER(MATCH(DATEVALUE($A355),'recurring1_based on steps'!U$1:U$400,0)),U$2,)</f>
        <v>0</v>
      </c>
      <c r="V355" s="179">
        <f ca="1">IF(ISNUMBER(MATCH(DATEVALUE($A355),'recurring1_based on steps'!V$1:V$400,0)),V$2,)</f>
        <v>0</v>
      </c>
      <c r="W355" s="179">
        <f ca="1">IF(ISNUMBER(MATCH(DATEVALUE($A355),'recurring1_based on steps'!W$1:W$400,0)),W$2,)</f>
        <v>0</v>
      </c>
      <c r="X355" s="179">
        <f ca="1">IF(ISNUMBER(MATCH(DATEVALUE($A355),'recurring1_based on steps'!X$1:X$400,0)),X$2,)</f>
        <v>0</v>
      </c>
      <c r="Y355" s="179">
        <f ca="1">IF(ISNUMBER(MATCH(DATEVALUE($A355),'recurring1_based on steps'!Y$1:Y$400,0)),Y$2,)</f>
        <v>0</v>
      </c>
      <c r="Z355" s="179">
        <f ca="1">IF(ISNUMBER(MATCH(DATEVALUE($A355),'recurring1_based on steps'!Z$1:Z$400,0)),Z$2,)</f>
        <v>0</v>
      </c>
      <c r="AA355" s="179">
        <f ca="1">IF(ISNUMBER(MATCH(DATEVALUE($A355),'recurring1_based on steps'!AA$1:AA$400,0)),AA$2,)</f>
        <v>0</v>
      </c>
      <c r="AB355" s="179">
        <f ca="1">IF(ISNUMBER(MATCH(DATEVALUE($A355),'recurring1_based on steps'!AB$1:AB$400,0)),AB$2,)</f>
        <v>0</v>
      </c>
      <c r="AC355" s="179">
        <f ca="1">IF(ISNUMBER(MATCH(DATEVALUE($A355),'recurring1_based on steps'!AC$1:AC$400,0)),AC$2,)</f>
        <v>0</v>
      </c>
      <c r="AD355" s="179">
        <f ca="1">IF(ISNUMBER(MATCH(DATEVALUE($A355),'recurring1_based on steps'!AD$1:AD$400,0)),AD$2,)</f>
        <v>0</v>
      </c>
      <c r="AE355" s="179">
        <f ca="1">IF(ISNUMBER(MATCH(DATEVALUE($A355),'recurring1_based on steps'!AE$1:AE$400,0)),AE$2,)</f>
        <v>0</v>
      </c>
      <c r="AF355" s="179">
        <f ca="1">IF(ISNUMBER(MATCH(DATEVALUE($A355),'recurring1_based on steps'!AF$1:AF$400,0)),AF$2,)</f>
        <v>0</v>
      </c>
      <c r="AG355" s="179">
        <f ca="1">IF(ISNUMBER(MATCH(DATEVALUE($A355),'recurring1_based on steps'!AG$1:AG$400,0)),AG$2,)</f>
        <v>0</v>
      </c>
      <c r="AH355" s="179">
        <f ca="1">IF(ISNUMBER(MATCH(DATEVALUE($A355),'recurring1_based on steps'!AH$1:AH$400,0)),AH$2,)</f>
        <v>0</v>
      </c>
      <c r="AI355" s="179">
        <f ca="1">IF(ISNUMBER(MATCH(DATEVALUE($A355),'recurring1_based on steps'!AI$1:AI$400,0)),AI$2,)</f>
        <v>0</v>
      </c>
      <c r="AJ355" s="179">
        <f ca="1">IF(ISNUMBER(MATCH(DATEVALUE($A355),'recurring1_based on steps'!AJ$1:AJ$400,0)),AJ$2,)</f>
        <v>0</v>
      </c>
      <c r="AK355" s="179">
        <f ca="1">IF(ISNUMBER(MATCH(DATEVALUE($A355),'recurring1_based on steps'!AK$1:AK$400,0)),AK$2,)</f>
        <v>0</v>
      </c>
      <c r="AL355" s="179">
        <f ca="1">IF(ISNUMBER(MATCH(DATEVALUE($A355),'recurring1_based on steps'!AL$1:AL$400,0)),AL$2,)</f>
        <v>0</v>
      </c>
      <c r="AM355" s="179">
        <f ca="1">IF(ISNUMBER(MATCH(DATEVALUE($A355),'recurring1_based on steps'!AM$1:AM$400,0)),AM$2,)</f>
        <v>0</v>
      </c>
      <c r="AN355" s="179">
        <f ca="1">IF(ISNUMBER(MATCH(DATEVALUE($A355),'recurring1_based on steps'!AN$1:AN$400,0)),AN$2,)</f>
        <v>0</v>
      </c>
      <c r="AO355" s="179">
        <f ca="1">IF(ISNUMBER(MATCH(DATEVALUE($A355),'recurring1_based on steps'!AO$1:AO$400,0)),AO$2,)</f>
        <v>0</v>
      </c>
      <c r="AP355" s="179">
        <f ca="1">IF(ISNUMBER(MATCH(DATEVALUE($A355),'recurring1_based on steps'!AP$1:AP$400,0)),AP$2,)</f>
        <v>0</v>
      </c>
      <c r="AQ355" s="179">
        <f ca="1">IF(ISNUMBER(MATCH(DATEVALUE($A355),'recurring1_based on steps'!AQ$1:AQ$400,0)),AQ$2,)</f>
        <v>0</v>
      </c>
      <c r="AR355" s="179">
        <f ca="1">IF(ISNUMBER(MATCH(DATEVALUE($A355),'recurring1_based on steps'!AR$1:AR$400,0)),AR$2,)</f>
        <v>0</v>
      </c>
      <c r="AS355" s="179">
        <f ca="1">IF(ISNUMBER(MATCH(DATEVALUE($A355),'recurring1_based on steps'!AS$1:AS$400,0)),AS$2,)</f>
        <v>0</v>
      </c>
      <c r="AT355" s="179">
        <f ca="1">IF(ISNUMBER(MATCH(DATEVALUE($A355),'recurring1_based on steps'!AT$1:AT$400,0)),AT$2,)</f>
        <v>0</v>
      </c>
      <c r="AU355" s="179">
        <f ca="1">IF(ISNUMBER(MATCH(DATEVALUE($A355),'recurring1_based on steps'!AU$1:AU$400,0)),AU$2,)</f>
        <v>0</v>
      </c>
      <c r="AV355" s="179">
        <f ca="1">IF(ISNUMBER(MATCH(DATEVALUE($A355),'recurring1_based on steps'!AV$1:AV$400,0)),AV$2,)</f>
        <v>0</v>
      </c>
      <c r="AW355" s="179">
        <f ca="1">IF(ISNUMBER(MATCH(DATEVALUE($A355),'recurring1_based on steps'!AW$1:AW$400,0)),AW$2,)</f>
        <v>0</v>
      </c>
      <c r="AX355" s="179">
        <f ca="1">IF(ISNUMBER(MATCH(DATEVALUE($A355),'recurring1_based on steps'!AX$1:AX$400,0)),AX$2,)</f>
        <v>0</v>
      </c>
      <c r="AY355" s="179">
        <f ca="1">IF(ISNUMBER(MATCH(DATEVALUE($A355),'recurring1_based on steps'!AY$1:AY$400,0)),AY$2,)</f>
        <v>0</v>
      </c>
    </row>
    <row r="356" spans="1:51" x14ac:dyDescent="0.2">
      <c r="A356" s="32" t="str">
        <f t="shared" ca="1" si="5"/>
        <v>2026-03-17</v>
      </c>
      <c r="B356" s="179">
        <f ca="1">IF(ISNUMBER(MATCH(DATEVALUE($A356),'recurring1_based on steps'!B$1:B$400,0)),B$2,)</f>
        <v>0</v>
      </c>
      <c r="C356" s="179">
        <f ca="1">IF(ISNUMBER(MATCH(DATEVALUE($A356),'recurring1_based on steps'!C$1:C$400,0)),C$2,)</f>
        <v>0</v>
      </c>
      <c r="D356" s="179">
        <f ca="1">IF(ISNUMBER(MATCH(DATEVALUE($A356),'recurring1_based on steps'!D$1:D$400,0)),D$2,)</f>
        <v>0</v>
      </c>
      <c r="E356" s="179">
        <f ca="1">IF(ISNUMBER(MATCH(DATEVALUE($A356),'recurring1_based on steps'!E$1:E$400,0)),E$2,)</f>
        <v>0</v>
      </c>
      <c r="F356" s="179">
        <f ca="1">IF(ISNUMBER(MATCH(DATEVALUE($A356),'recurring1_based on steps'!F$1:F$400,0)),F$2,)</f>
        <v>0</v>
      </c>
      <c r="G356" s="179">
        <f ca="1">IF(ISNUMBER(MATCH(DATEVALUE($A356),'recurring1_based on steps'!G$1:G$400,0)),G$2,)</f>
        <v>0</v>
      </c>
      <c r="H356" s="179">
        <f ca="1">IF(ISNUMBER(MATCH(DATEVALUE($A356),'recurring1_based on steps'!H$1:H$400,0)),H$2,)</f>
        <v>0</v>
      </c>
      <c r="I356" s="179">
        <f ca="1">IF(ISNUMBER(MATCH(DATEVALUE($A356),'recurring1_based on steps'!I$1:I$400,0)),I$2,)</f>
        <v>0</v>
      </c>
      <c r="J356" s="179">
        <f ca="1">IF(ISNUMBER(MATCH(DATEVALUE($A356),'recurring1_based on steps'!J$1:J$400,0)),J$2,)</f>
        <v>0</v>
      </c>
      <c r="K356" s="179">
        <f ca="1">IF(ISNUMBER(MATCH(DATEVALUE($A356),'recurring1_based on steps'!K$1:K$400,0)),K$2,)</f>
        <v>0</v>
      </c>
      <c r="L356" s="179">
        <f ca="1">IF(ISNUMBER(MATCH(DATEVALUE($A356),'recurring1_based on steps'!L$1:L$400,0)),L$2,)</f>
        <v>0</v>
      </c>
      <c r="M356" s="179">
        <f ca="1">IF(ISNUMBER(MATCH(DATEVALUE($A356),'recurring1_based on steps'!M$1:M$400,0)),M$2,)</f>
        <v>0</v>
      </c>
      <c r="N356" s="179">
        <f ca="1">IF(ISNUMBER(MATCH(DATEVALUE($A356),'recurring1_based on steps'!N$1:N$400,0)),N$2,)</f>
        <v>0</v>
      </c>
      <c r="O356" s="179">
        <f ca="1">IF(ISNUMBER(MATCH(DATEVALUE($A356),'recurring1_based on steps'!O$1:O$400,0)),O$2,)</f>
        <v>0</v>
      </c>
      <c r="P356" s="179">
        <f ca="1">IF(ISNUMBER(MATCH(DATEVALUE($A356),'recurring1_based on steps'!P$1:P$400,0)),P$2,)</f>
        <v>0</v>
      </c>
      <c r="Q356" s="179">
        <f ca="1">IF(ISNUMBER(MATCH(DATEVALUE($A356),'recurring1_based on steps'!Q$1:Q$400,0)),Q$2,)</f>
        <v>0</v>
      </c>
      <c r="R356" s="179">
        <f ca="1">IF(ISNUMBER(MATCH(DATEVALUE($A356),'recurring1_based on steps'!R$1:R$400,0)),R$2,)</f>
        <v>0</v>
      </c>
      <c r="S356" s="179">
        <f ca="1">IF(ISNUMBER(MATCH(DATEVALUE($A356),'recurring1_based on steps'!S$1:S$400,0)),S$2,)</f>
        <v>0</v>
      </c>
      <c r="T356" s="179">
        <f ca="1">IF(ISNUMBER(MATCH(DATEVALUE($A356),'recurring1_based on steps'!T$1:T$400,0)),T$2,)</f>
        <v>0</v>
      </c>
      <c r="U356" s="179">
        <f ca="1">IF(ISNUMBER(MATCH(DATEVALUE($A356),'recurring1_based on steps'!U$1:U$400,0)),U$2,)</f>
        <v>0</v>
      </c>
      <c r="V356" s="179">
        <f ca="1">IF(ISNUMBER(MATCH(DATEVALUE($A356),'recurring1_based on steps'!V$1:V$400,0)),V$2,)</f>
        <v>0</v>
      </c>
      <c r="W356" s="179">
        <f ca="1">IF(ISNUMBER(MATCH(DATEVALUE($A356),'recurring1_based on steps'!W$1:W$400,0)),W$2,)</f>
        <v>0</v>
      </c>
      <c r="X356" s="179">
        <f ca="1">IF(ISNUMBER(MATCH(DATEVALUE($A356),'recurring1_based on steps'!X$1:X$400,0)),X$2,)</f>
        <v>0</v>
      </c>
      <c r="Y356" s="179">
        <f ca="1">IF(ISNUMBER(MATCH(DATEVALUE($A356),'recurring1_based on steps'!Y$1:Y$400,0)),Y$2,)</f>
        <v>0</v>
      </c>
      <c r="Z356" s="179">
        <f ca="1">IF(ISNUMBER(MATCH(DATEVALUE($A356),'recurring1_based on steps'!Z$1:Z$400,0)),Z$2,)</f>
        <v>0</v>
      </c>
      <c r="AA356" s="179">
        <f ca="1">IF(ISNUMBER(MATCH(DATEVALUE($A356),'recurring1_based on steps'!AA$1:AA$400,0)),AA$2,)</f>
        <v>0</v>
      </c>
      <c r="AB356" s="179">
        <f ca="1">IF(ISNUMBER(MATCH(DATEVALUE($A356),'recurring1_based on steps'!AB$1:AB$400,0)),AB$2,)</f>
        <v>0</v>
      </c>
      <c r="AC356" s="179">
        <f ca="1">IF(ISNUMBER(MATCH(DATEVALUE($A356),'recurring1_based on steps'!AC$1:AC$400,0)),AC$2,)</f>
        <v>0</v>
      </c>
      <c r="AD356" s="179">
        <f ca="1">IF(ISNUMBER(MATCH(DATEVALUE($A356),'recurring1_based on steps'!AD$1:AD$400,0)),AD$2,)</f>
        <v>0</v>
      </c>
      <c r="AE356" s="179">
        <f ca="1">IF(ISNUMBER(MATCH(DATEVALUE($A356),'recurring1_based on steps'!AE$1:AE$400,0)),AE$2,)</f>
        <v>0</v>
      </c>
      <c r="AF356" s="179">
        <f ca="1">IF(ISNUMBER(MATCH(DATEVALUE($A356),'recurring1_based on steps'!AF$1:AF$400,0)),AF$2,)</f>
        <v>0</v>
      </c>
      <c r="AG356" s="179">
        <f ca="1">IF(ISNUMBER(MATCH(DATEVALUE($A356),'recurring1_based on steps'!AG$1:AG$400,0)),AG$2,)</f>
        <v>0</v>
      </c>
      <c r="AH356" s="179">
        <f ca="1">IF(ISNUMBER(MATCH(DATEVALUE($A356),'recurring1_based on steps'!AH$1:AH$400,0)),AH$2,)</f>
        <v>0</v>
      </c>
      <c r="AI356" s="179">
        <f ca="1">IF(ISNUMBER(MATCH(DATEVALUE($A356),'recurring1_based on steps'!AI$1:AI$400,0)),AI$2,)</f>
        <v>0</v>
      </c>
      <c r="AJ356" s="179">
        <f ca="1">IF(ISNUMBER(MATCH(DATEVALUE($A356),'recurring1_based on steps'!AJ$1:AJ$400,0)),AJ$2,)</f>
        <v>0</v>
      </c>
      <c r="AK356" s="179">
        <f ca="1">IF(ISNUMBER(MATCH(DATEVALUE($A356),'recurring1_based on steps'!AK$1:AK$400,0)),AK$2,)</f>
        <v>0</v>
      </c>
      <c r="AL356" s="179">
        <f ca="1">IF(ISNUMBER(MATCH(DATEVALUE($A356),'recurring1_based on steps'!AL$1:AL$400,0)),AL$2,)</f>
        <v>0</v>
      </c>
      <c r="AM356" s="179">
        <f ca="1">IF(ISNUMBER(MATCH(DATEVALUE($A356),'recurring1_based on steps'!AM$1:AM$400,0)),AM$2,)</f>
        <v>0</v>
      </c>
      <c r="AN356" s="179">
        <f ca="1">IF(ISNUMBER(MATCH(DATEVALUE($A356),'recurring1_based on steps'!AN$1:AN$400,0)),AN$2,)</f>
        <v>0</v>
      </c>
      <c r="AO356" s="179">
        <f ca="1">IF(ISNUMBER(MATCH(DATEVALUE($A356),'recurring1_based on steps'!AO$1:AO$400,0)),AO$2,)</f>
        <v>0</v>
      </c>
      <c r="AP356" s="179">
        <f ca="1">IF(ISNUMBER(MATCH(DATEVALUE($A356),'recurring1_based on steps'!AP$1:AP$400,0)),AP$2,)</f>
        <v>0</v>
      </c>
      <c r="AQ356" s="179">
        <f ca="1">IF(ISNUMBER(MATCH(DATEVALUE($A356),'recurring1_based on steps'!AQ$1:AQ$400,0)),AQ$2,)</f>
        <v>0</v>
      </c>
      <c r="AR356" s="179">
        <f ca="1">IF(ISNUMBER(MATCH(DATEVALUE($A356),'recurring1_based on steps'!AR$1:AR$400,0)),AR$2,)</f>
        <v>0</v>
      </c>
      <c r="AS356" s="179">
        <f ca="1">IF(ISNUMBER(MATCH(DATEVALUE($A356),'recurring1_based on steps'!AS$1:AS$400,0)),AS$2,)</f>
        <v>0</v>
      </c>
      <c r="AT356" s="179">
        <f ca="1">IF(ISNUMBER(MATCH(DATEVALUE($A356),'recurring1_based on steps'!AT$1:AT$400,0)),AT$2,)</f>
        <v>0</v>
      </c>
      <c r="AU356" s="179">
        <f ca="1">IF(ISNUMBER(MATCH(DATEVALUE($A356),'recurring1_based on steps'!AU$1:AU$400,0)),AU$2,)</f>
        <v>0</v>
      </c>
      <c r="AV356" s="179">
        <f ca="1">IF(ISNUMBER(MATCH(DATEVALUE($A356),'recurring1_based on steps'!AV$1:AV$400,0)),AV$2,)</f>
        <v>0</v>
      </c>
      <c r="AW356" s="179">
        <f ca="1">IF(ISNUMBER(MATCH(DATEVALUE($A356),'recurring1_based on steps'!AW$1:AW$400,0)),AW$2,)</f>
        <v>0</v>
      </c>
      <c r="AX356" s="179">
        <f ca="1">IF(ISNUMBER(MATCH(DATEVALUE($A356),'recurring1_based on steps'!AX$1:AX$400,0)),AX$2,)</f>
        <v>0</v>
      </c>
      <c r="AY356" s="179">
        <f ca="1">IF(ISNUMBER(MATCH(DATEVALUE($A356),'recurring1_based on steps'!AY$1:AY$400,0)),AY$2,)</f>
        <v>0</v>
      </c>
    </row>
    <row r="357" spans="1:51" x14ac:dyDescent="0.2">
      <c r="A357" s="32" t="str">
        <f t="shared" ca="1" si="5"/>
        <v>2026-03-18</v>
      </c>
      <c r="B357" s="179">
        <f ca="1">IF(ISNUMBER(MATCH(DATEVALUE($A357),'recurring1_based on steps'!B$1:B$400,0)),B$2,)</f>
        <v>0</v>
      </c>
      <c r="C357" s="179">
        <f ca="1">IF(ISNUMBER(MATCH(DATEVALUE($A357),'recurring1_based on steps'!C$1:C$400,0)),C$2,)</f>
        <v>0</v>
      </c>
      <c r="D357" s="179">
        <f ca="1">IF(ISNUMBER(MATCH(DATEVALUE($A357),'recurring1_based on steps'!D$1:D$400,0)),D$2,)</f>
        <v>0</v>
      </c>
      <c r="E357" s="179">
        <f ca="1">IF(ISNUMBER(MATCH(DATEVALUE($A357),'recurring1_based on steps'!E$1:E$400,0)),E$2,)</f>
        <v>0</v>
      </c>
      <c r="F357" s="179">
        <f ca="1">IF(ISNUMBER(MATCH(DATEVALUE($A357),'recurring1_based on steps'!F$1:F$400,0)),F$2,)</f>
        <v>0</v>
      </c>
      <c r="G357" s="179">
        <f ca="1">IF(ISNUMBER(MATCH(DATEVALUE($A357),'recurring1_based on steps'!G$1:G$400,0)),G$2,)</f>
        <v>0</v>
      </c>
      <c r="H357" s="179">
        <f ca="1">IF(ISNUMBER(MATCH(DATEVALUE($A357),'recurring1_based on steps'!H$1:H$400,0)),H$2,)</f>
        <v>0</v>
      </c>
      <c r="I357" s="179">
        <f ca="1">IF(ISNUMBER(MATCH(DATEVALUE($A357),'recurring1_based on steps'!I$1:I$400,0)),I$2,)</f>
        <v>0</v>
      </c>
      <c r="J357" s="179">
        <f ca="1">IF(ISNUMBER(MATCH(DATEVALUE($A357),'recurring1_based on steps'!J$1:J$400,0)),J$2,)</f>
        <v>0</v>
      </c>
      <c r="K357" s="179">
        <f ca="1">IF(ISNUMBER(MATCH(DATEVALUE($A357),'recurring1_based on steps'!K$1:K$400,0)),K$2,)</f>
        <v>0</v>
      </c>
      <c r="L357" s="179">
        <f ca="1">IF(ISNUMBER(MATCH(DATEVALUE($A357),'recurring1_based on steps'!L$1:L$400,0)),L$2,)</f>
        <v>0</v>
      </c>
      <c r="M357" s="179">
        <f ca="1">IF(ISNUMBER(MATCH(DATEVALUE($A357),'recurring1_based on steps'!M$1:M$400,0)),M$2,)</f>
        <v>0</v>
      </c>
      <c r="N357" s="179">
        <f ca="1">IF(ISNUMBER(MATCH(DATEVALUE($A357),'recurring1_based on steps'!N$1:N$400,0)),N$2,)</f>
        <v>0</v>
      </c>
      <c r="O357" s="179">
        <f ca="1">IF(ISNUMBER(MATCH(DATEVALUE($A357),'recurring1_based on steps'!O$1:O$400,0)),O$2,)</f>
        <v>0</v>
      </c>
      <c r="P357" s="179">
        <f ca="1">IF(ISNUMBER(MATCH(DATEVALUE($A357),'recurring1_based on steps'!P$1:P$400,0)),P$2,)</f>
        <v>0</v>
      </c>
      <c r="Q357" s="179">
        <f ca="1">IF(ISNUMBER(MATCH(DATEVALUE($A357),'recurring1_based on steps'!Q$1:Q$400,0)),Q$2,)</f>
        <v>0</v>
      </c>
      <c r="R357" s="179">
        <f ca="1">IF(ISNUMBER(MATCH(DATEVALUE($A357),'recurring1_based on steps'!R$1:R$400,0)),R$2,)</f>
        <v>0</v>
      </c>
      <c r="S357" s="179">
        <f ca="1">IF(ISNUMBER(MATCH(DATEVALUE($A357),'recurring1_based on steps'!S$1:S$400,0)),S$2,)</f>
        <v>0</v>
      </c>
      <c r="T357" s="179">
        <f ca="1">IF(ISNUMBER(MATCH(DATEVALUE($A357),'recurring1_based on steps'!T$1:T$400,0)),T$2,)</f>
        <v>0</v>
      </c>
      <c r="U357" s="179">
        <f ca="1">IF(ISNUMBER(MATCH(DATEVALUE($A357),'recurring1_based on steps'!U$1:U$400,0)),U$2,)</f>
        <v>0</v>
      </c>
      <c r="V357" s="179">
        <f ca="1">IF(ISNUMBER(MATCH(DATEVALUE($A357),'recurring1_based on steps'!V$1:V$400,0)),V$2,)</f>
        <v>0</v>
      </c>
      <c r="W357" s="179">
        <f ca="1">IF(ISNUMBER(MATCH(DATEVALUE($A357),'recurring1_based on steps'!W$1:W$400,0)),W$2,)</f>
        <v>0</v>
      </c>
      <c r="X357" s="179">
        <f ca="1">IF(ISNUMBER(MATCH(DATEVALUE($A357),'recurring1_based on steps'!X$1:X$400,0)),X$2,)</f>
        <v>0</v>
      </c>
      <c r="Y357" s="179">
        <f ca="1">IF(ISNUMBER(MATCH(DATEVALUE($A357),'recurring1_based on steps'!Y$1:Y$400,0)),Y$2,)</f>
        <v>0</v>
      </c>
      <c r="Z357" s="179">
        <f ca="1">IF(ISNUMBER(MATCH(DATEVALUE($A357),'recurring1_based on steps'!Z$1:Z$400,0)),Z$2,)</f>
        <v>0</v>
      </c>
      <c r="AA357" s="179">
        <f ca="1">IF(ISNUMBER(MATCH(DATEVALUE($A357),'recurring1_based on steps'!AA$1:AA$400,0)),AA$2,)</f>
        <v>0</v>
      </c>
      <c r="AB357" s="179">
        <f ca="1">IF(ISNUMBER(MATCH(DATEVALUE($A357),'recurring1_based on steps'!AB$1:AB$400,0)),AB$2,)</f>
        <v>0</v>
      </c>
      <c r="AC357" s="179">
        <f ca="1">IF(ISNUMBER(MATCH(DATEVALUE($A357),'recurring1_based on steps'!AC$1:AC$400,0)),AC$2,)</f>
        <v>0</v>
      </c>
      <c r="AD357" s="179">
        <f ca="1">IF(ISNUMBER(MATCH(DATEVALUE($A357),'recurring1_based on steps'!AD$1:AD$400,0)),AD$2,)</f>
        <v>0</v>
      </c>
      <c r="AE357" s="179">
        <f ca="1">IF(ISNUMBER(MATCH(DATEVALUE($A357),'recurring1_based on steps'!AE$1:AE$400,0)),AE$2,)</f>
        <v>0</v>
      </c>
      <c r="AF357" s="179">
        <f ca="1">IF(ISNUMBER(MATCH(DATEVALUE($A357),'recurring1_based on steps'!AF$1:AF$400,0)),AF$2,)</f>
        <v>0</v>
      </c>
      <c r="AG357" s="179">
        <f ca="1">IF(ISNUMBER(MATCH(DATEVALUE($A357),'recurring1_based on steps'!AG$1:AG$400,0)),AG$2,)</f>
        <v>0</v>
      </c>
      <c r="AH357" s="179">
        <f ca="1">IF(ISNUMBER(MATCH(DATEVALUE($A357),'recurring1_based on steps'!AH$1:AH$400,0)),AH$2,)</f>
        <v>0</v>
      </c>
      <c r="AI357" s="179">
        <f ca="1">IF(ISNUMBER(MATCH(DATEVALUE($A357),'recurring1_based on steps'!AI$1:AI$400,0)),AI$2,)</f>
        <v>0</v>
      </c>
      <c r="AJ357" s="179">
        <f ca="1">IF(ISNUMBER(MATCH(DATEVALUE($A357),'recurring1_based on steps'!AJ$1:AJ$400,0)),AJ$2,)</f>
        <v>0</v>
      </c>
      <c r="AK357" s="179">
        <f ca="1">IF(ISNUMBER(MATCH(DATEVALUE($A357),'recurring1_based on steps'!AK$1:AK$400,0)),AK$2,)</f>
        <v>0</v>
      </c>
      <c r="AL357" s="179">
        <f ca="1">IF(ISNUMBER(MATCH(DATEVALUE($A357),'recurring1_based on steps'!AL$1:AL$400,0)),AL$2,)</f>
        <v>0</v>
      </c>
      <c r="AM357" s="179">
        <f ca="1">IF(ISNUMBER(MATCH(DATEVALUE($A357),'recurring1_based on steps'!AM$1:AM$400,0)),AM$2,)</f>
        <v>0</v>
      </c>
      <c r="AN357" s="179">
        <f ca="1">IF(ISNUMBER(MATCH(DATEVALUE($A357),'recurring1_based on steps'!AN$1:AN$400,0)),AN$2,)</f>
        <v>0</v>
      </c>
      <c r="AO357" s="179">
        <f ca="1">IF(ISNUMBER(MATCH(DATEVALUE($A357),'recurring1_based on steps'!AO$1:AO$400,0)),AO$2,)</f>
        <v>0</v>
      </c>
      <c r="AP357" s="179">
        <f ca="1">IF(ISNUMBER(MATCH(DATEVALUE($A357),'recurring1_based on steps'!AP$1:AP$400,0)),AP$2,)</f>
        <v>0</v>
      </c>
      <c r="AQ357" s="179">
        <f ca="1">IF(ISNUMBER(MATCH(DATEVALUE($A357),'recurring1_based on steps'!AQ$1:AQ$400,0)),AQ$2,)</f>
        <v>0</v>
      </c>
      <c r="AR357" s="179">
        <f ca="1">IF(ISNUMBER(MATCH(DATEVALUE($A357),'recurring1_based on steps'!AR$1:AR$400,0)),AR$2,)</f>
        <v>0</v>
      </c>
      <c r="AS357" s="179">
        <f ca="1">IF(ISNUMBER(MATCH(DATEVALUE($A357),'recurring1_based on steps'!AS$1:AS$400,0)),AS$2,)</f>
        <v>0</v>
      </c>
      <c r="AT357" s="179">
        <f ca="1">IF(ISNUMBER(MATCH(DATEVALUE($A357),'recurring1_based on steps'!AT$1:AT$400,0)),AT$2,)</f>
        <v>0</v>
      </c>
      <c r="AU357" s="179">
        <f ca="1">IF(ISNUMBER(MATCH(DATEVALUE($A357),'recurring1_based on steps'!AU$1:AU$400,0)),AU$2,)</f>
        <v>0</v>
      </c>
      <c r="AV357" s="179">
        <f ca="1">IF(ISNUMBER(MATCH(DATEVALUE($A357),'recurring1_based on steps'!AV$1:AV$400,0)),AV$2,)</f>
        <v>0</v>
      </c>
      <c r="AW357" s="179">
        <f ca="1">IF(ISNUMBER(MATCH(DATEVALUE($A357),'recurring1_based on steps'!AW$1:AW$400,0)),AW$2,)</f>
        <v>0</v>
      </c>
      <c r="AX357" s="179">
        <f ca="1">IF(ISNUMBER(MATCH(DATEVALUE($A357),'recurring1_based on steps'!AX$1:AX$400,0)),AX$2,)</f>
        <v>0</v>
      </c>
      <c r="AY357" s="179">
        <f ca="1">IF(ISNUMBER(MATCH(DATEVALUE($A357),'recurring1_based on steps'!AY$1:AY$400,0)),AY$2,)</f>
        <v>0</v>
      </c>
    </row>
    <row r="358" spans="1:51" x14ac:dyDescent="0.2">
      <c r="A358" s="32" t="str">
        <f t="shared" ca="1" si="5"/>
        <v>2026-03-19</v>
      </c>
      <c r="B358" s="179">
        <f ca="1">IF(ISNUMBER(MATCH(DATEVALUE($A358),'recurring1_based on steps'!B$1:B$400,0)),B$2,)</f>
        <v>0</v>
      </c>
      <c r="C358" s="179">
        <f ca="1">IF(ISNUMBER(MATCH(DATEVALUE($A358),'recurring1_based on steps'!C$1:C$400,0)),C$2,)</f>
        <v>0</v>
      </c>
      <c r="D358" s="179">
        <f ca="1">IF(ISNUMBER(MATCH(DATEVALUE($A358),'recurring1_based on steps'!D$1:D$400,0)),D$2,)</f>
        <v>0</v>
      </c>
      <c r="E358" s="179">
        <f ca="1">IF(ISNUMBER(MATCH(DATEVALUE($A358),'recurring1_based on steps'!E$1:E$400,0)),E$2,)</f>
        <v>0</v>
      </c>
      <c r="F358" s="179">
        <f ca="1">IF(ISNUMBER(MATCH(DATEVALUE($A358),'recurring1_based on steps'!F$1:F$400,0)),F$2,)</f>
        <v>0</v>
      </c>
      <c r="G358" s="179">
        <f ca="1">IF(ISNUMBER(MATCH(DATEVALUE($A358),'recurring1_based on steps'!G$1:G$400,0)),G$2,)</f>
        <v>0</v>
      </c>
      <c r="H358" s="179">
        <f ca="1">IF(ISNUMBER(MATCH(DATEVALUE($A358),'recurring1_based on steps'!H$1:H$400,0)),H$2,)</f>
        <v>0</v>
      </c>
      <c r="I358" s="179">
        <f ca="1">IF(ISNUMBER(MATCH(DATEVALUE($A358),'recurring1_based on steps'!I$1:I$400,0)),I$2,)</f>
        <v>0</v>
      </c>
      <c r="J358" s="179">
        <f ca="1">IF(ISNUMBER(MATCH(DATEVALUE($A358),'recurring1_based on steps'!J$1:J$400,0)),J$2,)</f>
        <v>0</v>
      </c>
      <c r="K358" s="179">
        <f ca="1">IF(ISNUMBER(MATCH(DATEVALUE($A358),'recurring1_based on steps'!K$1:K$400,0)),K$2,)</f>
        <v>0</v>
      </c>
      <c r="L358" s="179">
        <f ca="1">IF(ISNUMBER(MATCH(DATEVALUE($A358),'recurring1_based on steps'!L$1:L$400,0)),L$2,)</f>
        <v>0</v>
      </c>
      <c r="M358" s="179">
        <f ca="1">IF(ISNUMBER(MATCH(DATEVALUE($A358),'recurring1_based on steps'!M$1:M$400,0)),M$2,)</f>
        <v>0</v>
      </c>
      <c r="N358" s="179">
        <f ca="1">IF(ISNUMBER(MATCH(DATEVALUE($A358),'recurring1_based on steps'!N$1:N$400,0)),N$2,)</f>
        <v>0</v>
      </c>
      <c r="O358" s="179">
        <f ca="1">IF(ISNUMBER(MATCH(DATEVALUE($A358),'recurring1_based on steps'!O$1:O$400,0)),O$2,)</f>
        <v>0</v>
      </c>
      <c r="P358" s="179">
        <f ca="1">IF(ISNUMBER(MATCH(DATEVALUE($A358),'recurring1_based on steps'!P$1:P$400,0)),P$2,)</f>
        <v>0</v>
      </c>
      <c r="Q358" s="179">
        <f ca="1">IF(ISNUMBER(MATCH(DATEVALUE($A358),'recurring1_based on steps'!Q$1:Q$400,0)),Q$2,)</f>
        <v>0</v>
      </c>
      <c r="R358" s="179">
        <f ca="1">IF(ISNUMBER(MATCH(DATEVALUE($A358),'recurring1_based on steps'!R$1:R$400,0)),R$2,)</f>
        <v>0</v>
      </c>
      <c r="S358" s="179">
        <f ca="1">IF(ISNUMBER(MATCH(DATEVALUE($A358),'recurring1_based on steps'!S$1:S$400,0)),S$2,)</f>
        <v>0</v>
      </c>
      <c r="T358" s="179">
        <f ca="1">IF(ISNUMBER(MATCH(DATEVALUE($A358),'recurring1_based on steps'!T$1:T$400,0)),T$2,)</f>
        <v>0</v>
      </c>
      <c r="U358" s="179">
        <f ca="1">IF(ISNUMBER(MATCH(DATEVALUE($A358),'recurring1_based on steps'!U$1:U$400,0)),U$2,)</f>
        <v>0</v>
      </c>
      <c r="V358" s="179">
        <f ca="1">IF(ISNUMBER(MATCH(DATEVALUE($A358),'recurring1_based on steps'!V$1:V$400,0)),V$2,)</f>
        <v>0</v>
      </c>
      <c r="W358" s="179">
        <f ca="1">IF(ISNUMBER(MATCH(DATEVALUE($A358),'recurring1_based on steps'!W$1:W$400,0)),W$2,)</f>
        <v>0</v>
      </c>
      <c r="X358" s="179">
        <f ca="1">IF(ISNUMBER(MATCH(DATEVALUE($A358),'recurring1_based on steps'!X$1:X$400,0)),X$2,)</f>
        <v>0</v>
      </c>
      <c r="Y358" s="179">
        <f ca="1">IF(ISNUMBER(MATCH(DATEVALUE($A358),'recurring1_based on steps'!Y$1:Y$400,0)),Y$2,)</f>
        <v>0</v>
      </c>
      <c r="Z358" s="179">
        <f ca="1">IF(ISNUMBER(MATCH(DATEVALUE($A358),'recurring1_based on steps'!Z$1:Z$400,0)),Z$2,)</f>
        <v>0</v>
      </c>
      <c r="AA358" s="179">
        <f ca="1">IF(ISNUMBER(MATCH(DATEVALUE($A358),'recurring1_based on steps'!AA$1:AA$400,0)),AA$2,)</f>
        <v>0</v>
      </c>
      <c r="AB358" s="179">
        <f ca="1">IF(ISNUMBER(MATCH(DATEVALUE($A358),'recurring1_based on steps'!AB$1:AB$400,0)),AB$2,)</f>
        <v>0</v>
      </c>
      <c r="AC358" s="179">
        <f ca="1">IF(ISNUMBER(MATCH(DATEVALUE($A358),'recurring1_based on steps'!AC$1:AC$400,0)),AC$2,)</f>
        <v>0</v>
      </c>
      <c r="AD358" s="179">
        <f ca="1">IF(ISNUMBER(MATCH(DATEVALUE($A358),'recurring1_based on steps'!AD$1:AD$400,0)),AD$2,)</f>
        <v>0</v>
      </c>
      <c r="AE358" s="179">
        <f ca="1">IF(ISNUMBER(MATCH(DATEVALUE($A358),'recurring1_based on steps'!AE$1:AE$400,0)),AE$2,)</f>
        <v>0</v>
      </c>
      <c r="AF358" s="179">
        <f ca="1">IF(ISNUMBER(MATCH(DATEVALUE($A358),'recurring1_based on steps'!AF$1:AF$400,0)),AF$2,)</f>
        <v>0</v>
      </c>
      <c r="AG358" s="179">
        <f ca="1">IF(ISNUMBER(MATCH(DATEVALUE($A358),'recurring1_based on steps'!AG$1:AG$400,0)),AG$2,)</f>
        <v>0</v>
      </c>
      <c r="AH358" s="179">
        <f ca="1">IF(ISNUMBER(MATCH(DATEVALUE($A358),'recurring1_based on steps'!AH$1:AH$400,0)),AH$2,)</f>
        <v>0</v>
      </c>
      <c r="AI358" s="179">
        <f ca="1">IF(ISNUMBER(MATCH(DATEVALUE($A358),'recurring1_based on steps'!AI$1:AI$400,0)),AI$2,)</f>
        <v>0</v>
      </c>
      <c r="AJ358" s="179">
        <f ca="1">IF(ISNUMBER(MATCH(DATEVALUE($A358),'recurring1_based on steps'!AJ$1:AJ$400,0)),AJ$2,)</f>
        <v>0</v>
      </c>
      <c r="AK358" s="179">
        <f ca="1">IF(ISNUMBER(MATCH(DATEVALUE($A358),'recurring1_based on steps'!AK$1:AK$400,0)),AK$2,)</f>
        <v>0</v>
      </c>
      <c r="AL358" s="179">
        <f ca="1">IF(ISNUMBER(MATCH(DATEVALUE($A358),'recurring1_based on steps'!AL$1:AL$400,0)),AL$2,)</f>
        <v>0</v>
      </c>
      <c r="AM358" s="179">
        <f ca="1">IF(ISNUMBER(MATCH(DATEVALUE($A358),'recurring1_based on steps'!AM$1:AM$400,0)),AM$2,)</f>
        <v>0</v>
      </c>
      <c r="AN358" s="179">
        <f ca="1">IF(ISNUMBER(MATCH(DATEVALUE($A358),'recurring1_based on steps'!AN$1:AN$400,0)),AN$2,)</f>
        <v>0</v>
      </c>
      <c r="AO358" s="179">
        <f ca="1">IF(ISNUMBER(MATCH(DATEVALUE($A358),'recurring1_based on steps'!AO$1:AO$400,0)),AO$2,)</f>
        <v>0</v>
      </c>
      <c r="AP358" s="179">
        <f ca="1">IF(ISNUMBER(MATCH(DATEVALUE($A358),'recurring1_based on steps'!AP$1:AP$400,0)),AP$2,)</f>
        <v>0</v>
      </c>
      <c r="AQ358" s="179">
        <f ca="1">IF(ISNUMBER(MATCH(DATEVALUE($A358),'recurring1_based on steps'!AQ$1:AQ$400,0)),AQ$2,)</f>
        <v>0</v>
      </c>
      <c r="AR358" s="179">
        <f ca="1">IF(ISNUMBER(MATCH(DATEVALUE($A358),'recurring1_based on steps'!AR$1:AR$400,0)),AR$2,)</f>
        <v>0</v>
      </c>
      <c r="AS358" s="179">
        <f ca="1">IF(ISNUMBER(MATCH(DATEVALUE($A358),'recurring1_based on steps'!AS$1:AS$400,0)),AS$2,)</f>
        <v>0</v>
      </c>
      <c r="AT358" s="179">
        <f ca="1">IF(ISNUMBER(MATCH(DATEVALUE($A358),'recurring1_based on steps'!AT$1:AT$400,0)),AT$2,)</f>
        <v>0</v>
      </c>
      <c r="AU358" s="179">
        <f ca="1">IF(ISNUMBER(MATCH(DATEVALUE($A358),'recurring1_based on steps'!AU$1:AU$400,0)),AU$2,)</f>
        <v>0</v>
      </c>
      <c r="AV358" s="179">
        <f ca="1">IF(ISNUMBER(MATCH(DATEVALUE($A358),'recurring1_based on steps'!AV$1:AV$400,0)),AV$2,)</f>
        <v>0</v>
      </c>
      <c r="AW358" s="179">
        <f ca="1">IF(ISNUMBER(MATCH(DATEVALUE($A358),'recurring1_based on steps'!AW$1:AW$400,0)),AW$2,)</f>
        <v>0</v>
      </c>
      <c r="AX358" s="179">
        <f ca="1">IF(ISNUMBER(MATCH(DATEVALUE($A358),'recurring1_based on steps'!AX$1:AX$400,0)),AX$2,)</f>
        <v>0</v>
      </c>
      <c r="AY358" s="179">
        <f ca="1">IF(ISNUMBER(MATCH(DATEVALUE($A358),'recurring1_based on steps'!AY$1:AY$400,0)),AY$2,)</f>
        <v>0</v>
      </c>
    </row>
    <row r="359" spans="1:51" x14ac:dyDescent="0.2">
      <c r="A359" s="32" t="str">
        <f t="shared" ca="1" si="5"/>
        <v>2026-03-20</v>
      </c>
      <c r="B359" s="179">
        <f ca="1">IF(ISNUMBER(MATCH(DATEVALUE($A359),'recurring1_based on steps'!B$1:B$400,0)),B$2,)</f>
        <v>0</v>
      </c>
      <c r="C359" s="179">
        <f ca="1">IF(ISNUMBER(MATCH(DATEVALUE($A359),'recurring1_based on steps'!C$1:C$400,0)),C$2,)</f>
        <v>0</v>
      </c>
      <c r="D359" s="179">
        <f ca="1">IF(ISNUMBER(MATCH(DATEVALUE($A359),'recurring1_based on steps'!D$1:D$400,0)),D$2,)</f>
        <v>0</v>
      </c>
      <c r="E359" s="179">
        <f ca="1">IF(ISNUMBER(MATCH(DATEVALUE($A359),'recurring1_based on steps'!E$1:E$400,0)),E$2,)</f>
        <v>0</v>
      </c>
      <c r="F359" s="179">
        <f ca="1">IF(ISNUMBER(MATCH(DATEVALUE($A359),'recurring1_based on steps'!F$1:F$400,0)),F$2,)</f>
        <v>0</v>
      </c>
      <c r="G359" s="179">
        <f ca="1">IF(ISNUMBER(MATCH(DATEVALUE($A359),'recurring1_based on steps'!G$1:G$400,0)),G$2,)</f>
        <v>0</v>
      </c>
      <c r="H359" s="179">
        <f ca="1">IF(ISNUMBER(MATCH(DATEVALUE($A359),'recurring1_based on steps'!H$1:H$400,0)),H$2,)</f>
        <v>0</v>
      </c>
      <c r="I359" s="179">
        <f ca="1">IF(ISNUMBER(MATCH(DATEVALUE($A359),'recurring1_based on steps'!I$1:I$400,0)),I$2,)</f>
        <v>0</v>
      </c>
      <c r="J359" s="179">
        <f ca="1">IF(ISNUMBER(MATCH(DATEVALUE($A359),'recurring1_based on steps'!J$1:J$400,0)),J$2,)</f>
        <v>0</v>
      </c>
      <c r="K359" s="179">
        <f ca="1">IF(ISNUMBER(MATCH(DATEVALUE($A359),'recurring1_based on steps'!K$1:K$400,0)),K$2,)</f>
        <v>0</v>
      </c>
      <c r="L359" s="179">
        <f ca="1">IF(ISNUMBER(MATCH(DATEVALUE($A359),'recurring1_based on steps'!L$1:L$400,0)),L$2,)</f>
        <v>0</v>
      </c>
      <c r="M359" s="179">
        <f ca="1">IF(ISNUMBER(MATCH(DATEVALUE($A359),'recurring1_based on steps'!M$1:M$400,0)),M$2,)</f>
        <v>0</v>
      </c>
      <c r="N359" s="179">
        <f ca="1">IF(ISNUMBER(MATCH(DATEVALUE($A359),'recurring1_based on steps'!N$1:N$400,0)),N$2,)</f>
        <v>0</v>
      </c>
      <c r="O359" s="179">
        <f ca="1">IF(ISNUMBER(MATCH(DATEVALUE($A359),'recurring1_based on steps'!O$1:O$400,0)),O$2,)</f>
        <v>0</v>
      </c>
      <c r="P359" s="179">
        <f ca="1">IF(ISNUMBER(MATCH(DATEVALUE($A359),'recurring1_based on steps'!P$1:P$400,0)),P$2,)</f>
        <v>0</v>
      </c>
      <c r="Q359" s="179">
        <f ca="1">IF(ISNUMBER(MATCH(DATEVALUE($A359),'recurring1_based on steps'!Q$1:Q$400,0)),Q$2,)</f>
        <v>0</v>
      </c>
      <c r="R359" s="179">
        <f ca="1">IF(ISNUMBER(MATCH(DATEVALUE($A359),'recurring1_based on steps'!R$1:R$400,0)),R$2,)</f>
        <v>0</v>
      </c>
      <c r="S359" s="179">
        <f ca="1">IF(ISNUMBER(MATCH(DATEVALUE($A359),'recurring1_based on steps'!S$1:S$400,0)),S$2,)</f>
        <v>0</v>
      </c>
      <c r="T359" s="179">
        <f ca="1">IF(ISNUMBER(MATCH(DATEVALUE($A359),'recurring1_based on steps'!T$1:T$400,0)),T$2,)</f>
        <v>0</v>
      </c>
      <c r="U359" s="179">
        <f ca="1">IF(ISNUMBER(MATCH(DATEVALUE($A359),'recurring1_based on steps'!U$1:U$400,0)),U$2,)</f>
        <v>0</v>
      </c>
      <c r="V359" s="179">
        <f ca="1">IF(ISNUMBER(MATCH(DATEVALUE($A359),'recurring1_based on steps'!V$1:V$400,0)),V$2,)</f>
        <v>0</v>
      </c>
      <c r="W359" s="179">
        <f ca="1">IF(ISNUMBER(MATCH(DATEVALUE($A359),'recurring1_based on steps'!W$1:W$400,0)),W$2,)</f>
        <v>0</v>
      </c>
      <c r="X359" s="179">
        <f ca="1">IF(ISNUMBER(MATCH(DATEVALUE($A359),'recurring1_based on steps'!X$1:X$400,0)),X$2,)</f>
        <v>0</v>
      </c>
      <c r="Y359" s="179">
        <f ca="1">IF(ISNUMBER(MATCH(DATEVALUE($A359),'recurring1_based on steps'!Y$1:Y$400,0)),Y$2,)</f>
        <v>0</v>
      </c>
      <c r="Z359" s="179">
        <f ca="1">IF(ISNUMBER(MATCH(DATEVALUE($A359),'recurring1_based on steps'!Z$1:Z$400,0)),Z$2,)</f>
        <v>0</v>
      </c>
      <c r="AA359" s="179">
        <f ca="1">IF(ISNUMBER(MATCH(DATEVALUE($A359),'recurring1_based on steps'!AA$1:AA$400,0)),AA$2,)</f>
        <v>0</v>
      </c>
      <c r="AB359" s="179">
        <f ca="1">IF(ISNUMBER(MATCH(DATEVALUE($A359),'recurring1_based on steps'!AB$1:AB$400,0)),AB$2,)</f>
        <v>0</v>
      </c>
      <c r="AC359" s="179">
        <f ca="1">IF(ISNUMBER(MATCH(DATEVALUE($A359),'recurring1_based on steps'!AC$1:AC$400,0)),AC$2,)</f>
        <v>0</v>
      </c>
      <c r="AD359" s="179">
        <f ca="1">IF(ISNUMBER(MATCH(DATEVALUE($A359),'recurring1_based on steps'!AD$1:AD$400,0)),AD$2,)</f>
        <v>0</v>
      </c>
      <c r="AE359" s="179">
        <f ca="1">IF(ISNUMBER(MATCH(DATEVALUE($A359),'recurring1_based on steps'!AE$1:AE$400,0)),AE$2,)</f>
        <v>0</v>
      </c>
      <c r="AF359" s="179">
        <f ca="1">IF(ISNUMBER(MATCH(DATEVALUE($A359),'recurring1_based on steps'!AF$1:AF$400,0)),AF$2,)</f>
        <v>0</v>
      </c>
      <c r="AG359" s="179">
        <f ca="1">IF(ISNUMBER(MATCH(DATEVALUE($A359),'recurring1_based on steps'!AG$1:AG$400,0)),AG$2,)</f>
        <v>0</v>
      </c>
      <c r="AH359" s="179">
        <f ca="1">IF(ISNUMBER(MATCH(DATEVALUE($A359),'recurring1_based on steps'!AH$1:AH$400,0)),AH$2,)</f>
        <v>0</v>
      </c>
      <c r="AI359" s="179">
        <f ca="1">IF(ISNUMBER(MATCH(DATEVALUE($A359),'recurring1_based on steps'!AI$1:AI$400,0)),AI$2,)</f>
        <v>0</v>
      </c>
      <c r="AJ359" s="179">
        <f ca="1">IF(ISNUMBER(MATCH(DATEVALUE($A359),'recurring1_based on steps'!AJ$1:AJ$400,0)),AJ$2,)</f>
        <v>0</v>
      </c>
      <c r="AK359" s="179">
        <f ca="1">IF(ISNUMBER(MATCH(DATEVALUE($A359),'recurring1_based on steps'!AK$1:AK$400,0)),AK$2,)</f>
        <v>0</v>
      </c>
      <c r="AL359" s="179">
        <f ca="1">IF(ISNUMBER(MATCH(DATEVALUE($A359),'recurring1_based on steps'!AL$1:AL$400,0)),AL$2,)</f>
        <v>0</v>
      </c>
      <c r="AM359" s="179">
        <f ca="1">IF(ISNUMBER(MATCH(DATEVALUE($A359),'recurring1_based on steps'!AM$1:AM$400,0)),AM$2,)</f>
        <v>0</v>
      </c>
      <c r="AN359" s="179">
        <f ca="1">IF(ISNUMBER(MATCH(DATEVALUE($A359),'recurring1_based on steps'!AN$1:AN$400,0)),AN$2,)</f>
        <v>0</v>
      </c>
      <c r="AO359" s="179">
        <f ca="1">IF(ISNUMBER(MATCH(DATEVALUE($A359),'recurring1_based on steps'!AO$1:AO$400,0)),AO$2,)</f>
        <v>0</v>
      </c>
      <c r="AP359" s="179">
        <f ca="1">IF(ISNUMBER(MATCH(DATEVALUE($A359),'recurring1_based on steps'!AP$1:AP$400,0)),AP$2,)</f>
        <v>0</v>
      </c>
      <c r="AQ359" s="179">
        <f ca="1">IF(ISNUMBER(MATCH(DATEVALUE($A359),'recurring1_based on steps'!AQ$1:AQ$400,0)),AQ$2,)</f>
        <v>0</v>
      </c>
      <c r="AR359" s="179">
        <f ca="1">IF(ISNUMBER(MATCH(DATEVALUE($A359),'recurring1_based on steps'!AR$1:AR$400,0)),AR$2,)</f>
        <v>0</v>
      </c>
      <c r="AS359" s="179">
        <f ca="1">IF(ISNUMBER(MATCH(DATEVALUE($A359),'recurring1_based on steps'!AS$1:AS$400,0)),AS$2,)</f>
        <v>0</v>
      </c>
      <c r="AT359" s="179">
        <f ca="1">IF(ISNUMBER(MATCH(DATEVALUE($A359),'recurring1_based on steps'!AT$1:AT$400,0)),AT$2,)</f>
        <v>0</v>
      </c>
      <c r="AU359" s="179">
        <f ca="1">IF(ISNUMBER(MATCH(DATEVALUE($A359),'recurring1_based on steps'!AU$1:AU$400,0)),AU$2,)</f>
        <v>0</v>
      </c>
      <c r="AV359" s="179">
        <f ca="1">IF(ISNUMBER(MATCH(DATEVALUE($A359),'recurring1_based on steps'!AV$1:AV$400,0)),AV$2,)</f>
        <v>0</v>
      </c>
      <c r="AW359" s="179">
        <f ca="1">IF(ISNUMBER(MATCH(DATEVALUE($A359),'recurring1_based on steps'!AW$1:AW$400,0)),AW$2,)</f>
        <v>0</v>
      </c>
      <c r="AX359" s="179">
        <f ca="1">IF(ISNUMBER(MATCH(DATEVALUE($A359),'recurring1_based on steps'!AX$1:AX$400,0)),AX$2,)</f>
        <v>0</v>
      </c>
      <c r="AY359" s="179">
        <f ca="1">IF(ISNUMBER(MATCH(DATEVALUE($A359),'recurring1_based on steps'!AY$1:AY$400,0)),AY$2,)</f>
        <v>0</v>
      </c>
    </row>
    <row r="360" spans="1:51" x14ac:dyDescent="0.2">
      <c r="A360" s="32" t="str">
        <f t="shared" ca="1" si="5"/>
        <v>2026-03-21</v>
      </c>
      <c r="B360" s="179">
        <f ca="1">IF(ISNUMBER(MATCH(DATEVALUE($A360),'recurring1_based on steps'!B$1:B$400,0)),B$2,)</f>
        <v>0</v>
      </c>
      <c r="C360" s="179">
        <f ca="1">IF(ISNUMBER(MATCH(DATEVALUE($A360),'recurring1_based on steps'!C$1:C$400,0)),C$2,)</f>
        <v>0</v>
      </c>
      <c r="D360" s="179">
        <f ca="1">IF(ISNUMBER(MATCH(DATEVALUE($A360),'recurring1_based on steps'!D$1:D$400,0)),D$2,)</f>
        <v>0</v>
      </c>
      <c r="E360" s="179">
        <f ca="1">IF(ISNUMBER(MATCH(DATEVALUE($A360),'recurring1_based on steps'!E$1:E$400,0)),E$2,)</f>
        <v>0</v>
      </c>
      <c r="F360" s="179">
        <f ca="1">IF(ISNUMBER(MATCH(DATEVALUE($A360),'recurring1_based on steps'!F$1:F$400,0)),F$2,)</f>
        <v>0</v>
      </c>
      <c r="G360" s="179">
        <f ca="1">IF(ISNUMBER(MATCH(DATEVALUE($A360),'recurring1_based on steps'!G$1:G$400,0)),G$2,)</f>
        <v>0</v>
      </c>
      <c r="H360" s="179">
        <f ca="1">IF(ISNUMBER(MATCH(DATEVALUE($A360),'recurring1_based on steps'!H$1:H$400,0)),H$2,)</f>
        <v>0</v>
      </c>
      <c r="I360" s="179">
        <f ca="1">IF(ISNUMBER(MATCH(DATEVALUE($A360),'recurring1_based on steps'!I$1:I$400,0)),I$2,)</f>
        <v>0</v>
      </c>
      <c r="J360" s="179">
        <f ca="1">IF(ISNUMBER(MATCH(DATEVALUE($A360),'recurring1_based on steps'!J$1:J$400,0)),J$2,)</f>
        <v>0</v>
      </c>
      <c r="K360" s="179">
        <f ca="1">IF(ISNUMBER(MATCH(DATEVALUE($A360),'recurring1_based on steps'!K$1:K$400,0)),K$2,)</f>
        <v>0</v>
      </c>
      <c r="L360" s="179">
        <f ca="1">IF(ISNUMBER(MATCH(DATEVALUE($A360),'recurring1_based on steps'!L$1:L$400,0)),L$2,)</f>
        <v>0</v>
      </c>
      <c r="M360" s="179">
        <f ca="1">IF(ISNUMBER(MATCH(DATEVALUE($A360),'recurring1_based on steps'!M$1:M$400,0)),M$2,)</f>
        <v>0</v>
      </c>
      <c r="N360" s="179">
        <f ca="1">IF(ISNUMBER(MATCH(DATEVALUE($A360),'recurring1_based on steps'!N$1:N$400,0)),N$2,)</f>
        <v>0</v>
      </c>
      <c r="O360" s="179">
        <f ca="1">IF(ISNUMBER(MATCH(DATEVALUE($A360),'recurring1_based on steps'!O$1:O$400,0)),O$2,)</f>
        <v>0</v>
      </c>
      <c r="P360" s="179">
        <f ca="1">IF(ISNUMBER(MATCH(DATEVALUE($A360),'recurring1_based on steps'!P$1:P$400,0)),P$2,)</f>
        <v>0</v>
      </c>
      <c r="Q360" s="179">
        <f ca="1">IF(ISNUMBER(MATCH(DATEVALUE($A360),'recurring1_based on steps'!Q$1:Q$400,0)),Q$2,)</f>
        <v>0</v>
      </c>
      <c r="R360" s="179">
        <f ca="1">IF(ISNUMBER(MATCH(DATEVALUE($A360),'recurring1_based on steps'!R$1:R$400,0)),R$2,)</f>
        <v>0</v>
      </c>
      <c r="S360" s="179">
        <f ca="1">IF(ISNUMBER(MATCH(DATEVALUE($A360),'recurring1_based on steps'!S$1:S$400,0)),S$2,)</f>
        <v>0</v>
      </c>
      <c r="T360" s="179">
        <f ca="1">IF(ISNUMBER(MATCH(DATEVALUE($A360),'recurring1_based on steps'!T$1:T$400,0)),T$2,)</f>
        <v>0</v>
      </c>
      <c r="U360" s="179">
        <f ca="1">IF(ISNUMBER(MATCH(DATEVALUE($A360),'recurring1_based on steps'!U$1:U$400,0)),U$2,)</f>
        <v>0</v>
      </c>
      <c r="V360" s="179">
        <f ca="1">IF(ISNUMBER(MATCH(DATEVALUE($A360),'recurring1_based on steps'!V$1:V$400,0)),V$2,)</f>
        <v>0</v>
      </c>
      <c r="W360" s="179">
        <f ca="1">IF(ISNUMBER(MATCH(DATEVALUE($A360),'recurring1_based on steps'!W$1:W$400,0)),W$2,)</f>
        <v>0</v>
      </c>
      <c r="X360" s="179">
        <f ca="1">IF(ISNUMBER(MATCH(DATEVALUE($A360),'recurring1_based on steps'!X$1:X$400,0)),X$2,)</f>
        <v>0</v>
      </c>
      <c r="Y360" s="179">
        <f ca="1">IF(ISNUMBER(MATCH(DATEVALUE($A360),'recurring1_based on steps'!Y$1:Y$400,0)),Y$2,)</f>
        <v>0</v>
      </c>
      <c r="Z360" s="179">
        <f ca="1">IF(ISNUMBER(MATCH(DATEVALUE($A360),'recurring1_based on steps'!Z$1:Z$400,0)),Z$2,)</f>
        <v>0</v>
      </c>
      <c r="AA360" s="179">
        <f ca="1">IF(ISNUMBER(MATCH(DATEVALUE($A360),'recurring1_based on steps'!AA$1:AA$400,0)),AA$2,)</f>
        <v>0</v>
      </c>
      <c r="AB360" s="179">
        <f ca="1">IF(ISNUMBER(MATCH(DATEVALUE($A360),'recurring1_based on steps'!AB$1:AB$400,0)),AB$2,)</f>
        <v>0</v>
      </c>
      <c r="AC360" s="179">
        <f ca="1">IF(ISNUMBER(MATCH(DATEVALUE($A360),'recurring1_based on steps'!AC$1:AC$400,0)),AC$2,)</f>
        <v>0</v>
      </c>
      <c r="AD360" s="179">
        <f ca="1">IF(ISNUMBER(MATCH(DATEVALUE($A360),'recurring1_based on steps'!AD$1:AD$400,0)),AD$2,)</f>
        <v>0</v>
      </c>
      <c r="AE360" s="179">
        <f ca="1">IF(ISNUMBER(MATCH(DATEVALUE($A360),'recurring1_based on steps'!AE$1:AE$400,0)),AE$2,)</f>
        <v>0</v>
      </c>
      <c r="AF360" s="179">
        <f ca="1">IF(ISNUMBER(MATCH(DATEVALUE($A360),'recurring1_based on steps'!AF$1:AF$400,0)),AF$2,)</f>
        <v>0</v>
      </c>
      <c r="AG360" s="179">
        <f ca="1">IF(ISNUMBER(MATCH(DATEVALUE($A360),'recurring1_based on steps'!AG$1:AG$400,0)),AG$2,)</f>
        <v>0</v>
      </c>
      <c r="AH360" s="179">
        <f ca="1">IF(ISNUMBER(MATCH(DATEVALUE($A360),'recurring1_based on steps'!AH$1:AH$400,0)),AH$2,)</f>
        <v>0</v>
      </c>
      <c r="AI360" s="179">
        <f ca="1">IF(ISNUMBER(MATCH(DATEVALUE($A360),'recurring1_based on steps'!AI$1:AI$400,0)),AI$2,)</f>
        <v>0</v>
      </c>
      <c r="AJ360" s="179">
        <f ca="1">IF(ISNUMBER(MATCH(DATEVALUE($A360),'recurring1_based on steps'!AJ$1:AJ$400,0)),AJ$2,)</f>
        <v>0</v>
      </c>
      <c r="AK360" s="179">
        <f ca="1">IF(ISNUMBER(MATCH(DATEVALUE($A360),'recurring1_based on steps'!AK$1:AK$400,0)),AK$2,)</f>
        <v>0</v>
      </c>
      <c r="AL360" s="179">
        <f ca="1">IF(ISNUMBER(MATCH(DATEVALUE($A360),'recurring1_based on steps'!AL$1:AL$400,0)),AL$2,)</f>
        <v>0</v>
      </c>
      <c r="AM360" s="179">
        <f ca="1">IF(ISNUMBER(MATCH(DATEVALUE($A360),'recurring1_based on steps'!AM$1:AM$400,0)),AM$2,)</f>
        <v>0</v>
      </c>
      <c r="AN360" s="179">
        <f ca="1">IF(ISNUMBER(MATCH(DATEVALUE($A360),'recurring1_based on steps'!AN$1:AN$400,0)),AN$2,)</f>
        <v>0</v>
      </c>
      <c r="AO360" s="179">
        <f ca="1">IF(ISNUMBER(MATCH(DATEVALUE($A360),'recurring1_based on steps'!AO$1:AO$400,0)),AO$2,)</f>
        <v>0</v>
      </c>
      <c r="AP360" s="179">
        <f ca="1">IF(ISNUMBER(MATCH(DATEVALUE($A360),'recurring1_based on steps'!AP$1:AP$400,0)),AP$2,)</f>
        <v>0</v>
      </c>
      <c r="AQ360" s="179">
        <f ca="1">IF(ISNUMBER(MATCH(DATEVALUE($A360),'recurring1_based on steps'!AQ$1:AQ$400,0)),AQ$2,)</f>
        <v>0</v>
      </c>
      <c r="AR360" s="179">
        <f ca="1">IF(ISNUMBER(MATCH(DATEVALUE($A360),'recurring1_based on steps'!AR$1:AR$400,0)),AR$2,)</f>
        <v>0</v>
      </c>
      <c r="AS360" s="179">
        <f ca="1">IF(ISNUMBER(MATCH(DATEVALUE($A360),'recurring1_based on steps'!AS$1:AS$400,0)),AS$2,)</f>
        <v>0</v>
      </c>
      <c r="AT360" s="179">
        <f ca="1">IF(ISNUMBER(MATCH(DATEVALUE($A360),'recurring1_based on steps'!AT$1:AT$400,0)),AT$2,)</f>
        <v>0</v>
      </c>
      <c r="AU360" s="179">
        <f ca="1">IF(ISNUMBER(MATCH(DATEVALUE($A360),'recurring1_based on steps'!AU$1:AU$400,0)),AU$2,)</f>
        <v>0</v>
      </c>
      <c r="AV360" s="179">
        <f ca="1">IF(ISNUMBER(MATCH(DATEVALUE($A360),'recurring1_based on steps'!AV$1:AV$400,0)),AV$2,)</f>
        <v>0</v>
      </c>
      <c r="AW360" s="179">
        <f ca="1">IF(ISNUMBER(MATCH(DATEVALUE($A360),'recurring1_based on steps'!AW$1:AW$400,0)),AW$2,)</f>
        <v>0</v>
      </c>
      <c r="AX360" s="179">
        <f ca="1">IF(ISNUMBER(MATCH(DATEVALUE($A360),'recurring1_based on steps'!AX$1:AX$400,0)),AX$2,)</f>
        <v>0</v>
      </c>
      <c r="AY360" s="179">
        <f ca="1">IF(ISNUMBER(MATCH(DATEVALUE($A360),'recurring1_based on steps'!AY$1:AY$400,0)),AY$2,)</f>
        <v>0</v>
      </c>
    </row>
    <row r="361" spans="1:51" x14ac:dyDescent="0.2">
      <c r="A361" s="32" t="str">
        <f t="shared" ca="1" si="5"/>
        <v>2026-03-22</v>
      </c>
      <c r="B361" s="179">
        <f ca="1">IF(ISNUMBER(MATCH(DATEVALUE($A361),'recurring1_based on steps'!B$1:B$400,0)),B$2,)</f>
        <v>0</v>
      </c>
      <c r="C361" s="179">
        <f ca="1">IF(ISNUMBER(MATCH(DATEVALUE($A361),'recurring1_based on steps'!C$1:C$400,0)),C$2,)</f>
        <v>0</v>
      </c>
      <c r="D361" s="179">
        <f ca="1">IF(ISNUMBER(MATCH(DATEVALUE($A361),'recurring1_based on steps'!D$1:D$400,0)),D$2,)</f>
        <v>0</v>
      </c>
      <c r="E361" s="179">
        <f ca="1">IF(ISNUMBER(MATCH(DATEVALUE($A361),'recurring1_based on steps'!E$1:E$400,0)),E$2,)</f>
        <v>0</v>
      </c>
      <c r="F361" s="179">
        <f ca="1">IF(ISNUMBER(MATCH(DATEVALUE($A361),'recurring1_based on steps'!F$1:F$400,0)),F$2,)</f>
        <v>0</v>
      </c>
      <c r="G361" s="179">
        <f ca="1">IF(ISNUMBER(MATCH(DATEVALUE($A361),'recurring1_based on steps'!G$1:G$400,0)),G$2,)</f>
        <v>0</v>
      </c>
      <c r="H361" s="179">
        <f ca="1">IF(ISNUMBER(MATCH(DATEVALUE($A361),'recurring1_based on steps'!H$1:H$400,0)),H$2,)</f>
        <v>0</v>
      </c>
      <c r="I361" s="179">
        <f ca="1">IF(ISNUMBER(MATCH(DATEVALUE($A361),'recurring1_based on steps'!I$1:I$400,0)),I$2,)</f>
        <v>0</v>
      </c>
      <c r="J361" s="179">
        <f ca="1">IF(ISNUMBER(MATCH(DATEVALUE($A361),'recurring1_based on steps'!J$1:J$400,0)),J$2,)</f>
        <v>0</v>
      </c>
      <c r="K361" s="179">
        <f ca="1">IF(ISNUMBER(MATCH(DATEVALUE($A361),'recurring1_based on steps'!K$1:K$400,0)),K$2,)</f>
        <v>0</v>
      </c>
      <c r="L361" s="179">
        <f ca="1">IF(ISNUMBER(MATCH(DATEVALUE($A361),'recurring1_based on steps'!L$1:L$400,0)),L$2,)</f>
        <v>0</v>
      </c>
      <c r="M361" s="179">
        <f ca="1">IF(ISNUMBER(MATCH(DATEVALUE($A361),'recurring1_based on steps'!M$1:M$400,0)),M$2,)</f>
        <v>0</v>
      </c>
      <c r="N361" s="179">
        <f ca="1">IF(ISNUMBER(MATCH(DATEVALUE($A361),'recurring1_based on steps'!N$1:N$400,0)),N$2,)</f>
        <v>0</v>
      </c>
      <c r="O361" s="179">
        <f ca="1">IF(ISNUMBER(MATCH(DATEVALUE($A361),'recurring1_based on steps'!O$1:O$400,0)),O$2,)</f>
        <v>0</v>
      </c>
      <c r="P361" s="179">
        <f ca="1">IF(ISNUMBER(MATCH(DATEVALUE($A361),'recurring1_based on steps'!P$1:P$400,0)),P$2,)</f>
        <v>0</v>
      </c>
      <c r="Q361" s="179">
        <f ca="1">IF(ISNUMBER(MATCH(DATEVALUE($A361),'recurring1_based on steps'!Q$1:Q$400,0)),Q$2,)</f>
        <v>0</v>
      </c>
      <c r="R361" s="179">
        <f ca="1">IF(ISNUMBER(MATCH(DATEVALUE($A361),'recurring1_based on steps'!R$1:R$400,0)),R$2,)</f>
        <v>0</v>
      </c>
      <c r="S361" s="179">
        <f ca="1">IF(ISNUMBER(MATCH(DATEVALUE($A361),'recurring1_based on steps'!S$1:S$400,0)),S$2,)</f>
        <v>0</v>
      </c>
      <c r="T361" s="179">
        <f ca="1">IF(ISNUMBER(MATCH(DATEVALUE($A361),'recurring1_based on steps'!T$1:T$400,0)),T$2,)</f>
        <v>0</v>
      </c>
      <c r="U361" s="179">
        <f ca="1">IF(ISNUMBER(MATCH(DATEVALUE($A361),'recurring1_based on steps'!U$1:U$400,0)),U$2,)</f>
        <v>0</v>
      </c>
      <c r="V361" s="179">
        <f ca="1">IF(ISNUMBER(MATCH(DATEVALUE($A361),'recurring1_based on steps'!V$1:V$400,0)),V$2,)</f>
        <v>0</v>
      </c>
      <c r="W361" s="179">
        <f ca="1">IF(ISNUMBER(MATCH(DATEVALUE($A361),'recurring1_based on steps'!W$1:W$400,0)),W$2,)</f>
        <v>0</v>
      </c>
      <c r="X361" s="179">
        <f ca="1">IF(ISNUMBER(MATCH(DATEVALUE($A361),'recurring1_based on steps'!X$1:X$400,0)),X$2,)</f>
        <v>0</v>
      </c>
      <c r="Y361" s="179">
        <f ca="1">IF(ISNUMBER(MATCH(DATEVALUE($A361),'recurring1_based on steps'!Y$1:Y$400,0)),Y$2,)</f>
        <v>0</v>
      </c>
      <c r="Z361" s="179">
        <f ca="1">IF(ISNUMBER(MATCH(DATEVALUE($A361),'recurring1_based on steps'!Z$1:Z$400,0)),Z$2,)</f>
        <v>0</v>
      </c>
      <c r="AA361" s="179">
        <f ca="1">IF(ISNUMBER(MATCH(DATEVALUE($A361),'recurring1_based on steps'!AA$1:AA$400,0)),AA$2,)</f>
        <v>0</v>
      </c>
      <c r="AB361" s="179">
        <f ca="1">IF(ISNUMBER(MATCH(DATEVALUE($A361),'recurring1_based on steps'!AB$1:AB$400,0)),AB$2,)</f>
        <v>0</v>
      </c>
      <c r="AC361" s="179">
        <f ca="1">IF(ISNUMBER(MATCH(DATEVALUE($A361),'recurring1_based on steps'!AC$1:AC$400,0)),AC$2,)</f>
        <v>0</v>
      </c>
      <c r="AD361" s="179">
        <f ca="1">IF(ISNUMBER(MATCH(DATEVALUE($A361),'recurring1_based on steps'!AD$1:AD$400,0)),AD$2,)</f>
        <v>0</v>
      </c>
      <c r="AE361" s="179">
        <f ca="1">IF(ISNUMBER(MATCH(DATEVALUE($A361),'recurring1_based on steps'!AE$1:AE$400,0)),AE$2,)</f>
        <v>0</v>
      </c>
      <c r="AF361" s="179">
        <f ca="1">IF(ISNUMBER(MATCH(DATEVALUE($A361),'recurring1_based on steps'!AF$1:AF$400,0)),AF$2,)</f>
        <v>0</v>
      </c>
      <c r="AG361" s="179">
        <f ca="1">IF(ISNUMBER(MATCH(DATEVALUE($A361),'recurring1_based on steps'!AG$1:AG$400,0)),AG$2,)</f>
        <v>0</v>
      </c>
      <c r="AH361" s="179">
        <f ca="1">IF(ISNUMBER(MATCH(DATEVALUE($A361),'recurring1_based on steps'!AH$1:AH$400,0)),AH$2,)</f>
        <v>0</v>
      </c>
      <c r="AI361" s="179">
        <f ca="1">IF(ISNUMBER(MATCH(DATEVALUE($A361),'recurring1_based on steps'!AI$1:AI$400,0)),AI$2,)</f>
        <v>0</v>
      </c>
      <c r="AJ361" s="179">
        <f ca="1">IF(ISNUMBER(MATCH(DATEVALUE($A361),'recurring1_based on steps'!AJ$1:AJ$400,0)),AJ$2,)</f>
        <v>0</v>
      </c>
      <c r="AK361" s="179">
        <f ca="1">IF(ISNUMBER(MATCH(DATEVALUE($A361),'recurring1_based on steps'!AK$1:AK$400,0)),AK$2,)</f>
        <v>0</v>
      </c>
      <c r="AL361" s="179">
        <f ca="1">IF(ISNUMBER(MATCH(DATEVALUE($A361),'recurring1_based on steps'!AL$1:AL$400,0)),AL$2,)</f>
        <v>0</v>
      </c>
      <c r="AM361" s="179">
        <f ca="1">IF(ISNUMBER(MATCH(DATEVALUE($A361),'recurring1_based on steps'!AM$1:AM$400,0)),AM$2,)</f>
        <v>0</v>
      </c>
      <c r="AN361" s="179">
        <f ca="1">IF(ISNUMBER(MATCH(DATEVALUE($A361),'recurring1_based on steps'!AN$1:AN$400,0)),AN$2,)</f>
        <v>0</v>
      </c>
      <c r="AO361" s="179">
        <f ca="1">IF(ISNUMBER(MATCH(DATEVALUE($A361),'recurring1_based on steps'!AO$1:AO$400,0)),AO$2,)</f>
        <v>0</v>
      </c>
      <c r="AP361" s="179">
        <f ca="1">IF(ISNUMBER(MATCH(DATEVALUE($A361),'recurring1_based on steps'!AP$1:AP$400,0)),AP$2,)</f>
        <v>0</v>
      </c>
      <c r="AQ361" s="179">
        <f ca="1">IF(ISNUMBER(MATCH(DATEVALUE($A361),'recurring1_based on steps'!AQ$1:AQ$400,0)),AQ$2,)</f>
        <v>0</v>
      </c>
      <c r="AR361" s="179">
        <f ca="1">IF(ISNUMBER(MATCH(DATEVALUE($A361),'recurring1_based on steps'!AR$1:AR$400,0)),AR$2,)</f>
        <v>0</v>
      </c>
      <c r="AS361" s="179">
        <f ca="1">IF(ISNUMBER(MATCH(DATEVALUE($A361),'recurring1_based on steps'!AS$1:AS$400,0)),AS$2,)</f>
        <v>0</v>
      </c>
      <c r="AT361" s="179">
        <f ca="1">IF(ISNUMBER(MATCH(DATEVALUE($A361),'recurring1_based on steps'!AT$1:AT$400,0)),AT$2,)</f>
        <v>0</v>
      </c>
      <c r="AU361" s="179">
        <f ca="1">IF(ISNUMBER(MATCH(DATEVALUE($A361),'recurring1_based on steps'!AU$1:AU$400,0)),AU$2,)</f>
        <v>0</v>
      </c>
      <c r="AV361" s="179">
        <f ca="1">IF(ISNUMBER(MATCH(DATEVALUE($A361),'recurring1_based on steps'!AV$1:AV$400,0)),AV$2,)</f>
        <v>0</v>
      </c>
      <c r="AW361" s="179">
        <f ca="1">IF(ISNUMBER(MATCH(DATEVALUE($A361),'recurring1_based on steps'!AW$1:AW$400,0)),AW$2,)</f>
        <v>0</v>
      </c>
      <c r="AX361" s="179">
        <f ca="1">IF(ISNUMBER(MATCH(DATEVALUE($A361),'recurring1_based on steps'!AX$1:AX$400,0)),AX$2,)</f>
        <v>0</v>
      </c>
      <c r="AY361" s="179">
        <f ca="1">IF(ISNUMBER(MATCH(DATEVALUE($A361),'recurring1_based on steps'!AY$1:AY$400,0)),AY$2,)</f>
        <v>0</v>
      </c>
    </row>
    <row r="362" spans="1:51" x14ac:dyDescent="0.2">
      <c r="A362" s="32" t="str">
        <f t="shared" ca="1" si="5"/>
        <v>2026-03-23</v>
      </c>
      <c r="B362" s="179">
        <f ca="1">IF(ISNUMBER(MATCH(DATEVALUE($A362),'recurring1_based on steps'!B$1:B$400,0)),B$2,)</f>
        <v>0</v>
      </c>
      <c r="C362" s="179">
        <f ca="1">IF(ISNUMBER(MATCH(DATEVALUE($A362),'recurring1_based on steps'!C$1:C$400,0)),C$2,)</f>
        <v>0</v>
      </c>
      <c r="D362" s="179">
        <f ca="1">IF(ISNUMBER(MATCH(DATEVALUE($A362),'recurring1_based on steps'!D$1:D$400,0)),D$2,)</f>
        <v>0</v>
      </c>
      <c r="E362" s="179">
        <f ca="1">IF(ISNUMBER(MATCH(DATEVALUE($A362),'recurring1_based on steps'!E$1:E$400,0)),E$2,)</f>
        <v>0</v>
      </c>
      <c r="F362" s="179">
        <f ca="1">IF(ISNUMBER(MATCH(DATEVALUE($A362),'recurring1_based on steps'!F$1:F$400,0)),F$2,)</f>
        <v>0</v>
      </c>
      <c r="G362" s="179">
        <f ca="1">IF(ISNUMBER(MATCH(DATEVALUE($A362),'recurring1_based on steps'!G$1:G$400,0)),G$2,)</f>
        <v>0</v>
      </c>
      <c r="H362" s="179">
        <f ca="1">IF(ISNUMBER(MATCH(DATEVALUE($A362),'recurring1_based on steps'!H$1:H$400,0)),H$2,)</f>
        <v>0</v>
      </c>
      <c r="I362" s="179">
        <f ca="1">IF(ISNUMBER(MATCH(DATEVALUE($A362),'recurring1_based on steps'!I$1:I$400,0)),I$2,)</f>
        <v>0</v>
      </c>
      <c r="J362" s="179">
        <f ca="1">IF(ISNUMBER(MATCH(DATEVALUE($A362),'recurring1_based on steps'!J$1:J$400,0)),J$2,)</f>
        <v>0</v>
      </c>
      <c r="K362" s="179">
        <f ca="1">IF(ISNUMBER(MATCH(DATEVALUE($A362),'recurring1_based on steps'!K$1:K$400,0)),K$2,)</f>
        <v>0</v>
      </c>
      <c r="L362" s="179">
        <f ca="1">IF(ISNUMBER(MATCH(DATEVALUE($A362),'recurring1_based on steps'!L$1:L$400,0)),L$2,)</f>
        <v>0</v>
      </c>
      <c r="M362" s="179">
        <f ca="1">IF(ISNUMBER(MATCH(DATEVALUE($A362),'recurring1_based on steps'!M$1:M$400,0)),M$2,)</f>
        <v>0</v>
      </c>
      <c r="N362" s="179">
        <f ca="1">IF(ISNUMBER(MATCH(DATEVALUE($A362),'recurring1_based on steps'!N$1:N$400,0)),N$2,)</f>
        <v>0</v>
      </c>
      <c r="O362" s="179">
        <f ca="1">IF(ISNUMBER(MATCH(DATEVALUE($A362),'recurring1_based on steps'!O$1:O$400,0)),O$2,)</f>
        <v>0</v>
      </c>
      <c r="P362" s="179">
        <f ca="1">IF(ISNUMBER(MATCH(DATEVALUE($A362),'recurring1_based on steps'!P$1:P$400,0)),P$2,)</f>
        <v>0</v>
      </c>
      <c r="Q362" s="179">
        <f ca="1">IF(ISNUMBER(MATCH(DATEVALUE($A362),'recurring1_based on steps'!Q$1:Q$400,0)),Q$2,)</f>
        <v>0</v>
      </c>
      <c r="R362" s="179">
        <f ca="1">IF(ISNUMBER(MATCH(DATEVALUE($A362),'recurring1_based on steps'!R$1:R$400,0)),R$2,)</f>
        <v>0</v>
      </c>
      <c r="S362" s="179">
        <f ca="1">IF(ISNUMBER(MATCH(DATEVALUE($A362),'recurring1_based on steps'!S$1:S$400,0)),S$2,)</f>
        <v>0</v>
      </c>
      <c r="T362" s="179">
        <f ca="1">IF(ISNUMBER(MATCH(DATEVALUE($A362),'recurring1_based on steps'!T$1:T$400,0)),T$2,)</f>
        <v>0</v>
      </c>
      <c r="U362" s="179">
        <f ca="1">IF(ISNUMBER(MATCH(DATEVALUE($A362),'recurring1_based on steps'!U$1:U$400,0)),U$2,)</f>
        <v>0</v>
      </c>
      <c r="V362" s="179">
        <f ca="1">IF(ISNUMBER(MATCH(DATEVALUE($A362),'recurring1_based on steps'!V$1:V$400,0)),V$2,)</f>
        <v>0</v>
      </c>
      <c r="W362" s="179">
        <f ca="1">IF(ISNUMBER(MATCH(DATEVALUE($A362),'recurring1_based on steps'!W$1:W$400,0)),W$2,)</f>
        <v>0</v>
      </c>
      <c r="X362" s="179">
        <f ca="1">IF(ISNUMBER(MATCH(DATEVALUE($A362),'recurring1_based on steps'!X$1:X$400,0)),X$2,)</f>
        <v>0</v>
      </c>
      <c r="Y362" s="179">
        <f ca="1">IF(ISNUMBER(MATCH(DATEVALUE($A362),'recurring1_based on steps'!Y$1:Y$400,0)),Y$2,)</f>
        <v>0</v>
      </c>
      <c r="Z362" s="179">
        <f ca="1">IF(ISNUMBER(MATCH(DATEVALUE($A362),'recurring1_based on steps'!Z$1:Z$400,0)),Z$2,)</f>
        <v>0</v>
      </c>
      <c r="AA362" s="179">
        <f ca="1">IF(ISNUMBER(MATCH(DATEVALUE($A362),'recurring1_based on steps'!AA$1:AA$400,0)),AA$2,)</f>
        <v>0</v>
      </c>
      <c r="AB362" s="179">
        <f ca="1">IF(ISNUMBER(MATCH(DATEVALUE($A362),'recurring1_based on steps'!AB$1:AB$400,0)),AB$2,)</f>
        <v>0</v>
      </c>
      <c r="AC362" s="179">
        <f ca="1">IF(ISNUMBER(MATCH(DATEVALUE($A362),'recurring1_based on steps'!AC$1:AC$400,0)),AC$2,)</f>
        <v>0</v>
      </c>
      <c r="AD362" s="179">
        <f ca="1">IF(ISNUMBER(MATCH(DATEVALUE($A362),'recurring1_based on steps'!AD$1:AD$400,0)),AD$2,)</f>
        <v>0</v>
      </c>
      <c r="AE362" s="179">
        <f ca="1">IF(ISNUMBER(MATCH(DATEVALUE($A362),'recurring1_based on steps'!AE$1:AE$400,0)),AE$2,)</f>
        <v>0</v>
      </c>
      <c r="AF362" s="179">
        <f ca="1">IF(ISNUMBER(MATCH(DATEVALUE($A362),'recurring1_based on steps'!AF$1:AF$400,0)),AF$2,)</f>
        <v>0</v>
      </c>
      <c r="AG362" s="179">
        <f ca="1">IF(ISNUMBER(MATCH(DATEVALUE($A362),'recurring1_based on steps'!AG$1:AG$400,0)),AG$2,)</f>
        <v>0</v>
      </c>
      <c r="AH362" s="179">
        <f ca="1">IF(ISNUMBER(MATCH(DATEVALUE($A362),'recurring1_based on steps'!AH$1:AH$400,0)),AH$2,)</f>
        <v>0</v>
      </c>
      <c r="AI362" s="179">
        <f ca="1">IF(ISNUMBER(MATCH(DATEVALUE($A362),'recurring1_based on steps'!AI$1:AI$400,0)),AI$2,)</f>
        <v>0</v>
      </c>
      <c r="AJ362" s="179">
        <f ca="1">IF(ISNUMBER(MATCH(DATEVALUE($A362),'recurring1_based on steps'!AJ$1:AJ$400,0)),AJ$2,)</f>
        <v>0</v>
      </c>
      <c r="AK362" s="179">
        <f ca="1">IF(ISNUMBER(MATCH(DATEVALUE($A362),'recurring1_based on steps'!AK$1:AK$400,0)),AK$2,)</f>
        <v>0</v>
      </c>
      <c r="AL362" s="179">
        <f ca="1">IF(ISNUMBER(MATCH(DATEVALUE($A362),'recurring1_based on steps'!AL$1:AL$400,0)),AL$2,)</f>
        <v>0</v>
      </c>
      <c r="AM362" s="179">
        <f ca="1">IF(ISNUMBER(MATCH(DATEVALUE($A362),'recurring1_based on steps'!AM$1:AM$400,0)),AM$2,)</f>
        <v>0</v>
      </c>
      <c r="AN362" s="179">
        <f ca="1">IF(ISNUMBER(MATCH(DATEVALUE($A362),'recurring1_based on steps'!AN$1:AN$400,0)),AN$2,)</f>
        <v>0</v>
      </c>
      <c r="AO362" s="179">
        <f ca="1">IF(ISNUMBER(MATCH(DATEVALUE($A362),'recurring1_based on steps'!AO$1:AO$400,0)),AO$2,)</f>
        <v>0</v>
      </c>
      <c r="AP362" s="179">
        <f ca="1">IF(ISNUMBER(MATCH(DATEVALUE($A362),'recurring1_based on steps'!AP$1:AP$400,0)),AP$2,)</f>
        <v>0</v>
      </c>
      <c r="AQ362" s="179">
        <f ca="1">IF(ISNUMBER(MATCH(DATEVALUE($A362),'recurring1_based on steps'!AQ$1:AQ$400,0)),AQ$2,)</f>
        <v>0</v>
      </c>
      <c r="AR362" s="179">
        <f ca="1">IF(ISNUMBER(MATCH(DATEVALUE($A362),'recurring1_based on steps'!AR$1:AR$400,0)),AR$2,)</f>
        <v>0</v>
      </c>
      <c r="AS362" s="179">
        <f ca="1">IF(ISNUMBER(MATCH(DATEVALUE($A362),'recurring1_based on steps'!AS$1:AS$400,0)),AS$2,)</f>
        <v>0</v>
      </c>
      <c r="AT362" s="179">
        <f ca="1">IF(ISNUMBER(MATCH(DATEVALUE($A362),'recurring1_based on steps'!AT$1:AT$400,0)),AT$2,)</f>
        <v>0</v>
      </c>
      <c r="AU362" s="179">
        <f ca="1">IF(ISNUMBER(MATCH(DATEVALUE($A362),'recurring1_based on steps'!AU$1:AU$400,0)),AU$2,)</f>
        <v>0</v>
      </c>
      <c r="AV362" s="179">
        <f ca="1">IF(ISNUMBER(MATCH(DATEVALUE($A362),'recurring1_based on steps'!AV$1:AV$400,0)),AV$2,)</f>
        <v>0</v>
      </c>
      <c r="AW362" s="179">
        <f ca="1">IF(ISNUMBER(MATCH(DATEVALUE($A362),'recurring1_based on steps'!AW$1:AW$400,0)),AW$2,)</f>
        <v>0</v>
      </c>
      <c r="AX362" s="179">
        <f ca="1">IF(ISNUMBER(MATCH(DATEVALUE($A362),'recurring1_based on steps'!AX$1:AX$400,0)),AX$2,)</f>
        <v>0</v>
      </c>
      <c r="AY362" s="179">
        <f ca="1">IF(ISNUMBER(MATCH(DATEVALUE($A362),'recurring1_based on steps'!AY$1:AY$400,0)),AY$2,)</f>
        <v>0</v>
      </c>
    </row>
    <row r="363" spans="1:51" x14ac:dyDescent="0.2">
      <c r="A363" s="32" t="str">
        <f t="shared" ca="1" si="5"/>
        <v>2026-03-24</v>
      </c>
      <c r="B363" s="179">
        <f ca="1">IF(ISNUMBER(MATCH(DATEVALUE($A363),'recurring1_based on steps'!B$1:B$400,0)),B$2,)</f>
        <v>0</v>
      </c>
      <c r="C363" s="179">
        <f ca="1">IF(ISNUMBER(MATCH(DATEVALUE($A363),'recurring1_based on steps'!C$1:C$400,0)),C$2,)</f>
        <v>0</v>
      </c>
      <c r="D363" s="179">
        <f ca="1">IF(ISNUMBER(MATCH(DATEVALUE($A363),'recurring1_based on steps'!D$1:D$400,0)),D$2,)</f>
        <v>0</v>
      </c>
      <c r="E363" s="179">
        <f ca="1">IF(ISNUMBER(MATCH(DATEVALUE($A363),'recurring1_based on steps'!E$1:E$400,0)),E$2,)</f>
        <v>0</v>
      </c>
      <c r="F363" s="179">
        <f ca="1">IF(ISNUMBER(MATCH(DATEVALUE($A363),'recurring1_based on steps'!F$1:F$400,0)),F$2,)</f>
        <v>0</v>
      </c>
      <c r="G363" s="179">
        <f ca="1">IF(ISNUMBER(MATCH(DATEVALUE($A363),'recurring1_based on steps'!G$1:G$400,0)),G$2,)</f>
        <v>0</v>
      </c>
      <c r="H363" s="179">
        <f ca="1">IF(ISNUMBER(MATCH(DATEVALUE($A363),'recurring1_based on steps'!H$1:H$400,0)),H$2,)</f>
        <v>0</v>
      </c>
      <c r="I363" s="179">
        <f ca="1">IF(ISNUMBER(MATCH(DATEVALUE($A363),'recurring1_based on steps'!I$1:I$400,0)),I$2,)</f>
        <v>0</v>
      </c>
      <c r="J363" s="179">
        <f ca="1">IF(ISNUMBER(MATCH(DATEVALUE($A363),'recurring1_based on steps'!J$1:J$400,0)),J$2,)</f>
        <v>0</v>
      </c>
      <c r="K363" s="179">
        <f ca="1">IF(ISNUMBER(MATCH(DATEVALUE($A363),'recurring1_based on steps'!K$1:K$400,0)),K$2,)</f>
        <v>0</v>
      </c>
      <c r="L363" s="179">
        <f ca="1">IF(ISNUMBER(MATCH(DATEVALUE($A363),'recurring1_based on steps'!L$1:L$400,0)),L$2,)</f>
        <v>0</v>
      </c>
      <c r="M363" s="179">
        <f ca="1">IF(ISNUMBER(MATCH(DATEVALUE($A363),'recurring1_based on steps'!M$1:M$400,0)),M$2,)</f>
        <v>0</v>
      </c>
      <c r="N363" s="179">
        <f ca="1">IF(ISNUMBER(MATCH(DATEVALUE($A363),'recurring1_based on steps'!N$1:N$400,0)),N$2,)</f>
        <v>0</v>
      </c>
      <c r="O363" s="179">
        <f ca="1">IF(ISNUMBER(MATCH(DATEVALUE($A363),'recurring1_based on steps'!O$1:O$400,0)),O$2,)</f>
        <v>0</v>
      </c>
      <c r="P363" s="179">
        <f ca="1">IF(ISNUMBER(MATCH(DATEVALUE($A363),'recurring1_based on steps'!P$1:P$400,0)),P$2,)</f>
        <v>0</v>
      </c>
      <c r="Q363" s="179">
        <f ca="1">IF(ISNUMBER(MATCH(DATEVALUE($A363),'recurring1_based on steps'!Q$1:Q$400,0)),Q$2,)</f>
        <v>0</v>
      </c>
      <c r="R363" s="179">
        <f ca="1">IF(ISNUMBER(MATCH(DATEVALUE($A363),'recurring1_based on steps'!R$1:R$400,0)),R$2,)</f>
        <v>0</v>
      </c>
      <c r="S363" s="179">
        <f ca="1">IF(ISNUMBER(MATCH(DATEVALUE($A363),'recurring1_based on steps'!S$1:S$400,0)),S$2,)</f>
        <v>0</v>
      </c>
      <c r="T363" s="179">
        <f ca="1">IF(ISNUMBER(MATCH(DATEVALUE($A363),'recurring1_based on steps'!T$1:T$400,0)),T$2,)</f>
        <v>0</v>
      </c>
      <c r="U363" s="179">
        <f ca="1">IF(ISNUMBER(MATCH(DATEVALUE($A363),'recurring1_based on steps'!U$1:U$400,0)),U$2,)</f>
        <v>0</v>
      </c>
      <c r="V363" s="179">
        <f ca="1">IF(ISNUMBER(MATCH(DATEVALUE($A363),'recurring1_based on steps'!V$1:V$400,0)),V$2,)</f>
        <v>0</v>
      </c>
      <c r="W363" s="179">
        <f ca="1">IF(ISNUMBER(MATCH(DATEVALUE($A363),'recurring1_based on steps'!W$1:W$400,0)),W$2,)</f>
        <v>0</v>
      </c>
      <c r="X363" s="179">
        <f ca="1">IF(ISNUMBER(MATCH(DATEVALUE($A363),'recurring1_based on steps'!X$1:X$400,0)),X$2,)</f>
        <v>0</v>
      </c>
      <c r="Y363" s="179">
        <f ca="1">IF(ISNUMBER(MATCH(DATEVALUE($A363),'recurring1_based on steps'!Y$1:Y$400,0)),Y$2,)</f>
        <v>0</v>
      </c>
      <c r="Z363" s="179">
        <f ca="1">IF(ISNUMBER(MATCH(DATEVALUE($A363),'recurring1_based on steps'!Z$1:Z$400,0)),Z$2,)</f>
        <v>0</v>
      </c>
      <c r="AA363" s="179">
        <f ca="1">IF(ISNUMBER(MATCH(DATEVALUE($A363),'recurring1_based on steps'!AA$1:AA$400,0)),AA$2,)</f>
        <v>0</v>
      </c>
      <c r="AB363" s="179">
        <f ca="1">IF(ISNUMBER(MATCH(DATEVALUE($A363),'recurring1_based on steps'!AB$1:AB$400,0)),AB$2,)</f>
        <v>0</v>
      </c>
      <c r="AC363" s="179">
        <f ca="1">IF(ISNUMBER(MATCH(DATEVALUE($A363),'recurring1_based on steps'!AC$1:AC$400,0)),AC$2,)</f>
        <v>0</v>
      </c>
      <c r="AD363" s="179">
        <f ca="1">IF(ISNUMBER(MATCH(DATEVALUE($A363),'recurring1_based on steps'!AD$1:AD$400,0)),AD$2,)</f>
        <v>0</v>
      </c>
      <c r="AE363" s="179">
        <f ca="1">IF(ISNUMBER(MATCH(DATEVALUE($A363),'recurring1_based on steps'!AE$1:AE$400,0)),AE$2,)</f>
        <v>0</v>
      </c>
      <c r="AF363" s="179">
        <f ca="1">IF(ISNUMBER(MATCH(DATEVALUE($A363),'recurring1_based on steps'!AF$1:AF$400,0)),AF$2,)</f>
        <v>0</v>
      </c>
      <c r="AG363" s="179">
        <f ca="1">IF(ISNUMBER(MATCH(DATEVALUE($A363),'recurring1_based on steps'!AG$1:AG$400,0)),AG$2,)</f>
        <v>0</v>
      </c>
      <c r="AH363" s="179">
        <f ca="1">IF(ISNUMBER(MATCH(DATEVALUE($A363),'recurring1_based on steps'!AH$1:AH$400,0)),AH$2,)</f>
        <v>0</v>
      </c>
      <c r="AI363" s="179">
        <f ca="1">IF(ISNUMBER(MATCH(DATEVALUE($A363),'recurring1_based on steps'!AI$1:AI$400,0)),AI$2,)</f>
        <v>0</v>
      </c>
      <c r="AJ363" s="179">
        <f ca="1">IF(ISNUMBER(MATCH(DATEVALUE($A363),'recurring1_based on steps'!AJ$1:AJ$400,0)),AJ$2,)</f>
        <v>0</v>
      </c>
      <c r="AK363" s="179">
        <f ca="1">IF(ISNUMBER(MATCH(DATEVALUE($A363),'recurring1_based on steps'!AK$1:AK$400,0)),AK$2,)</f>
        <v>0</v>
      </c>
      <c r="AL363" s="179">
        <f ca="1">IF(ISNUMBER(MATCH(DATEVALUE($A363),'recurring1_based on steps'!AL$1:AL$400,0)),AL$2,)</f>
        <v>0</v>
      </c>
      <c r="AM363" s="179">
        <f ca="1">IF(ISNUMBER(MATCH(DATEVALUE($A363),'recurring1_based on steps'!AM$1:AM$400,0)),AM$2,)</f>
        <v>0</v>
      </c>
      <c r="AN363" s="179">
        <f ca="1">IF(ISNUMBER(MATCH(DATEVALUE($A363),'recurring1_based on steps'!AN$1:AN$400,0)),AN$2,)</f>
        <v>0</v>
      </c>
      <c r="AO363" s="179">
        <f ca="1">IF(ISNUMBER(MATCH(DATEVALUE($A363),'recurring1_based on steps'!AO$1:AO$400,0)),AO$2,)</f>
        <v>0</v>
      </c>
      <c r="AP363" s="179">
        <f ca="1">IF(ISNUMBER(MATCH(DATEVALUE($A363),'recurring1_based on steps'!AP$1:AP$400,0)),AP$2,)</f>
        <v>0</v>
      </c>
      <c r="AQ363" s="179">
        <f ca="1">IF(ISNUMBER(MATCH(DATEVALUE($A363),'recurring1_based on steps'!AQ$1:AQ$400,0)),AQ$2,)</f>
        <v>0</v>
      </c>
      <c r="AR363" s="179">
        <f ca="1">IF(ISNUMBER(MATCH(DATEVALUE($A363),'recurring1_based on steps'!AR$1:AR$400,0)),AR$2,)</f>
        <v>0</v>
      </c>
      <c r="AS363" s="179">
        <f ca="1">IF(ISNUMBER(MATCH(DATEVALUE($A363),'recurring1_based on steps'!AS$1:AS$400,0)),AS$2,)</f>
        <v>0</v>
      </c>
      <c r="AT363" s="179">
        <f ca="1">IF(ISNUMBER(MATCH(DATEVALUE($A363),'recurring1_based on steps'!AT$1:AT$400,0)),AT$2,)</f>
        <v>0</v>
      </c>
      <c r="AU363" s="179">
        <f ca="1">IF(ISNUMBER(MATCH(DATEVALUE($A363),'recurring1_based on steps'!AU$1:AU$400,0)),AU$2,)</f>
        <v>0</v>
      </c>
      <c r="AV363" s="179">
        <f ca="1">IF(ISNUMBER(MATCH(DATEVALUE($A363),'recurring1_based on steps'!AV$1:AV$400,0)),AV$2,)</f>
        <v>0</v>
      </c>
      <c r="AW363" s="179">
        <f ca="1">IF(ISNUMBER(MATCH(DATEVALUE($A363),'recurring1_based on steps'!AW$1:AW$400,0)),AW$2,)</f>
        <v>0</v>
      </c>
      <c r="AX363" s="179">
        <f ca="1">IF(ISNUMBER(MATCH(DATEVALUE($A363),'recurring1_based on steps'!AX$1:AX$400,0)),AX$2,)</f>
        <v>0</v>
      </c>
      <c r="AY363" s="179">
        <f ca="1">IF(ISNUMBER(MATCH(DATEVALUE($A363),'recurring1_based on steps'!AY$1:AY$400,0)),AY$2,)</f>
        <v>0</v>
      </c>
    </row>
    <row r="364" spans="1:51" x14ac:dyDescent="0.2">
      <c r="A364" s="32" t="str">
        <f t="shared" ca="1" si="5"/>
        <v>2026-03-25</v>
      </c>
      <c r="B364" s="179">
        <f ca="1">IF(ISNUMBER(MATCH(DATEVALUE($A364),'recurring1_based on steps'!B$1:B$400,0)),B$2,)</f>
        <v>0</v>
      </c>
      <c r="C364" s="179">
        <f ca="1">IF(ISNUMBER(MATCH(DATEVALUE($A364),'recurring1_based on steps'!C$1:C$400,0)),C$2,)</f>
        <v>0</v>
      </c>
      <c r="D364" s="179">
        <f ca="1">IF(ISNUMBER(MATCH(DATEVALUE($A364),'recurring1_based on steps'!D$1:D$400,0)),D$2,)</f>
        <v>0</v>
      </c>
      <c r="E364" s="179">
        <f ca="1">IF(ISNUMBER(MATCH(DATEVALUE($A364),'recurring1_based on steps'!E$1:E$400,0)),E$2,)</f>
        <v>0</v>
      </c>
      <c r="F364" s="179">
        <f ca="1">IF(ISNUMBER(MATCH(DATEVALUE($A364),'recurring1_based on steps'!F$1:F$400,0)),F$2,)</f>
        <v>0</v>
      </c>
      <c r="G364" s="179">
        <f ca="1">IF(ISNUMBER(MATCH(DATEVALUE($A364),'recurring1_based on steps'!G$1:G$400,0)),G$2,)</f>
        <v>0</v>
      </c>
      <c r="H364" s="179">
        <f ca="1">IF(ISNUMBER(MATCH(DATEVALUE($A364),'recurring1_based on steps'!H$1:H$400,0)),H$2,)</f>
        <v>0</v>
      </c>
      <c r="I364" s="179">
        <f ca="1">IF(ISNUMBER(MATCH(DATEVALUE($A364),'recurring1_based on steps'!I$1:I$400,0)),I$2,)</f>
        <v>0</v>
      </c>
      <c r="J364" s="179">
        <f ca="1">IF(ISNUMBER(MATCH(DATEVALUE($A364),'recurring1_based on steps'!J$1:J$400,0)),J$2,)</f>
        <v>0</v>
      </c>
      <c r="K364" s="179">
        <f ca="1">IF(ISNUMBER(MATCH(DATEVALUE($A364),'recurring1_based on steps'!K$1:K$400,0)),K$2,)</f>
        <v>0</v>
      </c>
      <c r="L364" s="179">
        <f ca="1">IF(ISNUMBER(MATCH(DATEVALUE($A364),'recurring1_based on steps'!L$1:L$400,0)),L$2,)</f>
        <v>0</v>
      </c>
      <c r="M364" s="179">
        <f ca="1">IF(ISNUMBER(MATCH(DATEVALUE($A364),'recurring1_based on steps'!M$1:M$400,0)),M$2,)</f>
        <v>0</v>
      </c>
      <c r="N364" s="179">
        <f ca="1">IF(ISNUMBER(MATCH(DATEVALUE($A364),'recurring1_based on steps'!N$1:N$400,0)),N$2,)</f>
        <v>0</v>
      </c>
      <c r="O364" s="179">
        <f ca="1">IF(ISNUMBER(MATCH(DATEVALUE($A364),'recurring1_based on steps'!O$1:O$400,0)),O$2,)</f>
        <v>0</v>
      </c>
      <c r="P364" s="179">
        <f ca="1">IF(ISNUMBER(MATCH(DATEVALUE($A364),'recurring1_based on steps'!P$1:P$400,0)),P$2,)</f>
        <v>0</v>
      </c>
      <c r="Q364" s="179">
        <f ca="1">IF(ISNUMBER(MATCH(DATEVALUE($A364),'recurring1_based on steps'!Q$1:Q$400,0)),Q$2,)</f>
        <v>0</v>
      </c>
      <c r="R364" s="179">
        <f ca="1">IF(ISNUMBER(MATCH(DATEVALUE($A364),'recurring1_based on steps'!R$1:R$400,0)),R$2,)</f>
        <v>0</v>
      </c>
      <c r="S364" s="179">
        <f ca="1">IF(ISNUMBER(MATCH(DATEVALUE($A364),'recurring1_based on steps'!S$1:S$400,0)),S$2,)</f>
        <v>0</v>
      </c>
      <c r="T364" s="179">
        <f ca="1">IF(ISNUMBER(MATCH(DATEVALUE($A364),'recurring1_based on steps'!T$1:T$400,0)),T$2,)</f>
        <v>0</v>
      </c>
      <c r="U364" s="179">
        <f ca="1">IF(ISNUMBER(MATCH(DATEVALUE($A364),'recurring1_based on steps'!U$1:U$400,0)),U$2,)</f>
        <v>0</v>
      </c>
      <c r="V364" s="179">
        <f ca="1">IF(ISNUMBER(MATCH(DATEVALUE($A364),'recurring1_based on steps'!V$1:V$400,0)),V$2,)</f>
        <v>0</v>
      </c>
      <c r="W364" s="179">
        <f ca="1">IF(ISNUMBER(MATCH(DATEVALUE($A364),'recurring1_based on steps'!W$1:W$400,0)),W$2,)</f>
        <v>0</v>
      </c>
      <c r="X364" s="179">
        <f ca="1">IF(ISNUMBER(MATCH(DATEVALUE($A364),'recurring1_based on steps'!X$1:X$400,0)),X$2,)</f>
        <v>0</v>
      </c>
      <c r="Y364" s="179">
        <f ca="1">IF(ISNUMBER(MATCH(DATEVALUE($A364),'recurring1_based on steps'!Y$1:Y$400,0)),Y$2,)</f>
        <v>0</v>
      </c>
      <c r="Z364" s="179">
        <f ca="1">IF(ISNUMBER(MATCH(DATEVALUE($A364),'recurring1_based on steps'!Z$1:Z$400,0)),Z$2,)</f>
        <v>0</v>
      </c>
      <c r="AA364" s="179">
        <f ca="1">IF(ISNUMBER(MATCH(DATEVALUE($A364),'recurring1_based on steps'!AA$1:AA$400,0)),AA$2,)</f>
        <v>0</v>
      </c>
      <c r="AB364" s="179">
        <f ca="1">IF(ISNUMBER(MATCH(DATEVALUE($A364),'recurring1_based on steps'!AB$1:AB$400,0)),AB$2,)</f>
        <v>0</v>
      </c>
      <c r="AC364" s="179">
        <f ca="1">IF(ISNUMBER(MATCH(DATEVALUE($A364),'recurring1_based on steps'!AC$1:AC$400,0)),AC$2,)</f>
        <v>0</v>
      </c>
      <c r="AD364" s="179">
        <f ca="1">IF(ISNUMBER(MATCH(DATEVALUE($A364),'recurring1_based on steps'!AD$1:AD$400,0)),AD$2,)</f>
        <v>0</v>
      </c>
      <c r="AE364" s="179">
        <f ca="1">IF(ISNUMBER(MATCH(DATEVALUE($A364),'recurring1_based on steps'!AE$1:AE$400,0)),AE$2,)</f>
        <v>0</v>
      </c>
      <c r="AF364" s="179">
        <f ca="1">IF(ISNUMBER(MATCH(DATEVALUE($A364),'recurring1_based on steps'!AF$1:AF$400,0)),AF$2,)</f>
        <v>0</v>
      </c>
      <c r="AG364" s="179">
        <f ca="1">IF(ISNUMBER(MATCH(DATEVALUE($A364),'recurring1_based on steps'!AG$1:AG$400,0)),AG$2,)</f>
        <v>0</v>
      </c>
      <c r="AH364" s="179">
        <f ca="1">IF(ISNUMBER(MATCH(DATEVALUE($A364),'recurring1_based on steps'!AH$1:AH$400,0)),AH$2,)</f>
        <v>0</v>
      </c>
      <c r="AI364" s="179">
        <f ca="1">IF(ISNUMBER(MATCH(DATEVALUE($A364),'recurring1_based on steps'!AI$1:AI$400,0)),AI$2,)</f>
        <v>0</v>
      </c>
      <c r="AJ364" s="179">
        <f ca="1">IF(ISNUMBER(MATCH(DATEVALUE($A364),'recurring1_based on steps'!AJ$1:AJ$400,0)),AJ$2,)</f>
        <v>0</v>
      </c>
      <c r="AK364" s="179">
        <f ca="1">IF(ISNUMBER(MATCH(DATEVALUE($A364),'recurring1_based on steps'!AK$1:AK$400,0)),AK$2,)</f>
        <v>0</v>
      </c>
      <c r="AL364" s="179">
        <f ca="1">IF(ISNUMBER(MATCH(DATEVALUE($A364),'recurring1_based on steps'!AL$1:AL$400,0)),AL$2,)</f>
        <v>0</v>
      </c>
      <c r="AM364" s="179">
        <f ca="1">IF(ISNUMBER(MATCH(DATEVALUE($A364),'recurring1_based on steps'!AM$1:AM$400,0)),AM$2,)</f>
        <v>0</v>
      </c>
      <c r="AN364" s="179">
        <f ca="1">IF(ISNUMBER(MATCH(DATEVALUE($A364),'recurring1_based on steps'!AN$1:AN$400,0)),AN$2,)</f>
        <v>0</v>
      </c>
      <c r="AO364" s="179">
        <f ca="1">IF(ISNUMBER(MATCH(DATEVALUE($A364),'recurring1_based on steps'!AO$1:AO$400,0)),AO$2,)</f>
        <v>0</v>
      </c>
      <c r="AP364" s="179">
        <f ca="1">IF(ISNUMBER(MATCH(DATEVALUE($A364),'recurring1_based on steps'!AP$1:AP$400,0)),AP$2,)</f>
        <v>0</v>
      </c>
      <c r="AQ364" s="179">
        <f ca="1">IF(ISNUMBER(MATCH(DATEVALUE($A364),'recurring1_based on steps'!AQ$1:AQ$400,0)),AQ$2,)</f>
        <v>0</v>
      </c>
      <c r="AR364" s="179">
        <f ca="1">IF(ISNUMBER(MATCH(DATEVALUE($A364),'recurring1_based on steps'!AR$1:AR$400,0)),AR$2,)</f>
        <v>0</v>
      </c>
      <c r="AS364" s="179">
        <f ca="1">IF(ISNUMBER(MATCH(DATEVALUE($A364),'recurring1_based on steps'!AS$1:AS$400,0)),AS$2,)</f>
        <v>0</v>
      </c>
      <c r="AT364" s="179">
        <f ca="1">IF(ISNUMBER(MATCH(DATEVALUE($A364),'recurring1_based on steps'!AT$1:AT$400,0)),AT$2,)</f>
        <v>0</v>
      </c>
      <c r="AU364" s="179">
        <f ca="1">IF(ISNUMBER(MATCH(DATEVALUE($A364),'recurring1_based on steps'!AU$1:AU$400,0)),AU$2,)</f>
        <v>0</v>
      </c>
      <c r="AV364" s="179">
        <f ca="1">IF(ISNUMBER(MATCH(DATEVALUE($A364),'recurring1_based on steps'!AV$1:AV$400,0)),AV$2,)</f>
        <v>0</v>
      </c>
      <c r="AW364" s="179">
        <f ca="1">IF(ISNUMBER(MATCH(DATEVALUE($A364),'recurring1_based on steps'!AW$1:AW$400,0)),AW$2,)</f>
        <v>0</v>
      </c>
      <c r="AX364" s="179">
        <f ca="1">IF(ISNUMBER(MATCH(DATEVALUE($A364),'recurring1_based on steps'!AX$1:AX$400,0)),AX$2,)</f>
        <v>0</v>
      </c>
      <c r="AY364" s="179">
        <f ca="1">IF(ISNUMBER(MATCH(DATEVALUE($A364),'recurring1_based on steps'!AY$1:AY$400,0)),AY$2,)</f>
        <v>0</v>
      </c>
    </row>
    <row r="365" spans="1:51" x14ac:dyDescent="0.2">
      <c r="A365" s="32" t="str">
        <f t="shared" ca="1" si="5"/>
        <v>2026-03-26</v>
      </c>
      <c r="B365" s="179">
        <f ca="1">IF(ISNUMBER(MATCH(DATEVALUE($A365),'recurring1_based on steps'!B$1:B$400,0)),B$2,)</f>
        <v>0</v>
      </c>
      <c r="C365" s="179">
        <f ca="1">IF(ISNUMBER(MATCH(DATEVALUE($A365),'recurring1_based on steps'!C$1:C$400,0)),C$2,)</f>
        <v>0</v>
      </c>
      <c r="D365" s="179">
        <f ca="1">IF(ISNUMBER(MATCH(DATEVALUE($A365),'recurring1_based on steps'!D$1:D$400,0)),D$2,)</f>
        <v>0</v>
      </c>
      <c r="E365" s="179">
        <f ca="1">IF(ISNUMBER(MATCH(DATEVALUE($A365),'recurring1_based on steps'!E$1:E$400,0)),E$2,)</f>
        <v>0</v>
      </c>
      <c r="F365" s="179">
        <f ca="1">IF(ISNUMBER(MATCH(DATEVALUE($A365),'recurring1_based on steps'!F$1:F$400,0)),F$2,)</f>
        <v>0</v>
      </c>
      <c r="G365" s="179">
        <f ca="1">IF(ISNUMBER(MATCH(DATEVALUE($A365),'recurring1_based on steps'!G$1:G$400,0)),G$2,)</f>
        <v>0</v>
      </c>
      <c r="H365" s="179">
        <f ca="1">IF(ISNUMBER(MATCH(DATEVALUE($A365),'recurring1_based on steps'!H$1:H$400,0)),H$2,)</f>
        <v>0</v>
      </c>
      <c r="I365" s="179">
        <f ca="1">IF(ISNUMBER(MATCH(DATEVALUE($A365),'recurring1_based on steps'!I$1:I$400,0)),I$2,)</f>
        <v>0</v>
      </c>
      <c r="J365" s="179">
        <f ca="1">IF(ISNUMBER(MATCH(DATEVALUE($A365),'recurring1_based on steps'!J$1:J$400,0)),J$2,)</f>
        <v>0</v>
      </c>
      <c r="K365" s="179">
        <f ca="1">IF(ISNUMBER(MATCH(DATEVALUE($A365),'recurring1_based on steps'!K$1:K$400,0)),K$2,)</f>
        <v>0</v>
      </c>
      <c r="L365" s="179">
        <f ca="1">IF(ISNUMBER(MATCH(DATEVALUE($A365),'recurring1_based on steps'!L$1:L$400,0)),L$2,)</f>
        <v>0</v>
      </c>
      <c r="M365" s="179">
        <f ca="1">IF(ISNUMBER(MATCH(DATEVALUE($A365),'recurring1_based on steps'!M$1:M$400,0)),M$2,)</f>
        <v>0</v>
      </c>
      <c r="N365" s="179">
        <f ca="1">IF(ISNUMBER(MATCH(DATEVALUE($A365),'recurring1_based on steps'!N$1:N$400,0)),N$2,)</f>
        <v>0</v>
      </c>
      <c r="O365" s="179">
        <f ca="1">IF(ISNUMBER(MATCH(DATEVALUE($A365),'recurring1_based on steps'!O$1:O$400,0)),O$2,)</f>
        <v>0</v>
      </c>
      <c r="P365" s="179">
        <f ca="1">IF(ISNUMBER(MATCH(DATEVALUE($A365),'recurring1_based on steps'!P$1:P$400,0)),P$2,)</f>
        <v>0</v>
      </c>
      <c r="Q365" s="179">
        <f ca="1">IF(ISNUMBER(MATCH(DATEVALUE($A365),'recurring1_based on steps'!Q$1:Q$400,0)),Q$2,)</f>
        <v>0</v>
      </c>
      <c r="R365" s="179">
        <f ca="1">IF(ISNUMBER(MATCH(DATEVALUE($A365),'recurring1_based on steps'!R$1:R$400,0)),R$2,)</f>
        <v>0</v>
      </c>
      <c r="S365" s="179">
        <f ca="1">IF(ISNUMBER(MATCH(DATEVALUE($A365),'recurring1_based on steps'!S$1:S$400,0)),S$2,)</f>
        <v>0</v>
      </c>
      <c r="T365" s="179">
        <f ca="1">IF(ISNUMBER(MATCH(DATEVALUE($A365),'recurring1_based on steps'!T$1:T$400,0)),T$2,)</f>
        <v>0</v>
      </c>
      <c r="U365" s="179">
        <f ca="1">IF(ISNUMBER(MATCH(DATEVALUE($A365),'recurring1_based on steps'!U$1:U$400,0)),U$2,)</f>
        <v>0</v>
      </c>
      <c r="V365" s="179">
        <f ca="1">IF(ISNUMBER(MATCH(DATEVALUE($A365),'recurring1_based on steps'!V$1:V$400,0)),V$2,)</f>
        <v>0</v>
      </c>
      <c r="W365" s="179">
        <f ca="1">IF(ISNUMBER(MATCH(DATEVALUE($A365),'recurring1_based on steps'!W$1:W$400,0)),W$2,)</f>
        <v>0</v>
      </c>
      <c r="X365" s="179">
        <f ca="1">IF(ISNUMBER(MATCH(DATEVALUE($A365),'recurring1_based on steps'!X$1:X$400,0)),X$2,)</f>
        <v>0</v>
      </c>
      <c r="Y365" s="179">
        <f ca="1">IF(ISNUMBER(MATCH(DATEVALUE($A365),'recurring1_based on steps'!Y$1:Y$400,0)),Y$2,)</f>
        <v>0</v>
      </c>
      <c r="Z365" s="179">
        <f ca="1">IF(ISNUMBER(MATCH(DATEVALUE($A365),'recurring1_based on steps'!Z$1:Z$400,0)),Z$2,)</f>
        <v>0</v>
      </c>
      <c r="AA365" s="179">
        <f ca="1">IF(ISNUMBER(MATCH(DATEVALUE($A365),'recurring1_based on steps'!AA$1:AA$400,0)),AA$2,)</f>
        <v>0</v>
      </c>
      <c r="AB365" s="179">
        <f ca="1">IF(ISNUMBER(MATCH(DATEVALUE($A365),'recurring1_based on steps'!AB$1:AB$400,0)),AB$2,)</f>
        <v>0</v>
      </c>
      <c r="AC365" s="179">
        <f ca="1">IF(ISNUMBER(MATCH(DATEVALUE($A365),'recurring1_based on steps'!AC$1:AC$400,0)),AC$2,)</f>
        <v>0</v>
      </c>
      <c r="AD365" s="179">
        <f ca="1">IF(ISNUMBER(MATCH(DATEVALUE($A365),'recurring1_based on steps'!AD$1:AD$400,0)),AD$2,)</f>
        <v>0</v>
      </c>
      <c r="AE365" s="179">
        <f ca="1">IF(ISNUMBER(MATCH(DATEVALUE($A365),'recurring1_based on steps'!AE$1:AE$400,0)),AE$2,)</f>
        <v>0</v>
      </c>
      <c r="AF365" s="179">
        <f ca="1">IF(ISNUMBER(MATCH(DATEVALUE($A365),'recurring1_based on steps'!AF$1:AF$400,0)),AF$2,)</f>
        <v>0</v>
      </c>
      <c r="AG365" s="179">
        <f ca="1">IF(ISNUMBER(MATCH(DATEVALUE($A365),'recurring1_based on steps'!AG$1:AG$400,0)),AG$2,)</f>
        <v>0</v>
      </c>
      <c r="AH365" s="179">
        <f ca="1">IF(ISNUMBER(MATCH(DATEVALUE($A365),'recurring1_based on steps'!AH$1:AH$400,0)),AH$2,)</f>
        <v>0</v>
      </c>
      <c r="AI365" s="179">
        <f ca="1">IF(ISNUMBER(MATCH(DATEVALUE($A365),'recurring1_based on steps'!AI$1:AI$400,0)),AI$2,)</f>
        <v>0</v>
      </c>
      <c r="AJ365" s="179">
        <f ca="1">IF(ISNUMBER(MATCH(DATEVALUE($A365),'recurring1_based on steps'!AJ$1:AJ$400,0)),AJ$2,)</f>
        <v>0</v>
      </c>
      <c r="AK365" s="179">
        <f ca="1">IF(ISNUMBER(MATCH(DATEVALUE($A365),'recurring1_based on steps'!AK$1:AK$400,0)),AK$2,)</f>
        <v>0</v>
      </c>
      <c r="AL365" s="179">
        <f ca="1">IF(ISNUMBER(MATCH(DATEVALUE($A365),'recurring1_based on steps'!AL$1:AL$400,0)),AL$2,)</f>
        <v>0</v>
      </c>
      <c r="AM365" s="179">
        <f ca="1">IF(ISNUMBER(MATCH(DATEVALUE($A365),'recurring1_based on steps'!AM$1:AM$400,0)),AM$2,)</f>
        <v>0</v>
      </c>
      <c r="AN365" s="179">
        <f ca="1">IF(ISNUMBER(MATCH(DATEVALUE($A365),'recurring1_based on steps'!AN$1:AN$400,0)),AN$2,)</f>
        <v>0</v>
      </c>
      <c r="AO365" s="179">
        <f ca="1">IF(ISNUMBER(MATCH(DATEVALUE($A365),'recurring1_based on steps'!AO$1:AO$400,0)),AO$2,)</f>
        <v>0</v>
      </c>
      <c r="AP365" s="179">
        <f ca="1">IF(ISNUMBER(MATCH(DATEVALUE($A365),'recurring1_based on steps'!AP$1:AP$400,0)),AP$2,)</f>
        <v>0</v>
      </c>
      <c r="AQ365" s="179">
        <f ca="1">IF(ISNUMBER(MATCH(DATEVALUE($A365),'recurring1_based on steps'!AQ$1:AQ$400,0)),AQ$2,)</f>
        <v>0</v>
      </c>
      <c r="AR365" s="179">
        <f ca="1">IF(ISNUMBER(MATCH(DATEVALUE($A365),'recurring1_based on steps'!AR$1:AR$400,0)),AR$2,)</f>
        <v>0</v>
      </c>
      <c r="AS365" s="179">
        <f ca="1">IF(ISNUMBER(MATCH(DATEVALUE($A365),'recurring1_based on steps'!AS$1:AS$400,0)),AS$2,)</f>
        <v>0</v>
      </c>
      <c r="AT365" s="179">
        <f ca="1">IF(ISNUMBER(MATCH(DATEVALUE($A365),'recurring1_based on steps'!AT$1:AT$400,0)),AT$2,)</f>
        <v>0</v>
      </c>
      <c r="AU365" s="179">
        <f ca="1">IF(ISNUMBER(MATCH(DATEVALUE($A365),'recurring1_based on steps'!AU$1:AU$400,0)),AU$2,)</f>
        <v>0</v>
      </c>
      <c r="AV365" s="179">
        <f ca="1">IF(ISNUMBER(MATCH(DATEVALUE($A365),'recurring1_based on steps'!AV$1:AV$400,0)),AV$2,)</f>
        <v>0</v>
      </c>
      <c r="AW365" s="179">
        <f ca="1">IF(ISNUMBER(MATCH(DATEVALUE($A365),'recurring1_based on steps'!AW$1:AW$400,0)),AW$2,)</f>
        <v>0</v>
      </c>
      <c r="AX365" s="179">
        <f ca="1">IF(ISNUMBER(MATCH(DATEVALUE($A365),'recurring1_based on steps'!AX$1:AX$400,0)),AX$2,)</f>
        <v>0</v>
      </c>
      <c r="AY365" s="179">
        <f ca="1">IF(ISNUMBER(MATCH(DATEVALUE($A365),'recurring1_based on steps'!AY$1:AY$400,0)),AY$2,)</f>
        <v>0</v>
      </c>
    </row>
    <row r="366" spans="1:51" x14ac:dyDescent="0.2">
      <c r="A366" s="32" t="str">
        <f t="shared" ca="1" si="5"/>
        <v>2026-03-27</v>
      </c>
      <c r="B366" s="179">
        <f ca="1">IF(ISNUMBER(MATCH(DATEVALUE($A366),'recurring1_based on steps'!B$1:B$400,0)),B$2,)</f>
        <v>0</v>
      </c>
      <c r="C366" s="179">
        <f ca="1">IF(ISNUMBER(MATCH(DATEVALUE($A366),'recurring1_based on steps'!C$1:C$400,0)),C$2,)</f>
        <v>0</v>
      </c>
      <c r="D366" s="179">
        <f ca="1">IF(ISNUMBER(MATCH(DATEVALUE($A366),'recurring1_based on steps'!D$1:D$400,0)),D$2,)</f>
        <v>0</v>
      </c>
      <c r="E366" s="179">
        <f ca="1">IF(ISNUMBER(MATCH(DATEVALUE($A366),'recurring1_based on steps'!E$1:E$400,0)),E$2,)</f>
        <v>0</v>
      </c>
      <c r="F366" s="179">
        <f ca="1">IF(ISNUMBER(MATCH(DATEVALUE($A366),'recurring1_based on steps'!F$1:F$400,0)),F$2,)</f>
        <v>0</v>
      </c>
      <c r="G366" s="179">
        <f ca="1">IF(ISNUMBER(MATCH(DATEVALUE($A366),'recurring1_based on steps'!G$1:G$400,0)),G$2,)</f>
        <v>0</v>
      </c>
      <c r="H366" s="179">
        <f ca="1">IF(ISNUMBER(MATCH(DATEVALUE($A366),'recurring1_based on steps'!H$1:H$400,0)),H$2,)</f>
        <v>0</v>
      </c>
      <c r="I366" s="179">
        <f ca="1">IF(ISNUMBER(MATCH(DATEVALUE($A366),'recurring1_based on steps'!I$1:I$400,0)),I$2,)</f>
        <v>0</v>
      </c>
      <c r="J366" s="179">
        <f ca="1">IF(ISNUMBER(MATCH(DATEVALUE($A366),'recurring1_based on steps'!J$1:J$400,0)),J$2,)</f>
        <v>0</v>
      </c>
      <c r="K366" s="179">
        <f ca="1">IF(ISNUMBER(MATCH(DATEVALUE($A366),'recurring1_based on steps'!K$1:K$400,0)),K$2,)</f>
        <v>0</v>
      </c>
      <c r="L366" s="179">
        <f ca="1">IF(ISNUMBER(MATCH(DATEVALUE($A366),'recurring1_based on steps'!L$1:L$400,0)),L$2,)</f>
        <v>0</v>
      </c>
      <c r="M366" s="179">
        <f ca="1">IF(ISNUMBER(MATCH(DATEVALUE($A366),'recurring1_based on steps'!M$1:M$400,0)),M$2,)</f>
        <v>0</v>
      </c>
      <c r="N366" s="179">
        <f ca="1">IF(ISNUMBER(MATCH(DATEVALUE($A366),'recurring1_based on steps'!N$1:N$400,0)),N$2,)</f>
        <v>0</v>
      </c>
      <c r="O366" s="179">
        <f ca="1">IF(ISNUMBER(MATCH(DATEVALUE($A366),'recurring1_based on steps'!O$1:O$400,0)),O$2,)</f>
        <v>0</v>
      </c>
      <c r="P366" s="179">
        <f ca="1">IF(ISNUMBER(MATCH(DATEVALUE($A366),'recurring1_based on steps'!P$1:P$400,0)),P$2,)</f>
        <v>0</v>
      </c>
      <c r="Q366" s="179">
        <f ca="1">IF(ISNUMBER(MATCH(DATEVALUE($A366),'recurring1_based on steps'!Q$1:Q$400,0)),Q$2,)</f>
        <v>0</v>
      </c>
      <c r="R366" s="179">
        <f ca="1">IF(ISNUMBER(MATCH(DATEVALUE($A366),'recurring1_based on steps'!R$1:R$400,0)),R$2,)</f>
        <v>0</v>
      </c>
      <c r="S366" s="179">
        <f ca="1">IF(ISNUMBER(MATCH(DATEVALUE($A366),'recurring1_based on steps'!S$1:S$400,0)),S$2,)</f>
        <v>0</v>
      </c>
      <c r="T366" s="179">
        <f ca="1">IF(ISNUMBER(MATCH(DATEVALUE($A366),'recurring1_based on steps'!T$1:T$400,0)),T$2,)</f>
        <v>0</v>
      </c>
      <c r="U366" s="179">
        <f ca="1">IF(ISNUMBER(MATCH(DATEVALUE($A366),'recurring1_based on steps'!U$1:U$400,0)),U$2,)</f>
        <v>0</v>
      </c>
      <c r="V366" s="179">
        <f ca="1">IF(ISNUMBER(MATCH(DATEVALUE($A366),'recurring1_based on steps'!V$1:V$400,0)),V$2,)</f>
        <v>0</v>
      </c>
      <c r="W366" s="179">
        <f ca="1">IF(ISNUMBER(MATCH(DATEVALUE($A366),'recurring1_based on steps'!W$1:W$400,0)),W$2,)</f>
        <v>0</v>
      </c>
      <c r="X366" s="179">
        <f ca="1">IF(ISNUMBER(MATCH(DATEVALUE($A366),'recurring1_based on steps'!X$1:X$400,0)),X$2,)</f>
        <v>0</v>
      </c>
      <c r="Y366" s="179">
        <f ca="1">IF(ISNUMBER(MATCH(DATEVALUE($A366),'recurring1_based on steps'!Y$1:Y$400,0)),Y$2,)</f>
        <v>0</v>
      </c>
      <c r="Z366" s="179">
        <f ca="1">IF(ISNUMBER(MATCH(DATEVALUE($A366),'recurring1_based on steps'!Z$1:Z$400,0)),Z$2,)</f>
        <v>0</v>
      </c>
      <c r="AA366" s="179">
        <f ca="1">IF(ISNUMBER(MATCH(DATEVALUE($A366),'recurring1_based on steps'!AA$1:AA$400,0)),AA$2,)</f>
        <v>0</v>
      </c>
      <c r="AB366" s="179">
        <f ca="1">IF(ISNUMBER(MATCH(DATEVALUE($A366),'recurring1_based on steps'!AB$1:AB$400,0)),AB$2,)</f>
        <v>0</v>
      </c>
      <c r="AC366" s="179">
        <f ca="1">IF(ISNUMBER(MATCH(DATEVALUE($A366),'recurring1_based on steps'!AC$1:AC$400,0)),AC$2,)</f>
        <v>0</v>
      </c>
      <c r="AD366" s="179">
        <f ca="1">IF(ISNUMBER(MATCH(DATEVALUE($A366),'recurring1_based on steps'!AD$1:AD$400,0)),AD$2,)</f>
        <v>0</v>
      </c>
      <c r="AE366" s="179">
        <f ca="1">IF(ISNUMBER(MATCH(DATEVALUE($A366),'recurring1_based on steps'!AE$1:AE$400,0)),AE$2,)</f>
        <v>0</v>
      </c>
      <c r="AF366" s="179">
        <f ca="1">IF(ISNUMBER(MATCH(DATEVALUE($A366),'recurring1_based on steps'!AF$1:AF$400,0)),AF$2,)</f>
        <v>0</v>
      </c>
      <c r="AG366" s="179">
        <f ca="1">IF(ISNUMBER(MATCH(DATEVALUE($A366),'recurring1_based on steps'!AG$1:AG$400,0)),AG$2,)</f>
        <v>0</v>
      </c>
      <c r="AH366" s="179">
        <f ca="1">IF(ISNUMBER(MATCH(DATEVALUE($A366),'recurring1_based on steps'!AH$1:AH$400,0)),AH$2,)</f>
        <v>0</v>
      </c>
      <c r="AI366" s="179">
        <f ca="1">IF(ISNUMBER(MATCH(DATEVALUE($A366),'recurring1_based on steps'!AI$1:AI$400,0)),AI$2,)</f>
        <v>0</v>
      </c>
      <c r="AJ366" s="179">
        <f ca="1">IF(ISNUMBER(MATCH(DATEVALUE($A366),'recurring1_based on steps'!AJ$1:AJ$400,0)),AJ$2,)</f>
        <v>0</v>
      </c>
      <c r="AK366" s="179">
        <f ca="1">IF(ISNUMBER(MATCH(DATEVALUE($A366),'recurring1_based on steps'!AK$1:AK$400,0)),AK$2,)</f>
        <v>0</v>
      </c>
      <c r="AL366" s="179">
        <f ca="1">IF(ISNUMBER(MATCH(DATEVALUE($A366),'recurring1_based on steps'!AL$1:AL$400,0)),AL$2,)</f>
        <v>0</v>
      </c>
      <c r="AM366" s="179">
        <f ca="1">IF(ISNUMBER(MATCH(DATEVALUE($A366),'recurring1_based on steps'!AM$1:AM$400,0)),AM$2,)</f>
        <v>0</v>
      </c>
      <c r="AN366" s="179">
        <f ca="1">IF(ISNUMBER(MATCH(DATEVALUE($A366),'recurring1_based on steps'!AN$1:AN$400,0)),AN$2,)</f>
        <v>0</v>
      </c>
      <c r="AO366" s="179">
        <f ca="1">IF(ISNUMBER(MATCH(DATEVALUE($A366),'recurring1_based on steps'!AO$1:AO$400,0)),AO$2,)</f>
        <v>0</v>
      </c>
      <c r="AP366" s="179">
        <f ca="1">IF(ISNUMBER(MATCH(DATEVALUE($A366),'recurring1_based on steps'!AP$1:AP$400,0)),AP$2,)</f>
        <v>0</v>
      </c>
      <c r="AQ366" s="179">
        <f ca="1">IF(ISNUMBER(MATCH(DATEVALUE($A366),'recurring1_based on steps'!AQ$1:AQ$400,0)),AQ$2,)</f>
        <v>0</v>
      </c>
      <c r="AR366" s="179">
        <f ca="1">IF(ISNUMBER(MATCH(DATEVALUE($A366),'recurring1_based on steps'!AR$1:AR$400,0)),AR$2,)</f>
        <v>0</v>
      </c>
      <c r="AS366" s="179">
        <f ca="1">IF(ISNUMBER(MATCH(DATEVALUE($A366),'recurring1_based on steps'!AS$1:AS$400,0)),AS$2,)</f>
        <v>0</v>
      </c>
      <c r="AT366" s="179">
        <f ca="1">IF(ISNUMBER(MATCH(DATEVALUE($A366),'recurring1_based on steps'!AT$1:AT$400,0)),AT$2,)</f>
        <v>0</v>
      </c>
      <c r="AU366" s="179">
        <f ca="1">IF(ISNUMBER(MATCH(DATEVALUE($A366),'recurring1_based on steps'!AU$1:AU$400,0)),AU$2,)</f>
        <v>0</v>
      </c>
      <c r="AV366" s="179">
        <f ca="1">IF(ISNUMBER(MATCH(DATEVALUE($A366),'recurring1_based on steps'!AV$1:AV$400,0)),AV$2,)</f>
        <v>0</v>
      </c>
      <c r="AW366" s="179">
        <f ca="1">IF(ISNUMBER(MATCH(DATEVALUE($A366),'recurring1_based on steps'!AW$1:AW$400,0)),AW$2,)</f>
        <v>0</v>
      </c>
      <c r="AX366" s="179">
        <f ca="1">IF(ISNUMBER(MATCH(DATEVALUE($A366),'recurring1_based on steps'!AX$1:AX$400,0)),AX$2,)</f>
        <v>0</v>
      </c>
      <c r="AY366" s="179">
        <f ca="1">IF(ISNUMBER(MATCH(DATEVALUE($A366),'recurring1_based on steps'!AY$1:AY$400,0)),AY$2,)</f>
        <v>0</v>
      </c>
    </row>
    <row r="367" spans="1:51" x14ac:dyDescent="0.2">
      <c r="A367" s="32" t="str">
        <f t="shared" ca="1" si="5"/>
        <v>2026-03-28</v>
      </c>
      <c r="B367" s="179">
        <f ca="1">IF(ISNUMBER(MATCH(DATEVALUE($A367),'recurring1_based on steps'!B$1:B$400,0)),B$2,)</f>
        <v>0</v>
      </c>
      <c r="C367" s="179">
        <f ca="1">IF(ISNUMBER(MATCH(DATEVALUE($A367),'recurring1_based on steps'!C$1:C$400,0)),C$2,)</f>
        <v>0</v>
      </c>
      <c r="D367" s="179">
        <f ca="1">IF(ISNUMBER(MATCH(DATEVALUE($A367),'recurring1_based on steps'!D$1:D$400,0)),D$2,)</f>
        <v>0</v>
      </c>
      <c r="E367" s="179">
        <f ca="1">IF(ISNUMBER(MATCH(DATEVALUE($A367),'recurring1_based on steps'!E$1:E$400,0)),E$2,)</f>
        <v>0</v>
      </c>
      <c r="F367" s="179">
        <f ca="1">IF(ISNUMBER(MATCH(DATEVALUE($A367),'recurring1_based on steps'!F$1:F$400,0)),F$2,)</f>
        <v>0</v>
      </c>
      <c r="G367" s="179">
        <f ca="1">IF(ISNUMBER(MATCH(DATEVALUE($A367),'recurring1_based on steps'!G$1:G$400,0)),G$2,)</f>
        <v>0</v>
      </c>
      <c r="H367" s="179">
        <f ca="1">IF(ISNUMBER(MATCH(DATEVALUE($A367),'recurring1_based on steps'!H$1:H$400,0)),H$2,)</f>
        <v>0</v>
      </c>
      <c r="I367" s="179">
        <f ca="1">IF(ISNUMBER(MATCH(DATEVALUE($A367),'recurring1_based on steps'!I$1:I$400,0)),I$2,)</f>
        <v>0</v>
      </c>
      <c r="J367" s="179">
        <f ca="1">IF(ISNUMBER(MATCH(DATEVALUE($A367),'recurring1_based on steps'!J$1:J$400,0)),J$2,)</f>
        <v>0</v>
      </c>
      <c r="K367" s="179">
        <f ca="1">IF(ISNUMBER(MATCH(DATEVALUE($A367),'recurring1_based on steps'!K$1:K$400,0)),K$2,)</f>
        <v>0</v>
      </c>
      <c r="L367" s="179">
        <f ca="1">IF(ISNUMBER(MATCH(DATEVALUE($A367),'recurring1_based on steps'!L$1:L$400,0)),L$2,)</f>
        <v>0</v>
      </c>
      <c r="M367" s="179">
        <f ca="1">IF(ISNUMBER(MATCH(DATEVALUE($A367),'recurring1_based on steps'!M$1:M$400,0)),M$2,)</f>
        <v>0</v>
      </c>
      <c r="N367" s="179">
        <f ca="1">IF(ISNUMBER(MATCH(DATEVALUE($A367),'recurring1_based on steps'!N$1:N$400,0)),N$2,)</f>
        <v>0</v>
      </c>
      <c r="O367" s="179">
        <f ca="1">IF(ISNUMBER(MATCH(DATEVALUE($A367),'recurring1_based on steps'!O$1:O$400,0)),O$2,)</f>
        <v>0</v>
      </c>
      <c r="P367" s="179">
        <f ca="1">IF(ISNUMBER(MATCH(DATEVALUE($A367),'recurring1_based on steps'!P$1:P$400,0)),P$2,)</f>
        <v>0</v>
      </c>
      <c r="Q367" s="179">
        <f ca="1">IF(ISNUMBER(MATCH(DATEVALUE($A367),'recurring1_based on steps'!Q$1:Q$400,0)),Q$2,)</f>
        <v>0</v>
      </c>
      <c r="R367" s="179">
        <f ca="1">IF(ISNUMBER(MATCH(DATEVALUE($A367),'recurring1_based on steps'!R$1:R$400,0)),R$2,)</f>
        <v>0</v>
      </c>
      <c r="S367" s="179">
        <f ca="1">IF(ISNUMBER(MATCH(DATEVALUE($A367),'recurring1_based on steps'!S$1:S$400,0)),S$2,)</f>
        <v>0</v>
      </c>
      <c r="T367" s="179">
        <f ca="1">IF(ISNUMBER(MATCH(DATEVALUE($A367),'recurring1_based on steps'!T$1:T$400,0)),T$2,)</f>
        <v>0</v>
      </c>
      <c r="U367" s="179">
        <f ca="1">IF(ISNUMBER(MATCH(DATEVALUE($A367),'recurring1_based on steps'!U$1:U$400,0)),U$2,)</f>
        <v>0</v>
      </c>
      <c r="V367" s="179">
        <f ca="1">IF(ISNUMBER(MATCH(DATEVALUE($A367),'recurring1_based on steps'!V$1:V$400,0)),V$2,)</f>
        <v>0</v>
      </c>
      <c r="W367" s="179">
        <f ca="1">IF(ISNUMBER(MATCH(DATEVALUE($A367),'recurring1_based on steps'!W$1:W$400,0)),W$2,)</f>
        <v>0</v>
      </c>
      <c r="X367" s="179">
        <f ca="1">IF(ISNUMBER(MATCH(DATEVALUE($A367),'recurring1_based on steps'!X$1:X$400,0)),X$2,)</f>
        <v>0</v>
      </c>
      <c r="Y367" s="179">
        <f ca="1">IF(ISNUMBER(MATCH(DATEVALUE($A367),'recurring1_based on steps'!Y$1:Y$400,0)),Y$2,)</f>
        <v>0</v>
      </c>
      <c r="Z367" s="179">
        <f ca="1">IF(ISNUMBER(MATCH(DATEVALUE($A367),'recurring1_based on steps'!Z$1:Z$400,0)),Z$2,)</f>
        <v>0</v>
      </c>
      <c r="AA367" s="179">
        <f ca="1">IF(ISNUMBER(MATCH(DATEVALUE($A367),'recurring1_based on steps'!AA$1:AA$400,0)),AA$2,)</f>
        <v>0</v>
      </c>
      <c r="AB367" s="179">
        <f ca="1">IF(ISNUMBER(MATCH(DATEVALUE($A367),'recurring1_based on steps'!AB$1:AB$400,0)),AB$2,)</f>
        <v>0</v>
      </c>
      <c r="AC367" s="179">
        <f ca="1">IF(ISNUMBER(MATCH(DATEVALUE($A367),'recurring1_based on steps'!AC$1:AC$400,0)),AC$2,)</f>
        <v>0</v>
      </c>
      <c r="AD367" s="179">
        <f ca="1">IF(ISNUMBER(MATCH(DATEVALUE($A367),'recurring1_based on steps'!AD$1:AD$400,0)),AD$2,)</f>
        <v>0</v>
      </c>
      <c r="AE367" s="179">
        <f ca="1">IF(ISNUMBER(MATCH(DATEVALUE($A367),'recurring1_based on steps'!AE$1:AE$400,0)),AE$2,)</f>
        <v>0</v>
      </c>
      <c r="AF367" s="179">
        <f ca="1">IF(ISNUMBER(MATCH(DATEVALUE($A367),'recurring1_based on steps'!AF$1:AF$400,0)),AF$2,)</f>
        <v>0</v>
      </c>
      <c r="AG367" s="179">
        <f ca="1">IF(ISNUMBER(MATCH(DATEVALUE($A367),'recurring1_based on steps'!AG$1:AG$400,0)),AG$2,)</f>
        <v>0</v>
      </c>
      <c r="AH367" s="179">
        <f ca="1">IF(ISNUMBER(MATCH(DATEVALUE($A367),'recurring1_based on steps'!AH$1:AH$400,0)),AH$2,)</f>
        <v>0</v>
      </c>
      <c r="AI367" s="179">
        <f ca="1">IF(ISNUMBER(MATCH(DATEVALUE($A367),'recurring1_based on steps'!AI$1:AI$400,0)),AI$2,)</f>
        <v>0</v>
      </c>
      <c r="AJ367" s="179">
        <f ca="1">IF(ISNUMBER(MATCH(DATEVALUE($A367),'recurring1_based on steps'!AJ$1:AJ$400,0)),AJ$2,)</f>
        <v>0</v>
      </c>
      <c r="AK367" s="179">
        <f ca="1">IF(ISNUMBER(MATCH(DATEVALUE($A367),'recurring1_based on steps'!AK$1:AK$400,0)),AK$2,)</f>
        <v>0</v>
      </c>
      <c r="AL367" s="179">
        <f ca="1">IF(ISNUMBER(MATCH(DATEVALUE($A367),'recurring1_based on steps'!AL$1:AL$400,0)),AL$2,)</f>
        <v>0</v>
      </c>
      <c r="AM367" s="179">
        <f ca="1">IF(ISNUMBER(MATCH(DATEVALUE($A367),'recurring1_based on steps'!AM$1:AM$400,0)),AM$2,)</f>
        <v>0</v>
      </c>
      <c r="AN367" s="179">
        <f ca="1">IF(ISNUMBER(MATCH(DATEVALUE($A367),'recurring1_based on steps'!AN$1:AN$400,0)),AN$2,)</f>
        <v>0</v>
      </c>
      <c r="AO367" s="179">
        <f ca="1">IF(ISNUMBER(MATCH(DATEVALUE($A367),'recurring1_based on steps'!AO$1:AO$400,0)),AO$2,)</f>
        <v>0</v>
      </c>
      <c r="AP367" s="179">
        <f ca="1">IF(ISNUMBER(MATCH(DATEVALUE($A367),'recurring1_based on steps'!AP$1:AP$400,0)),AP$2,)</f>
        <v>0</v>
      </c>
      <c r="AQ367" s="179">
        <f ca="1">IF(ISNUMBER(MATCH(DATEVALUE($A367),'recurring1_based on steps'!AQ$1:AQ$400,0)),AQ$2,)</f>
        <v>0</v>
      </c>
      <c r="AR367" s="179">
        <f ca="1">IF(ISNUMBER(MATCH(DATEVALUE($A367),'recurring1_based on steps'!AR$1:AR$400,0)),AR$2,)</f>
        <v>0</v>
      </c>
      <c r="AS367" s="179">
        <f ca="1">IF(ISNUMBER(MATCH(DATEVALUE($A367),'recurring1_based on steps'!AS$1:AS$400,0)),AS$2,)</f>
        <v>0</v>
      </c>
      <c r="AT367" s="179">
        <f ca="1">IF(ISNUMBER(MATCH(DATEVALUE($A367),'recurring1_based on steps'!AT$1:AT$400,0)),AT$2,)</f>
        <v>0</v>
      </c>
      <c r="AU367" s="179">
        <f ca="1">IF(ISNUMBER(MATCH(DATEVALUE($A367),'recurring1_based on steps'!AU$1:AU$400,0)),AU$2,)</f>
        <v>0</v>
      </c>
      <c r="AV367" s="179">
        <f ca="1">IF(ISNUMBER(MATCH(DATEVALUE($A367),'recurring1_based on steps'!AV$1:AV$400,0)),AV$2,)</f>
        <v>0</v>
      </c>
      <c r="AW367" s="179">
        <f ca="1">IF(ISNUMBER(MATCH(DATEVALUE($A367),'recurring1_based on steps'!AW$1:AW$400,0)),AW$2,)</f>
        <v>0</v>
      </c>
      <c r="AX367" s="179">
        <f ca="1">IF(ISNUMBER(MATCH(DATEVALUE($A367),'recurring1_based on steps'!AX$1:AX$400,0)),AX$2,)</f>
        <v>0</v>
      </c>
      <c r="AY367" s="179">
        <f ca="1">IF(ISNUMBER(MATCH(DATEVALUE($A367),'recurring1_based on steps'!AY$1:AY$400,0)),AY$2,)</f>
        <v>0</v>
      </c>
    </row>
    <row r="368" spans="1:51" x14ac:dyDescent="0.2">
      <c r="A368" s="32" t="str">
        <f t="shared" ca="1" si="5"/>
        <v>2026-03-29</v>
      </c>
      <c r="B368" s="179">
        <f ca="1">IF(ISNUMBER(MATCH(DATEVALUE($A368),'recurring1_based on steps'!B$1:B$400,0)),B$2,)</f>
        <v>0</v>
      </c>
      <c r="C368" s="179">
        <f ca="1">IF(ISNUMBER(MATCH(DATEVALUE($A368),'recurring1_based on steps'!C$1:C$400,0)),C$2,)</f>
        <v>0</v>
      </c>
      <c r="D368" s="179">
        <f ca="1">IF(ISNUMBER(MATCH(DATEVALUE($A368),'recurring1_based on steps'!D$1:D$400,0)),D$2,)</f>
        <v>0</v>
      </c>
      <c r="E368" s="179">
        <f ca="1">IF(ISNUMBER(MATCH(DATEVALUE($A368),'recurring1_based on steps'!E$1:E$400,0)),E$2,)</f>
        <v>0</v>
      </c>
      <c r="F368" s="179">
        <f ca="1">IF(ISNUMBER(MATCH(DATEVALUE($A368),'recurring1_based on steps'!F$1:F$400,0)),F$2,)</f>
        <v>0</v>
      </c>
      <c r="G368" s="179">
        <f ca="1">IF(ISNUMBER(MATCH(DATEVALUE($A368),'recurring1_based on steps'!G$1:G$400,0)),G$2,)</f>
        <v>0</v>
      </c>
      <c r="H368" s="179">
        <f ca="1">IF(ISNUMBER(MATCH(DATEVALUE($A368),'recurring1_based on steps'!H$1:H$400,0)),H$2,)</f>
        <v>0</v>
      </c>
      <c r="I368" s="179">
        <f ca="1">IF(ISNUMBER(MATCH(DATEVALUE($A368),'recurring1_based on steps'!I$1:I$400,0)),I$2,)</f>
        <v>0</v>
      </c>
      <c r="J368" s="179">
        <f ca="1">IF(ISNUMBER(MATCH(DATEVALUE($A368),'recurring1_based on steps'!J$1:J$400,0)),J$2,)</f>
        <v>0</v>
      </c>
      <c r="K368" s="179">
        <f ca="1">IF(ISNUMBER(MATCH(DATEVALUE($A368),'recurring1_based on steps'!K$1:K$400,0)),K$2,)</f>
        <v>0</v>
      </c>
      <c r="L368" s="179">
        <f ca="1">IF(ISNUMBER(MATCH(DATEVALUE($A368),'recurring1_based on steps'!L$1:L$400,0)),L$2,)</f>
        <v>0</v>
      </c>
      <c r="M368" s="179">
        <f ca="1">IF(ISNUMBER(MATCH(DATEVALUE($A368),'recurring1_based on steps'!M$1:M$400,0)),M$2,)</f>
        <v>0</v>
      </c>
      <c r="N368" s="179">
        <f ca="1">IF(ISNUMBER(MATCH(DATEVALUE($A368),'recurring1_based on steps'!N$1:N$400,0)),N$2,)</f>
        <v>0</v>
      </c>
      <c r="O368" s="179">
        <f ca="1">IF(ISNUMBER(MATCH(DATEVALUE($A368),'recurring1_based on steps'!O$1:O$400,0)),O$2,)</f>
        <v>0</v>
      </c>
      <c r="P368" s="179">
        <f ca="1">IF(ISNUMBER(MATCH(DATEVALUE($A368),'recurring1_based on steps'!P$1:P$400,0)),P$2,)</f>
        <v>0</v>
      </c>
      <c r="Q368" s="179">
        <f ca="1">IF(ISNUMBER(MATCH(DATEVALUE($A368),'recurring1_based on steps'!Q$1:Q$400,0)),Q$2,)</f>
        <v>0</v>
      </c>
      <c r="R368" s="179">
        <f ca="1">IF(ISNUMBER(MATCH(DATEVALUE($A368),'recurring1_based on steps'!R$1:R$400,0)),R$2,)</f>
        <v>0</v>
      </c>
      <c r="S368" s="179">
        <f ca="1">IF(ISNUMBER(MATCH(DATEVALUE($A368),'recurring1_based on steps'!S$1:S$400,0)),S$2,)</f>
        <v>0</v>
      </c>
      <c r="T368" s="179">
        <f ca="1">IF(ISNUMBER(MATCH(DATEVALUE($A368),'recurring1_based on steps'!T$1:T$400,0)),T$2,)</f>
        <v>0</v>
      </c>
      <c r="U368" s="179">
        <f ca="1">IF(ISNUMBER(MATCH(DATEVALUE($A368),'recurring1_based on steps'!U$1:U$400,0)),U$2,)</f>
        <v>0</v>
      </c>
      <c r="V368" s="179">
        <f ca="1">IF(ISNUMBER(MATCH(DATEVALUE($A368),'recurring1_based on steps'!V$1:V$400,0)),V$2,)</f>
        <v>0</v>
      </c>
      <c r="W368" s="179">
        <f ca="1">IF(ISNUMBER(MATCH(DATEVALUE($A368),'recurring1_based on steps'!W$1:W$400,0)),W$2,)</f>
        <v>0</v>
      </c>
      <c r="X368" s="179">
        <f ca="1">IF(ISNUMBER(MATCH(DATEVALUE($A368),'recurring1_based on steps'!X$1:X$400,0)),X$2,)</f>
        <v>0</v>
      </c>
      <c r="Y368" s="179">
        <f ca="1">IF(ISNUMBER(MATCH(DATEVALUE($A368),'recurring1_based on steps'!Y$1:Y$400,0)),Y$2,)</f>
        <v>0</v>
      </c>
      <c r="Z368" s="179">
        <f ca="1">IF(ISNUMBER(MATCH(DATEVALUE($A368),'recurring1_based on steps'!Z$1:Z$400,0)),Z$2,)</f>
        <v>0</v>
      </c>
      <c r="AA368" s="179">
        <f ca="1">IF(ISNUMBER(MATCH(DATEVALUE($A368),'recurring1_based on steps'!AA$1:AA$400,0)),AA$2,)</f>
        <v>0</v>
      </c>
      <c r="AB368" s="179">
        <f ca="1">IF(ISNUMBER(MATCH(DATEVALUE($A368),'recurring1_based on steps'!AB$1:AB$400,0)),AB$2,)</f>
        <v>0</v>
      </c>
      <c r="AC368" s="179">
        <f ca="1">IF(ISNUMBER(MATCH(DATEVALUE($A368),'recurring1_based on steps'!AC$1:AC$400,0)),AC$2,)</f>
        <v>0</v>
      </c>
      <c r="AD368" s="179">
        <f ca="1">IF(ISNUMBER(MATCH(DATEVALUE($A368),'recurring1_based on steps'!AD$1:AD$400,0)),AD$2,)</f>
        <v>0</v>
      </c>
      <c r="AE368" s="179">
        <f ca="1">IF(ISNUMBER(MATCH(DATEVALUE($A368),'recurring1_based on steps'!AE$1:AE$400,0)),AE$2,)</f>
        <v>0</v>
      </c>
      <c r="AF368" s="179">
        <f ca="1">IF(ISNUMBER(MATCH(DATEVALUE($A368),'recurring1_based on steps'!AF$1:AF$400,0)),AF$2,)</f>
        <v>0</v>
      </c>
      <c r="AG368" s="179">
        <f ca="1">IF(ISNUMBER(MATCH(DATEVALUE($A368),'recurring1_based on steps'!AG$1:AG$400,0)),AG$2,)</f>
        <v>0</v>
      </c>
      <c r="AH368" s="179">
        <f ca="1">IF(ISNUMBER(MATCH(DATEVALUE($A368),'recurring1_based on steps'!AH$1:AH$400,0)),AH$2,)</f>
        <v>0</v>
      </c>
      <c r="AI368" s="179">
        <f ca="1">IF(ISNUMBER(MATCH(DATEVALUE($A368),'recurring1_based on steps'!AI$1:AI$400,0)),AI$2,)</f>
        <v>0</v>
      </c>
      <c r="AJ368" s="179">
        <f ca="1">IF(ISNUMBER(MATCH(DATEVALUE($A368),'recurring1_based on steps'!AJ$1:AJ$400,0)),AJ$2,)</f>
        <v>0</v>
      </c>
      <c r="AK368" s="179">
        <f ca="1">IF(ISNUMBER(MATCH(DATEVALUE($A368),'recurring1_based on steps'!AK$1:AK$400,0)),AK$2,)</f>
        <v>0</v>
      </c>
      <c r="AL368" s="179">
        <f ca="1">IF(ISNUMBER(MATCH(DATEVALUE($A368),'recurring1_based on steps'!AL$1:AL$400,0)),AL$2,)</f>
        <v>0</v>
      </c>
      <c r="AM368" s="179">
        <f ca="1">IF(ISNUMBER(MATCH(DATEVALUE($A368),'recurring1_based on steps'!AM$1:AM$400,0)),AM$2,)</f>
        <v>0</v>
      </c>
      <c r="AN368" s="179">
        <f ca="1">IF(ISNUMBER(MATCH(DATEVALUE($A368),'recurring1_based on steps'!AN$1:AN$400,0)),AN$2,)</f>
        <v>0</v>
      </c>
      <c r="AO368" s="179">
        <f ca="1">IF(ISNUMBER(MATCH(DATEVALUE($A368),'recurring1_based on steps'!AO$1:AO$400,0)),AO$2,)</f>
        <v>0</v>
      </c>
      <c r="AP368" s="179">
        <f ca="1">IF(ISNUMBER(MATCH(DATEVALUE($A368),'recurring1_based on steps'!AP$1:AP$400,0)),AP$2,)</f>
        <v>0</v>
      </c>
      <c r="AQ368" s="179">
        <f ca="1">IF(ISNUMBER(MATCH(DATEVALUE($A368),'recurring1_based on steps'!AQ$1:AQ$400,0)),AQ$2,)</f>
        <v>0</v>
      </c>
      <c r="AR368" s="179">
        <f ca="1">IF(ISNUMBER(MATCH(DATEVALUE($A368),'recurring1_based on steps'!AR$1:AR$400,0)),AR$2,)</f>
        <v>0</v>
      </c>
      <c r="AS368" s="179">
        <f ca="1">IF(ISNUMBER(MATCH(DATEVALUE($A368),'recurring1_based on steps'!AS$1:AS$400,0)),AS$2,)</f>
        <v>0</v>
      </c>
      <c r="AT368" s="179">
        <f ca="1">IF(ISNUMBER(MATCH(DATEVALUE($A368),'recurring1_based on steps'!AT$1:AT$400,0)),AT$2,)</f>
        <v>0</v>
      </c>
      <c r="AU368" s="179">
        <f ca="1">IF(ISNUMBER(MATCH(DATEVALUE($A368),'recurring1_based on steps'!AU$1:AU$400,0)),AU$2,)</f>
        <v>0</v>
      </c>
      <c r="AV368" s="179">
        <f ca="1">IF(ISNUMBER(MATCH(DATEVALUE($A368),'recurring1_based on steps'!AV$1:AV$400,0)),AV$2,)</f>
        <v>0</v>
      </c>
      <c r="AW368" s="179">
        <f ca="1">IF(ISNUMBER(MATCH(DATEVALUE($A368),'recurring1_based on steps'!AW$1:AW$400,0)),AW$2,)</f>
        <v>0</v>
      </c>
      <c r="AX368" s="179">
        <f ca="1">IF(ISNUMBER(MATCH(DATEVALUE($A368),'recurring1_based on steps'!AX$1:AX$400,0)),AX$2,)</f>
        <v>0</v>
      </c>
      <c r="AY368" s="179">
        <f ca="1">IF(ISNUMBER(MATCH(DATEVALUE($A368),'recurring1_based on steps'!AY$1:AY$400,0)),AY$2,)</f>
        <v>0</v>
      </c>
    </row>
    <row r="369" spans="1:51" x14ac:dyDescent="0.2">
      <c r="A369" s="32" t="str">
        <f t="shared" ca="1" si="5"/>
        <v>2026-03-30</v>
      </c>
      <c r="B369" s="179">
        <f ca="1">IF(ISNUMBER(MATCH(DATEVALUE($A369),'recurring1_based on steps'!B$1:B$400,0)),B$2,)</f>
        <v>0</v>
      </c>
      <c r="C369" s="179">
        <f ca="1">IF(ISNUMBER(MATCH(DATEVALUE($A369),'recurring1_based on steps'!C$1:C$400,0)),C$2,)</f>
        <v>0</v>
      </c>
      <c r="D369" s="179">
        <f ca="1">IF(ISNUMBER(MATCH(DATEVALUE($A369),'recurring1_based on steps'!D$1:D$400,0)),D$2,)</f>
        <v>0</v>
      </c>
      <c r="E369" s="179">
        <f ca="1">IF(ISNUMBER(MATCH(DATEVALUE($A369),'recurring1_based on steps'!E$1:E$400,0)),E$2,)</f>
        <v>0</v>
      </c>
      <c r="F369" s="179">
        <f ca="1">IF(ISNUMBER(MATCH(DATEVALUE($A369),'recurring1_based on steps'!F$1:F$400,0)),F$2,)</f>
        <v>0</v>
      </c>
      <c r="G369" s="179">
        <f ca="1">IF(ISNUMBER(MATCH(DATEVALUE($A369),'recurring1_based on steps'!G$1:G$400,0)),G$2,)</f>
        <v>0</v>
      </c>
      <c r="H369" s="179">
        <f ca="1">IF(ISNUMBER(MATCH(DATEVALUE($A369),'recurring1_based on steps'!H$1:H$400,0)),H$2,)</f>
        <v>0</v>
      </c>
      <c r="I369" s="179">
        <f ca="1">IF(ISNUMBER(MATCH(DATEVALUE($A369),'recurring1_based on steps'!I$1:I$400,0)),I$2,)</f>
        <v>0</v>
      </c>
      <c r="J369" s="179">
        <f ca="1">IF(ISNUMBER(MATCH(DATEVALUE($A369),'recurring1_based on steps'!J$1:J$400,0)),J$2,)</f>
        <v>0</v>
      </c>
      <c r="K369" s="179">
        <f ca="1">IF(ISNUMBER(MATCH(DATEVALUE($A369),'recurring1_based on steps'!K$1:K$400,0)),K$2,)</f>
        <v>0</v>
      </c>
      <c r="L369" s="179">
        <f ca="1">IF(ISNUMBER(MATCH(DATEVALUE($A369),'recurring1_based on steps'!L$1:L$400,0)),L$2,)</f>
        <v>0</v>
      </c>
      <c r="M369" s="179">
        <f ca="1">IF(ISNUMBER(MATCH(DATEVALUE($A369),'recurring1_based on steps'!M$1:M$400,0)),M$2,)</f>
        <v>0</v>
      </c>
      <c r="N369" s="179">
        <f ca="1">IF(ISNUMBER(MATCH(DATEVALUE($A369),'recurring1_based on steps'!N$1:N$400,0)),N$2,)</f>
        <v>0</v>
      </c>
      <c r="O369" s="179">
        <f ca="1">IF(ISNUMBER(MATCH(DATEVALUE($A369),'recurring1_based on steps'!O$1:O$400,0)),O$2,)</f>
        <v>0</v>
      </c>
      <c r="P369" s="179">
        <f ca="1">IF(ISNUMBER(MATCH(DATEVALUE($A369),'recurring1_based on steps'!P$1:P$400,0)),P$2,)</f>
        <v>0</v>
      </c>
      <c r="Q369" s="179">
        <f ca="1">IF(ISNUMBER(MATCH(DATEVALUE($A369),'recurring1_based on steps'!Q$1:Q$400,0)),Q$2,)</f>
        <v>0</v>
      </c>
      <c r="R369" s="179">
        <f ca="1">IF(ISNUMBER(MATCH(DATEVALUE($A369),'recurring1_based on steps'!R$1:R$400,0)),R$2,)</f>
        <v>0</v>
      </c>
      <c r="S369" s="179">
        <f ca="1">IF(ISNUMBER(MATCH(DATEVALUE($A369),'recurring1_based on steps'!S$1:S$400,0)),S$2,)</f>
        <v>0</v>
      </c>
      <c r="T369" s="179">
        <f ca="1">IF(ISNUMBER(MATCH(DATEVALUE($A369),'recurring1_based on steps'!T$1:T$400,0)),T$2,)</f>
        <v>0</v>
      </c>
      <c r="U369" s="179">
        <f ca="1">IF(ISNUMBER(MATCH(DATEVALUE($A369),'recurring1_based on steps'!U$1:U$400,0)),U$2,)</f>
        <v>0</v>
      </c>
      <c r="V369" s="179">
        <f ca="1">IF(ISNUMBER(MATCH(DATEVALUE($A369),'recurring1_based on steps'!V$1:V$400,0)),V$2,)</f>
        <v>0</v>
      </c>
      <c r="W369" s="179">
        <f ca="1">IF(ISNUMBER(MATCH(DATEVALUE($A369),'recurring1_based on steps'!W$1:W$400,0)),W$2,)</f>
        <v>0</v>
      </c>
      <c r="X369" s="179">
        <f ca="1">IF(ISNUMBER(MATCH(DATEVALUE($A369),'recurring1_based on steps'!X$1:X$400,0)),X$2,)</f>
        <v>0</v>
      </c>
      <c r="Y369" s="179">
        <f ca="1">IF(ISNUMBER(MATCH(DATEVALUE($A369),'recurring1_based on steps'!Y$1:Y$400,0)),Y$2,)</f>
        <v>0</v>
      </c>
      <c r="Z369" s="179">
        <f ca="1">IF(ISNUMBER(MATCH(DATEVALUE($A369),'recurring1_based on steps'!Z$1:Z$400,0)),Z$2,)</f>
        <v>0</v>
      </c>
      <c r="AA369" s="179">
        <f ca="1">IF(ISNUMBER(MATCH(DATEVALUE($A369),'recurring1_based on steps'!AA$1:AA$400,0)),AA$2,)</f>
        <v>0</v>
      </c>
      <c r="AB369" s="179">
        <f ca="1">IF(ISNUMBER(MATCH(DATEVALUE($A369),'recurring1_based on steps'!AB$1:AB$400,0)),AB$2,)</f>
        <v>0</v>
      </c>
      <c r="AC369" s="179">
        <f ca="1">IF(ISNUMBER(MATCH(DATEVALUE($A369),'recurring1_based on steps'!AC$1:AC$400,0)),AC$2,)</f>
        <v>0</v>
      </c>
      <c r="AD369" s="179">
        <f ca="1">IF(ISNUMBER(MATCH(DATEVALUE($A369),'recurring1_based on steps'!AD$1:AD$400,0)),AD$2,)</f>
        <v>0</v>
      </c>
      <c r="AE369" s="179">
        <f ca="1">IF(ISNUMBER(MATCH(DATEVALUE($A369),'recurring1_based on steps'!AE$1:AE$400,0)),AE$2,)</f>
        <v>0</v>
      </c>
      <c r="AF369" s="179">
        <f ca="1">IF(ISNUMBER(MATCH(DATEVALUE($A369),'recurring1_based on steps'!AF$1:AF$400,0)),AF$2,)</f>
        <v>0</v>
      </c>
      <c r="AG369" s="179">
        <f ca="1">IF(ISNUMBER(MATCH(DATEVALUE($A369),'recurring1_based on steps'!AG$1:AG$400,0)),AG$2,)</f>
        <v>0</v>
      </c>
      <c r="AH369" s="179">
        <f ca="1">IF(ISNUMBER(MATCH(DATEVALUE($A369),'recurring1_based on steps'!AH$1:AH$400,0)),AH$2,)</f>
        <v>0</v>
      </c>
      <c r="AI369" s="179">
        <f ca="1">IF(ISNUMBER(MATCH(DATEVALUE($A369),'recurring1_based on steps'!AI$1:AI$400,0)),AI$2,)</f>
        <v>0</v>
      </c>
      <c r="AJ369" s="179">
        <f ca="1">IF(ISNUMBER(MATCH(DATEVALUE($A369),'recurring1_based on steps'!AJ$1:AJ$400,0)),AJ$2,)</f>
        <v>0</v>
      </c>
      <c r="AK369" s="179">
        <f ca="1">IF(ISNUMBER(MATCH(DATEVALUE($A369),'recurring1_based on steps'!AK$1:AK$400,0)),AK$2,)</f>
        <v>0</v>
      </c>
      <c r="AL369" s="179">
        <f ca="1">IF(ISNUMBER(MATCH(DATEVALUE($A369),'recurring1_based on steps'!AL$1:AL$400,0)),AL$2,)</f>
        <v>0</v>
      </c>
      <c r="AM369" s="179">
        <f ca="1">IF(ISNUMBER(MATCH(DATEVALUE($A369),'recurring1_based on steps'!AM$1:AM$400,0)),AM$2,)</f>
        <v>0</v>
      </c>
      <c r="AN369" s="179">
        <f ca="1">IF(ISNUMBER(MATCH(DATEVALUE($A369),'recurring1_based on steps'!AN$1:AN$400,0)),AN$2,)</f>
        <v>0</v>
      </c>
      <c r="AO369" s="179">
        <f ca="1">IF(ISNUMBER(MATCH(DATEVALUE($A369),'recurring1_based on steps'!AO$1:AO$400,0)),AO$2,)</f>
        <v>0</v>
      </c>
      <c r="AP369" s="179">
        <f ca="1">IF(ISNUMBER(MATCH(DATEVALUE($A369),'recurring1_based on steps'!AP$1:AP$400,0)),AP$2,)</f>
        <v>0</v>
      </c>
      <c r="AQ369" s="179">
        <f ca="1">IF(ISNUMBER(MATCH(DATEVALUE($A369),'recurring1_based on steps'!AQ$1:AQ$400,0)),AQ$2,)</f>
        <v>0</v>
      </c>
      <c r="AR369" s="179">
        <f ca="1">IF(ISNUMBER(MATCH(DATEVALUE($A369),'recurring1_based on steps'!AR$1:AR$400,0)),AR$2,)</f>
        <v>0</v>
      </c>
      <c r="AS369" s="179">
        <f ca="1">IF(ISNUMBER(MATCH(DATEVALUE($A369),'recurring1_based on steps'!AS$1:AS$400,0)),AS$2,)</f>
        <v>0</v>
      </c>
      <c r="AT369" s="179">
        <f ca="1">IF(ISNUMBER(MATCH(DATEVALUE($A369),'recurring1_based on steps'!AT$1:AT$400,0)),AT$2,)</f>
        <v>0</v>
      </c>
      <c r="AU369" s="179">
        <f ca="1">IF(ISNUMBER(MATCH(DATEVALUE($A369),'recurring1_based on steps'!AU$1:AU$400,0)),AU$2,)</f>
        <v>0</v>
      </c>
      <c r="AV369" s="179">
        <f ca="1">IF(ISNUMBER(MATCH(DATEVALUE($A369),'recurring1_based on steps'!AV$1:AV$400,0)),AV$2,)</f>
        <v>0</v>
      </c>
      <c r="AW369" s="179">
        <f ca="1">IF(ISNUMBER(MATCH(DATEVALUE($A369),'recurring1_based on steps'!AW$1:AW$400,0)),AW$2,)</f>
        <v>0</v>
      </c>
      <c r="AX369" s="179">
        <f ca="1">IF(ISNUMBER(MATCH(DATEVALUE($A369),'recurring1_based on steps'!AX$1:AX$400,0)),AX$2,)</f>
        <v>0</v>
      </c>
      <c r="AY369" s="179">
        <f ca="1">IF(ISNUMBER(MATCH(DATEVALUE($A369),'recurring1_based on steps'!AY$1:AY$400,0)),AY$2,)</f>
        <v>0</v>
      </c>
    </row>
    <row r="370" spans="1:51"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51"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5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5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5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5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5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5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5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5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5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5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5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5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5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2:26"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2:26"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2: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2: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2: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2: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2: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2: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2: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2: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2: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2: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2: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2: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2: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2: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heetViews>
  <sheetFormatPr defaultColWidth="8" defaultRowHeight="11.25" x14ac:dyDescent="0.2"/>
  <cols>
    <col min="1" max="1" width="17.28515625" style="181" bestFit="1" customWidth="1"/>
    <col min="2" max="21" width="15.28515625" style="181" customWidth="1"/>
    <col min="22" max="16384" width="8" style="181"/>
  </cols>
  <sheetData>
    <row r="1" spans="1:21" x14ac:dyDescent="0.2">
      <c r="B1" s="181">
        <v>1</v>
      </c>
      <c r="C1" s="181">
        <f>B1+1</f>
        <v>2</v>
      </c>
      <c r="D1" s="181">
        <f t="shared" ref="D1:U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row>
    <row r="2" spans="1:21" x14ac:dyDescent="0.2">
      <c r="A2" s="181" t="s">
        <v>182</v>
      </c>
      <c r="B2" s="199" t="e" cm="1" vm="1">
        <f t="array" ref="B2">TRANSPOSE(_xlfn._xlws.FILTER(Changes!$B$4:$B$23,ISNUMBER(Changes!$G$4:$G$23)))</f>
        <v>#VALUE!</v>
      </c>
    </row>
    <row r="3" spans="1:21" x14ac:dyDescent="0.2">
      <c r="A3" s="181" t="s">
        <v>234</v>
      </c>
      <c r="B3" s="182" t="e" cm="1" vm="1">
        <f t="array" ref="B3">TRANSPOSE(_xlfn._xlws.FILTER(Changes!$E$4:$E$23,ISNUMBER(Changes!$G$4:$G$23)))</f>
        <v>#VALUE!</v>
      </c>
    </row>
    <row r="4" spans="1:21" s="183" customFormat="1" x14ac:dyDescent="0.2">
      <c r="A4" s="183" t="s">
        <v>235</v>
      </c>
      <c r="B4" s="184" t="e" cm="1" vm="1">
        <f t="array" ref="B4">TRANSPOSE(_xlfn._xlws.FILTER(Changes!$G$4:$G$23,ISNUMBER(Changes!$G$4:$G$23)))</f>
        <v>#VALUE!</v>
      </c>
    </row>
    <row r="5" spans="1:21" s="185" customFormat="1" x14ac:dyDescent="0.2">
      <c r="A5" s="185" t="s">
        <v>183</v>
      </c>
      <c r="B5" s="186" t="e" cm="1" vm="1">
        <f t="array" ref="B5">TRANSPOSE(_xlfn._xlws.FILTER(Changes!$F$4:$F$23,ISNUMBER(Changes!$G$4:$G$23)))</f>
        <v>#VALUE!</v>
      </c>
    </row>
    <row r="6" spans="1:21" s="185" customFormat="1" x14ac:dyDescent="0.2"/>
    <row r="7" spans="1:2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85" customFormat="1" x14ac:dyDescent="0.2">
      <c r="B8" s="188"/>
      <c r="C8" s="188"/>
      <c r="D8" s="188"/>
      <c r="E8" s="188"/>
      <c r="F8" s="188"/>
      <c r="G8" s="188"/>
    </row>
    <row r="9" spans="1:21" s="185" customFormat="1" x14ac:dyDescent="0.2"/>
    <row r="10" spans="1:21" s="185" customFormat="1" x14ac:dyDescent="0.2"/>
    <row r="11" spans="1:21" s="185" customFormat="1" x14ac:dyDescent="0.2"/>
    <row r="12" spans="1:21" s="185" customFormat="1" x14ac:dyDescent="0.2">
      <c r="G12" s="189"/>
    </row>
    <row r="13" spans="1:21" s="185" customFormat="1" x14ac:dyDescent="0.2"/>
    <row r="14" spans="1:21" s="185" customFormat="1" x14ac:dyDescent="0.2"/>
    <row r="15" spans="1:21" s="185" customFormat="1" x14ac:dyDescent="0.2"/>
    <row r="16" spans="1:2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3" bestFit="1" customWidth="1"/>
    <col min="27" max="16384" width="8" style="33"/>
  </cols>
  <sheetData>
    <row r="1" spans="1:101" x14ac:dyDescent="0.2">
      <c r="B1" s="33" t="e" cm="1" vm="1">
        <f t="array" ref="B1">TRANSPOSE(_xlfn._xlws.FILTER(Changes!$B$4:$B$23,ISNUMBER(Changes!$G$4:$G$23)))</f>
        <v>#VALUE!</v>
      </c>
    </row>
    <row r="2" spans="1:101" s="179" customFormat="1" x14ac:dyDescent="0.2">
      <c r="B2" s="179" t="e" cm="1" vm="1">
        <f t="array" ref="B2">TRANSPOSE(_xlfn._xlws.FILTER(Changes!$D$4:$D$23,ISNUMBER(Changes!$G$4:$G$23)))</f>
        <v>#VALUE!</v>
      </c>
    </row>
    <row r="3" spans="1:101" x14ac:dyDescent="0.2">
      <c r="A3" s="32" t="str">
        <f ca="1">TEXT(TODAY(),"yyyy-mm-dd")</f>
        <v>2025-03-29</v>
      </c>
      <c r="B3" s="179">
        <f ca="1">IF(ISNUMBER(MATCH(DATEVALUE($A3),'changes1_based on steps'!B$1:B$400,0)),B$2,)</f>
        <v>0</v>
      </c>
      <c r="C3" s="179">
        <f ca="1">IF(ISNUMBER(MATCH(DATEVALUE($A3),'changes1_based on steps'!C$1:C$400,0)),C$2,)</f>
        <v>0</v>
      </c>
      <c r="D3" s="179">
        <f ca="1">IF(ISNUMBER(MATCH(DATEVALUE($A3),'changes1_based on steps'!D$1:D$400,0)),D$2,)</f>
        <v>0</v>
      </c>
      <c r="E3" s="179">
        <f ca="1">IF(ISNUMBER(MATCH(DATEVALUE($A3),'changes1_based on steps'!E$1:E$400,0)),E$2,)</f>
        <v>0</v>
      </c>
      <c r="F3" s="179">
        <f ca="1">IF(ISNUMBER(MATCH(DATEVALUE($A3),'changes1_based on steps'!F$1:F$400,0)),F$2,)</f>
        <v>0</v>
      </c>
      <c r="G3" s="179">
        <f ca="1">IF(ISNUMBER(MATCH(DATEVALUE($A3),'changes1_based on steps'!G$1:G$400,0)),G$2,)</f>
        <v>0</v>
      </c>
      <c r="H3" s="179">
        <f ca="1">IF(ISNUMBER(MATCH(DATEVALUE($A3),'changes1_based on steps'!H$1:H$400,0)),H$2,)</f>
        <v>0</v>
      </c>
      <c r="I3" s="179">
        <f ca="1">IF(ISNUMBER(MATCH(DATEVALUE($A3),'changes1_based on steps'!I$1:I$400,0)),I$2,)</f>
        <v>0</v>
      </c>
      <c r="J3" s="179">
        <f ca="1">IF(ISNUMBER(MATCH(DATEVALUE($A3),'changes1_based on steps'!J$1:J$400,0)),J$2,)</f>
        <v>0</v>
      </c>
      <c r="K3" s="179">
        <f ca="1">IF(ISNUMBER(MATCH(DATEVALUE($A3),'changes1_based on steps'!K$1:K$400,0)),K$2,)</f>
        <v>0</v>
      </c>
      <c r="L3" s="179">
        <f ca="1">IF(ISNUMBER(MATCH(DATEVALUE($A3),'changes1_based on steps'!L$1:L$400,0)),L$2,)</f>
        <v>0</v>
      </c>
      <c r="M3" s="179">
        <f ca="1">IF(ISNUMBER(MATCH(DATEVALUE($A3),'changes1_based on steps'!M$1:M$400,0)),M$2,)</f>
        <v>0</v>
      </c>
      <c r="N3" s="179">
        <f ca="1">IF(ISNUMBER(MATCH(DATEVALUE($A3),'changes1_based on steps'!N$1:N$400,0)),N$2,)</f>
        <v>0</v>
      </c>
      <c r="O3" s="179">
        <f ca="1">IF(ISNUMBER(MATCH(DATEVALUE($A3),'changes1_based on steps'!O$1:O$400,0)),O$2,)</f>
        <v>0</v>
      </c>
      <c r="P3" s="179">
        <f ca="1">IF(ISNUMBER(MATCH(DATEVALUE($A3),'changes1_based on steps'!P$1:P$400,0)),P$2,)</f>
        <v>0</v>
      </c>
      <c r="Q3" s="179">
        <f ca="1">IF(ISNUMBER(MATCH(DATEVALUE($A3),'changes1_based on steps'!Q$1:Q$400,0)),Q$2,)</f>
        <v>0</v>
      </c>
      <c r="R3" s="179">
        <f ca="1">IF(ISNUMBER(MATCH(DATEVALUE($A3),'changes1_based on steps'!R$1:R$400,0)),R$2,)</f>
        <v>0</v>
      </c>
      <c r="S3" s="179">
        <f ca="1">IF(ISNUMBER(MATCH(DATEVALUE($A3),'changes1_based on steps'!S$1:S$400,0)),S$2,)</f>
        <v>0</v>
      </c>
      <c r="T3" s="179">
        <f ca="1">IF(ISNUMBER(MATCH(DATEVALUE($A3),'changes1_based on steps'!T$1:T$400,0)),T$2,)</f>
        <v>0</v>
      </c>
      <c r="U3" s="179">
        <f ca="1">IF(ISNUMBER(MATCH(DATEVALUE($A3),'changes1_based on steps'!U$1:U$400,0)),U$2,)</f>
        <v>0</v>
      </c>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79"/>
      <c r="CJ3" s="179"/>
      <c r="CK3" s="179"/>
      <c r="CL3" s="179"/>
      <c r="CM3" s="179"/>
      <c r="CN3" s="179"/>
      <c r="CO3" s="179"/>
      <c r="CP3" s="179"/>
      <c r="CQ3" s="179"/>
      <c r="CR3" s="179"/>
      <c r="CS3" s="179"/>
      <c r="CT3" s="179"/>
      <c r="CU3" s="179"/>
      <c r="CV3" s="179"/>
      <c r="CW3" s="179"/>
    </row>
    <row r="4" spans="1:101" x14ac:dyDescent="0.2">
      <c r="A4" s="32" t="str">
        <f ca="1">TEXT(DATEVALUE(A3)+1,"yyyy-mm-dd")</f>
        <v>2025-03-30</v>
      </c>
      <c r="B4" s="179">
        <f ca="1">IF(ISNUMBER(MATCH(DATEVALUE($A4),'changes1_based on steps'!B$1:B$400,0)),B$2,)</f>
        <v>0</v>
      </c>
      <c r="C4" s="179">
        <f ca="1">IF(ISNUMBER(MATCH(DATEVALUE($A4),'changes1_based on steps'!C$1:C$400,0)),C$2,)</f>
        <v>0</v>
      </c>
      <c r="D4" s="179">
        <f ca="1">IF(ISNUMBER(MATCH(DATEVALUE($A4),'changes1_based on steps'!D$1:D$400,0)),D$2,)</f>
        <v>0</v>
      </c>
      <c r="E4" s="179">
        <f ca="1">IF(ISNUMBER(MATCH(DATEVALUE($A4),'changes1_based on steps'!E$1:E$400,0)),E$2,)</f>
        <v>0</v>
      </c>
      <c r="F4" s="179">
        <f ca="1">IF(ISNUMBER(MATCH(DATEVALUE($A4),'changes1_based on steps'!F$1:F$400,0)),F$2,)</f>
        <v>0</v>
      </c>
      <c r="G4" s="179">
        <f ca="1">IF(ISNUMBER(MATCH(DATEVALUE($A4),'changes1_based on steps'!G$1:G$400,0)),G$2,)</f>
        <v>0</v>
      </c>
      <c r="H4" s="179">
        <f ca="1">IF(ISNUMBER(MATCH(DATEVALUE($A4),'changes1_based on steps'!H$1:H$400,0)),H$2,)</f>
        <v>0</v>
      </c>
      <c r="I4" s="179">
        <f ca="1">IF(ISNUMBER(MATCH(DATEVALUE($A4),'changes1_based on steps'!I$1:I$400,0)),I$2,)</f>
        <v>0</v>
      </c>
      <c r="J4" s="179">
        <f ca="1">IF(ISNUMBER(MATCH(DATEVALUE($A4),'changes1_based on steps'!J$1:J$400,0)),J$2,)</f>
        <v>0</v>
      </c>
      <c r="K4" s="179">
        <f ca="1">IF(ISNUMBER(MATCH(DATEVALUE($A4),'changes1_based on steps'!K$1:K$400,0)),K$2,)</f>
        <v>0</v>
      </c>
      <c r="L4" s="179">
        <f ca="1">IF(ISNUMBER(MATCH(DATEVALUE($A4),'changes1_based on steps'!L$1:L$400,0)),L$2,)</f>
        <v>0</v>
      </c>
      <c r="M4" s="179">
        <f ca="1">IF(ISNUMBER(MATCH(DATEVALUE($A4),'changes1_based on steps'!M$1:M$400,0)),M$2,)</f>
        <v>0</v>
      </c>
      <c r="N4" s="179">
        <f ca="1">IF(ISNUMBER(MATCH(DATEVALUE($A4),'changes1_based on steps'!N$1:N$400,0)),N$2,)</f>
        <v>0</v>
      </c>
      <c r="O4" s="179">
        <f ca="1">IF(ISNUMBER(MATCH(DATEVALUE($A4),'changes1_based on steps'!O$1:O$400,0)),O$2,)</f>
        <v>0</v>
      </c>
      <c r="P4" s="179">
        <f ca="1">IF(ISNUMBER(MATCH(DATEVALUE($A4),'changes1_based on steps'!P$1:P$400,0)),P$2,)</f>
        <v>0</v>
      </c>
      <c r="Q4" s="179">
        <f ca="1">IF(ISNUMBER(MATCH(DATEVALUE($A4),'changes1_based on steps'!Q$1:Q$400,0)),Q$2,)</f>
        <v>0</v>
      </c>
      <c r="R4" s="179">
        <f ca="1">IF(ISNUMBER(MATCH(DATEVALUE($A4),'changes1_based on steps'!R$1:R$400,0)),R$2,)</f>
        <v>0</v>
      </c>
      <c r="S4" s="179">
        <f ca="1">IF(ISNUMBER(MATCH(DATEVALUE($A4),'changes1_based on steps'!S$1:S$400,0)),S$2,)</f>
        <v>0</v>
      </c>
      <c r="T4" s="179">
        <f ca="1">IF(ISNUMBER(MATCH(DATEVALUE($A4),'changes1_based on steps'!T$1:T$400,0)),T$2,)</f>
        <v>0</v>
      </c>
      <c r="U4" s="179">
        <f ca="1">IF(ISNUMBER(MATCH(DATEVALUE($A4),'changes1_based on steps'!U$1:U$400,0)),U$2,)</f>
        <v>0</v>
      </c>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row>
    <row r="5" spans="1:101" x14ac:dyDescent="0.2">
      <c r="A5" s="32" t="str">
        <f t="shared" ref="A5:A68" ca="1" si="0">TEXT(DATEVALUE(A4)+1,"yyyy-mm-dd")</f>
        <v>2025-03-31</v>
      </c>
      <c r="B5" s="179">
        <f ca="1">IF(ISNUMBER(MATCH(DATEVALUE($A5),'changes1_based on steps'!B$1:B$400,0)),B$2,)</f>
        <v>0</v>
      </c>
      <c r="C5" s="179">
        <f ca="1">IF(ISNUMBER(MATCH(DATEVALUE($A5),'changes1_based on steps'!C$1:C$400,0)),C$2,)</f>
        <v>0</v>
      </c>
      <c r="D5" s="179">
        <f ca="1">IF(ISNUMBER(MATCH(DATEVALUE($A5),'changes1_based on steps'!D$1:D$400,0)),D$2,)</f>
        <v>0</v>
      </c>
      <c r="E5" s="179">
        <f ca="1">IF(ISNUMBER(MATCH(DATEVALUE($A5),'changes1_based on steps'!E$1:E$400,0)),E$2,)</f>
        <v>0</v>
      </c>
      <c r="F5" s="179">
        <f ca="1">IF(ISNUMBER(MATCH(DATEVALUE($A5),'changes1_based on steps'!F$1:F$400,0)),F$2,)</f>
        <v>0</v>
      </c>
      <c r="G5" s="179">
        <f ca="1">IF(ISNUMBER(MATCH(DATEVALUE($A5),'changes1_based on steps'!G$1:G$400,0)),G$2,)</f>
        <v>0</v>
      </c>
      <c r="H5" s="179">
        <f ca="1">IF(ISNUMBER(MATCH(DATEVALUE($A5),'changes1_based on steps'!H$1:H$400,0)),H$2,)</f>
        <v>0</v>
      </c>
      <c r="I5" s="179">
        <f ca="1">IF(ISNUMBER(MATCH(DATEVALUE($A5),'changes1_based on steps'!I$1:I$400,0)),I$2,)</f>
        <v>0</v>
      </c>
      <c r="J5" s="179">
        <f ca="1">IF(ISNUMBER(MATCH(DATEVALUE($A5),'changes1_based on steps'!J$1:J$400,0)),J$2,)</f>
        <v>0</v>
      </c>
      <c r="K5" s="179">
        <f ca="1">IF(ISNUMBER(MATCH(DATEVALUE($A5),'changes1_based on steps'!K$1:K$400,0)),K$2,)</f>
        <v>0</v>
      </c>
      <c r="L5" s="179">
        <f ca="1">IF(ISNUMBER(MATCH(DATEVALUE($A5),'changes1_based on steps'!L$1:L$400,0)),L$2,)</f>
        <v>0</v>
      </c>
      <c r="M5" s="179">
        <f ca="1">IF(ISNUMBER(MATCH(DATEVALUE($A5),'changes1_based on steps'!M$1:M$400,0)),M$2,)</f>
        <v>0</v>
      </c>
      <c r="N5" s="179">
        <f ca="1">IF(ISNUMBER(MATCH(DATEVALUE($A5),'changes1_based on steps'!N$1:N$400,0)),N$2,)</f>
        <v>0</v>
      </c>
      <c r="O5" s="179">
        <f ca="1">IF(ISNUMBER(MATCH(DATEVALUE($A5),'changes1_based on steps'!O$1:O$400,0)),O$2,)</f>
        <v>0</v>
      </c>
      <c r="P5" s="179">
        <f ca="1">IF(ISNUMBER(MATCH(DATEVALUE($A5),'changes1_based on steps'!P$1:P$400,0)),P$2,)</f>
        <v>0</v>
      </c>
      <c r="Q5" s="179">
        <f ca="1">IF(ISNUMBER(MATCH(DATEVALUE($A5),'changes1_based on steps'!Q$1:Q$400,0)),Q$2,)</f>
        <v>0</v>
      </c>
      <c r="R5" s="179">
        <f ca="1">IF(ISNUMBER(MATCH(DATEVALUE($A5),'changes1_based on steps'!R$1:R$400,0)),R$2,)</f>
        <v>0</v>
      </c>
      <c r="S5" s="179">
        <f ca="1">IF(ISNUMBER(MATCH(DATEVALUE($A5),'changes1_based on steps'!S$1:S$400,0)),S$2,)</f>
        <v>0</v>
      </c>
      <c r="T5" s="179">
        <f ca="1">IF(ISNUMBER(MATCH(DATEVALUE($A5),'changes1_based on steps'!T$1:T$400,0)),T$2,)</f>
        <v>0</v>
      </c>
      <c r="U5" s="179">
        <f ca="1">IF(ISNUMBER(MATCH(DATEVALUE($A5),'changes1_based on steps'!U$1:U$400,0)),U$2,)</f>
        <v>0</v>
      </c>
      <c r="V5" s="179"/>
      <c r="W5" s="179"/>
      <c r="X5" s="179"/>
      <c r="Y5" s="179"/>
      <c r="Z5" s="179"/>
      <c r="AA5" s="179"/>
      <c r="AB5" s="179"/>
      <c r="AC5" s="179"/>
      <c r="AD5" s="179"/>
      <c r="AE5" s="179"/>
      <c r="AF5" s="179"/>
      <c r="AG5" s="179"/>
      <c r="AH5" s="179"/>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c r="BI5" s="179"/>
      <c r="BJ5" s="179"/>
      <c r="BK5" s="179"/>
      <c r="BL5" s="179"/>
      <c r="BM5" s="179"/>
      <c r="BN5" s="179"/>
      <c r="BO5" s="179"/>
      <c r="BP5" s="179"/>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row>
    <row r="6" spans="1:101" x14ac:dyDescent="0.2">
      <c r="A6" s="32" t="str">
        <f t="shared" ca="1" si="0"/>
        <v>2025-04-01</v>
      </c>
      <c r="B6" s="179">
        <f ca="1">IF(ISNUMBER(MATCH(DATEVALUE($A6),'changes1_based on steps'!B$1:B$400,0)),B$2,)</f>
        <v>0</v>
      </c>
      <c r="C6" s="179">
        <f ca="1">IF(ISNUMBER(MATCH(DATEVALUE($A6),'changes1_based on steps'!C$1:C$400,0)),C$2,)</f>
        <v>0</v>
      </c>
      <c r="D6" s="179">
        <f ca="1">IF(ISNUMBER(MATCH(DATEVALUE($A6),'changes1_based on steps'!D$1:D$400,0)),D$2,)</f>
        <v>0</v>
      </c>
      <c r="E6" s="179">
        <f ca="1">IF(ISNUMBER(MATCH(DATEVALUE($A6),'changes1_based on steps'!E$1:E$400,0)),E$2,)</f>
        <v>0</v>
      </c>
      <c r="F6" s="179">
        <f ca="1">IF(ISNUMBER(MATCH(DATEVALUE($A6),'changes1_based on steps'!F$1:F$400,0)),F$2,)</f>
        <v>0</v>
      </c>
      <c r="G6" s="179">
        <f ca="1">IF(ISNUMBER(MATCH(DATEVALUE($A6),'changes1_based on steps'!G$1:G$400,0)),G$2,)</f>
        <v>0</v>
      </c>
      <c r="H6" s="179">
        <f ca="1">IF(ISNUMBER(MATCH(DATEVALUE($A6),'changes1_based on steps'!H$1:H$400,0)),H$2,)</f>
        <v>0</v>
      </c>
      <c r="I6" s="179">
        <f ca="1">IF(ISNUMBER(MATCH(DATEVALUE($A6),'changes1_based on steps'!I$1:I$400,0)),I$2,)</f>
        <v>0</v>
      </c>
      <c r="J6" s="179">
        <f ca="1">IF(ISNUMBER(MATCH(DATEVALUE($A6),'changes1_based on steps'!J$1:J$400,0)),J$2,)</f>
        <v>0</v>
      </c>
      <c r="K6" s="179">
        <f ca="1">IF(ISNUMBER(MATCH(DATEVALUE($A6),'changes1_based on steps'!K$1:K$400,0)),K$2,)</f>
        <v>0</v>
      </c>
      <c r="L6" s="179">
        <f ca="1">IF(ISNUMBER(MATCH(DATEVALUE($A6),'changes1_based on steps'!L$1:L$400,0)),L$2,)</f>
        <v>0</v>
      </c>
      <c r="M6" s="179">
        <f ca="1">IF(ISNUMBER(MATCH(DATEVALUE($A6),'changes1_based on steps'!M$1:M$400,0)),M$2,)</f>
        <v>0</v>
      </c>
      <c r="N6" s="179">
        <f ca="1">IF(ISNUMBER(MATCH(DATEVALUE($A6),'changes1_based on steps'!N$1:N$400,0)),N$2,)</f>
        <v>0</v>
      </c>
      <c r="O6" s="179">
        <f ca="1">IF(ISNUMBER(MATCH(DATEVALUE($A6),'changes1_based on steps'!O$1:O$400,0)),O$2,)</f>
        <v>0</v>
      </c>
      <c r="P6" s="179">
        <f ca="1">IF(ISNUMBER(MATCH(DATEVALUE($A6),'changes1_based on steps'!P$1:P$400,0)),P$2,)</f>
        <v>0</v>
      </c>
      <c r="Q6" s="179">
        <f ca="1">IF(ISNUMBER(MATCH(DATEVALUE($A6),'changes1_based on steps'!Q$1:Q$400,0)),Q$2,)</f>
        <v>0</v>
      </c>
      <c r="R6" s="179">
        <f ca="1">IF(ISNUMBER(MATCH(DATEVALUE($A6),'changes1_based on steps'!R$1:R$400,0)),R$2,)</f>
        <v>0</v>
      </c>
      <c r="S6" s="179">
        <f ca="1">IF(ISNUMBER(MATCH(DATEVALUE($A6),'changes1_based on steps'!S$1:S$400,0)),S$2,)</f>
        <v>0</v>
      </c>
      <c r="T6" s="179">
        <f ca="1">IF(ISNUMBER(MATCH(DATEVALUE($A6),'changes1_based on steps'!T$1:T$400,0)),T$2,)</f>
        <v>0</v>
      </c>
      <c r="U6" s="179">
        <f ca="1">IF(ISNUMBER(MATCH(DATEVALUE($A6),'changes1_based on steps'!U$1:U$400,0)),U$2,)</f>
        <v>0</v>
      </c>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row>
    <row r="7" spans="1:101" x14ac:dyDescent="0.2">
      <c r="A7" s="32" t="str">
        <f t="shared" ca="1" si="0"/>
        <v>2025-04-02</v>
      </c>
      <c r="B7" s="179">
        <f ca="1">IF(ISNUMBER(MATCH(DATEVALUE($A7),'changes1_based on steps'!B$1:B$400,0)),B$2,)</f>
        <v>0</v>
      </c>
      <c r="C7" s="179">
        <f ca="1">IF(ISNUMBER(MATCH(DATEVALUE($A7),'changes1_based on steps'!C$1:C$400,0)),C$2,)</f>
        <v>0</v>
      </c>
      <c r="D7" s="179">
        <f ca="1">IF(ISNUMBER(MATCH(DATEVALUE($A7),'changes1_based on steps'!D$1:D$400,0)),D$2,)</f>
        <v>0</v>
      </c>
      <c r="E7" s="179">
        <f ca="1">IF(ISNUMBER(MATCH(DATEVALUE($A7),'changes1_based on steps'!E$1:E$400,0)),E$2,)</f>
        <v>0</v>
      </c>
      <c r="F7" s="179">
        <f ca="1">IF(ISNUMBER(MATCH(DATEVALUE($A7),'changes1_based on steps'!F$1:F$400,0)),F$2,)</f>
        <v>0</v>
      </c>
      <c r="G7" s="179">
        <f ca="1">IF(ISNUMBER(MATCH(DATEVALUE($A7),'changes1_based on steps'!G$1:G$400,0)),G$2,)</f>
        <v>0</v>
      </c>
      <c r="H7" s="179">
        <f ca="1">IF(ISNUMBER(MATCH(DATEVALUE($A7),'changes1_based on steps'!H$1:H$400,0)),H$2,)</f>
        <v>0</v>
      </c>
      <c r="I7" s="179">
        <f ca="1">IF(ISNUMBER(MATCH(DATEVALUE($A7),'changes1_based on steps'!I$1:I$400,0)),I$2,)</f>
        <v>0</v>
      </c>
      <c r="J7" s="179">
        <f ca="1">IF(ISNUMBER(MATCH(DATEVALUE($A7),'changes1_based on steps'!J$1:J$400,0)),J$2,)</f>
        <v>0</v>
      </c>
      <c r="K7" s="179">
        <f ca="1">IF(ISNUMBER(MATCH(DATEVALUE($A7),'changes1_based on steps'!K$1:K$400,0)),K$2,)</f>
        <v>0</v>
      </c>
      <c r="L7" s="179">
        <f ca="1">IF(ISNUMBER(MATCH(DATEVALUE($A7),'changes1_based on steps'!L$1:L$400,0)),L$2,)</f>
        <v>0</v>
      </c>
      <c r="M7" s="179">
        <f ca="1">IF(ISNUMBER(MATCH(DATEVALUE($A7),'changes1_based on steps'!M$1:M$400,0)),M$2,)</f>
        <v>0</v>
      </c>
      <c r="N7" s="179">
        <f ca="1">IF(ISNUMBER(MATCH(DATEVALUE($A7),'changes1_based on steps'!N$1:N$400,0)),N$2,)</f>
        <v>0</v>
      </c>
      <c r="O7" s="179">
        <f ca="1">IF(ISNUMBER(MATCH(DATEVALUE($A7),'changes1_based on steps'!O$1:O$400,0)),O$2,)</f>
        <v>0</v>
      </c>
      <c r="P7" s="179">
        <f ca="1">IF(ISNUMBER(MATCH(DATEVALUE($A7),'changes1_based on steps'!P$1:P$400,0)),P$2,)</f>
        <v>0</v>
      </c>
      <c r="Q7" s="179">
        <f ca="1">IF(ISNUMBER(MATCH(DATEVALUE($A7),'changes1_based on steps'!Q$1:Q$400,0)),Q$2,)</f>
        <v>0</v>
      </c>
      <c r="R7" s="179">
        <f ca="1">IF(ISNUMBER(MATCH(DATEVALUE($A7),'changes1_based on steps'!R$1:R$400,0)),R$2,)</f>
        <v>0</v>
      </c>
      <c r="S7" s="179">
        <f ca="1">IF(ISNUMBER(MATCH(DATEVALUE($A7),'changes1_based on steps'!S$1:S$400,0)),S$2,)</f>
        <v>0</v>
      </c>
      <c r="T7" s="179">
        <f ca="1">IF(ISNUMBER(MATCH(DATEVALUE($A7),'changes1_based on steps'!T$1:T$400,0)),T$2,)</f>
        <v>0</v>
      </c>
      <c r="U7" s="179">
        <f ca="1">IF(ISNUMBER(MATCH(DATEVALUE($A7),'changes1_based on steps'!U$1:U$400,0)),U$2,)</f>
        <v>0</v>
      </c>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c r="AT7" s="179"/>
      <c r="AU7" s="179"/>
      <c r="AV7" s="179"/>
      <c r="AW7" s="179"/>
      <c r="AX7" s="179"/>
      <c r="AY7" s="179"/>
      <c r="AZ7" s="179"/>
      <c r="BA7" s="179"/>
      <c r="BB7" s="179"/>
      <c r="BC7" s="179"/>
      <c r="BD7" s="179"/>
      <c r="BE7" s="179"/>
      <c r="BF7" s="179"/>
      <c r="BG7" s="179"/>
      <c r="BH7" s="179"/>
      <c r="BI7" s="179"/>
      <c r="BJ7" s="179"/>
      <c r="BK7" s="179"/>
      <c r="BL7" s="179"/>
      <c r="BM7" s="179"/>
      <c r="BN7" s="179"/>
      <c r="BO7" s="179"/>
      <c r="BP7" s="179"/>
      <c r="BQ7" s="179"/>
      <c r="BR7" s="179"/>
      <c r="BS7" s="179"/>
      <c r="BT7" s="179"/>
      <c r="BU7" s="179"/>
      <c r="BV7" s="179"/>
      <c r="BW7" s="179"/>
      <c r="BX7" s="179"/>
      <c r="BY7" s="179"/>
      <c r="BZ7" s="179"/>
      <c r="CA7" s="179"/>
      <c r="CB7" s="179"/>
      <c r="CC7" s="179"/>
      <c r="CD7" s="179"/>
      <c r="CE7" s="179"/>
      <c r="CF7" s="179"/>
      <c r="CG7" s="179"/>
      <c r="CH7" s="179"/>
      <c r="CI7" s="179"/>
      <c r="CJ7" s="179"/>
      <c r="CK7" s="179"/>
      <c r="CL7" s="179"/>
      <c r="CM7" s="179"/>
      <c r="CN7" s="179"/>
      <c r="CO7" s="179"/>
      <c r="CP7" s="179"/>
      <c r="CQ7" s="179"/>
      <c r="CR7" s="179"/>
      <c r="CS7" s="179"/>
      <c r="CT7" s="179"/>
      <c r="CU7" s="179"/>
      <c r="CV7" s="179"/>
      <c r="CW7" s="179"/>
    </row>
    <row r="8" spans="1:101" x14ac:dyDescent="0.2">
      <c r="A8" s="32" t="str">
        <f t="shared" ca="1" si="0"/>
        <v>2025-04-03</v>
      </c>
      <c r="B8" s="179">
        <f ca="1">IF(ISNUMBER(MATCH(DATEVALUE($A8),'changes1_based on steps'!B$1:B$400,0)),B$2,)</f>
        <v>0</v>
      </c>
      <c r="C8" s="179">
        <f ca="1">IF(ISNUMBER(MATCH(DATEVALUE($A8),'changes1_based on steps'!C$1:C$400,0)),C$2,)</f>
        <v>0</v>
      </c>
      <c r="D8" s="179">
        <f ca="1">IF(ISNUMBER(MATCH(DATEVALUE($A8),'changes1_based on steps'!D$1:D$400,0)),D$2,)</f>
        <v>0</v>
      </c>
      <c r="E8" s="179">
        <f ca="1">IF(ISNUMBER(MATCH(DATEVALUE($A8),'changes1_based on steps'!E$1:E$400,0)),E$2,)</f>
        <v>0</v>
      </c>
      <c r="F8" s="179">
        <f ca="1">IF(ISNUMBER(MATCH(DATEVALUE($A8),'changes1_based on steps'!F$1:F$400,0)),F$2,)</f>
        <v>0</v>
      </c>
      <c r="G8" s="179">
        <f ca="1">IF(ISNUMBER(MATCH(DATEVALUE($A8),'changes1_based on steps'!G$1:G$400,0)),G$2,)</f>
        <v>0</v>
      </c>
      <c r="H8" s="179">
        <f ca="1">IF(ISNUMBER(MATCH(DATEVALUE($A8),'changes1_based on steps'!H$1:H$400,0)),H$2,)</f>
        <v>0</v>
      </c>
      <c r="I8" s="179">
        <f ca="1">IF(ISNUMBER(MATCH(DATEVALUE($A8),'changes1_based on steps'!I$1:I$400,0)),I$2,)</f>
        <v>0</v>
      </c>
      <c r="J8" s="179">
        <f ca="1">IF(ISNUMBER(MATCH(DATEVALUE($A8),'changes1_based on steps'!J$1:J$400,0)),J$2,)</f>
        <v>0</v>
      </c>
      <c r="K8" s="179">
        <f ca="1">IF(ISNUMBER(MATCH(DATEVALUE($A8),'changes1_based on steps'!K$1:K$400,0)),K$2,)</f>
        <v>0</v>
      </c>
      <c r="L8" s="179">
        <f ca="1">IF(ISNUMBER(MATCH(DATEVALUE($A8),'changes1_based on steps'!L$1:L$400,0)),L$2,)</f>
        <v>0</v>
      </c>
      <c r="M8" s="179">
        <f ca="1">IF(ISNUMBER(MATCH(DATEVALUE($A8),'changes1_based on steps'!M$1:M$400,0)),M$2,)</f>
        <v>0</v>
      </c>
      <c r="N8" s="179">
        <f ca="1">IF(ISNUMBER(MATCH(DATEVALUE($A8),'changes1_based on steps'!N$1:N$400,0)),N$2,)</f>
        <v>0</v>
      </c>
      <c r="O8" s="179">
        <f ca="1">IF(ISNUMBER(MATCH(DATEVALUE($A8),'changes1_based on steps'!O$1:O$400,0)),O$2,)</f>
        <v>0</v>
      </c>
      <c r="P8" s="179">
        <f ca="1">IF(ISNUMBER(MATCH(DATEVALUE($A8),'changes1_based on steps'!P$1:P$400,0)),P$2,)</f>
        <v>0</v>
      </c>
      <c r="Q8" s="179">
        <f ca="1">IF(ISNUMBER(MATCH(DATEVALUE($A8),'changes1_based on steps'!Q$1:Q$400,0)),Q$2,)</f>
        <v>0</v>
      </c>
      <c r="R8" s="179">
        <f ca="1">IF(ISNUMBER(MATCH(DATEVALUE($A8),'changes1_based on steps'!R$1:R$400,0)),R$2,)</f>
        <v>0</v>
      </c>
      <c r="S8" s="179">
        <f ca="1">IF(ISNUMBER(MATCH(DATEVALUE($A8),'changes1_based on steps'!S$1:S$400,0)),S$2,)</f>
        <v>0</v>
      </c>
      <c r="T8" s="179">
        <f ca="1">IF(ISNUMBER(MATCH(DATEVALUE($A8),'changes1_based on steps'!T$1:T$400,0)),T$2,)</f>
        <v>0</v>
      </c>
      <c r="U8" s="179">
        <f ca="1">IF(ISNUMBER(MATCH(DATEVALUE($A8),'changes1_based on steps'!U$1:U$400,0)),U$2,)</f>
        <v>0</v>
      </c>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row>
    <row r="9" spans="1:101" x14ac:dyDescent="0.2">
      <c r="A9" s="32" t="str">
        <f t="shared" ca="1" si="0"/>
        <v>2025-04-04</v>
      </c>
      <c r="B9" s="179">
        <f ca="1">IF(ISNUMBER(MATCH(DATEVALUE($A9),'changes1_based on steps'!B$1:B$400,0)),B$2,)</f>
        <v>0</v>
      </c>
      <c r="C9" s="179">
        <f ca="1">IF(ISNUMBER(MATCH(DATEVALUE($A9),'changes1_based on steps'!C$1:C$400,0)),C$2,)</f>
        <v>0</v>
      </c>
      <c r="D9" s="179">
        <f ca="1">IF(ISNUMBER(MATCH(DATEVALUE($A9),'changes1_based on steps'!D$1:D$400,0)),D$2,)</f>
        <v>0</v>
      </c>
      <c r="E9" s="179">
        <f ca="1">IF(ISNUMBER(MATCH(DATEVALUE($A9),'changes1_based on steps'!E$1:E$400,0)),E$2,)</f>
        <v>0</v>
      </c>
      <c r="F9" s="179">
        <f ca="1">IF(ISNUMBER(MATCH(DATEVALUE($A9),'changes1_based on steps'!F$1:F$400,0)),F$2,)</f>
        <v>0</v>
      </c>
      <c r="G9" s="179">
        <f ca="1">IF(ISNUMBER(MATCH(DATEVALUE($A9),'changes1_based on steps'!G$1:G$400,0)),G$2,)</f>
        <v>0</v>
      </c>
      <c r="H9" s="179">
        <f ca="1">IF(ISNUMBER(MATCH(DATEVALUE($A9),'changes1_based on steps'!H$1:H$400,0)),H$2,)</f>
        <v>0</v>
      </c>
      <c r="I9" s="179">
        <f ca="1">IF(ISNUMBER(MATCH(DATEVALUE($A9),'changes1_based on steps'!I$1:I$400,0)),I$2,)</f>
        <v>0</v>
      </c>
      <c r="J9" s="179">
        <f ca="1">IF(ISNUMBER(MATCH(DATEVALUE($A9),'changes1_based on steps'!J$1:J$400,0)),J$2,)</f>
        <v>0</v>
      </c>
      <c r="K9" s="179">
        <f ca="1">IF(ISNUMBER(MATCH(DATEVALUE($A9),'changes1_based on steps'!K$1:K$400,0)),K$2,)</f>
        <v>0</v>
      </c>
      <c r="L9" s="179">
        <f ca="1">IF(ISNUMBER(MATCH(DATEVALUE($A9),'changes1_based on steps'!L$1:L$400,0)),L$2,)</f>
        <v>0</v>
      </c>
      <c r="M9" s="179">
        <f ca="1">IF(ISNUMBER(MATCH(DATEVALUE($A9),'changes1_based on steps'!M$1:M$400,0)),M$2,)</f>
        <v>0</v>
      </c>
      <c r="N9" s="179">
        <f ca="1">IF(ISNUMBER(MATCH(DATEVALUE($A9),'changes1_based on steps'!N$1:N$400,0)),N$2,)</f>
        <v>0</v>
      </c>
      <c r="O9" s="179">
        <f ca="1">IF(ISNUMBER(MATCH(DATEVALUE($A9),'changes1_based on steps'!O$1:O$400,0)),O$2,)</f>
        <v>0</v>
      </c>
      <c r="P9" s="179">
        <f ca="1">IF(ISNUMBER(MATCH(DATEVALUE($A9),'changes1_based on steps'!P$1:P$400,0)),P$2,)</f>
        <v>0</v>
      </c>
      <c r="Q9" s="179">
        <f ca="1">IF(ISNUMBER(MATCH(DATEVALUE($A9),'changes1_based on steps'!Q$1:Q$400,0)),Q$2,)</f>
        <v>0</v>
      </c>
      <c r="R9" s="179">
        <f ca="1">IF(ISNUMBER(MATCH(DATEVALUE($A9),'changes1_based on steps'!R$1:R$400,0)),R$2,)</f>
        <v>0</v>
      </c>
      <c r="S9" s="179">
        <f ca="1">IF(ISNUMBER(MATCH(DATEVALUE($A9),'changes1_based on steps'!S$1:S$400,0)),S$2,)</f>
        <v>0</v>
      </c>
      <c r="T9" s="179">
        <f ca="1">IF(ISNUMBER(MATCH(DATEVALUE($A9),'changes1_based on steps'!T$1:T$400,0)),T$2,)</f>
        <v>0</v>
      </c>
      <c r="U9" s="179">
        <f ca="1">IF(ISNUMBER(MATCH(DATEVALUE($A9),'changes1_based on steps'!U$1:U$400,0)),U$2,)</f>
        <v>0</v>
      </c>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row>
    <row r="10" spans="1:101" x14ac:dyDescent="0.2">
      <c r="A10" s="32" t="str">
        <f t="shared" ca="1" si="0"/>
        <v>2025-04-05</v>
      </c>
      <c r="B10" s="179">
        <f ca="1">IF(ISNUMBER(MATCH(DATEVALUE($A10),'changes1_based on steps'!B$1:B$400,0)),B$2,)</f>
        <v>0</v>
      </c>
      <c r="C10" s="179">
        <f ca="1">IF(ISNUMBER(MATCH(DATEVALUE($A10),'changes1_based on steps'!C$1:C$400,0)),C$2,)</f>
        <v>0</v>
      </c>
      <c r="D10" s="179">
        <f ca="1">IF(ISNUMBER(MATCH(DATEVALUE($A10),'changes1_based on steps'!D$1:D$400,0)),D$2,)</f>
        <v>0</v>
      </c>
      <c r="E10" s="179">
        <f ca="1">IF(ISNUMBER(MATCH(DATEVALUE($A10),'changes1_based on steps'!E$1:E$400,0)),E$2,)</f>
        <v>0</v>
      </c>
      <c r="F10" s="179">
        <f ca="1">IF(ISNUMBER(MATCH(DATEVALUE($A10),'changes1_based on steps'!F$1:F$400,0)),F$2,)</f>
        <v>0</v>
      </c>
      <c r="G10" s="179">
        <f ca="1">IF(ISNUMBER(MATCH(DATEVALUE($A10),'changes1_based on steps'!G$1:G$400,0)),G$2,)</f>
        <v>0</v>
      </c>
      <c r="H10" s="179">
        <f ca="1">IF(ISNUMBER(MATCH(DATEVALUE($A10),'changes1_based on steps'!H$1:H$400,0)),H$2,)</f>
        <v>0</v>
      </c>
      <c r="I10" s="179">
        <f ca="1">IF(ISNUMBER(MATCH(DATEVALUE($A10),'changes1_based on steps'!I$1:I$400,0)),I$2,)</f>
        <v>0</v>
      </c>
      <c r="J10" s="179">
        <f ca="1">IF(ISNUMBER(MATCH(DATEVALUE($A10),'changes1_based on steps'!J$1:J$400,0)),J$2,)</f>
        <v>0</v>
      </c>
      <c r="K10" s="179">
        <f ca="1">IF(ISNUMBER(MATCH(DATEVALUE($A10),'changes1_based on steps'!K$1:K$400,0)),K$2,)</f>
        <v>0</v>
      </c>
      <c r="L10" s="179">
        <f ca="1">IF(ISNUMBER(MATCH(DATEVALUE($A10),'changes1_based on steps'!L$1:L$400,0)),L$2,)</f>
        <v>0</v>
      </c>
      <c r="M10" s="179">
        <f ca="1">IF(ISNUMBER(MATCH(DATEVALUE($A10),'changes1_based on steps'!M$1:M$400,0)),M$2,)</f>
        <v>0</v>
      </c>
      <c r="N10" s="179">
        <f ca="1">IF(ISNUMBER(MATCH(DATEVALUE($A10),'changes1_based on steps'!N$1:N$400,0)),N$2,)</f>
        <v>0</v>
      </c>
      <c r="O10" s="179">
        <f ca="1">IF(ISNUMBER(MATCH(DATEVALUE($A10),'changes1_based on steps'!O$1:O$400,0)),O$2,)</f>
        <v>0</v>
      </c>
      <c r="P10" s="179">
        <f ca="1">IF(ISNUMBER(MATCH(DATEVALUE($A10),'changes1_based on steps'!P$1:P$400,0)),P$2,)</f>
        <v>0</v>
      </c>
      <c r="Q10" s="179">
        <f ca="1">IF(ISNUMBER(MATCH(DATEVALUE($A10),'changes1_based on steps'!Q$1:Q$400,0)),Q$2,)</f>
        <v>0</v>
      </c>
      <c r="R10" s="179">
        <f ca="1">IF(ISNUMBER(MATCH(DATEVALUE($A10),'changes1_based on steps'!R$1:R$400,0)),R$2,)</f>
        <v>0</v>
      </c>
      <c r="S10" s="179">
        <f ca="1">IF(ISNUMBER(MATCH(DATEVALUE($A10),'changes1_based on steps'!S$1:S$400,0)),S$2,)</f>
        <v>0</v>
      </c>
      <c r="T10" s="179">
        <f ca="1">IF(ISNUMBER(MATCH(DATEVALUE($A10),'changes1_based on steps'!T$1:T$400,0)),T$2,)</f>
        <v>0</v>
      </c>
      <c r="U10" s="179">
        <f ca="1">IF(ISNUMBER(MATCH(DATEVALUE($A10),'changes1_based on steps'!U$1:U$400,0)),U$2,)</f>
        <v>0</v>
      </c>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row>
    <row r="11" spans="1:101" x14ac:dyDescent="0.2">
      <c r="A11" s="32" t="str">
        <f t="shared" ca="1" si="0"/>
        <v>2025-04-06</v>
      </c>
      <c r="B11" s="179">
        <f ca="1">IF(ISNUMBER(MATCH(DATEVALUE($A11),'changes1_based on steps'!B$1:B$400,0)),B$2,)</f>
        <v>0</v>
      </c>
      <c r="C11" s="179">
        <f ca="1">IF(ISNUMBER(MATCH(DATEVALUE($A11),'changes1_based on steps'!C$1:C$400,0)),C$2,)</f>
        <v>0</v>
      </c>
      <c r="D11" s="179">
        <f ca="1">IF(ISNUMBER(MATCH(DATEVALUE($A11),'changes1_based on steps'!D$1:D$400,0)),D$2,)</f>
        <v>0</v>
      </c>
      <c r="E11" s="179">
        <f ca="1">IF(ISNUMBER(MATCH(DATEVALUE($A11),'changes1_based on steps'!E$1:E$400,0)),E$2,)</f>
        <v>0</v>
      </c>
      <c r="F11" s="179">
        <f ca="1">IF(ISNUMBER(MATCH(DATEVALUE($A11),'changes1_based on steps'!F$1:F$400,0)),F$2,)</f>
        <v>0</v>
      </c>
      <c r="G11" s="179">
        <f ca="1">IF(ISNUMBER(MATCH(DATEVALUE($A11),'changes1_based on steps'!G$1:G$400,0)),G$2,)</f>
        <v>0</v>
      </c>
      <c r="H11" s="179">
        <f ca="1">IF(ISNUMBER(MATCH(DATEVALUE($A11),'changes1_based on steps'!H$1:H$400,0)),H$2,)</f>
        <v>0</v>
      </c>
      <c r="I11" s="179">
        <f ca="1">IF(ISNUMBER(MATCH(DATEVALUE($A11),'changes1_based on steps'!I$1:I$400,0)),I$2,)</f>
        <v>0</v>
      </c>
      <c r="J11" s="179">
        <f ca="1">IF(ISNUMBER(MATCH(DATEVALUE($A11),'changes1_based on steps'!J$1:J$400,0)),J$2,)</f>
        <v>0</v>
      </c>
      <c r="K11" s="179">
        <f ca="1">IF(ISNUMBER(MATCH(DATEVALUE($A11),'changes1_based on steps'!K$1:K$400,0)),K$2,)</f>
        <v>0</v>
      </c>
      <c r="L11" s="179">
        <f ca="1">IF(ISNUMBER(MATCH(DATEVALUE($A11),'changes1_based on steps'!L$1:L$400,0)),L$2,)</f>
        <v>0</v>
      </c>
      <c r="M11" s="179">
        <f ca="1">IF(ISNUMBER(MATCH(DATEVALUE($A11),'changes1_based on steps'!M$1:M$400,0)),M$2,)</f>
        <v>0</v>
      </c>
      <c r="N11" s="179">
        <f ca="1">IF(ISNUMBER(MATCH(DATEVALUE($A11),'changes1_based on steps'!N$1:N$400,0)),N$2,)</f>
        <v>0</v>
      </c>
      <c r="O11" s="179">
        <f ca="1">IF(ISNUMBER(MATCH(DATEVALUE($A11),'changes1_based on steps'!O$1:O$400,0)),O$2,)</f>
        <v>0</v>
      </c>
      <c r="P11" s="179">
        <f ca="1">IF(ISNUMBER(MATCH(DATEVALUE($A11),'changes1_based on steps'!P$1:P$400,0)),P$2,)</f>
        <v>0</v>
      </c>
      <c r="Q11" s="179">
        <f ca="1">IF(ISNUMBER(MATCH(DATEVALUE($A11),'changes1_based on steps'!Q$1:Q$400,0)),Q$2,)</f>
        <v>0</v>
      </c>
      <c r="R11" s="179">
        <f ca="1">IF(ISNUMBER(MATCH(DATEVALUE($A11),'changes1_based on steps'!R$1:R$400,0)),R$2,)</f>
        <v>0</v>
      </c>
      <c r="S11" s="179">
        <f ca="1">IF(ISNUMBER(MATCH(DATEVALUE($A11),'changes1_based on steps'!S$1:S$400,0)),S$2,)</f>
        <v>0</v>
      </c>
      <c r="T11" s="179">
        <f ca="1">IF(ISNUMBER(MATCH(DATEVALUE($A11),'changes1_based on steps'!T$1:T$400,0)),T$2,)</f>
        <v>0</v>
      </c>
      <c r="U11" s="179">
        <f ca="1">IF(ISNUMBER(MATCH(DATEVALUE($A11),'changes1_based on steps'!U$1:U$400,0)),U$2,)</f>
        <v>0</v>
      </c>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row>
    <row r="12" spans="1:101" x14ac:dyDescent="0.2">
      <c r="A12" s="32" t="str">
        <f t="shared" ca="1" si="0"/>
        <v>2025-04-07</v>
      </c>
      <c r="B12" s="179">
        <f ca="1">IF(ISNUMBER(MATCH(DATEVALUE($A12),'changes1_based on steps'!B$1:B$400,0)),B$2,)</f>
        <v>0</v>
      </c>
      <c r="C12" s="179">
        <f ca="1">IF(ISNUMBER(MATCH(DATEVALUE($A12),'changes1_based on steps'!C$1:C$400,0)),C$2,)</f>
        <v>0</v>
      </c>
      <c r="D12" s="179">
        <f ca="1">IF(ISNUMBER(MATCH(DATEVALUE($A12),'changes1_based on steps'!D$1:D$400,0)),D$2,)</f>
        <v>0</v>
      </c>
      <c r="E12" s="179">
        <f ca="1">IF(ISNUMBER(MATCH(DATEVALUE($A12),'changes1_based on steps'!E$1:E$400,0)),E$2,)</f>
        <v>0</v>
      </c>
      <c r="F12" s="179">
        <f ca="1">IF(ISNUMBER(MATCH(DATEVALUE($A12),'changes1_based on steps'!F$1:F$400,0)),F$2,)</f>
        <v>0</v>
      </c>
      <c r="G12" s="179">
        <f ca="1">IF(ISNUMBER(MATCH(DATEVALUE($A12),'changes1_based on steps'!G$1:G$400,0)),G$2,)</f>
        <v>0</v>
      </c>
      <c r="H12" s="179">
        <f ca="1">IF(ISNUMBER(MATCH(DATEVALUE($A12),'changes1_based on steps'!H$1:H$400,0)),H$2,)</f>
        <v>0</v>
      </c>
      <c r="I12" s="179">
        <f ca="1">IF(ISNUMBER(MATCH(DATEVALUE($A12),'changes1_based on steps'!I$1:I$400,0)),I$2,)</f>
        <v>0</v>
      </c>
      <c r="J12" s="179">
        <f ca="1">IF(ISNUMBER(MATCH(DATEVALUE($A12),'changes1_based on steps'!J$1:J$400,0)),J$2,)</f>
        <v>0</v>
      </c>
      <c r="K12" s="179">
        <f ca="1">IF(ISNUMBER(MATCH(DATEVALUE($A12),'changes1_based on steps'!K$1:K$400,0)),K$2,)</f>
        <v>0</v>
      </c>
      <c r="L12" s="179">
        <f ca="1">IF(ISNUMBER(MATCH(DATEVALUE($A12),'changes1_based on steps'!L$1:L$400,0)),L$2,)</f>
        <v>0</v>
      </c>
      <c r="M12" s="179">
        <f ca="1">IF(ISNUMBER(MATCH(DATEVALUE($A12),'changes1_based on steps'!M$1:M$400,0)),M$2,)</f>
        <v>0</v>
      </c>
      <c r="N12" s="179">
        <f ca="1">IF(ISNUMBER(MATCH(DATEVALUE($A12),'changes1_based on steps'!N$1:N$400,0)),N$2,)</f>
        <v>0</v>
      </c>
      <c r="O12" s="179">
        <f ca="1">IF(ISNUMBER(MATCH(DATEVALUE($A12),'changes1_based on steps'!O$1:O$400,0)),O$2,)</f>
        <v>0</v>
      </c>
      <c r="P12" s="179">
        <f ca="1">IF(ISNUMBER(MATCH(DATEVALUE($A12),'changes1_based on steps'!P$1:P$400,0)),P$2,)</f>
        <v>0</v>
      </c>
      <c r="Q12" s="179">
        <f ca="1">IF(ISNUMBER(MATCH(DATEVALUE($A12),'changes1_based on steps'!Q$1:Q$400,0)),Q$2,)</f>
        <v>0</v>
      </c>
      <c r="R12" s="179">
        <f ca="1">IF(ISNUMBER(MATCH(DATEVALUE($A12),'changes1_based on steps'!R$1:R$400,0)),R$2,)</f>
        <v>0</v>
      </c>
      <c r="S12" s="179">
        <f ca="1">IF(ISNUMBER(MATCH(DATEVALUE($A12),'changes1_based on steps'!S$1:S$400,0)),S$2,)</f>
        <v>0</v>
      </c>
      <c r="T12" s="179">
        <f ca="1">IF(ISNUMBER(MATCH(DATEVALUE($A12),'changes1_based on steps'!T$1:T$400,0)),T$2,)</f>
        <v>0</v>
      </c>
      <c r="U12" s="179">
        <f ca="1">IF(ISNUMBER(MATCH(DATEVALUE($A12),'changes1_based on steps'!U$1:U$400,0)),U$2,)</f>
        <v>0</v>
      </c>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row>
    <row r="13" spans="1:101" x14ac:dyDescent="0.2">
      <c r="A13" s="32" t="str">
        <f t="shared" ca="1" si="0"/>
        <v>2025-04-08</v>
      </c>
      <c r="B13" s="179">
        <f ca="1">IF(ISNUMBER(MATCH(DATEVALUE($A13),'changes1_based on steps'!B$1:B$400,0)),B$2,)</f>
        <v>0</v>
      </c>
      <c r="C13" s="179">
        <f ca="1">IF(ISNUMBER(MATCH(DATEVALUE($A13),'changes1_based on steps'!C$1:C$400,0)),C$2,)</f>
        <v>0</v>
      </c>
      <c r="D13" s="179">
        <f ca="1">IF(ISNUMBER(MATCH(DATEVALUE($A13),'changes1_based on steps'!D$1:D$400,0)),D$2,)</f>
        <v>0</v>
      </c>
      <c r="E13" s="179">
        <f ca="1">IF(ISNUMBER(MATCH(DATEVALUE($A13),'changes1_based on steps'!E$1:E$400,0)),E$2,)</f>
        <v>0</v>
      </c>
      <c r="F13" s="179">
        <f ca="1">IF(ISNUMBER(MATCH(DATEVALUE($A13),'changes1_based on steps'!F$1:F$400,0)),F$2,)</f>
        <v>0</v>
      </c>
      <c r="G13" s="179">
        <f ca="1">IF(ISNUMBER(MATCH(DATEVALUE($A13),'changes1_based on steps'!G$1:G$400,0)),G$2,)</f>
        <v>0</v>
      </c>
      <c r="H13" s="179">
        <f ca="1">IF(ISNUMBER(MATCH(DATEVALUE($A13),'changes1_based on steps'!H$1:H$400,0)),H$2,)</f>
        <v>0</v>
      </c>
      <c r="I13" s="179">
        <f ca="1">IF(ISNUMBER(MATCH(DATEVALUE($A13),'changes1_based on steps'!I$1:I$400,0)),I$2,)</f>
        <v>0</v>
      </c>
      <c r="J13" s="179">
        <f ca="1">IF(ISNUMBER(MATCH(DATEVALUE($A13),'changes1_based on steps'!J$1:J$400,0)),J$2,)</f>
        <v>0</v>
      </c>
      <c r="K13" s="179">
        <f ca="1">IF(ISNUMBER(MATCH(DATEVALUE($A13),'changes1_based on steps'!K$1:K$400,0)),K$2,)</f>
        <v>0</v>
      </c>
      <c r="L13" s="179">
        <f ca="1">IF(ISNUMBER(MATCH(DATEVALUE($A13),'changes1_based on steps'!L$1:L$400,0)),L$2,)</f>
        <v>0</v>
      </c>
      <c r="M13" s="179">
        <f ca="1">IF(ISNUMBER(MATCH(DATEVALUE($A13),'changes1_based on steps'!M$1:M$400,0)),M$2,)</f>
        <v>0</v>
      </c>
      <c r="N13" s="179">
        <f ca="1">IF(ISNUMBER(MATCH(DATEVALUE($A13),'changes1_based on steps'!N$1:N$400,0)),N$2,)</f>
        <v>0</v>
      </c>
      <c r="O13" s="179">
        <f ca="1">IF(ISNUMBER(MATCH(DATEVALUE($A13),'changes1_based on steps'!O$1:O$400,0)),O$2,)</f>
        <v>0</v>
      </c>
      <c r="P13" s="179">
        <f ca="1">IF(ISNUMBER(MATCH(DATEVALUE($A13),'changes1_based on steps'!P$1:P$400,0)),P$2,)</f>
        <v>0</v>
      </c>
      <c r="Q13" s="179">
        <f ca="1">IF(ISNUMBER(MATCH(DATEVALUE($A13),'changes1_based on steps'!Q$1:Q$400,0)),Q$2,)</f>
        <v>0</v>
      </c>
      <c r="R13" s="179">
        <f ca="1">IF(ISNUMBER(MATCH(DATEVALUE($A13),'changes1_based on steps'!R$1:R$400,0)),R$2,)</f>
        <v>0</v>
      </c>
      <c r="S13" s="179">
        <f ca="1">IF(ISNUMBER(MATCH(DATEVALUE($A13),'changes1_based on steps'!S$1:S$400,0)),S$2,)</f>
        <v>0</v>
      </c>
      <c r="T13" s="179">
        <f ca="1">IF(ISNUMBER(MATCH(DATEVALUE($A13),'changes1_based on steps'!T$1:T$400,0)),T$2,)</f>
        <v>0</v>
      </c>
      <c r="U13" s="179">
        <f ca="1">IF(ISNUMBER(MATCH(DATEVALUE($A13),'changes1_based on steps'!U$1:U$400,0)),U$2,)</f>
        <v>0</v>
      </c>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row>
    <row r="14" spans="1:101" x14ac:dyDescent="0.2">
      <c r="A14" s="32" t="str">
        <f t="shared" ca="1" si="0"/>
        <v>2025-04-09</v>
      </c>
      <c r="B14" s="179">
        <f ca="1">IF(ISNUMBER(MATCH(DATEVALUE($A14),'changes1_based on steps'!B$1:B$400,0)),B$2,)</f>
        <v>0</v>
      </c>
      <c r="C14" s="179">
        <f ca="1">IF(ISNUMBER(MATCH(DATEVALUE($A14),'changes1_based on steps'!C$1:C$400,0)),C$2,)</f>
        <v>0</v>
      </c>
      <c r="D14" s="179">
        <f ca="1">IF(ISNUMBER(MATCH(DATEVALUE($A14),'changes1_based on steps'!D$1:D$400,0)),D$2,)</f>
        <v>0</v>
      </c>
      <c r="E14" s="179">
        <f ca="1">IF(ISNUMBER(MATCH(DATEVALUE($A14),'changes1_based on steps'!E$1:E$400,0)),E$2,)</f>
        <v>0</v>
      </c>
      <c r="F14" s="179">
        <f ca="1">IF(ISNUMBER(MATCH(DATEVALUE($A14),'changes1_based on steps'!F$1:F$400,0)),F$2,)</f>
        <v>0</v>
      </c>
      <c r="G14" s="179">
        <f ca="1">IF(ISNUMBER(MATCH(DATEVALUE($A14),'changes1_based on steps'!G$1:G$400,0)),G$2,)</f>
        <v>0</v>
      </c>
      <c r="H14" s="179">
        <f ca="1">IF(ISNUMBER(MATCH(DATEVALUE($A14),'changes1_based on steps'!H$1:H$400,0)),H$2,)</f>
        <v>0</v>
      </c>
      <c r="I14" s="179">
        <f ca="1">IF(ISNUMBER(MATCH(DATEVALUE($A14),'changes1_based on steps'!I$1:I$400,0)),I$2,)</f>
        <v>0</v>
      </c>
      <c r="J14" s="179">
        <f ca="1">IF(ISNUMBER(MATCH(DATEVALUE($A14),'changes1_based on steps'!J$1:J$400,0)),J$2,)</f>
        <v>0</v>
      </c>
      <c r="K14" s="179">
        <f ca="1">IF(ISNUMBER(MATCH(DATEVALUE($A14),'changes1_based on steps'!K$1:K$400,0)),K$2,)</f>
        <v>0</v>
      </c>
      <c r="L14" s="179">
        <f ca="1">IF(ISNUMBER(MATCH(DATEVALUE($A14),'changes1_based on steps'!L$1:L$400,0)),L$2,)</f>
        <v>0</v>
      </c>
      <c r="M14" s="179">
        <f ca="1">IF(ISNUMBER(MATCH(DATEVALUE($A14),'changes1_based on steps'!M$1:M$400,0)),M$2,)</f>
        <v>0</v>
      </c>
      <c r="N14" s="179">
        <f ca="1">IF(ISNUMBER(MATCH(DATEVALUE($A14),'changes1_based on steps'!N$1:N$400,0)),N$2,)</f>
        <v>0</v>
      </c>
      <c r="O14" s="179">
        <f ca="1">IF(ISNUMBER(MATCH(DATEVALUE($A14),'changes1_based on steps'!O$1:O$400,0)),O$2,)</f>
        <v>0</v>
      </c>
      <c r="P14" s="179">
        <f ca="1">IF(ISNUMBER(MATCH(DATEVALUE($A14),'changes1_based on steps'!P$1:P$400,0)),P$2,)</f>
        <v>0</v>
      </c>
      <c r="Q14" s="179">
        <f ca="1">IF(ISNUMBER(MATCH(DATEVALUE($A14),'changes1_based on steps'!Q$1:Q$400,0)),Q$2,)</f>
        <v>0</v>
      </c>
      <c r="R14" s="179">
        <f ca="1">IF(ISNUMBER(MATCH(DATEVALUE($A14),'changes1_based on steps'!R$1:R$400,0)),R$2,)</f>
        <v>0</v>
      </c>
      <c r="S14" s="179">
        <f ca="1">IF(ISNUMBER(MATCH(DATEVALUE($A14),'changes1_based on steps'!S$1:S$400,0)),S$2,)</f>
        <v>0</v>
      </c>
      <c r="T14" s="179">
        <f ca="1">IF(ISNUMBER(MATCH(DATEVALUE($A14),'changes1_based on steps'!T$1:T$400,0)),T$2,)</f>
        <v>0</v>
      </c>
      <c r="U14" s="179">
        <f ca="1">IF(ISNUMBER(MATCH(DATEVALUE($A14),'changes1_based on steps'!U$1:U$400,0)),U$2,)</f>
        <v>0</v>
      </c>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row>
    <row r="15" spans="1:101" x14ac:dyDescent="0.2">
      <c r="A15" s="32" t="str">
        <f t="shared" ca="1" si="0"/>
        <v>2025-04-10</v>
      </c>
      <c r="B15" s="179">
        <f ca="1">IF(ISNUMBER(MATCH(DATEVALUE($A15),'changes1_based on steps'!B$1:B$400,0)),B$2,)</f>
        <v>0</v>
      </c>
      <c r="C15" s="179">
        <f ca="1">IF(ISNUMBER(MATCH(DATEVALUE($A15),'changes1_based on steps'!C$1:C$400,0)),C$2,)</f>
        <v>0</v>
      </c>
      <c r="D15" s="179">
        <f ca="1">IF(ISNUMBER(MATCH(DATEVALUE($A15),'changes1_based on steps'!D$1:D$400,0)),D$2,)</f>
        <v>0</v>
      </c>
      <c r="E15" s="179">
        <f ca="1">IF(ISNUMBER(MATCH(DATEVALUE($A15),'changes1_based on steps'!E$1:E$400,0)),E$2,)</f>
        <v>0</v>
      </c>
      <c r="F15" s="179">
        <f ca="1">IF(ISNUMBER(MATCH(DATEVALUE($A15),'changes1_based on steps'!F$1:F$400,0)),F$2,)</f>
        <v>0</v>
      </c>
      <c r="G15" s="179">
        <f ca="1">IF(ISNUMBER(MATCH(DATEVALUE($A15),'changes1_based on steps'!G$1:G$400,0)),G$2,)</f>
        <v>0</v>
      </c>
      <c r="H15" s="179">
        <f ca="1">IF(ISNUMBER(MATCH(DATEVALUE($A15),'changes1_based on steps'!H$1:H$400,0)),H$2,)</f>
        <v>0</v>
      </c>
      <c r="I15" s="179">
        <f ca="1">IF(ISNUMBER(MATCH(DATEVALUE($A15),'changes1_based on steps'!I$1:I$400,0)),I$2,)</f>
        <v>0</v>
      </c>
      <c r="J15" s="179">
        <f ca="1">IF(ISNUMBER(MATCH(DATEVALUE($A15),'changes1_based on steps'!J$1:J$400,0)),J$2,)</f>
        <v>0</v>
      </c>
      <c r="K15" s="179">
        <f ca="1">IF(ISNUMBER(MATCH(DATEVALUE($A15),'changes1_based on steps'!K$1:K$400,0)),K$2,)</f>
        <v>0</v>
      </c>
      <c r="L15" s="179">
        <f ca="1">IF(ISNUMBER(MATCH(DATEVALUE($A15),'changes1_based on steps'!L$1:L$400,0)),L$2,)</f>
        <v>0</v>
      </c>
      <c r="M15" s="179">
        <f ca="1">IF(ISNUMBER(MATCH(DATEVALUE($A15),'changes1_based on steps'!M$1:M$400,0)),M$2,)</f>
        <v>0</v>
      </c>
      <c r="N15" s="179">
        <f ca="1">IF(ISNUMBER(MATCH(DATEVALUE($A15),'changes1_based on steps'!N$1:N$400,0)),N$2,)</f>
        <v>0</v>
      </c>
      <c r="O15" s="179">
        <f ca="1">IF(ISNUMBER(MATCH(DATEVALUE($A15),'changes1_based on steps'!O$1:O$400,0)),O$2,)</f>
        <v>0</v>
      </c>
      <c r="P15" s="179">
        <f ca="1">IF(ISNUMBER(MATCH(DATEVALUE($A15),'changes1_based on steps'!P$1:P$400,0)),P$2,)</f>
        <v>0</v>
      </c>
      <c r="Q15" s="179">
        <f ca="1">IF(ISNUMBER(MATCH(DATEVALUE($A15),'changes1_based on steps'!Q$1:Q$400,0)),Q$2,)</f>
        <v>0</v>
      </c>
      <c r="R15" s="179">
        <f ca="1">IF(ISNUMBER(MATCH(DATEVALUE($A15),'changes1_based on steps'!R$1:R$400,0)),R$2,)</f>
        <v>0</v>
      </c>
      <c r="S15" s="179">
        <f ca="1">IF(ISNUMBER(MATCH(DATEVALUE($A15),'changes1_based on steps'!S$1:S$400,0)),S$2,)</f>
        <v>0</v>
      </c>
      <c r="T15" s="179">
        <f ca="1">IF(ISNUMBER(MATCH(DATEVALUE($A15),'changes1_based on steps'!T$1:T$400,0)),T$2,)</f>
        <v>0</v>
      </c>
      <c r="U15" s="179">
        <f ca="1">IF(ISNUMBER(MATCH(DATEVALUE($A15),'changes1_based on steps'!U$1:U$400,0)),U$2,)</f>
        <v>0</v>
      </c>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row>
    <row r="16" spans="1:101" x14ac:dyDescent="0.2">
      <c r="A16" s="32" t="str">
        <f t="shared" ca="1" si="0"/>
        <v>2025-04-11</v>
      </c>
      <c r="B16" s="179">
        <f ca="1">IF(ISNUMBER(MATCH(DATEVALUE($A16),'changes1_based on steps'!B$1:B$400,0)),B$2,)</f>
        <v>0</v>
      </c>
      <c r="C16" s="179">
        <f ca="1">IF(ISNUMBER(MATCH(DATEVALUE($A16),'changes1_based on steps'!C$1:C$400,0)),C$2,)</f>
        <v>0</v>
      </c>
      <c r="D16" s="179">
        <f ca="1">IF(ISNUMBER(MATCH(DATEVALUE($A16),'changes1_based on steps'!D$1:D$400,0)),D$2,)</f>
        <v>0</v>
      </c>
      <c r="E16" s="179">
        <f ca="1">IF(ISNUMBER(MATCH(DATEVALUE($A16),'changes1_based on steps'!E$1:E$400,0)),E$2,)</f>
        <v>0</v>
      </c>
      <c r="F16" s="179">
        <f ca="1">IF(ISNUMBER(MATCH(DATEVALUE($A16),'changes1_based on steps'!F$1:F$400,0)),F$2,)</f>
        <v>0</v>
      </c>
      <c r="G16" s="179">
        <f ca="1">IF(ISNUMBER(MATCH(DATEVALUE($A16),'changes1_based on steps'!G$1:G$400,0)),G$2,)</f>
        <v>0</v>
      </c>
      <c r="H16" s="179">
        <f ca="1">IF(ISNUMBER(MATCH(DATEVALUE($A16),'changes1_based on steps'!H$1:H$400,0)),H$2,)</f>
        <v>0</v>
      </c>
      <c r="I16" s="179">
        <f ca="1">IF(ISNUMBER(MATCH(DATEVALUE($A16),'changes1_based on steps'!I$1:I$400,0)),I$2,)</f>
        <v>0</v>
      </c>
      <c r="J16" s="179">
        <f ca="1">IF(ISNUMBER(MATCH(DATEVALUE($A16),'changes1_based on steps'!J$1:J$400,0)),J$2,)</f>
        <v>0</v>
      </c>
      <c r="K16" s="179">
        <f ca="1">IF(ISNUMBER(MATCH(DATEVALUE($A16),'changes1_based on steps'!K$1:K$400,0)),K$2,)</f>
        <v>0</v>
      </c>
      <c r="L16" s="179">
        <f ca="1">IF(ISNUMBER(MATCH(DATEVALUE($A16),'changes1_based on steps'!L$1:L$400,0)),L$2,)</f>
        <v>0</v>
      </c>
      <c r="M16" s="179">
        <f ca="1">IF(ISNUMBER(MATCH(DATEVALUE($A16),'changes1_based on steps'!M$1:M$400,0)),M$2,)</f>
        <v>0</v>
      </c>
      <c r="N16" s="179">
        <f ca="1">IF(ISNUMBER(MATCH(DATEVALUE($A16),'changes1_based on steps'!N$1:N$400,0)),N$2,)</f>
        <v>0</v>
      </c>
      <c r="O16" s="179">
        <f ca="1">IF(ISNUMBER(MATCH(DATEVALUE($A16),'changes1_based on steps'!O$1:O$400,0)),O$2,)</f>
        <v>0</v>
      </c>
      <c r="P16" s="179">
        <f ca="1">IF(ISNUMBER(MATCH(DATEVALUE($A16),'changes1_based on steps'!P$1:P$400,0)),P$2,)</f>
        <v>0</v>
      </c>
      <c r="Q16" s="179">
        <f ca="1">IF(ISNUMBER(MATCH(DATEVALUE($A16),'changes1_based on steps'!Q$1:Q$400,0)),Q$2,)</f>
        <v>0</v>
      </c>
      <c r="R16" s="179">
        <f ca="1">IF(ISNUMBER(MATCH(DATEVALUE($A16),'changes1_based on steps'!R$1:R$400,0)),R$2,)</f>
        <v>0</v>
      </c>
      <c r="S16" s="179">
        <f ca="1">IF(ISNUMBER(MATCH(DATEVALUE($A16),'changes1_based on steps'!S$1:S$400,0)),S$2,)</f>
        <v>0</v>
      </c>
      <c r="T16" s="179">
        <f ca="1">IF(ISNUMBER(MATCH(DATEVALUE($A16),'changes1_based on steps'!T$1:T$400,0)),T$2,)</f>
        <v>0</v>
      </c>
      <c r="U16" s="179">
        <f ca="1">IF(ISNUMBER(MATCH(DATEVALUE($A16),'changes1_based on steps'!U$1:U$400,0)),U$2,)</f>
        <v>0</v>
      </c>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row>
    <row r="17" spans="1:101" x14ac:dyDescent="0.2">
      <c r="A17" s="32" t="str">
        <f t="shared" ca="1" si="0"/>
        <v>2025-04-12</v>
      </c>
      <c r="B17" s="179">
        <f ca="1">IF(ISNUMBER(MATCH(DATEVALUE($A17),'changes1_based on steps'!B$1:B$400,0)),B$2,)</f>
        <v>0</v>
      </c>
      <c r="C17" s="179">
        <f ca="1">IF(ISNUMBER(MATCH(DATEVALUE($A17),'changes1_based on steps'!C$1:C$400,0)),C$2,)</f>
        <v>0</v>
      </c>
      <c r="D17" s="179">
        <f ca="1">IF(ISNUMBER(MATCH(DATEVALUE($A17),'changes1_based on steps'!D$1:D$400,0)),D$2,)</f>
        <v>0</v>
      </c>
      <c r="E17" s="179">
        <f ca="1">IF(ISNUMBER(MATCH(DATEVALUE($A17),'changes1_based on steps'!E$1:E$400,0)),E$2,)</f>
        <v>0</v>
      </c>
      <c r="F17" s="179">
        <f ca="1">IF(ISNUMBER(MATCH(DATEVALUE($A17),'changes1_based on steps'!F$1:F$400,0)),F$2,)</f>
        <v>0</v>
      </c>
      <c r="G17" s="179">
        <f ca="1">IF(ISNUMBER(MATCH(DATEVALUE($A17),'changes1_based on steps'!G$1:G$400,0)),G$2,)</f>
        <v>0</v>
      </c>
      <c r="H17" s="179">
        <f ca="1">IF(ISNUMBER(MATCH(DATEVALUE($A17),'changes1_based on steps'!H$1:H$400,0)),H$2,)</f>
        <v>0</v>
      </c>
      <c r="I17" s="179">
        <f ca="1">IF(ISNUMBER(MATCH(DATEVALUE($A17),'changes1_based on steps'!I$1:I$400,0)),I$2,)</f>
        <v>0</v>
      </c>
      <c r="J17" s="179">
        <f ca="1">IF(ISNUMBER(MATCH(DATEVALUE($A17),'changes1_based on steps'!J$1:J$400,0)),J$2,)</f>
        <v>0</v>
      </c>
      <c r="K17" s="179">
        <f ca="1">IF(ISNUMBER(MATCH(DATEVALUE($A17),'changes1_based on steps'!K$1:K$400,0)),K$2,)</f>
        <v>0</v>
      </c>
      <c r="L17" s="179">
        <f ca="1">IF(ISNUMBER(MATCH(DATEVALUE($A17),'changes1_based on steps'!L$1:L$400,0)),L$2,)</f>
        <v>0</v>
      </c>
      <c r="M17" s="179">
        <f ca="1">IF(ISNUMBER(MATCH(DATEVALUE($A17),'changes1_based on steps'!M$1:M$400,0)),M$2,)</f>
        <v>0</v>
      </c>
      <c r="N17" s="179">
        <f ca="1">IF(ISNUMBER(MATCH(DATEVALUE($A17),'changes1_based on steps'!N$1:N$400,0)),N$2,)</f>
        <v>0</v>
      </c>
      <c r="O17" s="179">
        <f ca="1">IF(ISNUMBER(MATCH(DATEVALUE($A17),'changes1_based on steps'!O$1:O$400,0)),O$2,)</f>
        <v>0</v>
      </c>
      <c r="P17" s="179">
        <f ca="1">IF(ISNUMBER(MATCH(DATEVALUE($A17),'changes1_based on steps'!P$1:P$400,0)),P$2,)</f>
        <v>0</v>
      </c>
      <c r="Q17" s="179">
        <f ca="1">IF(ISNUMBER(MATCH(DATEVALUE($A17),'changes1_based on steps'!Q$1:Q$400,0)),Q$2,)</f>
        <v>0</v>
      </c>
      <c r="R17" s="179">
        <f ca="1">IF(ISNUMBER(MATCH(DATEVALUE($A17),'changes1_based on steps'!R$1:R$400,0)),R$2,)</f>
        <v>0</v>
      </c>
      <c r="S17" s="179">
        <f ca="1">IF(ISNUMBER(MATCH(DATEVALUE($A17),'changes1_based on steps'!S$1:S$400,0)),S$2,)</f>
        <v>0</v>
      </c>
      <c r="T17" s="179">
        <f ca="1">IF(ISNUMBER(MATCH(DATEVALUE($A17),'changes1_based on steps'!T$1:T$400,0)),T$2,)</f>
        <v>0</v>
      </c>
      <c r="U17" s="179">
        <f ca="1">IF(ISNUMBER(MATCH(DATEVALUE($A17),'changes1_based on steps'!U$1:U$400,0)),U$2,)</f>
        <v>0</v>
      </c>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row>
    <row r="18" spans="1:101" x14ac:dyDescent="0.2">
      <c r="A18" s="32" t="str">
        <f t="shared" ca="1" si="0"/>
        <v>2025-04-13</v>
      </c>
      <c r="B18" s="179">
        <f ca="1">IF(ISNUMBER(MATCH(DATEVALUE($A18),'changes1_based on steps'!B$1:B$400,0)),B$2,)</f>
        <v>0</v>
      </c>
      <c r="C18" s="179">
        <f ca="1">IF(ISNUMBER(MATCH(DATEVALUE($A18),'changes1_based on steps'!C$1:C$400,0)),C$2,)</f>
        <v>0</v>
      </c>
      <c r="D18" s="179">
        <f ca="1">IF(ISNUMBER(MATCH(DATEVALUE($A18),'changes1_based on steps'!D$1:D$400,0)),D$2,)</f>
        <v>0</v>
      </c>
      <c r="E18" s="179">
        <f ca="1">IF(ISNUMBER(MATCH(DATEVALUE($A18),'changes1_based on steps'!E$1:E$400,0)),E$2,)</f>
        <v>0</v>
      </c>
      <c r="F18" s="179">
        <f ca="1">IF(ISNUMBER(MATCH(DATEVALUE($A18),'changes1_based on steps'!F$1:F$400,0)),F$2,)</f>
        <v>0</v>
      </c>
      <c r="G18" s="179">
        <f ca="1">IF(ISNUMBER(MATCH(DATEVALUE($A18),'changes1_based on steps'!G$1:G$400,0)),G$2,)</f>
        <v>0</v>
      </c>
      <c r="H18" s="179">
        <f ca="1">IF(ISNUMBER(MATCH(DATEVALUE($A18),'changes1_based on steps'!H$1:H$400,0)),H$2,)</f>
        <v>0</v>
      </c>
      <c r="I18" s="179">
        <f ca="1">IF(ISNUMBER(MATCH(DATEVALUE($A18),'changes1_based on steps'!I$1:I$400,0)),I$2,)</f>
        <v>0</v>
      </c>
      <c r="J18" s="179">
        <f ca="1">IF(ISNUMBER(MATCH(DATEVALUE($A18),'changes1_based on steps'!J$1:J$400,0)),J$2,)</f>
        <v>0</v>
      </c>
      <c r="K18" s="179">
        <f ca="1">IF(ISNUMBER(MATCH(DATEVALUE($A18),'changes1_based on steps'!K$1:K$400,0)),K$2,)</f>
        <v>0</v>
      </c>
      <c r="L18" s="179">
        <f ca="1">IF(ISNUMBER(MATCH(DATEVALUE($A18),'changes1_based on steps'!L$1:L$400,0)),L$2,)</f>
        <v>0</v>
      </c>
      <c r="M18" s="179">
        <f ca="1">IF(ISNUMBER(MATCH(DATEVALUE($A18),'changes1_based on steps'!M$1:M$400,0)),M$2,)</f>
        <v>0</v>
      </c>
      <c r="N18" s="179">
        <f ca="1">IF(ISNUMBER(MATCH(DATEVALUE($A18),'changes1_based on steps'!N$1:N$400,0)),N$2,)</f>
        <v>0</v>
      </c>
      <c r="O18" s="179">
        <f ca="1">IF(ISNUMBER(MATCH(DATEVALUE($A18),'changes1_based on steps'!O$1:O$400,0)),O$2,)</f>
        <v>0</v>
      </c>
      <c r="P18" s="179">
        <f ca="1">IF(ISNUMBER(MATCH(DATEVALUE($A18),'changes1_based on steps'!P$1:P$400,0)),P$2,)</f>
        <v>0</v>
      </c>
      <c r="Q18" s="179">
        <f ca="1">IF(ISNUMBER(MATCH(DATEVALUE($A18),'changes1_based on steps'!Q$1:Q$400,0)),Q$2,)</f>
        <v>0</v>
      </c>
      <c r="R18" s="179">
        <f ca="1">IF(ISNUMBER(MATCH(DATEVALUE($A18),'changes1_based on steps'!R$1:R$400,0)),R$2,)</f>
        <v>0</v>
      </c>
      <c r="S18" s="179">
        <f ca="1">IF(ISNUMBER(MATCH(DATEVALUE($A18),'changes1_based on steps'!S$1:S$400,0)),S$2,)</f>
        <v>0</v>
      </c>
      <c r="T18" s="179">
        <f ca="1">IF(ISNUMBER(MATCH(DATEVALUE($A18),'changes1_based on steps'!T$1:T$400,0)),T$2,)</f>
        <v>0</v>
      </c>
      <c r="U18" s="179">
        <f ca="1">IF(ISNUMBER(MATCH(DATEVALUE($A18),'changes1_based on steps'!U$1:U$400,0)),U$2,)</f>
        <v>0</v>
      </c>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row>
    <row r="19" spans="1:101" x14ac:dyDescent="0.2">
      <c r="A19" s="32" t="str">
        <f t="shared" ca="1" si="0"/>
        <v>2025-04-14</v>
      </c>
      <c r="B19" s="179">
        <f ca="1">IF(ISNUMBER(MATCH(DATEVALUE($A19),'changes1_based on steps'!B$1:B$400,0)),B$2,)</f>
        <v>0</v>
      </c>
      <c r="C19" s="179">
        <f ca="1">IF(ISNUMBER(MATCH(DATEVALUE($A19),'changes1_based on steps'!C$1:C$400,0)),C$2,)</f>
        <v>0</v>
      </c>
      <c r="D19" s="179">
        <f ca="1">IF(ISNUMBER(MATCH(DATEVALUE($A19),'changes1_based on steps'!D$1:D$400,0)),D$2,)</f>
        <v>0</v>
      </c>
      <c r="E19" s="179">
        <f ca="1">IF(ISNUMBER(MATCH(DATEVALUE($A19),'changes1_based on steps'!E$1:E$400,0)),E$2,)</f>
        <v>0</v>
      </c>
      <c r="F19" s="179">
        <f ca="1">IF(ISNUMBER(MATCH(DATEVALUE($A19),'changes1_based on steps'!F$1:F$400,0)),F$2,)</f>
        <v>0</v>
      </c>
      <c r="G19" s="179">
        <f ca="1">IF(ISNUMBER(MATCH(DATEVALUE($A19),'changes1_based on steps'!G$1:G$400,0)),G$2,)</f>
        <v>0</v>
      </c>
      <c r="H19" s="179">
        <f ca="1">IF(ISNUMBER(MATCH(DATEVALUE($A19),'changes1_based on steps'!H$1:H$400,0)),H$2,)</f>
        <v>0</v>
      </c>
      <c r="I19" s="179">
        <f ca="1">IF(ISNUMBER(MATCH(DATEVALUE($A19),'changes1_based on steps'!I$1:I$400,0)),I$2,)</f>
        <v>0</v>
      </c>
      <c r="J19" s="179">
        <f ca="1">IF(ISNUMBER(MATCH(DATEVALUE($A19),'changes1_based on steps'!J$1:J$400,0)),J$2,)</f>
        <v>0</v>
      </c>
      <c r="K19" s="179">
        <f ca="1">IF(ISNUMBER(MATCH(DATEVALUE($A19),'changes1_based on steps'!K$1:K$400,0)),K$2,)</f>
        <v>0</v>
      </c>
      <c r="L19" s="179">
        <f ca="1">IF(ISNUMBER(MATCH(DATEVALUE($A19),'changes1_based on steps'!L$1:L$400,0)),L$2,)</f>
        <v>0</v>
      </c>
      <c r="M19" s="179">
        <f ca="1">IF(ISNUMBER(MATCH(DATEVALUE($A19),'changes1_based on steps'!M$1:M$400,0)),M$2,)</f>
        <v>0</v>
      </c>
      <c r="N19" s="179">
        <f ca="1">IF(ISNUMBER(MATCH(DATEVALUE($A19),'changes1_based on steps'!N$1:N$400,0)),N$2,)</f>
        <v>0</v>
      </c>
      <c r="O19" s="179">
        <f ca="1">IF(ISNUMBER(MATCH(DATEVALUE($A19),'changes1_based on steps'!O$1:O$400,0)),O$2,)</f>
        <v>0</v>
      </c>
      <c r="P19" s="179">
        <f ca="1">IF(ISNUMBER(MATCH(DATEVALUE($A19),'changes1_based on steps'!P$1:P$400,0)),P$2,)</f>
        <v>0</v>
      </c>
      <c r="Q19" s="179">
        <f ca="1">IF(ISNUMBER(MATCH(DATEVALUE($A19),'changes1_based on steps'!Q$1:Q$400,0)),Q$2,)</f>
        <v>0</v>
      </c>
      <c r="R19" s="179">
        <f ca="1">IF(ISNUMBER(MATCH(DATEVALUE($A19),'changes1_based on steps'!R$1:R$400,0)),R$2,)</f>
        <v>0</v>
      </c>
      <c r="S19" s="179">
        <f ca="1">IF(ISNUMBER(MATCH(DATEVALUE($A19),'changes1_based on steps'!S$1:S$400,0)),S$2,)</f>
        <v>0</v>
      </c>
      <c r="T19" s="179">
        <f ca="1">IF(ISNUMBER(MATCH(DATEVALUE($A19),'changes1_based on steps'!T$1:T$400,0)),T$2,)</f>
        <v>0</v>
      </c>
      <c r="U19" s="179">
        <f ca="1">IF(ISNUMBER(MATCH(DATEVALUE($A19),'changes1_based on steps'!U$1:U$400,0)),U$2,)</f>
        <v>0</v>
      </c>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row>
    <row r="20" spans="1:101" x14ac:dyDescent="0.2">
      <c r="A20" s="32" t="str">
        <f t="shared" ca="1" si="0"/>
        <v>2025-04-15</v>
      </c>
      <c r="B20" s="179">
        <f ca="1">IF(ISNUMBER(MATCH(DATEVALUE($A20),'changes1_based on steps'!B$1:B$400,0)),B$2,)</f>
        <v>0</v>
      </c>
      <c r="C20" s="179">
        <f ca="1">IF(ISNUMBER(MATCH(DATEVALUE($A20),'changes1_based on steps'!C$1:C$400,0)),C$2,)</f>
        <v>0</v>
      </c>
      <c r="D20" s="179">
        <f ca="1">IF(ISNUMBER(MATCH(DATEVALUE($A20),'changes1_based on steps'!D$1:D$400,0)),D$2,)</f>
        <v>0</v>
      </c>
      <c r="E20" s="179">
        <f ca="1">IF(ISNUMBER(MATCH(DATEVALUE($A20),'changes1_based on steps'!E$1:E$400,0)),E$2,)</f>
        <v>0</v>
      </c>
      <c r="F20" s="179">
        <f ca="1">IF(ISNUMBER(MATCH(DATEVALUE($A20),'changes1_based on steps'!F$1:F$400,0)),F$2,)</f>
        <v>0</v>
      </c>
      <c r="G20" s="179">
        <f ca="1">IF(ISNUMBER(MATCH(DATEVALUE($A20),'changes1_based on steps'!G$1:G$400,0)),G$2,)</f>
        <v>0</v>
      </c>
      <c r="H20" s="179">
        <f ca="1">IF(ISNUMBER(MATCH(DATEVALUE($A20),'changes1_based on steps'!H$1:H$400,0)),H$2,)</f>
        <v>0</v>
      </c>
      <c r="I20" s="179">
        <f ca="1">IF(ISNUMBER(MATCH(DATEVALUE($A20),'changes1_based on steps'!I$1:I$400,0)),I$2,)</f>
        <v>0</v>
      </c>
      <c r="J20" s="179">
        <f ca="1">IF(ISNUMBER(MATCH(DATEVALUE($A20),'changes1_based on steps'!J$1:J$400,0)),J$2,)</f>
        <v>0</v>
      </c>
      <c r="K20" s="179">
        <f ca="1">IF(ISNUMBER(MATCH(DATEVALUE($A20),'changes1_based on steps'!K$1:K$400,0)),K$2,)</f>
        <v>0</v>
      </c>
      <c r="L20" s="179">
        <f ca="1">IF(ISNUMBER(MATCH(DATEVALUE($A20),'changes1_based on steps'!L$1:L$400,0)),L$2,)</f>
        <v>0</v>
      </c>
      <c r="M20" s="179">
        <f ca="1">IF(ISNUMBER(MATCH(DATEVALUE($A20),'changes1_based on steps'!M$1:M$400,0)),M$2,)</f>
        <v>0</v>
      </c>
      <c r="N20" s="179">
        <f ca="1">IF(ISNUMBER(MATCH(DATEVALUE($A20),'changes1_based on steps'!N$1:N$400,0)),N$2,)</f>
        <v>0</v>
      </c>
      <c r="O20" s="179">
        <f ca="1">IF(ISNUMBER(MATCH(DATEVALUE($A20),'changes1_based on steps'!O$1:O$400,0)),O$2,)</f>
        <v>0</v>
      </c>
      <c r="P20" s="179">
        <f ca="1">IF(ISNUMBER(MATCH(DATEVALUE($A20),'changes1_based on steps'!P$1:P$400,0)),P$2,)</f>
        <v>0</v>
      </c>
      <c r="Q20" s="179">
        <f ca="1">IF(ISNUMBER(MATCH(DATEVALUE($A20),'changes1_based on steps'!Q$1:Q$400,0)),Q$2,)</f>
        <v>0</v>
      </c>
      <c r="R20" s="179">
        <f ca="1">IF(ISNUMBER(MATCH(DATEVALUE($A20),'changes1_based on steps'!R$1:R$400,0)),R$2,)</f>
        <v>0</v>
      </c>
      <c r="S20" s="179">
        <f ca="1">IF(ISNUMBER(MATCH(DATEVALUE($A20),'changes1_based on steps'!S$1:S$400,0)),S$2,)</f>
        <v>0</v>
      </c>
      <c r="T20" s="179">
        <f ca="1">IF(ISNUMBER(MATCH(DATEVALUE($A20),'changes1_based on steps'!T$1:T$400,0)),T$2,)</f>
        <v>0</v>
      </c>
      <c r="U20" s="179">
        <f ca="1">IF(ISNUMBER(MATCH(DATEVALUE($A20),'changes1_based on steps'!U$1:U$400,0)),U$2,)</f>
        <v>0</v>
      </c>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row>
    <row r="21" spans="1:101" x14ac:dyDescent="0.2">
      <c r="A21" s="32" t="str">
        <f t="shared" ca="1" si="0"/>
        <v>2025-04-16</v>
      </c>
      <c r="B21" s="179">
        <f ca="1">IF(ISNUMBER(MATCH(DATEVALUE($A21),'changes1_based on steps'!B$1:B$400,0)),B$2,)</f>
        <v>0</v>
      </c>
      <c r="C21" s="179">
        <f ca="1">IF(ISNUMBER(MATCH(DATEVALUE($A21),'changes1_based on steps'!C$1:C$400,0)),C$2,)</f>
        <v>0</v>
      </c>
      <c r="D21" s="179">
        <f ca="1">IF(ISNUMBER(MATCH(DATEVALUE($A21),'changes1_based on steps'!D$1:D$400,0)),D$2,)</f>
        <v>0</v>
      </c>
      <c r="E21" s="179">
        <f ca="1">IF(ISNUMBER(MATCH(DATEVALUE($A21),'changes1_based on steps'!E$1:E$400,0)),E$2,)</f>
        <v>0</v>
      </c>
      <c r="F21" s="179">
        <f ca="1">IF(ISNUMBER(MATCH(DATEVALUE($A21),'changes1_based on steps'!F$1:F$400,0)),F$2,)</f>
        <v>0</v>
      </c>
      <c r="G21" s="179">
        <f ca="1">IF(ISNUMBER(MATCH(DATEVALUE($A21),'changes1_based on steps'!G$1:G$400,0)),G$2,)</f>
        <v>0</v>
      </c>
      <c r="H21" s="179">
        <f ca="1">IF(ISNUMBER(MATCH(DATEVALUE($A21),'changes1_based on steps'!H$1:H$400,0)),H$2,)</f>
        <v>0</v>
      </c>
      <c r="I21" s="179">
        <f ca="1">IF(ISNUMBER(MATCH(DATEVALUE($A21),'changes1_based on steps'!I$1:I$400,0)),I$2,)</f>
        <v>0</v>
      </c>
      <c r="J21" s="179">
        <f ca="1">IF(ISNUMBER(MATCH(DATEVALUE($A21),'changes1_based on steps'!J$1:J$400,0)),J$2,)</f>
        <v>0</v>
      </c>
      <c r="K21" s="179">
        <f ca="1">IF(ISNUMBER(MATCH(DATEVALUE($A21),'changes1_based on steps'!K$1:K$400,0)),K$2,)</f>
        <v>0</v>
      </c>
      <c r="L21" s="179">
        <f ca="1">IF(ISNUMBER(MATCH(DATEVALUE($A21),'changes1_based on steps'!L$1:L$400,0)),L$2,)</f>
        <v>0</v>
      </c>
      <c r="M21" s="179">
        <f ca="1">IF(ISNUMBER(MATCH(DATEVALUE($A21),'changes1_based on steps'!M$1:M$400,0)),M$2,)</f>
        <v>0</v>
      </c>
      <c r="N21" s="179">
        <f ca="1">IF(ISNUMBER(MATCH(DATEVALUE($A21),'changes1_based on steps'!N$1:N$400,0)),N$2,)</f>
        <v>0</v>
      </c>
      <c r="O21" s="179">
        <f ca="1">IF(ISNUMBER(MATCH(DATEVALUE($A21),'changes1_based on steps'!O$1:O$400,0)),O$2,)</f>
        <v>0</v>
      </c>
      <c r="P21" s="179">
        <f ca="1">IF(ISNUMBER(MATCH(DATEVALUE($A21),'changes1_based on steps'!P$1:P$400,0)),P$2,)</f>
        <v>0</v>
      </c>
      <c r="Q21" s="179">
        <f ca="1">IF(ISNUMBER(MATCH(DATEVALUE($A21),'changes1_based on steps'!Q$1:Q$400,0)),Q$2,)</f>
        <v>0</v>
      </c>
      <c r="R21" s="179">
        <f ca="1">IF(ISNUMBER(MATCH(DATEVALUE($A21),'changes1_based on steps'!R$1:R$400,0)),R$2,)</f>
        <v>0</v>
      </c>
      <c r="S21" s="179">
        <f ca="1">IF(ISNUMBER(MATCH(DATEVALUE($A21),'changes1_based on steps'!S$1:S$400,0)),S$2,)</f>
        <v>0</v>
      </c>
      <c r="T21" s="179">
        <f ca="1">IF(ISNUMBER(MATCH(DATEVALUE($A21),'changes1_based on steps'!T$1:T$400,0)),T$2,)</f>
        <v>0</v>
      </c>
      <c r="U21" s="179">
        <f ca="1">IF(ISNUMBER(MATCH(DATEVALUE($A21),'changes1_based on steps'!U$1:U$400,0)),U$2,)</f>
        <v>0</v>
      </c>
      <c r="V21" s="179"/>
      <c r="W21" s="179"/>
      <c r="X21" s="179"/>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row>
    <row r="22" spans="1:101" x14ac:dyDescent="0.2">
      <c r="A22" s="32" t="str">
        <f t="shared" ca="1" si="0"/>
        <v>2025-04-17</v>
      </c>
      <c r="B22" s="179">
        <f ca="1">IF(ISNUMBER(MATCH(DATEVALUE($A22),'changes1_based on steps'!B$1:B$400,0)),B$2,)</f>
        <v>0</v>
      </c>
      <c r="C22" s="179">
        <f ca="1">IF(ISNUMBER(MATCH(DATEVALUE($A22),'changes1_based on steps'!C$1:C$400,0)),C$2,)</f>
        <v>0</v>
      </c>
      <c r="D22" s="179">
        <f ca="1">IF(ISNUMBER(MATCH(DATEVALUE($A22),'changes1_based on steps'!D$1:D$400,0)),D$2,)</f>
        <v>0</v>
      </c>
      <c r="E22" s="179">
        <f ca="1">IF(ISNUMBER(MATCH(DATEVALUE($A22),'changes1_based on steps'!E$1:E$400,0)),E$2,)</f>
        <v>0</v>
      </c>
      <c r="F22" s="179">
        <f ca="1">IF(ISNUMBER(MATCH(DATEVALUE($A22),'changes1_based on steps'!F$1:F$400,0)),F$2,)</f>
        <v>0</v>
      </c>
      <c r="G22" s="179">
        <f ca="1">IF(ISNUMBER(MATCH(DATEVALUE($A22),'changes1_based on steps'!G$1:G$400,0)),G$2,)</f>
        <v>0</v>
      </c>
      <c r="H22" s="179">
        <f ca="1">IF(ISNUMBER(MATCH(DATEVALUE($A22),'changes1_based on steps'!H$1:H$400,0)),H$2,)</f>
        <v>0</v>
      </c>
      <c r="I22" s="179">
        <f ca="1">IF(ISNUMBER(MATCH(DATEVALUE($A22),'changes1_based on steps'!I$1:I$400,0)),I$2,)</f>
        <v>0</v>
      </c>
      <c r="J22" s="179">
        <f ca="1">IF(ISNUMBER(MATCH(DATEVALUE($A22),'changes1_based on steps'!J$1:J$400,0)),J$2,)</f>
        <v>0</v>
      </c>
      <c r="K22" s="179">
        <f ca="1">IF(ISNUMBER(MATCH(DATEVALUE($A22),'changes1_based on steps'!K$1:K$400,0)),K$2,)</f>
        <v>0</v>
      </c>
      <c r="L22" s="179">
        <f ca="1">IF(ISNUMBER(MATCH(DATEVALUE($A22),'changes1_based on steps'!L$1:L$400,0)),L$2,)</f>
        <v>0</v>
      </c>
      <c r="M22" s="179">
        <f ca="1">IF(ISNUMBER(MATCH(DATEVALUE($A22),'changes1_based on steps'!M$1:M$400,0)),M$2,)</f>
        <v>0</v>
      </c>
      <c r="N22" s="179">
        <f ca="1">IF(ISNUMBER(MATCH(DATEVALUE($A22),'changes1_based on steps'!N$1:N$400,0)),N$2,)</f>
        <v>0</v>
      </c>
      <c r="O22" s="179">
        <f ca="1">IF(ISNUMBER(MATCH(DATEVALUE($A22),'changes1_based on steps'!O$1:O$400,0)),O$2,)</f>
        <v>0</v>
      </c>
      <c r="P22" s="179">
        <f ca="1">IF(ISNUMBER(MATCH(DATEVALUE($A22),'changes1_based on steps'!P$1:P$400,0)),P$2,)</f>
        <v>0</v>
      </c>
      <c r="Q22" s="179">
        <f ca="1">IF(ISNUMBER(MATCH(DATEVALUE($A22),'changes1_based on steps'!Q$1:Q$400,0)),Q$2,)</f>
        <v>0</v>
      </c>
      <c r="R22" s="179">
        <f ca="1">IF(ISNUMBER(MATCH(DATEVALUE($A22),'changes1_based on steps'!R$1:R$400,0)),R$2,)</f>
        <v>0</v>
      </c>
      <c r="S22" s="179">
        <f ca="1">IF(ISNUMBER(MATCH(DATEVALUE($A22),'changes1_based on steps'!S$1:S$400,0)),S$2,)</f>
        <v>0</v>
      </c>
      <c r="T22" s="179">
        <f ca="1">IF(ISNUMBER(MATCH(DATEVALUE($A22),'changes1_based on steps'!T$1:T$400,0)),T$2,)</f>
        <v>0</v>
      </c>
      <c r="U22" s="179">
        <f ca="1">IF(ISNUMBER(MATCH(DATEVALUE($A22),'changes1_based on steps'!U$1:U$400,0)),U$2,)</f>
        <v>0</v>
      </c>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row>
    <row r="23" spans="1:101" x14ac:dyDescent="0.2">
      <c r="A23" s="32" t="str">
        <f t="shared" ca="1" si="0"/>
        <v>2025-04-18</v>
      </c>
      <c r="B23" s="179">
        <f ca="1">IF(ISNUMBER(MATCH(DATEVALUE($A23),'changes1_based on steps'!B$1:B$400,0)),B$2,)</f>
        <v>0</v>
      </c>
      <c r="C23" s="179">
        <f ca="1">IF(ISNUMBER(MATCH(DATEVALUE($A23),'changes1_based on steps'!C$1:C$400,0)),C$2,)</f>
        <v>0</v>
      </c>
      <c r="D23" s="179">
        <f ca="1">IF(ISNUMBER(MATCH(DATEVALUE($A23),'changes1_based on steps'!D$1:D$400,0)),D$2,)</f>
        <v>0</v>
      </c>
      <c r="E23" s="179">
        <f ca="1">IF(ISNUMBER(MATCH(DATEVALUE($A23),'changes1_based on steps'!E$1:E$400,0)),E$2,)</f>
        <v>0</v>
      </c>
      <c r="F23" s="179">
        <f ca="1">IF(ISNUMBER(MATCH(DATEVALUE($A23),'changes1_based on steps'!F$1:F$400,0)),F$2,)</f>
        <v>0</v>
      </c>
      <c r="G23" s="179">
        <f ca="1">IF(ISNUMBER(MATCH(DATEVALUE($A23),'changes1_based on steps'!G$1:G$400,0)),G$2,)</f>
        <v>0</v>
      </c>
      <c r="H23" s="179">
        <f ca="1">IF(ISNUMBER(MATCH(DATEVALUE($A23),'changes1_based on steps'!H$1:H$400,0)),H$2,)</f>
        <v>0</v>
      </c>
      <c r="I23" s="179">
        <f ca="1">IF(ISNUMBER(MATCH(DATEVALUE($A23),'changes1_based on steps'!I$1:I$400,0)),I$2,)</f>
        <v>0</v>
      </c>
      <c r="J23" s="179">
        <f ca="1">IF(ISNUMBER(MATCH(DATEVALUE($A23),'changes1_based on steps'!J$1:J$400,0)),J$2,)</f>
        <v>0</v>
      </c>
      <c r="K23" s="179">
        <f ca="1">IF(ISNUMBER(MATCH(DATEVALUE($A23),'changes1_based on steps'!K$1:K$400,0)),K$2,)</f>
        <v>0</v>
      </c>
      <c r="L23" s="179">
        <f ca="1">IF(ISNUMBER(MATCH(DATEVALUE($A23),'changes1_based on steps'!L$1:L$400,0)),L$2,)</f>
        <v>0</v>
      </c>
      <c r="M23" s="179">
        <f ca="1">IF(ISNUMBER(MATCH(DATEVALUE($A23),'changes1_based on steps'!M$1:M$400,0)),M$2,)</f>
        <v>0</v>
      </c>
      <c r="N23" s="179">
        <f ca="1">IF(ISNUMBER(MATCH(DATEVALUE($A23),'changes1_based on steps'!N$1:N$400,0)),N$2,)</f>
        <v>0</v>
      </c>
      <c r="O23" s="179">
        <f ca="1">IF(ISNUMBER(MATCH(DATEVALUE($A23),'changes1_based on steps'!O$1:O$400,0)),O$2,)</f>
        <v>0</v>
      </c>
      <c r="P23" s="179">
        <f ca="1">IF(ISNUMBER(MATCH(DATEVALUE($A23),'changes1_based on steps'!P$1:P$400,0)),P$2,)</f>
        <v>0</v>
      </c>
      <c r="Q23" s="179">
        <f ca="1">IF(ISNUMBER(MATCH(DATEVALUE($A23),'changes1_based on steps'!Q$1:Q$400,0)),Q$2,)</f>
        <v>0</v>
      </c>
      <c r="R23" s="179">
        <f ca="1">IF(ISNUMBER(MATCH(DATEVALUE($A23),'changes1_based on steps'!R$1:R$400,0)),R$2,)</f>
        <v>0</v>
      </c>
      <c r="S23" s="179">
        <f ca="1">IF(ISNUMBER(MATCH(DATEVALUE($A23),'changes1_based on steps'!S$1:S$400,0)),S$2,)</f>
        <v>0</v>
      </c>
      <c r="T23" s="179">
        <f ca="1">IF(ISNUMBER(MATCH(DATEVALUE($A23),'changes1_based on steps'!T$1:T$400,0)),T$2,)</f>
        <v>0</v>
      </c>
      <c r="U23" s="179">
        <f ca="1">IF(ISNUMBER(MATCH(DATEVALUE($A23),'changes1_based on steps'!U$1:U$400,0)),U$2,)</f>
        <v>0</v>
      </c>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row>
    <row r="24" spans="1:101" x14ac:dyDescent="0.2">
      <c r="A24" s="32" t="str">
        <f t="shared" ca="1" si="0"/>
        <v>2025-04-19</v>
      </c>
      <c r="B24" s="179">
        <f ca="1">IF(ISNUMBER(MATCH(DATEVALUE($A24),'changes1_based on steps'!B$1:B$400,0)),B$2,)</f>
        <v>0</v>
      </c>
      <c r="C24" s="179">
        <f ca="1">IF(ISNUMBER(MATCH(DATEVALUE($A24),'changes1_based on steps'!C$1:C$400,0)),C$2,)</f>
        <v>0</v>
      </c>
      <c r="D24" s="179">
        <f ca="1">IF(ISNUMBER(MATCH(DATEVALUE($A24),'changes1_based on steps'!D$1:D$400,0)),D$2,)</f>
        <v>0</v>
      </c>
      <c r="E24" s="179">
        <f ca="1">IF(ISNUMBER(MATCH(DATEVALUE($A24),'changes1_based on steps'!E$1:E$400,0)),E$2,)</f>
        <v>0</v>
      </c>
      <c r="F24" s="179">
        <f ca="1">IF(ISNUMBER(MATCH(DATEVALUE($A24),'changes1_based on steps'!F$1:F$400,0)),F$2,)</f>
        <v>0</v>
      </c>
      <c r="G24" s="179">
        <f ca="1">IF(ISNUMBER(MATCH(DATEVALUE($A24),'changes1_based on steps'!G$1:G$400,0)),G$2,)</f>
        <v>0</v>
      </c>
      <c r="H24" s="179">
        <f ca="1">IF(ISNUMBER(MATCH(DATEVALUE($A24),'changes1_based on steps'!H$1:H$400,0)),H$2,)</f>
        <v>0</v>
      </c>
      <c r="I24" s="179">
        <f ca="1">IF(ISNUMBER(MATCH(DATEVALUE($A24),'changes1_based on steps'!I$1:I$400,0)),I$2,)</f>
        <v>0</v>
      </c>
      <c r="J24" s="179">
        <f ca="1">IF(ISNUMBER(MATCH(DATEVALUE($A24),'changes1_based on steps'!J$1:J$400,0)),J$2,)</f>
        <v>0</v>
      </c>
      <c r="K24" s="179">
        <f ca="1">IF(ISNUMBER(MATCH(DATEVALUE($A24),'changes1_based on steps'!K$1:K$400,0)),K$2,)</f>
        <v>0</v>
      </c>
      <c r="L24" s="179">
        <f ca="1">IF(ISNUMBER(MATCH(DATEVALUE($A24),'changes1_based on steps'!L$1:L$400,0)),L$2,)</f>
        <v>0</v>
      </c>
      <c r="M24" s="179">
        <f ca="1">IF(ISNUMBER(MATCH(DATEVALUE($A24),'changes1_based on steps'!M$1:M$400,0)),M$2,)</f>
        <v>0</v>
      </c>
      <c r="N24" s="179">
        <f ca="1">IF(ISNUMBER(MATCH(DATEVALUE($A24),'changes1_based on steps'!N$1:N$400,0)),N$2,)</f>
        <v>0</v>
      </c>
      <c r="O24" s="179">
        <f ca="1">IF(ISNUMBER(MATCH(DATEVALUE($A24),'changes1_based on steps'!O$1:O$400,0)),O$2,)</f>
        <v>0</v>
      </c>
      <c r="P24" s="179">
        <f ca="1">IF(ISNUMBER(MATCH(DATEVALUE($A24),'changes1_based on steps'!P$1:P$400,0)),P$2,)</f>
        <v>0</v>
      </c>
      <c r="Q24" s="179">
        <f ca="1">IF(ISNUMBER(MATCH(DATEVALUE($A24),'changes1_based on steps'!Q$1:Q$400,0)),Q$2,)</f>
        <v>0</v>
      </c>
      <c r="R24" s="179">
        <f ca="1">IF(ISNUMBER(MATCH(DATEVALUE($A24),'changes1_based on steps'!R$1:R$400,0)),R$2,)</f>
        <v>0</v>
      </c>
      <c r="S24" s="179">
        <f ca="1">IF(ISNUMBER(MATCH(DATEVALUE($A24),'changes1_based on steps'!S$1:S$400,0)),S$2,)</f>
        <v>0</v>
      </c>
      <c r="T24" s="179">
        <f ca="1">IF(ISNUMBER(MATCH(DATEVALUE($A24),'changes1_based on steps'!T$1:T$400,0)),T$2,)</f>
        <v>0</v>
      </c>
      <c r="U24" s="179">
        <f ca="1">IF(ISNUMBER(MATCH(DATEVALUE($A24),'changes1_based on steps'!U$1:U$400,0)),U$2,)</f>
        <v>0</v>
      </c>
      <c r="V24" s="179"/>
      <c r="W24" s="179"/>
      <c r="X24" s="179"/>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row>
    <row r="25" spans="1:101" x14ac:dyDescent="0.2">
      <c r="A25" s="32" t="str">
        <f t="shared" ca="1" si="0"/>
        <v>2025-04-20</v>
      </c>
      <c r="B25" s="179">
        <f ca="1">IF(ISNUMBER(MATCH(DATEVALUE($A25),'changes1_based on steps'!B$1:B$400,0)),B$2,)</f>
        <v>0</v>
      </c>
      <c r="C25" s="179">
        <f ca="1">IF(ISNUMBER(MATCH(DATEVALUE($A25),'changes1_based on steps'!C$1:C$400,0)),C$2,)</f>
        <v>0</v>
      </c>
      <c r="D25" s="179">
        <f ca="1">IF(ISNUMBER(MATCH(DATEVALUE($A25),'changes1_based on steps'!D$1:D$400,0)),D$2,)</f>
        <v>0</v>
      </c>
      <c r="E25" s="179">
        <f ca="1">IF(ISNUMBER(MATCH(DATEVALUE($A25),'changes1_based on steps'!E$1:E$400,0)),E$2,)</f>
        <v>0</v>
      </c>
      <c r="F25" s="179">
        <f ca="1">IF(ISNUMBER(MATCH(DATEVALUE($A25),'changes1_based on steps'!F$1:F$400,0)),F$2,)</f>
        <v>0</v>
      </c>
      <c r="G25" s="179">
        <f ca="1">IF(ISNUMBER(MATCH(DATEVALUE($A25),'changes1_based on steps'!G$1:G$400,0)),G$2,)</f>
        <v>0</v>
      </c>
      <c r="H25" s="179">
        <f ca="1">IF(ISNUMBER(MATCH(DATEVALUE($A25),'changes1_based on steps'!H$1:H$400,0)),H$2,)</f>
        <v>0</v>
      </c>
      <c r="I25" s="179">
        <f ca="1">IF(ISNUMBER(MATCH(DATEVALUE($A25),'changes1_based on steps'!I$1:I$400,0)),I$2,)</f>
        <v>0</v>
      </c>
      <c r="J25" s="179">
        <f ca="1">IF(ISNUMBER(MATCH(DATEVALUE($A25),'changes1_based on steps'!J$1:J$400,0)),J$2,)</f>
        <v>0</v>
      </c>
      <c r="K25" s="179">
        <f ca="1">IF(ISNUMBER(MATCH(DATEVALUE($A25),'changes1_based on steps'!K$1:K$400,0)),K$2,)</f>
        <v>0</v>
      </c>
      <c r="L25" s="179">
        <f ca="1">IF(ISNUMBER(MATCH(DATEVALUE($A25),'changes1_based on steps'!L$1:L$400,0)),L$2,)</f>
        <v>0</v>
      </c>
      <c r="M25" s="179">
        <f ca="1">IF(ISNUMBER(MATCH(DATEVALUE($A25),'changes1_based on steps'!M$1:M$400,0)),M$2,)</f>
        <v>0</v>
      </c>
      <c r="N25" s="179">
        <f ca="1">IF(ISNUMBER(MATCH(DATEVALUE($A25),'changes1_based on steps'!N$1:N$400,0)),N$2,)</f>
        <v>0</v>
      </c>
      <c r="O25" s="179">
        <f ca="1">IF(ISNUMBER(MATCH(DATEVALUE($A25),'changes1_based on steps'!O$1:O$400,0)),O$2,)</f>
        <v>0</v>
      </c>
      <c r="P25" s="179">
        <f ca="1">IF(ISNUMBER(MATCH(DATEVALUE($A25),'changes1_based on steps'!P$1:P$400,0)),P$2,)</f>
        <v>0</v>
      </c>
      <c r="Q25" s="179">
        <f ca="1">IF(ISNUMBER(MATCH(DATEVALUE($A25),'changes1_based on steps'!Q$1:Q$400,0)),Q$2,)</f>
        <v>0</v>
      </c>
      <c r="R25" s="179">
        <f ca="1">IF(ISNUMBER(MATCH(DATEVALUE($A25),'changes1_based on steps'!R$1:R$400,0)),R$2,)</f>
        <v>0</v>
      </c>
      <c r="S25" s="179">
        <f ca="1">IF(ISNUMBER(MATCH(DATEVALUE($A25),'changes1_based on steps'!S$1:S$400,0)),S$2,)</f>
        <v>0</v>
      </c>
      <c r="T25" s="179">
        <f ca="1">IF(ISNUMBER(MATCH(DATEVALUE($A25),'changes1_based on steps'!T$1:T$400,0)),T$2,)</f>
        <v>0</v>
      </c>
      <c r="U25" s="179">
        <f ca="1">IF(ISNUMBER(MATCH(DATEVALUE($A25),'changes1_based on steps'!U$1:U$400,0)),U$2,)</f>
        <v>0</v>
      </c>
      <c r="V25" s="179"/>
      <c r="W25" s="179"/>
      <c r="X25" s="179"/>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row>
    <row r="26" spans="1:101" x14ac:dyDescent="0.2">
      <c r="A26" s="32" t="str">
        <f t="shared" ca="1" si="0"/>
        <v>2025-04-21</v>
      </c>
      <c r="B26" s="179">
        <f ca="1">IF(ISNUMBER(MATCH(DATEVALUE($A26),'changes1_based on steps'!B$1:B$400,0)),B$2,)</f>
        <v>0</v>
      </c>
      <c r="C26" s="179">
        <f ca="1">IF(ISNUMBER(MATCH(DATEVALUE($A26),'changes1_based on steps'!C$1:C$400,0)),C$2,)</f>
        <v>0</v>
      </c>
      <c r="D26" s="179">
        <f ca="1">IF(ISNUMBER(MATCH(DATEVALUE($A26),'changes1_based on steps'!D$1:D$400,0)),D$2,)</f>
        <v>0</v>
      </c>
      <c r="E26" s="179">
        <f ca="1">IF(ISNUMBER(MATCH(DATEVALUE($A26),'changes1_based on steps'!E$1:E$400,0)),E$2,)</f>
        <v>0</v>
      </c>
      <c r="F26" s="179">
        <f ca="1">IF(ISNUMBER(MATCH(DATEVALUE($A26),'changes1_based on steps'!F$1:F$400,0)),F$2,)</f>
        <v>0</v>
      </c>
      <c r="G26" s="179">
        <f ca="1">IF(ISNUMBER(MATCH(DATEVALUE($A26),'changes1_based on steps'!G$1:G$400,0)),G$2,)</f>
        <v>0</v>
      </c>
      <c r="H26" s="179">
        <f ca="1">IF(ISNUMBER(MATCH(DATEVALUE($A26),'changes1_based on steps'!H$1:H$400,0)),H$2,)</f>
        <v>0</v>
      </c>
      <c r="I26" s="179">
        <f ca="1">IF(ISNUMBER(MATCH(DATEVALUE($A26),'changes1_based on steps'!I$1:I$400,0)),I$2,)</f>
        <v>0</v>
      </c>
      <c r="J26" s="179">
        <f ca="1">IF(ISNUMBER(MATCH(DATEVALUE($A26),'changes1_based on steps'!J$1:J$400,0)),J$2,)</f>
        <v>0</v>
      </c>
      <c r="K26" s="179">
        <f ca="1">IF(ISNUMBER(MATCH(DATEVALUE($A26),'changes1_based on steps'!K$1:K$400,0)),K$2,)</f>
        <v>0</v>
      </c>
      <c r="L26" s="179">
        <f ca="1">IF(ISNUMBER(MATCH(DATEVALUE($A26),'changes1_based on steps'!L$1:L$400,0)),L$2,)</f>
        <v>0</v>
      </c>
      <c r="M26" s="179">
        <f ca="1">IF(ISNUMBER(MATCH(DATEVALUE($A26),'changes1_based on steps'!M$1:M$400,0)),M$2,)</f>
        <v>0</v>
      </c>
      <c r="N26" s="179">
        <f ca="1">IF(ISNUMBER(MATCH(DATEVALUE($A26),'changes1_based on steps'!N$1:N$400,0)),N$2,)</f>
        <v>0</v>
      </c>
      <c r="O26" s="179">
        <f ca="1">IF(ISNUMBER(MATCH(DATEVALUE($A26),'changes1_based on steps'!O$1:O$400,0)),O$2,)</f>
        <v>0</v>
      </c>
      <c r="P26" s="179">
        <f ca="1">IF(ISNUMBER(MATCH(DATEVALUE($A26),'changes1_based on steps'!P$1:P$400,0)),P$2,)</f>
        <v>0</v>
      </c>
      <c r="Q26" s="179">
        <f ca="1">IF(ISNUMBER(MATCH(DATEVALUE($A26),'changes1_based on steps'!Q$1:Q$400,0)),Q$2,)</f>
        <v>0</v>
      </c>
      <c r="R26" s="179">
        <f ca="1">IF(ISNUMBER(MATCH(DATEVALUE($A26),'changes1_based on steps'!R$1:R$400,0)),R$2,)</f>
        <v>0</v>
      </c>
      <c r="S26" s="179">
        <f ca="1">IF(ISNUMBER(MATCH(DATEVALUE($A26),'changes1_based on steps'!S$1:S$400,0)),S$2,)</f>
        <v>0</v>
      </c>
      <c r="T26" s="179">
        <f ca="1">IF(ISNUMBER(MATCH(DATEVALUE($A26),'changes1_based on steps'!T$1:T$400,0)),T$2,)</f>
        <v>0</v>
      </c>
      <c r="U26" s="179">
        <f ca="1">IF(ISNUMBER(MATCH(DATEVALUE($A26),'changes1_based on steps'!U$1:U$400,0)),U$2,)</f>
        <v>0</v>
      </c>
      <c r="V26" s="179"/>
      <c r="W26" s="179"/>
      <c r="X26" s="179"/>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row>
    <row r="27" spans="1:101" x14ac:dyDescent="0.2">
      <c r="A27" s="32" t="str">
        <f t="shared" ca="1" si="0"/>
        <v>2025-04-22</v>
      </c>
      <c r="B27" s="179">
        <f ca="1">IF(ISNUMBER(MATCH(DATEVALUE($A27),'changes1_based on steps'!B$1:B$400,0)),B$2,)</f>
        <v>0</v>
      </c>
      <c r="C27" s="179">
        <f ca="1">IF(ISNUMBER(MATCH(DATEVALUE($A27),'changes1_based on steps'!C$1:C$400,0)),C$2,)</f>
        <v>0</v>
      </c>
      <c r="D27" s="179">
        <f ca="1">IF(ISNUMBER(MATCH(DATEVALUE($A27),'changes1_based on steps'!D$1:D$400,0)),D$2,)</f>
        <v>0</v>
      </c>
      <c r="E27" s="179">
        <f ca="1">IF(ISNUMBER(MATCH(DATEVALUE($A27),'changes1_based on steps'!E$1:E$400,0)),E$2,)</f>
        <v>0</v>
      </c>
      <c r="F27" s="179">
        <f ca="1">IF(ISNUMBER(MATCH(DATEVALUE($A27),'changes1_based on steps'!F$1:F$400,0)),F$2,)</f>
        <v>0</v>
      </c>
      <c r="G27" s="179">
        <f ca="1">IF(ISNUMBER(MATCH(DATEVALUE($A27),'changes1_based on steps'!G$1:G$400,0)),G$2,)</f>
        <v>0</v>
      </c>
      <c r="H27" s="179">
        <f ca="1">IF(ISNUMBER(MATCH(DATEVALUE($A27),'changes1_based on steps'!H$1:H$400,0)),H$2,)</f>
        <v>0</v>
      </c>
      <c r="I27" s="179">
        <f ca="1">IF(ISNUMBER(MATCH(DATEVALUE($A27),'changes1_based on steps'!I$1:I$400,0)),I$2,)</f>
        <v>0</v>
      </c>
      <c r="J27" s="179">
        <f ca="1">IF(ISNUMBER(MATCH(DATEVALUE($A27),'changes1_based on steps'!J$1:J$400,0)),J$2,)</f>
        <v>0</v>
      </c>
      <c r="K27" s="179">
        <f ca="1">IF(ISNUMBER(MATCH(DATEVALUE($A27),'changes1_based on steps'!K$1:K$400,0)),K$2,)</f>
        <v>0</v>
      </c>
      <c r="L27" s="179">
        <f ca="1">IF(ISNUMBER(MATCH(DATEVALUE($A27),'changes1_based on steps'!L$1:L$400,0)),L$2,)</f>
        <v>0</v>
      </c>
      <c r="M27" s="179">
        <f ca="1">IF(ISNUMBER(MATCH(DATEVALUE($A27),'changes1_based on steps'!M$1:M$400,0)),M$2,)</f>
        <v>0</v>
      </c>
      <c r="N27" s="179">
        <f ca="1">IF(ISNUMBER(MATCH(DATEVALUE($A27),'changes1_based on steps'!N$1:N$400,0)),N$2,)</f>
        <v>0</v>
      </c>
      <c r="O27" s="179">
        <f ca="1">IF(ISNUMBER(MATCH(DATEVALUE($A27),'changes1_based on steps'!O$1:O$400,0)),O$2,)</f>
        <v>0</v>
      </c>
      <c r="P27" s="179">
        <f ca="1">IF(ISNUMBER(MATCH(DATEVALUE($A27),'changes1_based on steps'!P$1:P$400,0)),P$2,)</f>
        <v>0</v>
      </c>
      <c r="Q27" s="179">
        <f ca="1">IF(ISNUMBER(MATCH(DATEVALUE($A27),'changes1_based on steps'!Q$1:Q$400,0)),Q$2,)</f>
        <v>0</v>
      </c>
      <c r="R27" s="179">
        <f ca="1">IF(ISNUMBER(MATCH(DATEVALUE($A27),'changes1_based on steps'!R$1:R$400,0)),R$2,)</f>
        <v>0</v>
      </c>
      <c r="S27" s="179">
        <f ca="1">IF(ISNUMBER(MATCH(DATEVALUE($A27),'changes1_based on steps'!S$1:S$400,0)),S$2,)</f>
        <v>0</v>
      </c>
      <c r="T27" s="179">
        <f ca="1">IF(ISNUMBER(MATCH(DATEVALUE($A27),'changes1_based on steps'!T$1:T$400,0)),T$2,)</f>
        <v>0</v>
      </c>
      <c r="U27" s="179">
        <f ca="1">IF(ISNUMBER(MATCH(DATEVALUE($A27),'changes1_based on steps'!U$1:U$400,0)),U$2,)</f>
        <v>0</v>
      </c>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row>
    <row r="28" spans="1:101" x14ac:dyDescent="0.2">
      <c r="A28" s="32" t="str">
        <f t="shared" ca="1" si="0"/>
        <v>2025-04-23</v>
      </c>
      <c r="B28" s="179">
        <f ca="1">IF(ISNUMBER(MATCH(DATEVALUE($A28),'changes1_based on steps'!B$1:B$400,0)),B$2,)</f>
        <v>0</v>
      </c>
      <c r="C28" s="179">
        <f ca="1">IF(ISNUMBER(MATCH(DATEVALUE($A28),'changes1_based on steps'!C$1:C$400,0)),C$2,)</f>
        <v>0</v>
      </c>
      <c r="D28" s="179">
        <f ca="1">IF(ISNUMBER(MATCH(DATEVALUE($A28),'changes1_based on steps'!D$1:D$400,0)),D$2,)</f>
        <v>0</v>
      </c>
      <c r="E28" s="179">
        <f ca="1">IF(ISNUMBER(MATCH(DATEVALUE($A28),'changes1_based on steps'!E$1:E$400,0)),E$2,)</f>
        <v>0</v>
      </c>
      <c r="F28" s="179">
        <f ca="1">IF(ISNUMBER(MATCH(DATEVALUE($A28),'changes1_based on steps'!F$1:F$400,0)),F$2,)</f>
        <v>0</v>
      </c>
      <c r="G28" s="179">
        <f ca="1">IF(ISNUMBER(MATCH(DATEVALUE($A28),'changes1_based on steps'!G$1:G$400,0)),G$2,)</f>
        <v>0</v>
      </c>
      <c r="H28" s="179">
        <f ca="1">IF(ISNUMBER(MATCH(DATEVALUE($A28),'changes1_based on steps'!H$1:H$400,0)),H$2,)</f>
        <v>0</v>
      </c>
      <c r="I28" s="179">
        <f ca="1">IF(ISNUMBER(MATCH(DATEVALUE($A28),'changes1_based on steps'!I$1:I$400,0)),I$2,)</f>
        <v>0</v>
      </c>
      <c r="J28" s="179">
        <f ca="1">IF(ISNUMBER(MATCH(DATEVALUE($A28),'changes1_based on steps'!J$1:J$400,0)),J$2,)</f>
        <v>0</v>
      </c>
      <c r="K28" s="179">
        <f ca="1">IF(ISNUMBER(MATCH(DATEVALUE($A28),'changes1_based on steps'!K$1:K$400,0)),K$2,)</f>
        <v>0</v>
      </c>
      <c r="L28" s="179">
        <f ca="1">IF(ISNUMBER(MATCH(DATEVALUE($A28),'changes1_based on steps'!L$1:L$400,0)),L$2,)</f>
        <v>0</v>
      </c>
      <c r="M28" s="179">
        <f ca="1">IF(ISNUMBER(MATCH(DATEVALUE($A28),'changes1_based on steps'!M$1:M$400,0)),M$2,)</f>
        <v>0</v>
      </c>
      <c r="N28" s="179">
        <f ca="1">IF(ISNUMBER(MATCH(DATEVALUE($A28),'changes1_based on steps'!N$1:N$400,0)),N$2,)</f>
        <v>0</v>
      </c>
      <c r="O28" s="179">
        <f ca="1">IF(ISNUMBER(MATCH(DATEVALUE($A28),'changes1_based on steps'!O$1:O$400,0)),O$2,)</f>
        <v>0</v>
      </c>
      <c r="P28" s="179">
        <f ca="1">IF(ISNUMBER(MATCH(DATEVALUE($A28),'changes1_based on steps'!P$1:P$400,0)),P$2,)</f>
        <v>0</v>
      </c>
      <c r="Q28" s="179">
        <f ca="1">IF(ISNUMBER(MATCH(DATEVALUE($A28),'changes1_based on steps'!Q$1:Q$400,0)),Q$2,)</f>
        <v>0</v>
      </c>
      <c r="R28" s="179">
        <f ca="1">IF(ISNUMBER(MATCH(DATEVALUE($A28),'changes1_based on steps'!R$1:R$400,0)),R$2,)</f>
        <v>0</v>
      </c>
      <c r="S28" s="179">
        <f ca="1">IF(ISNUMBER(MATCH(DATEVALUE($A28),'changes1_based on steps'!S$1:S$400,0)),S$2,)</f>
        <v>0</v>
      </c>
      <c r="T28" s="179">
        <f ca="1">IF(ISNUMBER(MATCH(DATEVALUE($A28),'changes1_based on steps'!T$1:T$400,0)),T$2,)</f>
        <v>0</v>
      </c>
      <c r="U28" s="179">
        <f ca="1">IF(ISNUMBER(MATCH(DATEVALUE($A28),'changes1_based on steps'!U$1:U$400,0)),U$2,)</f>
        <v>0</v>
      </c>
      <c r="V28" s="179"/>
      <c r="W28" s="179"/>
      <c r="X28" s="179"/>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row>
    <row r="29" spans="1:101" x14ac:dyDescent="0.2">
      <c r="A29" s="32" t="str">
        <f t="shared" ca="1" si="0"/>
        <v>2025-04-24</v>
      </c>
      <c r="B29" s="179">
        <f ca="1">IF(ISNUMBER(MATCH(DATEVALUE($A29),'changes1_based on steps'!B$1:B$400,0)),B$2,)</f>
        <v>0</v>
      </c>
      <c r="C29" s="179">
        <f ca="1">IF(ISNUMBER(MATCH(DATEVALUE($A29),'changes1_based on steps'!C$1:C$400,0)),C$2,)</f>
        <v>0</v>
      </c>
      <c r="D29" s="179">
        <f ca="1">IF(ISNUMBER(MATCH(DATEVALUE($A29),'changes1_based on steps'!D$1:D$400,0)),D$2,)</f>
        <v>0</v>
      </c>
      <c r="E29" s="179">
        <f ca="1">IF(ISNUMBER(MATCH(DATEVALUE($A29),'changes1_based on steps'!E$1:E$400,0)),E$2,)</f>
        <v>0</v>
      </c>
      <c r="F29" s="179">
        <f ca="1">IF(ISNUMBER(MATCH(DATEVALUE($A29),'changes1_based on steps'!F$1:F$400,0)),F$2,)</f>
        <v>0</v>
      </c>
      <c r="G29" s="179">
        <f ca="1">IF(ISNUMBER(MATCH(DATEVALUE($A29),'changes1_based on steps'!G$1:G$400,0)),G$2,)</f>
        <v>0</v>
      </c>
      <c r="H29" s="179">
        <f ca="1">IF(ISNUMBER(MATCH(DATEVALUE($A29),'changes1_based on steps'!H$1:H$400,0)),H$2,)</f>
        <v>0</v>
      </c>
      <c r="I29" s="179">
        <f ca="1">IF(ISNUMBER(MATCH(DATEVALUE($A29),'changes1_based on steps'!I$1:I$400,0)),I$2,)</f>
        <v>0</v>
      </c>
      <c r="J29" s="179">
        <f ca="1">IF(ISNUMBER(MATCH(DATEVALUE($A29),'changes1_based on steps'!J$1:J$400,0)),J$2,)</f>
        <v>0</v>
      </c>
      <c r="K29" s="179">
        <f ca="1">IF(ISNUMBER(MATCH(DATEVALUE($A29),'changes1_based on steps'!K$1:K$400,0)),K$2,)</f>
        <v>0</v>
      </c>
      <c r="L29" s="179">
        <f ca="1">IF(ISNUMBER(MATCH(DATEVALUE($A29),'changes1_based on steps'!L$1:L$400,0)),L$2,)</f>
        <v>0</v>
      </c>
      <c r="M29" s="179">
        <f ca="1">IF(ISNUMBER(MATCH(DATEVALUE($A29),'changes1_based on steps'!M$1:M$400,0)),M$2,)</f>
        <v>0</v>
      </c>
      <c r="N29" s="179">
        <f ca="1">IF(ISNUMBER(MATCH(DATEVALUE($A29),'changes1_based on steps'!N$1:N$400,0)),N$2,)</f>
        <v>0</v>
      </c>
      <c r="O29" s="179">
        <f ca="1">IF(ISNUMBER(MATCH(DATEVALUE($A29),'changes1_based on steps'!O$1:O$400,0)),O$2,)</f>
        <v>0</v>
      </c>
      <c r="P29" s="179">
        <f ca="1">IF(ISNUMBER(MATCH(DATEVALUE($A29),'changes1_based on steps'!P$1:P$400,0)),P$2,)</f>
        <v>0</v>
      </c>
      <c r="Q29" s="179">
        <f ca="1">IF(ISNUMBER(MATCH(DATEVALUE($A29),'changes1_based on steps'!Q$1:Q$400,0)),Q$2,)</f>
        <v>0</v>
      </c>
      <c r="R29" s="179">
        <f ca="1">IF(ISNUMBER(MATCH(DATEVALUE($A29),'changes1_based on steps'!R$1:R$400,0)),R$2,)</f>
        <v>0</v>
      </c>
      <c r="S29" s="179">
        <f ca="1">IF(ISNUMBER(MATCH(DATEVALUE($A29),'changes1_based on steps'!S$1:S$400,0)),S$2,)</f>
        <v>0</v>
      </c>
      <c r="T29" s="179">
        <f ca="1">IF(ISNUMBER(MATCH(DATEVALUE($A29),'changes1_based on steps'!T$1:T$400,0)),T$2,)</f>
        <v>0</v>
      </c>
      <c r="U29" s="179">
        <f ca="1">IF(ISNUMBER(MATCH(DATEVALUE($A29),'changes1_based on steps'!U$1:U$400,0)),U$2,)</f>
        <v>0</v>
      </c>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row>
    <row r="30" spans="1:101" x14ac:dyDescent="0.2">
      <c r="A30" s="32" t="str">
        <f t="shared" ca="1" si="0"/>
        <v>2025-04-25</v>
      </c>
      <c r="B30" s="179">
        <f ca="1">IF(ISNUMBER(MATCH(DATEVALUE($A30),'changes1_based on steps'!B$1:B$400,0)),B$2,)</f>
        <v>0</v>
      </c>
      <c r="C30" s="179">
        <f ca="1">IF(ISNUMBER(MATCH(DATEVALUE($A30),'changes1_based on steps'!C$1:C$400,0)),C$2,)</f>
        <v>0</v>
      </c>
      <c r="D30" s="179">
        <f ca="1">IF(ISNUMBER(MATCH(DATEVALUE($A30),'changes1_based on steps'!D$1:D$400,0)),D$2,)</f>
        <v>0</v>
      </c>
      <c r="E30" s="179">
        <f ca="1">IF(ISNUMBER(MATCH(DATEVALUE($A30),'changes1_based on steps'!E$1:E$400,0)),E$2,)</f>
        <v>0</v>
      </c>
      <c r="F30" s="179">
        <f ca="1">IF(ISNUMBER(MATCH(DATEVALUE($A30),'changes1_based on steps'!F$1:F$400,0)),F$2,)</f>
        <v>0</v>
      </c>
      <c r="G30" s="179">
        <f ca="1">IF(ISNUMBER(MATCH(DATEVALUE($A30),'changes1_based on steps'!G$1:G$400,0)),G$2,)</f>
        <v>0</v>
      </c>
      <c r="H30" s="179">
        <f ca="1">IF(ISNUMBER(MATCH(DATEVALUE($A30),'changes1_based on steps'!H$1:H$400,0)),H$2,)</f>
        <v>0</v>
      </c>
      <c r="I30" s="179">
        <f ca="1">IF(ISNUMBER(MATCH(DATEVALUE($A30),'changes1_based on steps'!I$1:I$400,0)),I$2,)</f>
        <v>0</v>
      </c>
      <c r="J30" s="179">
        <f ca="1">IF(ISNUMBER(MATCH(DATEVALUE($A30),'changes1_based on steps'!J$1:J$400,0)),J$2,)</f>
        <v>0</v>
      </c>
      <c r="K30" s="179">
        <f ca="1">IF(ISNUMBER(MATCH(DATEVALUE($A30),'changes1_based on steps'!K$1:K$400,0)),K$2,)</f>
        <v>0</v>
      </c>
      <c r="L30" s="179">
        <f ca="1">IF(ISNUMBER(MATCH(DATEVALUE($A30),'changes1_based on steps'!L$1:L$400,0)),L$2,)</f>
        <v>0</v>
      </c>
      <c r="M30" s="179">
        <f ca="1">IF(ISNUMBER(MATCH(DATEVALUE($A30),'changes1_based on steps'!M$1:M$400,0)),M$2,)</f>
        <v>0</v>
      </c>
      <c r="N30" s="179">
        <f ca="1">IF(ISNUMBER(MATCH(DATEVALUE($A30),'changes1_based on steps'!N$1:N$400,0)),N$2,)</f>
        <v>0</v>
      </c>
      <c r="O30" s="179">
        <f ca="1">IF(ISNUMBER(MATCH(DATEVALUE($A30),'changes1_based on steps'!O$1:O$400,0)),O$2,)</f>
        <v>0</v>
      </c>
      <c r="P30" s="179">
        <f ca="1">IF(ISNUMBER(MATCH(DATEVALUE($A30),'changes1_based on steps'!P$1:P$400,0)),P$2,)</f>
        <v>0</v>
      </c>
      <c r="Q30" s="179">
        <f ca="1">IF(ISNUMBER(MATCH(DATEVALUE($A30),'changes1_based on steps'!Q$1:Q$400,0)),Q$2,)</f>
        <v>0</v>
      </c>
      <c r="R30" s="179">
        <f ca="1">IF(ISNUMBER(MATCH(DATEVALUE($A30),'changes1_based on steps'!R$1:R$400,0)),R$2,)</f>
        <v>0</v>
      </c>
      <c r="S30" s="179">
        <f ca="1">IF(ISNUMBER(MATCH(DATEVALUE($A30),'changes1_based on steps'!S$1:S$400,0)),S$2,)</f>
        <v>0</v>
      </c>
      <c r="T30" s="179">
        <f ca="1">IF(ISNUMBER(MATCH(DATEVALUE($A30),'changes1_based on steps'!T$1:T$400,0)),T$2,)</f>
        <v>0</v>
      </c>
      <c r="U30" s="179">
        <f ca="1">IF(ISNUMBER(MATCH(DATEVALUE($A30),'changes1_based on steps'!U$1:U$400,0)),U$2,)</f>
        <v>0</v>
      </c>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row>
    <row r="31" spans="1:101" x14ac:dyDescent="0.2">
      <c r="A31" s="32" t="str">
        <f t="shared" ca="1" si="0"/>
        <v>2025-04-26</v>
      </c>
      <c r="B31" s="179">
        <f ca="1">IF(ISNUMBER(MATCH(DATEVALUE($A31),'changes1_based on steps'!B$1:B$400,0)),B$2,)</f>
        <v>0</v>
      </c>
      <c r="C31" s="179">
        <f ca="1">IF(ISNUMBER(MATCH(DATEVALUE($A31),'changes1_based on steps'!C$1:C$400,0)),C$2,)</f>
        <v>0</v>
      </c>
      <c r="D31" s="179">
        <f ca="1">IF(ISNUMBER(MATCH(DATEVALUE($A31),'changes1_based on steps'!D$1:D$400,0)),D$2,)</f>
        <v>0</v>
      </c>
      <c r="E31" s="179">
        <f ca="1">IF(ISNUMBER(MATCH(DATEVALUE($A31),'changes1_based on steps'!E$1:E$400,0)),E$2,)</f>
        <v>0</v>
      </c>
      <c r="F31" s="179">
        <f ca="1">IF(ISNUMBER(MATCH(DATEVALUE($A31),'changes1_based on steps'!F$1:F$400,0)),F$2,)</f>
        <v>0</v>
      </c>
      <c r="G31" s="179">
        <f ca="1">IF(ISNUMBER(MATCH(DATEVALUE($A31),'changes1_based on steps'!G$1:G$400,0)),G$2,)</f>
        <v>0</v>
      </c>
      <c r="H31" s="179">
        <f ca="1">IF(ISNUMBER(MATCH(DATEVALUE($A31),'changes1_based on steps'!H$1:H$400,0)),H$2,)</f>
        <v>0</v>
      </c>
      <c r="I31" s="179">
        <f ca="1">IF(ISNUMBER(MATCH(DATEVALUE($A31),'changes1_based on steps'!I$1:I$400,0)),I$2,)</f>
        <v>0</v>
      </c>
      <c r="J31" s="179">
        <f ca="1">IF(ISNUMBER(MATCH(DATEVALUE($A31),'changes1_based on steps'!J$1:J$400,0)),J$2,)</f>
        <v>0</v>
      </c>
      <c r="K31" s="179">
        <f ca="1">IF(ISNUMBER(MATCH(DATEVALUE($A31),'changes1_based on steps'!K$1:K$400,0)),K$2,)</f>
        <v>0</v>
      </c>
      <c r="L31" s="179">
        <f ca="1">IF(ISNUMBER(MATCH(DATEVALUE($A31),'changes1_based on steps'!L$1:L$400,0)),L$2,)</f>
        <v>0</v>
      </c>
      <c r="M31" s="179">
        <f ca="1">IF(ISNUMBER(MATCH(DATEVALUE($A31),'changes1_based on steps'!M$1:M$400,0)),M$2,)</f>
        <v>0</v>
      </c>
      <c r="N31" s="179">
        <f ca="1">IF(ISNUMBER(MATCH(DATEVALUE($A31),'changes1_based on steps'!N$1:N$400,0)),N$2,)</f>
        <v>0</v>
      </c>
      <c r="O31" s="179">
        <f ca="1">IF(ISNUMBER(MATCH(DATEVALUE($A31),'changes1_based on steps'!O$1:O$400,0)),O$2,)</f>
        <v>0</v>
      </c>
      <c r="P31" s="179">
        <f ca="1">IF(ISNUMBER(MATCH(DATEVALUE($A31),'changes1_based on steps'!P$1:P$400,0)),P$2,)</f>
        <v>0</v>
      </c>
      <c r="Q31" s="179">
        <f ca="1">IF(ISNUMBER(MATCH(DATEVALUE($A31),'changes1_based on steps'!Q$1:Q$400,0)),Q$2,)</f>
        <v>0</v>
      </c>
      <c r="R31" s="179">
        <f ca="1">IF(ISNUMBER(MATCH(DATEVALUE($A31),'changes1_based on steps'!R$1:R$400,0)),R$2,)</f>
        <v>0</v>
      </c>
      <c r="S31" s="179">
        <f ca="1">IF(ISNUMBER(MATCH(DATEVALUE($A31),'changes1_based on steps'!S$1:S$400,0)),S$2,)</f>
        <v>0</v>
      </c>
      <c r="T31" s="179">
        <f ca="1">IF(ISNUMBER(MATCH(DATEVALUE($A31),'changes1_based on steps'!T$1:T$400,0)),T$2,)</f>
        <v>0</v>
      </c>
      <c r="U31" s="179">
        <f ca="1">IF(ISNUMBER(MATCH(DATEVALUE($A31),'changes1_based on steps'!U$1:U$400,0)),U$2,)</f>
        <v>0</v>
      </c>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row>
    <row r="32" spans="1:101" x14ac:dyDescent="0.2">
      <c r="A32" s="32" t="str">
        <f t="shared" ca="1" si="0"/>
        <v>2025-04-27</v>
      </c>
      <c r="B32" s="179">
        <f ca="1">IF(ISNUMBER(MATCH(DATEVALUE($A32),'changes1_based on steps'!B$1:B$400,0)),B$2,)</f>
        <v>0</v>
      </c>
      <c r="C32" s="179">
        <f ca="1">IF(ISNUMBER(MATCH(DATEVALUE($A32),'changes1_based on steps'!C$1:C$400,0)),C$2,)</f>
        <v>0</v>
      </c>
      <c r="D32" s="179">
        <f ca="1">IF(ISNUMBER(MATCH(DATEVALUE($A32),'changes1_based on steps'!D$1:D$400,0)),D$2,)</f>
        <v>0</v>
      </c>
      <c r="E32" s="179">
        <f ca="1">IF(ISNUMBER(MATCH(DATEVALUE($A32),'changes1_based on steps'!E$1:E$400,0)),E$2,)</f>
        <v>0</v>
      </c>
      <c r="F32" s="179">
        <f ca="1">IF(ISNUMBER(MATCH(DATEVALUE($A32),'changes1_based on steps'!F$1:F$400,0)),F$2,)</f>
        <v>0</v>
      </c>
      <c r="G32" s="179">
        <f ca="1">IF(ISNUMBER(MATCH(DATEVALUE($A32),'changes1_based on steps'!G$1:G$400,0)),G$2,)</f>
        <v>0</v>
      </c>
      <c r="H32" s="179">
        <f ca="1">IF(ISNUMBER(MATCH(DATEVALUE($A32),'changes1_based on steps'!H$1:H$400,0)),H$2,)</f>
        <v>0</v>
      </c>
      <c r="I32" s="179">
        <f ca="1">IF(ISNUMBER(MATCH(DATEVALUE($A32),'changes1_based on steps'!I$1:I$400,0)),I$2,)</f>
        <v>0</v>
      </c>
      <c r="J32" s="179">
        <f ca="1">IF(ISNUMBER(MATCH(DATEVALUE($A32),'changes1_based on steps'!J$1:J$400,0)),J$2,)</f>
        <v>0</v>
      </c>
      <c r="K32" s="179">
        <f ca="1">IF(ISNUMBER(MATCH(DATEVALUE($A32),'changes1_based on steps'!K$1:K$400,0)),K$2,)</f>
        <v>0</v>
      </c>
      <c r="L32" s="179">
        <f ca="1">IF(ISNUMBER(MATCH(DATEVALUE($A32),'changes1_based on steps'!L$1:L$400,0)),L$2,)</f>
        <v>0</v>
      </c>
      <c r="M32" s="179">
        <f ca="1">IF(ISNUMBER(MATCH(DATEVALUE($A32),'changes1_based on steps'!M$1:M$400,0)),M$2,)</f>
        <v>0</v>
      </c>
      <c r="N32" s="179">
        <f ca="1">IF(ISNUMBER(MATCH(DATEVALUE($A32),'changes1_based on steps'!N$1:N$400,0)),N$2,)</f>
        <v>0</v>
      </c>
      <c r="O32" s="179">
        <f ca="1">IF(ISNUMBER(MATCH(DATEVALUE($A32),'changes1_based on steps'!O$1:O$400,0)),O$2,)</f>
        <v>0</v>
      </c>
      <c r="P32" s="179">
        <f ca="1">IF(ISNUMBER(MATCH(DATEVALUE($A32),'changes1_based on steps'!P$1:P$400,0)),P$2,)</f>
        <v>0</v>
      </c>
      <c r="Q32" s="179">
        <f ca="1">IF(ISNUMBER(MATCH(DATEVALUE($A32),'changes1_based on steps'!Q$1:Q$400,0)),Q$2,)</f>
        <v>0</v>
      </c>
      <c r="R32" s="179">
        <f ca="1">IF(ISNUMBER(MATCH(DATEVALUE($A32),'changes1_based on steps'!R$1:R$400,0)),R$2,)</f>
        <v>0</v>
      </c>
      <c r="S32" s="179">
        <f ca="1">IF(ISNUMBER(MATCH(DATEVALUE($A32),'changes1_based on steps'!S$1:S$400,0)),S$2,)</f>
        <v>0</v>
      </c>
      <c r="T32" s="179">
        <f ca="1">IF(ISNUMBER(MATCH(DATEVALUE($A32),'changes1_based on steps'!T$1:T$400,0)),T$2,)</f>
        <v>0</v>
      </c>
      <c r="U32" s="179">
        <f ca="1">IF(ISNUMBER(MATCH(DATEVALUE($A32),'changes1_based on steps'!U$1:U$400,0)),U$2,)</f>
        <v>0</v>
      </c>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row>
    <row r="33" spans="1:101" x14ac:dyDescent="0.2">
      <c r="A33" s="32" t="str">
        <f t="shared" ca="1" si="0"/>
        <v>2025-04-28</v>
      </c>
      <c r="B33" s="179">
        <f ca="1">IF(ISNUMBER(MATCH(DATEVALUE($A33),'changes1_based on steps'!B$1:B$400,0)),B$2,)</f>
        <v>0</v>
      </c>
      <c r="C33" s="179">
        <f ca="1">IF(ISNUMBER(MATCH(DATEVALUE($A33),'changes1_based on steps'!C$1:C$400,0)),C$2,)</f>
        <v>0</v>
      </c>
      <c r="D33" s="179">
        <f ca="1">IF(ISNUMBER(MATCH(DATEVALUE($A33),'changes1_based on steps'!D$1:D$400,0)),D$2,)</f>
        <v>0</v>
      </c>
      <c r="E33" s="179">
        <f ca="1">IF(ISNUMBER(MATCH(DATEVALUE($A33),'changes1_based on steps'!E$1:E$400,0)),E$2,)</f>
        <v>0</v>
      </c>
      <c r="F33" s="179">
        <f ca="1">IF(ISNUMBER(MATCH(DATEVALUE($A33),'changes1_based on steps'!F$1:F$400,0)),F$2,)</f>
        <v>0</v>
      </c>
      <c r="G33" s="179">
        <f ca="1">IF(ISNUMBER(MATCH(DATEVALUE($A33),'changes1_based on steps'!G$1:G$400,0)),G$2,)</f>
        <v>0</v>
      </c>
      <c r="H33" s="179">
        <f ca="1">IF(ISNUMBER(MATCH(DATEVALUE($A33),'changes1_based on steps'!H$1:H$400,0)),H$2,)</f>
        <v>0</v>
      </c>
      <c r="I33" s="179">
        <f ca="1">IF(ISNUMBER(MATCH(DATEVALUE($A33),'changes1_based on steps'!I$1:I$400,0)),I$2,)</f>
        <v>0</v>
      </c>
      <c r="J33" s="179">
        <f ca="1">IF(ISNUMBER(MATCH(DATEVALUE($A33),'changes1_based on steps'!J$1:J$400,0)),J$2,)</f>
        <v>0</v>
      </c>
      <c r="K33" s="179">
        <f ca="1">IF(ISNUMBER(MATCH(DATEVALUE($A33),'changes1_based on steps'!K$1:K$400,0)),K$2,)</f>
        <v>0</v>
      </c>
      <c r="L33" s="179">
        <f ca="1">IF(ISNUMBER(MATCH(DATEVALUE($A33),'changes1_based on steps'!L$1:L$400,0)),L$2,)</f>
        <v>0</v>
      </c>
      <c r="M33" s="179">
        <f ca="1">IF(ISNUMBER(MATCH(DATEVALUE($A33),'changes1_based on steps'!M$1:M$400,0)),M$2,)</f>
        <v>0</v>
      </c>
      <c r="N33" s="179">
        <f ca="1">IF(ISNUMBER(MATCH(DATEVALUE($A33),'changes1_based on steps'!N$1:N$400,0)),N$2,)</f>
        <v>0</v>
      </c>
      <c r="O33" s="179">
        <f ca="1">IF(ISNUMBER(MATCH(DATEVALUE($A33),'changes1_based on steps'!O$1:O$400,0)),O$2,)</f>
        <v>0</v>
      </c>
      <c r="P33" s="179">
        <f ca="1">IF(ISNUMBER(MATCH(DATEVALUE($A33),'changes1_based on steps'!P$1:P$400,0)),P$2,)</f>
        <v>0</v>
      </c>
      <c r="Q33" s="179">
        <f ca="1">IF(ISNUMBER(MATCH(DATEVALUE($A33),'changes1_based on steps'!Q$1:Q$400,0)),Q$2,)</f>
        <v>0</v>
      </c>
      <c r="R33" s="179">
        <f ca="1">IF(ISNUMBER(MATCH(DATEVALUE($A33),'changes1_based on steps'!R$1:R$400,0)),R$2,)</f>
        <v>0</v>
      </c>
      <c r="S33" s="179">
        <f ca="1">IF(ISNUMBER(MATCH(DATEVALUE($A33),'changes1_based on steps'!S$1:S$400,0)),S$2,)</f>
        <v>0</v>
      </c>
      <c r="T33" s="179">
        <f ca="1">IF(ISNUMBER(MATCH(DATEVALUE($A33),'changes1_based on steps'!T$1:T$400,0)),T$2,)</f>
        <v>0</v>
      </c>
      <c r="U33" s="179">
        <f ca="1">IF(ISNUMBER(MATCH(DATEVALUE($A33),'changes1_based on steps'!U$1:U$400,0)),U$2,)</f>
        <v>0</v>
      </c>
      <c r="V33" s="179"/>
      <c r="W33" s="179"/>
      <c r="X33" s="179"/>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row>
    <row r="34" spans="1:101" x14ac:dyDescent="0.2">
      <c r="A34" s="32" t="str">
        <f t="shared" ca="1" si="0"/>
        <v>2025-04-29</v>
      </c>
      <c r="B34" s="179">
        <f ca="1">IF(ISNUMBER(MATCH(DATEVALUE($A34),'changes1_based on steps'!B$1:B$400,0)),B$2,)</f>
        <v>0</v>
      </c>
      <c r="C34" s="179">
        <f ca="1">IF(ISNUMBER(MATCH(DATEVALUE($A34),'changes1_based on steps'!C$1:C$400,0)),C$2,)</f>
        <v>0</v>
      </c>
      <c r="D34" s="179">
        <f ca="1">IF(ISNUMBER(MATCH(DATEVALUE($A34),'changes1_based on steps'!D$1:D$400,0)),D$2,)</f>
        <v>0</v>
      </c>
      <c r="E34" s="179">
        <f ca="1">IF(ISNUMBER(MATCH(DATEVALUE($A34),'changes1_based on steps'!E$1:E$400,0)),E$2,)</f>
        <v>0</v>
      </c>
      <c r="F34" s="179">
        <f ca="1">IF(ISNUMBER(MATCH(DATEVALUE($A34),'changes1_based on steps'!F$1:F$400,0)),F$2,)</f>
        <v>0</v>
      </c>
      <c r="G34" s="179">
        <f ca="1">IF(ISNUMBER(MATCH(DATEVALUE($A34),'changes1_based on steps'!G$1:G$400,0)),G$2,)</f>
        <v>0</v>
      </c>
      <c r="H34" s="179">
        <f ca="1">IF(ISNUMBER(MATCH(DATEVALUE($A34),'changes1_based on steps'!H$1:H$400,0)),H$2,)</f>
        <v>0</v>
      </c>
      <c r="I34" s="179">
        <f ca="1">IF(ISNUMBER(MATCH(DATEVALUE($A34),'changes1_based on steps'!I$1:I$400,0)),I$2,)</f>
        <v>0</v>
      </c>
      <c r="J34" s="179">
        <f ca="1">IF(ISNUMBER(MATCH(DATEVALUE($A34),'changes1_based on steps'!J$1:J$400,0)),J$2,)</f>
        <v>0</v>
      </c>
      <c r="K34" s="179">
        <f ca="1">IF(ISNUMBER(MATCH(DATEVALUE($A34),'changes1_based on steps'!K$1:K$400,0)),K$2,)</f>
        <v>0</v>
      </c>
      <c r="L34" s="179">
        <f ca="1">IF(ISNUMBER(MATCH(DATEVALUE($A34),'changes1_based on steps'!L$1:L$400,0)),L$2,)</f>
        <v>0</v>
      </c>
      <c r="M34" s="179">
        <f ca="1">IF(ISNUMBER(MATCH(DATEVALUE($A34),'changes1_based on steps'!M$1:M$400,0)),M$2,)</f>
        <v>0</v>
      </c>
      <c r="N34" s="179">
        <f ca="1">IF(ISNUMBER(MATCH(DATEVALUE($A34),'changes1_based on steps'!N$1:N$400,0)),N$2,)</f>
        <v>0</v>
      </c>
      <c r="O34" s="179">
        <f ca="1">IF(ISNUMBER(MATCH(DATEVALUE($A34),'changes1_based on steps'!O$1:O$400,0)),O$2,)</f>
        <v>0</v>
      </c>
      <c r="P34" s="179">
        <f ca="1">IF(ISNUMBER(MATCH(DATEVALUE($A34),'changes1_based on steps'!P$1:P$400,0)),P$2,)</f>
        <v>0</v>
      </c>
      <c r="Q34" s="179">
        <f ca="1">IF(ISNUMBER(MATCH(DATEVALUE($A34),'changes1_based on steps'!Q$1:Q$400,0)),Q$2,)</f>
        <v>0</v>
      </c>
      <c r="R34" s="179">
        <f ca="1">IF(ISNUMBER(MATCH(DATEVALUE($A34),'changes1_based on steps'!R$1:R$400,0)),R$2,)</f>
        <v>0</v>
      </c>
      <c r="S34" s="179">
        <f ca="1">IF(ISNUMBER(MATCH(DATEVALUE($A34),'changes1_based on steps'!S$1:S$400,0)),S$2,)</f>
        <v>0</v>
      </c>
      <c r="T34" s="179">
        <f ca="1">IF(ISNUMBER(MATCH(DATEVALUE($A34),'changes1_based on steps'!T$1:T$400,0)),T$2,)</f>
        <v>0</v>
      </c>
      <c r="U34" s="179">
        <f ca="1">IF(ISNUMBER(MATCH(DATEVALUE($A34),'changes1_based on steps'!U$1:U$400,0)),U$2,)</f>
        <v>0</v>
      </c>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row>
    <row r="35" spans="1:101" x14ac:dyDescent="0.2">
      <c r="A35" s="32" t="str">
        <f t="shared" ca="1" si="0"/>
        <v>2025-04-30</v>
      </c>
      <c r="B35" s="179">
        <f ca="1">IF(ISNUMBER(MATCH(DATEVALUE($A35),'changes1_based on steps'!B$1:B$400,0)),B$2,)</f>
        <v>0</v>
      </c>
      <c r="C35" s="179">
        <f ca="1">IF(ISNUMBER(MATCH(DATEVALUE($A35),'changes1_based on steps'!C$1:C$400,0)),C$2,)</f>
        <v>0</v>
      </c>
      <c r="D35" s="179">
        <f ca="1">IF(ISNUMBER(MATCH(DATEVALUE($A35),'changes1_based on steps'!D$1:D$400,0)),D$2,)</f>
        <v>0</v>
      </c>
      <c r="E35" s="179">
        <f ca="1">IF(ISNUMBER(MATCH(DATEVALUE($A35),'changes1_based on steps'!E$1:E$400,0)),E$2,)</f>
        <v>0</v>
      </c>
      <c r="F35" s="179">
        <f ca="1">IF(ISNUMBER(MATCH(DATEVALUE($A35),'changes1_based on steps'!F$1:F$400,0)),F$2,)</f>
        <v>0</v>
      </c>
      <c r="G35" s="179">
        <f ca="1">IF(ISNUMBER(MATCH(DATEVALUE($A35),'changes1_based on steps'!G$1:G$400,0)),G$2,)</f>
        <v>0</v>
      </c>
      <c r="H35" s="179">
        <f ca="1">IF(ISNUMBER(MATCH(DATEVALUE($A35),'changes1_based on steps'!H$1:H$400,0)),H$2,)</f>
        <v>0</v>
      </c>
      <c r="I35" s="179">
        <f ca="1">IF(ISNUMBER(MATCH(DATEVALUE($A35),'changes1_based on steps'!I$1:I$400,0)),I$2,)</f>
        <v>0</v>
      </c>
      <c r="J35" s="179">
        <f ca="1">IF(ISNUMBER(MATCH(DATEVALUE($A35),'changes1_based on steps'!J$1:J$400,0)),J$2,)</f>
        <v>0</v>
      </c>
      <c r="K35" s="179">
        <f ca="1">IF(ISNUMBER(MATCH(DATEVALUE($A35),'changes1_based on steps'!K$1:K$400,0)),K$2,)</f>
        <v>0</v>
      </c>
      <c r="L35" s="179">
        <f ca="1">IF(ISNUMBER(MATCH(DATEVALUE($A35),'changes1_based on steps'!L$1:L$400,0)),L$2,)</f>
        <v>0</v>
      </c>
      <c r="M35" s="179">
        <f ca="1">IF(ISNUMBER(MATCH(DATEVALUE($A35),'changes1_based on steps'!M$1:M$400,0)),M$2,)</f>
        <v>0</v>
      </c>
      <c r="N35" s="179">
        <f ca="1">IF(ISNUMBER(MATCH(DATEVALUE($A35),'changes1_based on steps'!N$1:N$400,0)),N$2,)</f>
        <v>0</v>
      </c>
      <c r="O35" s="179">
        <f ca="1">IF(ISNUMBER(MATCH(DATEVALUE($A35),'changes1_based on steps'!O$1:O$400,0)),O$2,)</f>
        <v>0</v>
      </c>
      <c r="P35" s="179">
        <f ca="1">IF(ISNUMBER(MATCH(DATEVALUE($A35),'changes1_based on steps'!P$1:P$400,0)),P$2,)</f>
        <v>0</v>
      </c>
      <c r="Q35" s="179">
        <f ca="1">IF(ISNUMBER(MATCH(DATEVALUE($A35),'changes1_based on steps'!Q$1:Q$400,0)),Q$2,)</f>
        <v>0</v>
      </c>
      <c r="R35" s="179">
        <f ca="1">IF(ISNUMBER(MATCH(DATEVALUE($A35),'changes1_based on steps'!R$1:R$400,0)),R$2,)</f>
        <v>0</v>
      </c>
      <c r="S35" s="179">
        <f ca="1">IF(ISNUMBER(MATCH(DATEVALUE($A35),'changes1_based on steps'!S$1:S$400,0)),S$2,)</f>
        <v>0</v>
      </c>
      <c r="T35" s="179">
        <f ca="1">IF(ISNUMBER(MATCH(DATEVALUE($A35),'changes1_based on steps'!T$1:T$400,0)),T$2,)</f>
        <v>0</v>
      </c>
      <c r="U35" s="179">
        <f ca="1">IF(ISNUMBER(MATCH(DATEVALUE($A35),'changes1_based on steps'!U$1:U$400,0)),U$2,)</f>
        <v>0</v>
      </c>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row>
    <row r="36" spans="1:101" x14ac:dyDescent="0.2">
      <c r="A36" s="32" t="str">
        <f t="shared" ca="1" si="0"/>
        <v>2025-05-01</v>
      </c>
      <c r="B36" s="179">
        <f ca="1">IF(ISNUMBER(MATCH(DATEVALUE($A36),'changes1_based on steps'!B$1:B$400,0)),B$2,)</f>
        <v>0</v>
      </c>
      <c r="C36" s="179">
        <f ca="1">IF(ISNUMBER(MATCH(DATEVALUE($A36),'changes1_based on steps'!C$1:C$400,0)),C$2,)</f>
        <v>0</v>
      </c>
      <c r="D36" s="179">
        <f ca="1">IF(ISNUMBER(MATCH(DATEVALUE($A36),'changes1_based on steps'!D$1:D$400,0)),D$2,)</f>
        <v>0</v>
      </c>
      <c r="E36" s="179">
        <f ca="1">IF(ISNUMBER(MATCH(DATEVALUE($A36),'changes1_based on steps'!E$1:E$400,0)),E$2,)</f>
        <v>0</v>
      </c>
      <c r="F36" s="179">
        <f ca="1">IF(ISNUMBER(MATCH(DATEVALUE($A36),'changes1_based on steps'!F$1:F$400,0)),F$2,)</f>
        <v>0</v>
      </c>
      <c r="G36" s="179">
        <f ca="1">IF(ISNUMBER(MATCH(DATEVALUE($A36),'changes1_based on steps'!G$1:G$400,0)),G$2,)</f>
        <v>0</v>
      </c>
      <c r="H36" s="179">
        <f ca="1">IF(ISNUMBER(MATCH(DATEVALUE($A36),'changes1_based on steps'!H$1:H$400,0)),H$2,)</f>
        <v>0</v>
      </c>
      <c r="I36" s="179">
        <f ca="1">IF(ISNUMBER(MATCH(DATEVALUE($A36),'changes1_based on steps'!I$1:I$400,0)),I$2,)</f>
        <v>0</v>
      </c>
      <c r="J36" s="179">
        <f ca="1">IF(ISNUMBER(MATCH(DATEVALUE($A36),'changes1_based on steps'!J$1:J$400,0)),J$2,)</f>
        <v>0</v>
      </c>
      <c r="K36" s="179">
        <f ca="1">IF(ISNUMBER(MATCH(DATEVALUE($A36),'changes1_based on steps'!K$1:K$400,0)),K$2,)</f>
        <v>0</v>
      </c>
      <c r="L36" s="179">
        <f ca="1">IF(ISNUMBER(MATCH(DATEVALUE($A36),'changes1_based on steps'!L$1:L$400,0)),L$2,)</f>
        <v>0</v>
      </c>
      <c r="M36" s="179">
        <f ca="1">IF(ISNUMBER(MATCH(DATEVALUE($A36),'changes1_based on steps'!M$1:M$400,0)),M$2,)</f>
        <v>0</v>
      </c>
      <c r="N36" s="179">
        <f ca="1">IF(ISNUMBER(MATCH(DATEVALUE($A36),'changes1_based on steps'!N$1:N$400,0)),N$2,)</f>
        <v>0</v>
      </c>
      <c r="O36" s="179">
        <f ca="1">IF(ISNUMBER(MATCH(DATEVALUE($A36),'changes1_based on steps'!O$1:O$400,0)),O$2,)</f>
        <v>0</v>
      </c>
      <c r="P36" s="179">
        <f ca="1">IF(ISNUMBER(MATCH(DATEVALUE($A36),'changes1_based on steps'!P$1:P$400,0)),P$2,)</f>
        <v>0</v>
      </c>
      <c r="Q36" s="179">
        <f ca="1">IF(ISNUMBER(MATCH(DATEVALUE($A36),'changes1_based on steps'!Q$1:Q$400,0)),Q$2,)</f>
        <v>0</v>
      </c>
      <c r="R36" s="179">
        <f ca="1">IF(ISNUMBER(MATCH(DATEVALUE($A36),'changes1_based on steps'!R$1:R$400,0)),R$2,)</f>
        <v>0</v>
      </c>
      <c r="S36" s="179">
        <f ca="1">IF(ISNUMBER(MATCH(DATEVALUE($A36),'changes1_based on steps'!S$1:S$400,0)),S$2,)</f>
        <v>0</v>
      </c>
      <c r="T36" s="179">
        <f ca="1">IF(ISNUMBER(MATCH(DATEVALUE($A36),'changes1_based on steps'!T$1:T$400,0)),T$2,)</f>
        <v>0</v>
      </c>
      <c r="U36" s="179">
        <f ca="1">IF(ISNUMBER(MATCH(DATEVALUE($A36),'changes1_based on steps'!U$1:U$400,0)),U$2,)</f>
        <v>0</v>
      </c>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row>
    <row r="37" spans="1:101" x14ac:dyDescent="0.2">
      <c r="A37" s="32" t="str">
        <f t="shared" ca="1" si="0"/>
        <v>2025-05-02</v>
      </c>
      <c r="B37" s="179">
        <f ca="1">IF(ISNUMBER(MATCH(DATEVALUE($A37),'changes1_based on steps'!B$1:B$400,0)),B$2,)</f>
        <v>0</v>
      </c>
      <c r="C37" s="179">
        <f ca="1">IF(ISNUMBER(MATCH(DATEVALUE($A37),'changes1_based on steps'!C$1:C$400,0)),C$2,)</f>
        <v>0</v>
      </c>
      <c r="D37" s="179">
        <f ca="1">IF(ISNUMBER(MATCH(DATEVALUE($A37),'changes1_based on steps'!D$1:D$400,0)),D$2,)</f>
        <v>0</v>
      </c>
      <c r="E37" s="179">
        <f ca="1">IF(ISNUMBER(MATCH(DATEVALUE($A37),'changes1_based on steps'!E$1:E$400,0)),E$2,)</f>
        <v>0</v>
      </c>
      <c r="F37" s="179">
        <f ca="1">IF(ISNUMBER(MATCH(DATEVALUE($A37),'changes1_based on steps'!F$1:F$400,0)),F$2,)</f>
        <v>0</v>
      </c>
      <c r="G37" s="179">
        <f ca="1">IF(ISNUMBER(MATCH(DATEVALUE($A37),'changes1_based on steps'!G$1:G$400,0)),G$2,)</f>
        <v>0</v>
      </c>
      <c r="H37" s="179">
        <f ca="1">IF(ISNUMBER(MATCH(DATEVALUE($A37),'changes1_based on steps'!H$1:H$400,0)),H$2,)</f>
        <v>0</v>
      </c>
      <c r="I37" s="179">
        <f ca="1">IF(ISNUMBER(MATCH(DATEVALUE($A37),'changes1_based on steps'!I$1:I$400,0)),I$2,)</f>
        <v>0</v>
      </c>
      <c r="J37" s="179">
        <f ca="1">IF(ISNUMBER(MATCH(DATEVALUE($A37),'changes1_based on steps'!J$1:J$400,0)),J$2,)</f>
        <v>0</v>
      </c>
      <c r="K37" s="179">
        <f ca="1">IF(ISNUMBER(MATCH(DATEVALUE($A37),'changes1_based on steps'!K$1:K$400,0)),K$2,)</f>
        <v>0</v>
      </c>
      <c r="L37" s="179">
        <f ca="1">IF(ISNUMBER(MATCH(DATEVALUE($A37),'changes1_based on steps'!L$1:L$400,0)),L$2,)</f>
        <v>0</v>
      </c>
      <c r="M37" s="179">
        <f ca="1">IF(ISNUMBER(MATCH(DATEVALUE($A37),'changes1_based on steps'!M$1:M$400,0)),M$2,)</f>
        <v>0</v>
      </c>
      <c r="N37" s="179">
        <f ca="1">IF(ISNUMBER(MATCH(DATEVALUE($A37),'changes1_based on steps'!N$1:N$400,0)),N$2,)</f>
        <v>0</v>
      </c>
      <c r="O37" s="179">
        <f ca="1">IF(ISNUMBER(MATCH(DATEVALUE($A37),'changes1_based on steps'!O$1:O$400,0)),O$2,)</f>
        <v>0</v>
      </c>
      <c r="P37" s="179">
        <f ca="1">IF(ISNUMBER(MATCH(DATEVALUE($A37),'changes1_based on steps'!P$1:P$400,0)),P$2,)</f>
        <v>0</v>
      </c>
      <c r="Q37" s="179">
        <f ca="1">IF(ISNUMBER(MATCH(DATEVALUE($A37),'changes1_based on steps'!Q$1:Q$400,0)),Q$2,)</f>
        <v>0</v>
      </c>
      <c r="R37" s="179">
        <f ca="1">IF(ISNUMBER(MATCH(DATEVALUE($A37),'changes1_based on steps'!R$1:R$400,0)),R$2,)</f>
        <v>0</v>
      </c>
      <c r="S37" s="179">
        <f ca="1">IF(ISNUMBER(MATCH(DATEVALUE($A37),'changes1_based on steps'!S$1:S$400,0)),S$2,)</f>
        <v>0</v>
      </c>
      <c r="T37" s="179">
        <f ca="1">IF(ISNUMBER(MATCH(DATEVALUE($A37),'changes1_based on steps'!T$1:T$400,0)),T$2,)</f>
        <v>0</v>
      </c>
      <c r="U37" s="179">
        <f ca="1">IF(ISNUMBER(MATCH(DATEVALUE($A37),'changes1_based on steps'!U$1:U$400,0)),U$2,)</f>
        <v>0</v>
      </c>
      <c r="V37" s="179"/>
      <c r="W37" s="179"/>
      <c r="X37" s="179"/>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row>
    <row r="38" spans="1:101" x14ac:dyDescent="0.2">
      <c r="A38" s="32" t="str">
        <f t="shared" ca="1" si="0"/>
        <v>2025-05-03</v>
      </c>
      <c r="B38" s="179">
        <f ca="1">IF(ISNUMBER(MATCH(DATEVALUE($A38),'changes1_based on steps'!B$1:B$400,0)),B$2,)</f>
        <v>0</v>
      </c>
      <c r="C38" s="179">
        <f ca="1">IF(ISNUMBER(MATCH(DATEVALUE($A38),'changes1_based on steps'!C$1:C$400,0)),C$2,)</f>
        <v>0</v>
      </c>
      <c r="D38" s="179">
        <f ca="1">IF(ISNUMBER(MATCH(DATEVALUE($A38),'changes1_based on steps'!D$1:D$400,0)),D$2,)</f>
        <v>0</v>
      </c>
      <c r="E38" s="179">
        <f ca="1">IF(ISNUMBER(MATCH(DATEVALUE($A38),'changes1_based on steps'!E$1:E$400,0)),E$2,)</f>
        <v>0</v>
      </c>
      <c r="F38" s="179">
        <f ca="1">IF(ISNUMBER(MATCH(DATEVALUE($A38),'changes1_based on steps'!F$1:F$400,0)),F$2,)</f>
        <v>0</v>
      </c>
      <c r="G38" s="179">
        <f ca="1">IF(ISNUMBER(MATCH(DATEVALUE($A38),'changes1_based on steps'!G$1:G$400,0)),G$2,)</f>
        <v>0</v>
      </c>
      <c r="H38" s="179">
        <f ca="1">IF(ISNUMBER(MATCH(DATEVALUE($A38),'changes1_based on steps'!H$1:H$400,0)),H$2,)</f>
        <v>0</v>
      </c>
      <c r="I38" s="179">
        <f ca="1">IF(ISNUMBER(MATCH(DATEVALUE($A38),'changes1_based on steps'!I$1:I$400,0)),I$2,)</f>
        <v>0</v>
      </c>
      <c r="J38" s="179">
        <f ca="1">IF(ISNUMBER(MATCH(DATEVALUE($A38),'changes1_based on steps'!J$1:J$400,0)),J$2,)</f>
        <v>0</v>
      </c>
      <c r="K38" s="179">
        <f ca="1">IF(ISNUMBER(MATCH(DATEVALUE($A38),'changes1_based on steps'!K$1:K$400,0)),K$2,)</f>
        <v>0</v>
      </c>
      <c r="L38" s="179">
        <f ca="1">IF(ISNUMBER(MATCH(DATEVALUE($A38),'changes1_based on steps'!L$1:L$400,0)),L$2,)</f>
        <v>0</v>
      </c>
      <c r="M38" s="179">
        <f ca="1">IF(ISNUMBER(MATCH(DATEVALUE($A38),'changes1_based on steps'!M$1:M$400,0)),M$2,)</f>
        <v>0</v>
      </c>
      <c r="N38" s="179">
        <f ca="1">IF(ISNUMBER(MATCH(DATEVALUE($A38),'changes1_based on steps'!N$1:N$400,0)),N$2,)</f>
        <v>0</v>
      </c>
      <c r="O38" s="179">
        <f ca="1">IF(ISNUMBER(MATCH(DATEVALUE($A38),'changes1_based on steps'!O$1:O$400,0)),O$2,)</f>
        <v>0</v>
      </c>
      <c r="P38" s="179">
        <f ca="1">IF(ISNUMBER(MATCH(DATEVALUE($A38),'changes1_based on steps'!P$1:P$400,0)),P$2,)</f>
        <v>0</v>
      </c>
      <c r="Q38" s="179">
        <f ca="1">IF(ISNUMBER(MATCH(DATEVALUE($A38),'changes1_based on steps'!Q$1:Q$400,0)),Q$2,)</f>
        <v>0</v>
      </c>
      <c r="R38" s="179">
        <f ca="1">IF(ISNUMBER(MATCH(DATEVALUE($A38),'changes1_based on steps'!R$1:R$400,0)),R$2,)</f>
        <v>0</v>
      </c>
      <c r="S38" s="179">
        <f ca="1">IF(ISNUMBER(MATCH(DATEVALUE($A38),'changes1_based on steps'!S$1:S$400,0)),S$2,)</f>
        <v>0</v>
      </c>
      <c r="T38" s="179">
        <f ca="1">IF(ISNUMBER(MATCH(DATEVALUE($A38),'changes1_based on steps'!T$1:T$400,0)),T$2,)</f>
        <v>0</v>
      </c>
      <c r="U38" s="179">
        <f ca="1">IF(ISNUMBER(MATCH(DATEVALUE($A38),'changes1_based on steps'!U$1:U$400,0)),U$2,)</f>
        <v>0</v>
      </c>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79"/>
      <c r="BM38" s="179"/>
      <c r="BN38" s="179"/>
      <c r="BO38" s="179"/>
      <c r="BP38" s="179"/>
      <c r="BQ38" s="179"/>
      <c r="BR38" s="179"/>
      <c r="BS38" s="179"/>
      <c r="BT38" s="179"/>
      <c r="BU38" s="179"/>
      <c r="BV38" s="179"/>
      <c r="BW38" s="179"/>
      <c r="BX38" s="179"/>
      <c r="BY38" s="179"/>
      <c r="BZ38" s="179"/>
      <c r="CA38" s="179"/>
      <c r="CB38" s="179"/>
      <c r="CC38" s="179"/>
      <c r="CD38" s="179"/>
      <c r="CE38" s="179"/>
      <c r="CF38" s="179"/>
      <c r="CG38" s="179"/>
      <c r="CH38" s="179"/>
      <c r="CI38" s="179"/>
      <c r="CJ38" s="179"/>
      <c r="CK38" s="179"/>
      <c r="CL38" s="179"/>
      <c r="CM38" s="179"/>
      <c r="CN38" s="179"/>
      <c r="CO38" s="179"/>
      <c r="CP38" s="179"/>
      <c r="CQ38" s="179"/>
      <c r="CR38" s="179"/>
      <c r="CS38" s="179"/>
      <c r="CT38" s="179"/>
      <c r="CU38" s="179"/>
      <c r="CV38" s="179"/>
      <c r="CW38" s="179"/>
    </row>
    <row r="39" spans="1:101" x14ac:dyDescent="0.2">
      <c r="A39" s="32" t="str">
        <f t="shared" ca="1" si="0"/>
        <v>2025-05-04</v>
      </c>
      <c r="B39" s="179">
        <f ca="1">IF(ISNUMBER(MATCH(DATEVALUE($A39),'changes1_based on steps'!B$1:B$400,0)),B$2,)</f>
        <v>0</v>
      </c>
      <c r="C39" s="179">
        <f ca="1">IF(ISNUMBER(MATCH(DATEVALUE($A39),'changes1_based on steps'!C$1:C$400,0)),C$2,)</f>
        <v>0</v>
      </c>
      <c r="D39" s="179">
        <f ca="1">IF(ISNUMBER(MATCH(DATEVALUE($A39),'changes1_based on steps'!D$1:D$400,0)),D$2,)</f>
        <v>0</v>
      </c>
      <c r="E39" s="179">
        <f ca="1">IF(ISNUMBER(MATCH(DATEVALUE($A39),'changes1_based on steps'!E$1:E$400,0)),E$2,)</f>
        <v>0</v>
      </c>
      <c r="F39" s="179">
        <f ca="1">IF(ISNUMBER(MATCH(DATEVALUE($A39),'changes1_based on steps'!F$1:F$400,0)),F$2,)</f>
        <v>0</v>
      </c>
      <c r="G39" s="179">
        <f ca="1">IF(ISNUMBER(MATCH(DATEVALUE($A39),'changes1_based on steps'!G$1:G$400,0)),G$2,)</f>
        <v>0</v>
      </c>
      <c r="H39" s="179">
        <f ca="1">IF(ISNUMBER(MATCH(DATEVALUE($A39),'changes1_based on steps'!H$1:H$400,0)),H$2,)</f>
        <v>0</v>
      </c>
      <c r="I39" s="179">
        <f ca="1">IF(ISNUMBER(MATCH(DATEVALUE($A39),'changes1_based on steps'!I$1:I$400,0)),I$2,)</f>
        <v>0</v>
      </c>
      <c r="J39" s="179">
        <f ca="1">IF(ISNUMBER(MATCH(DATEVALUE($A39),'changes1_based on steps'!J$1:J$400,0)),J$2,)</f>
        <v>0</v>
      </c>
      <c r="K39" s="179">
        <f ca="1">IF(ISNUMBER(MATCH(DATEVALUE($A39),'changes1_based on steps'!K$1:K$400,0)),K$2,)</f>
        <v>0</v>
      </c>
      <c r="L39" s="179">
        <f ca="1">IF(ISNUMBER(MATCH(DATEVALUE($A39),'changes1_based on steps'!L$1:L$400,0)),L$2,)</f>
        <v>0</v>
      </c>
      <c r="M39" s="179">
        <f ca="1">IF(ISNUMBER(MATCH(DATEVALUE($A39),'changes1_based on steps'!M$1:M$400,0)),M$2,)</f>
        <v>0</v>
      </c>
      <c r="N39" s="179">
        <f ca="1">IF(ISNUMBER(MATCH(DATEVALUE($A39),'changes1_based on steps'!N$1:N$400,0)),N$2,)</f>
        <v>0</v>
      </c>
      <c r="O39" s="179">
        <f ca="1">IF(ISNUMBER(MATCH(DATEVALUE($A39),'changes1_based on steps'!O$1:O$400,0)),O$2,)</f>
        <v>0</v>
      </c>
      <c r="P39" s="179">
        <f ca="1">IF(ISNUMBER(MATCH(DATEVALUE($A39),'changes1_based on steps'!P$1:P$400,0)),P$2,)</f>
        <v>0</v>
      </c>
      <c r="Q39" s="179">
        <f ca="1">IF(ISNUMBER(MATCH(DATEVALUE($A39),'changes1_based on steps'!Q$1:Q$400,0)),Q$2,)</f>
        <v>0</v>
      </c>
      <c r="R39" s="179">
        <f ca="1">IF(ISNUMBER(MATCH(DATEVALUE($A39),'changes1_based on steps'!R$1:R$400,0)),R$2,)</f>
        <v>0</v>
      </c>
      <c r="S39" s="179">
        <f ca="1">IF(ISNUMBER(MATCH(DATEVALUE($A39),'changes1_based on steps'!S$1:S$400,0)),S$2,)</f>
        <v>0</v>
      </c>
      <c r="T39" s="179">
        <f ca="1">IF(ISNUMBER(MATCH(DATEVALUE($A39),'changes1_based on steps'!T$1:T$400,0)),T$2,)</f>
        <v>0</v>
      </c>
      <c r="U39" s="179">
        <f ca="1">IF(ISNUMBER(MATCH(DATEVALUE($A39),'changes1_based on steps'!U$1:U$400,0)),U$2,)</f>
        <v>0</v>
      </c>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79"/>
      <c r="BM39" s="179"/>
      <c r="BN39" s="179"/>
      <c r="BO39" s="179"/>
      <c r="BP39" s="179"/>
      <c r="BQ39" s="179"/>
      <c r="BR39" s="179"/>
      <c r="BS39" s="179"/>
      <c r="BT39" s="179"/>
      <c r="BU39" s="179"/>
      <c r="BV39" s="179"/>
      <c r="BW39" s="179"/>
      <c r="BX39" s="179"/>
      <c r="BY39" s="179"/>
      <c r="BZ39" s="179"/>
      <c r="CA39" s="179"/>
      <c r="CB39" s="179"/>
      <c r="CC39" s="179"/>
      <c r="CD39" s="179"/>
      <c r="CE39" s="179"/>
      <c r="CF39" s="179"/>
      <c r="CG39" s="179"/>
      <c r="CH39" s="179"/>
      <c r="CI39" s="179"/>
      <c r="CJ39" s="179"/>
      <c r="CK39" s="179"/>
      <c r="CL39" s="179"/>
      <c r="CM39" s="179"/>
      <c r="CN39" s="179"/>
      <c r="CO39" s="179"/>
      <c r="CP39" s="179"/>
      <c r="CQ39" s="179"/>
      <c r="CR39" s="179"/>
      <c r="CS39" s="179"/>
      <c r="CT39" s="179"/>
      <c r="CU39" s="179"/>
      <c r="CV39" s="179"/>
      <c r="CW39" s="179"/>
    </row>
    <row r="40" spans="1:101" x14ac:dyDescent="0.2">
      <c r="A40" s="32" t="str">
        <f t="shared" ca="1" si="0"/>
        <v>2025-05-05</v>
      </c>
      <c r="B40" s="179">
        <f ca="1">IF(ISNUMBER(MATCH(DATEVALUE($A40),'changes1_based on steps'!B$1:B$400,0)),B$2,)</f>
        <v>0</v>
      </c>
      <c r="C40" s="179">
        <f ca="1">IF(ISNUMBER(MATCH(DATEVALUE($A40),'changes1_based on steps'!C$1:C$400,0)),C$2,)</f>
        <v>0</v>
      </c>
      <c r="D40" s="179">
        <f ca="1">IF(ISNUMBER(MATCH(DATEVALUE($A40),'changes1_based on steps'!D$1:D$400,0)),D$2,)</f>
        <v>0</v>
      </c>
      <c r="E40" s="179">
        <f ca="1">IF(ISNUMBER(MATCH(DATEVALUE($A40),'changes1_based on steps'!E$1:E$400,0)),E$2,)</f>
        <v>0</v>
      </c>
      <c r="F40" s="179">
        <f ca="1">IF(ISNUMBER(MATCH(DATEVALUE($A40),'changes1_based on steps'!F$1:F$400,0)),F$2,)</f>
        <v>0</v>
      </c>
      <c r="G40" s="179">
        <f ca="1">IF(ISNUMBER(MATCH(DATEVALUE($A40),'changes1_based on steps'!G$1:G$400,0)),G$2,)</f>
        <v>0</v>
      </c>
      <c r="H40" s="179">
        <f ca="1">IF(ISNUMBER(MATCH(DATEVALUE($A40),'changes1_based on steps'!H$1:H$400,0)),H$2,)</f>
        <v>0</v>
      </c>
      <c r="I40" s="179">
        <f ca="1">IF(ISNUMBER(MATCH(DATEVALUE($A40),'changes1_based on steps'!I$1:I$400,0)),I$2,)</f>
        <v>0</v>
      </c>
      <c r="J40" s="179">
        <f ca="1">IF(ISNUMBER(MATCH(DATEVALUE($A40),'changes1_based on steps'!J$1:J$400,0)),J$2,)</f>
        <v>0</v>
      </c>
      <c r="K40" s="179">
        <f ca="1">IF(ISNUMBER(MATCH(DATEVALUE($A40),'changes1_based on steps'!K$1:K$400,0)),K$2,)</f>
        <v>0</v>
      </c>
      <c r="L40" s="179">
        <f ca="1">IF(ISNUMBER(MATCH(DATEVALUE($A40),'changes1_based on steps'!L$1:L$400,0)),L$2,)</f>
        <v>0</v>
      </c>
      <c r="M40" s="179">
        <f ca="1">IF(ISNUMBER(MATCH(DATEVALUE($A40),'changes1_based on steps'!M$1:M$400,0)),M$2,)</f>
        <v>0</v>
      </c>
      <c r="N40" s="179">
        <f ca="1">IF(ISNUMBER(MATCH(DATEVALUE($A40),'changes1_based on steps'!N$1:N$400,0)),N$2,)</f>
        <v>0</v>
      </c>
      <c r="O40" s="179">
        <f ca="1">IF(ISNUMBER(MATCH(DATEVALUE($A40),'changes1_based on steps'!O$1:O$400,0)),O$2,)</f>
        <v>0</v>
      </c>
      <c r="P40" s="179">
        <f ca="1">IF(ISNUMBER(MATCH(DATEVALUE($A40),'changes1_based on steps'!P$1:P$400,0)),P$2,)</f>
        <v>0</v>
      </c>
      <c r="Q40" s="179">
        <f ca="1">IF(ISNUMBER(MATCH(DATEVALUE($A40),'changes1_based on steps'!Q$1:Q$400,0)),Q$2,)</f>
        <v>0</v>
      </c>
      <c r="R40" s="179">
        <f ca="1">IF(ISNUMBER(MATCH(DATEVALUE($A40),'changes1_based on steps'!R$1:R$400,0)),R$2,)</f>
        <v>0</v>
      </c>
      <c r="S40" s="179">
        <f ca="1">IF(ISNUMBER(MATCH(DATEVALUE($A40),'changes1_based on steps'!S$1:S$400,0)),S$2,)</f>
        <v>0</v>
      </c>
      <c r="T40" s="179">
        <f ca="1">IF(ISNUMBER(MATCH(DATEVALUE($A40),'changes1_based on steps'!T$1:T$400,0)),T$2,)</f>
        <v>0</v>
      </c>
      <c r="U40" s="179">
        <f ca="1">IF(ISNUMBER(MATCH(DATEVALUE($A40),'changes1_based on steps'!U$1:U$400,0)),U$2,)</f>
        <v>0</v>
      </c>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79"/>
      <c r="BM40" s="179"/>
      <c r="BN40" s="179"/>
      <c r="BO40" s="179"/>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9"/>
      <c r="CW40" s="179"/>
    </row>
    <row r="41" spans="1:101" x14ac:dyDescent="0.2">
      <c r="A41" s="32" t="str">
        <f t="shared" ca="1" si="0"/>
        <v>2025-05-06</v>
      </c>
      <c r="B41" s="179">
        <f ca="1">IF(ISNUMBER(MATCH(DATEVALUE($A41),'changes1_based on steps'!B$1:B$400,0)),B$2,)</f>
        <v>0</v>
      </c>
      <c r="C41" s="179">
        <f ca="1">IF(ISNUMBER(MATCH(DATEVALUE($A41),'changes1_based on steps'!C$1:C$400,0)),C$2,)</f>
        <v>0</v>
      </c>
      <c r="D41" s="179">
        <f ca="1">IF(ISNUMBER(MATCH(DATEVALUE($A41),'changes1_based on steps'!D$1:D$400,0)),D$2,)</f>
        <v>0</v>
      </c>
      <c r="E41" s="179">
        <f ca="1">IF(ISNUMBER(MATCH(DATEVALUE($A41),'changes1_based on steps'!E$1:E$400,0)),E$2,)</f>
        <v>0</v>
      </c>
      <c r="F41" s="179">
        <f ca="1">IF(ISNUMBER(MATCH(DATEVALUE($A41),'changes1_based on steps'!F$1:F$400,0)),F$2,)</f>
        <v>0</v>
      </c>
      <c r="G41" s="179">
        <f ca="1">IF(ISNUMBER(MATCH(DATEVALUE($A41),'changes1_based on steps'!G$1:G$400,0)),G$2,)</f>
        <v>0</v>
      </c>
      <c r="H41" s="179">
        <f ca="1">IF(ISNUMBER(MATCH(DATEVALUE($A41),'changes1_based on steps'!H$1:H$400,0)),H$2,)</f>
        <v>0</v>
      </c>
      <c r="I41" s="179">
        <f ca="1">IF(ISNUMBER(MATCH(DATEVALUE($A41),'changes1_based on steps'!I$1:I$400,0)),I$2,)</f>
        <v>0</v>
      </c>
      <c r="J41" s="179">
        <f ca="1">IF(ISNUMBER(MATCH(DATEVALUE($A41),'changes1_based on steps'!J$1:J$400,0)),J$2,)</f>
        <v>0</v>
      </c>
      <c r="K41" s="179">
        <f ca="1">IF(ISNUMBER(MATCH(DATEVALUE($A41),'changes1_based on steps'!K$1:K$400,0)),K$2,)</f>
        <v>0</v>
      </c>
      <c r="L41" s="179">
        <f ca="1">IF(ISNUMBER(MATCH(DATEVALUE($A41),'changes1_based on steps'!L$1:L$400,0)),L$2,)</f>
        <v>0</v>
      </c>
      <c r="M41" s="179">
        <f ca="1">IF(ISNUMBER(MATCH(DATEVALUE($A41),'changes1_based on steps'!M$1:M$400,0)),M$2,)</f>
        <v>0</v>
      </c>
      <c r="N41" s="179">
        <f ca="1">IF(ISNUMBER(MATCH(DATEVALUE($A41),'changes1_based on steps'!N$1:N$400,0)),N$2,)</f>
        <v>0</v>
      </c>
      <c r="O41" s="179">
        <f ca="1">IF(ISNUMBER(MATCH(DATEVALUE($A41),'changes1_based on steps'!O$1:O$400,0)),O$2,)</f>
        <v>0</v>
      </c>
      <c r="P41" s="179">
        <f ca="1">IF(ISNUMBER(MATCH(DATEVALUE($A41),'changes1_based on steps'!P$1:P$400,0)),P$2,)</f>
        <v>0</v>
      </c>
      <c r="Q41" s="179">
        <f ca="1">IF(ISNUMBER(MATCH(DATEVALUE($A41),'changes1_based on steps'!Q$1:Q$400,0)),Q$2,)</f>
        <v>0</v>
      </c>
      <c r="R41" s="179">
        <f ca="1">IF(ISNUMBER(MATCH(DATEVALUE($A41),'changes1_based on steps'!R$1:R$400,0)),R$2,)</f>
        <v>0</v>
      </c>
      <c r="S41" s="179">
        <f ca="1">IF(ISNUMBER(MATCH(DATEVALUE($A41),'changes1_based on steps'!S$1:S$400,0)),S$2,)</f>
        <v>0</v>
      </c>
      <c r="T41" s="179">
        <f ca="1">IF(ISNUMBER(MATCH(DATEVALUE($A41),'changes1_based on steps'!T$1:T$400,0)),T$2,)</f>
        <v>0</v>
      </c>
      <c r="U41" s="179">
        <f ca="1">IF(ISNUMBER(MATCH(DATEVALUE($A41),'changes1_based on steps'!U$1:U$400,0)),U$2,)</f>
        <v>0</v>
      </c>
      <c r="V41" s="179"/>
      <c r="W41" s="179"/>
      <c r="X41" s="179"/>
      <c r="Y41" s="179"/>
      <c r="Z41" s="179"/>
      <c r="AA41" s="179"/>
      <c r="AB41" s="179"/>
      <c r="AC41" s="179"/>
      <c r="AD41" s="179"/>
      <c r="AE41" s="179"/>
      <c r="AF41" s="179"/>
      <c r="AG41" s="179"/>
      <c r="AH41" s="179"/>
      <c r="AI41" s="179"/>
      <c r="AJ41" s="179"/>
      <c r="AK41" s="179"/>
      <c r="AL41" s="179"/>
      <c r="AM41" s="179"/>
      <c r="AN41" s="179"/>
      <c r="AO41" s="179"/>
      <c r="AP41" s="179"/>
      <c r="AQ41" s="179"/>
      <c r="AR41" s="179"/>
      <c r="AS41" s="179"/>
      <c r="AT41" s="179"/>
      <c r="AU41" s="179"/>
      <c r="AV41" s="179"/>
      <c r="AW41" s="179"/>
      <c r="AX41" s="179"/>
      <c r="AY41" s="179"/>
      <c r="AZ41" s="179"/>
      <c r="BA41" s="179"/>
      <c r="BB41" s="179"/>
      <c r="BC41" s="179"/>
      <c r="BD41" s="179"/>
      <c r="BE41" s="179"/>
      <c r="BF41" s="179"/>
      <c r="BG41" s="179"/>
      <c r="BH41" s="179"/>
      <c r="BI41" s="179"/>
      <c r="BJ41" s="179"/>
      <c r="BK41" s="179"/>
      <c r="BL41" s="179"/>
      <c r="BM41" s="179"/>
      <c r="BN41" s="179"/>
      <c r="BO41" s="179"/>
      <c r="BP41" s="179"/>
      <c r="BQ41" s="179"/>
      <c r="BR41" s="179"/>
      <c r="BS41" s="179"/>
      <c r="BT41" s="179"/>
      <c r="BU41" s="179"/>
      <c r="BV41" s="179"/>
      <c r="BW41" s="179"/>
      <c r="BX41" s="179"/>
      <c r="BY41" s="179"/>
      <c r="BZ41" s="179"/>
      <c r="CA41" s="179"/>
      <c r="CB41" s="179"/>
      <c r="CC41" s="179"/>
      <c r="CD41" s="179"/>
      <c r="CE41" s="179"/>
      <c r="CF41" s="179"/>
      <c r="CG41" s="179"/>
      <c r="CH41" s="179"/>
      <c r="CI41" s="179"/>
      <c r="CJ41" s="179"/>
      <c r="CK41" s="179"/>
      <c r="CL41" s="179"/>
      <c r="CM41" s="179"/>
      <c r="CN41" s="179"/>
      <c r="CO41" s="179"/>
      <c r="CP41" s="179"/>
      <c r="CQ41" s="179"/>
      <c r="CR41" s="179"/>
      <c r="CS41" s="179"/>
      <c r="CT41" s="179"/>
      <c r="CU41" s="179"/>
      <c r="CV41" s="179"/>
      <c r="CW41" s="179"/>
    </row>
    <row r="42" spans="1:101" x14ac:dyDescent="0.2">
      <c r="A42" s="32" t="str">
        <f t="shared" ca="1" si="0"/>
        <v>2025-05-07</v>
      </c>
      <c r="B42" s="179">
        <f ca="1">IF(ISNUMBER(MATCH(DATEVALUE($A42),'changes1_based on steps'!B$1:B$400,0)),B$2,)</f>
        <v>0</v>
      </c>
      <c r="C42" s="179">
        <f ca="1">IF(ISNUMBER(MATCH(DATEVALUE($A42),'changes1_based on steps'!C$1:C$400,0)),C$2,)</f>
        <v>0</v>
      </c>
      <c r="D42" s="179">
        <f ca="1">IF(ISNUMBER(MATCH(DATEVALUE($A42),'changes1_based on steps'!D$1:D$400,0)),D$2,)</f>
        <v>0</v>
      </c>
      <c r="E42" s="179">
        <f ca="1">IF(ISNUMBER(MATCH(DATEVALUE($A42),'changes1_based on steps'!E$1:E$400,0)),E$2,)</f>
        <v>0</v>
      </c>
      <c r="F42" s="179">
        <f ca="1">IF(ISNUMBER(MATCH(DATEVALUE($A42),'changes1_based on steps'!F$1:F$400,0)),F$2,)</f>
        <v>0</v>
      </c>
      <c r="G42" s="179">
        <f ca="1">IF(ISNUMBER(MATCH(DATEVALUE($A42),'changes1_based on steps'!G$1:G$400,0)),G$2,)</f>
        <v>0</v>
      </c>
      <c r="H42" s="179">
        <f ca="1">IF(ISNUMBER(MATCH(DATEVALUE($A42),'changes1_based on steps'!H$1:H$400,0)),H$2,)</f>
        <v>0</v>
      </c>
      <c r="I42" s="179">
        <f ca="1">IF(ISNUMBER(MATCH(DATEVALUE($A42),'changes1_based on steps'!I$1:I$400,0)),I$2,)</f>
        <v>0</v>
      </c>
      <c r="J42" s="179">
        <f ca="1">IF(ISNUMBER(MATCH(DATEVALUE($A42),'changes1_based on steps'!J$1:J$400,0)),J$2,)</f>
        <v>0</v>
      </c>
      <c r="K42" s="179">
        <f ca="1">IF(ISNUMBER(MATCH(DATEVALUE($A42),'changes1_based on steps'!K$1:K$400,0)),K$2,)</f>
        <v>0</v>
      </c>
      <c r="L42" s="179">
        <f ca="1">IF(ISNUMBER(MATCH(DATEVALUE($A42),'changes1_based on steps'!L$1:L$400,0)),L$2,)</f>
        <v>0</v>
      </c>
      <c r="M42" s="179">
        <f ca="1">IF(ISNUMBER(MATCH(DATEVALUE($A42),'changes1_based on steps'!M$1:M$400,0)),M$2,)</f>
        <v>0</v>
      </c>
      <c r="N42" s="179">
        <f ca="1">IF(ISNUMBER(MATCH(DATEVALUE($A42),'changes1_based on steps'!N$1:N$400,0)),N$2,)</f>
        <v>0</v>
      </c>
      <c r="O42" s="179">
        <f ca="1">IF(ISNUMBER(MATCH(DATEVALUE($A42),'changes1_based on steps'!O$1:O$400,0)),O$2,)</f>
        <v>0</v>
      </c>
      <c r="P42" s="179">
        <f ca="1">IF(ISNUMBER(MATCH(DATEVALUE($A42),'changes1_based on steps'!P$1:P$400,0)),P$2,)</f>
        <v>0</v>
      </c>
      <c r="Q42" s="179">
        <f ca="1">IF(ISNUMBER(MATCH(DATEVALUE($A42),'changes1_based on steps'!Q$1:Q$400,0)),Q$2,)</f>
        <v>0</v>
      </c>
      <c r="R42" s="179">
        <f ca="1">IF(ISNUMBER(MATCH(DATEVALUE($A42),'changes1_based on steps'!R$1:R$400,0)),R$2,)</f>
        <v>0</v>
      </c>
      <c r="S42" s="179">
        <f ca="1">IF(ISNUMBER(MATCH(DATEVALUE($A42),'changes1_based on steps'!S$1:S$400,0)),S$2,)</f>
        <v>0</v>
      </c>
      <c r="T42" s="179">
        <f ca="1">IF(ISNUMBER(MATCH(DATEVALUE($A42),'changes1_based on steps'!T$1:T$400,0)),T$2,)</f>
        <v>0</v>
      </c>
      <c r="U42" s="179">
        <f ca="1">IF(ISNUMBER(MATCH(DATEVALUE($A42),'changes1_based on steps'!U$1:U$400,0)),U$2,)</f>
        <v>0</v>
      </c>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79"/>
      <c r="BM42" s="179"/>
      <c r="BN42" s="179"/>
      <c r="BO42" s="179"/>
      <c r="BP42" s="179"/>
      <c r="BQ42" s="179"/>
      <c r="BR42" s="179"/>
      <c r="BS42" s="179"/>
      <c r="BT42" s="179"/>
      <c r="BU42" s="179"/>
      <c r="BV42" s="179"/>
      <c r="BW42" s="179"/>
      <c r="BX42" s="179"/>
      <c r="BY42" s="179"/>
      <c r="BZ42" s="179"/>
      <c r="CA42" s="179"/>
      <c r="CB42" s="179"/>
      <c r="CC42" s="179"/>
      <c r="CD42" s="179"/>
      <c r="CE42" s="179"/>
      <c r="CF42" s="179"/>
      <c r="CG42" s="179"/>
      <c r="CH42" s="179"/>
      <c r="CI42" s="179"/>
      <c r="CJ42" s="179"/>
      <c r="CK42" s="179"/>
      <c r="CL42" s="179"/>
      <c r="CM42" s="179"/>
      <c r="CN42" s="179"/>
      <c r="CO42" s="179"/>
      <c r="CP42" s="179"/>
      <c r="CQ42" s="179"/>
      <c r="CR42" s="179"/>
      <c r="CS42" s="179"/>
      <c r="CT42" s="179"/>
      <c r="CU42" s="179"/>
      <c r="CV42" s="179"/>
      <c r="CW42" s="179"/>
    </row>
    <row r="43" spans="1:101" x14ac:dyDescent="0.2">
      <c r="A43" s="32" t="str">
        <f t="shared" ca="1" si="0"/>
        <v>2025-05-08</v>
      </c>
      <c r="B43" s="179">
        <f ca="1">IF(ISNUMBER(MATCH(DATEVALUE($A43),'changes1_based on steps'!B$1:B$400,0)),B$2,)</f>
        <v>0</v>
      </c>
      <c r="C43" s="179">
        <f ca="1">IF(ISNUMBER(MATCH(DATEVALUE($A43),'changes1_based on steps'!C$1:C$400,0)),C$2,)</f>
        <v>0</v>
      </c>
      <c r="D43" s="179">
        <f ca="1">IF(ISNUMBER(MATCH(DATEVALUE($A43),'changes1_based on steps'!D$1:D$400,0)),D$2,)</f>
        <v>0</v>
      </c>
      <c r="E43" s="179">
        <f ca="1">IF(ISNUMBER(MATCH(DATEVALUE($A43),'changes1_based on steps'!E$1:E$400,0)),E$2,)</f>
        <v>0</v>
      </c>
      <c r="F43" s="179">
        <f ca="1">IF(ISNUMBER(MATCH(DATEVALUE($A43),'changes1_based on steps'!F$1:F$400,0)),F$2,)</f>
        <v>0</v>
      </c>
      <c r="G43" s="179">
        <f ca="1">IF(ISNUMBER(MATCH(DATEVALUE($A43),'changes1_based on steps'!G$1:G$400,0)),G$2,)</f>
        <v>0</v>
      </c>
      <c r="H43" s="179">
        <f ca="1">IF(ISNUMBER(MATCH(DATEVALUE($A43),'changes1_based on steps'!H$1:H$400,0)),H$2,)</f>
        <v>0</v>
      </c>
      <c r="I43" s="179">
        <f ca="1">IF(ISNUMBER(MATCH(DATEVALUE($A43),'changes1_based on steps'!I$1:I$400,0)),I$2,)</f>
        <v>0</v>
      </c>
      <c r="J43" s="179">
        <f ca="1">IF(ISNUMBER(MATCH(DATEVALUE($A43),'changes1_based on steps'!J$1:J$400,0)),J$2,)</f>
        <v>0</v>
      </c>
      <c r="K43" s="179">
        <f ca="1">IF(ISNUMBER(MATCH(DATEVALUE($A43),'changes1_based on steps'!K$1:K$400,0)),K$2,)</f>
        <v>0</v>
      </c>
      <c r="L43" s="179">
        <f ca="1">IF(ISNUMBER(MATCH(DATEVALUE($A43),'changes1_based on steps'!L$1:L$400,0)),L$2,)</f>
        <v>0</v>
      </c>
      <c r="M43" s="179">
        <f ca="1">IF(ISNUMBER(MATCH(DATEVALUE($A43),'changes1_based on steps'!M$1:M$400,0)),M$2,)</f>
        <v>0</v>
      </c>
      <c r="N43" s="179">
        <f ca="1">IF(ISNUMBER(MATCH(DATEVALUE($A43),'changes1_based on steps'!N$1:N$400,0)),N$2,)</f>
        <v>0</v>
      </c>
      <c r="O43" s="179">
        <f ca="1">IF(ISNUMBER(MATCH(DATEVALUE($A43),'changes1_based on steps'!O$1:O$400,0)),O$2,)</f>
        <v>0</v>
      </c>
      <c r="P43" s="179">
        <f ca="1">IF(ISNUMBER(MATCH(DATEVALUE($A43),'changes1_based on steps'!P$1:P$400,0)),P$2,)</f>
        <v>0</v>
      </c>
      <c r="Q43" s="179">
        <f ca="1">IF(ISNUMBER(MATCH(DATEVALUE($A43),'changes1_based on steps'!Q$1:Q$400,0)),Q$2,)</f>
        <v>0</v>
      </c>
      <c r="R43" s="179">
        <f ca="1">IF(ISNUMBER(MATCH(DATEVALUE($A43),'changes1_based on steps'!R$1:R$400,0)),R$2,)</f>
        <v>0</v>
      </c>
      <c r="S43" s="179">
        <f ca="1">IF(ISNUMBER(MATCH(DATEVALUE($A43),'changes1_based on steps'!S$1:S$400,0)),S$2,)</f>
        <v>0</v>
      </c>
      <c r="T43" s="179">
        <f ca="1">IF(ISNUMBER(MATCH(DATEVALUE($A43),'changes1_based on steps'!T$1:T$400,0)),T$2,)</f>
        <v>0</v>
      </c>
      <c r="U43" s="179">
        <f ca="1">IF(ISNUMBER(MATCH(DATEVALUE($A43),'changes1_based on steps'!U$1:U$400,0)),U$2,)</f>
        <v>0</v>
      </c>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79"/>
      <c r="BM43" s="179"/>
      <c r="BN43" s="179"/>
      <c r="BO43" s="179"/>
      <c r="BP43" s="179"/>
      <c r="BQ43" s="179"/>
      <c r="BR43" s="179"/>
      <c r="BS43" s="179"/>
      <c r="BT43" s="179"/>
      <c r="BU43" s="179"/>
      <c r="BV43" s="179"/>
      <c r="BW43" s="179"/>
      <c r="BX43" s="179"/>
      <c r="BY43" s="179"/>
      <c r="BZ43" s="179"/>
      <c r="CA43" s="179"/>
      <c r="CB43" s="179"/>
      <c r="CC43" s="179"/>
      <c r="CD43" s="179"/>
      <c r="CE43" s="179"/>
      <c r="CF43" s="179"/>
      <c r="CG43" s="179"/>
      <c r="CH43" s="179"/>
      <c r="CI43" s="179"/>
      <c r="CJ43" s="179"/>
      <c r="CK43" s="179"/>
      <c r="CL43" s="179"/>
      <c r="CM43" s="179"/>
      <c r="CN43" s="179"/>
      <c r="CO43" s="179"/>
      <c r="CP43" s="179"/>
      <c r="CQ43" s="179"/>
      <c r="CR43" s="179"/>
      <c r="CS43" s="179"/>
      <c r="CT43" s="179"/>
      <c r="CU43" s="179"/>
      <c r="CV43" s="179"/>
      <c r="CW43" s="179"/>
    </row>
    <row r="44" spans="1:101" x14ac:dyDescent="0.2">
      <c r="A44" s="32" t="str">
        <f t="shared" ca="1" si="0"/>
        <v>2025-05-09</v>
      </c>
      <c r="B44" s="179">
        <f ca="1">IF(ISNUMBER(MATCH(DATEVALUE($A44),'changes1_based on steps'!B$1:B$400,0)),B$2,)</f>
        <v>0</v>
      </c>
      <c r="C44" s="179">
        <f ca="1">IF(ISNUMBER(MATCH(DATEVALUE($A44),'changes1_based on steps'!C$1:C$400,0)),C$2,)</f>
        <v>0</v>
      </c>
      <c r="D44" s="179">
        <f ca="1">IF(ISNUMBER(MATCH(DATEVALUE($A44),'changes1_based on steps'!D$1:D$400,0)),D$2,)</f>
        <v>0</v>
      </c>
      <c r="E44" s="179">
        <f ca="1">IF(ISNUMBER(MATCH(DATEVALUE($A44),'changes1_based on steps'!E$1:E$400,0)),E$2,)</f>
        <v>0</v>
      </c>
      <c r="F44" s="179">
        <f ca="1">IF(ISNUMBER(MATCH(DATEVALUE($A44),'changes1_based on steps'!F$1:F$400,0)),F$2,)</f>
        <v>0</v>
      </c>
      <c r="G44" s="179">
        <f ca="1">IF(ISNUMBER(MATCH(DATEVALUE($A44),'changes1_based on steps'!G$1:G$400,0)),G$2,)</f>
        <v>0</v>
      </c>
      <c r="H44" s="179">
        <f ca="1">IF(ISNUMBER(MATCH(DATEVALUE($A44),'changes1_based on steps'!H$1:H$400,0)),H$2,)</f>
        <v>0</v>
      </c>
      <c r="I44" s="179">
        <f ca="1">IF(ISNUMBER(MATCH(DATEVALUE($A44),'changes1_based on steps'!I$1:I$400,0)),I$2,)</f>
        <v>0</v>
      </c>
      <c r="J44" s="179">
        <f ca="1">IF(ISNUMBER(MATCH(DATEVALUE($A44),'changes1_based on steps'!J$1:J$400,0)),J$2,)</f>
        <v>0</v>
      </c>
      <c r="K44" s="179">
        <f ca="1">IF(ISNUMBER(MATCH(DATEVALUE($A44),'changes1_based on steps'!K$1:K$400,0)),K$2,)</f>
        <v>0</v>
      </c>
      <c r="L44" s="179">
        <f ca="1">IF(ISNUMBER(MATCH(DATEVALUE($A44),'changes1_based on steps'!L$1:L$400,0)),L$2,)</f>
        <v>0</v>
      </c>
      <c r="M44" s="179">
        <f ca="1">IF(ISNUMBER(MATCH(DATEVALUE($A44),'changes1_based on steps'!M$1:M$400,0)),M$2,)</f>
        <v>0</v>
      </c>
      <c r="N44" s="179">
        <f ca="1">IF(ISNUMBER(MATCH(DATEVALUE($A44),'changes1_based on steps'!N$1:N$400,0)),N$2,)</f>
        <v>0</v>
      </c>
      <c r="O44" s="179">
        <f ca="1">IF(ISNUMBER(MATCH(DATEVALUE($A44),'changes1_based on steps'!O$1:O$400,0)),O$2,)</f>
        <v>0</v>
      </c>
      <c r="P44" s="179">
        <f ca="1">IF(ISNUMBER(MATCH(DATEVALUE($A44),'changes1_based on steps'!P$1:P$400,0)),P$2,)</f>
        <v>0</v>
      </c>
      <c r="Q44" s="179">
        <f ca="1">IF(ISNUMBER(MATCH(DATEVALUE($A44),'changes1_based on steps'!Q$1:Q$400,0)),Q$2,)</f>
        <v>0</v>
      </c>
      <c r="R44" s="179">
        <f ca="1">IF(ISNUMBER(MATCH(DATEVALUE($A44),'changes1_based on steps'!R$1:R$400,0)),R$2,)</f>
        <v>0</v>
      </c>
      <c r="S44" s="179">
        <f ca="1">IF(ISNUMBER(MATCH(DATEVALUE($A44),'changes1_based on steps'!S$1:S$400,0)),S$2,)</f>
        <v>0</v>
      </c>
      <c r="T44" s="179">
        <f ca="1">IF(ISNUMBER(MATCH(DATEVALUE($A44),'changes1_based on steps'!T$1:T$400,0)),T$2,)</f>
        <v>0</v>
      </c>
      <c r="U44" s="179">
        <f ca="1">IF(ISNUMBER(MATCH(DATEVALUE($A44),'changes1_based on steps'!U$1:U$400,0)),U$2,)</f>
        <v>0</v>
      </c>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row>
    <row r="45" spans="1:101" x14ac:dyDescent="0.2">
      <c r="A45" s="32" t="str">
        <f t="shared" ca="1" si="0"/>
        <v>2025-05-10</v>
      </c>
      <c r="B45" s="179">
        <f ca="1">IF(ISNUMBER(MATCH(DATEVALUE($A45),'changes1_based on steps'!B$1:B$400,0)),B$2,)</f>
        <v>0</v>
      </c>
      <c r="C45" s="179">
        <f ca="1">IF(ISNUMBER(MATCH(DATEVALUE($A45),'changes1_based on steps'!C$1:C$400,0)),C$2,)</f>
        <v>0</v>
      </c>
      <c r="D45" s="179">
        <f ca="1">IF(ISNUMBER(MATCH(DATEVALUE($A45),'changes1_based on steps'!D$1:D$400,0)),D$2,)</f>
        <v>0</v>
      </c>
      <c r="E45" s="179">
        <f ca="1">IF(ISNUMBER(MATCH(DATEVALUE($A45),'changes1_based on steps'!E$1:E$400,0)),E$2,)</f>
        <v>0</v>
      </c>
      <c r="F45" s="179">
        <f ca="1">IF(ISNUMBER(MATCH(DATEVALUE($A45),'changes1_based on steps'!F$1:F$400,0)),F$2,)</f>
        <v>0</v>
      </c>
      <c r="G45" s="179">
        <f ca="1">IF(ISNUMBER(MATCH(DATEVALUE($A45),'changes1_based on steps'!G$1:G$400,0)),G$2,)</f>
        <v>0</v>
      </c>
      <c r="H45" s="179">
        <f ca="1">IF(ISNUMBER(MATCH(DATEVALUE($A45),'changes1_based on steps'!H$1:H$400,0)),H$2,)</f>
        <v>0</v>
      </c>
      <c r="I45" s="179">
        <f ca="1">IF(ISNUMBER(MATCH(DATEVALUE($A45),'changes1_based on steps'!I$1:I$400,0)),I$2,)</f>
        <v>0</v>
      </c>
      <c r="J45" s="179">
        <f ca="1">IF(ISNUMBER(MATCH(DATEVALUE($A45),'changes1_based on steps'!J$1:J$400,0)),J$2,)</f>
        <v>0</v>
      </c>
      <c r="K45" s="179">
        <f ca="1">IF(ISNUMBER(MATCH(DATEVALUE($A45),'changes1_based on steps'!K$1:K$400,0)),K$2,)</f>
        <v>0</v>
      </c>
      <c r="L45" s="179">
        <f ca="1">IF(ISNUMBER(MATCH(DATEVALUE($A45),'changes1_based on steps'!L$1:L$400,0)),L$2,)</f>
        <v>0</v>
      </c>
      <c r="M45" s="179">
        <f ca="1">IF(ISNUMBER(MATCH(DATEVALUE($A45),'changes1_based on steps'!M$1:M$400,0)),M$2,)</f>
        <v>0</v>
      </c>
      <c r="N45" s="179">
        <f ca="1">IF(ISNUMBER(MATCH(DATEVALUE($A45),'changes1_based on steps'!N$1:N$400,0)),N$2,)</f>
        <v>0</v>
      </c>
      <c r="O45" s="179">
        <f ca="1">IF(ISNUMBER(MATCH(DATEVALUE($A45),'changes1_based on steps'!O$1:O$400,0)),O$2,)</f>
        <v>0</v>
      </c>
      <c r="P45" s="179">
        <f ca="1">IF(ISNUMBER(MATCH(DATEVALUE($A45),'changes1_based on steps'!P$1:P$400,0)),P$2,)</f>
        <v>0</v>
      </c>
      <c r="Q45" s="179">
        <f ca="1">IF(ISNUMBER(MATCH(DATEVALUE($A45),'changes1_based on steps'!Q$1:Q$400,0)),Q$2,)</f>
        <v>0</v>
      </c>
      <c r="R45" s="179">
        <f ca="1">IF(ISNUMBER(MATCH(DATEVALUE($A45),'changes1_based on steps'!R$1:R$400,0)),R$2,)</f>
        <v>0</v>
      </c>
      <c r="S45" s="179">
        <f ca="1">IF(ISNUMBER(MATCH(DATEVALUE($A45),'changes1_based on steps'!S$1:S$400,0)),S$2,)</f>
        <v>0</v>
      </c>
      <c r="T45" s="179">
        <f ca="1">IF(ISNUMBER(MATCH(DATEVALUE($A45),'changes1_based on steps'!T$1:T$400,0)),T$2,)</f>
        <v>0</v>
      </c>
      <c r="U45" s="179">
        <f ca="1">IF(ISNUMBER(MATCH(DATEVALUE($A45),'changes1_based on steps'!U$1:U$400,0)),U$2,)</f>
        <v>0</v>
      </c>
      <c r="V45" s="179"/>
      <c r="W45" s="179"/>
      <c r="X45" s="179"/>
      <c r="Y45" s="179"/>
      <c r="Z45" s="179"/>
      <c r="AA45" s="179"/>
      <c r="AB45" s="179"/>
      <c r="AC45" s="179"/>
      <c r="AD45" s="179"/>
      <c r="AE45" s="179"/>
      <c r="AF45" s="179"/>
      <c r="AG45" s="179"/>
      <c r="AH45" s="179"/>
      <c r="AI45" s="179"/>
      <c r="AJ45" s="179"/>
      <c r="AK45" s="179"/>
      <c r="AL45" s="179"/>
      <c r="AM45" s="179"/>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row>
    <row r="46" spans="1:101" x14ac:dyDescent="0.2">
      <c r="A46" s="32" t="str">
        <f t="shared" ca="1" si="0"/>
        <v>2025-05-11</v>
      </c>
      <c r="B46" s="179">
        <f ca="1">IF(ISNUMBER(MATCH(DATEVALUE($A46),'changes1_based on steps'!B$1:B$400,0)),B$2,)</f>
        <v>0</v>
      </c>
      <c r="C46" s="179">
        <f ca="1">IF(ISNUMBER(MATCH(DATEVALUE($A46),'changes1_based on steps'!C$1:C$400,0)),C$2,)</f>
        <v>0</v>
      </c>
      <c r="D46" s="179">
        <f ca="1">IF(ISNUMBER(MATCH(DATEVALUE($A46),'changes1_based on steps'!D$1:D$400,0)),D$2,)</f>
        <v>0</v>
      </c>
      <c r="E46" s="179">
        <f ca="1">IF(ISNUMBER(MATCH(DATEVALUE($A46),'changes1_based on steps'!E$1:E$400,0)),E$2,)</f>
        <v>0</v>
      </c>
      <c r="F46" s="179">
        <f ca="1">IF(ISNUMBER(MATCH(DATEVALUE($A46),'changes1_based on steps'!F$1:F$400,0)),F$2,)</f>
        <v>0</v>
      </c>
      <c r="G46" s="179">
        <f ca="1">IF(ISNUMBER(MATCH(DATEVALUE($A46),'changes1_based on steps'!G$1:G$400,0)),G$2,)</f>
        <v>0</v>
      </c>
      <c r="H46" s="179">
        <f ca="1">IF(ISNUMBER(MATCH(DATEVALUE($A46),'changes1_based on steps'!H$1:H$400,0)),H$2,)</f>
        <v>0</v>
      </c>
      <c r="I46" s="179">
        <f ca="1">IF(ISNUMBER(MATCH(DATEVALUE($A46),'changes1_based on steps'!I$1:I$400,0)),I$2,)</f>
        <v>0</v>
      </c>
      <c r="J46" s="179">
        <f ca="1">IF(ISNUMBER(MATCH(DATEVALUE($A46),'changes1_based on steps'!J$1:J$400,0)),J$2,)</f>
        <v>0</v>
      </c>
      <c r="K46" s="179">
        <f ca="1">IF(ISNUMBER(MATCH(DATEVALUE($A46),'changes1_based on steps'!K$1:K$400,0)),K$2,)</f>
        <v>0</v>
      </c>
      <c r="L46" s="179">
        <f ca="1">IF(ISNUMBER(MATCH(DATEVALUE($A46),'changes1_based on steps'!L$1:L$400,0)),L$2,)</f>
        <v>0</v>
      </c>
      <c r="M46" s="179">
        <f ca="1">IF(ISNUMBER(MATCH(DATEVALUE($A46),'changes1_based on steps'!M$1:M$400,0)),M$2,)</f>
        <v>0</v>
      </c>
      <c r="N46" s="179">
        <f ca="1">IF(ISNUMBER(MATCH(DATEVALUE($A46),'changes1_based on steps'!N$1:N$400,0)),N$2,)</f>
        <v>0</v>
      </c>
      <c r="O46" s="179">
        <f ca="1">IF(ISNUMBER(MATCH(DATEVALUE($A46),'changes1_based on steps'!O$1:O$400,0)),O$2,)</f>
        <v>0</v>
      </c>
      <c r="P46" s="179">
        <f ca="1">IF(ISNUMBER(MATCH(DATEVALUE($A46),'changes1_based on steps'!P$1:P$400,0)),P$2,)</f>
        <v>0</v>
      </c>
      <c r="Q46" s="179">
        <f ca="1">IF(ISNUMBER(MATCH(DATEVALUE($A46),'changes1_based on steps'!Q$1:Q$400,0)),Q$2,)</f>
        <v>0</v>
      </c>
      <c r="R46" s="179">
        <f ca="1">IF(ISNUMBER(MATCH(DATEVALUE($A46),'changes1_based on steps'!R$1:R$400,0)),R$2,)</f>
        <v>0</v>
      </c>
      <c r="S46" s="179">
        <f ca="1">IF(ISNUMBER(MATCH(DATEVALUE($A46),'changes1_based on steps'!S$1:S$400,0)),S$2,)</f>
        <v>0</v>
      </c>
      <c r="T46" s="179">
        <f ca="1">IF(ISNUMBER(MATCH(DATEVALUE($A46),'changes1_based on steps'!T$1:T$400,0)),T$2,)</f>
        <v>0</v>
      </c>
      <c r="U46" s="179">
        <f ca="1">IF(ISNUMBER(MATCH(DATEVALUE($A46),'changes1_based on steps'!U$1:U$400,0)),U$2,)</f>
        <v>0</v>
      </c>
      <c r="V46" s="179"/>
      <c r="W46" s="179"/>
      <c r="X46" s="179"/>
      <c r="Y46" s="179"/>
      <c r="Z46" s="179"/>
      <c r="AA46" s="179"/>
      <c r="AB46" s="179"/>
      <c r="AC46" s="179"/>
      <c r="AD46" s="179"/>
      <c r="AE46" s="179"/>
      <c r="AF46" s="179"/>
      <c r="AG46" s="179"/>
      <c r="AH46" s="179"/>
      <c r="AI46" s="179"/>
      <c r="AJ46" s="179"/>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row>
    <row r="47" spans="1:101" x14ac:dyDescent="0.2">
      <c r="A47" s="32" t="str">
        <f t="shared" ca="1" si="0"/>
        <v>2025-05-12</v>
      </c>
      <c r="B47" s="179">
        <f ca="1">IF(ISNUMBER(MATCH(DATEVALUE($A47),'changes1_based on steps'!B$1:B$400,0)),B$2,)</f>
        <v>0</v>
      </c>
      <c r="C47" s="179">
        <f ca="1">IF(ISNUMBER(MATCH(DATEVALUE($A47),'changes1_based on steps'!C$1:C$400,0)),C$2,)</f>
        <v>0</v>
      </c>
      <c r="D47" s="179">
        <f ca="1">IF(ISNUMBER(MATCH(DATEVALUE($A47),'changes1_based on steps'!D$1:D$400,0)),D$2,)</f>
        <v>0</v>
      </c>
      <c r="E47" s="179">
        <f ca="1">IF(ISNUMBER(MATCH(DATEVALUE($A47),'changes1_based on steps'!E$1:E$400,0)),E$2,)</f>
        <v>0</v>
      </c>
      <c r="F47" s="179">
        <f ca="1">IF(ISNUMBER(MATCH(DATEVALUE($A47),'changes1_based on steps'!F$1:F$400,0)),F$2,)</f>
        <v>0</v>
      </c>
      <c r="G47" s="179">
        <f ca="1">IF(ISNUMBER(MATCH(DATEVALUE($A47),'changes1_based on steps'!G$1:G$400,0)),G$2,)</f>
        <v>0</v>
      </c>
      <c r="H47" s="179">
        <f ca="1">IF(ISNUMBER(MATCH(DATEVALUE($A47),'changes1_based on steps'!H$1:H$400,0)),H$2,)</f>
        <v>0</v>
      </c>
      <c r="I47" s="179">
        <f ca="1">IF(ISNUMBER(MATCH(DATEVALUE($A47),'changes1_based on steps'!I$1:I$400,0)),I$2,)</f>
        <v>0</v>
      </c>
      <c r="J47" s="179">
        <f ca="1">IF(ISNUMBER(MATCH(DATEVALUE($A47),'changes1_based on steps'!J$1:J$400,0)),J$2,)</f>
        <v>0</v>
      </c>
      <c r="K47" s="179">
        <f ca="1">IF(ISNUMBER(MATCH(DATEVALUE($A47),'changes1_based on steps'!K$1:K$400,0)),K$2,)</f>
        <v>0</v>
      </c>
      <c r="L47" s="179">
        <f ca="1">IF(ISNUMBER(MATCH(DATEVALUE($A47),'changes1_based on steps'!L$1:L$400,0)),L$2,)</f>
        <v>0</v>
      </c>
      <c r="M47" s="179">
        <f ca="1">IF(ISNUMBER(MATCH(DATEVALUE($A47),'changes1_based on steps'!M$1:M$400,0)),M$2,)</f>
        <v>0</v>
      </c>
      <c r="N47" s="179">
        <f ca="1">IF(ISNUMBER(MATCH(DATEVALUE($A47),'changes1_based on steps'!N$1:N$400,0)),N$2,)</f>
        <v>0</v>
      </c>
      <c r="O47" s="179">
        <f ca="1">IF(ISNUMBER(MATCH(DATEVALUE($A47),'changes1_based on steps'!O$1:O$400,0)),O$2,)</f>
        <v>0</v>
      </c>
      <c r="P47" s="179">
        <f ca="1">IF(ISNUMBER(MATCH(DATEVALUE($A47),'changes1_based on steps'!P$1:P$400,0)),P$2,)</f>
        <v>0</v>
      </c>
      <c r="Q47" s="179">
        <f ca="1">IF(ISNUMBER(MATCH(DATEVALUE($A47),'changes1_based on steps'!Q$1:Q$400,0)),Q$2,)</f>
        <v>0</v>
      </c>
      <c r="R47" s="179">
        <f ca="1">IF(ISNUMBER(MATCH(DATEVALUE($A47),'changes1_based on steps'!R$1:R$400,0)),R$2,)</f>
        <v>0</v>
      </c>
      <c r="S47" s="179">
        <f ca="1">IF(ISNUMBER(MATCH(DATEVALUE($A47),'changes1_based on steps'!S$1:S$400,0)),S$2,)</f>
        <v>0</v>
      </c>
      <c r="T47" s="179">
        <f ca="1">IF(ISNUMBER(MATCH(DATEVALUE($A47),'changes1_based on steps'!T$1:T$400,0)),T$2,)</f>
        <v>0</v>
      </c>
      <c r="U47" s="179">
        <f ca="1">IF(ISNUMBER(MATCH(DATEVALUE($A47),'changes1_based on steps'!U$1:U$400,0)),U$2,)</f>
        <v>0</v>
      </c>
      <c r="V47" s="179"/>
      <c r="W47" s="179"/>
      <c r="X47" s="179"/>
      <c r="Y47" s="179"/>
      <c r="Z47" s="179"/>
      <c r="AA47" s="179"/>
      <c r="AB47" s="179"/>
      <c r="AC47" s="179"/>
      <c r="AD47" s="179"/>
      <c r="AE47" s="179"/>
      <c r="AF47" s="179"/>
      <c r="AG47" s="179"/>
      <c r="AH47" s="179"/>
      <c r="AI47" s="179"/>
      <c r="AJ47" s="179"/>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row>
    <row r="48" spans="1:101" x14ac:dyDescent="0.2">
      <c r="A48" s="32" t="str">
        <f t="shared" ca="1" si="0"/>
        <v>2025-05-13</v>
      </c>
      <c r="B48" s="179">
        <f ca="1">IF(ISNUMBER(MATCH(DATEVALUE($A48),'changes1_based on steps'!B$1:B$400,0)),B$2,)</f>
        <v>0</v>
      </c>
      <c r="C48" s="179">
        <f ca="1">IF(ISNUMBER(MATCH(DATEVALUE($A48),'changes1_based on steps'!C$1:C$400,0)),C$2,)</f>
        <v>0</v>
      </c>
      <c r="D48" s="179">
        <f ca="1">IF(ISNUMBER(MATCH(DATEVALUE($A48),'changes1_based on steps'!D$1:D$400,0)),D$2,)</f>
        <v>0</v>
      </c>
      <c r="E48" s="179">
        <f ca="1">IF(ISNUMBER(MATCH(DATEVALUE($A48),'changes1_based on steps'!E$1:E$400,0)),E$2,)</f>
        <v>0</v>
      </c>
      <c r="F48" s="179">
        <f ca="1">IF(ISNUMBER(MATCH(DATEVALUE($A48),'changes1_based on steps'!F$1:F$400,0)),F$2,)</f>
        <v>0</v>
      </c>
      <c r="G48" s="179">
        <f ca="1">IF(ISNUMBER(MATCH(DATEVALUE($A48),'changes1_based on steps'!G$1:G$400,0)),G$2,)</f>
        <v>0</v>
      </c>
      <c r="H48" s="179">
        <f ca="1">IF(ISNUMBER(MATCH(DATEVALUE($A48),'changes1_based on steps'!H$1:H$400,0)),H$2,)</f>
        <v>0</v>
      </c>
      <c r="I48" s="179">
        <f ca="1">IF(ISNUMBER(MATCH(DATEVALUE($A48),'changes1_based on steps'!I$1:I$400,0)),I$2,)</f>
        <v>0</v>
      </c>
      <c r="J48" s="179">
        <f ca="1">IF(ISNUMBER(MATCH(DATEVALUE($A48),'changes1_based on steps'!J$1:J$400,0)),J$2,)</f>
        <v>0</v>
      </c>
      <c r="K48" s="179">
        <f ca="1">IF(ISNUMBER(MATCH(DATEVALUE($A48),'changes1_based on steps'!K$1:K$400,0)),K$2,)</f>
        <v>0</v>
      </c>
      <c r="L48" s="179">
        <f ca="1">IF(ISNUMBER(MATCH(DATEVALUE($A48),'changes1_based on steps'!L$1:L$400,0)),L$2,)</f>
        <v>0</v>
      </c>
      <c r="M48" s="179">
        <f ca="1">IF(ISNUMBER(MATCH(DATEVALUE($A48),'changes1_based on steps'!M$1:M$400,0)),M$2,)</f>
        <v>0</v>
      </c>
      <c r="N48" s="179">
        <f ca="1">IF(ISNUMBER(MATCH(DATEVALUE($A48),'changes1_based on steps'!N$1:N$400,0)),N$2,)</f>
        <v>0</v>
      </c>
      <c r="O48" s="179">
        <f ca="1">IF(ISNUMBER(MATCH(DATEVALUE($A48),'changes1_based on steps'!O$1:O$400,0)),O$2,)</f>
        <v>0</v>
      </c>
      <c r="P48" s="179">
        <f ca="1">IF(ISNUMBER(MATCH(DATEVALUE($A48),'changes1_based on steps'!P$1:P$400,0)),P$2,)</f>
        <v>0</v>
      </c>
      <c r="Q48" s="179">
        <f ca="1">IF(ISNUMBER(MATCH(DATEVALUE($A48),'changes1_based on steps'!Q$1:Q$400,0)),Q$2,)</f>
        <v>0</v>
      </c>
      <c r="R48" s="179">
        <f ca="1">IF(ISNUMBER(MATCH(DATEVALUE($A48),'changes1_based on steps'!R$1:R$400,0)),R$2,)</f>
        <v>0</v>
      </c>
      <c r="S48" s="179">
        <f ca="1">IF(ISNUMBER(MATCH(DATEVALUE($A48),'changes1_based on steps'!S$1:S$400,0)),S$2,)</f>
        <v>0</v>
      </c>
      <c r="T48" s="179">
        <f ca="1">IF(ISNUMBER(MATCH(DATEVALUE($A48),'changes1_based on steps'!T$1:T$400,0)),T$2,)</f>
        <v>0</v>
      </c>
      <c r="U48" s="179">
        <f ca="1">IF(ISNUMBER(MATCH(DATEVALUE($A48),'changes1_based on steps'!U$1:U$400,0)),U$2,)</f>
        <v>0</v>
      </c>
      <c r="V48" s="179"/>
      <c r="W48" s="179"/>
      <c r="X48" s="179"/>
      <c r="Y48" s="179"/>
      <c r="Z48" s="179"/>
      <c r="AA48" s="179"/>
      <c r="AB48" s="179"/>
      <c r="AC48" s="179"/>
      <c r="AD48" s="179"/>
      <c r="AE48" s="179"/>
      <c r="AF48" s="179"/>
      <c r="AG48" s="179"/>
      <c r="AH48" s="179"/>
      <c r="AI48" s="179"/>
      <c r="AJ48" s="179"/>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79"/>
      <c r="BM48" s="179"/>
      <c r="BN48" s="179"/>
      <c r="BO48" s="179"/>
      <c r="BP48" s="179"/>
      <c r="BQ48" s="179"/>
      <c r="BR48" s="179"/>
      <c r="BS48" s="179"/>
      <c r="BT48" s="179"/>
      <c r="BU48" s="179"/>
      <c r="BV48" s="179"/>
      <c r="BW48" s="179"/>
      <c r="BX48" s="179"/>
      <c r="BY48" s="179"/>
      <c r="BZ48" s="179"/>
      <c r="CA48" s="179"/>
      <c r="CB48" s="179"/>
      <c r="CC48" s="179"/>
      <c r="CD48" s="179"/>
      <c r="CE48" s="179"/>
      <c r="CF48" s="179"/>
      <c r="CG48" s="179"/>
      <c r="CH48" s="179"/>
      <c r="CI48" s="179"/>
      <c r="CJ48" s="179"/>
      <c r="CK48" s="179"/>
      <c r="CL48" s="179"/>
      <c r="CM48" s="179"/>
      <c r="CN48" s="179"/>
      <c r="CO48" s="179"/>
      <c r="CP48" s="179"/>
      <c r="CQ48" s="179"/>
      <c r="CR48" s="179"/>
      <c r="CS48" s="179"/>
      <c r="CT48" s="179"/>
      <c r="CU48" s="179"/>
      <c r="CV48" s="179"/>
      <c r="CW48" s="179"/>
    </row>
    <row r="49" spans="1:101" x14ac:dyDescent="0.2">
      <c r="A49" s="32" t="str">
        <f t="shared" ca="1" si="0"/>
        <v>2025-05-14</v>
      </c>
      <c r="B49" s="179">
        <f ca="1">IF(ISNUMBER(MATCH(DATEVALUE($A49),'changes1_based on steps'!B$1:B$400,0)),B$2,)</f>
        <v>0</v>
      </c>
      <c r="C49" s="179">
        <f ca="1">IF(ISNUMBER(MATCH(DATEVALUE($A49),'changes1_based on steps'!C$1:C$400,0)),C$2,)</f>
        <v>0</v>
      </c>
      <c r="D49" s="179">
        <f ca="1">IF(ISNUMBER(MATCH(DATEVALUE($A49),'changes1_based on steps'!D$1:D$400,0)),D$2,)</f>
        <v>0</v>
      </c>
      <c r="E49" s="179">
        <f ca="1">IF(ISNUMBER(MATCH(DATEVALUE($A49),'changes1_based on steps'!E$1:E$400,0)),E$2,)</f>
        <v>0</v>
      </c>
      <c r="F49" s="179">
        <f ca="1">IF(ISNUMBER(MATCH(DATEVALUE($A49),'changes1_based on steps'!F$1:F$400,0)),F$2,)</f>
        <v>0</v>
      </c>
      <c r="G49" s="179">
        <f ca="1">IF(ISNUMBER(MATCH(DATEVALUE($A49),'changes1_based on steps'!G$1:G$400,0)),G$2,)</f>
        <v>0</v>
      </c>
      <c r="H49" s="179">
        <f ca="1">IF(ISNUMBER(MATCH(DATEVALUE($A49),'changes1_based on steps'!H$1:H$400,0)),H$2,)</f>
        <v>0</v>
      </c>
      <c r="I49" s="179">
        <f ca="1">IF(ISNUMBER(MATCH(DATEVALUE($A49),'changes1_based on steps'!I$1:I$400,0)),I$2,)</f>
        <v>0</v>
      </c>
      <c r="J49" s="179">
        <f ca="1">IF(ISNUMBER(MATCH(DATEVALUE($A49),'changes1_based on steps'!J$1:J$400,0)),J$2,)</f>
        <v>0</v>
      </c>
      <c r="K49" s="179">
        <f ca="1">IF(ISNUMBER(MATCH(DATEVALUE($A49),'changes1_based on steps'!K$1:K$400,0)),K$2,)</f>
        <v>0</v>
      </c>
      <c r="L49" s="179">
        <f ca="1">IF(ISNUMBER(MATCH(DATEVALUE($A49),'changes1_based on steps'!L$1:L$400,0)),L$2,)</f>
        <v>0</v>
      </c>
      <c r="M49" s="179">
        <f ca="1">IF(ISNUMBER(MATCH(DATEVALUE($A49),'changes1_based on steps'!M$1:M$400,0)),M$2,)</f>
        <v>0</v>
      </c>
      <c r="N49" s="179">
        <f ca="1">IF(ISNUMBER(MATCH(DATEVALUE($A49),'changes1_based on steps'!N$1:N$400,0)),N$2,)</f>
        <v>0</v>
      </c>
      <c r="O49" s="179">
        <f ca="1">IF(ISNUMBER(MATCH(DATEVALUE($A49),'changes1_based on steps'!O$1:O$400,0)),O$2,)</f>
        <v>0</v>
      </c>
      <c r="P49" s="179">
        <f ca="1">IF(ISNUMBER(MATCH(DATEVALUE($A49),'changes1_based on steps'!P$1:P$400,0)),P$2,)</f>
        <v>0</v>
      </c>
      <c r="Q49" s="179">
        <f ca="1">IF(ISNUMBER(MATCH(DATEVALUE($A49),'changes1_based on steps'!Q$1:Q$400,0)),Q$2,)</f>
        <v>0</v>
      </c>
      <c r="R49" s="179">
        <f ca="1">IF(ISNUMBER(MATCH(DATEVALUE($A49),'changes1_based on steps'!R$1:R$400,0)),R$2,)</f>
        <v>0</v>
      </c>
      <c r="S49" s="179">
        <f ca="1">IF(ISNUMBER(MATCH(DATEVALUE($A49),'changes1_based on steps'!S$1:S$400,0)),S$2,)</f>
        <v>0</v>
      </c>
      <c r="T49" s="179">
        <f ca="1">IF(ISNUMBER(MATCH(DATEVALUE($A49),'changes1_based on steps'!T$1:T$400,0)),T$2,)</f>
        <v>0</v>
      </c>
      <c r="U49" s="179">
        <f ca="1">IF(ISNUMBER(MATCH(DATEVALUE($A49),'changes1_based on steps'!U$1:U$400,0)),U$2,)</f>
        <v>0</v>
      </c>
      <c r="V49" s="179"/>
      <c r="W49" s="179"/>
      <c r="X49" s="179"/>
      <c r="Y49" s="179"/>
      <c r="Z49" s="179"/>
      <c r="AA49" s="179"/>
      <c r="AB49" s="179"/>
      <c r="AC49" s="179"/>
      <c r="AD49" s="179"/>
      <c r="AE49" s="179"/>
      <c r="AF49" s="179"/>
      <c r="AG49" s="179"/>
      <c r="AH49" s="179"/>
      <c r="AI49" s="179"/>
      <c r="AJ49" s="179"/>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79"/>
      <c r="BU49" s="179"/>
      <c r="BV49" s="179"/>
      <c r="BW49" s="179"/>
      <c r="BX49" s="179"/>
      <c r="BY49" s="179"/>
      <c r="BZ49" s="179"/>
      <c r="CA49" s="179"/>
      <c r="CB49" s="179"/>
      <c r="CC49" s="179"/>
      <c r="CD49" s="179"/>
      <c r="CE49" s="179"/>
      <c r="CF49" s="179"/>
      <c r="CG49" s="179"/>
      <c r="CH49" s="179"/>
      <c r="CI49" s="179"/>
      <c r="CJ49" s="179"/>
      <c r="CK49" s="179"/>
      <c r="CL49" s="179"/>
      <c r="CM49" s="179"/>
      <c r="CN49" s="179"/>
      <c r="CO49" s="179"/>
      <c r="CP49" s="179"/>
      <c r="CQ49" s="179"/>
      <c r="CR49" s="179"/>
      <c r="CS49" s="179"/>
      <c r="CT49" s="179"/>
      <c r="CU49" s="179"/>
      <c r="CV49" s="179"/>
      <c r="CW49" s="179"/>
    </row>
    <row r="50" spans="1:101" x14ac:dyDescent="0.2">
      <c r="A50" s="32" t="str">
        <f t="shared" ca="1" si="0"/>
        <v>2025-05-15</v>
      </c>
      <c r="B50" s="179">
        <f ca="1">IF(ISNUMBER(MATCH(DATEVALUE($A50),'changes1_based on steps'!B$1:B$400,0)),B$2,)</f>
        <v>0</v>
      </c>
      <c r="C50" s="179">
        <f ca="1">IF(ISNUMBER(MATCH(DATEVALUE($A50),'changes1_based on steps'!C$1:C$400,0)),C$2,)</f>
        <v>0</v>
      </c>
      <c r="D50" s="179">
        <f ca="1">IF(ISNUMBER(MATCH(DATEVALUE($A50),'changes1_based on steps'!D$1:D$400,0)),D$2,)</f>
        <v>0</v>
      </c>
      <c r="E50" s="179">
        <f ca="1">IF(ISNUMBER(MATCH(DATEVALUE($A50),'changes1_based on steps'!E$1:E$400,0)),E$2,)</f>
        <v>0</v>
      </c>
      <c r="F50" s="179">
        <f ca="1">IF(ISNUMBER(MATCH(DATEVALUE($A50),'changes1_based on steps'!F$1:F$400,0)),F$2,)</f>
        <v>0</v>
      </c>
      <c r="G50" s="179">
        <f ca="1">IF(ISNUMBER(MATCH(DATEVALUE($A50),'changes1_based on steps'!G$1:G$400,0)),G$2,)</f>
        <v>0</v>
      </c>
      <c r="H50" s="179">
        <f ca="1">IF(ISNUMBER(MATCH(DATEVALUE($A50),'changes1_based on steps'!H$1:H$400,0)),H$2,)</f>
        <v>0</v>
      </c>
      <c r="I50" s="179">
        <f ca="1">IF(ISNUMBER(MATCH(DATEVALUE($A50),'changes1_based on steps'!I$1:I$400,0)),I$2,)</f>
        <v>0</v>
      </c>
      <c r="J50" s="179">
        <f ca="1">IF(ISNUMBER(MATCH(DATEVALUE($A50),'changes1_based on steps'!J$1:J$400,0)),J$2,)</f>
        <v>0</v>
      </c>
      <c r="K50" s="179">
        <f ca="1">IF(ISNUMBER(MATCH(DATEVALUE($A50),'changes1_based on steps'!K$1:K$400,0)),K$2,)</f>
        <v>0</v>
      </c>
      <c r="L50" s="179">
        <f ca="1">IF(ISNUMBER(MATCH(DATEVALUE($A50),'changes1_based on steps'!L$1:L$400,0)),L$2,)</f>
        <v>0</v>
      </c>
      <c r="M50" s="179">
        <f ca="1">IF(ISNUMBER(MATCH(DATEVALUE($A50),'changes1_based on steps'!M$1:M$400,0)),M$2,)</f>
        <v>0</v>
      </c>
      <c r="N50" s="179">
        <f ca="1">IF(ISNUMBER(MATCH(DATEVALUE($A50),'changes1_based on steps'!N$1:N$400,0)),N$2,)</f>
        <v>0</v>
      </c>
      <c r="O50" s="179">
        <f ca="1">IF(ISNUMBER(MATCH(DATEVALUE($A50),'changes1_based on steps'!O$1:O$400,0)),O$2,)</f>
        <v>0</v>
      </c>
      <c r="P50" s="179">
        <f ca="1">IF(ISNUMBER(MATCH(DATEVALUE($A50),'changes1_based on steps'!P$1:P$400,0)),P$2,)</f>
        <v>0</v>
      </c>
      <c r="Q50" s="179">
        <f ca="1">IF(ISNUMBER(MATCH(DATEVALUE($A50),'changes1_based on steps'!Q$1:Q$400,0)),Q$2,)</f>
        <v>0</v>
      </c>
      <c r="R50" s="179">
        <f ca="1">IF(ISNUMBER(MATCH(DATEVALUE($A50),'changes1_based on steps'!R$1:R$400,0)),R$2,)</f>
        <v>0</v>
      </c>
      <c r="S50" s="179">
        <f ca="1">IF(ISNUMBER(MATCH(DATEVALUE($A50),'changes1_based on steps'!S$1:S$400,0)),S$2,)</f>
        <v>0</v>
      </c>
      <c r="T50" s="179">
        <f ca="1">IF(ISNUMBER(MATCH(DATEVALUE($A50),'changes1_based on steps'!T$1:T$400,0)),T$2,)</f>
        <v>0</v>
      </c>
      <c r="U50" s="179">
        <f ca="1">IF(ISNUMBER(MATCH(DATEVALUE($A50),'changes1_based on steps'!U$1:U$400,0)),U$2,)</f>
        <v>0</v>
      </c>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179"/>
      <c r="BN50" s="179"/>
      <c r="BO50" s="179"/>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9"/>
      <c r="CW50" s="179"/>
    </row>
    <row r="51" spans="1:101" x14ac:dyDescent="0.2">
      <c r="A51" s="32" t="str">
        <f t="shared" ca="1" si="0"/>
        <v>2025-05-16</v>
      </c>
      <c r="B51" s="179">
        <f ca="1">IF(ISNUMBER(MATCH(DATEVALUE($A51),'changes1_based on steps'!B$1:B$400,0)),B$2,)</f>
        <v>0</v>
      </c>
      <c r="C51" s="179">
        <f ca="1">IF(ISNUMBER(MATCH(DATEVALUE($A51),'changes1_based on steps'!C$1:C$400,0)),C$2,)</f>
        <v>0</v>
      </c>
      <c r="D51" s="179">
        <f ca="1">IF(ISNUMBER(MATCH(DATEVALUE($A51),'changes1_based on steps'!D$1:D$400,0)),D$2,)</f>
        <v>0</v>
      </c>
      <c r="E51" s="179">
        <f ca="1">IF(ISNUMBER(MATCH(DATEVALUE($A51),'changes1_based on steps'!E$1:E$400,0)),E$2,)</f>
        <v>0</v>
      </c>
      <c r="F51" s="179">
        <f ca="1">IF(ISNUMBER(MATCH(DATEVALUE($A51),'changes1_based on steps'!F$1:F$400,0)),F$2,)</f>
        <v>0</v>
      </c>
      <c r="G51" s="179">
        <f ca="1">IF(ISNUMBER(MATCH(DATEVALUE($A51),'changes1_based on steps'!G$1:G$400,0)),G$2,)</f>
        <v>0</v>
      </c>
      <c r="H51" s="179">
        <f ca="1">IF(ISNUMBER(MATCH(DATEVALUE($A51),'changes1_based on steps'!H$1:H$400,0)),H$2,)</f>
        <v>0</v>
      </c>
      <c r="I51" s="179">
        <f ca="1">IF(ISNUMBER(MATCH(DATEVALUE($A51),'changes1_based on steps'!I$1:I$400,0)),I$2,)</f>
        <v>0</v>
      </c>
      <c r="J51" s="179">
        <f ca="1">IF(ISNUMBER(MATCH(DATEVALUE($A51),'changes1_based on steps'!J$1:J$400,0)),J$2,)</f>
        <v>0</v>
      </c>
      <c r="K51" s="179">
        <f ca="1">IF(ISNUMBER(MATCH(DATEVALUE($A51),'changes1_based on steps'!K$1:K$400,0)),K$2,)</f>
        <v>0</v>
      </c>
      <c r="L51" s="179">
        <f ca="1">IF(ISNUMBER(MATCH(DATEVALUE($A51),'changes1_based on steps'!L$1:L$400,0)),L$2,)</f>
        <v>0</v>
      </c>
      <c r="M51" s="179">
        <f ca="1">IF(ISNUMBER(MATCH(DATEVALUE($A51),'changes1_based on steps'!M$1:M$400,0)),M$2,)</f>
        <v>0</v>
      </c>
      <c r="N51" s="179">
        <f ca="1">IF(ISNUMBER(MATCH(DATEVALUE($A51),'changes1_based on steps'!N$1:N$400,0)),N$2,)</f>
        <v>0</v>
      </c>
      <c r="O51" s="179">
        <f ca="1">IF(ISNUMBER(MATCH(DATEVALUE($A51),'changes1_based on steps'!O$1:O$400,0)),O$2,)</f>
        <v>0</v>
      </c>
      <c r="P51" s="179">
        <f ca="1">IF(ISNUMBER(MATCH(DATEVALUE($A51),'changes1_based on steps'!P$1:P$400,0)),P$2,)</f>
        <v>0</v>
      </c>
      <c r="Q51" s="179">
        <f ca="1">IF(ISNUMBER(MATCH(DATEVALUE($A51),'changes1_based on steps'!Q$1:Q$400,0)),Q$2,)</f>
        <v>0</v>
      </c>
      <c r="R51" s="179">
        <f ca="1">IF(ISNUMBER(MATCH(DATEVALUE($A51),'changes1_based on steps'!R$1:R$400,0)),R$2,)</f>
        <v>0</v>
      </c>
      <c r="S51" s="179">
        <f ca="1">IF(ISNUMBER(MATCH(DATEVALUE($A51),'changes1_based on steps'!S$1:S$400,0)),S$2,)</f>
        <v>0</v>
      </c>
      <c r="T51" s="179">
        <f ca="1">IF(ISNUMBER(MATCH(DATEVALUE($A51),'changes1_based on steps'!T$1:T$400,0)),T$2,)</f>
        <v>0</v>
      </c>
      <c r="U51" s="179">
        <f ca="1">IF(ISNUMBER(MATCH(DATEVALUE($A51),'changes1_based on steps'!U$1:U$400,0)),U$2,)</f>
        <v>0</v>
      </c>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row>
    <row r="52" spans="1:101" x14ac:dyDescent="0.2">
      <c r="A52" s="32" t="str">
        <f t="shared" ca="1" si="0"/>
        <v>2025-05-17</v>
      </c>
      <c r="B52" s="179">
        <f ca="1">IF(ISNUMBER(MATCH(DATEVALUE($A52),'changes1_based on steps'!B$1:B$400,0)),B$2,)</f>
        <v>0</v>
      </c>
      <c r="C52" s="179">
        <f ca="1">IF(ISNUMBER(MATCH(DATEVALUE($A52),'changes1_based on steps'!C$1:C$400,0)),C$2,)</f>
        <v>0</v>
      </c>
      <c r="D52" s="179">
        <f ca="1">IF(ISNUMBER(MATCH(DATEVALUE($A52),'changes1_based on steps'!D$1:D$400,0)),D$2,)</f>
        <v>0</v>
      </c>
      <c r="E52" s="179">
        <f ca="1">IF(ISNUMBER(MATCH(DATEVALUE($A52),'changes1_based on steps'!E$1:E$400,0)),E$2,)</f>
        <v>0</v>
      </c>
      <c r="F52" s="179">
        <f ca="1">IF(ISNUMBER(MATCH(DATEVALUE($A52),'changes1_based on steps'!F$1:F$400,0)),F$2,)</f>
        <v>0</v>
      </c>
      <c r="G52" s="179">
        <f ca="1">IF(ISNUMBER(MATCH(DATEVALUE($A52),'changes1_based on steps'!G$1:G$400,0)),G$2,)</f>
        <v>0</v>
      </c>
      <c r="H52" s="179">
        <f ca="1">IF(ISNUMBER(MATCH(DATEVALUE($A52),'changes1_based on steps'!H$1:H$400,0)),H$2,)</f>
        <v>0</v>
      </c>
      <c r="I52" s="179">
        <f ca="1">IF(ISNUMBER(MATCH(DATEVALUE($A52),'changes1_based on steps'!I$1:I$400,0)),I$2,)</f>
        <v>0</v>
      </c>
      <c r="J52" s="179">
        <f ca="1">IF(ISNUMBER(MATCH(DATEVALUE($A52),'changes1_based on steps'!J$1:J$400,0)),J$2,)</f>
        <v>0</v>
      </c>
      <c r="K52" s="179">
        <f ca="1">IF(ISNUMBER(MATCH(DATEVALUE($A52),'changes1_based on steps'!K$1:K$400,0)),K$2,)</f>
        <v>0</v>
      </c>
      <c r="L52" s="179">
        <f ca="1">IF(ISNUMBER(MATCH(DATEVALUE($A52),'changes1_based on steps'!L$1:L$400,0)),L$2,)</f>
        <v>0</v>
      </c>
      <c r="M52" s="179">
        <f ca="1">IF(ISNUMBER(MATCH(DATEVALUE($A52),'changes1_based on steps'!M$1:M$400,0)),M$2,)</f>
        <v>0</v>
      </c>
      <c r="N52" s="179">
        <f ca="1">IF(ISNUMBER(MATCH(DATEVALUE($A52),'changes1_based on steps'!N$1:N$400,0)),N$2,)</f>
        <v>0</v>
      </c>
      <c r="O52" s="179">
        <f ca="1">IF(ISNUMBER(MATCH(DATEVALUE($A52),'changes1_based on steps'!O$1:O$400,0)),O$2,)</f>
        <v>0</v>
      </c>
      <c r="P52" s="179">
        <f ca="1">IF(ISNUMBER(MATCH(DATEVALUE($A52),'changes1_based on steps'!P$1:P$400,0)),P$2,)</f>
        <v>0</v>
      </c>
      <c r="Q52" s="179">
        <f ca="1">IF(ISNUMBER(MATCH(DATEVALUE($A52),'changes1_based on steps'!Q$1:Q$400,0)),Q$2,)</f>
        <v>0</v>
      </c>
      <c r="R52" s="179">
        <f ca="1">IF(ISNUMBER(MATCH(DATEVALUE($A52),'changes1_based on steps'!R$1:R$400,0)),R$2,)</f>
        <v>0</v>
      </c>
      <c r="S52" s="179">
        <f ca="1">IF(ISNUMBER(MATCH(DATEVALUE($A52),'changes1_based on steps'!S$1:S$400,0)),S$2,)</f>
        <v>0</v>
      </c>
      <c r="T52" s="179">
        <f ca="1">IF(ISNUMBER(MATCH(DATEVALUE($A52),'changes1_based on steps'!T$1:T$400,0)),T$2,)</f>
        <v>0</v>
      </c>
      <c r="U52" s="179">
        <f ca="1">IF(ISNUMBER(MATCH(DATEVALUE($A52),'changes1_based on steps'!U$1:U$400,0)),U$2,)</f>
        <v>0</v>
      </c>
      <c r="V52" s="179"/>
      <c r="W52" s="179"/>
      <c r="X52" s="179"/>
      <c r="Y52" s="179"/>
      <c r="Z52" s="179"/>
      <c r="AA52" s="179"/>
      <c r="AB52" s="179"/>
      <c r="AC52" s="179"/>
      <c r="AD52" s="179"/>
      <c r="AE52" s="179"/>
      <c r="AF52" s="179"/>
      <c r="AG52" s="179"/>
      <c r="AH52" s="179"/>
      <c r="AI52" s="179"/>
      <c r="AJ52" s="179"/>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row>
    <row r="53" spans="1:101" x14ac:dyDescent="0.2">
      <c r="A53" s="32" t="str">
        <f t="shared" ca="1" si="0"/>
        <v>2025-05-18</v>
      </c>
      <c r="B53" s="179">
        <f ca="1">IF(ISNUMBER(MATCH(DATEVALUE($A53),'changes1_based on steps'!B$1:B$400,0)),B$2,)</f>
        <v>0</v>
      </c>
      <c r="C53" s="179">
        <f ca="1">IF(ISNUMBER(MATCH(DATEVALUE($A53),'changes1_based on steps'!C$1:C$400,0)),C$2,)</f>
        <v>0</v>
      </c>
      <c r="D53" s="179">
        <f ca="1">IF(ISNUMBER(MATCH(DATEVALUE($A53),'changes1_based on steps'!D$1:D$400,0)),D$2,)</f>
        <v>0</v>
      </c>
      <c r="E53" s="179">
        <f ca="1">IF(ISNUMBER(MATCH(DATEVALUE($A53),'changes1_based on steps'!E$1:E$400,0)),E$2,)</f>
        <v>0</v>
      </c>
      <c r="F53" s="179">
        <f ca="1">IF(ISNUMBER(MATCH(DATEVALUE($A53),'changes1_based on steps'!F$1:F$400,0)),F$2,)</f>
        <v>0</v>
      </c>
      <c r="G53" s="179">
        <f ca="1">IF(ISNUMBER(MATCH(DATEVALUE($A53),'changes1_based on steps'!G$1:G$400,0)),G$2,)</f>
        <v>0</v>
      </c>
      <c r="H53" s="179">
        <f ca="1">IF(ISNUMBER(MATCH(DATEVALUE($A53),'changes1_based on steps'!H$1:H$400,0)),H$2,)</f>
        <v>0</v>
      </c>
      <c r="I53" s="179">
        <f ca="1">IF(ISNUMBER(MATCH(DATEVALUE($A53),'changes1_based on steps'!I$1:I$400,0)),I$2,)</f>
        <v>0</v>
      </c>
      <c r="J53" s="179">
        <f ca="1">IF(ISNUMBER(MATCH(DATEVALUE($A53),'changes1_based on steps'!J$1:J$400,0)),J$2,)</f>
        <v>0</v>
      </c>
      <c r="K53" s="179">
        <f ca="1">IF(ISNUMBER(MATCH(DATEVALUE($A53),'changes1_based on steps'!K$1:K$400,0)),K$2,)</f>
        <v>0</v>
      </c>
      <c r="L53" s="179">
        <f ca="1">IF(ISNUMBER(MATCH(DATEVALUE($A53),'changes1_based on steps'!L$1:L$400,0)),L$2,)</f>
        <v>0</v>
      </c>
      <c r="M53" s="179">
        <f ca="1">IF(ISNUMBER(MATCH(DATEVALUE($A53),'changes1_based on steps'!M$1:M$400,0)),M$2,)</f>
        <v>0</v>
      </c>
      <c r="N53" s="179">
        <f ca="1">IF(ISNUMBER(MATCH(DATEVALUE($A53),'changes1_based on steps'!N$1:N$400,0)),N$2,)</f>
        <v>0</v>
      </c>
      <c r="O53" s="179">
        <f ca="1">IF(ISNUMBER(MATCH(DATEVALUE($A53),'changes1_based on steps'!O$1:O$400,0)),O$2,)</f>
        <v>0</v>
      </c>
      <c r="P53" s="179">
        <f ca="1">IF(ISNUMBER(MATCH(DATEVALUE($A53),'changes1_based on steps'!P$1:P$400,0)),P$2,)</f>
        <v>0</v>
      </c>
      <c r="Q53" s="179">
        <f ca="1">IF(ISNUMBER(MATCH(DATEVALUE($A53),'changes1_based on steps'!Q$1:Q$400,0)),Q$2,)</f>
        <v>0</v>
      </c>
      <c r="R53" s="179">
        <f ca="1">IF(ISNUMBER(MATCH(DATEVALUE($A53),'changes1_based on steps'!R$1:R$400,0)),R$2,)</f>
        <v>0</v>
      </c>
      <c r="S53" s="179">
        <f ca="1">IF(ISNUMBER(MATCH(DATEVALUE($A53),'changes1_based on steps'!S$1:S$400,0)),S$2,)</f>
        <v>0</v>
      </c>
      <c r="T53" s="179">
        <f ca="1">IF(ISNUMBER(MATCH(DATEVALUE($A53),'changes1_based on steps'!T$1:T$400,0)),T$2,)</f>
        <v>0</v>
      </c>
      <c r="U53" s="179">
        <f ca="1">IF(ISNUMBER(MATCH(DATEVALUE($A53),'changes1_based on steps'!U$1:U$400,0)),U$2,)</f>
        <v>0</v>
      </c>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row>
    <row r="54" spans="1:101" x14ac:dyDescent="0.2">
      <c r="A54" s="32" t="str">
        <f t="shared" ca="1" si="0"/>
        <v>2025-05-19</v>
      </c>
      <c r="B54" s="179">
        <f ca="1">IF(ISNUMBER(MATCH(DATEVALUE($A54),'changes1_based on steps'!B$1:B$400,0)),B$2,)</f>
        <v>0</v>
      </c>
      <c r="C54" s="179">
        <f ca="1">IF(ISNUMBER(MATCH(DATEVALUE($A54),'changes1_based on steps'!C$1:C$400,0)),C$2,)</f>
        <v>0</v>
      </c>
      <c r="D54" s="179">
        <f ca="1">IF(ISNUMBER(MATCH(DATEVALUE($A54),'changes1_based on steps'!D$1:D$400,0)),D$2,)</f>
        <v>0</v>
      </c>
      <c r="E54" s="179">
        <f ca="1">IF(ISNUMBER(MATCH(DATEVALUE($A54),'changes1_based on steps'!E$1:E$400,0)),E$2,)</f>
        <v>0</v>
      </c>
      <c r="F54" s="179">
        <f ca="1">IF(ISNUMBER(MATCH(DATEVALUE($A54),'changes1_based on steps'!F$1:F$400,0)),F$2,)</f>
        <v>0</v>
      </c>
      <c r="G54" s="179">
        <f ca="1">IF(ISNUMBER(MATCH(DATEVALUE($A54),'changes1_based on steps'!G$1:G$400,0)),G$2,)</f>
        <v>0</v>
      </c>
      <c r="H54" s="179">
        <f ca="1">IF(ISNUMBER(MATCH(DATEVALUE($A54),'changes1_based on steps'!H$1:H$400,0)),H$2,)</f>
        <v>0</v>
      </c>
      <c r="I54" s="179">
        <f ca="1">IF(ISNUMBER(MATCH(DATEVALUE($A54),'changes1_based on steps'!I$1:I$400,0)),I$2,)</f>
        <v>0</v>
      </c>
      <c r="J54" s="179">
        <f ca="1">IF(ISNUMBER(MATCH(DATEVALUE($A54),'changes1_based on steps'!J$1:J$400,0)),J$2,)</f>
        <v>0</v>
      </c>
      <c r="K54" s="179">
        <f ca="1">IF(ISNUMBER(MATCH(DATEVALUE($A54),'changes1_based on steps'!K$1:K$400,0)),K$2,)</f>
        <v>0</v>
      </c>
      <c r="L54" s="179">
        <f ca="1">IF(ISNUMBER(MATCH(DATEVALUE($A54),'changes1_based on steps'!L$1:L$400,0)),L$2,)</f>
        <v>0</v>
      </c>
      <c r="M54" s="179">
        <f ca="1">IF(ISNUMBER(MATCH(DATEVALUE($A54),'changes1_based on steps'!M$1:M$400,0)),M$2,)</f>
        <v>0</v>
      </c>
      <c r="N54" s="179">
        <f ca="1">IF(ISNUMBER(MATCH(DATEVALUE($A54),'changes1_based on steps'!N$1:N$400,0)),N$2,)</f>
        <v>0</v>
      </c>
      <c r="O54" s="179">
        <f ca="1">IF(ISNUMBER(MATCH(DATEVALUE($A54),'changes1_based on steps'!O$1:O$400,0)),O$2,)</f>
        <v>0</v>
      </c>
      <c r="P54" s="179">
        <f ca="1">IF(ISNUMBER(MATCH(DATEVALUE($A54),'changes1_based on steps'!P$1:P$400,0)),P$2,)</f>
        <v>0</v>
      </c>
      <c r="Q54" s="179">
        <f ca="1">IF(ISNUMBER(MATCH(DATEVALUE($A54),'changes1_based on steps'!Q$1:Q$400,0)),Q$2,)</f>
        <v>0</v>
      </c>
      <c r="R54" s="179">
        <f ca="1">IF(ISNUMBER(MATCH(DATEVALUE($A54),'changes1_based on steps'!R$1:R$400,0)),R$2,)</f>
        <v>0</v>
      </c>
      <c r="S54" s="179">
        <f ca="1">IF(ISNUMBER(MATCH(DATEVALUE($A54),'changes1_based on steps'!S$1:S$400,0)),S$2,)</f>
        <v>0</v>
      </c>
      <c r="T54" s="179">
        <f ca="1">IF(ISNUMBER(MATCH(DATEVALUE($A54),'changes1_based on steps'!T$1:T$400,0)),T$2,)</f>
        <v>0</v>
      </c>
      <c r="U54" s="179">
        <f ca="1">IF(ISNUMBER(MATCH(DATEVALUE($A54),'changes1_based on steps'!U$1:U$400,0)),U$2,)</f>
        <v>0</v>
      </c>
      <c r="V54" s="179"/>
      <c r="W54" s="179"/>
      <c r="X54" s="179"/>
      <c r="Y54" s="179"/>
      <c r="Z54" s="179"/>
      <c r="AA54" s="179"/>
      <c r="AB54" s="179"/>
      <c r="AC54" s="179"/>
      <c r="AD54" s="179"/>
      <c r="AE54" s="179"/>
      <c r="AF54" s="179"/>
      <c r="AG54" s="179"/>
      <c r="AH54" s="179"/>
      <c r="AI54" s="179"/>
      <c r="AJ54" s="179"/>
      <c r="AK54" s="179"/>
      <c r="AL54" s="179"/>
      <c r="AM54" s="179"/>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79"/>
      <c r="BM54" s="179"/>
      <c r="BN54" s="179"/>
      <c r="BO54" s="179"/>
      <c r="BP54" s="179"/>
      <c r="BQ54" s="179"/>
      <c r="BR54" s="179"/>
      <c r="BS54" s="179"/>
      <c r="BT54" s="179"/>
      <c r="BU54" s="179"/>
      <c r="BV54" s="179"/>
      <c r="BW54" s="179"/>
      <c r="BX54" s="179"/>
      <c r="BY54" s="179"/>
      <c r="BZ54" s="179"/>
      <c r="CA54" s="179"/>
      <c r="CB54" s="179"/>
      <c r="CC54" s="179"/>
      <c r="CD54" s="179"/>
      <c r="CE54" s="179"/>
      <c r="CF54" s="179"/>
      <c r="CG54" s="179"/>
      <c r="CH54" s="179"/>
      <c r="CI54" s="179"/>
      <c r="CJ54" s="179"/>
      <c r="CK54" s="179"/>
      <c r="CL54" s="179"/>
      <c r="CM54" s="179"/>
      <c r="CN54" s="179"/>
      <c r="CO54" s="179"/>
      <c r="CP54" s="179"/>
      <c r="CQ54" s="179"/>
      <c r="CR54" s="179"/>
      <c r="CS54" s="179"/>
      <c r="CT54" s="179"/>
      <c r="CU54" s="179"/>
      <c r="CV54" s="179"/>
      <c r="CW54" s="179"/>
    </row>
    <row r="55" spans="1:101" x14ac:dyDescent="0.2">
      <c r="A55" s="32" t="str">
        <f t="shared" ca="1" si="0"/>
        <v>2025-05-20</v>
      </c>
      <c r="B55" s="179">
        <f ca="1">IF(ISNUMBER(MATCH(DATEVALUE($A55),'changes1_based on steps'!B$1:B$400,0)),B$2,)</f>
        <v>0</v>
      </c>
      <c r="C55" s="179">
        <f ca="1">IF(ISNUMBER(MATCH(DATEVALUE($A55),'changes1_based on steps'!C$1:C$400,0)),C$2,)</f>
        <v>0</v>
      </c>
      <c r="D55" s="179">
        <f ca="1">IF(ISNUMBER(MATCH(DATEVALUE($A55),'changes1_based on steps'!D$1:D$400,0)),D$2,)</f>
        <v>0</v>
      </c>
      <c r="E55" s="179">
        <f ca="1">IF(ISNUMBER(MATCH(DATEVALUE($A55),'changes1_based on steps'!E$1:E$400,0)),E$2,)</f>
        <v>0</v>
      </c>
      <c r="F55" s="179">
        <f ca="1">IF(ISNUMBER(MATCH(DATEVALUE($A55),'changes1_based on steps'!F$1:F$400,0)),F$2,)</f>
        <v>0</v>
      </c>
      <c r="G55" s="179">
        <f ca="1">IF(ISNUMBER(MATCH(DATEVALUE($A55),'changes1_based on steps'!G$1:G$400,0)),G$2,)</f>
        <v>0</v>
      </c>
      <c r="H55" s="179">
        <f ca="1">IF(ISNUMBER(MATCH(DATEVALUE($A55),'changes1_based on steps'!H$1:H$400,0)),H$2,)</f>
        <v>0</v>
      </c>
      <c r="I55" s="179">
        <f ca="1">IF(ISNUMBER(MATCH(DATEVALUE($A55),'changes1_based on steps'!I$1:I$400,0)),I$2,)</f>
        <v>0</v>
      </c>
      <c r="J55" s="179">
        <f ca="1">IF(ISNUMBER(MATCH(DATEVALUE($A55),'changes1_based on steps'!J$1:J$400,0)),J$2,)</f>
        <v>0</v>
      </c>
      <c r="K55" s="179">
        <f ca="1">IF(ISNUMBER(MATCH(DATEVALUE($A55),'changes1_based on steps'!K$1:K$400,0)),K$2,)</f>
        <v>0</v>
      </c>
      <c r="L55" s="179">
        <f ca="1">IF(ISNUMBER(MATCH(DATEVALUE($A55),'changes1_based on steps'!L$1:L$400,0)),L$2,)</f>
        <v>0</v>
      </c>
      <c r="M55" s="179">
        <f ca="1">IF(ISNUMBER(MATCH(DATEVALUE($A55),'changes1_based on steps'!M$1:M$400,0)),M$2,)</f>
        <v>0</v>
      </c>
      <c r="N55" s="179">
        <f ca="1">IF(ISNUMBER(MATCH(DATEVALUE($A55),'changes1_based on steps'!N$1:N$400,0)),N$2,)</f>
        <v>0</v>
      </c>
      <c r="O55" s="179">
        <f ca="1">IF(ISNUMBER(MATCH(DATEVALUE($A55),'changes1_based on steps'!O$1:O$400,0)),O$2,)</f>
        <v>0</v>
      </c>
      <c r="P55" s="179">
        <f ca="1">IF(ISNUMBER(MATCH(DATEVALUE($A55),'changes1_based on steps'!P$1:P$400,0)),P$2,)</f>
        <v>0</v>
      </c>
      <c r="Q55" s="179">
        <f ca="1">IF(ISNUMBER(MATCH(DATEVALUE($A55),'changes1_based on steps'!Q$1:Q$400,0)),Q$2,)</f>
        <v>0</v>
      </c>
      <c r="R55" s="179">
        <f ca="1">IF(ISNUMBER(MATCH(DATEVALUE($A55),'changes1_based on steps'!R$1:R$400,0)),R$2,)</f>
        <v>0</v>
      </c>
      <c r="S55" s="179">
        <f ca="1">IF(ISNUMBER(MATCH(DATEVALUE($A55),'changes1_based on steps'!S$1:S$400,0)),S$2,)</f>
        <v>0</v>
      </c>
      <c r="T55" s="179">
        <f ca="1">IF(ISNUMBER(MATCH(DATEVALUE($A55),'changes1_based on steps'!T$1:T$400,0)),T$2,)</f>
        <v>0</v>
      </c>
      <c r="U55" s="179">
        <f ca="1">IF(ISNUMBER(MATCH(DATEVALUE($A55),'changes1_based on steps'!U$1:U$400,0)),U$2,)</f>
        <v>0</v>
      </c>
      <c r="V55" s="179"/>
      <c r="W55" s="179"/>
      <c r="X55" s="179"/>
      <c r="Y55" s="179"/>
      <c r="Z55" s="179"/>
      <c r="AA55" s="179"/>
      <c r="AB55" s="179"/>
      <c r="AC55" s="179"/>
      <c r="AD55" s="179"/>
      <c r="AE55" s="179"/>
      <c r="AF55" s="179"/>
      <c r="AG55" s="179"/>
      <c r="AH55" s="179"/>
      <c r="AI55" s="179"/>
      <c r="AJ55" s="179"/>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79"/>
      <c r="BM55" s="179"/>
      <c r="BN55" s="179"/>
      <c r="BO55" s="179"/>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9"/>
      <c r="CW55" s="179"/>
    </row>
    <row r="56" spans="1:101" x14ac:dyDescent="0.2">
      <c r="A56" s="32" t="str">
        <f t="shared" ca="1" si="0"/>
        <v>2025-05-21</v>
      </c>
      <c r="B56" s="179">
        <f ca="1">IF(ISNUMBER(MATCH(DATEVALUE($A56),'changes1_based on steps'!B$1:B$400,0)),B$2,)</f>
        <v>0</v>
      </c>
      <c r="C56" s="179">
        <f ca="1">IF(ISNUMBER(MATCH(DATEVALUE($A56),'changes1_based on steps'!C$1:C$400,0)),C$2,)</f>
        <v>0</v>
      </c>
      <c r="D56" s="179">
        <f ca="1">IF(ISNUMBER(MATCH(DATEVALUE($A56),'changes1_based on steps'!D$1:D$400,0)),D$2,)</f>
        <v>0</v>
      </c>
      <c r="E56" s="179">
        <f ca="1">IF(ISNUMBER(MATCH(DATEVALUE($A56),'changes1_based on steps'!E$1:E$400,0)),E$2,)</f>
        <v>0</v>
      </c>
      <c r="F56" s="179">
        <f ca="1">IF(ISNUMBER(MATCH(DATEVALUE($A56),'changes1_based on steps'!F$1:F$400,0)),F$2,)</f>
        <v>0</v>
      </c>
      <c r="G56" s="179">
        <f ca="1">IF(ISNUMBER(MATCH(DATEVALUE($A56),'changes1_based on steps'!G$1:G$400,0)),G$2,)</f>
        <v>0</v>
      </c>
      <c r="H56" s="179">
        <f ca="1">IF(ISNUMBER(MATCH(DATEVALUE($A56),'changes1_based on steps'!H$1:H$400,0)),H$2,)</f>
        <v>0</v>
      </c>
      <c r="I56" s="179">
        <f ca="1">IF(ISNUMBER(MATCH(DATEVALUE($A56),'changes1_based on steps'!I$1:I$400,0)),I$2,)</f>
        <v>0</v>
      </c>
      <c r="J56" s="179">
        <f ca="1">IF(ISNUMBER(MATCH(DATEVALUE($A56),'changes1_based on steps'!J$1:J$400,0)),J$2,)</f>
        <v>0</v>
      </c>
      <c r="K56" s="179">
        <f ca="1">IF(ISNUMBER(MATCH(DATEVALUE($A56),'changes1_based on steps'!K$1:K$400,0)),K$2,)</f>
        <v>0</v>
      </c>
      <c r="L56" s="179">
        <f ca="1">IF(ISNUMBER(MATCH(DATEVALUE($A56),'changes1_based on steps'!L$1:L$400,0)),L$2,)</f>
        <v>0</v>
      </c>
      <c r="M56" s="179">
        <f ca="1">IF(ISNUMBER(MATCH(DATEVALUE($A56),'changes1_based on steps'!M$1:M$400,0)),M$2,)</f>
        <v>0</v>
      </c>
      <c r="N56" s="179">
        <f ca="1">IF(ISNUMBER(MATCH(DATEVALUE($A56),'changes1_based on steps'!N$1:N$400,0)),N$2,)</f>
        <v>0</v>
      </c>
      <c r="O56" s="179">
        <f ca="1">IF(ISNUMBER(MATCH(DATEVALUE($A56),'changes1_based on steps'!O$1:O$400,0)),O$2,)</f>
        <v>0</v>
      </c>
      <c r="P56" s="179">
        <f ca="1">IF(ISNUMBER(MATCH(DATEVALUE($A56),'changes1_based on steps'!P$1:P$400,0)),P$2,)</f>
        <v>0</v>
      </c>
      <c r="Q56" s="179">
        <f ca="1">IF(ISNUMBER(MATCH(DATEVALUE($A56),'changes1_based on steps'!Q$1:Q$400,0)),Q$2,)</f>
        <v>0</v>
      </c>
      <c r="R56" s="179">
        <f ca="1">IF(ISNUMBER(MATCH(DATEVALUE($A56),'changes1_based on steps'!R$1:R$400,0)),R$2,)</f>
        <v>0</v>
      </c>
      <c r="S56" s="179">
        <f ca="1">IF(ISNUMBER(MATCH(DATEVALUE($A56),'changes1_based on steps'!S$1:S$400,0)),S$2,)</f>
        <v>0</v>
      </c>
      <c r="T56" s="179">
        <f ca="1">IF(ISNUMBER(MATCH(DATEVALUE($A56),'changes1_based on steps'!T$1:T$400,0)),T$2,)</f>
        <v>0</v>
      </c>
      <c r="U56" s="179">
        <f ca="1">IF(ISNUMBER(MATCH(DATEVALUE($A56),'changes1_based on steps'!U$1:U$400,0)),U$2,)</f>
        <v>0</v>
      </c>
      <c r="V56" s="179"/>
      <c r="W56" s="179"/>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row>
    <row r="57" spans="1:101" x14ac:dyDescent="0.2">
      <c r="A57" s="32" t="str">
        <f t="shared" ca="1" si="0"/>
        <v>2025-05-22</v>
      </c>
      <c r="B57" s="179">
        <f ca="1">IF(ISNUMBER(MATCH(DATEVALUE($A57),'changes1_based on steps'!B$1:B$400,0)),B$2,)</f>
        <v>0</v>
      </c>
      <c r="C57" s="179">
        <f ca="1">IF(ISNUMBER(MATCH(DATEVALUE($A57),'changes1_based on steps'!C$1:C$400,0)),C$2,)</f>
        <v>0</v>
      </c>
      <c r="D57" s="179">
        <f ca="1">IF(ISNUMBER(MATCH(DATEVALUE($A57),'changes1_based on steps'!D$1:D$400,0)),D$2,)</f>
        <v>0</v>
      </c>
      <c r="E57" s="179">
        <f ca="1">IF(ISNUMBER(MATCH(DATEVALUE($A57),'changes1_based on steps'!E$1:E$400,0)),E$2,)</f>
        <v>0</v>
      </c>
      <c r="F57" s="179">
        <f ca="1">IF(ISNUMBER(MATCH(DATEVALUE($A57),'changes1_based on steps'!F$1:F$400,0)),F$2,)</f>
        <v>0</v>
      </c>
      <c r="G57" s="179">
        <f ca="1">IF(ISNUMBER(MATCH(DATEVALUE($A57),'changes1_based on steps'!G$1:G$400,0)),G$2,)</f>
        <v>0</v>
      </c>
      <c r="H57" s="179">
        <f ca="1">IF(ISNUMBER(MATCH(DATEVALUE($A57),'changes1_based on steps'!H$1:H$400,0)),H$2,)</f>
        <v>0</v>
      </c>
      <c r="I57" s="179">
        <f ca="1">IF(ISNUMBER(MATCH(DATEVALUE($A57),'changes1_based on steps'!I$1:I$400,0)),I$2,)</f>
        <v>0</v>
      </c>
      <c r="J57" s="179">
        <f ca="1">IF(ISNUMBER(MATCH(DATEVALUE($A57),'changes1_based on steps'!J$1:J$400,0)),J$2,)</f>
        <v>0</v>
      </c>
      <c r="K57" s="179">
        <f ca="1">IF(ISNUMBER(MATCH(DATEVALUE($A57),'changes1_based on steps'!K$1:K$400,0)),K$2,)</f>
        <v>0</v>
      </c>
      <c r="L57" s="179">
        <f ca="1">IF(ISNUMBER(MATCH(DATEVALUE($A57),'changes1_based on steps'!L$1:L$400,0)),L$2,)</f>
        <v>0</v>
      </c>
      <c r="M57" s="179">
        <f ca="1">IF(ISNUMBER(MATCH(DATEVALUE($A57),'changes1_based on steps'!M$1:M$400,0)),M$2,)</f>
        <v>0</v>
      </c>
      <c r="N57" s="179">
        <f ca="1">IF(ISNUMBER(MATCH(DATEVALUE($A57),'changes1_based on steps'!N$1:N$400,0)),N$2,)</f>
        <v>0</v>
      </c>
      <c r="O57" s="179">
        <f ca="1">IF(ISNUMBER(MATCH(DATEVALUE($A57),'changes1_based on steps'!O$1:O$400,0)),O$2,)</f>
        <v>0</v>
      </c>
      <c r="P57" s="179">
        <f ca="1">IF(ISNUMBER(MATCH(DATEVALUE($A57),'changes1_based on steps'!P$1:P$400,0)),P$2,)</f>
        <v>0</v>
      </c>
      <c r="Q57" s="179">
        <f ca="1">IF(ISNUMBER(MATCH(DATEVALUE($A57),'changes1_based on steps'!Q$1:Q$400,0)),Q$2,)</f>
        <v>0</v>
      </c>
      <c r="R57" s="179">
        <f ca="1">IF(ISNUMBER(MATCH(DATEVALUE($A57),'changes1_based on steps'!R$1:R$400,0)),R$2,)</f>
        <v>0</v>
      </c>
      <c r="S57" s="179">
        <f ca="1">IF(ISNUMBER(MATCH(DATEVALUE($A57),'changes1_based on steps'!S$1:S$400,0)),S$2,)</f>
        <v>0</v>
      </c>
      <c r="T57" s="179">
        <f ca="1">IF(ISNUMBER(MATCH(DATEVALUE($A57),'changes1_based on steps'!T$1:T$400,0)),T$2,)</f>
        <v>0</v>
      </c>
      <c r="U57" s="179">
        <f ca="1">IF(ISNUMBER(MATCH(DATEVALUE($A57),'changes1_based on steps'!U$1:U$400,0)),U$2,)</f>
        <v>0</v>
      </c>
      <c r="V57" s="179"/>
      <c r="W57" s="179"/>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row>
    <row r="58" spans="1:101" x14ac:dyDescent="0.2">
      <c r="A58" s="32" t="str">
        <f t="shared" ca="1" si="0"/>
        <v>2025-05-23</v>
      </c>
      <c r="B58" s="179">
        <f ca="1">IF(ISNUMBER(MATCH(DATEVALUE($A58),'changes1_based on steps'!B$1:B$400,0)),B$2,)</f>
        <v>0</v>
      </c>
      <c r="C58" s="179">
        <f ca="1">IF(ISNUMBER(MATCH(DATEVALUE($A58),'changes1_based on steps'!C$1:C$400,0)),C$2,)</f>
        <v>0</v>
      </c>
      <c r="D58" s="179">
        <f ca="1">IF(ISNUMBER(MATCH(DATEVALUE($A58),'changes1_based on steps'!D$1:D$400,0)),D$2,)</f>
        <v>0</v>
      </c>
      <c r="E58" s="179">
        <f ca="1">IF(ISNUMBER(MATCH(DATEVALUE($A58),'changes1_based on steps'!E$1:E$400,0)),E$2,)</f>
        <v>0</v>
      </c>
      <c r="F58" s="179">
        <f ca="1">IF(ISNUMBER(MATCH(DATEVALUE($A58),'changes1_based on steps'!F$1:F$400,0)),F$2,)</f>
        <v>0</v>
      </c>
      <c r="G58" s="179">
        <f ca="1">IF(ISNUMBER(MATCH(DATEVALUE($A58),'changes1_based on steps'!G$1:G$400,0)),G$2,)</f>
        <v>0</v>
      </c>
      <c r="H58" s="179">
        <f ca="1">IF(ISNUMBER(MATCH(DATEVALUE($A58),'changes1_based on steps'!H$1:H$400,0)),H$2,)</f>
        <v>0</v>
      </c>
      <c r="I58" s="179">
        <f ca="1">IF(ISNUMBER(MATCH(DATEVALUE($A58),'changes1_based on steps'!I$1:I$400,0)),I$2,)</f>
        <v>0</v>
      </c>
      <c r="J58" s="179">
        <f ca="1">IF(ISNUMBER(MATCH(DATEVALUE($A58),'changes1_based on steps'!J$1:J$400,0)),J$2,)</f>
        <v>0</v>
      </c>
      <c r="K58" s="179">
        <f ca="1">IF(ISNUMBER(MATCH(DATEVALUE($A58),'changes1_based on steps'!K$1:K$400,0)),K$2,)</f>
        <v>0</v>
      </c>
      <c r="L58" s="179">
        <f ca="1">IF(ISNUMBER(MATCH(DATEVALUE($A58),'changes1_based on steps'!L$1:L$400,0)),L$2,)</f>
        <v>0</v>
      </c>
      <c r="M58" s="179">
        <f ca="1">IF(ISNUMBER(MATCH(DATEVALUE($A58),'changes1_based on steps'!M$1:M$400,0)),M$2,)</f>
        <v>0</v>
      </c>
      <c r="N58" s="179">
        <f ca="1">IF(ISNUMBER(MATCH(DATEVALUE($A58),'changes1_based on steps'!N$1:N$400,0)),N$2,)</f>
        <v>0</v>
      </c>
      <c r="O58" s="179">
        <f ca="1">IF(ISNUMBER(MATCH(DATEVALUE($A58),'changes1_based on steps'!O$1:O$400,0)),O$2,)</f>
        <v>0</v>
      </c>
      <c r="P58" s="179">
        <f ca="1">IF(ISNUMBER(MATCH(DATEVALUE($A58),'changes1_based on steps'!P$1:P$400,0)),P$2,)</f>
        <v>0</v>
      </c>
      <c r="Q58" s="179">
        <f ca="1">IF(ISNUMBER(MATCH(DATEVALUE($A58),'changes1_based on steps'!Q$1:Q$400,0)),Q$2,)</f>
        <v>0</v>
      </c>
      <c r="R58" s="179">
        <f ca="1">IF(ISNUMBER(MATCH(DATEVALUE($A58),'changes1_based on steps'!R$1:R$400,0)),R$2,)</f>
        <v>0</v>
      </c>
      <c r="S58" s="179">
        <f ca="1">IF(ISNUMBER(MATCH(DATEVALUE($A58),'changes1_based on steps'!S$1:S$400,0)),S$2,)</f>
        <v>0</v>
      </c>
      <c r="T58" s="179">
        <f ca="1">IF(ISNUMBER(MATCH(DATEVALUE($A58),'changes1_based on steps'!T$1:T$400,0)),T$2,)</f>
        <v>0</v>
      </c>
      <c r="U58" s="179">
        <f ca="1">IF(ISNUMBER(MATCH(DATEVALUE($A58),'changes1_based on steps'!U$1:U$400,0)),U$2,)</f>
        <v>0</v>
      </c>
      <c r="V58" s="179"/>
      <c r="W58" s="179"/>
      <c r="X58" s="179"/>
      <c r="Y58" s="179"/>
      <c r="Z58" s="179"/>
      <c r="AA58" s="179"/>
      <c r="AB58" s="179"/>
      <c r="AC58" s="179"/>
      <c r="AD58" s="179"/>
      <c r="AE58" s="179"/>
      <c r="AF58" s="179"/>
      <c r="AG58" s="179"/>
      <c r="AH58" s="179"/>
      <c r="AI58" s="179"/>
      <c r="AJ58" s="179"/>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row>
    <row r="59" spans="1:101" x14ac:dyDescent="0.2">
      <c r="A59" s="32" t="str">
        <f t="shared" ca="1" si="0"/>
        <v>2025-05-24</v>
      </c>
      <c r="B59" s="179">
        <f ca="1">IF(ISNUMBER(MATCH(DATEVALUE($A59),'changes1_based on steps'!B$1:B$400,0)),B$2,)</f>
        <v>0</v>
      </c>
      <c r="C59" s="179">
        <f ca="1">IF(ISNUMBER(MATCH(DATEVALUE($A59),'changes1_based on steps'!C$1:C$400,0)),C$2,)</f>
        <v>0</v>
      </c>
      <c r="D59" s="179">
        <f ca="1">IF(ISNUMBER(MATCH(DATEVALUE($A59),'changes1_based on steps'!D$1:D$400,0)),D$2,)</f>
        <v>0</v>
      </c>
      <c r="E59" s="179">
        <f ca="1">IF(ISNUMBER(MATCH(DATEVALUE($A59),'changes1_based on steps'!E$1:E$400,0)),E$2,)</f>
        <v>0</v>
      </c>
      <c r="F59" s="179">
        <f ca="1">IF(ISNUMBER(MATCH(DATEVALUE($A59),'changes1_based on steps'!F$1:F$400,0)),F$2,)</f>
        <v>0</v>
      </c>
      <c r="G59" s="179">
        <f ca="1">IF(ISNUMBER(MATCH(DATEVALUE($A59),'changes1_based on steps'!G$1:G$400,0)),G$2,)</f>
        <v>0</v>
      </c>
      <c r="H59" s="179">
        <f ca="1">IF(ISNUMBER(MATCH(DATEVALUE($A59),'changes1_based on steps'!H$1:H$400,0)),H$2,)</f>
        <v>0</v>
      </c>
      <c r="I59" s="179">
        <f ca="1">IF(ISNUMBER(MATCH(DATEVALUE($A59),'changes1_based on steps'!I$1:I$400,0)),I$2,)</f>
        <v>0</v>
      </c>
      <c r="J59" s="179">
        <f ca="1">IF(ISNUMBER(MATCH(DATEVALUE($A59),'changes1_based on steps'!J$1:J$400,0)),J$2,)</f>
        <v>0</v>
      </c>
      <c r="K59" s="179">
        <f ca="1">IF(ISNUMBER(MATCH(DATEVALUE($A59),'changes1_based on steps'!K$1:K$400,0)),K$2,)</f>
        <v>0</v>
      </c>
      <c r="L59" s="179">
        <f ca="1">IF(ISNUMBER(MATCH(DATEVALUE($A59),'changes1_based on steps'!L$1:L$400,0)),L$2,)</f>
        <v>0</v>
      </c>
      <c r="M59" s="179">
        <f ca="1">IF(ISNUMBER(MATCH(DATEVALUE($A59),'changes1_based on steps'!M$1:M$400,0)),M$2,)</f>
        <v>0</v>
      </c>
      <c r="N59" s="179">
        <f ca="1">IF(ISNUMBER(MATCH(DATEVALUE($A59),'changes1_based on steps'!N$1:N$400,0)),N$2,)</f>
        <v>0</v>
      </c>
      <c r="O59" s="179">
        <f ca="1">IF(ISNUMBER(MATCH(DATEVALUE($A59),'changes1_based on steps'!O$1:O$400,0)),O$2,)</f>
        <v>0</v>
      </c>
      <c r="P59" s="179">
        <f ca="1">IF(ISNUMBER(MATCH(DATEVALUE($A59),'changes1_based on steps'!P$1:P$400,0)),P$2,)</f>
        <v>0</v>
      </c>
      <c r="Q59" s="179">
        <f ca="1">IF(ISNUMBER(MATCH(DATEVALUE($A59),'changes1_based on steps'!Q$1:Q$400,0)),Q$2,)</f>
        <v>0</v>
      </c>
      <c r="R59" s="179">
        <f ca="1">IF(ISNUMBER(MATCH(DATEVALUE($A59),'changes1_based on steps'!R$1:R$400,0)),R$2,)</f>
        <v>0</v>
      </c>
      <c r="S59" s="179">
        <f ca="1">IF(ISNUMBER(MATCH(DATEVALUE($A59),'changes1_based on steps'!S$1:S$400,0)),S$2,)</f>
        <v>0</v>
      </c>
      <c r="T59" s="179">
        <f ca="1">IF(ISNUMBER(MATCH(DATEVALUE($A59),'changes1_based on steps'!T$1:T$400,0)),T$2,)</f>
        <v>0</v>
      </c>
      <c r="U59" s="179">
        <f ca="1">IF(ISNUMBER(MATCH(DATEVALUE($A59),'changes1_based on steps'!U$1:U$400,0)),U$2,)</f>
        <v>0</v>
      </c>
      <c r="V59" s="179"/>
      <c r="W59" s="179"/>
      <c r="X59" s="179"/>
      <c r="Y59" s="179"/>
      <c r="Z59" s="179"/>
      <c r="AA59" s="179"/>
      <c r="AB59" s="179"/>
      <c r="AC59" s="179"/>
      <c r="AD59" s="179"/>
      <c r="AE59" s="179"/>
      <c r="AF59" s="179"/>
      <c r="AG59" s="179"/>
      <c r="AH59" s="179"/>
      <c r="AI59" s="179"/>
      <c r="AJ59" s="179"/>
      <c r="AK59" s="179"/>
      <c r="AL59" s="179"/>
      <c r="AM59" s="179"/>
      <c r="AN59" s="179"/>
      <c r="AO59" s="179"/>
      <c r="AP59" s="179"/>
      <c r="AQ59" s="179"/>
      <c r="AR59" s="179"/>
      <c r="AS59" s="179"/>
      <c r="AT59" s="179"/>
      <c r="AU59" s="179"/>
      <c r="AV59" s="179"/>
      <c r="AW59" s="179"/>
      <c r="AX59" s="179"/>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row>
    <row r="60" spans="1:101" x14ac:dyDescent="0.2">
      <c r="A60" s="32" t="str">
        <f t="shared" ca="1" si="0"/>
        <v>2025-05-25</v>
      </c>
      <c r="B60" s="179">
        <f ca="1">IF(ISNUMBER(MATCH(DATEVALUE($A60),'changes1_based on steps'!B$1:B$400,0)),B$2,)</f>
        <v>0</v>
      </c>
      <c r="C60" s="179">
        <f ca="1">IF(ISNUMBER(MATCH(DATEVALUE($A60),'changes1_based on steps'!C$1:C$400,0)),C$2,)</f>
        <v>0</v>
      </c>
      <c r="D60" s="179">
        <f ca="1">IF(ISNUMBER(MATCH(DATEVALUE($A60),'changes1_based on steps'!D$1:D$400,0)),D$2,)</f>
        <v>0</v>
      </c>
      <c r="E60" s="179">
        <f ca="1">IF(ISNUMBER(MATCH(DATEVALUE($A60),'changes1_based on steps'!E$1:E$400,0)),E$2,)</f>
        <v>0</v>
      </c>
      <c r="F60" s="179">
        <f ca="1">IF(ISNUMBER(MATCH(DATEVALUE($A60),'changes1_based on steps'!F$1:F$400,0)),F$2,)</f>
        <v>0</v>
      </c>
      <c r="G60" s="179">
        <f ca="1">IF(ISNUMBER(MATCH(DATEVALUE($A60),'changes1_based on steps'!G$1:G$400,0)),G$2,)</f>
        <v>0</v>
      </c>
      <c r="H60" s="179">
        <f ca="1">IF(ISNUMBER(MATCH(DATEVALUE($A60),'changes1_based on steps'!H$1:H$400,0)),H$2,)</f>
        <v>0</v>
      </c>
      <c r="I60" s="179">
        <f ca="1">IF(ISNUMBER(MATCH(DATEVALUE($A60),'changes1_based on steps'!I$1:I$400,0)),I$2,)</f>
        <v>0</v>
      </c>
      <c r="J60" s="179">
        <f ca="1">IF(ISNUMBER(MATCH(DATEVALUE($A60),'changes1_based on steps'!J$1:J$400,0)),J$2,)</f>
        <v>0</v>
      </c>
      <c r="K60" s="179">
        <f ca="1">IF(ISNUMBER(MATCH(DATEVALUE($A60),'changes1_based on steps'!K$1:K$400,0)),K$2,)</f>
        <v>0</v>
      </c>
      <c r="L60" s="179">
        <f ca="1">IF(ISNUMBER(MATCH(DATEVALUE($A60),'changes1_based on steps'!L$1:L$400,0)),L$2,)</f>
        <v>0</v>
      </c>
      <c r="M60" s="179">
        <f ca="1">IF(ISNUMBER(MATCH(DATEVALUE($A60),'changes1_based on steps'!M$1:M$400,0)),M$2,)</f>
        <v>0</v>
      </c>
      <c r="N60" s="179">
        <f ca="1">IF(ISNUMBER(MATCH(DATEVALUE($A60),'changes1_based on steps'!N$1:N$400,0)),N$2,)</f>
        <v>0</v>
      </c>
      <c r="O60" s="179">
        <f ca="1">IF(ISNUMBER(MATCH(DATEVALUE($A60),'changes1_based on steps'!O$1:O$400,0)),O$2,)</f>
        <v>0</v>
      </c>
      <c r="P60" s="179">
        <f ca="1">IF(ISNUMBER(MATCH(DATEVALUE($A60),'changes1_based on steps'!P$1:P$400,0)),P$2,)</f>
        <v>0</v>
      </c>
      <c r="Q60" s="179">
        <f ca="1">IF(ISNUMBER(MATCH(DATEVALUE($A60),'changes1_based on steps'!Q$1:Q$400,0)),Q$2,)</f>
        <v>0</v>
      </c>
      <c r="R60" s="179">
        <f ca="1">IF(ISNUMBER(MATCH(DATEVALUE($A60),'changes1_based on steps'!R$1:R$400,0)),R$2,)</f>
        <v>0</v>
      </c>
      <c r="S60" s="179">
        <f ca="1">IF(ISNUMBER(MATCH(DATEVALUE($A60),'changes1_based on steps'!S$1:S$400,0)),S$2,)</f>
        <v>0</v>
      </c>
      <c r="T60" s="179">
        <f ca="1">IF(ISNUMBER(MATCH(DATEVALUE($A60),'changes1_based on steps'!T$1:T$400,0)),T$2,)</f>
        <v>0</v>
      </c>
      <c r="U60" s="179">
        <f ca="1">IF(ISNUMBER(MATCH(DATEVALUE($A60),'changes1_based on steps'!U$1:U$400,0)),U$2,)</f>
        <v>0</v>
      </c>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row>
    <row r="61" spans="1:101" x14ac:dyDescent="0.2">
      <c r="A61" s="32" t="str">
        <f t="shared" ca="1" si="0"/>
        <v>2025-05-26</v>
      </c>
      <c r="B61" s="179">
        <f ca="1">IF(ISNUMBER(MATCH(DATEVALUE($A61),'changes1_based on steps'!B$1:B$400,0)),B$2,)</f>
        <v>0</v>
      </c>
      <c r="C61" s="179">
        <f ca="1">IF(ISNUMBER(MATCH(DATEVALUE($A61),'changes1_based on steps'!C$1:C$400,0)),C$2,)</f>
        <v>0</v>
      </c>
      <c r="D61" s="179">
        <f ca="1">IF(ISNUMBER(MATCH(DATEVALUE($A61),'changes1_based on steps'!D$1:D$400,0)),D$2,)</f>
        <v>0</v>
      </c>
      <c r="E61" s="179">
        <f ca="1">IF(ISNUMBER(MATCH(DATEVALUE($A61),'changes1_based on steps'!E$1:E$400,0)),E$2,)</f>
        <v>0</v>
      </c>
      <c r="F61" s="179">
        <f ca="1">IF(ISNUMBER(MATCH(DATEVALUE($A61),'changes1_based on steps'!F$1:F$400,0)),F$2,)</f>
        <v>0</v>
      </c>
      <c r="G61" s="179">
        <f ca="1">IF(ISNUMBER(MATCH(DATEVALUE($A61),'changes1_based on steps'!G$1:G$400,0)),G$2,)</f>
        <v>0</v>
      </c>
      <c r="H61" s="179">
        <f ca="1">IF(ISNUMBER(MATCH(DATEVALUE($A61),'changes1_based on steps'!H$1:H$400,0)),H$2,)</f>
        <v>0</v>
      </c>
      <c r="I61" s="179">
        <f ca="1">IF(ISNUMBER(MATCH(DATEVALUE($A61),'changes1_based on steps'!I$1:I$400,0)),I$2,)</f>
        <v>0</v>
      </c>
      <c r="J61" s="179">
        <f ca="1">IF(ISNUMBER(MATCH(DATEVALUE($A61),'changes1_based on steps'!J$1:J$400,0)),J$2,)</f>
        <v>0</v>
      </c>
      <c r="K61" s="179">
        <f ca="1">IF(ISNUMBER(MATCH(DATEVALUE($A61),'changes1_based on steps'!K$1:K$400,0)),K$2,)</f>
        <v>0</v>
      </c>
      <c r="L61" s="179">
        <f ca="1">IF(ISNUMBER(MATCH(DATEVALUE($A61),'changes1_based on steps'!L$1:L$400,0)),L$2,)</f>
        <v>0</v>
      </c>
      <c r="M61" s="179">
        <f ca="1">IF(ISNUMBER(MATCH(DATEVALUE($A61),'changes1_based on steps'!M$1:M$400,0)),M$2,)</f>
        <v>0</v>
      </c>
      <c r="N61" s="179">
        <f ca="1">IF(ISNUMBER(MATCH(DATEVALUE($A61),'changes1_based on steps'!N$1:N$400,0)),N$2,)</f>
        <v>0</v>
      </c>
      <c r="O61" s="179">
        <f ca="1">IF(ISNUMBER(MATCH(DATEVALUE($A61),'changes1_based on steps'!O$1:O$400,0)),O$2,)</f>
        <v>0</v>
      </c>
      <c r="P61" s="179">
        <f ca="1">IF(ISNUMBER(MATCH(DATEVALUE($A61),'changes1_based on steps'!P$1:P$400,0)),P$2,)</f>
        <v>0</v>
      </c>
      <c r="Q61" s="179">
        <f ca="1">IF(ISNUMBER(MATCH(DATEVALUE($A61),'changes1_based on steps'!Q$1:Q$400,0)),Q$2,)</f>
        <v>0</v>
      </c>
      <c r="R61" s="179">
        <f ca="1">IF(ISNUMBER(MATCH(DATEVALUE($A61),'changes1_based on steps'!R$1:R$400,0)),R$2,)</f>
        <v>0</v>
      </c>
      <c r="S61" s="179">
        <f ca="1">IF(ISNUMBER(MATCH(DATEVALUE($A61),'changes1_based on steps'!S$1:S$400,0)),S$2,)</f>
        <v>0</v>
      </c>
      <c r="T61" s="179">
        <f ca="1">IF(ISNUMBER(MATCH(DATEVALUE($A61),'changes1_based on steps'!T$1:T$400,0)),T$2,)</f>
        <v>0</v>
      </c>
      <c r="U61" s="179">
        <f ca="1">IF(ISNUMBER(MATCH(DATEVALUE($A61),'changes1_based on steps'!U$1:U$400,0)),U$2,)</f>
        <v>0</v>
      </c>
      <c r="V61" s="179"/>
      <c r="W61" s="179"/>
      <c r="X61" s="179"/>
      <c r="Y61" s="179"/>
      <c r="Z61" s="179"/>
      <c r="AA61" s="179"/>
      <c r="AB61" s="179"/>
      <c r="AC61" s="179"/>
      <c r="AD61" s="179"/>
      <c r="AE61" s="179"/>
      <c r="AF61" s="179"/>
      <c r="AG61" s="179"/>
      <c r="AH61" s="179"/>
      <c r="AI61" s="179"/>
      <c r="AJ61" s="179"/>
      <c r="AK61" s="179"/>
      <c r="AL61" s="179"/>
      <c r="AM61" s="179"/>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row>
    <row r="62" spans="1:101" x14ac:dyDescent="0.2">
      <c r="A62" s="32" t="str">
        <f t="shared" ca="1" si="0"/>
        <v>2025-05-27</v>
      </c>
      <c r="B62" s="179">
        <f ca="1">IF(ISNUMBER(MATCH(DATEVALUE($A62),'changes1_based on steps'!B$1:B$400,0)),B$2,)</f>
        <v>0</v>
      </c>
      <c r="C62" s="179">
        <f ca="1">IF(ISNUMBER(MATCH(DATEVALUE($A62),'changes1_based on steps'!C$1:C$400,0)),C$2,)</f>
        <v>0</v>
      </c>
      <c r="D62" s="179">
        <f ca="1">IF(ISNUMBER(MATCH(DATEVALUE($A62),'changes1_based on steps'!D$1:D$400,0)),D$2,)</f>
        <v>0</v>
      </c>
      <c r="E62" s="179">
        <f ca="1">IF(ISNUMBER(MATCH(DATEVALUE($A62),'changes1_based on steps'!E$1:E$400,0)),E$2,)</f>
        <v>0</v>
      </c>
      <c r="F62" s="179">
        <f ca="1">IF(ISNUMBER(MATCH(DATEVALUE($A62),'changes1_based on steps'!F$1:F$400,0)),F$2,)</f>
        <v>0</v>
      </c>
      <c r="G62" s="179">
        <f ca="1">IF(ISNUMBER(MATCH(DATEVALUE($A62),'changes1_based on steps'!G$1:G$400,0)),G$2,)</f>
        <v>0</v>
      </c>
      <c r="H62" s="179">
        <f ca="1">IF(ISNUMBER(MATCH(DATEVALUE($A62),'changes1_based on steps'!H$1:H$400,0)),H$2,)</f>
        <v>0</v>
      </c>
      <c r="I62" s="179">
        <f ca="1">IF(ISNUMBER(MATCH(DATEVALUE($A62),'changes1_based on steps'!I$1:I$400,0)),I$2,)</f>
        <v>0</v>
      </c>
      <c r="J62" s="179">
        <f ca="1">IF(ISNUMBER(MATCH(DATEVALUE($A62),'changes1_based on steps'!J$1:J$400,0)),J$2,)</f>
        <v>0</v>
      </c>
      <c r="K62" s="179">
        <f ca="1">IF(ISNUMBER(MATCH(DATEVALUE($A62),'changes1_based on steps'!K$1:K$400,0)),K$2,)</f>
        <v>0</v>
      </c>
      <c r="L62" s="179">
        <f ca="1">IF(ISNUMBER(MATCH(DATEVALUE($A62),'changes1_based on steps'!L$1:L$400,0)),L$2,)</f>
        <v>0</v>
      </c>
      <c r="M62" s="179">
        <f ca="1">IF(ISNUMBER(MATCH(DATEVALUE($A62),'changes1_based on steps'!M$1:M$400,0)),M$2,)</f>
        <v>0</v>
      </c>
      <c r="N62" s="179">
        <f ca="1">IF(ISNUMBER(MATCH(DATEVALUE($A62),'changes1_based on steps'!N$1:N$400,0)),N$2,)</f>
        <v>0</v>
      </c>
      <c r="O62" s="179">
        <f ca="1">IF(ISNUMBER(MATCH(DATEVALUE($A62),'changes1_based on steps'!O$1:O$400,0)),O$2,)</f>
        <v>0</v>
      </c>
      <c r="P62" s="179">
        <f ca="1">IF(ISNUMBER(MATCH(DATEVALUE($A62),'changes1_based on steps'!P$1:P$400,0)),P$2,)</f>
        <v>0</v>
      </c>
      <c r="Q62" s="179">
        <f ca="1">IF(ISNUMBER(MATCH(DATEVALUE($A62),'changes1_based on steps'!Q$1:Q$400,0)),Q$2,)</f>
        <v>0</v>
      </c>
      <c r="R62" s="179">
        <f ca="1">IF(ISNUMBER(MATCH(DATEVALUE($A62),'changes1_based on steps'!R$1:R$400,0)),R$2,)</f>
        <v>0</v>
      </c>
      <c r="S62" s="179">
        <f ca="1">IF(ISNUMBER(MATCH(DATEVALUE($A62),'changes1_based on steps'!S$1:S$400,0)),S$2,)</f>
        <v>0</v>
      </c>
      <c r="T62" s="179">
        <f ca="1">IF(ISNUMBER(MATCH(DATEVALUE($A62),'changes1_based on steps'!T$1:T$400,0)),T$2,)</f>
        <v>0</v>
      </c>
      <c r="U62" s="179">
        <f ca="1">IF(ISNUMBER(MATCH(DATEVALUE($A62),'changes1_based on steps'!U$1:U$400,0)),U$2,)</f>
        <v>0</v>
      </c>
      <c r="V62" s="179"/>
      <c r="W62" s="179"/>
      <c r="X62" s="179"/>
      <c r="Y62" s="179"/>
      <c r="Z62" s="179"/>
      <c r="AA62" s="179"/>
      <c r="AB62" s="179"/>
      <c r="AC62" s="179"/>
      <c r="AD62" s="179"/>
      <c r="AE62" s="179"/>
      <c r="AF62" s="179"/>
      <c r="AG62" s="179"/>
      <c r="AH62" s="179"/>
      <c r="AI62" s="179"/>
      <c r="AJ62" s="179"/>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c r="CK62" s="179"/>
      <c r="CL62" s="179"/>
      <c r="CM62" s="179"/>
      <c r="CN62" s="179"/>
      <c r="CO62" s="179"/>
      <c r="CP62" s="179"/>
      <c r="CQ62" s="179"/>
      <c r="CR62" s="179"/>
      <c r="CS62" s="179"/>
      <c r="CT62" s="179"/>
      <c r="CU62" s="179"/>
      <c r="CV62" s="179"/>
      <c r="CW62" s="179"/>
    </row>
    <row r="63" spans="1:101" x14ac:dyDescent="0.2">
      <c r="A63" s="32" t="str">
        <f t="shared" ca="1" si="0"/>
        <v>2025-05-28</v>
      </c>
      <c r="B63" s="179">
        <f ca="1">IF(ISNUMBER(MATCH(DATEVALUE($A63),'changes1_based on steps'!B$1:B$400,0)),B$2,)</f>
        <v>0</v>
      </c>
      <c r="C63" s="179">
        <f ca="1">IF(ISNUMBER(MATCH(DATEVALUE($A63),'changes1_based on steps'!C$1:C$400,0)),C$2,)</f>
        <v>0</v>
      </c>
      <c r="D63" s="179">
        <f ca="1">IF(ISNUMBER(MATCH(DATEVALUE($A63),'changes1_based on steps'!D$1:D$400,0)),D$2,)</f>
        <v>0</v>
      </c>
      <c r="E63" s="179">
        <f ca="1">IF(ISNUMBER(MATCH(DATEVALUE($A63),'changes1_based on steps'!E$1:E$400,0)),E$2,)</f>
        <v>0</v>
      </c>
      <c r="F63" s="179">
        <f ca="1">IF(ISNUMBER(MATCH(DATEVALUE($A63),'changes1_based on steps'!F$1:F$400,0)),F$2,)</f>
        <v>0</v>
      </c>
      <c r="G63" s="179">
        <f ca="1">IF(ISNUMBER(MATCH(DATEVALUE($A63),'changes1_based on steps'!G$1:G$400,0)),G$2,)</f>
        <v>0</v>
      </c>
      <c r="H63" s="179">
        <f ca="1">IF(ISNUMBER(MATCH(DATEVALUE($A63),'changes1_based on steps'!H$1:H$400,0)),H$2,)</f>
        <v>0</v>
      </c>
      <c r="I63" s="179">
        <f ca="1">IF(ISNUMBER(MATCH(DATEVALUE($A63),'changes1_based on steps'!I$1:I$400,0)),I$2,)</f>
        <v>0</v>
      </c>
      <c r="J63" s="179">
        <f ca="1">IF(ISNUMBER(MATCH(DATEVALUE($A63),'changes1_based on steps'!J$1:J$400,0)),J$2,)</f>
        <v>0</v>
      </c>
      <c r="K63" s="179">
        <f ca="1">IF(ISNUMBER(MATCH(DATEVALUE($A63),'changes1_based on steps'!K$1:K$400,0)),K$2,)</f>
        <v>0</v>
      </c>
      <c r="L63" s="179">
        <f ca="1">IF(ISNUMBER(MATCH(DATEVALUE($A63),'changes1_based on steps'!L$1:L$400,0)),L$2,)</f>
        <v>0</v>
      </c>
      <c r="M63" s="179">
        <f ca="1">IF(ISNUMBER(MATCH(DATEVALUE($A63),'changes1_based on steps'!M$1:M$400,0)),M$2,)</f>
        <v>0</v>
      </c>
      <c r="N63" s="179">
        <f ca="1">IF(ISNUMBER(MATCH(DATEVALUE($A63),'changes1_based on steps'!N$1:N$400,0)),N$2,)</f>
        <v>0</v>
      </c>
      <c r="O63" s="179">
        <f ca="1">IF(ISNUMBER(MATCH(DATEVALUE($A63),'changes1_based on steps'!O$1:O$400,0)),O$2,)</f>
        <v>0</v>
      </c>
      <c r="P63" s="179">
        <f ca="1">IF(ISNUMBER(MATCH(DATEVALUE($A63),'changes1_based on steps'!P$1:P$400,0)),P$2,)</f>
        <v>0</v>
      </c>
      <c r="Q63" s="179">
        <f ca="1">IF(ISNUMBER(MATCH(DATEVALUE($A63),'changes1_based on steps'!Q$1:Q$400,0)),Q$2,)</f>
        <v>0</v>
      </c>
      <c r="R63" s="179">
        <f ca="1">IF(ISNUMBER(MATCH(DATEVALUE($A63),'changes1_based on steps'!R$1:R$400,0)),R$2,)</f>
        <v>0</v>
      </c>
      <c r="S63" s="179">
        <f ca="1">IF(ISNUMBER(MATCH(DATEVALUE($A63),'changes1_based on steps'!S$1:S$400,0)),S$2,)</f>
        <v>0</v>
      </c>
      <c r="T63" s="179">
        <f ca="1">IF(ISNUMBER(MATCH(DATEVALUE($A63),'changes1_based on steps'!T$1:T$400,0)),T$2,)</f>
        <v>0</v>
      </c>
      <c r="U63" s="179">
        <f ca="1">IF(ISNUMBER(MATCH(DATEVALUE($A63),'changes1_based on steps'!U$1:U$400,0)),U$2,)</f>
        <v>0</v>
      </c>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row>
    <row r="64" spans="1:101" x14ac:dyDescent="0.2">
      <c r="A64" s="32" t="str">
        <f t="shared" ca="1" si="0"/>
        <v>2025-05-29</v>
      </c>
      <c r="B64" s="179">
        <f ca="1">IF(ISNUMBER(MATCH(DATEVALUE($A64),'changes1_based on steps'!B$1:B$400,0)),B$2,)</f>
        <v>0</v>
      </c>
      <c r="C64" s="179">
        <f ca="1">IF(ISNUMBER(MATCH(DATEVALUE($A64),'changes1_based on steps'!C$1:C$400,0)),C$2,)</f>
        <v>0</v>
      </c>
      <c r="D64" s="179">
        <f ca="1">IF(ISNUMBER(MATCH(DATEVALUE($A64),'changes1_based on steps'!D$1:D$400,0)),D$2,)</f>
        <v>0</v>
      </c>
      <c r="E64" s="179">
        <f ca="1">IF(ISNUMBER(MATCH(DATEVALUE($A64),'changes1_based on steps'!E$1:E$400,0)),E$2,)</f>
        <v>0</v>
      </c>
      <c r="F64" s="179">
        <f ca="1">IF(ISNUMBER(MATCH(DATEVALUE($A64),'changes1_based on steps'!F$1:F$400,0)),F$2,)</f>
        <v>0</v>
      </c>
      <c r="G64" s="179">
        <f ca="1">IF(ISNUMBER(MATCH(DATEVALUE($A64),'changes1_based on steps'!G$1:G$400,0)),G$2,)</f>
        <v>0</v>
      </c>
      <c r="H64" s="179">
        <f ca="1">IF(ISNUMBER(MATCH(DATEVALUE($A64),'changes1_based on steps'!H$1:H$400,0)),H$2,)</f>
        <v>0</v>
      </c>
      <c r="I64" s="179">
        <f ca="1">IF(ISNUMBER(MATCH(DATEVALUE($A64),'changes1_based on steps'!I$1:I$400,0)),I$2,)</f>
        <v>0</v>
      </c>
      <c r="J64" s="179">
        <f ca="1">IF(ISNUMBER(MATCH(DATEVALUE($A64),'changes1_based on steps'!J$1:J$400,0)),J$2,)</f>
        <v>0</v>
      </c>
      <c r="K64" s="179">
        <f ca="1">IF(ISNUMBER(MATCH(DATEVALUE($A64),'changes1_based on steps'!K$1:K$400,0)),K$2,)</f>
        <v>0</v>
      </c>
      <c r="L64" s="179">
        <f ca="1">IF(ISNUMBER(MATCH(DATEVALUE($A64),'changes1_based on steps'!L$1:L$400,0)),L$2,)</f>
        <v>0</v>
      </c>
      <c r="M64" s="179">
        <f ca="1">IF(ISNUMBER(MATCH(DATEVALUE($A64),'changes1_based on steps'!M$1:M$400,0)),M$2,)</f>
        <v>0</v>
      </c>
      <c r="N64" s="179">
        <f ca="1">IF(ISNUMBER(MATCH(DATEVALUE($A64),'changes1_based on steps'!N$1:N$400,0)),N$2,)</f>
        <v>0</v>
      </c>
      <c r="O64" s="179">
        <f ca="1">IF(ISNUMBER(MATCH(DATEVALUE($A64),'changes1_based on steps'!O$1:O$400,0)),O$2,)</f>
        <v>0</v>
      </c>
      <c r="P64" s="179">
        <f ca="1">IF(ISNUMBER(MATCH(DATEVALUE($A64),'changes1_based on steps'!P$1:P$400,0)),P$2,)</f>
        <v>0</v>
      </c>
      <c r="Q64" s="179">
        <f ca="1">IF(ISNUMBER(MATCH(DATEVALUE($A64),'changes1_based on steps'!Q$1:Q$400,0)),Q$2,)</f>
        <v>0</v>
      </c>
      <c r="R64" s="179">
        <f ca="1">IF(ISNUMBER(MATCH(DATEVALUE($A64),'changes1_based on steps'!R$1:R$400,0)),R$2,)</f>
        <v>0</v>
      </c>
      <c r="S64" s="179">
        <f ca="1">IF(ISNUMBER(MATCH(DATEVALUE($A64),'changes1_based on steps'!S$1:S$400,0)),S$2,)</f>
        <v>0</v>
      </c>
      <c r="T64" s="179">
        <f ca="1">IF(ISNUMBER(MATCH(DATEVALUE($A64),'changes1_based on steps'!T$1:T$400,0)),T$2,)</f>
        <v>0</v>
      </c>
      <c r="U64" s="179">
        <f ca="1">IF(ISNUMBER(MATCH(DATEVALUE($A64),'changes1_based on steps'!U$1:U$400,0)),U$2,)</f>
        <v>0</v>
      </c>
      <c r="V64" s="179"/>
      <c r="W64" s="179"/>
      <c r="X64" s="179"/>
      <c r="Y64" s="179"/>
      <c r="Z64" s="179"/>
      <c r="AA64" s="179"/>
      <c r="AB64" s="179"/>
      <c r="AC64" s="179"/>
      <c r="AD64" s="179"/>
      <c r="AE64" s="179"/>
      <c r="AF64" s="179"/>
      <c r="AG64" s="179"/>
      <c r="AH64" s="179"/>
      <c r="AI64" s="179"/>
      <c r="AJ64" s="179"/>
      <c r="AK64" s="179"/>
      <c r="AL64" s="179"/>
      <c r="AM64" s="179"/>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row>
    <row r="65" spans="1:101" x14ac:dyDescent="0.2">
      <c r="A65" s="32" t="str">
        <f t="shared" ca="1" si="0"/>
        <v>2025-05-30</v>
      </c>
      <c r="B65" s="179">
        <f ca="1">IF(ISNUMBER(MATCH(DATEVALUE($A65),'changes1_based on steps'!B$1:B$400,0)),B$2,)</f>
        <v>0</v>
      </c>
      <c r="C65" s="179">
        <f ca="1">IF(ISNUMBER(MATCH(DATEVALUE($A65),'changes1_based on steps'!C$1:C$400,0)),C$2,)</f>
        <v>0</v>
      </c>
      <c r="D65" s="179">
        <f ca="1">IF(ISNUMBER(MATCH(DATEVALUE($A65),'changes1_based on steps'!D$1:D$400,0)),D$2,)</f>
        <v>0</v>
      </c>
      <c r="E65" s="179">
        <f ca="1">IF(ISNUMBER(MATCH(DATEVALUE($A65),'changes1_based on steps'!E$1:E$400,0)),E$2,)</f>
        <v>0</v>
      </c>
      <c r="F65" s="179">
        <f ca="1">IF(ISNUMBER(MATCH(DATEVALUE($A65),'changes1_based on steps'!F$1:F$400,0)),F$2,)</f>
        <v>0</v>
      </c>
      <c r="G65" s="179">
        <f ca="1">IF(ISNUMBER(MATCH(DATEVALUE($A65),'changes1_based on steps'!G$1:G$400,0)),G$2,)</f>
        <v>0</v>
      </c>
      <c r="H65" s="179">
        <f ca="1">IF(ISNUMBER(MATCH(DATEVALUE($A65),'changes1_based on steps'!H$1:H$400,0)),H$2,)</f>
        <v>0</v>
      </c>
      <c r="I65" s="179">
        <f ca="1">IF(ISNUMBER(MATCH(DATEVALUE($A65),'changes1_based on steps'!I$1:I$400,0)),I$2,)</f>
        <v>0</v>
      </c>
      <c r="J65" s="179">
        <f ca="1">IF(ISNUMBER(MATCH(DATEVALUE($A65),'changes1_based on steps'!J$1:J$400,0)),J$2,)</f>
        <v>0</v>
      </c>
      <c r="K65" s="179">
        <f ca="1">IF(ISNUMBER(MATCH(DATEVALUE($A65),'changes1_based on steps'!K$1:K$400,0)),K$2,)</f>
        <v>0</v>
      </c>
      <c r="L65" s="179">
        <f ca="1">IF(ISNUMBER(MATCH(DATEVALUE($A65),'changes1_based on steps'!L$1:L$400,0)),L$2,)</f>
        <v>0</v>
      </c>
      <c r="M65" s="179">
        <f ca="1">IF(ISNUMBER(MATCH(DATEVALUE($A65),'changes1_based on steps'!M$1:M$400,0)),M$2,)</f>
        <v>0</v>
      </c>
      <c r="N65" s="179">
        <f ca="1">IF(ISNUMBER(MATCH(DATEVALUE($A65),'changes1_based on steps'!N$1:N$400,0)),N$2,)</f>
        <v>0</v>
      </c>
      <c r="O65" s="179">
        <f ca="1">IF(ISNUMBER(MATCH(DATEVALUE($A65),'changes1_based on steps'!O$1:O$400,0)),O$2,)</f>
        <v>0</v>
      </c>
      <c r="P65" s="179">
        <f ca="1">IF(ISNUMBER(MATCH(DATEVALUE($A65),'changes1_based on steps'!P$1:P$400,0)),P$2,)</f>
        <v>0</v>
      </c>
      <c r="Q65" s="179">
        <f ca="1">IF(ISNUMBER(MATCH(DATEVALUE($A65),'changes1_based on steps'!Q$1:Q$400,0)),Q$2,)</f>
        <v>0</v>
      </c>
      <c r="R65" s="179">
        <f ca="1">IF(ISNUMBER(MATCH(DATEVALUE($A65),'changes1_based on steps'!R$1:R$400,0)),R$2,)</f>
        <v>0</v>
      </c>
      <c r="S65" s="179">
        <f ca="1">IF(ISNUMBER(MATCH(DATEVALUE($A65),'changes1_based on steps'!S$1:S$400,0)),S$2,)</f>
        <v>0</v>
      </c>
      <c r="T65" s="179">
        <f ca="1">IF(ISNUMBER(MATCH(DATEVALUE($A65),'changes1_based on steps'!T$1:T$400,0)),T$2,)</f>
        <v>0</v>
      </c>
      <c r="U65" s="179">
        <f ca="1">IF(ISNUMBER(MATCH(DATEVALUE($A65),'changes1_based on steps'!U$1:U$400,0)),U$2,)</f>
        <v>0</v>
      </c>
      <c r="V65" s="179"/>
      <c r="W65" s="179"/>
      <c r="X65" s="179"/>
      <c r="Y65" s="179"/>
      <c r="Z65" s="179"/>
      <c r="AA65" s="179"/>
      <c r="AB65" s="179"/>
      <c r="AC65" s="179"/>
      <c r="AD65" s="179"/>
      <c r="AE65" s="179"/>
      <c r="AF65" s="179"/>
      <c r="AG65" s="179"/>
      <c r="AH65" s="179"/>
      <c r="AI65" s="179"/>
      <c r="AJ65" s="179"/>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79"/>
      <c r="BI65" s="179"/>
      <c r="BJ65" s="179"/>
      <c r="BK65" s="179"/>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c r="CK65" s="179"/>
      <c r="CL65" s="179"/>
      <c r="CM65" s="179"/>
      <c r="CN65" s="179"/>
      <c r="CO65" s="179"/>
      <c r="CP65" s="179"/>
      <c r="CQ65" s="179"/>
      <c r="CR65" s="179"/>
      <c r="CS65" s="179"/>
      <c r="CT65" s="179"/>
      <c r="CU65" s="179"/>
      <c r="CV65" s="179"/>
      <c r="CW65" s="179"/>
    </row>
    <row r="66" spans="1:101" x14ac:dyDescent="0.2">
      <c r="A66" s="32" t="str">
        <f t="shared" ca="1" si="0"/>
        <v>2025-05-31</v>
      </c>
      <c r="B66" s="179">
        <f ca="1">IF(ISNUMBER(MATCH(DATEVALUE($A66),'changes1_based on steps'!B$1:B$400,0)),B$2,)</f>
        <v>0</v>
      </c>
      <c r="C66" s="179">
        <f ca="1">IF(ISNUMBER(MATCH(DATEVALUE($A66),'changes1_based on steps'!C$1:C$400,0)),C$2,)</f>
        <v>0</v>
      </c>
      <c r="D66" s="179">
        <f ca="1">IF(ISNUMBER(MATCH(DATEVALUE($A66),'changes1_based on steps'!D$1:D$400,0)),D$2,)</f>
        <v>0</v>
      </c>
      <c r="E66" s="179">
        <f ca="1">IF(ISNUMBER(MATCH(DATEVALUE($A66),'changes1_based on steps'!E$1:E$400,0)),E$2,)</f>
        <v>0</v>
      </c>
      <c r="F66" s="179">
        <f ca="1">IF(ISNUMBER(MATCH(DATEVALUE($A66),'changes1_based on steps'!F$1:F$400,0)),F$2,)</f>
        <v>0</v>
      </c>
      <c r="G66" s="179">
        <f ca="1">IF(ISNUMBER(MATCH(DATEVALUE($A66),'changes1_based on steps'!G$1:G$400,0)),G$2,)</f>
        <v>0</v>
      </c>
      <c r="H66" s="179">
        <f ca="1">IF(ISNUMBER(MATCH(DATEVALUE($A66),'changes1_based on steps'!H$1:H$400,0)),H$2,)</f>
        <v>0</v>
      </c>
      <c r="I66" s="179">
        <f ca="1">IF(ISNUMBER(MATCH(DATEVALUE($A66),'changes1_based on steps'!I$1:I$400,0)),I$2,)</f>
        <v>0</v>
      </c>
      <c r="J66" s="179">
        <f ca="1">IF(ISNUMBER(MATCH(DATEVALUE($A66),'changes1_based on steps'!J$1:J$400,0)),J$2,)</f>
        <v>0</v>
      </c>
      <c r="K66" s="179">
        <f ca="1">IF(ISNUMBER(MATCH(DATEVALUE($A66),'changes1_based on steps'!K$1:K$400,0)),K$2,)</f>
        <v>0</v>
      </c>
      <c r="L66" s="179">
        <f ca="1">IF(ISNUMBER(MATCH(DATEVALUE($A66),'changes1_based on steps'!L$1:L$400,0)),L$2,)</f>
        <v>0</v>
      </c>
      <c r="M66" s="179">
        <f ca="1">IF(ISNUMBER(MATCH(DATEVALUE($A66),'changes1_based on steps'!M$1:M$400,0)),M$2,)</f>
        <v>0</v>
      </c>
      <c r="N66" s="179">
        <f ca="1">IF(ISNUMBER(MATCH(DATEVALUE($A66),'changes1_based on steps'!N$1:N$400,0)),N$2,)</f>
        <v>0</v>
      </c>
      <c r="O66" s="179">
        <f ca="1">IF(ISNUMBER(MATCH(DATEVALUE($A66),'changes1_based on steps'!O$1:O$400,0)),O$2,)</f>
        <v>0</v>
      </c>
      <c r="P66" s="179">
        <f ca="1">IF(ISNUMBER(MATCH(DATEVALUE($A66),'changes1_based on steps'!P$1:P$400,0)),P$2,)</f>
        <v>0</v>
      </c>
      <c r="Q66" s="179">
        <f ca="1">IF(ISNUMBER(MATCH(DATEVALUE($A66),'changes1_based on steps'!Q$1:Q$400,0)),Q$2,)</f>
        <v>0</v>
      </c>
      <c r="R66" s="179">
        <f ca="1">IF(ISNUMBER(MATCH(DATEVALUE($A66),'changes1_based on steps'!R$1:R$400,0)),R$2,)</f>
        <v>0</v>
      </c>
      <c r="S66" s="179">
        <f ca="1">IF(ISNUMBER(MATCH(DATEVALUE($A66),'changes1_based on steps'!S$1:S$400,0)),S$2,)</f>
        <v>0</v>
      </c>
      <c r="T66" s="179">
        <f ca="1">IF(ISNUMBER(MATCH(DATEVALUE($A66),'changes1_based on steps'!T$1:T$400,0)),T$2,)</f>
        <v>0</v>
      </c>
      <c r="U66" s="179">
        <f ca="1">IF(ISNUMBER(MATCH(DATEVALUE($A66),'changes1_based on steps'!U$1:U$400,0)),U$2,)</f>
        <v>0</v>
      </c>
      <c r="V66" s="179"/>
      <c r="W66" s="179"/>
      <c r="X66" s="179"/>
      <c r="Y66" s="179"/>
      <c r="Z66" s="179"/>
      <c r="AA66" s="179"/>
      <c r="AB66" s="179"/>
      <c r="AC66" s="179"/>
      <c r="AD66" s="179"/>
      <c r="AE66" s="179"/>
      <c r="AF66" s="179"/>
      <c r="AG66" s="179"/>
      <c r="AH66" s="179"/>
      <c r="AI66" s="179"/>
      <c r="AJ66" s="179"/>
      <c r="AK66" s="179"/>
      <c r="AL66" s="179"/>
      <c r="AM66" s="179"/>
      <c r="AN66" s="179"/>
      <c r="AO66" s="179"/>
      <c r="AP66" s="179"/>
      <c r="AQ66" s="179"/>
      <c r="AR66" s="179"/>
      <c r="AS66" s="179"/>
      <c r="AT66" s="179"/>
      <c r="AU66" s="179"/>
      <c r="AV66" s="179"/>
      <c r="AW66" s="179"/>
      <c r="AX66" s="179"/>
      <c r="AY66" s="179"/>
      <c r="AZ66" s="179"/>
      <c r="BA66" s="179"/>
      <c r="BB66" s="179"/>
      <c r="BC66" s="179"/>
      <c r="BD66" s="179"/>
      <c r="BE66" s="179"/>
      <c r="BF66" s="179"/>
      <c r="BG66" s="179"/>
      <c r="BH66" s="179"/>
      <c r="BI66" s="179"/>
      <c r="BJ66" s="179"/>
      <c r="BK66" s="179"/>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c r="CK66" s="179"/>
      <c r="CL66" s="179"/>
      <c r="CM66" s="179"/>
      <c r="CN66" s="179"/>
      <c r="CO66" s="179"/>
      <c r="CP66" s="179"/>
      <c r="CQ66" s="179"/>
      <c r="CR66" s="179"/>
      <c r="CS66" s="179"/>
      <c r="CT66" s="179"/>
      <c r="CU66" s="179"/>
      <c r="CV66" s="179"/>
      <c r="CW66" s="179"/>
    </row>
    <row r="67" spans="1:101" x14ac:dyDescent="0.2">
      <c r="A67" s="32" t="str">
        <f t="shared" ca="1" si="0"/>
        <v>2025-06-01</v>
      </c>
      <c r="B67" s="179">
        <f ca="1">IF(ISNUMBER(MATCH(DATEVALUE($A67),'changes1_based on steps'!B$1:B$400,0)),B$2,)</f>
        <v>0</v>
      </c>
      <c r="C67" s="179">
        <f ca="1">IF(ISNUMBER(MATCH(DATEVALUE($A67),'changes1_based on steps'!C$1:C$400,0)),C$2,)</f>
        <v>0</v>
      </c>
      <c r="D67" s="179">
        <f ca="1">IF(ISNUMBER(MATCH(DATEVALUE($A67),'changes1_based on steps'!D$1:D$400,0)),D$2,)</f>
        <v>0</v>
      </c>
      <c r="E67" s="179">
        <f ca="1">IF(ISNUMBER(MATCH(DATEVALUE($A67),'changes1_based on steps'!E$1:E$400,0)),E$2,)</f>
        <v>0</v>
      </c>
      <c r="F67" s="179">
        <f ca="1">IF(ISNUMBER(MATCH(DATEVALUE($A67),'changes1_based on steps'!F$1:F$400,0)),F$2,)</f>
        <v>0</v>
      </c>
      <c r="G67" s="179">
        <f ca="1">IF(ISNUMBER(MATCH(DATEVALUE($A67),'changes1_based on steps'!G$1:G$400,0)),G$2,)</f>
        <v>0</v>
      </c>
      <c r="H67" s="179">
        <f ca="1">IF(ISNUMBER(MATCH(DATEVALUE($A67),'changes1_based on steps'!H$1:H$400,0)),H$2,)</f>
        <v>0</v>
      </c>
      <c r="I67" s="179">
        <f ca="1">IF(ISNUMBER(MATCH(DATEVALUE($A67),'changes1_based on steps'!I$1:I$400,0)),I$2,)</f>
        <v>0</v>
      </c>
      <c r="J67" s="179">
        <f ca="1">IF(ISNUMBER(MATCH(DATEVALUE($A67),'changes1_based on steps'!J$1:J$400,0)),J$2,)</f>
        <v>0</v>
      </c>
      <c r="K67" s="179">
        <f ca="1">IF(ISNUMBER(MATCH(DATEVALUE($A67),'changes1_based on steps'!K$1:K$400,0)),K$2,)</f>
        <v>0</v>
      </c>
      <c r="L67" s="179">
        <f ca="1">IF(ISNUMBER(MATCH(DATEVALUE($A67),'changes1_based on steps'!L$1:L$400,0)),L$2,)</f>
        <v>0</v>
      </c>
      <c r="M67" s="179">
        <f ca="1">IF(ISNUMBER(MATCH(DATEVALUE($A67),'changes1_based on steps'!M$1:M$400,0)),M$2,)</f>
        <v>0</v>
      </c>
      <c r="N67" s="179">
        <f ca="1">IF(ISNUMBER(MATCH(DATEVALUE($A67),'changes1_based on steps'!N$1:N$400,0)),N$2,)</f>
        <v>0</v>
      </c>
      <c r="O67" s="179">
        <f ca="1">IF(ISNUMBER(MATCH(DATEVALUE($A67),'changes1_based on steps'!O$1:O$400,0)),O$2,)</f>
        <v>0</v>
      </c>
      <c r="P67" s="179">
        <f ca="1">IF(ISNUMBER(MATCH(DATEVALUE($A67),'changes1_based on steps'!P$1:P$400,0)),P$2,)</f>
        <v>0</v>
      </c>
      <c r="Q67" s="179">
        <f ca="1">IF(ISNUMBER(MATCH(DATEVALUE($A67),'changes1_based on steps'!Q$1:Q$400,0)),Q$2,)</f>
        <v>0</v>
      </c>
      <c r="R67" s="179">
        <f ca="1">IF(ISNUMBER(MATCH(DATEVALUE($A67),'changes1_based on steps'!R$1:R$400,0)),R$2,)</f>
        <v>0</v>
      </c>
      <c r="S67" s="179">
        <f ca="1">IF(ISNUMBER(MATCH(DATEVALUE($A67),'changes1_based on steps'!S$1:S$400,0)),S$2,)</f>
        <v>0</v>
      </c>
      <c r="T67" s="179">
        <f ca="1">IF(ISNUMBER(MATCH(DATEVALUE($A67),'changes1_based on steps'!T$1:T$400,0)),T$2,)</f>
        <v>0</v>
      </c>
      <c r="U67" s="179">
        <f ca="1">IF(ISNUMBER(MATCH(DATEVALUE($A67),'changes1_based on steps'!U$1:U$400,0)),U$2,)</f>
        <v>0</v>
      </c>
      <c r="V67" s="179"/>
      <c r="W67" s="179"/>
      <c r="X67" s="179"/>
      <c r="Y67" s="179"/>
      <c r="Z67" s="179"/>
      <c r="AA67" s="179"/>
      <c r="AB67" s="179"/>
      <c r="AC67" s="179"/>
      <c r="AD67" s="179"/>
      <c r="AE67" s="179"/>
      <c r="AF67" s="179"/>
      <c r="AG67" s="179"/>
      <c r="AH67" s="179"/>
      <c r="AI67" s="179"/>
      <c r="AJ67" s="179"/>
      <c r="AK67" s="179"/>
      <c r="AL67" s="179"/>
      <c r="AM67" s="179"/>
      <c r="AN67" s="179"/>
      <c r="AO67" s="179"/>
      <c r="AP67" s="179"/>
      <c r="AQ67" s="179"/>
      <c r="AR67" s="179"/>
      <c r="AS67" s="179"/>
      <c r="AT67" s="179"/>
      <c r="AU67" s="179"/>
      <c r="AV67" s="179"/>
      <c r="AW67" s="179"/>
      <c r="AX67" s="179"/>
      <c r="AY67" s="179"/>
      <c r="AZ67" s="179"/>
      <c r="BA67" s="179"/>
      <c r="BB67" s="179"/>
      <c r="BC67" s="179"/>
      <c r="BD67" s="179"/>
      <c r="BE67" s="179"/>
      <c r="BF67" s="179"/>
      <c r="BG67" s="179"/>
      <c r="BH67" s="179"/>
      <c r="BI67" s="179"/>
      <c r="BJ67" s="179"/>
      <c r="BK67" s="179"/>
      <c r="BL67" s="179"/>
      <c r="BM67" s="179"/>
      <c r="BN67" s="179"/>
      <c r="BO67" s="179"/>
      <c r="BP67" s="179"/>
      <c r="BQ67" s="179"/>
      <c r="BR67" s="179"/>
      <c r="BS67" s="179"/>
      <c r="BT67" s="179"/>
      <c r="BU67" s="179"/>
      <c r="BV67" s="179"/>
      <c r="BW67" s="179"/>
      <c r="BX67" s="179"/>
      <c r="BY67" s="179"/>
      <c r="BZ67" s="179"/>
      <c r="CA67" s="179"/>
      <c r="CB67" s="179"/>
      <c r="CC67" s="179"/>
      <c r="CD67" s="179"/>
      <c r="CE67" s="179"/>
      <c r="CF67" s="179"/>
      <c r="CG67" s="179"/>
      <c r="CH67" s="179"/>
      <c r="CI67" s="179"/>
      <c r="CJ67" s="179"/>
      <c r="CK67" s="179"/>
      <c r="CL67" s="179"/>
      <c r="CM67" s="179"/>
      <c r="CN67" s="179"/>
      <c r="CO67" s="179"/>
      <c r="CP67" s="179"/>
      <c r="CQ67" s="179"/>
      <c r="CR67" s="179"/>
      <c r="CS67" s="179"/>
      <c r="CT67" s="179"/>
      <c r="CU67" s="179"/>
      <c r="CV67" s="179"/>
      <c r="CW67" s="179"/>
    </row>
    <row r="68" spans="1:101" x14ac:dyDescent="0.2">
      <c r="A68" s="32" t="str">
        <f t="shared" ca="1" si="0"/>
        <v>2025-06-02</v>
      </c>
      <c r="B68" s="179">
        <f ca="1">IF(ISNUMBER(MATCH(DATEVALUE($A68),'changes1_based on steps'!B$1:B$400,0)),B$2,)</f>
        <v>0</v>
      </c>
      <c r="C68" s="179">
        <f ca="1">IF(ISNUMBER(MATCH(DATEVALUE($A68),'changes1_based on steps'!C$1:C$400,0)),C$2,)</f>
        <v>0</v>
      </c>
      <c r="D68" s="179">
        <f ca="1">IF(ISNUMBER(MATCH(DATEVALUE($A68),'changes1_based on steps'!D$1:D$400,0)),D$2,)</f>
        <v>0</v>
      </c>
      <c r="E68" s="179">
        <f ca="1">IF(ISNUMBER(MATCH(DATEVALUE($A68),'changes1_based on steps'!E$1:E$400,0)),E$2,)</f>
        <v>0</v>
      </c>
      <c r="F68" s="179">
        <f ca="1">IF(ISNUMBER(MATCH(DATEVALUE($A68),'changes1_based on steps'!F$1:F$400,0)),F$2,)</f>
        <v>0</v>
      </c>
      <c r="G68" s="179">
        <f ca="1">IF(ISNUMBER(MATCH(DATEVALUE($A68),'changes1_based on steps'!G$1:G$400,0)),G$2,)</f>
        <v>0</v>
      </c>
      <c r="H68" s="179">
        <f ca="1">IF(ISNUMBER(MATCH(DATEVALUE($A68),'changes1_based on steps'!H$1:H$400,0)),H$2,)</f>
        <v>0</v>
      </c>
      <c r="I68" s="179">
        <f ca="1">IF(ISNUMBER(MATCH(DATEVALUE($A68),'changes1_based on steps'!I$1:I$400,0)),I$2,)</f>
        <v>0</v>
      </c>
      <c r="J68" s="179">
        <f ca="1">IF(ISNUMBER(MATCH(DATEVALUE($A68),'changes1_based on steps'!J$1:J$400,0)),J$2,)</f>
        <v>0</v>
      </c>
      <c r="K68" s="179">
        <f ca="1">IF(ISNUMBER(MATCH(DATEVALUE($A68),'changes1_based on steps'!K$1:K$400,0)),K$2,)</f>
        <v>0</v>
      </c>
      <c r="L68" s="179">
        <f ca="1">IF(ISNUMBER(MATCH(DATEVALUE($A68),'changes1_based on steps'!L$1:L$400,0)),L$2,)</f>
        <v>0</v>
      </c>
      <c r="M68" s="179">
        <f ca="1">IF(ISNUMBER(MATCH(DATEVALUE($A68),'changes1_based on steps'!M$1:M$400,0)),M$2,)</f>
        <v>0</v>
      </c>
      <c r="N68" s="179">
        <f ca="1">IF(ISNUMBER(MATCH(DATEVALUE($A68),'changes1_based on steps'!N$1:N$400,0)),N$2,)</f>
        <v>0</v>
      </c>
      <c r="O68" s="179">
        <f ca="1">IF(ISNUMBER(MATCH(DATEVALUE($A68),'changes1_based on steps'!O$1:O$400,0)),O$2,)</f>
        <v>0</v>
      </c>
      <c r="P68" s="179">
        <f ca="1">IF(ISNUMBER(MATCH(DATEVALUE($A68),'changes1_based on steps'!P$1:P$400,0)),P$2,)</f>
        <v>0</v>
      </c>
      <c r="Q68" s="179">
        <f ca="1">IF(ISNUMBER(MATCH(DATEVALUE($A68),'changes1_based on steps'!Q$1:Q$400,0)),Q$2,)</f>
        <v>0</v>
      </c>
      <c r="R68" s="179">
        <f ca="1">IF(ISNUMBER(MATCH(DATEVALUE($A68),'changes1_based on steps'!R$1:R$400,0)),R$2,)</f>
        <v>0</v>
      </c>
      <c r="S68" s="179">
        <f ca="1">IF(ISNUMBER(MATCH(DATEVALUE($A68),'changes1_based on steps'!S$1:S$400,0)),S$2,)</f>
        <v>0</v>
      </c>
      <c r="T68" s="179">
        <f ca="1">IF(ISNUMBER(MATCH(DATEVALUE($A68),'changes1_based on steps'!T$1:T$400,0)),T$2,)</f>
        <v>0</v>
      </c>
      <c r="U68" s="179">
        <f ca="1">IF(ISNUMBER(MATCH(DATEVALUE($A68),'changes1_based on steps'!U$1:U$400,0)),U$2,)</f>
        <v>0</v>
      </c>
      <c r="V68" s="179"/>
      <c r="W68" s="179"/>
      <c r="X68" s="179"/>
      <c r="Y68" s="179"/>
      <c r="Z68" s="179"/>
      <c r="AA68" s="179"/>
      <c r="AB68" s="179"/>
      <c r="AC68" s="179"/>
      <c r="AD68" s="179"/>
      <c r="AE68" s="179"/>
      <c r="AF68" s="179"/>
      <c r="AG68" s="179"/>
      <c r="AH68" s="179"/>
      <c r="AI68" s="179"/>
      <c r="AJ68" s="179"/>
      <c r="AK68" s="179"/>
      <c r="AL68" s="179"/>
      <c r="AM68" s="179"/>
      <c r="AN68" s="179"/>
      <c r="AO68" s="179"/>
      <c r="AP68" s="179"/>
      <c r="AQ68" s="179"/>
      <c r="AR68" s="179"/>
      <c r="AS68" s="179"/>
      <c r="AT68" s="179"/>
      <c r="AU68" s="179"/>
      <c r="AV68" s="179"/>
      <c r="AW68" s="179"/>
      <c r="AX68" s="179"/>
      <c r="AY68" s="179"/>
      <c r="AZ68" s="179"/>
      <c r="BA68" s="179"/>
      <c r="BB68" s="179"/>
      <c r="BC68" s="179"/>
      <c r="BD68" s="179"/>
      <c r="BE68" s="179"/>
      <c r="BF68" s="179"/>
      <c r="BG68" s="179"/>
      <c r="BH68" s="179"/>
      <c r="BI68" s="179"/>
      <c r="BJ68" s="179"/>
      <c r="BK68" s="179"/>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c r="CK68" s="179"/>
      <c r="CL68" s="179"/>
      <c r="CM68" s="179"/>
      <c r="CN68" s="179"/>
      <c r="CO68" s="179"/>
      <c r="CP68" s="179"/>
      <c r="CQ68" s="179"/>
      <c r="CR68" s="179"/>
      <c r="CS68" s="179"/>
      <c r="CT68" s="179"/>
      <c r="CU68" s="179"/>
      <c r="CV68" s="179"/>
      <c r="CW68" s="179"/>
    </row>
    <row r="69" spans="1:101" x14ac:dyDescent="0.2">
      <c r="A69" s="32" t="str">
        <f t="shared" ref="A69:A132" ca="1" si="1">TEXT(DATEVALUE(A68)+1,"yyyy-mm-dd")</f>
        <v>2025-06-03</v>
      </c>
      <c r="B69" s="179">
        <f ca="1">IF(ISNUMBER(MATCH(DATEVALUE($A69),'changes1_based on steps'!B$1:B$400,0)),B$2,)</f>
        <v>0</v>
      </c>
      <c r="C69" s="179">
        <f ca="1">IF(ISNUMBER(MATCH(DATEVALUE($A69),'changes1_based on steps'!C$1:C$400,0)),C$2,)</f>
        <v>0</v>
      </c>
      <c r="D69" s="179">
        <f ca="1">IF(ISNUMBER(MATCH(DATEVALUE($A69),'changes1_based on steps'!D$1:D$400,0)),D$2,)</f>
        <v>0</v>
      </c>
      <c r="E69" s="179">
        <f ca="1">IF(ISNUMBER(MATCH(DATEVALUE($A69),'changes1_based on steps'!E$1:E$400,0)),E$2,)</f>
        <v>0</v>
      </c>
      <c r="F69" s="179">
        <f ca="1">IF(ISNUMBER(MATCH(DATEVALUE($A69),'changes1_based on steps'!F$1:F$400,0)),F$2,)</f>
        <v>0</v>
      </c>
      <c r="G69" s="179">
        <f ca="1">IF(ISNUMBER(MATCH(DATEVALUE($A69),'changes1_based on steps'!G$1:G$400,0)),G$2,)</f>
        <v>0</v>
      </c>
      <c r="H69" s="179">
        <f ca="1">IF(ISNUMBER(MATCH(DATEVALUE($A69),'changes1_based on steps'!H$1:H$400,0)),H$2,)</f>
        <v>0</v>
      </c>
      <c r="I69" s="179">
        <f ca="1">IF(ISNUMBER(MATCH(DATEVALUE($A69),'changes1_based on steps'!I$1:I$400,0)),I$2,)</f>
        <v>0</v>
      </c>
      <c r="J69" s="179">
        <f ca="1">IF(ISNUMBER(MATCH(DATEVALUE($A69),'changes1_based on steps'!J$1:J$400,0)),J$2,)</f>
        <v>0</v>
      </c>
      <c r="K69" s="179">
        <f ca="1">IF(ISNUMBER(MATCH(DATEVALUE($A69),'changes1_based on steps'!K$1:K$400,0)),K$2,)</f>
        <v>0</v>
      </c>
      <c r="L69" s="179">
        <f ca="1">IF(ISNUMBER(MATCH(DATEVALUE($A69),'changes1_based on steps'!L$1:L$400,0)),L$2,)</f>
        <v>0</v>
      </c>
      <c r="M69" s="179">
        <f ca="1">IF(ISNUMBER(MATCH(DATEVALUE($A69),'changes1_based on steps'!M$1:M$400,0)),M$2,)</f>
        <v>0</v>
      </c>
      <c r="N69" s="179">
        <f ca="1">IF(ISNUMBER(MATCH(DATEVALUE($A69),'changes1_based on steps'!N$1:N$400,0)),N$2,)</f>
        <v>0</v>
      </c>
      <c r="O69" s="179">
        <f ca="1">IF(ISNUMBER(MATCH(DATEVALUE($A69),'changes1_based on steps'!O$1:O$400,0)),O$2,)</f>
        <v>0</v>
      </c>
      <c r="P69" s="179">
        <f ca="1">IF(ISNUMBER(MATCH(DATEVALUE($A69),'changes1_based on steps'!P$1:P$400,0)),P$2,)</f>
        <v>0</v>
      </c>
      <c r="Q69" s="179">
        <f ca="1">IF(ISNUMBER(MATCH(DATEVALUE($A69),'changes1_based on steps'!Q$1:Q$400,0)),Q$2,)</f>
        <v>0</v>
      </c>
      <c r="R69" s="179">
        <f ca="1">IF(ISNUMBER(MATCH(DATEVALUE($A69),'changes1_based on steps'!R$1:R$400,0)),R$2,)</f>
        <v>0</v>
      </c>
      <c r="S69" s="179">
        <f ca="1">IF(ISNUMBER(MATCH(DATEVALUE($A69),'changes1_based on steps'!S$1:S$400,0)),S$2,)</f>
        <v>0</v>
      </c>
      <c r="T69" s="179">
        <f ca="1">IF(ISNUMBER(MATCH(DATEVALUE($A69),'changes1_based on steps'!T$1:T$400,0)),T$2,)</f>
        <v>0</v>
      </c>
      <c r="U69" s="179">
        <f ca="1">IF(ISNUMBER(MATCH(DATEVALUE($A69),'changes1_based on steps'!U$1:U$400,0)),U$2,)</f>
        <v>0</v>
      </c>
      <c r="V69" s="179"/>
      <c r="W69" s="179"/>
      <c r="X69" s="179"/>
      <c r="Y69" s="179"/>
      <c r="Z69" s="179"/>
      <c r="AA69" s="179"/>
      <c r="AB69" s="179"/>
      <c r="AC69" s="179"/>
      <c r="AD69" s="179"/>
      <c r="AE69" s="179"/>
      <c r="AF69" s="179"/>
      <c r="AG69" s="179"/>
      <c r="AH69" s="179"/>
      <c r="AI69" s="179"/>
      <c r="AJ69" s="179"/>
      <c r="AK69" s="179"/>
      <c r="AL69" s="179"/>
      <c r="AM69" s="179"/>
      <c r="AN69" s="179"/>
      <c r="AO69" s="179"/>
      <c r="AP69" s="179"/>
      <c r="AQ69" s="179"/>
      <c r="AR69" s="179"/>
      <c r="AS69" s="179"/>
      <c r="AT69" s="179"/>
      <c r="AU69" s="179"/>
      <c r="AV69" s="179"/>
      <c r="AW69" s="179"/>
      <c r="AX69" s="179"/>
      <c r="AY69" s="179"/>
      <c r="AZ69" s="179"/>
      <c r="BA69" s="179"/>
      <c r="BB69" s="179"/>
      <c r="BC69" s="179"/>
      <c r="BD69" s="179"/>
      <c r="BE69" s="179"/>
      <c r="BF69" s="179"/>
      <c r="BG69" s="179"/>
      <c r="BH69" s="179"/>
      <c r="BI69" s="179"/>
      <c r="BJ69" s="179"/>
      <c r="BK69" s="179"/>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c r="CK69" s="179"/>
      <c r="CL69" s="179"/>
      <c r="CM69" s="179"/>
      <c r="CN69" s="179"/>
      <c r="CO69" s="179"/>
      <c r="CP69" s="179"/>
      <c r="CQ69" s="179"/>
      <c r="CR69" s="179"/>
      <c r="CS69" s="179"/>
      <c r="CT69" s="179"/>
      <c r="CU69" s="179"/>
      <c r="CV69" s="179"/>
      <c r="CW69" s="179"/>
    </row>
    <row r="70" spans="1:101" x14ac:dyDescent="0.2">
      <c r="A70" s="32" t="str">
        <f t="shared" ca="1" si="1"/>
        <v>2025-06-04</v>
      </c>
      <c r="B70" s="179">
        <f ca="1">IF(ISNUMBER(MATCH(DATEVALUE($A70),'changes1_based on steps'!B$1:B$400,0)),B$2,)</f>
        <v>0</v>
      </c>
      <c r="C70" s="179">
        <f ca="1">IF(ISNUMBER(MATCH(DATEVALUE($A70),'changes1_based on steps'!C$1:C$400,0)),C$2,)</f>
        <v>0</v>
      </c>
      <c r="D70" s="179">
        <f ca="1">IF(ISNUMBER(MATCH(DATEVALUE($A70),'changes1_based on steps'!D$1:D$400,0)),D$2,)</f>
        <v>0</v>
      </c>
      <c r="E70" s="179">
        <f ca="1">IF(ISNUMBER(MATCH(DATEVALUE($A70),'changes1_based on steps'!E$1:E$400,0)),E$2,)</f>
        <v>0</v>
      </c>
      <c r="F70" s="179">
        <f ca="1">IF(ISNUMBER(MATCH(DATEVALUE($A70),'changes1_based on steps'!F$1:F$400,0)),F$2,)</f>
        <v>0</v>
      </c>
      <c r="G70" s="179">
        <f ca="1">IF(ISNUMBER(MATCH(DATEVALUE($A70),'changes1_based on steps'!G$1:G$400,0)),G$2,)</f>
        <v>0</v>
      </c>
      <c r="H70" s="179">
        <f ca="1">IF(ISNUMBER(MATCH(DATEVALUE($A70),'changes1_based on steps'!H$1:H$400,0)),H$2,)</f>
        <v>0</v>
      </c>
      <c r="I70" s="179">
        <f ca="1">IF(ISNUMBER(MATCH(DATEVALUE($A70),'changes1_based on steps'!I$1:I$400,0)),I$2,)</f>
        <v>0</v>
      </c>
      <c r="J70" s="179">
        <f ca="1">IF(ISNUMBER(MATCH(DATEVALUE($A70),'changes1_based on steps'!J$1:J$400,0)),J$2,)</f>
        <v>0</v>
      </c>
      <c r="K70" s="179">
        <f ca="1">IF(ISNUMBER(MATCH(DATEVALUE($A70),'changes1_based on steps'!K$1:K$400,0)),K$2,)</f>
        <v>0</v>
      </c>
      <c r="L70" s="179">
        <f ca="1">IF(ISNUMBER(MATCH(DATEVALUE($A70),'changes1_based on steps'!L$1:L$400,0)),L$2,)</f>
        <v>0</v>
      </c>
      <c r="M70" s="179">
        <f ca="1">IF(ISNUMBER(MATCH(DATEVALUE($A70),'changes1_based on steps'!M$1:M$400,0)),M$2,)</f>
        <v>0</v>
      </c>
      <c r="N70" s="179">
        <f ca="1">IF(ISNUMBER(MATCH(DATEVALUE($A70),'changes1_based on steps'!N$1:N$400,0)),N$2,)</f>
        <v>0</v>
      </c>
      <c r="O70" s="179">
        <f ca="1">IF(ISNUMBER(MATCH(DATEVALUE($A70),'changes1_based on steps'!O$1:O$400,0)),O$2,)</f>
        <v>0</v>
      </c>
      <c r="P70" s="179">
        <f ca="1">IF(ISNUMBER(MATCH(DATEVALUE($A70),'changes1_based on steps'!P$1:P$400,0)),P$2,)</f>
        <v>0</v>
      </c>
      <c r="Q70" s="179">
        <f ca="1">IF(ISNUMBER(MATCH(DATEVALUE($A70),'changes1_based on steps'!Q$1:Q$400,0)),Q$2,)</f>
        <v>0</v>
      </c>
      <c r="R70" s="179">
        <f ca="1">IF(ISNUMBER(MATCH(DATEVALUE($A70),'changes1_based on steps'!R$1:R$400,0)),R$2,)</f>
        <v>0</v>
      </c>
      <c r="S70" s="179">
        <f ca="1">IF(ISNUMBER(MATCH(DATEVALUE($A70),'changes1_based on steps'!S$1:S$400,0)),S$2,)</f>
        <v>0</v>
      </c>
      <c r="T70" s="179">
        <f ca="1">IF(ISNUMBER(MATCH(DATEVALUE($A70),'changes1_based on steps'!T$1:T$400,0)),T$2,)</f>
        <v>0</v>
      </c>
      <c r="U70" s="179">
        <f ca="1">IF(ISNUMBER(MATCH(DATEVALUE($A70),'changes1_based on steps'!U$1:U$400,0)),U$2,)</f>
        <v>0</v>
      </c>
      <c r="V70" s="179"/>
      <c r="W70" s="179"/>
      <c r="X70" s="179"/>
      <c r="Y70" s="179"/>
      <c r="Z70" s="179"/>
      <c r="AA70" s="179"/>
      <c r="AB70" s="179"/>
      <c r="AC70" s="179"/>
      <c r="AD70" s="179"/>
      <c r="AE70" s="179"/>
      <c r="AF70" s="179"/>
      <c r="AG70" s="179"/>
      <c r="AH70" s="179"/>
      <c r="AI70" s="179"/>
      <c r="AJ70" s="179"/>
      <c r="AK70" s="179"/>
      <c r="AL70" s="179"/>
      <c r="AM70" s="179"/>
      <c r="AN70" s="179"/>
      <c r="AO70" s="179"/>
      <c r="AP70" s="179"/>
      <c r="AQ70" s="179"/>
      <c r="AR70" s="179"/>
      <c r="AS70" s="179"/>
      <c r="AT70" s="179"/>
      <c r="AU70" s="179"/>
      <c r="AV70" s="179"/>
      <c r="AW70" s="179"/>
      <c r="AX70" s="179"/>
      <c r="AY70" s="179"/>
      <c r="AZ70" s="179"/>
      <c r="BA70" s="179"/>
      <c r="BB70" s="179"/>
      <c r="BC70" s="179"/>
      <c r="BD70" s="179"/>
      <c r="BE70" s="179"/>
      <c r="BF70" s="179"/>
      <c r="BG70" s="179"/>
      <c r="BH70" s="179"/>
      <c r="BI70" s="179"/>
      <c r="BJ70" s="179"/>
      <c r="BK70" s="179"/>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c r="CK70" s="179"/>
      <c r="CL70" s="179"/>
      <c r="CM70" s="179"/>
      <c r="CN70" s="179"/>
      <c r="CO70" s="179"/>
      <c r="CP70" s="179"/>
      <c r="CQ70" s="179"/>
      <c r="CR70" s="179"/>
      <c r="CS70" s="179"/>
      <c r="CT70" s="179"/>
      <c r="CU70" s="179"/>
      <c r="CV70" s="179"/>
      <c r="CW70" s="179"/>
    </row>
    <row r="71" spans="1:101" x14ac:dyDescent="0.2">
      <c r="A71" s="32" t="str">
        <f t="shared" ca="1" si="1"/>
        <v>2025-06-05</v>
      </c>
      <c r="B71" s="179">
        <f ca="1">IF(ISNUMBER(MATCH(DATEVALUE($A71),'changes1_based on steps'!B$1:B$400,0)),B$2,)</f>
        <v>0</v>
      </c>
      <c r="C71" s="179">
        <f ca="1">IF(ISNUMBER(MATCH(DATEVALUE($A71),'changes1_based on steps'!C$1:C$400,0)),C$2,)</f>
        <v>0</v>
      </c>
      <c r="D71" s="179">
        <f ca="1">IF(ISNUMBER(MATCH(DATEVALUE($A71),'changes1_based on steps'!D$1:D$400,0)),D$2,)</f>
        <v>0</v>
      </c>
      <c r="E71" s="179">
        <f ca="1">IF(ISNUMBER(MATCH(DATEVALUE($A71),'changes1_based on steps'!E$1:E$400,0)),E$2,)</f>
        <v>0</v>
      </c>
      <c r="F71" s="179">
        <f ca="1">IF(ISNUMBER(MATCH(DATEVALUE($A71),'changes1_based on steps'!F$1:F$400,0)),F$2,)</f>
        <v>0</v>
      </c>
      <c r="G71" s="179">
        <f ca="1">IF(ISNUMBER(MATCH(DATEVALUE($A71),'changes1_based on steps'!G$1:G$400,0)),G$2,)</f>
        <v>0</v>
      </c>
      <c r="H71" s="179">
        <f ca="1">IF(ISNUMBER(MATCH(DATEVALUE($A71),'changes1_based on steps'!H$1:H$400,0)),H$2,)</f>
        <v>0</v>
      </c>
      <c r="I71" s="179">
        <f ca="1">IF(ISNUMBER(MATCH(DATEVALUE($A71),'changes1_based on steps'!I$1:I$400,0)),I$2,)</f>
        <v>0</v>
      </c>
      <c r="J71" s="179">
        <f ca="1">IF(ISNUMBER(MATCH(DATEVALUE($A71),'changes1_based on steps'!J$1:J$400,0)),J$2,)</f>
        <v>0</v>
      </c>
      <c r="K71" s="179">
        <f ca="1">IF(ISNUMBER(MATCH(DATEVALUE($A71),'changes1_based on steps'!K$1:K$400,0)),K$2,)</f>
        <v>0</v>
      </c>
      <c r="L71" s="179">
        <f ca="1">IF(ISNUMBER(MATCH(DATEVALUE($A71),'changes1_based on steps'!L$1:L$400,0)),L$2,)</f>
        <v>0</v>
      </c>
      <c r="M71" s="179">
        <f ca="1">IF(ISNUMBER(MATCH(DATEVALUE($A71),'changes1_based on steps'!M$1:M$400,0)),M$2,)</f>
        <v>0</v>
      </c>
      <c r="N71" s="179">
        <f ca="1">IF(ISNUMBER(MATCH(DATEVALUE($A71),'changes1_based on steps'!N$1:N$400,0)),N$2,)</f>
        <v>0</v>
      </c>
      <c r="O71" s="179">
        <f ca="1">IF(ISNUMBER(MATCH(DATEVALUE($A71),'changes1_based on steps'!O$1:O$400,0)),O$2,)</f>
        <v>0</v>
      </c>
      <c r="P71" s="179">
        <f ca="1">IF(ISNUMBER(MATCH(DATEVALUE($A71),'changes1_based on steps'!P$1:P$400,0)),P$2,)</f>
        <v>0</v>
      </c>
      <c r="Q71" s="179">
        <f ca="1">IF(ISNUMBER(MATCH(DATEVALUE($A71),'changes1_based on steps'!Q$1:Q$400,0)),Q$2,)</f>
        <v>0</v>
      </c>
      <c r="R71" s="179">
        <f ca="1">IF(ISNUMBER(MATCH(DATEVALUE($A71),'changes1_based on steps'!R$1:R$400,0)),R$2,)</f>
        <v>0</v>
      </c>
      <c r="S71" s="179">
        <f ca="1">IF(ISNUMBER(MATCH(DATEVALUE($A71),'changes1_based on steps'!S$1:S$400,0)),S$2,)</f>
        <v>0</v>
      </c>
      <c r="T71" s="179">
        <f ca="1">IF(ISNUMBER(MATCH(DATEVALUE($A71),'changes1_based on steps'!T$1:T$400,0)),T$2,)</f>
        <v>0</v>
      </c>
      <c r="U71" s="179">
        <f ca="1">IF(ISNUMBER(MATCH(DATEVALUE($A71),'changes1_based on steps'!U$1:U$400,0)),U$2,)</f>
        <v>0</v>
      </c>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c r="CK71" s="179"/>
      <c r="CL71" s="179"/>
      <c r="CM71" s="179"/>
      <c r="CN71" s="179"/>
      <c r="CO71" s="179"/>
      <c r="CP71" s="179"/>
      <c r="CQ71" s="179"/>
      <c r="CR71" s="179"/>
      <c r="CS71" s="179"/>
      <c r="CT71" s="179"/>
      <c r="CU71" s="179"/>
      <c r="CV71" s="179"/>
      <c r="CW71" s="179"/>
    </row>
    <row r="72" spans="1:101" x14ac:dyDescent="0.2">
      <c r="A72" s="32" t="str">
        <f t="shared" ca="1" si="1"/>
        <v>2025-06-06</v>
      </c>
      <c r="B72" s="179">
        <f ca="1">IF(ISNUMBER(MATCH(DATEVALUE($A72),'changes1_based on steps'!B$1:B$400,0)),B$2,)</f>
        <v>0</v>
      </c>
      <c r="C72" s="179">
        <f ca="1">IF(ISNUMBER(MATCH(DATEVALUE($A72),'changes1_based on steps'!C$1:C$400,0)),C$2,)</f>
        <v>0</v>
      </c>
      <c r="D72" s="179">
        <f ca="1">IF(ISNUMBER(MATCH(DATEVALUE($A72),'changes1_based on steps'!D$1:D$400,0)),D$2,)</f>
        <v>0</v>
      </c>
      <c r="E72" s="179">
        <f ca="1">IF(ISNUMBER(MATCH(DATEVALUE($A72),'changes1_based on steps'!E$1:E$400,0)),E$2,)</f>
        <v>0</v>
      </c>
      <c r="F72" s="179">
        <f ca="1">IF(ISNUMBER(MATCH(DATEVALUE($A72),'changes1_based on steps'!F$1:F$400,0)),F$2,)</f>
        <v>0</v>
      </c>
      <c r="G72" s="179">
        <f ca="1">IF(ISNUMBER(MATCH(DATEVALUE($A72),'changes1_based on steps'!G$1:G$400,0)),G$2,)</f>
        <v>0</v>
      </c>
      <c r="H72" s="179">
        <f ca="1">IF(ISNUMBER(MATCH(DATEVALUE($A72),'changes1_based on steps'!H$1:H$400,0)),H$2,)</f>
        <v>0</v>
      </c>
      <c r="I72" s="179">
        <f ca="1">IF(ISNUMBER(MATCH(DATEVALUE($A72),'changes1_based on steps'!I$1:I$400,0)),I$2,)</f>
        <v>0</v>
      </c>
      <c r="J72" s="179">
        <f ca="1">IF(ISNUMBER(MATCH(DATEVALUE($A72),'changes1_based on steps'!J$1:J$400,0)),J$2,)</f>
        <v>0</v>
      </c>
      <c r="K72" s="179">
        <f ca="1">IF(ISNUMBER(MATCH(DATEVALUE($A72),'changes1_based on steps'!K$1:K$400,0)),K$2,)</f>
        <v>0</v>
      </c>
      <c r="L72" s="179">
        <f ca="1">IF(ISNUMBER(MATCH(DATEVALUE($A72),'changes1_based on steps'!L$1:L$400,0)),L$2,)</f>
        <v>0</v>
      </c>
      <c r="M72" s="179">
        <f ca="1">IF(ISNUMBER(MATCH(DATEVALUE($A72),'changes1_based on steps'!M$1:M$400,0)),M$2,)</f>
        <v>0</v>
      </c>
      <c r="N72" s="179">
        <f ca="1">IF(ISNUMBER(MATCH(DATEVALUE($A72),'changes1_based on steps'!N$1:N$400,0)),N$2,)</f>
        <v>0</v>
      </c>
      <c r="O72" s="179">
        <f ca="1">IF(ISNUMBER(MATCH(DATEVALUE($A72),'changes1_based on steps'!O$1:O$400,0)),O$2,)</f>
        <v>0</v>
      </c>
      <c r="P72" s="179">
        <f ca="1">IF(ISNUMBER(MATCH(DATEVALUE($A72),'changes1_based on steps'!P$1:P$400,0)),P$2,)</f>
        <v>0</v>
      </c>
      <c r="Q72" s="179">
        <f ca="1">IF(ISNUMBER(MATCH(DATEVALUE($A72),'changes1_based on steps'!Q$1:Q$400,0)),Q$2,)</f>
        <v>0</v>
      </c>
      <c r="R72" s="179">
        <f ca="1">IF(ISNUMBER(MATCH(DATEVALUE($A72),'changes1_based on steps'!R$1:R$400,0)),R$2,)</f>
        <v>0</v>
      </c>
      <c r="S72" s="179">
        <f ca="1">IF(ISNUMBER(MATCH(DATEVALUE($A72),'changes1_based on steps'!S$1:S$400,0)),S$2,)</f>
        <v>0</v>
      </c>
      <c r="T72" s="179">
        <f ca="1">IF(ISNUMBER(MATCH(DATEVALUE($A72),'changes1_based on steps'!T$1:T$400,0)),T$2,)</f>
        <v>0</v>
      </c>
      <c r="U72" s="179">
        <f ca="1">IF(ISNUMBER(MATCH(DATEVALUE($A72),'changes1_based on steps'!U$1:U$400,0)),U$2,)</f>
        <v>0</v>
      </c>
      <c r="V72" s="179"/>
      <c r="W72" s="179"/>
      <c r="X72" s="179"/>
      <c r="Y72" s="179"/>
      <c r="Z72" s="179"/>
      <c r="AA72" s="179"/>
      <c r="AB72" s="179"/>
      <c r="AC72" s="179"/>
      <c r="AD72" s="179"/>
      <c r="AE72" s="179"/>
      <c r="AF72" s="179"/>
      <c r="AG72" s="179"/>
      <c r="AH72" s="179"/>
      <c r="AI72" s="179"/>
      <c r="AJ72" s="179"/>
      <c r="AK72" s="179"/>
      <c r="AL72" s="179"/>
      <c r="AM72" s="179"/>
      <c r="AN72" s="179"/>
      <c r="AO72" s="179"/>
      <c r="AP72" s="179"/>
      <c r="AQ72" s="179"/>
      <c r="AR72" s="179"/>
      <c r="AS72" s="179"/>
      <c r="AT72" s="179"/>
      <c r="AU72" s="179"/>
      <c r="AV72" s="179"/>
      <c r="AW72" s="179"/>
      <c r="AX72" s="179"/>
      <c r="AY72" s="179"/>
      <c r="AZ72" s="179"/>
      <c r="BA72" s="179"/>
      <c r="BB72" s="179"/>
      <c r="BC72" s="179"/>
      <c r="BD72" s="179"/>
      <c r="BE72" s="179"/>
      <c r="BF72" s="179"/>
      <c r="BG72" s="179"/>
      <c r="BH72" s="179"/>
      <c r="BI72" s="179"/>
      <c r="BJ72" s="179"/>
      <c r="BK72" s="179"/>
      <c r="BL72" s="179"/>
      <c r="BM72" s="179"/>
      <c r="BN72" s="179"/>
      <c r="BO72" s="179"/>
      <c r="BP72" s="179"/>
      <c r="BQ72" s="179"/>
      <c r="BR72" s="179"/>
      <c r="BS72" s="179"/>
      <c r="BT72" s="179"/>
      <c r="BU72" s="179"/>
      <c r="BV72" s="179"/>
      <c r="BW72" s="179"/>
      <c r="BX72" s="179"/>
      <c r="BY72" s="179"/>
      <c r="BZ72" s="179"/>
      <c r="CA72" s="179"/>
      <c r="CB72" s="179"/>
      <c r="CC72" s="179"/>
      <c r="CD72" s="179"/>
      <c r="CE72" s="179"/>
      <c r="CF72" s="179"/>
      <c r="CG72" s="179"/>
      <c r="CH72" s="179"/>
      <c r="CI72" s="179"/>
      <c r="CJ72" s="179"/>
      <c r="CK72" s="179"/>
      <c r="CL72" s="179"/>
      <c r="CM72" s="179"/>
      <c r="CN72" s="179"/>
      <c r="CO72" s="179"/>
      <c r="CP72" s="179"/>
      <c r="CQ72" s="179"/>
      <c r="CR72" s="179"/>
      <c r="CS72" s="179"/>
      <c r="CT72" s="179"/>
      <c r="CU72" s="179"/>
      <c r="CV72" s="179"/>
      <c r="CW72" s="179"/>
    </row>
    <row r="73" spans="1:101" x14ac:dyDescent="0.2">
      <c r="A73" s="32" t="str">
        <f t="shared" ca="1" si="1"/>
        <v>2025-06-07</v>
      </c>
      <c r="B73" s="179">
        <f ca="1">IF(ISNUMBER(MATCH(DATEVALUE($A73),'changes1_based on steps'!B$1:B$400,0)),B$2,)</f>
        <v>0</v>
      </c>
      <c r="C73" s="179">
        <f ca="1">IF(ISNUMBER(MATCH(DATEVALUE($A73),'changes1_based on steps'!C$1:C$400,0)),C$2,)</f>
        <v>0</v>
      </c>
      <c r="D73" s="179">
        <f ca="1">IF(ISNUMBER(MATCH(DATEVALUE($A73),'changes1_based on steps'!D$1:D$400,0)),D$2,)</f>
        <v>0</v>
      </c>
      <c r="E73" s="179">
        <f ca="1">IF(ISNUMBER(MATCH(DATEVALUE($A73),'changes1_based on steps'!E$1:E$400,0)),E$2,)</f>
        <v>0</v>
      </c>
      <c r="F73" s="179">
        <f ca="1">IF(ISNUMBER(MATCH(DATEVALUE($A73),'changes1_based on steps'!F$1:F$400,0)),F$2,)</f>
        <v>0</v>
      </c>
      <c r="G73" s="179">
        <f ca="1">IF(ISNUMBER(MATCH(DATEVALUE($A73),'changes1_based on steps'!G$1:G$400,0)),G$2,)</f>
        <v>0</v>
      </c>
      <c r="H73" s="179">
        <f ca="1">IF(ISNUMBER(MATCH(DATEVALUE($A73),'changes1_based on steps'!H$1:H$400,0)),H$2,)</f>
        <v>0</v>
      </c>
      <c r="I73" s="179">
        <f ca="1">IF(ISNUMBER(MATCH(DATEVALUE($A73),'changes1_based on steps'!I$1:I$400,0)),I$2,)</f>
        <v>0</v>
      </c>
      <c r="J73" s="179">
        <f ca="1">IF(ISNUMBER(MATCH(DATEVALUE($A73),'changes1_based on steps'!J$1:J$400,0)),J$2,)</f>
        <v>0</v>
      </c>
      <c r="K73" s="179">
        <f ca="1">IF(ISNUMBER(MATCH(DATEVALUE($A73),'changes1_based on steps'!K$1:K$400,0)),K$2,)</f>
        <v>0</v>
      </c>
      <c r="L73" s="179">
        <f ca="1">IF(ISNUMBER(MATCH(DATEVALUE($A73),'changes1_based on steps'!L$1:L$400,0)),L$2,)</f>
        <v>0</v>
      </c>
      <c r="M73" s="179">
        <f ca="1">IF(ISNUMBER(MATCH(DATEVALUE($A73),'changes1_based on steps'!M$1:M$400,0)),M$2,)</f>
        <v>0</v>
      </c>
      <c r="N73" s="179">
        <f ca="1">IF(ISNUMBER(MATCH(DATEVALUE($A73),'changes1_based on steps'!N$1:N$400,0)),N$2,)</f>
        <v>0</v>
      </c>
      <c r="O73" s="179">
        <f ca="1">IF(ISNUMBER(MATCH(DATEVALUE($A73),'changes1_based on steps'!O$1:O$400,0)),O$2,)</f>
        <v>0</v>
      </c>
      <c r="P73" s="179">
        <f ca="1">IF(ISNUMBER(MATCH(DATEVALUE($A73),'changes1_based on steps'!P$1:P$400,0)),P$2,)</f>
        <v>0</v>
      </c>
      <c r="Q73" s="179">
        <f ca="1">IF(ISNUMBER(MATCH(DATEVALUE($A73),'changes1_based on steps'!Q$1:Q$400,0)),Q$2,)</f>
        <v>0</v>
      </c>
      <c r="R73" s="179">
        <f ca="1">IF(ISNUMBER(MATCH(DATEVALUE($A73),'changes1_based on steps'!R$1:R$400,0)),R$2,)</f>
        <v>0</v>
      </c>
      <c r="S73" s="179">
        <f ca="1">IF(ISNUMBER(MATCH(DATEVALUE($A73),'changes1_based on steps'!S$1:S$400,0)),S$2,)</f>
        <v>0</v>
      </c>
      <c r="T73" s="179">
        <f ca="1">IF(ISNUMBER(MATCH(DATEVALUE($A73),'changes1_based on steps'!T$1:T$400,0)),T$2,)</f>
        <v>0</v>
      </c>
      <c r="U73" s="179">
        <f ca="1">IF(ISNUMBER(MATCH(DATEVALUE($A73),'changes1_based on steps'!U$1:U$400,0)),U$2,)</f>
        <v>0</v>
      </c>
      <c r="V73" s="179"/>
      <c r="W73" s="179"/>
      <c r="X73" s="179"/>
      <c r="Y73" s="179"/>
      <c r="Z73" s="179"/>
      <c r="AA73" s="179"/>
      <c r="AB73" s="179"/>
      <c r="AC73" s="179"/>
      <c r="AD73" s="179"/>
      <c r="AE73" s="179"/>
      <c r="AF73" s="179"/>
      <c r="AG73" s="179"/>
      <c r="AH73" s="179"/>
      <c r="AI73" s="179"/>
      <c r="AJ73" s="179"/>
      <c r="AK73" s="179"/>
      <c r="AL73" s="179"/>
      <c r="AM73" s="179"/>
      <c r="AN73" s="179"/>
      <c r="AO73" s="179"/>
      <c r="AP73" s="179"/>
      <c r="AQ73" s="179"/>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row>
    <row r="74" spans="1:101" x14ac:dyDescent="0.2">
      <c r="A74" s="32" t="str">
        <f t="shared" ca="1" si="1"/>
        <v>2025-06-08</v>
      </c>
      <c r="B74" s="179">
        <f ca="1">IF(ISNUMBER(MATCH(DATEVALUE($A74),'changes1_based on steps'!B$1:B$400,0)),B$2,)</f>
        <v>0</v>
      </c>
      <c r="C74" s="179">
        <f ca="1">IF(ISNUMBER(MATCH(DATEVALUE($A74),'changes1_based on steps'!C$1:C$400,0)),C$2,)</f>
        <v>0</v>
      </c>
      <c r="D74" s="179">
        <f ca="1">IF(ISNUMBER(MATCH(DATEVALUE($A74),'changes1_based on steps'!D$1:D$400,0)),D$2,)</f>
        <v>0</v>
      </c>
      <c r="E74" s="179">
        <f ca="1">IF(ISNUMBER(MATCH(DATEVALUE($A74),'changes1_based on steps'!E$1:E$400,0)),E$2,)</f>
        <v>0</v>
      </c>
      <c r="F74" s="179">
        <f ca="1">IF(ISNUMBER(MATCH(DATEVALUE($A74),'changes1_based on steps'!F$1:F$400,0)),F$2,)</f>
        <v>0</v>
      </c>
      <c r="G74" s="179">
        <f ca="1">IF(ISNUMBER(MATCH(DATEVALUE($A74),'changes1_based on steps'!G$1:G$400,0)),G$2,)</f>
        <v>0</v>
      </c>
      <c r="H74" s="179">
        <f ca="1">IF(ISNUMBER(MATCH(DATEVALUE($A74),'changes1_based on steps'!H$1:H$400,0)),H$2,)</f>
        <v>0</v>
      </c>
      <c r="I74" s="179">
        <f ca="1">IF(ISNUMBER(MATCH(DATEVALUE($A74),'changes1_based on steps'!I$1:I$400,0)),I$2,)</f>
        <v>0</v>
      </c>
      <c r="J74" s="179">
        <f ca="1">IF(ISNUMBER(MATCH(DATEVALUE($A74),'changes1_based on steps'!J$1:J$400,0)),J$2,)</f>
        <v>0</v>
      </c>
      <c r="K74" s="179">
        <f ca="1">IF(ISNUMBER(MATCH(DATEVALUE($A74),'changes1_based on steps'!K$1:K$400,0)),K$2,)</f>
        <v>0</v>
      </c>
      <c r="L74" s="179">
        <f ca="1">IF(ISNUMBER(MATCH(DATEVALUE($A74),'changes1_based on steps'!L$1:L$400,0)),L$2,)</f>
        <v>0</v>
      </c>
      <c r="M74" s="179">
        <f ca="1">IF(ISNUMBER(MATCH(DATEVALUE($A74),'changes1_based on steps'!M$1:M$400,0)),M$2,)</f>
        <v>0</v>
      </c>
      <c r="N74" s="179">
        <f ca="1">IF(ISNUMBER(MATCH(DATEVALUE($A74),'changes1_based on steps'!N$1:N$400,0)),N$2,)</f>
        <v>0</v>
      </c>
      <c r="O74" s="179">
        <f ca="1">IF(ISNUMBER(MATCH(DATEVALUE($A74),'changes1_based on steps'!O$1:O$400,0)),O$2,)</f>
        <v>0</v>
      </c>
      <c r="P74" s="179">
        <f ca="1">IF(ISNUMBER(MATCH(DATEVALUE($A74),'changes1_based on steps'!P$1:P$400,0)),P$2,)</f>
        <v>0</v>
      </c>
      <c r="Q74" s="179">
        <f ca="1">IF(ISNUMBER(MATCH(DATEVALUE($A74),'changes1_based on steps'!Q$1:Q$400,0)),Q$2,)</f>
        <v>0</v>
      </c>
      <c r="R74" s="179">
        <f ca="1">IF(ISNUMBER(MATCH(DATEVALUE($A74),'changes1_based on steps'!R$1:R$400,0)),R$2,)</f>
        <v>0</v>
      </c>
      <c r="S74" s="179">
        <f ca="1">IF(ISNUMBER(MATCH(DATEVALUE($A74),'changes1_based on steps'!S$1:S$400,0)),S$2,)</f>
        <v>0</v>
      </c>
      <c r="T74" s="179">
        <f ca="1">IF(ISNUMBER(MATCH(DATEVALUE($A74),'changes1_based on steps'!T$1:T$400,0)),T$2,)</f>
        <v>0</v>
      </c>
      <c r="U74" s="179">
        <f ca="1">IF(ISNUMBER(MATCH(DATEVALUE($A74),'changes1_based on steps'!U$1:U$400,0)),U$2,)</f>
        <v>0</v>
      </c>
      <c r="V74" s="179"/>
      <c r="W74" s="179"/>
      <c r="X74" s="179"/>
      <c r="Y74" s="179"/>
      <c r="Z74" s="179"/>
      <c r="AA74" s="179"/>
      <c r="AB74" s="179"/>
      <c r="AC74" s="179"/>
      <c r="AD74" s="179"/>
      <c r="AE74" s="179"/>
      <c r="AF74" s="179"/>
      <c r="AG74" s="179"/>
      <c r="AH74" s="179"/>
      <c r="AI74" s="179"/>
      <c r="AJ74" s="179"/>
      <c r="AK74" s="179"/>
      <c r="AL74" s="179"/>
      <c r="AM74" s="179"/>
      <c r="AN74" s="179"/>
      <c r="AO74" s="179"/>
      <c r="AP74" s="179"/>
      <c r="AQ74" s="179"/>
      <c r="AR74" s="179"/>
      <c r="AS74" s="179"/>
      <c r="AT74" s="179"/>
      <c r="AU74" s="179"/>
      <c r="AV74" s="179"/>
      <c r="AW74" s="179"/>
      <c r="AX74" s="179"/>
      <c r="AY74" s="179"/>
      <c r="AZ74" s="179"/>
      <c r="BA74" s="179"/>
      <c r="BB74" s="179"/>
      <c r="BC74" s="179"/>
      <c r="BD74" s="179"/>
      <c r="BE74" s="179"/>
      <c r="BF74" s="179"/>
      <c r="BG74" s="179"/>
      <c r="BH74" s="179"/>
      <c r="BI74" s="179"/>
      <c r="BJ74" s="179"/>
      <c r="BK74" s="179"/>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c r="CK74" s="179"/>
      <c r="CL74" s="179"/>
      <c r="CM74" s="179"/>
      <c r="CN74" s="179"/>
      <c r="CO74" s="179"/>
      <c r="CP74" s="179"/>
      <c r="CQ74" s="179"/>
      <c r="CR74" s="179"/>
      <c r="CS74" s="179"/>
      <c r="CT74" s="179"/>
      <c r="CU74" s="179"/>
      <c r="CV74" s="179"/>
      <c r="CW74" s="179"/>
    </row>
    <row r="75" spans="1:101" x14ac:dyDescent="0.2">
      <c r="A75" s="32" t="str">
        <f t="shared" ca="1" si="1"/>
        <v>2025-06-09</v>
      </c>
      <c r="B75" s="179">
        <f ca="1">IF(ISNUMBER(MATCH(DATEVALUE($A75),'changes1_based on steps'!B$1:B$400,0)),B$2,)</f>
        <v>0</v>
      </c>
      <c r="C75" s="179">
        <f ca="1">IF(ISNUMBER(MATCH(DATEVALUE($A75),'changes1_based on steps'!C$1:C$400,0)),C$2,)</f>
        <v>0</v>
      </c>
      <c r="D75" s="179">
        <f ca="1">IF(ISNUMBER(MATCH(DATEVALUE($A75),'changes1_based on steps'!D$1:D$400,0)),D$2,)</f>
        <v>0</v>
      </c>
      <c r="E75" s="179">
        <f ca="1">IF(ISNUMBER(MATCH(DATEVALUE($A75),'changes1_based on steps'!E$1:E$400,0)),E$2,)</f>
        <v>0</v>
      </c>
      <c r="F75" s="179">
        <f ca="1">IF(ISNUMBER(MATCH(DATEVALUE($A75),'changes1_based on steps'!F$1:F$400,0)),F$2,)</f>
        <v>0</v>
      </c>
      <c r="G75" s="179">
        <f ca="1">IF(ISNUMBER(MATCH(DATEVALUE($A75),'changes1_based on steps'!G$1:G$400,0)),G$2,)</f>
        <v>0</v>
      </c>
      <c r="H75" s="179">
        <f ca="1">IF(ISNUMBER(MATCH(DATEVALUE($A75),'changes1_based on steps'!H$1:H$400,0)),H$2,)</f>
        <v>0</v>
      </c>
      <c r="I75" s="179">
        <f ca="1">IF(ISNUMBER(MATCH(DATEVALUE($A75),'changes1_based on steps'!I$1:I$400,0)),I$2,)</f>
        <v>0</v>
      </c>
      <c r="J75" s="179">
        <f ca="1">IF(ISNUMBER(MATCH(DATEVALUE($A75),'changes1_based on steps'!J$1:J$400,0)),J$2,)</f>
        <v>0</v>
      </c>
      <c r="K75" s="179">
        <f ca="1">IF(ISNUMBER(MATCH(DATEVALUE($A75),'changes1_based on steps'!K$1:K$400,0)),K$2,)</f>
        <v>0</v>
      </c>
      <c r="L75" s="179">
        <f ca="1">IF(ISNUMBER(MATCH(DATEVALUE($A75),'changes1_based on steps'!L$1:L$400,0)),L$2,)</f>
        <v>0</v>
      </c>
      <c r="M75" s="179">
        <f ca="1">IF(ISNUMBER(MATCH(DATEVALUE($A75),'changes1_based on steps'!M$1:M$400,0)),M$2,)</f>
        <v>0</v>
      </c>
      <c r="N75" s="179">
        <f ca="1">IF(ISNUMBER(MATCH(DATEVALUE($A75),'changes1_based on steps'!N$1:N$400,0)),N$2,)</f>
        <v>0</v>
      </c>
      <c r="O75" s="179">
        <f ca="1">IF(ISNUMBER(MATCH(DATEVALUE($A75),'changes1_based on steps'!O$1:O$400,0)),O$2,)</f>
        <v>0</v>
      </c>
      <c r="P75" s="179">
        <f ca="1">IF(ISNUMBER(MATCH(DATEVALUE($A75),'changes1_based on steps'!P$1:P$400,0)),P$2,)</f>
        <v>0</v>
      </c>
      <c r="Q75" s="179">
        <f ca="1">IF(ISNUMBER(MATCH(DATEVALUE($A75),'changes1_based on steps'!Q$1:Q$400,0)),Q$2,)</f>
        <v>0</v>
      </c>
      <c r="R75" s="179">
        <f ca="1">IF(ISNUMBER(MATCH(DATEVALUE($A75),'changes1_based on steps'!R$1:R$400,0)),R$2,)</f>
        <v>0</v>
      </c>
      <c r="S75" s="179">
        <f ca="1">IF(ISNUMBER(MATCH(DATEVALUE($A75),'changes1_based on steps'!S$1:S$400,0)),S$2,)</f>
        <v>0</v>
      </c>
      <c r="T75" s="179">
        <f ca="1">IF(ISNUMBER(MATCH(DATEVALUE($A75),'changes1_based on steps'!T$1:T$400,0)),T$2,)</f>
        <v>0</v>
      </c>
      <c r="U75" s="179">
        <f ca="1">IF(ISNUMBER(MATCH(DATEVALUE($A75),'changes1_based on steps'!U$1:U$400,0)),U$2,)</f>
        <v>0</v>
      </c>
      <c r="V75" s="179"/>
      <c r="W75" s="179"/>
      <c r="X75" s="179"/>
      <c r="Y75" s="179"/>
      <c r="Z75" s="179"/>
      <c r="AA75" s="179"/>
      <c r="AB75" s="179"/>
      <c r="AC75" s="179"/>
      <c r="AD75" s="179"/>
      <c r="AE75" s="179"/>
      <c r="AF75" s="179"/>
      <c r="AG75" s="179"/>
      <c r="AH75" s="179"/>
      <c r="AI75" s="179"/>
      <c r="AJ75" s="179"/>
      <c r="AK75" s="179"/>
      <c r="AL75" s="179"/>
      <c r="AM75" s="179"/>
      <c r="AN75" s="179"/>
      <c r="AO75" s="179"/>
      <c r="AP75" s="179"/>
      <c r="AQ75" s="179"/>
      <c r="AR75" s="179"/>
      <c r="AS75" s="179"/>
      <c r="AT75" s="179"/>
      <c r="AU75" s="179"/>
      <c r="AV75" s="179"/>
      <c r="AW75" s="179"/>
      <c r="AX75" s="179"/>
      <c r="AY75" s="179"/>
      <c r="AZ75" s="179"/>
      <c r="BA75" s="179"/>
      <c r="BB75" s="179"/>
      <c r="BC75" s="179"/>
      <c r="BD75" s="179"/>
      <c r="BE75" s="179"/>
      <c r="BF75" s="179"/>
      <c r="BG75" s="179"/>
      <c r="BH75" s="179"/>
      <c r="BI75" s="179"/>
      <c r="BJ75" s="179"/>
      <c r="BK75" s="179"/>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c r="CK75" s="179"/>
      <c r="CL75" s="179"/>
      <c r="CM75" s="179"/>
      <c r="CN75" s="179"/>
      <c r="CO75" s="179"/>
      <c r="CP75" s="179"/>
      <c r="CQ75" s="179"/>
      <c r="CR75" s="179"/>
      <c r="CS75" s="179"/>
      <c r="CT75" s="179"/>
      <c r="CU75" s="179"/>
      <c r="CV75" s="179"/>
      <c r="CW75" s="179"/>
    </row>
    <row r="76" spans="1:101" x14ac:dyDescent="0.2">
      <c r="A76" s="32" t="str">
        <f t="shared" ca="1" si="1"/>
        <v>2025-06-10</v>
      </c>
      <c r="B76" s="179">
        <f ca="1">IF(ISNUMBER(MATCH(DATEVALUE($A76),'changes1_based on steps'!B$1:B$400,0)),B$2,)</f>
        <v>0</v>
      </c>
      <c r="C76" s="179">
        <f ca="1">IF(ISNUMBER(MATCH(DATEVALUE($A76),'changes1_based on steps'!C$1:C$400,0)),C$2,)</f>
        <v>0</v>
      </c>
      <c r="D76" s="179">
        <f ca="1">IF(ISNUMBER(MATCH(DATEVALUE($A76),'changes1_based on steps'!D$1:D$400,0)),D$2,)</f>
        <v>0</v>
      </c>
      <c r="E76" s="179">
        <f ca="1">IF(ISNUMBER(MATCH(DATEVALUE($A76),'changes1_based on steps'!E$1:E$400,0)),E$2,)</f>
        <v>0</v>
      </c>
      <c r="F76" s="179">
        <f ca="1">IF(ISNUMBER(MATCH(DATEVALUE($A76),'changes1_based on steps'!F$1:F$400,0)),F$2,)</f>
        <v>0</v>
      </c>
      <c r="G76" s="179">
        <f ca="1">IF(ISNUMBER(MATCH(DATEVALUE($A76),'changes1_based on steps'!G$1:G$400,0)),G$2,)</f>
        <v>0</v>
      </c>
      <c r="H76" s="179">
        <f ca="1">IF(ISNUMBER(MATCH(DATEVALUE($A76),'changes1_based on steps'!H$1:H$400,0)),H$2,)</f>
        <v>0</v>
      </c>
      <c r="I76" s="179">
        <f ca="1">IF(ISNUMBER(MATCH(DATEVALUE($A76),'changes1_based on steps'!I$1:I$400,0)),I$2,)</f>
        <v>0</v>
      </c>
      <c r="J76" s="179">
        <f ca="1">IF(ISNUMBER(MATCH(DATEVALUE($A76),'changes1_based on steps'!J$1:J$400,0)),J$2,)</f>
        <v>0</v>
      </c>
      <c r="K76" s="179">
        <f ca="1">IF(ISNUMBER(MATCH(DATEVALUE($A76),'changes1_based on steps'!K$1:K$400,0)),K$2,)</f>
        <v>0</v>
      </c>
      <c r="L76" s="179">
        <f ca="1">IF(ISNUMBER(MATCH(DATEVALUE($A76),'changes1_based on steps'!L$1:L$400,0)),L$2,)</f>
        <v>0</v>
      </c>
      <c r="M76" s="179">
        <f ca="1">IF(ISNUMBER(MATCH(DATEVALUE($A76),'changes1_based on steps'!M$1:M$400,0)),M$2,)</f>
        <v>0</v>
      </c>
      <c r="N76" s="179">
        <f ca="1">IF(ISNUMBER(MATCH(DATEVALUE($A76),'changes1_based on steps'!N$1:N$400,0)),N$2,)</f>
        <v>0</v>
      </c>
      <c r="O76" s="179">
        <f ca="1">IF(ISNUMBER(MATCH(DATEVALUE($A76),'changes1_based on steps'!O$1:O$400,0)),O$2,)</f>
        <v>0</v>
      </c>
      <c r="P76" s="179">
        <f ca="1">IF(ISNUMBER(MATCH(DATEVALUE($A76),'changes1_based on steps'!P$1:P$400,0)),P$2,)</f>
        <v>0</v>
      </c>
      <c r="Q76" s="179">
        <f ca="1">IF(ISNUMBER(MATCH(DATEVALUE($A76),'changes1_based on steps'!Q$1:Q$400,0)),Q$2,)</f>
        <v>0</v>
      </c>
      <c r="R76" s="179">
        <f ca="1">IF(ISNUMBER(MATCH(DATEVALUE($A76),'changes1_based on steps'!R$1:R$400,0)),R$2,)</f>
        <v>0</v>
      </c>
      <c r="S76" s="179">
        <f ca="1">IF(ISNUMBER(MATCH(DATEVALUE($A76),'changes1_based on steps'!S$1:S$400,0)),S$2,)</f>
        <v>0</v>
      </c>
      <c r="T76" s="179">
        <f ca="1">IF(ISNUMBER(MATCH(DATEVALUE($A76),'changes1_based on steps'!T$1:T$400,0)),T$2,)</f>
        <v>0</v>
      </c>
      <c r="U76" s="179">
        <f ca="1">IF(ISNUMBER(MATCH(DATEVALUE($A76),'changes1_based on steps'!U$1:U$400,0)),U$2,)</f>
        <v>0</v>
      </c>
      <c r="V76" s="179"/>
      <c r="W76" s="179"/>
      <c r="X76" s="179"/>
      <c r="Y76" s="179"/>
      <c r="Z76" s="179"/>
      <c r="AA76" s="179"/>
      <c r="AB76" s="179"/>
      <c r="AC76" s="179"/>
      <c r="AD76" s="179"/>
      <c r="AE76" s="179"/>
      <c r="AF76" s="179"/>
      <c r="AG76" s="179"/>
      <c r="AH76" s="179"/>
      <c r="AI76" s="179"/>
      <c r="AJ76" s="179"/>
      <c r="AK76" s="179"/>
      <c r="AL76" s="179"/>
      <c r="AM76" s="179"/>
      <c r="AN76" s="179"/>
      <c r="AO76" s="179"/>
      <c r="AP76" s="179"/>
      <c r="AQ76" s="179"/>
      <c r="AR76" s="179"/>
      <c r="AS76" s="179"/>
      <c r="AT76" s="179"/>
      <c r="AU76" s="179"/>
      <c r="AV76" s="179"/>
      <c r="AW76" s="179"/>
      <c r="AX76" s="179"/>
      <c r="AY76" s="179"/>
      <c r="AZ76" s="179"/>
      <c r="BA76" s="179"/>
      <c r="BB76" s="179"/>
      <c r="BC76" s="179"/>
      <c r="BD76" s="179"/>
      <c r="BE76" s="179"/>
      <c r="BF76" s="179"/>
      <c r="BG76" s="179"/>
      <c r="BH76" s="179"/>
      <c r="BI76" s="179"/>
      <c r="BJ76" s="179"/>
      <c r="BK76" s="179"/>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row>
    <row r="77" spans="1:101" x14ac:dyDescent="0.2">
      <c r="A77" s="32" t="str">
        <f t="shared" ca="1" si="1"/>
        <v>2025-06-11</v>
      </c>
      <c r="B77" s="179">
        <f ca="1">IF(ISNUMBER(MATCH(DATEVALUE($A77),'changes1_based on steps'!B$1:B$400,0)),B$2,)</f>
        <v>0</v>
      </c>
      <c r="C77" s="179">
        <f ca="1">IF(ISNUMBER(MATCH(DATEVALUE($A77),'changes1_based on steps'!C$1:C$400,0)),C$2,)</f>
        <v>0</v>
      </c>
      <c r="D77" s="179">
        <f ca="1">IF(ISNUMBER(MATCH(DATEVALUE($A77),'changes1_based on steps'!D$1:D$400,0)),D$2,)</f>
        <v>0</v>
      </c>
      <c r="E77" s="179">
        <f ca="1">IF(ISNUMBER(MATCH(DATEVALUE($A77),'changes1_based on steps'!E$1:E$400,0)),E$2,)</f>
        <v>0</v>
      </c>
      <c r="F77" s="179">
        <f ca="1">IF(ISNUMBER(MATCH(DATEVALUE($A77),'changes1_based on steps'!F$1:F$400,0)),F$2,)</f>
        <v>0</v>
      </c>
      <c r="G77" s="179">
        <f ca="1">IF(ISNUMBER(MATCH(DATEVALUE($A77),'changes1_based on steps'!G$1:G$400,0)),G$2,)</f>
        <v>0</v>
      </c>
      <c r="H77" s="179">
        <f ca="1">IF(ISNUMBER(MATCH(DATEVALUE($A77),'changes1_based on steps'!H$1:H$400,0)),H$2,)</f>
        <v>0</v>
      </c>
      <c r="I77" s="179">
        <f ca="1">IF(ISNUMBER(MATCH(DATEVALUE($A77),'changes1_based on steps'!I$1:I$400,0)),I$2,)</f>
        <v>0</v>
      </c>
      <c r="J77" s="179">
        <f ca="1">IF(ISNUMBER(MATCH(DATEVALUE($A77),'changes1_based on steps'!J$1:J$400,0)),J$2,)</f>
        <v>0</v>
      </c>
      <c r="K77" s="179">
        <f ca="1">IF(ISNUMBER(MATCH(DATEVALUE($A77),'changes1_based on steps'!K$1:K$400,0)),K$2,)</f>
        <v>0</v>
      </c>
      <c r="L77" s="179">
        <f ca="1">IF(ISNUMBER(MATCH(DATEVALUE($A77),'changes1_based on steps'!L$1:L$400,0)),L$2,)</f>
        <v>0</v>
      </c>
      <c r="M77" s="179">
        <f ca="1">IF(ISNUMBER(MATCH(DATEVALUE($A77),'changes1_based on steps'!M$1:M$400,0)),M$2,)</f>
        <v>0</v>
      </c>
      <c r="N77" s="179">
        <f ca="1">IF(ISNUMBER(MATCH(DATEVALUE($A77),'changes1_based on steps'!N$1:N$400,0)),N$2,)</f>
        <v>0</v>
      </c>
      <c r="O77" s="179">
        <f ca="1">IF(ISNUMBER(MATCH(DATEVALUE($A77),'changes1_based on steps'!O$1:O$400,0)),O$2,)</f>
        <v>0</v>
      </c>
      <c r="P77" s="179">
        <f ca="1">IF(ISNUMBER(MATCH(DATEVALUE($A77),'changes1_based on steps'!P$1:P$400,0)),P$2,)</f>
        <v>0</v>
      </c>
      <c r="Q77" s="179">
        <f ca="1">IF(ISNUMBER(MATCH(DATEVALUE($A77),'changes1_based on steps'!Q$1:Q$400,0)),Q$2,)</f>
        <v>0</v>
      </c>
      <c r="R77" s="179">
        <f ca="1">IF(ISNUMBER(MATCH(DATEVALUE($A77),'changes1_based on steps'!R$1:R$400,0)),R$2,)</f>
        <v>0</v>
      </c>
      <c r="S77" s="179">
        <f ca="1">IF(ISNUMBER(MATCH(DATEVALUE($A77),'changes1_based on steps'!S$1:S$400,0)),S$2,)</f>
        <v>0</v>
      </c>
      <c r="T77" s="179">
        <f ca="1">IF(ISNUMBER(MATCH(DATEVALUE($A77),'changes1_based on steps'!T$1:T$400,0)),T$2,)</f>
        <v>0</v>
      </c>
      <c r="U77" s="179">
        <f ca="1">IF(ISNUMBER(MATCH(DATEVALUE($A77),'changes1_based on steps'!U$1:U$400,0)),U$2,)</f>
        <v>0</v>
      </c>
      <c r="V77" s="179"/>
      <c r="W77" s="179"/>
      <c r="X77" s="179"/>
      <c r="Y77" s="179"/>
      <c r="Z77" s="179"/>
      <c r="AA77" s="179"/>
      <c r="AB77" s="179"/>
      <c r="AC77" s="179"/>
      <c r="AD77" s="179"/>
      <c r="AE77" s="179"/>
      <c r="AF77" s="179"/>
      <c r="AG77" s="179"/>
      <c r="AH77" s="179"/>
      <c r="AI77" s="179"/>
      <c r="AJ77" s="179"/>
      <c r="AK77" s="179"/>
      <c r="AL77" s="179"/>
      <c r="AM77" s="179"/>
      <c r="AN77" s="179"/>
      <c r="AO77" s="179"/>
      <c r="AP77" s="179"/>
      <c r="AQ77" s="179"/>
      <c r="AR77" s="179"/>
      <c r="AS77" s="179"/>
      <c r="AT77" s="179"/>
      <c r="AU77" s="179"/>
      <c r="AV77" s="179"/>
      <c r="AW77" s="179"/>
      <c r="AX77" s="179"/>
      <c r="AY77" s="179"/>
      <c r="AZ77" s="179"/>
      <c r="BA77" s="179"/>
      <c r="BB77" s="179"/>
      <c r="BC77" s="179"/>
      <c r="BD77" s="179"/>
      <c r="BE77" s="179"/>
      <c r="BF77" s="179"/>
      <c r="BG77" s="179"/>
      <c r="BH77" s="179"/>
      <c r="BI77" s="179"/>
      <c r="BJ77" s="179"/>
      <c r="BK77" s="179"/>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c r="CK77" s="179"/>
      <c r="CL77" s="179"/>
      <c r="CM77" s="179"/>
      <c r="CN77" s="179"/>
      <c r="CO77" s="179"/>
      <c r="CP77" s="179"/>
      <c r="CQ77" s="179"/>
      <c r="CR77" s="179"/>
      <c r="CS77" s="179"/>
      <c r="CT77" s="179"/>
      <c r="CU77" s="179"/>
      <c r="CV77" s="179"/>
      <c r="CW77" s="179"/>
    </row>
    <row r="78" spans="1:101" x14ac:dyDescent="0.2">
      <c r="A78" s="32" t="str">
        <f t="shared" ca="1" si="1"/>
        <v>2025-06-12</v>
      </c>
      <c r="B78" s="179">
        <f ca="1">IF(ISNUMBER(MATCH(DATEVALUE($A78),'changes1_based on steps'!B$1:B$400,0)),B$2,)</f>
        <v>0</v>
      </c>
      <c r="C78" s="179">
        <f ca="1">IF(ISNUMBER(MATCH(DATEVALUE($A78),'changes1_based on steps'!C$1:C$400,0)),C$2,)</f>
        <v>0</v>
      </c>
      <c r="D78" s="179">
        <f ca="1">IF(ISNUMBER(MATCH(DATEVALUE($A78),'changes1_based on steps'!D$1:D$400,0)),D$2,)</f>
        <v>0</v>
      </c>
      <c r="E78" s="179">
        <f ca="1">IF(ISNUMBER(MATCH(DATEVALUE($A78),'changes1_based on steps'!E$1:E$400,0)),E$2,)</f>
        <v>0</v>
      </c>
      <c r="F78" s="179">
        <f ca="1">IF(ISNUMBER(MATCH(DATEVALUE($A78),'changes1_based on steps'!F$1:F$400,0)),F$2,)</f>
        <v>0</v>
      </c>
      <c r="G78" s="179">
        <f ca="1">IF(ISNUMBER(MATCH(DATEVALUE($A78),'changes1_based on steps'!G$1:G$400,0)),G$2,)</f>
        <v>0</v>
      </c>
      <c r="H78" s="179">
        <f ca="1">IF(ISNUMBER(MATCH(DATEVALUE($A78),'changes1_based on steps'!H$1:H$400,0)),H$2,)</f>
        <v>0</v>
      </c>
      <c r="I78" s="179">
        <f ca="1">IF(ISNUMBER(MATCH(DATEVALUE($A78),'changes1_based on steps'!I$1:I$400,0)),I$2,)</f>
        <v>0</v>
      </c>
      <c r="J78" s="179">
        <f ca="1">IF(ISNUMBER(MATCH(DATEVALUE($A78),'changes1_based on steps'!J$1:J$400,0)),J$2,)</f>
        <v>0</v>
      </c>
      <c r="K78" s="179">
        <f ca="1">IF(ISNUMBER(MATCH(DATEVALUE($A78),'changes1_based on steps'!K$1:K$400,0)),K$2,)</f>
        <v>0</v>
      </c>
      <c r="L78" s="179">
        <f ca="1">IF(ISNUMBER(MATCH(DATEVALUE($A78),'changes1_based on steps'!L$1:L$400,0)),L$2,)</f>
        <v>0</v>
      </c>
      <c r="M78" s="179">
        <f ca="1">IF(ISNUMBER(MATCH(DATEVALUE($A78),'changes1_based on steps'!M$1:M$400,0)),M$2,)</f>
        <v>0</v>
      </c>
      <c r="N78" s="179">
        <f ca="1">IF(ISNUMBER(MATCH(DATEVALUE($A78),'changes1_based on steps'!N$1:N$400,0)),N$2,)</f>
        <v>0</v>
      </c>
      <c r="O78" s="179">
        <f ca="1">IF(ISNUMBER(MATCH(DATEVALUE($A78),'changes1_based on steps'!O$1:O$400,0)),O$2,)</f>
        <v>0</v>
      </c>
      <c r="P78" s="179">
        <f ca="1">IF(ISNUMBER(MATCH(DATEVALUE($A78),'changes1_based on steps'!P$1:P$400,0)),P$2,)</f>
        <v>0</v>
      </c>
      <c r="Q78" s="179">
        <f ca="1">IF(ISNUMBER(MATCH(DATEVALUE($A78),'changes1_based on steps'!Q$1:Q$400,0)),Q$2,)</f>
        <v>0</v>
      </c>
      <c r="R78" s="179">
        <f ca="1">IF(ISNUMBER(MATCH(DATEVALUE($A78),'changes1_based on steps'!R$1:R$400,0)),R$2,)</f>
        <v>0</v>
      </c>
      <c r="S78" s="179">
        <f ca="1">IF(ISNUMBER(MATCH(DATEVALUE($A78),'changes1_based on steps'!S$1:S$400,0)),S$2,)</f>
        <v>0</v>
      </c>
      <c r="T78" s="179">
        <f ca="1">IF(ISNUMBER(MATCH(DATEVALUE($A78),'changes1_based on steps'!T$1:T$400,0)),T$2,)</f>
        <v>0</v>
      </c>
      <c r="U78" s="179">
        <f ca="1">IF(ISNUMBER(MATCH(DATEVALUE($A78),'changes1_based on steps'!U$1:U$400,0)),U$2,)</f>
        <v>0</v>
      </c>
      <c r="V78" s="179"/>
      <c r="W78" s="179"/>
      <c r="X78" s="179"/>
      <c r="Y78" s="179"/>
      <c r="Z78" s="179"/>
      <c r="AA78" s="179"/>
      <c r="AB78" s="179"/>
      <c r="AC78" s="179"/>
      <c r="AD78" s="179"/>
      <c r="AE78" s="179"/>
      <c r="AF78" s="179"/>
      <c r="AG78" s="179"/>
      <c r="AH78" s="179"/>
      <c r="AI78" s="179"/>
      <c r="AJ78" s="179"/>
      <c r="AK78" s="179"/>
      <c r="AL78" s="179"/>
      <c r="AM78" s="179"/>
      <c r="AN78" s="179"/>
      <c r="AO78" s="179"/>
      <c r="AP78" s="179"/>
      <c r="AQ78" s="179"/>
      <c r="AR78" s="179"/>
      <c r="AS78" s="179"/>
      <c r="AT78" s="179"/>
      <c r="AU78" s="179"/>
      <c r="AV78" s="179"/>
      <c r="AW78" s="179"/>
      <c r="AX78" s="179"/>
      <c r="AY78" s="179"/>
      <c r="AZ78" s="179"/>
      <c r="BA78" s="179"/>
      <c r="BB78" s="179"/>
      <c r="BC78" s="179"/>
      <c r="BD78" s="179"/>
      <c r="BE78" s="179"/>
      <c r="BF78" s="179"/>
      <c r="BG78" s="179"/>
      <c r="BH78" s="179"/>
      <c r="BI78" s="179"/>
      <c r="BJ78" s="179"/>
      <c r="BK78" s="179"/>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c r="CK78" s="179"/>
      <c r="CL78" s="179"/>
      <c r="CM78" s="179"/>
      <c r="CN78" s="179"/>
      <c r="CO78" s="179"/>
      <c r="CP78" s="179"/>
      <c r="CQ78" s="179"/>
      <c r="CR78" s="179"/>
      <c r="CS78" s="179"/>
      <c r="CT78" s="179"/>
      <c r="CU78" s="179"/>
      <c r="CV78" s="179"/>
      <c r="CW78" s="179"/>
    </row>
    <row r="79" spans="1:101" x14ac:dyDescent="0.2">
      <c r="A79" s="32" t="str">
        <f t="shared" ca="1" si="1"/>
        <v>2025-06-13</v>
      </c>
      <c r="B79" s="179">
        <f ca="1">IF(ISNUMBER(MATCH(DATEVALUE($A79),'changes1_based on steps'!B$1:B$400,0)),B$2,)</f>
        <v>0</v>
      </c>
      <c r="C79" s="179">
        <f ca="1">IF(ISNUMBER(MATCH(DATEVALUE($A79),'changes1_based on steps'!C$1:C$400,0)),C$2,)</f>
        <v>0</v>
      </c>
      <c r="D79" s="179">
        <f ca="1">IF(ISNUMBER(MATCH(DATEVALUE($A79),'changes1_based on steps'!D$1:D$400,0)),D$2,)</f>
        <v>0</v>
      </c>
      <c r="E79" s="179">
        <f ca="1">IF(ISNUMBER(MATCH(DATEVALUE($A79),'changes1_based on steps'!E$1:E$400,0)),E$2,)</f>
        <v>0</v>
      </c>
      <c r="F79" s="179">
        <f ca="1">IF(ISNUMBER(MATCH(DATEVALUE($A79),'changes1_based on steps'!F$1:F$400,0)),F$2,)</f>
        <v>0</v>
      </c>
      <c r="G79" s="179">
        <f ca="1">IF(ISNUMBER(MATCH(DATEVALUE($A79),'changes1_based on steps'!G$1:G$400,0)),G$2,)</f>
        <v>0</v>
      </c>
      <c r="H79" s="179">
        <f ca="1">IF(ISNUMBER(MATCH(DATEVALUE($A79),'changes1_based on steps'!H$1:H$400,0)),H$2,)</f>
        <v>0</v>
      </c>
      <c r="I79" s="179">
        <f ca="1">IF(ISNUMBER(MATCH(DATEVALUE($A79),'changes1_based on steps'!I$1:I$400,0)),I$2,)</f>
        <v>0</v>
      </c>
      <c r="J79" s="179">
        <f ca="1">IF(ISNUMBER(MATCH(DATEVALUE($A79),'changes1_based on steps'!J$1:J$400,0)),J$2,)</f>
        <v>0</v>
      </c>
      <c r="K79" s="179">
        <f ca="1">IF(ISNUMBER(MATCH(DATEVALUE($A79),'changes1_based on steps'!K$1:K$400,0)),K$2,)</f>
        <v>0</v>
      </c>
      <c r="L79" s="179">
        <f ca="1">IF(ISNUMBER(MATCH(DATEVALUE($A79),'changes1_based on steps'!L$1:L$400,0)),L$2,)</f>
        <v>0</v>
      </c>
      <c r="M79" s="179">
        <f ca="1">IF(ISNUMBER(MATCH(DATEVALUE($A79),'changes1_based on steps'!M$1:M$400,0)),M$2,)</f>
        <v>0</v>
      </c>
      <c r="N79" s="179">
        <f ca="1">IF(ISNUMBER(MATCH(DATEVALUE($A79),'changes1_based on steps'!N$1:N$400,0)),N$2,)</f>
        <v>0</v>
      </c>
      <c r="O79" s="179">
        <f ca="1">IF(ISNUMBER(MATCH(DATEVALUE($A79),'changes1_based on steps'!O$1:O$400,0)),O$2,)</f>
        <v>0</v>
      </c>
      <c r="P79" s="179">
        <f ca="1">IF(ISNUMBER(MATCH(DATEVALUE($A79),'changes1_based on steps'!P$1:P$400,0)),P$2,)</f>
        <v>0</v>
      </c>
      <c r="Q79" s="179">
        <f ca="1">IF(ISNUMBER(MATCH(DATEVALUE($A79),'changes1_based on steps'!Q$1:Q$400,0)),Q$2,)</f>
        <v>0</v>
      </c>
      <c r="R79" s="179">
        <f ca="1">IF(ISNUMBER(MATCH(DATEVALUE($A79),'changes1_based on steps'!R$1:R$400,0)),R$2,)</f>
        <v>0</v>
      </c>
      <c r="S79" s="179">
        <f ca="1">IF(ISNUMBER(MATCH(DATEVALUE($A79),'changes1_based on steps'!S$1:S$400,0)),S$2,)</f>
        <v>0</v>
      </c>
      <c r="T79" s="179">
        <f ca="1">IF(ISNUMBER(MATCH(DATEVALUE($A79),'changes1_based on steps'!T$1:T$400,0)),T$2,)</f>
        <v>0</v>
      </c>
      <c r="U79" s="179">
        <f ca="1">IF(ISNUMBER(MATCH(DATEVALUE($A79),'changes1_based on steps'!U$1:U$400,0)),U$2,)</f>
        <v>0</v>
      </c>
      <c r="V79" s="179"/>
      <c r="W79" s="179"/>
      <c r="X79" s="179"/>
      <c r="Y79" s="179"/>
      <c r="Z79" s="179"/>
      <c r="AA79" s="179"/>
      <c r="AB79" s="179"/>
      <c r="AC79" s="179"/>
      <c r="AD79" s="179"/>
      <c r="AE79" s="179"/>
      <c r="AF79" s="179"/>
      <c r="AG79" s="179"/>
      <c r="AH79" s="179"/>
      <c r="AI79" s="179"/>
      <c r="AJ79" s="179"/>
      <c r="AK79" s="179"/>
      <c r="AL79" s="179"/>
      <c r="AM79" s="179"/>
      <c r="AN79" s="179"/>
      <c r="AO79" s="179"/>
      <c r="AP79" s="179"/>
      <c r="AQ79" s="179"/>
      <c r="AR79" s="179"/>
      <c r="AS79" s="179"/>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row>
    <row r="80" spans="1:101" x14ac:dyDescent="0.2">
      <c r="A80" s="32" t="str">
        <f t="shared" ca="1" si="1"/>
        <v>2025-06-14</v>
      </c>
      <c r="B80" s="179">
        <f ca="1">IF(ISNUMBER(MATCH(DATEVALUE($A80),'changes1_based on steps'!B$1:B$400,0)),B$2,)</f>
        <v>0</v>
      </c>
      <c r="C80" s="179">
        <f ca="1">IF(ISNUMBER(MATCH(DATEVALUE($A80),'changes1_based on steps'!C$1:C$400,0)),C$2,)</f>
        <v>0</v>
      </c>
      <c r="D80" s="179">
        <f ca="1">IF(ISNUMBER(MATCH(DATEVALUE($A80),'changes1_based on steps'!D$1:D$400,0)),D$2,)</f>
        <v>0</v>
      </c>
      <c r="E80" s="179">
        <f ca="1">IF(ISNUMBER(MATCH(DATEVALUE($A80),'changes1_based on steps'!E$1:E$400,0)),E$2,)</f>
        <v>0</v>
      </c>
      <c r="F80" s="179">
        <f ca="1">IF(ISNUMBER(MATCH(DATEVALUE($A80),'changes1_based on steps'!F$1:F$400,0)),F$2,)</f>
        <v>0</v>
      </c>
      <c r="G80" s="179">
        <f ca="1">IF(ISNUMBER(MATCH(DATEVALUE($A80),'changes1_based on steps'!G$1:G$400,0)),G$2,)</f>
        <v>0</v>
      </c>
      <c r="H80" s="179">
        <f ca="1">IF(ISNUMBER(MATCH(DATEVALUE($A80),'changes1_based on steps'!H$1:H$400,0)),H$2,)</f>
        <v>0</v>
      </c>
      <c r="I80" s="179">
        <f ca="1">IF(ISNUMBER(MATCH(DATEVALUE($A80),'changes1_based on steps'!I$1:I$400,0)),I$2,)</f>
        <v>0</v>
      </c>
      <c r="J80" s="179">
        <f ca="1">IF(ISNUMBER(MATCH(DATEVALUE($A80),'changes1_based on steps'!J$1:J$400,0)),J$2,)</f>
        <v>0</v>
      </c>
      <c r="K80" s="179">
        <f ca="1">IF(ISNUMBER(MATCH(DATEVALUE($A80),'changes1_based on steps'!K$1:K$400,0)),K$2,)</f>
        <v>0</v>
      </c>
      <c r="L80" s="179">
        <f ca="1">IF(ISNUMBER(MATCH(DATEVALUE($A80),'changes1_based on steps'!L$1:L$400,0)),L$2,)</f>
        <v>0</v>
      </c>
      <c r="M80" s="179">
        <f ca="1">IF(ISNUMBER(MATCH(DATEVALUE($A80),'changes1_based on steps'!M$1:M$400,0)),M$2,)</f>
        <v>0</v>
      </c>
      <c r="N80" s="179">
        <f ca="1">IF(ISNUMBER(MATCH(DATEVALUE($A80),'changes1_based on steps'!N$1:N$400,0)),N$2,)</f>
        <v>0</v>
      </c>
      <c r="O80" s="179">
        <f ca="1">IF(ISNUMBER(MATCH(DATEVALUE($A80),'changes1_based on steps'!O$1:O$400,0)),O$2,)</f>
        <v>0</v>
      </c>
      <c r="P80" s="179">
        <f ca="1">IF(ISNUMBER(MATCH(DATEVALUE($A80),'changes1_based on steps'!P$1:P$400,0)),P$2,)</f>
        <v>0</v>
      </c>
      <c r="Q80" s="179">
        <f ca="1">IF(ISNUMBER(MATCH(DATEVALUE($A80),'changes1_based on steps'!Q$1:Q$400,0)),Q$2,)</f>
        <v>0</v>
      </c>
      <c r="R80" s="179">
        <f ca="1">IF(ISNUMBER(MATCH(DATEVALUE($A80),'changes1_based on steps'!R$1:R$400,0)),R$2,)</f>
        <v>0</v>
      </c>
      <c r="S80" s="179">
        <f ca="1">IF(ISNUMBER(MATCH(DATEVALUE($A80),'changes1_based on steps'!S$1:S$400,0)),S$2,)</f>
        <v>0</v>
      </c>
      <c r="T80" s="179">
        <f ca="1">IF(ISNUMBER(MATCH(DATEVALUE($A80),'changes1_based on steps'!T$1:T$400,0)),T$2,)</f>
        <v>0</v>
      </c>
      <c r="U80" s="179">
        <f ca="1">IF(ISNUMBER(MATCH(DATEVALUE($A80),'changes1_based on steps'!U$1:U$400,0)),U$2,)</f>
        <v>0</v>
      </c>
      <c r="V80" s="179"/>
      <c r="W80" s="179"/>
      <c r="X80" s="179"/>
      <c r="Y80" s="179"/>
      <c r="Z80" s="179"/>
      <c r="AA80" s="179"/>
      <c r="AB80" s="179"/>
      <c r="AC80" s="179"/>
      <c r="AD80" s="179"/>
      <c r="AE80" s="179"/>
      <c r="AF80" s="179"/>
      <c r="AG80" s="179"/>
      <c r="AH80" s="179"/>
      <c r="AI80" s="179"/>
      <c r="AJ80" s="179"/>
      <c r="AK80" s="179"/>
      <c r="AL80" s="179"/>
      <c r="AM80" s="179"/>
      <c r="AN80" s="179"/>
      <c r="AO80" s="179"/>
      <c r="AP80" s="179"/>
      <c r="AQ80" s="179"/>
      <c r="AR80" s="179"/>
      <c r="AS80" s="179"/>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row>
    <row r="81" spans="1:101" x14ac:dyDescent="0.2">
      <c r="A81" s="32" t="str">
        <f t="shared" ca="1" si="1"/>
        <v>2025-06-15</v>
      </c>
      <c r="B81" s="179">
        <f ca="1">IF(ISNUMBER(MATCH(DATEVALUE($A81),'changes1_based on steps'!B$1:B$400,0)),B$2,)</f>
        <v>0</v>
      </c>
      <c r="C81" s="179">
        <f ca="1">IF(ISNUMBER(MATCH(DATEVALUE($A81),'changes1_based on steps'!C$1:C$400,0)),C$2,)</f>
        <v>0</v>
      </c>
      <c r="D81" s="179">
        <f ca="1">IF(ISNUMBER(MATCH(DATEVALUE($A81),'changes1_based on steps'!D$1:D$400,0)),D$2,)</f>
        <v>0</v>
      </c>
      <c r="E81" s="179">
        <f ca="1">IF(ISNUMBER(MATCH(DATEVALUE($A81),'changes1_based on steps'!E$1:E$400,0)),E$2,)</f>
        <v>0</v>
      </c>
      <c r="F81" s="179">
        <f ca="1">IF(ISNUMBER(MATCH(DATEVALUE($A81),'changes1_based on steps'!F$1:F$400,0)),F$2,)</f>
        <v>0</v>
      </c>
      <c r="G81" s="179">
        <f ca="1">IF(ISNUMBER(MATCH(DATEVALUE($A81),'changes1_based on steps'!G$1:G$400,0)),G$2,)</f>
        <v>0</v>
      </c>
      <c r="H81" s="179">
        <f ca="1">IF(ISNUMBER(MATCH(DATEVALUE($A81),'changes1_based on steps'!H$1:H$400,0)),H$2,)</f>
        <v>0</v>
      </c>
      <c r="I81" s="179">
        <f ca="1">IF(ISNUMBER(MATCH(DATEVALUE($A81),'changes1_based on steps'!I$1:I$400,0)),I$2,)</f>
        <v>0</v>
      </c>
      <c r="J81" s="179">
        <f ca="1">IF(ISNUMBER(MATCH(DATEVALUE($A81),'changes1_based on steps'!J$1:J$400,0)),J$2,)</f>
        <v>0</v>
      </c>
      <c r="K81" s="179">
        <f ca="1">IF(ISNUMBER(MATCH(DATEVALUE($A81),'changes1_based on steps'!K$1:K$400,0)),K$2,)</f>
        <v>0</v>
      </c>
      <c r="L81" s="179">
        <f ca="1">IF(ISNUMBER(MATCH(DATEVALUE($A81),'changes1_based on steps'!L$1:L$400,0)),L$2,)</f>
        <v>0</v>
      </c>
      <c r="M81" s="179">
        <f ca="1">IF(ISNUMBER(MATCH(DATEVALUE($A81),'changes1_based on steps'!M$1:M$400,0)),M$2,)</f>
        <v>0</v>
      </c>
      <c r="N81" s="179">
        <f ca="1">IF(ISNUMBER(MATCH(DATEVALUE($A81),'changes1_based on steps'!N$1:N$400,0)),N$2,)</f>
        <v>0</v>
      </c>
      <c r="O81" s="179">
        <f ca="1">IF(ISNUMBER(MATCH(DATEVALUE($A81),'changes1_based on steps'!O$1:O$400,0)),O$2,)</f>
        <v>0</v>
      </c>
      <c r="P81" s="179">
        <f ca="1">IF(ISNUMBER(MATCH(DATEVALUE($A81),'changes1_based on steps'!P$1:P$400,0)),P$2,)</f>
        <v>0</v>
      </c>
      <c r="Q81" s="179">
        <f ca="1">IF(ISNUMBER(MATCH(DATEVALUE($A81),'changes1_based on steps'!Q$1:Q$400,0)),Q$2,)</f>
        <v>0</v>
      </c>
      <c r="R81" s="179">
        <f ca="1">IF(ISNUMBER(MATCH(DATEVALUE($A81),'changes1_based on steps'!R$1:R$400,0)),R$2,)</f>
        <v>0</v>
      </c>
      <c r="S81" s="179">
        <f ca="1">IF(ISNUMBER(MATCH(DATEVALUE($A81),'changes1_based on steps'!S$1:S$400,0)),S$2,)</f>
        <v>0</v>
      </c>
      <c r="T81" s="179">
        <f ca="1">IF(ISNUMBER(MATCH(DATEVALUE($A81),'changes1_based on steps'!T$1:T$400,0)),T$2,)</f>
        <v>0</v>
      </c>
      <c r="U81" s="179">
        <f ca="1">IF(ISNUMBER(MATCH(DATEVALUE($A81),'changes1_based on steps'!U$1:U$400,0)),U$2,)</f>
        <v>0</v>
      </c>
      <c r="V81" s="179"/>
      <c r="W81" s="179"/>
      <c r="X81" s="179"/>
      <c r="Y81" s="179"/>
      <c r="Z81" s="179"/>
      <c r="AA81" s="179"/>
      <c r="AB81" s="179"/>
      <c r="AC81" s="179"/>
      <c r="AD81" s="179"/>
      <c r="AE81" s="179"/>
      <c r="AF81" s="179"/>
      <c r="AG81" s="179"/>
      <c r="AH81" s="179"/>
      <c r="AI81" s="179"/>
      <c r="AJ81" s="179"/>
      <c r="AK81" s="179"/>
      <c r="AL81" s="179"/>
      <c r="AM81" s="179"/>
      <c r="AN81" s="179"/>
      <c r="AO81" s="179"/>
      <c r="AP81" s="179"/>
      <c r="AQ81" s="179"/>
      <c r="AR81" s="179"/>
      <c r="AS81" s="179"/>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row>
    <row r="82" spans="1:101" x14ac:dyDescent="0.2">
      <c r="A82" s="32" t="str">
        <f t="shared" ca="1" si="1"/>
        <v>2025-06-16</v>
      </c>
      <c r="B82" s="179">
        <f ca="1">IF(ISNUMBER(MATCH(DATEVALUE($A82),'changes1_based on steps'!B$1:B$400,0)),B$2,)</f>
        <v>0</v>
      </c>
      <c r="C82" s="179">
        <f ca="1">IF(ISNUMBER(MATCH(DATEVALUE($A82),'changes1_based on steps'!C$1:C$400,0)),C$2,)</f>
        <v>0</v>
      </c>
      <c r="D82" s="179">
        <f ca="1">IF(ISNUMBER(MATCH(DATEVALUE($A82),'changes1_based on steps'!D$1:D$400,0)),D$2,)</f>
        <v>0</v>
      </c>
      <c r="E82" s="179">
        <f ca="1">IF(ISNUMBER(MATCH(DATEVALUE($A82),'changes1_based on steps'!E$1:E$400,0)),E$2,)</f>
        <v>0</v>
      </c>
      <c r="F82" s="179">
        <f ca="1">IF(ISNUMBER(MATCH(DATEVALUE($A82),'changes1_based on steps'!F$1:F$400,0)),F$2,)</f>
        <v>0</v>
      </c>
      <c r="G82" s="179">
        <f ca="1">IF(ISNUMBER(MATCH(DATEVALUE($A82),'changes1_based on steps'!G$1:G$400,0)),G$2,)</f>
        <v>0</v>
      </c>
      <c r="H82" s="179">
        <f ca="1">IF(ISNUMBER(MATCH(DATEVALUE($A82),'changes1_based on steps'!H$1:H$400,0)),H$2,)</f>
        <v>0</v>
      </c>
      <c r="I82" s="179">
        <f ca="1">IF(ISNUMBER(MATCH(DATEVALUE($A82),'changes1_based on steps'!I$1:I$400,0)),I$2,)</f>
        <v>0</v>
      </c>
      <c r="J82" s="179">
        <f ca="1">IF(ISNUMBER(MATCH(DATEVALUE($A82),'changes1_based on steps'!J$1:J$400,0)),J$2,)</f>
        <v>0</v>
      </c>
      <c r="K82" s="179">
        <f ca="1">IF(ISNUMBER(MATCH(DATEVALUE($A82),'changes1_based on steps'!K$1:K$400,0)),K$2,)</f>
        <v>0</v>
      </c>
      <c r="L82" s="179">
        <f ca="1">IF(ISNUMBER(MATCH(DATEVALUE($A82),'changes1_based on steps'!L$1:L$400,0)),L$2,)</f>
        <v>0</v>
      </c>
      <c r="M82" s="179">
        <f ca="1">IF(ISNUMBER(MATCH(DATEVALUE($A82),'changes1_based on steps'!M$1:M$400,0)),M$2,)</f>
        <v>0</v>
      </c>
      <c r="N82" s="179">
        <f ca="1">IF(ISNUMBER(MATCH(DATEVALUE($A82),'changes1_based on steps'!N$1:N$400,0)),N$2,)</f>
        <v>0</v>
      </c>
      <c r="O82" s="179">
        <f ca="1">IF(ISNUMBER(MATCH(DATEVALUE($A82),'changes1_based on steps'!O$1:O$400,0)),O$2,)</f>
        <v>0</v>
      </c>
      <c r="P82" s="179">
        <f ca="1">IF(ISNUMBER(MATCH(DATEVALUE($A82),'changes1_based on steps'!P$1:P$400,0)),P$2,)</f>
        <v>0</v>
      </c>
      <c r="Q82" s="179">
        <f ca="1">IF(ISNUMBER(MATCH(DATEVALUE($A82),'changes1_based on steps'!Q$1:Q$400,0)),Q$2,)</f>
        <v>0</v>
      </c>
      <c r="R82" s="179">
        <f ca="1">IF(ISNUMBER(MATCH(DATEVALUE($A82),'changes1_based on steps'!R$1:R$400,0)),R$2,)</f>
        <v>0</v>
      </c>
      <c r="S82" s="179">
        <f ca="1">IF(ISNUMBER(MATCH(DATEVALUE($A82),'changes1_based on steps'!S$1:S$400,0)),S$2,)</f>
        <v>0</v>
      </c>
      <c r="T82" s="179">
        <f ca="1">IF(ISNUMBER(MATCH(DATEVALUE($A82),'changes1_based on steps'!T$1:T$400,0)),T$2,)</f>
        <v>0</v>
      </c>
      <c r="U82" s="179">
        <f ca="1">IF(ISNUMBER(MATCH(DATEVALUE($A82),'changes1_based on steps'!U$1:U$400,0)),U$2,)</f>
        <v>0</v>
      </c>
      <c r="V82" s="179"/>
      <c r="W82" s="179"/>
      <c r="X82" s="179"/>
      <c r="Y82" s="179"/>
      <c r="Z82" s="179"/>
      <c r="AA82" s="179"/>
      <c r="AB82" s="179"/>
      <c r="AC82" s="179"/>
      <c r="AD82" s="179"/>
      <c r="AE82" s="179"/>
      <c r="AF82" s="179"/>
      <c r="AG82" s="179"/>
      <c r="AH82" s="179"/>
      <c r="AI82" s="179"/>
      <c r="AJ82" s="179"/>
      <c r="AK82" s="179"/>
      <c r="AL82" s="179"/>
      <c r="AM82" s="179"/>
      <c r="AN82" s="179"/>
      <c r="AO82" s="179"/>
      <c r="AP82" s="179"/>
      <c r="AQ82" s="179"/>
      <c r="AR82" s="179"/>
      <c r="AS82" s="179"/>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row>
    <row r="83" spans="1:101" x14ac:dyDescent="0.2">
      <c r="A83" s="32" t="str">
        <f t="shared" ca="1" si="1"/>
        <v>2025-06-17</v>
      </c>
      <c r="B83" s="179">
        <f ca="1">IF(ISNUMBER(MATCH(DATEVALUE($A83),'changes1_based on steps'!B$1:B$400,0)),B$2,)</f>
        <v>0</v>
      </c>
      <c r="C83" s="179">
        <f ca="1">IF(ISNUMBER(MATCH(DATEVALUE($A83),'changes1_based on steps'!C$1:C$400,0)),C$2,)</f>
        <v>0</v>
      </c>
      <c r="D83" s="179">
        <f ca="1">IF(ISNUMBER(MATCH(DATEVALUE($A83),'changes1_based on steps'!D$1:D$400,0)),D$2,)</f>
        <v>0</v>
      </c>
      <c r="E83" s="179">
        <f ca="1">IF(ISNUMBER(MATCH(DATEVALUE($A83),'changes1_based on steps'!E$1:E$400,0)),E$2,)</f>
        <v>0</v>
      </c>
      <c r="F83" s="179">
        <f ca="1">IF(ISNUMBER(MATCH(DATEVALUE($A83),'changes1_based on steps'!F$1:F$400,0)),F$2,)</f>
        <v>0</v>
      </c>
      <c r="G83" s="179">
        <f ca="1">IF(ISNUMBER(MATCH(DATEVALUE($A83),'changes1_based on steps'!G$1:G$400,0)),G$2,)</f>
        <v>0</v>
      </c>
      <c r="H83" s="179">
        <f ca="1">IF(ISNUMBER(MATCH(DATEVALUE($A83),'changes1_based on steps'!H$1:H$400,0)),H$2,)</f>
        <v>0</v>
      </c>
      <c r="I83" s="179">
        <f ca="1">IF(ISNUMBER(MATCH(DATEVALUE($A83),'changes1_based on steps'!I$1:I$400,0)),I$2,)</f>
        <v>0</v>
      </c>
      <c r="J83" s="179">
        <f ca="1">IF(ISNUMBER(MATCH(DATEVALUE($A83),'changes1_based on steps'!J$1:J$400,0)),J$2,)</f>
        <v>0</v>
      </c>
      <c r="K83" s="179">
        <f ca="1">IF(ISNUMBER(MATCH(DATEVALUE($A83),'changes1_based on steps'!K$1:K$400,0)),K$2,)</f>
        <v>0</v>
      </c>
      <c r="L83" s="179">
        <f ca="1">IF(ISNUMBER(MATCH(DATEVALUE($A83),'changes1_based on steps'!L$1:L$400,0)),L$2,)</f>
        <v>0</v>
      </c>
      <c r="M83" s="179">
        <f ca="1">IF(ISNUMBER(MATCH(DATEVALUE($A83),'changes1_based on steps'!M$1:M$400,0)),M$2,)</f>
        <v>0</v>
      </c>
      <c r="N83" s="179">
        <f ca="1">IF(ISNUMBER(MATCH(DATEVALUE($A83),'changes1_based on steps'!N$1:N$400,0)),N$2,)</f>
        <v>0</v>
      </c>
      <c r="O83" s="179">
        <f ca="1">IF(ISNUMBER(MATCH(DATEVALUE($A83),'changes1_based on steps'!O$1:O$400,0)),O$2,)</f>
        <v>0</v>
      </c>
      <c r="P83" s="179">
        <f ca="1">IF(ISNUMBER(MATCH(DATEVALUE($A83),'changes1_based on steps'!P$1:P$400,0)),P$2,)</f>
        <v>0</v>
      </c>
      <c r="Q83" s="179">
        <f ca="1">IF(ISNUMBER(MATCH(DATEVALUE($A83),'changes1_based on steps'!Q$1:Q$400,0)),Q$2,)</f>
        <v>0</v>
      </c>
      <c r="R83" s="179">
        <f ca="1">IF(ISNUMBER(MATCH(DATEVALUE($A83),'changes1_based on steps'!R$1:R$400,0)),R$2,)</f>
        <v>0</v>
      </c>
      <c r="S83" s="179">
        <f ca="1">IF(ISNUMBER(MATCH(DATEVALUE($A83),'changes1_based on steps'!S$1:S$400,0)),S$2,)</f>
        <v>0</v>
      </c>
      <c r="T83" s="179">
        <f ca="1">IF(ISNUMBER(MATCH(DATEVALUE($A83),'changes1_based on steps'!T$1:T$400,0)),T$2,)</f>
        <v>0</v>
      </c>
      <c r="U83" s="179">
        <f ca="1">IF(ISNUMBER(MATCH(DATEVALUE($A83),'changes1_based on steps'!U$1:U$400,0)),U$2,)</f>
        <v>0</v>
      </c>
      <c r="V83" s="179"/>
      <c r="W83" s="179"/>
      <c r="X83" s="179"/>
      <c r="Y83" s="179"/>
      <c r="Z83" s="179"/>
      <c r="AA83" s="179"/>
      <c r="AB83" s="179"/>
      <c r="AC83" s="179"/>
      <c r="AD83" s="179"/>
      <c r="AE83" s="179"/>
      <c r="AF83" s="179"/>
      <c r="AG83" s="179"/>
      <c r="AH83" s="179"/>
      <c r="AI83" s="179"/>
      <c r="AJ83" s="179"/>
      <c r="AK83" s="179"/>
      <c r="AL83" s="179"/>
      <c r="AM83" s="179"/>
      <c r="AN83" s="179"/>
      <c r="AO83" s="179"/>
      <c r="AP83" s="179"/>
      <c r="AQ83" s="179"/>
      <c r="AR83" s="179"/>
      <c r="AS83" s="179"/>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row>
    <row r="84" spans="1:101" x14ac:dyDescent="0.2">
      <c r="A84" s="32" t="str">
        <f t="shared" ca="1" si="1"/>
        <v>2025-06-18</v>
      </c>
      <c r="B84" s="179">
        <f ca="1">IF(ISNUMBER(MATCH(DATEVALUE($A84),'changes1_based on steps'!B$1:B$400,0)),B$2,)</f>
        <v>0</v>
      </c>
      <c r="C84" s="179">
        <f ca="1">IF(ISNUMBER(MATCH(DATEVALUE($A84),'changes1_based on steps'!C$1:C$400,0)),C$2,)</f>
        <v>0</v>
      </c>
      <c r="D84" s="179">
        <f ca="1">IF(ISNUMBER(MATCH(DATEVALUE($A84),'changes1_based on steps'!D$1:D$400,0)),D$2,)</f>
        <v>0</v>
      </c>
      <c r="E84" s="179">
        <f ca="1">IF(ISNUMBER(MATCH(DATEVALUE($A84),'changes1_based on steps'!E$1:E$400,0)),E$2,)</f>
        <v>0</v>
      </c>
      <c r="F84" s="179">
        <f ca="1">IF(ISNUMBER(MATCH(DATEVALUE($A84),'changes1_based on steps'!F$1:F$400,0)),F$2,)</f>
        <v>0</v>
      </c>
      <c r="G84" s="179">
        <f ca="1">IF(ISNUMBER(MATCH(DATEVALUE($A84),'changes1_based on steps'!G$1:G$400,0)),G$2,)</f>
        <v>0</v>
      </c>
      <c r="H84" s="179">
        <f ca="1">IF(ISNUMBER(MATCH(DATEVALUE($A84),'changes1_based on steps'!H$1:H$400,0)),H$2,)</f>
        <v>0</v>
      </c>
      <c r="I84" s="179">
        <f ca="1">IF(ISNUMBER(MATCH(DATEVALUE($A84),'changes1_based on steps'!I$1:I$400,0)),I$2,)</f>
        <v>0</v>
      </c>
      <c r="J84" s="179">
        <f ca="1">IF(ISNUMBER(MATCH(DATEVALUE($A84),'changes1_based on steps'!J$1:J$400,0)),J$2,)</f>
        <v>0</v>
      </c>
      <c r="K84" s="179">
        <f ca="1">IF(ISNUMBER(MATCH(DATEVALUE($A84),'changes1_based on steps'!K$1:K$400,0)),K$2,)</f>
        <v>0</v>
      </c>
      <c r="L84" s="179">
        <f ca="1">IF(ISNUMBER(MATCH(DATEVALUE($A84),'changes1_based on steps'!L$1:L$400,0)),L$2,)</f>
        <v>0</v>
      </c>
      <c r="M84" s="179">
        <f ca="1">IF(ISNUMBER(MATCH(DATEVALUE($A84),'changes1_based on steps'!M$1:M$400,0)),M$2,)</f>
        <v>0</v>
      </c>
      <c r="N84" s="179">
        <f ca="1">IF(ISNUMBER(MATCH(DATEVALUE($A84),'changes1_based on steps'!N$1:N$400,0)),N$2,)</f>
        <v>0</v>
      </c>
      <c r="O84" s="179">
        <f ca="1">IF(ISNUMBER(MATCH(DATEVALUE($A84),'changes1_based on steps'!O$1:O$400,0)),O$2,)</f>
        <v>0</v>
      </c>
      <c r="P84" s="179">
        <f ca="1">IF(ISNUMBER(MATCH(DATEVALUE($A84),'changes1_based on steps'!P$1:P$400,0)),P$2,)</f>
        <v>0</v>
      </c>
      <c r="Q84" s="179">
        <f ca="1">IF(ISNUMBER(MATCH(DATEVALUE($A84),'changes1_based on steps'!Q$1:Q$400,0)),Q$2,)</f>
        <v>0</v>
      </c>
      <c r="R84" s="179">
        <f ca="1">IF(ISNUMBER(MATCH(DATEVALUE($A84),'changes1_based on steps'!R$1:R$400,0)),R$2,)</f>
        <v>0</v>
      </c>
      <c r="S84" s="179">
        <f ca="1">IF(ISNUMBER(MATCH(DATEVALUE($A84),'changes1_based on steps'!S$1:S$400,0)),S$2,)</f>
        <v>0</v>
      </c>
      <c r="T84" s="179">
        <f ca="1">IF(ISNUMBER(MATCH(DATEVALUE($A84),'changes1_based on steps'!T$1:T$400,0)),T$2,)</f>
        <v>0</v>
      </c>
      <c r="U84" s="179">
        <f ca="1">IF(ISNUMBER(MATCH(DATEVALUE($A84),'changes1_based on steps'!U$1:U$400,0)),U$2,)</f>
        <v>0</v>
      </c>
      <c r="V84" s="179"/>
      <c r="W84" s="179"/>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row>
    <row r="85" spans="1:101" x14ac:dyDescent="0.2">
      <c r="A85" s="32" t="str">
        <f t="shared" ca="1" si="1"/>
        <v>2025-06-19</v>
      </c>
      <c r="B85" s="179">
        <f ca="1">IF(ISNUMBER(MATCH(DATEVALUE($A85),'changes1_based on steps'!B$1:B$400,0)),B$2,)</f>
        <v>0</v>
      </c>
      <c r="C85" s="179">
        <f ca="1">IF(ISNUMBER(MATCH(DATEVALUE($A85),'changes1_based on steps'!C$1:C$400,0)),C$2,)</f>
        <v>0</v>
      </c>
      <c r="D85" s="179">
        <f ca="1">IF(ISNUMBER(MATCH(DATEVALUE($A85),'changes1_based on steps'!D$1:D$400,0)),D$2,)</f>
        <v>0</v>
      </c>
      <c r="E85" s="179">
        <f ca="1">IF(ISNUMBER(MATCH(DATEVALUE($A85),'changes1_based on steps'!E$1:E$400,0)),E$2,)</f>
        <v>0</v>
      </c>
      <c r="F85" s="179">
        <f ca="1">IF(ISNUMBER(MATCH(DATEVALUE($A85),'changes1_based on steps'!F$1:F$400,0)),F$2,)</f>
        <v>0</v>
      </c>
      <c r="G85" s="179">
        <f ca="1">IF(ISNUMBER(MATCH(DATEVALUE($A85),'changes1_based on steps'!G$1:G$400,0)),G$2,)</f>
        <v>0</v>
      </c>
      <c r="H85" s="179">
        <f ca="1">IF(ISNUMBER(MATCH(DATEVALUE($A85),'changes1_based on steps'!H$1:H$400,0)),H$2,)</f>
        <v>0</v>
      </c>
      <c r="I85" s="179">
        <f ca="1">IF(ISNUMBER(MATCH(DATEVALUE($A85),'changes1_based on steps'!I$1:I$400,0)),I$2,)</f>
        <v>0</v>
      </c>
      <c r="J85" s="179">
        <f ca="1">IF(ISNUMBER(MATCH(DATEVALUE($A85),'changes1_based on steps'!J$1:J$400,0)),J$2,)</f>
        <v>0</v>
      </c>
      <c r="K85" s="179">
        <f ca="1">IF(ISNUMBER(MATCH(DATEVALUE($A85),'changes1_based on steps'!K$1:K$400,0)),K$2,)</f>
        <v>0</v>
      </c>
      <c r="L85" s="179">
        <f ca="1">IF(ISNUMBER(MATCH(DATEVALUE($A85),'changes1_based on steps'!L$1:L$400,0)),L$2,)</f>
        <v>0</v>
      </c>
      <c r="M85" s="179">
        <f ca="1">IF(ISNUMBER(MATCH(DATEVALUE($A85),'changes1_based on steps'!M$1:M$400,0)),M$2,)</f>
        <v>0</v>
      </c>
      <c r="N85" s="179">
        <f ca="1">IF(ISNUMBER(MATCH(DATEVALUE($A85),'changes1_based on steps'!N$1:N$400,0)),N$2,)</f>
        <v>0</v>
      </c>
      <c r="O85" s="179">
        <f ca="1">IF(ISNUMBER(MATCH(DATEVALUE($A85),'changes1_based on steps'!O$1:O$400,0)),O$2,)</f>
        <v>0</v>
      </c>
      <c r="P85" s="179">
        <f ca="1">IF(ISNUMBER(MATCH(DATEVALUE($A85),'changes1_based on steps'!P$1:P$400,0)),P$2,)</f>
        <v>0</v>
      </c>
      <c r="Q85" s="179">
        <f ca="1">IF(ISNUMBER(MATCH(DATEVALUE($A85),'changes1_based on steps'!Q$1:Q$400,0)),Q$2,)</f>
        <v>0</v>
      </c>
      <c r="R85" s="179">
        <f ca="1">IF(ISNUMBER(MATCH(DATEVALUE($A85),'changes1_based on steps'!R$1:R$400,0)),R$2,)</f>
        <v>0</v>
      </c>
      <c r="S85" s="179">
        <f ca="1">IF(ISNUMBER(MATCH(DATEVALUE($A85),'changes1_based on steps'!S$1:S$400,0)),S$2,)</f>
        <v>0</v>
      </c>
      <c r="T85" s="179">
        <f ca="1">IF(ISNUMBER(MATCH(DATEVALUE($A85),'changes1_based on steps'!T$1:T$400,0)),T$2,)</f>
        <v>0</v>
      </c>
      <c r="U85" s="179">
        <f ca="1">IF(ISNUMBER(MATCH(DATEVALUE($A85),'changes1_based on steps'!U$1:U$400,0)),U$2,)</f>
        <v>0</v>
      </c>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row>
    <row r="86" spans="1:101" x14ac:dyDescent="0.2">
      <c r="A86" s="32" t="str">
        <f t="shared" ca="1" si="1"/>
        <v>2025-06-20</v>
      </c>
      <c r="B86" s="179">
        <f ca="1">IF(ISNUMBER(MATCH(DATEVALUE($A86),'changes1_based on steps'!B$1:B$400,0)),B$2,)</f>
        <v>0</v>
      </c>
      <c r="C86" s="179">
        <f ca="1">IF(ISNUMBER(MATCH(DATEVALUE($A86),'changes1_based on steps'!C$1:C$400,0)),C$2,)</f>
        <v>0</v>
      </c>
      <c r="D86" s="179">
        <f ca="1">IF(ISNUMBER(MATCH(DATEVALUE($A86),'changes1_based on steps'!D$1:D$400,0)),D$2,)</f>
        <v>0</v>
      </c>
      <c r="E86" s="179">
        <f ca="1">IF(ISNUMBER(MATCH(DATEVALUE($A86),'changes1_based on steps'!E$1:E$400,0)),E$2,)</f>
        <v>0</v>
      </c>
      <c r="F86" s="179">
        <f ca="1">IF(ISNUMBER(MATCH(DATEVALUE($A86),'changes1_based on steps'!F$1:F$400,0)),F$2,)</f>
        <v>0</v>
      </c>
      <c r="G86" s="179">
        <f ca="1">IF(ISNUMBER(MATCH(DATEVALUE($A86),'changes1_based on steps'!G$1:G$400,0)),G$2,)</f>
        <v>0</v>
      </c>
      <c r="H86" s="179">
        <f ca="1">IF(ISNUMBER(MATCH(DATEVALUE($A86),'changes1_based on steps'!H$1:H$400,0)),H$2,)</f>
        <v>0</v>
      </c>
      <c r="I86" s="179">
        <f ca="1">IF(ISNUMBER(MATCH(DATEVALUE($A86),'changes1_based on steps'!I$1:I$400,0)),I$2,)</f>
        <v>0</v>
      </c>
      <c r="J86" s="179">
        <f ca="1">IF(ISNUMBER(MATCH(DATEVALUE($A86),'changes1_based on steps'!J$1:J$400,0)),J$2,)</f>
        <v>0</v>
      </c>
      <c r="K86" s="179">
        <f ca="1">IF(ISNUMBER(MATCH(DATEVALUE($A86),'changes1_based on steps'!K$1:K$400,0)),K$2,)</f>
        <v>0</v>
      </c>
      <c r="L86" s="179">
        <f ca="1">IF(ISNUMBER(MATCH(DATEVALUE($A86),'changes1_based on steps'!L$1:L$400,0)),L$2,)</f>
        <v>0</v>
      </c>
      <c r="M86" s="179">
        <f ca="1">IF(ISNUMBER(MATCH(DATEVALUE($A86),'changes1_based on steps'!M$1:M$400,0)),M$2,)</f>
        <v>0</v>
      </c>
      <c r="N86" s="179">
        <f ca="1">IF(ISNUMBER(MATCH(DATEVALUE($A86),'changes1_based on steps'!N$1:N$400,0)),N$2,)</f>
        <v>0</v>
      </c>
      <c r="O86" s="179">
        <f ca="1">IF(ISNUMBER(MATCH(DATEVALUE($A86),'changes1_based on steps'!O$1:O$400,0)),O$2,)</f>
        <v>0</v>
      </c>
      <c r="P86" s="179">
        <f ca="1">IF(ISNUMBER(MATCH(DATEVALUE($A86),'changes1_based on steps'!P$1:P$400,0)),P$2,)</f>
        <v>0</v>
      </c>
      <c r="Q86" s="179">
        <f ca="1">IF(ISNUMBER(MATCH(DATEVALUE($A86),'changes1_based on steps'!Q$1:Q$400,0)),Q$2,)</f>
        <v>0</v>
      </c>
      <c r="R86" s="179">
        <f ca="1">IF(ISNUMBER(MATCH(DATEVALUE($A86),'changes1_based on steps'!R$1:R$400,0)),R$2,)</f>
        <v>0</v>
      </c>
      <c r="S86" s="179">
        <f ca="1">IF(ISNUMBER(MATCH(DATEVALUE($A86),'changes1_based on steps'!S$1:S$400,0)),S$2,)</f>
        <v>0</v>
      </c>
      <c r="T86" s="179">
        <f ca="1">IF(ISNUMBER(MATCH(DATEVALUE($A86),'changes1_based on steps'!T$1:T$400,0)),T$2,)</f>
        <v>0</v>
      </c>
      <c r="U86" s="179">
        <f ca="1">IF(ISNUMBER(MATCH(DATEVALUE($A86),'changes1_based on steps'!U$1:U$400,0)),U$2,)</f>
        <v>0</v>
      </c>
      <c r="V86" s="179"/>
      <c r="W86" s="179"/>
      <c r="X86" s="179"/>
      <c r="Y86" s="179"/>
      <c r="Z86" s="179"/>
      <c r="AA86" s="179"/>
      <c r="AB86" s="179"/>
      <c r="AC86" s="179"/>
      <c r="AD86" s="179"/>
      <c r="AE86" s="179"/>
      <c r="AF86" s="179"/>
      <c r="AG86" s="179"/>
      <c r="AH86" s="179"/>
      <c r="AI86" s="179"/>
      <c r="AJ86" s="179"/>
      <c r="AK86" s="179"/>
      <c r="AL86" s="179"/>
      <c r="AM86" s="179"/>
      <c r="AN86" s="179"/>
      <c r="AO86" s="179"/>
      <c r="AP86" s="179"/>
      <c r="AQ86" s="179"/>
      <c r="AR86" s="179"/>
      <c r="AS86" s="179"/>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row>
    <row r="87" spans="1:101" x14ac:dyDescent="0.2">
      <c r="A87" s="32" t="str">
        <f t="shared" ca="1" si="1"/>
        <v>2025-06-21</v>
      </c>
      <c r="B87" s="179">
        <f ca="1">IF(ISNUMBER(MATCH(DATEVALUE($A87),'changes1_based on steps'!B$1:B$400,0)),B$2,)</f>
        <v>0</v>
      </c>
      <c r="C87" s="179">
        <f ca="1">IF(ISNUMBER(MATCH(DATEVALUE($A87),'changes1_based on steps'!C$1:C$400,0)),C$2,)</f>
        <v>0</v>
      </c>
      <c r="D87" s="179">
        <f ca="1">IF(ISNUMBER(MATCH(DATEVALUE($A87),'changes1_based on steps'!D$1:D$400,0)),D$2,)</f>
        <v>0</v>
      </c>
      <c r="E87" s="179">
        <f ca="1">IF(ISNUMBER(MATCH(DATEVALUE($A87),'changes1_based on steps'!E$1:E$400,0)),E$2,)</f>
        <v>0</v>
      </c>
      <c r="F87" s="179">
        <f ca="1">IF(ISNUMBER(MATCH(DATEVALUE($A87),'changes1_based on steps'!F$1:F$400,0)),F$2,)</f>
        <v>0</v>
      </c>
      <c r="G87" s="179">
        <f ca="1">IF(ISNUMBER(MATCH(DATEVALUE($A87),'changes1_based on steps'!G$1:G$400,0)),G$2,)</f>
        <v>0</v>
      </c>
      <c r="H87" s="179">
        <f ca="1">IF(ISNUMBER(MATCH(DATEVALUE($A87),'changes1_based on steps'!H$1:H$400,0)),H$2,)</f>
        <v>0</v>
      </c>
      <c r="I87" s="179">
        <f ca="1">IF(ISNUMBER(MATCH(DATEVALUE($A87),'changes1_based on steps'!I$1:I$400,0)),I$2,)</f>
        <v>0</v>
      </c>
      <c r="J87" s="179">
        <f ca="1">IF(ISNUMBER(MATCH(DATEVALUE($A87),'changes1_based on steps'!J$1:J$400,0)),J$2,)</f>
        <v>0</v>
      </c>
      <c r="K87" s="179">
        <f ca="1">IF(ISNUMBER(MATCH(DATEVALUE($A87),'changes1_based on steps'!K$1:K$400,0)),K$2,)</f>
        <v>0</v>
      </c>
      <c r="L87" s="179">
        <f ca="1">IF(ISNUMBER(MATCH(DATEVALUE($A87),'changes1_based on steps'!L$1:L$400,0)),L$2,)</f>
        <v>0</v>
      </c>
      <c r="M87" s="179">
        <f ca="1">IF(ISNUMBER(MATCH(DATEVALUE($A87),'changes1_based on steps'!M$1:M$400,0)),M$2,)</f>
        <v>0</v>
      </c>
      <c r="N87" s="179">
        <f ca="1">IF(ISNUMBER(MATCH(DATEVALUE($A87),'changes1_based on steps'!N$1:N$400,0)),N$2,)</f>
        <v>0</v>
      </c>
      <c r="O87" s="179">
        <f ca="1">IF(ISNUMBER(MATCH(DATEVALUE($A87),'changes1_based on steps'!O$1:O$400,0)),O$2,)</f>
        <v>0</v>
      </c>
      <c r="P87" s="179">
        <f ca="1">IF(ISNUMBER(MATCH(DATEVALUE($A87),'changes1_based on steps'!P$1:P$400,0)),P$2,)</f>
        <v>0</v>
      </c>
      <c r="Q87" s="179">
        <f ca="1">IF(ISNUMBER(MATCH(DATEVALUE($A87),'changes1_based on steps'!Q$1:Q$400,0)),Q$2,)</f>
        <v>0</v>
      </c>
      <c r="R87" s="179">
        <f ca="1">IF(ISNUMBER(MATCH(DATEVALUE($A87),'changes1_based on steps'!R$1:R$400,0)),R$2,)</f>
        <v>0</v>
      </c>
      <c r="S87" s="179">
        <f ca="1">IF(ISNUMBER(MATCH(DATEVALUE($A87),'changes1_based on steps'!S$1:S$400,0)),S$2,)</f>
        <v>0</v>
      </c>
      <c r="T87" s="179">
        <f ca="1">IF(ISNUMBER(MATCH(DATEVALUE($A87),'changes1_based on steps'!T$1:T$400,0)),T$2,)</f>
        <v>0</v>
      </c>
      <c r="U87" s="179">
        <f ca="1">IF(ISNUMBER(MATCH(DATEVALUE($A87),'changes1_based on steps'!U$1:U$400,0)),U$2,)</f>
        <v>0</v>
      </c>
      <c r="V87" s="179"/>
      <c r="W87" s="179"/>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c r="AT87" s="179"/>
      <c r="AU87" s="179"/>
      <c r="AV87" s="179"/>
      <c r="AW87" s="179"/>
      <c r="AX87" s="179"/>
      <c r="AY87" s="179"/>
      <c r="AZ87" s="179"/>
      <c r="BA87" s="179"/>
      <c r="BB87" s="179"/>
      <c r="BC87" s="179"/>
      <c r="BD87" s="179"/>
      <c r="BE87" s="179"/>
      <c r="BF87" s="179"/>
      <c r="BG87" s="179"/>
      <c r="BH87" s="179"/>
      <c r="BI87" s="179"/>
      <c r="BJ87" s="179"/>
      <c r="BK87" s="179"/>
      <c r="BL87" s="179"/>
      <c r="BM87" s="179"/>
      <c r="BN87" s="179"/>
      <c r="BO87" s="179"/>
      <c r="BP87" s="179"/>
      <c r="BQ87" s="179"/>
      <c r="BR87" s="179"/>
      <c r="BS87" s="179"/>
      <c r="BT87" s="179"/>
      <c r="BU87" s="179"/>
      <c r="BV87" s="179"/>
      <c r="BW87" s="179"/>
      <c r="BX87" s="179"/>
      <c r="BY87" s="179"/>
      <c r="BZ87" s="179"/>
      <c r="CA87" s="179"/>
      <c r="CB87" s="179"/>
      <c r="CC87" s="179"/>
      <c r="CD87" s="179"/>
      <c r="CE87" s="179"/>
      <c r="CF87" s="179"/>
      <c r="CG87" s="179"/>
      <c r="CH87" s="179"/>
      <c r="CI87" s="179"/>
      <c r="CJ87" s="179"/>
      <c r="CK87" s="179"/>
      <c r="CL87" s="179"/>
      <c r="CM87" s="179"/>
      <c r="CN87" s="179"/>
      <c r="CO87" s="179"/>
      <c r="CP87" s="179"/>
      <c r="CQ87" s="179"/>
      <c r="CR87" s="179"/>
      <c r="CS87" s="179"/>
      <c r="CT87" s="179"/>
      <c r="CU87" s="179"/>
      <c r="CV87" s="179"/>
      <c r="CW87" s="179"/>
    </row>
    <row r="88" spans="1:101" x14ac:dyDescent="0.2">
      <c r="A88" s="32" t="str">
        <f t="shared" ca="1" si="1"/>
        <v>2025-06-22</v>
      </c>
      <c r="B88" s="179">
        <f ca="1">IF(ISNUMBER(MATCH(DATEVALUE($A88),'changes1_based on steps'!B$1:B$400,0)),B$2,)</f>
        <v>0</v>
      </c>
      <c r="C88" s="179">
        <f ca="1">IF(ISNUMBER(MATCH(DATEVALUE($A88),'changes1_based on steps'!C$1:C$400,0)),C$2,)</f>
        <v>0</v>
      </c>
      <c r="D88" s="179">
        <f ca="1">IF(ISNUMBER(MATCH(DATEVALUE($A88),'changes1_based on steps'!D$1:D$400,0)),D$2,)</f>
        <v>0</v>
      </c>
      <c r="E88" s="179">
        <f ca="1">IF(ISNUMBER(MATCH(DATEVALUE($A88),'changes1_based on steps'!E$1:E$400,0)),E$2,)</f>
        <v>0</v>
      </c>
      <c r="F88" s="179">
        <f ca="1">IF(ISNUMBER(MATCH(DATEVALUE($A88),'changes1_based on steps'!F$1:F$400,0)),F$2,)</f>
        <v>0</v>
      </c>
      <c r="G88" s="179">
        <f ca="1">IF(ISNUMBER(MATCH(DATEVALUE($A88),'changes1_based on steps'!G$1:G$400,0)),G$2,)</f>
        <v>0</v>
      </c>
      <c r="H88" s="179">
        <f ca="1">IF(ISNUMBER(MATCH(DATEVALUE($A88),'changes1_based on steps'!H$1:H$400,0)),H$2,)</f>
        <v>0</v>
      </c>
      <c r="I88" s="179">
        <f ca="1">IF(ISNUMBER(MATCH(DATEVALUE($A88),'changes1_based on steps'!I$1:I$400,0)),I$2,)</f>
        <v>0</v>
      </c>
      <c r="J88" s="179">
        <f ca="1">IF(ISNUMBER(MATCH(DATEVALUE($A88),'changes1_based on steps'!J$1:J$400,0)),J$2,)</f>
        <v>0</v>
      </c>
      <c r="K88" s="179">
        <f ca="1">IF(ISNUMBER(MATCH(DATEVALUE($A88),'changes1_based on steps'!K$1:K$400,0)),K$2,)</f>
        <v>0</v>
      </c>
      <c r="L88" s="179">
        <f ca="1">IF(ISNUMBER(MATCH(DATEVALUE($A88),'changes1_based on steps'!L$1:L$400,0)),L$2,)</f>
        <v>0</v>
      </c>
      <c r="M88" s="179">
        <f ca="1">IF(ISNUMBER(MATCH(DATEVALUE($A88),'changes1_based on steps'!M$1:M$400,0)),M$2,)</f>
        <v>0</v>
      </c>
      <c r="N88" s="179">
        <f ca="1">IF(ISNUMBER(MATCH(DATEVALUE($A88),'changes1_based on steps'!N$1:N$400,0)),N$2,)</f>
        <v>0</v>
      </c>
      <c r="O88" s="179">
        <f ca="1">IF(ISNUMBER(MATCH(DATEVALUE($A88),'changes1_based on steps'!O$1:O$400,0)),O$2,)</f>
        <v>0</v>
      </c>
      <c r="P88" s="179">
        <f ca="1">IF(ISNUMBER(MATCH(DATEVALUE($A88),'changes1_based on steps'!P$1:P$400,0)),P$2,)</f>
        <v>0</v>
      </c>
      <c r="Q88" s="179">
        <f ca="1">IF(ISNUMBER(MATCH(DATEVALUE($A88),'changes1_based on steps'!Q$1:Q$400,0)),Q$2,)</f>
        <v>0</v>
      </c>
      <c r="R88" s="179">
        <f ca="1">IF(ISNUMBER(MATCH(DATEVALUE($A88),'changes1_based on steps'!R$1:R$400,0)),R$2,)</f>
        <v>0</v>
      </c>
      <c r="S88" s="179">
        <f ca="1">IF(ISNUMBER(MATCH(DATEVALUE($A88),'changes1_based on steps'!S$1:S$400,0)),S$2,)</f>
        <v>0</v>
      </c>
      <c r="T88" s="179">
        <f ca="1">IF(ISNUMBER(MATCH(DATEVALUE($A88),'changes1_based on steps'!T$1:T$400,0)),T$2,)</f>
        <v>0</v>
      </c>
      <c r="U88" s="179">
        <f ca="1">IF(ISNUMBER(MATCH(DATEVALUE($A88),'changes1_based on steps'!U$1:U$400,0)),U$2,)</f>
        <v>0</v>
      </c>
      <c r="V88" s="179"/>
      <c r="W88" s="179"/>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row>
    <row r="89" spans="1:101" x14ac:dyDescent="0.2">
      <c r="A89" s="32" t="str">
        <f t="shared" ca="1" si="1"/>
        <v>2025-06-23</v>
      </c>
      <c r="B89" s="179">
        <f ca="1">IF(ISNUMBER(MATCH(DATEVALUE($A89),'changes1_based on steps'!B$1:B$400,0)),B$2,)</f>
        <v>0</v>
      </c>
      <c r="C89" s="179">
        <f ca="1">IF(ISNUMBER(MATCH(DATEVALUE($A89),'changes1_based on steps'!C$1:C$400,0)),C$2,)</f>
        <v>0</v>
      </c>
      <c r="D89" s="179">
        <f ca="1">IF(ISNUMBER(MATCH(DATEVALUE($A89),'changes1_based on steps'!D$1:D$400,0)),D$2,)</f>
        <v>0</v>
      </c>
      <c r="E89" s="179">
        <f ca="1">IF(ISNUMBER(MATCH(DATEVALUE($A89),'changes1_based on steps'!E$1:E$400,0)),E$2,)</f>
        <v>0</v>
      </c>
      <c r="F89" s="179">
        <f ca="1">IF(ISNUMBER(MATCH(DATEVALUE($A89),'changes1_based on steps'!F$1:F$400,0)),F$2,)</f>
        <v>0</v>
      </c>
      <c r="G89" s="179">
        <f ca="1">IF(ISNUMBER(MATCH(DATEVALUE($A89),'changes1_based on steps'!G$1:G$400,0)),G$2,)</f>
        <v>0</v>
      </c>
      <c r="H89" s="179">
        <f ca="1">IF(ISNUMBER(MATCH(DATEVALUE($A89),'changes1_based on steps'!H$1:H$400,0)),H$2,)</f>
        <v>0</v>
      </c>
      <c r="I89" s="179">
        <f ca="1">IF(ISNUMBER(MATCH(DATEVALUE($A89),'changes1_based on steps'!I$1:I$400,0)),I$2,)</f>
        <v>0</v>
      </c>
      <c r="J89" s="179">
        <f ca="1">IF(ISNUMBER(MATCH(DATEVALUE($A89),'changes1_based on steps'!J$1:J$400,0)),J$2,)</f>
        <v>0</v>
      </c>
      <c r="K89" s="179">
        <f ca="1">IF(ISNUMBER(MATCH(DATEVALUE($A89),'changes1_based on steps'!K$1:K$400,0)),K$2,)</f>
        <v>0</v>
      </c>
      <c r="L89" s="179">
        <f ca="1">IF(ISNUMBER(MATCH(DATEVALUE($A89),'changes1_based on steps'!L$1:L$400,0)),L$2,)</f>
        <v>0</v>
      </c>
      <c r="M89" s="179">
        <f ca="1">IF(ISNUMBER(MATCH(DATEVALUE($A89),'changes1_based on steps'!M$1:M$400,0)),M$2,)</f>
        <v>0</v>
      </c>
      <c r="N89" s="179">
        <f ca="1">IF(ISNUMBER(MATCH(DATEVALUE($A89),'changes1_based on steps'!N$1:N$400,0)),N$2,)</f>
        <v>0</v>
      </c>
      <c r="O89" s="179">
        <f ca="1">IF(ISNUMBER(MATCH(DATEVALUE($A89),'changes1_based on steps'!O$1:O$400,0)),O$2,)</f>
        <v>0</v>
      </c>
      <c r="P89" s="179">
        <f ca="1">IF(ISNUMBER(MATCH(DATEVALUE($A89),'changes1_based on steps'!P$1:P$400,0)),P$2,)</f>
        <v>0</v>
      </c>
      <c r="Q89" s="179">
        <f ca="1">IF(ISNUMBER(MATCH(DATEVALUE($A89),'changes1_based on steps'!Q$1:Q$400,0)),Q$2,)</f>
        <v>0</v>
      </c>
      <c r="R89" s="179">
        <f ca="1">IF(ISNUMBER(MATCH(DATEVALUE($A89),'changes1_based on steps'!R$1:R$400,0)),R$2,)</f>
        <v>0</v>
      </c>
      <c r="S89" s="179">
        <f ca="1">IF(ISNUMBER(MATCH(DATEVALUE($A89),'changes1_based on steps'!S$1:S$400,0)),S$2,)</f>
        <v>0</v>
      </c>
      <c r="T89" s="179">
        <f ca="1">IF(ISNUMBER(MATCH(DATEVALUE($A89),'changes1_based on steps'!T$1:T$400,0)),T$2,)</f>
        <v>0</v>
      </c>
      <c r="U89" s="179">
        <f ca="1">IF(ISNUMBER(MATCH(DATEVALUE($A89),'changes1_based on steps'!U$1:U$400,0)),U$2,)</f>
        <v>0</v>
      </c>
      <c r="V89" s="179"/>
      <c r="W89" s="179"/>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row>
    <row r="90" spans="1:101" x14ac:dyDescent="0.2">
      <c r="A90" s="32" t="str">
        <f t="shared" ca="1" si="1"/>
        <v>2025-06-24</v>
      </c>
      <c r="B90" s="179">
        <f ca="1">IF(ISNUMBER(MATCH(DATEVALUE($A90),'changes1_based on steps'!B$1:B$400,0)),B$2,)</f>
        <v>0</v>
      </c>
      <c r="C90" s="179">
        <f ca="1">IF(ISNUMBER(MATCH(DATEVALUE($A90),'changes1_based on steps'!C$1:C$400,0)),C$2,)</f>
        <v>0</v>
      </c>
      <c r="D90" s="179">
        <f ca="1">IF(ISNUMBER(MATCH(DATEVALUE($A90),'changes1_based on steps'!D$1:D$400,0)),D$2,)</f>
        <v>0</v>
      </c>
      <c r="E90" s="179">
        <f ca="1">IF(ISNUMBER(MATCH(DATEVALUE($A90),'changes1_based on steps'!E$1:E$400,0)),E$2,)</f>
        <v>0</v>
      </c>
      <c r="F90" s="179">
        <f ca="1">IF(ISNUMBER(MATCH(DATEVALUE($A90),'changes1_based on steps'!F$1:F$400,0)),F$2,)</f>
        <v>0</v>
      </c>
      <c r="G90" s="179">
        <f ca="1">IF(ISNUMBER(MATCH(DATEVALUE($A90),'changes1_based on steps'!G$1:G$400,0)),G$2,)</f>
        <v>0</v>
      </c>
      <c r="H90" s="179">
        <f ca="1">IF(ISNUMBER(MATCH(DATEVALUE($A90),'changes1_based on steps'!H$1:H$400,0)),H$2,)</f>
        <v>0</v>
      </c>
      <c r="I90" s="179">
        <f ca="1">IF(ISNUMBER(MATCH(DATEVALUE($A90),'changes1_based on steps'!I$1:I$400,0)),I$2,)</f>
        <v>0</v>
      </c>
      <c r="J90" s="179">
        <f ca="1">IF(ISNUMBER(MATCH(DATEVALUE($A90),'changes1_based on steps'!J$1:J$400,0)),J$2,)</f>
        <v>0</v>
      </c>
      <c r="K90" s="179">
        <f ca="1">IF(ISNUMBER(MATCH(DATEVALUE($A90),'changes1_based on steps'!K$1:K$400,0)),K$2,)</f>
        <v>0</v>
      </c>
      <c r="L90" s="179">
        <f ca="1">IF(ISNUMBER(MATCH(DATEVALUE($A90),'changes1_based on steps'!L$1:L$400,0)),L$2,)</f>
        <v>0</v>
      </c>
      <c r="M90" s="179">
        <f ca="1">IF(ISNUMBER(MATCH(DATEVALUE($A90),'changes1_based on steps'!M$1:M$400,0)),M$2,)</f>
        <v>0</v>
      </c>
      <c r="N90" s="179">
        <f ca="1">IF(ISNUMBER(MATCH(DATEVALUE($A90),'changes1_based on steps'!N$1:N$400,0)),N$2,)</f>
        <v>0</v>
      </c>
      <c r="O90" s="179">
        <f ca="1">IF(ISNUMBER(MATCH(DATEVALUE($A90),'changes1_based on steps'!O$1:O$400,0)),O$2,)</f>
        <v>0</v>
      </c>
      <c r="P90" s="179">
        <f ca="1">IF(ISNUMBER(MATCH(DATEVALUE($A90),'changes1_based on steps'!P$1:P$400,0)),P$2,)</f>
        <v>0</v>
      </c>
      <c r="Q90" s="179">
        <f ca="1">IF(ISNUMBER(MATCH(DATEVALUE($A90),'changes1_based on steps'!Q$1:Q$400,0)),Q$2,)</f>
        <v>0</v>
      </c>
      <c r="R90" s="179">
        <f ca="1">IF(ISNUMBER(MATCH(DATEVALUE($A90),'changes1_based on steps'!R$1:R$400,0)),R$2,)</f>
        <v>0</v>
      </c>
      <c r="S90" s="179">
        <f ca="1">IF(ISNUMBER(MATCH(DATEVALUE($A90),'changes1_based on steps'!S$1:S$400,0)),S$2,)</f>
        <v>0</v>
      </c>
      <c r="T90" s="179">
        <f ca="1">IF(ISNUMBER(MATCH(DATEVALUE($A90),'changes1_based on steps'!T$1:T$400,0)),T$2,)</f>
        <v>0</v>
      </c>
      <c r="U90" s="179">
        <f ca="1">IF(ISNUMBER(MATCH(DATEVALUE($A90),'changes1_based on steps'!U$1:U$400,0)),U$2,)</f>
        <v>0</v>
      </c>
      <c r="V90" s="179"/>
      <c r="W90" s="179"/>
      <c r="X90" s="179"/>
      <c r="Y90" s="179"/>
      <c r="Z90" s="179"/>
      <c r="AA90" s="179"/>
      <c r="AB90" s="179"/>
      <c r="AC90" s="179"/>
      <c r="AD90" s="179"/>
      <c r="AE90" s="179"/>
      <c r="AF90" s="179"/>
      <c r="AG90" s="179"/>
      <c r="AH90" s="179"/>
      <c r="AI90" s="179"/>
      <c r="AJ90" s="179"/>
      <c r="AK90" s="179"/>
      <c r="AL90" s="179"/>
      <c r="AM90" s="179"/>
      <c r="AN90" s="179"/>
      <c r="AO90" s="179"/>
      <c r="AP90" s="179"/>
      <c r="AQ90" s="179"/>
      <c r="AR90" s="179"/>
      <c r="AS90" s="179"/>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row>
    <row r="91" spans="1:101" x14ac:dyDescent="0.2">
      <c r="A91" s="32" t="str">
        <f t="shared" ca="1" si="1"/>
        <v>2025-06-25</v>
      </c>
      <c r="B91" s="179">
        <f ca="1">IF(ISNUMBER(MATCH(DATEVALUE($A91),'changes1_based on steps'!B$1:B$400,0)),B$2,)</f>
        <v>0</v>
      </c>
      <c r="C91" s="179">
        <f ca="1">IF(ISNUMBER(MATCH(DATEVALUE($A91),'changes1_based on steps'!C$1:C$400,0)),C$2,)</f>
        <v>0</v>
      </c>
      <c r="D91" s="179">
        <f ca="1">IF(ISNUMBER(MATCH(DATEVALUE($A91),'changes1_based on steps'!D$1:D$400,0)),D$2,)</f>
        <v>0</v>
      </c>
      <c r="E91" s="179">
        <f ca="1">IF(ISNUMBER(MATCH(DATEVALUE($A91),'changes1_based on steps'!E$1:E$400,0)),E$2,)</f>
        <v>0</v>
      </c>
      <c r="F91" s="179">
        <f ca="1">IF(ISNUMBER(MATCH(DATEVALUE($A91),'changes1_based on steps'!F$1:F$400,0)),F$2,)</f>
        <v>0</v>
      </c>
      <c r="G91" s="179">
        <f ca="1">IF(ISNUMBER(MATCH(DATEVALUE($A91),'changes1_based on steps'!G$1:G$400,0)),G$2,)</f>
        <v>0</v>
      </c>
      <c r="H91" s="179">
        <f ca="1">IF(ISNUMBER(MATCH(DATEVALUE($A91),'changes1_based on steps'!H$1:H$400,0)),H$2,)</f>
        <v>0</v>
      </c>
      <c r="I91" s="179">
        <f ca="1">IF(ISNUMBER(MATCH(DATEVALUE($A91),'changes1_based on steps'!I$1:I$400,0)),I$2,)</f>
        <v>0</v>
      </c>
      <c r="J91" s="179">
        <f ca="1">IF(ISNUMBER(MATCH(DATEVALUE($A91),'changes1_based on steps'!J$1:J$400,0)),J$2,)</f>
        <v>0</v>
      </c>
      <c r="K91" s="179">
        <f ca="1">IF(ISNUMBER(MATCH(DATEVALUE($A91),'changes1_based on steps'!K$1:K$400,0)),K$2,)</f>
        <v>0</v>
      </c>
      <c r="L91" s="179">
        <f ca="1">IF(ISNUMBER(MATCH(DATEVALUE($A91),'changes1_based on steps'!L$1:L$400,0)),L$2,)</f>
        <v>0</v>
      </c>
      <c r="M91" s="179">
        <f ca="1">IF(ISNUMBER(MATCH(DATEVALUE($A91),'changes1_based on steps'!M$1:M$400,0)),M$2,)</f>
        <v>0</v>
      </c>
      <c r="N91" s="179">
        <f ca="1">IF(ISNUMBER(MATCH(DATEVALUE($A91),'changes1_based on steps'!N$1:N$400,0)),N$2,)</f>
        <v>0</v>
      </c>
      <c r="O91" s="179">
        <f ca="1">IF(ISNUMBER(MATCH(DATEVALUE($A91),'changes1_based on steps'!O$1:O$400,0)),O$2,)</f>
        <v>0</v>
      </c>
      <c r="P91" s="179">
        <f ca="1">IF(ISNUMBER(MATCH(DATEVALUE($A91),'changes1_based on steps'!P$1:P$400,0)),P$2,)</f>
        <v>0</v>
      </c>
      <c r="Q91" s="179">
        <f ca="1">IF(ISNUMBER(MATCH(DATEVALUE($A91),'changes1_based on steps'!Q$1:Q$400,0)),Q$2,)</f>
        <v>0</v>
      </c>
      <c r="R91" s="179">
        <f ca="1">IF(ISNUMBER(MATCH(DATEVALUE($A91),'changes1_based on steps'!R$1:R$400,0)),R$2,)</f>
        <v>0</v>
      </c>
      <c r="S91" s="179">
        <f ca="1">IF(ISNUMBER(MATCH(DATEVALUE($A91),'changes1_based on steps'!S$1:S$400,0)),S$2,)</f>
        <v>0</v>
      </c>
      <c r="T91" s="179">
        <f ca="1">IF(ISNUMBER(MATCH(DATEVALUE($A91),'changes1_based on steps'!T$1:T$400,0)),T$2,)</f>
        <v>0</v>
      </c>
      <c r="U91" s="179">
        <f ca="1">IF(ISNUMBER(MATCH(DATEVALUE($A91),'changes1_based on steps'!U$1:U$400,0)),U$2,)</f>
        <v>0</v>
      </c>
      <c r="V91" s="179"/>
      <c r="W91" s="179"/>
      <c r="X91" s="179"/>
      <c r="Y91" s="179"/>
      <c r="Z91" s="179"/>
      <c r="AA91" s="179"/>
      <c r="AB91" s="179"/>
      <c r="AC91" s="179"/>
      <c r="AD91" s="179"/>
      <c r="AE91" s="179"/>
      <c r="AF91" s="179"/>
      <c r="AG91" s="179"/>
      <c r="AH91" s="179"/>
      <c r="AI91" s="179"/>
      <c r="AJ91" s="179"/>
      <c r="AK91" s="179"/>
      <c r="AL91" s="179"/>
      <c r="AM91" s="179"/>
      <c r="AN91" s="179"/>
      <c r="AO91" s="179"/>
      <c r="AP91" s="179"/>
      <c r="AQ91" s="179"/>
      <c r="AR91" s="179"/>
      <c r="AS91" s="179"/>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row>
    <row r="92" spans="1:101" x14ac:dyDescent="0.2">
      <c r="A92" s="32" t="str">
        <f t="shared" ca="1" si="1"/>
        <v>2025-06-26</v>
      </c>
      <c r="B92" s="179">
        <f ca="1">IF(ISNUMBER(MATCH(DATEVALUE($A92),'changes1_based on steps'!B$1:B$400,0)),B$2,)</f>
        <v>0</v>
      </c>
      <c r="C92" s="179">
        <f ca="1">IF(ISNUMBER(MATCH(DATEVALUE($A92),'changes1_based on steps'!C$1:C$400,0)),C$2,)</f>
        <v>0</v>
      </c>
      <c r="D92" s="179">
        <f ca="1">IF(ISNUMBER(MATCH(DATEVALUE($A92),'changes1_based on steps'!D$1:D$400,0)),D$2,)</f>
        <v>0</v>
      </c>
      <c r="E92" s="179">
        <f ca="1">IF(ISNUMBER(MATCH(DATEVALUE($A92),'changes1_based on steps'!E$1:E$400,0)),E$2,)</f>
        <v>0</v>
      </c>
      <c r="F92" s="179">
        <f ca="1">IF(ISNUMBER(MATCH(DATEVALUE($A92),'changes1_based on steps'!F$1:F$400,0)),F$2,)</f>
        <v>0</v>
      </c>
      <c r="G92" s="179">
        <f ca="1">IF(ISNUMBER(MATCH(DATEVALUE($A92),'changes1_based on steps'!G$1:G$400,0)),G$2,)</f>
        <v>0</v>
      </c>
      <c r="H92" s="179">
        <f ca="1">IF(ISNUMBER(MATCH(DATEVALUE($A92),'changes1_based on steps'!H$1:H$400,0)),H$2,)</f>
        <v>0</v>
      </c>
      <c r="I92" s="179">
        <f ca="1">IF(ISNUMBER(MATCH(DATEVALUE($A92),'changes1_based on steps'!I$1:I$400,0)),I$2,)</f>
        <v>0</v>
      </c>
      <c r="J92" s="179">
        <f ca="1">IF(ISNUMBER(MATCH(DATEVALUE($A92),'changes1_based on steps'!J$1:J$400,0)),J$2,)</f>
        <v>0</v>
      </c>
      <c r="K92" s="179">
        <f ca="1">IF(ISNUMBER(MATCH(DATEVALUE($A92),'changes1_based on steps'!K$1:K$400,0)),K$2,)</f>
        <v>0</v>
      </c>
      <c r="L92" s="179">
        <f ca="1">IF(ISNUMBER(MATCH(DATEVALUE($A92),'changes1_based on steps'!L$1:L$400,0)),L$2,)</f>
        <v>0</v>
      </c>
      <c r="M92" s="179">
        <f ca="1">IF(ISNUMBER(MATCH(DATEVALUE($A92),'changes1_based on steps'!M$1:M$400,0)),M$2,)</f>
        <v>0</v>
      </c>
      <c r="N92" s="179">
        <f ca="1">IF(ISNUMBER(MATCH(DATEVALUE($A92),'changes1_based on steps'!N$1:N$400,0)),N$2,)</f>
        <v>0</v>
      </c>
      <c r="O92" s="179">
        <f ca="1">IF(ISNUMBER(MATCH(DATEVALUE($A92),'changes1_based on steps'!O$1:O$400,0)),O$2,)</f>
        <v>0</v>
      </c>
      <c r="P92" s="179">
        <f ca="1">IF(ISNUMBER(MATCH(DATEVALUE($A92),'changes1_based on steps'!P$1:P$400,0)),P$2,)</f>
        <v>0</v>
      </c>
      <c r="Q92" s="179">
        <f ca="1">IF(ISNUMBER(MATCH(DATEVALUE($A92),'changes1_based on steps'!Q$1:Q$400,0)),Q$2,)</f>
        <v>0</v>
      </c>
      <c r="R92" s="179">
        <f ca="1">IF(ISNUMBER(MATCH(DATEVALUE($A92),'changes1_based on steps'!R$1:R$400,0)),R$2,)</f>
        <v>0</v>
      </c>
      <c r="S92" s="179">
        <f ca="1">IF(ISNUMBER(MATCH(DATEVALUE($A92),'changes1_based on steps'!S$1:S$400,0)),S$2,)</f>
        <v>0</v>
      </c>
      <c r="T92" s="179">
        <f ca="1">IF(ISNUMBER(MATCH(DATEVALUE($A92),'changes1_based on steps'!T$1:T$400,0)),T$2,)</f>
        <v>0</v>
      </c>
      <c r="U92" s="179">
        <f ca="1">IF(ISNUMBER(MATCH(DATEVALUE($A92),'changes1_based on steps'!U$1:U$400,0)),U$2,)</f>
        <v>0</v>
      </c>
      <c r="V92" s="179"/>
      <c r="W92" s="179"/>
      <c r="X92" s="179"/>
      <c r="Y92" s="179"/>
      <c r="Z92" s="179"/>
      <c r="AA92" s="179"/>
      <c r="AB92" s="179"/>
      <c r="AC92" s="179"/>
      <c r="AD92" s="179"/>
      <c r="AE92" s="179"/>
      <c r="AF92" s="179"/>
      <c r="AG92" s="179"/>
      <c r="AH92" s="179"/>
      <c r="AI92" s="179"/>
      <c r="AJ92" s="179"/>
      <c r="AK92" s="179"/>
      <c r="AL92" s="179"/>
      <c r="AM92" s="179"/>
      <c r="AN92" s="179"/>
      <c r="AO92" s="179"/>
      <c r="AP92" s="179"/>
      <c r="AQ92" s="179"/>
      <c r="AR92" s="179"/>
      <c r="AS92" s="179"/>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row>
    <row r="93" spans="1:101" x14ac:dyDescent="0.2">
      <c r="A93" s="32" t="str">
        <f t="shared" ca="1" si="1"/>
        <v>2025-06-27</v>
      </c>
      <c r="B93" s="179">
        <f ca="1">IF(ISNUMBER(MATCH(DATEVALUE($A93),'changes1_based on steps'!B$1:B$400,0)),B$2,)</f>
        <v>0</v>
      </c>
      <c r="C93" s="179">
        <f ca="1">IF(ISNUMBER(MATCH(DATEVALUE($A93),'changes1_based on steps'!C$1:C$400,0)),C$2,)</f>
        <v>0</v>
      </c>
      <c r="D93" s="179">
        <f ca="1">IF(ISNUMBER(MATCH(DATEVALUE($A93),'changes1_based on steps'!D$1:D$400,0)),D$2,)</f>
        <v>0</v>
      </c>
      <c r="E93" s="179">
        <f ca="1">IF(ISNUMBER(MATCH(DATEVALUE($A93),'changes1_based on steps'!E$1:E$400,0)),E$2,)</f>
        <v>0</v>
      </c>
      <c r="F93" s="179">
        <f ca="1">IF(ISNUMBER(MATCH(DATEVALUE($A93),'changes1_based on steps'!F$1:F$400,0)),F$2,)</f>
        <v>0</v>
      </c>
      <c r="G93" s="179">
        <f ca="1">IF(ISNUMBER(MATCH(DATEVALUE($A93),'changes1_based on steps'!G$1:G$400,0)),G$2,)</f>
        <v>0</v>
      </c>
      <c r="H93" s="179">
        <f ca="1">IF(ISNUMBER(MATCH(DATEVALUE($A93),'changes1_based on steps'!H$1:H$400,0)),H$2,)</f>
        <v>0</v>
      </c>
      <c r="I93" s="179">
        <f ca="1">IF(ISNUMBER(MATCH(DATEVALUE($A93),'changes1_based on steps'!I$1:I$400,0)),I$2,)</f>
        <v>0</v>
      </c>
      <c r="J93" s="179">
        <f ca="1">IF(ISNUMBER(MATCH(DATEVALUE($A93),'changes1_based on steps'!J$1:J$400,0)),J$2,)</f>
        <v>0</v>
      </c>
      <c r="K93" s="179">
        <f ca="1">IF(ISNUMBER(MATCH(DATEVALUE($A93),'changes1_based on steps'!K$1:K$400,0)),K$2,)</f>
        <v>0</v>
      </c>
      <c r="L93" s="179">
        <f ca="1">IF(ISNUMBER(MATCH(DATEVALUE($A93),'changes1_based on steps'!L$1:L$400,0)),L$2,)</f>
        <v>0</v>
      </c>
      <c r="M93" s="179">
        <f ca="1">IF(ISNUMBER(MATCH(DATEVALUE($A93),'changes1_based on steps'!M$1:M$400,0)),M$2,)</f>
        <v>0</v>
      </c>
      <c r="N93" s="179">
        <f ca="1">IF(ISNUMBER(MATCH(DATEVALUE($A93),'changes1_based on steps'!N$1:N$400,0)),N$2,)</f>
        <v>0</v>
      </c>
      <c r="O93" s="179">
        <f ca="1">IF(ISNUMBER(MATCH(DATEVALUE($A93),'changes1_based on steps'!O$1:O$400,0)),O$2,)</f>
        <v>0</v>
      </c>
      <c r="P93" s="179">
        <f ca="1">IF(ISNUMBER(MATCH(DATEVALUE($A93),'changes1_based on steps'!P$1:P$400,0)),P$2,)</f>
        <v>0</v>
      </c>
      <c r="Q93" s="179">
        <f ca="1">IF(ISNUMBER(MATCH(DATEVALUE($A93),'changes1_based on steps'!Q$1:Q$400,0)),Q$2,)</f>
        <v>0</v>
      </c>
      <c r="R93" s="179">
        <f ca="1">IF(ISNUMBER(MATCH(DATEVALUE($A93),'changes1_based on steps'!R$1:R$400,0)),R$2,)</f>
        <v>0</v>
      </c>
      <c r="S93" s="179">
        <f ca="1">IF(ISNUMBER(MATCH(DATEVALUE($A93),'changes1_based on steps'!S$1:S$400,0)),S$2,)</f>
        <v>0</v>
      </c>
      <c r="T93" s="179">
        <f ca="1">IF(ISNUMBER(MATCH(DATEVALUE($A93),'changes1_based on steps'!T$1:T$400,0)),T$2,)</f>
        <v>0</v>
      </c>
      <c r="U93" s="179">
        <f ca="1">IF(ISNUMBER(MATCH(DATEVALUE($A93),'changes1_based on steps'!U$1:U$400,0)),U$2,)</f>
        <v>0</v>
      </c>
      <c r="V93" s="179"/>
      <c r="W93" s="179"/>
      <c r="X93" s="179"/>
      <c r="Y93" s="179"/>
      <c r="Z93" s="179"/>
      <c r="AA93" s="179"/>
      <c r="AB93" s="179"/>
      <c r="AC93" s="179"/>
      <c r="AD93" s="179"/>
      <c r="AE93" s="179"/>
      <c r="AF93" s="179"/>
      <c r="AG93" s="179"/>
      <c r="AH93" s="179"/>
      <c r="AI93" s="179"/>
      <c r="AJ93" s="179"/>
      <c r="AK93" s="179"/>
      <c r="AL93" s="179"/>
      <c r="AM93" s="179"/>
      <c r="AN93" s="179"/>
      <c r="AO93" s="179"/>
      <c r="AP93" s="179"/>
      <c r="AQ93" s="179"/>
      <c r="AR93" s="179"/>
      <c r="AS93" s="179"/>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row>
    <row r="94" spans="1:101" x14ac:dyDescent="0.2">
      <c r="A94" s="32" t="str">
        <f t="shared" ca="1" si="1"/>
        <v>2025-06-28</v>
      </c>
      <c r="B94" s="179">
        <f ca="1">IF(ISNUMBER(MATCH(DATEVALUE($A94),'changes1_based on steps'!B$1:B$400,0)),B$2,)</f>
        <v>0</v>
      </c>
      <c r="C94" s="179">
        <f ca="1">IF(ISNUMBER(MATCH(DATEVALUE($A94),'changes1_based on steps'!C$1:C$400,0)),C$2,)</f>
        <v>0</v>
      </c>
      <c r="D94" s="179">
        <f ca="1">IF(ISNUMBER(MATCH(DATEVALUE($A94),'changes1_based on steps'!D$1:D$400,0)),D$2,)</f>
        <v>0</v>
      </c>
      <c r="E94" s="179">
        <f ca="1">IF(ISNUMBER(MATCH(DATEVALUE($A94),'changes1_based on steps'!E$1:E$400,0)),E$2,)</f>
        <v>0</v>
      </c>
      <c r="F94" s="179">
        <f ca="1">IF(ISNUMBER(MATCH(DATEVALUE($A94),'changes1_based on steps'!F$1:F$400,0)),F$2,)</f>
        <v>0</v>
      </c>
      <c r="G94" s="179">
        <f ca="1">IF(ISNUMBER(MATCH(DATEVALUE($A94),'changes1_based on steps'!G$1:G$400,0)),G$2,)</f>
        <v>0</v>
      </c>
      <c r="H94" s="179">
        <f ca="1">IF(ISNUMBER(MATCH(DATEVALUE($A94),'changes1_based on steps'!H$1:H$400,0)),H$2,)</f>
        <v>0</v>
      </c>
      <c r="I94" s="179">
        <f ca="1">IF(ISNUMBER(MATCH(DATEVALUE($A94),'changes1_based on steps'!I$1:I$400,0)),I$2,)</f>
        <v>0</v>
      </c>
      <c r="J94" s="179">
        <f ca="1">IF(ISNUMBER(MATCH(DATEVALUE($A94),'changes1_based on steps'!J$1:J$400,0)),J$2,)</f>
        <v>0</v>
      </c>
      <c r="K94" s="179">
        <f ca="1">IF(ISNUMBER(MATCH(DATEVALUE($A94),'changes1_based on steps'!K$1:K$400,0)),K$2,)</f>
        <v>0</v>
      </c>
      <c r="L94" s="179">
        <f ca="1">IF(ISNUMBER(MATCH(DATEVALUE($A94),'changes1_based on steps'!L$1:L$400,0)),L$2,)</f>
        <v>0</v>
      </c>
      <c r="M94" s="179">
        <f ca="1">IF(ISNUMBER(MATCH(DATEVALUE($A94),'changes1_based on steps'!M$1:M$400,0)),M$2,)</f>
        <v>0</v>
      </c>
      <c r="N94" s="179">
        <f ca="1">IF(ISNUMBER(MATCH(DATEVALUE($A94),'changes1_based on steps'!N$1:N$400,0)),N$2,)</f>
        <v>0</v>
      </c>
      <c r="O94" s="179">
        <f ca="1">IF(ISNUMBER(MATCH(DATEVALUE($A94),'changes1_based on steps'!O$1:O$400,0)),O$2,)</f>
        <v>0</v>
      </c>
      <c r="P94" s="179">
        <f ca="1">IF(ISNUMBER(MATCH(DATEVALUE($A94),'changes1_based on steps'!P$1:P$400,0)),P$2,)</f>
        <v>0</v>
      </c>
      <c r="Q94" s="179">
        <f ca="1">IF(ISNUMBER(MATCH(DATEVALUE($A94),'changes1_based on steps'!Q$1:Q$400,0)),Q$2,)</f>
        <v>0</v>
      </c>
      <c r="R94" s="179">
        <f ca="1">IF(ISNUMBER(MATCH(DATEVALUE($A94),'changes1_based on steps'!R$1:R$400,0)),R$2,)</f>
        <v>0</v>
      </c>
      <c r="S94" s="179">
        <f ca="1">IF(ISNUMBER(MATCH(DATEVALUE($A94),'changes1_based on steps'!S$1:S$400,0)),S$2,)</f>
        <v>0</v>
      </c>
      <c r="T94" s="179">
        <f ca="1">IF(ISNUMBER(MATCH(DATEVALUE($A94),'changes1_based on steps'!T$1:T$400,0)),T$2,)</f>
        <v>0</v>
      </c>
      <c r="U94" s="179">
        <f ca="1">IF(ISNUMBER(MATCH(DATEVALUE($A94),'changes1_based on steps'!U$1:U$400,0)),U$2,)</f>
        <v>0</v>
      </c>
      <c r="V94" s="179"/>
      <c r="W94" s="179"/>
      <c r="X94" s="179"/>
      <c r="Y94" s="179"/>
      <c r="Z94" s="179"/>
      <c r="AA94" s="179"/>
      <c r="AB94" s="179"/>
      <c r="AC94" s="179"/>
      <c r="AD94" s="179"/>
      <c r="AE94" s="179"/>
      <c r="AF94" s="179"/>
      <c r="AG94" s="179"/>
      <c r="AH94" s="179"/>
      <c r="AI94" s="179"/>
      <c r="AJ94" s="179"/>
      <c r="AK94" s="179"/>
      <c r="AL94" s="179"/>
      <c r="AM94" s="179"/>
      <c r="AN94" s="179"/>
      <c r="AO94" s="179"/>
      <c r="AP94" s="179"/>
      <c r="AQ94" s="179"/>
      <c r="AR94" s="179"/>
      <c r="AS94" s="179"/>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row>
    <row r="95" spans="1:101" x14ac:dyDescent="0.2">
      <c r="A95" s="32" t="str">
        <f t="shared" ca="1" si="1"/>
        <v>2025-06-29</v>
      </c>
      <c r="B95" s="179">
        <f ca="1">IF(ISNUMBER(MATCH(DATEVALUE($A95),'changes1_based on steps'!B$1:B$400,0)),B$2,)</f>
        <v>0</v>
      </c>
      <c r="C95" s="179">
        <f ca="1">IF(ISNUMBER(MATCH(DATEVALUE($A95),'changes1_based on steps'!C$1:C$400,0)),C$2,)</f>
        <v>0</v>
      </c>
      <c r="D95" s="179">
        <f ca="1">IF(ISNUMBER(MATCH(DATEVALUE($A95),'changes1_based on steps'!D$1:D$400,0)),D$2,)</f>
        <v>0</v>
      </c>
      <c r="E95" s="179">
        <f ca="1">IF(ISNUMBER(MATCH(DATEVALUE($A95),'changes1_based on steps'!E$1:E$400,0)),E$2,)</f>
        <v>0</v>
      </c>
      <c r="F95" s="179">
        <f ca="1">IF(ISNUMBER(MATCH(DATEVALUE($A95),'changes1_based on steps'!F$1:F$400,0)),F$2,)</f>
        <v>0</v>
      </c>
      <c r="G95" s="179">
        <f ca="1">IF(ISNUMBER(MATCH(DATEVALUE($A95),'changes1_based on steps'!G$1:G$400,0)),G$2,)</f>
        <v>0</v>
      </c>
      <c r="H95" s="179">
        <f ca="1">IF(ISNUMBER(MATCH(DATEVALUE($A95),'changes1_based on steps'!H$1:H$400,0)),H$2,)</f>
        <v>0</v>
      </c>
      <c r="I95" s="179">
        <f ca="1">IF(ISNUMBER(MATCH(DATEVALUE($A95),'changes1_based on steps'!I$1:I$400,0)),I$2,)</f>
        <v>0</v>
      </c>
      <c r="J95" s="179">
        <f ca="1">IF(ISNUMBER(MATCH(DATEVALUE($A95),'changes1_based on steps'!J$1:J$400,0)),J$2,)</f>
        <v>0</v>
      </c>
      <c r="K95" s="179">
        <f ca="1">IF(ISNUMBER(MATCH(DATEVALUE($A95),'changes1_based on steps'!K$1:K$400,0)),K$2,)</f>
        <v>0</v>
      </c>
      <c r="L95" s="179">
        <f ca="1">IF(ISNUMBER(MATCH(DATEVALUE($A95),'changes1_based on steps'!L$1:L$400,0)),L$2,)</f>
        <v>0</v>
      </c>
      <c r="M95" s="179">
        <f ca="1">IF(ISNUMBER(MATCH(DATEVALUE($A95),'changes1_based on steps'!M$1:M$400,0)),M$2,)</f>
        <v>0</v>
      </c>
      <c r="N95" s="179">
        <f ca="1">IF(ISNUMBER(MATCH(DATEVALUE($A95),'changes1_based on steps'!N$1:N$400,0)),N$2,)</f>
        <v>0</v>
      </c>
      <c r="O95" s="179">
        <f ca="1">IF(ISNUMBER(MATCH(DATEVALUE($A95),'changes1_based on steps'!O$1:O$400,0)),O$2,)</f>
        <v>0</v>
      </c>
      <c r="P95" s="179">
        <f ca="1">IF(ISNUMBER(MATCH(DATEVALUE($A95),'changes1_based on steps'!P$1:P$400,0)),P$2,)</f>
        <v>0</v>
      </c>
      <c r="Q95" s="179">
        <f ca="1">IF(ISNUMBER(MATCH(DATEVALUE($A95),'changes1_based on steps'!Q$1:Q$400,0)),Q$2,)</f>
        <v>0</v>
      </c>
      <c r="R95" s="179">
        <f ca="1">IF(ISNUMBER(MATCH(DATEVALUE($A95),'changes1_based on steps'!R$1:R$400,0)),R$2,)</f>
        <v>0</v>
      </c>
      <c r="S95" s="179">
        <f ca="1">IF(ISNUMBER(MATCH(DATEVALUE($A95),'changes1_based on steps'!S$1:S$400,0)),S$2,)</f>
        <v>0</v>
      </c>
      <c r="T95" s="179">
        <f ca="1">IF(ISNUMBER(MATCH(DATEVALUE($A95),'changes1_based on steps'!T$1:T$400,0)),T$2,)</f>
        <v>0</v>
      </c>
      <c r="U95" s="179">
        <f ca="1">IF(ISNUMBER(MATCH(DATEVALUE($A95),'changes1_based on steps'!U$1:U$400,0)),U$2,)</f>
        <v>0</v>
      </c>
      <c r="V95" s="179"/>
      <c r="W95" s="179"/>
      <c r="X95" s="179"/>
      <c r="Y95" s="179"/>
      <c r="Z95" s="179"/>
      <c r="AA95" s="179"/>
      <c r="AB95" s="179"/>
      <c r="AC95" s="179"/>
      <c r="AD95" s="179"/>
      <c r="AE95" s="179"/>
      <c r="AF95" s="179"/>
      <c r="AG95" s="179"/>
      <c r="AH95" s="179"/>
      <c r="AI95" s="179"/>
      <c r="AJ95" s="179"/>
      <c r="AK95" s="179"/>
      <c r="AL95" s="179"/>
      <c r="AM95" s="179"/>
      <c r="AN95" s="179"/>
      <c r="AO95" s="179"/>
      <c r="AP95" s="179"/>
      <c r="AQ95" s="179"/>
      <c r="AR95" s="179"/>
      <c r="AS95" s="179"/>
      <c r="AT95" s="179"/>
      <c r="AU95" s="179"/>
      <c r="AV95" s="179"/>
      <c r="AW95" s="179"/>
      <c r="AX95" s="179"/>
      <c r="AY95" s="179"/>
      <c r="AZ95" s="179"/>
      <c r="BA95" s="179"/>
      <c r="BB95" s="179"/>
      <c r="BC95" s="179"/>
      <c r="BD95" s="179"/>
      <c r="BE95" s="179"/>
      <c r="BF95" s="179"/>
      <c r="BG95" s="179"/>
      <c r="BH95" s="179"/>
      <c r="BI95" s="179"/>
      <c r="BJ95" s="179"/>
      <c r="BK95" s="179"/>
      <c r="BL95" s="179"/>
      <c r="BM95" s="179"/>
      <c r="BN95" s="179"/>
      <c r="BO95" s="179"/>
      <c r="BP95" s="179"/>
      <c r="BQ95" s="179"/>
      <c r="BR95" s="179"/>
      <c r="BS95" s="179"/>
      <c r="BT95" s="179"/>
      <c r="BU95" s="179"/>
      <c r="BV95" s="179"/>
      <c r="BW95" s="179"/>
      <c r="BX95" s="179"/>
      <c r="BY95" s="179"/>
      <c r="BZ95" s="179"/>
      <c r="CA95" s="179"/>
      <c r="CB95" s="179"/>
      <c r="CC95" s="179"/>
      <c r="CD95" s="179"/>
      <c r="CE95" s="179"/>
      <c r="CF95" s="179"/>
      <c r="CG95" s="179"/>
      <c r="CH95" s="179"/>
      <c r="CI95" s="179"/>
      <c r="CJ95" s="179"/>
      <c r="CK95" s="179"/>
      <c r="CL95" s="179"/>
      <c r="CM95" s="179"/>
      <c r="CN95" s="179"/>
      <c r="CO95" s="179"/>
      <c r="CP95" s="179"/>
      <c r="CQ95" s="179"/>
      <c r="CR95" s="179"/>
      <c r="CS95" s="179"/>
      <c r="CT95" s="179"/>
      <c r="CU95" s="179"/>
      <c r="CV95" s="179"/>
      <c r="CW95" s="179"/>
    </row>
    <row r="96" spans="1:101" x14ac:dyDescent="0.2">
      <c r="A96" s="32" t="str">
        <f t="shared" ca="1" si="1"/>
        <v>2025-06-30</v>
      </c>
      <c r="B96" s="179">
        <f ca="1">IF(ISNUMBER(MATCH(DATEVALUE($A96),'changes1_based on steps'!B$1:B$400,0)),B$2,)</f>
        <v>0</v>
      </c>
      <c r="C96" s="179">
        <f ca="1">IF(ISNUMBER(MATCH(DATEVALUE($A96),'changes1_based on steps'!C$1:C$400,0)),C$2,)</f>
        <v>0</v>
      </c>
      <c r="D96" s="179">
        <f ca="1">IF(ISNUMBER(MATCH(DATEVALUE($A96),'changes1_based on steps'!D$1:D$400,0)),D$2,)</f>
        <v>0</v>
      </c>
      <c r="E96" s="179">
        <f ca="1">IF(ISNUMBER(MATCH(DATEVALUE($A96),'changes1_based on steps'!E$1:E$400,0)),E$2,)</f>
        <v>0</v>
      </c>
      <c r="F96" s="179">
        <f ca="1">IF(ISNUMBER(MATCH(DATEVALUE($A96),'changes1_based on steps'!F$1:F$400,0)),F$2,)</f>
        <v>0</v>
      </c>
      <c r="G96" s="179">
        <f ca="1">IF(ISNUMBER(MATCH(DATEVALUE($A96),'changes1_based on steps'!G$1:G$400,0)),G$2,)</f>
        <v>0</v>
      </c>
      <c r="H96" s="179">
        <f ca="1">IF(ISNUMBER(MATCH(DATEVALUE($A96),'changes1_based on steps'!H$1:H$400,0)),H$2,)</f>
        <v>0</v>
      </c>
      <c r="I96" s="179">
        <f ca="1">IF(ISNUMBER(MATCH(DATEVALUE($A96),'changes1_based on steps'!I$1:I$400,0)),I$2,)</f>
        <v>0</v>
      </c>
      <c r="J96" s="179">
        <f ca="1">IF(ISNUMBER(MATCH(DATEVALUE($A96),'changes1_based on steps'!J$1:J$400,0)),J$2,)</f>
        <v>0</v>
      </c>
      <c r="K96" s="179">
        <f ca="1">IF(ISNUMBER(MATCH(DATEVALUE($A96),'changes1_based on steps'!K$1:K$400,0)),K$2,)</f>
        <v>0</v>
      </c>
      <c r="L96" s="179">
        <f ca="1">IF(ISNUMBER(MATCH(DATEVALUE($A96),'changes1_based on steps'!L$1:L$400,0)),L$2,)</f>
        <v>0</v>
      </c>
      <c r="M96" s="179">
        <f ca="1">IF(ISNUMBER(MATCH(DATEVALUE($A96),'changes1_based on steps'!M$1:M$400,0)),M$2,)</f>
        <v>0</v>
      </c>
      <c r="N96" s="179">
        <f ca="1">IF(ISNUMBER(MATCH(DATEVALUE($A96),'changes1_based on steps'!N$1:N$400,0)),N$2,)</f>
        <v>0</v>
      </c>
      <c r="O96" s="179">
        <f ca="1">IF(ISNUMBER(MATCH(DATEVALUE($A96),'changes1_based on steps'!O$1:O$400,0)),O$2,)</f>
        <v>0</v>
      </c>
      <c r="P96" s="179">
        <f ca="1">IF(ISNUMBER(MATCH(DATEVALUE($A96),'changes1_based on steps'!P$1:P$400,0)),P$2,)</f>
        <v>0</v>
      </c>
      <c r="Q96" s="179">
        <f ca="1">IF(ISNUMBER(MATCH(DATEVALUE($A96),'changes1_based on steps'!Q$1:Q$400,0)),Q$2,)</f>
        <v>0</v>
      </c>
      <c r="R96" s="179">
        <f ca="1">IF(ISNUMBER(MATCH(DATEVALUE($A96),'changes1_based on steps'!R$1:R$400,0)),R$2,)</f>
        <v>0</v>
      </c>
      <c r="S96" s="179">
        <f ca="1">IF(ISNUMBER(MATCH(DATEVALUE($A96),'changes1_based on steps'!S$1:S$400,0)),S$2,)</f>
        <v>0</v>
      </c>
      <c r="T96" s="179">
        <f ca="1">IF(ISNUMBER(MATCH(DATEVALUE($A96),'changes1_based on steps'!T$1:T$400,0)),T$2,)</f>
        <v>0</v>
      </c>
      <c r="U96" s="179">
        <f ca="1">IF(ISNUMBER(MATCH(DATEVALUE($A96),'changes1_based on steps'!U$1:U$400,0)),U$2,)</f>
        <v>0</v>
      </c>
      <c r="V96" s="179"/>
      <c r="W96" s="179"/>
      <c r="X96" s="179"/>
      <c r="Y96" s="179"/>
      <c r="Z96" s="179"/>
      <c r="AA96" s="179"/>
      <c r="AB96" s="179"/>
      <c r="AC96" s="179"/>
      <c r="AD96" s="179"/>
      <c r="AE96" s="179"/>
      <c r="AF96" s="179"/>
      <c r="AG96" s="179"/>
      <c r="AH96" s="179"/>
      <c r="AI96" s="179"/>
      <c r="AJ96" s="179"/>
      <c r="AK96" s="179"/>
      <c r="AL96" s="179"/>
      <c r="AM96" s="179"/>
      <c r="AN96" s="179"/>
      <c r="AO96" s="179"/>
      <c r="AP96" s="179"/>
      <c r="AQ96" s="179"/>
      <c r="AR96" s="179"/>
      <c r="AS96" s="179"/>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row>
    <row r="97" spans="1:101" x14ac:dyDescent="0.2">
      <c r="A97" s="32" t="str">
        <f t="shared" ca="1" si="1"/>
        <v>2025-07-01</v>
      </c>
      <c r="B97" s="179">
        <f ca="1">IF(ISNUMBER(MATCH(DATEVALUE($A97),'changes1_based on steps'!B$1:B$400,0)),B$2,)</f>
        <v>0</v>
      </c>
      <c r="C97" s="179">
        <f ca="1">IF(ISNUMBER(MATCH(DATEVALUE($A97),'changes1_based on steps'!C$1:C$400,0)),C$2,)</f>
        <v>0</v>
      </c>
      <c r="D97" s="179">
        <f ca="1">IF(ISNUMBER(MATCH(DATEVALUE($A97),'changes1_based on steps'!D$1:D$400,0)),D$2,)</f>
        <v>0</v>
      </c>
      <c r="E97" s="179">
        <f ca="1">IF(ISNUMBER(MATCH(DATEVALUE($A97),'changes1_based on steps'!E$1:E$400,0)),E$2,)</f>
        <v>0</v>
      </c>
      <c r="F97" s="179">
        <f ca="1">IF(ISNUMBER(MATCH(DATEVALUE($A97),'changes1_based on steps'!F$1:F$400,0)),F$2,)</f>
        <v>0</v>
      </c>
      <c r="G97" s="179">
        <f ca="1">IF(ISNUMBER(MATCH(DATEVALUE($A97),'changes1_based on steps'!G$1:G$400,0)),G$2,)</f>
        <v>0</v>
      </c>
      <c r="H97" s="179">
        <f ca="1">IF(ISNUMBER(MATCH(DATEVALUE($A97),'changes1_based on steps'!H$1:H$400,0)),H$2,)</f>
        <v>0</v>
      </c>
      <c r="I97" s="179">
        <f ca="1">IF(ISNUMBER(MATCH(DATEVALUE($A97),'changes1_based on steps'!I$1:I$400,0)),I$2,)</f>
        <v>0</v>
      </c>
      <c r="J97" s="179">
        <f ca="1">IF(ISNUMBER(MATCH(DATEVALUE($A97),'changes1_based on steps'!J$1:J$400,0)),J$2,)</f>
        <v>0</v>
      </c>
      <c r="K97" s="179">
        <f ca="1">IF(ISNUMBER(MATCH(DATEVALUE($A97),'changes1_based on steps'!K$1:K$400,0)),K$2,)</f>
        <v>0</v>
      </c>
      <c r="L97" s="179">
        <f ca="1">IF(ISNUMBER(MATCH(DATEVALUE($A97),'changes1_based on steps'!L$1:L$400,0)),L$2,)</f>
        <v>0</v>
      </c>
      <c r="M97" s="179">
        <f ca="1">IF(ISNUMBER(MATCH(DATEVALUE($A97),'changes1_based on steps'!M$1:M$400,0)),M$2,)</f>
        <v>0</v>
      </c>
      <c r="N97" s="179">
        <f ca="1">IF(ISNUMBER(MATCH(DATEVALUE($A97),'changes1_based on steps'!N$1:N$400,0)),N$2,)</f>
        <v>0</v>
      </c>
      <c r="O97" s="179">
        <f ca="1">IF(ISNUMBER(MATCH(DATEVALUE($A97),'changes1_based on steps'!O$1:O$400,0)),O$2,)</f>
        <v>0</v>
      </c>
      <c r="P97" s="179">
        <f ca="1">IF(ISNUMBER(MATCH(DATEVALUE($A97),'changes1_based on steps'!P$1:P$400,0)),P$2,)</f>
        <v>0</v>
      </c>
      <c r="Q97" s="179">
        <f ca="1">IF(ISNUMBER(MATCH(DATEVALUE($A97),'changes1_based on steps'!Q$1:Q$400,0)),Q$2,)</f>
        <v>0</v>
      </c>
      <c r="R97" s="179">
        <f ca="1">IF(ISNUMBER(MATCH(DATEVALUE($A97),'changes1_based on steps'!R$1:R$400,0)),R$2,)</f>
        <v>0</v>
      </c>
      <c r="S97" s="179">
        <f ca="1">IF(ISNUMBER(MATCH(DATEVALUE($A97),'changes1_based on steps'!S$1:S$400,0)),S$2,)</f>
        <v>0</v>
      </c>
      <c r="T97" s="179">
        <f ca="1">IF(ISNUMBER(MATCH(DATEVALUE($A97),'changes1_based on steps'!T$1:T$400,0)),T$2,)</f>
        <v>0</v>
      </c>
      <c r="U97" s="179">
        <f ca="1">IF(ISNUMBER(MATCH(DATEVALUE($A97),'changes1_based on steps'!U$1:U$400,0)),U$2,)</f>
        <v>0</v>
      </c>
      <c r="V97" s="179"/>
      <c r="W97" s="179"/>
      <c r="X97" s="179"/>
      <c r="Y97" s="179"/>
      <c r="Z97" s="179"/>
      <c r="AA97" s="179"/>
      <c r="AB97" s="179"/>
      <c r="AC97" s="179"/>
      <c r="AD97" s="179"/>
      <c r="AE97" s="179"/>
      <c r="AF97" s="179"/>
      <c r="AG97" s="179"/>
      <c r="AH97" s="179"/>
      <c r="AI97" s="179"/>
      <c r="AJ97" s="179"/>
      <c r="AK97" s="179"/>
      <c r="AL97" s="179"/>
      <c r="AM97" s="179"/>
      <c r="AN97" s="179"/>
      <c r="AO97" s="179"/>
      <c r="AP97" s="179"/>
      <c r="AQ97" s="179"/>
      <c r="AR97" s="179"/>
      <c r="AS97" s="179"/>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row>
    <row r="98" spans="1:101" x14ac:dyDescent="0.2">
      <c r="A98" s="32" t="str">
        <f t="shared" ca="1" si="1"/>
        <v>2025-07-02</v>
      </c>
      <c r="B98" s="179">
        <f ca="1">IF(ISNUMBER(MATCH(DATEVALUE($A98),'changes1_based on steps'!B$1:B$400,0)),B$2,)</f>
        <v>0</v>
      </c>
      <c r="C98" s="179">
        <f ca="1">IF(ISNUMBER(MATCH(DATEVALUE($A98),'changes1_based on steps'!C$1:C$400,0)),C$2,)</f>
        <v>0</v>
      </c>
      <c r="D98" s="179">
        <f ca="1">IF(ISNUMBER(MATCH(DATEVALUE($A98),'changes1_based on steps'!D$1:D$400,0)),D$2,)</f>
        <v>0</v>
      </c>
      <c r="E98" s="179">
        <f ca="1">IF(ISNUMBER(MATCH(DATEVALUE($A98),'changes1_based on steps'!E$1:E$400,0)),E$2,)</f>
        <v>0</v>
      </c>
      <c r="F98" s="179">
        <f ca="1">IF(ISNUMBER(MATCH(DATEVALUE($A98),'changes1_based on steps'!F$1:F$400,0)),F$2,)</f>
        <v>0</v>
      </c>
      <c r="G98" s="179">
        <f ca="1">IF(ISNUMBER(MATCH(DATEVALUE($A98),'changes1_based on steps'!G$1:G$400,0)),G$2,)</f>
        <v>0</v>
      </c>
      <c r="H98" s="179">
        <f ca="1">IF(ISNUMBER(MATCH(DATEVALUE($A98),'changes1_based on steps'!H$1:H$400,0)),H$2,)</f>
        <v>0</v>
      </c>
      <c r="I98" s="179">
        <f ca="1">IF(ISNUMBER(MATCH(DATEVALUE($A98),'changes1_based on steps'!I$1:I$400,0)),I$2,)</f>
        <v>0</v>
      </c>
      <c r="J98" s="179">
        <f ca="1">IF(ISNUMBER(MATCH(DATEVALUE($A98),'changes1_based on steps'!J$1:J$400,0)),J$2,)</f>
        <v>0</v>
      </c>
      <c r="K98" s="179">
        <f ca="1">IF(ISNUMBER(MATCH(DATEVALUE($A98),'changes1_based on steps'!K$1:K$400,0)),K$2,)</f>
        <v>0</v>
      </c>
      <c r="L98" s="179">
        <f ca="1">IF(ISNUMBER(MATCH(DATEVALUE($A98),'changes1_based on steps'!L$1:L$400,0)),L$2,)</f>
        <v>0</v>
      </c>
      <c r="M98" s="179">
        <f ca="1">IF(ISNUMBER(MATCH(DATEVALUE($A98),'changes1_based on steps'!M$1:M$400,0)),M$2,)</f>
        <v>0</v>
      </c>
      <c r="N98" s="179">
        <f ca="1">IF(ISNUMBER(MATCH(DATEVALUE($A98),'changes1_based on steps'!N$1:N$400,0)),N$2,)</f>
        <v>0</v>
      </c>
      <c r="O98" s="179">
        <f ca="1">IF(ISNUMBER(MATCH(DATEVALUE($A98),'changes1_based on steps'!O$1:O$400,0)),O$2,)</f>
        <v>0</v>
      </c>
      <c r="P98" s="179">
        <f ca="1">IF(ISNUMBER(MATCH(DATEVALUE($A98),'changes1_based on steps'!P$1:P$400,0)),P$2,)</f>
        <v>0</v>
      </c>
      <c r="Q98" s="179">
        <f ca="1">IF(ISNUMBER(MATCH(DATEVALUE($A98),'changes1_based on steps'!Q$1:Q$400,0)),Q$2,)</f>
        <v>0</v>
      </c>
      <c r="R98" s="179">
        <f ca="1">IF(ISNUMBER(MATCH(DATEVALUE($A98),'changes1_based on steps'!R$1:R$400,0)),R$2,)</f>
        <v>0</v>
      </c>
      <c r="S98" s="179">
        <f ca="1">IF(ISNUMBER(MATCH(DATEVALUE($A98),'changes1_based on steps'!S$1:S$400,0)),S$2,)</f>
        <v>0</v>
      </c>
      <c r="T98" s="179">
        <f ca="1">IF(ISNUMBER(MATCH(DATEVALUE($A98),'changes1_based on steps'!T$1:T$400,0)),T$2,)</f>
        <v>0</v>
      </c>
      <c r="U98" s="179">
        <f ca="1">IF(ISNUMBER(MATCH(DATEVALUE($A98),'changes1_based on steps'!U$1:U$400,0)),U$2,)</f>
        <v>0</v>
      </c>
      <c r="V98" s="179"/>
      <c r="W98" s="179"/>
      <c r="X98" s="179"/>
      <c r="Y98" s="179"/>
      <c r="Z98" s="179"/>
      <c r="AA98" s="179"/>
      <c r="AB98" s="179"/>
      <c r="AC98" s="179"/>
      <c r="AD98" s="179"/>
      <c r="AE98" s="179"/>
      <c r="AF98" s="179"/>
      <c r="AG98" s="179"/>
      <c r="AH98" s="179"/>
      <c r="AI98" s="179"/>
      <c r="AJ98" s="179"/>
      <c r="AK98" s="179"/>
      <c r="AL98" s="179"/>
      <c r="AM98" s="179"/>
      <c r="AN98" s="179"/>
      <c r="AO98" s="179"/>
      <c r="AP98" s="179"/>
      <c r="AQ98" s="179"/>
      <c r="AR98" s="179"/>
      <c r="AS98" s="179"/>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row>
    <row r="99" spans="1:101" x14ac:dyDescent="0.2">
      <c r="A99" s="32" t="str">
        <f t="shared" ca="1" si="1"/>
        <v>2025-07-03</v>
      </c>
      <c r="B99" s="179">
        <f ca="1">IF(ISNUMBER(MATCH(DATEVALUE($A99),'changes1_based on steps'!B$1:B$400,0)),B$2,)</f>
        <v>0</v>
      </c>
      <c r="C99" s="179">
        <f ca="1">IF(ISNUMBER(MATCH(DATEVALUE($A99),'changes1_based on steps'!C$1:C$400,0)),C$2,)</f>
        <v>0</v>
      </c>
      <c r="D99" s="179">
        <f ca="1">IF(ISNUMBER(MATCH(DATEVALUE($A99),'changes1_based on steps'!D$1:D$400,0)),D$2,)</f>
        <v>0</v>
      </c>
      <c r="E99" s="179">
        <f ca="1">IF(ISNUMBER(MATCH(DATEVALUE($A99),'changes1_based on steps'!E$1:E$400,0)),E$2,)</f>
        <v>0</v>
      </c>
      <c r="F99" s="179">
        <f ca="1">IF(ISNUMBER(MATCH(DATEVALUE($A99),'changes1_based on steps'!F$1:F$400,0)),F$2,)</f>
        <v>0</v>
      </c>
      <c r="G99" s="179">
        <f ca="1">IF(ISNUMBER(MATCH(DATEVALUE($A99),'changes1_based on steps'!G$1:G$400,0)),G$2,)</f>
        <v>0</v>
      </c>
      <c r="H99" s="179">
        <f ca="1">IF(ISNUMBER(MATCH(DATEVALUE($A99),'changes1_based on steps'!H$1:H$400,0)),H$2,)</f>
        <v>0</v>
      </c>
      <c r="I99" s="179">
        <f ca="1">IF(ISNUMBER(MATCH(DATEVALUE($A99),'changes1_based on steps'!I$1:I$400,0)),I$2,)</f>
        <v>0</v>
      </c>
      <c r="J99" s="179">
        <f ca="1">IF(ISNUMBER(MATCH(DATEVALUE($A99),'changes1_based on steps'!J$1:J$400,0)),J$2,)</f>
        <v>0</v>
      </c>
      <c r="K99" s="179">
        <f ca="1">IF(ISNUMBER(MATCH(DATEVALUE($A99),'changes1_based on steps'!K$1:K$400,0)),K$2,)</f>
        <v>0</v>
      </c>
      <c r="L99" s="179">
        <f ca="1">IF(ISNUMBER(MATCH(DATEVALUE($A99),'changes1_based on steps'!L$1:L$400,0)),L$2,)</f>
        <v>0</v>
      </c>
      <c r="M99" s="179">
        <f ca="1">IF(ISNUMBER(MATCH(DATEVALUE($A99),'changes1_based on steps'!M$1:M$400,0)),M$2,)</f>
        <v>0</v>
      </c>
      <c r="N99" s="179">
        <f ca="1">IF(ISNUMBER(MATCH(DATEVALUE($A99),'changes1_based on steps'!N$1:N$400,0)),N$2,)</f>
        <v>0</v>
      </c>
      <c r="O99" s="179">
        <f ca="1">IF(ISNUMBER(MATCH(DATEVALUE($A99),'changes1_based on steps'!O$1:O$400,0)),O$2,)</f>
        <v>0</v>
      </c>
      <c r="P99" s="179">
        <f ca="1">IF(ISNUMBER(MATCH(DATEVALUE($A99),'changes1_based on steps'!P$1:P$400,0)),P$2,)</f>
        <v>0</v>
      </c>
      <c r="Q99" s="179">
        <f ca="1">IF(ISNUMBER(MATCH(DATEVALUE($A99),'changes1_based on steps'!Q$1:Q$400,0)),Q$2,)</f>
        <v>0</v>
      </c>
      <c r="R99" s="179">
        <f ca="1">IF(ISNUMBER(MATCH(DATEVALUE($A99),'changes1_based on steps'!R$1:R$400,0)),R$2,)</f>
        <v>0</v>
      </c>
      <c r="S99" s="179">
        <f ca="1">IF(ISNUMBER(MATCH(DATEVALUE($A99),'changes1_based on steps'!S$1:S$400,0)),S$2,)</f>
        <v>0</v>
      </c>
      <c r="T99" s="179">
        <f ca="1">IF(ISNUMBER(MATCH(DATEVALUE($A99),'changes1_based on steps'!T$1:T$400,0)),T$2,)</f>
        <v>0</v>
      </c>
      <c r="U99" s="179">
        <f ca="1">IF(ISNUMBER(MATCH(DATEVALUE($A99),'changes1_based on steps'!U$1:U$400,0)),U$2,)</f>
        <v>0</v>
      </c>
      <c r="V99" s="179"/>
      <c r="W99" s="179"/>
      <c r="X99" s="179"/>
      <c r="Y99" s="179"/>
      <c r="Z99" s="179"/>
      <c r="AA99" s="179"/>
      <c r="AB99" s="179"/>
      <c r="AC99" s="179"/>
      <c r="AD99" s="179"/>
      <c r="AE99" s="179"/>
      <c r="AF99" s="179"/>
      <c r="AG99" s="179"/>
      <c r="AH99" s="179"/>
      <c r="AI99" s="179"/>
      <c r="AJ99" s="179"/>
      <c r="AK99" s="179"/>
      <c r="AL99" s="179"/>
      <c r="AM99" s="179"/>
      <c r="AN99" s="179"/>
      <c r="AO99" s="179"/>
      <c r="AP99" s="179"/>
      <c r="AQ99" s="179"/>
      <c r="AR99" s="179"/>
      <c r="AS99" s="179"/>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row>
    <row r="100" spans="1:101" x14ac:dyDescent="0.2">
      <c r="A100" s="32" t="str">
        <f t="shared" ca="1" si="1"/>
        <v>2025-07-04</v>
      </c>
      <c r="B100" s="179">
        <f ca="1">IF(ISNUMBER(MATCH(DATEVALUE($A100),'changes1_based on steps'!B$1:B$400,0)),B$2,)</f>
        <v>0</v>
      </c>
      <c r="C100" s="179">
        <f ca="1">IF(ISNUMBER(MATCH(DATEVALUE($A100),'changes1_based on steps'!C$1:C$400,0)),C$2,)</f>
        <v>0</v>
      </c>
      <c r="D100" s="179">
        <f ca="1">IF(ISNUMBER(MATCH(DATEVALUE($A100),'changes1_based on steps'!D$1:D$400,0)),D$2,)</f>
        <v>0</v>
      </c>
      <c r="E100" s="179">
        <f ca="1">IF(ISNUMBER(MATCH(DATEVALUE($A100),'changes1_based on steps'!E$1:E$400,0)),E$2,)</f>
        <v>0</v>
      </c>
      <c r="F100" s="179">
        <f ca="1">IF(ISNUMBER(MATCH(DATEVALUE($A100),'changes1_based on steps'!F$1:F$400,0)),F$2,)</f>
        <v>0</v>
      </c>
      <c r="G100" s="179">
        <f ca="1">IF(ISNUMBER(MATCH(DATEVALUE($A100),'changes1_based on steps'!G$1:G$400,0)),G$2,)</f>
        <v>0</v>
      </c>
      <c r="H100" s="179">
        <f ca="1">IF(ISNUMBER(MATCH(DATEVALUE($A100),'changes1_based on steps'!H$1:H$400,0)),H$2,)</f>
        <v>0</v>
      </c>
      <c r="I100" s="179">
        <f ca="1">IF(ISNUMBER(MATCH(DATEVALUE($A100),'changes1_based on steps'!I$1:I$400,0)),I$2,)</f>
        <v>0</v>
      </c>
      <c r="J100" s="179">
        <f ca="1">IF(ISNUMBER(MATCH(DATEVALUE($A100),'changes1_based on steps'!J$1:J$400,0)),J$2,)</f>
        <v>0</v>
      </c>
      <c r="K100" s="179">
        <f ca="1">IF(ISNUMBER(MATCH(DATEVALUE($A100),'changes1_based on steps'!K$1:K$400,0)),K$2,)</f>
        <v>0</v>
      </c>
      <c r="L100" s="179">
        <f ca="1">IF(ISNUMBER(MATCH(DATEVALUE($A100),'changes1_based on steps'!L$1:L$400,0)),L$2,)</f>
        <v>0</v>
      </c>
      <c r="M100" s="179">
        <f ca="1">IF(ISNUMBER(MATCH(DATEVALUE($A100),'changes1_based on steps'!M$1:M$400,0)),M$2,)</f>
        <v>0</v>
      </c>
      <c r="N100" s="179">
        <f ca="1">IF(ISNUMBER(MATCH(DATEVALUE($A100),'changes1_based on steps'!N$1:N$400,0)),N$2,)</f>
        <v>0</v>
      </c>
      <c r="O100" s="179">
        <f ca="1">IF(ISNUMBER(MATCH(DATEVALUE($A100),'changes1_based on steps'!O$1:O$400,0)),O$2,)</f>
        <v>0</v>
      </c>
      <c r="P100" s="179">
        <f ca="1">IF(ISNUMBER(MATCH(DATEVALUE($A100),'changes1_based on steps'!P$1:P$400,0)),P$2,)</f>
        <v>0</v>
      </c>
      <c r="Q100" s="179">
        <f ca="1">IF(ISNUMBER(MATCH(DATEVALUE($A100),'changes1_based on steps'!Q$1:Q$400,0)),Q$2,)</f>
        <v>0</v>
      </c>
      <c r="R100" s="179">
        <f ca="1">IF(ISNUMBER(MATCH(DATEVALUE($A100),'changes1_based on steps'!R$1:R$400,0)),R$2,)</f>
        <v>0</v>
      </c>
      <c r="S100" s="179">
        <f ca="1">IF(ISNUMBER(MATCH(DATEVALUE($A100),'changes1_based on steps'!S$1:S$400,0)),S$2,)</f>
        <v>0</v>
      </c>
      <c r="T100" s="179">
        <f ca="1">IF(ISNUMBER(MATCH(DATEVALUE($A100),'changes1_based on steps'!T$1:T$400,0)),T$2,)</f>
        <v>0</v>
      </c>
      <c r="U100" s="179">
        <f ca="1">IF(ISNUMBER(MATCH(DATEVALUE($A100),'changes1_based on steps'!U$1:U$400,0)),U$2,)</f>
        <v>0</v>
      </c>
      <c r="V100" s="179"/>
      <c r="W100" s="179"/>
      <c r="X100" s="179"/>
      <c r="Y100" s="179"/>
      <c r="Z100" s="179"/>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row>
    <row r="101" spans="1:101" x14ac:dyDescent="0.2">
      <c r="A101" s="32" t="str">
        <f t="shared" ca="1" si="1"/>
        <v>2025-07-05</v>
      </c>
      <c r="B101" s="179">
        <f ca="1">IF(ISNUMBER(MATCH(DATEVALUE($A101),'changes1_based on steps'!B$1:B$400,0)),B$2,)</f>
        <v>0</v>
      </c>
      <c r="C101" s="179">
        <f ca="1">IF(ISNUMBER(MATCH(DATEVALUE($A101),'changes1_based on steps'!C$1:C$400,0)),C$2,)</f>
        <v>0</v>
      </c>
      <c r="D101" s="179">
        <f ca="1">IF(ISNUMBER(MATCH(DATEVALUE($A101),'changes1_based on steps'!D$1:D$400,0)),D$2,)</f>
        <v>0</v>
      </c>
      <c r="E101" s="179">
        <f ca="1">IF(ISNUMBER(MATCH(DATEVALUE($A101),'changes1_based on steps'!E$1:E$400,0)),E$2,)</f>
        <v>0</v>
      </c>
      <c r="F101" s="179">
        <f ca="1">IF(ISNUMBER(MATCH(DATEVALUE($A101),'changes1_based on steps'!F$1:F$400,0)),F$2,)</f>
        <v>0</v>
      </c>
      <c r="G101" s="179">
        <f ca="1">IF(ISNUMBER(MATCH(DATEVALUE($A101),'changes1_based on steps'!G$1:G$400,0)),G$2,)</f>
        <v>0</v>
      </c>
      <c r="H101" s="179">
        <f ca="1">IF(ISNUMBER(MATCH(DATEVALUE($A101),'changes1_based on steps'!H$1:H$400,0)),H$2,)</f>
        <v>0</v>
      </c>
      <c r="I101" s="179">
        <f ca="1">IF(ISNUMBER(MATCH(DATEVALUE($A101),'changes1_based on steps'!I$1:I$400,0)),I$2,)</f>
        <v>0</v>
      </c>
      <c r="J101" s="179">
        <f ca="1">IF(ISNUMBER(MATCH(DATEVALUE($A101),'changes1_based on steps'!J$1:J$400,0)),J$2,)</f>
        <v>0</v>
      </c>
      <c r="K101" s="179">
        <f ca="1">IF(ISNUMBER(MATCH(DATEVALUE($A101),'changes1_based on steps'!K$1:K$400,0)),K$2,)</f>
        <v>0</v>
      </c>
      <c r="L101" s="179">
        <f ca="1">IF(ISNUMBER(MATCH(DATEVALUE($A101),'changes1_based on steps'!L$1:L$400,0)),L$2,)</f>
        <v>0</v>
      </c>
      <c r="M101" s="179">
        <f ca="1">IF(ISNUMBER(MATCH(DATEVALUE($A101),'changes1_based on steps'!M$1:M$400,0)),M$2,)</f>
        <v>0</v>
      </c>
      <c r="N101" s="179">
        <f ca="1">IF(ISNUMBER(MATCH(DATEVALUE($A101),'changes1_based on steps'!N$1:N$400,0)),N$2,)</f>
        <v>0</v>
      </c>
      <c r="O101" s="179">
        <f ca="1">IF(ISNUMBER(MATCH(DATEVALUE($A101),'changes1_based on steps'!O$1:O$400,0)),O$2,)</f>
        <v>0</v>
      </c>
      <c r="P101" s="179">
        <f ca="1">IF(ISNUMBER(MATCH(DATEVALUE($A101),'changes1_based on steps'!P$1:P$400,0)),P$2,)</f>
        <v>0</v>
      </c>
      <c r="Q101" s="179">
        <f ca="1">IF(ISNUMBER(MATCH(DATEVALUE($A101),'changes1_based on steps'!Q$1:Q$400,0)),Q$2,)</f>
        <v>0</v>
      </c>
      <c r="R101" s="179">
        <f ca="1">IF(ISNUMBER(MATCH(DATEVALUE($A101),'changes1_based on steps'!R$1:R$400,0)),R$2,)</f>
        <v>0</v>
      </c>
      <c r="S101" s="179">
        <f ca="1">IF(ISNUMBER(MATCH(DATEVALUE($A101),'changes1_based on steps'!S$1:S$400,0)),S$2,)</f>
        <v>0</v>
      </c>
      <c r="T101" s="179">
        <f ca="1">IF(ISNUMBER(MATCH(DATEVALUE($A101),'changes1_based on steps'!T$1:T$400,0)),T$2,)</f>
        <v>0</v>
      </c>
      <c r="U101" s="179">
        <f ca="1">IF(ISNUMBER(MATCH(DATEVALUE($A101),'changes1_based on steps'!U$1:U$400,0)),U$2,)</f>
        <v>0</v>
      </c>
      <c r="V101" s="179"/>
      <c r="W101" s="179"/>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row>
    <row r="102" spans="1:101" x14ac:dyDescent="0.2">
      <c r="A102" s="32" t="str">
        <f t="shared" ca="1" si="1"/>
        <v>2025-07-06</v>
      </c>
      <c r="B102" s="179">
        <f ca="1">IF(ISNUMBER(MATCH(DATEVALUE($A102),'changes1_based on steps'!B$1:B$400,0)),B$2,)</f>
        <v>0</v>
      </c>
      <c r="C102" s="179">
        <f ca="1">IF(ISNUMBER(MATCH(DATEVALUE($A102),'changes1_based on steps'!C$1:C$400,0)),C$2,)</f>
        <v>0</v>
      </c>
      <c r="D102" s="179">
        <f ca="1">IF(ISNUMBER(MATCH(DATEVALUE($A102),'changes1_based on steps'!D$1:D$400,0)),D$2,)</f>
        <v>0</v>
      </c>
      <c r="E102" s="179">
        <f ca="1">IF(ISNUMBER(MATCH(DATEVALUE($A102),'changes1_based on steps'!E$1:E$400,0)),E$2,)</f>
        <v>0</v>
      </c>
      <c r="F102" s="179">
        <f ca="1">IF(ISNUMBER(MATCH(DATEVALUE($A102),'changes1_based on steps'!F$1:F$400,0)),F$2,)</f>
        <v>0</v>
      </c>
      <c r="G102" s="179">
        <f ca="1">IF(ISNUMBER(MATCH(DATEVALUE($A102),'changes1_based on steps'!G$1:G$400,0)),G$2,)</f>
        <v>0</v>
      </c>
      <c r="H102" s="179">
        <f ca="1">IF(ISNUMBER(MATCH(DATEVALUE($A102),'changes1_based on steps'!H$1:H$400,0)),H$2,)</f>
        <v>0</v>
      </c>
      <c r="I102" s="179">
        <f ca="1">IF(ISNUMBER(MATCH(DATEVALUE($A102),'changes1_based on steps'!I$1:I$400,0)),I$2,)</f>
        <v>0</v>
      </c>
      <c r="J102" s="179">
        <f ca="1">IF(ISNUMBER(MATCH(DATEVALUE($A102),'changes1_based on steps'!J$1:J$400,0)),J$2,)</f>
        <v>0</v>
      </c>
      <c r="K102" s="179">
        <f ca="1">IF(ISNUMBER(MATCH(DATEVALUE($A102),'changes1_based on steps'!K$1:K$400,0)),K$2,)</f>
        <v>0</v>
      </c>
      <c r="L102" s="179">
        <f ca="1">IF(ISNUMBER(MATCH(DATEVALUE($A102),'changes1_based on steps'!L$1:L$400,0)),L$2,)</f>
        <v>0</v>
      </c>
      <c r="M102" s="179">
        <f ca="1">IF(ISNUMBER(MATCH(DATEVALUE($A102),'changes1_based on steps'!M$1:M$400,0)),M$2,)</f>
        <v>0</v>
      </c>
      <c r="N102" s="179">
        <f ca="1">IF(ISNUMBER(MATCH(DATEVALUE($A102),'changes1_based on steps'!N$1:N$400,0)),N$2,)</f>
        <v>0</v>
      </c>
      <c r="O102" s="179">
        <f ca="1">IF(ISNUMBER(MATCH(DATEVALUE($A102),'changes1_based on steps'!O$1:O$400,0)),O$2,)</f>
        <v>0</v>
      </c>
      <c r="P102" s="179">
        <f ca="1">IF(ISNUMBER(MATCH(DATEVALUE($A102),'changes1_based on steps'!P$1:P$400,0)),P$2,)</f>
        <v>0</v>
      </c>
      <c r="Q102" s="179">
        <f ca="1">IF(ISNUMBER(MATCH(DATEVALUE($A102),'changes1_based on steps'!Q$1:Q$400,0)),Q$2,)</f>
        <v>0</v>
      </c>
      <c r="R102" s="179">
        <f ca="1">IF(ISNUMBER(MATCH(DATEVALUE($A102),'changes1_based on steps'!R$1:R$400,0)),R$2,)</f>
        <v>0</v>
      </c>
      <c r="S102" s="179">
        <f ca="1">IF(ISNUMBER(MATCH(DATEVALUE($A102),'changes1_based on steps'!S$1:S$400,0)),S$2,)</f>
        <v>0</v>
      </c>
      <c r="T102" s="179">
        <f ca="1">IF(ISNUMBER(MATCH(DATEVALUE($A102),'changes1_based on steps'!T$1:T$400,0)),T$2,)</f>
        <v>0</v>
      </c>
      <c r="U102" s="179">
        <f ca="1">IF(ISNUMBER(MATCH(DATEVALUE($A102),'changes1_based on steps'!U$1:U$400,0)),U$2,)</f>
        <v>0</v>
      </c>
      <c r="V102" s="179"/>
      <c r="W102" s="179"/>
      <c r="X102" s="179"/>
      <c r="Y102" s="179"/>
      <c r="Z102" s="179"/>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row>
    <row r="103" spans="1:101" x14ac:dyDescent="0.2">
      <c r="A103" s="32" t="str">
        <f t="shared" ca="1" si="1"/>
        <v>2025-07-07</v>
      </c>
      <c r="B103" s="179">
        <f ca="1">IF(ISNUMBER(MATCH(DATEVALUE($A103),'changes1_based on steps'!B$1:B$400,0)),B$2,)</f>
        <v>0</v>
      </c>
      <c r="C103" s="179">
        <f ca="1">IF(ISNUMBER(MATCH(DATEVALUE($A103),'changes1_based on steps'!C$1:C$400,0)),C$2,)</f>
        <v>0</v>
      </c>
      <c r="D103" s="179">
        <f ca="1">IF(ISNUMBER(MATCH(DATEVALUE($A103),'changes1_based on steps'!D$1:D$400,0)),D$2,)</f>
        <v>0</v>
      </c>
      <c r="E103" s="179">
        <f ca="1">IF(ISNUMBER(MATCH(DATEVALUE($A103),'changes1_based on steps'!E$1:E$400,0)),E$2,)</f>
        <v>0</v>
      </c>
      <c r="F103" s="179">
        <f ca="1">IF(ISNUMBER(MATCH(DATEVALUE($A103),'changes1_based on steps'!F$1:F$400,0)),F$2,)</f>
        <v>0</v>
      </c>
      <c r="G103" s="179">
        <f ca="1">IF(ISNUMBER(MATCH(DATEVALUE($A103),'changes1_based on steps'!G$1:G$400,0)),G$2,)</f>
        <v>0</v>
      </c>
      <c r="H103" s="179">
        <f ca="1">IF(ISNUMBER(MATCH(DATEVALUE($A103),'changes1_based on steps'!H$1:H$400,0)),H$2,)</f>
        <v>0</v>
      </c>
      <c r="I103" s="179">
        <f ca="1">IF(ISNUMBER(MATCH(DATEVALUE($A103),'changes1_based on steps'!I$1:I$400,0)),I$2,)</f>
        <v>0</v>
      </c>
      <c r="J103" s="179">
        <f ca="1">IF(ISNUMBER(MATCH(DATEVALUE($A103),'changes1_based on steps'!J$1:J$400,0)),J$2,)</f>
        <v>0</v>
      </c>
      <c r="K103" s="179">
        <f ca="1">IF(ISNUMBER(MATCH(DATEVALUE($A103),'changes1_based on steps'!K$1:K$400,0)),K$2,)</f>
        <v>0</v>
      </c>
      <c r="L103" s="179">
        <f ca="1">IF(ISNUMBER(MATCH(DATEVALUE($A103),'changes1_based on steps'!L$1:L$400,0)),L$2,)</f>
        <v>0</v>
      </c>
      <c r="M103" s="179">
        <f ca="1">IF(ISNUMBER(MATCH(DATEVALUE($A103),'changes1_based on steps'!M$1:M$400,0)),M$2,)</f>
        <v>0</v>
      </c>
      <c r="N103" s="179">
        <f ca="1">IF(ISNUMBER(MATCH(DATEVALUE($A103),'changes1_based on steps'!N$1:N$400,0)),N$2,)</f>
        <v>0</v>
      </c>
      <c r="O103" s="179">
        <f ca="1">IF(ISNUMBER(MATCH(DATEVALUE($A103),'changes1_based on steps'!O$1:O$400,0)),O$2,)</f>
        <v>0</v>
      </c>
      <c r="P103" s="179">
        <f ca="1">IF(ISNUMBER(MATCH(DATEVALUE($A103),'changes1_based on steps'!P$1:P$400,0)),P$2,)</f>
        <v>0</v>
      </c>
      <c r="Q103" s="179">
        <f ca="1">IF(ISNUMBER(MATCH(DATEVALUE($A103),'changes1_based on steps'!Q$1:Q$400,0)),Q$2,)</f>
        <v>0</v>
      </c>
      <c r="R103" s="179">
        <f ca="1">IF(ISNUMBER(MATCH(DATEVALUE($A103),'changes1_based on steps'!R$1:R$400,0)),R$2,)</f>
        <v>0</v>
      </c>
      <c r="S103" s="179">
        <f ca="1">IF(ISNUMBER(MATCH(DATEVALUE($A103),'changes1_based on steps'!S$1:S$400,0)),S$2,)</f>
        <v>0</v>
      </c>
      <c r="T103" s="179">
        <f ca="1">IF(ISNUMBER(MATCH(DATEVALUE($A103),'changes1_based on steps'!T$1:T$400,0)),T$2,)</f>
        <v>0</v>
      </c>
      <c r="U103" s="179">
        <f ca="1">IF(ISNUMBER(MATCH(DATEVALUE($A103),'changes1_based on steps'!U$1:U$400,0)),U$2,)</f>
        <v>0</v>
      </c>
      <c r="V103" s="179"/>
      <c r="W103" s="179"/>
      <c r="X103" s="179"/>
      <c r="Y103" s="179"/>
      <c r="Z103" s="179"/>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c r="AV103" s="179"/>
      <c r="AW103" s="179"/>
      <c r="AX103" s="179"/>
      <c r="AY103" s="179"/>
      <c r="AZ103" s="179"/>
      <c r="BA103" s="179"/>
      <c r="BB103" s="179"/>
      <c r="BC103" s="179"/>
      <c r="BD103" s="179"/>
      <c r="BE103" s="179"/>
      <c r="BF103" s="179"/>
      <c r="BG103" s="179"/>
      <c r="BH103" s="179"/>
      <c r="BI103" s="179"/>
      <c r="BJ103" s="179"/>
      <c r="BK103" s="179"/>
      <c r="BL103" s="179"/>
      <c r="BM103" s="179"/>
      <c r="BN103" s="179"/>
      <c r="BO103" s="179"/>
      <c r="BP103" s="179"/>
      <c r="BQ103" s="179"/>
      <c r="BR103" s="179"/>
      <c r="BS103" s="179"/>
      <c r="BT103" s="179"/>
      <c r="BU103" s="179"/>
      <c r="BV103" s="179"/>
      <c r="BW103" s="179"/>
      <c r="BX103" s="179"/>
      <c r="BY103" s="179"/>
      <c r="BZ103" s="179"/>
      <c r="CA103" s="179"/>
      <c r="CB103" s="179"/>
      <c r="CC103" s="179"/>
      <c r="CD103" s="179"/>
      <c r="CE103" s="179"/>
      <c r="CF103" s="179"/>
      <c r="CG103" s="179"/>
      <c r="CH103" s="179"/>
      <c r="CI103" s="179"/>
      <c r="CJ103" s="179"/>
      <c r="CK103" s="179"/>
      <c r="CL103" s="179"/>
      <c r="CM103" s="179"/>
      <c r="CN103" s="179"/>
      <c r="CO103" s="179"/>
      <c r="CP103" s="179"/>
      <c r="CQ103" s="179"/>
      <c r="CR103" s="179"/>
      <c r="CS103" s="179"/>
      <c r="CT103" s="179"/>
      <c r="CU103" s="179"/>
      <c r="CV103" s="179"/>
      <c r="CW103" s="179"/>
    </row>
    <row r="104" spans="1:101" x14ac:dyDescent="0.2">
      <c r="A104" s="32" t="str">
        <f t="shared" ca="1" si="1"/>
        <v>2025-07-08</v>
      </c>
      <c r="B104" s="179">
        <f ca="1">IF(ISNUMBER(MATCH(DATEVALUE($A104),'changes1_based on steps'!B$1:B$400,0)),B$2,)</f>
        <v>0</v>
      </c>
      <c r="C104" s="179">
        <f ca="1">IF(ISNUMBER(MATCH(DATEVALUE($A104),'changes1_based on steps'!C$1:C$400,0)),C$2,)</f>
        <v>0</v>
      </c>
      <c r="D104" s="179">
        <f ca="1">IF(ISNUMBER(MATCH(DATEVALUE($A104),'changes1_based on steps'!D$1:D$400,0)),D$2,)</f>
        <v>0</v>
      </c>
      <c r="E104" s="179">
        <f ca="1">IF(ISNUMBER(MATCH(DATEVALUE($A104),'changes1_based on steps'!E$1:E$400,0)),E$2,)</f>
        <v>0</v>
      </c>
      <c r="F104" s="179">
        <f ca="1">IF(ISNUMBER(MATCH(DATEVALUE($A104),'changes1_based on steps'!F$1:F$400,0)),F$2,)</f>
        <v>0</v>
      </c>
      <c r="G104" s="179">
        <f ca="1">IF(ISNUMBER(MATCH(DATEVALUE($A104),'changes1_based on steps'!G$1:G$400,0)),G$2,)</f>
        <v>0</v>
      </c>
      <c r="H104" s="179">
        <f ca="1">IF(ISNUMBER(MATCH(DATEVALUE($A104),'changes1_based on steps'!H$1:H$400,0)),H$2,)</f>
        <v>0</v>
      </c>
      <c r="I104" s="179">
        <f ca="1">IF(ISNUMBER(MATCH(DATEVALUE($A104),'changes1_based on steps'!I$1:I$400,0)),I$2,)</f>
        <v>0</v>
      </c>
      <c r="J104" s="179">
        <f ca="1">IF(ISNUMBER(MATCH(DATEVALUE($A104),'changes1_based on steps'!J$1:J$400,0)),J$2,)</f>
        <v>0</v>
      </c>
      <c r="K104" s="179">
        <f ca="1">IF(ISNUMBER(MATCH(DATEVALUE($A104),'changes1_based on steps'!K$1:K$400,0)),K$2,)</f>
        <v>0</v>
      </c>
      <c r="L104" s="179">
        <f ca="1">IF(ISNUMBER(MATCH(DATEVALUE($A104),'changes1_based on steps'!L$1:L$400,0)),L$2,)</f>
        <v>0</v>
      </c>
      <c r="M104" s="179">
        <f ca="1">IF(ISNUMBER(MATCH(DATEVALUE($A104),'changes1_based on steps'!M$1:M$400,0)),M$2,)</f>
        <v>0</v>
      </c>
      <c r="N104" s="179">
        <f ca="1">IF(ISNUMBER(MATCH(DATEVALUE($A104),'changes1_based on steps'!N$1:N$400,0)),N$2,)</f>
        <v>0</v>
      </c>
      <c r="O104" s="179">
        <f ca="1">IF(ISNUMBER(MATCH(DATEVALUE($A104),'changes1_based on steps'!O$1:O$400,0)),O$2,)</f>
        <v>0</v>
      </c>
      <c r="P104" s="179">
        <f ca="1">IF(ISNUMBER(MATCH(DATEVALUE($A104),'changes1_based on steps'!P$1:P$400,0)),P$2,)</f>
        <v>0</v>
      </c>
      <c r="Q104" s="179">
        <f ca="1">IF(ISNUMBER(MATCH(DATEVALUE($A104),'changes1_based on steps'!Q$1:Q$400,0)),Q$2,)</f>
        <v>0</v>
      </c>
      <c r="R104" s="179">
        <f ca="1">IF(ISNUMBER(MATCH(DATEVALUE($A104),'changes1_based on steps'!R$1:R$400,0)),R$2,)</f>
        <v>0</v>
      </c>
      <c r="S104" s="179">
        <f ca="1">IF(ISNUMBER(MATCH(DATEVALUE($A104),'changes1_based on steps'!S$1:S$400,0)),S$2,)</f>
        <v>0</v>
      </c>
      <c r="T104" s="179">
        <f ca="1">IF(ISNUMBER(MATCH(DATEVALUE($A104),'changes1_based on steps'!T$1:T$400,0)),T$2,)</f>
        <v>0</v>
      </c>
      <c r="U104" s="179">
        <f ca="1">IF(ISNUMBER(MATCH(DATEVALUE($A104),'changes1_based on steps'!U$1:U$400,0)),U$2,)</f>
        <v>0</v>
      </c>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row>
    <row r="105" spans="1:101" x14ac:dyDescent="0.2">
      <c r="A105" s="32" t="str">
        <f t="shared" ca="1" si="1"/>
        <v>2025-07-09</v>
      </c>
      <c r="B105" s="179">
        <f ca="1">IF(ISNUMBER(MATCH(DATEVALUE($A105),'changes1_based on steps'!B$1:B$400,0)),B$2,)</f>
        <v>0</v>
      </c>
      <c r="C105" s="179">
        <f ca="1">IF(ISNUMBER(MATCH(DATEVALUE($A105),'changes1_based on steps'!C$1:C$400,0)),C$2,)</f>
        <v>0</v>
      </c>
      <c r="D105" s="179">
        <f ca="1">IF(ISNUMBER(MATCH(DATEVALUE($A105),'changes1_based on steps'!D$1:D$400,0)),D$2,)</f>
        <v>0</v>
      </c>
      <c r="E105" s="179">
        <f ca="1">IF(ISNUMBER(MATCH(DATEVALUE($A105),'changes1_based on steps'!E$1:E$400,0)),E$2,)</f>
        <v>0</v>
      </c>
      <c r="F105" s="179">
        <f ca="1">IF(ISNUMBER(MATCH(DATEVALUE($A105),'changes1_based on steps'!F$1:F$400,0)),F$2,)</f>
        <v>0</v>
      </c>
      <c r="G105" s="179">
        <f ca="1">IF(ISNUMBER(MATCH(DATEVALUE($A105),'changes1_based on steps'!G$1:G$400,0)),G$2,)</f>
        <v>0</v>
      </c>
      <c r="H105" s="179">
        <f ca="1">IF(ISNUMBER(MATCH(DATEVALUE($A105),'changes1_based on steps'!H$1:H$400,0)),H$2,)</f>
        <v>0</v>
      </c>
      <c r="I105" s="179">
        <f ca="1">IF(ISNUMBER(MATCH(DATEVALUE($A105),'changes1_based on steps'!I$1:I$400,0)),I$2,)</f>
        <v>0</v>
      </c>
      <c r="J105" s="179">
        <f ca="1">IF(ISNUMBER(MATCH(DATEVALUE($A105),'changes1_based on steps'!J$1:J$400,0)),J$2,)</f>
        <v>0</v>
      </c>
      <c r="K105" s="179">
        <f ca="1">IF(ISNUMBER(MATCH(DATEVALUE($A105),'changes1_based on steps'!K$1:K$400,0)),K$2,)</f>
        <v>0</v>
      </c>
      <c r="L105" s="179">
        <f ca="1">IF(ISNUMBER(MATCH(DATEVALUE($A105),'changes1_based on steps'!L$1:L$400,0)),L$2,)</f>
        <v>0</v>
      </c>
      <c r="M105" s="179">
        <f ca="1">IF(ISNUMBER(MATCH(DATEVALUE($A105),'changes1_based on steps'!M$1:M$400,0)),M$2,)</f>
        <v>0</v>
      </c>
      <c r="N105" s="179">
        <f ca="1">IF(ISNUMBER(MATCH(DATEVALUE($A105),'changes1_based on steps'!N$1:N$400,0)),N$2,)</f>
        <v>0</v>
      </c>
      <c r="O105" s="179">
        <f ca="1">IF(ISNUMBER(MATCH(DATEVALUE($A105),'changes1_based on steps'!O$1:O$400,0)),O$2,)</f>
        <v>0</v>
      </c>
      <c r="P105" s="179">
        <f ca="1">IF(ISNUMBER(MATCH(DATEVALUE($A105),'changes1_based on steps'!P$1:P$400,0)),P$2,)</f>
        <v>0</v>
      </c>
      <c r="Q105" s="179">
        <f ca="1">IF(ISNUMBER(MATCH(DATEVALUE($A105),'changes1_based on steps'!Q$1:Q$400,0)),Q$2,)</f>
        <v>0</v>
      </c>
      <c r="R105" s="179">
        <f ca="1">IF(ISNUMBER(MATCH(DATEVALUE($A105),'changes1_based on steps'!R$1:R$400,0)),R$2,)</f>
        <v>0</v>
      </c>
      <c r="S105" s="179">
        <f ca="1">IF(ISNUMBER(MATCH(DATEVALUE($A105),'changes1_based on steps'!S$1:S$400,0)),S$2,)</f>
        <v>0</v>
      </c>
      <c r="T105" s="179">
        <f ca="1">IF(ISNUMBER(MATCH(DATEVALUE($A105),'changes1_based on steps'!T$1:T$400,0)),T$2,)</f>
        <v>0</v>
      </c>
      <c r="U105" s="179">
        <f ca="1">IF(ISNUMBER(MATCH(DATEVALUE($A105),'changes1_based on steps'!U$1:U$400,0)),U$2,)</f>
        <v>0</v>
      </c>
      <c r="V105" s="179"/>
      <c r="W105" s="179"/>
      <c r="X105" s="179"/>
      <c r="Y105" s="179"/>
      <c r="Z105" s="179"/>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row>
    <row r="106" spans="1:101" x14ac:dyDescent="0.2">
      <c r="A106" s="32" t="str">
        <f t="shared" ca="1" si="1"/>
        <v>2025-07-10</v>
      </c>
      <c r="B106" s="179">
        <f ca="1">IF(ISNUMBER(MATCH(DATEVALUE($A106),'changes1_based on steps'!B$1:B$400,0)),B$2,)</f>
        <v>0</v>
      </c>
      <c r="C106" s="179">
        <f ca="1">IF(ISNUMBER(MATCH(DATEVALUE($A106),'changes1_based on steps'!C$1:C$400,0)),C$2,)</f>
        <v>0</v>
      </c>
      <c r="D106" s="179">
        <f ca="1">IF(ISNUMBER(MATCH(DATEVALUE($A106),'changes1_based on steps'!D$1:D$400,0)),D$2,)</f>
        <v>0</v>
      </c>
      <c r="E106" s="179">
        <f ca="1">IF(ISNUMBER(MATCH(DATEVALUE($A106),'changes1_based on steps'!E$1:E$400,0)),E$2,)</f>
        <v>0</v>
      </c>
      <c r="F106" s="179">
        <f ca="1">IF(ISNUMBER(MATCH(DATEVALUE($A106),'changes1_based on steps'!F$1:F$400,0)),F$2,)</f>
        <v>0</v>
      </c>
      <c r="G106" s="179">
        <f ca="1">IF(ISNUMBER(MATCH(DATEVALUE($A106),'changes1_based on steps'!G$1:G$400,0)),G$2,)</f>
        <v>0</v>
      </c>
      <c r="H106" s="179">
        <f ca="1">IF(ISNUMBER(MATCH(DATEVALUE($A106),'changes1_based on steps'!H$1:H$400,0)),H$2,)</f>
        <v>0</v>
      </c>
      <c r="I106" s="179">
        <f ca="1">IF(ISNUMBER(MATCH(DATEVALUE($A106),'changes1_based on steps'!I$1:I$400,0)),I$2,)</f>
        <v>0</v>
      </c>
      <c r="J106" s="179">
        <f ca="1">IF(ISNUMBER(MATCH(DATEVALUE($A106),'changes1_based on steps'!J$1:J$400,0)),J$2,)</f>
        <v>0</v>
      </c>
      <c r="K106" s="179">
        <f ca="1">IF(ISNUMBER(MATCH(DATEVALUE($A106),'changes1_based on steps'!K$1:K$400,0)),K$2,)</f>
        <v>0</v>
      </c>
      <c r="L106" s="179">
        <f ca="1">IF(ISNUMBER(MATCH(DATEVALUE($A106),'changes1_based on steps'!L$1:L$400,0)),L$2,)</f>
        <v>0</v>
      </c>
      <c r="M106" s="179">
        <f ca="1">IF(ISNUMBER(MATCH(DATEVALUE($A106),'changes1_based on steps'!M$1:M$400,0)),M$2,)</f>
        <v>0</v>
      </c>
      <c r="N106" s="179">
        <f ca="1">IF(ISNUMBER(MATCH(DATEVALUE($A106),'changes1_based on steps'!N$1:N$400,0)),N$2,)</f>
        <v>0</v>
      </c>
      <c r="O106" s="179">
        <f ca="1">IF(ISNUMBER(MATCH(DATEVALUE($A106),'changes1_based on steps'!O$1:O$400,0)),O$2,)</f>
        <v>0</v>
      </c>
      <c r="P106" s="179">
        <f ca="1">IF(ISNUMBER(MATCH(DATEVALUE($A106),'changes1_based on steps'!P$1:P$400,0)),P$2,)</f>
        <v>0</v>
      </c>
      <c r="Q106" s="179">
        <f ca="1">IF(ISNUMBER(MATCH(DATEVALUE($A106),'changes1_based on steps'!Q$1:Q$400,0)),Q$2,)</f>
        <v>0</v>
      </c>
      <c r="R106" s="179">
        <f ca="1">IF(ISNUMBER(MATCH(DATEVALUE($A106),'changes1_based on steps'!R$1:R$400,0)),R$2,)</f>
        <v>0</v>
      </c>
      <c r="S106" s="179">
        <f ca="1">IF(ISNUMBER(MATCH(DATEVALUE($A106),'changes1_based on steps'!S$1:S$400,0)),S$2,)</f>
        <v>0</v>
      </c>
      <c r="T106" s="179">
        <f ca="1">IF(ISNUMBER(MATCH(DATEVALUE($A106),'changes1_based on steps'!T$1:T$400,0)),T$2,)</f>
        <v>0</v>
      </c>
      <c r="U106" s="179">
        <f ca="1">IF(ISNUMBER(MATCH(DATEVALUE($A106),'changes1_based on steps'!U$1:U$400,0)),U$2,)</f>
        <v>0</v>
      </c>
      <c r="V106" s="179"/>
      <c r="W106" s="179"/>
      <c r="X106" s="179"/>
      <c r="Y106" s="179"/>
      <c r="Z106" s="179"/>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row>
    <row r="107" spans="1:101" x14ac:dyDescent="0.2">
      <c r="A107" s="32" t="str">
        <f t="shared" ca="1" si="1"/>
        <v>2025-07-11</v>
      </c>
      <c r="B107" s="179">
        <f ca="1">IF(ISNUMBER(MATCH(DATEVALUE($A107),'changes1_based on steps'!B$1:B$400,0)),B$2,)</f>
        <v>0</v>
      </c>
      <c r="C107" s="179">
        <f ca="1">IF(ISNUMBER(MATCH(DATEVALUE($A107),'changes1_based on steps'!C$1:C$400,0)),C$2,)</f>
        <v>0</v>
      </c>
      <c r="D107" s="179">
        <f ca="1">IF(ISNUMBER(MATCH(DATEVALUE($A107),'changes1_based on steps'!D$1:D$400,0)),D$2,)</f>
        <v>0</v>
      </c>
      <c r="E107" s="179">
        <f ca="1">IF(ISNUMBER(MATCH(DATEVALUE($A107),'changes1_based on steps'!E$1:E$400,0)),E$2,)</f>
        <v>0</v>
      </c>
      <c r="F107" s="179">
        <f ca="1">IF(ISNUMBER(MATCH(DATEVALUE($A107),'changes1_based on steps'!F$1:F$400,0)),F$2,)</f>
        <v>0</v>
      </c>
      <c r="G107" s="179">
        <f ca="1">IF(ISNUMBER(MATCH(DATEVALUE($A107),'changes1_based on steps'!G$1:G$400,0)),G$2,)</f>
        <v>0</v>
      </c>
      <c r="H107" s="179">
        <f ca="1">IF(ISNUMBER(MATCH(DATEVALUE($A107),'changes1_based on steps'!H$1:H$400,0)),H$2,)</f>
        <v>0</v>
      </c>
      <c r="I107" s="179">
        <f ca="1">IF(ISNUMBER(MATCH(DATEVALUE($A107),'changes1_based on steps'!I$1:I$400,0)),I$2,)</f>
        <v>0</v>
      </c>
      <c r="J107" s="179">
        <f ca="1">IF(ISNUMBER(MATCH(DATEVALUE($A107),'changes1_based on steps'!J$1:J$400,0)),J$2,)</f>
        <v>0</v>
      </c>
      <c r="K107" s="179">
        <f ca="1">IF(ISNUMBER(MATCH(DATEVALUE($A107),'changes1_based on steps'!K$1:K$400,0)),K$2,)</f>
        <v>0</v>
      </c>
      <c r="L107" s="179">
        <f ca="1">IF(ISNUMBER(MATCH(DATEVALUE($A107),'changes1_based on steps'!L$1:L$400,0)),L$2,)</f>
        <v>0</v>
      </c>
      <c r="M107" s="179">
        <f ca="1">IF(ISNUMBER(MATCH(DATEVALUE($A107),'changes1_based on steps'!M$1:M$400,0)),M$2,)</f>
        <v>0</v>
      </c>
      <c r="N107" s="179">
        <f ca="1">IF(ISNUMBER(MATCH(DATEVALUE($A107),'changes1_based on steps'!N$1:N$400,0)),N$2,)</f>
        <v>0</v>
      </c>
      <c r="O107" s="179">
        <f ca="1">IF(ISNUMBER(MATCH(DATEVALUE($A107),'changes1_based on steps'!O$1:O$400,0)),O$2,)</f>
        <v>0</v>
      </c>
      <c r="P107" s="179">
        <f ca="1">IF(ISNUMBER(MATCH(DATEVALUE($A107),'changes1_based on steps'!P$1:P$400,0)),P$2,)</f>
        <v>0</v>
      </c>
      <c r="Q107" s="179">
        <f ca="1">IF(ISNUMBER(MATCH(DATEVALUE($A107),'changes1_based on steps'!Q$1:Q$400,0)),Q$2,)</f>
        <v>0</v>
      </c>
      <c r="R107" s="179">
        <f ca="1">IF(ISNUMBER(MATCH(DATEVALUE($A107),'changes1_based on steps'!R$1:R$400,0)),R$2,)</f>
        <v>0</v>
      </c>
      <c r="S107" s="179">
        <f ca="1">IF(ISNUMBER(MATCH(DATEVALUE($A107),'changes1_based on steps'!S$1:S$400,0)),S$2,)</f>
        <v>0</v>
      </c>
      <c r="T107" s="179">
        <f ca="1">IF(ISNUMBER(MATCH(DATEVALUE($A107),'changes1_based on steps'!T$1:T$400,0)),T$2,)</f>
        <v>0</v>
      </c>
      <c r="U107" s="179">
        <f ca="1">IF(ISNUMBER(MATCH(DATEVALUE($A107),'changes1_based on steps'!U$1:U$400,0)),U$2,)</f>
        <v>0</v>
      </c>
      <c r="V107" s="179"/>
      <c r="W107" s="179"/>
      <c r="X107" s="179"/>
      <c r="Y107" s="179"/>
      <c r="Z107" s="179"/>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row>
    <row r="108" spans="1:101" x14ac:dyDescent="0.2">
      <c r="A108" s="32" t="str">
        <f t="shared" ca="1" si="1"/>
        <v>2025-07-12</v>
      </c>
      <c r="B108" s="179">
        <f ca="1">IF(ISNUMBER(MATCH(DATEVALUE($A108),'changes1_based on steps'!B$1:B$400,0)),B$2,)</f>
        <v>0</v>
      </c>
      <c r="C108" s="179">
        <f ca="1">IF(ISNUMBER(MATCH(DATEVALUE($A108),'changes1_based on steps'!C$1:C$400,0)),C$2,)</f>
        <v>0</v>
      </c>
      <c r="D108" s="179">
        <f ca="1">IF(ISNUMBER(MATCH(DATEVALUE($A108),'changes1_based on steps'!D$1:D$400,0)),D$2,)</f>
        <v>0</v>
      </c>
      <c r="E108" s="179">
        <f ca="1">IF(ISNUMBER(MATCH(DATEVALUE($A108),'changes1_based on steps'!E$1:E$400,0)),E$2,)</f>
        <v>0</v>
      </c>
      <c r="F108" s="179">
        <f ca="1">IF(ISNUMBER(MATCH(DATEVALUE($A108),'changes1_based on steps'!F$1:F$400,0)),F$2,)</f>
        <v>0</v>
      </c>
      <c r="G108" s="179">
        <f ca="1">IF(ISNUMBER(MATCH(DATEVALUE($A108),'changes1_based on steps'!G$1:G$400,0)),G$2,)</f>
        <v>0</v>
      </c>
      <c r="H108" s="179">
        <f ca="1">IF(ISNUMBER(MATCH(DATEVALUE($A108),'changes1_based on steps'!H$1:H$400,0)),H$2,)</f>
        <v>0</v>
      </c>
      <c r="I108" s="179">
        <f ca="1">IF(ISNUMBER(MATCH(DATEVALUE($A108),'changes1_based on steps'!I$1:I$400,0)),I$2,)</f>
        <v>0</v>
      </c>
      <c r="J108" s="179">
        <f ca="1">IF(ISNUMBER(MATCH(DATEVALUE($A108),'changes1_based on steps'!J$1:J$400,0)),J$2,)</f>
        <v>0</v>
      </c>
      <c r="K108" s="179">
        <f ca="1">IF(ISNUMBER(MATCH(DATEVALUE($A108),'changes1_based on steps'!K$1:K$400,0)),K$2,)</f>
        <v>0</v>
      </c>
      <c r="L108" s="179">
        <f ca="1">IF(ISNUMBER(MATCH(DATEVALUE($A108),'changes1_based on steps'!L$1:L$400,0)),L$2,)</f>
        <v>0</v>
      </c>
      <c r="M108" s="179">
        <f ca="1">IF(ISNUMBER(MATCH(DATEVALUE($A108),'changes1_based on steps'!M$1:M$400,0)),M$2,)</f>
        <v>0</v>
      </c>
      <c r="N108" s="179">
        <f ca="1">IF(ISNUMBER(MATCH(DATEVALUE($A108),'changes1_based on steps'!N$1:N$400,0)),N$2,)</f>
        <v>0</v>
      </c>
      <c r="O108" s="179">
        <f ca="1">IF(ISNUMBER(MATCH(DATEVALUE($A108),'changes1_based on steps'!O$1:O$400,0)),O$2,)</f>
        <v>0</v>
      </c>
      <c r="P108" s="179">
        <f ca="1">IF(ISNUMBER(MATCH(DATEVALUE($A108),'changes1_based on steps'!P$1:P$400,0)),P$2,)</f>
        <v>0</v>
      </c>
      <c r="Q108" s="179">
        <f ca="1">IF(ISNUMBER(MATCH(DATEVALUE($A108),'changes1_based on steps'!Q$1:Q$400,0)),Q$2,)</f>
        <v>0</v>
      </c>
      <c r="R108" s="179">
        <f ca="1">IF(ISNUMBER(MATCH(DATEVALUE($A108),'changes1_based on steps'!R$1:R$400,0)),R$2,)</f>
        <v>0</v>
      </c>
      <c r="S108" s="179">
        <f ca="1">IF(ISNUMBER(MATCH(DATEVALUE($A108),'changes1_based on steps'!S$1:S$400,0)),S$2,)</f>
        <v>0</v>
      </c>
      <c r="T108" s="179">
        <f ca="1">IF(ISNUMBER(MATCH(DATEVALUE($A108),'changes1_based on steps'!T$1:T$400,0)),T$2,)</f>
        <v>0</v>
      </c>
      <c r="U108" s="179">
        <f ca="1">IF(ISNUMBER(MATCH(DATEVALUE($A108),'changes1_based on steps'!U$1:U$400,0)),U$2,)</f>
        <v>0</v>
      </c>
      <c r="V108" s="179"/>
      <c r="W108" s="179"/>
      <c r="X108" s="179"/>
      <c r="Y108" s="179"/>
      <c r="Z108" s="179"/>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row>
    <row r="109" spans="1:101" x14ac:dyDescent="0.2">
      <c r="A109" s="32" t="str">
        <f t="shared" ca="1" si="1"/>
        <v>2025-07-13</v>
      </c>
      <c r="B109" s="179">
        <f ca="1">IF(ISNUMBER(MATCH(DATEVALUE($A109),'changes1_based on steps'!B$1:B$400,0)),B$2,)</f>
        <v>0</v>
      </c>
      <c r="C109" s="179">
        <f ca="1">IF(ISNUMBER(MATCH(DATEVALUE($A109),'changes1_based on steps'!C$1:C$400,0)),C$2,)</f>
        <v>0</v>
      </c>
      <c r="D109" s="179">
        <f ca="1">IF(ISNUMBER(MATCH(DATEVALUE($A109),'changes1_based on steps'!D$1:D$400,0)),D$2,)</f>
        <v>0</v>
      </c>
      <c r="E109" s="179">
        <f ca="1">IF(ISNUMBER(MATCH(DATEVALUE($A109),'changes1_based on steps'!E$1:E$400,0)),E$2,)</f>
        <v>0</v>
      </c>
      <c r="F109" s="179">
        <f ca="1">IF(ISNUMBER(MATCH(DATEVALUE($A109),'changes1_based on steps'!F$1:F$400,0)),F$2,)</f>
        <v>0</v>
      </c>
      <c r="G109" s="179">
        <f ca="1">IF(ISNUMBER(MATCH(DATEVALUE($A109),'changes1_based on steps'!G$1:G$400,0)),G$2,)</f>
        <v>0</v>
      </c>
      <c r="H109" s="179">
        <f ca="1">IF(ISNUMBER(MATCH(DATEVALUE($A109),'changes1_based on steps'!H$1:H$400,0)),H$2,)</f>
        <v>0</v>
      </c>
      <c r="I109" s="179">
        <f ca="1">IF(ISNUMBER(MATCH(DATEVALUE($A109),'changes1_based on steps'!I$1:I$400,0)),I$2,)</f>
        <v>0</v>
      </c>
      <c r="J109" s="179">
        <f ca="1">IF(ISNUMBER(MATCH(DATEVALUE($A109),'changes1_based on steps'!J$1:J$400,0)),J$2,)</f>
        <v>0</v>
      </c>
      <c r="K109" s="179">
        <f ca="1">IF(ISNUMBER(MATCH(DATEVALUE($A109),'changes1_based on steps'!K$1:K$400,0)),K$2,)</f>
        <v>0</v>
      </c>
      <c r="L109" s="179">
        <f ca="1">IF(ISNUMBER(MATCH(DATEVALUE($A109),'changes1_based on steps'!L$1:L$400,0)),L$2,)</f>
        <v>0</v>
      </c>
      <c r="M109" s="179">
        <f ca="1">IF(ISNUMBER(MATCH(DATEVALUE($A109),'changes1_based on steps'!M$1:M$400,0)),M$2,)</f>
        <v>0</v>
      </c>
      <c r="N109" s="179">
        <f ca="1">IF(ISNUMBER(MATCH(DATEVALUE($A109),'changes1_based on steps'!N$1:N$400,0)),N$2,)</f>
        <v>0</v>
      </c>
      <c r="O109" s="179">
        <f ca="1">IF(ISNUMBER(MATCH(DATEVALUE($A109),'changes1_based on steps'!O$1:O$400,0)),O$2,)</f>
        <v>0</v>
      </c>
      <c r="P109" s="179">
        <f ca="1">IF(ISNUMBER(MATCH(DATEVALUE($A109),'changes1_based on steps'!P$1:P$400,0)),P$2,)</f>
        <v>0</v>
      </c>
      <c r="Q109" s="179">
        <f ca="1">IF(ISNUMBER(MATCH(DATEVALUE($A109),'changes1_based on steps'!Q$1:Q$400,0)),Q$2,)</f>
        <v>0</v>
      </c>
      <c r="R109" s="179">
        <f ca="1">IF(ISNUMBER(MATCH(DATEVALUE($A109),'changes1_based on steps'!R$1:R$400,0)),R$2,)</f>
        <v>0</v>
      </c>
      <c r="S109" s="179">
        <f ca="1">IF(ISNUMBER(MATCH(DATEVALUE($A109),'changes1_based on steps'!S$1:S$400,0)),S$2,)</f>
        <v>0</v>
      </c>
      <c r="T109" s="179">
        <f ca="1">IF(ISNUMBER(MATCH(DATEVALUE($A109),'changes1_based on steps'!T$1:T$400,0)),T$2,)</f>
        <v>0</v>
      </c>
      <c r="U109" s="179">
        <f ca="1">IF(ISNUMBER(MATCH(DATEVALUE($A109),'changes1_based on steps'!U$1:U$400,0)),U$2,)</f>
        <v>0</v>
      </c>
      <c r="V109" s="179"/>
      <c r="W109" s="179"/>
      <c r="X109" s="179"/>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row>
    <row r="110" spans="1:101" x14ac:dyDescent="0.2">
      <c r="A110" s="32" t="str">
        <f t="shared" ca="1" si="1"/>
        <v>2025-07-14</v>
      </c>
      <c r="B110" s="179">
        <f ca="1">IF(ISNUMBER(MATCH(DATEVALUE($A110),'changes1_based on steps'!B$1:B$400,0)),B$2,)</f>
        <v>0</v>
      </c>
      <c r="C110" s="179">
        <f ca="1">IF(ISNUMBER(MATCH(DATEVALUE($A110),'changes1_based on steps'!C$1:C$400,0)),C$2,)</f>
        <v>0</v>
      </c>
      <c r="D110" s="179">
        <f ca="1">IF(ISNUMBER(MATCH(DATEVALUE($A110),'changes1_based on steps'!D$1:D$400,0)),D$2,)</f>
        <v>0</v>
      </c>
      <c r="E110" s="179">
        <f ca="1">IF(ISNUMBER(MATCH(DATEVALUE($A110),'changes1_based on steps'!E$1:E$400,0)),E$2,)</f>
        <v>0</v>
      </c>
      <c r="F110" s="179">
        <f ca="1">IF(ISNUMBER(MATCH(DATEVALUE($A110),'changes1_based on steps'!F$1:F$400,0)),F$2,)</f>
        <v>0</v>
      </c>
      <c r="G110" s="179">
        <f ca="1">IF(ISNUMBER(MATCH(DATEVALUE($A110),'changes1_based on steps'!G$1:G$400,0)),G$2,)</f>
        <v>0</v>
      </c>
      <c r="H110" s="179">
        <f ca="1">IF(ISNUMBER(MATCH(DATEVALUE($A110),'changes1_based on steps'!H$1:H$400,0)),H$2,)</f>
        <v>0</v>
      </c>
      <c r="I110" s="179">
        <f ca="1">IF(ISNUMBER(MATCH(DATEVALUE($A110),'changes1_based on steps'!I$1:I$400,0)),I$2,)</f>
        <v>0</v>
      </c>
      <c r="J110" s="179">
        <f ca="1">IF(ISNUMBER(MATCH(DATEVALUE($A110),'changes1_based on steps'!J$1:J$400,0)),J$2,)</f>
        <v>0</v>
      </c>
      <c r="K110" s="179">
        <f ca="1">IF(ISNUMBER(MATCH(DATEVALUE($A110),'changes1_based on steps'!K$1:K$400,0)),K$2,)</f>
        <v>0</v>
      </c>
      <c r="L110" s="179">
        <f ca="1">IF(ISNUMBER(MATCH(DATEVALUE($A110),'changes1_based on steps'!L$1:L$400,0)),L$2,)</f>
        <v>0</v>
      </c>
      <c r="M110" s="179">
        <f ca="1">IF(ISNUMBER(MATCH(DATEVALUE($A110),'changes1_based on steps'!M$1:M$400,0)),M$2,)</f>
        <v>0</v>
      </c>
      <c r="N110" s="179">
        <f ca="1">IF(ISNUMBER(MATCH(DATEVALUE($A110),'changes1_based on steps'!N$1:N$400,0)),N$2,)</f>
        <v>0</v>
      </c>
      <c r="O110" s="179">
        <f ca="1">IF(ISNUMBER(MATCH(DATEVALUE($A110),'changes1_based on steps'!O$1:O$400,0)),O$2,)</f>
        <v>0</v>
      </c>
      <c r="P110" s="179">
        <f ca="1">IF(ISNUMBER(MATCH(DATEVALUE($A110),'changes1_based on steps'!P$1:P$400,0)),P$2,)</f>
        <v>0</v>
      </c>
      <c r="Q110" s="179">
        <f ca="1">IF(ISNUMBER(MATCH(DATEVALUE($A110),'changes1_based on steps'!Q$1:Q$400,0)),Q$2,)</f>
        <v>0</v>
      </c>
      <c r="R110" s="179">
        <f ca="1">IF(ISNUMBER(MATCH(DATEVALUE($A110),'changes1_based on steps'!R$1:R$400,0)),R$2,)</f>
        <v>0</v>
      </c>
      <c r="S110" s="179">
        <f ca="1">IF(ISNUMBER(MATCH(DATEVALUE($A110),'changes1_based on steps'!S$1:S$400,0)),S$2,)</f>
        <v>0</v>
      </c>
      <c r="T110" s="179">
        <f ca="1">IF(ISNUMBER(MATCH(DATEVALUE($A110),'changes1_based on steps'!T$1:T$400,0)),T$2,)</f>
        <v>0</v>
      </c>
      <c r="U110" s="179">
        <f ca="1">IF(ISNUMBER(MATCH(DATEVALUE($A110),'changes1_based on steps'!U$1:U$400,0)),U$2,)</f>
        <v>0</v>
      </c>
      <c r="V110" s="179"/>
      <c r="W110" s="179"/>
      <c r="X110" s="179"/>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row>
    <row r="111" spans="1:101" x14ac:dyDescent="0.2">
      <c r="A111" s="32" t="str">
        <f t="shared" ca="1" si="1"/>
        <v>2025-07-15</v>
      </c>
      <c r="B111" s="179">
        <f ca="1">IF(ISNUMBER(MATCH(DATEVALUE($A111),'changes1_based on steps'!B$1:B$400,0)),B$2,)</f>
        <v>0</v>
      </c>
      <c r="C111" s="179">
        <f ca="1">IF(ISNUMBER(MATCH(DATEVALUE($A111),'changes1_based on steps'!C$1:C$400,0)),C$2,)</f>
        <v>0</v>
      </c>
      <c r="D111" s="179">
        <f ca="1">IF(ISNUMBER(MATCH(DATEVALUE($A111),'changes1_based on steps'!D$1:D$400,0)),D$2,)</f>
        <v>0</v>
      </c>
      <c r="E111" s="179">
        <f ca="1">IF(ISNUMBER(MATCH(DATEVALUE($A111),'changes1_based on steps'!E$1:E$400,0)),E$2,)</f>
        <v>0</v>
      </c>
      <c r="F111" s="179">
        <f ca="1">IF(ISNUMBER(MATCH(DATEVALUE($A111),'changes1_based on steps'!F$1:F$400,0)),F$2,)</f>
        <v>0</v>
      </c>
      <c r="G111" s="179">
        <f ca="1">IF(ISNUMBER(MATCH(DATEVALUE($A111),'changes1_based on steps'!G$1:G$400,0)),G$2,)</f>
        <v>0</v>
      </c>
      <c r="H111" s="179">
        <f ca="1">IF(ISNUMBER(MATCH(DATEVALUE($A111),'changes1_based on steps'!H$1:H$400,0)),H$2,)</f>
        <v>0</v>
      </c>
      <c r="I111" s="179">
        <f ca="1">IF(ISNUMBER(MATCH(DATEVALUE($A111),'changes1_based on steps'!I$1:I$400,0)),I$2,)</f>
        <v>0</v>
      </c>
      <c r="J111" s="179">
        <f ca="1">IF(ISNUMBER(MATCH(DATEVALUE($A111),'changes1_based on steps'!J$1:J$400,0)),J$2,)</f>
        <v>0</v>
      </c>
      <c r="K111" s="179">
        <f ca="1">IF(ISNUMBER(MATCH(DATEVALUE($A111),'changes1_based on steps'!K$1:K$400,0)),K$2,)</f>
        <v>0</v>
      </c>
      <c r="L111" s="179">
        <f ca="1">IF(ISNUMBER(MATCH(DATEVALUE($A111),'changes1_based on steps'!L$1:L$400,0)),L$2,)</f>
        <v>0</v>
      </c>
      <c r="M111" s="179">
        <f ca="1">IF(ISNUMBER(MATCH(DATEVALUE($A111),'changes1_based on steps'!M$1:M$400,0)),M$2,)</f>
        <v>0</v>
      </c>
      <c r="N111" s="179">
        <f ca="1">IF(ISNUMBER(MATCH(DATEVALUE($A111),'changes1_based on steps'!N$1:N$400,0)),N$2,)</f>
        <v>0</v>
      </c>
      <c r="O111" s="179">
        <f ca="1">IF(ISNUMBER(MATCH(DATEVALUE($A111),'changes1_based on steps'!O$1:O$400,0)),O$2,)</f>
        <v>0</v>
      </c>
      <c r="P111" s="179">
        <f ca="1">IF(ISNUMBER(MATCH(DATEVALUE($A111),'changes1_based on steps'!P$1:P$400,0)),P$2,)</f>
        <v>0</v>
      </c>
      <c r="Q111" s="179">
        <f ca="1">IF(ISNUMBER(MATCH(DATEVALUE($A111),'changes1_based on steps'!Q$1:Q$400,0)),Q$2,)</f>
        <v>0</v>
      </c>
      <c r="R111" s="179">
        <f ca="1">IF(ISNUMBER(MATCH(DATEVALUE($A111),'changes1_based on steps'!R$1:R$400,0)),R$2,)</f>
        <v>0</v>
      </c>
      <c r="S111" s="179">
        <f ca="1">IF(ISNUMBER(MATCH(DATEVALUE($A111),'changes1_based on steps'!S$1:S$400,0)),S$2,)</f>
        <v>0</v>
      </c>
      <c r="T111" s="179">
        <f ca="1">IF(ISNUMBER(MATCH(DATEVALUE($A111),'changes1_based on steps'!T$1:T$400,0)),T$2,)</f>
        <v>0</v>
      </c>
      <c r="U111" s="179">
        <f ca="1">IF(ISNUMBER(MATCH(DATEVALUE($A111),'changes1_based on steps'!U$1:U$400,0)),U$2,)</f>
        <v>0</v>
      </c>
      <c r="V111" s="179"/>
      <c r="W111" s="179"/>
      <c r="X111" s="179"/>
      <c r="Y111" s="179"/>
      <c r="Z111" s="179"/>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c r="AV111" s="179"/>
      <c r="AW111" s="179"/>
      <c r="AX111" s="179"/>
      <c r="AY111" s="179"/>
      <c r="AZ111" s="179"/>
      <c r="BA111" s="179"/>
      <c r="BB111" s="179"/>
      <c r="BC111" s="179"/>
      <c r="BD111" s="179"/>
      <c r="BE111" s="179"/>
      <c r="BF111" s="179"/>
      <c r="BG111" s="179"/>
      <c r="BH111" s="179"/>
      <c r="BI111" s="179"/>
      <c r="BJ111" s="179"/>
      <c r="BK111" s="179"/>
      <c r="BL111" s="179"/>
      <c r="BM111" s="179"/>
      <c r="BN111" s="179"/>
      <c r="BO111" s="179"/>
      <c r="BP111" s="179"/>
      <c r="BQ111" s="179"/>
      <c r="BR111" s="179"/>
      <c r="BS111" s="179"/>
      <c r="BT111" s="179"/>
      <c r="BU111" s="179"/>
      <c r="BV111" s="179"/>
      <c r="BW111" s="179"/>
      <c r="BX111" s="179"/>
      <c r="BY111" s="179"/>
      <c r="BZ111" s="179"/>
      <c r="CA111" s="179"/>
      <c r="CB111" s="179"/>
      <c r="CC111" s="179"/>
      <c r="CD111" s="179"/>
      <c r="CE111" s="179"/>
      <c r="CF111" s="179"/>
      <c r="CG111" s="179"/>
      <c r="CH111" s="179"/>
      <c r="CI111" s="179"/>
      <c r="CJ111" s="179"/>
      <c r="CK111" s="179"/>
      <c r="CL111" s="179"/>
      <c r="CM111" s="179"/>
      <c r="CN111" s="179"/>
      <c r="CO111" s="179"/>
      <c r="CP111" s="179"/>
      <c r="CQ111" s="179"/>
      <c r="CR111" s="179"/>
      <c r="CS111" s="179"/>
      <c r="CT111" s="179"/>
      <c r="CU111" s="179"/>
      <c r="CV111" s="179"/>
      <c r="CW111" s="179"/>
    </row>
    <row r="112" spans="1:101" x14ac:dyDescent="0.2">
      <c r="A112" s="32" t="str">
        <f t="shared" ca="1" si="1"/>
        <v>2025-07-16</v>
      </c>
      <c r="B112" s="179">
        <f ca="1">IF(ISNUMBER(MATCH(DATEVALUE($A112),'changes1_based on steps'!B$1:B$400,0)),B$2,)</f>
        <v>0</v>
      </c>
      <c r="C112" s="179">
        <f ca="1">IF(ISNUMBER(MATCH(DATEVALUE($A112),'changes1_based on steps'!C$1:C$400,0)),C$2,)</f>
        <v>0</v>
      </c>
      <c r="D112" s="179">
        <f ca="1">IF(ISNUMBER(MATCH(DATEVALUE($A112),'changes1_based on steps'!D$1:D$400,0)),D$2,)</f>
        <v>0</v>
      </c>
      <c r="E112" s="179">
        <f ca="1">IF(ISNUMBER(MATCH(DATEVALUE($A112),'changes1_based on steps'!E$1:E$400,0)),E$2,)</f>
        <v>0</v>
      </c>
      <c r="F112" s="179">
        <f ca="1">IF(ISNUMBER(MATCH(DATEVALUE($A112),'changes1_based on steps'!F$1:F$400,0)),F$2,)</f>
        <v>0</v>
      </c>
      <c r="G112" s="179">
        <f ca="1">IF(ISNUMBER(MATCH(DATEVALUE($A112),'changes1_based on steps'!G$1:G$400,0)),G$2,)</f>
        <v>0</v>
      </c>
      <c r="H112" s="179">
        <f ca="1">IF(ISNUMBER(MATCH(DATEVALUE($A112),'changes1_based on steps'!H$1:H$400,0)),H$2,)</f>
        <v>0</v>
      </c>
      <c r="I112" s="179">
        <f ca="1">IF(ISNUMBER(MATCH(DATEVALUE($A112),'changes1_based on steps'!I$1:I$400,0)),I$2,)</f>
        <v>0</v>
      </c>
      <c r="J112" s="179">
        <f ca="1">IF(ISNUMBER(MATCH(DATEVALUE($A112),'changes1_based on steps'!J$1:J$400,0)),J$2,)</f>
        <v>0</v>
      </c>
      <c r="K112" s="179">
        <f ca="1">IF(ISNUMBER(MATCH(DATEVALUE($A112),'changes1_based on steps'!K$1:K$400,0)),K$2,)</f>
        <v>0</v>
      </c>
      <c r="L112" s="179">
        <f ca="1">IF(ISNUMBER(MATCH(DATEVALUE($A112),'changes1_based on steps'!L$1:L$400,0)),L$2,)</f>
        <v>0</v>
      </c>
      <c r="M112" s="179">
        <f ca="1">IF(ISNUMBER(MATCH(DATEVALUE($A112),'changes1_based on steps'!M$1:M$400,0)),M$2,)</f>
        <v>0</v>
      </c>
      <c r="N112" s="179">
        <f ca="1">IF(ISNUMBER(MATCH(DATEVALUE($A112),'changes1_based on steps'!N$1:N$400,0)),N$2,)</f>
        <v>0</v>
      </c>
      <c r="O112" s="179">
        <f ca="1">IF(ISNUMBER(MATCH(DATEVALUE($A112),'changes1_based on steps'!O$1:O$400,0)),O$2,)</f>
        <v>0</v>
      </c>
      <c r="P112" s="179">
        <f ca="1">IF(ISNUMBER(MATCH(DATEVALUE($A112),'changes1_based on steps'!P$1:P$400,0)),P$2,)</f>
        <v>0</v>
      </c>
      <c r="Q112" s="179">
        <f ca="1">IF(ISNUMBER(MATCH(DATEVALUE($A112),'changes1_based on steps'!Q$1:Q$400,0)),Q$2,)</f>
        <v>0</v>
      </c>
      <c r="R112" s="179">
        <f ca="1">IF(ISNUMBER(MATCH(DATEVALUE($A112),'changes1_based on steps'!R$1:R$400,0)),R$2,)</f>
        <v>0</v>
      </c>
      <c r="S112" s="179">
        <f ca="1">IF(ISNUMBER(MATCH(DATEVALUE($A112),'changes1_based on steps'!S$1:S$400,0)),S$2,)</f>
        <v>0</v>
      </c>
      <c r="T112" s="179">
        <f ca="1">IF(ISNUMBER(MATCH(DATEVALUE($A112),'changes1_based on steps'!T$1:T$400,0)),T$2,)</f>
        <v>0</v>
      </c>
      <c r="U112" s="179">
        <f ca="1">IF(ISNUMBER(MATCH(DATEVALUE($A112),'changes1_based on steps'!U$1:U$400,0)),U$2,)</f>
        <v>0</v>
      </c>
      <c r="V112" s="179"/>
      <c r="W112" s="179"/>
      <c r="X112" s="179"/>
      <c r="Y112" s="179"/>
      <c r="Z112" s="179"/>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row>
    <row r="113" spans="1:101" x14ac:dyDescent="0.2">
      <c r="A113" s="32" t="str">
        <f t="shared" ca="1" si="1"/>
        <v>2025-07-17</v>
      </c>
      <c r="B113" s="179">
        <f ca="1">IF(ISNUMBER(MATCH(DATEVALUE($A113),'changes1_based on steps'!B$1:B$400,0)),B$2,)</f>
        <v>0</v>
      </c>
      <c r="C113" s="179">
        <f ca="1">IF(ISNUMBER(MATCH(DATEVALUE($A113),'changes1_based on steps'!C$1:C$400,0)),C$2,)</f>
        <v>0</v>
      </c>
      <c r="D113" s="179">
        <f ca="1">IF(ISNUMBER(MATCH(DATEVALUE($A113),'changes1_based on steps'!D$1:D$400,0)),D$2,)</f>
        <v>0</v>
      </c>
      <c r="E113" s="179">
        <f ca="1">IF(ISNUMBER(MATCH(DATEVALUE($A113),'changes1_based on steps'!E$1:E$400,0)),E$2,)</f>
        <v>0</v>
      </c>
      <c r="F113" s="179">
        <f ca="1">IF(ISNUMBER(MATCH(DATEVALUE($A113),'changes1_based on steps'!F$1:F$400,0)),F$2,)</f>
        <v>0</v>
      </c>
      <c r="G113" s="179">
        <f ca="1">IF(ISNUMBER(MATCH(DATEVALUE($A113),'changes1_based on steps'!G$1:G$400,0)),G$2,)</f>
        <v>0</v>
      </c>
      <c r="H113" s="179">
        <f ca="1">IF(ISNUMBER(MATCH(DATEVALUE($A113),'changes1_based on steps'!H$1:H$400,0)),H$2,)</f>
        <v>0</v>
      </c>
      <c r="I113" s="179">
        <f ca="1">IF(ISNUMBER(MATCH(DATEVALUE($A113),'changes1_based on steps'!I$1:I$400,0)),I$2,)</f>
        <v>0</v>
      </c>
      <c r="J113" s="179">
        <f ca="1">IF(ISNUMBER(MATCH(DATEVALUE($A113),'changes1_based on steps'!J$1:J$400,0)),J$2,)</f>
        <v>0</v>
      </c>
      <c r="K113" s="179">
        <f ca="1">IF(ISNUMBER(MATCH(DATEVALUE($A113),'changes1_based on steps'!K$1:K$400,0)),K$2,)</f>
        <v>0</v>
      </c>
      <c r="L113" s="179">
        <f ca="1">IF(ISNUMBER(MATCH(DATEVALUE($A113),'changes1_based on steps'!L$1:L$400,0)),L$2,)</f>
        <v>0</v>
      </c>
      <c r="M113" s="179">
        <f ca="1">IF(ISNUMBER(MATCH(DATEVALUE($A113),'changes1_based on steps'!M$1:M$400,0)),M$2,)</f>
        <v>0</v>
      </c>
      <c r="N113" s="179">
        <f ca="1">IF(ISNUMBER(MATCH(DATEVALUE($A113),'changes1_based on steps'!N$1:N$400,0)),N$2,)</f>
        <v>0</v>
      </c>
      <c r="O113" s="179">
        <f ca="1">IF(ISNUMBER(MATCH(DATEVALUE($A113),'changes1_based on steps'!O$1:O$400,0)),O$2,)</f>
        <v>0</v>
      </c>
      <c r="P113" s="179">
        <f ca="1">IF(ISNUMBER(MATCH(DATEVALUE($A113),'changes1_based on steps'!P$1:P$400,0)),P$2,)</f>
        <v>0</v>
      </c>
      <c r="Q113" s="179">
        <f ca="1">IF(ISNUMBER(MATCH(DATEVALUE($A113),'changes1_based on steps'!Q$1:Q$400,0)),Q$2,)</f>
        <v>0</v>
      </c>
      <c r="R113" s="179">
        <f ca="1">IF(ISNUMBER(MATCH(DATEVALUE($A113),'changes1_based on steps'!R$1:R$400,0)),R$2,)</f>
        <v>0</v>
      </c>
      <c r="S113" s="179">
        <f ca="1">IF(ISNUMBER(MATCH(DATEVALUE($A113),'changes1_based on steps'!S$1:S$400,0)),S$2,)</f>
        <v>0</v>
      </c>
      <c r="T113" s="179">
        <f ca="1">IF(ISNUMBER(MATCH(DATEVALUE($A113),'changes1_based on steps'!T$1:T$400,0)),T$2,)</f>
        <v>0</v>
      </c>
      <c r="U113" s="179">
        <f ca="1">IF(ISNUMBER(MATCH(DATEVALUE($A113),'changes1_based on steps'!U$1:U$400,0)),U$2,)</f>
        <v>0</v>
      </c>
      <c r="V113" s="179"/>
      <c r="W113" s="179"/>
      <c r="X113" s="179"/>
      <c r="Y113" s="179"/>
      <c r="Z113" s="179"/>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c r="AV113" s="179"/>
      <c r="AW113" s="179"/>
      <c r="AX113" s="179"/>
      <c r="AY113" s="179"/>
      <c r="AZ113" s="179"/>
      <c r="BA113" s="179"/>
      <c r="BB113" s="179"/>
      <c r="BC113" s="179"/>
      <c r="BD113" s="179"/>
      <c r="BE113" s="179"/>
      <c r="BF113" s="179"/>
      <c r="BG113" s="179"/>
      <c r="BH113" s="179"/>
      <c r="BI113" s="179"/>
      <c r="BJ113" s="179"/>
      <c r="BK113" s="179"/>
      <c r="BL113" s="179"/>
      <c r="BM113" s="179"/>
      <c r="BN113" s="179"/>
      <c r="BO113" s="179"/>
      <c r="BP113" s="179"/>
      <c r="BQ113" s="179"/>
      <c r="BR113" s="179"/>
      <c r="BS113" s="179"/>
      <c r="BT113" s="179"/>
      <c r="BU113" s="179"/>
      <c r="BV113" s="179"/>
      <c r="BW113" s="179"/>
      <c r="BX113" s="179"/>
      <c r="BY113" s="179"/>
      <c r="BZ113" s="179"/>
      <c r="CA113" s="179"/>
      <c r="CB113" s="179"/>
      <c r="CC113" s="179"/>
      <c r="CD113" s="179"/>
      <c r="CE113" s="179"/>
      <c r="CF113" s="179"/>
      <c r="CG113" s="179"/>
      <c r="CH113" s="179"/>
      <c r="CI113" s="179"/>
      <c r="CJ113" s="179"/>
      <c r="CK113" s="179"/>
      <c r="CL113" s="179"/>
      <c r="CM113" s="179"/>
      <c r="CN113" s="179"/>
      <c r="CO113" s="179"/>
      <c r="CP113" s="179"/>
      <c r="CQ113" s="179"/>
      <c r="CR113" s="179"/>
      <c r="CS113" s="179"/>
      <c r="CT113" s="179"/>
      <c r="CU113" s="179"/>
      <c r="CV113" s="179"/>
      <c r="CW113" s="179"/>
    </row>
    <row r="114" spans="1:101" x14ac:dyDescent="0.2">
      <c r="A114" s="32" t="str">
        <f t="shared" ca="1" si="1"/>
        <v>2025-07-18</v>
      </c>
      <c r="B114" s="179">
        <f ca="1">IF(ISNUMBER(MATCH(DATEVALUE($A114),'changes1_based on steps'!B$1:B$400,0)),B$2,)</f>
        <v>0</v>
      </c>
      <c r="C114" s="179">
        <f ca="1">IF(ISNUMBER(MATCH(DATEVALUE($A114),'changes1_based on steps'!C$1:C$400,0)),C$2,)</f>
        <v>0</v>
      </c>
      <c r="D114" s="179">
        <f ca="1">IF(ISNUMBER(MATCH(DATEVALUE($A114),'changes1_based on steps'!D$1:D$400,0)),D$2,)</f>
        <v>0</v>
      </c>
      <c r="E114" s="179">
        <f ca="1">IF(ISNUMBER(MATCH(DATEVALUE($A114),'changes1_based on steps'!E$1:E$400,0)),E$2,)</f>
        <v>0</v>
      </c>
      <c r="F114" s="179">
        <f ca="1">IF(ISNUMBER(MATCH(DATEVALUE($A114),'changes1_based on steps'!F$1:F$400,0)),F$2,)</f>
        <v>0</v>
      </c>
      <c r="G114" s="179">
        <f ca="1">IF(ISNUMBER(MATCH(DATEVALUE($A114),'changes1_based on steps'!G$1:G$400,0)),G$2,)</f>
        <v>0</v>
      </c>
      <c r="H114" s="179">
        <f ca="1">IF(ISNUMBER(MATCH(DATEVALUE($A114),'changes1_based on steps'!H$1:H$400,0)),H$2,)</f>
        <v>0</v>
      </c>
      <c r="I114" s="179">
        <f ca="1">IF(ISNUMBER(MATCH(DATEVALUE($A114),'changes1_based on steps'!I$1:I$400,0)),I$2,)</f>
        <v>0</v>
      </c>
      <c r="J114" s="179">
        <f ca="1">IF(ISNUMBER(MATCH(DATEVALUE($A114),'changes1_based on steps'!J$1:J$400,0)),J$2,)</f>
        <v>0</v>
      </c>
      <c r="K114" s="179">
        <f ca="1">IF(ISNUMBER(MATCH(DATEVALUE($A114),'changes1_based on steps'!K$1:K$400,0)),K$2,)</f>
        <v>0</v>
      </c>
      <c r="L114" s="179">
        <f ca="1">IF(ISNUMBER(MATCH(DATEVALUE($A114),'changes1_based on steps'!L$1:L$400,0)),L$2,)</f>
        <v>0</v>
      </c>
      <c r="M114" s="179">
        <f ca="1">IF(ISNUMBER(MATCH(DATEVALUE($A114),'changes1_based on steps'!M$1:M$400,0)),M$2,)</f>
        <v>0</v>
      </c>
      <c r="N114" s="179">
        <f ca="1">IF(ISNUMBER(MATCH(DATEVALUE($A114),'changes1_based on steps'!N$1:N$400,0)),N$2,)</f>
        <v>0</v>
      </c>
      <c r="O114" s="179">
        <f ca="1">IF(ISNUMBER(MATCH(DATEVALUE($A114),'changes1_based on steps'!O$1:O$400,0)),O$2,)</f>
        <v>0</v>
      </c>
      <c r="P114" s="179">
        <f ca="1">IF(ISNUMBER(MATCH(DATEVALUE($A114),'changes1_based on steps'!P$1:P$400,0)),P$2,)</f>
        <v>0</v>
      </c>
      <c r="Q114" s="179">
        <f ca="1">IF(ISNUMBER(MATCH(DATEVALUE($A114),'changes1_based on steps'!Q$1:Q$400,0)),Q$2,)</f>
        <v>0</v>
      </c>
      <c r="R114" s="179">
        <f ca="1">IF(ISNUMBER(MATCH(DATEVALUE($A114),'changes1_based on steps'!R$1:R$400,0)),R$2,)</f>
        <v>0</v>
      </c>
      <c r="S114" s="179">
        <f ca="1">IF(ISNUMBER(MATCH(DATEVALUE($A114),'changes1_based on steps'!S$1:S$400,0)),S$2,)</f>
        <v>0</v>
      </c>
      <c r="T114" s="179">
        <f ca="1">IF(ISNUMBER(MATCH(DATEVALUE($A114),'changes1_based on steps'!T$1:T$400,0)),T$2,)</f>
        <v>0</v>
      </c>
      <c r="U114" s="179">
        <f ca="1">IF(ISNUMBER(MATCH(DATEVALUE($A114),'changes1_based on steps'!U$1:U$400,0)),U$2,)</f>
        <v>0</v>
      </c>
      <c r="V114" s="179"/>
      <c r="W114" s="179"/>
      <c r="X114" s="179"/>
      <c r="Y114" s="179"/>
      <c r="Z114" s="179"/>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c r="AV114" s="179"/>
      <c r="AW114" s="179"/>
      <c r="AX114" s="179"/>
      <c r="AY114" s="179"/>
      <c r="AZ114" s="179"/>
      <c r="BA114" s="179"/>
      <c r="BB114" s="179"/>
      <c r="BC114" s="179"/>
      <c r="BD114" s="179"/>
      <c r="BE114" s="179"/>
      <c r="BF114" s="179"/>
      <c r="BG114" s="179"/>
      <c r="BH114" s="179"/>
      <c r="BI114" s="179"/>
      <c r="BJ114" s="179"/>
      <c r="BK114" s="179"/>
      <c r="BL114" s="179"/>
      <c r="BM114" s="179"/>
      <c r="BN114" s="179"/>
      <c r="BO114" s="179"/>
      <c r="BP114" s="179"/>
      <c r="BQ114" s="179"/>
      <c r="BR114" s="179"/>
      <c r="BS114" s="179"/>
      <c r="BT114" s="179"/>
      <c r="BU114" s="179"/>
      <c r="BV114" s="179"/>
      <c r="BW114" s="179"/>
      <c r="BX114" s="179"/>
      <c r="BY114" s="179"/>
      <c r="BZ114" s="179"/>
      <c r="CA114" s="179"/>
      <c r="CB114" s="179"/>
      <c r="CC114" s="179"/>
      <c r="CD114" s="179"/>
      <c r="CE114" s="179"/>
      <c r="CF114" s="179"/>
      <c r="CG114" s="179"/>
      <c r="CH114" s="179"/>
      <c r="CI114" s="179"/>
      <c r="CJ114" s="179"/>
      <c r="CK114" s="179"/>
      <c r="CL114" s="179"/>
      <c r="CM114" s="179"/>
      <c r="CN114" s="179"/>
      <c r="CO114" s="179"/>
      <c r="CP114" s="179"/>
      <c r="CQ114" s="179"/>
      <c r="CR114" s="179"/>
      <c r="CS114" s="179"/>
      <c r="CT114" s="179"/>
      <c r="CU114" s="179"/>
      <c r="CV114" s="179"/>
      <c r="CW114" s="179"/>
    </row>
    <row r="115" spans="1:101" x14ac:dyDescent="0.2">
      <c r="A115" s="32" t="str">
        <f t="shared" ca="1" si="1"/>
        <v>2025-07-19</v>
      </c>
      <c r="B115" s="179">
        <f ca="1">IF(ISNUMBER(MATCH(DATEVALUE($A115),'changes1_based on steps'!B$1:B$400,0)),B$2,)</f>
        <v>0</v>
      </c>
      <c r="C115" s="179">
        <f ca="1">IF(ISNUMBER(MATCH(DATEVALUE($A115),'changes1_based on steps'!C$1:C$400,0)),C$2,)</f>
        <v>0</v>
      </c>
      <c r="D115" s="179">
        <f ca="1">IF(ISNUMBER(MATCH(DATEVALUE($A115),'changes1_based on steps'!D$1:D$400,0)),D$2,)</f>
        <v>0</v>
      </c>
      <c r="E115" s="179">
        <f ca="1">IF(ISNUMBER(MATCH(DATEVALUE($A115),'changes1_based on steps'!E$1:E$400,0)),E$2,)</f>
        <v>0</v>
      </c>
      <c r="F115" s="179">
        <f ca="1">IF(ISNUMBER(MATCH(DATEVALUE($A115),'changes1_based on steps'!F$1:F$400,0)),F$2,)</f>
        <v>0</v>
      </c>
      <c r="G115" s="179">
        <f ca="1">IF(ISNUMBER(MATCH(DATEVALUE($A115),'changes1_based on steps'!G$1:G$400,0)),G$2,)</f>
        <v>0</v>
      </c>
      <c r="H115" s="179">
        <f ca="1">IF(ISNUMBER(MATCH(DATEVALUE($A115),'changes1_based on steps'!H$1:H$400,0)),H$2,)</f>
        <v>0</v>
      </c>
      <c r="I115" s="179">
        <f ca="1">IF(ISNUMBER(MATCH(DATEVALUE($A115),'changes1_based on steps'!I$1:I$400,0)),I$2,)</f>
        <v>0</v>
      </c>
      <c r="J115" s="179">
        <f ca="1">IF(ISNUMBER(MATCH(DATEVALUE($A115),'changes1_based on steps'!J$1:J$400,0)),J$2,)</f>
        <v>0</v>
      </c>
      <c r="K115" s="179">
        <f ca="1">IF(ISNUMBER(MATCH(DATEVALUE($A115),'changes1_based on steps'!K$1:K$400,0)),K$2,)</f>
        <v>0</v>
      </c>
      <c r="L115" s="179">
        <f ca="1">IF(ISNUMBER(MATCH(DATEVALUE($A115),'changes1_based on steps'!L$1:L$400,0)),L$2,)</f>
        <v>0</v>
      </c>
      <c r="M115" s="179">
        <f ca="1">IF(ISNUMBER(MATCH(DATEVALUE($A115),'changes1_based on steps'!M$1:M$400,0)),M$2,)</f>
        <v>0</v>
      </c>
      <c r="N115" s="179">
        <f ca="1">IF(ISNUMBER(MATCH(DATEVALUE($A115),'changes1_based on steps'!N$1:N$400,0)),N$2,)</f>
        <v>0</v>
      </c>
      <c r="O115" s="179">
        <f ca="1">IF(ISNUMBER(MATCH(DATEVALUE($A115),'changes1_based on steps'!O$1:O$400,0)),O$2,)</f>
        <v>0</v>
      </c>
      <c r="P115" s="179">
        <f ca="1">IF(ISNUMBER(MATCH(DATEVALUE($A115),'changes1_based on steps'!P$1:P$400,0)),P$2,)</f>
        <v>0</v>
      </c>
      <c r="Q115" s="179">
        <f ca="1">IF(ISNUMBER(MATCH(DATEVALUE($A115),'changes1_based on steps'!Q$1:Q$400,0)),Q$2,)</f>
        <v>0</v>
      </c>
      <c r="R115" s="179">
        <f ca="1">IF(ISNUMBER(MATCH(DATEVALUE($A115),'changes1_based on steps'!R$1:R$400,0)),R$2,)</f>
        <v>0</v>
      </c>
      <c r="S115" s="179">
        <f ca="1">IF(ISNUMBER(MATCH(DATEVALUE($A115),'changes1_based on steps'!S$1:S$400,0)),S$2,)</f>
        <v>0</v>
      </c>
      <c r="T115" s="179">
        <f ca="1">IF(ISNUMBER(MATCH(DATEVALUE($A115),'changes1_based on steps'!T$1:T$400,0)),T$2,)</f>
        <v>0</v>
      </c>
      <c r="U115" s="179">
        <f ca="1">IF(ISNUMBER(MATCH(DATEVALUE($A115),'changes1_based on steps'!U$1:U$400,0)),U$2,)</f>
        <v>0</v>
      </c>
      <c r="V115" s="179"/>
      <c r="W115" s="179"/>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c r="AZ115" s="179"/>
      <c r="BA115" s="179"/>
      <c r="BB115" s="179"/>
      <c r="BC115" s="179"/>
      <c r="BD115" s="179"/>
      <c r="BE115" s="179"/>
      <c r="BF115" s="179"/>
      <c r="BG115" s="179"/>
      <c r="BH115" s="179"/>
      <c r="BI115" s="179"/>
      <c r="BJ115" s="179"/>
      <c r="BK115" s="179"/>
      <c r="BL115" s="179"/>
      <c r="BM115" s="179"/>
      <c r="BN115" s="179"/>
      <c r="BO115" s="179"/>
      <c r="BP115" s="179"/>
      <c r="BQ115" s="179"/>
      <c r="BR115" s="179"/>
      <c r="BS115" s="179"/>
      <c r="BT115" s="179"/>
      <c r="BU115" s="179"/>
      <c r="BV115" s="179"/>
      <c r="BW115" s="179"/>
      <c r="BX115" s="179"/>
      <c r="BY115" s="179"/>
      <c r="BZ115" s="179"/>
      <c r="CA115" s="179"/>
      <c r="CB115" s="179"/>
      <c r="CC115" s="179"/>
      <c r="CD115" s="179"/>
      <c r="CE115" s="179"/>
      <c r="CF115" s="179"/>
      <c r="CG115" s="179"/>
      <c r="CH115" s="179"/>
      <c r="CI115" s="179"/>
      <c r="CJ115" s="179"/>
      <c r="CK115" s="179"/>
      <c r="CL115" s="179"/>
      <c r="CM115" s="179"/>
      <c r="CN115" s="179"/>
      <c r="CO115" s="179"/>
      <c r="CP115" s="179"/>
      <c r="CQ115" s="179"/>
      <c r="CR115" s="179"/>
      <c r="CS115" s="179"/>
      <c r="CT115" s="179"/>
      <c r="CU115" s="179"/>
      <c r="CV115" s="179"/>
      <c r="CW115" s="179"/>
    </row>
    <row r="116" spans="1:101" x14ac:dyDescent="0.2">
      <c r="A116" s="32" t="str">
        <f t="shared" ca="1" si="1"/>
        <v>2025-07-20</v>
      </c>
      <c r="B116" s="179">
        <f ca="1">IF(ISNUMBER(MATCH(DATEVALUE($A116),'changes1_based on steps'!B$1:B$400,0)),B$2,)</f>
        <v>0</v>
      </c>
      <c r="C116" s="179">
        <f ca="1">IF(ISNUMBER(MATCH(DATEVALUE($A116),'changes1_based on steps'!C$1:C$400,0)),C$2,)</f>
        <v>0</v>
      </c>
      <c r="D116" s="179">
        <f ca="1">IF(ISNUMBER(MATCH(DATEVALUE($A116),'changes1_based on steps'!D$1:D$400,0)),D$2,)</f>
        <v>0</v>
      </c>
      <c r="E116" s="179">
        <f ca="1">IF(ISNUMBER(MATCH(DATEVALUE($A116),'changes1_based on steps'!E$1:E$400,0)),E$2,)</f>
        <v>0</v>
      </c>
      <c r="F116" s="179">
        <f ca="1">IF(ISNUMBER(MATCH(DATEVALUE($A116),'changes1_based on steps'!F$1:F$400,0)),F$2,)</f>
        <v>0</v>
      </c>
      <c r="G116" s="179">
        <f ca="1">IF(ISNUMBER(MATCH(DATEVALUE($A116),'changes1_based on steps'!G$1:G$400,0)),G$2,)</f>
        <v>0</v>
      </c>
      <c r="H116" s="179">
        <f ca="1">IF(ISNUMBER(MATCH(DATEVALUE($A116),'changes1_based on steps'!H$1:H$400,0)),H$2,)</f>
        <v>0</v>
      </c>
      <c r="I116" s="179">
        <f ca="1">IF(ISNUMBER(MATCH(DATEVALUE($A116),'changes1_based on steps'!I$1:I$400,0)),I$2,)</f>
        <v>0</v>
      </c>
      <c r="J116" s="179">
        <f ca="1">IF(ISNUMBER(MATCH(DATEVALUE($A116),'changes1_based on steps'!J$1:J$400,0)),J$2,)</f>
        <v>0</v>
      </c>
      <c r="K116" s="179">
        <f ca="1">IF(ISNUMBER(MATCH(DATEVALUE($A116),'changes1_based on steps'!K$1:K$400,0)),K$2,)</f>
        <v>0</v>
      </c>
      <c r="L116" s="179">
        <f ca="1">IF(ISNUMBER(MATCH(DATEVALUE($A116),'changes1_based on steps'!L$1:L$400,0)),L$2,)</f>
        <v>0</v>
      </c>
      <c r="M116" s="179">
        <f ca="1">IF(ISNUMBER(MATCH(DATEVALUE($A116),'changes1_based on steps'!M$1:M$400,0)),M$2,)</f>
        <v>0</v>
      </c>
      <c r="N116" s="179">
        <f ca="1">IF(ISNUMBER(MATCH(DATEVALUE($A116),'changes1_based on steps'!N$1:N$400,0)),N$2,)</f>
        <v>0</v>
      </c>
      <c r="O116" s="179">
        <f ca="1">IF(ISNUMBER(MATCH(DATEVALUE($A116),'changes1_based on steps'!O$1:O$400,0)),O$2,)</f>
        <v>0</v>
      </c>
      <c r="P116" s="179">
        <f ca="1">IF(ISNUMBER(MATCH(DATEVALUE($A116),'changes1_based on steps'!P$1:P$400,0)),P$2,)</f>
        <v>0</v>
      </c>
      <c r="Q116" s="179">
        <f ca="1">IF(ISNUMBER(MATCH(DATEVALUE($A116),'changes1_based on steps'!Q$1:Q$400,0)),Q$2,)</f>
        <v>0</v>
      </c>
      <c r="R116" s="179">
        <f ca="1">IF(ISNUMBER(MATCH(DATEVALUE($A116),'changes1_based on steps'!R$1:R$400,0)),R$2,)</f>
        <v>0</v>
      </c>
      <c r="S116" s="179">
        <f ca="1">IF(ISNUMBER(MATCH(DATEVALUE($A116),'changes1_based on steps'!S$1:S$400,0)),S$2,)</f>
        <v>0</v>
      </c>
      <c r="T116" s="179">
        <f ca="1">IF(ISNUMBER(MATCH(DATEVALUE($A116),'changes1_based on steps'!T$1:T$400,0)),T$2,)</f>
        <v>0</v>
      </c>
      <c r="U116" s="179">
        <f ca="1">IF(ISNUMBER(MATCH(DATEVALUE($A116),'changes1_based on steps'!U$1:U$400,0)),U$2,)</f>
        <v>0</v>
      </c>
      <c r="V116" s="179"/>
      <c r="W116" s="179"/>
      <c r="X116" s="179"/>
      <c r="Y116" s="179"/>
      <c r="Z116" s="179"/>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c r="AV116" s="179"/>
      <c r="AW116" s="179"/>
      <c r="AX116" s="179"/>
      <c r="AY116" s="179"/>
      <c r="AZ116" s="179"/>
      <c r="BA116" s="179"/>
      <c r="BB116" s="179"/>
      <c r="BC116" s="179"/>
      <c r="BD116" s="179"/>
      <c r="BE116" s="179"/>
      <c r="BF116" s="179"/>
      <c r="BG116" s="179"/>
      <c r="BH116" s="179"/>
      <c r="BI116" s="179"/>
      <c r="BJ116" s="179"/>
      <c r="BK116" s="179"/>
      <c r="BL116" s="179"/>
      <c r="BM116" s="179"/>
      <c r="BN116" s="179"/>
      <c r="BO116" s="179"/>
      <c r="BP116" s="179"/>
      <c r="BQ116" s="179"/>
      <c r="BR116" s="179"/>
      <c r="BS116" s="179"/>
      <c r="BT116" s="179"/>
      <c r="BU116" s="179"/>
      <c r="BV116" s="179"/>
      <c r="BW116" s="179"/>
      <c r="BX116" s="179"/>
      <c r="BY116" s="179"/>
      <c r="BZ116" s="179"/>
      <c r="CA116" s="179"/>
      <c r="CB116" s="179"/>
      <c r="CC116" s="179"/>
      <c r="CD116" s="179"/>
      <c r="CE116" s="179"/>
      <c r="CF116" s="179"/>
      <c r="CG116" s="179"/>
      <c r="CH116" s="179"/>
      <c r="CI116" s="179"/>
      <c r="CJ116" s="179"/>
      <c r="CK116" s="179"/>
      <c r="CL116" s="179"/>
      <c r="CM116" s="179"/>
      <c r="CN116" s="179"/>
      <c r="CO116" s="179"/>
      <c r="CP116" s="179"/>
      <c r="CQ116" s="179"/>
      <c r="CR116" s="179"/>
      <c r="CS116" s="179"/>
      <c r="CT116" s="179"/>
      <c r="CU116" s="179"/>
      <c r="CV116" s="179"/>
      <c r="CW116" s="179"/>
    </row>
    <row r="117" spans="1:101" x14ac:dyDescent="0.2">
      <c r="A117" s="32" t="str">
        <f t="shared" ca="1" si="1"/>
        <v>2025-07-21</v>
      </c>
      <c r="B117" s="179">
        <f ca="1">IF(ISNUMBER(MATCH(DATEVALUE($A117),'changes1_based on steps'!B$1:B$400,0)),B$2,)</f>
        <v>0</v>
      </c>
      <c r="C117" s="179">
        <f ca="1">IF(ISNUMBER(MATCH(DATEVALUE($A117),'changes1_based on steps'!C$1:C$400,0)),C$2,)</f>
        <v>0</v>
      </c>
      <c r="D117" s="179">
        <f ca="1">IF(ISNUMBER(MATCH(DATEVALUE($A117),'changes1_based on steps'!D$1:D$400,0)),D$2,)</f>
        <v>0</v>
      </c>
      <c r="E117" s="179">
        <f ca="1">IF(ISNUMBER(MATCH(DATEVALUE($A117),'changes1_based on steps'!E$1:E$400,0)),E$2,)</f>
        <v>0</v>
      </c>
      <c r="F117" s="179">
        <f ca="1">IF(ISNUMBER(MATCH(DATEVALUE($A117),'changes1_based on steps'!F$1:F$400,0)),F$2,)</f>
        <v>0</v>
      </c>
      <c r="G117" s="179">
        <f ca="1">IF(ISNUMBER(MATCH(DATEVALUE($A117),'changes1_based on steps'!G$1:G$400,0)),G$2,)</f>
        <v>0</v>
      </c>
      <c r="H117" s="179">
        <f ca="1">IF(ISNUMBER(MATCH(DATEVALUE($A117),'changes1_based on steps'!H$1:H$400,0)),H$2,)</f>
        <v>0</v>
      </c>
      <c r="I117" s="179">
        <f ca="1">IF(ISNUMBER(MATCH(DATEVALUE($A117),'changes1_based on steps'!I$1:I$400,0)),I$2,)</f>
        <v>0</v>
      </c>
      <c r="J117" s="179">
        <f ca="1">IF(ISNUMBER(MATCH(DATEVALUE($A117),'changes1_based on steps'!J$1:J$400,0)),J$2,)</f>
        <v>0</v>
      </c>
      <c r="K117" s="179">
        <f ca="1">IF(ISNUMBER(MATCH(DATEVALUE($A117),'changes1_based on steps'!K$1:K$400,0)),K$2,)</f>
        <v>0</v>
      </c>
      <c r="L117" s="179">
        <f ca="1">IF(ISNUMBER(MATCH(DATEVALUE($A117),'changes1_based on steps'!L$1:L$400,0)),L$2,)</f>
        <v>0</v>
      </c>
      <c r="M117" s="179">
        <f ca="1">IF(ISNUMBER(MATCH(DATEVALUE($A117),'changes1_based on steps'!M$1:M$400,0)),M$2,)</f>
        <v>0</v>
      </c>
      <c r="N117" s="179">
        <f ca="1">IF(ISNUMBER(MATCH(DATEVALUE($A117),'changes1_based on steps'!N$1:N$400,0)),N$2,)</f>
        <v>0</v>
      </c>
      <c r="O117" s="179">
        <f ca="1">IF(ISNUMBER(MATCH(DATEVALUE($A117),'changes1_based on steps'!O$1:O$400,0)),O$2,)</f>
        <v>0</v>
      </c>
      <c r="P117" s="179">
        <f ca="1">IF(ISNUMBER(MATCH(DATEVALUE($A117),'changes1_based on steps'!P$1:P$400,0)),P$2,)</f>
        <v>0</v>
      </c>
      <c r="Q117" s="179">
        <f ca="1">IF(ISNUMBER(MATCH(DATEVALUE($A117),'changes1_based on steps'!Q$1:Q$400,0)),Q$2,)</f>
        <v>0</v>
      </c>
      <c r="R117" s="179">
        <f ca="1">IF(ISNUMBER(MATCH(DATEVALUE($A117),'changes1_based on steps'!R$1:R$400,0)),R$2,)</f>
        <v>0</v>
      </c>
      <c r="S117" s="179">
        <f ca="1">IF(ISNUMBER(MATCH(DATEVALUE($A117),'changes1_based on steps'!S$1:S$400,0)),S$2,)</f>
        <v>0</v>
      </c>
      <c r="T117" s="179">
        <f ca="1">IF(ISNUMBER(MATCH(DATEVALUE($A117),'changes1_based on steps'!T$1:T$400,0)),T$2,)</f>
        <v>0</v>
      </c>
      <c r="U117" s="179">
        <f ca="1">IF(ISNUMBER(MATCH(DATEVALUE($A117),'changes1_based on steps'!U$1:U$400,0)),U$2,)</f>
        <v>0</v>
      </c>
      <c r="V117" s="179"/>
      <c r="W117" s="179"/>
      <c r="X117" s="179"/>
      <c r="Y117" s="179"/>
      <c r="Z117" s="179"/>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c r="AV117" s="179"/>
      <c r="AW117" s="179"/>
      <c r="AX117" s="179"/>
      <c r="AY117" s="179"/>
      <c r="AZ117" s="179"/>
      <c r="BA117" s="179"/>
      <c r="BB117" s="179"/>
      <c r="BC117" s="179"/>
      <c r="BD117" s="179"/>
      <c r="BE117" s="179"/>
      <c r="BF117" s="179"/>
      <c r="BG117" s="179"/>
      <c r="BH117" s="179"/>
      <c r="BI117" s="179"/>
      <c r="BJ117" s="179"/>
      <c r="BK117" s="179"/>
      <c r="BL117" s="179"/>
      <c r="BM117" s="179"/>
      <c r="BN117" s="179"/>
      <c r="BO117" s="179"/>
      <c r="BP117" s="179"/>
      <c r="BQ117" s="179"/>
      <c r="BR117" s="179"/>
      <c r="BS117" s="179"/>
      <c r="BT117" s="179"/>
      <c r="BU117" s="179"/>
      <c r="BV117" s="179"/>
      <c r="BW117" s="179"/>
      <c r="BX117" s="179"/>
      <c r="BY117" s="179"/>
      <c r="BZ117" s="179"/>
      <c r="CA117" s="179"/>
      <c r="CB117" s="179"/>
      <c r="CC117" s="179"/>
      <c r="CD117" s="179"/>
      <c r="CE117" s="179"/>
      <c r="CF117" s="179"/>
      <c r="CG117" s="179"/>
      <c r="CH117" s="179"/>
      <c r="CI117" s="179"/>
      <c r="CJ117" s="179"/>
      <c r="CK117" s="179"/>
      <c r="CL117" s="179"/>
      <c r="CM117" s="179"/>
      <c r="CN117" s="179"/>
      <c r="CO117" s="179"/>
      <c r="CP117" s="179"/>
      <c r="CQ117" s="179"/>
      <c r="CR117" s="179"/>
      <c r="CS117" s="179"/>
      <c r="CT117" s="179"/>
      <c r="CU117" s="179"/>
      <c r="CV117" s="179"/>
      <c r="CW117" s="179"/>
    </row>
    <row r="118" spans="1:101" x14ac:dyDescent="0.2">
      <c r="A118" s="32" t="str">
        <f t="shared" ca="1" si="1"/>
        <v>2025-07-22</v>
      </c>
      <c r="B118" s="179">
        <f ca="1">IF(ISNUMBER(MATCH(DATEVALUE($A118),'changes1_based on steps'!B$1:B$400,0)),B$2,)</f>
        <v>0</v>
      </c>
      <c r="C118" s="179">
        <f ca="1">IF(ISNUMBER(MATCH(DATEVALUE($A118),'changes1_based on steps'!C$1:C$400,0)),C$2,)</f>
        <v>0</v>
      </c>
      <c r="D118" s="179">
        <f ca="1">IF(ISNUMBER(MATCH(DATEVALUE($A118),'changes1_based on steps'!D$1:D$400,0)),D$2,)</f>
        <v>0</v>
      </c>
      <c r="E118" s="179">
        <f ca="1">IF(ISNUMBER(MATCH(DATEVALUE($A118),'changes1_based on steps'!E$1:E$400,0)),E$2,)</f>
        <v>0</v>
      </c>
      <c r="F118" s="179">
        <f ca="1">IF(ISNUMBER(MATCH(DATEVALUE($A118),'changes1_based on steps'!F$1:F$400,0)),F$2,)</f>
        <v>0</v>
      </c>
      <c r="G118" s="179">
        <f ca="1">IF(ISNUMBER(MATCH(DATEVALUE($A118),'changes1_based on steps'!G$1:G$400,0)),G$2,)</f>
        <v>0</v>
      </c>
      <c r="H118" s="179">
        <f ca="1">IF(ISNUMBER(MATCH(DATEVALUE($A118),'changes1_based on steps'!H$1:H$400,0)),H$2,)</f>
        <v>0</v>
      </c>
      <c r="I118" s="179">
        <f ca="1">IF(ISNUMBER(MATCH(DATEVALUE($A118),'changes1_based on steps'!I$1:I$400,0)),I$2,)</f>
        <v>0</v>
      </c>
      <c r="J118" s="179">
        <f ca="1">IF(ISNUMBER(MATCH(DATEVALUE($A118),'changes1_based on steps'!J$1:J$400,0)),J$2,)</f>
        <v>0</v>
      </c>
      <c r="K118" s="179">
        <f ca="1">IF(ISNUMBER(MATCH(DATEVALUE($A118),'changes1_based on steps'!K$1:K$400,0)),K$2,)</f>
        <v>0</v>
      </c>
      <c r="L118" s="179">
        <f ca="1">IF(ISNUMBER(MATCH(DATEVALUE($A118),'changes1_based on steps'!L$1:L$400,0)),L$2,)</f>
        <v>0</v>
      </c>
      <c r="M118" s="179">
        <f ca="1">IF(ISNUMBER(MATCH(DATEVALUE($A118),'changes1_based on steps'!M$1:M$400,0)),M$2,)</f>
        <v>0</v>
      </c>
      <c r="N118" s="179">
        <f ca="1">IF(ISNUMBER(MATCH(DATEVALUE($A118),'changes1_based on steps'!N$1:N$400,0)),N$2,)</f>
        <v>0</v>
      </c>
      <c r="O118" s="179">
        <f ca="1">IF(ISNUMBER(MATCH(DATEVALUE($A118),'changes1_based on steps'!O$1:O$400,0)),O$2,)</f>
        <v>0</v>
      </c>
      <c r="P118" s="179">
        <f ca="1">IF(ISNUMBER(MATCH(DATEVALUE($A118),'changes1_based on steps'!P$1:P$400,0)),P$2,)</f>
        <v>0</v>
      </c>
      <c r="Q118" s="179">
        <f ca="1">IF(ISNUMBER(MATCH(DATEVALUE($A118),'changes1_based on steps'!Q$1:Q$400,0)),Q$2,)</f>
        <v>0</v>
      </c>
      <c r="R118" s="179">
        <f ca="1">IF(ISNUMBER(MATCH(DATEVALUE($A118),'changes1_based on steps'!R$1:R$400,0)),R$2,)</f>
        <v>0</v>
      </c>
      <c r="S118" s="179">
        <f ca="1">IF(ISNUMBER(MATCH(DATEVALUE($A118),'changes1_based on steps'!S$1:S$400,0)),S$2,)</f>
        <v>0</v>
      </c>
      <c r="T118" s="179">
        <f ca="1">IF(ISNUMBER(MATCH(DATEVALUE($A118),'changes1_based on steps'!T$1:T$400,0)),T$2,)</f>
        <v>0</v>
      </c>
      <c r="U118" s="179">
        <f ca="1">IF(ISNUMBER(MATCH(DATEVALUE($A118),'changes1_based on steps'!U$1:U$400,0)),U$2,)</f>
        <v>0</v>
      </c>
      <c r="V118" s="179"/>
      <c r="W118" s="179"/>
      <c r="X118" s="179"/>
      <c r="Y118" s="179"/>
      <c r="Z118" s="179"/>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c r="AV118" s="179"/>
      <c r="AW118" s="179"/>
      <c r="AX118" s="179"/>
      <c r="AY118" s="179"/>
      <c r="AZ118" s="179"/>
      <c r="BA118" s="179"/>
      <c r="BB118" s="179"/>
      <c r="BC118" s="179"/>
      <c r="BD118" s="179"/>
      <c r="BE118" s="179"/>
      <c r="BF118" s="179"/>
      <c r="BG118" s="179"/>
      <c r="BH118" s="179"/>
      <c r="BI118" s="179"/>
      <c r="BJ118" s="179"/>
      <c r="BK118" s="179"/>
      <c r="BL118" s="179"/>
      <c r="BM118" s="179"/>
      <c r="BN118" s="179"/>
      <c r="BO118" s="179"/>
      <c r="BP118" s="179"/>
      <c r="BQ118" s="179"/>
      <c r="BR118" s="179"/>
      <c r="BS118" s="179"/>
      <c r="BT118" s="179"/>
      <c r="BU118" s="179"/>
      <c r="BV118" s="179"/>
      <c r="BW118" s="179"/>
      <c r="BX118" s="179"/>
      <c r="BY118" s="179"/>
      <c r="BZ118" s="179"/>
      <c r="CA118" s="179"/>
      <c r="CB118" s="179"/>
      <c r="CC118" s="179"/>
      <c r="CD118" s="179"/>
      <c r="CE118" s="179"/>
      <c r="CF118" s="179"/>
      <c r="CG118" s="179"/>
      <c r="CH118" s="179"/>
      <c r="CI118" s="179"/>
      <c r="CJ118" s="179"/>
      <c r="CK118" s="179"/>
      <c r="CL118" s="179"/>
      <c r="CM118" s="179"/>
      <c r="CN118" s="179"/>
      <c r="CO118" s="179"/>
      <c r="CP118" s="179"/>
      <c r="CQ118" s="179"/>
      <c r="CR118" s="179"/>
      <c r="CS118" s="179"/>
      <c r="CT118" s="179"/>
      <c r="CU118" s="179"/>
      <c r="CV118" s="179"/>
      <c r="CW118" s="179"/>
    </row>
    <row r="119" spans="1:101" x14ac:dyDescent="0.2">
      <c r="A119" s="32" t="str">
        <f t="shared" ca="1" si="1"/>
        <v>2025-07-23</v>
      </c>
      <c r="B119" s="179">
        <f ca="1">IF(ISNUMBER(MATCH(DATEVALUE($A119),'changes1_based on steps'!B$1:B$400,0)),B$2,)</f>
        <v>0</v>
      </c>
      <c r="C119" s="179">
        <f ca="1">IF(ISNUMBER(MATCH(DATEVALUE($A119),'changes1_based on steps'!C$1:C$400,0)),C$2,)</f>
        <v>0</v>
      </c>
      <c r="D119" s="179">
        <f ca="1">IF(ISNUMBER(MATCH(DATEVALUE($A119),'changes1_based on steps'!D$1:D$400,0)),D$2,)</f>
        <v>0</v>
      </c>
      <c r="E119" s="179">
        <f ca="1">IF(ISNUMBER(MATCH(DATEVALUE($A119),'changes1_based on steps'!E$1:E$400,0)),E$2,)</f>
        <v>0</v>
      </c>
      <c r="F119" s="179">
        <f ca="1">IF(ISNUMBER(MATCH(DATEVALUE($A119),'changes1_based on steps'!F$1:F$400,0)),F$2,)</f>
        <v>0</v>
      </c>
      <c r="G119" s="179">
        <f ca="1">IF(ISNUMBER(MATCH(DATEVALUE($A119),'changes1_based on steps'!G$1:G$400,0)),G$2,)</f>
        <v>0</v>
      </c>
      <c r="H119" s="179">
        <f ca="1">IF(ISNUMBER(MATCH(DATEVALUE($A119),'changes1_based on steps'!H$1:H$400,0)),H$2,)</f>
        <v>0</v>
      </c>
      <c r="I119" s="179">
        <f ca="1">IF(ISNUMBER(MATCH(DATEVALUE($A119),'changes1_based on steps'!I$1:I$400,0)),I$2,)</f>
        <v>0</v>
      </c>
      <c r="J119" s="179">
        <f ca="1">IF(ISNUMBER(MATCH(DATEVALUE($A119),'changes1_based on steps'!J$1:J$400,0)),J$2,)</f>
        <v>0</v>
      </c>
      <c r="K119" s="179">
        <f ca="1">IF(ISNUMBER(MATCH(DATEVALUE($A119),'changes1_based on steps'!K$1:K$400,0)),K$2,)</f>
        <v>0</v>
      </c>
      <c r="L119" s="179">
        <f ca="1">IF(ISNUMBER(MATCH(DATEVALUE($A119),'changes1_based on steps'!L$1:L$400,0)),L$2,)</f>
        <v>0</v>
      </c>
      <c r="M119" s="179">
        <f ca="1">IF(ISNUMBER(MATCH(DATEVALUE($A119),'changes1_based on steps'!M$1:M$400,0)),M$2,)</f>
        <v>0</v>
      </c>
      <c r="N119" s="179">
        <f ca="1">IF(ISNUMBER(MATCH(DATEVALUE($A119),'changes1_based on steps'!N$1:N$400,0)),N$2,)</f>
        <v>0</v>
      </c>
      <c r="O119" s="179">
        <f ca="1">IF(ISNUMBER(MATCH(DATEVALUE($A119),'changes1_based on steps'!O$1:O$400,0)),O$2,)</f>
        <v>0</v>
      </c>
      <c r="P119" s="179">
        <f ca="1">IF(ISNUMBER(MATCH(DATEVALUE($A119),'changes1_based on steps'!P$1:P$400,0)),P$2,)</f>
        <v>0</v>
      </c>
      <c r="Q119" s="179">
        <f ca="1">IF(ISNUMBER(MATCH(DATEVALUE($A119),'changes1_based on steps'!Q$1:Q$400,0)),Q$2,)</f>
        <v>0</v>
      </c>
      <c r="R119" s="179">
        <f ca="1">IF(ISNUMBER(MATCH(DATEVALUE($A119),'changes1_based on steps'!R$1:R$400,0)),R$2,)</f>
        <v>0</v>
      </c>
      <c r="S119" s="179">
        <f ca="1">IF(ISNUMBER(MATCH(DATEVALUE($A119),'changes1_based on steps'!S$1:S$400,0)),S$2,)</f>
        <v>0</v>
      </c>
      <c r="T119" s="179">
        <f ca="1">IF(ISNUMBER(MATCH(DATEVALUE($A119),'changes1_based on steps'!T$1:T$400,0)),T$2,)</f>
        <v>0</v>
      </c>
      <c r="U119" s="179">
        <f ca="1">IF(ISNUMBER(MATCH(DATEVALUE($A119),'changes1_based on steps'!U$1:U$400,0)),U$2,)</f>
        <v>0</v>
      </c>
      <c r="V119" s="179"/>
      <c r="W119" s="179"/>
      <c r="X119" s="179"/>
      <c r="Y119" s="179"/>
      <c r="Z119" s="179"/>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c r="AV119" s="179"/>
      <c r="AW119" s="179"/>
      <c r="AX119" s="179"/>
      <c r="AY119" s="179"/>
      <c r="AZ119" s="179"/>
      <c r="BA119" s="179"/>
      <c r="BB119" s="179"/>
      <c r="BC119" s="179"/>
      <c r="BD119" s="179"/>
      <c r="BE119" s="179"/>
      <c r="BF119" s="179"/>
      <c r="BG119" s="179"/>
      <c r="BH119" s="179"/>
      <c r="BI119" s="179"/>
      <c r="BJ119" s="179"/>
      <c r="BK119" s="179"/>
      <c r="BL119" s="179"/>
      <c r="BM119" s="179"/>
      <c r="BN119" s="179"/>
      <c r="BO119" s="179"/>
      <c r="BP119" s="179"/>
      <c r="BQ119" s="179"/>
      <c r="BR119" s="179"/>
      <c r="BS119" s="179"/>
      <c r="BT119" s="179"/>
      <c r="BU119" s="179"/>
      <c r="BV119" s="179"/>
      <c r="BW119" s="179"/>
      <c r="BX119" s="179"/>
      <c r="BY119" s="179"/>
      <c r="BZ119" s="179"/>
      <c r="CA119" s="179"/>
      <c r="CB119" s="179"/>
      <c r="CC119" s="179"/>
      <c r="CD119" s="179"/>
      <c r="CE119" s="179"/>
      <c r="CF119" s="179"/>
      <c r="CG119" s="179"/>
      <c r="CH119" s="179"/>
      <c r="CI119" s="179"/>
      <c r="CJ119" s="179"/>
      <c r="CK119" s="179"/>
      <c r="CL119" s="179"/>
      <c r="CM119" s="179"/>
      <c r="CN119" s="179"/>
      <c r="CO119" s="179"/>
      <c r="CP119" s="179"/>
      <c r="CQ119" s="179"/>
      <c r="CR119" s="179"/>
      <c r="CS119" s="179"/>
      <c r="CT119" s="179"/>
      <c r="CU119" s="179"/>
      <c r="CV119" s="179"/>
      <c r="CW119" s="179"/>
    </row>
    <row r="120" spans="1:101" x14ac:dyDescent="0.2">
      <c r="A120" s="32" t="str">
        <f t="shared" ca="1" si="1"/>
        <v>2025-07-24</v>
      </c>
      <c r="B120" s="179">
        <f ca="1">IF(ISNUMBER(MATCH(DATEVALUE($A120),'changes1_based on steps'!B$1:B$400,0)),B$2,)</f>
        <v>0</v>
      </c>
      <c r="C120" s="179">
        <f ca="1">IF(ISNUMBER(MATCH(DATEVALUE($A120),'changes1_based on steps'!C$1:C$400,0)),C$2,)</f>
        <v>0</v>
      </c>
      <c r="D120" s="179">
        <f ca="1">IF(ISNUMBER(MATCH(DATEVALUE($A120),'changes1_based on steps'!D$1:D$400,0)),D$2,)</f>
        <v>0</v>
      </c>
      <c r="E120" s="179">
        <f ca="1">IF(ISNUMBER(MATCH(DATEVALUE($A120),'changes1_based on steps'!E$1:E$400,0)),E$2,)</f>
        <v>0</v>
      </c>
      <c r="F120" s="179">
        <f ca="1">IF(ISNUMBER(MATCH(DATEVALUE($A120),'changes1_based on steps'!F$1:F$400,0)),F$2,)</f>
        <v>0</v>
      </c>
      <c r="G120" s="179">
        <f ca="1">IF(ISNUMBER(MATCH(DATEVALUE($A120),'changes1_based on steps'!G$1:G$400,0)),G$2,)</f>
        <v>0</v>
      </c>
      <c r="H120" s="179">
        <f ca="1">IF(ISNUMBER(MATCH(DATEVALUE($A120),'changes1_based on steps'!H$1:H$400,0)),H$2,)</f>
        <v>0</v>
      </c>
      <c r="I120" s="179">
        <f ca="1">IF(ISNUMBER(MATCH(DATEVALUE($A120),'changes1_based on steps'!I$1:I$400,0)),I$2,)</f>
        <v>0</v>
      </c>
      <c r="J120" s="179">
        <f ca="1">IF(ISNUMBER(MATCH(DATEVALUE($A120),'changes1_based on steps'!J$1:J$400,0)),J$2,)</f>
        <v>0</v>
      </c>
      <c r="K120" s="179">
        <f ca="1">IF(ISNUMBER(MATCH(DATEVALUE($A120),'changes1_based on steps'!K$1:K$400,0)),K$2,)</f>
        <v>0</v>
      </c>
      <c r="L120" s="179">
        <f ca="1">IF(ISNUMBER(MATCH(DATEVALUE($A120),'changes1_based on steps'!L$1:L$400,0)),L$2,)</f>
        <v>0</v>
      </c>
      <c r="M120" s="179">
        <f ca="1">IF(ISNUMBER(MATCH(DATEVALUE($A120),'changes1_based on steps'!M$1:M$400,0)),M$2,)</f>
        <v>0</v>
      </c>
      <c r="N120" s="179">
        <f ca="1">IF(ISNUMBER(MATCH(DATEVALUE($A120),'changes1_based on steps'!N$1:N$400,0)),N$2,)</f>
        <v>0</v>
      </c>
      <c r="O120" s="179">
        <f ca="1">IF(ISNUMBER(MATCH(DATEVALUE($A120),'changes1_based on steps'!O$1:O$400,0)),O$2,)</f>
        <v>0</v>
      </c>
      <c r="P120" s="179">
        <f ca="1">IF(ISNUMBER(MATCH(DATEVALUE($A120),'changes1_based on steps'!P$1:P$400,0)),P$2,)</f>
        <v>0</v>
      </c>
      <c r="Q120" s="179">
        <f ca="1">IF(ISNUMBER(MATCH(DATEVALUE($A120),'changes1_based on steps'!Q$1:Q$400,0)),Q$2,)</f>
        <v>0</v>
      </c>
      <c r="R120" s="179">
        <f ca="1">IF(ISNUMBER(MATCH(DATEVALUE($A120),'changes1_based on steps'!R$1:R$400,0)),R$2,)</f>
        <v>0</v>
      </c>
      <c r="S120" s="179">
        <f ca="1">IF(ISNUMBER(MATCH(DATEVALUE($A120),'changes1_based on steps'!S$1:S$400,0)),S$2,)</f>
        <v>0</v>
      </c>
      <c r="T120" s="179">
        <f ca="1">IF(ISNUMBER(MATCH(DATEVALUE($A120),'changes1_based on steps'!T$1:T$400,0)),T$2,)</f>
        <v>0</v>
      </c>
      <c r="U120" s="179">
        <f ca="1">IF(ISNUMBER(MATCH(DATEVALUE($A120),'changes1_based on steps'!U$1:U$400,0)),U$2,)</f>
        <v>0</v>
      </c>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row>
    <row r="121" spans="1:101" x14ac:dyDescent="0.2">
      <c r="A121" s="32" t="str">
        <f t="shared" ca="1" si="1"/>
        <v>2025-07-25</v>
      </c>
      <c r="B121" s="179">
        <f ca="1">IF(ISNUMBER(MATCH(DATEVALUE($A121),'changes1_based on steps'!B$1:B$400,0)),B$2,)</f>
        <v>0</v>
      </c>
      <c r="C121" s="179">
        <f ca="1">IF(ISNUMBER(MATCH(DATEVALUE($A121),'changes1_based on steps'!C$1:C$400,0)),C$2,)</f>
        <v>0</v>
      </c>
      <c r="D121" s="179">
        <f ca="1">IF(ISNUMBER(MATCH(DATEVALUE($A121),'changes1_based on steps'!D$1:D$400,0)),D$2,)</f>
        <v>0</v>
      </c>
      <c r="E121" s="179">
        <f ca="1">IF(ISNUMBER(MATCH(DATEVALUE($A121),'changes1_based on steps'!E$1:E$400,0)),E$2,)</f>
        <v>0</v>
      </c>
      <c r="F121" s="179">
        <f ca="1">IF(ISNUMBER(MATCH(DATEVALUE($A121),'changes1_based on steps'!F$1:F$400,0)),F$2,)</f>
        <v>0</v>
      </c>
      <c r="G121" s="179">
        <f ca="1">IF(ISNUMBER(MATCH(DATEVALUE($A121),'changes1_based on steps'!G$1:G$400,0)),G$2,)</f>
        <v>0</v>
      </c>
      <c r="H121" s="179">
        <f ca="1">IF(ISNUMBER(MATCH(DATEVALUE($A121),'changes1_based on steps'!H$1:H$400,0)),H$2,)</f>
        <v>0</v>
      </c>
      <c r="I121" s="179">
        <f ca="1">IF(ISNUMBER(MATCH(DATEVALUE($A121),'changes1_based on steps'!I$1:I$400,0)),I$2,)</f>
        <v>0</v>
      </c>
      <c r="J121" s="179">
        <f ca="1">IF(ISNUMBER(MATCH(DATEVALUE($A121),'changes1_based on steps'!J$1:J$400,0)),J$2,)</f>
        <v>0</v>
      </c>
      <c r="K121" s="179">
        <f ca="1">IF(ISNUMBER(MATCH(DATEVALUE($A121),'changes1_based on steps'!K$1:K$400,0)),K$2,)</f>
        <v>0</v>
      </c>
      <c r="L121" s="179">
        <f ca="1">IF(ISNUMBER(MATCH(DATEVALUE($A121),'changes1_based on steps'!L$1:L$400,0)),L$2,)</f>
        <v>0</v>
      </c>
      <c r="M121" s="179">
        <f ca="1">IF(ISNUMBER(MATCH(DATEVALUE($A121),'changes1_based on steps'!M$1:M$400,0)),M$2,)</f>
        <v>0</v>
      </c>
      <c r="N121" s="179">
        <f ca="1">IF(ISNUMBER(MATCH(DATEVALUE($A121),'changes1_based on steps'!N$1:N$400,0)),N$2,)</f>
        <v>0</v>
      </c>
      <c r="O121" s="179">
        <f ca="1">IF(ISNUMBER(MATCH(DATEVALUE($A121),'changes1_based on steps'!O$1:O$400,0)),O$2,)</f>
        <v>0</v>
      </c>
      <c r="P121" s="179">
        <f ca="1">IF(ISNUMBER(MATCH(DATEVALUE($A121),'changes1_based on steps'!P$1:P$400,0)),P$2,)</f>
        <v>0</v>
      </c>
      <c r="Q121" s="179">
        <f ca="1">IF(ISNUMBER(MATCH(DATEVALUE($A121),'changes1_based on steps'!Q$1:Q$400,0)),Q$2,)</f>
        <v>0</v>
      </c>
      <c r="R121" s="179">
        <f ca="1">IF(ISNUMBER(MATCH(DATEVALUE($A121),'changes1_based on steps'!R$1:R$400,0)),R$2,)</f>
        <v>0</v>
      </c>
      <c r="S121" s="179">
        <f ca="1">IF(ISNUMBER(MATCH(DATEVALUE($A121),'changes1_based on steps'!S$1:S$400,0)),S$2,)</f>
        <v>0</v>
      </c>
      <c r="T121" s="179">
        <f ca="1">IF(ISNUMBER(MATCH(DATEVALUE($A121),'changes1_based on steps'!T$1:T$400,0)),T$2,)</f>
        <v>0</v>
      </c>
      <c r="U121" s="179">
        <f ca="1">IF(ISNUMBER(MATCH(DATEVALUE($A121),'changes1_based on steps'!U$1:U$400,0)),U$2,)</f>
        <v>0</v>
      </c>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row>
    <row r="122" spans="1:101" x14ac:dyDescent="0.2">
      <c r="A122" s="32" t="str">
        <f t="shared" ca="1" si="1"/>
        <v>2025-07-26</v>
      </c>
      <c r="B122" s="179">
        <f ca="1">IF(ISNUMBER(MATCH(DATEVALUE($A122),'changes1_based on steps'!B$1:B$400,0)),B$2,)</f>
        <v>0</v>
      </c>
      <c r="C122" s="179">
        <f ca="1">IF(ISNUMBER(MATCH(DATEVALUE($A122),'changes1_based on steps'!C$1:C$400,0)),C$2,)</f>
        <v>0</v>
      </c>
      <c r="D122" s="179">
        <f ca="1">IF(ISNUMBER(MATCH(DATEVALUE($A122),'changes1_based on steps'!D$1:D$400,0)),D$2,)</f>
        <v>0</v>
      </c>
      <c r="E122" s="179">
        <f ca="1">IF(ISNUMBER(MATCH(DATEVALUE($A122),'changes1_based on steps'!E$1:E$400,0)),E$2,)</f>
        <v>0</v>
      </c>
      <c r="F122" s="179">
        <f ca="1">IF(ISNUMBER(MATCH(DATEVALUE($A122),'changes1_based on steps'!F$1:F$400,0)),F$2,)</f>
        <v>0</v>
      </c>
      <c r="G122" s="179">
        <f ca="1">IF(ISNUMBER(MATCH(DATEVALUE($A122),'changes1_based on steps'!G$1:G$400,0)),G$2,)</f>
        <v>0</v>
      </c>
      <c r="H122" s="179">
        <f ca="1">IF(ISNUMBER(MATCH(DATEVALUE($A122),'changes1_based on steps'!H$1:H$400,0)),H$2,)</f>
        <v>0</v>
      </c>
      <c r="I122" s="179">
        <f ca="1">IF(ISNUMBER(MATCH(DATEVALUE($A122),'changes1_based on steps'!I$1:I$400,0)),I$2,)</f>
        <v>0</v>
      </c>
      <c r="J122" s="179">
        <f ca="1">IF(ISNUMBER(MATCH(DATEVALUE($A122),'changes1_based on steps'!J$1:J$400,0)),J$2,)</f>
        <v>0</v>
      </c>
      <c r="K122" s="179">
        <f ca="1">IF(ISNUMBER(MATCH(DATEVALUE($A122),'changes1_based on steps'!K$1:K$400,0)),K$2,)</f>
        <v>0</v>
      </c>
      <c r="L122" s="179">
        <f ca="1">IF(ISNUMBER(MATCH(DATEVALUE($A122),'changes1_based on steps'!L$1:L$400,0)),L$2,)</f>
        <v>0</v>
      </c>
      <c r="M122" s="179">
        <f ca="1">IF(ISNUMBER(MATCH(DATEVALUE($A122),'changes1_based on steps'!M$1:M$400,0)),M$2,)</f>
        <v>0</v>
      </c>
      <c r="N122" s="179">
        <f ca="1">IF(ISNUMBER(MATCH(DATEVALUE($A122),'changes1_based on steps'!N$1:N$400,0)),N$2,)</f>
        <v>0</v>
      </c>
      <c r="O122" s="179">
        <f ca="1">IF(ISNUMBER(MATCH(DATEVALUE($A122),'changes1_based on steps'!O$1:O$400,0)),O$2,)</f>
        <v>0</v>
      </c>
      <c r="P122" s="179">
        <f ca="1">IF(ISNUMBER(MATCH(DATEVALUE($A122),'changes1_based on steps'!P$1:P$400,0)),P$2,)</f>
        <v>0</v>
      </c>
      <c r="Q122" s="179">
        <f ca="1">IF(ISNUMBER(MATCH(DATEVALUE($A122),'changes1_based on steps'!Q$1:Q$400,0)),Q$2,)</f>
        <v>0</v>
      </c>
      <c r="R122" s="179">
        <f ca="1">IF(ISNUMBER(MATCH(DATEVALUE($A122),'changes1_based on steps'!R$1:R$400,0)),R$2,)</f>
        <v>0</v>
      </c>
      <c r="S122" s="179">
        <f ca="1">IF(ISNUMBER(MATCH(DATEVALUE($A122),'changes1_based on steps'!S$1:S$400,0)),S$2,)</f>
        <v>0</v>
      </c>
      <c r="T122" s="179">
        <f ca="1">IF(ISNUMBER(MATCH(DATEVALUE($A122),'changes1_based on steps'!T$1:T$400,0)),T$2,)</f>
        <v>0</v>
      </c>
      <c r="U122" s="179">
        <f ca="1">IF(ISNUMBER(MATCH(DATEVALUE($A122),'changes1_based on steps'!U$1:U$400,0)),U$2,)</f>
        <v>0</v>
      </c>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row>
    <row r="123" spans="1:101" x14ac:dyDescent="0.2">
      <c r="A123" s="32" t="str">
        <f t="shared" ca="1" si="1"/>
        <v>2025-07-27</v>
      </c>
      <c r="B123" s="179">
        <f ca="1">IF(ISNUMBER(MATCH(DATEVALUE($A123),'changes1_based on steps'!B$1:B$400,0)),B$2,)</f>
        <v>0</v>
      </c>
      <c r="C123" s="179">
        <f ca="1">IF(ISNUMBER(MATCH(DATEVALUE($A123),'changes1_based on steps'!C$1:C$400,0)),C$2,)</f>
        <v>0</v>
      </c>
      <c r="D123" s="179">
        <f ca="1">IF(ISNUMBER(MATCH(DATEVALUE($A123),'changes1_based on steps'!D$1:D$400,0)),D$2,)</f>
        <v>0</v>
      </c>
      <c r="E123" s="179">
        <f ca="1">IF(ISNUMBER(MATCH(DATEVALUE($A123),'changes1_based on steps'!E$1:E$400,0)),E$2,)</f>
        <v>0</v>
      </c>
      <c r="F123" s="179">
        <f ca="1">IF(ISNUMBER(MATCH(DATEVALUE($A123),'changes1_based on steps'!F$1:F$400,0)),F$2,)</f>
        <v>0</v>
      </c>
      <c r="G123" s="179">
        <f ca="1">IF(ISNUMBER(MATCH(DATEVALUE($A123),'changes1_based on steps'!G$1:G$400,0)),G$2,)</f>
        <v>0</v>
      </c>
      <c r="H123" s="179">
        <f ca="1">IF(ISNUMBER(MATCH(DATEVALUE($A123),'changes1_based on steps'!H$1:H$400,0)),H$2,)</f>
        <v>0</v>
      </c>
      <c r="I123" s="179">
        <f ca="1">IF(ISNUMBER(MATCH(DATEVALUE($A123),'changes1_based on steps'!I$1:I$400,0)),I$2,)</f>
        <v>0</v>
      </c>
      <c r="J123" s="179">
        <f ca="1">IF(ISNUMBER(MATCH(DATEVALUE($A123),'changes1_based on steps'!J$1:J$400,0)),J$2,)</f>
        <v>0</v>
      </c>
      <c r="K123" s="179">
        <f ca="1">IF(ISNUMBER(MATCH(DATEVALUE($A123),'changes1_based on steps'!K$1:K$400,0)),K$2,)</f>
        <v>0</v>
      </c>
      <c r="L123" s="179">
        <f ca="1">IF(ISNUMBER(MATCH(DATEVALUE($A123),'changes1_based on steps'!L$1:L$400,0)),L$2,)</f>
        <v>0</v>
      </c>
      <c r="M123" s="179">
        <f ca="1">IF(ISNUMBER(MATCH(DATEVALUE($A123),'changes1_based on steps'!M$1:M$400,0)),M$2,)</f>
        <v>0</v>
      </c>
      <c r="N123" s="179">
        <f ca="1">IF(ISNUMBER(MATCH(DATEVALUE($A123),'changes1_based on steps'!N$1:N$400,0)),N$2,)</f>
        <v>0</v>
      </c>
      <c r="O123" s="179">
        <f ca="1">IF(ISNUMBER(MATCH(DATEVALUE($A123),'changes1_based on steps'!O$1:O$400,0)),O$2,)</f>
        <v>0</v>
      </c>
      <c r="P123" s="179">
        <f ca="1">IF(ISNUMBER(MATCH(DATEVALUE($A123),'changes1_based on steps'!P$1:P$400,0)),P$2,)</f>
        <v>0</v>
      </c>
      <c r="Q123" s="179">
        <f ca="1">IF(ISNUMBER(MATCH(DATEVALUE($A123),'changes1_based on steps'!Q$1:Q$400,0)),Q$2,)</f>
        <v>0</v>
      </c>
      <c r="R123" s="179">
        <f ca="1">IF(ISNUMBER(MATCH(DATEVALUE($A123),'changes1_based on steps'!R$1:R$400,0)),R$2,)</f>
        <v>0</v>
      </c>
      <c r="S123" s="179">
        <f ca="1">IF(ISNUMBER(MATCH(DATEVALUE($A123),'changes1_based on steps'!S$1:S$400,0)),S$2,)</f>
        <v>0</v>
      </c>
      <c r="T123" s="179">
        <f ca="1">IF(ISNUMBER(MATCH(DATEVALUE($A123),'changes1_based on steps'!T$1:T$400,0)),T$2,)</f>
        <v>0</v>
      </c>
      <c r="U123" s="179">
        <f ca="1">IF(ISNUMBER(MATCH(DATEVALUE($A123),'changes1_based on steps'!U$1:U$400,0)),U$2,)</f>
        <v>0</v>
      </c>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row>
    <row r="124" spans="1:101" x14ac:dyDescent="0.2">
      <c r="A124" s="32" t="str">
        <f t="shared" ca="1" si="1"/>
        <v>2025-07-28</v>
      </c>
      <c r="B124" s="179">
        <f ca="1">IF(ISNUMBER(MATCH(DATEVALUE($A124),'changes1_based on steps'!B$1:B$400,0)),B$2,)</f>
        <v>0</v>
      </c>
      <c r="C124" s="179">
        <f ca="1">IF(ISNUMBER(MATCH(DATEVALUE($A124),'changes1_based on steps'!C$1:C$400,0)),C$2,)</f>
        <v>0</v>
      </c>
      <c r="D124" s="179">
        <f ca="1">IF(ISNUMBER(MATCH(DATEVALUE($A124),'changes1_based on steps'!D$1:D$400,0)),D$2,)</f>
        <v>0</v>
      </c>
      <c r="E124" s="179">
        <f ca="1">IF(ISNUMBER(MATCH(DATEVALUE($A124),'changes1_based on steps'!E$1:E$400,0)),E$2,)</f>
        <v>0</v>
      </c>
      <c r="F124" s="179">
        <f ca="1">IF(ISNUMBER(MATCH(DATEVALUE($A124),'changes1_based on steps'!F$1:F$400,0)),F$2,)</f>
        <v>0</v>
      </c>
      <c r="G124" s="179">
        <f ca="1">IF(ISNUMBER(MATCH(DATEVALUE($A124),'changes1_based on steps'!G$1:G$400,0)),G$2,)</f>
        <v>0</v>
      </c>
      <c r="H124" s="179">
        <f ca="1">IF(ISNUMBER(MATCH(DATEVALUE($A124),'changes1_based on steps'!H$1:H$400,0)),H$2,)</f>
        <v>0</v>
      </c>
      <c r="I124" s="179">
        <f ca="1">IF(ISNUMBER(MATCH(DATEVALUE($A124),'changes1_based on steps'!I$1:I$400,0)),I$2,)</f>
        <v>0</v>
      </c>
      <c r="J124" s="179">
        <f ca="1">IF(ISNUMBER(MATCH(DATEVALUE($A124),'changes1_based on steps'!J$1:J$400,0)),J$2,)</f>
        <v>0</v>
      </c>
      <c r="K124" s="179">
        <f ca="1">IF(ISNUMBER(MATCH(DATEVALUE($A124),'changes1_based on steps'!K$1:K$400,0)),K$2,)</f>
        <v>0</v>
      </c>
      <c r="L124" s="179">
        <f ca="1">IF(ISNUMBER(MATCH(DATEVALUE($A124),'changes1_based on steps'!L$1:L$400,0)),L$2,)</f>
        <v>0</v>
      </c>
      <c r="M124" s="179">
        <f ca="1">IF(ISNUMBER(MATCH(DATEVALUE($A124),'changes1_based on steps'!M$1:M$400,0)),M$2,)</f>
        <v>0</v>
      </c>
      <c r="N124" s="179">
        <f ca="1">IF(ISNUMBER(MATCH(DATEVALUE($A124),'changes1_based on steps'!N$1:N$400,0)),N$2,)</f>
        <v>0</v>
      </c>
      <c r="O124" s="179">
        <f ca="1">IF(ISNUMBER(MATCH(DATEVALUE($A124),'changes1_based on steps'!O$1:O$400,0)),O$2,)</f>
        <v>0</v>
      </c>
      <c r="P124" s="179">
        <f ca="1">IF(ISNUMBER(MATCH(DATEVALUE($A124),'changes1_based on steps'!P$1:P$400,0)),P$2,)</f>
        <v>0</v>
      </c>
      <c r="Q124" s="179">
        <f ca="1">IF(ISNUMBER(MATCH(DATEVALUE($A124),'changes1_based on steps'!Q$1:Q$400,0)),Q$2,)</f>
        <v>0</v>
      </c>
      <c r="R124" s="179">
        <f ca="1">IF(ISNUMBER(MATCH(DATEVALUE($A124),'changes1_based on steps'!R$1:R$400,0)),R$2,)</f>
        <v>0</v>
      </c>
      <c r="S124" s="179">
        <f ca="1">IF(ISNUMBER(MATCH(DATEVALUE($A124),'changes1_based on steps'!S$1:S$400,0)),S$2,)</f>
        <v>0</v>
      </c>
      <c r="T124" s="179">
        <f ca="1">IF(ISNUMBER(MATCH(DATEVALUE($A124),'changes1_based on steps'!T$1:T$400,0)),T$2,)</f>
        <v>0</v>
      </c>
      <c r="U124" s="179">
        <f ca="1">IF(ISNUMBER(MATCH(DATEVALUE($A124),'changes1_based on steps'!U$1:U$400,0)),U$2,)</f>
        <v>0</v>
      </c>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row>
    <row r="125" spans="1:101" x14ac:dyDescent="0.2">
      <c r="A125" s="32" t="str">
        <f t="shared" ca="1" si="1"/>
        <v>2025-07-29</v>
      </c>
      <c r="B125" s="179">
        <f ca="1">IF(ISNUMBER(MATCH(DATEVALUE($A125),'changes1_based on steps'!B$1:B$400,0)),B$2,)</f>
        <v>0</v>
      </c>
      <c r="C125" s="179">
        <f ca="1">IF(ISNUMBER(MATCH(DATEVALUE($A125),'changes1_based on steps'!C$1:C$400,0)),C$2,)</f>
        <v>0</v>
      </c>
      <c r="D125" s="179">
        <f ca="1">IF(ISNUMBER(MATCH(DATEVALUE($A125),'changes1_based on steps'!D$1:D$400,0)),D$2,)</f>
        <v>0</v>
      </c>
      <c r="E125" s="179">
        <f ca="1">IF(ISNUMBER(MATCH(DATEVALUE($A125),'changes1_based on steps'!E$1:E$400,0)),E$2,)</f>
        <v>0</v>
      </c>
      <c r="F125" s="179">
        <f ca="1">IF(ISNUMBER(MATCH(DATEVALUE($A125),'changes1_based on steps'!F$1:F$400,0)),F$2,)</f>
        <v>0</v>
      </c>
      <c r="G125" s="179">
        <f ca="1">IF(ISNUMBER(MATCH(DATEVALUE($A125),'changes1_based on steps'!G$1:G$400,0)),G$2,)</f>
        <v>0</v>
      </c>
      <c r="H125" s="179">
        <f ca="1">IF(ISNUMBER(MATCH(DATEVALUE($A125),'changes1_based on steps'!H$1:H$400,0)),H$2,)</f>
        <v>0</v>
      </c>
      <c r="I125" s="179">
        <f ca="1">IF(ISNUMBER(MATCH(DATEVALUE($A125),'changes1_based on steps'!I$1:I$400,0)),I$2,)</f>
        <v>0</v>
      </c>
      <c r="J125" s="179">
        <f ca="1">IF(ISNUMBER(MATCH(DATEVALUE($A125),'changes1_based on steps'!J$1:J$400,0)),J$2,)</f>
        <v>0</v>
      </c>
      <c r="K125" s="179">
        <f ca="1">IF(ISNUMBER(MATCH(DATEVALUE($A125),'changes1_based on steps'!K$1:K$400,0)),K$2,)</f>
        <v>0</v>
      </c>
      <c r="L125" s="179">
        <f ca="1">IF(ISNUMBER(MATCH(DATEVALUE($A125),'changes1_based on steps'!L$1:L$400,0)),L$2,)</f>
        <v>0</v>
      </c>
      <c r="M125" s="179">
        <f ca="1">IF(ISNUMBER(MATCH(DATEVALUE($A125),'changes1_based on steps'!M$1:M$400,0)),M$2,)</f>
        <v>0</v>
      </c>
      <c r="N125" s="179">
        <f ca="1">IF(ISNUMBER(MATCH(DATEVALUE($A125),'changes1_based on steps'!N$1:N$400,0)),N$2,)</f>
        <v>0</v>
      </c>
      <c r="O125" s="179">
        <f ca="1">IF(ISNUMBER(MATCH(DATEVALUE($A125),'changes1_based on steps'!O$1:O$400,0)),O$2,)</f>
        <v>0</v>
      </c>
      <c r="P125" s="179">
        <f ca="1">IF(ISNUMBER(MATCH(DATEVALUE($A125),'changes1_based on steps'!P$1:P$400,0)),P$2,)</f>
        <v>0</v>
      </c>
      <c r="Q125" s="179">
        <f ca="1">IF(ISNUMBER(MATCH(DATEVALUE($A125),'changes1_based on steps'!Q$1:Q$400,0)),Q$2,)</f>
        <v>0</v>
      </c>
      <c r="R125" s="179">
        <f ca="1">IF(ISNUMBER(MATCH(DATEVALUE($A125),'changes1_based on steps'!R$1:R$400,0)),R$2,)</f>
        <v>0</v>
      </c>
      <c r="S125" s="179">
        <f ca="1">IF(ISNUMBER(MATCH(DATEVALUE($A125),'changes1_based on steps'!S$1:S$400,0)),S$2,)</f>
        <v>0</v>
      </c>
      <c r="T125" s="179">
        <f ca="1">IF(ISNUMBER(MATCH(DATEVALUE($A125),'changes1_based on steps'!T$1:T$400,0)),T$2,)</f>
        <v>0</v>
      </c>
      <c r="U125" s="179">
        <f ca="1">IF(ISNUMBER(MATCH(DATEVALUE($A125),'changes1_based on steps'!U$1:U$400,0)),U$2,)</f>
        <v>0</v>
      </c>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row>
    <row r="126" spans="1:101" x14ac:dyDescent="0.2">
      <c r="A126" s="32" t="str">
        <f t="shared" ca="1" si="1"/>
        <v>2025-07-30</v>
      </c>
      <c r="B126" s="179">
        <f ca="1">IF(ISNUMBER(MATCH(DATEVALUE($A126),'changes1_based on steps'!B$1:B$400,0)),B$2,)</f>
        <v>0</v>
      </c>
      <c r="C126" s="179">
        <f ca="1">IF(ISNUMBER(MATCH(DATEVALUE($A126),'changes1_based on steps'!C$1:C$400,0)),C$2,)</f>
        <v>0</v>
      </c>
      <c r="D126" s="179">
        <f ca="1">IF(ISNUMBER(MATCH(DATEVALUE($A126),'changes1_based on steps'!D$1:D$400,0)),D$2,)</f>
        <v>0</v>
      </c>
      <c r="E126" s="179">
        <f ca="1">IF(ISNUMBER(MATCH(DATEVALUE($A126),'changes1_based on steps'!E$1:E$400,0)),E$2,)</f>
        <v>0</v>
      </c>
      <c r="F126" s="179">
        <f ca="1">IF(ISNUMBER(MATCH(DATEVALUE($A126),'changes1_based on steps'!F$1:F$400,0)),F$2,)</f>
        <v>0</v>
      </c>
      <c r="G126" s="179">
        <f ca="1">IF(ISNUMBER(MATCH(DATEVALUE($A126),'changes1_based on steps'!G$1:G$400,0)),G$2,)</f>
        <v>0</v>
      </c>
      <c r="H126" s="179">
        <f ca="1">IF(ISNUMBER(MATCH(DATEVALUE($A126),'changes1_based on steps'!H$1:H$400,0)),H$2,)</f>
        <v>0</v>
      </c>
      <c r="I126" s="179">
        <f ca="1">IF(ISNUMBER(MATCH(DATEVALUE($A126),'changes1_based on steps'!I$1:I$400,0)),I$2,)</f>
        <v>0</v>
      </c>
      <c r="J126" s="179">
        <f ca="1">IF(ISNUMBER(MATCH(DATEVALUE($A126),'changes1_based on steps'!J$1:J$400,0)),J$2,)</f>
        <v>0</v>
      </c>
      <c r="K126" s="179">
        <f ca="1">IF(ISNUMBER(MATCH(DATEVALUE($A126),'changes1_based on steps'!K$1:K$400,0)),K$2,)</f>
        <v>0</v>
      </c>
      <c r="L126" s="179">
        <f ca="1">IF(ISNUMBER(MATCH(DATEVALUE($A126),'changes1_based on steps'!L$1:L$400,0)),L$2,)</f>
        <v>0</v>
      </c>
      <c r="M126" s="179">
        <f ca="1">IF(ISNUMBER(MATCH(DATEVALUE($A126),'changes1_based on steps'!M$1:M$400,0)),M$2,)</f>
        <v>0</v>
      </c>
      <c r="N126" s="179">
        <f ca="1">IF(ISNUMBER(MATCH(DATEVALUE($A126),'changes1_based on steps'!N$1:N$400,0)),N$2,)</f>
        <v>0</v>
      </c>
      <c r="O126" s="179">
        <f ca="1">IF(ISNUMBER(MATCH(DATEVALUE($A126),'changes1_based on steps'!O$1:O$400,0)),O$2,)</f>
        <v>0</v>
      </c>
      <c r="P126" s="179">
        <f ca="1">IF(ISNUMBER(MATCH(DATEVALUE($A126),'changes1_based on steps'!P$1:P$400,0)),P$2,)</f>
        <v>0</v>
      </c>
      <c r="Q126" s="179">
        <f ca="1">IF(ISNUMBER(MATCH(DATEVALUE($A126),'changes1_based on steps'!Q$1:Q$400,0)),Q$2,)</f>
        <v>0</v>
      </c>
      <c r="R126" s="179">
        <f ca="1">IF(ISNUMBER(MATCH(DATEVALUE($A126),'changes1_based on steps'!R$1:R$400,0)),R$2,)</f>
        <v>0</v>
      </c>
      <c r="S126" s="179">
        <f ca="1">IF(ISNUMBER(MATCH(DATEVALUE($A126),'changes1_based on steps'!S$1:S$400,0)),S$2,)</f>
        <v>0</v>
      </c>
      <c r="T126" s="179">
        <f ca="1">IF(ISNUMBER(MATCH(DATEVALUE($A126),'changes1_based on steps'!T$1:T$400,0)),T$2,)</f>
        <v>0</v>
      </c>
      <c r="U126" s="179">
        <f ca="1">IF(ISNUMBER(MATCH(DATEVALUE($A126),'changes1_based on steps'!U$1:U$400,0)),U$2,)</f>
        <v>0</v>
      </c>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row>
    <row r="127" spans="1:101" x14ac:dyDescent="0.2">
      <c r="A127" s="32" t="str">
        <f t="shared" ca="1" si="1"/>
        <v>2025-07-31</v>
      </c>
      <c r="B127" s="179">
        <f ca="1">IF(ISNUMBER(MATCH(DATEVALUE($A127),'changes1_based on steps'!B$1:B$400,0)),B$2,)</f>
        <v>0</v>
      </c>
      <c r="C127" s="179">
        <f ca="1">IF(ISNUMBER(MATCH(DATEVALUE($A127),'changes1_based on steps'!C$1:C$400,0)),C$2,)</f>
        <v>0</v>
      </c>
      <c r="D127" s="179">
        <f ca="1">IF(ISNUMBER(MATCH(DATEVALUE($A127),'changes1_based on steps'!D$1:D$400,0)),D$2,)</f>
        <v>0</v>
      </c>
      <c r="E127" s="179">
        <f ca="1">IF(ISNUMBER(MATCH(DATEVALUE($A127),'changes1_based on steps'!E$1:E$400,0)),E$2,)</f>
        <v>0</v>
      </c>
      <c r="F127" s="179">
        <f ca="1">IF(ISNUMBER(MATCH(DATEVALUE($A127),'changes1_based on steps'!F$1:F$400,0)),F$2,)</f>
        <v>0</v>
      </c>
      <c r="G127" s="179">
        <f ca="1">IF(ISNUMBER(MATCH(DATEVALUE($A127),'changes1_based on steps'!G$1:G$400,0)),G$2,)</f>
        <v>0</v>
      </c>
      <c r="H127" s="179">
        <f ca="1">IF(ISNUMBER(MATCH(DATEVALUE($A127),'changes1_based on steps'!H$1:H$400,0)),H$2,)</f>
        <v>0</v>
      </c>
      <c r="I127" s="179">
        <f ca="1">IF(ISNUMBER(MATCH(DATEVALUE($A127),'changes1_based on steps'!I$1:I$400,0)),I$2,)</f>
        <v>0</v>
      </c>
      <c r="J127" s="179">
        <f ca="1">IF(ISNUMBER(MATCH(DATEVALUE($A127),'changes1_based on steps'!J$1:J$400,0)),J$2,)</f>
        <v>0</v>
      </c>
      <c r="K127" s="179">
        <f ca="1">IF(ISNUMBER(MATCH(DATEVALUE($A127),'changes1_based on steps'!K$1:K$400,0)),K$2,)</f>
        <v>0</v>
      </c>
      <c r="L127" s="179">
        <f ca="1">IF(ISNUMBER(MATCH(DATEVALUE($A127),'changes1_based on steps'!L$1:L$400,0)),L$2,)</f>
        <v>0</v>
      </c>
      <c r="M127" s="179">
        <f ca="1">IF(ISNUMBER(MATCH(DATEVALUE($A127),'changes1_based on steps'!M$1:M$400,0)),M$2,)</f>
        <v>0</v>
      </c>
      <c r="N127" s="179">
        <f ca="1">IF(ISNUMBER(MATCH(DATEVALUE($A127),'changes1_based on steps'!N$1:N$400,0)),N$2,)</f>
        <v>0</v>
      </c>
      <c r="O127" s="179">
        <f ca="1">IF(ISNUMBER(MATCH(DATEVALUE($A127),'changes1_based on steps'!O$1:O$400,0)),O$2,)</f>
        <v>0</v>
      </c>
      <c r="P127" s="179">
        <f ca="1">IF(ISNUMBER(MATCH(DATEVALUE($A127),'changes1_based on steps'!P$1:P$400,0)),P$2,)</f>
        <v>0</v>
      </c>
      <c r="Q127" s="179">
        <f ca="1">IF(ISNUMBER(MATCH(DATEVALUE($A127),'changes1_based on steps'!Q$1:Q$400,0)),Q$2,)</f>
        <v>0</v>
      </c>
      <c r="R127" s="179">
        <f ca="1">IF(ISNUMBER(MATCH(DATEVALUE($A127),'changes1_based on steps'!R$1:R$400,0)),R$2,)</f>
        <v>0</v>
      </c>
      <c r="S127" s="179">
        <f ca="1">IF(ISNUMBER(MATCH(DATEVALUE($A127),'changes1_based on steps'!S$1:S$400,0)),S$2,)</f>
        <v>0</v>
      </c>
      <c r="T127" s="179">
        <f ca="1">IF(ISNUMBER(MATCH(DATEVALUE($A127),'changes1_based on steps'!T$1:T$400,0)),T$2,)</f>
        <v>0</v>
      </c>
      <c r="U127" s="179">
        <f ca="1">IF(ISNUMBER(MATCH(DATEVALUE($A127),'changes1_based on steps'!U$1:U$400,0)),U$2,)</f>
        <v>0</v>
      </c>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row>
    <row r="128" spans="1:101" x14ac:dyDescent="0.2">
      <c r="A128" s="32" t="str">
        <f t="shared" ca="1" si="1"/>
        <v>2025-08-01</v>
      </c>
      <c r="B128" s="179">
        <f ca="1">IF(ISNUMBER(MATCH(DATEVALUE($A128),'changes1_based on steps'!B$1:B$400,0)),B$2,)</f>
        <v>0</v>
      </c>
      <c r="C128" s="179">
        <f ca="1">IF(ISNUMBER(MATCH(DATEVALUE($A128),'changes1_based on steps'!C$1:C$400,0)),C$2,)</f>
        <v>0</v>
      </c>
      <c r="D128" s="179">
        <f ca="1">IF(ISNUMBER(MATCH(DATEVALUE($A128),'changes1_based on steps'!D$1:D$400,0)),D$2,)</f>
        <v>0</v>
      </c>
      <c r="E128" s="179">
        <f ca="1">IF(ISNUMBER(MATCH(DATEVALUE($A128),'changes1_based on steps'!E$1:E$400,0)),E$2,)</f>
        <v>0</v>
      </c>
      <c r="F128" s="179">
        <f ca="1">IF(ISNUMBER(MATCH(DATEVALUE($A128),'changes1_based on steps'!F$1:F$400,0)),F$2,)</f>
        <v>0</v>
      </c>
      <c r="G128" s="179">
        <f ca="1">IF(ISNUMBER(MATCH(DATEVALUE($A128),'changes1_based on steps'!G$1:G$400,0)),G$2,)</f>
        <v>0</v>
      </c>
      <c r="H128" s="179">
        <f ca="1">IF(ISNUMBER(MATCH(DATEVALUE($A128),'changes1_based on steps'!H$1:H$400,0)),H$2,)</f>
        <v>0</v>
      </c>
      <c r="I128" s="179">
        <f ca="1">IF(ISNUMBER(MATCH(DATEVALUE($A128),'changes1_based on steps'!I$1:I$400,0)),I$2,)</f>
        <v>0</v>
      </c>
      <c r="J128" s="179">
        <f ca="1">IF(ISNUMBER(MATCH(DATEVALUE($A128),'changes1_based on steps'!J$1:J$400,0)),J$2,)</f>
        <v>0</v>
      </c>
      <c r="K128" s="179">
        <f ca="1">IF(ISNUMBER(MATCH(DATEVALUE($A128),'changes1_based on steps'!K$1:K$400,0)),K$2,)</f>
        <v>0</v>
      </c>
      <c r="L128" s="179">
        <f ca="1">IF(ISNUMBER(MATCH(DATEVALUE($A128),'changes1_based on steps'!L$1:L$400,0)),L$2,)</f>
        <v>0</v>
      </c>
      <c r="M128" s="179">
        <f ca="1">IF(ISNUMBER(MATCH(DATEVALUE($A128),'changes1_based on steps'!M$1:M$400,0)),M$2,)</f>
        <v>0</v>
      </c>
      <c r="N128" s="179">
        <f ca="1">IF(ISNUMBER(MATCH(DATEVALUE($A128),'changes1_based on steps'!N$1:N$400,0)),N$2,)</f>
        <v>0</v>
      </c>
      <c r="O128" s="179">
        <f ca="1">IF(ISNUMBER(MATCH(DATEVALUE($A128),'changes1_based on steps'!O$1:O$400,0)),O$2,)</f>
        <v>0</v>
      </c>
      <c r="P128" s="179">
        <f ca="1">IF(ISNUMBER(MATCH(DATEVALUE($A128),'changes1_based on steps'!P$1:P$400,0)),P$2,)</f>
        <v>0</v>
      </c>
      <c r="Q128" s="179">
        <f ca="1">IF(ISNUMBER(MATCH(DATEVALUE($A128),'changes1_based on steps'!Q$1:Q$400,0)),Q$2,)</f>
        <v>0</v>
      </c>
      <c r="R128" s="179">
        <f ca="1">IF(ISNUMBER(MATCH(DATEVALUE($A128),'changes1_based on steps'!R$1:R$400,0)),R$2,)</f>
        <v>0</v>
      </c>
      <c r="S128" s="179">
        <f ca="1">IF(ISNUMBER(MATCH(DATEVALUE($A128),'changes1_based on steps'!S$1:S$400,0)),S$2,)</f>
        <v>0</v>
      </c>
      <c r="T128" s="179">
        <f ca="1">IF(ISNUMBER(MATCH(DATEVALUE($A128),'changes1_based on steps'!T$1:T$400,0)),T$2,)</f>
        <v>0</v>
      </c>
      <c r="U128" s="179">
        <f ca="1">IF(ISNUMBER(MATCH(DATEVALUE($A128),'changes1_based on steps'!U$1:U$400,0)),U$2,)</f>
        <v>0</v>
      </c>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row>
    <row r="129" spans="1:101" x14ac:dyDescent="0.2">
      <c r="A129" s="32" t="str">
        <f t="shared" ca="1" si="1"/>
        <v>2025-08-02</v>
      </c>
      <c r="B129" s="179">
        <f ca="1">IF(ISNUMBER(MATCH(DATEVALUE($A129),'changes1_based on steps'!B$1:B$400,0)),B$2,)</f>
        <v>0</v>
      </c>
      <c r="C129" s="179">
        <f ca="1">IF(ISNUMBER(MATCH(DATEVALUE($A129),'changes1_based on steps'!C$1:C$400,0)),C$2,)</f>
        <v>0</v>
      </c>
      <c r="D129" s="179">
        <f ca="1">IF(ISNUMBER(MATCH(DATEVALUE($A129),'changes1_based on steps'!D$1:D$400,0)),D$2,)</f>
        <v>0</v>
      </c>
      <c r="E129" s="179">
        <f ca="1">IF(ISNUMBER(MATCH(DATEVALUE($A129),'changes1_based on steps'!E$1:E$400,0)),E$2,)</f>
        <v>0</v>
      </c>
      <c r="F129" s="179">
        <f ca="1">IF(ISNUMBER(MATCH(DATEVALUE($A129),'changes1_based on steps'!F$1:F$400,0)),F$2,)</f>
        <v>0</v>
      </c>
      <c r="G129" s="179">
        <f ca="1">IF(ISNUMBER(MATCH(DATEVALUE($A129),'changes1_based on steps'!G$1:G$400,0)),G$2,)</f>
        <v>0</v>
      </c>
      <c r="H129" s="179">
        <f ca="1">IF(ISNUMBER(MATCH(DATEVALUE($A129),'changes1_based on steps'!H$1:H$400,0)),H$2,)</f>
        <v>0</v>
      </c>
      <c r="I129" s="179">
        <f ca="1">IF(ISNUMBER(MATCH(DATEVALUE($A129),'changes1_based on steps'!I$1:I$400,0)),I$2,)</f>
        <v>0</v>
      </c>
      <c r="J129" s="179">
        <f ca="1">IF(ISNUMBER(MATCH(DATEVALUE($A129),'changes1_based on steps'!J$1:J$400,0)),J$2,)</f>
        <v>0</v>
      </c>
      <c r="K129" s="179">
        <f ca="1">IF(ISNUMBER(MATCH(DATEVALUE($A129),'changes1_based on steps'!K$1:K$400,0)),K$2,)</f>
        <v>0</v>
      </c>
      <c r="L129" s="179">
        <f ca="1">IF(ISNUMBER(MATCH(DATEVALUE($A129),'changes1_based on steps'!L$1:L$400,0)),L$2,)</f>
        <v>0</v>
      </c>
      <c r="M129" s="179">
        <f ca="1">IF(ISNUMBER(MATCH(DATEVALUE($A129),'changes1_based on steps'!M$1:M$400,0)),M$2,)</f>
        <v>0</v>
      </c>
      <c r="N129" s="179">
        <f ca="1">IF(ISNUMBER(MATCH(DATEVALUE($A129),'changes1_based on steps'!N$1:N$400,0)),N$2,)</f>
        <v>0</v>
      </c>
      <c r="O129" s="179">
        <f ca="1">IF(ISNUMBER(MATCH(DATEVALUE($A129),'changes1_based on steps'!O$1:O$400,0)),O$2,)</f>
        <v>0</v>
      </c>
      <c r="P129" s="179">
        <f ca="1">IF(ISNUMBER(MATCH(DATEVALUE($A129),'changes1_based on steps'!P$1:P$400,0)),P$2,)</f>
        <v>0</v>
      </c>
      <c r="Q129" s="179">
        <f ca="1">IF(ISNUMBER(MATCH(DATEVALUE($A129),'changes1_based on steps'!Q$1:Q$400,0)),Q$2,)</f>
        <v>0</v>
      </c>
      <c r="R129" s="179">
        <f ca="1">IF(ISNUMBER(MATCH(DATEVALUE($A129),'changes1_based on steps'!R$1:R$400,0)),R$2,)</f>
        <v>0</v>
      </c>
      <c r="S129" s="179">
        <f ca="1">IF(ISNUMBER(MATCH(DATEVALUE($A129),'changes1_based on steps'!S$1:S$400,0)),S$2,)</f>
        <v>0</v>
      </c>
      <c r="T129" s="179">
        <f ca="1">IF(ISNUMBER(MATCH(DATEVALUE($A129),'changes1_based on steps'!T$1:T$400,0)),T$2,)</f>
        <v>0</v>
      </c>
      <c r="U129" s="179">
        <f ca="1">IF(ISNUMBER(MATCH(DATEVALUE($A129),'changes1_based on steps'!U$1:U$400,0)),U$2,)</f>
        <v>0</v>
      </c>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row>
    <row r="130" spans="1:101" x14ac:dyDescent="0.2">
      <c r="A130" s="32" t="str">
        <f t="shared" ca="1" si="1"/>
        <v>2025-08-03</v>
      </c>
      <c r="B130" s="179">
        <f ca="1">IF(ISNUMBER(MATCH(DATEVALUE($A130),'changes1_based on steps'!B$1:B$400,0)),B$2,)</f>
        <v>0</v>
      </c>
      <c r="C130" s="179">
        <f ca="1">IF(ISNUMBER(MATCH(DATEVALUE($A130),'changes1_based on steps'!C$1:C$400,0)),C$2,)</f>
        <v>0</v>
      </c>
      <c r="D130" s="179">
        <f ca="1">IF(ISNUMBER(MATCH(DATEVALUE($A130),'changes1_based on steps'!D$1:D$400,0)),D$2,)</f>
        <v>0</v>
      </c>
      <c r="E130" s="179">
        <f ca="1">IF(ISNUMBER(MATCH(DATEVALUE($A130),'changes1_based on steps'!E$1:E$400,0)),E$2,)</f>
        <v>0</v>
      </c>
      <c r="F130" s="179">
        <f ca="1">IF(ISNUMBER(MATCH(DATEVALUE($A130),'changes1_based on steps'!F$1:F$400,0)),F$2,)</f>
        <v>0</v>
      </c>
      <c r="G130" s="179">
        <f ca="1">IF(ISNUMBER(MATCH(DATEVALUE($A130),'changes1_based on steps'!G$1:G$400,0)),G$2,)</f>
        <v>0</v>
      </c>
      <c r="H130" s="179">
        <f ca="1">IF(ISNUMBER(MATCH(DATEVALUE($A130),'changes1_based on steps'!H$1:H$400,0)),H$2,)</f>
        <v>0</v>
      </c>
      <c r="I130" s="179">
        <f ca="1">IF(ISNUMBER(MATCH(DATEVALUE($A130),'changes1_based on steps'!I$1:I$400,0)),I$2,)</f>
        <v>0</v>
      </c>
      <c r="J130" s="179">
        <f ca="1">IF(ISNUMBER(MATCH(DATEVALUE($A130),'changes1_based on steps'!J$1:J$400,0)),J$2,)</f>
        <v>0</v>
      </c>
      <c r="K130" s="179">
        <f ca="1">IF(ISNUMBER(MATCH(DATEVALUE($A130),'changes1_based on steps'!K$1:K$400,0)),K$2,)</f>
        <v>0</v>
      </c>
      <c r="L130" s="179">
        <f ca="1">IF(ISNUMBER(MATCH(DATEVALUE($A130),'changes1_based on steps'!L$1:L$400,0)),L$2,)</f>
        <v>0</v>
      </c>
      <c r="M130" s="179">
        <f ca="1">IF(ISNUMBER(MATCH(DATEVALUE($A130),'changes1_based on steps'!M$1:M$400,0)),M$2,)</f>
        <v>0</v>
      </c>
      <c r="N130" s="179">
        <f ca="1">IF(ISNUMBER(MATCH(DATEVALUE($A130),'changes1_based on steps'!N$1:N$400,0)),N$2,)</f>
        <v>0</v>
      </c>
      <c r="O130" s="179">
        <f ca="1">IF(ISNUMBER(MATCH(DATEVALUE($A130),'changes1_based on steps'!O$1:O$400,0)),O$2,)</f>
        <v>0</v>
      </c>
      <c r="P130" s="179">
        <f ca="1">IF(ISNUMBER(MATCH(DATEVALUE($A130),'changes1_based on steps'!P$1:P$400,0)),P$2,)</f>
        <v>0</v>
      </c>
      <c r="Q130" s="179">
        <f ca="1">IF(ISNUMBER(MATCH(DATEVALUE($A130),'changes1_based on steps'!Q$1:Q$400,0)),Q$2,)</f>
        <v>0</v>
      </c>
      <c r="R130" s="179">
        <f ca="1">IF(ISNUMBER(MATCH(DATEVALUE($A130),'changes1_based on steps'!R$1:R$400,0)),R$2,)</f>
        <v>0</v>
      </c>
      <c r="S130" s="179">
        <f ca="1">IF(ISNUMBER(MATCH(DATEVALUE($A130),'changes1_based on steps'!S$1:S$400,0)),S$2,)</f>
        <v>0</v>
      </c>
      <c r="T130" s="179">
        <f ca="1">IF(ISNUMBER(MATCH(DATEVALUE($A130),'changes1_based on steps'!T$1:T$400,0)),T$2,)</f>
        <v>0</v>
      </c>
      <c r="U130" s="179">
        <f ca="1">IF(ISNUMBER(MATCH(DATEVALUE($A130),'changes1_based on steps'!U$1:U$400,0)),U$2,)</f>
        <v>0</v>
      </c>
      <c r="V130" s="179"/>
      <c r="W130" s="179"/>
      <c r="X130" s="179"/>
      <c r="Y130" s="179"/>
      <c r="Z130" s="179"/>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c r="AV130" s="179"/>
      <c r="AW130" s="179"/>
      <c r="AX130" s="179"/>
      <c r="AY130" s="179"/>
      <c r="AZ130" s="179"/>
      <c r="BA130" s="179"/>
      <c r="BB130" s="179"/>
      <c r="BC130" s="179"/>
      <c r="BD130" s="179"/>
      <c r="BE130" s="179"/>
      <c r="BF130" s="179"/>
      <c r="BG130" s="179"/>
      <c r="BH130" s="179"/>
      <c r="BI130" s="179"/>
      <c r="BJ130" s="179"/>
      <c r="BK130" s="179"/>
      <c r="BL130" s="179"/>
      <c r="BM130" s="179"/>
      <c r="BN130" s="179"/>
      <c r="BO130" s="179"/>
      <c r="BP130" s="179"/>
      <c r="BQ130" s="179"/>
      <c r="BR130" s="179"/>
      <c r="BS130" s="179"/>
      <c r="BT130" s="179"/>
      <c r="BU130" s="179"/>
      <c r="BV130" s="179"/>
      <c r="BW130" s="179"/>
      <c r="BX130" s="179"/>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row>
    <row r="131" spans="1:101" x14ac:dyDescent="0.2">
      <c r="A131" s="32" t="str">
        <f t="shared" ca="1" si="1"/>
        <v>2025-08-04</v>
      </c>
      <c r="B131" s="179">
        <f ca="1">IF(ISNUMBER(MATCH(DATEVALUE($A131),'changes1_based on steps'!B$1:B$400,0)),B$2,)</f>
        <v>0</v>
      </c>
      <c r="C131" s="179">
        <f ca="1">IF(ISNUMBER(MATCH(DATEVALUE($A131),'changes1_based on steps'!C$1:C$400,0)),C$2,)</f>
        <v>0</v>
      </c>
      <c r="D131" s="179">
        <f ca="1">IF(ISNUMBER(MATCH(DATEVALUE($A131),'changes1_based on steps'!D$1:D$400,0)),D$2,)</f>
        <v>0</v>
      </c>
      <c r="E131" s="179">
        <f ca="1">IF(ISNUMBER(MATCH(DATEVALUE($A131),'changes1_based on steps'!E$1:E$400,0)),E$2,)</f>
        <v>0</v>
      </c>
      <c r="F131" s="179">
        <f ca="1">IF(ISNUMBER(MATCH(DATEVALUE($A131),'changes1_based on steps'!F$1:F$400,0)),F$2,)</f>
        <v>0</v>
      </c>
      <c r="G131" s="179">
        <f ca="1">IF(ISNUMBER(MATCH(DATEVALUE($A131),'changes1_based on steps'!G$1:G$400,0)),G$2,)</f>
        <v>0</v>
      </c>
      <c r="H131" s="179">
        <f ca="1">IF(ISNUMBER(MATCH(DATEVALUE($A131),'changes1_based on steps'!H$1:H$400,0)),H$2,)</f>
        <v>0</v>
      </c>
      <c r="I131" s="179">
        <f ca="1">IF(ISNUMBER(MATCH(DATEVALUE($A131),'changes1_based on steps'!I$1:I$400,0)),I$2,)</f>
        <v>0</v>
      </c>
      <c r="J131" s="179">
        <f ca="1">IF(ISNUMBER(MATCH(DATEVALUE($A131),'changes1_based on steps'!J$1:J$400,0)),J$2,)</f>
        <v>0</v>
      </c>
      <c r="K131" s="179">
        <f ca="1">IF(ISNUMBER(MATCH(DATEVALUE($A131),'changes1_based on steps'!K$1:K$400,0)),K$2,)</f>
        <v>0</v>
      </c>
      <c r="L131" s="179">
        <f ca="1">IF(ISNUMBER(MATCH(DATEVALUE($A131),'changes1_based on steps'!L$1:L$400,0)),L$2,)</f>
        <v>0</v>
      </c>
      <c r="M131" s="179">
        <f ca="1">IF(ISNUMBER(MATCH(DATEVALUE($A131),'changes1_based on steps'!M$1:M$400,0)),M$2,)</f>
        <v>0</v>
      </c>
      <c r="N131" s="179">
        <f ca="1">IF(ISNUMBER(MATCH(DATEVALUE($A131),'changes1_based on steps'!N$1:N$400,0)),N$2,)</f>
        <v>0</v>
      </c>
      <c r="O131" s="179">
        <f ca="1">IF(ISNUMBER(MATCH(DATEVALUE($A131),'changes1_based on steps'!O$1:O$400,0)),O$2,)</f>
        <v>0</v>
      </c>
      <c r="P131" s="179">
        <f ca="1">IF(ISNUMBER(MATCH(DATEVALUE($A131),'changes1_based on steps'!P$1:P$400,0)),P$2,)</f>
        <v>0</v>
      </c>
      <c r="Q131" s="179">
        <f ca="1">IF(ISNUMBER(MATCH(DATEVALUE($A131),'changes1_based on steps'!Q$1:Q$400,0)),Q$2,)</f>
        <v>0</v>
      </c>
      <c r="R131" s="179">
        <f ca="1">IF(ISNUMBER(MATCH(DATEVALUE($A131),'changes1_based on steps'!R$1:R$400,0)),R$2,)</f>
        <v>0</v>
      </c>
      <c r="S131" s="179">
        <f ca="1">IF(ISNUMBER(MATCH(DATEVALUE($A131),'changes1_based on steps'!S$1:S$400,0)),S$2,)</f>
        <v>0</v>
      </c>
      <c r="T131" s="179">
        <f ca="1">IF(ISNUMBER(MATCH(DATEVALUE($A131),'changes1_based on steps'!T$1:T$400,0)),T$2,)</f>
        <v>0</v>
      </c>
      <c r="U131" s="179">
        <f ca="1">IF(ISNUMBER(MATCH(DATEVALUE($A131),'changes1_based on steps'!U$1:U$400,0)),U$2,)</f>
        <v>0</v>
      </c>
      <c r="V131" s="179"/>
      <c r="W131" s="179"/>
      <c r="X131" s="179"/>
      <c r="Y131" s="179"/>
      <c r="Z131" s="179"/>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c r="AV131" s="179"/>
      <c r="AW131" s="179"/>
      <c r="AX131" s="179"/>
      <c r="AY131" s="179"/>
      <c r="AZ131" s="179"/>
      <c r="BA131" s="179"/>
      <c r="BB131" s="179"/>
      <c r="BC131" s="179"/>
      <c r="BD131" s="179"/>
      <c r="BE131" s="179"/>
      <c r="BF131" s="179"/>
      <c r="BG131" s="179"/>
      <c r="BH131" s="179"/>
      <c r="BI131" s="179"/>
      <c r="BJ131" s="179"/>
      <c r="BK131" s="179"/>
      <c r="BL131" s="179"/>
      <c r="BM131" s="179"/>
      <c r="BN131" s="179"/>
      <c r="BO131" s="179"/>
      <c r="BP131" s="179"/>
      <c r="BQ131" s="179"/>
      <c r="BR131" s="179"/>
      <c r="BS131" s="179"/>
      <c r="BT131" s="179"/>
      <c r="BU131" s="179"/>
      <c r="BV131" s="179"/>
      <c r="BW131" s="179"/>
      <c r="BX131" s="179"/>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row>
    <row r="132" spans="1:101" x14ac:dyDescent="0.2">
      <c r="A132" s="32" t="str">
        <f t="shared" ca="1" si="1"/>
        <v>2025-08-05</v>
      </c>
      <c r="B132" s="179">
        <f ca="1">IF(ISNUMBER(MATCH(DATEVALUE($A132),'changes1_based on steps'!B$1:B$400,0)),B$2,)</f>
        <v>0</v>
      </c>
      <c r="C132" s="179">
        <f ca="1">IF(ISNUMBER(MATCH(DATEVALUE($A132),'changes1_based on steps'!C$1:C$400,0)),C$2,)</f>
        <v>0</v>
      </c>
      <c r="D132" s="179">
        <f ca="1">IF(ISNUMBER(MATCH(DATEVALUE($A132),'changes1_based on steps'!D$1:D$400,0)),D$2,)</f>
        <v>0</v>
      </c>
      <c r="E132" s="179">
        <f ca="1">IF(ISNUMBER(MATCH(DATEVALUE($A132),'changes1_based on steps'!E$1:E$400,0)),E$2,)</f>
        <v>0</v>
      </c>
      <c r="F132" s="179">
        <f ca="1">IF(ISNUMBER(MATCH(DATEVALUE($A132),'changes1_based on steps'!F$1:F$400,0)),F$2,)</f>
        <v>0</v>
      </c>
      <c r="G132" s="179">
        <f ca="1">IF(ISNUMBER(MATCH(DATEVALUE($A132),'changes1_based on steps'!G$1:G$400,0)),G$2,)</f>
        <v>0</v>
      </c>
      <c r="H132" s="179">
        <f ca="1">IF(ISNUMBER(MATCH(DATEVALUE($A132),'changes1_based on steps'!H$1:H$400,0)),H$2,)</f>
        <v>0</v>
      </c>
      <c r="I132" s="179">
        <f ca="1">IF(ISNUMBER(MATCH(DATEVALUE($A132),'changes1_based on steps'!I$1:I$400,0)),I$2,)</f>
        <v>0</v>
      </c>
      <c r="J132" s="179">
        <f ca="1">IF(ISNUMBER(MATCH(DATEVALUE($A132),'changes1_based on steps'!J$1:J$400,0)),J$2,)</f>
        <v>0</v>
      </c>
      <c r="K132" s="179">
        <f ca="1">IF(ISNUMBER(MATCH(DATEVALUE($A132),'changes1_based on steps'!K$1:K$400,0)),K$2,)</f>
        <v>0</v>
      </c>
      <c r="L132" s="179">
        <f ca="1">IF(ISNUMBER(MATCH(DATEVALUE($A132),'changes1_based on steps'!L$1:L$400,0)),L$2,)</f>
        <v>0</v>
      </c>
      <c r="M132" s="179">
        <f ca="1">IF(ISNUMBER(MATCH(DATEVALUE($A132),'changes1_based on steps'!M$1:M$400,0)),M$2,)</f>
        <v>0</v>
      </c>
      <c r="N132" s="179">
        <f ca="1">IF(ISNUMBER(MATCH(DATEVALUE($A132),'changes1_based on steps'!N$1:N$400,0)),N$2,)</f>
        <v>0</v>
      </c>
      <c r="O132" s="179">
        <f ca="1">IF(ISNUMBER(MATCH(DATEVALUE($A132),'changes1_based on steps'!O$1:O$400,0)),O$2,)</f>
        <v>0</v>
      </c>
      <c r="P132" s="179">
        <f ca="1">IF(ISNUMBER(MATCH(DATEVALUE($A132),'changes1_based on steps'!P$1:P$400,0)),P$2,)</f>
        <v>0</v>
      </c>
      <c r="Q132" s="179">
        <f ca="1">IF(ISNUMBER(MATCH(DATEVALUE($A132),'changes1_based on steps'!Q$1:Q$400,0)),Q$2,)</f>
        <v>0</v>
      </c>
      <c r="R132" s="179">
        <f ca="1">IF(ISNUMBER(MATCH(DATEVALUE($A132),'changes1_based on steps'!R$1:R$400,0)),R$2,)</f>
        <v>0</v>
      </c>
      <c r="S132" s="179">
        <f ca="1">IF(ISNUMBER(MATCH(DATEVALUE($A132),'changes1_based on steps'!S$1:S$400,0)),S$2,)</f>
        <v>0</v>
      </c>
      <c r="T132" s="179">
        <f ca="1">IF(ISNUMBER(MATCH(DATEVALUE($A132),'changes1_based on steps'!T$1:T$400,0)),T$2,)</f>
        <v>0</v>
      </c>
      <c r="U132" s="179">
        <f ca="1">IF(ISNUMBER(MATCH(DATEVALUE($A132),'changes1_based on steps'!U$1:U$400,0)),U$2,)</f>
        <v>0</v>
      </c>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79"/>
      <c r="BM132" s="179"/>
      <c r="BN132" s="179"/>
      <c r="BO132" s="179"/>
      <c r="BP132" s="179"/>
      <c r="BQ132" s="179"/>
      <c r="BR132" s="179"/>
      <c r="BS132" s="179"/>
      <c r="BT132" s="179"/>
      <c r="BU132" s="179"/>
      <c r="BV132" s="179"/>
      <c r="BW132" s="179"/>
      <c r="BX132" s="179"/>
      <c r="BY132" s="179"/>
      <c r="BZ132" s="179"/>
      <c r="CA132" s="179"/>
      <c r="CB132" s="179"/>
      <c r="CC132" s="179"/>
      <c r="CD132" s="179"/>
      <c r="CE132" s="179"/>
      <c r="CF132" s="179"/>
      <c r="CG132" s="179"/>
      <c r="CH132" s="179"/>
      <c r="CI132" s="179"/>
      <c r="CJ132" s="179"/>
      <c r="CK132" s="179"/>
      <c r="CL132" s="179"/>
      <c r="CM132" s="179"/>
      <c r="CN132" s="179"/>
      <c r="CO132" s="179"/>
      <c r="CP132" s="179"/>
      <c r="CQ132" s="179"/>
      <c r="CR132" s="179"/>
      <c r="CS132" s="179"/>
      <c r="CT132" s="179"/>
      <c r="CU132" s="179"/>
      <c r="CV132" s="179"/>
      <c r="CW132" s="179"/>
    </row>
    <row r="133" spans="1:101" x14ac:dyDescent="0.2">
      <c r="A133" s="32" t="str">
        <f t="shared" ref="A133:A196" ca="1" si="2">TEXT(DATEVALUE(A132)+1,"yyyy-mm-dd")</f>
        <v>2025-08-06</v>
      </c>
      <c r="B133" s="179">
        <f ca="1">IF(ISNUMBER(MATCH(DATEVALUE($A133),'changes1_based on steps'!B$1:B$400,0)),B$2,)</f>
        <v>0</v>
      </c>
      <c r="C133" s="179">
        <f ca="1">IF(ISNUMBER(MATCH(DATEVALUE($A133),'changes1_based on steps'!C$1:C$400,0)),C$2,)</f>
        <v>0</v>
      </c>
      <c r="D133" s="179">
        <f ca="1">IF(ISNUMBER(MATCH(DATEVALUE($A133),'changes1_based on steps'!D$1:D$400,0)),D$2,)</f>
        <v>0</v>
      </c>
      <c r="E133" s="179">
        <f ca="1">IF(ISNUMBER(MATCH(DATEVALUE($A133),'changes1_based on steps'!E$1:E$400,0)),E$2,)</f>
        <v>0</v>
      </c>
      <c r="F133" s="179">
        <f ca="1">IF(ISNUMBER(MATCH(DATEVALUE($A133),'changes1_based on steps'!F$1:F$400,0)),F$2,)</f>
        <v>0</v>
      </c>
      <c r="G133" s="179">
        <f ca="1">IF(ISNUMBER(MATCH(DATEVALUE($A133),'changes1_based on steps'!G$1:G$400,0)),G$2,)</f>
        <v>0</v>
      </c>
      <c r="H133" s="179">
        <f ca="1">IF(ISNUMBER(MATCH(DATEVALUE($A133),'changes1_based on steps'!H$1:H$400,0)),H$2,)</f>
        <v>0</v>
      </c>
      <c r="I133" s="179">
        <f ca="1">IF(ISNUMBER(MATCH(DATEVALUE($A133),'changes1_based on steps'!I$1:I$400,0)),I$2,)</f>
        <v>0</v>
      </c>
      <c r="J133" s="179">
        <f ca="1">IF(ISNUMBER(MATCH(DATEVALUE($A133),'changes1_based on steps'!J$1:J$400,0)),J$2,)</f>
        <v>0</v>
      </c>
      <c r="K133" s="179">
        <f ca="1">IF(ISNUMBER(MATCH(DATEVALUE($A133),'changes1_based on steps'!K$1:K$400,0)),K$2,)</f>
        <v>0</v>
      </c>
      <c r="L133" s="179">
        <f ca="1">IF(ISNUMBER(MATCH(DATEVALUE($A133),'changes1_based on steps'!L$1:L$400,0)),L$2,)</f>
        <v>0</v>
      </c>
      <c r="M133" s="179">
        <f ca="1">IF(ISNUMBER(MATCH(DATEVALUE($A133),'changes1_based on steps'!M$1:M$400,0)),M$2,)</f>
        <v>0</v>
      </c>
      <c r="N133" s="179">
        <f ca="1">IF(ISNUMBER(MATCH(DATEVALUE($A133),'changes1_based on steps'!N$1:N$400,0)),N$2,)</f>
        <v>0</v>
      </c>
      <c r="O133" s="179">
        <f ca="1">IF(ISNUMBER(MATCH(DATEVALUE($A133),'changes1_based on steps'!O$1:O$400,0)),O$2,)</f>
        <v>0</v>
      </c>
      <c r="P133" s="179">
        <f ca="1">IF(ISNUMBER(MATCH(DATEVALUE($A133),'changes1_based on steps'!P$1:P$400,0)),P$2,)</f>
        <v>0</v>
      </c>
      <c r="Q133" s="179">
        <f ca="1">IF(ISNUMBER(MATCH(DATEVALUE($A133),'changes1_based on steps'!Q$1:Q$400,0)),Q$2,)</f>
        <v>0</v>
      </c>
      <c r="R133" s="179">
        <f ca="1">IF(ISNUMBER(MATCH(DATEVALUE($A133),'changes1_based on steps'!R$1:R$400,0)),R$2,)</f>
        <v>0</v>
      </c>
      <c r="S133" s="179">
        <f ca="1">IF(ISNUMBER(MATCH(DATEVALUE($A133),'changes1_based on steps'!S$1:S$400,0)),S$2,)</f>
        <v>0</v>
      </c>
      <c r="T133" s="179">
        <f ca="1">IF(ISNUMBER(MATCH(DATEVALUE($A133),'changes1_based on steps'!T$1:T$400,0)),T$2,)</f>
        <v>0</v>
      </c>
      <c r="U133" s="179">
        <f ca="1">IF(ISNUMBER(MATCH(DATEVALUE($A133),'changes1_based on steps'!U$1:U$400,0)),U$2,)</f>
        <v>0</v>
      </c>
      <c r="V133" s="179"/>
      <c r="W133" s="179"/>
      <c r="X133" s="179"/>
      <c r="Y133" s="179"/>
      <c r="Z133" s="179"/>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c r="AV133" s="179"/>
      <c r="AW133" s="179"/>
      <c r="AX133" s="179"/>
      <c r="AY133" s="179"/>
      <c r="AZ133" s="179"/>
      <c r="BA133" s="179"/>
      <c r="BB133" s="179"/>
      <c r="BC133" s="179"/>
      <c r="BD133" s="179"/>
      <c r="BE133" s="179"/>
      <c r="BF133" s="179"/>
      <c r="BG133" s="179"/>
      <c r="BH133" s="179"/>
      <c r="BI133" s="179"/>
      <c r="BJ133" s="179"/>
      <c r="BK133" s="179"/>
      <c r="BL133" s="179"/>
      <c r="BM133" s="179"/>
      <c r="BN133" s="179"/>
      <c r="BO133" s="179"/>
      <c r="BP133" s="179"/>
      <c r="BQ133" s="179"/>
      <c r="BR133" s="179"/>
      <c r="BS133" s="179"/>
      <c r="BT133" s="179"/>
      <c r="BU133" s="179"/>
      <c r="BV133" s="179"/>
      <c r="BW133" s="179"/>
      <c r="BX133" s="179"/>
      <c r="BY133" s="179"/>
      <c r="BZ133" s="179"/>
      <c r="CA133" s="179"/>
      <c r="CB133" s="179"/>
      <c r="CC133" s="179"/>
      <c r="CD133" s="179"/>
      <c r="CE133" s="179"/>
      <c r="CF133" s="179"/>
      <c r="CG133" s="179"/>
      <c r="CH133" s="179"/>
      <c r="CI133" s="179"/>
      <c r="CJ133" s="179"/>
      <c r="CK133" s="179"/>
      <c r="CL133" s="179"/>
      <c r="CM133" s="179"/>
      <c r="CN133" s="179"/>
      <c r="CO133" s="179"/>
      <c r="CP133" s="179"/>
      <c r="CQ133" s="179"/>
      <c r="CR133" s="179"/>
      <c r="CS133" s="179"/>
      <c r="CT133" s="179"/>
      <c r="CU133" s="179"/>
      <c r="CV133" s="179"/>
      <c r="CW133" s="179"/>
    </row>
    <row r="134" spans="1:101" x14ac:dyDescent="0.2">
      <c r="A134" s="32" t="str">
        <f t="shared" ca="1" si="2"/>
        <v>2025-08-07</v>
      </c>
      <c r="B134" s="179">
        <f ca="1">IF(ISNUMBER(MATCH(DATEVALUE($A134),'changes1_based on steps'!B$1:B$400,0)),B$2,)</f>
        <v>0</v>
      </c>
      <c r="C134" s="179">
        <f ca="1">IF(ISNUMBER(MATCH(DATEVALUE($A134),'changes1_based on steps'!C$1:C$400,0)),C$2,)</f>
        <v>0</v>
      </c>
      <c r="D134" s="179">
        <f ca="1">IF(ISNUMBER(MATCH(DATEVALUE($A134),'changes1_based on steps'!D$1:D$400,0)),D$2,)</f>
        <v>0</v>
      </c>
      <c r="E134" s="179">
        <f ca="1">IF(ISNUMBER(MATCH(DATEVALUE($A134),'changes1_based on steps'!E$1:E$400,0)),E$2,)</f>
        <v>0</v>
      </c>
      <c r="F134" s="179">
        <f ca="1">IF(ISNUMBER(MATCH(DATEVALUE($A134),'changes1_based on steps'!F$1:F$400,0)),F$2,)</f>
        <v>0</v>
      </c>
      <c r="G134" s="179">
        <f ca="1">IF(ISNUMBER(MATCH(DATEVALUE($A134),'changes1_based on steps'!G$1:G$400,0)),G$2,)</f>
        <v>0</v>
      </c>
      <c r="H134" s="179">
        <f ca="1">IF(ISNUMBER(MATCH(DATEVALUE($A134),'changes1_based on steps'!H$1:H$400,0)),H$2,)</f>
        <v>0</v>
      </c>
      <c r="I134" s="179">
        <f ca="1">IF(ISNUMBER(MATCH(DATEVALUE($A134),'changes1_based on steps'!I$1:I$400,0)),I$2,)</f>
        <v>0</v>
      </c>
      <c r="J134" s="179">
        <f ca="1">IF(ISNUMBER(MATCH(DATEVALUE($A134),'changes1_based on steps'!J$1:J$400,0)),J$2,)</f>
        <v>0</v>
      </c>
      <c r="K134" s="179">
        <f ca="1">IF(ISNUMBER(MATCH(DATEVALUE($A134),'changes1_based on steps'!K$1:K$400,0)),K$2,)</f>
        <v>0</v>
      </c>
      <c r="L134" s="179">
        <f ca="1">IF(ISNUMBER(MATCH(DATEVALUE($A134),'changes1_based on steps'!L$1:L$400,0)),L$2,)</f>
        <v>0</v>
      </c>
      <c r="M134" s="179">
        <f ca="1">IF(ISNUMBER(MATCH(DATEVALUE($A134),'changes1_based on steps'!M$1:M$400,0)),M$2,)</f>
        <v>0</v>
      </c>
      <c r="N134" s="179">
        <f ca="1">IF(ISNUMBER(MATCH(DATEVALUE($A134),'changes1_based on steps'!N$1:N$400,0)),N$2,)</f>
        <v>0</v>
      </c>
      <c r="O134" s="179">
        <f ca="1">IF(ISNUMBER(MATCH(DATEVALUE($A134),'changes1_based on steps'!O$1:O$400,0)),O$2,)</f>
        <v>0</v>
      </c>
      <c r="P134" s="179">
        <f ca="1">IF(ISNUMBER(MATCH(DATEVALUE($A134),'changes1_based on steps'!P$1:P$400,0)),P$2,)</f>
        <v>0</v>
      </c>
      <c r="Q134" s="179">
        <f ca="1">IF(ISNUMBER(MATCH(DATEVALUE($A134),'changes1_based on steps'!Q$1:Q$400,0)),Q$2,)</f>
        <v>0</v>
      </c>
      <c r="R134" s="179">
        <f ca="1">IF(ISNUMBER(MATCH(DATEVALUE($A134),'changes1_based on steps'!R$1:R$400,0)),R$2,)</f>
        <v>0</v>
      </c>
      <c r="S134" s="179">
        <f ca="1">IF(ISNUMBER(MATCH(DATEVALUE($A134),'changes1_based on steps'!S$1:S$400,0)),S$2,)</f>
        <v>0</v>
      </c>
      <c r="T134" s="179">
        <f ca="1">IF(ISNUMBER(MATCH(DATEVALUE($A134),'changes1_based on steps'!T$1:T$400,0)),T$2,)</f>
        <v>0</v>
      </c>
      <c r="U134" s="179">
        <f ca="1">IF(ISNUMBER(MATCH(DATEVALUE($A134),'changes1_based on steps'!U$1:U$400,0)),U$2,)</f>
        <v>0</v>
      </c>
      <c r="V134" s="179"/>
      <c r="W134" s="179"/>
      <c r="X134" s="179"/>
      <c r="Y134" s="179"/>
      <c r="Z134" s="179"/>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c r="AV134" s="179"/>
      <c r="AW134" s="179"/>
      <c r="AX134" s="179"/>
      <c r="AY134" s="179"/>
      <c r="AZ134" s="179"/>
      <c r="BA134" s="179"/>
      <c r="BB134" s="179"/>
      <c r="BC134" s="179"/>
      <c r="BD134" s="179"/>
      <c r="BE134" s="179"/>
      <c r="BF134" s="179"/>
      <c r="BG134" s="179"/>
      <c r="BH134" s="179"/>
      <c r="BI134" s="179"/>
      <c r="BJ134" s="179"/>
      <c r="BK134" s="179"/>
      <c r="BL134" s="179"/>
      <c r="BM134" s="179"/>
      <c r="BN134" s="179"/>
      <c r="BO134" s="179"/>
      <c r="BP134" s="179"/>
      <c r="BQ134" s="179"/>
      <c r="BR134" s="179"/>
      <c r="BS134" s="179"/>
      <c r="BT134" s="179"/>
      <c r="BU134" s="179"/>
      <c r="BV134" s="179"/>
      <c r="BW134" s="179"/>
      <c r="BX134" s="179"/>
      <c r="BY134" s="179"/>
      <c r="BZ134" s="179"/>
      <c r="CA134" s="179"/>
      <c r="CB134" s="179"/>
      <c r="CC134" s="179"/>
      <c r="CD134" s="179"/>
      <c r="CE134" s="179"/>
      <c r="CF134" s="179"/>
      <c r="CG134" s="179"/>
      <c r="CH134" s="179"/>
      <c r="CI134" s="179"/>
      <c r="CJ134" s="179"/>
      <c r="CK134" s="179"/>
      <c r="CL134" s="179"/>
      <c r="CM134" s="179"/>
      <c r="CN134" s="179"/>
      <c r="CO134" s="179"/>
      <c r="CP134" s="179"/>
      <c r="CQ134" s="179"/>
      <c r="CR134" s="179"/>
      <c r="CS134" s="179"/>
      <c r="CT134" s="179"/>
      <c r="CU134" s="179"/>
      <c r="CV134" s="179"/>
      <c r="CW134" s="179"/>
    </row>
    <row r="135" spans="1:101" x14ac:dyDescent="0.2">
      <c r="A135" s="32" t="str">
        <f t="shared" ca="1" si="2"/>
        <v>2025-08-08</v>
      </c>
      <c r="B135" s="179">
        <f ca="1">IF(ISNUMBER(MATCH(DATEVALUE($A135),'changes1_based on steps'!B$1:B$400,0)),B$2,)</f>
        <v>0</v>
      </c>
      <c r="C135" s="179">
        <f ca="1">IF(ISNUMBER(MATCH(DATEVALUE($A135),'changes1_based on steps'!C$1:C$400,0)),C$2,)</f>
        <v>0</v>
      </c>
      <c r="D135" s="179">
        <f ca="1">IF(ISNUMBER(MATCH(DATEVALUE($A135),'changes1_based on steps'!D$1:D$400,0)),D$2,)</f>
        <v>0</v>
      </c>
      <c r="E135" s="179">
        <f ca="1">IF(ISNUMBER(MATCH(DATEVALUE($A135),'changes1_based on steps'!E$1:E$400,0)),E$2,)</f>
        <v>0</v>
      </c>
      <c r="F135" s="179">
        <f ca="1">IF(ISNUMBER(MATCH(DATEVALUE($A135),'changes1_based on steps'!F$1:F$400,0)),F$2,)</f>
        <v>0</v>
      </c>
      <c r="G135" s="179">
        <f ca="1">IF(ISNUMBER(MATCH(DATEVALUE($A135),'changes1_based on steps'!G$1:G$400,0)),G$2,)</f>
        <v>0</v>
      </c>
      <c r="H135" s="179">
        <f ca="1">IF(ISNUMBER(MATCH(DATEVALUE($A135),'changes1_based on steps'!H$1:H$400,0)),H$2,)</f>
        <v>0</v>
      </c>
      <c r="I135" s="179">
        <f ca="1">IF(ISNUMBER(MATCH(DATEVALUE($A135),'changes1_based on steps'!I$1:I$400,0)),I$2,)</f>
        <v>0</v>
      </c>
      <c r="J135" s="179">
        <f ca="1">IF(ISNUMBER(MATCH(DATEVALUE($A135),'changes1_based on steps'!J$1:J$400,0)),J$2,)</f>
        <v>0</v>
      </c>
      <c r="K135" s="179">
        <f ca="1">IF(ISNUMBER(MATCH(DATEVALUE($A135),'changes1_based on steps'!K$1:K$400,0)),K$2,)</f>
        <v>0</v>
      </c>
      <c r="L135" s="179">
        <f ca="1">IF(ISNUMBER(MATCH(DATEVALUE($A135),'changes1_based on steps'!L$1:L$400,0)),L$2,)</f>
        <v>0</v>
      </c>
      <c r="M135" s="179">
        <f ca="1">IF(ISNUMBER(MATCH(DATEVALUE($A135),'changes1_based on steps'!M$1:M$400,0)),M$2,)</f>
        <v>0</v>
      </c>
      <c r="N135" s="179">
        <f ca="1">IF(ISNUMBER(MATCH(DATEVALUE($A135),'changes1_based on steps'!N$1:N$400,0)),N$2,)</f>
        <v>0</v>
      </c>
      <c r="O135" s="179">
        <f ca="1">IF(ISNUMBER(MATCH(DATEVALUE($A135),'changes1_based on steps'!O$1:O$400,0)),O$2,)</f>
        <v>0</v>
      </c>
      <c r="P135" s="179">
        <f ca="1">IF(ISNUMBER(MATCH(DATEVALUE($A135),'changes1_based on steps'!P$1:P$400,0)),P$2,)</f>
        <v>0</v>
      </c>
      <c r="Q135" s="179">
        <f ca="1">IF(ISNUMBER(MATCH(DATEVALUE($A135),'changes1_based on steps'!Q$1:Q$400,0)),Q$2,)</f>
        <v>0</v>
      </c>
      <c r="R135" s="179">
        <f ca="1">IF(ISNUMBER(MATCH(DATEVALUE($A135),'changes1_based on steps'!R$1:R$400,0)),R$2,)</f>
        <v>0</v>
      </c>
      <c r="S135" s="179">
        <f ca="1">IF(ISNUMBER(MATCH(DATEVALUE($A135),'changes1_based on steps'!S$1:S$400,0)),S$2,)</f>
        <v>0</v>
      </c>
      <c r="T135" s="179">
        <f ca="1">IF(ISNUMBER(MATCH(DATEVALUE($A135),'changes1_based on steps'!T$1:T$400,0)),T$2,)</f>
        <v>0</v>
      </c>
      <c r="U135" s="179">
        <f ca="1">IF(ISNUMBER(MATCH(DATEVALUE($A135),'changes1_based on steps'!U$1:U$400,0)),U$2,)</f>
        <v>0</v>
      </c>
      <c r="V135" s="179"/>
      <c r="W135" s="179"/>
      <c r="X135" s="179"/>
      <c r="Y135" s="179"/>
      <c r="Z135" s="179"/>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c r="AV135" s="179"/>
      <c r="AW135" s="179"/>
      <c r="AX135" s="179"/>
      <c r="AY135" s="179"/>
      <c r="AZ135" s="179"/>
      <c r="BA135" s="179"/>
      <c r="BB135" s="179"/>
      <c r="BC135" s="179"/>
      <c r="BD135" s="179"/>
      <c r="BE135" s="179"/>
      <c r="BF135" s="179"/>
      <c r="BG135" s="179"/>
      <c r="BH135" s="179"/>
      <c r="BI135" s="179"/>
      <c r="BJ135" s="179"/>
      <c r="BK135" s="179"/>
      <c r="BL135" s="179"/>
      <c r="BM135" s="179"/>
      <c r="BN135" s="179"/>
      <c r="BO135" s="179"/>
      <c r="BP135" s="179"/>
      <c r="BQ135" s="179"/>
      <c r="BR135" s="179"/>
      <c r="BS135" s="179"/>
      <c r="BT135" s="179"/>
      <c r="BU135" s="179"/>
      <c r="BV135" s="179"/>
      <c r="BW135" s="179"/>
      <c r="BX135" s="179"/>
      <c r="BY135" s="179"/>
      <c r="BZ135" s="179"/>
      <c r="CA135" s="179"/>
      <c r="CB135" s="179"/>
      <c r="CC135" s="179"/>
      <c r="CD135" s="179"/>
      <c r="CE135" s="179"/>
      <c r="CF135" s="179"/>
      <c r="CG135" s="179"/>
      <c r="CH135" s="179"/>
      <c r="CI135" s="179"/>
      <c r="CJ135" s="179"/>
      <c r="CK135" s="179"/>
      <c r="CL135" s="179"/>
      <c r="CM135" s="179"/>
      <c r="CN135" s="179"/>
      <c r="CO135" s="179"/>
      <c r="CP135" s="179"/>
      <c r="CQ135" s="179"/>
      <c r="CR135" s="179"/>
      <c r="CS135" s="179"/>
      <c r="CT135" s="179"/>
      <c r="CU135" s="179"/>
      <c r="CV135" s="179"/>
      <c r="CW135" s="179"/>
    </row>
    <row r="136" spans="1:101" x14ac:dyDescent="0.2">
      <c r="A136" s="32" t="str">
        <f t="shared" ca="1" si="2"/>
        <v>2025-08-09</v>
      </c>
      <c r="B136" s="179">
        <f ca="1">IF(ISNUMBER(MATCH(DATEVALUE($A136),'changes1_based on steps'!B$1:B$400,0)),B$2,)</f>
        <v>0</v>
      </c>
      <c r="C136" s="179">
        <f ca="1">IF(ISNUMBER(MATCH(DATEVALUE($A136),'changes1_based on steps'!C$1:C$400,0)),C$2,)</f>
        <v>0</v>
      </c>
      <c r="D136" s="179">
        <f ca="1">IF(ISNUMBER(MATCH(DATEVALUE($A136),'changes1_based on steps'!D$1:D$400,0)),D$2,)</f>
        <v>0</v>
      </c>
      <c r="E136" s="179">
        <f ca="1">IF(ISNUMBER(MATCH(DATEVALUE($A136),'changes1_based on steps'!E$1:E$400,0)),E$2,)</f>
        <v>0</v>
      </c>
      <c r="F136" s="179">
        <f ca="1">IF(ISNUMBER(MATCH(DATEVALUE($A136),'changes1_based on steps'!F$1:F$400,0)),F$2,)</f>
        <v>0</v>
      </c>
      <c r="G136" s="179">
        <f ca="1">IF(ISNUMBER(MATCH(DATEVALUE($A136),'changes1_based on steps'!G$1:G$400,0)),G$2,)</f>
        <v>0</v>
      </c>
      <c r="H136" s="179">
        <f ca="1">IF(ISNUMBER(MATCH(DATEVALUE($A136),'changes1_based on steps'!H$1:H$400,0)),H$2,)</f>
        <v>0</v>
      </c>
      <c r="I136" s="179">
        <f ca="1">IF(ISNUMBER(MATCH(DATEVALUE($A136),'changes1_based on steps'!I$1:I$400,0)),I$2,)</f>
        <v>0</v>
      </c>
      <c r="J136" s="179">
        <f ca="1">IF(ISNUMBER(MATCH(DATEVALUE($A136),'changes1_based on steps'!J$1:J$400,0)),J$2,)</f>
        <v>0</v>
      </c>
      <c r="K136" s="179">
        <f ca="1">IF(ISNUMBER(MATCH(DATEVALUE($A136),'changes1_based on steps'!K$1:K$400,0)),K$2,)</f>
        <v>0</v>
      </c>
      <c r="L136" s="179">
        <f ca="1">IF(ISNUMBER(MATCH(DATEVALUE($A136),'changes1_based on steps'!L$1:L$400,0)),L$2,)</f>
        <v>0</v>
      </c>
      <c r="M136" s="179">
        <f ca="1">IF(ISNUMBER(MATCH(DATEVALUE($A136),'changes1_based on steps'!M$1:M$400,0)),M$2,)</f>
        <v>0</v>
      </c>
      <c r="N136" s="179">
        <f ca="1">IF(ISNUMBER(MATCH(DATEVALUE($A136),'changes1_based on steps'!N$1:N$400,0)),N$2,)</f>
        <v>0</v>
      </c>
      <c r="O136" s="179">
        <f ca="1">IF(ISNUMBER(MATCH(DATEVALUE($A136),'changes1_based on steps'!O$1:O$400,0)),O$2,)</f>
        <v>0</v>
      </c>
      <c r="P136" s="179">
        <f ca="1">IF(ISNUMBER(MATCH(DATEVALUE($A136),'changes1_based on steps'!P$1:P$400,0)),P$2,)</f>
        <v>0</v>
      </c>
      <c r="Q136" s="179">
        <f ca="1">IF(ISNUMBER(MATCH(DATEVALUE($A136),'changes1_based on steps'!Q$1:Q$400,0)),Q$2,)</f>
        <v>0</v>
      </c>
      <c r="R136" s="179">
        <f ca="1">IF(ISNUMBER(MATCH(DATEVALUE($A136),'changes1_based on steps'!R$1:R$400,0)),R$2,)</f>
        <v>0</v>
      </c>
      <c r="S136" s="179">
        <f ca="1">IF(ISNUMBER(MATCH(DATEVALUE($A136),'changes1_based on steps'!S$1:S$400,0)),S$2,)</f>
        <v>0</v>
      </c>
      <c r="T136" s="179">
        <f ca="1">IF(ISNUMBER(MATCH(DATEVALUE($A136),'changes1_based on steps'!T$1:T$400,0)),T$2,)</f>
        <v>0</v>
      </c>
      <c r="U136" s="179">
        <f ca="1">IF(ISNUMBER(MATCH(DATEVALUE($A136),'changes1_based on steps'!U$1:U$400,0)),U$2,)</f>
        <v>0</v>
      </c>
      <c r="V136" s="179"/>
      <c r="W136" s="179"/>
      <c r="X136" s="179"/>
      <c r="Y136" s="179"/>
      <c r="Z136" s="179"/>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c r="AV136" s="179"/>
      <c r="AW136" s="179"/>
      <c r="AX136" s="179"/>
      <c r="AY136" s="179"/>
      <c r="AZ136" s="179"/>
      <c r="BA136" s="179"/>
      <c r="BB136" s="179"/>
      <c r="BC136" s="179"/>
      <c r="BD136" s="179"/>
      <c r="BE136" s="179"/>
      <c r="BF136" s="179"/>
      <c r="BG136" s="179"/>
      <c r="BH136" s="179"/>
      <c r="BI136" s="179"/>
      <c r="BJ136" s="179"/>
      <c r="BK136" s="179"/>
      <c r="BL136" s="179"/>
      <c r="BM136" s="179"/>
      <c r="BN136" s="179"/>
      <c r="BO136" s="179"/>
      <c r="BP136" s="179"/>
      <c r="BQ136" s="179"/>
      <c r="BR136" s="179"/>
      <c r="BS136" s="179"/>
      <c r="BT136" s="179"/>
      <c r="BU136" s="179"/>
      <c r="BV136" s="179"/>
      <c r="BW136" s="179"/>
      <c r="BX136" s="179"/>
      <c r="BY136" s="179"/>
      <c r="BZ136" s="179"/>
      <c r="CA136" s="179"/>
      <c r="CB136" s="179"/>
      <c r="CC136" s="179"/>
      <c r="CD136" s="179"/>
      <c r="CE136" s="179"/>
      <c r="CF136" s="179"/>
      <c r="CG136" s="179"/>
      <c r="CH136" s="179"/>
      <c r="CI136" s="179"/>
      <c r="CJ136" s="179"/>
      <c r="CK136" s="179"/>
      <c r="CL136" s="179"/>
      <c r="CM136" s="179"/>
      <c r="CN136" s="179"/>
      <c r="CO136" s="179"/>
      <c r="CP136" s="179"/>
      <c r="CQ136" s="179"/>
      <c r="CR136" s="179"/>
      <c r="CS136" s="179"/>
      <c r="CT136" s="179"/>
      <c r="CU136" s="179"/>
      <c r="CV136" s="179"/>
      <c r="CW136" s="179"/>
    </row>
    <row r="137" spans="1:101" x14ac:dyDescent="0.2">
      <c r="A137" s="32" t="str">
        <f t="shared" ca="1" si="2"/>
        <v>2025-08-10</v>
      </c>
      <c r="B137" s="179">
        <f ca="1">IF(ISNUMBER(MATCH(DATEVALUE($A137),'changes1_based on steps'!B$1:B$400,0)),B$2,)</f>
        <v>0</v>
      </c>
      <c r="C137" s="179">
        <f ca="1">IF(ISNUMBER(MATCH(DATEVALUE($A137),'changes1_based on steps'!C$1:C$400,0)),C$2,)</f>
        <v>0</v>
      </c>
      <c r="D137" s="179">
        <f ca="1">IF(ISNUMBER(MATCH(DATEVALUE($A137),'changes1_based on steps'!D$1:D$400,0)),D$2,)</f>
        <v>0</v>
      </c>
      <c r="E137" s="179">
        <f ca="1">IF(ISNUMBER(MATCH(DATEVALUE($A137),'changes1_based on steps'!E$1:E$400,0)),E$2,)</f>
        <v>0</v>
      </c>
      <c r="F137" s="179">
        <f ca="1">IF(ISNUMBER(MATCH(DATEVALUE($A137),'changes1_based on steps'!F$1:F$400,0)),F$2,)</f>
        <v>0</v>
      </c>
      <c r="G137" s="179">
        <f ca="1">IF(ISNUMBER(MATCH(DATEVALUE($A137),'changes1_based on steps'!G$1:G$400,0)),G$2,)</f>
        <v>0</v>
      </c>
      <c r="H137" s="179">
        <f ca="1">IF(ISNUMBER(MATCH(DATEVALUE($A137),'changes1_based on steps'!H$1:H$400,0)),H$2,)</f>
        <v>0</v>
      </c>
      <c r="I137" s="179">
        <f ca="1">IF(ISNUMBER(MATCH(DATEVALUE($A137),'changes1_based on steps'!I$1:I$400,0)),I$2,)</f>
        <v>0</v>
      </c>
      <c r="J137" s="179">
        <f ca="1">IF(ISNUMBER(MATCH(DATEVALUE($A137),'changes1_based on steps'!J$1:J$400,0)),J$2,)</f>
        <v>0</v>
      </c>
      <c r="K137" s="179">
        <f ca="1">IF(ISNUMBER(MATCH(DATEVALUE($A137),'changes1_based on steps'!K$1:K$400,0)),K$2,)</f>
        <v>0</v>
      </c>
      <c r="L137" s="179">
        <f ca="1">IF(ISNUMBER(MATCH(DATEVALUE($A137),'changes1_based on steps'!L$1:L$400,0)),L$2,)</f>
        <v>0</v>
      </c>
      <c r="M137" s="179">
        <f ca="1">IF(ISNUMBER(MATCH(DATEVALUE($A137),'changes1_based on steps'!M$1:M$400,0)),M$2,)</f>
        <v>0</v>
      </c>
      <c r="N137" s="179">
        <f ca="1">IF(ISNUMBER(MATCH(DATEVALUE($A137),'changes1_based on steps'!N$1:N$400,0)),N$2,)</f>
        <v>0</v>
      </c>
      <c r="O137" s="179">
        <f ca="1">IF(ISNUMBER(MATCH(DATEVALUE($A137),'changes1_based on steps'!O$1:O$400,0)),O$2,)</f>
        <v>0</v>
      </c>
      <c r="P137" s="179">
        <f ca="1">IF(ISNUMBER(MATCH(DATEVALUE($A137),'changes1_based on steps'!P$1:P$400,0)),P$2,)</f>
        <v>0</v>
      </c>
      <c r="Q137" s="179">
        <f ca="1">IF(ISNUMBER(MATCH(DATEVALUE($A137),'changes1_based on steps'!Q$1:Q$400,0)),Q$2,)</f>
        <v>0</v>
      </c>
      <c r="R137" s="179">
        <f ca="1">IF(ISNUMBER(MATCH(DATEVALUE($A137),'changes1_based on steps'!R$1:R$400,0)),R$2,)</f>
        <v>0</v>
      </c>
      <c r="S137" s="179">
        <f ca="1">IF(ISNUMBER(MATCH(DATEVALUE($A137),'changes1_based on steps'!S$1:S$400,0)),S$2,)</f>
        <v>0</v>
      </c>
      <c r="T137" s="179">
        <f ca="1">IF(ISNUMBER(MATCH(DATEVALUE($A137),'changes1_based on steps'!T$1:T$400,0)),T$2,)</f>
        <v>0</v>
      </c>
      <c r="U137" s="179">
        <f ca="1">IF(ISNUMBER(MATCH(DATEVALUE($A137),'changes1_based on steps'!U$1:U$400,0)),U$2,)</f>
        <v>0</v>
      </c>
      <c r="V137" s="179"/>
      <c r="W137" s="179"/>
      <c r="X137" s="179"/>
      <c r="Y137" s="179"/>
      <c r="Z137" s="179"/>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c r="AV137" s="179"/>
      <c r="AW137" s="179"/>
      <c r="AX137" s="179"/>
      <c r="AY137" s="179"/>
      <c r="AZ137" s="179"/>
      <c r="BA137" s="179"/>
      <c r="BB137" s="179"/>
      <c r="BC137" s="179"/>
      <c r="BD137" s="179"/>
      <c r="BE137" s="179"/>
      <c r="BF137" s="179"/>
      <c r="BG137" s="179"/>
      <c r="BH137" s="179"/>
      <c r="BI137" s="179"/>
      <c r="BJ137" s="179"/>
      <c r="BK137" s="179"/>
      <c r="BL137" s="179"/>
      <c r="BM137" s="179"/>
      <c r="BN137" s="179"/>
      <c r="BO137" s="179"/>
      <c r="BP137" s="179"/>
      <c r="BQ137" s="179"/>
      <c r="BR137" s="179"/>
      <c r="BS137" s="179"/>
      <c r="BT137" s="179"/>
      <c r="BU137" s="179"/>
      <c r="BV137" s="179"/>
      <c r="BW137" s="179"/>
      <c r="BX137" s="179"/>
      <c r="BY137" s="179"/>
      <c r="BZ137" s="179"/>
      <c r="CA137" s="179"/>
      <c r="CB137" s="179"/>
      <c r="CC137" s="179"/>
      <c r="CD137" s="179"/>
      <c r="CE137" s="179"/>
      <c r="CF137" s="179"/>
      <c r="CG137" s="179"/>
      <c r="CH137" s="179"/>
      <c r="CI137" s="179"/>
      <c r="CJ137" s="179"/>
      <c r="CK137" s="179"/>
      <c r="CL137" s="179"/>
      <c r="CM137" s="179"/>
      <c r="CN137" s="179"/>
      <c r="CO137" s="179"/>
      <c r="CP137" s="179"/>
      <c r="CQ137" s="179"/>
      <c r="CR137" s="179"/>
      <c r="CS137" s="179"/>
      <c r="CT137" s="179"/>
      <c r="CU137" s="179"/>
      <c r="CV137" s="179"/>
      <c r="CW137" s="179"/>
    </row>
    <row r="138" spans="1:101" x14ac:dyDescent="0.2">
      <c r="A138" s="32" t="str">
        <f t="shared" ca="1" si="2"/>
        <v>2025-08-11</v>
      </c>
      <c r="B138" s="179">
        <f ca="1">IF(ISNUMBER(MATCH(DATEVALUE($A138),'changes1_based on steps'!B$1:B$400,0)),B$2,)</f>
        <v>0</v>
      </c>
      <c r="C138" s="179">
        <f ca="1">IF(ISNUMBER(MATCH(DATEVALUE($A138),'changes1_based on steps'!C$1:C$400,0)),C$2,)</f>
        <v>0</v>
      </c>
      <c r="D138" s="179">
        <f ca="1">IF(ISNUMBER(MATCH(DATEVALUE($A138),'changes1_based on steps'!D$1:D$400,0)),D$2,)</f>
        <v>0</v>
      </c>
      <c r="E138" s="179">
        <f ca="1">IF(ISNUMBER(MATCH(DATEVALUE($A138),'changes1_based on steps'!E$1:E$400,0)),E$2,)</f>
        <v>0</v>
      </c>
      <c r="F138" s="179">
        <f ca="1">IF(ISNUMBER(MATCH(DATEVALUE($A138),'changes1_based on steps'!F$1:F$400,0)),F$2,)</f>
        <v>0</v>
      </c>
      <c r="G138" s="179">
        <f ca="1">IF(ISNUMBER(MATCH(DATEVALUE($A138),'changes1_based on steps'!G$1:G$400,0)),G$2,)</f>
        <v>0</v>
      </c>
      <c r="H138" s="179">
        <f ca="1">IF(ISNUMBER(MATCH(DATEVALUE($A138),'changes1_based on steps'!H$1:H$400,0)),H$2,)</f>
        <v>0</v>
      </c>
      <c r="I138" s="179">
        <f ca="1">IF(ISNUMBER(MATCH(DATEVALUE($A138),'changes1_based on steps'!I$1:I$400,0)),I$2,)</f>
        <v>0</v>
      </c>
      <c r="J138" s="179">
        <f ca="1">IF(ISNUMBER(MATCH(DATEVALUE($A138),'changes1_based on steps'!J$1:J$400,0)),J$2,)</f>
        <v>0</v>
      </c>
      <c r="K138" s="179">
        <f ca="1">IF(ISNUMBER(MATCH(DATEVALUE($A138),'changes1_based on steps'!K$1:K$400,0)),K$2,)</f>
        <v>0</v>
      </c>
      <c r="L138" s="179">
        <f ca="1">IF(ISNUMBER(MATCH(DATEVALUE($A138),'changes1_based on steps'!L$1:L$400,0)),L$2,)</f>
        <v>0</v>
      </c>
      <c r="M138" s="179">
        <f ca="1">IF(ISNUMBER(MATCH(DATEVALUE($A138),'changes1_based on steps'!M$1:M$400,0)),M$2,)</f>
        <v>0</v>
      </c>
      <c r="N138" s="179">
        <f ca="1">IF(ISNUMBER(MATCH(DATEVALUE($A138),'changes1_based on steps'!N$1:N$400,0)),N$2,)</f>
        <v>0</v>
      </c>
      <c r="O138" s="179">
        <f ca="1">IF(ISNUMBER(MATCH(DATEVALUE($A138),'changes1_based on steps'!O$1:O$400,0)),O$2,)</f>
        <v>0</v>
      </c>
      <c r="P138" s="179">
        <f ca="1">IF(ISNUMBER(MATCH(DATEVALUE($A138),'changes1_based on steps'!P$1:P$400,0)),P$2,)</f>
        <v>0</v>
      </c>
      <c r="Q138" s="179">
        <f ca="1">IF(ISNUMBER(MATCH(DATEVALUE($A138),'changes1_based on steps'!Q$1:Q$400,0)),Q$2,)</f>
        <v>0</v>
      </c>
      <c r="R138" s="179">
        <f ca="1">IF(ISNUMBER(MATCH(DATEVALUE($A138),'changes1_based on steps'!R$1:R$400,0)),R$2,)</f>
        <v>0</v>
      </c>
      <c r="S138" s="179">
        <f ca="1">IF(ISNUMBER(MATCH(DATEVALUE($A138),'changes1_based on steps'!S$1:S$400,0)),S$2,)</f>
        <v>0</v>
      </c>
      <c r="T138" s="179">
        <f ca="1">IF(ISNUMBER(MATCH(DATEVALUE($A138),'changes1_based on steps'!T$1:T$400,0)),T$2,)</f>
        <v>0</v>
      </c>
      <c r="U138" s="179">
        <f ca="1">IF(ISNUMBER(MATCH(DATEVALUE($A138),'changes1_based on steps'!U$1:U$400,0)),U$2,)</f>
        <v>0</v>
      </c>
      <c r="V138" s="179"/>
      <c r="W138" s="179"/>
      <c r="X138" s="179"/>
      <c r="Y138" s="179"/>
      <c r="Z138" s="179"/>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c r="AV138" s="179"/>
      <c r="AW138" s="179"/>
      <c r="AX138" s="179"/>
      <c r="AY138" s="179"/>
      <c r="AZ138" s="179"/>
      <c r="BA138" s="179"/>
      <c r="BB138" s="179"/>
      <c r="BC138" s="179"/>
      <c r="BD138" s="179"/>
      <c r="BE138" s="179"/>
      <c r="BF138" s="179"/>
      <c r="BG138" s="179"/>
      <c r="BH138" s="179"/>
      <c r="BI138" s="179"/>
      <c r="BJ138" s="179"/>
      <c r="BK138" s="179"/>
      <c r="BL138" s="179"/>
      <c r="BM138" s="179"/>
      <c r="BN138" s="179"/>
      <c r="BO138" s="179"/>
      <c r="BP138" s="179"/>
      <c r="BQ138" s="179"/>
      <c r="BR138" s="179"/>
      <c r="BS138" s="179"/>
      <c r="BT138" s="179"/>
      <c r="BU138" s="179"/>
      <c r="BV138" s="179"/>
      <c r="BW138" s="179"/>
      <c r="BX138" s="179"/>
      <c r="BY138" s="179"/>
      <c r="BZ138" s="179"/>
      <c r="CA138" s="179"/>
      <c r="CB138" s="179"/>
      <c r="CC138" s="179"/>
      <c r="CD138" s="179"/>
      <c r="CE138" s="179"/>
      <c r="CF138" s="179"/>
      <c r="CG138" s="179"/>
      <c r="CH138" s="179"/>
      <c r="CI138" s="179"/>
      <c r="CJ138" s="179"/>
      <c r="CK138" s="179"/>
      <c r="CL138" s="179"/>
      <c r="CM138" s="179"/>
      <c r="CN138" s="179"/>
      <c r="CO138" s="179"/>
      <c r="CP138" s="179"/>
      <c r="CQ138" s="179"/>
      <c r="CR138" s="179"/>
      <c r="CS138" s="179"/>
      <c r="CT138" s="179"/>
      <c r="CU138" s="179"/>
      <c r="CV138" s="179"/>
      <c r="CW138" s="179"/>
    </row>
    <row r="139" spans="1:101" x14ac:dyDescent="0.2">
      <c r="A139" s="32" t="str">
        <f t="shared" ca="1" si="2"/>
        <v>2025-08-12</v>
      </c>
      <c r="B139" s="179">
        <f ca="1">IF(ISNUMBER(MATCH(DATEVALUE($A139),'changes1_based on steps'!B$1:B$400,0)),B$2,)</f>
        <v>0</v>
      </c>
      <c r="C139" s="179">
        <f ca="1">IF(ISNUMBER(MATCH(DATEVALUE($A139),'changes1_based on steps'!C$1:C$400,0)),C$2,)</f>
        <v>0</v>
      </c>
      <c r="D139" s="179">
        <f ca="1">IF(ISNUMBER(MATCH(DATEVALUE($A139),'changes1_based on steps'!D$1:D$400,0)),D$2,)</f>
        <v>0</v>
      </c>
      <c r="E139" s="179">
        <f ca="1">IF(ISNUMBER(MATCH(DATEVALUE($A139),'changes1_based on steps'!E$1:E$400,0)),E$2,)</f>
        <v>0</v>
      </c>
      <c r="F139" s="179">
        <f ca="1">IF(ISNUMBER(MATCH(DATEVALUE($A139),'changes1_based on steps'!F$1:F$400,0)),F$2,)</f>
        <v>0</v>
      </c>
      <c r="G139" s="179">
        <f ca="1">IF(ISNUMBER(MATCH(DATEVALUE($A139),'changes1_based on steps'!G$1:G$400,0)),G$2,)</f>
        <v>0</v>
      </c>
      <c r="H139" s="179">
        <f ca="1">IF(ISNUMBER(MATCH(DATEVALUE($A139),'changes1_based on steps'!H$1:H$400,0)),H$2,)</f>
        <v>0</v>
      </c>
      <c r="I139" s="179">
        <f ca="1">IF(ISNUMBER(MATCH(DATEVALUE($A139),'changes1_based on steps'!I$1:I$400,0)),I$2,)</f>
        <v>0</v>
      </c>
      <c r="J139" s="179">
        <f ca="1">IF(ISNUMBER(MATCH(DATEVALUE($A139),'changes1_based on steps'!J$1:J$400,0)),J$2,)</f>
        <v>0</v>
      </c>
      <c r="K139" s="179">
        <f ca="1">IF(ISNUMBER(MATCH(DATEVALUE($A139),'changes1_based on steps'!K$1:K$400,0)),K$2,)</f>
        <v>0</v>
      </c>
      <c r="L139" s="179">
        <f ca="1">IF(ISNUMBER(MATCH(DATEVALUE($A139),'changes1_based on steps'!L$1:L$400,0)),L$2,)</f>
        <v>0</v>
      </c>
      <c r="M139" s="179">
        <f ca="1">IF(ISNUMBER(MATCH(DATEVALUE($A139),'changes1_based on steps'!M$1:M$400,0)),M$2,)</f>
        <v>0</v>
      </c>
      <c r="N139" s="179">
        <f ca="1">IF(ISNUMBER(MATCH(DATEVALUE($A139),'changes1_based on steps'!N$1:N$400,0)),N$2,)</f>
        <v>0</v>
      </c>
      <c r="O139" s="179">
        <f ca="1">IF(ISNUMBER(MATCH(DATEVALUE($A139),'changes1_based on steps'!O$1:O$400,0)),O$2,)</f>
        <v>0</v>
      </c>
      <c r="P139" s="179">
        <f ca="1">IF(ISNUMBER(MATCH(DATEVALUE($A139),'changes1_based on steps'!P$1:P$400,0)),P$2,)</f>
        <v>0</v>
      </c>
      <c r="Q139" s="179">
        <f ca="1">IF(ISNUMBER(MATCH(DATEVALUE($A139),'changes1_based on steps'!Q$1:Q$400,0)),Q$2,)</f>
        <v>0</v>
      </c>
      <c r="R139" s="179">
        <f ca="1">IF(ISNUMBER(MATCH(DATEVALUE($A139),'changes1_based on steps'!R$1:R$400,0)),R$2,)</f>
        <v>0</v>
      </c>
      <c r="S139" s="179">
        <f ca="1">IF(ISNUMBER(MATCH(DATEVALUE($A139),'changes1_based on steps'!S$1:S$400,0)),S$2,)</f>
        <v>0</v>
      </c>
      <c r="T139" s="179">
        <f ca="1">IF(ISNUMBER(MATCH(DATEVALUE($A139),'changes1_based on steps'!T$1:T$400,0)),T$2,)</f>
        <v>0</v>
      </c>
      <c r="U139" s="179">
        <f ca="1">IF(ISNUMBER(MATCH(DATEVALUE($A139),'changes1_based on steps'!U$1:U$400,0)),U$2,)</f>
        <v>0</v>
      </c>
      <c r="V139" s="179"/>
      <c r="W139" s="179"/>
      <c r="X139" s="179"/>
      <c r="Y139" s="179"/>
      <c r="Z139" s="179"/>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c r="AV139" s="179"/>
      <c r="AW139" s="179"/>
      <c r="AX139" s="179"/>
      <c r="AY139" s="179"/>
      <c r="AZ139" s="179"/>
      <c r="BA139" s="179"/>
      <c r="BB139" s="179"/>
      <c r="BC139" s="179"/>
      <c r="BD139" s="179"/>
      <c r="BE139" s="179"/>
      <c r="BF139" s="179"/>
      <c r="BG139" s="179"/>
      <c r="BH139" s="179"/>
      <c r="BI139" s="179"/>
      <c r="BJ139" s="179"/>
      <c r="BK139" s="179"/>
      <c r="BL139" s="179"/>
      <c r="BM139" s="179"/>
      <c r="BN139" s="179"/>
      <c r="BO139" s="179"/>
      <c r="BP139" s="179"/>
      <c r="BQ139" s="179"/>
      <c r="BR139" s="179"/>
      <c r="BS139" s="179"/>
      <c r="BT139" s="179"/>
      <c r="BU139" s="179"/>
      <c r="BV139" s="179"/>
      <c r="BW139" s="179"/>
      <c r="BX139" s="179"/>
      <c r="BY139" s="179"/>
      <c r="BZ139" s="179"/>
      <c r="CA139" s="179"/>
      <c r="CB139" s="179"/>
      <c r="CC139" s="179"/>
      <c r="CD139" s="179"/>
      <c r="CE139" s="179"/>
      <c r="CF139" s="179"/>
      <c r="CG139" s="179"/>
      <c r="CH139" s="179"/>
      <c r="CI139" s="179"/>
      <c r="CJ139" s="179"/>
      <c r="CK139" s="179"/>
      <c r="CL139" s="179"/>
      <c r="CM139" s="179"/>
      <c r="CN139" s="179"/>
      <c r="CO139" s="179"/>
      <c r="CP139" s="179"/>
      <c r="CQ139" s="179"/>
      <c r="CR139" s="179"/>
      <c r="CS139" s="179"/>
      <c r="CT139" s="179"/>
      <c r="CU139" s="179"/>
      <c r="CV139" s="179"/>
      <c r="CW139" s="179"/>
    </row>
    <row r="140" spans="1:101" x14ac:dyDescent="0.2">
      <c r="A140" s="32" t="str">
        <f t="shared" ca="1" si="2"/>
        <v>2025-08-13</v>
      </c>
      <c r="B140" s="179">
        <f ca="1">IF(ISNUMBER(MATCH(DATEVALUE($A140),'changes1_based on steps'!B$1:B$400,0)),B$2,)</f>
        <v>0</v>
      </c>
      <c r="C140" s="179">
        <f ca="1">IF(ISNUMBER(MATCH(DATEVALUE($A140),'changes1_based on steps'!C$1:C$400,0)),C$2,)</f>
        <v>0</v>
      </c>
      <c r="D140" s="179">
        <f ca="1">IF(ISNUMBER(MATCH(DATEVALUE($A140),'changes1_based on steps'!D$1:D$400,0)),D$2,)</f>
        <v>0</v>
      </c>
      <c r="E140" s="179">
        <f ca="1">IF(ISNUMBER(MATCH(DATEVALUE($A140),'changes1_based on steps'!E$1:E$400,0)),E$2,)</f>
        <v>0</v>
      </c>
      <c r="F140" s="179">
        <f ca="1">IF(ISNUMBER(MATCH(DATEVALUE($A140),'changes1_based on steps'!F$1:F$400,0)),F$2,)</f>
        <v>0</v>
      </c>
      <c r="G140" s="179">
        <f ca="1">IF(ISNUMBER(MATCH(DATEVALUE($A140),'changes1_based on steps'!G$1:G$400,0)),G$2,)</f>
        <v>0</v>
      </c>
      <c r="H140" s="179">
        <f ca="1">IF(ISNUMBER(MATCH(DATEVALUE($A140),'changes1_based on steps'!H$1:H$400,0)),H$2,)</f>
        <v>0</v>
      </c>
      <c r="I140" s="179">
        <f ca="1">IF(ISNUMBER(MATCH(DATEVALUE($A140),'changes1_based on steps'!I$1:I$400,0)),I$2,)</f>
        <v>0</v>
      </c>
      <c r="J140" s="179">
        <f ca="1">IF(ISNUMBER(MATCH(DATEVALUE($A140),'changes1_based on steps'!J$1:J$400,0)),J$2,)</f>
        <v>0</v>
      </c>
      <c r="K140" s="179">
        <f ca="1">IF(ISNUMBER(MATCH(DATEVALUE($A140),'changes1_based on steps'!K$1:K$400,0)),K$2,)</f>
        <v>0</v>
      </c>
      <c r="L140" s="179">
        <f ca="1">IF(ISNUMBER(MATCH(DATEVALUE($A140),'changes1_based on steps'!L$1:L$400,0)),L$2,)</f>
        <v>0</v>
      </c>
      <c r="M140" s="179">
        <f ca="1">IF(ISNUMBER(MATCH(DATEVALUE($A140),'changes1_based on steps'!M$1:M$400,0)),M$2,)</f>
        <v>0</v>
      </c>
      <c r="N140" s="179">
        <f ca="1">IF(ISNUMBER(MATCH(DATEVALUE($A140),'changes1_based on steps'!N$1:N$400,0)),N$2,)</f>
        <v>0</v>
      </c>
      <c r="O140" s="179">
        <f ca="1">IF(ISNUMBER(MATCH(DATEVALUE($A140),'changes1_based on steps'!O$1:O$400,0)),O$2,)</f>
        <v>0</v>
      </c>
      <c r="P140" s="179">
        <f ca="1">IF(ISNUMBER(MATCH(DATEVALUE($A140),'changes1_based on steps'!P$1:P$400,0)),P$2,)</f>
        <v>0</v>
      </c>
      <c r="Q140" s="179">
        <f ca="1">IF(ISNUMBER(MATCH(DATEVALUE($A140),'changes1_based on steps'!Q$1:Q$400,0)),Q$2,)</f>
        <v>0</v>
      </c>
      <c r="R140" s="179">
        <f ca="1">IF(ISNUMBER(MATCH(DATEVALUE($A140),'changes1_based on steps'!R$1:R$400,0)),R$2,)</f>
        <v>0</v>
      </c>
      <c r="S140" s="179">
        <f ca="1">IF(ISNUMBER(MATCH(DATEVALUE($A140),'changes1_based on steps'!S$1:S$400,0)),S$2,)</f>
        <v>0</v>
      </c>
      <c r="T140" s="179">
        <f ca="1">IF(ISNUMBER(MATCH(DATEVALUE($A140),'changes1_based on steps'!T$1:T$400,0)),T$2,)</f>
        <v>0</v>
      </c>
      <c r="U140" s="179">
        <f ca="1">IF(ISNUMBER(MATCH(DATEVALUE($A140),'changes1_based on steps'!U$1:U$400,0)),U$2,)</f>
        <v>0</v>
      </c>
      <c r="V140" s="179"/>
      <c r="W140" s="179"/>
      <c r="X140" s="179"/>
      <c r="Y140" s="179"/>
      <c r="Z140" s="179"/>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c r="AV140" s="179"/>
      <c r="AW140" s="179"/>
      <c r="AX140" s="179"/>
      <c r="AY140" s="179"/>
      <c r="AZ140" s="179"/>
      <c r="BA140" s="179"/>
      <c r="BB140" s="179"/>
      <c r="BC140" s="179"/>
      <c r="BD140" s="179"/>
      <c r="BE140" s="179"/>
      <c r="BF140" s="179"/>
      <c r="BG140" s="179"/>
      <c r="BH140" s="179"/>
      <c r="BI140" s="179"/>
      <c r="BJ140" s="179"/>
      <c r="BK140" s="179"/>
      <c r="BL140" s="179"/>
      <c r="BM140" s="179"/>
      <c r="BN140" s="179"/>
      <c r="BO140" s="179"/>
      <c r="BP140" s="179"/>
      <c r="BQ140" s="179"/>
      <c r="BR140" s="179"/>
      <c r="BS140" s="179"/>
      <c r="BT140" s="179"/>
      <c r="BU140" s="179"/>
      <c r="BV140" s="179"/>
      <c r="BW140" s="179"/>
      <c r="BX140" s="179"/>
      <c r="BY140" s="179"/>
      <c r="BZ140" s="179"/>
      <c r="CA140" s="179"/>
      <c r="CB140" s="179"/>
      <c r="CC140" s="179"/>
      <c r="CD140" s="179"/>
      <c r="CE140" s="179"/>
      <c r="CF140" s="179"/>
      <c r="CG140" s="179"/>
      <c r="CH140" s="179"/>
      <c r="CI140" s="179"/>
      <c r="CJ140" s="179"/>
      <c r="CK140" s="179"/>
      <c r="CL140" s="179"/>
      <c r="CM140" s="179"/>
      <c r="CN140" s="179"/>
      <c r="CO140" s="179"/>
      <c r="CP140" s="179"/>
      <c r="CQ140" s="179"/>
      <c r="CR140" s="179"/>
      <c r="CS140" s="179"/>
      <c r="CT140" s="179"/>
      <c r="CU140" s="179"/>
      <c r="CV140" s="179"/>
      <c r="CW140" s="179"/>
    </row>
    <row r="141" spans="1:101" x14ac:dyDescent="0.2">
      <c r="A141" s="32" t="str">
        <f t="shared" ca="1" si="2"/>
        <v>2025-08-14</v>
      </c>
      <c r="B141" s="179">
        <f ca="1">IF(ISNUMBER(MATCH(DATEVALUE($A141),'changes1_based on steps'!B$1:B$400,0)),B$2,)</f>
        <v>0</v>
      </c>
      <c r="C141" s="179">
        <f ca="1">IF(ISNUMBER(MATCH(DATEVALUE($A141),'changes1_based on steps'!C$1:C$400,0)),C$2,)</f>
        <v>0</v>
      </c>
      <c r="D141" s="179">
        <f ca="1">IF(ISNUMBER(MATCH(DATEVALUE($A141),'changes1_based on steps'!D$1:D$400,0)),D$2,)</f>
        <v>0</v>
      </c>
      <c r="E141" s="179">
        <f ca="1">IF(ISNUMBER(MATCH(DATEVALUE($A141),'changes1_based on steps'!E$1:E$400,0)),E$2,)</f>
        <v>0</v>
      </c>
      <c r="F141" s="179">
        <f ca="1">IF(ISNUMBER(MATCH(DATEVALUE($A141),'changes1_based on steps'!F$1:F$400,0)),F$2,)</f>
        <v>0</v>
      </c>
      <c r="G141" s="179">
        <f ca="1">IF(ISNUMBER(MATCH(DATEVALUE($A141),'changes1_based on steps'!G$1:G$400,0)),G$2,)</f>
        <v>0</v>
      </c>
      <c r="H141" s="179">
        <f ca="1">IF(ISNUMBER(MATCH(DATEVALUE($A141),'changes1_based on steps'!H$1:H$400,0)),H$2,)</f>
        <v>0</v>
      </c>
      <c r="I141" s="179">
        <f ca="1">IF(ISNUMBER(MATCH(DATEVALUE($A141),'changes1_based on steps'!I$1:I$400,0)),I$2,)</f>
        <v>0</v>
      </c>
      <c r="J141" s="179">
        <f ca="1">IF(ISNUMBER(MATCH(DATEVALUE($A141),'changes1_based on steps'!J$1:J$400,0)),J$2,)</f>
        <v>0</v>
      </c>
      <c r="K141" s="179">
        <f ca="1">IF(ISNUMBER(MATCH(DATEVALUE($A141),'changes1_based on steps'!K$1:K$400,0)),K$2,)</f>
        <v>0</v>
      </c>
      <c r="L141" s="179">
        <f ca="1">IF(ISNUMBER(MATCH(DATEVALUE($A141),'changes1_based on steps'!L$1:L$400,0)),L$2,)</f>
        <v>0</v>
      </c>
      <c r="M141" s="179">
        <f ca="1">IF(ISNUMBER(MATCH(DATEVALUE($A141),'changes1_based on steps'!M$1:M$400,0)),M$2,)</f>
        <v>0</v>
      </c>
      <c r="N141" s="179">
        <f ca="1">IF(ISNUMBER(MATCH(DATEVALUE($A141),'changes1_based on steps'!N$1:N$400,0)),N$2,)</f>
        <v>0</v>
      </c>
      <c r="O141" s="179">
        <f ca="1">IF(ISNUMBER(MATCH(DATEVALUE($A141),'changes1_based on steps'!O$1:O$400,0)),O$2,)</f>
        <v>0</v>
      </c>
      <c r="P141" s="179">
        <f ca="1">IF(ISNUMBER(MATCH(DATEVALUE($A141),'changes1_based on steps'!P$1:P$400,0)),P$2,)</f>
        <v>0</v>
      </c>
      <c r="Q141" s="179">
        <f ca="1">IF(ISNUMBER(MATCH(DATEVALUE($A141),'changes1_based on steps'!Q$1:Q$400,0)),Q$2,)</f>
        <v>0</v>
      </c>
      <c r="R141" s="179">
        <f ca="1">IF(ISNUMBER(MATCH(DATEVALUE($A141),'changes1_based on steps'!R$1:R$400,0)),R$2,)</f>
        <v>0</v>
      </c>
      <c r="S141" s="179">
        <f ca="1">IF(ISNUMBER(MATCH(DATEVALUE($A141),'changes1_based on steps'!S$1:S$400,0)),S$2,)</f>
        <v>0</v>
      </c>
      <c r="T141" s="179">
        <f ca="1">IF(ISNUMBER(MATCH(DATEVALUE($A141),'changes1_based on steps'!T$1:T$400,0)),T$2,)</f>
        <v>0</v>
      </c>
      <c r="U141" s="179">
        <f ca="1">IF(ISNUMBER(MATCH(DATEVALUE($A141),'changes1_based on steps'!U$1:U$400,0)),U$2,)</f>
        <v>0</v>
      </c>
      <c r="V141" s="179"/>
      <c r="W141" s="179"/>
      <c r="X141" s="179"/>
      <c r="Y141" s="179"/>
      <c r="Z141" s="179"/>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c r="AV141" s="179"/>
      <c r="AW141" s="179"/>
      <c r="AX141" s="179"/>
      <c r="AY141" s="179"/>
      <c r="AZ141" s="179"/>
      <c r="BA141" s="179"/>
      <c r="BB141" s="179"/>
      <c r="BC141" s="179"/>
      <c r="BD141" s="179"/>
      <c r="BE141" s="179"/>
      <c r="BF141" s="179"/>
      <c r="BG141" s="179"/>
      <c r="BH141" s="179"/>
      <c r="BI141" s="179"/>
      <c r="BJ141" s="179"/>
      <c r="BK141" s="179"/>
      <c r="BL141" s="179"/>
      <c r="BM141" s="179"/>
      <c r="BN141" s="179"/>
      <c r="BO141" s="179"/>
      <c r="BP141" s="179"/>
      <c r="BQ141" s="179"/>
      <c r="BR141" s="179"/>
      <c r="BS141" s="179"/>
      <c r="BT141" s="179"/>
      <c r="BU141" s="179"/>
      <c r="BV141" s="179"/>
      <c r="BW141" s="179"/>
      <c r="BX141" s="179"/>
      <c r="BY141" s="179"/>
      <c r="BZ141" s="179"/>
      <c r="CA141" s="179"/>
      <c r="CB141" s="179"/>
      <c r="CC141" s="179"/>
      <c r="CD141" s="179"/>
      <c r="CE141" s="179"/>
      <c r="CF141" s="179"/>
      <c r="CG141" s="179"/>
      <c r="CH141" s="179"/>
      <c r="CI141" s="179"/>
      <c r="CJ141" s="179"/>
      <c r="CK141" s="179"/>
      <c r="CL141" s="179"/>
      <c r="CM141" s="179"/>
      <c r="CN141" s="179"/>
      <c r="CO141" s="179"/>
      <c r="CP141" s="179"/>
      <c r="CQ141" s="179"/>
      <c r="CR141" s="179"/>
      <c r="CS141" s="179"/>
      <c r="CT141" s="179"/>
      <c r="CU141" s="179"/>
      <c r="CV141" s="179"/>
      <c r="CW141" s="179"/>
    </row>
    <row r="142" spans="1:101" x14ac:dyDescent="0.2">
      <c r="A142" s="32" t="str">
        <f t="shared" ca="1" si="2"/>
        <v>2025-08-15</v>
      </c>
      <c r="B142" s="179">
        <f ca="1">IF(ISNUMBER(MATCH(DATEVALUE($A142),'changes1_based on steps'!B$1:B$400,0)),B$2,)</f>
        <v>0</v>
      </c>
      <c r="C142" s="179">
        <f ca="1">IF(ISNUMBER(MATCH(DATEVALUE($A142),'changes1_based on steps'!C$1:C$400,0)),C$2,)</f>
        <v>0</v>
      </c>
      <c r="D142" s="179">
        <f ca="1">IF(ISNUMBER(MATCH(DATEVALUE($A142),'changes1_based on steps'!D$1:D$400,0)),D$2,)</f>
        <v>0</v>
      </c>
      <c r="E142" s="179">
        <f ca="1">IF(ISNUMBER(MATCH(DATEVALUE($A142),'changes1_based on steps'!E$1:E$400,0)),E$2,)</f>
        <v>0</v>
      </c>
      <c r="F142" s="179">
        <f ca="1">IF(ISNUMBER(MATCH(DATEVALUE($A142),'changes1_based on steps'!F$1:F$400,0)),F$2,)</f>
        <v>0</v>
      </c>
      <c r="G142" s="179">
        <f ca="1">IF(ISNUMBER(MATCH(DATEVALUE($A142),'changes1_based on steps'!G$1:G$400,0)),G$2,)</f>
        <v>0</v>
      </c>
      <c r="H142" s="179">
        <f ca="1">IF(ISNUMBER(MATCH(DATEVALUE($A142),'changes1_based on steps'!H$1:H$400,0)),H$2,)</f>
        <v>0</v>
      </c>
      <c r="I142" s="179">
        <f ca="1">IF(ISNUMBER(MATCH(DATEVALUE($A142),'changes1_based on steps'!I$1:I$400,0)),I$2,)</f>
        <v>0</v>
      </c>
      <c r="J142" s="179">
        <f ca="1">IF(ISNUMBER(MATCH(DATEVALUE($A142),'changes1_based on steps'!J$1:J$400,0)),J$2,)</f>
        <v>0</v>
      </c>
      <c r="K142" s="179">
        <f ca="1">IF(ISNUMBER(MATCH(DATEVALUE($A142),'changes1_based on steps'!K$1:K$400,0)),K$2,)</f>
        <v>0</v>
      </c>
      <c r="L142" s="179">
        <f ca="1">IF(ISNUMBER(MATCH(DATEVALUE($A142),'changes1_based on steps'!L$1:L$400,0)),L$2,)</f>
        <v>0</v>
      </c>
      <c r="M142" s="179">
        <f ca="1">IF(ISNUMBER(MATCH(DATEVALUE($A142),'changes1_based on steps'!M$1:M$400,0)),M$2,)</f>
        <v>0</v>
      </c>
      <c r="N142" s="179">
        <f ca="1">IF(ISNUMBER(MATCH(DATEVALUE($A142),'changes1_based on steps'!N$1:N$400,0)),N$2,)</f>
        <v>0</v>
      </c>
      <c r="O142" s="179">
        <f ca="1">IF(ISNUMBER(MATCH(DATEVALUE($A142),'changes1_based on steps'!O$1:O$400,0)),O$2,)</f>
        <v>0</v>
      </c>
      <c r="P142" s="179">
        <f ca="1">IF(ISNUMBER(MATCH(DATEVALUE($A142),'changes1_based on steps'!P$1:P$400,0)),P$2,)</f>
        <v>0</v>
      </c>
      <c r="Q142" s="179">
        <f ca="1">IF(ISNUMBER(MATCH(DATEVALUE($A142),'changes1_based on steps'!Q$1:Q$400,0)),Q$2,)</f>
        <v>0</v>
      </c>
      <c r="R142" s="179">
        <f ca="1">IF(ISNUMBER(MATCH(DATEVALUE($A142),'changes1_based on steps'!R$1:R$400,0)),R$2,)</f>
        <v>0</v>
      </c>
      <c r="S142" s="179">
        <f ca="1">IF(ISNUMBER(MATCH(DATEVALUE($A142),'changes1_based on steps'!S$1:S$400,0)),S$2,)</f>
        <v>0</v>
      </c>
      <c r="T142" s="179">
        <f ca="1">IF(ISNUMBER(MATCH(DATEVALUE($A142),'changes1_based on steps'!T$1:T$400,0)),T$2,)</f>
        <v>0</v>
      </c>
      <c r="U142" s="179">
        <f ca="1">IF(ISNUMBER(MATCH(DATEVALUE($A142),'changes1_based on steps'!U$1:U$400,0)),U$2,)</f>
        <v>0</v>
      </c>
      <c r="V142" s="179"/>
      <c r="W142" s="179"/>
      <c r="X142" s="179"/>
      <c r="Y142" s="179"/>
      <c r="Z142" s="179"/>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c r="AV142" s="179"/>
      <c r="AW142" s="179"/>
      <c r="AX142" s="179"/>
      <c r="AY142" s="179"/>
      <c r="AZ142" s="179"/>
      <c r="BA142" s="179"/>
      <c r="BB142" s="179"/>
      <c r="BC142" s="179"/>
      <c r="BD142" s="179"/>
      <c r="BE142" s="179"/>
      <c r="BF142" s="179"/>
      <c r="BG142" s="179"/>
      <c r="BH142" s="179"/>
      <c r="BI142" s="179"/>
      <c r="BJ142" s="179"/>
      <c r="BK142" s="179"/>
      <c r="BL142" s="179"/>
      <c r="BM142" s="179"/>
      <c r="BN142" s="179"/>
      <c r="BO142" s="179"/>
      <c r="BP142" s="179"/>
      <c r="BQ142" s="179"/>
      <c r="BR142" s="179"/>
      <c r="BS142" s="179"/>
      <c r="BT142" s="179"/>
      <c r="BU142" s="179"/>
      <c r="BV142" s="179"/>
      <c r="BW142" s="179"/>
      <c r="BX142" s="179"/>
      <c r="BY142" s="179"/>
      <c r="BZ142" s="179"/>
      <c r="CA142" s="179"/>
      <c r="CB142" s="179"/>
      <c r="CC142" s="179"/>
      <c r="CD142" s="179"/>
      <c r="CE142" s="179"/>
      <c r="CF142" s="179"/>
      <c r="CG142" s="179"/>
      <c r="CH142" s="179"/>
      <c r="CI142" s="179"/>
      <c r="CJ142" s="179"/>
      <c r="CK142" s="179"/>
      <c r="CL142" s="179"/>
      <c r="CM142" s="179"/>
      <c r="CN142" s="179"/>
      <c r="CO142" s="179"/>
      <c r="CP142" s="179"/>
      <c r="CQ142" s="179"/>
      <c r="CR142" s="179"/>
      <c r="CS142" s="179"/>
      <c r="CT142" s="179"/>
      <c r="CU142" s="179"/>
      <c r="CV142" s="179"/>
      <c r="CW142" s="179"/>
    </row>
    <row r="143" spans="1:101" x14ac:dyDescent="0.2">
      <c r="A143" s="32" t="str">
        <f t="shared" ca="1" si="2"/>
        <v>2025-08-16</v>
      </c>
      <c r="B143" s="179">
        <f ca="1">IF(ISNUMBER(MATCH(DATEVALUE($A143),'changes1_based on steps'!B$1:B$400,0)),B$2,)</f>
        <v>0</v>
      </c>
      <c r="C143" s="179">
        <f ca="1">IF(ISNUMBER(MATCH(DATEVALUE($A143),'changes1_based on steps'!C$1:C$400,0)),C$2,)</f>
        <v>0</v>
      </c>
      <c r="D143" s="179">
        <f ca="1">IF(ISNUMBER(MATCH(DATEVALUE($A143),'changes1_based on steps'!D$1:D$400,0)),D$2,)</f>
        <v>0</v>
      </c>
      <c r="E143" s="179">
        <f ca="1">IF(ISNUMBER(MATCH(DATEVALUE($A143),'changes1_based on steps'!E$1:E$400,0)),E$2,)</f>
        <v>0</v>
      </c>
      <c r="F143" s="179">
        <f ca="1">IF(ISNUMBER(MATCH(DATEVALUE($A143),'changes1_based on steps'!F$1:F$400,0)),F$2,)</f>
        <v>0</v>
      </c>
      <c r="G143" s="179">
        <f ca="1">IF(ISNUMBER(MATCH(DATEVALUE($A143),'changes1_based on steps'!G$1:G$400,0)),G$2,)</f>
        <v>0</v>
      </c>
      <c r="H143" s="179">
        <f ca="1">IF(ISNUMBER(MATCH(DATEVALUE($A143),'changes1_based on steps'!H$1:H$400,0)),H$2,)</f>
        <v>0</v>
      </c>
      <c r="I143" s="179">
        <f ca="1">IF(ISNUMBER(MATCH(DATEVALUE($A143),'changes1_based on steps'!I$1:I$400,0)),I$2,)</f>
        <v>0</v>
      </c>
      <c r="J143" s="179">
        <f ca="1">IF(ISNUMBER(MATCH(DATEVALUE($A143),'changes1_based on steps'!J$1:J$400,0)),J$2,)</f>
        <v>0</v>
      </c>
      <c r="K143" s="179">
        <f ca="1">IF(ISNUMBER(MATCH(DATEVALUE($A143),'changes1_based on steps'!K$1:K$400,0)),K$2,)</f>
        <v>0</v>
      </c>
      <c r="L143" s="179">
        <f ca="1">IF(ISNUMBER(MATCH(DATEVALUE($A143),'changes1_based on steps'!L$1:L$400,0)),L$2,)</f>
        <v>0</v>
      </c>
      <c r="M143" s="179">
        <f ca="1">IF(ISNUMBER(MATCH(DATEVALUE($A143),'changes1_based on steps'!M$1:M$400,0)),M$2,)</f>
        <v>0</v>
      </c>
      <c r="N143" s="179">
        <f ca="1">IF(ISNUMBER(MATCH(DATEVALUE($A143),'changes1_based on steps'!N$1:N$400,0)),N$2,)</f>
        <v>0</v>
      </c>
      <c r="O143" s="179">
        <f ca="1">IF(ISNUMBER(MATCH(DATEVALUE($A143),'changes1_based on steps'!O$1:O$400,0)),O$2,)</f>
        <v>0</v>
      </c>
      <c r="P143" s="179">
        <f ca="1">IF(ISNUMBER(MATCH(DATEVALUE($A143),'changes1_based on steps'!P$1:P$400,0)),P$2,)</f>
        <v>0</v>
      </c>
      <c r="Q143" s="179">
        <f ca="1">IF(ISNUMBER(MATCH(DATEVALUE($A143),'changes1_based on steps'!Q$1:Q$400,0)),Q$2,)</f>
        <v>0</v>
      </c>
      <c r="R143" s="179">
        <f ca="1">IF(ISNUMBER(MATCH(DATEVALUE($A143),'changes1_based on steps'!R$1:R$400,0)),R$2,)</f>
        <v>0</v>
      </c>
      <c r="S143" s="179">
        <f ca="1">IF(ISNUMBER(MATCH(DATEVALUE($A143),'changes1_based on steps'!S$1:S$400,0)),S$2,)</f>
        <v>0</v>
      </c>
      <c r="T143" s="179">
        <f ca="1">IF(ISNUMBER(MATCH(DATEVALUE($A143),'changes1_based on steps'!T$1:T$400,0)),T$2,)</f>
        <v>0</v>
      </c>
      <c r="U143" s="179">
        <f ca="1">IF(ISNUMBER(MATCH(DATEVALUE($A143),'changes1_based on steps'!U$1:U$400,0)),U$2,)</f>
        <v>0</v>
      </c>
      <c r="V143" s="179"/>
      <c r="W143" s="179"/>
      <c r="X143" s="179"/>
      <c r="Y143" s="179"/>
      <c r="Z143" s="179"/>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c r="AV143" s="179"/>
      <c r="AW143" s="179"/>
      <c r="AX143" s="179"/>
      <c r="AY143" s="179"/>
      <c r="AZ143" s="179"/>
      <c r="BA143" s="179"/>
      <c r="BB143" s="179"/>
      <c r="BC143" s="179"/>
      <c r="BD143" s="179"/>
      <c r="BE143" s="179"/>
      <c r="BF143" s="179"/>
      <c r="BG143" s="179"/>
      <c r="BH143" s="179"/>
      <c r="BI143" s="179"/>
      <c r="BJ143" s="179"/>
      <c r="BK143" s="179"/>
      <c r="BL143" s="179"/>
      <c r="BM143" s="179"/>
      <c r="BN143" s="179"/>
      <c r="BO143" s="179"/>
      <c r="BP143" s="179"/>
      <c r="BQ143" s="179"/>
      <c r="BR143" s="179"/>
      <c r="BS143" s="179"/>
      <c r="BT143" s="179"/>
      <c r="BU143" s="179"/>
      <c r="BV143" s="179"/>
      <c r="BW143" s="179"/>
      <c r="BX143" s="179"/>
      <c r="BY143" s="179"/>
      <c r="BZ143" s="179"/>
      <c r="CA143" s="179"/>
      <c r="CB143" s="179"/>
      <c r="CC143" s="179"/>
      <c r="CD143" s="179"/>
      <c r="CE143" s="179"/>
      <c r="CF143" s="179"/>
      <c r="CG143" s="179"/>
      <c r="CH143" s="179"/>
      <c r="CI143" s="179"/>
      <c r="CJ143" s="179"/>
      <c r="CK143" s="179"/>
      <c r="CL143" s="179"/>
      <c r="CM143" s="179"/>
      <c r="CN143" s="179"/>
      <c r="CO143" s="179"/>
      <c r="CP143" s="179"/>
      <c r="CQ143" s="179"/>
      <c r="CR143" s="179"/>
      <c r="CS143" s="179"/>
      <c r="CT143" s="179"/>
      <c r="CU143" s="179"/>
      <c r="CV143" s="179"/>
      <c r="CW143" s="179"/>
    </row>
    <row r="144" spans="1:101" x14ac:dyDescent="0.2">
      <c r="A144" s="32" t="str">
        <f t="shared" ca="1" si="2"/>
        <v>2025-08-17</v>
      </c>
      <c r="B144" s="179">
        <f ca="1">IF(ISNUMBER(MATCH(DATEVALUE($A144),'changes1_based on steps'!B$1:B$400,0)),B$2,)</f>
        <v>0</v>
      </c>
      <c r="C144" s="179">
        <f ca="1">IF(ISNUMBER(MATCH(DATEVALUE($A144),'changes1_based on steps'!C$1:C$400,0)),C$2,)</f>
        <v>0</v>
      </c>
      <c r="D144" s="179">
        <f ca="1">IF(ISNUMBER(MATCH(DATEVALUE($A144),'changes1_based on steps'!D$1:D$400,0)),D$2,)</f>
        <v>0</v>
      </c>
      <c r="E144" s="179">
        <f ca="1">IF(ISNUMBER(MATCH(DATEVALUE($A144),'changes1_based on steps'!E$1:E$400,0)),E$2,)</f>
        <v>0</v>
      </c>
      <c r="F144" s="179">
        <f ca="1">IF(ISNUMBER(MATCH(DATEVALUE($A144),'changes1_based on steps'!F$1:F$400,0)),F$2,)</f>
        <v>0</v>
      </c>
      <c r="G144" s="179">
        <f ca="1">IF(ISNUMBER(MATCH(DATEVALUE($A144),'changes1_based on steps'!G$1:G$400,0)),G$2,)</f>
        <v>0</v>
      </c>
      <c r="H144" s="179">
        <f ca="1">IF(ISNUMBER(MATCH(DATEVALUE($A144),'changes1_based on steps'!H$1:H$400,0)),H$2,)</f>
        <v>0</v>
      </c>
      <c r="I144" s="179">
        <f ca="1">IF(ISNUMBER(MATCH(DATEVALUE($A144),'changes1_based on steps'!I$1:I$400,0)),I$2,)</f>
        <v>0</v>
      </c>
      <c r="J144" s="179">
        <f ca="1">IF(ISNUMBER(MATCH(DATEVALUE($A144),'changes1_based on steps'!J$1:J$400,0)),J$2,)</f>
        <v>0</v>
      </c>
      <c r="K144" s="179">
        <f ca="1">IF(ISNUMBER(MATCH(DATEVALUE($A144),'changes1_based on steps'!K$1:K$400,0)),K$2,)</f>
        <v>0</v>
      </c>
      <c r="L144" s="179">
        <f ca="1">IF(ISNUMBER(MATCH(DATEVALUE($A144),'changes1_based on steps'!L$1:L$400,0)),L$2,)</f>
        <v>0</v>
      </c>
      <c r="M144" s="179">
        <f ca="1">IF(ISNUMBER(MATCH(DATEVALUE($A144),'changes1_based on steps'!M$1:M$400,0)),M$2,)</f>
        <v>0</v>
      </c>
      <c r="N144" s="179">
        <f ca="1">IF(ISNUMBER(MATCH(DATEVALUE($A144),'changes1_based on steps'!N$1:N$400,0)),N$2,)</f>
        <v>0</v>
      </c>
      <c r="O144" s="179">
        <f ca="1">IF(ISNUMBER(MATCH(DATEVALUE($A144),'changes1_based on steps'!O$1:O$400,0)),O$2,)</f>
        <v>0</v>
      </c>
      <c r="P144" s="179">
        <f ca="1">IF(ISNUMBER(MATCH(DATEVALUE($A144),'changes1_based on steps'!P$1:P$400,0)),P$2,)</f>
        <v>0</v>
      </c>
      <c r="Q144" s="179">
        <f ca="1">IF(ISNUMBER(MATCH(DATEVALUE($A144),'changes1_based on steps'!Q$1:Q$400,0)),Q$2,)</f>
        <v>0</v>
      </c>
      <c r="R144" s="179">
        <f ca="1">IF(ISNUMBER(MATCH(DATEVALUE($A144),'changes1_based on steps'!R$1:R$400,0)),R$2,)</f>
        <v>0</v>
      </c>
      <c r="S144" s="179">
        <f ca="1">IF(ISNUMBER(MATCH(DATEVALUE($A144),'changes1_based on steps'!S$1:S$400,0)),S$2,)</f>
        <v>0</v>
      </c>
      <c r="T144" s="179">
        <f ca="1">IF(ISNUMBER(MATCH(DATEVALUE($A144),'changes1_based on steps'!T$1:T$400,0)),T$2,)</f>
        <v>0</v>
      </c>
      <c r="U144" s="179">
        <f ca="1">IF(ISNUMBER(MATCH(DATEVALUE($A144),'changes1_based on steps'!U$1:U$400,0)),U$2,)</f>
        <v>0</v>
      </c>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79"/>
      <c r="BM144" s="179"/>
      <c r="BN144" s="179"/>
      <c r="BO144" s="179"/>
      <c r="BP144" s="179"/>
      <c r="BQ144" s="179"/>
      <c r="BR144" s="179"/>
      <c r="BS144" s="179"/>
      <c r="BT144" s="179"/>
      <c r="BU144" s="179"/>
      <c r="BV144" s="179"/>
      <c r="BW144" s="179"/>
      <c r="BX144" s="179"/>
      <c r="BY144" s="179"/>
      <c r="BZ144" s="179"/>
      <c r="CA144" s="179"/>
      <c r="CB144" s="179"/>
      <c r="CC144" s="179"/>
      <c r="CD144" s="179"/>
      <c r="CE144" s="179"/>
      <c r="CF144" s="179"/>
      <c r="CG144" s="179"/>
      <c r="CH144" s="179"/>
      <c r="CI144" s="179"/>
      <c r="CJ144" s="179"/>
      <c r="CK144" s="179"/>
      <c r="CL144" s="179"/>
      <c r="CM144" s="179"/>
      <c r="CN144" s="179"/>
      <c r="CO144" s="179"/>
      <c r="CP144" s="179"/>
      <c r="CQ144" s="179"/>
      <c r="CR144" s="179"/>
      <c r="CS144" s="179"/>
      <c r="CT144" s="179"/>
      <c r="CU144" s="179"/>
      <c r="CV144" s="179"/>
      <c r="CW144" s="179"/>
    </row>
    <row r="145" spans="1:101" x14ac:dyDescent="0.2">
      <c r="A145" s="32" t="str">
        <f t="shared" ca="1" si="2"/>
        <v>2025-08-18</v>
      </c>
      <c r="B145" s="179">
        <f ca="1">IF(ISNUMBER(MATCH(DATEVALUE($A145),'changes1_based on steps'!B$1:B$400,0)),B$2,)</f>
        <v>0</v>
      </c>
      <c r="C145" s="179">
        <f ca="1">IF(ISNUMBER(MATCH(DATEVALUE($A145),'changes1_based on steps'!C$1:C$400,0)),C$2,)</f>
        <v>0</v>
      </c>
      <c r="D145" s="179">
        <f ca="1">IF(ISNUMBER(MATCH(DATEVALUE($A145),'changes1_based on steps'!D$1:D$400,0)),D$2,)</f>
        <v>0</v>
      </c>
      <c r="E145" s="179">
        <f ca="1">IF(ISNUMBER(MATCH(DATEVALUE($A145),'changes1_based on steps'!E$1:E$400,0)),E$2,)</f>
        <v>0</v>
      </c>
      <c r="F145" s="179">
        <f ca="1">IF(ISNUMBER(MATCH(DATEVALUE($A145),'changes1_based on steps'!F$1:F$400,0)),F$2,)</f>
        <v>0</v>
      </c>
      <c r="G145" s="179">
        <f ca="1">IF(ISNUMBER(MATCH(DATEVALUE($A145),'changes1_based on steps'!G$1:G$400,0)),G$2,)</f>
        <v>0</v>
      </c>
      <c r="H145" s="179">
        <f ca="1">IF(ISNUMBER(MATCH(DATEVALUE($A145),'changes1_based on steps'!H$1:H$400,0)),H$2,)</f>
        <v>0</v>
      </c>
      <c r="I145" s="179">
        <f ca="1">IF(ISNUMBER(MATCH(DATEVALUE($A145),'changes1_based on steps'!I$1:I$400,0)),I$2,)</f>
        <v>0</v>
      </c>
      <c r="J145" s="179">
        <f ca="1">IF(ISNUMBER(MATCH(DATEVALUE($A145),'changes1_based on steps'!J$1:J$400,0)),J$2,)</f>
        <v>0</v>
      </c>
      <c r="K145" s="179">
        <f ca="1">IF(ISNUMBER(MATCH(DATEVALUE($A145),'changes1_based on steps'!K$1:K$400,0)),K$2,)</f>
        <v>0</v>
      </c>
      <c r="L145" s="179">
        <f ca="1">IF(ISNUMBER(MATCH(DATEVALUE($A145),'changes1_based on steps'!L$1:L$400,0)),L$2,)</f>
        <v>0</v>
      </c>
      <c r="M145" s="179">
        <f ca="1">IF(ISNUMBER(MATCH(DATEVALUE($A145),'changes1_based on steps'!M$1:M$400,0)),M$2,)</f>
        <v>0</v>
      </c>
      <c r="N145" s="179">
        <f ca="1">IF(ISNUMBER(MATCH(DATEVALUE($A145),'changes1_based on steps'!N$1:N$400,0)),N$2,)</f>
        <v>0</v>
      </c>
      <c r="O145" s="179">
        <f ca="1">IF(ISNUMBER(MATCH(DATEVALUE($A145),'changes1_based on steps'!O$1:O$400,0)),O$2,)</f>
        <v>0</v>
      </c>
      <c r="P145" s="179">
        <f ca="1">IF(ISNUMBER(MATCH(DATEVALUE($A145),'changes1_based on steps'!P$1:P$400,0)),P$2,)</f>
        <v>0</v>
      </c>
      <c r="Q145" s="179">
        <f ca="1">IF(ISNUMBER(MATCH(DATEVALUE($A145),'changes1_based on steps'!Q$1:Q$400,0)),Q$2,)</f>
        <v>0</v>
      </c>
      <c r="R145" s="179">
        <f ca="1">IF(ISNUMBER(MATCH(DATEVALUE($A145),'changes1_based on steps'!R$1:R$400,0)),R$2,)</f>
        <v>0</v>
      </c>
      <c r="S145" s="179">
        <f ca="1">IF(ISNUMBER(MATCH(DATEVALUE($A145),'changes1_based on steps'!S$1:S$400,0)),S$2,)</f>
        <v>0</v>
      </c>
      <c r="T145" s="179">
        <f ca="1">IF(ISNUMBER(MATCH(DATEVALUE($A145),'changes1_based on steps'!T$1:T$400,0)),T$2,)</f>
        <v>0</v>
      </c>
      <c r="U145" s="179">
        <f ca="1">IF(ISNUMBER(MATCH(DATEVALUE($A145),'changes1_based on steps'!U$1:U$400,0)),U$2,)</f>
        <v>0</v>
      </c>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row>
    <row r="146" spans="1:101" x14ac:dyDescent="0.2">
      <c r="A146" s="32" t="str">
        <f t="shared" ca="1" si="2"/>
        <v>2025-08-19</v>
      </c>
      <c r="B146" s="179">
        <f ca="1">IF(ISNUMBER(MATCH(DATEVALUE($A146),'changes1_based on steps'!B$1:B$400,0)),B$2,)</f>
        <v>0</v>
      </c>
      <c r="C146" s="179">
        <f ca="1">IF(ISNUMBER(MATCH(DATEVALUE($A146),'changes1_based on steps'!C$1:C$400,0)),C$2,)</f>
        <v>0</v>
      </c>
      <c r="D146" s="179">
        <f ca="1">IF(ISNUMBER(MATCH(DATEVALUE($A146),'changes1_based on steps'!D$1:D$400,0)),D$2,)</f>
        <v>0</v>
      </c>
      <c r="E146" s="179">
        <f ca="1">IF(ISNUMBER(MATCH(DATEVALUE($A146),'changes1_based on steps'!E$1:E$400,0)),E$2,)</f>
        <v>0</v>
      </c>
      <c r="F146" s="179">
        <f ca="1">IF(ISNUMBER(MATCH(DATEVALUE($A146),'changes1_based on steps'!F$1:F$400,0)),F$2,)</f>
        <v>0</v>
      </c>
      <c r="G146" s="179">
        <f ca="1">IF(ISNUMBER(MATCH(DATEVALUE($A146),'changes1_based on steps'!G$1:G$400,0)),G$2,)</f>
        <v>0</v>
      </c>
      <c r="H146" s="179">
        <f ca="1">IF(ISNUMBER(MATCH(DATEVALUE($A146),'changes1_based on steps'!H$1:H$400,0)),H$2,)</f>
        <v>0</v>
      </c>
      <c r="I146" s="179">
        <f ca="1">IF(ISNUMBER(MATCH(DATEVALUE($A146),'changes1_based on steps'!I$1:I$400,0)),I$2,)</f>
        <v>0</v>
      </c>
      <c r="J146" s="179">
        <f ca="1">IF(ISNUMBER(MATCH(DATEVALUE($A146),'changes1_based on steps'!J$1:J$400,0)),J$2,)</f>
        <v>0</v>
      </c>
      <c r="K146" s="179">
        <f ca="1">IF(ISNUMBER(MATCH(DATEVALUE($A146),'changes1_based on steps'!K$1:K$400,0)),K$2,)</f>
        <v>0</v>
      </c>
      <c r="L146" s="179">
        <f ca="1">IF(ISNUMBER(MATCH(DATEVALUE($A146),'changes1_based on steps'!L$1:L$400,0)),L$2,)</f>
        <v>0</v>
      </c>
      <c r="M146" s="179">
        <f ca="1">IF(ISNUMBER(MATCH(DATEVALUE($A146),'changes1_based on steps'!M$1:M$400,0)),M$2,)</f>
        <v>0</v>
      </c>
      <c r="N146" s="179">
        <f ca="1">IF(ISNUMBER(MATCH(DATEVALUE($A146),'changes1_based on steps'!N$1:N$400,0)),N$2,)</f>
        <v>0</v>
      </c>
      <c r="O146" s="179">
        <f ca="1">IF(ISNUMBER(MATCH(DATEVALUE($A146),'changes1_based on steps'!O$1:O$400,0)),O$2,)</f>
        <v>0</v>
      </c>
      <c r="P146" s="179">
        <f ca="1">IF(ISNUMBER(MATCH(DATEVALUE($A146),'changes1_based on steps'!P$1:P$400,0)),P$2,)</f>
        <v>0</v>
      </c>
      <c r="Q146" s="179">
        <f ca="1">IF(ISNUMBER(MATCH(DATEVALUE($A146),'changes1_based on steps'!Q$1:Q$400,0)),Q$2,)</f>
        <v>0</v>
      </c>
      <c r="R146" s="179">
        <f ca="1">IF(ISNUMBER(MATCH(DATEVALUE($A146),'changes1_based on steps'!R$1:R$400,0)),R$2,)</f>
        <v>0</v>
      </c>
      <c r="S146" s="179">
        <f ca="1">IF(ISNUMBER(MATCH(DATEVALUE($A146),'changes1_based on steps'!S$1:S$400,0)),S$2,)</f>
        <v>0</v>
      </c>
      <c r="T146" s="179">
        <f ca="1">IF(ISNUMBER(MATCH(DATEVALUE($A146),'changes1_based on steps'!T$1:T$400,0)),T$2,)</f>
        <v>0</v>
      </c>
      <c r="U146" s="179">
        <f ca="1">IF(ISNUMBER(MATCH(DATEVALUE($A146),'changes1_based on steps'!U$1:U$400,0)),U$2,)</f>
        <v>0</v>
      </c>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row>
    <row r="147" spans="1:101" x14ac:dyDescent="0.2">
      <c r="A147" s="32" t="str">
        <f t="shared" ca="1" si="2"/>
        <v>2025-08-20</v>
      </c>
      <c r="B147" s="179">
        <f ca="1">IF(ISNUMBER(MATCH(DATEVALUE($A147),'changes1_based on steps'!B$1:B$400,0)),B$2,)</f>
        <v>0</v>
      </c>
      <c r="C147" s="179">
        <f ca="1">IF(ISNUMBER(MATCH(DATEVALUE($A147),'changes1_based on steps'!C$1:C$400,0)),C$2,)</f>
        <v>0</v>
      </c>
      <c r="D147" s="179">
        <f ca="1">IF(ISNUMBER(MATCH(DATEVALUE($A147),'changes1_based on steps'!D$1:D$400,0)),D$2,)</f>
        <v>0</v>
      </c>
      <c r="E147" s="179">
        <f ca="1">IF(ISNUMBER(MATCH(DATEVALUE($A147),'changes1_based on steps'!E$1:E$400,0)),E$2,)</f>
        <v>0</v>
      </c>
      <c r="F147" s="179">
        <f ca="1">IF(ISNUMBER(MATCH(DATEVALUE($A147),'changes1_based on steps'!F$1:F$400,0)),F$2,)</f>
        <v>0</v>
      </c>
      <c r="G147" s="179">
        <f ca="1">IF(ISNUMBER(MATCH(DATEVALUE($A147),'changes1_based on steps'!G$1:G$400,0)),G$2,)</f>
        <v>0</v>
      </c>
      <c r="H147" s="179">
        <f ca="1">IF(ISNUMBER(MATCH(DATEVALUE($A147),'changes1_based on steps'!H$1:H$400,0)),H$2,)</f>
        <v>0</v>
      </c>
      <c r="I147" s="179">
        <f ca="1">IF(ISNUMBER(MATCH(DATEVALUE($A147),'changes1_based on steps'!I$1:I$400,0)),I$2,)</f>
        <v>0</v>
      </c>
      <c r="J147" s="179">
        <f ca="1">IF(ISNUMBER(MATCH(DATEVALUE($A147),'changes1_based on steps'!J$1:J$400,0)),J$2,)</f>
        <v>0</v>
      </c>
      <c r="K147" s="179">
        <f ca="1">IF(ISNUMBER(MATCH(DATEVALUE($A147),'changes1_based on steps'!K$1:K$400,0)),K$2,)</f>
        <v>0</v>
      </c>
      <c r="L147" s="179">
        <f ca="1">IF(ISNUMBER(MATCH(DATEVALUE($A147),'changes1_based on steps'!L$1:L$400,0)),L$2,)</f>
        <v>0</v>
      </c>
      <c r="M147" s="179">
        <f ca="1">IF(ISNUMBER(MATCH(DATEVALUE($A147),'changes1_based on steps'!M$1:M$400,0)),M$2,)</f>
        <v>0</v>
      </c>
      <c r="N147" s="179">
        <f ca="1">IF(ISNUMBER(MATCH(DATEVALUE($A147),'changes1_based on steps'!N$1:N$400,0)),N$2,)</f>
        <v>0</v>
      </c>
      <c r="O147" s="179">
        <f ca="1">IF(ISNUMBER(MATCH(DATEVALUE($A147),'changes1_based on steps'!O$1:O$400,0)),O$2,)</f>
        <v>0</v>
      </c>
      <c r="P147" s="179">
        <f ca="1">IF(ISNUMBER(MATCH(DATEVALUE($A147),'changes1_based on steps'!P$1:P$400,0)),P$2,)</f>
        <v>0</v>
      </c>
      <c r="Q147" s="179">
        <f ca="1">IF(ISNUMBER(MATCH(DATEVALUE($A147),'changes1_based on steps'!Q$1:Q$400,0)),Q$2,)</f>
        <v>0</v>
      </c>
      <c r="R147" s="179">
        <f ca="1">IF(ISNUMBER(MATCH(DATEVALUE($A147),'changes1_based on steps'!R$1:R$400,0)),R$2,)</f>
        <v>0</v>
      </c>
      <c r="S147" s="179">
        <f ca="1">IF(ISNUMBER(MATCH(DATEVALUE($A147),'changes1_based on steps'!S$1:S$400,0)),S$2,)</f>
        <v>0</v>
      </c>
      <c r="T147" s="179">
        <f ca="1">IF(ISNUMBER(MATCH(DATEVALUE($A147),'changes1_based on steps'!T$1:T$400,0)),T$2,)</f>
        <v>0</v>
      </c>
      <c r="U147" s="179">
        <f ca="1">IF(ISNUMBER(MATCH(DATEVALUE($A147),'changes1_based on steps'!U$1:U$400,0)),U$2,)</f>
        <v>0</v>
      </c>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row>
    <row r="148" spans="1:101" x14ac:dyDescent="0.2">
      <c r="A148" s="32" t="str">
        <f t="shared" ca="1" si="2"/>
        <v>2025-08-21</v>
      </c>
      <c r="B148" s="179">
        <f ca="1">IF(ISNUMBER(MATCH(DATEVALUE($A148),'changes1_based on steps'!B$1:B$400,0)),B$2,)</f>
        <v>0</v>
      </c>
      <c r="C148" s="179">
        <f ca="1">IF(ISNUMBER(MATCH(DATEVALUE($A148),'changes1_based on steps'!C$1:C$400,0)),C$2,)</f>
        <v>0</v>
      </c>
      <c r="D148" s="179">
        <f ca="1">IF(ISNUMBER(MATCH(DATEVALUE($A148),'changes1_based on steps'!D$1:D$400,0)),D$2,)</f>
        <v>0</v>
      </c>
      <c r="E148" s="179">
        <f ca="1">IF(ISNUMBER(MATCH(DATEVALUE($A148),'changes1_based on steps'!E$1:E$400,0)),E$2,)</f>
        <v>0</v>
      </c>
      <c r="F148" s="179">
        <f ca="1">IF(ISNUMBER(MATCH(DATEVALUE($A148),'changes1_based on steps'!F$1:F$400,0)),F$2,)</f>
        <v>0</v>
      </c>
      <c r="G148" s="179">
        <f ca="1">IF(ISNUMBER(MATCH(DATEVALUE($A148),'changes1_based on steps'!G$1:G$400,0)),G$2,)</f>
        <v>0</v>
      </c>
      <c r="H148" s="179">
        <f ca="1">IF(ISNUMBER(MATCH(DATEVALUE($A148),'changes1_based on steps'!H$1:H$400,0)),H$2,)</f>
        <v>0</v>
      </c>
      <c r="I148" s="179">
        <f ca="1">IF(ISNUMBER(MATCH(DATEVALUE($A148),'changes1_based on steps'!I$1:I$400,0)),I$2,)</f>
        <v>0</v>
      </c>
      <c r="J148" s="179">
        <f ca="1">IF(ISNUMBER(MATCH(DATEVALUE($A148),'changes1_based on steps'!J$1:J$400,0)),J$2,)</f>
        <v>0</v>
      </c>
      <c r="K148" s="179">
        <f ca="1">IF(ISNUMBER(MATCH(DATEVALUE($A148),'changes1_based on steps'!K$1:K$400,0)),K$2,)</f>
        <v>0</v>
      </c>
      <c r="L148" s="179">
        <f ca="1">IF(ISNUMBER(MATCH(DATEVALUE($A148),'changes1_based on steps'!L$1:L$400,0)),L$2,)</f>
        <v>0</v>
      </c>
      <c r="M148" s="179">
        <f ca="1">IF(ISNUMBER(MATCH(DATEVALUE($A148),'changes1_based on steps'!M$1:M$400,0)),M$2,)</f>
        <v>0</v>
      </c>
      <c r="N148" s="179">
        <f ca="1">IF(ISNUMBER(MATCH(DATEVALUE($A148),'changes1_based on steps'!N$1:N$400,0)),N$2,)</f>
        <v>0</v>
      </c>
      <c r="O148" s="179">
        <f ca="1">IF(ISNUMBER(MATCH(DATEVALUE($A148),'changes1_based on steps'!O$1:O$400,0)),O$2,)</f>
        <v>0</v>
      </c>
      <c r="P148" s="179">
        <f ca="1">IF(ISNUMBER(MATCH(DATEVALUE($A148),'changes1_based on steps'!P$1:P$400,0)),P$2,)</f>
        <v>0</v>
      </c>
      <c r="Q148" s="179">
        <f ca="1">IF(ISNUMBER(MATCH(DATEVALUE($A148),'changes1_based on steps'!Q$1:Q$400,0)),Q$2,)</f>
        <v>0</v>
      </c>
      <c r="R148" s="179">
        <f ca="1">IF(ISNUMBER(MATCH(DATEVALUE($A148),'changes1_based on steps'!R$1:R$400,0)),R$2,)</f>
        <v>0</v>
      </c>
      <c r="S148" s="179">
        <f ca="1">IF(ISNUMBER(MATCH(DATEVALUE($A148),'changes1_based on steps'!S$1:S$400,0)),S$2,)</f>
        <v>0</v>
      </c>
      <c r="T148" s="179">
        <f ca="1">IF(ISNUMBER(MATCH(DATEVALUE($A148),'changes1_based on steps'!T$1:T$400,0)),T$2,)</f>
        <v>0</v>
      </c>
      <c r="U148" s="179">
        <f ca="1">IF(ISNUMBER(MATCH(DATEVALUE($A148),'changes1_based on steps'!U$1:U$400,0)),U$2,)</f>
        <v>0</v>
      </c>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row>
    <row r="149" spans="1:101" x14ac:dyDescent="0.2">
      <c r="A149" s="32" t="str">
        <f t="shared" ca="1" si="2"/>
        <v>2025-08-22</v>
      </c>
      <c r="B149" s="179">
        <f ca="1">IF(ISNUMBER(MATCH(DATEVALUE($A149),'changes1_based on steps'!B$1:B$400,0)),B$2,)</f>
        <v>0</v>
      </c>
      <c r="C149" s="179">
        <f ca="1">IF(ISNUMBER(MATCH(DATEVALUE($A149),'changes1_based on steps'!C$1:C$400,0)),C$2,)</f>
        <v>0</v>
      </c>
      <c r="D149" s="179">
        <f ca="1">IF(ISNUMBER(MATCH(DATEVALUE($A149),'changes1_based on steps'!D$1:D$400,0)),D$2,)</f>
        <v>0</v>
      </c>
      <c r="E149" s="179">
        <f ca="1">IF(ISNUMBER(MATCH(DATEVALUE($A149),'changes1_based on steps'!E$1:E$400,0)),E$2,)</f>
        <v>0</v>
      </c>
      <c r="F149" s="179">
        <f ca="1">IF(ISNUMBER(MATCH(DATEVALUE($A149),'changes1_based on steps'!F$1:F$400,0)),F$2,)</f>
        <v>0</v>
      </c>
      <c r="G149" s="179">
        <f ca="1">IF(ISNUMBER(MATCH(DATEVALUE($A149),'changes1_based on steps'!G$1:G$400,0)),G$2,)</f>
        <v>0</v>
      </c>
      <c r="H149" s="179">
        <f ca="1">IF(ISNUMBER(MATCH(DATEVALUE($A149),'changes1_based on steps'!H$1:H$400,0)),H$2,)</f>
        <v>0</v>
      </c>
      <c r="I149" s="179">
        <f ca="1">IF(ISNUMBER(MATCH(DATEVALUE($A149),'changes1_based on steps'!I$1:I$400,0)),I$2,)</f>
        <v>0</v>
      </c>
      <c r="J149" s="179">
        <f ca="1">IF(ISNUMBER(MATCH(DATEVALUE($A149),'changes1_based on steps'!J$1:J$400,0)),J$2,)</f>
        <v>0</v>
      </c>
      <c r="K149" s="179">
        <f ca="1">IF(ISNUMBER(MATCH(DATEVALUE($A149),'changes1_based on steps'!K$1:K$400,0)),K$2,)</f>
        <v>0</v>
      </c>
      <c r="L149" s="179">
        <f ca="1">IF(ISNUMBER(MATCH(DATEVALUE($A149),'changes1_based on steps'!L$1:L$400,0)),L$2,)</f>
        <v>0</v>
      </c>
      <c r="M149" s="179">
        <f ca="1">IF(ISNUMBER(MATCH(DATEVALUE($A149),'changes1_based on steps'!M$1:M$400,0)),M$2,)</f>
        <v>0</v>
      </c>
      <c r="N149" s="179">
        <f ca="1">IF(ISNUMBER(MATCH(DATEVALUE($A149),'changes1_based on steps'!N$1:N$400,0)),N$2,)</f>
        <v>0</v>
      </c>
      <c r="O149" s="179">
        <f ca="1">IF(ISNUMBER(MATCH(DATEVALUE($A149),'changes1_based on steps'!O$1:O$400,0)),O$2,)</f>
        <v>0</v>
      </c>
      <c r="P149" s="179">
        <f ca="1">IF(ISNUMBER(MATCH(DATEVALUE($A149),'changes1_based on steps'!P$1:P$400,0)),P$2,)</f>
        <v>0</v>
      </c>
      <c r="Q149" s="179">
        <f ca="1">IF(ISNUMBER(MATCH(DATEVALUE($A149),'changes1_based on steps'!Q$1:Q$400,0)),Q$2,)</f>
        <v>0</v>
      </c>
      <c r="R149" s="179">
        <f ca="1">IF(ISNUMBER(MATCH(DATEVALUE($A149),'changes1_based on steps'!R$1:R$400,0)),R$2,)</f>
        <v>0</v>
      </c>
      <c r="S149" s="179">
        <f ca="1">IF(ISNUMBER(MATCH(DATEVALUE($A149),'changes1_based on steps'!S$1:S$400,0)),S$2,)</f>
        <v>0</v>
      </c>
      <c r="T149" s="179">
        <f ca="1">IF(ISNUMBER(MATCH(DATEVALUE($A149),'changes1_based on steps'!T$1:T$400,0)),T$2,)</f>
        <v>0</v>
      </c>
      <c r="U149" s="179">
        <f ca="1">IF(ISNUMBER(MATCH(DATEVALUE($A149),'changes1_based on steps'!U$1:U$400,0)),U$2,)</f>
        <v>0</v>
      </c>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row>
    <row r="150" spans="1:101" x14ac:dyDescent="0.2">
      <c r="A150" s="32" t="str">
        <f t="shared" ca="1" si="2"/>
        <v>2025-08-23</v>
      </c>
      <c r="B150" s="179">
        <f ca="1">IF(ISNUMBER(MATCH(DATEVALUE($A150),'changes1_based on steps'!B$1:B$400,0)),B$2,)</f>
        <v>0</v>
      </c>
      <c r="C150" s="179">
        <f ca="1">IF(ISNUMBER(MATCH(DATEVALUE($A150),'changes1_based on steps'!C$1:C$400,0)),C$2,)</f>
        <v>0</v>
      </c>
      <c r="D150" s="179">
        <f ca="1">IF(ISNUMBER(MATCH(DATEVALUE($A150),'changes1_based on steps'!D$1:D$400,0)),D$2,)</f>
        <v>0</v>
      </c>
      <c r="E150" s="179">
        <f ca="1">IF(ISNUMBER(MATCH(DATEVALUE($A150),'changes1_based on steps'!E$1:E$400,0)),E$2,)</f>
        <v>0</v>
      </c>
      <c r="F150" s="179">
        <f ca="1">IF(ISNUMBER(MATCH(DATEVALUE($A150),'changes1_based on steps'!F$1:F$400,0)),F$2,)</f>
        <v>0</v>
      </c>
      <c r="G150" s="179">
        <f ca="1">IF(ISNUMBER(MATCH(DATEVALUE($A150),'changes1_based on steps'!G$1:G$400,0)),G$2,)</f>
        <v>0</v>
      </c>
      <c r="H150" s="179">
        <f ca="1">IF(ISNUMBER(MATCH(DATEVALUE($A150),'changes1_based on steps'!H$1:H$400,0)),H$2,)</f>
        <v>0</v>
      </c>
      <c r="I150" s="179">
        <f ca="1">IF(ISNUMBER(MATCH(DATEVALUE($A150),'changes1_based on steps'!I$1:I$400,0)),I$2,)</f>
        <v>0</v>
      </c>
      <c r="J150" s="179">
        <f ca="1">IF(ISNUMBER(MATCH(DATEVALUE($A150),'changes1_based on steps'!J$1:J$400,0)),J$2,)</f>
        <v>0</v>
      </c>
      <c r="K150" s="179">
        <f ca="1">IF(ISNUMBER(MATCH(DATEVALUE($A150),'changes1_based on steps'!K$1:K$400,0)),K$2,)</f>
        <v>0</v>
      </c>
      <c r="L150" s="179">
        <f ca="1">IF(ISNUMBER(MATCH(DATEVALUE($A150),'changes1_based on steps'!L$1:L$400,0)),L$2,)</f>
        <v>0</v>
      </c>
      <c r="M150" s="179">
        <f ca="1">IF(ISNUMBER(MATCH(DATEVALUE($A150),'changes1_based on steps'!M$1:M$400,0)),M$2,)</f>
        <v>0</v>
      </c>
      <c r="N150" s="179">
        <f ca="1">IF(ISNUMBER(MATCH(DATEVALUE($A150),'changes1_based on steps'!N$1:N$400,0)),N$2,)</f>
        <v>0</v>
      </c>
      <c r="O150" s="179">
        <f ca="1">IF(ISNUMBER(MATCH(DATEVALUE($A150),'changes1_based on steps'!O$1:O$400,0)),O$2,)</f>
        <v>0</v>
      </c>
      <c r="P150" s="179">
        <f ca="1">IF(ISNUMBER(MATCH(DATEVALUE($A150),'changes1_based on steps'!P$1:P$400,0)),P$2,)</f>
        <v>0</v>
      </c>
      <c r="Q150" s="179">
        <f ca="1">IF(ISNUMBER(MATCH(DATEVALUE($A150),'changes1_based on steps'!Q$1:Q$400,0)),Q$2,)</f>
        <v>0</v>
      </c>
      <c r="R150" s="179">
        <f ca="1">IF(ISNUMBER(MATCH(DATEVALUE($A150),'changes1_based on steps'!R$1:R$400,0)),R$2,)</f>
        <v>0</v>
      </c>
      <c r="S150" s="179">
        <f ca="1">IF(ISNUMBER(MATCH(DATEVALUE($A150),'changes1_based on steps'!S$1:S$400,0)),S$2,)</f>
        <v>0</v>
      </c>
      <c r="T150" s="179">
        <f ca="1">IF(ISNUMBER(MATCH(DATEVALUE($A150),'changes1_based on steps'!T$1:T$400,0)),T$2,)</f>
        <v>0</v>
      </c>
      <c r="U150" s="179">
        <f ca="1">IF(ISNUMBER(MATCH(DATEVALUE($A150),'changes1_based on steps'!U$1:U$400,0)),U$2,)</f>
        <v>0</v>
      </c>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row>
    <row r="151" spans="1:101" x14ac:dyDescent="0.2">
      <c r="A151" s="32" t="str">
        <f t="shared" ca="1" si="2"/>
        <v>2025-08-24</v>
      </c>
      <c r="B151" s="179">
        <f ca="1">IF(ISNUMBER(MATCH(DATEVALUE($A151),'changes1_based on steps'!B$1:B$400,0)),B$2,)</f>
        <v>0</v>
      </c>
      <c r="C151" s="179">
        <f ca="1">IF(ISNUMBER(MATCH(DATEVALUE($A151),'changes1_based on steps'!C$1:C$400,0)),C$2,)</f>
        <v>0</v>
      </c>
      <c r="D151" s="179">
        <f ca="1">IF(ISNUMBER(MATCH(DATEVALUE($A151),'changes1_based on steps'!D$1:D$400,0)),D$2,)</f>
        <v>0</v>
      </c>
      <c r="E151" s="179">
        <f ca="1">IF(ISNUMBER(MATCH(DATEVALUE($A151),'changes1_based on steps'!E$1:E$400,0)),E$2,)</f>
        <v>0</v>
      </c>
      <c r="F151" s="179">
        <f ca="1">IF(ISNUMBER(MATCH(DATEVALUE($A151),'changes1_based on steps'!F$1:F$400,0)),F$2,)</f>
        <v>0</v>
      </c>
      <c r="G151" s="179">
        <f ca="1">IF(ISNUMBER(MATCH(DATEVALUE($A151),'changes1_based on steps'!G$1:G$400,0)),G$2,)</f>
        <v>0</v>
      </c>
      <c r="H151" s="179">
        <f ca="1">IF(ISNUMBER(MATCH(DATEVALUE($A151),'changes1_based on steps'!H$1:H$400,0)),H$2,)</f>
        <v>0</v>
      </c>
      <c r="I151" s="179">
        <f ca="1">IF(ISNUMBER(MATCH(DATEVALUE($A151),'changes1_based on steps'!I$1:I$400,0)),I$2,)</f>
        <v>0</v>
      </c>
      <c r="J151" s="179">
        <f ca="1">IF(ISNUMBER(MATCH(DATEVALUE($A151),'changes1_based on steps'!J$1:J$400,0)),J$2,)</f>
        <v>0</v>
      </c>
      <c r="K151" s="179">
        <f ca="1">IF(ISNUMBER(MATCH(DATEVALUE($A151),'changes1_based on steps'!K$1:K$400,0)),K$2,)</f>
        <v>0</v>
      </c>
      <c r="L151" s="179">
        <f ca="1">IF(ISNUMBER(MATCH(DATEVALUE($A151),'changes1_based on steps'!L$1:L$400,0)),L$2,)</f>
        <v>0</v>
      </c>
      <c r="M151" s="179">
        <f ca="1">IF(ISNUMBER(MATCH(DATEVALUE($A151),'changes1_based on steps'!M$1:M$400,0)),M$2,)</f>
        <v>0</v>
      </c>
      <c r="N151" s="179">
        <f ca="1">IF(ISNUMBER(MATCH(DATEVALUE($A151),'changes1_based on steps'!N$1:N$400,0)),N$2,)</f>
        <v>0</v>
      </c>
      <c r="O151" s="179">
        <f ca="1">IF(ISNUMBER(MATCH(DATEVALUE($A151),'changes1_based on steps'!O$1:O$400,0)),O$2,)</f>
        <v>0</v>
      </c>
      <c r="P151" s="179">
        <f ca="1">IF(ISNUMBER(MATCH(DATEVALUE($A151),'changes1_based on steps'!P$1:P$400,0)),P$2,)</f>
        <v>0</v>
      </c>
      <c r="Q151" s="179">
        <f ca="1">IF(ISNUMBER(MATCH(DATEVALUE($A151),'changes1_based on steps'!Q$1:Q$400,0)),Q$2,)</f>
        <v>0</v>
      </c>
      <c r="R151" s="179">
        <f ca="1">IF(ISNUMBER(MATCH(DATEVALUE($A151),'changes1_based on steps'!R$1:R$400,0)),R$2,)</f>
        <v>0</v>
      </c>
      <c r="S151" s="179">
        <f ca="1">IF(ISNUMBER(MATCH(DATEVALUE($A151),'changes1_based on steps'!S$1:S$400,0)),S$2,)</f>
        <v>0</v>
      </c>
      <c r="T151" s="179">
        <f ca="1">IF(ISNUMBER(MATCH(DATEVALUE($A151),'changes1_based on steps'!T$1:T$400,0)),T$2,)</f>
        <v>0</v>
      </c>
      <c r="U151" s="179">
        <f ca="1">IF(ISNUMBER(MATCH(DATEVALUE($A151),'changes1_based on steps'!U$1:U$400,0)),U$2,)</f>
        <v>0</v>
      </c>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row>
    <row r="152" spans="1:101" x14ac:dyDescent="0.2">
      <c r="A152" s="32" t="str">
        <f t="shared" ca="1" si="2"/>
        <v>2025-08-25</v>
      </c>
      <c r="B152" s="179">
        <f ca="1">IF(ISNUMBER(MATCH(DATEVALUE($A152),'changes1_based on steps'!B$1:B$400,0)),B$2,)</f>
        <v>0</v>
      </c>
      <c r="C152" s="179">
        <f ca="1">IF(ISNUMBER(MATCH(DATEVALUE($A152),'changes1_based on steps'!C$1:C$400,0)),C$2,)</f>
        <v>0</v>
      </c>
      <c r="D152" s="179">
        <f ca="1">IF(ISNUMBER(MATCH(DATEVALUE($A152),'changes1_based on steps'!D$1:D$400,0)),D$2,)</f>
        <v>0</v>
      </c>
      <c r="E152" s="179">
        <f ca="1">IF(ISNUMBER(MATCH(DATEVALUE($A152),'changes1_based on steps'!E$1:E$400,0)),E$2,)</f>
        <v>0</v>
      </c>
      <c r="F152" s="179">
        <f ca="1">IF(ISNUMBER(MATCH(DATEVALUE($A152),'changes1_based on steps'!F$1:F$400,0)),F$2,)</f>
        <v>0</v>
      </c>
      <c r="G152" s="179">
        <f ca="1">IF(ISNUMBER(MATCH(DATEVALUE($A152),'changes1_based on steps'!G$1:G$400,0)),G$2,)</f>
        <v>0</v>
      </c>
      <c r="H152" s="179">
        <f ca="1">IF(ISNUMBER(MATCH(DATEVALUE($A152),'changes1_based on steps'!H$1:H$400,0)),H$2,)</f>
        <v>0</v>
      </c>
      <c r="I152" s="179">
        <f ca="1">IF(ISNUMBER(MATCH(DATEVALUE($A152),'changes1_based on steps'!I$1:I$400,0)),I$2,)</f>
        <v>0</v>
      </c>
      <c r="J152" s="179">
        <f ca="1">IF(ISNUMBER(MATCH(DATEVALUE($A152),'changes1_based on steps'!J$1:J$400,0)),J$2,)</f>
        <v>0</v>
      </c>
      <c r="K152" s="179">
        <f ca="1">IF(ISNUMBER(MATCH(DATEVALUE($A152),'changes1_based on steps'!K$1:K$400,0)),K$2,)</f>
        <v>0</v>
      </c>
      <c r="L152" s="179">
        <f ca="1">IF(ISNUMBER(MATCH(DATEVALUE($A152),'changes1_based on steps'!L$1:L$400,0)),L$2,)</f>
        <v>0</v>
      </c>
      <c r="M152" s="179">
        <f ca="1">IF(ISNUMBER(MATCH(DATEVALUE($A152),'changes1_based on steps'!M$1:M$400,0)),M$2,)</f>
        <v>0</v>
      </c>
      <c r="N152" s="179">
        <f ca="1">IF(ISNUMBER(MATCH(DATEVALUE($A152),'changes1_based on steps'!N$1:N$400,0)),N$2,)</f>
        <v>0</v>
      </c>
      <c r="O152" s="179">
        <f ca="1">IF(ISNUMBER(MATCH(DATEVALUE($A152),'changes1_based on steps'!O$1:O$400,0)),O$2,)</f>
        <v>0</v>
      </c>
      <c r="P152" s="179">
        <f ca="1">IF(ISNUMBER(MATCH(DATEVALUE($A152),'changes1_based on steps'!P$1:P$400,0)),P$2,)</f>
        <v>0</v>
      </c>
      <c r="Q152" s="179">
        <f ca="1">IF(ISNUMBER(MATCH(DATEVALUE($A152),'changes1_based on steps'!Q$1:Q$400,0)),Q$2,)</f>
        <v>0</v>
      </c>
      <c r="R152" s="179">
        <f ca="1">IF(ISNUMBER(MATCH(DATEVALUE($A152),'changes1_based on steps'!R$1:R$400,0)),R$2,)</f>
        <v>0</v>
      </c>
      <c r="S152" s="179">
        <f ca="1">IF(ISNUMBER(MATCH(DATEVALUE($A152),'changes1_based on steps'!S$1:S$400,0)),S$2,)</f>
        <v>0</v>
      </c>
      <c r="T152" s="179">
        <f ca="1">IF(ISNUMBER(MATCH(DATEVALUE($A152),'changes1_based on steps'!T$1:T$400,0)),T$2,)</f>
        <v>0</v>
      </c>
      <c r="U152" s="179">
        <f ca="1">IF(ISNUMBER(MATCH(DATEVALUE($A152),'changes1_based on steps'!U$1:U$400,0)),U$2,)</f>
        <v>0</v>
      </c>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row>
    <row r="153" spans="1:101" x14ac:dyDescent="0.2">
      <c r="A153" s="32" t="str">
        <f t="shared" ca="1" si="2"/>
        <v>2025-08-26</v>
      </c>
      <c r="B153" s="179">
        <f ca="1">IF(ISNUMBER(MATCH(DATEVALUE($A153),'changes1_based on steps'!B$1:B$400,0)),B$2,)</f>
        <v>0</v>
      </c>
      <c r="C153" s="179">
        <f ca="1">IF(ISNUMBER(MATCH(DATEVALUE($A153),'changes1_based on steps'!C$1:C$400,0)),C$2,)</f>
        <v>0</v>
      </c>
      <c r="D153" s="179">
        <f ca="1">IF(ISNUMBER(MATCH(DATEVALUE($A153),'changes1_based on steps'!D$1:D$400,0)),D$2,)</f>
        <v>0</v>
      </c>
      <c r="E153" s="179">
        <f ca="1">IF(ISNUMBER(MATCH(DATEVALUE($A153),'changes1_based on steps'!E$1:E$400,0)),E$2,)</f>
        <v>0</v>
      </c>
      <c r="F153" s="179">
        <f ca="1">IF(ISNUMBER(MATCH(DATEVALUE($A153),'changes1_based on steps'!F$1:F$400,0)),F$2,)</f>
        <v>0</v>
      </c>
      <c r="G153" s="179">
        <f ca="1">IF(ISNUMBER(MATCH(DATEVALUE($A153),'changes1_based on steps'!G$1:G$400,0)),G$2,)</f>
        <v>0</v>
      </c>
      <c r="H153" s="179">
        <f ca="1">IF(ISNUMBER(MATCH(DATEVALUE($A153),'changes1_based on steps'!H$1:H$400,0)),H$2,)</f>
        <v>0</v>
      </c>
      <c r="I153" s="179">
        <f ca="1">IF(ISNUMBER(MATCH(DATEVALUE($A153),'changes1_based on steps'!I$1:I$400,0)),I$2,)</f>
        <v>0</v>
      </c>
      <c r="J153" s="179">
        <f ca="1">IF(ISNUMBER(MATCH(DATEVALUE($A153),'changes1_based on steps'!J$1:J$400,0)),J$2,)</f>
        <v>0</v>
      </c>
      <c r="K153" s="179">
        <f ca="1">IF(ISNUMBER(MATCH(DATEVALUE($A153),'changes1_based on steps'!K$1:K$400,0)),K$2,)</f>
        <v>0</v>
      </c>
      <c r="L153" s="179">
        <f ca="1">IF(ISNUMBER(MATCH(DATEVALUE($A153),'changes1_based on steps'!L$1:L$400,0)),L$2,)</f>
        <v>0</v>
      </c>
      <c r="M153" s="179">
        <f ca="1">IF(ISNUMBER(MATCH(DATEVALUE($A153),'changes1_based on steps'!M$1:M$400,0)),M$2,)</f>
        <v>0</v>
      </c>
      <c r="N153" s="179">
        <f ca="1">IF(ISNUMBER(MATCH(DATEVALUE($A153),'changes1_based on steps'!N$1:N$400,0)),N$2,)</f>
        <v>0</v>
      </c>
      <c r="O153" s="179">
        <f ca="1">IF(ISNUMBER(MATCH(DATEVALUE($A153),'changes1_based on steps'!O$1:O$400,0)),O$2,)</f>
        <v>0</v>
      </c>
      <c r="P153" s="179">
        <f ca="1">IF(ISNUMBER(MATCH(DATEVALUE($A153),'changes1_based on steps'!P$1:P$400,0)),P$2,)</f>
        <v>0</v>
      </c>
      <c r="Q153" s="179">
        <f ca="1">IF(ISNUMBER(MATCH(DATEVALUE($A153),'changes1_based on steps'!Q$1:Q$400,0)),Q$2,)</f>
        <v>0</v>
      </c>
      <c r="R153" s="179">
        <f ca="1">IF(ISNUMBER(MATCH(DATEVALUE($A153),'changes1_based on steps'!R$1:R$400,0)),R$2,)</f>
        <v>0</v>
      </c>
      <c r="S153" s="179">
        <f ca="1">IF(ISNUMBER(MATCH(DATEVALUE($A153),'changes1_based on steps'!S$1:S$400,0)),S$2,)</f>
        <v>0</v>
      </c>
      <c r="T153" s="179">
        <f ca="1">IF(ISNUMBER(MATCH(DATEVALUE($A153),'changes1_based on steps'!T$1:T$400,0)),T$2,)</f>
        <v>0</v>
      </c>
      <c r="U153" s="179">
        <f ca="1">IF(ISNUMBER(MATCH(DATEVALUE($A153),'changes1_based on steps'!U$1:U$400,0)),U$2,)</f>
        <v>0</v>
      </c>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row>
    <row r="154" spans="1:101" x14ac:dyDescent="0.2">
      <c r="A154" s="32" t="str">
        <f t="shared" ca="1" si="2"/>
        <v>2025-08-27</v>
      </c>
      <c r="B154" s="179">
        <f ca="1">IF(ISNUMBER(MATCH(DATEVALUE($A154),'changes1_based on steps'!B$1:B$400,0)),B$2,)</f>
        <v>0</v>
      </c>
      <c r="C154" s="179">
        <f ca="1">IF(ISNUMBER(MATCH(DATEVALUE($A154),'changes1_based on steps'!C$1:C$400,0)),C$2,)</f>
        <v>0</v>
      </c>
      <c r="D154" s="179">
        <f ca="1">IF(ISNUMBER(MATCH(DATEVALUE($A154),'changes1_based on steps'!D$1:D$400,0)),D$2,)</f>
        <v>0</v>
      </c>
      <c r="E154" s="179">
        <f ca="1">IF(ISNUMBER(MATCH(DATEVALUE($A154),'changes1_based on steps'!E$1:E$400,0)),E$2,)</f>
        <v>0</v>
      </c>
      <c r="F154" s="179">
        <f ca="1">IF(ISNUMBER(MATCH(DATEVALUE($A154),'changes1_based on steps'!F$1:F$400,0)),F$2,)</f>
        <v>0</v>
      </c>
      <c r="G154" s="179">
        <f ca="1">IF(ISNUMBER(MATCH(DATEVALUE($A154),'changes1_based on steps'!G$1:G$400,0)),G$2,)</f>
        <v>0</v>
      </c>
      <c r="H154" s="179">
        <f ca="1">IF(ISNUMBER(MATCH(DATEVALUE($A154),'changes1_based on steps'!H$1:H$400,0)),H$2,)</f>
        <v>0</v>
      </c>
      <c r="I154" s="179">
        <f ca="1">IF(ISNUMBER(MATCH(DATEVALUE($A154),'changes1_based on steps'!I$1:I$400,0)),I$2,)</f>
        <v>0</v>
      </c>
      <c r="J154" s="179">
        <f ca="1">IF(ISNUMBER(MATCH(DATEVALUE($A154),'changes1_based on steps'!J$1:J$400,0)),J$2,)</f>
        <v>0</v>
      </c>
      <c r="K154" s="179">
        <f ca="1">IF(ISNUMBER(MATCH(DATEVALUE($A154),'changes1_based on steps'!K$1:K$400,0)),K$2,)</f>
        <v>0</v>
      </c>
      <c r="L154" s="179">
        <f ca="1">IF(ISNUMBER(MATCH(DATEVALUE($A154),'changes1_based on steps'!L$1:L$400,0)),L$2,)</f>
        <v>0</v>
      </c>
      <c r="M154" s="179">
        <f ca="1">IF(ISNUMBER(MATCH(DATEVALUE($A154),'changes1_based on steps'!M$1:M$400,0)),M$2,)</f>
        <v>0</v>
      </c>
      <c r="N154" s="179">
        <f ca="1">IF(ISNUMBER(MATCH(DATEVALUE($A154),'changes1_based on steps'!N$1:N$400,0)),N$2,)</f>
        <v>0</v>
      </c>
      <c r="O154" s="179">
        <f ca="1">IF(ISNUMBER(MATCH(DATEVALUE($A154),'changes1_based on steps'!O$1:O$400,0)),O$2,)</f>
        <v>0</v>
      </c>
      <c r="P154" s="179">
        <f ca="1">IF(ISNUMBER(MATCH(DATEVALUE($A154),'changes1_based on steps'!P$1:P$400,0)),P$2,)</f>
        <v>0</v>
      </c>
      <c r="Q154" s="179">
        <f ca="1">IF(ISNUMBER(MATCH(DATEVALUE($A154),'changes1_based on steps'!Q$1:Q$400,0)),Q$2,)</f>
        <v>0</v>
      </c>
      <c r="R154" s="179">
        <f ca="1">IF(ISNUMBER(MATCH(DATEVALUE($A154),'changes1_based on steps'!R$1:R$400,0)),R$2,)</f>
        <v>0</v>
      </c>
      <c r="S154" s="179">
        <f ca="1">IF(ISNUMBER(MATCH(DATEVALUE($A154),'changes1_based on steps'!S$1:S$400,0)),S$2,)</f>
        <v>0</v>
      </c>
      <c r="T154" s="179">
        <f ca="1">IF(ISNUMBER(MATCH(DATEVALUE($A154),'changes1_based on steps'!T$1:T$400,0)),T$2,)</f>
        <v>0</v>
      </c>
      <c r="U154" s="179">
        <f ca="1">IF(ISNUMBER(MATCH(DATEVALUE($A154),'changes1_based on steps'!U$1:U$400,0)),U$2,)</f>
        <v>0</v>
      </c>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row>
    <row r="155" spans="1:101" x14ac:dyDescent="0.2">
      <c r="A155" s="32" t="str">
        <f t="shared" ca="1" si="2"/>
        <v>2025-08-28</v>
      </c>
      <c r="B155" s="179">
        <f ca="1">IF(ISNUMBER(MATCH(DATEVALUE($A155),'changes1_based on steps'!B$1:B$400,0)),B$2,)</f>
        <v>0</v>
      </c>
      <c r="C155" s="179">
        <f ca="1">IF(ISNUMBER(MATCH(DATEVALUE($A155),'changes1_based on steps'!C$1:C$400,0)),C$2,)</f>
        <v>0</v>
      </c>
      <c r="D155" s="179">
        <f ca="1">IF(ISNUMBER(MATCH(DATEVALUE($A155),'changes1_based on steps'!D$1:D$400,0)),D$2,)</f>
        <v>0</v>
      </c>
      <c r="E155" s="179">
        <f ca="1">IF(ISNUMBER(MATCH(DATEVALUE($A155),'changes1_based on steps'!E$1:E$400,0)),E$2,)</f>
        <v>0</v>
      </c>
      <c r="F155" s="179">
        <f ca="1">IF(ISNUMBER(MATCH(DATEVALUE($A155),'changes1_based on steps'!F$1:F$400,0)),F$2,)</f>
        <v>0</v>
      </c>
      <c r="G155" s="179">
        <f ca="1">IF(ISNUMBER(MATCH(DATEVALUE($A155),'changes1_based on steps'!G$1:G$400,0)),G$2,)</f>
        <v>0</v>
      </c>
      <c r="H155" s="179">
        <f ca="1">IF(ISNUMBER(MATCH(DATEVALUE($A155),'changes1_based on steps'!H$1:H$400,0)),H$2,)</f>
        <v>0</v>
      </c>
      <c r="I155" s="179">
        <f ca="1">IF(ISNUMBER(MATCH(DATEVALUE($A155),'changes1_based on steps'!I$1:I$400,0)),I$2,)</f>
        <v>0</v>
      </c>
      <c r="J155" s="179">
        <f ca="1">IF(ISNUMBER(MATCH(DATEVALUE($A155),'changes1_based on steps'!J$1:J$400,0)),J$2,)</f>
        <v>0</v>
      </c>
      <c r="K155" s="179">
        <f ca="1">IF(ISNUMBER(MATCH(DATEVALUE($A155),'changes1_based on steps'!K$1:K$400,0)),K$2,)</f>
        <v>0</v>
      </c>
      <c r="L155" s="179">
        <f ca="1">IF(ISNUMBER(MATCH(DATEVALUE($A155),'changes1_based on steps'!L$1:L$400,0)),L$2,)</f>
        <v>0</v>
      </c>
      <c r="M155" s="179">
        <f ca="1">IF(ISNUMBER(MATCH(DATEVALUE($A155),'changes1_based on steps'!M$1:M$400,0)),M$2,)</f>
        <v>0</v>
      </c>
      <c r="N155" s="179">
        <f ca="1">IF(ISNUMBER(MATCH(DATEVALUE($A155),'changes1_based on steps'!N$1:N$400,0)),N$2,)</f>
        <v>0</v>
      </c>
      <c r="O155" s="179">
        <f ca="1">IF(ISNUMBER(MATCH(DATEVALUE($A155),'changes1_based on steps'!O$1:O$400,0)),O$2,)</f>
        <v>0</v>
      </c>
      <c r="P155" s="179">
        <f ca="1">IF(ISNUMBER(MATCH(DATEVALUE($A155),'changes1_based on steps'!P$1:P$400,0)),P$2,)</f>
        <v>0</v>
      </c>
      <c r="Q155" s="179">
        <f ca="1">IF(ISNUMBER(MATCH(DATEVALUE($A155),'changes1_based on steps'!Q$1:Q$400,0)),Q$2,)</f>
        <v>0</v>
      </c>
      <c r="R155" s="179">
        <f ca="1">IF(ISNUMBER(MATCH(DATEVALUE($A155),'changes1_based on steps'!R$1:R$400,0)),R$2,)</f>
        <v>0</v>
      </c>
      <c r="S155" s="179">
        <f ca="1">IF(ISNUMBER(MATCH(DATEVALUE($A155),'changes1_based on steps'!S$1:S$400,0)),S$2,)</f>
        <v>0</v>
      </c>
      <c r="T155" s="179">
        <f ca="1">IF(ISNUMBER(MATCH(DATEVALUE($A155),'changes1_based on steps'!T$1:T$400,0)),T$2,)</f>
        <v>0</v>
      </c>
      <c r="U155" s="179">
        <f ca="1">IF(ISNUMBER(MATCH(DATEVALUE($A155),'changes1_based on steps'!U$1:U$400,0)),U$2,)</f>
        <v>0</v>
      </c>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row>
    <row r="156" spans="1:101" x14ac:dyDescent="0.2">
      <c r="A156" s="32" t="str">
        <f t="shared" ca="1" si="2"/>
        <v>2025-08-29</v>
      </c>
      <c r="B156" s="179">
        <f ca="1">IF(ISNUMBER(MATCH(DATEVALUE($A156),'changes1_based on steps'!B$1:B$400,0)),B$2,)</f>
        <v>0</v>
      </c>
      <c r="C156" s="179">
        <f ca="1">IF(ISNUMBER(MATCH(DATEVALUE($A156),'changes1_based on steps'!C$1:C$400,0)),C$2,)</f>
        <v>0</v>
      </c>
      <c r="D156" s="179">
        <f ca="1">IF(ISNUMBER(MATCH(DATEVALUE($A156),'changes1_based on steps'!D$1:D$400,0)),D$2,)</f>
        <v>0</v>
      </c>
      <c r="E156" s="179">
        <f ca="1">IF(ISNUMBER(MATCH(DATEVALUE($A156),'changes1_based on steps'!E$1:E$400,0)),E$2,)</f>
        <v>0</v>
      </c>
      <c r="F156" s="179">
        <f ca="1">IF(ISNUMBER(MATCH(DATEVALUE($A156),'changes1_based on steps'!F$1:F$400,0)),F$2,)</f>
        <v>0</v>
      </c>
      <c r="G156" s="179">
        <f ca="1">IF(ISNUMBER(MATCH(DATEVALUE($A156),'changes1_based on steps'!G$1:G$400,0)),G$2,)</f>
        <v>0</v>
      </c>
      <c r="H156" s="179">
        <f ca="1">IF(ISNUMBER(MATCH(DATEVALUE($A156),'changes1_based on steps'!H$1:H$400,0)),H$2,)</f>
        <v>0</v>
      </c>
      <c r="I156" s="179">
        <f ca="1">IF(ISNUMBER(MATCH(DATEVALUE($A156),'changes1_based on steps'!I$1:I$400,0)),I$2,)</f>
        <v>0</v>
      </c>
      <c r="J156" s="179">
        <f ca="1">IF(ISNUMBER(MATCH(DATEVALUE($A156),'changes1_based on steps'!J$1:J$400,0)),J$2,)</f>
        <v>0</v>
      </c>
      <c r="K156" s="179">
        <f ca="1">IF(ISNUMBER(MATCH(DATEVALUE($A156),'changes1_based on steps'!K$1:K$400,0)),K$2,)</f>
        <v>0</v>
      </c>
      <c r="L156" s="179">
        <f ca="1">IF(ISNUMBER(MATCH(DATEVALUE($A156),'changes1_based on steps'!L$1:L$400,0)),L$2,)</f>
        <v>0</v>
      </c>
      <c r="M156" s="179">
        <f ca="1">IF(ISNUMBER(MATCH(DATEVALUE($A156),'changes1_based on steps'!M$1:M$400,0)),M$2,)</f>
        <v>0</v>
      </c>
      <c r="N156" s="179">
        <f ca="1">IF(ISNUMBER(MATCH(DATEVALUE($A156),'changes1_based on steps'!N$1:N$400,0)),N$2,)</f>
        <v>0</v>
      </c>
      <c r="O156" s="179">
        <f ca="1">IF(ISNUMBER(MATCH(DATEVALUE($A156),'changes1_based on steps'!O$1:O$400,0)),O$2,)</f>
        <v>0</v>
      </c>
      <c r="P156" s="179">
        <f ca="1">IF(ISNUMBER(MATCH(DATEVALUE($A156),'changes1_based on steps'!P$1:P$400,0)),P$2,)</f>
        <v>0</v>
      </c>
      <c r="Q156" s="179">
        <f ca="1">IF(ISNUMBER(MATCH(DATEVALUE($A156),'changes1_based on steps'!Q$1:Q$400,0)),Q$2,)</f>
        <v>0</v>
      </c>
      <c r="R156" s="179">
        <f ca="1">IF(ISNUMBER(MATCH(DATEVALUE($A156),'changes1_based on steps'!R$1:R$400,0)),R$2,)</f>
        <v>0</v>
      </c>
      <c r="S156" s="179">
        <f ca="1">IF(ISNUMBER(MATCH(DATEVALUE($A156),'changes1_based on steps'!S$1:S$400,0)),S$2,)</f>
        <v>0</v>
      </c>
      <c r="T156" s="179">
        <f ca="1">IF(ISNUMBER(MATCH(DATEVALUE($A156),'changes1_based on steps'!T$1:T$400,0)),T$2,)</f>
        <v>0</v>
      </c>
      <c r="U156" s="179">
        <f ca="1">IF(ISNUMBER(MATCH(DATEVALUE($A156),'changes1_based on steps'!U$1:U$400,0)),U$2,)</f>
        <v>0</v>
      </c>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row>
    <row r="157" spans="1:101" x14ac:dyDescent="0.2">
      <c r="A157" s="32" t="str">
        <f t="shared" ca="1" si="2"/>
        <v>2025-08-30</v>
      </c>
      <c r="B157" s="179">
        <f ca="1">IF(ISNUMBER(MATCH(DATEVALUE($A157),'changes1_based on steps'!B$1:B$400,0)),B$2,)</f>
        <v>0</v>
      </c>
      <c r="C157" s="179">
        <f ca="1">IF(ISNUMBER(MATCH(DATEVALUE($A157),'changes1_based on steps'!C$1:C$400,0)),C$2,)</f>
        <v>0</v>
      </c>
      <c r="D157" s="179">
        <f ca="1">IF(ISNUMBER(MATCH(DATEVALUE($A157),'changes1_based on steps'!D$1:D$400,0)),D$2,)</f>
        <v>0</v>
      </c>
      <c r="E157" s="179">
        <f ca="1">IF(ISNUMBER(MATCH(DATEVALUE($A157),'changes1_based on steps'!E$1:E$400,0)),E$2,)</f>
        <v>0</v>
      </c>
      <c r="F157" s="179">
        <f ca="1">IF(ISNUMBER(MATCH(DATEVALUE($A157),'changes1_based on steps'!F$1:F$400,0)),F$2,)</f>
        <v>0</v>
      </c>
      <c r="G157" s="179">
        <f ca="1">IF(ISNUMBER(MATCH(DATEVALUE($A157),'changes1_based on steps'!G$1:G$400,0)),G$2,)</f>
        <v>0</v>
      </c>
      <c r="H157" s="179">
        <f ca="1">IF(ISNUMBER(MATCH(DATEVALUE($A157),'changes1_based on steps'!H$1:H$400,0)),H$2,)</f>
        <v>0</v>
      </c>
      <c r="I157" s="179">
        <f ca="1">IF(ISNUMBER(MATCH(DATEVALUE($A157),'changes1_based on steps'!I$1:I$400,0)),I$2,)</f>
        <v>0</v>
      </c>
      <c r="J157" s="179">
        <f ca="1">IF(ISNUMBER(MATCH(DATEVALUE($A157),'changes1_based on steps'!J$1:J$400,0)),J$2,)</f>
        <v>0</v>
      </c>
      <c r="K157" s="179">
        <f ca="1">IF(ISNUMBER(MATCH(DATEVALUE($A157),'changes1_based on steps'!K$1:K$400,0)),K$2,)</f>
        <v>0</v>
      </c>
      <c r="L157" s="179">
        <f ca="1">IF(ISNUMBER(MATCH(DATEVALUE($A157),'changes1_based on steps'!L$1:L$400,0)),L$2,)</f>
        <v>0</v>
      </c>
      <c r="M157" s="179">
        <f ca="1">IF(ISNUMBER(MATCH(DATEVALUE($A157),'changes1_based on steps'!M$1:M$400,0)),M$2,)</f>
        <v>0</v>
      </c>
      <c r="N157" s="179">
        <f ca="1">IF(ISNUMBER(MATCH(DATEVALUE($A157),'changes1_based on steps'!N$1:N$400,0)),N$2,)</f>
        <v>0</v>
      </c>
      <c r="O157" s="179">
        <f ca="1">IF(ISNUMBER(MATCH(DATEVALUE($A157),'changes1_based on steps'!O$1:O$400,0)),O$2,)</f>
        <v>0</v>
      </c>
      <c r="P157" s="179">
        <f ca="1">IF(ISNUMBER(MATCH(DATEVALUE($A157),'changes1_based on steps'!P$1:P$400,0)),P$2,)</f>
        <v>0</v>
      </c>
      <c r="Q157" s="179">
        <f ca="1">IF(ISNUMBER(MATCH(DATEVALUE($A157),'changes1_based on steps'!Q$1:Q$400,0)),Q$2,)</f>
        <v>0</v>
      </c>
      <c r="R157" s="179">
        <f ca="1">IF(ISNUMBER(MATCH(DATEVALUE($A157),'changes1_based on steps'!R$1:R$400,0)),R$2,)</f>
        <v>0</v>
      </c>
      <c r="S157" s="179">
        <f ca="1">IF(ISNUMBER(MATCH(DATEVALUE($A157),'changes1_based on steps'!S$1:S$400,0)),S$2,)</f>
        <v>0</v>
      </c>
      <c r="T157" s="179">
        <f ca="1">IF(ISNUMBER(MATCH(DATEVALUE($A157),'changes1_based on steps'!T$1:T$400,0)),T$2,)</f>
        <v>0</v>
      </c>
      <c r="U157" s="179">
        <f ca="1">IF(ISNUMBER(MATCH(DATEVALUE($A157),'changes1_based on steps'!U$1:U$400,0)),U$2,)</f>
        <v>0</v>
      </c>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row>
    <row r="158" spans="1:101" x14ac:dyDescent="0.2">
      <c r="A158" s="32" t="str">
        <f t="shared" ca="1" si="2"/>
        <v>2025-08-31</v>
      </c>
      <c r="B158" s="179">
        <f ca="1">IF(ISNUMBER(MATCH(DATEVALUE($A158),'changes1_based on steps'!B$1:B$400,0)),B$2,)</f>
        <v>0</v>
      </c>
      <c r="C158" s="179">
        <f ca="1">IF(ISNUMBER(MATCH(DATEVALUE($A158),'changes1_based on steps'!C$1:C$400,0)),C$2,)</f>
        <v>0</v>
      </c>
      <c r="D158" s="179">
        <f ca="1">IF(ISNUMBER(MATCH(DATEVALUE($A158),'changes1_based on steps'!D$1:D$400,0)),D$2,)</f>
        <v>0</v>
      </c>
      <c r="E158" s="179">
        <f ca="1">IF(ISNUMBER(MATCH(DATEVALUE($A158),'changes1_based on steps'!E$1:E$400,0)),E$2,)</f>
        <v>0</v>
      </c>
      <c r="F158" s="179">
        <f ca="1">IF(ISNUMBER(MATCH(DATEVALUE($A158),'changes1_based on steps'!F$1:F$400,0)),F$2,)</f>
        <v>0</v>
      </c>
      <c r="G158" s="179">
        <f ca="1">IF(ISNUMBER(MATCH(DATEVALUE($A158),'changes1_based on steps'!G$1:G$400,0)),G$2,)</f>
        <v>0</v>
      </c>
      <c r="H158" s="179">
        <f ca="1">IF(ISNUMBER(MATCH(DATEVALUE($A158),'changes1_based on steps'!H$1:H$400,0)),H$2,)</f>
        <v>0</v>
      </c>
      <c r="I158" s="179">
        <f ca="1">IF(ISNUMBER(MATCH(DATEVALUE($A158),'changes1_based on steps'!I$1:I$400,0)),I$2,)</f>
        <v>0</v>
      </c>
      <c r="J158" s="179">
        <f ca="1">IF(ISNUMBER(MATCH(DATEVALUE($A158),'changes1_based on steps'!J$1:J$400,0)),J$2,)</f>
        <v>0</v>
      </c>
      <c r="K158" s="179">
        <f ca="1">IF(ISNUMBER(MATCH(DATEVALUE($A158),'changes1_based on steps'!K$1:K$400,0)),K$2,)</f>
        <v>0</v>
      </c>
      <c r="L158" s="179">
        <f ca="1">IF(ISNUMBER(MATCH(DATEVALUE($A158),'changes1_based on steps'!L$1:L$400,0)),L$2,)</f>
        <v>0</v>
      </c>
      <c r="M158" s="179">
        <f ca="1">IF(ISNUMBER(MATCH(DATEVALUE($A158),'changes1_based on steps'!M$1:M$400,0)),M$2,)</f>
        <v>0</v>
      </c>
      <c r="N158" s="179">
        <f ca="1">IF(ISNUMBER(MATCH(DATEVALUE($A158),'changes1_based on steps'!N$1:N$400,0)),N$2,)</f>
        <v>0</v>
      </c>
      <c r="O158" s="179">
        <f ca="1">IF(ISNUMBER(MATCH(DATEVALUE($A158),'changes1_based on steps'!O$1:O$400,0)),O$2,)</f>
        <v>0</v>
      </c>
      <c r="P158" s="179">
        <f ca="1">IF(ISNUMBER(MATCH(DATEVALUE($A158),'changes1_based on steps'!P$1:P$400,0)),P$2,)</f>
        <v>0</v>
      </c>
      <c r="Q158" s="179">
        <f ca="1">IF(ISNUMBER(MATCH(DATEVALUE($A158),'changes1_based on steps'!Q$1:Q$400,0)),Q$2,)</f>
        <v>0</v>
      </c>
      <c r="R158" s="179">
        <f ca="1">IF(ISNUMBER(MATCH(DATEVALUE($A158),'changes1_based on steps'!R$1:R$400,0)),R$2,)</f>
        <v>0</v>
      </c>
      <c r="S158" s="179">
        <f ca="1">IF(ISNUMBER(MATCH(DATEVALUE($A158),'changes1_based on steps'!S$1:S$400,0)),S$2,)</f>
        <v>0</v>
      </c>
      <c r="T158" s="179">
        <f ca="1">IF(ISNUMBER(MATCH(DATEVALUE($A158),'changes1_based on steps'!T$1:T$400,0)),T$2,)</f>
        <v>0</v>
      </c>
      <c r="U158" s="179">
        <f ca="1">IF(ISNUMBER(MATCH(DATEVALUE($A158),'changes1_based on steps'!U$1:U$400,0)),U$2,)</f>
        <v>0</v>
      </c>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row>
    <row r="159" spans="1:101" x14ac:dyDescent="0.2">
      <c r="A159" s="32" t="str">
        <f t="shared" ca="1" si="2"/>
        <v>2025-09-01</v>
      </c>
      <c r="B159" s="179">
        <f ca="1">IF(ISNUMBER(MATCH(DATEVALUE($A159),'changes1_based on steps'!B$1:B$400,0)),B$2,)</f>
        <v>0</v>
      </c>
      <c r="C159" s="179">
        <f ca="1">IF(ISNUMBER(MATCH(DATEVALUE($A159),'changes1_based on steps'!C$1:C$400,0)),C$2,)</f>
        <v>0</v>
      </c>
      <c r="D159" s="179">
        <f ca="1">IF(ISNUMBER(MATCH(DATEVALUE($A159),'changes1_based on steps'!D$1:D$400,0)),D$2,)</f>
        <v>0</v>
      </c>
      <c r="E159" s="179">
        <f ca="1">IF(ISNUMBER(MATCH(DATEVALUE($A159),'changes1_based on steps'!E$1:E$400,0)),E$2,)</f>
        <v>0</v>
      </c>
      <c r="F159" s="179">
        <f ca="1">IF(ISNUMBER(MATCH(DATEVALUE($A159),'changes1_based on steps'!F$1:F$400,0)),F$2,)</f>
        <v>0</v>
      </c>
      <c r="G159" s="179">
        <f ca="1">IF(ISNUMBER(MATCH(DATEVALUE($A159),'changes1_based on steps'!G$1:G$400,0)),G$2,)</f>
        <v>0</v>
      </c>
      <c r="H159" s="179">
        <f ca="1">IF(ISNUMBER(MATCH(DATEVALUE($A159),'changes1_based on steps'!H$1:H$400,0)),H$2,)</f>
        <v>0</v>
      </c>
      <c r="I159" s="179">
        <f ca="1">IF(ISNUMBER(MATCH(DATEVALUE($A159),'changes1_based on steps'!I$1:I$400,0)),I$2,)</f>
        <v>0</v>
      </c>
      <c r="J159" s="179">
        <f ca="1">IF(ISNUMBER(MATCH(DATEVALUE($A159),'changes1_based on steps'!J$1:J$400,0)),J$2,)</f>
        <v>0</v>
      </c>
      <c r="K159" s="179">
        <f ca="1">IF(ISNUMBER(MATCH(DATEVALUE($A159),'changes1_based on steps'!K$1:K$400,0)),K$2,)</f>
        <v>0</v>
      </c>
      <c r="L159" s="179">
        <f ca="1">IF(ISNUMBER(MATCH(DATEVALUE($A159),'changes1_based on steps'!L$1:L$400,0)),L$2,)</f>
        <v>0</v>
      </c>
      <c r="M159" s="179">
        <f ca="1">IF(ISNUMBER(MATCH(DATEVALUE($A159),'changes1_based on steps'!M$1:M$400,0)),M$2,)</f>
        <v>0</v>
      </c>
      <c r="N159" s="179">
        <f ca="1">IF(ISNUMBER(MATCH(DATEVALUE($A159),'changes1_based on steps'!N$1:N$400,0)),N$2,)</f>
        <v>0</v>
      </c>
      <c r="O159" s="179">
        <f ca="1">IF(ISNUMBER(MATCH(DATEVALUE($A159),'changes1_based on steps'!O$1:O$400,0)),O$2,)</f>
        <v>0</v>
      </c>
      <c r="P159" s="179">
        <f ca="1">IF(ISNUMBER(MATCH(DATEVALUE($A159),'changes1_based on steps'!P$1:P$400,0)),P$2,)</f>
        <v>0</v>
      </c>
      <c r="Q159" s="179">
        <f ca="1">IF(ISNUMBER(MATCH(DATEVALUE($A159),'changes1_based on steps'!Q$1:Q$400,0)),Q$2,)</f>
        <v>0</v>
      </c>
      <c r="R159" s="179">
        <f ca="1">IF(ISNUMBER(MATCH(DATEVALUE($A159),'changes1_based on steps'!R$1:R$400,0)),R$2,)</f>
        <v>0</v>
      </c>
      <c r="S159" s="179">
        <f ca="1">IF(ISNUMBER(MATCH(DATEVALUE($A159),'changes1_based on steps'!S$1:S$400,0)),S$2,)</f>
        <v>0</v>
      </c>
      <c r="T159" s="179">
        <f ca="1">IF(ISNUMBER(MATCH(DATEVALUE($A159),'changes1_based on steps'!T$1:T$400,0)),T$2,)</f>
        <v>0</v>
      </c>
      <c r="U159" s="179">
        <f ca="1">IF(ISNUMBER(MATCH(DATEVALUE($A159),'changes1_based on steps'!U$1:U$400,0)),U$2,)</f>
        <v>0</v>
      </c>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row>
    <row r="160" spans="1:101" x14ac:dyDescent="0.2">
      <c r="A160" s="32" t="str">
        <f t="shared" ca="1" si="2"/>
        <v>2025-09-02</v>
      </c>
      <c r="B160" s="179">
        <f ca="1">IF(ISNUMBER(MATCH(DATEVALUE($A160),'changes1_based on steps'!B$1:B$400,0)),B$2,)</f>
        <v>0</v>
      </c>
      <c r="C160" s="179">
        <f ca="1">IF(ISNUMBER(MATCH(DATEVALUE($A160),'changes1_based on steps'!C$1:C$400,0)),C$2,)</f>
        <v>0</v>
      </c>
      <c r="D160" s="179">
        <f ca="1">IF(ISNUMBER(MATCH(DATEVALUE($A160),'changes1_based on steps'!D$1:D$400,0)),D$2,)</f>
        <v>0</v>
      </c>
      <c r="E160" s="179">
        <f ca="1">IF(ISNUMBER(MATCH(DATEVALUE($A160),'changes1_based on steps'!E$1:E$400,0)),E$2,)</f>
        <v>0</v>
      </c>
      <c r="F160" s="179">
        <f ca="1">IF(ISNUMBER(MATCH(DATEVALUE($A160),'changes1_based on steps'!F$1:F$400,0)),F$2,)</f>
        <v>0</v>
      </c>
      <c r="G160" s="179">
        <f ca="1">IF(ISNUMBER(MATCH(DATEVALUE($A160),'changes1_based on steps'!G$1:G$400,0)),G$2,)</f>
        <v>0</v>
      </c>
      <c r="H160" s="179">
        <f ca="1">IF(ISNUMBER(MATCH(DATEVALUE($A160),'changes1_based on steps'!H$1:H$400,0)),H$2,)</f>
        <v>0</v>
      </c>
      <c r="I160" s="179">
        <f ca="1">IF(ISNUMBER(MATCH(DATEVALUE($A160),'changes1_based on steps'!I$1:I$400,0)),I$2,)</f>
        <v>0</v>
      </c>
      <c r="J160" s="179">
        <f ca="1">IF(ISNUMBER(MATCH(DATEVALUE($A160),'changes1_based on steps'!J$1:J$400,0)),J$2,)</f>
        <v>0</v>
      </c>
      <c r="K160" s="179">
        <f ca="1">IF(ISNUMBER(MATCH(DATEVALUE($A160),'changes1_based on steps'!K$1:K$400,0)),K$2,)</f>
        <v>0</v>
      </c>
      <c r="L160" s="179">
        <f ca="1">IF(ISNUMBER(MATCH(DATEVALUE($A160),'changes1_based on steps'!L$1:L$400,0)),L$2,)</f>
        <v>0</v>
      </c>
      <c r="M160" s="179">
        <f ca="1">IF(ISNUMBER(MATCH(DATEVALUE($A160),'changes1_based on steps'!M$1:M$400,0)),M$2,)</f>
        <v>0</v>
      </c>
      <c r="N160" s="179">
        <f ca="1">IF(ISNUMBER(MATCH(DATEVALUE($A160),'changes1_based on steps'!N$1:N$400,0)),N$2,)</f>
        <v>0</v>
      </c>
      <c r="O160" s="179">
        <f ca="1">IF(ISNUMBER(MATCH(DATEVALUE($A160),'changes1_based on steps'!O$1:O$400,0)),O$2,)</f>
        <v>0</v>
      </c>
      <c r="P160" s="179">
        <f ca="1">IF(ISNUMBER(MATCH(DATEVALUE($A160),'changes1_based on steps'!P$1:P$400,0)),P$2,)</f>
        <v>0</v>
      </c>
      <c r="Q160" s="179">
        <f ca="1">IF(ISNUMBER(MATCH(DATEVALUE($A160),'changes1_based on steps'!Q$1:Q$400,0)),Q$2,)</f>
        <v>0</v>
      </c>
      <c r="R160" s="179">
        <f ca="1">IF(ISNUMBER(MATCH(DATEVALUE($A160),'changes1_based on steps'!R$1:R$400,0)),R$2,)</f>
        <v>0</v>
      </c>
      <c r="S160" s="179">
        <f ca="1">IF(ISNUMBER(MATCH(DATEVALUE($A160),'changes1_based on steps'!S$1:S$400,0)),S$2,)</f>
        <v>0</v>
      </c>
      <c r="T160" s="179">
        <f ca="1">IF(ISNUMBER(MATCH(DATEVALUE($A160),'changes1_based on steps'!T$1:T$400,0)),T$2,)</f>
        <v>0</v>
      </c>
      <c r="U160" s="179">
        <f ca="1">IF(ISNUMBER(MATCH(DATEVALUE($A160),'changes1_based on steps'!U$1:U$400,0)),U$2,)</f>
        <v>0</v>
      </c>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row>
    <row r="161" spans="1:101" x14ac:dyDescent="0.2">
      <c r="A161" s="32" t="str">
        <f t="shared" ca="1" si="2"/>
        <v>2025-09-03</v>
      </c>
      <c r="B161" s="179">
        <f ca="1">IF(ISNUMBER(MATCH(DATEVALUE($A161),'changes1_based on steps'!B$1:B$400,0)),B$2,)</f>
        <v>0</v>
      </c>
      <c r="C161" s="179">
        <f ca="1">IF(ISNUMBER(MATCH(DATEVALUE($A161),'changes1_based on steps'!C$1:C$400,0)),C$2,)</f>
        <v>0</v>
      </c>
      <c r="D161" s="179">
        <f ca="1">IF(ISNUMBER(MATCH(DATEVALUE($A161),'changes1_based on steps'!D$1:D$400,0)),D$2,)</f>
        <v>0</v>
      </c>
      <c r="E161" s="179">
        <f ca="1">IF(ISNUMBER(MATCH(DATEVALUE($A161),'changes1_based on steps'!E$1:E$400,0)),E$2,)</f>
        <v>0</v>
      </c>
      <c r="F161" s="179">
        <f ca="1">IF(ISNUMBER(MATCH(DATEVALUE($A161),'changes1_based on steps'!F$1:F$400,0)),F$2,)</f>
        <v>0</v>
      </c>
      <c r="G161" s="179">
        <f ca="1">IF(ISNUMBER(MATCH(DATEVALUE($A161),'changes1_based on steps'!G$1:G$400,0)),G$2,)</f>
        <v>0</v>
      </c>
      <c r="H161" s="179">
        <f ca="1">IF(ISNUMBER(MATCH(DATEVALUE($A161),'changes1_based on steps'!H$1:H$400,0)),H$2,)</f>
        <v>0</v>
      </c>
      <c r="I161" s="179">
        <f ca="1">IF(ISNUMBER(MATCH(DATEVALUE($A161),'changes1_based on steps'!I$1:I$400,0)),I$2,)</f>
        <v>0</v>
      </c>
      <c r="J161" s="179">
        <f ca="1">IF(ISNUMBER(MATCH(DATEVALUE($A161),'changes1_based on steps'!J$1:J$400,0)),J$2,)</f>
        <v>0</v>
      </c>
      <c r="K161" s="179">
        <f ca="1">IF(ISNUMBER(MATCH(DATEVALUE($A161),'changes1_based on steps'!K$1:K$400,0)),K$2,)</f>
        <v>0</v>
      </c>
      <c r="L161" s="179">
        <f ca="1">IF(ISNUMBER(MATCH(DATEVALUE($A161),'changes1_based on steps'!L$1:L$400,0)),L$2,)</f>
        <v>0</v>
      </c>
      <c r="M161" s="179">
        <f ca="1">IF(ISNUMBER(MATCH(DATEVALUE($A161),'changes1_based on steps'!M$1:M$400,0)),M$2,)</f>
        <v>0</v>
      </c>
      <c r="N161" s="179">
        <f ca="1">IF(ISNUMBER(MATCH(DATEVALUE($A161),'changes1_based on steps'!N$1:N$400,0)),N$2,)</f>
        <v>0</v>
      </c>
      <c r="O161" s="179">
        <f ca="1">IF(ISNUMBER(MATCH(DATEVALUE($A161),'changes1_based on steps'!O$1:O$400,0)),O$2,)</f>
        <v>0</v>
      </c>
      <c r="P161" s="179">
        <f ca="1">IF(ISNUMBER(MATCH(DATEVALUE($A161),'changes1_based on steps'!P$1:P$400,0)),P$2,)</f>
        <v>0</v>
      </c>
      <c r="Q161" s="179">
        <f ca="1">IF(ISNUMBER(MATCH(DATEVALUE($A161),'changes1_based on steps'!Q$1:Q$400,0)),Q$2,)</f>
        <v>0</v>
      </c>
      <c r="R161" s="179">
        <f ca="1">IF(ISNUMBER(MATCH(DATEVALUE($A161),'changes1_based on steps'!R$1:R$400,0)),R$2,)</f>
        <v>0</v>
      </c>
      <c r="S161" s="179">
        <f ca="1">IF(ISNUMBER(MATCH(DATEVALUE($A161),'changes1_based on steps'!S$1:S$400,0)),S$2,)</f>
        <v>0</v>
      </c>
      <c r="T161" s="179">
        <f ca="1">IF(ISNUMBER(MATCH(DATEVALUE($A161),'changes1_based on steps'!T$1:T$400,0)),T$2,)</f>
        <v>0</v>
      </c>
      <c r="U161" s="179">
        <f ca="1">IF(ISNUMBER(MATCH(DATEVALUE($A161),'changes1_based on steps'!U$1:U$400,0)),U$2,)</f>
        <v>0</v>
      </c>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row>
    <row r="162" spans="1:101" x14ac:dyDescent="0.2">
      <c r="A162" s="32" t="str">
        <f t="shared" ca="1" si="2"/>
        <v>2025-09-04</v>
      </c>
      <c r="B162" s="179">
        <f ca="1">IF(ISNUMBER(MATCH(DATEVALUE($A162),'changes1_based on steps'!B$1:B$400,0)),B$2,)</f>
        <v>0</v>
      </c>
      <c r="C162" s="179">
        <f ca="1">IF(ISNUMBER(MATCH(DATEVALUE($A162),'changes1_based on steps'!C$1:C$400,0)),C$2,)</f>
        <v>0</v>
      </c>
      <c r="D162" s="179">
        <f ca="1">IF(ISNUMBER(MATCH(DATEVALUE($A162),'changes1_based on steps'!D$1:D$400,0)),D$2,)</f>
        <v>0</v>
      </c>
      <c r="E162" s="179">
        <f ca="1">IF(ISNUMBER(MATCH(DATEVALUE($A162),'changes1_based on steps'!E$1:E$400,0)),E$2,)</f>
        <v>0</v>
      </c>
      <c r="F162" s="179">
        <f ca="1">IF(ISNUMBER(MATCH(DATEVALUE($A162),'changes1_based on steps'!F$1:F$400,0)),F$2,)</f>
        <v>0</v>
      </c>
      <c r="G162" s="179">
        <f ca="1">IF(ISNUMBER(MATCH(DATEVALUE($A162),'changes1_based on steps'!G$1:G$400,0)),G$2,)</f>
        <v>0</v>
      </c>
      <c r="H162" s="179">
        <f ca="1">IF(ISNUMBER(MATCH(DATEVALUE($A162),'changes1_based on steps'!H$1:H$400,0)),H$2,)</f>
        <v>0</v>
      </c>
      <c r="I162" s="179">
        <f ca="1">IF(ISNUMBER(MATCH(DATEVALUE($A162),'changes1_based on steps'!I$1:I$400,0)),I$2,)</f>
        <v>0</v>
      </c>
      <c r="J162" s="179">
        <f ca="1">IF(ISNUMBER(MATCH(DATEVALUE($A162),'changes1_based on steps'!J$1:J$400,0)),J$2,)</f>
        <v>0</v>
      </c>
      <c r="K162" s="179">
        <f ca="1">IF(ISNUMBER(MATCH(DATEVALUE($A162),'changes1_based on steps'!K$1:K$400,0)),K$2,)</f>
        <v>0</v>
      </c>
      <c r="L162" s="179">
        <f ca="1">IF(ISNUMBER(MATCH(DATEVALUE($A162),'changes1_based on steps'!L$1:L$400,0)),L$2,)</f>
        <v>0</v>
      </c>
      <c r="M162" s="179">
        <f ca="1">IF(ISNUMBER(MATCH(DATEVALUE($A162),'changes1_based on steps'!M$1:M$400,0)),M$2,)</f>
        <v>0</v>
      </c>
      <c r="N162" s="179">
        <f ca="1">IF(ISNUMBER(MATCH(DATEVALUE($A162),'changes1_based on steps'!N$1:N$400,0)),N$2,)</f>
        <v>0</v>
      </c>
      <c r="O162" s="179">
        <f ca="1">IF(ISNUMBER(MATCH(DATEVALUE($A162),'changes1_based on steps'!O$1:O$400,0)),O$2,)</f>
        <v>0</v>
      </c>
      <c r="P162" s="179">
        <f ca="1">IF(ISNUMBER(MATCH(DATEVALUE($A162),'changes1_based on steps'!P$1:P$400,0)),P$2,)</f>
        <v>0</v>
      </c>
      <c r="Q162" s="179">
        <f ca="1">IF(ISNUMBER(MATCH(DATEVALUE($A162),'changes1_based on steps'!Q$1:Q$400,0)),Q$2,)</f>
        <v>0</v>
      </c>
      <c r="R162" s="179">
        <f ca="1">IF(ISNUMBER(MATCH(DATEVALUE($A162),'changes1_based on steps'!R$1:R$400,0)),R$2,)</f>
        <v>0</v>
      </c>
      <c r="S162" s="179">
        <f ca="1">IF(ISNUMBER(MATCH(DATEVALUE($A162),'changes1_based on steps'!S$1:S$400,0)),S$2,)</f>
        <v>0</v>
      </c>
      <c r="T162" s="179">
        <f ca="1">IF(ISNUMBER(MATCH(DATEVALUE($A162),'changes1_based on steps'!T$1:T$400,0)),T$2,)</f>
        <v>0</v>
      </c>
      <c r="U162" s="179">
        <f ca="1">IF(ISNUMBER(MATCH(DATEVALUE($A162),'changes1_based on steps'!U$1:U$400,0)),U$2,)</f>
        <v>0</v>
      </c>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row>
    <row r="163" spans="1:101" x14ac:dyDescent="0.2">
      <c r="A163" s="32" t="str">
        <f t="shared" ca="1" si="2"/>
        <v>2025-09-05</v>
      </c>
      <c r="B163" s="179">
        <f ca="1">IF(ISNUMBER(MATCH(DATEVALUE($A163),'changes1_based on steps'!B$1:B$400,0)),B$2,)</f>
        <v>0</v>
      </c>
      <c r="C163" s="179">
        <f ca="1">IF(ISNUMBER(MATCH(DATEVALUE($A163),'changes1_based on steps'!C$1:C$400,0)),C$2,)</f>
        <v>0</v>
      </c>
      <c r="D163" s="179">
        <f ca="1">IF(ISNUMBER(MATCH(DATEVALUE($A163),'changes1_based on steps'!D$1:D$400,0)),D$2,)</f>
        <v>0</v>
      </c>
      <c r="E163" s="179">
        <f ca="1">IF(ISNUMBER(MATCH(DATEVALUE($A163),'changes1_based on steps'!E$1:E$400,0)),E$2,)</f>
        <v>0</v>
      </c>
      <c r="F163" s="179">
        <f ca="1">IF(ISNUMBER(MATCH(DATEVALUE($A163),'changes1_based on steps'!F$1:F$400,0)),F$2,)</f>
        <v>0</v>
      </c>
      <c r="G163" s="179">
        <f ca="1">IF(ISNUMBER(MATCH(DATEVALUE($A163),'changes1_based on steps'!G$1:G$400,0)),G$2,)</f>
        <v>0</v>
      </c>
      <c r="H163" s="179">
        <f ca="1">IF(ISNUMBER(MATCH(DATEVALUE($A163),'changes1_based on steps'!H$1:H$400,0)),H$2,)</f>
        <v>0</v>
      </c>
      <c r="I163" s="179">
        <f ca="1">IF(ISNUMBER(MATCH(DATEVALUE($A163),'changes1_based on steps'!I$1:I$400,0)),I$2,)</f>
        <v>0</v>
      </c>
      <c r="J163" s="179">
        <f ca="1">IF(ISNUMBER(MATCH(DATEVALUE($A163),'changes1_based on steps'!J$1:J$400,0)),J$2,)</f>
        <v>0</v>
      </c>
      <c r="K163" s="179">
        <f ca="1">IF(ISNUMBER(MATCH(DATEVALUE($A163),'changes1_based on steps'!K$1:K$400,0)),K$2,)</f>
        <v>0</v>
      </c>
      <c r="L163" s="179">
        <f ca="1">IF(ISNUMBER(MATCH(DATEVALUE($A163),'changes1_based on steps'!L$1:L$400,0)),L$2,)</f>
        <v>0</v>
      </c>
      <c r="M163" s="179">
        <f ca="1">IF(ISNUMBER(MATCH(DATEVALUE($A163),'changes1_based on steps'!M$1:M$400,0)),M$2,)</f>
        <v>0</v>
      </c>
      <c r="N163" s="179">
        <f ca="1">IF(ISNUMBER(MATCH(DATEVALUE($A163),'changes1_based on steps'!N$1:N$400,0)),N$2,)</f>
        <v>0</v>
      </c>
      <c r="O163" s="179">
        <f ca="1">IF(ISNUMBER(MATCH(DATEVALUE($A163),'changes1_based on steps'!O$1:O$400,0)),O$2,)</f>
        <v>0</v>
      </c>
      <c r="P163" s="179">
        <f ca="1">IF(ISNUMBER(MATCH(DATEVALUE($A163),'changes1_based on steps'!P$1:P$400,0)),P$2,)</f>
        <v>0</v>
      </c>
      <c r="Q163" s="179">
        <f ca="1">IF(ISNUMBER(MATCH(DATEVALUE($A163),'changes1_based on steps'!Q$1:Q$400,0)),Q$2,)</f>
        <v>0</v>
      </c>
      <c r="R163" s="179">
        <f ca="1">IF(ISNUMBER(MATCH(DATEVALUE($A163),'changes1_based on steps'!R$1:R$400,0)),R$2,)</f>
        <v>0</v>
      </c>
      <c r="S163" s="179">
        <f ca="1">IF(ISNUMBER(MATCH(DATEVALUE($A163),'changes1_based on steps'!S$1:S$400,0)),S$2,)</f>
        <v>0</v>
      </c>
      <c r="T163" s="179">
        <f ca="1">IF(ISNUMBER(MATCH(DATEVALUE($A163),'changes1_based on steps'!T$1:T$400,0)),T$2,)</f>
        <v>0</v>
      </c>
      <c r="U163" s="179">
        <f ca="1">IF(ISNUMBER(MATCH(DATEVALUE($A163),'changes1_based on steps'!U$1:U$400,0)),U$2,)</f>
        <v>0</v>
      </c>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row>
    <row r="164" spans="1:101" x14ac:dyDescent="0.2">
      <c r="A164" s="32" t="str">
        <f t="shared" ca="1" si="2"/>
        <v>2025-09-06</v>
      </c>
      <c r="B164" s="179">
        <f ca="1">IF(ISNUMBER(MATCH(DATEVALUE($A164),'changes1_based on steps'!B$1:B$400,0)),B$2,)</f>
        <v>0</v>
      </c>
      <c r="C164" s="179">
        <f ca="1">IF(ISNUMBER(MATCH(DATEVALUE($A164),'changes1_based on steps'!C$1:C$400,0)),C$2,)</f>
        <v>0</v>
      </c>
      <c r="D164" s="179">
        <f ca="1">IF(ISNUMBER(MATCH(DATEVALUE($A164),'changes1_based on steps'!D$1:D$400,0)),D$2,)</f>
        <v>0</v>
      </c>
      <c r="E164" s="179">
        <f ca="1">IF(ISNUMBER(MATCH(DATEVALUE($A164),'changes1_based on steps'!E$1:E$400,0)),E$2,)</f>
        <v>0</v>
      </c>
      <c r="F164" s="179">
        <f ca="1">IF(ISNUMBER(MATCH(DATEVALUE($A164),'changes1_based on steps'!F$1:F$400,0)),F$2,)</f>
        <v>0</v>
      </c>
      <c r="G164" s="179">
        <f ca="1">IF(ISNUMBER(MATCH(DATEVALUE($A164),'changes1_based on steps'!G$1:G$400,0)),G$2,)</f>
        <v>0</v>
      </c>
      <c r="H164" s="179">
        <f ca="1">IF(ISNUMBER(MATCH(DATEVALUE($A164),'changes1_based on steps'!H$1:H$400,0)),H$2,)</f>
        <v>0</v>
      </c>
      <c r="I164" s="179">
        <f ca="1">IF(ISNUMBER(MATCH(DATEVALUE($A164),'changes1_based on steps'!I$1:I$400,0)),I$2,)</f>
        <v>0</v>
      </c>
      <c r="J164" s="179">
        <f ca="1">IF(ISNUMBER(MATCH(DATEVALUE($A164),'changes1_based on steps'!J$1:J$400,0)),J$2,)</f>
        <v>0</v>
      </c>
      <c r="K164" s="179">
        <f ca="1">IF(ISNUMBER(MATCH(DATEVALUE($A164),'changes1_based on steps'!K$1:K$400,0)),K$2,)</f>
        <v>0</v>
      </c>
      <c r="L164" s="179">
        <f ca="1">IF(ISNUMBER(MATCH(DATEVALUE($A164),'changes1_based on steps'!L$1:L$400,0)),L$2,)</f>
        <v>0</v>
      </c>
      <c r="M164" s="179">
        <f ca="1">IF(ISNUMBER(MATCH(DATEVALUE($A164),'changes1_based on steps'!M$1:M$400,0)),M$2,)</f>
        <v>0</v>
      </c>
      <c r="N164" s="179">
        <f ca="1">IF(ISNUMBER(MATCH(DATEVALUE($A164),'changes1_based on steps'!N$1:N$400,0)),N$2,)</f>
        <v>0</v>
      </c>
      <c r="O164" s="179">
        <f ca="1">IF(ISNUMBER(MATCH(DATEVALUE($A164),'changes1_based on steps'!O$1:O$400,0)),O$2,)</f>
        <v>0</v>
      </c>
      <c r="P164" s="179">
        <f ca="1">IF(ISNUMBER(MATCH(DATEVALUE($A164),'changes1_based on steps'!P$1:P$400,0)),P$2,)</f>
        <v>0</v>
      </c>
      <c r="Q164" s="179">
        <f ca="1">IF(ISNUMBER(MATCH(DATEVALUE($A164),'changes1_based on steps'!Q$1:Q$400,0)),Q$2,)</f>
        <v>0</v>
      </c>
      <c r="R164" s="179">
        <f ca="1">IF(ISNUMBER(MATCH(DATEVALUE($A164),'changes1_based on steps'!R$1:R$400,0)),R$2,)</f>
        <v>0</v>
      </c>
      <c r="S164" s="179">
        <f ca="1">IF(ISNUMBER(MATCH(DATEVALUE($A164),'changes1_based on steps'!S$1:S$400,0)),S$2,)</f>
        <v>0</v>
      </c>
      <c r="T164" s="179">
        <f ca="1">IF(ISNUMBER(MATCH(DATEVALUE($A164),'changes1_based on steps'!T$1:T$400,0)),T$2,)</f>
        <v>0</v>
      </c>
      <c r="U164" s="179">
        <f ca="1">IF(ISNUMBER(MATCH(DATEVALUE($A164),'changes1_based on steps'!U$1:U$400,0)),U$2,)</f>
        <v>0</v>
      </c>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row>
    <row r="165" spans="1:101" x14ac:dyDescent="0.2">
      <c r="A165" s="32" t="str">
        <f t="shared" ca="1" si="2"/>
        <v>2025-09-07</v>
      </c>
      <c r="B165" s="179">
        <f ca="1">IF(ISNUMBER(MATCH(DATEVALUE($A165),'changes1_based on steps'!B$1:B$400,0)),B$2,)</f>
        <v>0</v>
      </c>
      <c r="C165" s="179">
        <f ca="1">IF(ISNUMBER(MATCH(DATEVALUE($A165),'changes1_based on steps'!C$1:C$400,0)),C$2,)</f>
        <v>0</v>
      </c>
      <c r="D165" s="179">
        <f ca="1">IF(ISNUMBER(MATCH(DATEVALUE($A165),'changes1_based on steps'!D$1:D$400,0)),D$2,)</f>
        <v>0</v>
      </c>
      <c r="E165" s="179">
        <f ca="1">IF(ISNUMBER(MATCH(DATEVALUE($A165),'changes1_based on steps'!E$1:E$400,0)),E$2,)</f>
        <v>0</v>
      </c>
      <c r="F165" s="179">
        <f ca="1">IF(ISNUMBER(MATCH(DATEVALUE($A165),'changes1_based on steps'!F$1:F$400,0)),F$2,)</f>
        <v>0</v>
      </c>
      <c r="G165" s="179">
        <f ca="1">IF(ISNUMBER(MATCH(DATEVALUE($A165),'changes1_based on steps'!G$1:G$400,0)),G$2,)</f>
        <v>0</v>
      </c>
      <c r="H165" s="179">
        <f ca="1">IF(ISNUMBER(MATCH(DATEVALUE($A165),'changes1_based on steps'!H$1:H$400,0)),H$2,)</f>
        <v>0</v>
      </c>
      <c r="I165" s="179">
        <f ca="1">IF(ISNUMBER(MATCH(DATEVALUE($A165),'changes1_based on steps'!I$1:I$400,0)),I$2,)</f>
        <v>0</v>
      </c>
      <c r="J165" s="179">
        <f ca="1">IF(ISNUMBER(MATCH(DATEVALUE($A165),'changes1_based on steps'!J$1:J$400,0)),J$2,)</f>
        <v>0</v>
      </c>
      <c r="K165" s="179">
        <f ca="1">IF(ISNUMBER(MATCH(DATEVALUE($A165),'changes1_based on steps'!K$1:K$400,0)),K$2,)</f>
        <v>0</v>
      </c>
      <c r="L165" s="179">
        <f ca="1">IF(ISNUMBER(MATCH(DATEVALUE($A165),'changes1_based on steps'!L$1:L$400,0)),L$2,)</f>
        <v>0</v>
      </c>
      <c r="M165" s="179">
        <f ca="1">IF(ISNUMBER(MATCH(DATEVALUE($A165),'changes1_based on steps'!M$1:M$400,0)),M$2,)</f>
        <v>0</v>
      </c>
      <c r="N165" s="179">
        <f ca="1">IF(ISNUMBER(MATCH(DATEVALUE($A165),'changes1_based on steps'!N$1:N$400,0)),N$2,)</f>
        <v>0</v>
      </c>
      <c r="O165" s="179">
        <f ca="1">IF(ISNUMBER(MATCH(DATEVALUE($A165),'changes1_based on steps'!O$1:O$400,0)),O$2,)</f>
        <v>0</v>
      </c>
      <c r="P165" s="179">
        <f ca="1">IF(ISNUMBER(MATCH(DATEVALUE($A165),'changes1_based on steps'!P$1:P$400,0)),P$2,)</f>
        <v>0</v>
      </c>
      <c r="Q165" s="179">
        <f ca="1">IF(ISNUMBER(MATCH(DATEVALUE($A165),'changes1_based on steps'!Q$1:Q$400,0)),Q$2,)</f>
        <v>0</v>
      </c>
      <c r="R165" s="179">
        <f ca="1">IF(ISNUMBER(MATCH(DATEVALUE($A165),'changes1_based on steps'!R$1:R$400,0)),R$2,)</f>
        <v>0</v>
      </c>
      <c r="S165" s="179">
        <f ca="1">IF(ISNUMBER(MATCH(DATEVALUE($A165),'changes1_based on steps'!S$1:S$400,0)),S$2,)</f>
        <v>0</v>
      </c>
      <c r="T165" s="179">
        <f ca="1">IF(ISNUMBER(MATCH(DATEVALUE($A165),'changes1_based on steps'!T$1:T$400,0)),T$2,)</f>
        <v>0</v>
      </c>
      <c r="U165" s="179">
        <f ca="1">IF(ISNUMBER(MATCH(DATEVALUE($A165),'changes1_based on steps'!U$1:U$400,0)),U$2,)</f>
        <v>0</v>
      </c>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79"/>
      <c r="BM165" s="179"/>
      <c r="BN165" s="179"/>
      <c r="BO165" s="179"/>
      <c r="BP165" s="179"/>
      <c r="BQ165" s="179"/>
      <c r="BR165" s="179"/>
      <c r="BS165" s="179"/>
      <c r="BT165" s="179"/>
      <c r="BU165" s="179"/>
      <c r="BV165" s="179"/>
      <c r="BW165" s="179"/>
      <c r="BX165" s="179"/>
      <c r="BY165" s="179"/>
      <c r="BZ165" s="179"/>
      <c r="CA165" s="179"/>
      <c r="CB165" s="179"/>
      <c r="CC165" s="179"/>
      <c r="CD165" s="179"/>
      <c r="CE165" s="179"/>
      <c r="CF165" s="179"/>
      <c r="CG165" s="179"/>
      <c r="CH165" s="179"/>
      <c r="CI165" s="179"/>
      <c r="CJ165" s="179"/>
      <c r="CK165" s="179"/>
      <c r="CL165" s="179"/>
      <c r="CM165" s="179"/>
      <c r="CN165" s="179"/>
      <c r="CO165" s="179"/>
      <c r="CP165" s="179"/>
      <c r="CQ165" s="179"/>
      <c r="CR165" s="179"/>
      <c r="CS165" s="179"/>
      <c r="CT165" s="179"/>
      <c r="CU165" s="179"/>
      <c r="CV165" s="179"/>
      <c r="CW165" s="179"/>
    </row>
    <row r="166" spans="1:101" x14ac:dyDescent="0.2">
      <c r="A166" s="32" t="str">
        <f t="shared" ca="1" si="2"/>
        <v>2025-09-08</v>
      </c>
      <c r="B166" s="179">
        <f ca="1">IF(ISNUMBER(MATCH(DATEVALUE($A166),'changes1_based on steps'!B$1:B$400,0)),B$2,)</f>
        <v>0</v>
      </c>
      <c r="C166" s="179">
        <f ca="1">IF(ISNUMBER(MATCH(DATEVALUE($A166),'changes1_based on steps'!C$1:C$400,0)),C$2,)</f>
        <v>0</v>
      </c>
      <c r="D166" s="179">
        <f ca="1">IF(ISNUMBER(MATCH(DATEVALUE($A166),'changes1_based on steps'!D$1:D$400,0)),D$2,)</f>
        <v>0</v>
      </c>
      <c r="E166" s="179">
        <f ca="1">IF(ISNUMBER(MATCH(DATEVALUE($A166),'changes1_based on steps'!E$1:E$400,0)),E$2,)</f>
        <v>0</v>
      </c>
      <c r="F166" s="179">
        <f ca="1">IF(ISNUMBER(MATCH(DATEVALUE($A166),'changes1_based on steps'!F$1:F$400,0)),F$2,)</f>
        <v>0</v>
      </c>
      <c r="G166" s="179">
        <f ca="1">IF(ISNUMBER(MATCH(DATEVALUE($A166),'changes1_based on steps'!G$1:G$400,0)),G$2,)</f>
        <v>0</v>
      </c>
      <c r="H166" s="179">
        <f ca="1">IF(ISNUMBER(MATCH(DATEVALUE($A166),'changes1_based on steps'!H$1:H$400,0)),H$2,)</f>
        <v>0</v>
      </c>
      <c r="I166" s="179">
        <f ca="1">IF(ISNUMBER(MATCH(DATEVALUE($A166),'changes1_based on steps'!I$1:I$400,0)),I$2,)</f>
        <v>0</v>
      </c>
      <c r="J166" s="179">
        <f ca="1">IF(ISNUMBER(MATCH(DATEVALUE($A166),'changes1_based on steps'!J$1:J$400,0)),J$2,)</f>
        <v>0</v>
      </c>
      <c r="K166" s="179">
        <f ca="1">IF(ISNUMBER(MATCH(DATEVALUE($A166),'changes1_based on steps'!K$1:K$400,0)),K$2,)</f>
        <v>0</v>
      </c>
      <c r="L166" s="179">
        <f ca="1">IF(ISNUMBER(MATCH(DATEVALUE($A166),'changes1_based on steps'!L$1:L$400,0)),L$2,)</f>
        <v>0</v>
      </c>
      <c r="M166" s="179">
        <f ca="1">IF(ISNUMBER(MATCH(DATEVALUE($A166),'changes1_based on steps'!M$1:M$400,0)),M$2,)</f>
        <v>0</v>
      </c>
      <c r="N166" s="179">
        <f ca="1">IF(ISNUMBER(MATCH(DATEVALUE($A166),'changes1_based on steps'!N$1:N$400,0)),N$2,)</f>
        <v>0</v>
      </c>
      <c r="O166" s="179">
        <f ca="1">IF(ISNUMBER(MATCH(DATEVALUE($A166),'changes1_based on steps'!O$1:O$400,0)),O$2,)</f>
        <v>0</v>
      </c>
      <c r="P166" s="179">
        <f ca="1">IF(ISNUMBER(MATCH(DATEVALUE($A166),'changes1_based on steps'!P$1:P$400,0)),P$2,)</f>
        <v>0</v>
      </c>
      <c r="Q166" s="179">
        <f ca="1">IF(ISNUMBER(MATCH(DATEVALUE($A166),'changes1_based on steps'!Q$1:Q$400,0)),Q$2,)</f>
        <v>0</v>
      </c>
      <c r="R166" s="179">
        <f ca="1">IF(ISNUMBER(MATCH(DATEVALUE($A166),'changes1_based on steps'!R$1:R$400,0)),R$2,)</f>
        <v>0</v>
      </c>
      <c r="S166" s="179">
        <f ca="1">IF(ISNUMBER(MATCH(DATEVALUE($A166),'changes1_based on steps'!S$1:S$400,0)),S$2,)</f>
        <v>0</v>
      </c>
      <c r="T166" s="179">
        <f ca="1">IF(ISNUMBER(MATCH(DATEVALUE($A166),'changes1_based on steps'!T$1:T$400,0)),T$2,)</f>
        <v>0</v>
      </c>
      <c r="U166" s="179">
        <f ca="1">IF(ISNUMBER(MATCH(DATEVALUE($A166),'changes1_based on steps'!U$1:U$400,0)),U$2,)</f>
        <v>0</v>
      </c>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row>
    <row r="167" spans="1:101" x14ac:dyDescent="0.2">
      <c r="A167" s="32" t="str">
        <f t="shared" ca="1" si="2"/>
        <v>2025-09-09</v>
      </c>
      <c r="B167" s="179">
        <f ca="1">IF(ISNUMBER(MATCH(DATEVALUE($A167),'changes1_based on steps'!B$1:B$400,0)),B$2,)</f>
        <v>0</v>
      </c>
      <c r="C167" s="179">
        <f ca="1">IF(ISNUMBER(MATCH(DATEVALUE($A167),'changes1_based on steps'!C$1:C$400,0)),C$2,)</f>
        <v>0</v>
      </c>
      <c r="D167" s="179">
        <f ca="1">IF(ISNUMBER(MATCH(DATEVALUE($A167),'changes1_based on steps'!D$1:D$400,0)),D$2,)</f>
        <v>0</v>
      </c>
      <c r="E167" s="179">
        <f ca="1">IF(ISNUMBER(MATCH(DATEVALUE($A167),'changes1_based on steps'!E$1:E$400,0)),E$2,)</f>
        <v>0</v>
      </c>
      <c r="F167" s="179">
        <f ca="1">IF(ISNUMBER(MATCH(DATEVALUE($A167),'changes1_based on steps'!F$1:F$400,0)),F$2,)</f>
        <v>0</v>
      </c>
      <c r="G167" s="179">
        <f ca="1">IF(ISNUMBER(MATCH(DATEVALUE($A167),'changes1_based on steps'!G$1:G$400,0)),G$2,)</f>
        <v>0</v>
      </c>
      <c r="H167" s="179">
        <f ca="1">IF(ISNUMBER(MATCH(DATEVALUE($A167),'changes1_based on steps'!H$1:H$400,0)),H$2,)</f>
        <v>0</v>
      </c>
      <c r="I167" s="179">
        <f ca="1">IF(ISNUMBER(MATCH(DATEVALUE($A167),'changes1_based on steps'!I$1:I$400,0)),I$2,)</f>
        <v>0</v>
      </c>
      <c r="J167" s="179">
        <f ca="1">IF(ISNUMBER(MATCH(DATEVALUE($A167),'changes1_based on steps'!J$1:J$400,0)),J$2,)</f>
        <v>0</v>
      </c>
      <c r="K167" s="179">
        <f ca="1">IF(ISNUMBER(MATCH(DATEVALUE($A167),'changes1_based on steps'!K$1:K$400,0)),K$2,)</f>
        <v>0</v>
      </c>
      <c r="L167" s="179">
        <f ca="1">IF(ISNUMBER(MATCH(DATEVALUE($A167),'changes1_based on steps'!L$1:L$400,0)),L$2,)</f>
        <v>0</v>
      </c>
      <c r="M167" s="179">
        <f ca="1">IF(ISNUMBER(MATCH(DATEVALUE($A167),'changes1_based on steps'!M$1:M$400,0)),M$2,)</f>
        <v>0</v>
      </c>
      <c r="N167" s="179">
        <f ca="1">IF(ISNUMBER(MATCH(DATEVALUE($A167),'changes1_based on steps'!N$1:N$400,0)),N$2,)</f>
        <v>0</v>
      </c>
      <c r="O167" s="179">
        <f ca="1">IF(ISNUMBER(MATCH(DATEVALUE($A167),'changes1_based on steps'!O$1:O$400,0)),O$2,)</f>
        <v>0</v>
      </c>
      <c r="P167" s="179">
        <f ca="1">IF(ISNUMBER(MATCH(DATEVALUE($A167),'changes1_based on steps'!P$1:P$400,0)),P$2,)</f>
        <v>0</v>
      </c>
      <c r="Q167" s="179">
        <f ca="1">IF(ISNUMBER(MATCH(DATEVALUE($A167),'changes1_based on steps'!Q$1:Q$400,0)),Q$2,)</f>
        <v>0</v>
      </c>
      <c r="R167" s="179">
        <f ca="1">IF(ISNUMBER(MATCH(DATEVALUE($A167),'changes1_based on steps'!R$1:R$400,0)),R$2,)</f>
        <v>0</v>
      </c>
      <c r="S167" s="179">
        <f ca="1">IF(ISNUMBER(MATCH(DATEVALUE($A167),'changes1_based on steps'!S$1:S$400,0)),S$2,)</f>
        <v>0</v>
      </c>
      <c r="T167" s="179">
        <f ca="1">IF(ISNUMBER(MATCH(DATEVALUE($A167),'changes1_based on steps'!T$1:T$400,0)),T$2,)</f>
        <v>0</v>
      </c>
      <c r="U167" s="179">
        <f ca="1">IF(ISNUMBER(MATCH(DATEVALUE($A167),'changes1_based on steps'!U$1:U$400,0)),U$2,)</f>
        <v>0</v>
      </c>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row>
    <row r="168" spans="1:101" x14ac:dyDescent="0.2">
      <c r="A168" s="32" t="str">
        <f t="shared" ca="1" si="2"/>
        <v>2025-09-10</v>
      </c>
      <c r="B168" s="179">
        <f ca="1">IF(ISNUMBER(MATCH(DATEVALUE($A168),'changes1_based on steps'!B$1:B$400,0)),B$2,)</f>
        <v>0</v>
      </c>
      <c r="C168" s="179">
        <f ca="1">IF(ISNUMBER(MATCH(DATEVALUE($A168),'changes1_based on steps'!C$1:C$400,0)),C$2,)</f>
        <v>0</v>
      </c>
      <c r="D168" s="179">
        <f ca="1">IF(ISNUMBER(MATCH(DATEVALUE($A168),'changes1_based on steps'!D$1:D$400,0)),D$2,)</f>
        <v>0</v>
      </c>
      <c r="E168" s="179">
        <f ca="1">IF(ISNUMBER(MATCH(DATEVALUE($A168),'changes1_based on steps'!E$1:E$400,0)),E$2,)</f>
        <v>0</v>
      </c>
      <c r="F168" s="179">
        <f ca="1">IF(ISNUMBER(MATCH(DATEVALUE($A168),'changes1_based on steps'!F$1:F$400,0)),F$2,)</f>
        <v>0</v>
      </c>
      <c r="G168" s="179">
        <f ca="1">IF(ISNUMBER(MATCH(DATEVALUE($A168),'changes1_based on steps'!G$1:G$400,0)),G$2,)</f>
        <v>0</v>
      </c>
      <c r="H168" s="179">
        <f ca="1">IF(ISNUMBER(MATCH(DATEVALUE($A168),'changes1_based on steps'!H$1:H$400,0)),H$2,)</f>
        <v>0</v>
      </c>
      <c r="I168" s="179">
        <f ca="1">IF(ISNUMBER(MATCH(DATEVALUE($A168),'changes1_based on steps'!I$1:I$400,0)),I$2,)</f>
        <v>0</v>
      </c>
      <c r="J168" s="179">
        <f ca="1">IF(ISNUMBER(MATCH(DATEVALUE($A168),'changes1_based on steps'!J$1:J$400,0)),J$2,)</f>
        <v>0</v>
      </c>
      <c r="K168" s="179">
        <f ca="1">IF(ISNUMBER(MATCH(DATEVALUE($A168),'changes1_based on steps'!K$1:K$400,0)),K$2,)</f>
        <v>0</v>
      </c>
      <c r="L168" s="179">
        <f ca="1">IF(ISNUMBER(MATCH(DATEVALUE($A168),'changes1_based on steps'!L$1:L$400,0)),L$2,)</f>
        <v>0</v>
      </c>
      <c r="M168" s="179">
        <f ca="1">IF(ISNUMBER(MATCH(DATEVALUE($A168),'changes1_based on steps'!M$1:M$400,0)),M$2,)</f>
        <v>0</v>
      </c>
      <c r="N168" s="179">
        <f ca="1">IF(ISNUMBER(MATCH(DATEVALUE($A168),'changes1_based on steps'!N$1:N$400,0)),N$2,)</f>
        <v>0</v>
      </c>
      <c r="O168" s="179">
        <f ca="1">IF(ISNUMBER(MATCH(DATEVALUE($A168),'changes1_based on steps'!O$1:O$400,0)),O$2,)</f>
        <v>0</v>
      </c>
      <c r="P168" s="179">
        <f ca="1">IF(ISNUMBER(MATCH(DATEVALUE($A168),'changes1_based on steps'!P$1:P$400,0)),P$2,)</f>
        <v>0</v>
      </c>
      <c r="Q168" s="179">
        <f ca="1">IF(ISNUMBER(MATCH(DATEVALUE($A168),'changes1_based on steps'!Q$1:Q$400,0)),Q$2,)</f>
        <v>0</v>
      </c>
      <c r="R168" s="179">
        <f ca="1">IF(ISNUMBER(MATCH(DATEVALUE($A168),'changes1_based on steps'!R$1:R$400,0)),R$2,)</f>
        <v>0</v>
      </c>
      <c r="S168" s="179">
        <f ca="1">IF(ISNUMBER(MATCH(DATEVALUE($A168),'changes1_based on steps'!S$1:S$400,0)),S$2,)</f>
        <v>0</v>
      </c>
      <c r="T168" s="179">
        <f ca="1">IF(ISNUMBER(MATCH(DATEVALUE($A168),'changes1_based on steps'!T$1:T$400,0)),T$2,)</f>
        <v>0</v>
      </c>
      <c r="U168" s="179">
        <f ca="1">IF(ISNUMBER(MATCH(DATEVALUE($A168),'changes1_based on steps'!U$1:U$400,0)),U$2,)</f>
        <v>0</v>
      </c>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row>
    <row r="169" spans="1:101" x14ac:dyDescent="0.2">
      <c r="A169" s="32" t="str">
        <f t="shared" ca="1" si="2"/>
        <v>2025-09-11</v>
      </c>
      <c r="B169" s="179">
        <f ca="1">IF(ISNUMBER(MATCH(DATEVALUE($A169),'changes1_based on steps'!B$1:B$400,0)),B$2,)</f>
        <v>0</v>
      </c>
      <c r="C169" s="179">
        <f ca="1">IF(ISNUMBER(MATCH(DATEVALUE($A169),'changes1_based on steps'!C$1:C$400,0)),C$2,)</f>
        <v>0</v>
      </c>
      <c r="D169" s="179">
        <f ca="1">IF(ISNUMBER(MATCH(DATEVALUE($A169),'changes1_based on steps'!D$1:D$400,0)),D$2,)</f>
        <v>0</v>
      </c>
      <c r="E169" s="179">
        <f ca="1">IF(ISNUMBER(MATCH(DATEVALUE($A169),'changes1_based on steps'!E$1:E$400,0)),E$2,)</f>
        <v>0</v>
      </c>
      <c r="F169" s="179">
        <f ca="1">IF(ISNUMBER(MATCH(DATEVALUE($A169),'changes1_based on steps'!F$1:F$400,0)),F$2,)</f>
        <v>0</v>
      </c>
      <c r="G169" s="179">
        <f ca="1">IF(ISNUMBER(MATCH(DATEVALUE($A169),'changes1_based on steps'!G$1:G$400,0)),G$2,)</f>
        <v>0</v>
      </c>
      <c r="H169" s="179">
        <f ca="1">IF(ISNUMBER(MATCH(DATEVALUE($A169),'changes1_based on steps'!H$1:H$400,0)),H$2,)</f>
        <v>0</v>
      </c>
      <c r="I169" s="179">
        <f ca="1">IF(ISNUMBER(MATCH(DATEVALUE($A169),'changes1_based on steps'!I$1:I$400,0)),I$2,)</f>
        <v>0</v>
      </c>
      <c r="J169" s="179">
        <f ca="1">IF(ISNUMBER(MATCH(DATEVALUE($A169),'changes1_based on steps'!J$1:J$400,0)),J$2,)</f>
        <v>0</v>
      </c>
      <c r="K169" s="179">
        <f ca="1">IF(ISNUMBER(MATCH(DATEVALUE($A169),'changes1_based on steps'!K$1:K$400,0)),K$2,)</f>
        <v>0</v>
      </c>
      <c r="L169" s="179">
        <f ca="1">IF(ISNUMBER(MATCH(DATEVALUE($A169),'changes1_based on steps'!L$1:L$400,0)),L$2,)</f>
        <v>0</v>
      </c>
      <c r="M169" s="179">
        <f ca="1">IF(ISNUMBER(MATCH(DATEVALUE($A169),'changes1_based on steps'!M$1:M$400,0)),M$2,)</f>
        <v>0</v>
      </c>
      <c r="N169" s="179">
        <f ca="1">IF(ISNUMBER(MATCH(DATEVALUE($A169),'changes1_based on steps'!N$1:N$400,0)),N$2,)</f>
        <v>0</v>
      </c>
      <c r="O169" s="179">
        <f ca="1">IF(ISNUMBER(MATCH(DATEVALUE($A169),'changes1_based on steps'!O$1:O$400,0)),O$2,)</f>
        <v>0</v>
      </c>
      <c r="P169" s="179">
        <f ca="1">IF(ISNUMBER(MATCH(DATEVALUE($A169),'changes1_based on steps'!P$1:P$400,0)),P$2,)</f>
        <v>0</v>
      </c>
      <c r="Q169" s="179">
        <f ca="1">IF(ISNUMBER(MATCH(DATEVALUE($A169),'changes1_based on steps'!Q$1:Q$400,0)),Q$2,)</f>
        <v>0</v>
      </c>
      <c r="R169" s="179">
        <f ca="1">IF(ISNUMBER(MATCH(DATEVALUE($A169),'changes1_based on steps'!R$1:R$400,0)),R$2,)</f>
        <v>0</v>
      </c>
      <c r="S169" s="179">
        <f ca="1">IF(ISNUMBER(MATCH(DATEVALUE($A169),'changes1_based on steps'!S$1:S$400,0)),S$2,)</f>
        <v>0</v>
      </c>
      <c r="T169" s="179">
        <f ca="1">IF(ISNUMBER(MATCH(DATEVALUE($A169),'changes1_based on steps'!T$1:T$400,0)),T$2,)</f>
        <v>0</v>
      </c>
      <c r="U169" s="179">
        <f ca="1">IF(ISNUMBER(MATCH(DATEVALUE($A169),'changes1_based on steps'!U$1:U$400,0)),U$2,)</f>
        <v>0</v>
      </c>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row>
    <row r="170" spans="1:101" x14ac:dyDescent="0.2">
      <c r="A170" s="32" t="str">
        <f t="shared" ca="1" si="2"/>
        <v>2025-09-12</v>
      </c>
      <c r="B170" s="179">
        <f ca="1">IF(ISNUMBER(MATCH(DATEVALUE($A170),'changes1_based on steps'!B$1:B$400,0)),B$2,)</f>
        <v>0</v>
      </c>
      <c r="C170" s="179">
        <f ca="1">IF(ISNUMBER(MATCH(DATEVALUE($A170),'changes1_based on steps'!C$1:C$400,0)),C$2,)</f>
        <v>0</v>
      </c>
      <c r="D170" s="179">
        <f ca="1">IF(ISNUMBER(MATCH(DATEVALUE($A170),'changes1_based on steps'!D$1:D$400,0)),D$2,)</f>
        <v>0</v>
      </c>
      <c r="E170" s="179">
        <f ca="1">IF(ISNUMBER(MATCH(DATEVALUE($A170),'changes1_based on steps'!E$1:E$400,0)),E$2,)</f>
        <v>0</v>
      </c>
      <c r="F170" s="179">
        <f ca="1">IF(ISNUMBER(MATCH(DATEVALUE($A170),'changes1_based on steps'!F$1:F$400,0)),F$2,)</f>
        <v>0</v>
      </c>
      <c r="G170" s="179">
        <f ca="1">IF(ISNUMBER(MATCH(DATEVALUE($A170),'changes1_based on steps'!G$1:G$400,0)),G$2,)</f>
        <v>0</v>
      </c>
      <c r="H170" s="179">
        <f ca="1">IF(ISNUMBER(MATCH(DATEVALUE($A170),'changes1_based on steps'!H$1:H$400,0)),H$2,)</f>
        <v>0</v>
      </c>
      <c r="I170" s="179">
        <f ca="1">IF(ISNUMBER(MATCH(DATEVALUE($A170),'changes1_based on steps'!I$1:I$400,0)),I$2,)</f>
        <v>0</v>
      </c>
      <c r="J170" s="179">
        <f ca="1">IF(ISNUMBER(MATCH(DATEVALUE($A170),'changes1_based on steps'!J$1:J$400,0)),J$2,)</f>
        <v>0</v>
      </c>
      <c r="K170" s="179">
        <f ca="1">IF(ISNUMBER(MATCH(DATEVALUE($A170),'changes1_based on steps'!K$1:K$400,0)),K$2,)</f>
        <v>0</v>
      </c>
      <c r="L170" s="179">
        <f ca="1">IF(ISNUMBER(MATCH(DATEVALUE($A170),'changes1_based on steps'!L$1:L$400,0)),L$2,)</f>
        <v>0</v>
      </c>
      <c r="M170" s="179">
        <f ca="1">IF(ISNUMBER(MATCH(DATEVALUE($A170),'changes1_based on steps'!M$1:M$400,0)),M$2,)</f>
        <v>0</v>
      </c>
      <c r="N170" s="179">
        <f ca="1">IF(ISNUMBER(MATCH(DATEVALUE($A170),'changes1_based on steps'!N$1:N$400,0)),N$2,)</f>
        <v>0</v>
      </c>
      <c r="O170" s="179">
        <f ca="1">IF(ISNUMBER(MATCH(DATEVALUE($A170),'changes1_based on steps'!O$1:O$400,0)),O$2,)</f>
        <v>0</v>
      </c>
      <c r="P170" s="179">
        <f ca="1">IF(ISNUMBER(MATCH(DATEVALUE($A170),'changes1_based on steps'!P$1:P$400,0)),P$2,)</f>
        <v>0</v>
      </c>
      <c r="Q170" s="179">
        <f ca="1">IF(ISNUMBER(MATCH(DATEVALUE($A170),'changes1_based on steps'!Q$1:Q$400,0)),Q$2,)</f>
        <v>0</v>
      </c>
      <c r="R170" s="179">
        <f ca="1">IF(ISNUMBER(MATCH(DATEVALUE($A170),'changes1_based on steps'!R$1:R$400,0)),R$2,)</f>
        <v>0</v>
      </c>
      <c r="S170" s="179">
        <f ca="1">IF(ISNUMBER(MATCH(DATEVALUE($A170),'changes1_based on steps'!S$1:S$400,0)),S$2,)</f>
        <v>0</v>
      </c>
      <c r="T170" s="179">
        <f ca="1">IF(ISNUMBER(MATCH(DATEVALUE($A170),'changes1_based on steps'!T$1:T$400,0)),T$2,)</f>
        <v>0</v>
      </c>
      <c r="U170" s="179">
        <f ca="1">IF(ISNUMBER(MATCH(DATEVALUE($A170),'changes1_based on steps'!U$1:U$400,0)),U$2,)</f>
        <v>0</v>
      </c>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row>
    <row r="171" spans="1:101" x14ac:dyDescent="0.2">
      <c r="A171" s="32" t="str">
        <f t="shared" ca="1" si="2"/>
        <v>2025-09-13</v>
      </c>
      <c r="B171" s="179">
        <f ca="1">IF(ISNUMBER(MATCH(DATEVALUE($A171),'changes1_based on steps'!B$1:B$400,0)),B$2,)</f>
        <v>0</v>
      </c>
      <c r="C171" s="179">
        <f ca="1">IF(ISNUMBER(MATCH(DATEVALUE($A171),'changes1_based on steps'!C$1:C$400,0)),C$2,)</f>
        <v>0</v>
      </c>
      <c r="D171" s="179">
        <f ca="1">IF(ISNUMBER(MATCH(DATEVALUE($A171),'changes1_based on steps'!D$1:D$400,0)),D$2,)</f>
        <v>0</v>
      </c>
      <c r="E171" s="179">
        <f ca="1">IF(ISNUMBER(MATCH(DATEVALUE($A171),'changes1_based on steps'!E$1:E$400,0)),E$2,)</f>
        <v>0</v>
      </c>
      <c r="F171" s="179">
        <f ca="1">IF(ISNUMBER(MATCH(DATEVALUE($A171),'changes1_based on steps'!F$1:F$400,0)),F$2,)</f>
        <v>0</v>
      </c>
      <c r="G171" s="179">
        <f ca="1">IF(ISNUMBER(MATCH(DATEVALUE($A171),'changes1_based on steps'!G$1:G$400,0)),G$2,)</f>
        <v>0</v>
      </c>
      <c r="H171" s="179">
        <f ca="1">IF(ISNUMBER(MATCH(DATEVALUE($A171),'changes1_based on steps'!H$1:H$400,0)),H$2,)</f>
        <v>0</v>
      </c>
      <c r="I171" s="179">
        <f ca="1">IF(ISNUMBER(MATCH(DATEVALUE($A171),'changes1_based on steps'!I$1:I$400,0)),I$2,)</f>
        <v>0</v>
      </c>
      <c r="J171" s="179">
        <f ca="1">IF(ISNUMBER(MATCH(DATEVALUE($A171),'changes1_based on steps'!J$1:J$400,0)),J$2,)</f>
        <v>0</v>
      </c>
      <c r="K171" s="179">
        <f ca="1">IF(ISNUMBER(MATCH(DATEVALUE($A171),'changes1_based on steps'!K$1:K$400,0)),K$2,)</f>
        <v>0</v>
      </c>
      <c r="L171" s="179">
        <f ca="1">IF(ISNUMBER(MATCH(DATEVALUE($A171),'changes1_based on steps'!L$1:L$400,0)),L$2,)</f>
        <v>0</v>
      </c>
      <c r="M171" s="179">
        <f ca="1">IF(ISNUMBER(MATCH(DATEVALUE($A171),'changes1_based on steps'!M$1:M$400,0)),M$2,)</f>
        <v>0</v>
      </c>
      <c r="N171" s="179">
        <f ca="1">IF(ISNUMBER(MATCH(DATEVALUE($A171),'changes1_based on steps'!N$1:N$400,0)),N$2,)</f>
        <v>0</v>
      </c>
      <c r="O171" s="179">
        <f ca="1">IF(ISNUMBER(MATCH(DATEVALUE($A171),'changes1_based on steps'!O$1:O$400,0)),O$2,)</f>
        <v>0</v>
      </c>
      <c r="P171" s="179">
        <f ca="1">IF(ISNUMBER(MATCH(DATEVALUE($A171),'changes1_based on steps'!P$1:P$400,0)),P$2,)</f>
        <v>0</v>
      </c>
      <c r="Q171" s="179">
        <f ca="1">IF(ISNUMBER(MATCH(DATEVALUE($A171),'changes1_based on steps'!Q$1:Q$400,0)),Q$2,)</f>
        <v>0</v>
      </c>
      <c r="R171" s="179">
        <f ca="1">IF(ISNUMBER(MATCH(DATEVALUE($A171),'changes1_based on steps'!R$1:R$400,0)),R$2,)</f>
        <v>0</v>
      </c>
      <c r="S171" s="179">
        <f ca="1">IF(ISNUMBER(MATCH(DATEVALUE($A171),'changes1_based on steps'!S$1:S$400,0)),S$2,)</f>
        <v>0</v>
      </c>
      <c r="T171" s="179">
        <f ca="1">IF(ISNUMBER(MATCH(DATEVALUE($A171),'changes1_based on steps'!T$1:T$400,0)),T$2,)</f>
        <v>0</v>
      </c>
      <c r="U171" s="179">
        <f ca="1">IF(ISNUMBER(MATCH(DATEVALUE($A171),'changes1_based on steps'!U$1:U$400,0)),U$2,)</f>
        <v>0</v>
      </c>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row>
    <row r="172" spans="1:101" x14ac:dyDescent="0.2">
      <c r="A172" s="32" t="str">
        <f t="shared" ca="1" si="2"/>
        <v>2025-09-14</v>
      </c>
      <c r="B172" s="179">
        <f ca="1">IF(ISNUMBER(MATCH(DATEVALUE($A172),'changes1_based on steps'!B$1:B$400,0)),B$2,)</f>
        <v>0</v>
      </c>
      <c r="C172" s="179">
        <f ca="1">IF(ISNUMBER(MATCH(DATEVALUE($A172),'changes1_based on steps'!C$1:C$400,0)),C$2,)</f>
        <v>0</v>
      </c>
      <c r="D172" s="179">
        <f ca="1">IF(ISNUMBER(MATCH(DATEVALUE($A172),'changes1_based on steps'!D$1:D$400,0)),D$2,)</f>
        <v>0</v>
      </c>
      <c r="E172" s="179">
        <f ca="1">IF(ISNUMBER(MATCH(DATEVALUE($A172),'changes1_based on steps'!E$1:E$400,0)),E$2,)</f>
        <v>0</v>
      </c>
      <c r="F172" s="179">
        <f ca="1">IF(ISNUMBER(MATCH(DATEVALUE($A172),'changes1_based on steps'!F$1:F$400,0)),F$2,)</f>
        <v>0</v>
      </c>
      <c r="G172" s="179">
        <f ca="1">IF(ISNUMBER(MATCH(DATEVALUE($A172),'changes1_based on steps'!G$1:G$400,0)),G$2,)</f>
        <v>0</v>
      </c>
      <c r="H172" s="179">
        <f ca="1">IF(ISNUMBER(MATCH(DATEVALUE($A172),'changes1_based on steps'!H$1:H$400,0)),H$2,)</f>
        <v>0</v>
      </c>
      <c r="I172" s="179">
        <f ca="1">IF(ISNUMBER(MATCH(DATEVALUE($A172),'changes1_based on steps'!I$1:I$400,0)),I$2,)</f>
        <v>0</v>
      </c>
      <c r="J172" s="179">
        <f ca="1">IF(ISNUMBER(MATCH(DATEVALUE($A172),'changes1_based on steps'!J$1:J$400,0)),J$2,)</f>
        <v>0</v>
      </c>
      <c r="K172" s="179">
        <f ca="1">IF(ISNUMBER(MATCH(DATEVALUE($A172),'changes1_based on steps'!K$1:K$400,0)),K$2,)</f>
        <v>0</v>
      </c>
      <c r="L172" s="179">
        <f ca="1">IF(ISNUMBER(MATCH(DATEVALUE($A172),'changes1_based on steps'!L$1:L$400,0)),L$2,)</f>
        <v>0</v>
      </c>
      <c r="M172" s="179">
        <f ca="1">IF(ISNUMBER(MATCH(DATEVALUE($A172),'changes1_based on steps'!M$1:M$400,0)),M$2,)</f>
        <v>0</v>
      </c>
      <c r="N172" s="179">
        <f ca="1">IF(ISNUMBER(MATCH(DATEVALUE($A172),'changes1_based on steps'!N$1:N$400,0)),N$2,)</f>
        <v>0</v>
      </c>
      <c r="O172" s="179">
        <f ca="1">IF(ISNUMBER(MATCH(DATEVALUE($A172),'changes1_based on steps'!O$1:O$400,0)),O$2,)</f>
        <v>0</v>
      </c>
      <c r="P172" s="179">
        <f ca="1">IF(ISNUMBER(MATCH(DATEVALUE($A172),'changes1_based on steps'!P$1:P$400,0)),P$2,)</f>
        <v>0</v>
      </c>
      <c r="Q172" s="179">
        <f ca="1">IF(ISNUMBER(MATCH(DATEVALUE($A172),'changes1_based on steps'!Q$1:Q$400,0)),Q$2,)</f>
        <v>0</v>
      </c>
      <c r="R172" s="179">
        <f ca="1">IF(ISNUMBER(MATCH(DATEVALUE($A172),'changes1_based on steps'!R$1:R$400,0)),R$2,)</f>
        <v>0</v>
      </c>
      <c r="S172" s="179">
        <f ca="1">IF(ISNUMBER(MATCH(DATEVALUE($A172),'changes1_based on steps'!S$1:S$400,0)),S$2,)</f>
        <v>0</v>
      </c>
      <c r="T172" s="179">
        <f ca="1">IF(ISNUMBER(MATCH(DATEVALUE($A172),'changes1_based on steps'!T$1:T$400,0)),T$2,)</f>
        <v>0</v>
      </c>
      <c r="U172" s="179">
        <f ca="1">IF(ISNUMBER(MATCH(DATEVALUE($A172),'changes1_based on steps'!U$1:U$400,0)),U$2,)</f>
        <v>0</v>
      </c>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row>
    <row r="173" spans="1:101" x14ac:dyDescent="0.2">
      <c r="A173" s="32" t="str">
        <f t="shared" ca="1" si="2"/>
        <v>2025-09-15</v>
      </c>
      <c r="B173" s="179">
        <f ca="1">IF(ISNUMBER(MATCH(DATEVALUE($A173),'changes1_based on steps'!B$1:B$400,0)),B$2,)</f>
        <v>0</v>
      </c>
      <c r="C173" s="179">
        <f ca="1">IF(ISNUMBER(MATCH(DATEVALUE($A173),'changes1_based on steps'!C$1:C$400,0)),C$2,)</f>
        <v>0</v>
      </c>
      <c r="D173" s="179">
        <f ca="1">IF(ISNUMBER(MATCH(DATEVALUE($A173),'changes1_based on steps'!D$1:D$400,0)),D$2,)</f>
        <v>0</v>
      </c>
      <c r="E173" s="179">
        <f ca="1">IF(ISNUMBER(MATCH(DATEVALUE($A173),'changes1_based on steps'!E$1:E$400,0)),E$2,)</f>
        <v>0</v>
      </c>
      <c r="F173" s="179">
        <f ca="1">IF(ISNUMBER(MATCH(DATEVALUE($A173),'changes1_based on steps'!F$1:F$400,0)),F$2,)</f>
        <v>0</v>
      </c>
      <c r="G173" s="179">
        <f ca="1">IF(ISNUMBER(MATCH(DATEVALUE($A173),'changes1_based on steps'!G$1:G$400,0)),G$2,)</f>
        <v>0</v>
      </c>
      <c r="H173" s="179">
        <f ca="1">IF(ISNUMBER(MATCH(DATEVALUE($A173),'changes1_based on steps'!H$1:H$400,0)),H$2,)</f>
        <v>0</v>
      </c>
      <c r="I173" s="179">
        <f ca="1">IF(ISNUMBER(MATCH(DATEVALUE($A173),'changes1_based on steps'!I$1:I$400,0)),I$2,)</f>
        <v>0</v>
      </c>
      <c r="J173" s="179">
        <f ca="1">IF(ISNUMBER(MATCH(DATEVALUE($A173),'changes1_based on steps'!J$1:J$400,0)),J$2,)</f>
        <v>0</v>
      </c>
      <c r="K173" s="179">
        <f ca="1">IF(ISNUMBER(MATCH(DATEVALUE($A173),'changes1_based on steps'!K$1:K$400,0)),K$2,)</f>
        <v>0</v>
      </c>
      <c r="L173" s="179">
        <f ca="1">IF(ISNUMBER(MATCH(DATEVALUE($A173),'changes1_based on steps'!L$1:L$400,0)),L$2,)</f>
        <v>0</v>
      </c>
      <c r="M173" s="179">
        <f ca="1">IF(ISNUMBER(MATCH(DATEVALUE($A173),'changes1_based on steps'!M$1:M$400,0)),M$2,)</f>
        <v>0</v>
      </c>
      <c r="N173" s="179">
        <f ca="1">IF(ISNUMBER(MATCH(DATEVALUE($A173),'changes1_based on steps'!N$1:N$400,0)),N$2,)</f>
        <v>0</v>
      </c>
      <c r="O173" s="179">
        <f ca="1">IF(ISNUMBER(MATCH(DATEVALUE($A173),'changes1_based on steps'!O$1:O$400,0)),O$2,)</f>
        <v>0</v>
      </c>
      <c r="P173" s="179">
        <f ca="1">IF(ISNUMBER(MATCH(DATEVALUE($A173),'changes1_based on steps'!P$1:P$400,0)),P$2,)</f>
        <v>0</v>
      </c>
      <c r="Q173" s="179">
        <f ca="1">IF(ISNUMBER(MATCH(DATEVALUE($A173),'changes1_based on steps'!Q$1:Q$400,0)),Q$2,)</f>
        <v>0</v>
      </c>
      <c r="R173" s="179">
        <f ca="1">IF(ISNUMBER(MATCH(DATEVALUE($A173),'changes1_based on steps'!R$1:R$400,0)),R$2,)</f>
        <v>0</v>
      </c>
      <c r="S173" s="179">
        <f ca="1">IF(ISNUMBER(MATCH(DATEVALUE($A173),'changes1_based on steps'!S$1:S$400,0)),S$2,)</f>
        <v>0</v>
      </c>
      <c r="T173" s="179">
        <f ca="1">IF(ISNUMBER(MATCH(DATEVALUE($A173),'changes1_based on steps'!T$1:T$400,0)),T$2,)</f>
        <v>0</v>
      </c>
      <c r="U173" s="179">
        <f ca="1">IF(ISNUMBER(MATCH(DATEVALUE($A173),'changes1_based on steps'!U$1:U$400,0)),U$2,)</f>
        <v>0</v>
      </c>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row>
    <row r="174" spans="1:101" x14ac:dyDescent="0.2">
      <c r="A174" s="32" t="str">
        <f t="shared" ca="1" si="2"/>
        <v>2025-09-16</v>
      </c>
      <c r="B174" s="179">
        <f ca="1">IF(ISNUMBER(MATCH(DATEVALUE($A174),'changes1_based on steps'!B$1:B$400,0)),B$2,)</f>
        <v>0</v>
      </c>
      <c r="C174" s="179">
        <f ca="1">IF(ISNUMBER(MATCH(DATEVALUE($A174),'changes1_based on steps'!C$1:C$400,0)),C$2,)</f>
        <v>0</v>
      </c>
      <c r="D174" s="179">
        <f ca="1">IF(ISNUMBER(MATCH(DATEVALUE($A174),'changes1_based on steps'!D$1:D$400,0)),D$2,)</f>
        <v>0</v>
      </c>
      <c r="E174" s="179">
        <f ca="1">IF(ISNUMBER(MATCH(DATEVALUE($A174),'changes1_based on steps'!E$1:E$400,0)),E$2,)</f>
        <v>0</v>
      </c>
      <c r="F174" s="179">
        <f ca="1">IF(ISNUMBER(MATCH(DATEVALUE($A174),'changes1_based on steps'!F$1:F$400,0)),F$2,)</f>
        <v>0</v>
      </c>
      <c r="G174" s="179">
        <f ca="1">IF(ISNUMBER(MATCH(DATEVALUE($A174),'changes1_based on steps'!G$1:G$400,0)),G$2,)</f>
        <v>0</v>
      </c>
      <c r="H174" s="179">
        <f ca="1">IF(ISNUMBER(MATCH(DATEVALUE($A174),'changes1_based on steps'!H$1:H$400,0)),H$2,)</f>
        <v>0</v>
      </c>
      <c r="I174" s="179">
        <f ca="1">IF(ISNUMBER(MATCH(DATEVALUE($A174),'changes1_based on steps'!I$1:I$400,0)),I$2,)</f>
        <v>0</v>
      </c>
      <c r="J174" s="179">
        <f ca="1">IF(ISNUMBER(MATCH(DATEVALUE($A174),'changes1_based on steps'!J$1:J$400,0)),J$2,)</f>
        <v>0</v>
      </c>
      <c r="K174" s="179">
        <f ca="1">IF(ISNUMBER(MATCH(DATEVALUE($A174),'changes1_based on steps'!K$1:K$400,0)),K$2,)</f>
        <v>0</v>
      </c>
      <c r="L174" s="179">
        <f ca="1">IF(ISNUMBER(MATCH(DATEVALUE($A174),'changes1_based on steps'!L$1:L$400,0)),L$2,)</f>
        <v>0</v>
      </c>
      <c r="M174" s="179">
        <f ca="1">IF(ISNUMBER(MATCH(DATEVALUE($A174),'changes1_based on steps'!M$1:M$400,0)),M$2,)</f>
        <v>0</v>
      </c>
      <c r="N174" s="179">
        <f ca="1">IF(ISNUMBER(MATCH(DATEVALUE($A174),'changes1_based on steps'!N$1:N$400,0)),N$2,)</f>
        <v>0</v>
      </c>
      <c r="O174" s="179">
        <f ca="1">IF(ISNUMBER(MATCH(DATEVALUE($A174),'changes1_based on steps'!O$1:O$400,0)),O$2,)</f>
        <v>0</v>
      </c>
      <c r="P174" s="179">
        <f ca="1">IF(ISNUMBER(MATCH(DATEVALUE($A174),'changes1_based on steps'!P$1:P$400,0)),P$2,)</f>
        <v>0</v>
      </c>
      <c r="Q174" s="179">
        <f ca="1">IF(ISNUMBER(MATCH(DATEVALUE($A174),'changes1_based on steps'!Q$1:Q$400,0)),Q$2,)</f>
        <v>0</v>
      </c>
      <c r="R174" s="179">
        <f ca="1">IF(ISNUMBER(MATCH(DATEVALUE($A174),'changes1_based on steps'!R$1:R$400,0)),R$2,)</f>
        <v>0</v>
      </c>
      <c r="S174" s="179">
        <f ca="1">IF(ISNUMBER(MATCH(DATEVALUE($A174),'changes1_based on steps'!S$1:S$400,0)),S$2,)</f>
        <v>0</v>
      </c>
      <c r="T174" s="179">
        <f ca="1">IF(ISNUMBER(MATCH(DATEVALUE($A174),'changes1_based on steps'!T$1:T$400,0)),T$2,)</f>
        <v>0</v>
      </c>
      <c r="U174" s="179">
        <f ca="1">IF(ISNUMBER(MATCH(DATEVALUE($A174),'changes1_based on steps'!U$1:U$400,0)),U$2,)</f>
        <v>0</v>
      </c>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row>
    <row r="175" spans="1:101" x14ac:dyDescent="0.2">
      <c r="A175" s="32" t="str">
        <f t="shared" ca="1" si="2"/>
        <v>2025-09-17</v>
      </c>
      <c r="B175" s="179">
        <f ca="1">IF(ISNUMBER(MATCH(DATEVALUE($A175),'changes1_based on steps'!B$1:B$400,0)),B$2,)</f>
        <v>0</v>
      </c>
      <c r="C175" s="179">
        <f ca="1">IF(ISNUMBER(MATCH(DATEVALUE($A175),'changes1_based on steps'!C$1:C$400,0)),C$2,)</f>
        <v>0</v>
      </c>
      <c r="D175" s="179">
        <f ca="1">IF(ISNUMBER(MATCH(DATEVALUE($A175),'changes1_based on steps'!D$1:D$400,0)),D$2,)</f>
        <v>0</v>
      </c>
      <c r="E175" s="179">
        <f ca="1">IF(ISNUMBER(MATCH(DATEVALUE($A175),'changes1_based on steps'!E$1:E$400,0)),E$2,)</f>
        <v>0</v>
      </c>
      <c r="F175" s="179">
        <f ca="1">IF(ISNUMBER(MATCH(DATEVALUE($A175),'changes1_based on steps'!F$1:F$400,0)),F$2,)</f>
        <v>0</v>
      </c>
      <c r="G175" s="179">
        <f ca="1">IF(ISNUMBER(MATCH(DATEVALUE($A175),'changes1_based on steps'!G$1:G$400,0)),G$2,)</f>
        <v>0</v>
      </c>
      <c r="H175" s="179">
        <f ca="1">IF(ISNUMBER(MATCH(DATEVALUE($A175),'changes1_based on steps'!H$1:H$400,0)),H$2,)</f>
        <v>0</v>
      </c>
      <c r="I175" s="179">
        <f ca="1">IF(ISNUMBER(MATCH(DATEVALUE($A175),'changes1_based on steps'!I$1:I$400,0)),I$2,)</f>
        <v>0</v>
      </c>
      <c r="J175" s="179">
        <f ca="1">IF(ISNUMBER(MATCH(DATEVALUE($A175),'changes1_based on steps'!J$1:J$400,0)),J$2,)</f>
        <v>0</v>
      </c>
      <c r="K175" s="179">
        <f ca="1">IF(ISNUMBER(MATCH(DATEVALUE($A175),'changes1_based on steps'!K$1:K$400,0)),K$2,)</f>
        <v>0</v>
      </c>
      <c r="L175" s="179">
        <f ca="1">IF(ISNUMBER(MATCH(DATEVALUE($A175),'changes1_based on steps'!L$1:L$400,0)),L$2,)</f>
        <v>0</v>
      </c>
      <c r="M175" s="179">
        <f ca="1">IF(ISNUMBER(MATCH(DATEVALUE($A175),'changes1_based on steps'!M$1:M$400,0)),M$2,)</f>
        <v>0</v>
      </c>
      <c r="N175" s="179">
        <f ca="1">IF(ISNUMBER(MATCH(DATEVALUE($A175),'changes1_based on steps'!N$1:N$400,0)),N$2,)</f>
        <v>0</v>
      </c>
      <c r="O175" s="179">
        <f ca="1">IF(ISNUMBER(MATCH(DATEVALUE($A175),'changes1_based on steps'!O$1:O$400,0)),O$2,)</f>
        <v>0</v>
      </c>
      <c r="P175" s="179">
        <f ca="1">IF(ISNUMBER(MATCH(DATEVALUE($A175),'changes1_based on steps'!P$1:P$400,0)),P$2,)</f>
        <v>0</v>
      </c>
      <c r="Q175" s="179">
        <f ca="1">IF(ISNUMBER(MATCH(DATEVALUE($A175),'changes1_based on steps'!Q$1:Q$400,0)),Q$2,)</f>
        <v>0</v>
      </c>
      <c r="R175" s="179">
        <f ca="1">IF(ISNUMBER(MATCH(DATEVALUE($A175),'changes1_based on steps'!R$1:R$400,0)),R$2,)</f>
        <v>0</v>
      </c>
      <c r="S175" s="179">
        <f ca="1">IF(ISNUMBER(MATCH(DATEVALUE($A175),'changes1_based on steps'!S$1:S$400,0)),S$2,)</f>
        <v>0</v>
      </c>
      <c r="T175" s="179">
        <f ca="1">IF(ISNUMBER(MATCH(DATEVALUE($A175),'changes1_based on steps'!T$1:T$400,0)),T$2,)</f>
        <v>0</v>
      </c>
      <c r="U175" s="179">
        <f ca="1">IF(ISNUMBER(MATCH(DATEVALUE($A175),'changes1_based on steps'!U$1:U$400,0)),U$2,)</f>
        <v>0</v>
      </c>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row>
    <row r="176" spans="1:101" x14ac:dyDescent="0.2">
      <c r="A176" s="32" t="str">
        <f t="shared" ca="1" si="2"/>
        <v>2025-09-18</v>
      </c>
      <c r="B176" s="179">
        <f ca="1">IF(ISNUMBER(MATCH(DATEVALUE($A176),'changes1_based on steps'!B$1:B$400,0)),B$2,)</f>
        <v>0</v>
      </c>
      <c r="C176" s="179">
        <f ca="1">IF(ISNUMBER(MATCH(DATEVALUE($A176),'changes1_based on steps'!C$1:C$400,0)),C$2,)</f>
        <v>0</v>
      </c>
      <c r="D176" s="179">
        <f ca="1">IF(ISNUMBER(MATCH(DATEVALUE($A176),'changes1_based on steps'!D$1:D$400,0)),D$2,)</f>
        <v>0</v>
      </c>
      <c r="E176" s="179">
        <f ca="1">IF(ISNUMBER(MATCH(DATEVALUE($A176),'changes1_based on steps'!E$1:E$400,0)),E$2,)</f>
        <v>0</v>
      </c>
      <c r="F176" s="179">
        <f ca="1">IF(ISNUMBER(MATCH(DATEVALUE($A176),'changes1_based on steps'!F$1:F$400,0)),F$2,)</f>
        <v>0</v>
      </c>
      <c r="G176" s="179">
        <f ca="1">IF(ISNUMBER(MATCH(DATEVALUE($A176),'changes1_based on steps'!G$1:G$400,0)),G$2,)</f>
        <v>0</v>
      </c>
      <c r="H176" s="179">
        <f ca="1">IF(ISNUMBER(MATCH(DATEVALUE($A176),'changes1_based on steps'!H$1:H$400,0)),H$2,)</f>
        <v>0</v>
      </c>
      <c r="I176" s="179">
        <f ca="1">IF(ISNUMBER(MATCH(DATEVALUE($A176),'changes1_based on steps'!I$1:I$400,0)),I$2,)</f>
        <v>0</v>
      </c>
      <c r="J176" s="179">
        <f ca="1">IF(ISNUMBER(MATCH(DATEVALUE($A176),'changes1_based on steps'!J$1:J$400,0)),J$2,)</f>
        <v>0</v>
      </c>
      <c r="K176" s="179">
        <f ca="1">IF(ISNUMBER(MATCH(DATEVALUE($A176),'changes1_based on steps'!K$1:K$400,0)),K$2,)</f>
        <v>0</v>
      </c>
      <c r="L176" s="179">
        <f ca="1">IF(ISNUMBER(MATCH(DATEVALUE($A176),'changes1_based on steps'!L$1:L$400,0)),L$2,)</f>
        <v>0</v>
      </c>
      <c r="M176" s="179">
        <f ca="1">IF(ISNUMBER(MATCH(DATEVALUE($A176),'changes1_based on steps'!M$1:M$400,0)),M$2,)</f>
        <v>0</v>
      </c>
      <c r="N176" s="179">
        <f ca="1">IF(ISNUMBER(MATCH(DATEVALUE($A176),'changes1_based on steps'!N$1:N$400,0)),N$2,)</f>
        <v>0</v>
      </c>
      <c r="O176" s="179">
        <f ca="1">IF(ISNUMBER(MATCH(DATEVALUE($A176),'changes1_based on steps'!O$1:O$400,0)),O$2,)</f>
        <v>0</v>
      </c>
      <c r="P176" s="179">
        <f ca="1">IF(ISNUMBER(MATCH(DATEVALUE($A176),'changes1_based on steps'!P$1:P$400,0)),P$2,)</f>
        <v>0</v>
      </c>
      <c r="Q176" s="179">
        <f ca="1">IF(ISNUMBER(MATCH(DATEVALUE($A176),'changes1_based on steps'!Q$1:Q$400,0)),Q$2,)</f>
        <v>0</v>
      </c>
      <c r="R176" s="179">
        <f ca="1">IF(ISNUMBER(MATCH(DATEVALUE($A176),'changes1_based on steps'!R$1:R$400,0)),R$2,)</f>
        <v>0</v>
      </c>
      <c r="S176" s="179">
        <f ca="1">IF(ISNUMBER(MATCH(DATEVALUE($A176),'changes1_based on steps'!S$1:S$400,0)),S$2,)</f>
        <v>0</v>
      </c>
      <c r="T176" s="179">
        <f ca="1">IF(ISNUMBER(MATCH(DATEVALUE($A176),'changes1_based on steps'!T$1:T$400,0)),T$2,)</f>
        <v>0</v>
      </c>
      <c r="U176" s="179">
        <f ca="1">IF(ISNUMBER(MATCH(DATEVALUE($A176),'changes1_based on steps'!U$1:U$400,0)),U$2,)</f>
        <v>0</v>
      </c>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row>
    <row r="177" spans="1:101" x14ac:dyDescent="0.2">
      <c r="A177" s="32" t="str">
        <f t="shared" ca="1" si="2"/>
        <v>2025-09-19</v>
      </c>
      <c r="B177" s="179">
        <f ca="1">IF(ISNUMBER(MATCH(DATEVALUE($A177),'changes1_based on steps'!B$1:B$400,0)),B$2,)</f>
        <v>0</v>
      </c>
      <c r="C177" s="179">
        <f ca="1">IF(ISNUMBER(MATCH(DATEVALUE($A177),'changes1_based on steps'!C$1:C$400,0)),C$2,)</f>
        <v>0</v>
      </c>
      <c r="D177" s="179">
        <f ca="1">IF(ISNUMBER(MATCH(DATEVALUE($A177),'changes1_based on steps'!D$1:D$400,0)),D$2,)</f>
        <v>0</v>
      </c>
      <c r="E177" s="179">
        <f ca="1">IF(ISNUMBER(MATCH(DATEVALUE($A177),'changes1_based on steps'!E$1:E$400,0)),E$2,)</f>
        <v>0</v>
      </c>
      <c r="F177" s="179">
        <f ca="1">IF(ISNUMBER(MATCH(DATEVALUE($A177),'changes1_based on steps'!F$1:F$400,0)),F$2,)</f>
        <v>0</v>
      </c>
      <c r="G177" s="179">
        <f ca="1">IF(ISNUMBER(MATCH(DATEVALUE($A177),'changes1_based on steps'!G$1:G$400,0)),G$2,)</f>
        <v>0</v>
      </c>
      <c r="H177" s="179">
        <f ca="1">IF(ISNUMBER(MATCH(DATEVALUE($A177),'changes1_based on steps'!H$1:H$400,0)),H$2,)</f>
        <v>0</v>
      </c>
      <c r="I177" s="179">
        <f ca="1">IF(ISNUMBER(MATCH(DATEVALUE($A177),'changes1_based on steps'!I$1:I$400,0)),I$2,)</f>
        <v>0</v>
      </c>
      <c r="J177" s="179">
        <f ca="1">IF(ISNUMBER(MATCH(DATEVALUE($A177),'changes1_based on steps'!J$1:J$400,0)),J$2,)</f>
        <v>0</v>
      </c>
      <c r="K177" s="179">
        <f ca="1">IF(ISNUMBER(MATCH(DATEVALUE($A177),'changes1_based on steps'!K$1:K$400,0)),K$2,)</f>
        <v>0</v>
      </c>
      <c r="L177" s="179">
        <f ca="1">IF(ISNUMBER(MATCH(DATEVALUE($A177),'changes1_based on steps'!L$1:L$400,0)),L$2,)</f>
        <v>0</v>
      </c>
      <c r="M177" s="179">
        <f ca="1">IF(ISNUMBER(MATCH(DATEVALUE($A177),'changes1_based on steps'!M$1:M$400,0)),M$2,)</f>
        <v>0</v>
      </c>
      <c r="N177" s="179">
        <f ca="1">IF(ISNUMBER(MATCH(DATEVALUE($A177),'changes1_based on steps'!N$1:N$400,0)),N$2,)</f>
        <v>0</v>
      </c>
      <c r="O177" s="179">
        <f ca="1">IF(ISNUMBER(MATCH(DATEVALUE($A177),'changes1_based on steps'!O$1:O$400,0)),O$2,)</f>
        <v>0</v>
      </c>
      <c r="P177" s="179">
        <f ca="1">IF(ISNUMBER(MATCH(DATEVALUE($A177),'changes1_based on steps'!P$1:P$400,0)),P$2,)</f>
        <v>0</v>
      </c>
      <c r="Q177" s="179">
        <f ca="1">IF(ISNUMBER(MATCH(DATEVALUE($A177),'changes1_based on steps'!Q$1:Q$400,0)),Q$2,)</f>
        <v>0</v>
      </c>
      <c r="R177" s="179">
        <f ca="1">IF(ISNUMBER(MATCH(DATEVALUE($A177),'changes1_based on steps'!R$1:R$400,0)),R$2,)</f>
        <v>0</v>
      </c>
      <c r="S177" s="179">
        <f ca="1">IF(ISNUMBER(MATCH(DATEVALUE($A177),'changes1_based on steps'!S$1:S$400,0)),S$2,)</f>
        <v>0</v>
      </c>
      <c r="T177" s="179">
        <f ca="1">IF(ISNUMBER(MATCH(DATEVALUE($A177),'changes1_based on steps'!T$1:T$400,0)),T$2,)</f>
        <v>0</v>
      </c>
      <c r="U177" s="179">
        <f ca="1">IF(ISNUMBER(MATCH(DATEVALUE($A177),'changes1_based on steps'!U$1:U$400,0)),U$2,)</f>
        <v>0</v>
      </c>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79"/>
      <c r="BM177" s="179"/>
      <c r="BN177" s="179"/>
      <c r="BO177" s="179"/>
      <c r="BP177" s="179"/>
      <c r="BQ177" s="179"/>
      <c r="BR177" s="179"/>
      <c r="BS177" s="179"/>
      <c r="BT177" s="179"/>
      <c r="BU177" s="179"/>
      <c r="BV177" s="179"/>
      <c r="BW177" s="179"/>
      <c r="BX177" s="179"/>
      <c r="BY177" s="179"/>
      <c r="BZ177" s="179"/>
      <c r="CA177" s="179"/>
      <c r="CB177" s="179"/>
      <c r="CC177" s="179"/>
      <c r="CD177" s="179"/>
      <c r="CE177" s="179"/>
      <c r="CF177" s="179"/>
      <c r="CG177" s="179"/>
      <c r="CH177" s="179"/>
      <c r="CI177" s="179"/>
      <c r="CJ177" s="179"/>
      <c r="CK177" s="179"/>
      <c r="CL177" s="179"/>
      <c r="CM177" s="179"/>
      <c r="CN177" s="179"/>
      <c r="CO177" s="179"/>
      <c r="CP177" s="179"/>
      <c r="CQ177" s="179"/>
      <c r="CR177" s="179"/>
      <c r="CS177" s="179"/>
      <c r="CT177" s="179"/>
      <c r="CU177" s="179"/>
      <c r="CV177" s="179"/>
      <c r="CW177" s="179"/>
    </row>
    <row r="178" spans="1:101" x14ac:dyDescent="0.2">
      <c r="A178" s="32" t="str">
        <f t="shared" ca="1" si="2"/>
        <v>2025-09-20</v>
      </c>
      <c r="B178" s="179">
        <f ca="1">IF(ISNUMBER(MATCH(DATEVALUE($A178),'changes1_based on steps'!B$1:B$400,0)),B$2,)</f>
        <v>0</v>
      </c>
      <c r="C178" s="179">
        <f ca="1">IF(ISNUMBER(MATCH(DATEVALUE($A178),'changes1_based on steps'!C$1:C$400,0)),C$2,)</f>
        <v>0</v>
      </c>
      <c r="D178" s="179">
        <f ca="1">IF(ISNUMBER(MATCH(DATEVALUE($A178),'changes1_based on steps'!D$1:D$400,0)),D$2,)</f>
        <v>0</v>
      </c>
      <c r="E178" s="179">
        <f ca="1">IF(ISNUMBER(MATCH(DATEVALUE($A178),'changes1_based on steps'!E$1:E$400,0)),E$2,)</f>
        <v>0</v>
      </c>
      <c r="F178" s="179">
        <f ca="1">IF(ISNUMBER(MATCH(DATEVALUE($A178),'changes1_based on steps'!F$1:F$400,0)),F$2,)</f>
        <v>0</v>
      </c>
      <c r="G178" s="179">
        <f ca="1">IF(ISNUMBER(MATCH(DATEVALUE($A178),'changes1_based on steps'!G$1:G$400,0)),G$2,)</f>
        <v>0</v>
      </c>
      <c r="H178" s="179">
        <f ca="1">IF(ISNUMBER(MATCH(DATEVALUE($A178),'changes1_based on steps'!H$1:H$400,0)),H$2,)</f>
        <v>0</v>
      </c>
      <c r="I178" s="179">
        <f ca="1">IF(ISNUMBER(MATCH(DATEVALUE($A178),'changes1_based on steps'!I$1:I$400,0)),I$2,)</f>
        <v>0</v>
      </c>
      <c r="J178" s="179">
        <f ca="1">IF(ISNUMBER(MATCH(DATEVALUE($A178),'changes1_based on steps'!J$1:J$400,0)),J$2,)</f>
        <v>0</v>
      </c>
      <c r="K178" s="179">
        <f ca="1">IF(ISNUMBER(MATCH(DATEVALUE($A178),'changes1_based on steps'!K$1:K$400,0)),K$2,)</f>
        <v>0</v>
      </c>
      <c r="L178" s="179">
        <f ca="1">IF(ISNUMBER(MATCH(DATEVALUE($A178),'changes1_based on steps'!L$1:L$400,0)),L$2,)</f>
        <v>0</v>
      </c>
      <c r="M178" s="179">
        <f ca="1">IF(ISNUMBER(MATCH(DATEVALUE($A178),'changes1_based on steps'!M$1:M$400,0)),M$2,)</f>
        <v>0</v>
      </c>
      <c r="N178" s="179">
        <f ca="1">IF(ISNUMBER(MATCH(DATEVALUE($A178),'changes1_based on steps'!N$1:N$400,0)),N$2,)</f>
        <v>0</v>
      </c>
      <c r="O178" s="179">
        <f ca="1">IF(ISNUMBER(MATCH(DATEVALUE($A178),'changes1_based on steps'!O$1:O$400,0)),O$2,)</f>
        <v>0</v>
      </c>
      <c r="P178" s="179">
        <f ca="1">IF(ISNUMBER(MATCH(DATEVALUE($A178),'changes1_based on steps'!P$1:P$400,0)),P$2,)</f>
        <v>0</v>
      </c>
      <c r="Q178" s="179">
        <f ca="1">IF(ISNUMBER(MATCH(DATEVALUE($A178),'changes1_based on steps'!Q$1:Q$400,0)),Q$2,)</f>
        <v>0</v>
      </c>
      <c r="R178" s="179">
        <f ca="1">IF(ISNUMBER(MATCH(DATEVALUE($A178),'changes1_based on steps'!R$1:R$400,0)),R$2,)</f>
        <v>0</v>
      </c>
      <c r="S178" s="179">
        <f ca="1">IF(ISNUMBER(MATCH(DATEVALUE($A178),'changes1_based on steps'!S$1:S$400,0)),S$2,)</f>
        <v>0</v>
      </c>
      <c r="T178" s="179">
        <f ca="1">IF(ISNUMBER(MATCH(DATEVALUE($A178),'changes1_based on steps'!T$1:T$400,0)),T$2,)</f>
        <v>0</v>
      </c>
      <c r="U178" s="179">
        <f ca="1">IF(ISNUMBER(MATCH(DATEVALUE($A178),'changes1_based on steps'!U$1:U$400,0)),U$2,)</f>
        <v>0</v>
      </c>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row>
    <row r="179" spans="1:101" x14ac:dyDescent="0.2">
      <c r="A179" s="32" t="str">
        <f t="shared" ca="1" si="2"/>
        <v>2025-09-21</v>
      </c>
      <c r="B179" s="179">
        <f ca="1">IF(ISNUMBER(MATCH(DATEVALUE($A179),'changes1_based on steps'!B$1:B$400,0)),B$2,)</f>
        <v>0</v>
      </c>
      <c r="C179" s="179">
        <f ca="1">IF(ISNUMBER(MATCH(DATEVALUE($A179),'changes1_based on steps'!C$1:C$400,0)),C$2,)</f>
        <v>0</v>
      </c>
      <c r="D179" s="179">
        <f ca="1">IF(ISNUMBER(MATCH(DATEVALUE($A179),'changes1_based on steps'!D$1:D$400,0)),D$2,)</f>
        <v>0</v>
      </c>
      <c r="E179" s="179">
        <f ca="1">IF(ISNUMBER(MATCH(DATEVALUE($A179),'changes1_based on steps'!E$1:E$400,0)),E$2,)</f>
        <v>0</v>
      </c>
      <c r="F179" s="179">
        <f ca="1">IF(ISNUMBER(MATCH(DATEVALUE($A179),'changes1_based on steps'!F$1:F$400,0)),F$2,)</f>
        <v>0</v>
      </c>
      <c r="G179" s="179">
        <f ca="1">IF(ISNUMBER(MATCH(DATEVALUE($A179),'changes1_based on steps'!G$1:G$400,0)),G$2,)</f>
        <v>0</v>
      </c>
      <c r="H179" s="179">
        <f ca="1">IF(ISNUMBER(MATCH(DATEVALUE($A179),'changes1_based on steps'!H$1:H$400,0)),H$2,)</f>
        <v>0</v>
      </c>
      <c r="I179" s="179">
        <f ca="1">IF(ISNUMBER(MATCH(DATEVALUE($A179),'changes1_based on steps'!I$1:I$400,0)),I$2,)</f>
        <v>0</v>
      </c>
      <c r="J179" s="179">
        <f ca="1">IF(ISNUMBER(MATCH(DATEVALUE($A179),'changes1_based on steps'!J$1:J$400,0)),J$2,)</f>
        <v>0</v>
      </c>
      <c r="K179" s="179">
        <f ca="1">IF(ISNUMBER(MATCH(DATEVALUE($A179),'changes1_based on steps'!K$1:K$400,0)),K$2,)</f>
        <v>0</v>
      </c>
      <c r="L179" s="179">
        <f ca="1">IF(ISNUMBER(MATCH(DATEVALUE($A179),'changes1_based on steps'!L$1:L$400,0)),L$2,)</f>
        <v>0</v>
      </c>
      <c r="M179" s="179">
        <f ca="1">IF(ISNUMBER(MATCH(DATEVALUE($A179),'changes1_based on steps'!M$1:M$400,0)),M$2,)</f>
        <v>0</v>
      </c>
      <c r="N179" s="179">
        <f ca="1">IF(ISNUMBER(MATCH(DATEVALUE($A179),'changes1_based on steps'!N$1:N$400,0)),N$2,)</f>
        <v>0</v>
      </c>
      <c r="O179" s="179">
        <f ca="1">IF(ISNUMBER(MATCH(DATEVALUE($A179),'changes1_based on steps'!O$1:O$400,0)),O$2,)</f>
        <v>0</v>
      </c>
      <c r="P179" s="179">
        <f ca="1">IF(ISNUMBER(MATCH(DATEVALUE($A179),'changes1_based on steps'!P$1:P$400,0)),P$2,)</f>
        <v>0</v>
      </c>
      <c r="Q179" s="179">
        <f ca="1">IF(ISNUMBER(MATCH(DATEVALUE($A179),'changes1_based on steps'!Q$1:Q$400,0)),Q$2,)</f>
        <v>0</v>
      </c>
      <c r="R179" s="179">
        <f ca="1">IF(ISNUMBER(MATCH(DATEVALUE($A179),'changes1_based on steps'!R$1:R$400,0)),R$2,)</f>
        <v>0</v>
      </c>
      <c r="S179" s="179">
        <f ca="1">IF(ISNUMBER(MATCH(DATEVALUE($A179),'changes1_based on steps'!S$1:S$400,0)),S$2,)</f>
        <v>0</v>
      </c>
      <c r="T179" s="179">
        <f ca="1">IF(ISNUMBER(MATCH(DATEVALUE($A179),'changes1_based on steps'!T$1:T$400,0)),T$2,)</f>
        <v>0</v>
      </c>
      <c r="U179" s="179">
        <f ca="1">IF(ISNUMBER(MATCH(DATEVALUE($A179),'changes1_based on steps'!U$1:U$400,0)),U$2,)</f>
        <v>0</v>
      </c>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row>
    <row r="180" spans="1:101" x14ac:dyDescent="0.2">
      <c r="A180" s="32" t="str">
        <f t="shared" ca="1" si="2"/>
        <v>2025-09-22</v>
      </c>
      <c r="B180" s="179">
        <f ca="1">IF(ISNUMBER(MATCH(DATEVALUE($A180),'changes1_based on steps'!B$1:B$400,0)),B$2,)</f>
        <v>0</v>
      </c>
      <c r="C180" s="179">
        <f ca="1">IF(ISNUMBER(MATCH(DATEVALUE($A180),'changes1_based on steps'!C$1:C$400,0)),C$2,)</f>
        <v>0</v>
      </c>
      <c r="D180" s="179">
        <f ca="1">IF(ISNUMBER(MATCH(DATEVALUE($A180),'changes1_based on steps'!D$1:D$400,0)),D$2,)</f>
        <v>0</v>
      </c>
      <c r="E180" s="179">
        <f ca="1">IF(ISNUMBER(MATCH(DATEVALUE($A180),'changes1_based on steps'!E$1:E$400,0)),E$2,)</f>
        <v>0</v>
      </c>
      <c r="F180" s="179">
        <f ca="1">IF(ISNUMBER(MATCH(DATEVALUE($A180),'changes1_based on steps'!F$1:F$400,0)),F$2,)</f>
        <v>0</v>
      </c>
      <c r="G180" s="179">
        <f ca="1">IF(ISNUMBER(MATCH(DATEVALUE($A180),'changes1_based on steps'!G$1:G$400,0)),G$2,)</f>
        <v>0</v>
      </c>
      <c r="H180" s="179">
        <f ca="1">IF(ISNUMBER(MATCH(DATEVALUE($A180),'changes1_based on steps'!H$1:H$400,0)),H$2,)</f>
        <v>0</v>
      </c>
      <c r="I180" s="179">
        <f ca="1">IF(ISNUMBER(MATCH(DATEVALUE($A180),'changes1_based on steps'!I$1:I$400,0)),I$2,)</f>
        <v>0</v>
      </c>
      <c r="J180" s="179">
        <f ca="1">IF(ISNUMBER(MATCH(DATEVALUE($A180),'changes1_based on steps'!J$1:J$400,0)),J$2,)</f>
        <v>0</v>
      </c>
      <c r="K180" s="179">
        <f ca="1">IF(ISNUMBER(MATCH(DATEVALUE($A180),'changes1_based on steps'!K$1:K$400,0)),K$2,)</f>
        <v>0</v>
      </c>
      <c r="L180" s="179">
        <f ca="1">IF(ISNUMBER(MATCH(DATEVALUE($A180),'changes1_based on steps'!L$1:L$400,0)),L$2,)</f>
        <v>0</v>
      </c>
      <c r="M180" s="179">
        <f ca="1">IF(ISNUMBER(MATCH(DATEVALUE($A180),'changes1_based on steps'!M$1:M$400,0)),M$2,)</f>
        <v>0</v>
      </c>
      <c r="N180" s="179">
        <f ca="1">IF(ISNUMBER(MATCH(DATEVALUE($A180),'changes1_based on steps'!N$1:N$400,0)),N$2,)</f>
        <v>0</v>
      </c>
      <c r="O180" s="179">
        <f ca="1">IF(ISNUMBER(MATCH(DATEVALUE($A180),'changes1_based on steps'!O$1:O$400,0)),O$2,)</f>
        <v>0</v>
      </c>
      <c r="P180" s="179">
        <f ca="1">IF(ISNUMBER(MATCH(DATEVALUE($A180),'changes1_based on steps'!P$1:P$400,0)),P$2,)</f>
        <v>0</v>
      </c>
      <c r="Q180" s="179">
        <f ca="1">IF(ISNUMBER(MATCH(DATEVALUE($A180),'changes1_based on steps'!Q$1:Q$400,0)),Q$2,)</f>
        <v>0</v>
      </c>
      <c r="R180" s="179">
        <f ca="1">IF(ISNUMBER(MATCH(DATEVALUE($A180),'changes1_based on steps'!R$1:R$400,0)),R$2,)</f>
        <v>0</v>
      </c>
      <c r="S180" s="179">
        <f ca="1">IF(ISNUMBER(MATCH(DATEVALUE($A180),'changes1_based on steps'!S$1:S$400,0)),S$2,)</f>
        <v>0</v>
      </c>
      <c r="T180" s="179">
        <f ca="1">IF(ISNUMBER(MATCH(DATEVALUE($A180),'changes1_based on steps'!T$1:T$400,0)),T$2,)</f>
        <v>0</v>
      </c>
      <c r="U180" s="179">
        <f ca="1">IF(ISNUMBER(MATCH(DATEVALUE($A180),'changes1_based on steps'!U$1:U$400,0)),U$2,)</f>
        <v>0</v>
      </c>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row>
    <row r="181" spans="1:101" x14ac:dyDescent="0.2">
      <c r="A181" s="32" t="str">
        <f t="shared" ca="1" si="2"/>
        <v>2025-09-23</v>
      </c>
      <c r="B181" s="179">
        <f ca="1">IF(ISNUMBER(MATCH(DATEVALUE($A181),'changes1_based on steps'!B$1:B$400,0)),B$2,)</f>
        <v>0</v>
      </c>
      <c r="C181" s="179">
        <f ca="1">IF(ISNUMBER(MATCH(DATEVALUE($A181),'changes1_based on steps'!C$1:C$400,0)),C$2,)</f>
        <v>0</v>
      </c>
      <c r="D181" s="179">
        <f ca="1">IF(ISNUMBER(MATCH(DATEVALUE($A181),'changes1_based on steps'!D$1:D$400,0)),D$2,)</f>
        <v>0</v>
      </c>
      <c r="E181" s="179">
        <f ca="1">IF(ISNUMBER(MATCH(DATEVALUE($A181),'changes1_based on steps'!E$1:E$400,0)),E$2,)</f>
        <v>0</v>
      </c>
      <c r="F181" s="179">
        <f ca="1">IF(ISNUMBER(MATCH(DATEVALUE($A181),'changes1_based on steps'!F$1:F$400,0)),F$2,)</f>
        <v>0</v>
      </c>
      <c r="G181" s="179">
        <f ca="1">IF(ISNUMBER(MATCH(DATEVALUE($A181),'changes1_based on steps'!G$1:G$400,0)),G$2,)</f>
        <v>0</v>
      </c>
      <c r="H181" s="179">
        <f ca="1">IF(ISNUMBER(MATCH(DATEVALUE($A181),'changes1_based on steps'!H$1:H$400,0)),H$2,)</f>
        <v>0</v>
      </c>
      <c r="I181" s="179">
        <f ca="1">IF(ISNUMBER(MATCH(DATEVALUE($A181),'changes1_based on steps'!I$1:I$400,0)),I$2,)</f>
        <v>0</v>
      </c>
      <c r="J181" s="179">
        <f ca="1">IF(ISNUMBER(MATCH(DATEVALUE($A181),'changes1_based on steps'!J$1:J$400,0)),J$2,)</f>
        <v>0</v>
      </c>
      <c r="K181" s="179">
        <f ca="1">IF(ISNUMBER(MATCH(DATEVALUE($A181),'changes1_based on steps'!K$1:K$400,0)),K$2,)</f>
        <v>0</v>
      </c>
      <c r="L181" s="179">
        <f ca="1">IF(ISNUMBER(MATCH(DATEVALUE($A181),'changes1_based on steps'!L$1:L$400,0)),L$2,)</f>
        <v>0</v>
      </c>
      <c r="M181" s="179">
        <f ca="1">IF(ISNUMBER(MATCH(DATEVALUE($A181),'changes1_based on steps'!M$1:M$400,0)),M$2,)</f>
        <v>0</v>
      </c>
      <c r="N181" s="179">
        <f ca="1">IF(ISNUMBER(MATCH(DATEVALUE($A181),'changes1_based on steps'!N$1:N$400,0)),N$2,)</f>
        <v>0</v>
      </c>
      <c r="O181" s="179">
        <f ca="1">IF(ISNUMBER(MATCH(DATEVALUE($A181),'changes1_based on steps'!O$1:O$400,0)),O$2,)</f>
        <v>0</v>
      </c>
      <c r="P181" s="179">
        <f ca="1">IF(ISNUMBER(MATCH(DATEVALUE($A181),'changes1_based on steps'!P$1:P$400,0)),P$2,)</f>
        <v>0</v>
      </c>
      <c r="Q181" s="179">
        <f ca="1">IF(ISNUMBER(MATCH(DATEVALUE($A181),'changes1_based on steps'!Q$1:Q$400,0)),Q$2,)</f>
        <v>0</v>
      </c>
      <c r="R181" s="179">
        <f ca="1">IF(ISNUMBER(MATCH(DATEVALUE($A181),'changes1_based on steps'!R$1:R$400,0)),R$2,)</f>
        <v>0</v>
      </c>
      <c r="S181" s="179">
        <f ca="1">IF(ISNUMBER(MATCH(DATEVALUE($A181),'changes1_based on steps'!S$1:S$400,0)),S$2,)</f>
        <v>0</v>
      </c>
      <c r="T181" s="179">
        <f ca="1">IF(ISNUMBER(MATCH(DATEVALUE($A181),'changes1_based on steps'!T$1:T$400,0)),T$2,)</f>
        <v>0</v>
      </c>
      <c r="U181" s="179">
        <f ca="1">IF(ISNUMBER(MATCH(DATEVALUE($A181),'changes1_based on steps'!U$1:U$400,0)),U$2,)</f>
        <v>0</v>
      </c>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row>
    <row r="182" spans="1:101" x14ac:dyDescent="0.2">
      <c r="A182" s="32" t="str">
        <f t="shared" ca="1" si="2"/>
        <v>2025-09-24</v>
      </c>
      <c r="B182" s="179">
        <f ca="1">IF(ISNUMBER(MATCH(DATEVALUE($A182),'changes1_based on steps'!B$1:B$400,0)),B$2,)</f>
        <v>0</v>
      </c>
      <c r="C182" s="179">
        <f ca="1">IF(ISNUMBER(MATCH(DATEVALUE($A182),'changes1_based on steps'!C$1:C$400,0)),C$2,)</f>
        <v>0</v>
      </c>
      <c r="D182" s="179">
        <f ca="1">IF(ISNUMBER(MATCH(DATEVALUE($A182),'changes1_based on steps'!D$1:D$400,0)),D$2,)</f>
        <v>0</v>
      </c>
      <c r="E182" s="179">
        <f ca="1">IF(ISNUMBER(MATCH(DATEVALUE($A182),'changes1_based on steps'!E$1:E$400,0)),E$2,)</f>
        <v>0</v>
      </c>
      <c r="F182" s="179">
        <f ca="1">IF(ISNUMBER(MATCH(DATEVALUE($A182),'changes1_based on steps'!F$1:F$400,0)),F$2,)</f>
        <v>0</v>
      </c>
      <c r="G182" s="179">
        <f ca="1">IF(ISNUMBER(MATCH(DATEVALUE($A182),'changes1_based on steps'!G$1:G$400,0)),G$2,)</f>
        <v>0</v>
      </c>
      <c r="H182" s="179">
        <f ca="1">IF(ISNUMBER(MATCH(DATEVALUE($A182),'changes1_based on steps'!H$1:H$400,0)),H$2,)</f>
        <v>0</v>
      </c>
      <c r="I182" s="179">
        <f ca="1">IF(ISNUMBER(MATCH(DATEVALUE($A182),'changes1_based on steps'!I$1:I$400,0)),I$2,)</f>
        <v>0</v>
      </c>
      <c r="J182" s="179">
        <f ca="1">IF(ISNUMBER(MATCH(DATEVALUE($A182),'changes1_based on steps'!J$1:J$400,0)),J$2,)</f>
        <v>0</v>
      </c>
      <c r="K182" s="179">
        <f ca="1">IF(ISNUMBER(MATCH(DATEVALUE($A182),'changes1_based on steps'!K$1:K$400,0)),K$2,)</f>
        <v>0</v>
      </c>
      <c r="L182" s="179">
        <f ca="1">IF(ISNUMBER(MATCH(DATEVALUE($A182),'changes1_based on steps'!L$1:L$400,0)),L$2,)</f>
        <v>0</v>
      </c>
      <c r="M182" s="179">
        <f ca="1">IF(ISNUMBER(MATCH(DATEVALUE($A182),'changes1_based on steps'!M$1:M$400,0)),M$2,)</f>
        <v>0</v>
      </c>
      <c r="N182" s="179">
        <f ca="1">IF(ISNUMBER(MATCH(DATEVALUE($A182),'changes1_based on steps'!N$1:N$400,0)),N$2,)</f>
        <v>0</v>
      </c>
      <c r="O182" s="179">
        <f ca="1">IF(ISNUMBER(MATCH(DATEVALUE($A182),'changes1_based on steps'!O$1:O$400,0)),O$2,)</f>
        <v>0</v>
      </c>
      <c r="P182" s="179">
        <f ca="1">IF(ISNUMBER(MATCH(DATEVALUE($A182),'changes1_based on steps'!P$1:P$400,0)),P$2,)</f>
        <v>0</v>
      </c>
      <c r="Q182" s="179">
        <f ca="1">IF(ISNUMBER(MATCH(DATEVALUE($A182),'changes1_based on steps'!Q$1:Q$400,0)),Q$2,)</f>
        <v>0</v>
      </c>
      <c r="R182" s="179">
        <f ca="1">IF(ISNUMBER(MATCH(DATEVALUE($A182),'changes1_based on steps'!R$1:R$400,0)),R$2,)</f>
        <v>0</v>
      </c>
      <c r="S182" s="179">
        <f ca="1">IF(ISNUMBER(MATCH(DATEVALUE($A182),'changes1_based on steps'!S$1:S$400,0)),S$2,)</f>
        <v>0</v>
      </c>
      <c r="T182" s="179">
        <f ca="1">IF(ISNUMBER(MATCH(DATEVALUE($A182),'changes1_based on steps'!T$1:T$400,0)),T$2,)</f>
        <v>0</v>
      </c>
      <c r="U182" s="179">
        <f ca="1">IF(ISNUMBER(MATCH(DATEVALUE($A182),'changes1_based on steps'!U$1:U$400,0)),U$2,)</f>
        <v>0</v>
      </c>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row>
    <row r="183" spans="1:101" x14ac:dyDescent="0.2">
      <c r="A183" s="32" t="str">
        <f t="shared" ca="1" si="2"/>
        <v>2025-09-25</v>
      </c>
      <c r="B183" s="179">
        <f ca="1">IF(ISNUMBER(MATCH(DATEVALUE($A183),'changes1_based on steps'!B$1:B$400,0)),B$2,)</f>
        <v>0</v>
      </c>
      <c r="C183" s="179">
        <f ca="1">IF(ISNUMBER(MATCH(DATEVALUE($A183),'changes1_based on steps'!C$1:C$400,0)),C$2,)</f>
        <v>0</v>
      </c>
      <c r="D183" s="179">
        <f ca="1">IF(ISNUMBER(MATCH(DATEVALUE($A183),'changes1_based on steps'!D$1:D$400,0)),D$2,)</f>
        <v>0</v>
      </c>
      <c r="E183" s="179">
        <f ca="1">IF(ISNUMBER(MATCH(DATEVALUE($A183),'changes1_based on steps'!E$1:E$400,0)),E$2,)</f>
        <v>0</v>
      </c>
      <c r="F183" s="179">
        <f ca="1">IF(ISNUMBER(MATCH(DATEVALUE($A183),'changes1_based on steps'!F$1:F$400,0)),F$2,)</f>
        <v>0</v>
      </c>
      <c r="G183" s="179">
        <f ca="1">IF(ISNUMBER(MATCH(DATEVALUE($A183),'changes1_based on steps'!G$1:G$400,0)),G$2,)</f>
        <v>0</v>
      </c>
      <c r="H183" s="179">
        <f ca="1">IF(ISNUMBER(MATCH(DATEVALUE($A183),'changes1_based on steps'!H$1:H$400,0)),H$2,)</f>
        <v>0</v>
      </c>
      <c r="I183" s="179">
        <f ca="1">IF(ISNUMBER(MATCH(DATEVALUE($A183),'changes1_based on steps'!I$1:I$400,0)),I$2,)</f>
        <v>0</v>
      </c>
      <c r="J183" s="179">
        <f ca="1">IF(ISNUMBER(MATCH(DATEVALUE($A183),'changes1_based on steps'!J$1:J$400,0)),J$2,)</f>
        <v>0</v>
      </c>
      <c r="K183" s="179">
        <f ca="1">IF(ISNUMBER(MATCH(DATEVALUE($A183),'changes1_based on steps'!K$1:K$400,0)),K$2,)</f>
        <v>0</v>
      </c>
      <c r="L183" s="179">
        <f ca="1">IF(ISNUMBER(MATCH(DATEVALUE($A183),'changes1_based on steps'!L$1:L$400,0)),L$2,)</f>
        <v>0</v>
      </c>
      <c r="M183" s="179">
        <f ca="1">IF(ISNUMBER(MATCH(DATEVALUE($A183),'changes1_based on steps'!M$1:M$400,0)),M$2,)</f>
        <v>0</v>
      </c>
      <c r="N183" s="179">
        <f ca="1">IF(ISNUMBER(MATCH(DATEVALUE($A183),'changes1_based on steps'!N$1:N$400,0)),N$2,)</f>
        <v>0</v>
      </c>
      <c r="O183" s="179">
        <f ca="1">IF(ISNUMBER(MATCH(DATEVALUE($A183),'changes1_based on steps'!O$1:O$400,0)),O$2,)</f>
        <v>0</v>
      </c>
      <c r="P183" s="179">
        <f ca="1">IF(ISNUMBER(MATCH(DATEVALUE($A183),'changes1_based on steps'!P$1:P$400,0)),P$2,)</f>
        <v>0</v>
      </c>
      <c r="Q183" s="179">
        <f ca="1">IF(ISNUMBER(MATCH(DATEVALUE($A183),'changes1_based on steps'!Q$1:Q$400,0)),Q$2,)</f>
        <v>0</v>
      </c>
      <c r="R183" s="179">
        <f ca="1">IF(ISNUMBER(MATCH(DATEVALUE($A183),'changes1_based on steps'!R$1:R$400,0)),R$2,)</f>
        <v>0</v>
      </c>
      <c r="S183" s="179">
        <f ca="1">IF(ISNUMBER(MATCH(DATEVALUE($A183),'changes1_based on steps'!S$1:S$400,0)),S$2,)</f>
        <v>0</v>
      </c>
      <c r="T183" s="179">
        <f ca="1">IF(ISNUMBER(MATCH(DATEVALUE($A183),'changes1_based on steps'!T$1:T$400,0)),T$2,)</f>
        <v>0</v>
      </c>
      <c r="U183" s="179">
        <f ca="1">IF(ISNUMBER(MATCH(DATEVALUE($A183),'changes1_based on steps'!U$1:U$400,0)),U$2,)</f>
        <v>0</v>
      </c>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row>
    <row r="184" spans="1:101" x14ac:dyDescent="0.2">
      <c r="A184" s="32" t="str">
        <f t="shared" ca="1" si="2"/>
        <v>2025-09-26</v>
      </c>
      <c r="B184" s="179">
        <f ca="1">IF(ISNUMBER(MATCH(DATEVALUE($A184),'changes1_based on steps'!B$1:B$400,0)),B$2,)</f>
        <v>0</v>
      </c>
      <c r="C184" s="179">
        <f ca="1">IF(ISNUMBER(MATCH(DATEVALUE($A184),'changes1_based on steps'!C$1:C$400,0)),C$2,)</f>
        <v>0</v>
      </c>
      <c r="D184" s="179">
        <f ca="1">IF(ISNUMBER(MATCH(DATEVALUE($A184),'changes1_based on steps'!D$1:D$400,0)),D$2,)</f>
        <v>0</v>
      </c>
      <c r="E184" s="179">
        <f ca="1">IF(ISNUMBER(MATCH(DATEVALUE($A184),'changes1_based on steps'!E$1:E$400,0)),E$2,)</f>
        <v>0</v>
      </c>
      <c r="F184" s="179">
        <f ca="1">IF(ISNUMBER(MATCH(DATEVALUE($A184),'changes1_based on steps'!F$1:F$400,0)),F$2,)</f>
        <v>0</v>
      </c>
      <c r="G184" s="179">
        <f ca="1">IF(ISNUMBER(MATCH(DATEVALUE($A184),'changes1_based on steps'!G$1:G$400,0)),G$2,)</f>
        <v>0</v>
      </c>
      <c r="H184" s="179">
        <f ca="1">IF(ISNUMBER(MATCH(DATEVALUE($A184),'changes1_based on steps'!H$1:H$400,0)),H$2,)</f>
        <v>0</v>
      </c>
      <c r="I184" s="179">
        <f ca="1">IF(ISNUMBER(MATCH(DATEVALUE($A184),'changes1_based on steps'!I$1:I$400,0)),I$2,)</f>
        <v>0</v>
      </c>
      <c r="J184" s="179">
        <f ca="1">IF(ISNUMBER(MATCH(DATEVALUE($A184),'changes1_based on steps'!J$1:J$400,0)),J$2,)</f>
        <v>0</v>
      </c>
      <c r="K184" s="179">
        <f ca="1">IF(ISNUMBER(MATCH(DATEVALUE($A184),'changes1_based on steps'!K$1:K$400,0)),K$2,)</f>
        <v>0</v>
      </c>
      <c r="L184" s="179">
        <f ca="1">IF(ISNUMBER(MATCH(DATEVALUE($A184),'changes1_based on steps'!L$1:L$400,0)),L$2,)</f>
        <v>0</v>
      </c>
      <c r="M184" s="179">
        <f ca="1">IF(ISNUMBER(MATCH(DATEVALUE($A184),'changes1_based on steps'!M$1:M$400,0)),M$2,)</f>
        <v>0</v>
      </c>
      <c r="N184" s="179">
        <f ca="1">IF(ISNUMBER(MATCH(DATEVALUE($A184),'changes1_based on steps'!N$1:N$400,0)),N$2,)</f>
        <v>0</v>
      </c>
      <c r="O184" s="179">
        <f ca="1">IF(ISNUMBER(MATCH(DATEVALUE($A184),'changes1_based on steps'!O$1:O$400,0)),O$2,)</f>
        <v>0</v>
      </c>
      <c r="P184" s="179">
        <f ca="1">IF(ISNUMBER(MATCH(DATEVALUE($A184),'changes1_based on steps'!P$1:P$400,0)),P$2,)</f>
        <v>0</v>
      </c>
      <c r="Q184" s="179">
        <f ca="1">IF(ISNUMBER(MATCH(DATEVALUE($A184),'changes1_based on steps'!Q$1:Q$400,0)),Q$2,)</f>
        <v>0</v>
      </c>
      <c r="R184" s="179">
        <f ca="1">IF(ISNUMBER(MATCH(DATEVALUE($A184),'changes1_based on steps'!R$1:R$400,0)),R$2,)</f>
        <v>0</v>
      </c>
      <c r="S184" s="179">
        <f ca="1">IF(ISNUMBER(MATCH(DATEVALUE($A184),'changes1_based on steps'!S$1:S$400,0)),S$2,)</f>
        <v>0</v>
      </c>
      <c r="T184" s="179">
        <f ca="1">IF(ISNUMBER(MATCH(DATEVALUE($A184),'changes1_based on steps'!T$1:T$400,0)),T$2,)</f>
        <v>0</v>
      </c>
      <c r="U184" s="179">
        <f ca="1">IF(ISNUMBER(MATCH(DATEVALUE($A184),'changes1_based on steps'!U$1:U$400,0)),U$2,)</f>
        <v>0</v>
      </c>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row>
    <row r="185" spans="1:101" x14ac:dyDescent="0.2">
      <c r="A185" s="32" t="str">
        <f t="shared" ca="1" si="2"/>
        <v>2025-09-27</v>
      </c>
      <c r="B185" s="179">
        <f ca="1">IF(ISNUMBER(MATCH(DATEVALUE($A185),'changes1_based on steps'!B$1:B$400,0)),B$2,)</f>
        <v>0</v>
      </c>
      <c r="C185" s="179">
        <f ca="1">IF(ISNUMBER(MATCH(DATEVALUE($A185),'changes1_based on steps'!C$1:C$400,0)),C$2,)</f>
        <v>0</v>
      </c>
      <c r="D185" s="179">
        <f ca="1">IF(ISNUMBER(MATCH(DATEVALUE($A185),'changes1_based on steps'!D$1:D$400,0)),D$2,)</f>
        <v>0</v>
      </c>
      <c r="E185" s="179">
        <f ca="1">IF(ISNUMBER(MATCH(DATEVALUE($A185),'changes1_based on steps'!E$1:E$400,0)),E$2,)</f>
        <v>0</v>
      </c>
      <c r="F185" s="179">
        <f ca="1">IF(ISNUMBER(MATCH(DATEVALUE($A185),'changes1_based on steps'!F$1:F$400,0)),F$2,)</f>
        <v>0</v>
      </c>
      <c r="G185" s="179">
        <f ca="1">IF(ISNUMBER(MATCH(DATEVALUE($A185),'changes1_based on steps'!G$1:G$400,0)),G$2,)</f>
        <v>0</v>
      </c>
      <c r="H185" s="179">
        <f ca="1">IF(ISNUMBER(MATCH(DATEVALUE($A185),'changes1_based on steps'!H$1:H$400,0)),H$2,)</f>
        <v>0</v>
      </c>
      <c r="I185" s="179">
        <f ca="1">IF(ISNUMBER(MATCH(DATEVALUE($A185),'changes1_based on steps'!I$1:I$400,0)),I$2,)</f>
        <v>0</v>
      </c>
      <c r="J185" s="179">
        <f ca="1">IF(ISNUMBER(MATCH(DATEVALUE($A185),'changes1_based on steps'!J$1:J$400,0)),J$2,)</f>
        <v>0</v>
      </c>
      <c r="K185" s="179">
        <f ca="1">IF(ISNUMBER(MATCH(DATEVALUE($A185),'changes1_based on steps'!K$1:K$400,0)),K$2,)</f>
        <v>0</v>
      </c>
      <c r="L185" s="179">
        <f ca="1">IF(ISNUMBER(MATCH(DATEVALUE($A185),'changes1_based on steps'!L$1:L$400,0)),L$2,)</f>
        <v>0</v>
      </c>
      <c r="M185" s="179">
        <f ca="1">IF(ISNUMBER(MATCH(DATEVALUE($A185),'changes1_based on steps'!M$1:M$400,0)),M$2,)</f>
        <v>0</v>
      </c>
      <c r="N185" s="179">
        <f ca="1">IF(ISNUMBER(MATCH(DATEVALUE($A185),'changes1_based on steps'!N$1:N$400,0)),N$2,)</f>
        <v>0</v>
      </c>
      <c r="O185" s="179">
        <f ca="1">IF(ISNUMBER(MATCH(DATEVALUE($A185),'changes1_based on steps'!O$1:O$400,0)),O$2,)</f>
        <v>0</v>
      </c>
      <c r="P185" s="179">
        <f ca="1">IF(ISNUMBER(MATCH(DATEVALUE($A185),'changes1_based on steps'!P$1:P$400,0)),P$2,)</f>
        <v>0</v>
      </c>
      <c r="Q185" s="179">
        <f ca="1">IF(ISNUMBER(MATCH(DATEVALUE($A185),'changes1_based on steps'!Q$1:Q$400,0)),Q$2,)</f>
        <v>0</v>
      </c>
      <c r="R185" s="179">
        <f ca="1">IF(ISNUMBER(MATCH(DATEVALUE($A185),'changes1_based on steps'!R$1:R$400,0)),R$2,)</f>
        <v>0</v>
      </c>
      <c r="S185" s="179">
        <f ca="1">IF(ISNUMBER(MATCH(DATEVALUE($A185),'changes1_based on steps'!S$1:S$400,0)),S$2,)</f>
        <v>0</v>
      </c>
      <c r="T185" s="179">
        <f ca="1">IF(ISNUMBER(MATCH(DATEVALUE($A185),'changes1_based on steps'!T$1:T$400,0)),T$2,)</f>
        <v>0</v>
      </c>
      <c r="U185" s="179">
        <f ca="1">IF(ISNUMBER(MATCH(DATEVALUE($A185),'changes1_based on steps'!U$1:U$400,0)),U$2,)</f>
        <v>0</v>
      </c>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row>
    <row r="186" spans="1:101" x14ac:dyDescent="0.2">
      <c r="A186" s="32" t="str">
        <f t="shared" ca="1" si="2"/>
        <v>2025-09-28</v>
      </c>
      <c r="B186" s="179">
        <f ca="1">IF(ISNUMBER(MATCH(DATEVALUE($A186),'changes1_based on steps'!B$1:B$400,0)),B$2,)</f>
        <v>0</v>
      </c>
      <c r="C186" s="179">
        <f ca="1">IF(ISNUMBER(MATCH(DATEVALUE($A186),'changes1_based on steps'!C$1:C$400,0)),C$2,)</f>
        <v>0</v>
      </c>
      <c r="D186" s="179">
        <f ca="1">IF(ISNUMBER(MATCH(DATEVALUE($A186),'changes1_based on steps'!D$1:D$400,0)),D$2,)</f>
        <v>0</v>
      </c>
      <c r="E186" s="179">
        <f ca="1">IF(ISNUMBER(MATCH(DATEVALUE($A186),'changes1_based on steps'!E$1:E$400,0)),E$2,)</f>
        <v>0</v>
      </c>
      <c r="F186" s="179">
        <f ca="1">IF(ISNUMBER(MATCH(DATEVALUE($A186),'changes1_based on steps'!F$1:F$400,0)),F$2,)</f>
        <v>0</v>
      </c>
      <c r="G186" s="179">
        <f ca="1">IF(ISNUMBER(MATCH(DATEVALUE($A186),'changes1_based on steps'!G$1:G$400,0)),G$2,)</f>
        <v>0</v>
      </c>
      <c r="H186" s="179">
        <f ca="1">IF(ISNUMBER(MATCH(DATEVALUE($A186),'changes1_based on steps'!H$1:H$400,0)),H$2,)</f>
        <v>0</v>
      </c>
      <c r="I186" s="179">
        <f ca="1">IF(ISNUMBER(MATCH(DATEVALUE($A186),'changes1_based on steps'!I$1:I$400,0)),I$2,)</f>
        <v>0</v>
      </c>
      <c r="J186" s="179">
        <f ca="1">IF(ISNUMBER(MATCH(DATEVALUE($A186),'changes1_based on steps'!J$1:J$400,0)),J$2,)</f>
        <v>0</v>
      </c>
      <c r="K186" s="179">
        <f ca="1">IF(ISNUMBER(MATCH(DATEVALUE($A186),'changes1_based on steps'!K$1:K$400,0)),K$2,)</f>
        <v>0</v>
      </c>
      <c r="L186" s="179">
        <f ca="1">IF(ISNUMBER(MATCH(DATEVALUE($A186),'changes1_based on steps'!L$1:L$400,0)),L$2,)</f>
        <v>0</v>
      </c>
      <c r="M186" s="179">
        <f ca="1">IF(ISNUMBER(MATCH(DATEVALUE($A186),'changes1_based on steps'!M$1:M$400,0)),M$2,)</f>
        <v>0</v>
      </c>
      <c r="N186" s="179">
        <f ca="1">IF(ISNUMBER(MATCH(DATEVALUE($A186),'changes1_based on steps'!N$1:N$400,0)),N$2,)</f>
        <v>0</v>
      </c>
      <c r="O186" s="179">
        <f ca="1">IF(ISNUMBER(MATCH(DATEVALUE($A186),'changes1_based on steps'!O$1:O$400,0)),O$2,)</f>
        <v>0</v>
      </c>
      <c r="P186" s="179">
        <f ca="1">IF(ISNUMBER(MATCH(DATEVALUE($A186),'changes1_based on steps'!P$1:P$400,0)),P$2,)</f>
        <v>0</v>
      </c>
      <c r="Q186" s="179">
        <f ca="1">IF(ISNUMBER(MATCH(DATEVALUE($A186),'changes1_based on steps'!Q$1:Q$400,0)),Q$2,)</f>
        <v>0</v>
      </c>
      <c r="R186" s="179">
        <f ca="1">IF(ISNUMBER(MATCH(DATEVALUE($A186),'changes1_based on steps'!R$1:R$400,0)),R$2,)</f>
        <v>0</v>
      </c>
      <c r="S186" s="179">
        <f ca="1">IF(ISNUMBER(MATCH(DATEVALUE($A186),'changes1_based on steps'!S$1:S$400,0)),S$2,)</f>
        <v>0</v>
      </c>
      <c r="T186" s="179">
        <f ca="1">IF(ISNUMBER(MATCH(DATEVALUE($A186),'changes1_based on steps'!T$1:T$400,0)),T$2,)</f>
        <v>0</v>
      </c>
      <c r="U186" s="179">
        <f ca="1">IF(ISNUMBER(MATCH(DATEVALUE($A186),'changes1_based on steps'!U$1:U$400,0)),U$2,)</f>
        <v>0</v>
      </c>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row>
    <row r="187" spans="1:101" x14ac:dyDescent="0.2">
      <c r="A187" s="32" t="str">
        <f t="shared" ca="1" si="2"/>
        <v>2025-09-29</v>
      </c>
      <c r="B187" s="179">
        <f ca="1">IF(ISNUMBER(MATCH(DATEVALUE($A187),'changes1_based on steps'!B$1:B$400,0)),B$2,)</f>
        <v>0</v>
      </c>
      <c r="C187" s="179">
        <f ca="1">IF(ISNUMBER(MATCH(DATEVALUE($A187),'changes1_based on steps'!C$1:C$400,0)),C$2,)</f>
        <v>0</v>
      </c>
      <c r="D187" s="179">
        <f ca="1">IF(ISNUMBER(MATCH(DATEVALUE($A187),'changes1_based on steps'!D$1:D$400,0)),D$2,)</f>
        <v>0</v>
      </c>
      <c r="E187" s="179">
        <f ca="1">IF(ISNUMBER(MATCH(DATEVALUE($A187),'changes1_based on steps'!E$1:E$400,0)),E$2,)</f>
        <v>0</v>
      </c>
      <c r="F187" s="179">
        <f ca="1">IF(ISNUMBER(MATCH(DATEVALUE($A187),'changes1_based on steps'!F$1:F$400,0)),F$2,)</f>
        <v>0</v>
      </c>
      <c r="G187" s="179">
        <f ca="1">IF(ISNUMBER(MATCH(DATEVALUE($A187),'changes1_based on steps'!G$1:G$400,0)),G$2,)</f>
        <v>0</v>
      </c>
      <c r="H187" s="179">
        <f ca="1">IF(ISNUMBER(MATCH(DATEVALUE($A187),'changes1_based on steps'!H$1:H$400,0)),H$2,)</f>
        <v>0</v>
      </c>
      <c r="I187" s="179">
        <f ca="1">IF(ISNUMBER(MATCH(DATEVALUE($A187),'changes1_based on steps'!I$1:I$400,0)),I$2,)</f>
        <v>0</v>
      </c>
      <c r="J187" s="179">
        <f ca="1">IF(ISNUMBER(MATCH(DATEVALUE($A187),'changes1_based on steps'!J$1:J$400,0)),J$2,)</f>
        <v>0</v>
      </c>
      <c r="K187" s="179">
        <f ca="1">IF(ISNUMBER(MATCH(DATEVALUE($A187),'changes1_based on steps'!K$1:K$400,0)),K$2,)</f>
        <v>0</v>
      </c>
      <c r="L187" s="179">
        <f ca="1">IF(ISNUMBER(MATCH(DATEVALUE($A187),'changes1_based on steps'!L$1:L$400,0)),L$2,)</f>
        <v>0</v>
      </c>
      <c r="M187" s="179">
        <f ca="1">IF(ISNUMBER(MATCH(DATEVALUE($A187),'changes1_based on steps'!M$1:M$400,0)),M$2,)</f>
        <v>0</v>
      </c>
      <c r="N187" s="179">
        <f ca="1">IF(ISNUMBER(MATCH(DATEVALUE($A187),'changes1_based on steps'!N$1:N$400,0)),N$2,)</f>
        <v>0</v>
      </c>
      <c r="O187" s="179">
        <f ca="1">IF(ISNUMBER(MATCH(DATEVALUE($A187),'changes1_based on steps'!O$1:O$400,0)),O$2,)</f>
        <v>0</v>
      </c>
      <c r="P187" s="179">
        <f ca="1">IF(ISNUMBER(MATCH(DATEVALUE($A187),'changes1_based on steps'!P$1:P$400,0)),P$2,)</f>
        <v>0</v>
      </c>
      <c r="Q187" s="179">
        <f ca="1">IF(ISNUMBER(MATCH(DATEVALUE($A187),'changes1_based on steps'!Q$1:Q$400,0)),Q$2,)</f>
        <v>0</v>
      </c>
      <c r="R187" s="179">
        <f ca="1">IF(ISNUMBER(MATCH(DATEVALUE($A187),'changes1_based on steps'!R$1:R$400,0)),R$2,)</f>
        <v>0</v>
      </c>
      <c r="S187" s="179">
        <f ca="1">IF(ISNUMBER(MATCH(DATEVALUE($A187),'changes1_based on steps'!S$1:S$400,0)),S$2,)</f>
        <v>0</v>
      </c>
      <c r="T187" s="179">
        <f ca="1">IF(ISNUMBER(MATCH(DATEVALUE($A187),'changes1_based on steps'!T$1:T$400,0)),T$2,)</f>
        <v>0</v>
      </c>
      <c r="U187" s="179">
        <f ca="1">IF(ISNUMBER(MATCH(DATEVALUE($A187),'changes1_based on steps'!U$1:U$400,0)),U$2,)</f>
        <v>0</v>
      </c>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row>
    <row r="188" spans="1:101" x14ac:dyDescent="0.2">
      <c r="A188" s="32" t="str">
        <f t="shared" ca="1" si="2"/>
        <v>2025-09-30</v>
      </c>
      <c r="B188" s="179">
        <f ca="1">IF(ISNUMBER(MATCH(DATEVALUE($A188),'changes1_based on steps'!B$1:B$400,0)),B$2,)</f>
        <v>0</v>
      </c>
      <c r="C188" s="179">
        <f ca="1">IF(ISNUMBER(MATCH(DATEVALUE($A188),'changes1_based on steps'!C$1:C$400,0)),C$2,)</f>
        <v>0</v>
      </c>
      <c r="D188" s="179">
        <f ca="1">IF(ISNUMBER(MATCH(DATEVALUE($A188),'changes1_based on steps'!D$1:D$400,0)),D$2,)</f>
        <v>0</v>
      </c>
      <c r="E188" s="179">
        <f ca="1">IF(ISNUMBER(MATCH(DATEVALUE($A188),'changes1_based on steps'!E$1:E$400,0)),E$2,)</f>
        <v>0</v>
      </c>
      <c r="F188" s="179">
        <f ca="1">IF(ISNUMBER(MATCH(DATEVALUE($A188),'changes1_based on steps'!F$1:F$400,0)),F$2,)</f>
        <v>0</v>
      </c>
      <c r="G188" s="179">
        <f ca="1">IF(ISNUMBER(MATCH(DATEVALUE($A188),'changes1_based on steps'!G$1:G$400,0)),G$2,)</f>
        <v>0</v>
      </c>
      <c r="H188" s="179">
        <f ca="1">IF(ISNUMBER(MATCH(DATEVALUE($A188),'changes1_based on steps'!H$1:H$400,0)),H$2,)</f>
        <v>0</v>
      </c>
      <c r="I188" s="179">
        <f ca="1">IF(ISNUMBER(MATCH(DATEVALUE($A188),'changes1_based on steps'!I$1:I$400,0)),I$2,)</f>
        <v>0</v>
      </c>
      <c r="J188" s="179">
        <f ca="1">IF(ISNUMBER(MATCH(DATEVALUE($A188),'changes1_based on steps'!J$1:J$400,0)),J$2,)</f>
        <v>0</v>
      </c>
      <c r="K188" s="179">
        <f ca="1">IF(ISNUMBER(MATCH(DATEVALUE($A188),'changes1_based on steps'!K$1:K$400,0)),K$2,)</f>
        <v>0</v>
      </c>
      <c r="L188" s="179">
        <f ca="1">IF(ISNUMBER(MATCH(DATEVALUE($A188),'changes1_based on steps'!L$1:L$400,0)),L$2,)</f>
        <v>0</v>
      </c>
      <c r="M188" s="179">
        <f ca="1">IF(ISNUMBER(MATCH(DATEVALUE($A188),'changes1_based on steps'!M$1:M$400,0)),M$2,)</f>
        <v>0</v>
      </c>
      <c r="N188" s="179">
        <f ca="1">IF(ISNUMBER(MATCH(DATEVALUE($A188),'changes1_based on steps'!N$1:N$400,0)),N$2,)</f>
        <v>0</v>
      </c>
      <c r="O188" s="179">
        <f ca="1">IF(ISNUMBER(MATCH(DATEVALUE($A188),'changes1_based on steps'!O$1:O$400,0)),O$2,)</f>
        <v>0</v>
      </c>
      <c r="P188" s="179">
        <f ca="1">IF(ISNUMBER(MATCH(DATEVALUE($A188),'changes1_based on steps'!P$1:P$400,0)),P$2,)</f>
        <v>0</v>
      </c>
      <c r="Q188" s="179">
        <f ca="1">IF(ISNUMBER(MATCH(DATEVALUE($A188),'changes1_based on steps'!Q$1:Q$400,0)),Q$2,)</f>
        <v>0</v>
      </c>
      <c r="R188" s="179">
        <f ca="1">IF(ISNUMBER(MATCH(DATEVALUE($A188),'changes1_based on steps'!R$1:R$400,0)),R$2,)</f>
        <v>0</v>
      </c>
      <c r="S188" s="179">
        <f ca="1">IF(ISNUMBER(MATCH(DATEVALUE($A188),'changes1_based on steps'!S$1:S$400,0)),S$2,)</f>
        <v>0</v>
      </c>
      <c r="T188" s="179">
        <f ca="1">IF(ISNUMBER(MATCH(DATEVALUE($A188),'changes1_based on steps'!T$1:T$400,0)),T$2,)</f>
        <v>0</v>
      </c>
      <c r="U188" s="179">
        <f ca="1">IF(ISNUMBER(MATCH(DATEVALUE($A188),'changes1_based on steps'!U$1:U$400,0)),U$2,)</f>
        <v>0</v>
      </c>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row>
    <row r="189" spans="1:101" x14ac:dyDescent="0.2">
      <c r="A189" s="32" t="str">
        <f t="shared" ca="1" si="2"/>
        <v>2025-10-01</v>
      </c>
      <c r="B189" s="179">
        <f ca="1">IF(ISNUMBER(MATCH(DATEVALUE($A189),'changes1_based on steps'!B$1:B$400,0)),B$2,)</f>
        <v>0</v>
      </c>
      <c r="C189" s="179">
        <f ca="1">IF(ISNUMBER(MATCH(DATEVALUE($A189),'changes1_based on steps'!C$1:C$400,0)),C$2,)</f>
        <v>0</v>
      </c>
      <c r="D189" s="179">
        <f ca="1">IF(ISNUMBER(MATCH(DATEVALUE($A189),'changes1_based on steps'!D$1:D$400,0)),D$2,)</f>
        <v>0</v>
      </c>
      <c r="E189" s="179">
        <f ca="1">IF(ISNUMBER(MATCH(DATEVALUE($A189),'changes1_based on steps'!E$1:E$400,0)),E$2,)</f>
        <v>0</v>
      </c>
      <c r="F189" s="179">
        <f ca="1">IF(ISNUMBER(MATCH(DATEVALUE($A189),'changes1_based on steps'!F$1:F$400,0)),F$2,)</f>
        <v>0</v>
      </c>
      <c r="G189" s="179">
        <f ca="1">IF(ISNUMBER(MATCH(DATEVALUE($A189),'changes1_based on steps'!G$1:G$400,0)),G$2,)</f>
        <v>0</v>
      </c>
      <c r="H189" s="179">
        <f ca="1">IF(ISNUMBER(MATCH(DATEVALUE($A189),'changes1_based on steps'!H$1:H$400,0)),H$2,)</f>
        <v>0</v>
      </c>
      <c r="I189" s="179">
        <f ca="1">IF(ISNUMBER(MATCH(DATEVALUE($A189),'changes1_based on steps'!I$1:I$400,0)),I$2,)</f>
        <v>0</v>
      </c>
      <c r="J189" s="179">
        <f ca="1">IF(ISNUMBER(MATCH(DATEVALUE($A189),'changes1_based on steps'!J$1:J$400,0)),J$2,)</f>
        <v>0</v>
      </c>
      <c r="K189" s="179">
        <f ca="1">IF(ISNUMBER(MATCH(DATEVALUE($A189),'changes1_based on steps'!K$1:K$400,0)),K$2,)</f>
        <v>0</v>
      </c>
      <c r="L189" s="179">
        <f ca="1">IF(ISNUMBER(MATCH(DATEVALUE($A189),'changes1_based on steps'!L$1:L$400,0)),L$2,)</f>
        <v>0</v>
      </c>
      <c r="M189" s="179">
        <f ca="1">IF(ISNUMBER(MATCH(DATEVALUE($A189),'changes1_based on steps'!M$1:M$400,0)),M$2,)</f>
        <v>0</v>
      </c>
      <c r="N189" s="179">
        <f ca="1">IF(ISNUMBER(MATCH(DATEVALUE($A189),'changes1_based on steps'!N$1:N$400,0)),N$2,)</f>
        <v>0</v>
      </c>
      <c r="O189" s="179">
        <f ca="1">IF(ISNUMBER(MATCH(DATEVALUE($A189),'changes1_based on steps'!O$1:O$400,0)),O$2,)</f>
        <v>0</v>
      </c>
      <c r="P189" s="179">
        <f ca="1">IF(ISNUMBER(MATCH(DATEVALUE($A189),'changes1_based on steps'!P$1:P$400,0)),P$2,)</f>
        <v>0</v>
      </c>
      <c r="Q189" s="179">
        <f ca="1">IF(ISNUMBER(MATCH(DATEVALUE($A189),'changes1_based on steps'!Q$1:Q$400,0)),Q$2,)</f>
        <v>0</v>
      </c>
      <c r="R189" s="179">
        <f ca="1">IF(ISNUMBER(MATCH(DATEVALUE($A189),'changes1_based on steps'!R$1:R$400,0)),R$2,)</f>
        <v>0</v>
      </c>
      <c r="S189" s="179">
        <f ca="1">IF(ISNUMBER(MATCH(DATEVALUE($A189),'changes1_based on steps'!S$1:S$400,0)),S$2,)</f>
        <v>0</v>
      </c>
      <c r="T189" s="179">
        <f ca="1">IF(ISNUMBER(MATCH(DATEVALUE($A189),'changes1_based on steps'!T$1:T$400,0)),T$2,)</f>
        <v>0</v>
      </c>
      <c r="U189" s="179">
        <f ca="1">IF(ISNUMBER(MATCH(DATEVALUE($A189),'changes1_based on steps'!U$1:U$400,0)),U$2,)</f>
        <v>0</v>
      </c>
      <c r="V189" s="179"/>
      <c r="W189" s="179"/>
      <c r="X189" s="179"/>
      <c r="Y189" s="179"/>
      <c r="Z189" s="179"/>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c r="AV189" s="179"/>
      <c r="AW189" s="179"/>
      <c r="AX189" s="179"/>
      <c r="AY189" s="179"/>
      <c r="AZ189" s="179"/>
      <c r="BA189" s="179"/>
      <c r="BB189" s="179"/>
      <c r="BC189" s="179"/>
      <c r="BD189" s="179"/>
      <c r="BE189" s="179"/>
      <c r="BF189" s="179"/>
      <c r="BG189" s="179"/>
      <c r="BH189" s="179"/>
      <c r="BI189" s="179"/>
      <c r="BJ189" s="179"/>
      <c r="BK189" s="179"/>
      <c r="BL189" s="179"/>
      <c r="BM189" s="179"/>
      <c r="BN189" s="179"/>
      <c r="BO189" s="179"/>
      <c r="BP189" s="179"/>
      <c r="BQ189" s="179"/>
      <c r="BR189" s="179"/>
      <c r="BS189" s="179"/>
      <c r="BT189" s="179"/>
      <c r="BU189" s="179"/>
      <c r="BV189" s="179"/>
      <c r="BW189" s="179"/>
      <c r="BX189" s="179"/>
      <c r="BY189" s="179"/>
      <c r="BZ189" s="179"/>
      <c r="CA189" s="179"/>
      <c r="CB189" s="179"/>
      <c r="CC189" s="179"/>
      <c r="CD189" s="179"/>
      <c r="CE189" s="179"/>
      <c r="CF189" s="179"/>
      <c r="CG189" s="179"/>
      <c r="CH189" s="179"/>
      <c r="CI189" s="179"/>
      <c r="CJ189" s="179"/>
      <c r="CK189" s="179"/>
      <c r="CL189" s="179"/>
      <c r="CM189" s="179"/>
      <c r="CN189" s="179"/>
      <c r="CO189" s="179"/>
      <c r="CP189" s="179"/>
      <c r="CQ189" s="179"/>
      <c r="CR189" s="179"/>
      <c r="CS189" s="179"/>
      <c r="CT189" s="179"/>
      <c r="CU189" s="179"/>
      <c r="CV189" s="179"/>
      <c r="CW189" s="179"/>
    </row>
    <row r="190" spans="1:101" x14ac:dyDescent="0.2">
      <c r="A190" s="32" t="str">
        <f t="shared" ca="1" si="2"/>
        <v>2025-10-02</v>
      </c>
      <c r="B190" s="179">
        <f ca="1">IF(ISNUMBER(MATCH(DATEVALUE($A190),'changes1_based on steps'!B$1:B$400,0)),B$2,)</f>
        <v>0</v>
      </c>
      <c r="C190" s="179">
        <f ca="1">IF(ISNUMBER(MATCH(DATEVALUE($A190),'changes1_based on steps'!C$1:C$400,0)),C$2,)</f>
        <v>0</v>
      </c>
      <c r="D190" s="179">
        <f ca="1">IF(ISNUMBER(MATCH(DATEVALUE($A190),'changes1_based on steps'!D$1:D$400,0)),D$2,)</f>
        <v>0</v>
      </c>
      <c r="E190" s="179">
        <f ca="1">IF(ISNUMBER(MATCH(DATEVALUE($A190),'changes1_based on steps'!E$1:E$400,0)),E$2,)</f>
        <v>0</v>
      </c>
      <c r="F190" s="179">
        <f ca="1">IF(ISNUMBER(MATCH(DATEVALUE($A190),'changes1_based on steps'!F$1:F$400,0)),F$2,)</f>
        <v>0</v>
      </c>
      <c r="G190" s="179">
        <f ca="1">IF(ISNUMBER(MATCH(DATEVALUE($A190),'changes1_based on steps'!G$1:G$400,0)),G$2,)</f>
        <v>0</v>
      </c>
      <c r="H190" s="179">
        <f ca="1">IF(ISNUMBER(MATCH(DATEVALUE($A190),'changes1_based on steps'!H$1:H$400,0)),H$2,)</f>
        <v>0</v>
      </c>
      <c r="I190" s="179">
        <f ca="1">IF(ISNUMBER(MATCH(DATEVALUE($A190),'changes1_based on steps'!I$1:I$400,0)),I$2,)</f>
        <v>0</v>
      </c>
      <c r="J190" s="179">
        <f ca="1">IF(ISNUMBER(MATCH(DATEVALUE($A190),'changes1_based on steps'!J$1:J$400,0)),J$2,)</f>
        <v>0</v>
      </c>
      <c r="K190" s="179">
        <f ca="1">IF(ISNUMBER(MATCH(DATEVALUE($A190),'changes1_based on steps'!K$1:K$400,0)),K$2,)</f>
        <v>0</v>
      </c>
      <c r="L190" s="179">
        <f ca="1">IF(ISNUMBER(MATCH(DATEVALUE($A190),'changes1_based on steps'!L$1:L$400,0)),L$2,)</f>
        <v>0</v>
      </c>
      <c r="M190" s="179">
        <f ca="1">IF(ISNUMBER(MATCH(DATEVALUE($A190),'changes1_based on steps'!M$1:M$400,0)),M$2,)</f>
        <v>0</v>
      </c>
      <c r="N190" s="179">
        <f ca="1">IF(ISNUMBER(MATCH(DATEVALUE($A190),'changes1_based on steps'!N$1:N$400,0)),N$2,)</f>
        <v>0</v>
      </c>
      <c r="O190" s="179">
        <f ca="1">IF(ISNUMBER(MATCH(DATEVALUE($A190),'changes1_based on steps'!O$1:O$400,0)),O$2,)</f>
        <v>0</v>
      </c>
      <c r="P190" s="179">
        <f ca="1">IF(ISNUMBER(MATCH(DATEVALUE($A190),'changes1_based on steps'!P$1:P$400,0)),P$2,)</f>
        <v>0</v>
      </c>
      <c r="Q190" s="179">
        <f ca="1">IF(ISNUMBER(MATCH(DATEVALUE($A190),'changes1_based on steps'!Q$1:Q$400,0)),Q$2,)</f>
        <v>0</v>
      </c>
      <c r="R190" s="179">
        <f ca="1">IF(ISNUMBER(MATCH(DATEVALUE($A190),'changes1_based on steps'!R$1:R$400,0)),R$2,)</f>
        <v>0</v>
      </c>
      <c r="S190" s="179">
        <f ca="1">IF(ISNUMBER(MATCH(DATEVALUE($A190),'changes1_based on steps'!S$1:S$400,0)),S$2,)</f>
        <v>0</v>
      </c>
      <c r="T190" s="179">
        <f ca="1">IF(ISNUMBER(MATCH(DATEVALUE($A190),'changes1_based on steps'!T$1:T$400,0)),T$2,)</f>
        <v>0</v>
      </c>
      <c r="U190" s="179">
        <f ca="1">IF(ISNUMBER(MATCH(DATEVALUE($A190),'changes1_based on steps'!U$1:U$400,0)),U$2,)</f>
        <v>0</v>
      </c>
      <c r="V190" s="179"/>
      <c r="W190" s="179"/>
      <c r="X190" s="179"/>
      <c r="Y190" s="179"/>
      <c r="Z190" s="179"/>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c r="AV190" s="179"/>
      <c r="AW190" s="179"/>
      <c r="AX190" s="179"/>
      <c r="AY190" s="179"/>
      <c r="AZ190" s="179"/>
      <c r="BA190" s="179"/>
      <c r="BB190" s="179"/>
      <c r="BC190" s="179"/>
      <c r="BD190" s="179"/>
      <c r="BE190" s="179"/>
      <c r="BF190" s="179"/>
      <c r="BG190" s="179"/>
      <c r="BH190" s="179"/>
      <c r="BI190" s="179"/>
      <c r="BJ190" s="179"/>
      <c r="BK190" s="179"/>
      <c r="BL190" s="179"/>
      <c r="BM190" s="179"/>
      <c r="BN190" s="179"/>
      <c r="BO190" s="179"/>
      <c r="BP190" s="179"/>
      <c r="BQ190" s="179"/>
      <c r="BR190" s="179"/>
      <c r="BS190" s="179"/>
      <c r="BT190" s="179"/>
      <c r="BU190" s="179"/>
      <c r="BV190" s="179"/>
      <c r="BW190" s="179"/>
      <c r="BX190" s="179"/>
      <c r="BY190" s="179"/>
      <c r="BZ190" s="179"/>
      <c r="CA190" s="179"/>
      <c r="CB190" s="179"/>
      <c r="CC190" s="179"/>
      <c r="CD190" s="179"/>
      <c r="CE190" s="179"/>
      <c r="CF190" s="179"/>
      <c r="CG190" s="179"/>
      <c r="CH190" s="179"/>
      <c r="CI190" s="179"/>
      <c r="CJ190" s="179"/>
      <c r="CK190" s="179"/>
      <c r="CL190" s="179"/>
      <c r="CM190" s="179"/>
      <c r="CN190" s="179"/>
      <c r="CO190" s="179"/>
      <c r="CP190" s="179"/>
      <c r="CQ190" s="179"/>
      <c r="CR190" s="179"/>
      <c r="CS190" s="179"/>
      <c r="CT190" s="179"/>
      <c r="CU190" s="179"/>
      <c r="CV190" s="179"/>
      <c r="CW190" s="179"/>
    </row>
    <row r="191" spans="1:101" x14ac:dyDescent="0.2">
      <c r="A191" s="32" t="str">
        <f t="shared" ca="1" si="2"/>
        <v>2025-10-03</v>
      </c>
      <c r="B191" s="179">
        <f ca="1">IF(ISNUMBER(MATCH(DATEVALUE($A191),'changes1_based on steps'!B$1:B$400,0)),B$2,)</f>
        <v>0</v>
      </c>
      <c r="C191" s="179">
        <f ca="1">IF(ISNUMBER(MATCH(DATEVALUE($A191),'changes1_based on steps'!C$1:C$400,0)),C$2,)</f>
        <v>0</v>
      </c>
      <c r="D191" s="179">
        <f ca="1">IF(ISNUMBER(MATCH(DATEVALUE($A191),'changes1_based on steps'!D$1:D$400,0)),D$2,)</f>
        <v>0</v>
      </c>
      <c r="E191" s="179">
        <f ca="1">IF(ISNUMBER(MATCH(DATEVALUE($A191),'changes1_based on steps'!E$1:E$400,0)),E$2,)</f>
        <v>0</v>
      </c>
      <c r="F191" s="179">
        <f ca="1">IF(ISNUMBER(MATCH(DATEVALUE($A191),'changes1_based on steps'!F$1:F$400,0)),F$2,)</f>
        <v>0</v>
      </c>
      <c r="G191" s="179">
        <f ca="1">IF(ISNUMBER(MATCH(DATEVALUE($A191),'changes1_based on steps'!G$1:G$400,0)),G$2,)</f>
        <v>0</v>
      </c>
      <c r="H191" s="179">
        <f ca="1">IF(ISNUMBER(MATCH(DATEVALUE($A191),'changes1_based on steps'!H$1:H$400,0)),H$2,)</f>
        <v>0</v>
      </c>
      <c r="I191" s="179">
        <f ca="1">IF(ISNUMBER(MATCH(DATEVALUE($A191),'changes1_based on steps'!I$1:I$400,0)),I$2,)</f>
        <v>0</v>
      </c>
      <c r="J191" s="179">
        <f ca="1">IF(ISNUMBER(MATCH(DATEVALUE($A191),'changes1_based on steps'!J$1:J$400,0)),J$2,)</f>
        <v>0</v>
      </c>
      <c r="K191" s="179">
        <f ca="1">IF(ISNUMBER(MATCH(DATEVALUE($A191),'changes1_based on steps'!K$1:K$400,0)),K$2,)</f>
        <v>0</v>
      </c>
      <c r="L191" s="179">
        <f ca="1">IF(ISNUMBER(MATCH(DATEVALUE($A191),'changes1_based on steps'!L$1:L$400,0)),L$2,)</f>
        <v>0</v>
      </c>
      <c r="M191" s="179">
        <f ca="1">IF(ISNUMBER(MATCH(DATEVALUE($A191),'changes1_based on steps'!M$1:M$400,0)),M$2,)</f>
        <v>0</v>
      </c>
      <c r="N191" s="179">
        <f ca="1">IF(ISNUMBER(MATCH(DATEVALUE($A191),'changes1_based on steps'!N$1:N$400,0)),N$2,)</f>
        <v>0</v>
      </c>
      <c r="O191" s="179">
        <f ca="1">IF(ISNUMBER(MATCH(DATEVALUE($A191),'changes1_based on steps'!O$1:O$400,0)),O$2,)</f>
        <v>0</v>
      </c>
      <c r="P191" s="179">
        <f ca="1">IF(ISNUMBER(MATCH(DATEVALUE($A191),'changes1_based on steps'!P$1:P$400,0)),P$2,)</f>
        <v>0</v>
      </c>
      <c r="Q191" s="179">
        <f ca="1">IF(ISNUMBER(MATCH(DATEVALUE($A191),'changes1_based on steps'!Q$1:Q$400,0)),Q$2,)</f>
        <v>0</v>
      </c>
      <c r="R191" s="179">
        <f ca="1">IF(ISNUMBER(MATCH(DATEVALUE($A191),'changes1_based on steps'!R$1:R$400,0)),R$2,)</f>
        <v>0</v>
      </c>
      <c r="S191" s="179">
        <f ca="1">IF(ISNUMBER(MATCH(DATEVALUE($A191),'changes1_based on steps'!S$1:S$400,0)),S$2,)</f>
        <v>0</v>
      </c>
      <c r="T191" s="179">
        <f ca="1">IF(ISNUMBER(MATCH(DATEVALUE($A191),'changes1_based on steps'!T$1:T$400,0)),T$2,)</f>
        <v>0</v>
      </c>
      <c r="U191" s="179">
        <f ca="1">IF(ISNUMBER(MATCH(DATEVALUE($A191),'changes1_based on steps'!U$1:U$400,0)),U$2,)</f>
        <v>0</v>
      </c>
      <c r="V191" s="179"/>
      <c r="W191" s="179"/>
      <c r="X191" s="179"/>
      <c r="Y191" s="179"/>
      <c r="Z191" s="179"/>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c r="AV191" s="179"/>
      <c r="AW191" s="179"/>
      <c r="AX191" s="179"/>
      <c r="AY191" s="179"/>
      <c r="AZ191" s="179"/>
      <c r="BA191" s="179"/>
      <c r="BB191" s="179"/>
      <c r="BC191" s="179"/>
      <c r="BD191" s="179"/>
      <c r="BE191" s="179"/>
      <c r="BF191" s="179"/>
      <c r="BG191" s="179"/>
      <c r="BH191" s="179"/>
      <c r="BI191" s="179"/>
      <c r="BJ191" s="179"/>
      <c r="BK191" s="179"/>
      <c r="BL191" s="179"/>
      <c r="BM191" s="179"/>
      <c r="BN191" s="179"/>
      <c r="BO191" s="179"/>
      <c r="BP191" s="179"/>
      <c r="BQ191" s="179"/>
      <c r="BR191" s="179"/>
      <c r="BS191" s="179"/>
      <c r="BT191" s="179"/>
      <c r="BU191" s="179"/>
      <c r="BV191" s="179"/>
      <c r="BW191" s="179"/>
      <c r="BX191" s="179"/>
      <c r="BY191" s="179"/>
      <c r="BZ191" s="179"/>
      <c r="CA191" s="179"/>
      <c r="CB191" s="179"/>
      <c r="CC191" s="179"/>
      <c r="CD191" s="179"/>
      <c r="CE191" s="179"/>
      <c r="CF191" s="179"/>
      <c r="CG191" s="179"/>
      <c r="CH191" s="179"/>
      <c r="CI191" s="179"/>
      <c r="CJ191" s="179"/>
      <c r="CK191" s="179"/>
      <c r="CL191" s="179"/>
      <c r="CM191" s="179"/>
      <c r="CN191" s="179"/>
      <c r="CO191" s="179"/>
      <c r="CP191" s="179"/>
      <c r="CQ191" s="179"/>
      <c r="CR191" s="179"/>
      <c r="CS191" s="179"/>
      <c r="CT191" s="179"/>
      <c r="CU191" s="179"/>
      <c r="CV191" s="179"/>
      <c r="CW191" s="179"/>
    </row>
    <row r="192" spans="1:101" x14ac:dyDescent="0.2">
      <c r="A192" s="32" t="str">
        <f t="shared" ca="1" si="2"/>
        <v>2025-10-04</v>
      </c>
      <c r="B192" s="179">
        <f ca="1">IF(ISNUMBER(MATCH(DATEVALUE($A192),'changes1_based on steps'!B$1:B$400,0)),B$2,)</f>
        <v>0</v>
      </c>
      <c r="C192" s="179">
        <f ca="1">IF(ISNUMBER(MATCH(DATEVALUE($A192),'changes1_based on steps'!C$1:C$400,0)),C$2,)</f>
        <v>0</v>
      </c>
      <c r="D192" s="179">
        <f ca="1">IF(ISNUMBER(MATCH(DATEVALUE($A192),'changes1_based on steps'!D$1:D$400,0)),D$2,)</f>
        <v>0</v>
      </c>
      <c r="E192" s="179">
        <f ca="1">IF(ISNUMBER(MATCH(DATEVALUE($A192),'changes1_based on steps'!E$1:E$400,0)),E$2,)</f>
        <v>0</v>
      </c>
      <c r="F192" s="179">
        <f ca="1">IF(ISNUMBER(MATCH(DATEVALUE($A192),'changes1_based on steps'!F$1:F$400,0)),F$2,)</f>
        <v>0</v>
      </c>
      <c r="G192" s="179">
        <f ca="1">IF(ISNUMBER(MATCH(DATEVALUE($A192),'changes1_based on steps'!G$1:G$400,0)),G$2,)</f>
        <v>0</v>
      </c>
      <c r="H192" s="179">
        <f ca="1">IF(ISNUMBER(MATCH(DATEVALUE($A192),'changes1_based on steps'!H$1:H$400,0)),H$2,)</f>
        <v>0</v>
      </c>
      <c r="I192" s="179">
        <f ca="1">IF(ISNUMBER(MATCH(DATEVALUE($A192),'changes1_based on steps'!I$1:I$400,0)),I$2,)</f>
        <v>0</v>
      </c>
      <c r="J192" s="179">
        <f ca="1">IF(ISNUMBER(MATCH(DATEVALUE($A192),'changes1_based on steps'!J$1:J$400,0)),J$2,)</f>
        <v>0</v>
      </c>
      <c r="K192" s="179">
        <f ca="1">IF(ISNUMBER(MATCH(DATEVALUE($A192),'changes1_based on steps'!K$1:K$400,0)),K$2,)</f>
        <v>0</v>
      </c>
      <c r="L192" s="179">
        <f ca="1">IF(ISNUMBER(MATCH(DATEVALUE($A192),'changes1_based on steps'!L$1:L$400,0)),L$2,)</f>
        <v>0</v>
      </c>
      <c r="M192" s="179">
        <f ca="1">IF(ISNUMBER(MATCH(DATEVALUE($A192),'changes1_based on steps'!M$1:M$400,0)),M$2,)</f>
        <v>0</v>
      </c>
      <c r="N192" s="179">
        <f ca="1">IF(ISNUMBER(MATCH(DATEVALUE($A192),'changes1_based on steps'!N$1:N$400,0)),N$2,)</f>
        <v>0</v>
      </c>
      <c r="O192" s="179">
        <f ca="1">IF(ISNUMBER(MATCH(DATEVALUE($A192),'changes1_based on steps'!O$1:O$400,0)),O$2,)</f>
        <v>0</v>
      </c>
      <c r="P192" s="179">
        <f ca="1">IF(ISNUMBER(MATCH(DATEVALUE($A192),'changes1_based on steps'!P$1:P$400,0)),P$2,)</f>
        <v>0</v>
      </c>
      <c r="Q192" s="179">
        <f ca="1">IF(ISNUMBER(MATCH(DATEVALUE($A192),'changes1_based on steps'!Q$1:Q$400,0)),Q$2,)</f>
        <v>0</v>
      </c>
      <c r="R192" s="179">
        <f ca="1">IF(ISNUMBER(MATCH(DATEVALUE($A192),'changes1_based on steps'!R$1:R$400,0)),R$2,)</f>
        <v>0</v>
      </c>
      <c r="S192" s="179">
        <f ca="1">IF(ISNUMBER(MATCH(DATEVALUE($A192),'changes1_based on steps'!S$1:S$400,0)),S$2,)</f>
        <v>0</v>
      </c>
      <c r="T192" s="179">
        <f ca="1">IF(ISNUMBER(MATCH(DATEVALUE($A192),'changes1_based on steps'!T$1:T$400,0)),T$2,)</f>
        <v>0</v>
      </c>
      <c r="U192" s="179">
        <f ca="1">IF(ISNUMBER(MATCH(DATEVALUE($A192),'changes1_based on steps'!U$1:U$400,0)),U$2,)</f>
        <v>0</v>
      </c>
      <c r="V192" s="179"/>
      <c r="W192" s="179"/>
      <c r="X192" s="179"/>
      <c r="Y192" s="179"/>
      <c r="Z192" s="179"/>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c r="AV192" s="179"/>
      <c r="AW192" s="179"/>
      <c r="AX192" s="179"/>
      <c r="AY192" s="179"/>
      <c r="AZ192" s="179"/>
      <c r="BA192" s="179"/>
      <c r="BB192" s="179"/>
      <c r="BC192" s="179"/>
      <c r="BD192" s="179"/>
      <c r="BE192" s="179"/>
      <c r="BF192" s="179"/>
      <c r="BG192" s="179"/>
      <c r="BH192" s="179"/>
      <c r="BI192" s="179"/>
      <c r="BJ192" s="179"/>
      <c r="BK192" s="179"/>
      <c r="BL192" s="179"/>
      <c r="BM192" s="179"/>
      <c r="BN192" s="179"/>
      <c r="BO192" s="179"/>
      <c r="BP192" s="179"/>
      <c r="BQ192" s="179"/>
      <c r="BR192" s="179"/>
      <c r="BS192" s="179"/>
      <c r="BT192" s="179"/>
      <c r="BU192" s="179"/>
      <c r="BV192" s="179"/>
      <c r="BW192" s="179"/>
      <c r="BX192" s="179"/>
      <c r="BY192" s="179"/>
      <c r="BZ192" s="179"/>
      <c r="CA192" s="179"/>
      <c r="CB192" s="179"/>
      <c r="CC192" s="179"/>
      <c r="CD192" s="179"/>
      <c r="CE192" s="179"/>
      <c r="CF192" s="179"/>
      <c r="CG192" s="179"/>
      <c r="CH192" s="179"/>
      <c r="CI192" s="179"/>
      <c r="CJ192" s="179"/>
      <c r="CK192" s="179"/>
      <c r="CL192" s="179"/>
      <c r="CM192" s="179"/>
      <c r="CN192" s="179"/>
      <c r="CO192" s="179"/>
      <c r="CP192" s="179"/>
      <c r="CQ192" s="179"/>
      <c r="CR192" s="179"/>
      <c r="CS192" s="179"/>
      <c r="CT192" s="179"/>
      <c r="CU192" s="179"/>
      <c r="CV192" s="179"/>
      <c r="CW192" s="179"/>
    </row>
    <row r="193" spans="1:101" x14ac:dyDescent="0.2">
      <c r="A193" s="32" t="str">
        <f t="shared" ca="1" si="2"/>
        <v>2025-10-05</v>
      </c>
      <c r="B193" s="179">
        <f ca="1">IF(ISNUMBER(MATCH(DATEVALUE($A193),'changes1_based on steps'!B$1:B$400,0)),B$2,)</f>
        <v>0</v>
      </c>
      <c r="C193" s="179">
        <f ca="1">IF(ISNUMBER(MATCH(DATEVALUE($A193),'changes1_based on steps'!C$1:C$400,0)),C$2,)</f>
        <v>0</v>
      </c>
      <c r="D193" s="179">
        <f ca="1">IF(ISNUMBER(MATCH(DATEVALUE($A193),'changes1_based on steps'!D$1:D$400,0)),D$2,)</f>
        <v>0</v>
      </c>
      <c r="E193" s="179">
        <f ca="1">IF(ISNUMBER(MATCH(DATEVALUE($A193),'changes1_based on steps'!E$1:E$400,0)),E$2,)</f>
        <v>0</v>
      </c>
      <c r="F193" s="179">
        <f ca="1">IF(ISNUMBER(MATCH(DATEVALUE($A193),'changes1_based on steps'!F$1:F$400,0)),F$2,)</f>
        <v>0</v>
      </c>
      <c r="G193" s="179">
        <f ca="1">IF(ISNUMBER(MATCH(DATEVALUE($A193),'changes1_based on steps'!G$1:G$400,0)),G$2,)</f>
        <v>0</v>
      </c>
      <c r="H193" s="179">
        <f ca="1">IF(ISNUMBER(MATCH(DATEVALUE($A193),'changes1_based on steps'!H$1:H$400,0)),H$2,)</f>
        <v>0</v>
      </c>
      <c r="I193" s="179">
        <f ca="1">IF(ISNUMBER(MATCH(DATEVALUE($A193),'changes1_based on steps'!I$1:I$400,0)),I$2,)</f>
        <v>0</v>
      </c>
      <c r="J193" s="179">
        <f ca="1">IF(ISNUMBER(MATCH(DATEVALUE($A193),'changes1_based on steps'!J$1:J$400,0)),J$2,)</f>
        <v>0</v>
      </c>
      <c r="K193" s="179">
        <f ca="1">IF(ISNUMBER(MATCH(DATEVALUE($A193),'changes1_based on steps'!K$1:K$400,0)),K$2,)</f>
        <v>0</v>
      </c>
      <c r="L193" s="179">
        <f ca="1">IF(ISNUMBER(MATCH(DATEVALUE($A193),'changes1_based on steps'!L$1:L$400,0)),L$2,)</f>
        <v>0</v>
      </c>
      <c r="M193" s="179">
        <f ca="1">IF(ISNUMBER(MATCH(DATEVALUE($A193),'changes1_based on steps'!M$1:M$400,0)),M$2,)</f>
        <v>0</v>
      </c>
      <c r="N193" s="179">
        <f ca="1">IF(ISNUMBER(MATCH(DATEVALUE($A193),'changes1_based on steps'!N$1:N$400,0)),N$2,)</f>
        <v>0</v>
      </c>
      <c r="O193" s="179">
        <f ca="1">IF(ISNUMBER(MATCH(DATEVALUE($A193),'changes1_based on steps'!O$1:O$400,0)),O$2,)</f>
        <v>0</v>
      </c>
      <c r="P193" s="179">
        <f ca="1">IF(ISNUMBER(MATCH(DATEVALUE($A193),'changes1_based on steps'!P$1:P$400,0)),P$2,)</f>
        <v>0</v>
      </c>
      <c r="Q193" s="179">
        <f ca="1">IF(ISNUMBER(MATCH(DATEVALUE($A193),'changes1_based on steps'!Q$1:Q$400,0)),Q$2,)</f>
        <v>0</v>
      </c>
      <c r="R193" s="179">
        <f ca="1">IF(ISNUMBER(MATCH(DATEVALUE($A193),'changes1_based on steps'!R$1:R$400,0)),R$2,)</f>
        <v>0</v>
      </c>
      <c r="S193" s="179">
        <f ca="1">IF(ISNUMBER(MATCH(DATEVALUE($A193),'changes1_based on steps'!S$1:S$400,0)),S$2,)</f>
        <v>0</v>
      </c>
      <c r="T193" s="179">
        <f ca="1">IF(ISNUMBER(MATCH(DATEVALUE($A193),'changes1_based on steps'!T$1:T$400,0)),T$2,)</f>
        <v>0</v>
      </c>
      <c r="U193" s="179">
        <f ca="1">IF(ISNUMBER(MATCH(DATEVALUE($A193),'changes1_based on steps'!U$1:U$400,0)),U$2,)</f>
        <v>0</v>
      </c>
      <c r="V193" s="179"/>
      <c r="W193" s="179"/>
      <c r="X193" s="179"/>
      <c r="Y193" s="179"/>
      <c r="Z193" s="179"/>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c r="AV193" s="179"/>
      <c r="AW193" s="179"/>
      <c r="AX193" s="179"/>
      <c r="AY193" s="179"/>
      <c r="AZ193" s="179"/>
      <c r="BA193" s="179"/>
      <c r="BB193" s="179"/>
      <c r="BC193" s="179"/>
      <c r="BD193" s="179"/>
      <c r="BE193" s="179"/>
      <c r="BF193" s="179"/>
      <c r="BG193" s="179"/>
      <c r="BH193" s="179"/>
      <c r="BI193" s="179"/>
      <c r="BJ193" s="179"/>
      <c r="BK193" s="179"/>
      <c r="BL193" s="179"/>
      <c r="BM193" s="179"/>
      <c r="BN193" s="179"/>
      <c r="BO193" s="179"/>
      <c r="BP193" s="179"/>
      <c r="BQ193" s="179"/>
      <c r="BR193" s="179"/>
      <c r="BS193" s="179"/>
      <c r="BT193" s="179"/>
      <c r="BU193" s="179"/>
      <c r="BV193" s="179"/>
      <c r="BW193" s="179"/>
      <c r="BX193" s="179"/>
      <c r="BY193" s="179"/>
      <c r="BZ193" s="179"/>
      <c r="CA193" s="179"/>
      <c r="CB193" s="179"/>
      <c r="CC193" s="179"/>
      <c r="CD193" s="179"/>
      <c r="CE193" s="179"/>
      <c r="CF193" s="179"/>
      <c r="CG193" s="179"/>
      <c r="CH193" s="179"/>
      <c r="CI193" s="179"/>
      <c r="CJ193" s="179"/>
      <c r="CK193" s="179"/>
      <c r="CL193" s="179"/>
      <c r="CM193" s="179"/>
      <c r="CN193" s="179"/>
      <c r="CO193" s="179"/>
      <c r="CP193" s="179"/>
      <c r="CQ193" s="179"/>
      <c r="CR193" s="179"/>
      <c r="CS193" s="179"/>
      <c r="CT193" s="179"/>
      <c r="CU193" s="179"/>
      <c r="CV193" s="179"/>
      <c r="CW193" s="179"/>
    </row>
    <row r="194" spans="1:101" x14ac:dyDescent="0.2">
      <c r="A194" s="32" t="str">
        <f t="shared" ca="1" si="2"/>
        <v>2025-10-06</v>
      </c>
      <c r="B194" s="179">
        <f ca="1">IF(ISNUMBER(MATCH(DATEVALUE($A194),'changes1_based on steps'!B$1:B$400,0)),B$2,)</f>
        <v>0</v>
      </c>
      <c r="C194" s="179">
        <f ca="1">IF(ISNUMBER(MATCH(DATEVALUE($A194),'changes1_based on steps'!C$1:C$400,0)),C$2,)</f>
        <v>0</v>
      </c>
      <c r="D194" s="179">
        <f ca="1">IF(ISNUMBER(MATCH(DATEVALUE($A194),'changes1_based on steps'!D$1:D$400,0)),D$2,)</f>
        <v>0</v>
      </c>
      <c r="E194" s="179">
        <f ca="1">IF(ISNUMBER(MATCH(DATEVALUE($A194),'changes1_based on steps'!E$1:E$400,0)),E$2,)</f>
        <v>0</v>
      </c>
      <c r="F194" s="179">
        <f ca="1">IF(ISNUMBER(MATCH(DATEVALUE($A194),'changes1_based on steps'!F$1:F$400,0)),F$2,)</f>
        <v>0</v>
      </c>
      <c r="G194" s="179">
        <f ca="1">IF(ISNUMBER(MATCH(DATEVALUE($A194),'changes1_based on steps'!G$1:G$400,0)),G$2,)</f>
        <v>0</v>
      </c>
      <c r="H194" s="179">
        <f ca="1">IF(ISNUMBER(MATCH(DATEVALUE($A194),'changes1_based on steps'!H$1:H$400,0)),H$2,)</f>
        <v>0</v>
      </c>
      <c r="I194" s="179">
        <f ca="1">IF(ISNUMBER(MATCH(DATEVALUE($A194),'changes1_based on steps'!I$1:I$400,0)),I$2,)</f>
        <v>0</v>
      </c>
      <c r="J194" s="179">
        <f ca="1">IF(ISNUMBER(MATCH(DATEVALUE($A194),'changes1_based on steps'!J$1:J$400,0)),J$2,)</f>
        <v>0</v>
      </c>
      <c r="K194" s="179">
        <f ca="1">IF(ISNUMBER(MATCH(DATEVALUE($A194),'changes1_based on steps'!K$1:K$400,0)),K$2,)</f>
        <v>0</v>
      </c>
      <c r="L194" s="179">
        <f ca="1">IF(ISNUMBER(MATCH(DATEVALUE($A194),'changes1_based on steps'!L$1:L$400,0)),L$2,)</f>
        <v>0</v>
      </c>
      <c r="M194" s="179">
        <f ca="1">IF(ISNUMBER(MATCH(DATEVALUE($A194),'changes1_based on steps'!M$1:M$400,0)),M$2,)</f>
        <v>0</v>
      </c>
      <c r="N194" s="179">
        <f ca="1">IF(ISNUMBER(MATCH(DATEVALUE($A194),'changes1_based on steps'!N$1:N$400,0)),N$2,)</f>
        <v>0</v>
      </c>
      <c r="O194" s="179">
        <f ca="1">IF(ISNUMBER(MATCH(DATEVALUE($A194),'changes1_based on steps'!O$1:O$400,0)),O$2,)</f>
        <v>0</v>
      </c>
      <c r="P194" s="179">
        <f ca="1">IF(ISNUMBER(MATCH(DATEVALUE($A194),'changes1_based on steps'!P$1:P$400,0)),P$2,)</f>
        <v>0</v>
      </c>
      <c r="Q194" s="179">
        <f ca="1">IF(ISNUMBER(MATCH(DATEVALUE($A194),'changes1_based on steps'!Q$1:Q$400,0)),Q$2,)</f>
        <v>0</v>
      </c>
      <c r="R194" s="179">
        <f ca="1">IF(ISNUMBER(MATCH(DATEVALUE($A194),'changes1_based on steps'!R$1:R$400,0)),R$2,)</f>
        <v>0</v>
      </c>
      <c r="S194" s="179">
        <f ca="1">IF(ISNUMBER(MATCH(DATEVALUE($A194),'changes1_based on steps'!S$1:S$400,0)),S$2,)</f>
        <v>0</v>
      </c>
      <c r="T194" s="179">
        <f ca="1">IF(ISNUMBER(MATCH(DATEVALUE($A194),'changes1_based on steps'!T$1:T$400,0)),T$2,)</f>
        <v>0</v>
      </c>
      <c r="U194" s="179">
        <f ca="1">IF(ISNUMBER(MATCH(DATEVALUE($A194),'changes1_based on steps'!U$1:U$400,0)),U$2,)</f>
        <v>0</v>
      </c>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row>
    <row r="195" spans="1:101" x14ac:dyDescent="0.2">
      <c r="A195" s="32" t="str">
        <f t="shared" ca="1" si="2"/>
        <v>2025-10-07</v>
      </c>
      <c r="B195" s="179">
        <f ca="1">IF(ISNUMBER(MATCH(DATEVALUE($A195),'changes1_based on steps'!B$1:B$400,0)),B$2,)</f>
        <v>0</v>
      </c>
      <c r="C195" s="179">
        <f ca="1">IF(ISNUMBER(MATCH(DATEVALUE($A195),'changes1_based on steps'!C$1:C$400,0)),C$2,)</f>
        <v>0</v>
      </c>
      <c r="D195" s="179">
        <f ca="1">IF(ISNUMBER(MATCH(DATEVALUE($A195),'changes1_based on steps'!D$1:D$400,0)),D$2,)</f>
        <v>0</v>
      </c>
      <c r="E195" s="179">
        <f ca="1">IF(ISNUMBER(MATCH(DATEVALUE($A195),'changes1_based on steps'!E$1:E$400,0)),E$2,)</f>
        <v>0</v>
      </c>
      <c r="F195" s="179">
        <f ca="1">IF(ISNUMBER(MATCH(DATEVALUE($A195),'changes1_based on steps'!F$1:F$400,0)),F$2,)</f>
        <v>0</v>
      </c>
      <c r="G195" s="179">
        <f ca="1">IF(ISNUMBER(MATCH(DATEVALUE($A195),'changes1_based on steps'!G$1:G$400,0)),G$2,)</f>
        <v>0</v>
      </c>
      <c r="H195" s="179">
        <f ca="1">IF(ISNUMBER(MATCH(DATEVALUE($A195),'changes1_based on steps'!H$1:H$400,0)),H$2,)</f>
        <v>0</v>
      </c>
      <c r="I195" s="179">
        <f ca="1">IF(ISNUMBER(MATCH(DATEVALUE($A195),'changes1_based on steps'!I$1:I$400,0)),I$2,)</f>
        <v>0</v>
      </c>
      <c r="J195" s="179">
        <f ca="1">IF(ISNUMBER(MATCH(DATEVALUE($A195),'changes1_based on steps'!J$1:J$400,0)),J$2,)</f>
        <v>0</v>
      </c>
      <c r="K195" s="179">
        <f ca="1">IF(ISNUMBER(MATCH(DATEVALUE($A195),'changes1_based on steps'!K$1:K$400,0)),K$2,)</f>
        <v>0</v>
      </c>
      <c r="L195" s="179">
        <f ca="1">IF(ISNUMBER(MATCH(DATEVALUE($A195),'changes1_based on steps'!L$1:L$400,0)),L$2,)</f>
        <v>0</v>
      </c>
      <c r="M195" s="179">
        <f ca="1">IF(ISNUMBER(MATCH(DATEVALUE($A195),'changes1_based on steps'!M$1:M$400,0)),M$2,)</f>
        <v>0</v>
      </c>
      <c r="N195" s="179">
        <f ca="1">IF(ISNUMBER(MATCH(DATEVALUE($A195),'changes1_based on steps'!N$1:N$400,0)),N$2,)</f>
        <v>0</v>
      </c>
      <c r="O195" s="179">
        <f ca="1">IF(ISNUMBER(MATCH(DATEVALUE($A195),'changes1_based on steps'!O$1:O$400,0)),O$2,)</f>
        <v>0</v>
      </c>
      <c r="P195" s="179">
        <f ca="1">IF(ISNUMBER(MATCH(DATEVALUE($A195),'changes1_based on steps'!P$1:P$400,0)),P$2,)</f>
        <v>0</v>
      </c>
      <c r="Q195" s="179">
        <f ca="1">IF(ISNUMBER(MATCH(DATEVALUE($A195),'changes1_based on steps'!Q$1:Q$400,0)),Q$2,)</f>
        <v>0</v>
      </c>
      <c r="R195" s="179">
        <f ca="1">IF(ISNUMBER(MATCH(DATEVALUE($A195),'changes1_based on steps'!R$1:R$400,0)),R$2,)</f>
        <v>0</v>
      </c>
      <c r="S195" s="179">
        <f ca="1">IF(ISNUMBER(MATCH(DATEVALUE($A195),'changes1_based on steps'!S$1:S$400,0)),S$2,)</f>
        <v>0</v>
      </c>
      <c r="T195" s="179">
        <f ca="1">IF(ISNUMBER(MATCH(DATEVALUE($A195),'changes1_based on steps'!T$1:T$400,0)),T$2,)</f>
        <v>0</v>
      </c>
      <c r="U195" s="179">
        <f ca="1">IF(ISNUMBER(MATCH(DATEVALUE($A195),'changes1_based on steps'!U$1:U$400,0)),U$2,)</f>
        <v>0</v>
      </c>
      <c r="V195" s="179"/>
      <c r="W195" s="179"/>
      <c r="X195" s="179"/>
      <c r="Y195" s="179"/>
      <c r="Z195" s="179"/>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c r="AV195" s="179"/>
      <c r="AW195" s="179"/>
      <c r="AX195" s="179"/>
      <c r="AY195" s="179"/>
      <c r="AZ195" s="179"/>
      <c r="BA195" s="179"/>
      <c r="BB195" s="179"/>
      <c r="BC195" s="179"/>
      <c r="BD195" s="179"/>
      <c r="BE195" s="179"/>
      <c r="BF195" s="179"/>
      <c r="BG195" s="179"/>
      <c r="BH195" s="179"/>
      <c r="BI195" s="179"/>
      <c r="BJ195" s="179"/>
      <c r="BK195" s="179"/>
      <c r="BL195" s="179"/>
      <c r="BM195" s="179"/>
      <c r="BN195" s="179"/>
      <c r="BO195" s="179"/>
      <c r="BP195" s="179"/>
      <c r="BQ195" s="179"/>
      <c r="BR195" s="179"/>
      <c r="BS195" s="179"/>
      <c r="BT195" s="179"/>
      <c r="BU195" s="179"/>
      <c r="BV195" s="179"/>
      <c r="BW195" s="179"/>
      <c r="BX195" s="179"/>
      <c r="BY195" s="179"/>
      <c r="BZ195" s="179"/>
      <c r="CA195" s="179"/>
      <c r="CB195" s="179"/>
      <c r="CC195" s="179"/>
      <c r="CD195" s="179"/>
      <c r="CE195" s="179"/>
      <c r="CF195" s="179"/>
      <c r="CG195" s="179"/>
      <c r="CH195" s="179"/>
      <c r="CI195" s="179"/>
      <c r="CJ195" s="179"/>
      <c r="CK195" s="179"/>
      <c r="CL195" s="179"/>
      <c r="CM195" s="179"/>
      <c r="CN195" s="179"/>
      <c r="CO195" s="179"/>
      <c r="CP195" s="179"/>
      <c r="CQ195" s="179"/>
      <c r="CR195" s="179"/>
      <c r="CS195" s="179"/>
      <c r="CT195" s="179"/>
      <c r="CU195" s="179"/>
      <c r="CV195" s="179"/>
      <c r="CW195" s="179"/>
    </row>
    <row r="196" spans="1:101" x14ac:dyDescent="0.2">
      <c r="A196" s="32" t="str">
        <f t="shared" ca="1" si="2"/>
        <v>2025-10-08</v>
      </c>
      <c r="B196" s="179">
        <f ca="1">IF(ISNUMBER(MATCH(DATEVALUE($A196),'changes1_based on steps'!B$1:B$400,0)),B$2,)</f>
        <v>0</v>
      </c>
      <c r="C196" s="179">
        <f ca="1">IF(ISNUMBER(MATCH(DATEVALUE($A196),'changes1_based on steps'!C$1:C$400,0)),C$2,)</f>
        <v>0</v>
      </c>
      <c r="D196" s="179">
        <f ca="1">IF(ISNUMBER(MATCH(DATEVALUE($A196),'changes1_based on steps'!D$1:D$400,0)),D$2,)</f>
        <v>0</v>
      </c>
      <c r="E196" s="179">
        <f ca="1">IF(ISNUMBER(MATCH(DATEVALUE($A196),'changes1_based on steps'!E$1:E$400,0)),E$2,)</f>
        <v>0</v>
      </c>
      <c r="F196" s="179">
        <f ca="1">IF(ISNUMBER(MATCH(DATEVALUE($A196),'changes1_based on steps'!F$1:F$400,0)),F$2,)</f>
        <v>0</v>
      </c>
      <c r="G196" s="179">
        <f ca="1">IF(ISNUMBER(MATCH(DATEVALUE($A196),'changes1_based on steps'!G$1:G$400,0)),G$2,)</f>
        <v>0</v>
      </c>
      <c r="H196" s="179">
        <f ca="1">IF(ISNUMBER(MATCH(DATEVALUE($A196),'changes1_based on steps'!H$1:H$400,0)),H$2,)</f>
        <v>0</v>
      </c>
      <c r="I196" s="179">
        <f ca="1">IF(ISNUMBER(MATCH(DATEVALUE($A196),'changes1_based on steps'!I$1:I$400,0)),I$2,)</f>
        <v>0</v>
      </c>
      <c r="J196" s="179">
        <f ca="1">IF(ISNUMBER(MATCH(DATEVALUE($A196),'changes1_based on steps'!J$1:J$400,0)),J$2,)</f>
        <v>0</v>
      </c>
      <c r="K196" s="179">
        <f ca="1">IF(ISNUMBER(MATCH(DATEVALUE($A196),'changes1_based on steps'!K$1:K$400,0)),K$2,)</f>
        <v>0</v>
      </c>
      <c r="L196" s="179">
        <f ca="1">IF(ISNUMBER(MATCH(DATEVALUE($A196),'changes1_based on steps'!L$1:L$400,0)),L$2,)</f>
        <v>0</v>
      </c>
      <c r="M196" s="179">
        <f ca="1">IF(ISNUMBER(MATCH(DATEVALUE($A196),'changes1_based on steps'!M$1:M$400,0)),M$2,)</f>
        <v>0</v>
      </c>
      <c r="N196" s="179">
        <f ca="1">IF(ISNUMBER(MATCH(DATEVALUE($A196),'changes1_based on steps'!N$1:N$400,0)),N$2,)</f>
        <v>0</v>
      </c>
      <c r="O196" s="179">
        <f ca="1">IF(ISNUMBER(MATCH(DATEVALUE($A196),'changes1_based on steps'!O$1:O$400,0)),O$2,)</f>
        <v>0</v>
      </c>
      <c r="P196" s="179">
        <f ca="1">IF(ISNUMBER(MATCH(DATEVALUE($A196),'changes1_based on steps'!P$1:P$400,0)),P$2,)</f>
        <v>0</v>
      </c>
      <c r="Q196" s="179">
        <f ca="1">IF(ISNUMBER(MATCH(DATEVALUE($A196),'changes1_based on steps'!Q$1:Q$400,0)),Q$2,)</f>
        <v>0</v>
      </c>
      <c r="R196" s="179">
        <f ca="1">IF(ISNUMBER(MATCH(DATEVALUE($A196),'changes1_based on steps'!R$1:R$400,0)),R$2,)</f>
        <v>0</v>
      </c>
      <c r="S196" s="179">
        <f ca="1">IF(ISNUMBER(MATCH(DATEVALUE($A196),'changes1_based on steps'!S$1:S$400,0)),S$2,)</f>
        <v>0</v>
      </c>
      <c r="T196" s="179">
        <f ca="1">IF(ISNUMBER(MATCH(DATEVALUE($A196),'changes1_based on steps'!T$1:T$400,0)),T$2,)</f>
        <v>0</v>
      </c>
      <c r="U196" s="179">
        <f ca="1">IF(ISNUMBER(MATCH(DATEVALUE($A196),'changes1_based on steps'!U$1:U$400,0)),U$2,)</f>
        <v>0</v>
      </c>
      <c r="V196" s="179"/>
      <c r="W196" s="179"/>
      <c r="X196" s="179"/>
      <c r="Y196" s="179"/>
      <c r="Z196" s="179"/>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c r="AV196" s="179"/>
      <c r="AW196" s="179"/>
      <c r="AX196" s="179"/>
      <c r="AY196" s="179"/>
      <c r="AZ196" s="179"/>
      <c r="BA196" s="179"/>
      <c r="BB196" s="179"/>
      <c r="BC196" s="179"/>
      <c r="BD196" s="179"/>
      <c r="BE196" s="179"/>
      <c r="BF196" s="179"/>
      <c r="BG196" s="179"/>
      <c r="BH196" s="179"/>
      <c r="BI196" s="179"/>
      <c r="BJ196" s="179"/>
      <c r="BK196" s="179"/>
      <c r="BL196" s="179"/>
      <c r="BM196" s="179"/>
      <c r="BN196" s="179"/>
      <c r="BO196" s="179"/>
      <c r="BP196" s="179"/>
      <c r="BQ196" s="179"/>
      <c r="BR196" s="179"/>
      <c r="BS196" s="179"/>
      <c r="BT196" s="179"/>
      <c r="BU196" s="179"/>
      <c r="BV196" s="179"/>
      <c r="BW196" s="179"/>
      <c r="BX196" s="179"/>
      <c r="BY196" s="179"/>
      <c r="BZ196" s="179"/>
      <c r="CA196" s="179"/>
      <c r="CB196" s="179"/>
      <c r="CC196" s="179"/>
      <c r="CD196" s="179"/>
      <c r="CE196" s="179"/>
      <c r="CF196" s="179"/>
      <c r="CG196" s="179"/>
      <c r="CH196" s="179"/>
      <c r="CI196" s="179"/>
      <c r="CJ196" s="179"/>
      <c r="CK196" s="179"/>
      <c r="CL196" s="179"/>
      <c r="CM196" s="179"/>
      <c r="CN196" s="179"/>
      <c r="CO196" s="179"/>
      <c r="CP196" s="179"/>
      <c r="CQ196" s="179"/>
      <c r="CR196" s="179"/>
      <c r="CS196" s="179"/>
      <c r="CT196" s="179"/>
      <c r="CU196" s="179"/>
      <c r="CV196" s="179"/>
      <c r="CW196" s="179"/>
    </row>
    <row r="197" spans="1:101" x14ac:dyDescent="0.2">
      <c r="A197" s="32" t="str">
        <f t="shared" ref="A197:A260" ca="1" si="3">TEXT(DATEVALUE(A196)+1,"yyyy-mm-dd")</f>
        <v>2025-10-09</v>
      </c>
      <c r="B197" s="179">
        <f ca="1">IF(ISNUMBER(MATCH(DATEVALUE($A197),'changes1_based on steps'!B$1:B$400,0)),B$2,)</f>
        <v>0</v>
      </c>
      <c r="C197" s="179">
        <f ca="1">IF(ISNUMBER(MATCH(DATEVALUE($A197),'changes1_based on steps'!C$1:C$400,0)),C$2,)</f>
        <v>0</v>
      </c>
      <c r="D197" s="179">
        <f ca="1">IF(ISNUMBER(MATCH(DATEVALUE($A197),'changes1_based on steps'!D$1:D$400,0)),D$2,)</f>
        <v>0</v>
      </c>
      <c r="E197" s="179">
        <f ca="1">IF(ISNUMBER(MATCH(DATEVALUE($A197),'changes1_based on steps'!E$1:E$400,0)),E$2,)</f>
        <v>0</v>
      </c>
      <c r="F197" s="179">
        <f ca="1">IF(ISNUMBER(MATCH(DATEVALUE($A197),'changes1_based on steps'!F$1:F$400,0)),F$2,)</f>
        <v>0</v>
      </c>
      <c r="G197" s="179">
        <f ca="1">IF(ISNUMBER(MATCH(DATEVALUE($A197),'changes1_based on steps'!G$1:G$400,0)),G$2,)</f>
        <v>0</v>
      </c>
      <c r="H197" s="179">
        <f ca="1">IF(ISNUMBER(MATCH(DATEVALUE($A197),'changes1_based on steps'!H$1:H$400,0)),H$2,)</f>
        <v>0</v>
      </c>
      <c r="I197" s="179">
        <f ca="1">IF(ISNUMBER(MATCH(DATEVALUE($A197),'changes1_based on steps'!I$1:I$400,0)),I$2,)</f>
        <v>0</v>
      </c>
      <c r="J197" s="179">
        <f ca="1">IF(ISNUMBER(MATCH(DATEVALUE($A197),'changes1_based on steps'!J$1:J$400,0)),J$2,)</f>
        <v>0</v>
      </c>
      <c r="K197" s="179">
        <f ca="1">IF(ISNUMBER(MATCH(DATEVALUE($A197),'changes1_based on steps'!K$1:K$400,0)),K$2,)</f>
        <v>0</v>
      </c>
      <c r="L197" s="179">
        <f ca="1">IF(ISNUMBER(MATCH(DATEVALUE($A197),'changes1_based on steps'!L$1:L$400,0)),L$2,)</f>
        <v>0</v>
      </c>
      <c r="M197" s="179">
        <f ca="1">IF(ISNUMBER(MATCH(DATEVALUE($A197),'changes1_based on steps'!M$1:M$400,0)),M$2,)</f>
        <v>0</v>
      </c>
      <c r="N197" s="179">
        <f ca="1">IF(ISNUMBER(MATCH(DATEVALUE($A197),'changes1_based on steps'!N$1:N$400,0)),N$2,)</f>
        <v>0</v>
      </c>
      <c r="O197" s="179">
        <f ca="1">IF(ISNUMBER(MATCH(DATEVALUE($A197),'changes1_based on steps'!O$1:O$400,0)),O$2,)</f>
        <v>0</v>
      </c>
      <c r="P197" s="179">
        <f ca="1">IF(ISNUMBER(MATCH(DATEVALUE($A197),'changes1_based on steps'!P$1:P$400,0)),P$2,)</f>
        <v>0</v>
      </c>
      <c r="Q197" s="179">
        <f ca="1">IF(ISNUMBER(MATCH(DATEVALUE($A197),'changes1_based on steps'!Q$1:Q$400,0)),Q$2,)</f>
        <v>0</v>
      </c>
      <c r="R197" s="179">
        <f ca="1">IF(ISNUMBER(MATCH(DATEVALUE($A197),'changes1_based on steps'!R$1:R$400,0)),R$2,)</f>
        <v>0</v>
      </c>
      <c r="S197" s="179">
        <f ca="1">IF(ISNUMBER(MATCH(DATEVALUE($A197),'changes1_based on steps'!S$1:S$400,0)),S$2,)</f>
        <v>0</v>
      </c>
      <c r="T197" s="179">
        <f ca="1">IF(ISNUMBER(MATCH(DATEVALUE($A197),'changes1_based on steps'!T$1:T$400,0)),T$2,)</f>
        <v>0</v>
      </c>
      <c r="U197" s="179">
        <f ca="1">IF(ISNUMBER(MATCH(DATEVALUE($A197),'changes1_based on steps'!U$1:U$400,0)),U$2,)</f>
        <v>0</v>
      </c>
      <c r="V197" s="179"/>
      <c r="W197" s="179"/>
      <c r="X197" s="179"/>
      <c r="Y197" s="179"/>
      <c r="Z197" s="179"/>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c r="AV197" s="179"/>
      <c r="AW197" s="179"/>
      <c r="AX197" s="179"/>
      <c r="AY197" s="179"/>
      <c r="AZ197" s="179"/>
      <c r="BA197" s="179"/>
      <c r="BB197" s="179"/>
      <c r="BC197" s="179"/>
      <c r="BD197" s="179"/>
      <c r="BE197" s="179"/>
      <c r="BF197" s="179"/>
      <c r="BG197" s="179"/>
      <c r="BH197" s="179"/>
      <c r="BI197" s="179"/>
      <c r="BJ197" s="179"/>
      <c r="BK197" s="179"/>
      <c r="BL197" s="179"/>
      <c r="BM197" s="179"/>
      <c r="BN197" s="179"/>
      <c r="BO197" s="179"/>
      <c r="BP197" s="179"/>
      <c r="BQ197" s="179"/>
      <c r="BR197" s="179"/>
      <c r="BS197" s="179"/>
      <c r="BT197" s="179"/>
      <c r="BU197" s="179"/>
      <c r="BV197" s="179"/>
      <c r="BW197" s="179"/>
      <c r="BX197" s="179"/>
      <c r="BY197" s="179"/>
      <c r="BZ197" s="179"/>
      <c r="CA197" s="179"/>
      <c r="CB197" s="179"/>
      <c r="CC197" s="179"/>
      <c r="CD197" s="179"/>
      <c r="CE197" s="179"/>
      <c r="CF197" s="179"/>
      <c r="CG197" s="179"/>
      <c r="CH197" s="179"/>
      <c r="CI197" s="179"/>
      <c r="CJ197" s="179"/>
      <c r="CK197" s="179"/>
      <c r="CL197" s="179"/>
      <c r="CM197" s="179"/>
      <c r="CN197" s="179"/>
      <c r="CO197" s="179"/>
      <c r="CP197" s="179"/>
      <c r="CQ197" s="179"/>
      <c r="CR197" s="179"/>
      <c r="CS197" s="179"/>
      <c r="CT197" s="179"/>
      <c r="CU197" s="179"/>
      <c r="CV197" s="179"/>
      <c r="CW197" s="179"/>
    </row>
    <row r="198" spans="1:101" x14ac:dyDescent="0.2">
      <c r="A198" s="32" t="str">
        <f t="shared" ca="1" si="3"/>
        <v>2025-10-10</v>
      </c>
      <c r="B198" s="179">
        <f ca="1">IF(ISNUMBER(MATCH(DATEVALUE($A198),'changes1_based on steps'!B$1:B$400,0)),B$2,)</f>
        <v>0</v>
      </c>
      <c r="C198" s="179">
        <f ca="1">IF(ISNUMBER(MATCH(DATEVALUE($A198),'changes1_based on steps'!C$1:C$400,0)),C$2,)</f>
        <v>0</v>
      </c>
      <c r="D198" s="179">
        <f ca="1">IF(ISNUMBER(MATCH(DATEVALUE($A198),'changes1_based on steps'!D$1:D$400,0)),D$2,)</f>
        <v>0</v>
      </c>
      <c r="E198" s="179">
        <f ca="1">IF(ISNUMBER(MATCH(DATEVALUE($A198),'changes1_based on steps'!E$1:E$400,0)),E$2,)</f>
        <v>0</v>
      </c>
      <c r="F198" s="179">
        <f ca="1">IF(ISNUMBER(MATCH(DATEVALUE($A198),'changes1_based on steps'!F$1:F$400,0)),F$2,)</f>
        <v>0</v>
      </c>
      <c r="G198" s="179">
        <f ca="1">IF(ISNUMBER(MATCH(DATEVALUE($A198),'changes1_based on steps'!G$1:G$400,0)),G$2,)</f>
        <v>0</v>
      </c>
      <c r="H198" s="179">
        <f ca="1">IF(ISNUMBER(MATCH(DATEVALUE($A198),'changes1_based on steps'!H$1:H$400,0)),H$2,)</f>
        <v>0</v>
      </c>
      <c r="I198" s="179">
        <f ca="1">IF(ISNUMBER(MATCH(DATEVALUE($A198),'changes1_based on steps'!I$1:I$400,0)),I$2,)</f>
        <v>0</v>
      </c>
      <c r="J198" s="179">
        <f ca="1">IF(ISNUMBER(MATCH(DATEVALUE($A198),'changes1_based on steps'!J$1:J$400,0)),J$2,)</f>
        <v>0</v>
      </c>
      <c r="K198" s="179">
        <f ca="1">IF(ISNUMBER(MATCH(DATEVALUE($A198),'changes1_based on steps'!K$1:K$400,0)),K$2,)</f>
        <v>0</v>
      </c>
      <c r="L198" s="179">
        <f ca="1">IF(ISNUMBER(MATCH(DATEVALUE($A198),'changes1_based on steps'!L$1:L$400,0)),L$2,)</f>
        <v>0</v>
      </c>
      <c r="M198" s="179">
        <f ca="1">IF(ISNUMBER(MATCH(DATEVALUE($A198),'changes1_based on steps'!M$1:M$400,0)),M$2,)</f>
        <v>0</v>
      </c>
      <c r="N198" s="179">
        <f ca="1">IF(ISNUMBER(MATCH(DATEVALUE($A198),'changes1_based on steps'!N$1:N$400,0)),N$2,)</f>
        <v>0</v>
      </c>
      <c r="O198" s="179">
        <f ca="1">IF(ISNUMBER(MATCH(DATEVALUE($A198),'changes1_based on steps'!O$1:O$400,0)),O$2,)</f>
        <v>0</v>
      </c>
      <c r="P198" s="179">
        <f ca="1">IF(ISNUMBER(MATCH(DATEVALUE($A198),'changes1_based on steps'!P$1:P$400,0)),P$2,)</f>
        <v>0</v>
      </c>
      <c r="Q198" s="179">
        <f ca="1">IF(ISNUMBER(MATCH(DATEVALUE($A198),'changes1_based on steps'!Q$1:Q$400,0)),Q$2,)</f>
        <v>0</v>
      </c>
      <c r="R198" s="179">
        <f ca="1">IF(ISNUMBER(MATCH(DATEVALUE($A198),'changes1_based on steps'!R$1:R$400,0)),R$2,)</f>
        <v>0</v>
      </c>
      <c r="S198" s="179">
        <f ca="1">IF(ISNUMBER(MATCH(DATEVALUE($A198),'changes1_based on steps'!S$1:S$400,0)),S$2,)</f>
        <v>0</v>
      </c>
      <c r="T198" s="179">
        <f ca="1">IF(ISNUMBER(MATCH(DATEVALUE($A198),'changes1_based on steps'!T$1:T$400,0)),T$2,)</f>
        <v>0</v>
      </c>
      <c r="U198" s="179">
        <f ca="1">IF(ISNUMBER(MATCH(DATEVALUE($A198),'changes1_based on steps'!U$1:U$400,0)),U$2,)</f>
        <v>0</v>
      </c>
      <c r="V198" s="179"/>
      <c r="W198" s="179"/>
      <c r="X198" s="179"/>
      <c r="Y198" s="179"/>
      <c r="Z198" s="179"/>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c r="AV198" s="179"/>
      <c r="AW198" s="179"/>
      <c r="AX198" s="179"/>
      <c r="AY198" s="179"/>
      <c r="AZ198" s="179"/>
      <c r="BA198" s="179"/>
      <c r="BB198" s="179"/>
      <c r="BC198" s="179"/>
      <c r="BD198" s="179"/>
      <c r="BE198" s="179"/>
      <c r="BF198" s="179"/>
      <c r="BG198" s="179"/>
      <c r="BH198" s="179"/>
      <c r="BI198" s="179"/>
      <c r="BJ198" s="179"/>
      <c r="BK198" s="179"/>
      <c r="BL198" s="179"/>
      <c r="BM198" s="179"/>
      <c r="BN198" s="179"/>
      <c r="BO198" s="179"/>
      <c r="BP198" s="179"/>
      <c r="BQ198" s="179"/>
      <c r="BR198" s="179"/>
      <c r="BS198" s="179"/>
      <c r="BT198" s="179"/>
      <c r="BU198" s="179"/>
      <c r="BV198" s="179"/>
      <c r="BW198" s="179"/>
      <c r="BX198" s="179"/>
      <c r="BY198" s="179"/>
      <c r="BZ198" s="179"/>
      <c r="CA198" s="179"/>
      <c r="CB198" s="179"/>
      <c r="CC198" s="179"/>
      <c r="CD198" s="179"/>
      <c r="CE198" s="179"/>
      <c r="CF198" s="179"/>
      <c r="CG198" s="179"/>
      <c r="CH198" s="179"/>
      <c r="CI198" s="179"/>
      <c r="CJ198" s="179"/>
      <c r="CK198" s="179"/>
      <c r="CL198" s="179"/>
      <c r="CM198" s="179"/>
      <c r="CN198" s="179"/>
      <c r="CO198" s="179"/>
      <c r="CP198" s="179"/>
      <c r="CQ198" s="179"/>
      <c r="CR198" s="179"/>
      <c r="CS198" s="179"/>
      <c r="CT198" s="179"/>
      <c r="CU198" s="179"/>
      <c r="CV198" s="179"/>
      <c r="CW198" s="179"/>
    </row>
    <row r="199" spans="1:101" x14ac:dyDescent="0.2">
      <c r="A199" s="32" t="str">
        <f t="shared" ca="1" si="3"/>
        <v>2025-10-11</v>
      </c>
      <c r="B199" s="179">
        <f ca="1">IF(ISNUMBER(MATCH(DATEVALUE($A199),'changes1_based on steps'!B$1:B$400,0)),B$2,)</f>
        <v>0</v>
      </c>
      <c r="C199" s="179">
        <f ca="1">IF(ISNUMBER(MATCH(DATEVALUE($A199),'changes1_based on steps'!C$1:C$400,0)),C$2,)</f>
        <v>0</v>
      </c>
      <c r="D199" s="179">
        <f ca="1">IF(ISNUMBER(MATCH(DATEVALUE($A199),'changes1_based on steps'!D$1:D$400,0)),D$2,)</f>
        <v>0</v>
      </c>
      <c r="E199" s="179">
        <f ca="1">IF(ISNUMBER(MATCH(DATEVALUE($A199),'changes1_based on steps'!E$1:E$400,0)),E$2,)</f>
        <v>0</v>
      </c>
      <c r="F199" s="179">
        <f ca="1">IF(ISNUMBER(MATCH(DATEVALUE($A199),'changes1_based on steps'!F$1:F$400,0)),F$2,)</f>
        <v>0</v>
      </c>
      <c r="G199" s="179">
        <f ca="1">IF(ISNUMBER(MATCH(DATEVALUE($A199),'changes1_based on steps'!G$1:G$400,0)),G$2,)</f>
        <v>0</v>
      </c>
      <c r="H199" s="179">
        <f ca="1">IF(ISNUMBER(MATCH(DATEVALUE($A199),'changes1_based on steps'!H$1:H$400,0)),H$2,)</f>
        <v>0</v>
      </c>
      <c r="I199" s="179">
        <f ca="1">IF(ISNUMBER(MATCH(DATEVALUE($A199),'changes1_based on steps'!I$1:I$400,0)),I$2,)</f>
        <v>0</v>
      </c>
      <c r="J199" s="179">
        <f ca="1">IF(ISNUMBER(MATCH(DATEVALUE($A199),'changes1_based on steps'!J$1:J$400,0)),J$2,)</f>
        <v>0</v>
      </c>
      <c r="K199" s="179">
        <f ca="1">IF(ISNUMBER(MATCH(DATEVALUE($A199),'changes1_based on steps'!K$1:K$400,0)),K$2,)</f>
        <v>0</v>
      </c>
      <c r="L199" s="179">
        <f ca="1">IF(ISNUMBER(MATCH(DATEVALUE($A199),'changes1_based on steps'!L$1:L$400,0)),L$2,)</f>
        <v>0</v>
      </c>
      <c r="M199" s="179">
        <f ca="1">IF(ISNUMBER(MATCH(DATEVALUE($A199),'changes1_based on steps'!M$1:M$400,0)),M$2,)</f>
        <v>0</v>
      </c>
      <c r="N199" s="179">
        <f ca="1">IF(ISNUMBER(MATCH(DATEVALUE($A199),'changes1_based on steps'!N$1:N$400,0)),N$2,)</f>
        <v>0</v>
      </c>
      <c r="O199" s="179">
        <f ca="1">IF(ISNUMBER(MATCH(DATEVALUE($A199),'changes1_based on steps'!O$1:O$400,0)),O$2,)</f>
        <v>0</v>
      </c>
      <c r="P199" s="179">
        <f ca="1">IF(ISNUMBER(MATCH(DATEVALUE($A199),'changes1_based on steps'!P$1:P$400,0)),P$2,)</f>
        <v>0</v>
      </c>
      <c r="Q199" s="179">
        <f ca="1">IF(ISNUMBER(MATCH(DATEVALUE($A199),'changes1_based on steps'!Q$1:Q$400,0)),Q$2,)</f>
        <v>0</v>
      </c>
      <c r="R199" s="179">
        <f ca="1">IF(ISNUMBER(MATCH(DATEVALUE($A199),'changes1_based on steps'!R$1:R$400,0)),R$2,)</f>
        <v>0</v>
      </c>
      <c r="S199" s="179">
        <f ca="1">IF(ISNUMBER(MATCH(DATEVALUE($A199),'changes1_based on steps'!S$1:S$400,0)),S$2,)</f>
        <v>0</v>
      </c>
      <c r="T199" s="179">
        <f ca="1">IF(ISNUMBER(MATCH(DATEVALUE($A199),'changes1_based on steps'!T$1:T$400,0)),T$2,)</f>
        <v>0</v>
      </c>
      <c r="U199" s="179">
        <f ca="1">IF(ISNUMBER(MATCH(DATEVALUE($A199),'changes1_based on steps'!U$1:U$400,0)),U$2,)</f>
        <v>0</v>
      </c>
      <c r="V199" s="179"/>
      <c r="W199" s="179"/>
      <c r="X199" s="179"/>
      <c r="Y199" s="179"/>
      <c r="Z199" s="179"/>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c r="AV199" s="179"/>
      <c r="AW199" s="179"/>
      <c r="AX199" s="179"/>
      <c r="AY199" s="179"/>
      <c r="AZ199" s="179"/>
      <c r="BA199" s="179"/>
      <c r="BB199" s="179"/>
      <c r="BC199" s="179"/>
      <c r="BD199" s="179"/>
      <c r="BE199" s="179"/>
      <c r="BF199" s="179"/>
      <c r="BG199" s="179"/>
      <c r="BH199" s="179"/>
      <c r="BI199" s="179"/>
      <c r="BJ199" s="179"/>
      <c r="BK199" s="179"/>
      <c r="BL199" s="179"/>
      <c r="BM199" s="179"/>
      <c r="BN199" s="179"/>
      <c r="BO199" s="179"/>
      <c r="BP199" s="179"/>
      <c r="BQ199" s="179"/>
      <c r="BR199" s="179"/>
      <c r="BS199" s="179"/>
      <c r="BT199" s="179"/>
      <c r="BU199" s="179"/>
      <c r="BV199" s="179"/>
      <c r="BW199" s="179"/>
      <c r="BX199" s="179"/>
      <c r="BY199" s="179"/>
      <c r="BZ199" s="179"/>
      <c r="CA199" s="179"/>
      <c r="CB199" s="179"/>
      <c r="CC199" s="179"/>
      <c r="CD199" s="179"/>
      <c r="CE199" s="179"/>
      <c r="CF199" s="179"/>
      <c r="CG199" s="179"/>
      <c r="CH199" s="179"/>
      <c r="CI199" s="179"/>
      <c r="CJ199" s="179"/>
      <c r="CK199" s="179"/>
      <c r="CL199" s="179"/>
      <c r="CM199" s="179"/>
      <c r="CN199" s="179"/>
      <c r="CO199" s="179"/>
      <c r="CP199" s="179"/>
      <c r="CQ199" s="179"/>
      <c r="CR199" s="179"/>
      <c r="CS199" s="179"/>
      <c r="CT199" s="179"/>
      <c r="CU199" s="179"/>
      <c r="CV199" s="179"/>
      <c r="CW199" s="179"/>
    </row>
    <row r="200" spans="1:101" x14ac:dyDescent="0.2">
      <c r="A200" s="32" t="str">
        <f t="shared" ca="1" si="3"/>
        <v>2025-10-12</v>
      </c>
      <c r="B200" s="179">
        <f ca="1">IF(ISNUMBER(MATCH(DATEVALUE($A200),'changes1_based on steps'!B$1:B$400,0)),B$2,)</f>
        <v>0</v>
      </c>
      <c r="C200" s="179">
        <f ca="1">IF(ISNUMBER(MATCH(DATEVALUE($A200),'changes1_based on steps'!C$1:C$400,0)),C$2,)</f>
        <v>0</v>
      </c>
      <c r="D200" s="179">
        <f ca="1">IF(ISNUMBER(MATCH(DATEVALUE($A200),'changes1_based on steps'!D$1:D$400,0)),D$2,)</f>
        <v>0</v>
      </c>
      <c r="E200" s="179">
        <f ca="1">IF(ISNUMBER(MATCH(DATEVALUE($A200),'changes1_based on steps'!E$1:E$400,0)),E$2,)</f>
        <v>0</v>
      </c>
      <c r="F200" s="179">
        <f ca="1">IF(ISNUMBER(MATCH(DATEVALUE($A200),'changes1_based on steps'!F$1:F$400,0)),F$2,)</f>
        <v>0</v>
      </c>
      <c r="G200" s="179">
        <f ca="1">IF(ISNUMBER(MATCH(DATEVALUE($A200),'changes1_based on steps'!G$1:G$400,0)),G$2,)</f>
        <v>0</v>
      </c>
      <c r="H200" s="179">
        <f ca="1">IF(ISNUMBER(MATCH(DATEVALUE($A200),'changes1_based on steps'!H$1:H$400,0)),H$2,)</f>
        <v>0</v>
      </c>
      <c r="I200" s="179">
        <f ca="1">IF(ISNUMBER(MATCH(DATEVALUE($A200),'changes1_based on steps'!I$1:I$400,0)),I$2,)</f>
        <v>0</v>
      </c>
      <c r="J200" s="179">
        <f ca="1">IF(ISNUMBER(MATCH(DATEVALUE($A200),'changes1_based on steps'!J$1:J$400,0)),J$2,)</f>
        <v>0</v>
      </c>
      <c r="K200" s="179">
        <f ca="1">IF(ISNUMBER(MATCH(DATEVALUE($A200),'changes1_based on steps'!K$1:K$400,0)),K$2,)</f>
        <v>0</v>
      </c>
      <c r="L200" s="179">
        <f ca="1">IF(ISNUMBER(MATCH(DATEVALUE($A200),'changes1_based on steps'!L$1:L$400,0)),L$2,)</f>
        <v>0</v>
      </c>
      <c r="M200" s="179">
        <f ca="1">IF(ISNUMBER(MATCH(DATEVALUE($A200),'changes1_based on steps'!M$1:M$400,0)),M$2,)</f>
        <v>0</v>
      </c>
      <c r="N200" s="179">
        <f ca="1">IF(ISNUMBER(MATCH(DATEVALUE($A200),'changes1_based on steps'!N$1:N$400,0)),N$2,)</f>
        <v>0</v>
      </c>
      <c r="O200" s="179">
        <f ca="1">IF(ISNUMBER(MATCH(DATEVALUE($A200),'changes1_based on steps'!O$1:O$400,0)),O$2,)</f>
        <v>0</v>
      </c>
      <c r="P200" s="179">
        <f ca="1">IF(ISNUMBER(MATCH(DATEVALUE($A200),'changes1_based on steps'!P$1:P$400,0)),P$2,)</f>
        <v>0</v>
      </c>
      <c r="Q200" s="179">
        <f ca="1">IF(ISNUMBER(MATCH(DATEVALUE($A200),'changes1_based on steps'!Q$1:Q$400,0)),Q$2,)</f>
        <v>0</v>
      </c>
      <c r="R200" s="179">
        <f ca="1">IF(ISNUMBER(MATCH(DATEVALUE($A200),'changes1_based on steps'!R$1:R$400,0)),R$2,)</f>
        <v>0</v>
      </c>
      <c r="S200" s="179">
        <f ca="1">IF(ISNUMBER(MATCH(DATEVALUE($A200),'changes1_based on steps'!S$1:S$400,0)),S$2,)</f>
        <v>0</v>
      </c>
      <c r="T200" s="179">
        <f ca="1">IF(ISNUMBER(MATCH(DATEVALUE($A200),'changes1_based on steps'!T$1:T$400,0)),T$2,)</f>
        <v>0</v>
      </c>
      <c r="U200" s="179">
        <f ca="1">IF(ISNUMBER(MATCH(DATEVALUE($A200),'changes1_based on steps'!U$1:U$400,0)),U$2,)</f>
        <v>0</v>
      </c>
      <c r="V200" s="179"/>
      <c r="W200" s="179"/>
      <c r="X200" s="179"/>
      <c r="Y200" s="179"/>
      <c r="Z200" s="179"/>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c r="AV200" s="179"/>
      <c r="AW200" s="179"/>
      <c r="AX200" s="179"/>
      <c r="AY200" s="179"/>
      <c r="AZ200" s="179"/>
      <c r="BA200" s="179"/>
      <c r="BB200" s="179"/>
      <c r="BC200" s="179"/>
      <c r="BD200" s="179"/>
      <c r="BE200" s="179"/>
      <c r="BF200" s="179"/>
      <c r="BG200" s="179"/>
      <c r="BH200" s="179"/>
      <c r="BI200" s="179"/>
      <c r="BJ200" s="179"/>
      <c r="BK200" s="179"/>
      <c r="BL200" s="179"/>
      <c r="BM200" s="179"/>
      <c r="BN200" s="179"/>
      <c r="BO200" s="179"/>
      <c r="BP200" s="179"/>
      <c r="BQ200" s="179"/>
      <c r="BR200" s="179"/>
      <c r="BS200" s="179"/>
      <c r="BT200" s="179"/>
      <c r="BU200" s="179"/>
      <c r="BV200" s="179"/>
      <c r="BW200" s="179"/>
      <c r="BX200" s="179"/>
      <c r="BY200" s="179"/>
      <c r="BZ200" s="179"/>
      <c r="CA200" s="179"/>
      <c r="CB200" s="179"/>
      <c r="CC200" s="179"/>
      <c r="CD200" s="179"/>
      <c r="CE200" s="179"/>
      <c r="CF200" s="179"/>
      <c r="CG200" s="179"/>
      <c r="CH200" s="179"/>
      <c r="CI200" s="179"/>
      <c r="CJ200" s="179"/>
      <c r="CK200" s="179"/>
      <c r="CL200" s="179"/>
      <c r="CM200" s="179"/>
      <c r="CN200" s="179"/>
      <c r="CO200" s="179"/>
      <c r="CP200" s="179"/>
      <c r="CQ200" s="179"/>
      <c r="CR200" s="179"/>
      <c r="CS200" s="179"/>
      <c r="CT200" s="179"/>
      <c r="CU200" s="179"/>
      <c r="CV200" s="179"/>
      <c r="CW200" s="179"/>
    </row>
    <row r="201" spans="1:101" x14ac:dyDescent="0.2">
      <c r="A201" s="32" t="str">
        <f t="shared" ca="1" si="3"/>
        <v>2025-10-13</v>
      </c>
      <c r="B201" s="179">
        <f ca="1">IF(ISNUMBER(MATCH(DATEVALUE($A201),'changes1_based on steps'!B$1:B$400,0)),B$2,)</f>
        <v>0</v>
      </c>
      <c r="C201" s="179">
        <f ca="1">IF(ISNUMBER(MATCH(DATEVALUE($A201),'changes1_based on steps'!C$1:C$400,0)),C$2,)</f>
        <v>0</v>
      </c>
      <c r="D201" s="179">
        <f ca="1">IF(ISNUMBER(MATCH(DATEVALUE($A201),'changes1_based on steps'!D$1:D$400,0)),D$2,)</f>
        <v>0</v>
      </c>
      <c r="E201" s="179">
        <f ca="1">IF(ISNUMBER(MATCH(DATEVALUE($A201),'changes1_based on steps'!E$1:E$400,0)),E$2,)</f>
        <v>0</v>
      </c>
      <c r="F201" s="179">
        <f ca="1">IF(ISNUMBER(MATCH(DATEVALUE($A201),'changes1_based on steps'!F$1:F$400,0)),F$2,)</f>
        <v>0</v>
      </c>
      <c r="G201" s="179">
        <f ca="1">IF(ISNUMBER(MATCH(DATEVALUE($A201),'changes1_based on steps'!G$1:G$400,0)),G$2,)</f>
        <v>0</v>
      </c>
      <c r="H201" s="179">
        <f ca="1">IF(ISNUMBER(MATCH(DATEVALUE($A201),'changes1_based on steps'!H$1:H$400,0)),H$2,)</f>
        <v>0</v>
      </c>
      <c r="I201" s="179">
        <f ca="1">IF(ISNUMBER(MATCH(DATEVALUE($A201),'changes1_based on steps'!I$1:I$400,0)),I$2,)</f>
        <v>0</v>
      </c>
      <c r="J201" s="179">
        <f ca="1">IF(ISNUMBER(MATCH(DATEVALUE($A201),'changes1_based on steps'!J$1:J$400,0)),J$2,)</f>
        <v>0</v>
      </c>
      <c r="K201" s="179">
        <f ca="1">IF(ISNUMBER(MATCH(DATEVALUE($A201),'changes1_based on steps'!K$1:K$400,0)),K$2,)</f>
        <v>0</v>
      </c>
      <c r="L201" s="179">
        <f ca="1">IF(ISNUMBER(MATCH(DATEVALUE($A201),'changes1_based on steps'!L$1:L$400,0)),L$2,)</f>
        <v>0</v>
      </c>
      <c r="M201" s="179">
        <f ca="1">IF(ISNUMBER(MATCH(DATEVALUE($A201),'changes1_based on steps'!M$1:M$400,0)),M$2,)</f>
        <v>0</v>
      </c>
      <c r="N201" s="179">
        <f ca="1">IF(ISNUMBER(MATCH(DATEVALUE($A201),'changes1_based on steps'!N$1:N$400,0)),N$2,)</f>
        <v>0</v>
      </c>
      <c r="O201" s="179">
        <f ca="1">IF(ISNUMBER(MATCH(DATEVALUE($A201),'changes1_based on steps'!O$1:O$400,0)),O$2,)</f>
        <v>0</v>
      </c>
      <c r="P201" s="179">
        <f ca="1">IF(ISNUMBER(MATCH(DATEVALUE($A201),'changes1_based on steps'!P$1:P$400,0)),P$2,)</f>
        <v>0</v>
      </c>
      <c r="Q201" s="179">
        <f ca="1">IF(ISNUMBER(MATCH(DATEVALUE($A201),'changes1_based on steps'!Q$1:Q$400,0)),Q$2,)</f>
        <v>0</v>
      </c>
      <c r="R201" s="179">
        <f ca="1">IF(ISNUMBER(MATCH(DATEVALUE($A201),'changes1_based on steps'!R$1:R$400,0)),R$2,)</f>
        <v>0</v>
      </c>
      <c r="S201" s="179">
        <f ca="1">IF(ISNUMBER(MATCH(DATEVALUE($A201),'changes1_based on steps'!S$1:S$400,0)),S$2,)</f>
        <v>0</v>
      </c>
      <c r="T201" s="179">
        <f ca="1">IF(ISNUMBER(MATCH(DATEVALUE($A201),'changes1_based on steps'!T$1:T$400,0)),T$2,)</f>
        <v>0</v>
      </c>
      <c r="U201" s="179">
        <f ca="1">IF(ISNUMBER(MATCH(DATEVALUE($A201),'changes1_based on steps'!U$1:U$400,0)),U$2,)</f>
        <v>0</v>
      </c>
      <c r="V201" s="179"/>
      <c r="W201" s="179"/>
      <c r="X201" s="179"/>
      <c r="Y201" s="179"/>
      <c r="Z201" s="179"/>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c r="AV201" s="179"/>
      <c r="AW201" s="179"/>
      <c r="AX201" s="179"/>
      <c r="AY201" s="179"/>
      <c r="AZ201" s="179"/>
      <c r="BA201" s="179"/>
      <c r="BB201" s="179"/>
      <c r="BC201" s="179"/>
      <c r="BD201" s="179"/>
      <c r="BE201" s="179"/>
      <c r="BF201" s="179"/>
      <c r="BG201" s="179"/>
      <c r="BH201" s="179"/>
      <c r="BI201" s="179"/>
      <c r="BJ201" s="179"/>
      <c r="BK201" s="179"/>
      <c r="BL201" s="179"/>
      <c r="BM201" s="179"/>
      <c r="BN201" s="179"/>
      <c r="BO201" s="179"/>
      <c r="BP201" s="179"/>
      <c r="BQ201" s="179"/>
      <c r="BR201" s="179"/>
      <c r="BS201" s="179"/>
      <c r="BT201" s="179"/>
      <c r="BU201" s="179"/>
      <c r="BV201" s="179"/>
      <c r="BW201" s="179"/>
      <c r="BX201" s="179"/>
      <c r="BY201" s="179"/>
      <c r="BZ201" s="179"/>
      <c r="CA201" s="179"/>
      <c r="CB201" s="179"/>
      <c r="CC201" s="179"/>
      <c r="CD201" s="179"/>
      <c r="CE201" s="179"/>
      <c r="CF201" s="179"/>
      <c r="CG201" s="179"/>
      <c r="CH201" s="179"/>
      <c r="CI201" s="179"/>
      <c r="CJ201" s="179"/>
      <c r="CK201" s="179"/>
      <c r="CL201" s="179"/>
      <c r="CM201" s="179"/>
      <c r="CN201" s="179"/>
      <c r="CO201" s="179"/>
      <c r="CP201" s="179"/>
      <c r="CQ201" s="179"/>
      <c r="CR201" s="179"/>
      <c r="CS201" s="179"/>
      <c r="CT201" s="179"/>
      <c r="CU201" s="179"/>
      <c r="CV201" s="179"/>
      <c r="CW201" s="179"/>
    </row>
    <row r="202" spans="1:101" x14ac:dyDescent="0.2">
      <c r="A202" s="32" t="str">
        <f t="shared" ca="1" si="3"/>
        <v>2025-10-14</v>
      </c>
      <c r="B202" s="179">
        <f ca="1">IF(ISNUMBER(MATCH(DATEVALUE($A202),'changes1_based on steps'!B$1:B$400,0)),B$2,)</f>
        <v>0</v>
      </c>
      <c r="C202" s="179">
        <f ca="1">IF(ISNUMBER(MATCH(DATEVALUE($A202),'changes1_based on steps'!C$1:C$400,0)),C$2,)</f>
        <v>0</v>
      </c>
      <c r="D202" s="179">
        <f ca="1">IF(ISNUMBER(MATCH(DATEVALUE($A202),'changes1_based on steps'!D$1:D$400,0)),D$2,)</f>
        <v>0</v>
      </c>
      <c r="E202" s="179">
        <f ca="1">IF(ISNUMBER(MATCH(DATEVALUE($A202),'changes1_based on steps'!E$1:E$400,0)),E$2,)</f>
        <v>0</v>
      </c>
      <c r="F202" s="179">
        <f ca="1">IF(ISNUMBER(MATCH(DATEVALUE($A202),'changes1_based on steps'!F$1:F$400,0)),F$2,)</f>
        <v>0</v>
      </c>
      <c r="G202" s="179">
        <f ca="1">IF(ISNUMBER(MATCH(DATEVALUE($A202),'changes1_based on steps'!G$1:G$400,0)),G$2,)</f>
        <v>0</v>
      </c>
      <c r="H202" s="179">
        <f ca="1">IF(ISNUMBER(MATCH(DATEVALUE($A202),'changes1_based on steps'!H$1:H$400,0)),H$2,)</f>
        <v>0</v>
      </c>
      <c r="I202" s="179">
        <f ca="1">IF(ISNUMBER(MATCH(DATEVALUE($A202),'changes1_based on steps'!I$1:I$400,0)),I$2,)</f>
        <v>0</v>
      </c>
      <c r="J202" s="179">
        <f ca="1">IF(ISNUMBER(MATCH(DATEVALUE($A202),'changes1_based on steps'!J$1:J$400,0)),J$2,)</f>
        <v>0</v>
      </c>
      <c r="K202" s="179">
        <f ca="1">IF(ISNUMBER(MATCH(DATEVALUE($A202),'changes1_based on steps'!K$1:K$400,0)),K$2,)</f>
        <v>0</v>
      </c>
      <c r="L202" s="179">
        <f ca="1">IF(ISNUMBER(MATCH(DATEVALUE($A202),'changes1_based on steps'!L$1:L$400,0)),L$2,)</f>
        <v>0</v>
      </c>
      <c r="M202" s="179">
        <f ca="1">IF(ISNUMBER(MATCH(DATEVALUE($A202),'changes1_based on steps'!M$1:M$400,0)),M$2,)</f>
        <v>0</v>
      </c>
      <c r="N202" s="179">
        <f ca="1">IF(ISNUMBER(MATCH(DATEVALUE($A202),'changes1_based on steps'!N$1:N$400,0)),N$2,)</f>
        <v>0</v>
      </c>
      <c r="O202" s="179">
        <f ca="1">IF(ISNUMBER(MATCH(DATEVALUE($A202),'changes1_based on steps'!O$1:O$400,0)),O$2,)</f>
        <v>0</v>
      </c>
      <c r="P202" s="179">
        <f ca="1">IF(ISNUMBER(MATCH(DATEVALUE($A202),'changes1_based on steps'!P$1:P$400,0)),P$2,)</f>
        <v>0</v>
      </c>
      <c r="Q202" s="179">
        <f ca="1">IF(ISNUMBER(MATCH(DATEVALUE($A202),'changes1_based on steps'!Q$1:Q$400,0)),Q$2,)</f>
        <v>0</v>
      </c>
      <c r="R202" s="179">
        <f ca="1">IF(ISNUMBER(MATCH(DATEVALUE($A202),'changes1_based on steps'!R$1:R$400,0)),R$2,)</f>
        <v>0</v>
      </c>
      <c r="S202" s="179">
        <f ca="1">IF(ISNUMBER(MATCH(DATEVALUE($A202),'changes1_based on steps'!S$1:S$400,0)),S$2,)</f>
        <v>0</v>
      </c>
      <c r="T202" s="179">
        <f ca="1">IF(ISNUMBER(MATCH(DATEVALUE($A202),'changes1_based on steps'!T$1:T$400,0)),T$2,)</f>
        <v>0</v>
      </c>
      <c r="U202" s="179">
        <f ca="1">IF(ISNUMBER(MATCH(DATEVALUE($A202),'changes1_based on steps'!U$1:U$400,0)),U$2,)</f>
        <v>0</v>
      </c>
      <c r="V202" s="179"/>
      <c r="W202" s="179"/>
      <c r="X202" s="179"/>
      <c r="Y202" s="179"/>
      <c r="Z202" s="179"/>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c r="AV202" s="179"/>
      <c r="AW202" s="179"/>
      <c r="AX202" s="179"/>
      <c r="AY202" s="179"/>
      <c r="AZ202" s="179"/>
      <c r="BA202" s="179"/>
      <c r="BB202" s="179"/>
      <c r="BC202" s="179"/>
      <c r="BD202" s="179"/>
      <c r="BE202" s="179"/>
      <c r="BF202" s="179"/>
      <c r="BG202" s="179"/>
      <c r="BH202" s="179"/>
      <c r="BI202" s="179"/>
      <c r="BJ202" s="179"/>
      <c r="BK202" s="179"/>
      <c r="BL202" s="179"/>
      <c r="BM202" s="179"/>
      <c r="BN202" s="179"/>
      <c r="BO202" s="179"/>
      <c r="BP202" s="179"/>
      <c r="BQ202" s="179"/>
      <c r="BR202" s="179"/>
      <c r="BS202" s="179"/>
      <c r="BT202" s="179"/>
      <c r="BU202" s="179"/>
      <c r="BV202" s="179"/>
      <c r="BW202" s="179"/>
      <c r="BX202" s="179"/>
      <c r="BY202" s="179"/>
      <c r="BZ202" s="179"/>
      <c r="CA202" s="179"/>
      <c r="CB202" s="179"/>
      <c r="CC202" s="179"/>
      <c r="CD202" s="179"/>
      <c r="CE202" s="179"/>
      <c r="CF202" s="179"/>
      <c r="CG202" s="179"/>
      <c r="CH202" s="179"/>
      <c r="CI202" s="179"/>
      <c r="CJ202" s="179"/>
      <c r="CK202" s="179"/>
      <c r="CL202" s="179"/>
      <c r="CM202" s="179"/>
      <c r="CN202" s="179"/>
      <c r="CO202" s="179"/>
      <c r="CP202" s="179"/>
      <c r="CQ202" s="179"/>
      <c r="CR202" s="179"/>
      <c r="CS202" s="179"/>
      <c r="CT202" s="179"/>
      <c r="CU202" s="179"/>
      <c r="CV202" s="179"/>
      <c r="CW202" s="179"/>
    </row>
    <row r="203" spans="1:101" x14ac:dyDescent="0.2">
      <c r="A203" s="32" t="str">
        <f t="shared" ca="1" si="3"/>
        <v>2025-10-15</v>
      </c>
      <c r="B203" s="179">
        <f ca="1">IF(ISNUMBER(MATCH(DATEVALUE($A203),'changes1_based on steps'!B$1:B$400,0)),B$2,)</f>
        <v>0</v>
      </c>
      <c r="C203" s="179">
        <f ca="1">IF(ISNUMBER(MATCH(DATEVALUE($A203),'changes1_based on steps'!C$1:C$400,0)),C$2,)</f>
        <v>0</v>
      </c>
      <c r="D203" s="179">
        <f ca="1">IF(ISNUMBER(MATCH(DATEVALUE($A203),'changes1_based on steps'!D$1:D$400,0)),D$2,)</f>
        <v>0</v>
      </c>
      <c r="E203" s="179">
        <f ca="1">IF(ISNUMBER(MATCH(DATEVALUE($A203),'changes1_based on steps'!E$1:E$400,0)),E$2,)</f>
        <v>0</v>
      </c>
      <c r="F203" s="179">
        <f ca="1">IF(ISNUMBER(MATCH(DATEVALUE($A203),'changes1_based on steps'!F$1:F$400,0)),F$2,)</f>
        <v>0</v>
      </c>
      <c r="G203" s="179">
        <f ca="1">IF(ISNUMBER(MATCH(DATEVALUE($A203),'changes1_based on steps'!G$1:G$400,0)),G$2,)</f>
        <v>0</v>
      </c>
      <c r="H203" s="179">
        <f ca="1">IF(ISNUMBER(MATCH(DATEVALUE($A203),'changes1_based on steps'!H$1:H$400,0)),H$2,)</f>
        <v>0</v>
      </c>
      <c r="I203" s="179">
        <f ca="1">IF(ISNUMBER(MATCH(DATEVALUE($A203),'changes1_based on steps'!I$1:I$400,0)),I$2,)</f>
        <v>0</v>
      </c>
      <c r="J203" s="179">
        <f ca="1">IF(ISNUMBER(MATCH(DATEVALUE($A203),'changes1_based on steps'!J$1:J$400,0)),J$2,)</f>
        <v>0</v>
      </c>
      <c r="K203" s="179">
        <f ca="1">IF(ISNUMBER(MATCH(DATEVALUE($A203),'changes1_based on steps'!K$1:K$400,0)),K$2,)</f>
        <v>0</v>
      </c>
      <c r="L203" s="179">
        <f ca="1">IF(ISNUMBER(MATCH(DATEVALUE($A203),'changes1_based on steps'!L$1:L$400,0)),L$2,)</f>
        <v>0</v>
      </c>
      <c r="M203" s="179">
        <f ca="1">IF(ISNUMBER(MATCH(DATEVALUE($A203),'changes1_based on steps'!M$1:M$400,0)),M$2,)</f>
        <v>0</v>
      </c>
      <c r="N203" s="179">
        <f ca="1">IF(ISNUMBER(MATCH(DATEVALUE($A203),'changes1_based on steps'!N$1:N$400,0)),N$2,)</f>
        <v>0</v>
      </c>
      <c r="O203" s="179">
        <f ca="1">IF(ISNUMBER(MATCH(DATEVALUE($A203),'changes1_based on steps'!O$1:O$400,0)),O$2,)</f>
        <v>0</v>
      </c>
      <c r="P203" s="179">
        <f ca="1">IF(ISNUMBER(MATCH(DATEVALUE($A203),'changes1_based on steps'!P$1:P$400,0)),P$2,)</f>
        <v>0</v>
      </c>
      <c r="Q203" s="179">
        <f ca="1">IF(ISNUMBER(MATCH(DATEVALUE($A203),'changes1_based on steps'!Q$1:Q$400,0)),Q$2,)</f>
        <v>0</v>
      </c>
      <c r="R203" s="179">
        <f ca="1">IF(ISNUMBER(MATCH(DATEVALUE($A203),'changes1_based on steps'!R$1:R$400,0)),R$2,)</f>
        <v>0</v>
      </c>
      <c r="S203" s="179">
        <f ca="1">IF(ISNUMBER(MATCH(DATEVALUE($A203),'changes1_based on steps'!S$1:S$400,0)),S$2,)</f>
        <v>0</v>
      </c>
      <c r="T203" s="179">
        <f ca="1">IF(ISNUMBER(MATCH(DATEVALUE($A203),'changes1_based on steps'!T$1:T$400,0)),T$2,)</f>
        <v>0</v>
      </c>
      <c r="U203" s="179">
        <f ca="1">IF(ISNUMBER(MATCH(DATEVALUE($A203),'changes1_based on steps'!U$1:U$400,0)),U$2,)</f>
        <v>0</v>
      </c>
      <c r="V203" s="179"/>
      <c r="W203" s="179"/>
      <c r="X203" s="179"/>
      <c r="Y203" s="179"/>
      <c r="Z203" s="179"/>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c r="AV203" s="179"/>
      <c r="AW203" s="179"/>
      <c r="AX203" s="179"/>
      <c r="AY203" s="179"/>
      <c r="AZ203" s="179"/>
      <c r="BA203" s="179"/>
      <c r="BB203" s="179"/>
      <c r="BC203" s="179"/>
      <c r="BD203" s="179"/>
      <c r="BE203" s="179"/>
      <c r="BF203" s="179"/>
      <c r="BG203" s="179"/>
      <c r="BH203" s="179"/>
      <c r="BI203" s="179"/>
      <c r="BJ203" s="179"/>
      <c r="BK203" s="179"/>
      <c r="BL203" s="179"/>
      <c r="BM203" s="179"/>
      <c r="BN203" s="179"/>
      <c r="BO203" s="179"/>
      <c r="BP203" s="179"/>
      <c r="BQ203" s="179"/>
      <c r="BR203" s="179"/>
      <c r="BS203" s="179"/>
      <c r="BT203" s="179"/>
      <c r="BU203" s="179"/>
      <c r="BV203" s="179"/>
      <c r="BW203" s="179"/>
      <c r="BX203" s="179"/>
      <c r="BY203" s="179"/>
      <c r="BZ203" s="179"/>
      <c r="CA203" s="179"/>
      <c r="CB203" s="179"/>
      <c r="CC203" s="179"/>
      <c r="CD203" s="179"/>
      <c r="CE203" s="179"/>
      <c r="CF203" s="179"/>
      <c r="CG203" s="179"/>
      <c r="CH203" s="179"/>
      <c r="CI203" s="179"/>
      <c r="CJ203" s="179"/>
      <c r="CK203" s="179"/>
      <c r="CL203" s="179"/>
      <c r="CM203" s="179"/>
      <c r="CN203" s="179"/>
      <c r="CO203" s="179"/>
      <c r="CP203" s="179"/>
      <c r="CQ203" s="179"/>
      <c r="CR203" s="179"/>
      <c r="CS203" s="179"/>
      <c r="CT203" s="179"/>
      <c r="CU203" s="179"/>
      <c r="CV203" s="179"/>
      <c r="CW203" s="179"/>
    </row>
    <row r="204" spans="1:101" x14ac:dyDescent="0.2">
      <c r="A204" s="32" t="str">
        <f t="shared" ca="1" si="3"/>
        <v>2025-10-16</v>
      </c>
      <c r="B204" s="179">
        <f ca="1">IF(ISNUMBER(MATCH(DATEVALUE($A204),'changes1_based on steps'!B$1:B$400,0)),B$2,)</f>
        <v>0</v>
      </c>
      <c r="C204" s="179">
        <f ca="1">IF(ISNUMBER(MATCH(DATEVALUE($A204),'changes1_based on steps'!C$1:C$400,0)),C$2,)</f>
        <v>0</v>
      </c>
      <c r="D204" s="179">
        <f ca="1">IF(ISNUMBER(MATCH(DATEVALUE($A204),'changes1_based on steps'!D$1:D$400,0)),D$2,)</f>
        <v>0</v>
      </c>
      <c r="E204" s="179">
        <f ca="1">IF(ISNUMBER(MATCH(DATEVALUE($A204),'changes1_based on steps'!E$1:E$400,0)),E$2,)</f>
        <v>0</v>
      </c>
      <c r="F204" s="179">
        <f ca="1">IF(ISNUMBER(MATCH(DATEVALUE($A204),'changes1_based on steps'!F$1:F$400,0)),F$2,)</f>
        <v>0</v>
      </c>
      <c r="G204" s="179">
        <f ca="1">IF(ISNUMBER(MATCH(DATEVALUE($A204),'changes1_based on steps'!G$1:G$400,0)),G$2,)</f>
        <v>0</v>
      </c>
      <c r="H204" s="179">
        <f ca="1">IF(ISNUMBER(MATCH(DATEVALUE($A204),'changes1_based on steps'!H$1:H$400,0)),H$2,)</f>
        <v>0</v>
      </c>
      <c r="I204" s="179">
        <f ca="1">IF(ISNUMBER(MATCH(DATEVALUE($A204),'changes1_based on steps'!I$1:I$400,0)),I$2,)</f>
        <v>0</v>
      </c>
      <c r="J204" s="179">
        <f ca="1">IF(ISNUMBER(MATCH(DATEVALUE($A204),'changes1_based on steps'!J$1:J$400,0)),J$2,)</f>
        <v>0</v>
      </c>
      <c r="K204" s="179">
        <f ca="1">IF(ISNUMBER(MATCH(DATEVALUE($A204),'changes1_based on steps'!K$1:K$400,0)),K$2,)</f>
        <v>0</v>
      </c>
      <c r="L204" s="179">
        <f ca="1">IF(ISNUMBER(MATCH(DATEVALUE($A204),'changes1_based on steps'!L$1:L$400,0)),L$2,)</f>
        <v>0</v>
      </c>
      <c r="M204" s="179">
        <f ca="1">IF(ISNUMBER(MATCH(DATEVALUE($A204),'changes1_based on steps'!M$1:M$400,0)),M$2,)</f>
        <v>0</v>
      </c>
      <c r="N204" s="179">
        <f ca="1">IF(ISNUMBER(MATCH(DATEVALUE($A204),'changes1_based on steps'!N$1:N$400,0)),N$2,)</f>
        <v>0</v>
      </c>
      <c r="O204" s="179">
        <f ca="1">IF(ISNUMBER(MATCH(DATEVALUE($A204),'changes1_based on steps'!O$1:O$400,0)),O$2,)</f>
        <v>0</v>
      </c>
      <c r="P204" s="179">
        <f ca="1">IF(ISNUMBER(MATCH(DATEVALUE($A204),'changes1_based on steps'!P$1:P$400,0)),P$2,)</f>
        <v>0</v>
      </c>
      <c r="Q204" s="179">
        <f ca="1">IF(ISNUMBER(MATCH(DATEVALUE($A204),'changes1_based on steps'!Q$1:Q$400,0)),Q$2,)</f>
        <v>0</v>
      </c>
      <c r="R204" s="179">
        <f ca="1">IF(ISNUMBER(MATCH(DATEVALUE($A204),'changes1_based on steps'!R$1:R$400,0)),R$2,)</f>
        <v>0</v>
      </c>
      <c r="S204" s="179">
        <f ca="1">IF(ISNUMBER(MATCH(DATEVALUE($A204),'changes1_based on steps'!S$1:S$400,0)),S$2,)</f>
        <v>0</v>
      </c>
      <c r="T204" s="179">
        <f ca="1">IF(ISNUMBER(MATCH(DATEVALUE($A204),'changes1_based on steps'!T$1:T$400,0)),T$2,)</f>
        <v>0</v>
      </c>
      <c r="U204" s="179">
        <f ca="1">IF(ISNUMBER(MATCH(DATEVALUE($A204),'changes1_based on steps'!U$1:U$400,0)),U$2,)</f>
        <v>0</v>
      </c>
      <c r="V204" s="179"/>
      <c r="W204" s="179"/>
      <c r="X204" s="179"/>
      <c r="Y204" s="179"/>
      <c r="Z204" s="179"/>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c r="AV204" s="179"/>
      <c r="AW204" s="179"/>
      <c r="AX204" s="179"/>
      <c r="AY204" s="179"/>
      <c r="AZ204" s="179"/>
      <c r="BA204" s="179"/>
      <c r="BB204" s="179"/>
      <c r="BC204" s="179"/>
      <c r="BD204" s="179"/>
      <c r="BE204" s="179"/>
      <c r="BF204" s="179"/>
      <c r="BG204" s="179"/>
      <c r="BH204" s="179"/>
      <c r="BI204" s="179"/>
      <c r="BJ204" s="179"/>
      <c r="BK204" s="179"/>
      <c r="BL204" s="179"/>
      <c r="BM204" s="179"/>
      <c r="BN204" s="179"/>
      <c r="BO204" s="179"/>
      <c r="BP204" s="179"/>
      <c r="BQ204" s="179"/>
      <c r="BR204" s="179"/>
      <c r="BS204" s="179"/>
      <c r="BT204" s="179"/>
      <c r="BU204" s="179"/>
      <c r="BV204" s="179"/>
      <c r="BW204" s="179"/>
      <c r="BX204" s="179"/>
      <c r="BY204" s="179"/>
      <c r="BZ204" s="179"/>
      <c r="CA204" s="179"/>
      <c r="CB204" s="179"/>
      <c r="CC204" s="179"/>
      <c r="CD204" s="179"/>
      <c r="CE204" s="179"/>
      <c r="CF204" s="179"/>
      <c r="CG204" s="179"/>
      <c r="CH204" s="179"/>
      <c r="CI204" s="179"/>
      <c r="CJ204" s="179"/>
      <c r="CK204" s="179"/>
      <c r="CL204" s="179"/>
      <c r="CM204" s="179"/>
      <c r="CN204" s="179"/>
      <c r="CO204" s="179"/>
      <c r="CP204" s="179"/>
      <c r="CQ204" s="179"/>
      <c r="CR204" s="179"/>
      <c r="CS204" s="179"/>
      <c r="CT204" s="179"/>
      <c r="CU204" s="179"/>
      <c r="CV204" s="179"/>
      <c r="CW204" s="179"/>
    </row>
    <row r="205" spans="1:101" x14ac:dyDescent="0.2">
      <c r="A205" s="32" t="str">
        <f t="shared" ca="1" si="3"/>
        <v>2025-10-17</v>
      </c>
      <c r="B205" s="179">
        <f ca="1">IF(ISNUMBER(MATCH(DATEVALUE($A205),'changes1_based on steps'!B$1:B$400,0)),B$2,)</f>
        <v>0</v>
      </c>
      <c r="C205" s="179">
        <f ca="1">IF(ISNUMBER(MATCH(DATEVALUE($A205),'changes1_based on steps'!C$1:C$400,0)),C$2,)</f>
        <v>0</v>
      </c>
      <c r="D205" s="179">
        <f ca="1">IF(ISNUMBER(MATCH(DATEVALUE($A205),'changes1_based on steps'!D$1:D$400,0)),D$2,)</f>
        <v>0</v>
      </c>
      <c r="E205" s="179">
        <f ca="1">IF(ISNUMBER(MATCH(DATEVALUE($A205),'changes1_based on steps'!E$1:E$400,0)),E$2,)</f>
        <v>0</v>
      </c>
      <c r="F205" s="179">
        <f ca="1">IF(ISNUMBER(MATCH(DATEVALUE($A205),'changes1_based on steps'!F$1:F$400,0)),F$2,)</f>
        <v>0</v>
      </c>
      <c r="G205" s="179">
        <f ca="1">IF(ISNUMBER(MATCH(DATEVALUE($A205),'changes1_based on steps'!G$1:G$400,0)),G$2,)</f>
        <v>0</v>
      </c>
      <c r="H205" s="179">
        <f ca="1">IF(ISNUMBER(MATCH(DATEVALUE($A205),'changes1_based on steps'!H$1:H$400,0)),H$2,)</f>
        <v>0</v>
      </c>
      <c r="I205" s="179">
        <f ca="1">IF(ISNUMBER(MATCH(DATEVALUE($A205),'changes1_based on steps'!I$1:I$400,0)),I$2,)</f>
        <v>0</v>
      </c>
      <c r="J205" s="179">
        <f ca="1">IF(ISNUMBER(MATCH(DATEVALUE($A205),'changes1_based on steps'!J$1:J$400,0)),J$2,)</f>
        <v>0</v>
      </c>
      <c r="K205" s="179">
        <f ca="1">IF(ISNUMBER(MATCH(DATEVALUE($A205),'changes1_based on steps'!K$1:K$400,0)),K$2,)</f>
        <v>0</v>
      </c>
      <c r="L205" s="179">
        <f ca="1">IF(ISNUMBER(MATCH(DATEVALUE($A205),'changes1_based on steps'!L$1:L$400,0)),L$2,)</f>
        <v>0</v>
      </c>
      <c r="M205" s="179">
        <f ca="1">IF(ISNUMBER(MATCH(DATEVALUE($A205),'changes1_based on steps'!M$1:M$400,0)),M$2,)</f>
        <v>0</v>
      </c>
      <c r="N205" s="179">
        <f ca="1">IF(ISNUMBER(MATCH(DATEVALUE($A205),'changes1_based on steps'!N$1:N$400,0)),N$2,)</f>
        <v>0</v>
      </c>
      <c r="O205" s="179">
        <f ca="1">IF(ISNUMBER(MATCH(DATEVALUE($A205),'changes1_based on steps'!O$1:O$400,0)),O$2,)</f>
        <v>0</v>
      </c>
      <c r="P205" s="179">
        <f ca="1">IF(ISNUMBER(MATCH(DATEVALUE($A205),'changes1_based on steps'!P$1:P$400,0)),P$2,)</f>
        <v>0</v>
      </c>
      <c r="Q205" s="179">
        <f ca="1">IF(ISNUMBER(MATCH(DATEVALUE($A205),'changes1_based on steps'!Q$1:Q$400,0)),Q$2,)</f>
        <v>0</v>
      </c>
      <c r="R205" s="179">
        <f ca="1">IF(ISNUMBER(MATCH(DATEVALUE($A205),'changes1_based on steps'!R$1:R$400,0)),R$2,)</f>
        <v>0</v>
      </c>
      <c r="S205" s="179">
        <f ca="1">IF(ISNUMBER(MATCH(DATEVALUE($A205),'changes1_based on steps'!S$1:S$400,0)),S$2,)</f>
        <v>0</v>
      </c>
      <c r="T205" s="179">
        <f ca="1">IF(ISNUMBER(MATCH(DATEVALUE($A205),'changes1_based on steps'!T$1:T$400,0)),T$2,)</f>
        <v>0</v>
      </c>
      <c r="U205" s="179">
        <f ca="1">IF(ISNUMBER(MATCH(DATEVALUE($A205),'changes1_based on steps'!U$1:U$400,0)),U$2,)</f>
        <v>0</v>
      </c>
      <c r="V205" s="179"/>
      <c r="W205" s="179"/>
      <c r="X205" s="179"/>
      <c r="Y205" s="179"/>
      <c r="Z205" s="179"/>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c r="AV205" s="179"/>
      <c r="AW205" s="179"/>
      <c r="AX205" s="179"/>
      <c r="AY205" s="179"/>
      <c r="AZ205" s="179"/>
      <c r="BA205" s="179"/>
      <c r="BB205" s="179"/>
      <c r="BC205" s="179"/>
      <c r="BD205" s="179"/>
      <c r="BE205" s="179"/>
      <c r="BF205" s="179"/>
      <c r="BG205" s="179"/>
      <c r="BH205" s="179"/>
      <c r="BI205" s="179"/>
      <c r="BJ205" s="179"/>
      <c r="BK205" s="179"/>
      <c r="BL205" s="179"/>
      <c r="BM205" s="179"/>
      <c r="BN205" s="179"/>
      <c r="BO205" s="179"/>
      <c r="BP205" s="179"/>
      <c r="BQ205" s="179"/>
      <c r="BR205" s="179"/>
      <c r="BS205" s="179"/>
      <c r="BT205" s="179"/>
      <c r="BU205" s="179"/>
      <c r="BV205" s="179"/>
      <c r="BW205" s="179"/>
      <c r="BX205" s="179"/>
      <c r="BY205" s="179"/>
      <c r="BZ205" s="179"/>
      <c r="CA205" s="179"/>
      <c r="CB205" s="179"/>
      <c r="CC205" s="179"/>
      <c r="CD205" s="179"/>
      <c r="CE205" s="179"/>
      <c r="CF205" s="179"/>
      <c r="CG205" s="179"/>
      <c r="CH205" s="179"/>
      <c r="CI205" s="179"/>
      <c r="CJ205" s="179"/>
      <c r="CK205" s="179"/>
      <c r="CL205" s="179"/>
      <c r="CM205" s="179"/>
      <c r="CN205" s="179"/>
      <c r="CO205" s="179"/>
      <c r="CP205" s="179"/>
      <c r="CQ205" s="179"/>
      <c r="CR205" s="179"/>
      <c r="CS205" s="179"/>
      <c r="CT205" s="179"/>
      <c r="CU205" s="179"/>
      <c r="CV205" s="179"/>
      <c r="CW205" s="179"/>
    </row>
    <row r="206" spans="1:101" x14ac:dyDescent="0.2">
      <c r="A206" s="32" t="str">
        <f t="shared" ca="1" si="3"/>
        <v>2025-10-18</v>
      </c>
      <c r="B206" s="179">
        <f ca="1">IF(ISNUMBER(MATCH(DATEVALUE($A206),'changes1_based on steps'!B$1:B$400,0)),B$2,)</f>
        <v>0</v>
      </c>
      <c r="C206" s="179">
        <f ca="1">IF(ISNUMBER(MATCH(DATEVALUE($A206),'changes1_based on steps'!C$1:C$400,0)),C$2,)</f>
        <v>0</v>
      </c>
      <c r="D206" s="179">
        <f ca="1">IF(ISNUMBER(MATCH(DATEVALUE($A206),'changes1_based on steps'!D$1:D$400,0)),D$2,)</f>
        <v>0</v>
      </c>
      <c r="E206" s="179">
        <f ca="1">IF(ISNUMBER(MATCH(DATEVALUE($A206),'changes1_based on steps'!E$1:E$400,0)),E$2,)</f>
        <v>0</v>
      </c>
      <c r="F206" s="179">
        <f ca="1">IF(ISNUMBER(MATCH(DATEVALUE($A206),'changes1_based on steps'!F$1:F$400,0)),F$2,)</f>
        <v>0</v>
      </c>
      <c r="G206" s="179">
        <f ca="1">IF(ISNUMBER(MATCH(DATEVALUE($A206),'changes1_based on steps'!G$1:G$400,0)),G$2,)</f>
        <v>0</v>
      </c>
      <c r="H206" s="179">
        <f ca="1">IF(ISNUMBER(MATCH(DATEVALUE($A206),'changes1_based on steps'!H$1:H$400,0)),H$2,)</f>
        <v>0</v>
      </c>
      <c r="I206" s="179">
        <f ca="1">IF(ISNUMBER(MATCH(DATEVALUE($A206),'changes1_based on steps'!I$1:I$400,0)),I$2,)</f>
        <v>0</v>
      </c>
      <c r="J206" s="179">
        <f ca="1">IF(ISNUMBER(MATCH(DATEVALUE($A206),'changes1_based on steps'!J$1:J$400,0)),J$2,)</f>
        <v>0</v>
      </c>
      <c r="K206" s="179">
        <f ca="1">IF(ISNUMBER(MATCH(DATEVALUE($A206),'changes1_based on steps'!K$1:K$400,0)),K$2,)</f>
        <v>0</v>
      </c>
      <c r="L206" s="179">
        <f ca="1">IF(ISNUMBER(MATCH(DATEVALUE($A206),'changes1_based on steps'!L$1:L$400,0)),L$2,)</f>
        <v>0</v>
      </c>
      <c r="M206" s="179">
        <f ca="1">IF(ISNUMBER(MATCH(DATEVALUE($A206),'changes1_based on steps'!M$1:M$400,0)),M$2,)</f>
        <v>0</v>
      </c>
      <c r="N206" s="179">
        <f ca="1">IF(ISNUMBER(MATCH(DATEVALUE($A206),'changes1_based on steps'!N$1:N$400,0)),N$2,)</f>
        <v>0</v>
      </c>
      <c r="O206" s="179">
        <f ca="1">IF(ISNUMBER(MATCH(DATEVALUE($A206),'changes1_based on steps'!O$1:O$400,0)),O$2,)</f>
        <v>0</v>
      </c>
      <c r="P206" s="179">
        <f ca="1">IF(ISNUMBER(MATCH(DATEVALUE($A206),'changes1_based on steps'!P$1:P$400,0)),P$2,)</f>
        <v>0</v>
      </c>
      <c r="Q206" s="179">
        <f ca="1">IF(ISNUMBER(MATCH(DATEVALUE($A206),'changes1_based on steps'!Q$1:Q$400,0)),Q$2,)</f>
        <v>0</v>
      </c>
      <c r="R206" s="179">
        <f ca="1">IF(ISNUMBER(MATCH(DATEVALUE($A206),'changes1_based on steps'!R$1:R$400,0)),R$2,)</f>
        <v>0</v>
      </c>
      <c r="S206" s="179">
        <f ca="1">IF(ISNUMBER(MATCH(DATEVALUE($A206),'changes1_based on steps'!S$1:S$400,0)),S$2,)</f>
        <v>0</v>
      </c>
      <c r="T206" s="179">
        <f ca="1">IF(ISNUMBER(MATCH(DATEVALUE($A206),'changes1_based on steps'!T$1:T$400,0)),T$2,)</f>
        <v>0</v>
      </c>
      <c r="U206" s="179">
        <f ca="1">IF(ISNUMBER(MATCH(DATEVALUE($A206),'changes1_based on steps'!U$1:U$400,0)),U$2,)</f>
        <v>0</v>
      </c>
      <c r="V206" s="179"/>
      <c r="W206" s="179"/>
      <c r="X206" s="179"/>
      <c r="Y206" s="179"/>
      <c r="Z206" s="179"/>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c r="AV206" s="179"/>
      <c r="AW206" s="179"/>
      <c r="AX206" s="179"/>
      <c r="AY206" s="179"/>
      <c r="AZ206" s="179"/>
      <c r="BA206" s="179"/>
      <c r="BB206" s="179"/>
      <c r="BC206" s="179"/>
      <c r="BD206" s="179"/>
      <c r="BE206" s="179"/>
      <c r="BF206" s="179"/>
      <c r="BG206" s="179"/>
      <c r="BH206" s="179"/>
      <c r="BI206" s="179"/>
      <c r="BJ206" s="179"/>
      <c r="BK206" s="179"/>
      <c r="BL206" s="179"/>
      <c r="BM206" s="179"/>
      <c r="BN206" s="179"/>
      <c r="BO206" s="179"/>
      <c r="BP206" s="179"/>
      <c r="BQ206" s="179"/>
      <c r="BR206" s="179"/>
      <c r="BS206" s="179"/>
      <c r="BT206" s="179"/>
      <c r="BU206" s="179"/>
      <c r="BV206" s="179"/>
      <c r="BW206" s="179"/>
      <c r="BX206" s="179"/>
      <c r="BY206" s="179"/>
      <c r="BZ206" s="179"/>
      <c r="CA206" s="179"/>
      <c r="CB206" s="179"/>
      <c r="CC206" s="179"/>
      <c r="CD206" s="179"/>
      <c r="CE206" s="179"/>
      <c r="CF206" s="179"/>
      <c r="CG206" s="179"/>
      <c r="CH206" s="179"/>
      <c r="CI206" s="179"/>
      <c r="CJ206" s="179"/>
      <c r="CK206" s="179"/>
      <c r="CL206" s="179"/>
      <c r="CM206" s="179"/>
      <c r="CN206" s="179"/>
      <c r="CO206" s="179"/>
      <c r="CP206" s="179"/>
      <c r="CQ206" s="179"/>
      <c r="CR206" s="179"/>
      <c r="CS206" s="179"/>
      <c r="CT206" s="179"/>
      <c r="CU206" s="179"/>
      <c r="CV206" s="179"/>
      <c r="CW206" s="179"/>
    </row>
    <row r="207" spans="1:101" x14ac:dyDescent="0.2">
      <c r="A207" s="32" t="str">
        <f t="shared" ca="1" si="3"/>
        <v>2025-10-19</v>
      </c>
      <c r="B207" s="179">
        <f ca="1">IF(ISNUMBER(MATCH(DATEVALUE($A207),'changes1_based on steps'!B$1:B$400,0)),B$2,)</f>
        <v>0</v>
      </c>
      <c r="C207" s="179">
        <f ca="1">IF(ISNUMBER(MATCH(DATEVALUE($A207),'changes1_based on steps'!C$1:C$400,0)),C$2,)</f>
        <v>0</v>
      </c>
      <c r="D207" s="179">
        <f ca="1">IF(ISNUMBER(MATCH(DATEVALUE($A207),'changes1_based on steps'!D$1:D$400,0)),D$2,)</f>
        <v>0</v>
      </c>
      <c r="E207" s="179">
        <f ca="1">IF(ISNUMBER(MATCH(DATEVALUE($A207),'changes1_based on steps'!E$1:E$400,0)),E$2,)</f>
        <v>0</v>
      </c>
      <c r="F207" s="179">
        <f ca="1">IF(ISNUMBER(MATCH(DATEVALUE($A207),'changes1_based on steps'!F$1:F$400,0)),F$2,)</f>
        <v>0</v>
      </c>
      <c r="G207" s="179">
        <f ca="1">IF(ISNUMBER(MATCH(DATEVALUE($A207),'changes1_based on steps'!G$1:G$400,0)),G$2,)</f>
        <v>0</v>
      </c>
      <c r="H207" s="179">
        <f ca="1">IF(ISNUMBER(MATCH(DATEVALUE($A207),'changes1_based on steps'!H$1:H$400,0)),H$2,)</f>
        <v>0</v>
      </c>
      <c r="I207" s="179">
        <f ca="1">IF(ISNUMBER(MATCH(DATEVALUE($A207),'changes1_based on steps'!I$1:I$400,0)),I$2,)</f>
        <v>0</v>
      </c>
      <c r="J207" s="179">
        <f ca="1">IF(ISNUMBER(MATCH(DATEVALUE($A207),'changes1_based on steps'!J$1:J$400,0)),J$2,)</f>
        <v>0</v>
      </c>
      <c r="K207" s="179">
        <f ca="1">IF(ISNUMBER(MATCH(DATEVALUE($A207),'changes1_based on steps'!K$1:K$400,0)),K$2,)</f>
        <v>0</v>
      </c>
      <c r="L207" s="179">
        <f ca="1">IF(ISNUMBER(MATCH(DATEVALUE($A207),'changes1_based on steps'!L$1:L$400,0)),L$2,)</f>
        <v>0</v>
      </c>
      <c r="M207" s="179">
        <f ca="1">IF(ISNUMBER(MATCH(DATEVALUE($A207),'changes1_based on steps'!M$1:M$400,0)),M$2,)</f>
        <v>0</v>
      </c>
      <c r="N207" s="179">
        <f ca="1">IF(ISNUMBER(MATCH(DATEVALUE($A207),'changes1_based on steps'!N$1:N$400,0)),N$2,)</f>
        <v>0</v>
      </c>
      <c r="O207" s="179">
        <f ca="1">IF(ISNUMBER(MATCH(DATEVALUE($A207),'changes1_based on steps'!O$1:O$400,0)),O$2,)</f>
        <v>0</v>
      </c>
      <c r="P207" s="179">
        <f ca="1">IF(ISNUMBER(MATCH(DATEVALUE($A207),'changes1_based on steps'!P$1:P$400,0)),P$2,)</f>
        <v>0</v>
      </c>
      <c r="Q207" s="179">
        <f ca="1">IF(ISNUMBER(MATCH(DATEVALUE($A207),'changes1_based on steps'!Q$1:Q$400,0)),Q$2,)</f>
        <v>0</v>
      </c>
      <c r="R207" s="179">
        <f ca="1">IF(ISNUMBER(MATCH(DATEVALUE($A207),'changes1_based on steps'!R$1:R$400,0)),R$2,)</f>
        <v>0</v>
      </c>
      <c r="S207" s="179">
        <f ca="1">IF(ISNUMBER(MATCH(DATEVALUE($A207),'changes1_based on steps'!S$1:S$400,0)),S$2,)</f>
        <v>0</v>
      </c>
      <c r="T207" s="179">
        <f ca="1">IF(ISNUMBER(MATCH(DATEVALUE($A207),'changes1_based on steps'!T$1:T$400,0)),T$2,)</f>
        <v>0</v>
      </c>
      <c r="U207" s="179">
        <f ca="1">IF(ISNUMBER(MATCH(DATEVALUE($A207),'changes1_based on steps'!U$1:U$400,0)),U$2,)</f>
        <v>0</v>
      </c>
      <c r="V207" s="179"/>
      <c r="W207" s="179"/>
      <c r="X207" s="179"/>
      <c r="Y207" s="179"/>
      <c r="Z207" s="179"/>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c r="AV207" s="179"/>
      <c r="AW207" s="179"/>
      <c r="AX207" s="179"/>
      <c r="AY207" s="179"/>
      <c r="AZ207" s="179"/>
      <c r="BA207" s="179"/>
      <c r="BB207" s="179"/>
      <c r="BC207" s="179"/>
      <c r="BD207" s="179"/>
      <c r="BE207" s="179"/>
      <c r="BF207" s="179"/>
      <c r="BG207" s="179"/>
      <c r="BH207" s="179"/>
      <c r="BI207" s="179"/>
      <c r="BJ207" s="179"/>
      <c r="BK207" s="179"/>
      <c r="BL207" s="179"/>
      <c r="BM207" s="179"/>
      <c r="BN207" s="179"/>
      <c r="BO207" s="179"/>
      <c r="BP207" s="179"/>
      <c r="BQ207" s="179"/>
      <c r="BR207" s="179"/>
      <c r="BS207" s="179"/>
      <c r="BT207" s="179"/>
      <c r="BU207" s="179"/>
      <c r="BV207" s="179"/>
      <c r="BW207" s="179"/>
      <c r="BX207" s="179"/>
      <c r="BY207" s="179"/>
      <c r="BZ207" s="179"/>
      <c r="CA207" s="179"/>
      <c r="CB207" s="179"/>
      <c r="CC207" s="179"/>
      <c r="CD207" s="179"/>
      <c r="CE207" s="179"/>
      <c r="CF207" s="179"/>
      <c r="CG207" s="179"/>
      <c r="CH207" s="179"/>
      <c r="CI207" s="179"/>
      <c r="CJ207" s="179"/>
      <c r="CK207" s="179"/>
      <c r="CL207" s="179"/>
      <c r="CM207" s="179"/>
      <c r="CN207" s="179"/>
      <c r="CO207" s="179"/>
      <c r="CP207" s="179"/>
      <c r="CQ207" s="179"/>
      <c r="CR207" s="179"/>
      <c r="CS207" s="179"/>
      <c r="CT207" s="179"/>
      <c r="CU207" s="179"/>
      <c r="CV207" s="179"/>
      <c r="CW207" s="179"/>
    </row>
    <row r="208" spans="1:101" x14ac:dyDescent="0.2">
      <c r="A208" s="32" t="str">
        <f t="shared" ca="1" si="3"/>
        <v>2025-10-20</v>
      </c>
      <c r="B208" s="179">
        <f ca="1">IF(ISNUMBER(MATCH(DATEVALUE($A208),'changes1_based on steps'!B$1:B$400,0)),B$2,)</f>
        <v>0</v>
      </c>
      <c r="C208" s="179">
        <f ca="1">IF(ISNUMBER(MATCH(DATEVALUE($A208),'changes1_based on steps'!C$1:C$400,0)),C$2,)</f>
        <v>0</v>
      </c>
      <c r="D208" s="179">
        <f ca="1">IF(ISNUMBER(MATCH(DATEVALUE($A208),'changes1_based on steps'!D$1:D$400,0)),D$2,)</f>
        <v>0</v>
      </c>
      <c r="E208" s="179">
        <f ca="1">IF(ISNUMBER(MATCH(DATEVALUE($A208),'changes1_based on steps'!E$1:E$400,0)),E$2,)</f>
        <v>0</v>
      </c>
      <c r="F208" s="179">
        <f ca="1">IF(ISNUMBER(MATCH(DATEVALUE($A208),'changes1_based on steps'!F$1:F$400,0)),F$2,)</f>
        <v>0</v>
      </c>
      <c r="G208" s="179">
        <f ca="1">IF(ISNUMBER(MATCH(DATEVALUE($A208),'changes1_based on steps'!G$1:G$400,0)),G$2,)</f>
        <v>0</v>
      </c>
      <c r="H208" s="179">
        <f ca="1">IF(ISNUMBER(MATCH(DATEVALUE($A208),'changes1_based on steps'!H$1:H$400,0)),H$2,)</f>
        <v>0</v>
      </c>
      <c r="I208" s="179">
        <f ca="1">IF(ISNUMBER(MATCH(DATEVALUE($A208),'changes1_based on steps'!I$1:I$400,0)),I$2,)</f>
        <v>0</v>
      </c>
      <c r="J208" s="179">
        <f ca="1">IF(ISNUMBER(MATCH(DATEVALUE($A208),'changes1_based on steps'!J$1:J$400,0)),J$2,)</f>
        <v>0</v>
      </c>
      <c r="K208" s="179">
        <f ca="1">IF(ISNUMBER(MATCH(DATEVALUE($A208),'changes1_based on steps'!K$1:K$400,0)),K$2,)</f>
        <v>0</v>
      </c>
      <c r="L208" s="179">
        <f ca="1">IF(ISNUMBER(MATCH(DATEVALUE($A208),'changes1_based on steps'!L$1:L$400,0)),L$2,)</f>
        <v>0</v>
      </c>
      <c r="M208" s="179">
        <f ca="1">IF(ISNUMBER(MATCH(DATEVALUE($A208),'changes1_based on steps'!M$1:M$400,0)),M$2,)</f>
        <v>0</v>
      </c>
      <c r="N208" s="179">
        <f ca="1">IF(ISNUMBER(MATCH(DATEVALUE($A208),'changes1_based on steps'!N$1:N$400,0)),N$2,)</f>
        <v>0</v>
      </c>
      <c r="O208" s="179">
        <f ca="1">IF(ISNUMBER(MATCH(DATEVALUE($A208),'changes1_based on steps'!O$1:O$400,0)),O$2,)</f>
        <v>0</v>
      </c>
      <c r="P208" s="179">
        <f ca="1">IF(ISNUMBER(MATCH(DATEVALUE($A208),'changes1_based on steps'!P$1:P$400,0)),P$2,)</f>
        <v>0</v>
      </c>
      <c r="Q208" s="179">
        <f ca="1">IF(ISNUMBER(MATCH(DATEVALUE($A208),'changes1_based on steps'!Q$1:Q$400,0)),Q$2,)</f>
        <v>0</v>
      </c>
      <c r="R208" s="179">
        <f ca="1">IF(ISNUMBER(MATCH(DATEVALUE($A208),'changes1_based on steps'!R$1:R$400,0)),R$2,)</f>
        <v>0</v>
      </c>
      <c r="S208" s="179">
        <f ca="1">IF(ISNUMBER(MATCH(DATEVALUE($A208),'changes1_based on steps'!S$1:S$400,0)),S$2,)</f>
        <v>0</v>
      </c>
      <c r="T208" s="179">
        <f ca="1">IF(ISNUMBER(MATCH(DATEVALUE($A208),'changes1_based on steps'!T$1:T$400,0)),T$2,)</f>
        <v>0</v>
      </c>
      <c r="U208" s="179">
        <f ca="1">IF(ISNUMBER(MATCH(DATEVALUE($A208),'changes1_based on steps'!U$1:U$400,0)),U$2,)</f>
        <v>0</v>
      </c>
      <c r="V208" s="179"/>
      <c r="W208" s="179"/>
      <c r="X208" s="179"/>
      <c r="Y208" s="179"/>
      <c r="Z208" s="179"/>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c r="AV208" s="179"/>
      <c r="AW208" s="179"/>
      <c r="AX208" s="179"/>
      <c r="AY208" s="179"/>
      <c r="AZ208" s="179"/>
      <c r="BA208" s="179"/>
      <c r="BB208" s="179"/>
      <c r="BC208" s="179"/>
      <c r="BD208" s="179"/>
      <c r="BE208" s="179"/>
      <c r="BF208" s="179"/>
      <c r="BG208" s="179"/>
      <c r="BH208" s="179"/>
      <c r="BI208" s="179"/>
      <c r="BJ208" s="179"/>
      <c r="BK208" s="179"/>
      <c r="BL208" s="179"/>
      <c r="BM208" s="179"/>
      <c r="BN208" s="179"/>
      <c r="BO208" s="179"/>
      <c r="BP208" s="179"/>
      <c r="BQ208" s="179"/>
      <c r="BR208" s="179"/>
      <c r="BS208" s="179"/>
      <c r="BT208" s="179"/>
      <c r="BU208" s="179"/>
      <c r="BV208" s="179"/>
      <c r="BW208" s="179"/>
      <c r="BX208" s="179"/>
      <c r="BY208" s="179"/>
      <c r="BZ208" s="179"/>
      <c r="CA208" s="179"/>
      <c r="CB208" s="179"/>
      <c r="CC208" s="179"/>
      <c r="CD208" s="179"/>
      <c r="CE208" s="179"/>
      <c r="CF208" s="179"/>
      <c r="CG208" s="179"/>
      <c r="CH208" s="179"/>
      <c r="CI208" s="179"/>
      <c r="CJ208" s="179"/>
      <c r="CK208" s="179"/>
      <c r="CL208" s="179"/>
      <c r="CM208" s="179"/>
      <c r="CN208" s="179"/>
      <c r="CO208" s="179"/>
      <c r="CP208" s="179"/>
      <c r="CQ208" s="179"/>
      <c r="CR208" s="179"/>
      <c r="CS208" s="179"/>
      <c r="CT208" s="179"/>
      <c r="CU208" s="179"/>
      <c r="CV208" s="179"/>
      <c r="CW208" s="179"/>
    </row>
    <row r="209" spans="1:101" x14ac:dyDescent="0.2">
      <c r="A209" s="32" t="str">
        <f t="shared" ca="1" si="3"/>
        <v>2025-10-21</v>
      </c>
      <c r="B209" s="179">
        <f ca="1">IF(ISNUMBER(MATCH(DATEVALUE($A209),'changes1_based on steps'!B$1:B$400,0)),B$2,)</f>
        <v>0</v>
      </c>
      <c r="C209" s="179">
        <f ca="1">IF(ISNUMBER(MATCH(DATEVALUE($A209),'changes1_based on steps'!C$1:C$400,0)),C$2,)</f>
        <v>0</v>
      </c>
      <c r="D209" s="179">
        <f ca="1">IF(ISNUMBER(MATCH(DATEVALUE($A209),'changes1_based on steps'!D$1:D$400,0)),D$2,)</f>
        <v>0</v>
      </c>
      <c r="E209" s="179">
        <f ca="1">IF(ISNUMBER(MATCH(DATEVALUE($A209),'changes1_based on steps'!E$1:E$400,0)),E$2,)</f>
        <v>0</v>
      </c>
      <c r="F209" s="179">
        <f ca="1">IF(ISNUMBER(MATCH(DATEVALUE($A209),'changes1_based on steps'!F$1:F$400,0)),F$2,)</f>
        <v>0</v>
      </c>
      <c r="G209" s="179">
        <f ca="1">IF(ISNUMBER(MATCH(DATEVALUE($A209),'changes1_based on steps'!G$1:G$400,0)),G$2,)</f>
        <v>0</v>
      </c>
      <c r="H209" s="179">
        <f ca="1">IF(ISNUMBER(MATCH(DATEVALUE($A209),'changes1_based on steps'!H$1:H$400,0)),H$2,)</f>
        <v>0</v>
      </c>
      <c r="I209" s="179">
        <f ca="1">IF(ISNUMBER(MATCH(DATEVALUE($A209),'changes1_based on steps'!I$1:I$400,0)),I$2,)</f>
        <v>0</v>
      </c>
      <c r="J209" s="179">
        <f ca="1">IF(ISNUMBER(MATCH(DATEVALUE($A209),'changes1_based on steps'!J$1:J$400,0)),J$2,)</f>
        <v>0</v>
      </c>
      <c r="K209" s="179">
        <f ca="1">IF(ISNUMBER(MATCH(DATEVALUE($A209),'changes1_based on steps'!K$1:K$400,0)),K$2,)</f>
        <v>0</v>
      </c>
      <c r="L209" s="179">
        <f ca="1">IF(ISNUMBER(MATCH(DATEVALUE($A209),'changes1_based on steps'!L$1:L$400,0)),L$2,)</f>
        <v>0</v>
      </c>
      <c r="M209" s="179">
        <f ca="1">IF(ISNUMBER(MATCH(DATEVALUE($A209),'changes1_based on steps'!M$1:M$400,0)),M$2,)</f>
        <v>0</v>
      </c>
      <c r="N209" s="179">
        <f ca="1">IF(ISNUMBER(MATCH(DATEVALUE($A209),'changes1_based on steps'!N$1:N$400,0)),N$2,)</f>
        <v>0</v>
      </c>
      <c r="O209" s="179">
        <f ca="1">IF(ISNUMBER(MATCH(DATEVALUE($A209),'changes1_based on steps'!O$1:O$400,0)),O$2,)</f>
        <v>0</v>
      </c>
      <c r="P209" s="179">
        <f ca="1">IF(ISNUMBER(MATCH(DATEVALUE($A209),'changes1_based on steps'!P$1:P$400,0)),P$2,)</f>
        <v>0</v>
      </c>
      <c r="Q209" s="179">
        <f ca="1">IF(ISNUMBER(MATCH(DATEVALUE($A209),'changes1_based on steps'!Q$1:Q$400,0)),Q$2,)</f>
        <v>0</v>
      </c>
      <c r="R209" s="179">
        <f ca="1">IF(ISNUMBER(MATCH(DATEVALUE($A209),'changes1_based on steps'!R$1:R$400,0)),R$2,)</f>
        <v>0</v>
      </c>
      <c r="S209" s="179">
        <f ca="1">IF(ISNUMBER(MATCH(DATEVALUE($A209),'changes1_based on steps'!S$1:S$400,0)),S$2,)</f>
        <v>0</v>
      </c>
      <c r="T209" s="179">
        <f ca="1">IF(ISNUMBER(MATCH(DATEVALUE($A209),'changes1_based on steps'!T$1:T$400,0)),T$2,)</f>
        <v>0</v>
      </c>
      <c r="U209" s="179">
        <f ca="1">IF(ISNUMBER(MATCH(DATEVALUE($A209),'changes1_based on steps'!U$1:U$400,0)),U$2,)</f>
        <v>0</v>
      </c>
      <c r="V209" s="179"/>
      <c r="W209" s="179"/>
      <c r="X209" s="179"/>
      <c r="Y209" s="179"/>
      <c r="Z209" s="179"/>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c r="AV209" s="179"/>
      <c r="AW209" s="179"/>
      <c r="AX209" s="179"/>
      <c r="AY209" s="179"/>
      <c r="AZ209" s="179"/>
      <c r="BA209" s="179"/>
      <c r="BB209" s="179"/>
      <c r="BC209" s="179"/>
      <c r="BD209" s="179"/>
      <c r="BE209" s="179"/>
      <c r="BF209" s="179"/>
      <c r="BG209" s="179"/>
      <c r="BH209" s="179"/>
      <c r="BI209" s="179"/>
      <c r="BJ209" s="179"/>
      <c r="BK209" s="179"/>
      <c r="BL209" s="179"/>
      <c r="BM209" s="179"/>
      <c r="BN209" s="179"/>
      <c r="BO209" s="179"/>
      <c r="BP209" s="179"/>
      <c r="BQ209" s="179"/>
      <c r="BR209" s="179"/>
      <c r="BS209" s="179"/>
      <c r="BT209" s="179"/>
      <c r="BU209" s="179"/>
      <c r="BV209" s="179"/>
      <c r="BW209" s="179"/>
      <c r="BX209" s="179"/>
      <c r="BY209" s="179"/>
      <c r="BZ209" s="179"/>
      <c r="CA209" s="179"/>
      <c r="CB209" s="179"/>
      <c r="CC209" s="179"/>
      <c r="CD209" s="179"/>
      <c r="CE209" s="179"/>
      <c r="CF209" s="179"/>
      <c r="CG209" s="179"/>
      <c r="CH209" s="179"/>
      <c r="CI209" s="179"/>
      <c r="CJ209" s="179"/>
      <c r="CK209" s="179"/>
      <c r="CL209" s="179"/>
      <c r="CM209" s="179"/>
      <c r="CN209" s="179"/>
      <c r="CO209" s="179"/>
      <c r="CP209" s="179"/>
      <c r="CQ209" s="179"/>
      <c r="CR209" s="179"/>
      <c r="CS209" s="179"/>
      <c r="CT209" s="179"/>
      <c r="CU209" s="179"/>
      <c r="CV209" s="179"/>
      <c r="CW209" s="179"/>
    </row>
    <row r="210" spans="1:101" x14ac:dyDescent="0.2">
      <c r="A210" s="32" t="str">
        <f t="shared" ca="1" si="3"/>
        <v>2025-10-22</v>
      </c>
      <c r="B210" s="179">
        <f ca="1">IF(ISNUMBER(MATCH(DATEVALUE($A210),'changes1_based on steps'!B$1:B$400,0)),B$2,)</f>
        <v>0</v>
      </c>
      <c r="C210" s="179">
        <f ca="1">IF(ISNUMBER(MATCH(DATEVALUE($A210),'changes1_based on steps'!C$1:C$400,0)),C$2,)</f>
        <v>0</v>
      </c>
      <c r="D210" s="179">
        <f ca="1">IF(ISNUMBER(MATCH(DATEVALUE($A210),'changes1_based on steps'!D$1:D$400,0)),D$2,)</f>
        <v>0</v>
      </c>
      <c r="E210" s="179">
        <f ca="1">IF(ISNUMBER(MATCH(DATEVALUE($A210),'changes1_based on steps'!E$1:E$400,0)),E$2,)</f>
        <v>0</v>
      </c>
      <c r="F210" s="179">
        <f ca="1">IF(ISNUMBER(MATCH(DATEVALUE($A210),'changes1_based on steps'!F$1:F$400,0)),F$2,)</f>
        <v>0</v>
      </c>
      <c r="G210" s="179">
        <f ca="1">IF(ISNUMBER(MATCH(DATEVALUE($A210),'changes1_based on steps'!G$1:G$400,0)),G$2,)</f>
        <v>0</v>
      </c>
      <c r="H210" s="179">
        <f ca="1">IF(ISNUMBER(MATCH(DATEVALUE($A210),'changes1_based on steps'!H$1:H$400,0)),H$2,)</f>
        <v>0</v>
      </c>
      <c r="I210" s="179">
        <f ca="1">IF(ISNUMBER(MATCH(DATEVALUE($A210),'changes1_based on steps'!I$1:I$400,0)),I$2,)</f>
        <v>0</v>
      </c>
      <c r="J210" s="179">
        <f ca="1">IF(ISNUMBER(MATCH(DATEVALUE($A210),'changes1_based on steps'!J$1:J$400,0)),J$2,)</f>
        <v>0</v>
      </c>
      <c r="K210" s="179">
        <f ca="1">IF(ISNUMBER(MATCH(DATEVALUE($A210),'changes1_based on steps'!K$1:K$400,0)),K$2,)</f>
        <v>0</v>
      </c>
      <c r="L210" s="179">
        <f ca="1">IF(ISNUMBER(MATCH(DATEVALUE($A210),'changes1_based on steps'!L$1:L$400,0)),L$2,)</f>
        <v>0</v>
      </c>
      <c r="M210" s="179">
        <f ca="1">IF(ISNUMBER(MATCH(DATEVALUE($A210),'changes1_based on steps'!M$1:M$400,0)),M$2,)</f>
        <v>0</v>
      </c>
      <c r="N210" s="179">
        <f ca="1">IF(ISNUMBER(MATCH(DATEVALUE($A210),'changes1_based on steps'!N$1:N$400,0)),N$2,)</f>
        <v>0</v>
      </c>
      <c r="O210" s="179">
        <f ca="1">IF(ISNUMBER(MATCH(DATEVALUE($A210),'changes1_based on steps'!O$1:O$400,0)),O$2,)</f>
        <v>0</v>
      </c>
      <c r="P210" s="179">
        <f ca="1">IF(ISNUMBER(MATCH(DATEVALUE($A210),'changes1_based on steps'!P$1:P$400,0)),P$2,)</f>
        <v>0</v>
      </c>
      <c r="Q210" s="179">
        <f ca="1">IF(ISNUMBER(MATCH(DATEVALUE($A210),'changes1_based on steps'!Q$1:Q$400,0)),Q$2,)</f>
        <v>0</v>
      </c>
      <c r="R210" s="179">
        <f ca="1">IF(ISNUMBER(MATCH(DATEVALUE($A210),'changes1_based on steps'!R$1:R$400,0)),R$2,)</f>
        <v>0</v>
      </c>
      <c r="S210" s="179">
        <f ca="1">IF(ISNUMBER(MATCH(DATEVALUE($A210),'changes1_based on steps'!S$1:S$400,0)),S$2,)</f>
        <v>0</v>
      </c>
      <c r="T210" s="179">
        <f ca="1">IF(ISNUMBER(MATCH(DATEVALUE($A210),'changes1_based on steps'!T$1:T$400,0)),T$2,)</f>
        <v>0</v>
      </c>
      <c r="U210" s="179">
        <f ca="1">IF(ISNUMBER(MATCH(DATEVALUE($A210),'changes1_based on steps'!U$1:U$400,0)),U$2,)</f>
        <v>0</v>
      </c>
      <c r="V210" s="179"/>
      <c r="W210" s="179"/>
      <c r="X210" s="179"/>
      <c r="Y210" s="179"/>
      <c r="Z210" s="179"/>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c r="AV210" s="179"/>
      <c r="AW210" s="179"/>
      <c r="AX210" s="179"/>
      <c r="AY210" s="179"/>
      <c r="AZ210" s="179"/>
      <c r="BA210" s="179"/>
      <c r="BB210" s="179"/>
      <c r="BC210" s="179"/>
      <c r="BD210" s="179"/>
      <c r="BE210" s="179"/>
      <c r="BF210" s="179"/>
      <c r="BG210" s="179"/>
      <c r="BH210" s="179"/>
      <c r="BI210" s="179"/>
      <c r="BJ210" s="179"/>
      <c r="BK210" s="179"/>
      <c r="BL210" s="179"/>
      <c r="BM210" s="179"/>
      <c r="BN210" s="179"/>
      <c r="BO210" s="179"/>
      <c r="BP210" s="179"/>
      <c r="BQ210" s="179"/>
      <c r="BR210" s="179"/>
      <c r="BS210" s="179"/>
      <c r="BT210" s="179"/>
      <c r="BU210" s="179"/>
      <c r="BV210" s="179"/>
      <c r="BW210" s="179"/>
      <c r="BX210" s="179"/>
      <c r="BY210" s="179"/>
      <c r="BZ210" s="179"/>
      <c r="CA210" s="179"/>
      <c r="CB210" s="179"/>
      <c r="CC210" s="179"/>
      <c r="CD210" s="179"/>
      <c r="CE210" s="179"/>
      <c r="CF210" s="179"/>
      <c r="CG210" s="179"/>
      <c r="CH210" s="179"/>
      <c r="CI210" s="179"/>
      <c r="CJ210" s="179"/>
      <c r="CK210" s="179"/>
      <c r="CL210" s="179"/>
      <c r="CM210" s="179"/>
      <c r="CN210" s="179"/>
      <c r="CO210" s="179"/>
      <c r="CP210" s="179"/>
      <c r="CQ210" s="179"/>
      <c r="CR210" s="179"/>
      <c r="CS210" s="179"/>
      <c r="CT210" s="179"/>
      <c r="CU210" s="179"/>
      <c r="CV210" s="179"/>
      <c r="CW210" s="179"/>
    </row>
    <row r="211" spans="1:101" x14ac:dyDescent="0.2">
      <c r="A211" s="32" t="str">
        <f t="shared" ca="1" si="3"/>
        <v>2025-10-23</v>
      </c>
      <c r="B211" s="179">
        <f ca="1">IF(ISNUMBER(MATCH(DATEVALUE($A211),'changes1_based on steps'!B$1:B$400,0)),B$2,)</f>
        <v>0</v>
      </c>
      <c r="C211" s="179">
        <f ca="1">IF(ISNUMBER(MATCH(DATEVALUE($A211),'changes1_based on steps'!C$1:C$400,0)),C$2,)</f>
        <v>0</v>
      </c>
      <c r="D211" s="179">
        <f ca="1">IF(ISNUMBER(MATCH(DATEVALUE($A211),'changes1_based on steps'!D$1:D$400,0)),D$2,)</f>
        <v>0</v>
      </c>
      <c r="E211" s="179">
        <f ca="1">IF(ISNUMBER(MATCH(DATEVALUE($A211),'changes1_based on steps'!E$1:E$400,0)),E$2,)</f>
        <v>0</v>
      </c>
      <c r="F211" s="179">
        <f ca="1">IF(ISNUMBER(MATCH(DATEVALUE($A211),'changes1_based on steps'!F$1:F$400,0)),F$2,)</f>
        <v>0</v>
      </c>
      <c r="G211" s="179">
        <f ca="1">IF(ISNUMBER(MATCH(DATEVALUE($A211),'changes1_based on steps'!G$1:G$400,0)),G$2,)</f>
        <v>0</v>
      </c>
      <c r="H211" s="179">
        <f ca="1">IF(ISNUMBER(MATCH(DATEVALUE($A211),'changes1_based on steps'!H$1:H$400,0)),H$2,)</f>
        <v>0</v>
      </c>
      <c r="I211" s="179">
        <f ca="1">IF(ISNUMBER(MATCH(DATEVALUE($A211),'changes1_based on steps'!I$1:I$400,0)),I$2,)</f>
        <v>0</v>
      </c>
      <c r="J211" s="179">
        <f ca="1">IF(ISNUMBER(MATCH(DATEVALUE($A211),'changes1_based on steps'!J$1:J$400,0)),J$2,)</f>
        <v>0</v>
      </c>
      <c r="K211" s="179">
        <f ca="1">IF(ISNUMBER(MATCH(DATEVALUE($A211),'changes1_based on steps'!K$1:K$400,0)),K$2,)</f>
        <v>0</v>
      </c>
      <c r="L211" s="179">
        <f ca="1">IF(ISNUMBER(MATCH(DATEVALUE($A211),'changes1_based on steps'!L$1:L$400,0)),L$2,)</f>
        <v>0</v>
      </c>
      <c r="M211" s="179">
        <f ca="1">IF(ISNUMBER(MATCH(DATEVALUE($A211),'changes1_based on steps'!M$1:M$400,0)),M$2,)</f>
        <v>0</v>
      </c>
      <c r="N211" s="179">
        <f ca="1">IF(ISNUMBER(MATCH(DATEVALUE($A211),'changes1_based on steps'!N$1:N$400,0)),N$2,)</f>
        <v>0</v>
      </c>
      <c r="O211" s="179">
        <f ca="1">IF(ISNUMBER(MATCH(DATEVALUE($A211),'changes1_based on steps'!O$1:O$400,0)),O$2,)</f>
        <v>0</v>
      </c>
      <c r="P211" s="179">
        <f ca="1">IF(ISNUMBER(MATCH(DATEVALUE($A211),'changes1_based on steps'!P$1:P$400,0)),P$2,)</f>
        <v>0</v>
      </c>
      <c r="Q211" s="179">
        <f ca="1">IF(ISNUMBER(MATCH(DATEVALUE($A211),'changes1_based on steps'!Q$1:Q$400,0)),Q$2,)</f>
        <v>0</v>
      </c>
      <c r="R211" s="179">
        <f ca="1">IF(ISNUMBER(MATCH(DATEVALUE($A211),'changes1_based on steps'!R$1:R$400,0)),R$2,)</f>
        <v>0</v>
      </c>
      <c r="S211" s="179">
        <f ca="1">IF(ISNUMBER(MATCH(DATEVALUE($A211),'changes1_based on steps'!S$1:S$400,0)),S$2,)</f>
        <v>0</v>
      </c>
      <c r="T211" s="179">
        <f ca="1">IF(ISNUMBER(MATCH(DATEVALUE($A211),'changes1_based on steps'!T$1:T$400,0)),T$2,)</f>
        <v>0</v>
      </c>
      <c r="U211" s="179">
        <f ca="1">IF(ISNUMBER(MATCH(DATEVALUE($A211),'changes1_based on steps'!U$1:U$400,0)),U$2,)</f>
        <v>0</v>
      </c>
      <c r="V211" s="179"/>
      <c r="W211" s="179"/>
      <c r="X211" s="179"/>
      <c r="Y211" s="179"/>
      <c r="Z211" s="179"/>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c r="AV211" s="179"/>
      <c r="AW211" s="179"/>
      <c r="AX211" s="179"/>
      <c r="AY211" s="179"/>
      <c r="AZ211" s="179"/>
      <c r="BA211" s="179"/>
      <c r="BB211" s="179"/>
      <c r="BC211" s="179"/>
      <c r="BD211" s="179"/>
      <c r="BE211" s="179"/>
      <c r="BF211" s="179"/>
      <c r="BG211" s="179"/>
      <c r="BH211" s="179"/>
      <c r="BI211" s="179"/>
      <c r="BJ211" s="179"/>
      <c r="BK211" s="179"/>
      <c r="BL211" s="179"/>
      <c r="BM211" s="179"/>
      <c r="BN211" s="179"/>
      <c r="BO211" s="179"/>
      <c r="BP211" s="179"/>
      <c r="BQ211" s="179"/>
      <c r="BR211" s="179"/>
      <c r="BS211" s="179"/>
      <c r="BT211" s="179"/>
      <c r="BU211" s="179"/>
      <c r="BV211" s="179"/>
      <c r="BW211" s="179"/>
      <c r="BX211" s="179"/>
      <c r="BY211" s="179"/>
      <c r="BZ211" s="179"/>
      <c r="CA211" s="179"/>
      <c r="CB211" s="179"/>
      <c r="CC211" s="179"/>
      <c r="CD211" s="179"/>
      <c r="CE211" s="179"/>
      <c r="CF211" s="179"/>
      <c r="CG211" s="179"/>
      <c r="CH211" s="179"/>
      <c r="CI211" s="179"/>
      <c r="CJ211" s="179"/>
      <c r="CK211" s="179"/>
      <c r="CL211" s="179"/>
      <c r="CM211" s="179"/>
      <c r="CN211" s="179"/>
      <c r="CO211" s="179"/>
      <c r="CP211" s="179"/>
      <c r="CQ211" s="179"/>
      <c r="CR211" s="179"/>
      <c r="CS211" s="179"/>
      <c r="CT211" s="179"/>
      <c r="CU211" s="179"/>
      <c r="CV211" s="179"/>
      <c r="CW211" s="179"/>
    </row>
    <row r="212" spans="1:101" x14ac:dyDescent="0.2">
      <c r="A212" s="32" t="str">
        <f t="shared" ca="1" si="3"/>
        <v>2025-10-24</v>
      </c>
      <c r="B212" s="179">
        <f ca="1">IF(ISNUMBER(MATCH(DATEVALUE($A212),'changes1_based on steps'!B$1:B$400,0)),B$2,)</f>
        <v>0</v>
      </c>
      <c r="C212" s="179">
        <f ca="1">IF(ISNUMBER(MATCH(DATEVALUE($A212),'changes1_based on steps'!C$1:C$400,0)),C$2,)</f>
        <v>0</v>
      </c>
      <c r="D212" s="179">
        <f ca="1">IF(ISNUMBER(MATCH(DATEVALUE($A212),'changes1_based on steps'!D$1:D$400,0)),D$2,)</f>
        <v>0</v>
      </c>
      <c r="E212" s="179">
        <f ca="1">IF(ISNUMBER(MATCH(DATEVALUE($A212),'changes1_based on steps'!E$1:E$400,0)),E$2,)</f>
        <v>0</v>
      </c>
      <c r="F212" s="179">
        <f ca="1">IF(ISNUMBER(MATCH(DATEVALUE($A212),'changes1_based on steps'!F$1:F$400,0)),F$2,)</f>
        <v>0</v>
      </c>
      <c r="G212" s="179">
        <f ca="1">IF(ISNUMBER(MATCH(DATEVALUE($A212),'changes1_based on steps'!G$1:G$400,0)),G$2,)</f>
        <v>0</v>
      </c>
      <c r="H212" s="179">
        <f ca="1">IF(ISNUMBER(MATCH(DATEVALUE($A212),'changes1_based on steps'!H$1:H$400,0)),H$2,)</f>
        <v>0</v>
      </c>
      <c r="I212" s="179">
        <f ca="1">IF(ISNUMBER(MATCH(DATEVALUE($A212),'changes1_based on steps'!I$1:I$400,0)),I$2,)</f>
        <v>0</v>
      </c>
      <c r="J212" s="179">
        <f ca="1">IF(ISNUMBER(MATCH(DATEVALUE($A212),'changes1_based on steps'!J$1:J$400,0)),J$2,)</f>
        <v>0</v>
      </c>
      <c r="K212" s="179">
        <f ca="1">IF(ISNUMBER(MATCH(DATEVALUE($A212),'changes1_based on steps'!K$1:K$400,0)),K$2,)</f>
        <v>0</v>
      </c>
      <c r="L212" s="179">
        <f ca="1">IF(ISNUMBER(MATCH(DATEVALUE($A212),'changes1_based on steps'!L$1:L$400,0)),L$2,)</f>
        <v>0</v>
      </c>
      <c r="M212" s="179">
        <f ca="1">IF(ISNUMBER(MATCH(DATEVALUE($A212),'changes1_based on steps'!M$1:M$400,0)),M$2,)</f>
        <v>0</v>
      </c>
      <c r="N212" s="179">
        <f ca="1">IF(ISNUMBER(MATCH(DATEVALUE($A212),'changes1_based on steps'!N$1:N$400,0)),N$2,)</f>
        <v>0</v>
      </c>
      <c r="O212" s="179">
        <f ca="1">IF(ISNUMBER(MATCH(DATEVALUE($A212),'changes1_based on steps'!O$1:O$400,0)),O$2,)</f>
        <v>0</v>
      </c>
      <c r="P212" s="179">
        <f ca="1">IF(ISNUMBER(MATCH(DATEVALUE($A212),'changes1_based on steps'!P$1:P$400,0)),P$2,)</f>
        <v>0</v>
      </c>
      <c r="Q212" s="179">
        <f ca="1">IF(ISNUMBER(MATCH(DATEVALUE($A212),'changes1_based on steps'!Q$1:Q$400,0)),Q$2,)</f>
        <v>0</v>
      </c>
      <c r="R212" s="179">
        <f ca="1">IF(ISNUMBER(MATCH(DATEVALUE($A212),'changes1_based on steps'!R$1:R$400,0)),R$2,)</f>
        <v>0</v>
      </c>
      <c r="S212" s="179">
        <f ca="1">IF(ISNUMBER(MATCH(DATEVALUE($A212),'changes1_based on steps'!S$1:S$400,0)),S$2,)</f>
        <v>0</v>
      </c>
      <c r="T212" s="179">
        <f ca="1">IF(ISNUMBER(MATCH(DATEVALUE($A212),'changes1_based on steps'!T$1:T$400,0)),T$2,)</f>
        <v>0</v>
      </c>
      <c r="U212" s="179">
        <f ca="1">IF(ISNUMBER(MATCH(DATEVALUE($A212),'changes1_based on steps'!U$1:U$400,0)),U$2,)</f>
        <v>0</v>
      </c>
      <c r="V212" s="179"/>
      <c r="W212" s="179"/>
      <c r="X212" s="179"/>
      <c r="Y212" s="179"/>
      <c r="Z212" s="179"/>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c r="AV212" s="179"/>
      <c r="AW212" s="179"/>
      <c r="AX212" s="179"/>
      <c r="AY212" s="179"/>
      <c r="AZ212" s="179"/>
      <c r="BA212" s="179"/>
      <c r="BB212" s="179"/>
      <c r="BC212" s="179"/>
      <c r="BD212" s="179"/>
      <c r="BE212" s="179"/>
      <c r="BF212" s="179"/>
      <c r="BG212" s="179"/>
      <c r="BH212" s="179"/>
      <c r="BI212" s="179"/>
      <c r="BJ212" s="179"/>
      <c r="BK212" s="179"/>
      <c r="BL212" s="179"/>
      <c r="BM212" s="179"/>
      <c r="BN212" s="179"/>
      <c r="BO212" s="179"/>
      <c r="BP212" s="179"/>
      <c r="BQ212" s="179"/>
      <c r="BR212" s="179"/>
      <c r="BS212" s="179"/>
      <c r="BT212" s="179"/>
      <c r="BU212" s="179"/>
      <c r="BV212" s="179"/>
      <c r="BW212" s="179"/>
      <c r="BX212" s="179"/>
      <c r="BY212" s="179"/>
      <c r="BZ212" s="179"/>
      <c r="CA212" s="179"/>
      <c r="CB212" s="179"/>
      <c r="CC212" s="179"/>
      <c r="CD212" s="179"/>
      <c r="CE212" s="179"/>
      <c r="CF212" s="179"/>
      <c r="CG212" s="179"/>
      <c r="CH212" s="179"/>
      <c r="CI212" s="179"/>
      <c r="CJ212" s="179"/>
      <c r="CK212" s="179"/>
      <c r="CL212" s="179"/>
      <c r="CM212" s="179"/>
      <c r="CN212" s="179"/>
      <c r="CO212" s="179"/>
      <c r="CP212" s="179"/>
      <c r="CQ212" s="179"/>
      <c r="CR212" s="179"/>
      <c r="CS212" s="179"/>
      <c r="CT212" s="179"/>
      <c r="CU212" s="179"/>
      <c r="CV212" s="179"/>
      <c r="CW212" s="179"/>
    </row>
    <row r="213" spans="1:101" x14ac:dyDescent="0.2">
      <c r="A213" s="32" t="str">
        <f t="shared" ca="1" si="3"/>
        <v>2025-10-25</v>
      </c>
      <c r="B213" s="179">
        <f ca="1">IF(ISNUMBER(MATCH(DATEVALUE($A213),'changes1_based on steps'!B$1:B$400,0)),B$2,)</f>
        <v>0</v>
      </c>
      <c r="C213" s="179">
        <f ca="1">IF(ISNUMBER(MATCH(DATEVALUE($A213),'changes1_based on steps'!C$1:C$400,0)),C$2,)</f>
        <v>0</v>
      </c>
      <c r="D213" s="179">
        <f ca="1">IF(ISNUMBER(MATCH(DATEVALUE($A213),'changes1_based on steps'!D$1:D$400,0)),D$2,)</f>
        <v>0</v>
      </c>
      <c r="E213" s="179">
        <f ca="1">IF(ISNUMBER(MATCH(DATEVALUE($A213),'changes1_based on steps'!E$1:E$400,0)),E$2,)</f>
        <v>0</v>
      </c>
      <c r="F213" s="179">
        <f ca="1">IF(ISNUMBER(MATCH(DATEVALUE($A213),'changes1_based on steps'!F$1:F$400,0)),F$2,)</f>
        <v>0</v>
      </c>
      <c r="G213" s="179">
        <f ca="1">IF(ISNUMBER(MATCH(DATEVALUE($A213),'changes1_based on steps'!G$1:G$400,0)),G$2,)</f>
        <v>0</v>
      </c>
      <c r="H213" s="179">
        <f ca="1">IF(ISNUMBER(MATCH(DATEVALUE($A213),'changes1_based on steps'!H$1:H$400,0)),H$2,)</f>
        <v>0</v>
      </c>
      <c r="I213" s="179">
        <f ca="1">IF(ISNUMBER(MATCH(DATEVALUE($A213),'changes1_based on steps'!I$1:I$400,0)),I$2,)</f>
        <v>0</v>
      </c>
      <c r="J213" s="179">
        <f ca="1">IF(ISNUMBER(MATCH(DATEVALUE($A213),'changes1_based on steps'!J$1:J$400,0)),J$2,)</f>
        <v>0</v>
      </c>
      <c r="K213" s="179">
        <f ca="1">IF(ISNUMBER(MATCH(DATEVALUE($A213),'changes1_based on steps'!K$1:K$400,0)),K$2,)</f>
        <v>0</v>
      </c>
      <c r="L213" s="179">
        <f ca="1">IF(ISNUMBER(MATCH(DATEVALUE($A213),'changes1_based on steps'!L$1:L$400,0)),L$2,)</f>
        <v>0</v>
      </c>
      <c r="M213" s="179">
        <f ca="1">IF(ISNUMBER(MATCH(DATEVALUE($A213),'changes1_based on steps'!M$1:M$400,0)),M$2,)</f>
        <v>0</v>
      </c>
      <c r="N213" s="179">
        <f ca="1">IF(ISNUMBER(MATCH(DATEVALUE($A213),'changes1_based on steps'!N$1:N$400,0)),N$2,)</f>
        <v>0</v>
      </c>
      <c r="O213" s="179">
        <f ca="1">IF(ISNUMBER(MATCH(DATEVALUE($A213),'changes1_based on steps'!O$1:O$400,0)),O$2,)</f>
        <v>0</v>
      </c>
      <c r="P213" s="179">
        <f ca="1">IF(ISNUMBER(MATCH(DATEVALUE($A213),'changes1_based on steps'!P$1:P$400,0)),P$2,)</f>
        <v>0</v>
      </c>
      <c r="Q213" s="179">
        <f ca="1">IF(ISNUMBER(MATCH(DATEVALUE($A213),'changes1_based on steps'!Q$1:Q$400,0)),Q$2,)</f>
        <v>0</v>
      </c>
      <c r="R213" s="179">
        <f ca="1">IF(ISNUMBER(MATCH(DATEVALUE($A213),'changes1_based on steps'!R$1:R$400,0)),R$2,)</f>
        <v>0</v>
      </c>
      <c r="S213" s="179">
        <f ca="1">IF(ISNUMBER(MATCH(DATEVALUE($A213),'changes1_based on steps'!S$1:S$400,0)),S$2,)</f>
        <v>0</v>
      </c>
      <c r="T213" s="179">
        <f ca="1">IF(ISNUMBER(MATCH(DATEVALUE($A213),'changes1_based on steps'!T$1:T$400,0)),T$2,)</f>
        <v>0</v>
      </c>
      <c r="U213" s="179">
        <f ca="1">IF(ISNUMBER(MATCH(DATEVALUE($A213),'changes1_based on steps'!U$1:U$400,0)),U$2,)</f>
        <v>0</v>
      </c>
      <c r="V213" s="179"/>
      <c r="W213" s="179"/>
      <c r="X213" s="179"/>
      <c r="Y213" s="179"/>
      <c r="Z213" s="179"/>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c r="AV213" s="179"/>
      <c r="AW213" s="179"/>
      <c r="AX213" s="179"/>
      <c r="AY213" s="179"/>
      <c r="AZ213" s="179"/>
      <c r="BA213" s="179"/>
      <c r="BB213" s="179"/>
      <c r="BC213" s="179"/>
      <c r="BD213" s="179"/>
      <c r="BE213" s="179"/>
      <c r="BF213" s="179"/>
      <c r="BG213" s="179"/>
      <c r="BH213" s="179"/>
      <c r="BI213" s="179"/>
      <c r="BJ213" s="179"/>
      <c r="BK213" s="179"/>
      <c r="BL213" s="179"/>
      <c r="BM213" s="179"/>
      <c r="BN213" s="179"/>
      <c r="BO213" s="179"/>
      <c r="BP213" s="179"/>
      <c r="BQ213" s="179"/>
      <c r="BR213" s="179"/>
      <c r="BS213" s="179"/>
      <c r="BT213" s="179"/>
      <c r="BU213" s="179"/>
      <c r="BV213" s="179"/>
      <c r="BW213" s="179"/>
      <c r="BX213" s="179"/>
      <c r="BY213" s="179"/>
      <c r="BZ213" s="179"/>
      <c r="CA213" s="179"/>
      <c r="CB213" s="179"/>
      <c r="CC213" s="179"/>
      <c r="CD213" s="179"/>
      <c r="CE213" s="179"/>
      <c r="CF213" s="179"/>
      <c r="CG213" s="179"/>
      <c r="CH213" s="179"/>
      <c r="CI213" s="179"/>
      <c r="CJ213" s="179"/>
      <c r="CK213" s="179"/>
      <c r="CL213" s="179"/>
      <c r="CM213" s="179"/>
      <c r="CN213" s="179"/>
      <c r="CO213" s="179"/>
      <c r="CP213" s="179"/>
      <c r="CQ213" s="179"/>
      <c r="CR213" s="179"/>
      <c r="CS213" s="179"/>
      <c r="CT213" s="179"/>
      <c r="CU213" s="179"/>
      <c r="CV213" s="179"/>
      <c r="CW213" s="179"/>
    </row>
    <row r="214" spans="1:101" x14ac:dyDescent="0.2">
      <c r="A214" s="32" t="str">
        <f t="shared" ca="1" si="3"/>
        <v>2025-10-26</v>
      </c>
      <c r="B214" s="179">
        <f ca="1">IF(ISNUMBER(MATCH(DATEVALUE($A214),'changes1_based on steps'!B$1:B$400,0)),B$2,)</f>
        <v>0</v>
      </c>
      <c r="C214" s="179">
        <f ca="1">IF(ISNUMBER(MATCH(DATEVALUE($A214),'changes1_based on steps'!C$1:C$400,0)),C$2,)</f>
        <v>0</v>
      </c>
      <c r="D214" s="179">
        <f ca="1">IF(ISNUMBER(MATCH(DATEVALUE($A214),'changes1_based on steps'!D$1:D$400,0)),D$2,)</f>
        <v>0</v>
      </c>
      <c r="E214" s="179">
        <f ca="1">IF(ISNUMBER(MATCH(DATEVALUE($A214),'changes1_based on steps'!E$1:E$400,0)),E$2,)</f>
        <v>0</v>
      </c>
      <c r="F214" s="179">
        <f ca="1">IF(ISNUMBER(MATCH(DATEVALUE($A214),'changes1_based on steps'!F$1:F$400,0)),F$2,)</f>
        <v>0</v>
      </c>
      <c r="G214" s="179">
        <f ca="1">IF(ISNUMBER(MATCH(DATEVALUE($A214),'changes1_based on steps'!G$1:G$400,0)),G$2,)</f>
        <v>0</v>
      </c>
      <c r="H214" s="179">
        <f ca="1">IF(ISNUMBER(MATCH(DATEVALUE($A214),'changes1_based on steps'!H$1:H$400,0)),H$2,)</f>
        <v>0</v>
      </c>
      <c r="I214" s="179">
        <f ca="1">IF(ISNUMBER(MATCH(DATEVALUE($A214),'changes1_based on steps'!I$1:I$400,0)),I$2,)</f>
        <v>0</v>
      </c>
      <c r="J214" s="179">
        <f ca="1">IF(ISNUMBER(MATCH(DATEVALUE($A214),'changes1_based on steps'!J$1:J$400,0)),J$2,)</f>
        <v>0</v>
      </c>
      <c r="K214" s="179">
        <f ca="1">IF(ISNUMBER(MATCH(DATEVALUE($A214),'changes1_based on steps'!K$1:K$400,0)),K$2,)</f>
        <v>0</v>
      </c>
      <c r="L214" s="179">
        <f ca="1">IF(ISNUMBER(MATCH(DATEVALUE($A214),'changes1_based on steps'!L$1:L$400,0)),L$2,)</f>
        <v>0</v>
      </c>
      <c r="M214" s="179">
        <f ca="1">IF(ISNUMBER(MATCH(DATEVALUE($A214),'changes1_based on steps'!M$1:M$400,0)),M$2,)</f>
        <v>0</v>
      </c>
      <c r="N214" s="179">
        <f ca="1">IF(ISNUMBER(MATCH(DATEVALUE($A214),'changes1_based on steps'!N$1:N$400,0)),N$2,)</f>
        <v>0</v>
      </c>
      <c r="O214" s="179">
        <f ca="1">IF(ISNUMBER(MATCH(DATEVALUE($A214),'changes1_based on steps'!O$1:O$400,0)),O$2,)</f>
        <v>0</v>
      </c>
      <c r="P214" s="179">
        <f ca="1">IF(ISNUMBER(MATCH(DATEVALUE($A214),'changes1_based on steps'!P$1:P$400,0)),P$2,)</f>
        <v>0</v>
      </c>
      <c r="Q214" s="179">
        <f ca="1">IF(ISNUMBER(MATCH(DATEVALUE($A214),'changes1_based on steps'!Q$1:Q$400,0)),Q$2,)</f>
        <v>0</v>
      </c>
      <c r="R214" s="179">
        <f ca="1">IF(ISNUMBER(MATCH(DATEVALUE($A214),'changes1_based on steps'!R$1:R$400,0)),R$2,)</f>
        <v>0</v>
      </c>
      <c r="S214" s="179">
        <f ca="1">IF(ISNUMBER(MATCH(DATEVALUE($A214),'changes1_based on steps'!S$1:S$400,0)),S$2,)</f>
        <v>0</v>
      </c>
      <c r="T214" s="179">
        <f ca="1">IF(ISNUMBER(MATCH(DATEVALUE($A214),'changes1_based on steps'!T$1:T$400,0)),T$2,)</f>
        <v>0</v>
      </c>
      <c r="U214" s="179">
        <f ca="1">IF(ISNUMBER(MATCH(DATEVALUE($A214),'changes1_based on steps'!U$1:U$400,0)),U$2,)</f>
        <v>0</v>
      </c>
      <c r="V214" s="179"/>
      <c r="W214" s="179"/>
      <c r="X214" s="179"/>
      <c r="Y214" s="179"/>
      <c r="Z214" s="179"/>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c r="AV214" s="179"/>
      <c r="AW214" s="179"/>
      <c r="AX214" s="179"/>
      <c r="AY214" s="179"/>
      <c r="AZ214" s="179"/>
      <c r="BA214" s="179"/>
      <c r="BB214" s="179"/>
      <c r="BC214" s="179"/>
      <c r="BD214" s="179"/>
      <c r="BE214" s="179"/>
      <c r="BF214" s="179"/>
      <c r="BG214" s="179"/>
      <c r="BH214" s="179"/>
      <c r="BI214" s="179"/>
      <c r="BJ214" s="179"/>
      <c r="BK214" s="179"/>
      <c r="BL214" s="179"/>
      <c r="BM214" s="179"/>
      <c r="BN214" s="179"/>
      <c r="BO214" s="179"/>
      <c r="BP214" s="179"/>
      <c r="BQ214" s="179"/>
      <c r="BR214" s="179"/>
      <c r="BS214" s="179"/>
      <c r="BT214" s="179"/>
      <c r="BU214" s="179"/>
      <c r="BV214" s="179"/>
      <c r="BW214" s="179"/>
      <c r="BX214" s="179"/>
      <c r="BY214" s="179"/>
      <c r="BZ214" s="179"/>
      <c r="CA214" s="179"/>
      <c r="CB214" s="179"/>
      <c r="CC214" s="179"/>
      <c r="CD214" s="179"/>
      <c r="CE214" s="179"/>
      <c r="CF214" s="179"/>
      <c r="CG214" s="179"/>
      <c r="CH214" s="179"/>
      <c r="CI214" s="179"/>
      <c r="CJ214" s="179"/>
      <c r="CK214" s="179"/>
      <c r="CL214" s="179"/>
      <c r="CM214" s="179"/>
      <c r="CN214" s="179"/>
      <c r="CO214" s="179"/>
      <c r="CP214" s="179"/>
      <c r="CQ214" s="179"/>
      <c r="CR214" s="179"/>
      <c r="CS214" s="179"/>
      <c r="CT214" s="179"/>
      <c r="CU214" s="179"/>
      <c r="CV214" s="179"/>
      <c r="CW214" s="179"/>
    </row>
    <row r="215" spans="1:101" x14ac:dyDescent="0.2">
      <c r="A215" s="32" t="str">
        <f t="shared" ca="1" si="3"/>
        <v>2025-10-27</v>
      </c>
      <c r="B215" s="179">
        <f ca="1">IF(ISNUMBER(MATCH(DATEVALUE($A215),'changes1_based on steps'!B$1:B$400,0)),B$2,)</f>
        <v>0</v>
      </c>
      <c r="C215" s="179">
        <f ca="1">IF(ISNUMBER(MATCH(DATEVALUE($A215),'changes1_based on steps'!C$1:C$400,0)),C$2,)</f>
        <v>0</v>
      </c>
      <c r="D215" s="179">
        <f ca="1">IF(ISNUMBER(MATCH(DATEVALUE($A215),'changes1_based on steps'!D$1:D$400,0)),D$2,)</f>
        <v>0</v>
      </c>
      <c r="E215" s="179">
        <f ca="1">IF(ISNUMBER(MATCH(DATEVALUE($A215),'changes1_based on steps'!E$1:E$400,0)),E$2,)</f>
        <v>0</v>
      </c>
      <c r="F215" s="179">
        <f ca="1">IF(ISNUMBER(MATCH(DATEVALUE($A215),'changes1_based on steps'!F$1:F$400,0)),F$2,)</f>
        <v>0</v>
      </c>
      <c r="G215" s="179">
        <f ca="1">IF(ISNUMBER(MATCH(DATEVALUE($A215),'changes1_based on steps'!G$1:G$400,0)),G$2,)</f>
        <v>0</v>
      </c>
      <c r="H215" s="179">
        <f ca="1">IF(ISNUMBER(MATCH(DATEVALUE($A215),'changes1_based on steps'!H$1:H$400,0)),H$2,)</f>
        <v>0</v>
      </c>
      <c r="I215" s="179">
        <f ca="1">IF(ISNUMBER(MATCH(DATEVALUE($A215),'changes1_based on steps'!I$1:I$400,0)),I$2,)</f>
        <v>0</v>
      </c>
      <c r="J215" s="179">
        <f ca="1">IF(ISNUMBER(MATCH(DATEVALUE($A215),'changes1_based on steps'!J$1:J$400,0)),J$2,)</f>
        <v>0</v>
      </c>
      <c r="K215" s="179">
        <f ca="1">IF(ISNUMBER(MATCH(DATEVALUE($A215),'changes1_based on steps'!K$1:K$400,0)),K$2,)</f>
        <v>0</v>
      </c>
      <c r="L215" s="179">
        <f ca="1">IF(ISNUMBER(MATCH(DATEVALUE($A215),'changes1_based on steps'!L$1:L$400,0)),L$2,)</f>
        <v>0</v>
      </c>
      <c r="M215" s="179">
        <f ca="1">IF(ISNUMBER(MATCH(DATEVALUE($A215),'changes1_based on steps'!M$1:M$400,0)),M$2,)</f>
        <v>0</v>
      </c>
      <c r="N215" s="179">
        <f ca="1">IF(ISNUMBER(MATCH(DATEVALUE($A215),'changes1_based on steps'!N$1:N$400,0)),N$2,)</f>
        <v>0</v>
      </c>
      <c r="O215" s="179">
        <f ca="1">IF(ISNUMBER(MATCH(DATEVALUE($A215),'changes1_based on steps'!O$1:O$400,0)),O$2,)</f>
        <v>0</v>
      </c>
      <c r="P215" s="179">
        <f ca="1">IF(ISNUMBER(MATCH(DATEVALUE($A215),'changes1_based on steps'!P$1:P$400,0)),P$2,)</f>
        <v>0</v>
      </c>
      <c r="Q215" s="179">
        <f ca="1">IF(ISNUMBER(MATCH(DATEVALUE($A215),'changes1_based on steps'!Q$1:Q$400,0)),Q$2,)</f>
        <v>0</v>
      </c>
      <c r="R215" s="179">
        <f ca="1">IF(ISNUMBER(MATCH(DATEVALUE($A215),'changes1_based on steps'!R$1:R$400,0)),R$2,)</f>
        <v>0</v>
      </c>
      <c r="S215" s="179">
        <f ca="1">IF(ISNUMBER(MATCH(DATEVALUE($A215),'changes1_based on steps'!S$1:S$400,0)),S$2,)</f>
        <v>0</v>
      </c>
      <c r="T215" s="179">
        <f ca="1">IF(ISNUMBER(MATCH(DATEVALUE($A215),'changes1_based on steps'!T$1:T$400,0)),T$2,)</f>
        <v>0</v>
      </c>
      <c r="U215" s="179">
        <f ca="1">IF(ISNUMBER(MATCH(DATEVALUE($A215),'changes1_based on steps'!U$1:U$400,0)),U$2,)</f>
        <v>0</v>
      </c>
      <c r="V215" s="179"/>
      <c r="W215" s="179"/>
      <c r="X215" s="179"/>
      <c r="Y215" s="179"/>
      <c r="Z215" s="179"/>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c r="AV215" s="179"/>
      <c r="AW215" s="179"/>
      <c r="AX215" s="179"/>
      <c r="AY215" s="179"/>
      <c r="AZ215" s="179"/>
      <c r="BA215" s="179"/>
      <c r="BB215" s="179"/>
      <c r="BC215" s="179"/>
      <c r="BD215" s="179"/>
      <c r="BE215" s="179"/>
      <c r="BF215" s="179"/>
      <c r="BG215" s="179"/>
      <c r="BH215" s="179"/>
      <c r="BI215" s="179"/>
      <c r="BJ215" s="179"/>
      <c r="BK215" s="179"/>
      <c r="BL215" s="179"/>
      <c r="BM215" s="179"/>
      <c r="BN215" s="179"/>
      <c r="BO215" s="179"/>
      <c r="BP215" s="179"/>
      <c r="BQ215" s="179"/>
      <c r="BR215" s="179"/>
      <c r="BS215" s="179"/>
      <c r="BT215" s="179"/>
      <c r="BU215" s="179"/>
      <c r="BV215" s="179"/>
      <c r="BW215" s="179"/>
      <c r="BX215" s="179"/>
      <c r="BY215" s="179"/>
      <c r="BZ215" s="179"/>
      <c r="CA215" s="179"/>
      <c r="CB215" s="179"/>
      <c r="CC215" s="179"/>
      <c r="CD215" s="179"/>
      <c r="CE215" s="179"/>
      <c r="CF215" s="179"/>
      <c r="CG215" s="179"/>
      <c r="CH215" s="179"/>
      <c r="CI215" s="179"/>
      <c r="CJ215" s="179"/>
      <c r="CK215" s="179"/>
      <c r="CL215" s="179"/>
      <c r="CM215" s="179"/>
      <c r="CN215" s="179"/>
      <c r="CO215" s="179"/>
      <c r="CP215" s="179"/>
      <c r="CQ215" s="179"/>
      <c r="CR215" s="179"/>
      <c r="CS215" s="179"/>
      <c r="CT215" s="179"/>
      <c r="CU215" s="179"/>
      <c r="CV215" s="179"/>
      <c r="CW215" s="179"/>
    </row>
    <row r="216" spans="1:101" x14ac:dyDescent="0.2">
      <c r="A216" s="32" t="str">
        <f t="shared" ca="1" si="3"/>
        <v>2025-10-28</v>
      </c>
      <c r="B216" s="179">
        <f ca="1">IF(ISNUMBER(MATCH(DATEVALUE($A216),'changes1_based on steps'!B$1:B$400,0)),B$2,)</f>
        <v>0</v>
      </c>
      <c r="C216" s="179">
        <f ca="1">IF(ISNUMBER(MATCH(DATEVALUE($A216),'changes1_based on steps'!C$1:C$400,0)),C$2,)</f>
        <v>0</v>
      </c>
      <c r="D216" s="179">
        <f ca="1">IF(ISNUMBER(MATCH(DATEVALUE($A216),'changes1_based on steps'!D$1:D$400,0)),D$2,)</f>
        <v>0</v>
      </c>
      <c r="E216" s="179">
        <f ca="1">IF(ISNUMBER(MATCH(DATEVALUE($A216),'changes1_based on steps'!E$1:E$400,0)),E$2,)</f>
        <v>0</v>
      </c>
      <c r="F216" s="179">
        <f ca="1">IF(ISNUMBER(MATCH(DATEVALUE($A216),'changes1_based on steps'!F$1:F$400,0)),F$2,)</f>
        <v>0</v>
      </c>
      <c r="G216" s="179">
        <f ca="1">IF(ISNUMBER(MATCH(DATEVALUE($A216),'changes1_based on steps'!G$1:G$400,0)),G$2,)</f>
        <v>0</v>
      </c>
      <c r="H216" s="179">
        <f ca="1">IF(ISNUMBER(MATCH(DATEVALUE($A216),'changes1_based on steps'!H$1:H$400,0)),H$2,)</f>
        <v>0</v>
      </c>
      <c r="I216" s="179">
        <f ca="1">IF(ISNUMBER(MATCH(DATEVALUE($A216),'changes1_based on steps'!I$1:I$400,0)),I$2,)</f>
        <v>0</v>
      </c>
      <c r="J216" s="179">
        <f ca="1">IF(ISNUMBER(MATCH(DATEVALUE($A216),'changes1_based on steps'!J$1:J$400,0)),J$2,)</f>
        <v>0</v>
      </c>
      <c r="K216" s="179">
        <f ca="1">IF(ISNUMBER(MATCH(DATEVALUE($A216),'changes1_based on steps'!K$1:K$400,0)),K$2,)</f>
        <v>0</v>
      </c>
      <c r="L216" s="179">
        <f ca="1">IF(ISNUMBER(MATCH(DATEVALUE($A216),'changes1_based on steps'!L$1:L$400,0)),L$2,)</f>
        <v>0</v>
      </c>
      <c r="M216" s="179">
        <f ca="1">IF(ISNUMBER(MATCH(DATEVALUE($A216),'changes1_based on steps'!M$1:M$400,0)),M$2,)</f>
        <v>0</v>
      </c>
      <c r="N216" s="179">
        <f ca="1">IF(ISNUMBER(MATCH(DATEVALUE($A216),'changes1_based on steps'!N$1:N$400,0)),N$2,)</f>
        <v>0</v>
      </c>
      <c r="O216" s="179">
        <f ca="1">IF(ISNUMBER(MATCH(DATEVALUE($A216),'changes1_based on steps'!O$1:O$400,0)),O$2,)</f>
        <v>0</v>
      </c>
      <c r="P216" s="179">
        <f ca="1">IF(ISNUMBER(MATCH(DATEVALUE($A216),'changes1_based on steps'!P$1:P$400,0)),P$2,)</f>
        <v>0</v>
      </c>
      <c r="Q216" s="179">
        <f ca="1">IF(ISNUMBER(MATCH(DATEVALUE($A216),'changes1_based on steps'!Q$1:Q$400,0)),Q$2,)</f>
        <v>0</v>
      </c>
      <c r="R216" s="179">
        <f ca="1">IF(ISNUMBER(MATCH(DATEVALUE($A216),'changes1_based on steps'!R$1:R$400,0)),R$2,)</f>
        <v>0</v>
      </c>
      <c r="S216" s="179">
        <f ca="1">IF(ISNUMBER(MATCH(DATEVALUE($A216),'changes1_based on steps'!S$1:S$400,0)),S$2,)</f>
        <v>0</v>
      </c>
      <c r="T216" s="179">
        <f ca="1">IF(ISNUMBER(MATCH(DATEVALUE($A216),'changes1_based on steps'!T$1:T$400,0)),T$2,)</f>
        <v>0</v>
      </c>
      <c r="U216" s="179">
        <f ca="1">IF(ISNUMBER(MATCH(DATEVALUE($A216),'changes1_based on steps'!U$1:U$400,0)),U$2,)</f>
        <v>0</v>
      </c>
      <c r="V216" s="179"/>
      <c r="W216" s="179"/>
      <c r="X216" s="179"/>
      <c r="Y216" s="179"/>
      <c r="Z216" s="179"/>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c r="AV216" s="179"/>
      <c r="AW216" s="179"/>
      <c r="AX216" s="179"/>
      <c r="AY216" s="179"/>
      <c r="AZ216" s="179"/>
      <c r="BA216" s="179"/>
      <c r="BB216" s="179"/>
      <c r="BC216" s="179"/>
      <c r="BD216" s="179"/>
      <c r="BE216" s="179"/>
      <c r="BF216" s="179"/>
      <c r="BG216" s="179"/>
      <c r="BH216" s="179"/>
      <c r="BI216" s="179"/>
      <c r="BJ216" s="179"/>
      <c r="BK216" s="179"/>
      <c r="BL216" s="179"/>
      <c r="BM216" s="179"/>
      <c r="BN216" s="179"/>
      <c r="BO216" s="179"/>
      <c r="BP216" s="179"/>
      <c r="BQ216" s="179"/>
      <c r="BR216" s="179"/>
      <c r="BS216" s="179"/>
      <c r="BT216" s="179"/>
      <c r="BU216" s="179"/>
      <c r="BV216" s="179"/>
      <c r="BW216" s="179"/>
      <c r="BX216" s="179"/>
      <c r="BY216" s="179"/>
      <c r="BZ216" s="179"/>
      <c r="CA216" s="179"/>
      <c r="CB216" s="179"/>
      <c r="CC216" s="179"/>
      <c r="CD216" s="179"/>
      <c r="CE216" s="179"/>
      <c r="CF216" s="179"/>
      <c r="CG216" s="179"/>
      <c r="CH216" s="179"/>
      <c r="CI216" s="179"/>
      <c r="CJ216" s="179"/>
      <c r="CK216" s="179"/>
      <c r="CL216" s="179"/>
      <c r="CM216" s="179"/>
      <c r="CN216" s="179"/>
      <c r="CO216" s="179"/>
      <c r="CP216" s="179"/>
      <c r="CQ216" s="179"/>
      <c r="CR216" s="179"/>
      <c r="CS216" s="179"/>
      <c r="CT216" s="179"/>
      <c r="CU216" s="179"/>
      <c r="CV216" s="179"/>
      <c r="CW216" s="179"/>
    </row>
    <row r="217" spans="1:101" x14ac:dyDescent="0.2">
      <c r="A217" s="32" t="str">
        <f t="shared" ca="1" si="3"/>
        <v>2025-10-29</v>
      </c>
      <c r="B217" s="179">
        <f ca="1">IF(ISNUMBER(MATCH(DATEVALUE($A217),'changes1_based on steps'!B$1:B$400,0)),B$2,)</f>
        <v>0</v>
      </c>
      <c r="C217" s="179">
        <f ca="1">IF(ISNUMBER(MATCH(DATEVALUE($A217),'changes1_based on steps'!C$1:C$400,0)),C$2,)</f>
        <v>0</v>
      </c>
      <c r="D217" s="179">
        <f ca="1">IF(ISNUMBER(MATCH(DATEVALUE($A217),'changes1_based on steps'!D$1:D$400,0)),D$2,)</f>
        <v>0</v>
      </c>
      <c r="E217" s="179">
        <f ca="1">IF(ISNUMBER(MATCH(DATEVALUE($A217),'changes1_based on steps'!E$1:E$400,0)),E$2,)</f>
        <v>0</v>
      </c>
      <c r="F217" s="179">
        <f ca="1">IF(ISNUMBER(MATCH(DATEVALUE($A217),'changes1_based on steps'!F$1:F$400,0)),F$2,)</f>
        <v>0</v>
      </c>
      <c r="G217" s="179">
        <f ca="1">IF(ISNUMBER(MATCH(DATEVALUE($A217),'changes1_based on steps'!G$1:G$400,0)),G$2,)</f>
        <v>0</v>
      </c>
      <c r="H217" s="179">
        <f ca="1">IF(ISNUMBER(MATCH(DATEVALUE($A217),'changes1_based on steps'!H$1:H$400,0)),H$2,)</f>
        <v>0</v>
      </c>
      <c r="I217" s="179">
        <f ca="1">IF(ISNUMBER(MATCH(DATEVALUE($A217),'changes1_based on steps'!I$1:I$400,0)),I$2,)</f>
        <v>0</v>
      </c>
      <c r="J217" s="179">
        <f ca="1">IF(ISNUMBER(MATCH(DATEVALUE($A217),'changes1_based on steps'!J$1:J$400,0)),J$2,)</f>
        <v>0</v>
      </c>
      <c r="K217" s="179">
        <f ca="1">IF(ISNUMBER(MATCH(DATEVALUE($A217),'changes1_based on steps'!K$1:K$400,0)),K$2,)</f>
        <v>0</v>
      </c>
      <c r="L217" s="179">
        <f ca="1">IF(ISNUMBER(MATCH(DATEVALUE($A217),'changes1_based on steps'!L$1:L$400,0)),L$2,)</f>
        <v>0</v>
      </c>
      <c r="M217" s="179">
        <f ca="1">IF(ISNUMBER(MATCH(DATEVALUE($A217),'changes1_based on steps'!M$1:M$400,0)),M$2,)</f>
        <v>0</v>
      </c>
      <c r="N217" s="179">
        <f ca="1">IF(ISNUMBER(MATCH(DATEVALUE($A217),'changes1_based on steps'!N$1:N$400,0)),N$2,)</f>
        <v>0</v>
      </c>
      <c r="O217" s="179">
        <f ca="1">IF(ISNUMBER(MATCH(DATEVALUE($A217),'changes1_based on steps'!O$1:O$400,0)),O$2,)</f>
        <v>0</v>
      </c>
      <c r="P217" s="179">
        <f ca="1">IF(ISNUMBER(MATCH(DATEVALUE($A217),'changes1_based on steps'!P$1:P$400,0)),P$2,)</f>
        <v>0</v>
      </c>
      <c r="Q217" s="179">
        <f ca="1">IF(ISNUMBER(MATCH(DATEVALUE($A217),'changes1_based on steps'!Q$1:Q$400,0)),Q$2,)</f>
        <v>0</v>
      </c>
      <c r="R217" s="179">
        <f ca="1">IF(ISNUMBER(MATCH(DATEVALUE($A217),'changes1_based on steps'!R$1:R$400,0)),R$2,)</f>
        <v>0</v>
      </c>
      <c r="S217" s="179">
        <f ca="1">IF(ISNUMBER(MATCH(DATEVALUE($A217),'changes1_based on steps'!S$1:S$400,0)),S$2,)</f>
        <v>0</v>
      </c>
      <c r="T217" s="179">
        <f ca="1">IF(ISNUMBER(MATCH(DATEVALUE($A217),'changes1_based on steps'!T$1:T$400,0)),T$2,)</f>
        <v>0</v>
      </c>
      <c r="U217" s="179">
        <f ca="1">IF(ISNUMBER(MATCH(DATEVALUE($A217),'changes1_based on steps'!U$1:U$400,0)),U$2,)</f>
        <v>0</v>
      </c>
      <c r="V217" s="179"/>
      <c r="W217" s="179"/>
      <c r="X217" s="179"/>
      <c r="Y217" s="179"/>
      <c r="Z217" s="179"/>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c r="AV217" s="179"/>
      <c r="AW217" s="179"/>
      <c r="AX217" s="179"/>
      <c r="AY217" s="179"/>
      <c r="AZ217" s="179"/>
      <c r="BA217" s="179"/>
      <c r="BB217" s="179"/>
      <c r="BC217" s="179"/>
      <c r="BD217" s="179"/>
      <c r="BE217" s="179"/>
      <c r="BF217" s="179"/>
      <c r="BG217" s="179"/>
      <c r="BH217" s="179"/>
      <c r="BI217" s="179"/>
      <c r="BJ217" s="179"/>
      <c r="BK217" s="179"/>
      <c r="BL217" s="179"/>
      <c r="BM217" s="179"/>
      <c r="BN217" s="179"/>
      <c r="BO217" s="179"/>
      <c r="BP217" s="179"/>
      <c r="BQ217" s="179"/>
      <c r="BR217" s="179"/>
      <c r="BS217" s="179"/>
      <c r="BT217" s="179"/>
      <c r="BU217" s="179"/>
      <c r="BV217" s="179"/>
      <c r="BW217" s="179"/>
      <c r="BX217" s="179"/>
      <c r="BY217" s="179"/>
      <c r="BZ217" s="179"/>
      <c r="CA217" s="179"/>
      <c r="CB217" s="179"/>
      <c r="CC217" s="179"/>
      <c r="CD217" s="179"/>
      <c r="CE217" s="179"/>
      <c r="CF217" s="179"/>
      <c r="CG217" s="179"/>
      <c r="CH217" s="179"/>
      <c r="CI217" s="179"/>
      <c r="CJ217" s="179"/>
      <c r="CK217" s="179"/>
      <c r="CL217" s="179"/>
      <c r="CM217" s="179"/>
      <c r="CN217" s="179"/>
      <c r="CO217" s="179"/>
      <c r="CP217" s="179"/>
      <c r="CQ217" s="179"/>
      <c r="CR217" s="179"/>
      <c r="CS217" s="179"/>
      <c r="CT217" s="179"/>
      <c r="CU217" s="179"/>
      <c r="CV217" s="179"/>
      <c r="CW217" s="179"/>
    </row>
    <row r="218" spans="1:101" x14ac:dyDescent="0.2">
      <c r="A218" s="32" t="str">
        <f t="shared" ca="1" si="3"/>
        <v>2025-10-30</v>
      </c>
      <c r="B218" s="179">
        <f ca="1">IF(ISNUMBER(MATCH(DATEVALUE($A218),'changes1_based on steps'!B$1:B$400,0)),B$2,)</f>
        <v>0</v>
      </c>
      <c r="C218" s="179">
        <f ca="1">IF(ISNUMBER(MATCH(DATEVALUE($A218),'changes1_based on steps'!C$1:C$400,0)),C$2,)</f>
        <v>0</v>
      </c>
      <c r="D218" s="179">
        <f ca="1">IF(ISNUMBER(MATCH(DATEVALUE($A218),'changes1_based on steps'!D$1:D$400,0)),D$2,)</f>
        <v>0</v>
      </c>
      <c r="E218" s="179">
        <f ca="1">IF(ISNUMBER(MATCH(DATEVALUE($A218),'changes1_based on steps'!E$1:E$400,0)),E$2,)</f>
        <v>0</v>
      </c>
      <c r="F218" s="179">
        <f ca="1">IF(ISNUMBER(MATCH(DATEVALUE($A218),'changes1_based on steps'!F$1:F$400,0)),F$2,)</f>
        <v>0</v>
      </c>
      <c r="G218" s="179">
        <f ca="1">IF(ISNUMBER(MATCH(DATEVALUE($A218),'changes1_based on steps'!G$1:G$400,0)),G$2,)</f>
        <v>0</v>
      </c>
      <c r="H218" s="179">
        <f ca="1">IF(ISNUMBER(MATCH(DATEVALUE($A218),'changes1_based on steps'!H$1:H$400,0)),H$2,)</f>
        <v>0</v>
      </c>
      <c r="I218" s="179">
        <f ca="1">IF(ISNUMBER(MATCH(DATEVALUE($A218),'changes1_based on steps'!I$1:I$400,0)),I$2,)</f>
        <v>0</v>
      </c>
      <c r="J218" s="179">
        <f ca="1">IF(ISNUMBER(MATCH(DATEVALUE($A218),'changes1_based on steps'!J$1:J$400,0)),J$2,)</f>
        <v>0</v>
      </c>
      <c r="K218" s="179">
        <f ca="1">IF(ISNUMBER(MATCH(DATEVALUE($A218),'changes1_based on steps'!K$1:K$400,0)),K$2,)</f>
        <v>0</v>
      </c>
      <c r="L218" s="179">
        <f ca="1">IF(ISNUMBER(MATCH(DATEVALUE($A218),'changes1_based on steps'!L$1:L$400,0)),L$2,)</f>
        <v>0</v>
      </c>
      <c r="M218" s="179">
        <f ca="1">IF(ISNUMBER(MATCH(DATEVALUE($A218),'changes1_based on steps'!M$1:M$400,0)),M$2,)</f>
        <v>0</v>
      </c>
      <c r="N218" s="179">
        <f ca="1">IF(ISNUMBER(MATCH(DATEVALUE($A218),'changes1_based on steps'!N$1:N$400,0)),N$2,)</f>
        <v>0</v>
      </c>
      <c r="O218" s="179">
        <f ca="1">IF(ISNUMBER(MATCH(DATEVALUE($A218),'changes1_based on steps'!O$1:O$400,0)),O$2,)</f>
        <v>0</v>
      </c>
      <c r="P218" s="179">
        <f ca="1">IF(ISNUMBER(MATCH(DATEVALUE($A218),'changes1_based on steps'!P$1:P$400,0)),P$2,)</f>
        <v>0</v>
      </c>
      <c r="Q218" s="179">
        <f ca="1">IF(ISNUMBER(MATCH(DATEVALUE($A218),'changes1_based on steps'!Q$1:Q$400,0)),Q$2,)</f>
        <v>0</v>
      </c>
      <c r="R218" s="179">
        <f ca="1">IF(ISNUMBER(MATCH(DATEVALUE($A218),'changes1_based on steps'!R$1:R$400,0)),R$2,)</f>
        <v>0</v>
      </c>
      <c r="S218" s="179">
        <f ca="1">IF(ISNUMBER(MATCH(DATEVALUE($A218),'changes1_based on steps'!S$1:S$400,0)),S$2,)</f>
        <v>0</v>
      </c>
      <c r="T218" s="179">
        <f ca="1">IF(ISNUMBER(MATCH(DATEVALUE($A218),'changes1_based on steps'!T$1:T$400,0)),T$2,)</f>
        <v>0</v>
      </c>
      <c r="U218" s="179">
        <f ca="1">IF(ISNUMBER(MATCH(DATEVALUE($A218),'changes1_based on steps'!U$1:U$400,0)),U$2,)</f>
        <v>0</v>
      </c>
      <c r="V218" s="179"/>
      <c r="W218" s="179"/>
      <c r="X218" s="179"/>
      <c r="Y218" s="179"/>
      <c r="Z218" s="179"/>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c r="AV218" s="179"/>
      <c r="AW218" s="179"/>
      <c r="AX218" s="179"/>
      <c r="AY218" s="179"/>
      <c r="AZ218" s="179"/>
      <c r="BA218" s="179"/>
      <c r="BB218" s="179"/>
      <c r="BC218" s="179"/>
      <c r="BD218" s="179"/>
      <c r="BE218" s="179"/>
      <c r="BF218" s="179"/>
      <c r="BG218" s="179"/>
      <c r="BH218" s="179"/>
      <c r="BI218" s="179"/>
      <c r="BJ218" s="179"/>
      <c r="BK218" s="179"/>
      <c r="BL218" s="179"/>
      <c r="BM218" s="179"/>
      <c r="BN218" s="179"/>
      <c r="BO218" s="179"/>
      <c r="BP218" s="179"/>
      <c r="BQ218" s="179"/>
      <c r="BR218" s="179"/>
      <c r="BS218" s="179"/>
      <c r="BT218" s="179"/>
      <c r="BU218" s="179"/>
      <c r="BV218" s="179"/>
      <c r="BW218" s="179"/>
      <c r="BX218" s="179"/>
      <c r="BY218" s="179"/>
      <c r="BZ218" s="179"/>
      <c r="CA218" s="179"/>
      <c r="CB218" s="179"/>
      <c r="CC218" s="179"/>
      <c r="CD218" s="179"/>
      <c r="CE218" s="179"/>
      <c r="CF218" s="179"/>
      <c r="CG218" s="179"/>
      <c r="CH218" s="179"/>
      <c r="CI218" s="179"/>
      <c r="CJ218" s="179"/>
      <c r="CK218" s="179"/>
      <c r="CL218" s="179"/>
      <c r="CM218" s="179"/>
      <c r="CN218" s="179"/>
      <c r="CO218" s="179"/>
      <c r="CP218" s="179"/>
      <c r="CQ218" s="179"/>
      <c r="CR218" s="179"/>
      <c r="CS218" s="179"/>
      <c r="CT218" s="179"/>
      <c r="CU218" s="179"/>
      <c r="CV218" s="179"/>
      <c r="CW218" s="179"/>
    </row>
    <row r="219" spans="1:101" x14ac:dyDescent="0.2">
      <c r="A219" s="32" t="str">
        <f t="shared" ca="1" si="3"/>
        <v>2025-10-31</v>
      </c>
      <c r="B219" s="179">
        <f ca="1">IF(ISNUMBER(MATCH(DATEVALUE($A219),'changes1_based on steps'!B$1:B$400,0)),B$2,)</f>
        <v>0</v>
      </c>
      <c r="C219" s="179">
        <f ca="1">IF(ISNUMBER(MATCH(DATEVALUE($A219),'changes1_based on steps'!C$1:C$400,0)),C$2,)</f>
        <v>0</v>
      </c>
      <c r="D219" s="179">
        <f ca="1">IF(ISNUMBER(MATCH(DATEVALUE($A219),'changes1_based on steps'!D$1:D$400,0)),D$2,)</f>
        <v>0</v>
      </c>
      <c r="E219" s="179">
        <f ca="1">IF(ISNUMBER(MATCH(DATEVALUE($A219),'changes1_based on steps'!E$1:E$400,0)),E$2,)</f>
        <v>0</v>
      </c>
      <c r="F219" s="179">
        <f ca="1">IF(ISNUMBER(MATCH(DATEVALUE($A219),'changes1_based on steps'!F$1:F$400,0)),F$2,)</f>
        <v>0</v>
      </c>
      <c r="G219" s="179">
        <f ca="1">IF(ISNUMBER(MATCH(DATEVALUE($A219),'changes1_based on steps'!G$1:G$400,0)),G$2,)</f>
        <v>0</v>
      </c>
      <c r="H219" s="179">
        <f ca="1">IF(ISNUMBER(MATCH(DATEVALUE($A219),'changes1_based on steps'!H$1:H$400,0)),H$2,)</f>
        <v>0</v>
      </c>
      <c r="I219" s="179">
        <f ca="1">IF(ISNUMBER(MATCH(DATEVALUE($A219),'changes1_based on steps'!I$1:I$400,0)),I$2,)</f>
        <v>0</v>
      </c>
      <c r="J219" s="179">
        <f ca="1">IF(ISNUMBER(MATCH(DATEVALUE($A219),'changes1_based on steps'!J$1:J$400,0)),J$2,)</f>
        <v>0</v>
      </c>
      <c r="K219" s="179">
        <f ca="1">IF(ISNUMBER(MATCH(DATEVALUE($A219),'changes1_based on steps'!K$1:K$400,0)),K$2,)</f>
        <v>0</v>
      </c>
      <c r="L219" s="179">
        <f ca="1">IF(ISNUMBER(MATCH(DATEVALUE($A219),'changes1_based on steps'!L$1:L$400,0)),L$2,)</f>
        <v>0</v>
      </c>
      <c r="M219" s="179">
        <f ca="1">IF(ISNUMBER(MATCH(DATEVALUE($A219),'changes1_based on steps'!M$1:M$400,0)),M$2,)</f>
        <v>0</v>
      </c>
      <c r="N219" s="179">
        <f ca="1">IF(ISNUMBER(MATCH(DATEVALUE($A219),'changes1_based on steps'!N$1:N$400,0)),N$2,)</f>
        <v>0</v>
      </c>
      <c r="O219" s="179">
        <f ca="1">IF(ISNUMBER(MATCH(DATEVALUE($A219),'changes1_based on steps'!O$1:O$400,0)),O$2,)</f>
        <v>0</v>
      </c>
      <c r="P219" s="179">
        <f ca="1">IF(ISNUMBER(MATCH(DATEVALUE($A219),'changes1_based on steps'!P$1:P$400,0)),P$2,)</f>
        <v>0</v>
      </c>
      <c r="Q219" s="179">
        <f ca="1">IF(ISNUMBER(MATCH(DATEVALUE($A219),'changes1_based on steps'!Q$1:Q$400,0)),Q$2,)</f>
        <v>0</v>
      </c>
      <c r="R219" s="179">
        <f ca="1">IF(ISNUMBER(MATCH(DATEVALUE($A219),'changes1_based on steps'!R$1:R$400,0)),R$2,)</f>
        <v>0</v>
      </c>
      <c r="S219" s="179">
        <f ca="1">IF(ISNUMBER(MATCH(DATEVALUE($A219),'changes1_based on steps'!S$1:S$400,0)),S$2,)</f>
        <v>0</v>
      </c>
      <c r="T219" s="179">
        <f ca="1">IF(ISNUMBER(MATCH(DATEVALUE($A219),'changes1_based on steps'!T$1:T$400,0)),T$2,)</f>
        <v>0</v>
      </c>
      <c r="U219" s="179">
        <f ca="1">IF(ISNUMBER(MATCH(DATEVALUE($A219),'changes1_based on steps'!U$1:U$400,0)),U$2,)</f>
        <v>0</v>
      </c>
      <c r="V219" s="179"/>
      <c r="W219" s="179"/>
      <c r="X219" s="179"/>
      <c r="Y219" s="179"/>
      <c r="Z219" s="179"/>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c r="AV219" s="179"/>
      <c r="AW219" s="179"/>
      <c r="AX219" s="179"/>
      <c r="AY219" s="179"/>
      <c r="AZ219" s="179"/>
      <c r="BA219" s="179"/>
      <c r="BB219" s="179"/>
      <c r="BC219" s="179"/>
      <c r="BD219" s="179"/>
      <c r="BE219" s="179"/>
      <c r="BF219" s="179"/>
      <c r="BG219" s="179"/>
      <c r="BH219" s="179"/>
      <c r="BI219" s="179"/>
      <c r="BJ219" s="179"/>
      <c r="BK219" s="179"/>
      <c r="BL219" s="179"/>
      <c r="BM219" s="179"/>
      <c r="BN219" s="179"/>
      <c r="BO219" s="179"/>
      <c r="BP219" s="179"/>
      <c r="BQ219" s="179"/>
      <c r="BR219" s="179"/>
      <c r="BS219" s="179"/>
      <c r="BT219" s="179"/>
      <c r="BU219" s="179"/>
      <c r="BV219" s="179"/>
      <c r="BW219" s="179"/>
      <c r="BX219" s="179"/>
      <c r="BY219" s="179"/>
      <c r="BZ219" s="179"/>
      <c r="CA219" s="179"/>
      <c r="CB219" s="179"/>
      <c r="CC219" s="179"/>
      <c r="CD219" s="179"/>
      <c r="CE219" s="179"/>
      <c r="CF219" s="179"/>
      <c r="CG219" s="179"/>
      <c r="CH219" s="179"/>
      <c r="CI219" s="179"/>
      <c r="CJ219" s="179"/>
      <c r="CK219" s="179"/>
      <c r="CL219" s="179"/>
      <c r="CM219" s="179"/>
      <c r="CN219" s="179"/>
      <c r="CO219" s="179"/>
      <c r="CP219" s="179"/>
      <c r="CQ219" s="179"/>
      <c r="CR219" s="179"/>
      <c r="CS219" s="179"/>
      <c r="CT219" s="179"/>
      <c r="CU219" s="179"/>
      <c r="CV219" s="179"/>
      <c r="CW219" s="179"/>
    </row>
    <row r="220" spans="1:101" x14ac:dyDescent="0.2">
      <c r="A220" s="32" t="str">
        <f t="shared" ca="1" si="3"/>
        <v>2025-11-01</v>
      </c>
      <c r="B220" s="179">
        <f ca="1">IF(ISNUMBER(MATCH(DATEVALUE($A220),'changes1_based on steps'!B$1:B$400,0)),B$2,)</f>
        <v>0</v>
      </c>
      <c r="C220" s="179">
        <f ca="1">IF(ISNUMBER(MATCH(DATEVALUE($A220),'changes1_based on steps'!C$1:C$400,0)),C$2,)</f>
        <v>0</v>
      </c>
      <c r="D220" s="179">
        <f ca="1">IF(ISNUMBER(MATCH(DATEVALUE($A220),'changes1_based on steps'!D$1:D$400,0)),D$2,)</f>
        <v>0</v>
      </c>
      <c r="E220" s="179">
        <f ca="1">IF(ISNUMBER(MATCH(DATEVALUE($A220),'changes1_based on steps'!E$1:E$400,0)),E$2,)</f>
        <v>0</v>
      </c>
      <c r="F220" s="179">
        <f ca="1">IF(ISNUMBER(MATCH(DATEVALUE($A220),'changes1_based on steps'!F$1:F$400,0)),F$2,)</f>
        <v>0</v>
      </c>
      <c r="G220" s="179">
        <f ca="1">IF(ISNUMBER(MATCH(DATEVALUE($A220),'changes1_based on steps'!G$1:G$400,0)),G$2,)</f>
        <v>0</v>
      </c>
      <c r="H220" s="179">
        <f ca="1">IF(ISNUMBER(MATCH(DATEVALUE($A220),'changes1_based on steps'!H$1:H$400,0)),H$2,)</f>
        <v>0</v>
      </c>
      <c r="I220" s="179">
        <f ca="1">IF(ISNUMBER(MATCH(DATEVALUE($A220),'changes1_based on steps'!I$1:I$400,0)),I$2,)</f>
        <v>0</v>
      </c>
      <c r="J220" s="179">
        <f ca="1">IF(ISNUMBER(MATCH(DATEVALUE($A220),'changes1_based on steps'!J$1:J$400,0)),J$2,)</f>
        <v>0</v>
      </c>
      <c r="K220" s="179">
        <f ca="1">IF(ISNUMBER(MATCH(DATEVALUE($A220),'changes1_based on steps'!K$1:K$400,0)),K$2,)</f>
        <v>0</v>
      </c>
      <c r="L220" s="179">
        <f ca="1">IF(ISNUMBER(MATCH(DATEVALUE($A220),'changes1_based on steps'!L$1:L$400,0)),L$2,)</f>
        <v>0</v>
      </c>
      <c r="M220" s="179">
        <f ca="1">IF(ISNUMBER(MATCH(DATEVALUE($A220),'changes1_based on steps'!M$1:M$400,0)),M$2,)</f>
        <v>0</v>
      </c>
      <c r="N220" s="179">
        <f ca="1">IF(ISNUMBER(MATCH(DATEVALUE($A220),'changes1_based on steps'!N$1:N$400,0)),N$2,)</f>
        <v>0</v>
      </c>
      <c r="O220" s="179">
        <f ca="1">IF(ISNUMBER(MATCH(DATEVALUE($A220),'changes1_based on steps'!O$1:O$400,0)),O$2,)</f>
        <v>0</v>
      </c>
      <c r="P220" s="179">
        <f ca="1">IF(ISNUMBER(MATCH(DATEVALUE($A220),'changes1_based on steps'!P$1:P$400,0)),P$2,)</f>
        <v>0</v>
      </c>
      <c r="Q220" s="179">
        <f ca="1">IF(ISNUMBER(MATCH(DATEVALUE($A220),'changes1_based on steps'!Q$1:Q$400,0)),Q$2,)</f>
        <v>0</v>
      </c>
      <c r="R220" s="179">
        <f ca="1">IF(ISNUMBER(MATCH(DATEVALUE($A220),'changes1_based on steps'!R$1:R$400,0)),R$2,)</f>
        <v>0</v>
      </c>
      <c r="S220" s="179">
        <f ca="1">IF(ISNUMBER(MATCH(DATEVALUE($A220),'changes1_based on steps'!S$1:S$400,0)),S$2,)</f>
        <v>0</v>
      </c>
      <c r="T220" s="179">
        <f ca="1">IF(ISNUMBER(MATCH(DATEVALUE($A220),'changes1_based on steps'!T$1:T$400,0)),T$2,)</f>
        <v>0</v>
      </c>
      <c r="U220" s="179">
        <f ca="1">IF(ISNUMBER(MATCH(DATEVALUE($A220),'changes1_based on steps'!U$1:U$400,0)),U$2,)</f>
        <v>0</v>
      </c>
      <c r="V220" s="179"/>
      <c r="W220" s="179"/>
      <c r="X220" s="179"/>
      <c r="Y220" s="179"/>
      <c r="Z220" s="179"/>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c r="AV220" s="179"/>
      <c r="AW220" s="179"/>
      <c r="AX220" s="179"/>
      <c r="AY220" s="179"/>
      <c r="AZ220" s="179"/>
      <c r="BA220" s="179"/>
      <c r="BB220" s="179"/>
      <c r="BC220" s="179"/>
      <c r="BD220" s="179"/>
      <c r="BE220" s="179"/>
      <c r="BF220" s="179"/>
      <c r="BG220" s="179"/>
      <c r="BH220" s="179"/>
      <c r="BI220" s="179"/>
      <c r="BJ220" s="179"/>
      <c r="BK220" s="179"/>
      <c r="BL220" s="179"/>
      <c r="BM220" s="179"/>
      <c r="BN220" s="179"/>
      <c r="BO220" s="179"/>
      <c r="BP220" s="179"/>
      <c r="BQ220" s="179"/>
      <c r="BR220" s="179"/>
      <c r="BS220" s="179"/>
      <c r="BT220" s="179"/>
      <c r="BU220" s="179"/>
      <c r="BV220" s="179"/>
      <c r="BW220" s="179"/>
      <c r="BX220" s="179"/>
      <c r="BY220" s="179"/>
      <c r="BZ220" s="179"/>
      <c r="CA220" s="179"/>
      <c r="CB220" s="179"/>
      <c r="CC220" s="179"/>
      <c r="CD220" s="179"/>
      <c r="CE220" s="179"/>
      <c r="CF220" s="179"/>
      <c r="CG220" s="179"/>
      <c r="CH220" s="179"/>
      <c r="CI220" s="179"/>
      <c r="CJ220" s="179"/>
      <c r="CK220" s="179"/>
      <c r="CL220" s="179"/>
      <c r="CM220" s="179"/>
      <c r="CN220" s="179"/>
      <c r="CO220" s="179"/>
      <c r="CP220" s="179"/>
      <c r="CQ220" s="179"/>
      <c r="CR220" s="179"/>
      <c r="CS220" s="179"/>
      <c r="CT220" s="179"/>
      <c r="CU220" s="179"/>
      <c r="CV220" s="179"/>
      <c r="CW220" s="179"/>
    </row>
    <row r="221" spans="1:101" x14ac:dyDescent="0.2">
      <c r="A221" s="32" t="str">
        <f t="shared" ca="1" si="3"/>
        <v>2025-11-02</v>
      </c>
      <c r="B221" s="179">
        <f ca="1">IF(ISNUMBER(MATCH(DATEVALUE($A221),'changes1_based on steps'!B$1:B$400,0)),B$2,)</f>
        <v>0</v>
      </c>
      <c r="C221" s="179">
        <f ca="1">IF(ISNUMBER(MATCH(DATEVALUE($A221),'changes1_based on steps'!C$1:C$400,0)),C$2,)</f>
        <v>0</v>
      </c>
      <c r="D221" s="179">
        <f ca="1">IF(ISNUMBER(MATCH(DATEVALUE($A221),'changes1_based on steps'!D$1:D$400,0)),D$2,)</f>
        <v>0</v>
      </c>
      <c r="E221" s="179">
        <f ca="1">IF(ISNUMBER(MATCH(DATEVALUE($A221),'changes1_based on steps'!E$1:E$400,0)),E$2,)</f>
        <v>0</v>
      </c>
      <c r="F221" s="179">
        <f ca="1">IF(ISNUMBER(MATCH(DATEVALUE($A221),'changes1_based on steps'!F$1:F$400,0)),F$2,)</f>
        <v>0</v>
      </c>
      <c r="G221" s="179">
        <f ca="1">IF(ISNUMBER(MATCH(DATEVALUE($A221),'changes1_based on steps'!G$1:G$400,0)),G$2,)</f>
        <v>0</v>
      </c>
      <c r="H221" s="179">
        <f ca="1">IF(ISNUMBER(MATCH(DATEVALUE($A221),'changes1_based on steps'!H$1:H$400,0)),H$2,)</f>
        <v>0</v>
      </c>
      <c r="I221" s="179">
        <f ca="1">IF(ISNUMBER(MATCH(DATEVALUE($A221),'changes1_based on steps'!I$1:I$400,0)),I$2,)</f>
        <v>0</v>
      </c>
      <c r="J221" s="179">
        <f ca="1">IF(ISNUMBER(MATCH(DATEVALUE($A221),'changes1_based on steps'!J$1:J$400,0)),J$2,)</f>
        <v>0</v>
      </c>
      <c r="K221" s="179">
        <f ca="1">IF(ISNUMBER(MATCH(DATEVALUE($A221),'changes1_based on steps'!K$1:K$400,0)),K$2,)</f>
        <v>0</v>
      </c>
      <c r="L221" s="179">
        <f ca="1">IF(ISNUMBER(MATCH(DATEVALUE($A221),'changes1_based on steps'!L$1:L$400,0)),L$2,)</f>
        <v>0</v>
      </c>
      <c r="M221" s="179">
        <f ca="1">IF(ISNUMBER(MATCH(DATEVALUE($A221),'changes1_based on steps'!M$1:M$400,0)),M$2,)</f>
        <v>0</v>
      </c>
      <c r="N221" s="179">
        <f ca="1">IF(ISNUMBER(MATCH(DATEVALUE($A221),'changes1_based on steps'!N$1:N$400,0)),N$2,)</f>
        <v>0</v>
      </c>
      <c r="O221" s="179">
        <f ca="1">IF(ISNUMBER(MATCH(DATEVALUE($A221),'changes1_based on steps'!O$1:O$400,0)),O$2,)</f>
        <v>0</v>
      </c>
      <c r="P221" s="179">
        <f ca="1">IF(ISNUMBER(MATCH(DATEVALUE($A221),'changes1_based on steps'!P$1:P$400,0)),P$2,)</f>
        <v>0</v>
      </c>
      <c r="Q221" s="179">
        <f ca="1">IF(ISNUMBER(MATCH(DATEVALUE($A221),'changes1_based on steps'!Q$1:Q$400,0)),Q$2,)</f>
        <v>0</v>
      </c>
      <c r="R221" s="179">
        <f ca="1">IF(ISNUMBER(MATCH(DATEVALUE($A221),'changes1_based on steps'!R$1:R$400,0)),R$2,)</f>
        <v>0</v>
      </c>
      <c r="S221" s="179">
        <f ca="1">IF(ISNUMBER(MATCH(DATEVALUE($A221),'changes1_based on steps'!S$1:S$400,0)),S$2,)</f>
        <v>0</v>
      </c>
      <c r="T221" s="179">
        <f ca="1">IF(ISNUMBER(MATCH(DATEVALUE($A221),'changes1_based on steps'!T$1:T$400,0)),T$2,)</f>
        <v>0</v>
      </c>
      <c r="U221" s="179">
        <f ca="1">IF(ISNUMBER(MATCH(DATEVALUE($A221),'changes1_based on steps'!U$1:U$400,0)),U$2,)</f>
        <v>0</v>
      </c>
      <c r="V221" s="179"/>
      <c r="W221" s="179"/>
      <c r="X221" s="179"/>
      <c r="Y221" s="179"/>
      <c r="Z221" s="179"/>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c r="AV221" s="179"/>
      <c r="AW221" s="179"/>
      <c r="AX221" s="179"/>
      <c r="AY221" s="179"/>
      <c r="AZ221" s="179"/>
      <c r="BA221" s="179"/>
      <c r="BB221" s="179"/>
      <c r="BC221" s="179"/>
      <c r="BD221" s="179"/>
      <c r="BE221" s="179"/>
      <c r="BF221" s="179"/>
      <c r="BG221" s="179"/>
      <c r="BH221" s="179"/>
      <c r="BI221" s="179"/>
      <c r="BJ221" s="179"/>
      <c r="BK221" s="179"/>
      <c r="BL221" s="179"/>
      <c r="BM221" s="179"/>
      <c r="BN221" s="179"/>
      <c r="BO221" s="179"/>
      <c r="BP221" s="179"/>
      <c r="BQ221" s="179"/>
      <c r="BR221" s="179"/>
      <c r="BS221" s="179"/>
      <c r="BT221" s="179"/>
      <c r="BU221" s="179"/>
      <c r="BV221" s="179"/>
      <c r="BW221" s="179"/>
      <c r="BX221" s="179"/>
      <c r="BY221" s="179"/>
      <c r="BZ221" s="179"/>
      <c r="CA221" s="179"/>
      <c r="CB221" s="179"/>
      <c r="CC221" s="179"/>
      <c r="CD221" s="179"/>
      <c r="CE221" s="179"/>
      <c r="CF221" s="179"/>
      <c r="CG221" s="179"/>
      <c r="CH221" s="179"/>
      <c r="CI221" s="179"/>
      <c r="CJ221" s="179"/>
      <c r="CK221" s="179"/>
      <c r="CL221" s="179"/>
      <c r="CM221" s="179"/>
      <c r="CN221" s="179"/>
      <c r="CO221" s="179"/>
      <c r="CP221" s="179"/>
      <c r="CQ221" s="179"/>
      <c r="CR221" s="179"/>
      <c r="CS221" s="179"/>
      <c r="CT221" s="179"/>
      <c r="CU221" s="179"/>
      <c r="CV221" s="179"/>
      <c r="CW221" s="179"/>
    </row>
    <row r="222" spans="1:101" x14ac:dyDescent="0.2">
      <c r="A222" s="32" t="str">
        <f t="shared" ca="1" si="3"/>
        <v>2025-11-03</v>
      </c>
      <c r="B222" s="179">
        <f ca="1">IF(ISNUMBER(MATCH(DATEVALUE($A222),'changes1_based on steps'!B$1:B$400,0)),B$2,)</f>
        <v>0</v>
      </c>
      <c r="C222" s="179">
        <f ca="1">IF(ISNUMBER(MATCH(DATEVALUE($A222),'changes1_based on steps'!C$1:C$400,0)),C$2,)</f>
        <v>0</v>
      </c>
      <c r="D222" s="179">
        <f ca="1">IF(ISNUMBER(MATCH(DATEVALUE($A222),'changes1_based on steps'!D$1:D$400,0)),D$2,)</f>
        <v>0</v>
      </c>
      <c r="E222" s="179">
        <f ca="1">IF(ISNUMBER(MATCH(DATEVALUE($A222),'changes1_based on steps'!E$1:E$400,0)),E$2,)</f>
        <v>0</v>
      </c>
      <c r="F222" s="179">
        <f ca="1">IF(ISNUMBER(MATCH(DATEVALUE($A222),'changes1_based on steps'!F$1:F$400,0)),F$2,)</f>
        <v>0</v>
      </c>
      <c r="G222" s="179">
        <f ca="1">IF(ISNUMBER(MATCH(DATEVALUE($A222),'changes1_based on steps'!G$1:G$400,0)),G$2,)</f>
        <v>0</v>
      </c>
      <c r="H222" s="179">
        <f ca="1">IF(ISNUMBER(MATCH(DATEVALUE($A222),'changes1_based on steps'!H$1:H$400,0)),H$2,)</f>
        <v>0</v>
      </c>
      <c r="I222" s="179">
        <f ca="1">IF(ISNUMBER(MATCH(DATEVALUE($A222),'changes1_based on steps'!I$1:I$400,0)),I$2,)</f>
        <v>0</v>
      </c>
      <c r="J222" s="179">
        <f ca="1">IF(ISNUMBER(MATCH(DATEVALUE($A222),'changes1_based on steps'!J$1:J$400,0)),J$2,)</f>
        <v>0</v>
      </c>
      <c r="K222" s="179">
        <f ca="1">IF(ISNUMBER(MATCH(DATEVALUE($A222),'changes1_based on steps'!K$1:K$400,0)),K$2,)</f>
        <v>0</v>
      </c>
      <c r="L222" s="179">
        <f ca="1">IF(ISNUMBER(MATCH(DATEVALUE($A222),'changes1_based on steps'!L$1:L$400,0)),L$2,)</f>
        <v>0</v>
      </c>
      <c r="M222" s="179">
        <f ca="1">IF(ISNUMBER(MATCH(DATEVALUE($A222),'changes1_based on steps'!M$1:M$400,0)),M$2,)</f>
        <v>0</v>
      </c>
      <c r="N222" s="179">
        <f ca="1">IF(ISNUMBER(MATCH(DATEVALUE($A222),'changes1_based on steps'!N$1:N$400,0)),N$2,)</f>
        <v>0</v>
      </c>
      <c r="O222" s="179">
        <f ca="1">IF(ISNUMBER(MATCH(DATEVALUE($A222),'changes1_based on steps'!O$1:O$400,0)),O$2,)</f>
        <v>0</v>
      </c>
      <c r="P222" s="179">
        <f ca="1">IF(ISNUMBER(MATCH(DATEVALUE($A222),'changes1_based on steps'!P$1:P$400,0)),P$2,)</f>
        <v>0</v>
      </c>
      <c r="Q222" s="179">
        <f ca="1">IF(ISNUMBER(MATCH(DATEVALUE($A222),'changes1_based on steps'!Q$1:Q$400,0)),Q$2,)</f>
        <v>0</v>
      </c>
      <c r="R222" s="179">
        <f ca="1">IF(ISNUMBER(MATCH(DATEVALUE($A222),'changes1_based on steps'!R$1:R$400,0)),R$2,)</f>
        <v>0</v>
      </c>
      <c r="S222" s="179">
        <f ca="1">IF(ISNUMBER(MATCH(DATEVALUE($A222),'changes1_based on steps'!S$1:S$400,0)),S$2,)</f>
        <v>0</v>
      </c>
      <c r="T222" s="179">
        <f ca="1">IF(ISNUMBER(MATCH(DATEVALUE($A222),'changes1_based on steps'!T$1:T$400,0)),T$2,)</f>
        <v>0</v>
      </c>
      <c r="U222" s="179">
        <f ca="1">IF(ISNUMBER(MATCH(DATEVALUE($A222),'changes1_based on steps'!U$1:U$400,0)),U$2,)</f>
        <v>0</v>
      </c>
      <c r="V222" s="179"/>
      <c r="W222" s="179"/>
      <c r="X222" s="179"/>
      <c r="Y222" s="179"/>
      <c r="Z222" s="179"/>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c r="AV222" s="179"/>
      <c r="AW222" s="179"/>
      <c r="AX222" s="179"/>
      <c r="AY222" s="179"/>
      <c r="AZ222" s="179"/>
      <c r="BA222" s="179"/>
      <c r="BB222" s="179"/>
      <c r="BC222" s="179"/>
      <c r="BD222" s="179"/>
      <c r="BE222" s="179"/>
      <c r="BF222" s="179"/>
      <c r="BG222" s="179"/>
      <c r="BH222" s="179"/>
      <c r="BI222" s="179"/>
      <c r="BJ222" s="179"/>
      <c r="BK222" s="179"/>
      <c r="BL222" s="179"/>
      <c r="BM222" s="179"/>
      <c r="BN222" s="179"/>
      <c r="BO222" s="179"/>
      <c r="BP222" s="179"/>
      <c r="BQ222" s="179"/>
      <c r="BR222" s="179"/>
      <c r="BS222" s="179"/>
      <c r="BT222" s="179"/>
      <c r="BU222" s="179"/>
      <c r="BV222" s="179"/>
      <c r="BW222" s="179"/>
      <c r="BX222" s="179"/>
      <c r="BY222" s="179"/>
      <c r="BZ222" s="179"/>
      <c r="CA222" s="179"/>
      <c r="CB222" s="179"/>
      <c r="CC222" s="179"/>
      <c r="CD222" s="179"/>
      <c r="CE222" s="179"/>
      <c r="CF222" s="179"/>
      <c r="CG222" s="179"/>
      <c r="CH222" s="179"/>
      <c r="CI222" s="179"/>
      <c r="CJ222" s="179"/>
      <c r="CK222" s="179"/>
      <c r="CL222" s="179"/>
      <c r="CM222" s="179"/>
      <c r="CN222" s="179"/>
      <c r="CO222" s="179"/>
      <c r="CP222" s="179"/>
      <c r="CQ222" s="179"/>
      <c r="CR222" s="179"/>
      <c r="CS222" s="179"/>
      <c r="CT222" s="179"/>
      <c r="CU222" s="179"/>
      <c r="CV222" s="179"/>
      <c r="CW222" s="179"/>
    </row>
    <row r="223" spans="1:101" x14ac:dyDescent="0.2">
      <c r="A223" s="32" t="str">
        <f t="shared" ca="1" si="3"/>
        <v>2025-11-04</v>
      </c>
      <c r="B223" s="179">
        <f ca="1">IF(ISNUMBER(MATCH(DATEVALUE($A223),'changes1_based on steps'!B$1:B$400,0)),B$2,)</f>
        <v>0</v>
      </c>
      <c r="C223" s="179">
        <f ca="1">IF(ISNUMBER(MATCH(DATEVALUE($A223),'changes1_based on steps'!C$1:C$400,0)),C$2,)</f>
        <v>0</v>
      </c>
      <c r="D223" s="179">
        <f ca="1">IF(ISNUMBER(MATCH(DATEVALUE($A223),'changes1_based on steps'!D$1:D$400,0)),D$2,)</f>
        <v>0</v>
      </c>
      <c r="E223" s="179">
        <f ca="1">IF(ISNUMBER(MATCH(DATEVALUE($A223),'changes1_based on steps'!E$1:E$400,0)),E$2,)</f>
        <v>0</v>
      </c>
      <c r="F223" s="179">
        <f ca="1">IF(ISNUMBER(MATCH(DATEVALUE($A223),'changes1_based on steps'!F$1:F$400,0)),F$2,)</f>
        <v>0</v>
      </c>
      <c r="G223" s="179">
        <f ca="1">IF(ISNUMBER(MATCH(DATEVALUE($A223),'changes1_based on steps'!G$1:G$400,0)),G$2,)</f>
        <v>0</v>
      </c>
      <c r="H223" s="179">
        <f ca="1">IF(ISNUMBER(MATCH(DATEVALUE($A223),'changes1_based on steps'!H$1:H$400,0)),H$2,)</f>
        <v>0</v>
      </c>
      <c r="I223" s="179">
        <f ca="1">IF(ISNUMBER(MATCH(DATEVALUE($A223),'changes1_based on steps'!I$1:I$400,0)),I$2,)</f>
        <v>0</v>
      </c>
      <c r="J223" s="179">
        <f ca="1">IF(ISNUMBER(MATCH(DATEVALUE($A223),'changes1_based on steps'!J$1:J$400,0)),J$2,)</f>
        <v>0</v>
      </c>
      <c r="K223" s="179">
        <f ca="1">IF(ISNUMBER(MATCH(DATEVALUE($A223),'changes1_based on steps'!K$1:K$400,0)),K$2,)</f>
        <v>0</v>
      </c>
      <c r="L223" s="179">
        <f ca="1">IF(ISNUMBER(MATCH(DATEVALUE($A223),'changes1_based on steps'!L$1:L$400,0)),L$2,)</f>
        <v>0</v>
      </c>
      <c r="M223" s="179">
        <f ca="1">IF(ISNUMBER(MATCH(DATEVALUE($A223),'changes1_based on steps'!M$1:M$400,0)),M$2,)</f>
        <v>0</v>
      </c>
      <c r="N223" s="179">
        <f ca="1">IF(ISNUMBER(MATCH(DATEVALUE($A223),'changes1_based on steps'!N$1:N$400,0)),N$2,)</f>
        <v>0</v>
      </c>
      <c r="O223" s="179">
        <f ca="1">IF(ISNUMBER(MATCH(DATEVALUE($A223),'changes1_based on steps'!O$1:O$400,0)),O$2,)</f>
        <v>0</v>
      </c>
      <c r="P223" s="179">
        <f ca="1">IF(ISNUMBER(MATCH(DATEVALUE($A223),'changes1_based on steps'!P$1:P$400,0)),P$2,)</f>
        <v>0</v>
      </c>
      <c r="Q223" s="179">
        <f ca="1">IF(ISNUMBER(MATCH(DATEVALUE($A223),'changes1_based on steps'!Q$1:Q$400,0)),Q$2,)</f>
        <v>0</v>
      </c>
      <c r="R223" s="179">
        <f ca="1">IF(ISNUMBER(MATCH(DATEVALUE($A223),'changes1_based on steps'!R$1:R$400,0)),R$2,)</f>
        <v>0</v>
      </c>
      <c r="S223" s="179">
        <f ca="1">IF(ISNUMBER(MATCH(DATEVALUE($A223),'changes1_based on steps'!S$1:S$400,0)),S$2,)</f>
        <v>0</v>
      </c>
      <c r="T223" s="179">
        <f ca="1">IF(ISNUMBER(MATCH(DATEVALUE($A223),'changes1_based on steps'!T$1:T$400,0)),T$2,)</f>
        <v>0</v>
      </c>
      <c r="U223" s="179">
        <f ca="1">IF(ISNUMBER(MATCH(DATEVALUE($A223),'changes1_based on steps'!U$1:U$400,0)),U$2,)</f>
        <v>0</v>
      </c>
      <c r="V223" s="179"/>
      <c r="W223" s="179"/>
      <c r="X223" s="179"/>
      <c r="Y223" s="179"/>
      <c r="Z223" s="179"/>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c r="AV223" s="179"/>
      <c r="AW223" s="179"/>
      <c r="AX223" s="179"/>
      <c r="AY223" s="179"/>
      <c r="AZ223" s="179"/>
      <c r="BA223" s="179"/>
      <c r="BB223" s="179"/>
      <c r="BC223" s="179"/>
      <c r="BD223" s="179"/>
      <c r="BE223" s="179"/>
      <c r="BF223" s="179"/>
      <c r="BG223" s="179"/>
      <c r="BH223" s="179"/>
      <c r="BI223" s="179"/>
      <c r="BJ223" s="179"/>
      <c r="BK223" s="179"/>
      <c r="BL223" s="179"/>
      <c r="BM223" s="179"/>
      <c r="BN223" s="179"/>
      <c r="BO223" s="179"/>
      <c r="BP223" s="179"/>
      <c r="BQ223" s="179"/>
      <c r="BR223" s="179"/>
      <c r="BS223" s="179"/>
      <c r="BT223" s="179"/>
      <c r="BU223" s="179"/>
      <c r="BV223" s="179"/>
      <c r="BW223" s="179"/>
      <c r="BX223" s="179"/>
      <c r="BY223" s="179"/>
      <c r="BZ223" s="179"/>
      <c r="CA223" s="179"/>
      <c r="CB223" s="179"/>
      <c r="CC223" s="179"/>
      <c r="CD223" s="179"/>
      <c r="CE223" s="179"/>
      <c r="CF223" s="179"/>
      <c r="CG223" s="179"/>
      <c r="CH223" s="179"/>
      <c r="CI223" s="179"/>
      <c r="CJ223" s="179"/>
      <c r="CK223" s="179"/>
      <c r="CL223" s="179"/>
      <c r="CM223" s="179"/>
      <c r="CN223" s="179"/>
      <c r="CO223" s="179"/>
      <c r="CP223" s="179"/>
      <c r="CQ223" s="179"/>
      <c r="CR223" s="179"/>
      <c r="CS223" s="179"/>
      <c r="CT223" s="179"/>
      <c r="CU223" s="179"/>
      <c r="CV223" s="179"/>
      <c r="CW223" s="179"/>
    </row>
    <row r="224" spans="1:101" x14ac:dyDescent="0.2">
      <c r="A224" s="32" t="str">
        <f t="shared" ca="1" si="3"/>
        <v>2025-11-05</v>
      </c>
      <c r="B224" s="179">
        <f ca="1">IF(ISNUMBER(MATCH(DATEVALUE($A224),'changes1_based on steps'!B$1:B$400,0)),B$2,)</f>
        <v>0</v>
      </c>
      <c r="C224" s="179">
        <f ca="1">IF(ISNUMBER(MATCH(DATEVALUE($A224),'changes1_based on steps'!C$1:C$400,0)),C$2,)</f>
        <v>0</v>
      </c>
      <c r="D224" s="179">
        <f ca="1">IF(ISNUMBER(MATCH(DATEVALUE($A224),'changes1_based on steps'!D$1:D$400,0)),D$2,)</f>
        <v>0</v>
      </c>
      <c r="E224" s="179">
        <f ca="1">IF(ISNUMBER(MATCH(DATEVALUE($A224),'changes1_based on steps'!E$1:E$400,0)),E$2,)</f>
        <v>0</v>
      </c>
      <c r="F224" s="179">
        <f ca="1">IF(ISNUMBER(MATCH(DATEVALUE($A224),'changes1_based on steps'!F$1:F$400,0)),F$2,)</f>
        <v>0</v>
      </c>
      <c r="G224" s="179">
        <f ca="1">IF(ISNUMBER(MATCH(DATEVALUE($A224),'changes1_based on steps'!G$1:G$400,0)),G$2,)</f>
        <v>0</v>
      </c>
      <c r="H224" s="179">
        <f ca="1">IF(ISNUMBER(MATCH(DATEVALUE($A224),'changes1_based on steps'!H$1:H$400,0)),H$2,)</f>
        <v>0</v>
      </c>
      <c r="I224" s="179">
        <f ca="1">IF(ISNUMBER(MATCH(DATEVALUE($A224),'changes1_based on steps'!I$1:I$400,0)),I$2,)</f>
        <v>0</v>
      </c>
      <c r="J224" s="179">
        <f ca="1">IF(ISNUMBER(MATCH(DATEVALUE($A224),'changes1_based on steps'!J$1:J$400,0)),J$2,)</f>
        <v>0</v>
      </c>
      <c r="K224" s="179">
        <f ca="1">IF(ISNUMBER(MATCH(DATEVALUE($A224),'changes1_based on steps'!K$1:K$400,0)),K$2,)</f>
        <v>0</v>
      </c>
      <c r="L224" s="179">
        <f ca="1">IF(ISNUMBER(MATCH(DATEVALUE($A224),'changes1_based on steps'!L$1:L$400,0)),L$2,)</f>
        <v>0</v>
      </c>
      <c r="M224" s="179">
        <f ca="1">IF(ISNUMBER(MATCH(DATEVALUE($A224),'changes1_based on steps'!M$1:M$400,0)),M$2,)</f>
        <v>0</v>
      </c>
      <c r="N224" s="179">
        <f ca="1">IF(ISNUMBER(MATCH(DATEVALUE($A224),'changes1_based on steps'!N$1:N$400,0)),N$2,)</f>
        <v>0</v>
      </c>
      <c r="O224" s="179">
        <f ca="1">IF(ISNUMBER(MATCH(DATEVALUE($A224),'changes1_based on steps'!O$1:O$400,0)),O$2,)</f>
        <v>0</v>
      </c>
      <c r="P224" s="179">
        <f ca="1">IF(ISNUMBER(MATCH(DATEVALUE($A224),'changes1_based on steps'!P$1:P$400,0)),P$2,)</f>
        <v>0</v>
      </c>
      <c r="Q224" s="179">
        <f ca="1">IF(ISNUMBER(MATCH(DATEVALUE($A224),'changes1_based on steps'!Q$1:Q$400,0)),Q$2,)</f>
        <v>0</v>
      </c>
      <c r="R224" s="179">
        <f ca="1">IF(ISNUMBER(MATCH(DATEVALUE($A224),'changes1_based on steps'!R$1:R$400,0)),R$2,)</f>
        <v>0</v>
      </c>
      <c r="S224" s="179">
        <f ca="1">IF(ISNUMBER(MATCH(DATEVALUE($A224),'changes1_based on steps'!S$1:S$400,0)),S$2,)</f>
        <v>0</v>
      </c>
      <c r="T224" s="179">
        <f ca="1">IF(ISNUMBER(MATCH(DATEVALUE($A224),'changes1_based on steps'!T$1:T$400,0)),T$2,)</f>
        <v>0</v>
      </c>
      <c r="U224" s="179">
        <f ca="1">IF(ISNUMBER(MATCH(DATEVALUE($A224),'changes1_based on steps'!U$1:U$400,0)),U$2,)</f>
        <v>0</v>
      </c>
      <c r="V224" s="179"/>
      <c r="W224" s="179"/>
      <c r="X224" s="179"/>
      <c r="Y224" s="179"/>
      <c r="Z224" s="179"/>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c r="AV224" s="179"/>
      <c r="AW224" s="179"/>
      <c r="AX224" s="179"/>
      <c r="AY224" s="179"/>
      <c r="AZ224" s="179"/>
      <c r="BA224" s="179"/>
      <c r="BB224" s="179"/>
      <c r="BC224" s="179"/>
      <c r="BD224" s="179"/>
      <c r="BE224" s="179"/>
      <c r="BF224" s="179"/>
      <c r="BG224" s="179"/>
      <c r="BH224" s="179"/>
      <c r="BI224" s="179"/>
      <c r="BJ224" s="179"/>
      <c r="BK224" s="179"/>
      <c r="BL224" s="179"/>
      <c r="BM224" s="179"/>
      <c r="BN224" s="179"/>
      <c r="BO224" s="179"/>
      <c r="BP224" s="179"/>
      <c r="BQ224" s="179"/>
      <c r="BR224" s="179"/>
      <c r="BS224" s="179"/>
      <c r="BT224" s="179"/>
      <c r="BU224" s="179"/>
      <c r="BV224" s="179"/>
      <c r="BW224" s="179"/>
      <c r="BX224" s="179"/>
      <c r="BY224" s="179"/>
      <c r="BZ224" s="179"/>
      <c r="CA224" s="179"/>
      <c r="CB224" s="179"/>
      <c r="CC224" s="179"/>
      <c r="CD224" s="179"/>
      <c r="CE224" s="179"/>
      <c r="CF224" s="179"/>
      <c r="CG224" s="179"/>
      <c r="CH224" s="179"/>
      <c r="CI224" s="179"/>
      <c r="CJ224" s="179"/>
      <c r="CK224" s="179"/>
      <c r="CL224" s="179"/>
      <c r="CM224" s="179"/>
      <c r="CN224" s="179"/>
      <c r="CO224" s="179"/>
      <c r="CP224" s="179"/>
      <c r="CQ224" s="179"/>
      <c r="CR224" s="179"/>
      <c r="CS224" s="179"/>
      <c r="CT224" s="179"/>
      <c r="CU224" s="179"/>
      <c r="CV224" s="179"/>
      <c r="CW224" s="179"/>
    </row>
    <row r="225" spans="1:101" x14ac:dyDescent="0.2">
      <c r="A225" s="32" t="str">
        <f t="shared" ca="1" si="3"/>
        <v>2025-11-06</v>
      </c>
      <c r="B225" s="179">
        <f ca="1">IF(ISNUMBER(MATCH(DATEVALUE($A225),'changes1_based on steps'!B$1:B$400,0)),B$2,)</f>
        <v>0</v>
      </c>
      <c r="C225" s="179">
        <f ca="1">IF(ISNUMBER(MATCH(DATEVALUE($A225),'changes1_based on steps'!C$1:C$400,0)),C$2,)</f>
        <v>0</v>
      </c>
      <c r="D225" s="179">
        <f ca="1">IF(ISNUMBER(MATCH(DATEVALUE($A225),'changes1_based on steps'!D$1:D$400,0)),D$2,)</f>
        <v>0</v>
      </c>
      <c r="E225" s="179">
        <f ca="1">IF(ISNUMBER(MATCH(DATEVALUE($A225),'changes1_based on steps'!E$1:E$400,0)),E$2,)</f>
        <v>0</v>
      </c>
      <c r="F225" s="179">
        <f ca="1">IF(ISNUMBER(MATCH(DATEVALUE($A225),'changes1_based on steps'!F$1:F$400,0)),F$2,)</f>
        <v>0</v>
      </c>
      <c r="G225" s="179">
        <f ca="1">IF(ISNUMBER(MATCH(DATEVALUE($A225),'changes1_based on steps'!G$1:G$400,0)),G$2,)</f>
        <v>0</v>
      </c>
      <c r="H225" s="179">
        <f ca="1">IF(ISNUMBER(MATCH(DATEVALUE($A225),'changes1_based on steps'!H$1:H$400,0)),H$2,)</f>
        <v>0</v>
      </c>
      <c r="I225" s="179">
        <f ca="1">IF(ISNUMBER(MATCH(DATEVALUE($A225),'changes1_based on steps'!I$1:I$400,0)),I$2,)</f>
        <v>0</v>
      </c>
      <c r="J225" s="179">
        <f ca="1">IF(ISNUMBER(MATCH(DATEVALUE($A225),'changes1_based on steps'!J$1:J$400,0)),J$2,)</f>
        <v>0</v>
      </c>
      <c r="K225" s="179">
        <f ca="1">IF(ISNUMBER(MATCH(DATEVALUE($A225),'changes1_based on steps'!K$1:K$400,0)),K$2,)</f>
        <v>0</v>
      </c>
      <c r="L225" s="179">
        <f ca="1">IF(ISNUMBER(MATCH(DATEVALUE($A225),'changes1_based on steps'!L$1:L$400,0)),L$2,)</f>
        <v>0</v>
      </c>
      <c r="M225" s="179">
        <f ca="1">IF(ISNUMBER(MATCH(DATEVALUE($A225),'changes1_based on steps'!M$1:M$400,0)),M$2,)</f>
        <v>0</v>
      </c>
      <c r="N225" s="179">
        <f ca="1">IF(ISNUMBER(MATCH(DATEVALUE($A225),'changes1_based on steps'!N$1:N$400,0)),N$2,)</f>
        <v>0</v>
      </c>
      <c r="O225" s="179">
        <f ca="1">IF(ISNUMBER(MATCH(DATEVALUE($A225),'changes1_based on steps'!O$1:O$400,0)),O$2,)</f>
        <v>0</v>
      </c>
      <c r="P225" s="179">
        <f ca="1">IF(ISNUMBER(MATCH(DATEVALUE($A225),'changes1_based on steps'!P$1:P$400,0)),P$2,)</f>
        <v>0</v>
      </c>
      <c r="Q225" s="179">
        <f ca="1">IF(ISNUMBER(MATCH(DATEVALUE($A225),'changes1_based on steps'!Q$1:Q$400,0)),Q$2,)</f>
        <v>0</v>
      </c>
      <c r="R225" s="179">
        <f ca="1">IF(ISNUMBER(MATCH(DATEVALUE($A225),'changes1_based on steps'!R$1:R$400,0)),R$2,)</f>
        <v>0</v>
      </c>
      <c r="S225" s="179">
        <f ca="1">IF(ISNUMBER(MATCH(DATEVALUE($A225),'changes1_based on steps'!S$1:S$400,0)),S$2,)</f>
        <v>0</v>
      </c>
      <c r="T225" s="179">
        <f ca="1">IF(ISNUMBER(MATCH(DATEVALUE($A225),'changes1_based on steps'!T$1:T$400,0)),T$2,)</f>
        <v>0</v>
      </c>
      <c r="U225" s="179">
        <f ca="1">IF(ISNUMBER(MATCH(DATEVALUE($A225),'changes1_based on steps'!U$1:U$400,0)),U$2,)</f>
        <v>0</v>
      </c>
      <c r="V225" s="179"/>
      <c r="W225" s="179"/>
      <c r="X225" s="179"/>
      <c r="Y225" s="179"/>
      <c r="Z225" s="179"/>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c r="AV225" s="179"/>
      <c r="AW225" s="179"/>
      <c r="AX225" s="179"/>
      <c r="AY225" s="179"/>
      <c r="AZ225" s="179"/>
      <c r="BA225" s="179"/>
      <c r="BB225" s="179"/>
      <c r="BC225" s="179"/>
      <c r="BD225" s="179"/>
      <c r="BE225" s="179"/>
      <c r="BF225" s="179"/>
      <c r="BG225" s="179"/>
      <c r="BH225" s="179"/>
      <c r="BI225" s="179"/>
      <c r="BJ225" s="179"/>
      <c r="BK225" s="179"/>
      <c r="BL225" s="179"/>
      <c r="BM225" s="179"/>
      <c r="BN225" s="179"/>
      <c r="BO225" s="179"/>
      <c r="BP225" s="179"/>
      <c r="BQ225" s="179"/>
      <c r="BR225" s="179"/>
      <c r="BS225" s="179"/>
      <c r="BT225" s="179"/>
      <c r="BU225" s="179"/>
      <c r="BV225" s="179"/>
      <c r="BW225" s="179"/>
      <c r="BX225" s="179"/>
      <c r="BY225" s="179"/>
      <c r="BZ225" s="179"/>
      <c r="CA225" s="179"/>
      <c r="CB225" s="179"/>
      <c r="CC225" s="179"/>
      <c r="CD225" s="179"/>
      <c r="CE225" s="179"/>
      <c r="CF225" s="179"/>
      <c r="CG225" s="179"/>
      <c r="CH225" s="179"/>
      <c r="CI225" s="179"/>
      <c r="CJ225" s="179"/>
      <c r="CK225" s="179"/>
      <c r="CL225" s="179"/>
      <c r="CM225" s="179"/>
      <c r="CN225" s="179"/>
      <c r="CO225" s="179"/>
      <c r="CP225" s="179"/>
      <c r="CQ225" s="179"/>
      <c r="CR225" s="179"/>
      <c r="CS225" s="179"/>
      <c r="CT225" s="179"/>
      <c r="CU225" s="179"/>
      <c r="CV225" s="179"/>
      <c r="CW225" s="179"/>
    </row>
    <row r="226" spans="1:101" x14ac:dyDescent="0.2">
      <c r="A226" s="32" t="str">
        <f t="shared" ca="1" si="3"/>
        <v>2025-11-07</v>
      </c>
      <c r="B226" s="179">
        <f ca="1">IF(ISNUMBER(MATCH(DATEVALUE($A226),'changes1_based on steps'!B$1:B$400,0)),B$2,)</f>
        <v>0</v>
      </c>
      <c r="C226" s="179">
        <f ca="1">IF(ISNUMBER(MATCH(DATEVALUE($A226),'changes1_based on steps'!C$1:C$400,0)),C$2,)</f>
        <v>0</v>
      </c>
      <c r="D226" s="179">
        <f ca="1">IF(ISNUMBER(MATCH(DATEVALUE($A226),'changes1_based on steps'!D$1:D$400,0)),D$2,)</f>
        <v>0</v>
      </c>
      <c r="E226" s="179">
        <f ca="1">IF(ISNUMBER(MATCH(DATEVALUE($A226),'changes1_based on steps'!E$1:E$400,0)),E$2,)</f>
        <v>0</v>
      </c>
      <c r="F226" s="179">
        <f ca="1">IF(ISNUMBER(MATCH(DATEVALUE($A226),'changes1_based on steps'!F$1:F$400,0)),F$2,)</f>
        <v>0</v>
      </c>
      <c r="G226" s="179">
        <f ca="1">IF(ISNUMBER(MATCH(DATEVALUE($A226),'changes1_based on steps'!G$1:G$400,0)),G$2,)</f>
        <v>0</v>
      </c>
      <c r="H226" s="179">
        <f ca="1">IF(ISNUMBER(MATCH(DATEVALUE($A226),'changes1_based on steps'!H$1:H$400,0)),H$2,)</f>
        <v>0</v>
      </c>
      <c r="I226" s="179">
        <f ca="1">IF(ISNUMBER(MATCH(DATEVALUE($A226),'changes1_based on steps'!I$1:I$400,0)),I$2,)</f>
        <v>0</v>
      </c>
      <c r="J226" s="179">
        <f ca="1">IF(ISNUMBER(MATCH(DATEVALUE($A226),'changes1_based on steps'!J$1:J$400,0)),J$2,)</f>
        <v>0</v>
      </c>
      <c r="K226" s="179">
        <f ca="1">IF(ISNUMBER(MATCH(DATEVALUE($A226),'changes1_based on steps'!K$1:K$400,0)),K$2,)</f>
        <v>0</v>
      </c>
      <c r="L226" s="179">
        <f ca="1">IF(ISNUMBER(MATCH(DATEVALUE($A226),'changes1_based on steps'!L$1:L$400,0)),L$2,)</f>
        <v>0</v>
      </c>
      <c r="M226" s="179">
        <f ca="1">IF(ISNUMBER(MATCH(DATEVALUE($A226),'changes1_based on steps'!M$1:M$400,0)),M$2,)</f>
        <v>0</v>
      </c>
      <c r="N226" s="179">
        <f ca="1">IF(ISNUMBER(MATCH(DATEVALUE($A226),'changes1_based on steps'!N$1:N$400,0)),N$2,)</f>
        <v>0</v>
      </c>
      <c r="O226" s="179">
        <f ca="1">IF(ISNUMBER(MATCH(DATEVALUE($A226),'changes1_based on steps'!O$1:O$400,0)),O$2,)</f>
        <v>0</v>
      </c>
      <c r="P226" s="179">
        <f ca="1">IF(ISNUMBER(MATCH(DATEVALUE($A226),'changes1_based on steps'!P$1:P$400,0)),P$2,)</f>
        <v>0</v>
      </c>
      <c r="Q226" s="179">
        <f ca="1">IF(ISNUMBER(MATCH(DATEVALUE($A226),'changes1_based on steps'!Q$1:Q$400,0)),Q$2,)</f>
        <v>0</v>
      </c>
      <c r="R226" s="179">
        <f ca="1">IF(ISNUMBER(MATCH(DATEVALUE($A226),'changes1_based on steps'!R$1:R$400,0)),R$2,)</f>
        <v>0</v>
      </c>
      <c r="S226" s="179">
        <f ca="1">IF(ISNUMBER(MATCH(DATEVALUE($A226),'changes1_based on steps'!S$1:S$400,0)),S$2,)</f>
        <v>0</v>
      </c>
      <c r="T226" s="179">
        <f ca="1">IF(ISNUMBER(MATCH(DATEVALUE($A226),'changes1_based on steps'!T$1:T$400,0)),T$2,)</f>
        <v>0</v>
      </c>
      <c r="U226" s="179">
        <f ca="1">IF(ISNUMBER(MATCH(DATEVALUE($A226),'changes1_based on steps'!U$1:U$400,0)),U$2,)</f>
        <v>0</v>
      </c>
      <c r="V226" s="179"/>
      <c r="W226" s="179"/>
      <c r="X226" s="179"/>
      <c r="Y226" s="179"/>
      <c r="Z226" s="179"/>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c r="AV226" s="179"/>
      <c r="AW226" s="179"/>
      <c r="AX226" s="179"/>
      <c r="AY226" s="179"/>
      <c r="AZ226" s="179"/>
      <c r="BA226" s="179"/>
      <c r="BB226" s="179"/>
      <c r="BC226" s="179"/>
      <c r="BD226" s="179"/>
      <c r="BE226" s="179"/>
      <c r="BF226" s="179"/>
      <c r="BG226" s="179"/>
      <c r="BH226" s="179"/>
      <c r="BI226" s="179"/>
      <c r="BJ226" s="179"/>
      <c r="BK226" s="179"/>
      <c r="BL226" s="179"/>
      <c r="BM226" s="179"/>
      <c r="BN226" s="179"/>
      <c r="BO226" s="179"/>
      <c r="BP226" s="179"/>
      <c r="BQ226" s="179"/>
      <c r="BR226" s="179"/>
      <c r="BS226" s="179"/>
      <c r="BT226" s="179"/>
      <c r="BU226" s="179"/>
      <c r="BV226" s="179"/>
      <c r="BW226" s="179"/>
      <c r="BX226" s="179"/>
      <c r="BY226" s="179"/>
      <c r="BZ226" s="179"/>
      <c r="CA226" s="179"/>
      <c r="CB226" s="179"/>
      <c r="CC226" s="179"/>
      <c r="CD226" s="179"/>
      <c r="CE226" s="179"/>
      <c r="CF226" s="179"/>
      <c r="CG226" s="179"/>
      <c r="CH226" s="179"/>
      <c r="CI226" s="179"/>
      <c r="CJ226" s="179"/>
      <c r="CK226" s="179"/>
      <c r="CL226" s="179"/>
      <c r="CM226" s="179"/>
      <c r="CN226" s="179"/>
      <c r="CO226" s="179"/>
      <c r="CP226" s="179"/>
      <c r="CQ226" s="179"/>
      <c r="CR226" s="179"/>
      <c r="CS226" s="179"/>
      <c r="CT226" s="179"/>
      <c r="CU226" s="179"/>
      <c r="CV226" s="179"/>
      <c r="CW226" s="179"/>
    </row>
    <row r="227" spans="1:101" x14ac:dyDescent="0.2">
      <c r="A227" s="32" t="str">
        <f t="shared" ca="1" si="3"/>
        <v>2025-11-08</v>
      </c>
      <c r="B227" s="179">
        <f ca="1">IF(ISNUMBER(MATCH(DATEVALUE($A227),'changes1_based on steps'!B$1:B$400,0)),B$2,)</f>
        <v>0</v>
      </c>
      <c r="C227" s="179">
        <f ca="1">IF(ISNUMBER(MATCH(DATEVALUE($A227),'changes1_based on steps'!C$1:C$400,0)),C$2,)</f>
        <v>0</v>
      </c>
      <c r="D227" s="179">
        <f ca="1">IF(ISNUMBER(MATCH(DATEVALUE($A227),'changes1_based on steps'!D$1:D$400,0)),D$2,)</f>
        <v>0</v>
      </c>
      <c r="E227" s="179">
        <f ca="1">IF(ISNUMBER(MATCH(DATEVALUE($A227),'changes1_based on steps'!E$1:E$400,0)),E$2,)</f>
        <v>0</v>
      </c>
      <c r="F227" s="179">
        <f ca="1">IF(ISNUMBER(MATCH(DATEVALUE($A227),'changes1_based on steps'!F$1:F$400,0)),F$2,)</f>
        <v>0</v>
      </c>
      <c r="G227" s="179">
        <f ca="1">IF(ISNUMBER(MATCH(DATEVALUE($A227),'changes1_based on steps'!G$1:G$400,0)),G$2,)</f>
        <v>0</v>
      </c>
      <c r="H227" s="179">
        <f ca="1">IF(ISNUMBER(MATCH(DATEVALUE($A227),'changes1_based on steps'!H$1:H$400,0)),H$2,)</f>
        <v>0</v>
      </c>
      <c r="I227" s="179">
        <f ca="1">IF(ISNUMBER(MATCH(DATEVALUE($A227),'changes1_based on steps'!I$1:I$400,0)),I$2,)</f>
        <v>0</v>
      </c>
      <c r="J227" s="179">
        <f ca="1">IF(ISNUMBER(MATCH(DATEVALUE($A227),'changes1_based on steps'!J$1:J$400,0)),J$2,)</f>
        <v>0</v>
      </c>
      <c r="K227" s="179">
        <f ca="1">IF(ISNUMBER(MATCH(DATEVALUE($A227),'changes1_based on steps'!K$1:K$400,0)),K$2,)</f>
        <v>0</v>
      </c>
      <c r="L227" s="179">
        <f ca="1">IF(ISNUMBER(MATCH(DATEVALUE($A227),'changes1_based on steps'!L$1:L$400,0)),L$2,)</f>
        <v>0</v>
      </c>
      <c r="M227" s="179">
        <f ca="1">IF(ISNUMBER(MATCH(DATEVALUE($A227),'changes1_based on steps'!M$1:M$400,0)),M$2,)</f>
        <v>0</v>
      </c>
      <c r="N227" s="179">
        <f ca="1">IF(ISNUMBER(MATCH(DATEVALUE($A227),'changes1_based on steps'!N$1:N$400,0)),N$2,)</f>
        <v>0</v>
      </c>
      <c r="O227" s="179">
        <f ca="1">IF(ISNUMBER(MATCH(DATEVALUE($A227),'changes1_based on steps'!O$1:O$400,0)),O$2,)</f>
        <v>0</v>
      </c>
      <c r="P227" s="179">
        <f ca="1">IF(ISNUMBER(MATCH(DATEVALUE($A227),'changes1_based on steps'!P$1:P$400,0)),P$2,)</f>
        <v>0</v>
      </c>
      <c r="Q227" s="179">
        <f ca="1">IF(ISNUMBER(MATCH(DATEVALUE($A227),'changes1_based on steps'!Q$1:Q$400,0)),Q$2,)</f>
        <v>0</v>
      </c>
      <c r="R227" s="179">
        <f ca="1">IF(ISNUMBER(MATCH(DATEVALUE($A227),'changes1_based on steps'!R$1:R$400,0)),R$2,)</f>
        <v>0</v>
      </c>
      <c r="S227" s="179">
        <f ca="1">IF(ISNUMBER(MATCH(DATEVALUE($A227),'changes1_based on steps'!S$1:S$400,0)),S$2,)</f>
        <v>0</v>
      </c>
      <c r="T227" s="179">
        <f ca="1">IF(ISNUMBER(MATCH(DATEVALUE($A227),'changes1_based on steps'!T$1:T$400,0)),T$2,)</f>
        <v>0</v>
      </c>
      <c r="U227" s="179">
        <f ca="1">IF(ISNUMBER(MATCH(DATEVALUE($A227),'changes1_based on steps'!U$1:U$400,0)),U$2,)</f>
        <v>0</v>
      </c>
      <c r="V227" s="179"/>
      <c r="W227" s="179"/>
      <c r="X227" s="179"/>
      <c r="Y227" s="179"/>
      <c r="Z227" s="179"/>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c r="AV227" s="179"/>
      <c r="AW227" s="179"/>
      <c r="AX227" s="179"/>
      <c r="AY227" s="179"/>
      <c r="AZ227" s="179"/>
      <c r="BA227" s="179"/>
      <c r="BB227" s="179"/>
      <c r="BC227" s="179"/>
      <c r="BD227" s="179"/>
      <c r="BE227" s="179"/>
      <c r="BF227" s="179"/>
      <c r="BG227" s="179"/>
      <c r="BH227" s="179"/>
      <c r="BI227" s="179"/>
      <c r="BJ227" s="179"/>
      <c r="BK227" s="179"/>
      <c r="BL227" s="179"/>
      <c r="BM227" s="179"/>
      <c r="BN227" s="179"/>
      <c r="BO227" s="179"/>
      <c r="BP227" s="179"/>
      <c r="BQ227" s="179"/>
      <c r="BR227" s="179"/>
      <c r="BS227" s="179"/>
      <c r="BT227" s="179"/>
      <c r="BU227" s="179"/>
      <c r="BV227" s="179"/>
      <c r="BW227" s="179"/>
      <c r="BX227" s="179"/>
      <c r="BY227" s="179"/>
      <c r="BZ227" s="179"/>
      <c r="CA227" s="179"/>
      <c r="CB227" s="179"/>
      <c r="CC227" s="179"/>
      <c r="CD227" s="179"/>
      <c r="CE227" s="179"/>
      <c r="CF227" s="179"/>
      <c r="CG227" s="179"/>
      <c r="CH227" s="179"/>
      <c r="CI227" s="179"/>
      <c r="CJ227" s="179"/>
      <c r="CK227" s="179"/>
      <c r="CL227" s="179"/>
      <c r="CM227" s="179"/>
      <c r="CN227" s="179"/>
      <c r="CO227" s="179"/>
      <c r="CP227" s="179"/>
      <c r="CQ227" s="179"/>
      <c r="CR227" s="179"/>
      <c r="CS227" s="179"/>
      <c r="CT227" s="179"/>
      <c r="CU227" s="179"/>
      <c r="CV227" s="179"/>
      <c r="CW227" s="179"/>
    </row>
    <row r="228" spans="1:101" x14ac:dyDescent="0.2">
      <c r="A228" s="32" t="str">
        <f t="shared" ca="1" si="3"/>
        <v>2025-11-09</v>
      </c>
      <c r="B228" s="179">
        <f ca="1">IF(ISNUMBER(MATCH(DATEVALUE($A228),'changes1_based on steps'!B$1:B$400,0)),B$2,)</f>
        <v>0</v>
      </c>
      <c r="C228" s="179">
        <f ca="1">IF(ISNUMBER(MATCH(DATEVALUE($A228),'changes1_based on steps'!C$1:C$400,0)),C$2,)</f>
        <v>0</v>
      </c>
      <c r="D228" s="179">
        <f ca="1">IF(ISNUMBER(MATCH(DATEVALUE($A228),'changes1_based on steps'!D$1:D$400,0)),D$2,)</f>
        <v>0</v>
      </c>
      <c r="E228" s="179">
        <f ca="1">IF(ISNUMBER(MATCH(DATEVALUE($A228),'changes1_based on steps'!E$1:E$400,0)),E$2,)</f>
        <v>0</v>
      </c>
      <c r="F228" s="179">
        <f ca="1">IF(ISNUMBER(MATCH(DATEVALUE($A228),'changes1_based on steps'!F$1:F$400,0)),F$2,)</f>
        <v>0</v>
      </c>
      <c r="G228" s="179">
        <f ca="1">IF(ISNUMBER(MATCH(DATEVALUE($A228),'changes1_based on steps'!G$1:G$400,0)),G$2,)</f>
        <v>0</v>
      </c>
      <c r="H228" s="179">
        <f ca="1">IF(ISNUMBER(MATCH(DATEVALUE($A228),'changes1_based on steps'!H$1:H$400,0)),H$2,)</f>
        <v>0</v>
      </c>
      <c r="I228" s="179">
        <f ca="1">IF(ISNUMBER(MATCH(DATEVALUE($A228),'changes1_based on steps'!I$1:I$400,0)),I$2,)</f>
        <v>0</v>
      </c>
      <c r="J228" s="179">
        <f ca="1">IF(ISNUMBER(MATCH(DATEVALUE($A228),'changes1_based on steps'!J$1:J$400,0)),J$2,)</f>
        <v>0</v>
      </c>
      <c r="K228" s="179">
        <f ca="1">IF(ISNUMBER(MATCH(DATEVALUE($A228),'changes1_based on steps'!K$1:K$400,0)),K$2,)</f>
        <v>0</v>
      </c>
      <c r="L228" s="179">
        <f ca="1">IF(ISNUMBER(MATCH(DATEVALUE($A228),'changes1_based on steps'!L$1:L$400,0)),L$2,)</f>
        <v>0</v>
      </c>
      <c r="M228" s="179">
        <f ca="1">IF(ISNUMBER(MATCH(DATEVALUE($A228),'changes1_based on steps'!M$1:M$400,0)),M$2,)</f>
        <v>0</v>
      </c>
      <c r="N228" s="179">
        <f ca="1">IF(ISNUMBER(MATCH(DATEVALUE($A228),'changes1_based on steps'!N$1:N$400,0)),N$2,)</f>
        <v>0</v>
      </c>
      <c r="O228" s="179">
        <f ca="1">IF(ISNUMBER(MATCH(DATEVALUE($A228),'changes1_based on steps'!O$1:O$400,0)),O$2,)</f>
        <v>0</v>
      </c>
      <c r="P228" s="179">
        <f ca="1">IF(ISNUMBER(MATCH(DATEVALUE($A228),'changes1_based on steps'!P$1:P$400,0)),P$2,)</f>
        <v>0</v>
      </c>
      <c r="Q228" s="179">
        <f ca="1">IF(ISNUMBER(MATCH(DATEVALUE($A228),'changes1_based on steps'!Q$1:Q$400,0)),Q$2,)</f>
        <v>0</v>
      </c>
      <c r="R228" s="179">
        <f ca="1">IF(ISNUMBER(MATCH(DATEVALUE($A228),'changes1_based on steps'!R$1:R$400,0)),R$2,)</f>
        <v>0</v>
      </c>
      <c r="S228" s="179">
        <f ca="1">IF(ISNUMBER(MATCH(DATEVALUE($A228),'changes1_based on steps'!S$1:S$400,0)),S$2,)</f>
        <v>0</v>
      </c>
      <c r="T228" s="179">
        <f ca="1">IF(ISNUMBER(MATCH(DATEVALUE($A228),'changes1_based on steps'!T$1:T$400,0)),T$2,)</f>
        <v>0</v>
      </c>
      <c r="U228" s="179">
        <f ca="1">IF(ISNUMBER(MATCH(DATEVALUE($A228),'changes1_based on steps'!U$1:U$400,0)),U$2,)</f>
        <v>0</v>
      </c>
      <c r="V228" s="179"/>
      <c r="W228" s="179"/>
      <c r="X228" s="179"/>
      <c r="Y228" s="179"/>
      <c r="Z228" s="179"/>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c r="AV228" s="179"/>
      <c r="AW228" s="179"/>
      <c r="AX228" s="179"/>
      <c r="AY228" s="179"/>
      <c r="AZ228" s="179"/>
      <c r="BA228" s="179"/>
      <c r="BB228" s="179"/>
      <c r="BC228" s="179"/>
      <c r="BD228" s="179"/>
      <c r="BE228" s="179"/>
      <c r="BF228" s="179"/>
      <c r="BG228" s="179"/>
      <c r="BH228" s="179"/>
      <c r="BI228" s="179"/>
      <c r="BJ228" s="179"/>
      <c r="BK228" s="179"/>
      <c r="BL228" s="179"/>
      <c r="BM228" s="179"/>
      <c r="BN228" s="179"/>
      <c r="BO228" s="179"/>
      <c r="BP228" s="179"/>
      <c r="BQ228" s="179"/>
      <c r="BR228" s="179"/>
      <c r="BS228" s="179"/>
      <c r="BT228" s="179"/>
      <c r="BU228" s="179"/>
      <c r="BV228" s="179"/>
      <c r="BW228" s="179"/>
      <c r="BX228" s="179"/>
      <c r="BY228" s="179"/>
      <c r="BZ228" s="179"/>
      <c r="CA228" s="179"/>
      <c r="CB228" s="179"/>
      <c r="CC228" s="179"/>
      <c r="CD228" s="179"/>
      <c r="CE228" s="179"/>
      <c r="CF228" s="179"/>
      <c r="CG228" s="179"/>
      <c r="CH228" s="179"/>
      <c r="CI228" s="179"/>
      <c r="CJ228" s="179"/>
      <c r="CK228" s="179"/>
      <c r="CL228" s="179"/>
      <c r="CM228" s="179"/>
      <c r="CN228" s="179"/>
      <c r="CO228" s="179"/>
      <c r="CP228" s="179"/>
      <c r="CQ228" s="179"/>
      <c r="CR228" s="179"/>
      <c r="CS228" s="179"/>
      <c r="CT228" s="179"/>
      <c r="CU228" s="179"/>
      <c r="CV228" s="179"/>
      <c r="CW228" s="179"/>
    </row>
    <row r="229" spans="1:101" x14ac:dyDescent="0.2">
      <c r="A229" s="32" t="str">
        <f t="shared" ca="1" si="3"/>
        <v>2025-11-10</v>
      </c>
      <c r="B229" s="179">
        <f ca="1">IF(ISNUMBER(MATCH(DATEVALUE($A229),'changes1_based on steps'!B$1:B$400,0)),B$2,)</f>
        <v>0</v>
      </c>
      <c r="C229" s="179">
        <f ca="1">IF(ISNUMBER(MATCH(DATEVALUE($A229),'changes1_based on steps'!C$1:C$400,0)),C$2,)</f>
        <v>0</v>
      </c>
      <c r="D229" s="179">
        <f ca="1">IF(ISNUMBER(MATCH(DATEVALUE($A229),'changes1_based on steps'!D$1:D$400,0)),D$2,)</f>
        <v>0</v>
      </c>
      <c r="E229" s="179">
        <f ca="1">IF(ISNUMBER(MATCH(DATEVALUE($A229),'changes1_based on steps'!E$1:E$400,0)),E$2,)</f>
        <v>0</v>
      </c>
      <c r="F229" s="179">
        <f ca="1">IF(ISNUMBER(MATCH(DATEVALUE($A229),'changes1_based on steps'!F$1:F$400,0)),F$2,)</f>
        <v>0</v>
      </c>
      <c r="G229" s="179">
        <f ca="1">IF(ISNUMBER(MATCH(DATEVALUE($A229),'changes1_based on steps'!G$1:G$400,0)),G$2,)</f>
        <v>0</v>
      </c>
      <c r="H229" s="179">
        <f ca="1">IF(ISNUMBER(MATCH(DATEVALUE($A229),'changes1_based on steps'!H$1:H$400,0)),H$2,)</f>
        <v>0</v>
      </c>
      <c r="I229" s="179">
        <f ca="1">IF(ISNUMBER(MATCH(DATEVALUE($A229),'changes1_based on steps'!I$1:I$400,0)),I$2,)</f>
        <v>0</v>
      </c>
      <c r="J229" s="179">
        <f ca="1">IF(ISNUMBER(MATCH(DATEVALUE($A229),'changes1_based on steps'!J$1:J$400,0)),J$2,)</f>
        <v>0</v>
      </c>
      <c r="K229" s="179">
        <f ca="1">IF(ISNUMBER(MATCH(DATEVALUE($A229),'changes1_based on steps'!K$1:K$400,0)),K$2,)</f>
        <v>0</v>
      </c>
      <c r="L229" s="179">
        <f ca="1">IF(ISNUMBER(MATCH(DATEVALUE($A229),'changes1_based on steps'!L$1:L$400,0)),L$2,)</f>
        <v>0</v>
      </c>
      <c r="M229" s="179">
        <f ca="1">IF(ISNUMBER(MATCH(DATEVALUE($A229),'changes1_based on steps'!M$1:M$400,0)),M$2,)</f>
        <v>0</v>
      </c>
      <c r="N229" s="179">
        <f ca="1">IF(ISNUMBER(MATCH(DATEVALUE($A229),'changes1_based on steps'!N$1:N$400,0)),N$2,)</f>
        <v>0</v>
      </c>
      <c r="O229" s="179">
        <f ca="1">IF(ISNUMBER(MATCH(DATEVALUE($A229),'changes1_based on steps'!O$1:O$400,0)),O$2,)</f>
        <v>0</v>
      </c>
      <c r="P229" s="179">
        <f ca="1">IF(ISNUMBER(MATCH(DATEVALUE($A229),'changes1_based on steps'!P$1:P$400,0)),P$2,)</f>
        <v>0</v>
      </c>
      <c r="Q229" s="179">
        <f ca="1">IF(ISNUMBER(MATCH(DATEVALUE($A229),'changes1_based on steps'!Q$1:Q$400,0)),Q$2,)</f>
        <v>0</v>
      </c>
      <c r="R229" s="179">
        <f ca="1">IF(ISNUMBER(MATCH(DATEVALUE($A229),'changes1_based on steps'!R$1:R$400,0)),R$2,)</f>
        <v>0</v>
      </c>
      <c r="S229" s="179">
        <f ca="1">IF(ISNUMBER(MATCH(DATEVALUE($A229),'changes1_based on steps'!S$1:S$400,0)),S$2,)</f>
        <v>0</v>
      </c>
      <c r="T229" s="179">
        <f ca="1">IF(ISNUMBER(MATCH(DATEVALUE($A229),'changes1_based on steps'!T$1:T$400,0)),T$2,)</f>
        <v>0</v>
      </c>
      <c r="U229" s="179">
        <f ca="1">IF(ISNUMBER(MATCH(DATEVALUE($A229),'changes1_based on steps'!U$1:U$400,0)),U$2,)</f>
        <v>0</v>
      </c>
      <c r="V229" s="179"/>
      <c r="W229" s="179"/>
      <c r="X229" s="179"/>
      <c r="Y229" s="179"/>
      <c r="Z229" s="179"/>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c r="AV229" s="179"/>
      <c r="AW229" s="179"/>
      <c r="AX229" s="179"/>
      <c r="AY229" s="179"/>
      <c r="AZ229" s="179"/>
      <c r="BA229" s="179"/>
      <c r="BB229" s="179"/>
      <c r="BC229" s="179"/>
      <c r="BD229" s="179"/>
      <c r="BE229" s="179"/>
      <c r="BF229" s="179"/>
      <c r="BG229" s="179"/>
      <c r="BH229" s="179"/>
      <c r="BI229" s="179"/>
      <c r="BJ229" s="179"/>
      <c r="BK229" s="179"/>
      <c r="BL229" s="179"/>
      <c r="BM229" s="179"/>
      <c r="BN229" s="179"/>
      <c r="BO229" s="179"/>
      <c r="BP229" s="179"/>
      <c r="BQ229" s="179"/>
      <c r="BR229" s="179"/>
      <c r="BS229" s="179"/>
      <c r="BT229" s="179"/>
      <c r="BU229" s="179"/>
      <c r="BV229" s="179"/>
      <c r="BW229" s="179"/>
      <c r="BX229" s="179"/>
      <c r="BY229" s="179"/>
      <c r="BZ229" s="179"/>
      <c r="CA229" s="179"/>
      <c r="CB229" s="179"/>
      <c r="CC229" s="179"/>
      <c r="CD229" s="179"/>
      <c r="CE229" s="179"/>
      <c r="CF229" s="179"/>
      <c r="CG229" s="179"/>
      <c r="CH229" s="179"/>
      <c r="CI229" s="179"/>
      <c r="CJ229" s="179"/>
      <c r="CK229" s="179"/>
      <c r="CL229" s="179"/>
      <c r="CM229" s="179"/>
      <c r="CN229" s="179"/>
      <c r="CO229" s="179"/>
      <c r="CP229" s="179"/>
      <c r="CQ229" s="179"/>
      <c r="CR229" s="179"/>
      <c r="CS229" s="179"/>
      <c r="CT229" s="179"/>
      <c r="CU229" s="179"/>
      <c r="CV229" s="179"/>
      <c r="CW229" s="179"/>
    </row>
    <row r="230" spans="1:101" x14ac:dyDescent="0.2">
      <c r="A230" s="32" t="str">
        <f t="shared" ca="1" si="3"/>
        <v>2025-11-11</v>
      </c>
      <c r="B230" s="179">
        <f ca="1">IF(ISNUMBER(MATCH(DATEVALUE($A230),'changes1_based on steps'!B$1:B$400,0)),B$2,)</f>
        <v>0</v>
      </c>
      <c r="C230" s="179">
        <f ca="1">IF(ISNUMBER(MATCH(DATEVALUE($A230),'changes1_based on steps'!C$1:C$400,0)),C$2,)</f>
        <v>0</v>
      </c>
      <c r="D230" s="179">
        <f ca="1">IF(ISNUMBER(MATCH(DATEVALUE($A230),'changes1_based on steps'!D$1:D$400,0)),D$2,)</f>
        <v>0</v>
      </c>
      <c r="E230" s="179">
        <f ca="1">IF(ISNUMBER(MATCH(DATEVALUE($A230),'changes1_based on steps'!E$1:E$400,0)),E$2,)</f>
        <v>0</v>
      </c>
      <c r="F230" s="179">
        <f ca="1">IF(ISNUMBER(MATCH(DATEVALUE($A230),'changes1_based on steps'!F$1:F$400,0)),F$2,)</f>
        <v>0</v>
      </c>
      <c r="G230" s="179">
        <f ca="1">IF(ISNUMBER(MATCH(DATEVALUE($A230),'changes1_based on steps'!G$1:G$400,0)),G$2,)</f>
        <v>0</v>
      </c>
      <c r="H230" s="179">
        <f ca="1">IF(ISNUMBER(MATCH(DATEVALUE($A230),'changes1_based on steps'!H$1:H$400,0)),H$2,)</f>
        <v>0</v>
      </c>
      <c r="I230" s="179">
        <f ca="1">IF(ISNUMBER(MATCH(DATEVALUE($A230),'changes1_based on steps'!I$1:I$400,0)),I$2,)</f>
        <v>0</v>
      </c>
      <c r="J230" s="179">
        <f ca="1">IF(ISNUMBER(MATCH(DATEVALUE($A230),'changes1_based on steps'!J$1:J$400,0)),J$2,)</f>
        <v>0</v>
      </c>
      <c r="K230" s="179">
        <f ca="1">IF(ISNUMBER(MATCH(DATEVALUE($A230),'changes1_based on steps'!K$1:K$400,0)),K$2,)</f>
        <v>0</v>
      </c>
      <c r="L230" s="179">
        <f ca="1">IF(ISNUMBER(MATCH(DATEVALUE($A230),'changes1_based on steps'!L$1:L$400,0)),L$2,)</f>
        <v>0</v>
      </c>
      <c r="M230" s="179">
        <f ca="1">IF(ISNUMBER(MATCH(DATEVALUE($A230),'changes1_based on steps'!M$1:M$400,0)),M$2,)</f>
        <v>0</v>
      </c>
      <c r="N230" s="179">
        <f ca="1">IF(ISNUMBER(MATCH(DATEVALUE($A230),'changes1_based on steps'!N$1:N$400,0)),N$2,)</f>
        <v>0</v>
      </c>
      <c r="O230" s="179">
        <f ca="1">IF(ISNUMBER(MATCH(DATEVALUE($A230),'changes1_based on steps'!O$1:O$400,0)),O$2,)</f>
        <v>0</v>
      </c>
      <c r="P230" s="179">
        <f ca="1">IF(ISNUMBER(MATCH(DATEVALUE($A230),'changes1_based on steps'!P$1:P$400,0)),P$2,)</f>
        <v>0</v>
      </c>
      <c r="Q230" s="179">
        <f ca="1">IF(ISNUMBER(MATCH(DATEVALUE($A230),'changes1_based on steps'!Q$1:Q$400,0)),Q$2,)</f>
        <v>0</v>
      </c>
      <c r="R230" s="179">
        <f ca="1">IF(ISNUMBER(MATCH(DATEVALUE($A230),'changes1_based on steps'!R$1:R$400,0)),R$2,)</f>
        <v>0</v>
      </c>
      <c r="S230" s="179">
        <f ca="1">IF(ISNUMBER(MATCH(DATEVALUE($A230),'changes1_based on steps'!S$1:S$400,0)),S$2,)</f>
        <v>0</v>
      </c>
      <c r="T230" s="179">
        <f ca="1">IF(ISNUMBER(MATCH(DATEVALUE($A230),'changes1_based on steps'!T$1:T$400,0)),T$2,)</f>
        <v>0</v>
      </c>
      <c r="U230" s="179">
        <f ca="1">IF(ISNUMBER(MATCH(DATEVALUE($A230),'changes1_based on steps'!U$1:U$400,0)),U$2,)</f>
        <v>0</v>
      </c>
      <c r="V230" s="179"/>
      <c r="W230" s="179"/>
      <c r="X230" s="179"/>
      <c r="Y230" s="179"/>
      <c r="Z230" s="179"/>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c r="AV230" s="179"/>
      <c r="AW230" s="179"/>
      <c r="AX230" s="179"/>
      <c r="AY230" s="179"/>
      <c r="AZ230" s="179"/>
      <c r="BA230" s="179"/>
      <c r="BB230" s="179"/>
      <c r="BC230" s="179"/>
      <c r="BD230" s="179"/>
      <c r="BE230" s="179"/>
      <c r="BF230" s="179"/>
      <c r="BG230" s="179"/>
      <c r="BH230" s="179"/>
      <c r="BI230" s="179"/>
      <c r="BJ230" s="179"/>
      <c r="BK230" s="179"/>
      <c r="BL230" s="179"/>
      <c r="BM230" s="179"/>
      <c r="BN230" s="179"/>
      <c r="BO230" s="179"/>
      <c r="BP230" s="179"/>
      <c r="BQ230" s="179"/>
      <c r="BR230" s="179"/>
      <c r="BS230" s="179"/>
      <c r="BT230" s="179"/>
      <c r="BU230" s="179"/>
      <c r="BV230" s="179"/>
      <c r="BW230" s="179"/>
      <c r="BX230" s="179"/>
      <c r="BY230" s="179"/>
      <c r="BZ230" s="179"/>
      <c r="CA230" s="179"/>
      <c r="CB230" s="179"/>
      <c r="CC230" s="179"/>
      <c r="CD230" s="179"/>
      <c r="CE230" s="179"/>
      <c r="CF230" s="179"/>
      <c r="CG230" s="179"/>
      <c r="CH230" s="179"/>
      <c r="CI230" s="179"/>
      <c r="CJ230" s="179"/>
      <c r="CK230" s="179"/>
      <c r="CL230" s="179"/>
      <c r="CM230" s="179"/>
      <c r="CN230" s="179"/>
      <c r="CO230" s="179"/>
      <c r="CP230" s="179"/>
      <c r="CQ230" s="179"/>
      <c r="CR230" s="179"/>
      <c r="CS230" s="179"/>
      <c r="CT230" s="179"/>
      <c r="CU230" s="179"/>
      <c r="CV230" s="179"/>
      <c r="CW230" s="179"/>
    </row>
    <row r="231" spans="1:101" x14ac:dyDescent="0.2">
      <c r="A231" s="32" t="str">
        <f t="shared" ca="1" si="3"/>
        <v>2025-11-12</v>
      </c>
      <c r="B231" s="179">
        <f ca="1">IF(ISNUMBER(MATCH(DATEVALUE($A231),'changes1_based on steps'!B$1:B$400,0)),B$2,)</f>
        <v>0</v>
      </c>
      <c r="C231" s="179">
        <f ca="1">IF(ISNUMBER(MATCH(DATEVALUE($A231),'changes1_based on steps'!C$1:C$400,0)),C$2,)</f>
        <v>0</v>
      </c>
      <c r="D231" s="179">
        <f ca="1">IF(ISNUMBER(MATCH(DATEVALUE($A231),'changes1_based on steps'!D$1:D$400,0)),D$2,)</f>
        <v>0</v>
      </c>
      <c r="E231" s="179">
        <f ca="1">IF(ISNUMBER(MATCH(DATEVALUE($A231),'changes1_based on steps'!E$1:E$400,0)),E$2,)</f>
        <v>0</v>
      </c>
      <c r="F231" s="179">
        <f ca="1">IF(ISNUMBER(MATCH(DATEVALUE($A231),'changes1_based on steps'!F$1:F$400,0)),F$2,)</f>
        <v>0</v>
      </c>
      <c r="G231" s="179">
        <f ca="1">IF(ISNUMBER(MATCH(DATEVALUE($A231),'changes1_based on steps'!G$1:G$400,0)),G$2,)</f>
        <v>0</v>
      </c>
      <c r="H231" s="179">
        <f ca="1">IF(ISNUMBER(MATCH(DATEVALUE($A231),'changes1_based on steps'!H$1:H$400,0)),H$2,)</f>
        <v>0</v>
      </c>
      <c r="I231" s="179">
        <f ca="1">IF(ISNUMBER(MATCH(DATEVALUE($A231),'changes1_based on steps'!I$1:I$400,0)),I$2,)</f>
        <v>0</v>
      </c>
      <c r="J231" s="179">
        <f ca="1">IF(ISNUMBER(MATCH(DATEVALUE($A231),'changes1_based on steps'!J$1:J$400,0)),J$2,)</f>
        <v>0</v>
      </c>
      <c r="K231" s="179">
        <f ca="1">IF(ISNUMBER(MATCH(DATEVALUE($A231),'changes1_based on steps'!K$1:K$400,0)),K$2,)</f>
        <v>0</v>
      </c>
      <c r="L231" s="179">
        <f ca="1">IF(ISNUMBER(MATCH(DATEVALUE($A231),'changes1_based on steps'!L$1:L$400,0)),L$2,)</f>
        <v>0</v>
      </c>
      <c r="M231" s="179">
        <f ca="1">IF(ISNUMBER(MATCH(DATEVALUE($A231),'changes1_based on steps'!M$1:M$400,0)),M$2,)</f>
        <v>0</v>
      </c>
      <c r="N231" s="179">
        <f ca="1">IF(ISNUMBER(MATCH(DATEVALUE($A231),'changes1_based on steps'!N$1:N$400,0)),N$2,)</f>
        <v>0</v>
      </c>
      <c r="O231" s="179">
        <f ca="1">IF(ISNUMBER(MATCH(DATEVALUE($A231),'changes1_based on steps'!O$1:O$400,0)),O$2,)</f>
        <v>0</v>
      </c>
      <c r="P231" s="179">
        <f ca="1">IF(ISNUMBER(MATCH(DATEVALUE($A231),'changes1_based on steps'!P$1:P$400,0)),P$2,)</f>
        <v>0</v>
      </c>
      <c r="Q231" s="179">
        <f ca="1">IF(ISNUMBER(MATCH(DATEVALUE($A231),'changes1_based on steps'!Q$1:Q$400,0)),Q$2,)</f>
        <v>0</v>
      </c>
      <c r="R231" s="179">
        <f ca="1">IF(ISNUMBER(MATCH(DATEVALUE($A231),'changes1_based on steps'!R$1:R$400,0)),R$2,)</f>
        <v>0</v>
      </c>
      <c r="S231" s="179">
        <f ca="1">IF(ISNUMBER(MATCH(DATEVALUE($A231),'changes1_based on steps'!S$1:S$400,0)),S$2,)</f>
        <v>0</v>
      </c>
      <c r="T231" s="179">
        <f ca="1">IF(ISNUMBER(MATCH(DATEVALUE($A231),'changes1_based on steps'!T$1:T$400,0)),T$2,)</f>
        <v>0</v>
      </c>
      <c r="U231" s="179">
        <f ca="1">IF(ISNUMBER(MATCH(DATEVALUE($A231),'changes1_based on steps'!U$1:U$400,0)),U$2,)</f>
        <v>0</v>
      </c>
      <c r="V231" s="179"/>
      <c r="W231" s="179"/>
      <c r="X231" s="179"/>
      <c r="Y231" s="179"/>
      <c r="Z231" s="179"/>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c r="AV231" s="179"/>
      <c r="AW231" s="179"/>
      <c r="AX231" s="179"/>
      <c r="AY231" s="179"/>
      <c r="AZ231" s="179"/>
      <c r="BA231" s="179"/>
      <c r="BB231" s="179"/>
      <c r="BC231" s="179"/>
      <c r="BD231" s="179"/>
      <c r="BE231" s="179"/>
      <c r="BF231" s="179"/>
      <c r="BG231" s="179"/>
      <c r="BH231" s="179"/>
      <c r="BI231" s="179"/>
      <c r="BJ231" s="179"/>
      <c r="BK231" s="179"/>
      <c r="BL231" s="179"/>
      <c r="BM231" s="179"/>
      <c r="BN231" s="179"/>
      <c r="BO231" s="179"/>
      <c r="BP231" s="179"/>
      <c r="BQ231" s="179"/>
      <c r="BR231" s="179"/>
      <c r="BS231" s="179"/>
      <c r="BT231" s="179"/>
      <c r="BU231" s="179"/>
      <c r="BV231" s="179"/>
      <c r="BW231" s="179"/>
      <c r="BX231" s="179"/>
      <c r="BY231" s="179"/>
      <c r="BZ231" s="179"/>
      <c r="CA231" s="179"/>
      <c r="CB231" s="179"/>
      <c r="CC231" s="179"/>
      <c r="CD231" s="179"/>
      <c r="CE231" s="179"/>
      <c r="CF231" s="179"/>
      <c r="CG231" s="179"/>
      <c r="CH231" s="179"/>
      <c r="CI231" s="179"/>
      <c r="CJ231" s="179"/>
      <c r="CK231" s="179"/>
      <c r="CL231" s="179"/>
      <c r="CM231" s="179"/>
      <c r="CN231" s="179"/>
      <c r="CO231" s="179"/>
      <c r="CP231" s="179"/>
      <c r="CQ231" s="179"/>
      <c r="CR231" s="179"/>
      <c r="CS231" s="179"/>
      <c r="CT231" s="179"/>
      <c r="CU231" s="179"/>
      <c r="CV231" s="179"/>
      <c r="CW231" s="179"/>
    </row>
    <row r="232" spans="1:101" x14ac:dyDescent="0.2">
      <c r="A232" s="32" t="str">
        <f t="shared" ca="1" si="3"/>
        <v>2025-11-13</v>
      </c>
      <c r="B232" s="179">
        <f ca="1">IF(ISNUMBER(MATCH(DATEVALUE($A232),'changes1_based on steps'!B$1:B$400,0)),B$2,)</f>
        <v>0</v>
      </c>
      <c r="C232" s="179">
        <f ca="1">IF(ISNUMBER(MATCH(DATEVALUE($A232),'changes1_based on steps'!C$1:C$400,0)),C$2,)</f>
        <v>0</v>
      </c>
      <c r="D232" s="179">
        <f ca="1">IF(ISNUMBER(MATCH(DATEVALUE($A232),'changes1_based on steps'!D$1:D$400,0)),D$2,)</f>
        <v>0</v>
      </c>
      <c r="E232" s="179">
        <f ca="1">IF(ISNUMBER(MATCH(DATEVALUE($A232),'changes1_based on steps'!E$1:E$400,0)),E$2,)</f>
        <v>0</v>
      </c>
      <c r="F232" s="179">
        <f ca="1">IF(ISNUMBER(MATCH(DATEVALUE($A232),'changes1_based on steps'!F$1:F$400,0)),F$2,)</f>
        <v>0</v>
      </c>
      <c r="G232" s="179">
        <f ca="1">IF(ISNUMBER(MATCH(DATEVALUE($A232),'changes1_based on steps'!G$1:G$400,0)),G$2,)</f>
        <v>0</v>
      </c>
      <c r="H232" s="179">
        <f ca="1">IF(ISNUMBER(MATCH(DATEVALUE($A232),'changes1_based on steps'!H$1:H$400,0)),H$2,)</f>
        <v>0</v>
      </c>
      <c r="I232" s="179">
        <f ca="1">IF(ISNUMBER(MATCH(DATEVALUE($A232),'changes1_based on steps'!I$1:I$400,0)),I$2,)</f>
        <v>0</v>
      </c>
      <c r="J232" s="179">
        <f ca="1">IF(ISNUMBER(MATCH(DATEVALUE($A232),'changes1_based on steps'!J$1:J$400,0)),J$2,)</f>
        <v>0</v>
      </c>
      <c r="K232" s="179">
        <f ca="1">IF(ISNUMBER(MATCH(DATEVALUE($A232),'changes1_based on steps'!K$1:K$400,0)),K$2,)</f>
        <v>0</v>
      </c>
      <c r="L232" s="179">
        <f ca="1">IF(ISNUMBER(MATCH(DATEVALUE($A232),'changes1_based on steps'!L$1:L$400,0)),L$2,)</f>
        <v>0</v>
      </c>
      <c r="M232" s="179">
        <f ca="1">IF(ISNUMBER(MATCH(DATEVALUE($A232),'changes1_based on steps'!M$1:M$400,0)),M$2,)</f>
        <v>0</v>
      </c>
      <c r="N232" s="179">
        <f ca="1">IF(ISNUMBER(MATCH(DATEVALUE($A232),'changes1_based on steps'!N$1:N$400,0)),N$2,)</f>
        <v>0</v>
      </c>
      <c r="O232" s="179">
        <f ca="1">IF(ISNUMBER(MATCH(DATEVALUE($A232),'changes1_based on steps'!O$1:O$400,0)),O$2,)</f>
        <v>0</v>
      </c>
      <c r="P232" s="179">
        <f ca="1">IF(ISNUMBER(MATCH(DATEVALUE($A232),'changes1_based on steps'!P$1:P$400,0)),P$2,)</f>
        <v>0</v>
      </c>
      <c r="Q232" s="179">
        <f ca="1">IF(ISNUMBER(MATCH(DATEVALUE($A232),'changes1_based on steps'!Q$1:Q$400,0)),Q$2,)</f>
        <v>0</v>
      </c>
      <c r="R232" s="179">
        <f ca="1">IF(ISNUMBER(MATCH(DATEVALUE($A232),'changes1_based on steps'!R$1:R$400,0)),R$2,)</f>
        <v>0</v>
      </c>
      <c r="S232" s="179">
        <f ca="1">IF(ISNUMBER(MATCH(DATEVALUE($A232),'changes1_based on steps'!S$1:S$400,0)),S$2,)</f>
        <v>0</v>
      </c>
      <c r="T232" s="179">
        <f ca="1">IF(ISNUMBER(MATCH(DATEVALUE($A232),'changes1_based on steps'!T$1:T$400,0)),T$2,)</f>
        <v>0</v>
      </c>
      <c r="U232" s="179">
        <f ca="1">IF(ISNUMBER(MATCH(DATEVALUE($A232),'changes1_based on steps'!U$1:U$400,0)),U$2,)</f>
        <v>0</v>
      </c>
      <c r="V232" s="179"/>
      <c r="W232" s="179"/>
      <c r="X232" s="179"/>
      <c r="Y232" s="179"/>
      <c r="Z232" s="179"/>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c r="AV232" s="179"/>
      <c r="AW232" s="179"/>
      <c r="AX232" s="179"/>
      <c r="AY232" s="179"/>
      <c r="AZ232" s="179"/>
      <c r="BA232" s="179"/>
      <c r="BB232" s="179"/>
      <c r="BC232" s="179"/>
      <c r="BD232" s="179"/>
      <c r="BE232" s="179"/>
      <c r="BF232" s="179"/>
      <c r="BG232" s="179"/>
      <c r="BH232" s="179"/>
      <c r="BI232" s="179"/>
      <c r="BJ232" s="179"/>
      <c r="BK232" s="179"/>
      <c r="BL232" s="179"/>
      <c r="BM232" s="179"/>
      <c r="BN232" s="179"/>
      <c r="BO232" s="179"/>
      <c r="BP232" s="179"/>
      <c r="BQ232" s="179"/>
      <c r="BR232" s="179"/>
      <c r="BS232" s="179"/>
      <c r="BT232" s="179"/>
      <c r="BU232" s="179"/>
      <c r="BV232" s="179"/>
      <c r="BW232" s="179"/>
      <c r="BX232" s="179"/>
      <c r="BY232" s="179"/>
      <c r="BZ232" s="179"/>
      <c r="CA232" s="179"/>
      <c r="CB232" s="179"/>
      <c r="CC232" s="179"/>
      <c r="CD232" s="179"/>
      <c r="CE232" s="179"/>
      <c r="CF232" s="179"/>
      <c r="CG232" s="179"/>
      <c r="CH232" s="179"/>
      <c r="CI232" s="179"/>
      <c r="CJ232" s="179"/>
      <c r="CK232" s="179"/>
      <c r="CL232" s="179"/>
      <c r="CM232" s="179"/>
      <c r="CN232" s="179"/>
      <c r="CO232" s="179"/>
      <c r="CP232" s="179"/>
      <c r="CQ232" s="179"/>
      <c r="CR232" s="179"/>
      <c r="CS232" s="179"/>
      <c r="CT232" s="179"/>
      <c r="CU232" s="179"/>
      <c r="CV232" s="179"/>
      <c r="CW232" s="179"/>
    </row>
    <row r="233" spans="1:101" x14ac:dyDescent="0.2">
      <c r="A233" s="32" t="str">
        <f t="shared" ca="1" si="3"/>
        <v>2025-11-14</v>
      </c>
      <c r="B233" s="179">
        <f ca="1">IF(ISNUMBER(MATCH(DATEVALUE($A233),'changes1_based on steps'!B$1:B$400,0)),B$2,)</f>
        <v>0</v>
      </c>
      <c r="C233" s="179">
        <f ca="1">IF(ISNUMBER(MATCH(DATEVALUE($A233),'changes1_based on steps'!C$1:C$400,0)),C$2,)</f>
        <v>0</v>
      </c>
      <c r="D233" s="179">
        <f ca="1">IF(ISNUMBER(MATCH(DATEVALUE($A233),'changes1_based on steps'!D$1:D$400,0)),D$2,)</f>
        <v>0</v>
      </c>
      <c r="E233" s="179">
        <f ca="1">IF(ISNUMBER(MATCH(DATEVALUE($A233),'changes1_based on steps'!E$1:E$400,0)),E$2,)</f>
        <v>0</v>
      </c>
      <c r="F233" s="179">
        <f ca="1">IF(ISNUMBER(MATCH(DATEVALUE($A233),'changes1_based on steps'!F$1:F$400,0)),F$2,)</f>
        <v>0</v>
      </c>
      <c r="G233" s="179">
        <f ca="1">IF(ISNUMBER(MATCH(DATEVALUE($A233),'changes1_based on steps'!G$1:G$400,0)),G$2,)</f>
        <v>0</v>
      </c>
      <c r="H233" s="179">
        <f ca="1">IF(ISNUMBER(MATCH(DATEVALUE($A233),'changes1_based on steps'!H$1:H$400,0)),H$2,)</f>
        <v>0</v>
      </c>
      <c r="I233" s="179">
        <f ca="1">IF(ISNUMBER(MATCH(DATEVALUE($A233),'changes1_based on steps'!I$1:I$400,0)),I$2,)</f>
        <v>0</v>
      </c>
      <c r="J233" s="179">
        <f ca="1">IF(ISNUMBER(MATCH(DATEVALUE($A233),'changes1_based on steps'!J$1:J$400,0)),J$2,)</f>
        <v>0</v>
      </c>
      <c r="K233" s="179">
        <f ca="1">IF(ISNUMBER(MATCH(DATEVALUE($A233),'changes1_based on steps'!K$1:K$400,0)),K$2,)</f>
        <v>0</v>
      </c>
      <c r="L233" s="179">
        <f ca="1">IF(ISNUMBER(MATCH(DATEVALUE($A233),'changes1_based on steps'!L$1:L$400,0)),L$2,)</f>
        <v>0</v>
      </c>
      <c r="M233" s="179">
        <f ca="1">IF(ISNUMBER(MATCH(DATEVALUE($A233),'changes1_based on steps'!M$1:M$400,0)),M$2,)</f>
        <v>0</v>
      </c>
      <c r="N233" s="179">
        <f ca="1">IF(ISNUMBER(MATCH(DATEVALUE($A233),'changes1_based on steps'!N$1:N$400,0)),N$2,)</f>
        <v>0</v>
      </c>
      <c r="O233" s="179">
        <f ca="1">IF(ISNUMBER(MATCH(DATEVALUE($A233),'changes1_based on steps'!O$1:O$400,0)),O$2,)</f>
        <v>0</v>
      </c>
      <c r="P233" s="179">
        <f ca="1">IF(ISNUMBER(MATCH(DATEVALUE($A233),'changes1_based on steps'!P$1:P$400,0)),P$2,)</f>
        <v>0</v>
      </c>
      <c r="Q233" s="179">
        <f ca="1">IF(ISNUMBER(MATCH(DATEVALUE($A233),'changes1_based on steps'!Q$1:Q$400,0)),Q$2,)</f>
        <v>0</v>
      </c>
      <c r="R233" s="179">
        <f ca="1">IF(ISNUMBER(MATCH(DATEVALUE($A233),'changes1_based on steps'!R$1:R$400,0)),R$2,)</f>
        <v>0</v>
      </c>
      <c r="S233" s="179">
        <f ca="1">IF(ISNUMBER(MATCH(DATEVALUE($A233),'changes1_based on steps'!S$1:S$400,0)),S$2,)</f>
        <v>0</v>
      </c>
      <c r="T233" s="179">
        <f ca="1">IF(ISNUMBER(MATCH(DATEVALUE($A233),'changes1_based on steps'!T$1:T$400,0)),T$2,)</f>
        <v>0</v>
      </c>
      <c r="U233" s="179">
        <f ca="1">IF(ISNUMBER(MATCH(DATEVALUE($A233),'changes1_based on steps'!U$1:U$400,0)),U$2,)</f>
        <v>0</v>
      </c>
      <c r="V233" s="179"/>
      <c r="W233" s="179"/>
      <c r="X233" s="179"/>
      <c r="Y233" s="179"/>
      <c r="Z233" s="179"/>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c r="AV233" s="179"/>
      <c r="AW233" s="179"/>
      <c r="AX233" s="179"/>
      <c r="AY233" s="179"/>
      <c r="AZ233" s="179"/>
      <c r="BA233" s="179"/>
      <c r="BB233" s="179"/>
      <c r="BC233" s="179"/>
      <c r="BD233" s="179"/>
      <c r="BE233" s="179"/>
      <c r="BF233" s="179"/>
      <c r="BG233" s="179"/>
      <c r="BH233" s="179"/>
      <c r="BI233" s="179"/>
      <c r="BJ233" s="179"/>
      <c r="BK233" s="179"/>
      <c r="BL233" s="179"/>
      <c r="BM233" s="179"/>
      <c r="BN233" s="179"/>
      <c r="BO233" s="179"/>
      <c r="BP233" s="179"/>
      <c r="BQ233" s="179"/>
      <c r="BR233" s="179"/>
      <c r="BS233" s="179"/>
      <c r="BT233" s="179"/>
      <c r="BU233" s="179"/>
      <c r="BV233" s="179"/>
      <c r="BW233" s="179"/>
      <c r="BX233" s="179"/>
      <c r="BY233" s="179"/>
      <c r="BZ233" s="179"/>
      <c r="CA233" s="179"/>
      <c r="CB233" s="179"/>
      <c r="CC233" s="179"/>
      <c r="CD233" s="179"/>
      <c r="CE233" s="179"/>
      <c r="CF233" s="179"/>
      <c r="CG233" s="179"/>
      <c r="CH233" s="179"/>
      <c r="CI233" s="179"/>
      <c r="CJ233" s="179"/>
      <c r="CK233" s="179"/>
      <c r="CL233" s="179"/>
      <c r="CM233" s="179"/>
      <c r="CN233" s="179"/>
      <c r="CO233" s="179"/>
      <c r="CP233" s="179"/>
      <c r="CQ233" s="179"/>
      <c r="CR233" s="179"/>
      <c r="CS233" s="179"/>
      <c r="CT233" s="179"/>
      <c r="CU233" s="179"/>
      <c r="CV233" s="179"/>
      <c r="CW233" s="179"/>
    </row>
    <row r="234" spans="1:101" x14ac:dyDescent="0.2">
      <c r="A234" s="32" t="str">
        <f t="shared" ca="1" si="3"/>
        <v>2025-11-15</v>
      </c>
      <c r="B234" s="179">
        <f ca="1">IF(ISNUMBER(MATCH(DATEVALUE($A234),'changes1_based on steps'!B$1:B$400,0)),B$2,)</f>
        <v>0</v>
      </c>
      <c r="C234" s="179">
        <f ca="1">IF(ISNUMBER(MATCH(DATEVALUE($A234),'changes1_based on steps'!C$1:C$400,0)),C$2,)</f>
        <v>0</v>
      </c>
      <c r="D234" s="179">
        <f ca="1">IF(ISNUMBER(MATCH(DATEVALUE($A234),'changes1_based on steps'!D$1:D$400,0)),D$2,)</f>
        <v>0</v>
      </c>
      <c r="E234" s="179">
        <f ca="1">IF(ISNUMBER(MATCH(DATEVALUE($A234),'changes1_based on steps'!E$1:E$400,0)),E$2,)</f>
        <v>0</v>
      </c>
      <c r="F234" s="179">
        <f ca="1">IF(ISNUMBER(MATCH(DATEVALUE($A234),'changes1_based on steps'!F$1:F$400,0)),F$2,)</f>
        <v>0</v>
      </c>
      <c r="G234" s="179">
        <f ca="1">IF(ISNUMBER(MATCH(DATEVALUE($A234),'changes1_based on steps'!G$1:G$400,0)),G$2,)</f>
        <v>0</v>
      </c>
      <c r="H234" s="179">
        <f ca="1">IF(ISNUMBER(MATCH(DATEVALUE($A234),'changes1_based on steps'!H$1:H$400,0)),H$2,)</f>
        <v>0</v>
      </c>
      <c r="I234" s="179">
        <f ca="1">IF(ISNUMBER(MATCH(DATEVALUE($A234),'changes1_based on steps'!I$1:I$400,0)),I$2,)</f>
        <v>0</v>
      </c>
      <c r="J234" s="179">
        <f ca="1">IF(ISNUMBER(MATCH(DATEVALUE($A234),'changes1_based on steps'!J$1:J$400,0)),J$2,)</f>
        <v>0</v>
      </c>
      <c r="K234" s="179">
        <f ca="1">IF(ISNUMBER(MATCH(DATEVALUE($A234),'changes1_based on steps'!K$1:K$400,0)),K$2,)</f>
        <v>0</v>
      </c>
      <c r="L234" s="179">
        <f ca="1">IF(ISNUMBER(MATCH(DATEVALUE($A234),'changes1_based on steps'!L$1:L$400,0)),L$2,)</f>
        <v>0</v>
      </c>
      <c r="M234" s="179">
        <f ca="1">IF(ISNUMBER(MATCH(DATEVALUE($A234),'changes1_based on steps'!M$1:M$400,0)),M$2,)</f>
        <v>0</v>
      </c>
      <c r="N234" s="179">
        <f ca="1">IF(ISNUMBER(MATCH(DATEVALUE($A234),'changes1_based on steps'!N$1:N$400,0)),N$2,)</f>
        <v>0</v>
      </c>
      <c r="O234" s="179">
        <f ca="1">IF(ISNUMBER(MATCH(DATEVALUE($A234),'changes1_based on steps'!O$1:O$400,0)),O$2,)</f>
        <v>0</v>
      </c>
      <c r="P234" s="179">
        <f ca="1">IF(ISNUMBER(MATCH(DATEVALUE($A234),'changes1_based on steps'!P$1:P$400,0)),P$2,)</f>
        <v>0</v>
      </c>
      <c r="Q234" s="179">
        <f ca="1">IF(ISNUMBER(MATCH(DATEVALUE($A234),'changes1_based on steps'!Q$1:Q$400,0)),Q$2,)</f>
        <v>0</v>
      </c>
      <c r="R234" s="179">
        <f ca="1">IF(ISNUMBER(MATCH(DATEVALUE($A234),'changes1_based on steps'!R$1:R$400,0)),R$2,)</f>
        <v>0</v>
      </c>
      <c r="S234" s="179">
        <f ca="1">IF(ISNUMBER(MATCH(DATEVALUE($A234),'changes1_based on steps'!S$1:S$400,0)),S$2,)</f>
        <v>0</v>
      </c>
      <c r="T234" s="179">
        <f ca="1">IF(ISNUMBER(MATCH(DATEVALUE($A234),'changes1_based on steps'!T$1:T$400,0)),T$2,)</f>
        <v>0</v>
      </c>
      <c r="U234" s="179">
        <f ca="1">IF(ISNUMBER(MATCH(DATEVALUE($A234),'changes1_based on steps'!U$1:U$400,0)),U$2,)</f>
        <v>0</v>
      </c>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179"/>
      <c r="BK234" s="179"/>
      <c r="BL234" s="179"/>
      <c r="BM234" s="179"/>
      <c r="BN234" s="179"/>
      <c r="BO234" s="179"/>
      <c r="BP234" s="179"/>
      <c r="BQ234" s="179"/>
      <c r="BR234" s="179"/>
      <c r="BS234" s="179"/>
      <c r="BT234" s="179"/>
      <c r="BU234" s="179"/>
      <c r="BV234" s="179"/>
      <c r="BW234" s="179"/>
      <c r="BX234" s="179"/>
      <c r="BY234" s="179"/>
      <c r="BZ234" s="179"/>
      <c r="CA234" s="179"/>
      <c r="CB234" s="179"/>
      <c r="CC234" s="179"/>
      <c r="CD234" s="179"/>
      <c r="CE234" s="179"/>
      <c r="CF234" s="179"/>
      <c r="CG234" s="179"/>
      <c r="CH234" s="179"/>
      <c r="CI234" s="179"/>
      <c r="CJ234" s="179"/>
      <c r="CK234" s="179"/>
      <c r="CL234" s="179"/>
      <c r="CM234" s="179"/>
      <c r="CN234" s="179"/>
      <c r="CO234" s="179"/>
      <c r="CP234" s="179"/>
      <c r="CQ234" s="179"/>
      <c r="CR234" s="179"/>
      <c r="CS234" s="179"/>
      <c r="CT234" s="179"/>
      <c r="CU234" s="179"/>
      <c r="CV234" s="179"/>
      <c r="CW234" s="179"/>
    </row>
    <row r="235" spans="1:101" x14ac:dyDescent="0.2">
      <c r="A235" s="32" t="str">
        <f t="shared" ca="1" si="3"/>
        <v>2025-11-16</v>
      </c>
      <c r="B235" s="179">
        <f ca="1">IF(ISNUMBER(MATCH(DATEVALUE($A235),'changes1_based on steps'!B$1:B$400,0)),B$2,)</f>
        <v>0</v>
      </c>
      <c r="C235" s="179">
        <f ca="1">IF(ISNUMBER(MATCH(DATEVALUE($A235),'changes1_based on steps'!C$1:C$400,0)),C$2,)</f>
        <v>0</v>
      </c>
      <c r="D235" s="179">
        <f ca="1">IF(ISNUMBER(MATCH(DATEVALUE($A235),'changes1_based on steps'!D$1:D$400,0)),D$2,)</f>
        <v>0</v>
      </c>
      <c r="E235" s="179">
        <f ca="1">IF(ISNUMBER(MATCH(DATEVALUE($A235),'changes1_based on steps'!E$1:E$400,0)),E$2,)</f>
        <v>0</v>
      </c>
      <c r="F235" s="179">
        <f ca="1">IF(ISNUMBER(MATCH(DATEVALUE($A235),'changes1_based on steps'!F$1:F$400,0)),F$2,)</f>
        <v>0</v>
      </c>
      <c r="G235" s="179">
        <f ca="1">IF(ISNUMBER(MATCH(DATEVALUE($A235),'changes1_based on steps'!G$1:G$400,0)),G$2,)</f>
        <v>0</v>
      </c>
      <c r="H235" s="179">
        <f ca="1">IF(ISNUMBER(MATCH(DATEVALUE($A235),'changes1_based on steps'!H$1:H$400,0)),H$2,)</f>
        <v>0</v>
      </c>
      <c r="I235" s="179">
        <f ca="1">IF(ISNUMBER(MATCH(DATEVALUE($A235),'changes1_based on steps'!I$1:I$400,0)),I$2,)</f>
        <v>0</v>
      </c>
      <c r="J235" s="179">
        <f ca="1">IF(ISNUMBER(MATCH(DATEVALUE($A235),'changes1_based on steps'!J$1:J$400,0)),J$2,)</f>
        <v>0</v>
      </c>
      <c r="K235" s="179">
        <f ca="1">IF(ISNUMBER(MATCH(DATEVALUE($A235),'changes1_based on steps'!K$1:K$400,0)),K$2,)</f>
        <v>0</v>
      </c>
      <c r="L235" s="179">
        <f ca="1">IF(ISNUMBER(MATCH(DATEVALUE($A235),'changes1_based on steps'!L$1:L$400,0)),L$2,)</f>
        <v>0</v>
      </c>
      <c r="M235" s="179">
        <f ca="1">IF(ISNUMBER(MATCH(DATEVALUE($A235),'changes1_based on steps'!M$1:M$400,0)),M$2,)</f>
        <v>0</v>
      </c>
      <c r="N235" s="179">
        <f ca="1">IF(ISNUMBER(MATCH(DATEVALUE($A235),'changes1_based on steps'!N$1:N$400,0)),N$2,)</f>
        <v>0</v>
      </c>
      <c r="O235" s="179">
        <f ca="1">IF(ISNUMBER(MATCH(DATEVALUE($A235),'changes1_based on steps'!O$1:O$400,0)),O$2,)</f>
        <v>0</v>
      </c>
      <c r="P235" s="179">
        <f ca="1">IF(ISNUMBER(MATCH(DATEVALUE($A235),'changes1_based on steps'!P$1:P$400,0)),P$2,)</f>
        <v>0</v>
      </c>
      <c r="Q235" s="179">
        <f ca="1">IF(ISNUMBER(MATCH(DATEVALUE($A235),'changes1_based on steps'!Q$1:Q$400,0)),Q$2,)</f>
        <v>0</v>
      </c>
      <c r="R235" s="179">
        <f ca="1">IF(ISNUMBER(MATCH(DATEVALUE($A235),'changes1_based on steps'!R$1:R$400,0)),R$2,)</f>
        <v>0</v>
      </c>
      <c r="S235" s="179">
        <f ca="1">IF(ISNUMBER(MATCH(DATEVALUE($A235),'changes1_based on steps'!S$1:S$400,0)),S$2,)</f>
        <v>0</v>
      </c>
      <c r="T235" s="179">
        <f ca="1">IF(ISNUMBER(MATCH(DATEVALUE($A235),'changes1_based on steps'!T$1:T$400,0)),T$2,)</f>
        <v>0</v>
      </c>
      <c r="U235" s="179">
        <f ca="1">IF(ISNUMBER(MATCH(DATEVALUE($A235),'changes1_based on steps'!U$1:U$400,0)),U$2,)</f>
        <v>0</v>
      </c>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179"/>
      <c r="BK235" s="179"/>
      <c r="BL235" s="179"/>
      <c r="BM235" s="179"/>
      <c r="BN235" s="179"/>
      <c r="BO235" s="179"/>
      <c r="BP235" s="179"/>
      <c r="BQ235" s="179"/>
      <c r="BR235" s="179"/>
      <c r="BS235" s="179"/>
      <c r="BT235" s="179"/>
      <c r="BU235" s="179"/>
      <c r="BV235" s="179"/>
      <c r="BW235" s="179"/>
      <c r="BX235" s="179"/>
      <c r="BY235" s="179"/>
      <c r="BZ235" s="179"/>
      <c r="CA235" s="179"/>
      <c r="CB235" s="179"/>
      <c r="CC235" s="179"/>
      <c r="CD235" s="179"/>
      <c r="CE235" s="179"/>
      <c r="CF235" s="179"/>
      <c r="CG235" s="179"/>
      <c r="CH235" s="179"/>
      <c r="CI235" s="179"/>
      <c r="CJ235" s="179"/>
      <c r="CK235" s="179"/>
      <c r="CL235" s="179"/>
      <c r="CM235" s="179"/>
      <c r="CN235" s="179"/>
      <c r="CO235" s="179"/>
      <c r="CP235" s="179"/>
      <c r="CQ235" s="179"/>
      <c r="CR235" s="179"/>
      <c r="CS235" s="179"/>
      <c r="CT235" s="179"/>
      <c r="CU235" s="179"/>
      <c r="CV235" s="179"/>
      <c r="CW235" s="179"/>
    </row>
    <row r="236" spans="1:101" x14ac:dyDescent="0.2">
      <c r="A236" s="32" t="str">
        <f t="shared" ca="1" si="3"/>
        <v>2025-11-17</v>
      </c>
      <c r="B236" s="179">
        <f ca="1">IF(ISNUMBER(MATCH(DATEVALUE($A236),'changes1_based on steps'!B$1:B$400,0)),B$2,)</f>
        <v>0</v>
      </c>
      <c r="C236" s="179">
        <f ca="1">IF(ISNUMBER(MATCH(DATEVALUE($A236),'changes1_based on steps'!C$1:C$400,0)),C$2,)</f>
        <v>0</v>
      </c>
      <c r="D236" s="179">
        <f ca="1">IF(ISNUMBER(MATCH(DATEVALUE($A236),'changes1_based on steps'!D$1:D$400,0)),D$2,)</f>
        <v>0</v>
      </c>
      <c r="E236" s="179">
        <f ca="1">IF(ISNUMBER(MATCH(DATEVALUE($A236),'changes1_based on steps'!E$1:E$400,0)),E$2,)</f>
        <v>0</v>
      </c>
      <c r="F236" s="179">
        <f ca="1">IF(ISNUMBER(MATCH(DATEVALUE($A236),'changes1_based on steps'!F$1:F$400,0)),F$2,)</f>
        <v>0</v>
      </c>
      <c r="G236" s="179">
        <f ca="1">IF(ISNUMBER(MATCH(DATEVALUE($A236),'changes1_based on steps'!G$1:G$400,0)),G$2,)</f>
        <v>0</v>
      </c>
      <c r="H236" s="179">
        <f ca="1">IF(ISNUMBER(MATCH(DATEVALUE($A236),'changes1_based on steps'!H$1:H$400,0)),H$2,)</f>
        <v>0</v>
      </c>
      <c r="I236" s="179">
        <f ca="1">IF(ISNUMBER(MATCH(DATEVALUE($A236),'changes1_based on steps'!I$1:I$400,0)),I$2,)</f>
        <v>0</v>
      </c>
      <c r="J236" s="179">
        <f ca="1">IF(ISNUMBER(MATCH(DATEVALUE($A236),'changes1_based on steps'!J$1:J$400,0)),J$2,)</f>
        <v>0</v>
      </c>
      <c r="K236" s="179">
        <f ca="1">IF(ISNUMBER(MATCH(DATEVALUE($A236),'changes1_based on steps'!K$1:K$400,0)),K$2,)</f>
        <v>0</v>
      </c>
      <c r="L236" s="179">
        <f ca="1">IF(ISNUMBER(MATCH(DATEVALUE($A236),'changes1_based on steps'!L$1:L$400,0)),L$2,)</f>
        <v>0</v>
      </c>
      <c r="M236" s="179">
        <f ca="1">IF(ISNUMBER(MATCH(DATEVALUE($A236),'changes1_based on steps'!M$1:M$400,0)),M$2,)</f>
        <v>0</v>
      </c>
      <c r="N236" s="179">
        <f ca="1">IF(ISNUMBER(MATCH(DATEVALUE($A236),'changes1_based on steps'!N$1:N$400,0)),N$2,)</f>
        <v>0</v>
      </c>
      <c r="O236" s="179">
        <f ca="1">IF(ISNUMBER(MATCH(DATEVALUE($A236),'changes1_based on steps'!O$1:O$400,0)),O$2,)</f>
        <v>0</v>
      </c>
      <c r="P236" s="179">
        <f ca="1">IF(ISNUMBER(MATCH(DATEVALUE($A236),'changes1_based on steps'!P$1:P$400,0)),P$2,)</f>
        <v>0</v>
      </c>
      <c r="Q236" s="179">
        <f ca="1">IF(ISNUMBER(MATCH(DATEVALUE($A236),'changes1_based on steps'!Q$1:Q$400,0)),Q$2,)</f>
        <v>0</v>
      </c>
      <c r="R236" s="179">
        <f ca="1">IF(ISNUMBER(MATCH(DATEVALUE($A236),'changes1_based on steps'!R$1:R$400,0)),R$2,)</f>
        <v>0</v>
      </c>
      <c r="S236" s="179">
        <f ca="1">IF(ISNUMBER(MATCH(DATEVALUE($A236),'changes1_based on steps'!S$1:S$400,0)),S$2,)</f>
        <v>0</v>
      </c>
      <c r="T236" s="179">
        <f ca="1">IF(ISNUMBER(MATCH(DATEVALUE($A236),'changes1_based on steps'!T$1:T$400,0)),T$2,)</f>
        <v>0</v>
      </c>
      <c r="U236" s="179">
        <f ca="1">IF(ISNUMBER(MATCH(DATEVALUE($A236),'changes1_based on steps'!U$1:U$400,0)),U$2,)</f>
        <v>0</v>
      </c>
      <c r="V236" s="179"/>
      <c r="W236" s="179"/>
      <c r="X236" s="179"/>
      <c r="Y236" s="179"/>
      <c r="Z236" s="179"/>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c r="AV236" s="179"/>
      <c r="AW236" s="179"/>
      <c r="AX236" s="179"/>
      <c r="AY236" s="179"/>
      <c r="AZ236" s="179"/>
      <c r="BA236" s="179"/>
      <c r="BB236" s="179"/>
      <c r="BC236" s="179"/>
      <c r="BD236" s="179"/>
      <c r="BE236" s="179"/>
      <c r="BF236" s="179"/>
      <c r="BG236" s="179"/>
      <c r="BH236" s="179"/>
      <c r="BI236" s="179"/>
      <c r="BJ236" s="179"/>
      <c r="BK236" s="179"/>
      <c r="BL236" s="179"/>
      <c r="BM236" s="179"/>
      <c r="BN236" s="179"/>
      <c r="BO236" s="179"/>
      <c r="BP236" s="179"/>
      <c r="BQ236" s="179"/>
      <c r="BR236" s="179"/>
      <c r="BS236" s="179"/>
      <c r="BT236" s="179"/>
      <c r="BU236" s="179"/>
      <c r="BV236" s="179"/>
      <c r="BW236" s="179"/>
      <c r="BX236" s="179"/>
      <c r="BY236" s="179"/>
      <c r="BZ236" s="179"/>
      <c r="CA236" s="179"/>
      <c r="CB236" s="179"/>
      <c r="CC236" s="179"/>
      <c r="CD236" s="179"/>
      <c r="CE236" s="179"/>
      <c r="CF236" s="179"/>
      <c r="CG236" s="179"/>
      <c r="CH236" s="179"/>
      <c r="CI236" s="179"/>
      <c r="CJ236" s="179"/>
      <c r="CK236" s="179"/>
      <c r="CL236" s="179"/>
      <c r="CM236" s="179"/>
      <c r="CN236" s="179"/>
      <c r="CO236" s="179"/>
      <c r="CP236" s="179"/>
      <c r="CQ236" s="179"/>
      <c r="CR236" s="179"/>
      <c r="CS236" s="179"/>
      <c r="CT236" s="179"/>
      <c r="CU236" s="179"/>
      <c r="CV236" s="179"/>
      <c r="CW236" s="179"/>
    </row>
    <row r="237" spans="1:101" x14ac:dyDescent="0.2">
      <c r="A237" s="32" t="str">
        <f t="shared" ca="1" si="3"/>
        <v>2025-11-18</v>
      </c>
      <c r="B237" s="179">
        <f ca="1">IF(ISNUMBER(MATCH(DATEVALUE($A237),'changes1_based on steps'!B$1:B$400,0)),B$2,)</f>
        <v>0</v>
      </c>
      <c r="C237" s="179">
        <f ca="1">IF(ISNUMBER(MATCH(DATEVALUE($A237),'changes1_based on steps'!C$1:C$400,0)),C$2,)</f>
        <v>0</v>
      </c>
      <c r="D237" s="179">
        <f ca="1">IF(ISNUMBER(MATCH(DATEVALUE($A237),'changes1_based on steps'!D$1:D$400,0)),D$2,)</f>
        <v>0</v>
      </c>
      <c r="E237" s="179">
        <f ca="1">IF(ISNUMBER(MATCH(DATEVALUE($A237),'changes1_based on steps'!E$1:E$400,0)),E$2,)</f>
        <v>0</v>
      </c>
      <c r="F237" s="179">
        <f ca="1">IF(ISNUMBER(MATCH(DATEVALUE($A237),'changes1_based on steps'!F$1:F$400,0)),F$2,)</f>
        <v>0</v>
      </c>
      <c r="G237" s="179">
        <f ca="1">IF(ISNUMBER(MATCH(DATEVALUE($A237),'changes1_based on steps'!G$1:G$400,0)),G$2,)</f>
        <v>0</v>
      </c>
      <c r="H237" s="179">
        <f ca="1">IF(ISNUMBER(MATCH(DATEVALUE($A237),'changes1_based on steps'!H$1:H$400,0)),H$2,)</f>
        <v>0</v>
      </c>
      <c r="I237" s="179">
        <f ca="1">IF(ISNUMBER(MATCH(DATEVALUE($A237),'changes1_based on steps'!I$1:I$400,0)),I$2,)</f>
        <v>0</v>
      </c>
      <c r="J237" s="179">
        <f ca="1">IF(ISNUMBER(MATCH(DATEVALUE($A237),'changes1_based on steps'!J$1:J$400,0)),J$2,)</f>
        <v>0</v>
      </c>
      <c r="K237" s="179">
        <f ca="1">IF(ISNUMBER(MATCH(DATEVALUE($A237),'changes1_based on steps'!K$1:K$400,0)),K$2,)</f>
        <v>0</v>
      </c>
      <c r="L237" s="179">
        <f ca="1">IF(ISNUMBER(MATCH(DATEVALUE($A237),'changes1_based on steps'!L$1:L$400,0)),L$2,)</f>
        <v>0</v>
      </c>
      <c r="M237" s="179">
        <f ca="1">IF(ISNUMBER(MATCH(DATEVALUE($A237),'changes1_based on steps'!M$1:M$400,0)),M$2,)</f>
        <v>0</v>
      </c>
      <c r="N237" s="179">
        <f ca="1">IF(ISNUMBER(MATCH(DATEVALUE($A237),'changes1_based on steps'!N$1:N$400,0)),N$2,)</f>
        <v>0</v>
      </c>
      <c r="O237" s="179">
        <f ca="1">IF(ISNUMBER(MATCH(DATEVALUE($A237),'changes1_based on steps'!O$1:O$400,0)),O$2,)</f>
        <v>0</v>
      </c>
      <c r="P237" s="179">
        <f ca="1">IF(ISNUMBER(MATCH(DATEVALUE($A237),'changes1_based on steps'!P$1:P$400,0)),P$2,)</f>
        <v>0</v>
      </c>
      <c r="Q237" s="179">
        <f ca="1">IF(ISNUMBER(MATCH(DATEVALUE($A237),'changes1_based on steps'!Q$1:Q$400,0)),Q$2,)</f>
        <v>0</v>
      </c>
      <c r="R237" s="179">
        <f ca="1">IF(ISNUMBER(MATCH(DATEVALUE($A237),'changes1_based on steps'!R$1:R$400,0)),R$2,)</f>
        <v>0</v>
      </c>
      <c r="S237" s="179">
        <f ca="1">IF(ISNUMBER(MATCH(DATEVALUE($A237),'changes1_based on steps'!S$1:S$400,0)),S$2,)</f>
        <v>0</v>
      </c>
      <c r="T237" s="179">
        <f ca="1">IF(ISNUMBER(MATCH(DATEVALUE($A237),'changes1_based on steps'!T$1:T$400,0)),T$2,)</f>
        <v>0</v>
      </c>
      <c r="U237" s="179">
        <f ca="1">IF(ISNUMBER(MATCH(DATEVALUE($A237),'changes1_based on steps'!U$1:U$400,0)),U$2,)</f>
        <v>0</v>
      </c>
      <c r="V237" s="179"/>
      <c r="W237" s="179"/>
      <c r="X237" s="179"/>
      <c r="Y237" s="179"/>
      <c r="Z237" s="179"/>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c r="AV237" s="179"/>
      <c r="AW237" s="179"/>
      <c r="AX237" s="179"/>
      <c r="AY237" s="179"/>
      <c r="AZ237" s="179"/>
      <c r="BA237" s="179"/>
      <c r="BB237" s="179"/>
      <c r="BC237" s="179"/>
      <c r="BD237" s="179"/>
      <c r="BE237" s="179"/>
      <c r="BF237" s="179"/>
      <c r="BG237" s="179"/>
      <c r="BH237" s="179"/>
      <c r="BI237" s="179"/>
      <c r="BJ237" s="179"/>
      <c r="BK237" s="179"/>
      <c r="BL237" s="179"/>
      <c r="BM237" s="179"/>
      <c r="BN237" s="179"/>
      <c r="BO237" s="179"/>
      <c r="BP237" s="179"/>
      <c r="BQ237" s="179"/>
      <c r="BR237" s="179"/>
      <c r="BS237" s="179"/>
      <c r="BT237" s="179"/>
      <c r="BU237" s="179"/>
      <c r="BV237" s="179"/>
      <c r="BW237" s="179"/>
      <c r="BX237" s="179"/>
      <c r="BY237" s="179"/>
      <c r="BZ237" s="179"/>
      <c r="CA237" s="179"/>
      <c r="CB237" s="179"/>
      <c r="CC237" s="179"/>
      <c r="CD237" s="179"/>
      <c r="CE237" s="179"/>
      <c r="CF237" s="179"/>
      <c r="CG237" s="179"/>
      <c r="CH237" s="179"/>
      <c r="CI237" s="179"/>
      <c r="CJ237" s="179"/>
      <c r="CK237" s="179"/>
      <c r="CL237" s="179"/>
      <c r="CM237" s="179"/>
      <c r="CN237" s="179"/>
      <c r="CO237" s="179"/>
      <c r="CP237" s="179"/>
      <c r="CQ237" s="179"/>
      <c r="CR237" s="179"/>
      <c r="CS237" s="179"/>
      <c r="CT237" s="179"/>
      <c r="CU237" s="179"/>
      <c r="CV237" s="179"/>
      <c r="CW237" s="179"/>
    </row>
    <row r="238" spans="1:101" x14ac:dyDescent="0.2">
      <c r="A238" s="32" t="str">
        <f t="shared" ca="1" si="3"/>
        <v>2025-11-19</v>
      </c>
      <c r="B238" s="179">
        <f ca="1">IF(ISNUMBER(MATCH(DATEVALUE($A238),'changes1_based on steps'!B$1:B$400,0)),B$2,)</f>
        <v>0</v>
      </c>
      <c r="C238" s="179">
        <f ca="1">IF(ISNUMBER(MATCH(DATEVALUE($A238),'changes1_based on steps'!C$1:C$400,0)),C$2,)</f>
        <v>0</v>
      </c>
      <c r="D238" s="179">
        <f ca="1">IF(ISNUMBER(MATCH(DATEVALUE($A238),'changes1_based on steps'!D$1:D$400,0)),D$2,)</f>
        <v>0</v>
      </c>
      <c r="E238" s="179">
        <f ca="1">IF(ISNUMBER(MATCH(DATEVALUE($A238),'changes1_based on steps'!E$1:E$400,0)),E$2,)</f>
        <v>0</v>
      </c>
      <c r="F238" s="179">
        <f ca="1">IF(ISNUMBER(MATCH(DATEVALUE($A238),'changes1_based on steps'!F$1:F$400,0)),F$2,)</f>
        <v>0</v>
      </c>
      <c r="G238" s="179">
        <f ca="1">IF(ISNUMBER(MATCH(DATEVALUE($A238),'changes1_based on steps'!G$1:G$400,0)),G$2,)</f>
        <v>0</v>
      </c>
      <c r="H238" s="179">
        <f ca="1">IF(ISNUMBER(MATCH(DATEVALUE($A238),'changes1_based on steps'!H$1:H$400,0)),H$2,)</f>
        <v>0</v>
      </c>
      <c r="I238" s="179">
        <f ca="1">IF(ISNUMBER(MATCH(DATEVALUE($A238),'changes1_based on steps'!I$1:I$400,0)),I$2,)</f>
        <v>0</v>
      </c>
      <c r="J238" s="179">
        <f ca="1">IF(ISNUMBER(MATCH(DATEVALUE($A238),'changes1_based on steps'!J$1:J$400,0)),J$2,)</f>
        <v>0</v>
      </c>
      <c r="K238" s="179">
        <f ca="1">IF(ISNUMBER(MATCH(DATEVALUE($A238),'changes1_based on steps'!K$1:K$400,0)),K$2,)</f>
        <v>0</v>
      </c>
      <c r="L238" s="179">
        <f ca="1">IF(ISNUMBER(MATCH(DATEVALUE($A238),'changes1_based on steps'!L$1:L$400,0)),L$2,)</f>
        <v>0</v>
      </c>
      <c r="M238" s="179">
        <f ca="1">IF(ISNUMBER(MATCH(DATEVALUE($A238),'changes1_based on steps'!M$1:M$400,0)),M$2,)</f>
        <v>0</v>
      </c>
      <c r="N238" s="179">
        <f ca="1">IF(ISNUMBER(MATCH(DATEVALUE($A238),'changes1_based on steps'!N$1:N$400,0)),N$2,)</f>
        <v>0</v>
      </c>
      <c r="O238" s="179">
        <f ca="1">IF(ISNUMBER(MATCH(DATEVALUE($A238),'changes1_based on steps'!O$1:O$400,0)),O$2,)</f>
        <v>0</v>
      </c>
      <c r="P238" s="179">
        <f ca="1">IF(ISNUMBER(MATCH(DATEVALUE($A238),'changes1_based on steps'!P$1:P$400,0)),P$2,)</f>
        <v>0</v>
      </c>
      <c r="Q238" s="179">
        <f ca="1">IF(ISNUMBER(MATCH(DATEVALUE($A238),'changes1_based on steps'!Q$1:Q$400,0)),Q$2,)</f>
        <v>0</v>
      </c>
      <c r="R238" s="179">
        <f ca="1">IF(ISNUMBER(MATCH(DATEVALUE($A238),'changes1_based on steps'!R$1:R$400,0)),R$2,)</f>
        <v>0</v>
      </c>
      <c r="S238" s="179">
        <f ca="1">IF(ISNUMBER(MATCH(DATEVALUE($A238),'changes1_based on steps'!S$1:S$400,0)),S$2,)</f>
        <v>0</v>
      </c>
      <c r="T238" s="179">
        <f ca="1">IF(ISNUMBER(MATCH(DATEVALUE($A238),'changes1_based on steps'!T$1:T$400,0)),T$2,)</f>
        <v>0</v>
      </c>
      <c r="U238" s="179">
        <f ca="1">IF(ISNUMBER(MATCH(DATEVALUE($A238),'changes1_based on steps'!U$1:U$400,0)),U$2,)</f>
        <v>0</v>
      </c>
      <c r="V238" s="179"/>
      <c r="W238" s="179"/>
      <c r="X238" s="179"/>
      <c r="Y238" s="179"/>
      <c r="Z238" s="179"/>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c r="AV238" s="179"/>
      <c r="AW238" s="179"/>
      <c r="AX238" s="179"/>
      <c r="AY238" s="179"/>
      <c r="AZ238" s="179"/>
      <c r="BA238" s="179"/>
      <c r="BB238" s="179"/>
      <c r="BC238" s="179"/>
      <c r="BD238" s="179"/>
      <c r="BE238" s="179"/>
      <c r="BF238" s="179"/>
      <c r="BG238" s="179"/>
      <c r="BH238" s="179"/>
      <c r="BI238" s="179"/>
      <c r="BJ238" s="179"/>
      <c r="BK238" s="179"/>
      <c r="BL238" s="179"/>
      <c r="BM238" s="179"/>
      <c r="BN238" s="179"/>
      <c r="BO238" s="179"/>
      <c r="BP238" s="179"/>
      <c r="BQ238" s="179"/>
      <c r="BR238" s="179"/>
      <c r="BS238" s="179"/>
      <c r="BT238" s="179"/>
      <c r="BU238" s="179"/>
      <c r="BV238" s="179"/>
      <c r="BW238" s="179"/>
      <c r="BX238" s="179"/>
      <c r="BY238" s="179"/>
      <c r="BZ238" s="179"/>
      <c r="CA238" s="179"/>
      <c r="CB238" s="179"/>
      <c r="CC238" s="179"/>
      <c r="CD238" s="179"/>
      <c r="CE238" s="179"/>
      <c r="CF238" s="179"/>
      <c r="CG238" s="179"/>
      <c r="CH238" s="179"/>
      <c r="CI238" s="179"/>
      <c r="CJ238" s="179"/>
      <c r="CK238" s="179"/>
      <c r="CL238" s="179"/>
      <c r="CM238" s="179"/>
      <c r="CN238" s="179"/>
      <c r="CO238" s="179"/>
      <c r="CP238" s="179"/>
      <c r="CQ238" s="179"/>
      <c r="CR238" s="179"/>
      <c r="CS238" s="179"/>
      <c r="CT238" s="179"/>
      <c r="CU238" s="179"/>
      <c r="CV238" s="179"/>
      <c r="CW238" s="179"/>
    </row>
    <row r="239" spans="1:101" x14ac:dyDescent="0.2">
      <c r="A239" s="32" t="str">
        <f t="shared" ca="1" si="3"/>
        <v>2025-11-20</v>
      </c>
      <c r="B239" s="179">
        <f ca="1">IF(ISNUMBER(MATCH(DATEVALUE($A239),'changes1_based on steps'!B$1:B$400,0)),B$2,)</f>
        <v>0</v>
      </c>
      <c r="C239" s="179">
        <f ca="1">IF(ISNUMBER(MATCH(DATEVALUE($A239),'changes1_based on steps'!C$1:C$400,0)),C$2,)</f>
        <v>0</v>
      </c>
      <c r="D239" s="179">
        <f ca="1">IF(ISNUMBER(MATCH(DATEVALUE($A239),'changes1_based on steps'!D$1:D$400,0)),D$2,)</f>
        <v>0</v>
      </c>
      <c r="E239" s="179">
        <f ca="1">IF(ISNUMBER(MATCH(DATEVALUE($A239),'changes1_based on steps'!E$1:E$400,0)),E$2,)</f>
        <v>0</v>
      </c>
      <c r="F239" s="179">
        <f ca="1">IF(ISNUMBER(MATCH(DATEVALUE($A239),'changes1_based on steps'!F$1:F$400,0)),F$2,)</f>
        <v>0</v>
      </c>
      <c r="G239" s="179">
        <f ca="1">IF(ISNUMBER(MATCH(DATEVALUE($A239),'changes1_based on steps'!G$1:G$400,0)),G$2,)</f>
        <v>0</v>
      </c>
      <c r="H239" s="179">
        <f ca="1">IF(ISNUMBER(MATCH(DATEVALUE($A239),'changes1_based on steps'!H$1:H$400,0)),H$2,)</f>
        <v>0</v>
      </c>
      <c r="I239" s="179">
        <f ca="1">IF(ISNUMBER(MATCH(DATEVALUE($A239),'changes1_based on steps'!I$1:I$400,0)),I$2,)</f>
        <v>0</v>
      </c>
      <c r="J239" s="179">
        <f ca="1">IF(ISNUMBER(MATCH(DATEVALUE($A239),'changes1_based on steps'!J$1:J$400,0)),J$2,)</f>
        <v>0</v>
      </c>
      <c r="K239" s="179">
        <f ca="1">IF(ISNUMBER(MATCH(DATEVALUE($A239),'changes1_based on steps'!K$1:K$400,0)),K$2,)</f>
        <v>0</v>
      </c>
      <c r="L239" s="179">
        <f ca="1">IF(ISNUMBER(MATCH(DATEVALUE($A239),'changes1_based on steps'!L$1:L$400,0)),L$2,)</f>
        <v>0</v>
      </c>
      <c r="M239" s="179">
        <f ca="1">IF(ISNUMBER(MATCH(DATEVALUE($A239),'changes1_based on steps'!M$1:M$400,0)),M$2,)</f>
        <v>0</v>
      </c>
      <c r="N239" s="179">
        <f ca="1">IF(ISNUMBER(MATCH(DATEVALUE($A239),'changes1_based on steps'!N$1:N$400,0)),N$2,)</f>
        <v>0</v>
      </c>
      <c r="O239" s="179">
        <f ca="1">IF(ISNUMBER(MATCH(DATEVALUE($A239),'changes1_based on steps'!O$1:O$400,0)),O$2,)</f>
        <v>0</v>
      </c>
      <c r="P239" s="179">
        <f ca="1">IF(ISNUMBER(MATCH(DATEVALUE($A239),'changes1_based on steps'!P$1:P$400,0)),P$2,)</f>
        <v>0</v>
      </c>
      <c r="Q239" s="179">
        <f ca="1">IF(ISNUMBER(MATCH(DATEVALUE($A239),'changes1_based on steps'!Q$1:Q$400,0)),Q$2,)</f>
        <v>0</v>
      </c>
      <c r="R239" s="179">
        <f ca="1">IF(ISNUMBER(MATCH(DATEVALUE($A239),'changes1_based on steps'!R$1:R$400,0)),R$2,)</f>
        <v>0</v>
      </c>
      <c r="S239" s="179">
        <f ca="1">IF(ISNUMBER(MATCH(DATEVALUE($A239),'changes1_based on steps'!S$1:S$400,0)),S$2,)</f>
        <v>0</v>
      </c>
      <c r="T239" s="179">
        <f ca="1">IF(ISNUMBER(MATCH(DATEVALUE($A239),'changes1_based on steps'!T$1:T$400,0)),T$2,)</f>
        <v>0</v>
      </c>
      <c r="U239" s="179">
        <f ca="1">IF(ISNUMBER(MATCH(DATEVALUE($A239),'changes1_based on steps'!U$1:U$400,0)),U$2,)</f>
        <v>0</v>
      </c>
      <c r="V239" s="179"/>
      <c r="W239" s="179"/>
      <c r="X239" s="179"/>
      <c r="Y239" s="179"/>
      <c r="Z239" s="179"/>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c r="AV239" s="179"/>
      <c r="AW239" s="179"/>
      <c r="AX239" s="179"/>
      <c r="AY239" s="179"/>
      <c r="AZ239" s="179"/>
      <c r="BA239" s="179"/>
      <c r="BB239" s="179"/>
      <c r="BC239" s="179"/>
      <c r="BD239" s="179"/>
      <c r="BE239" s="179"/>
      <c r="BF239" s="179"/>
      <c r="BG239" s="179"/>
      <c r="BH239" s="179"/>
      <c r="BI239" s="179"/>
      <c r="BJ239" s="179"/>
      <c r="BK239" s="179"/>
      <c r="BL239" s="179"/>
      <c r="BM239" s="179"/>
      <c r="BN239" s="179"/>
      <c r="BO239" s="179"/>
      <c r="BP239" s="179"/>
      <c r="BQ239" s="179"/>
      <c r="BR239" s="179"/>
      <c r="BS239" s="179"/>
      <c r="BT239" s="179"/>
      <c r="BU239" s="179"/>
      <c r="BV239" s="179"/>
      <c r="BW239" s="179"/>
      <c r="BX239" s="179"/>
      <c r="BY239" s="179"/>
      <c r="BZ239" s="179"/>
      <c r="CA239" s="179"/>
      <c r="CB239" s="179"/>
      <c r="CC239" s="179"/>
      <c r="CD239" s="179"/>
      <c r="CE239" s="179"/>
      <c r="CF239" s="179"/>
      <c r="CG239" s="179"/>
      <c r="CH239" s="179"/>
      <c r="CI239" s="179"/>
      <c r="CJ239" s="179"/>
      <c r="CK239" s="179"/>
      <c r="CL239" s="179"/>
      <c r="CM239" s="179"/>
      <c r="CN239" s="179"/>
      <c r="CO239" s="179"/>
      <c r="CP239" s="179"/>
      <c r="CQ239" s="179"/>
      <c r="CR239" s="179"/>
      <c r="CS239" s="179"/>
      <c r="CT239" s="179"/>
      <c r="CU239" s="179"/>
      <c r="CV239" s="179"/>
      <c r="CW239" s="179"/>
    </row>
    <row r="240" spans="1:101" x14ac:dyDescent="0.2">
      <c r="A240" s="32" t="str">
        <f t="shared" ca="1" si="3"/>
        <v>2025-11-21</v>
      </c>
      <c r="B240" s="179">
        <f ca="1">IF(ISNUMBER(MATCH(DATEVALUE($A240),'changes1_based on steps'!B$1:B$400,0)),B$2,)</f>
        <v>0</v>
      </c>
      <c r="C240" s="179">
        <f ca="1">IF(ISNUMBER(MATCH(DATEVALUE($A240),'changes1_based on steps'!C$1:C$400,0)),C$2,)</f>
        <v>0</v>
      </c>
      <c r="D240" s="179">
        <f ca="1">IF(ISNUMBER(MATCH(DATEVALUE($A240),'changes1_based on steps'!D$1:D$400,0)),D$2,)</f>
        <v>0</v>
      </c>
      <c r="E240" s="179">
        <f ca="1">IF(ISNUMBER(MATCH(DATEVALUE($A240),'changes1_based on steps'!E$1:E$400,0)),E$2,)</f>
        <v>0</v>
      </c>
      <c r="F240" s="179">
        <f ca="1">IF(ISNUMBER(MATCH(DATEVALUE($A240),'changes1_based on steps'!F$1:F$400,0)),F$2,)</f>
        <v>0</v>
      </c>
      <c r="G240" s="179">
        <f ca="1">IF(ISNUMBER(MATCH(DATEVALUE($A240),'changes1_based on steps'!G$1:G$400,0)),G$2,)</f>
        <v>0</v>
      </c>
      <c r="H240" s="179">
        <f ca="1">IF(ISNUMBER(MATCH(DATEVALUE($A240),'changes1_based on steps'!H$1:H$400,0)),H$2,)</f>
        <v>0</v>
      </c>
      <c r="I240" s="179">
        <f ca="1">IF(ISNUMBER(MATCH(DATEVALUE($A240),'changes1_based on steps'!I$1:I$400,0)),I$2,)</f>
        <v>0</v>
      </c>
      <c r="J240" s="179">
        <f ca="1">IF(ISNUMBER(MATCH(DATEVALUE($A240),'changes1_based on steps'!J$1:J$400,0)),J$2,)</f>
        <v>0</v>
      </c>
      <c r="K240" s="179">
        <f ca="1">IF(ISNUMBER(MATCH(DATEVALUE($A240),'changes1_based on steps'!K$1:K$400,0)),K$2,)</f>
        <v>0</v>
      </c>
      <c r="L240" s="179">
        <f ca="1">IF(ISNUMBER(MATCH(DATEVALUE($A240),'changes1_based on steps'!L$1:L$400,0)),L$2,)</f>
        <v>0</v>
      </c>
      <c r="M240" s="179">
        <f ca="1">IF(ISNUMBER(MATCH(DATEVALUE($A240),'changes1_based on steps'!M$1:M$400,0)),M$2,)</f>
        <v>0</v>
      </c>
      <c r="N240" s="179">
        <f ca="1">IF(ISNUMBER(MATCH(DATEVALUE($A240),'changes1_based on steps'!N$1:N$400,0)),N$2,)</f>
        <v>0</v>
      </c>
      <c r="O240" s="179">
        <f ca="1">IF(ISNUMBER(MATCH(DATEVALUE($A240),'changes1_based on steps'!O$1:O$400,0)),O$2,)</f>
        <v>0</v>
      </c>
      <c r="P240" s="179">
        <f ca="1">IF(ISNUMBER(MATCH(DATEVALUE($A240),'changes1_based on steps'!P$1:P$400,0)),P$2,)</f>
        <v>0</v>
      </c>
      <c r="Q240" s="179">
        <f ca="1">IF(ISNUMBER(MATCH(DATEVALUE($A240),'changes1_based on steps'!Q$1:Q$400,0)),Q$2,)</f>
        <v>0</v>
      </c>
      <c r="R240" s="179">
        <f ca="1">IF(ISNUMBER(MATCH(DATEVALUE($A240),'changes1_based on steps'!R$1:R$400,0)),R$2,)</f>
        <v>0</v>
      </c>
      <c r="S240" s="179">
        <f ca="1">IF(ISNUMBER(MATCH(DATEVALUE($A240),'changes1_based on steps'!S$1:S$400,0)),S$2,)</f>
        <v>0</v>
      </c>
      <c r="T240" s="179">
        <f ca="1">IF(ISNUMBER(MATCH(DATEVALUE($A240),'changes1_based on steps'!T$1:T$400,0)),T$2,)</f>
        <v>0</v>
      </c>
      <c r="U240" s="179">
        <f ca="1">IF(ISNUMBER(MATCH(DATEVALUE($A240),'changes1_based on steps'!U$1:U$400,0)),U$2,)</f>
        <v>0</v>
      </c>
      <c r="V240" s="179"/>
      <c r="W240" s="179"/>
      <c r="X240" s="179"/>
      <c r="Y240" s="179"/>
      <c r="Z240" s="179"/>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c r="AV240" s="179"/>
      <c r="AW240" s="179"/>
      <c r="AX240" s="179"/>
      <c r="AY240" s="179"/>
      <c r="AZ240" s="179"/>
      <c r="BA240" s="179"/>
      <c r="BB240" s="179"/>
      <c r="BC240" s="179"/>
      <c r="BD240" s="179"/>
      <c r="BE240" s="179"/>
      <c r="BF240" s="179"/>
      <c r="BG240" s="179"/>
      <c r="BH240" s="179"/>
      <c r="BI240" s="179"/>
      <c r="BJ240" s="179"/>
      <c r="BK240" s="179"/>
      <c r="BL240" s="179"/>
      <c r="BM240" s="179"/>
      <c r="BN240" s="179"/>
      <c r="BO240" s="179"/>
      <c r="BP240" s="179"/>
      <c r="BQ240" s="179"/>
      <c r="BR240" s="179"/>
      <c r="BS240" s="179"/>
      <c r="BT240" s="179"/>
      <c r="BU240" s="179"/>
      <c r="BV240" s="179"/>
      <c r="BW240" s="179"/>
      <c r="BX240" s="179"/>
      <c r="BY240" s="179"/>
      <c r="BZ240" s="179"/>
      <c r="CA240" s="179"/>
      <c r="CB240" s="179"/>
      <c r="CC240" s="179"/>
      <c r="CD240" s="179"/>
      <c r="CE240" s="179"/>
      <c r="CF240" s="179"/>
      <c r="CG240" s="179"/>
      <c r="CH240" s="179"/>
      <c r="CI240" s="179"/>
      <c r="CJ240" s="179"/>
      <c r="CK240" s="179"/>
      <c r="CL240" s="179"/>
      <c r="CM240" s="179"/>
      <c r="CN240" s="179"/>
      <c r="CO240" s="179"/>
      <c r="CP240" s="179"/>
      <c r="CQ240" s="179"/>
      <c r="CR240" s="179"/>
      <c r="CS240" s="179"/>
      <c r="CT240" s="179"/>
      <c r="CU240" s="179"/>
      <c r="CV240" s="179"/>
      <c r="CW240" s="179"/>
    </row>
    <row r="241" spans="1:101" x14ac:dyDescent="0.2">
      <c r="A241" s="32" t="str">
        <f t="shared" ca="1" si="3"/>
        <v>2025-11-22</v>
      </c>
      <c r="B241" s="179">
        <f ca="1">IF(ISNUMBER(MATCH(DATEVALUE($A241),'changes1_based on steps'!B$1:B$400,0)),B$2,)</f>
        <v>0</v>
      </c>
      <c r="C241" s="179">
        <f ca="1">IF(ISNUMBER(MATCH(DATEVALUE($A241),'changes1_based on steps'!C$1:C$400,0)),C$2,)</f>
        <v>0</v>
      </c>
      <c r="D241" s="179">
        <f ca="1">IF(ISNUMBER(MATCH(DATEVALUE($A241),'changes1_based on steps'!D$1:D$400,0)),D$2,)</f>
        <v>0</v>
      </c>
      <c r="E241" s="179">
        <f ca="1">IF(ISNUMBER(MATCH(DATEVALUE($A241),'changes1_based on steps'!E$1:E$400,0)),E$2,)</f>
        <v>0</v>
      </c>
      <c r="F241" s="179">
        <f ca="1">IF(ISNUMBER(MATCH(DATEVALUE($A241),'changes1_based on steps'!F$1:F$400,0)),F$2,)</f>
        <v>0</v>
      </c>
      <c r="G241" s="179">
        <f ca="1">IF(ISNUMBER(MATCH(DATEVALUE($A241),'changes1_based on steps'!G$1:G$400,0)),G$2,)</f>
        <v>0</v>
      </c>
      <c r="H241" s="179">
        <f ca="1">IF(ISNUMBER(MATCH(DATEVALUE($A241),'changes1_based on steps'!H$1:H$400,0)),H$2,)</f>
        <v>0</v>
      </c>
      <c r="I241" s="179">
        <f ca="1">IF(ISNUMBER(MATCH(DATEVALUE($A241),'changes1_based on steps'!I$1:I$400,0)),I$2,)</f>
        <v>0</v>
      </c>
      <c r="J241" s="179">
        <f ca="1">IF(ISNUMBER(MATCH(DATEVALUE($A241),'changes1_based on steps'!J$1:J$400,0)),J$2,)</f>
        <v>0</v>
      </c>
      <c r="K241" s="179">
        <f ca="1">IF(ISNUMBER(MATCH(DATEVALUE($A241),'changes1_based on steps'!K$1:K$400,0)),K$2,)</f>
        <v>0</v>
      </c>
      <c r="L241" s="179">
        <f ca="1">IF(ISNUMBER(MATCH(DATEVALUE($A241),'changes1_based on steps'!L$1:L$400,0)),L$2,)</f>
        <v>0</v>
      </c>
      <c r="M241" s="179">
        <f ca="1">IF(ISNUMBER(MATCH(DATEVALUE($A241),'changes1_based on steps'!M$1:M$400,0)),M$2,)</f>
        <v>0</v>
      </c>
      <c r="N241" s="179">
        <f ca="1">IF(ISNUMBER(MATCH(DATEVALUE($A241),'changes1_based on steps'!N$1:N$400,0)),N$2,)</f>
        <v>0</v>
      </c>
      <c r="O241" s="179">
        <f ca="1">IF(ISNUMBER(MATCH(DATEVALUE($A241),'changes1_based on steps'!O$1:O$400,0)),O$2,)</f>
        <v>0</v>
      </c>
      <c r="P241" s="179">
        <f ca="1">IF(ISNUMBER(MATCH(DATEVALUE($A241),'changes1_based on steps'!P$1:P$400,0)),P$2,)</f>
        <v>0</v>
      </c>
      <c r="Q241" s="179">
        <f ca="1">IF(ISNUMBER(MATCH(DATEVALUE($A241),'changes1_based on steps'!Q$1:Q$400,0)),Q$2,)</f>
        <v>0</v>
      </c>
      <c r="R241" s="179">
        <f ca="1">IF(ISNUMBER(MATCH(DATEVALUE($A241),'changes1_based on steps'!R$1:R$400,0)),R$2,)</f>
        <v>0</v>
      </c>
      <c r="S241" s="179">
        <f ca="1">IF(ISNUMBER(MATCH(DATEVALUE($A241),'changes1_based on steps'!S$1:S$400,0)),S$2,)</f>
        <v>0</v>
      </c>
      <c r="T241" s="179">
        <f ca="1">IF(ISNUMBER(MATCH(DATEVALUE($A241),'changes1_based on steps'!T$1:T$400,0)),T$2,)</f>
        <v>0</v>
      </c>
      <c r="U241" s="179">
        <f ca="1">IF(ISNUMBER(MATCH(DATEVALUE($A241),'changes1_based on steps'!U$1:U$400,0)),U$2,)</f>
        <v>0</v>
      </c>
      <c r="V241" s="179"/>
      <c r="W241" s="179"/>
      <c r="X241" s="179"/>
      <c r="Y241" s="179"/>
      <c r="Z241" s="179"/>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c r="AV241" s="179"/>
      <c r="AW241" s="179"/>
      <c r="AX241" s="179"/>
      <c r="AY241" s="179"/>
      <c r="AZ241" s="179"/>
      <c r="BA241" s="179"/>
      <c r="BB241" s="179"/>
      <c r="BC241" s="179"/>
      <c r="BD241" s="179"/>
      <c r="BE241" s="179"/>
      <c r="BF241" s="179"/>
      <c r="BG241" s="179"/>
      <c r="BH241" s="179"/>
      <c r="BI241" s="179"/>
      <c r="BJ241" s="179"/>
      <c r="BK241" s="179"/>
      <c r="BL241" s="179"/>
      <c r="BM241" s="179"/>
      <c r="BN241" s="179"/>
      <c r="BO241" s="179"/>
      <c r="BP241" s="179"/>
      <c r="BQ241" s="179"/>
      <c r="BR241" s="179"/>
      <c r="BS241" s="179"/>
      <c r="BT241" s="179"/>
      <c r="BU241" s="179"/>
      <c r="BV241" s="179"/>
      <c r="BW241" s="179"/>
      <c r="BX241" s="179"/>
      <c r="BY241" s="179"/>
      <c r="BZ241" s="179"/>
      <c r="CA241" s="179"/>
      <c r="CB241" s="179"/>
      <c r="CC241" s="179"/>
      <c r="CD241" s="179"/>
      <c r="CE241" s="179"/>
      <c r="CF241" s="179"/>
      <c r="CG241" s="179"/>
      <c r="CH241" s="179"/>
      <c r="CI241" s="179"/>
      <c r="CJ241" s="179"/>
      <c r="CK241" s="179"/>
      <c r="CL241" s="179"/>
      <c r="CM241" s="179"/>
      <c r="CN241" s="179"/>
      <c r="CO241" s="179"/>
      <c r="CP241" s="179"/>
      <c r="CQ241" s="179"/>
      <c r="CR241" s="179"/>
      <c r="CS241" s="179"/>
      <c r="CT241" s="179"/>
      <c r="CU241" s="179"/>
      <c r="CV241" s="179"/>
      <c r="CW241" s="179"/>
    </row>
    <row r="242" spans="1:101" x14ac:dyDescent="0.2">
      <c r="A242" s="32" t="str">
        <f t="shared" ca="1" si="3"/>
        <v>2025-11-23</v>
      </c>
      <c r="B242" s="179">
        <f ca="1">IF(ISNUMBER(MATCH(DATEVALUE($A242),'changes1_based on steps'!B$1:B$400,0)),B$2,)</f>
        <v>0</v>
      </c>
      <c r="C242" s="179">
        <f ca="1">IF(ISNUMBER(MATCH(DATEVALUE($A242),'changes1_based on steps'!C$1:C$400,0)),C$2,)</f>
        <v>0</v>
      </c>
      <c r="D242" s="179">
        <f ca="1">IF(ISNUMBER(MATCH(DATEVALUE($A242),'changes1_based on steps'!D$1:D$400,0)),D$2,)</f>
        <v>0</v>
      </c>
      <c r="E242" s="179">
        <f ca="1">IF(ISNUMBER(MATCH(DATEVALUE($A242),'changes1_based on steps'!E$1:E$400,0)),E$2,)</f>
        <v>0</v>
      </c>
      <c r="F242" s="179">
        <f ca="1">IF(ISNUMBER(MATCH(DATEVALUE($A242),'changes1_based on steps'!F$1:F$400,0)),F$2,)</f>
        <v>0</v>
      </c>
      <c r="G242" s="179">
        <f ca="1">IF(ISNUMBER(MATCH(DATEVALUE($A242),'changes1_based on steps'!G$1:G$400,0)),G$2,)</f>
        <v>0</v>
      </c>
      <c r="H242" s="179">
        <f ca="1">IF(ISNUMBER(MATCH(DATEVALUE($A242),'changes1_based on steps'!H$1:H$400,0)),H$2,)</f>
        <v>0</v>
      </c>
      <c r="I242" s="179">
        <f ca="1">IF(ISNUMBER(MATCH(DATEVALUE($A242),'changes1_based on steps'!I$1:I$400,0)),I$2,)</f>
        <v>0</v>
      </c>
      <c r="J242" s="179">
        <f ca="1">IF(ISNUMBER(MATCH(DATEVALUE($A242),'changes1_based on steps'!J$1:J$400,0)),J$2,)</f>
        <v>0</v>
      </c>
      <c r="K242" s="179">
        <f ca="1">IF(ISNUMBER(MATCH(DATEVALUE($A242),'changes1_based on steps'!K$1:K$400,0)),K$2,)</f>
        <v>0</v>
      </c>
      <c r="L242" s="179">
        <f ca="1">IF(ISNUMBER(MATCH(DATEVALUE($A242),'changes1_based on steps'!L$1:L$400,0)),L$2,)</f>
        <v>0</v>
      </c>
      <c r="M242" s="179">
        <f ca="1">IF(ISNUMBER(MATCH(DATEVALUE($A242),'changes1_based on steps'!M$1:M$400,0)),M$2,)</f>
        <v>0</v>
      </c>
      <c r="N242" s="179">
        <f ca="1">IF(ISNUMBER(MATCH(DATEVALUE($A242),'changes1_based on steps'!N$1:N$400,0)),N$2,)</f>
        <v>0</v>
      </c>
      <c r="O242" s="179">
        <f ca="1">IF(ISNUMBER(MATCH(DATEVALUE($A242),'changes1_based on steps'!O$1:O$400,0)),O$2,)</f>
        <v>0</v>
      </c>
      <c r="P242" s="179">
        <f ca="1">IF(ISNUMBER(MATCH(DATEVALUE($A242),'changes1_based on steps'!P$1:P$400,0)),P$2,)</f>
        <v>0</v>
      </c>
      <c r="Q242" s="179">
        <f ca="1">IF(ISNUMBER(MATCH(DATEVALUE($A242),'changes1_based on steps'!Q$1:Q$400,0)),Q$2,)</f>
        <v>0</v>
      </c>
      <c r="R242" s="179">
        <f ca="1">IF(ISNUMBER(MATCH(DATEVALUE($A242),'changes1_based on steps'!R$1:R$400,0)),R$2,)</f>
        <v>0</v>
      </c>
      <c r="S242" s="179">
        <f ca="1">IF(ISNUMBER(MATCH(DATEVALUE($A242),'changes1_based on steps'!S$1:S$400,0)),S$2,)</f>
        <v>0</v>
      </c>
      <c r="T242" s="179">
        <f ca="1">IF(ISNUMBER(MATCH(DATEVALUE($A242),'changes1_based on steps'!T$1:T$400,0)),T$2,)</f>
        <v>0</v>
      </c>
      <c r="U242" s="179">
        <f ca="1">IF(ISNUMBER(MATCH(DATEVALUE($A242),'changes1_based on steps'!U$1:U$400,0)),U$2,)</f>
        <v>0</v>
      </c>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c r="AV242" s="179"/>
      <c r="AW242" s="179"/>
      <c r="AX242" s="179"/>
      <c r="AY242" s="179"/>
      <c r="AZ242" s="179"/>
      <c r="BA242" s="179"/>
      <c r="BB242" s="179"/>
      <c r="BC242" s="179"/>
      <c r="BD242" s="179"/>
      <c r="BE242" s="179"/>
      <c r="BF242" s="179"/>
      <c r="BG242" s="179"/>
      <c r="BH242" s="179"/>
      <c r="BI242" s="179"/>
      <c r="BJ242" s="179"/>
      <c r="BK242" s="179"/>
      <c r="BL242" s="179"/>
      <c r="BM242" s="179"/>
      <c r="BN242" s="179"/>
      <c r="BO242" s="179"/>
      <c r="BP242" s="179"/>
      <c r="BQ242" s="179"/>
      <c r="BR242" s="179"/>
      <c r="BS242" s="179"/>
      <c r="BT242" s="179"/>
      <c r="BU242" s="179"/>
      <c r="BV242" s="179"/>
      <c r="BW242" s="179"/>
      <c r="BX242" s="179"/>
      <c r="BY242" s="179"/>
      <c r="BZ242" s="179"/>
      <c r="CA242" s="179"/>
      <c r="CB242" s="179"/>
      <c r="CC242" s="179"/>
      <c r="CD242" s="179"/>
      <c r="CE242" s="179"/>
      <c r="CF242" s="179"/>
      <c r="CG242" s="179"/>
      <c r="CH242" s="179"/>
      <c r="CI242" s="179"/>
      <c r="CJ242" s="179"/>
      <c r="CK242" s="179"/>
      <c r="CL242" s="179"/>
      <c r="CM242" s="179"/>
      <c r="CN242" s="179"/>
      <c r="CO242" s="179"/>
      <c r="CP242" s="179"/>
      <c r="CQ242" s="179"/>
      <c r="CR242" s="179"/>
      <c r="CS242" s="179"/>
      <c r="CT242" s="179"/>
      <c r="CU242" s="179"/>
      <c r="CV242" s="179"/>
      <c r="CW242" s="179"/>
    </row>
    <row r="243" spans="1:101" x14ac:dyDescent="0.2">
      <c r="A243" s="32" t="str">
        <f t="shared" ca="1" si="3"/>
        <v>2025-11-24</v>
      </c>
      <c r="B243" s="179">
        <f ca="1">IF(ISNUMBER(MATCH(DATEVALUE($A243),'changes1_based on steps'!B$1:B$400,0)),B$2,)</f>
        <v>0</v>
      </c>
      <c r="C243" s="179">
        <f ca="1">IF(ISNUMBER(MATCH(DATEVALUE($A243),'changes1_based on steps'!C$1:C$400,0)),C$2,)</f>
        <v>0</v>
      </c>
      <c r="D243" s="179">
        <f ca="1">IF(ISNUMBER(MATCH(DATEVALUE($A243),'changes1_based on steps'!D$1:D$400,0)),D$2,)</f>
        <v>0</v>
      </c>
      <c r="E243" s="179">
        <f ca="1">IF(ISNUMBER(MATCH(DATEVALUE($A243),'changes1_based on steps'!E$1:E$400,0)),E$2,)</f>
        <v>0</v>
      </c>
      <c r="F243" s="179">
        <f ca="1">IF(ISNUMBER(MATCH(DATEVALUE($A243),'changes1_based on steps'!F$1:F$400,0)),F$2,)</f>
        <v>0</v>
      </c>
      <c r="G243" s="179">
        <f ca="1">IF(ISNUMBER(MATCH(DATEVALUE($A243),'changes1_based on steps'!G$1:G$400,0)),G$2,)</f>
        <v>0</v>
      </c>
      <c r="H243" s="179">
        <f ca="1">IF(ISNUMBER(MATCH(DATEVALUE($A243),'changes1_based on steps'!H$1:H$400,0)),H$2,)</f>
        <v>0</v>
      </c>
      <c r="I243" s="179">
        <f ca="1">IF(ISNUMBER(MATCH(DATEVALUE($A243),'changes1_based on steps'!I$1:I$400,0)),I$2,)</f>
        <v>0</v>
      </c>
      <c r="J243" s="179">
        <f ca="1">IF(ISNUMBER(MATCH(DATEVALUE($A243),'changes1_based on steps'!J$1:J$400,0)),J$2,)</f>
        <v>0</v>
      </c>
      <c r="K243" s="179">
        <f ca="1">IF(ISNUMBER(MATCH(DATEVALUE($A243),'changes1_based on steps'!K$1:K$400,0)),K$2,)</f>
        <v>0</v>
      </c>
      <c r="L243" s="179">
        <f ca="1">IF(ISNUMBER(MATCH(DATEVALUE($A243),'changes1_based on steps'!L$1:L$400,0)),L$2,)</f>
        <v>0</v>
      </c>
      <c r="M243" s="179">
        <f ca="1">IF(ISNUMBER(MATCH(DATEVALUE($A243),'changes1_based on steps'!M$1:M$400,0)),M$2,)</f>
        <v>0</v>
      </c>
      <c r="N243" s="179">
        <f ca="1">IF(ISNUMBER(MATCH(DATEVALUE($A243),'changes1_based on steps'!N$1:N$400,0)),N$2,)</f>
        <v>0</v>
      </c>
      <c r="O243" s="179">
        <f ca="1">IF(ISNUMBER(MATCH(DATEVALUE($A243),'changes1_based on steps'!O$1:O$400,0)),O$2,)</f>
        <v>0</v>
      </c>
      <c r="P243" s="179">
        <f ca="1">IF(ISNUMBER(MATCH(DATEVALUE($A243),'changes1_based on steps'!P$1:P$400,0)),P$2,)</f>
        <v>0</v>
      </c>
      <c r="Q243" s="179">
        <f ca="1">IF(ISNUMBER(MATCH(DATEVALUE($A243),'changes1_based on steps'!Q$1:Q$400,0)),Q$2,)</f>
        <v>0</v>
      </c>
      <c r="R243" s="179">
        <f ca="1">IF(ISNUMBER(MATCH(DATEVALUE($A243),'changes1_based on steps'!R$1:R$400,0)),R$2,)</f>
        <v>0</v>
      </c>
      <c r="S243" s="179">
        <f ca="1">IF(ISNUMBER(MATCH(DATEVALUE($A243),'changes1_based on steps'!S$1:S$400,0)),S$2,)</f>
        <v>0</v>
      </c>
      <c r="T243" s="179">
        <f ca="1">IF(ISNUMBER(MATCH(DATEVALUE($A243),'changes1_based on steps'!T$1:T$400,0)),T$2,)</f>
        <v>0</v>
      </c>
      <c r="U243" s="179">
        <f ca="1">IF(ISNUMBER(MATCH(DATEVALUE($A243),'changes1_based on steps'!U$1:U$400,0)),U$2,)</f>
        <v>0</v>
      </c>
      <c r="V243" s="179"/>
      <c r="W243" s="179"/>
      <c r="X243" s="179"/>
      <c r="Y243" s="179"/>
      <c r="Z243" s="179"/>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c r="AV243" s="179"/>
      <c r="AW243" s="179"/>
      <c r="AX243" s="179"/>
      <c r="AY243" s="179"/>
      <c r="AZ243" s="179"/>
      <c r="BA243" s="179"/>
      <c r="BB243" s="179"/>
      <c r="BC243" s="179"/>
      <c r="BD243" s="179"/>
      <c r="BE243" s="179"/>
      <c r="BF243" s="179"/>
      <c r="BG243" s="179"/>
      <c r="BH243" s="179"/>
      <c r="BI243" s="179"/>
      <c r="BJ243" s="179"/>
      <c r="BK243" s="179"/>
      <c r="BL243" s="179"/>
      <c r="BM243" s="179"/>
      <c r="BN243" s="179"/>
      <c r="BO243" s="179"/>
      <c r="BP243" s="179"/>
      <c r="BQ243" s="179"/>
      <c r="BR243" s="179"/>
      <c r="BS243" s="179"/>
      <c r="BT243" s="179"/>
      <c r="BU243" s="179"/>
      <c r="BV243" s="179"/>
      <c r="BW243" s="179"/>
      <c r="BX243" s="179"/>
      <c r="BY243" s="179"/>
      <c r="BZ243" s="179"/>
      <c r="CA243" s="179"/>
      <c r="CB243" s="179"/>
      <c r="CC243" s="179"/>
      <c r="CD243" s="179"/>
      <c r="CE243" s="179"/>
      <c r="CF243" s="179"/>
      <c r="CG243" s="179"/>
      <c r="CH243" s="179"/>
      <c r="CI243" s="179"/>
      <c r="CJ243" s="179"/>
      <c r="CK243" s="179"/>
      <c r="CL243" s="179"/>
      <c r="CM243" s="179"/>
      <c r="CN243" s="179"/>
      <c r="CO243" s="179"/>
      <c r="CP243" s="179"/>
      <c r="CQ243" s="179"/>
      <c r="CR243" s="179"/>
      <c r="CS243" s="179"/>
      <c r="CT243" s="179"/>
      <c r="CU243" s="179"/>
      <c r="CV243" s="179"/>
      <c r="CW243" s="179"/>
    </row>
    <row r="244" spans="1:101" x14ac:dyDescent="0.2">
      <c r="A244" s="32" t="str">
        <f t="shared" ca="1" si="3"/>
        <v>2025-11-25</v>
      </c>
      <c r="B244" s="179">
        <f ca="1">IF(ISNUMBER(MATCH(DATEVALUE($A244),'changes1_based on steps'!B$1:B$400,0)),B$2,)</f>
        <v>0</v>
      </c>
      <c r="C244" s="179">
        <f ca="1">IF(ISNUMBER(MATCH(DATEVALUE($A244),'changes1_based on steps'!C$1:C$400,0)),C$2,)</f>
        <v>0</v>
      </c>
      <c r="D244" s="179">
        <f ca="1">IF(ISNUMBER(MATCH(DATEVALUE($A244),'changes1_based on steps'!D$1:D$400,0)),D$2,)</f>
        <v>0</v>
      </c>
      <c r="E244" s="179">
        <f ca="1">IF(ISNUMBER(MATCH(DATEVALUE($A244),'changes1_based on steps'!E$1:E$400,0)),E$2,)</f>
        <v>0</v>
      </c>
      <c r="F244" s="179">
        <f ca="1">IF(ISNUMBER(MATCH(DATEVALUE($A244),'changes1_based on steps'!F$1:F$400,0)),F$2,)</f>
        <v>0</v>
      </c>
      <c r="G244" s="179">
        <f ca="1">IF(ISNUMBER(MATCH(DATEVALUE($A244),'changes1_based on steps'!G$1:G$400,0)),G$2,)</f>
        <v>0</v>
      </c>
      <c r="H244" s="179">
        <f ca="1">IF(ISNUMBER(MATCH(DATEVALUE($A244),'changes1_based on steps'!H$1:H$400,0)),H$2,)</f>
        <v>0</v>
      </c>
      <c r="I244" s="179">
        <f ca="1">IF(ISNUMBER(MATCH(DATEVALUE($A244),'changes1_based on steps'!I$1:I$400,0)),I$2,)</f>
        <v>0</v>
      </c>
      <c r="J244" s="179">
        <f ca="1">IF(ISNUMBER(MATCH(DATEVALUE($A244),'changes1_based on steps'!J$1:J$400,0)),J$2,)</f>
        <v>0</v>
      </c>
      <c r="K244" s="179">
        <f ca="1">IF(ISNUMBER(MATCH(DATEVALUE($A244),'changes1_based on steps'!K$1:K$400,0)),K$2,)</f>
        <v>0</v>
      </c>
      <c r="L244" s="179">
        <f ca="1">IF(ISNUMBER(MATCH(DATEVALUE($A244),'changes1_based on steps'!L$1:L$400,0)),L$2,)</f>
        <v>0</v>
      </c>
      <c r="M244" s="179">
        <f ca="1">IF(ISNUMBER(MATCH(DATEVALUE($A244),'changes1_based on steps'!M$1:M$400,0)),M$2,)</f>
        <v>0</v>
      </c>
      <c r="N244" s="179">
        <f ca="1">IF(ISNUMBER(MATCH(DATEVALUE($A244),'changes1_based on steps'!N$1:N$400,0)),N$2,)</f>
        <v>0</v>
      </c>
      <c r="O244" s="179">
        <f ca="1">IF(ISNUMBER(MATCH(DATEVALUE($A244),'changes1_based on steps'!O$1:O$400,0)),O$2,)</f>
        <v>0</v>
      </c>
      <c r="P244" s="179">
        <f ca="1">IF(ISNUMBER(MATCH(DATEVALUE($A244),'changes1_based on steps'!P$1:P$400,0)),P$2,)</f>
        <v>0</v>
      </c>
      <c r="Q244" s="179">
        <f ca="1">IF(ISNUMBER(MATCH(DATEVALUE($A244),'changes1_based on steps'!Q$1:Q$400,0)),Q$2,)</f>
        <v>0</v>
      </c>
      <c r="R244" s="179">
        <f ca="1">IF(ISNUMBER(MATCH(DATEVALUE($A244),'changes1_based on steps'!R$1:R$400,0)),R$2,)</f>
        <v>0</v>
      </c>
      <c r="S244" s="179">
        <f ca="1">IF(ISNUMBER(MATCH(DATEVALUE($A244),'changes1_based on steps'!S$1:S$400,0)),S$2,)</f>
        <v>0</v>
      </c>
      <c r="T244" s="179">
        <f ca="1">IF(ISNUMBER(MATCH(DATEVALUE($A244),'changes1_based on steps'!T$1:T$400,0)),T$2,)</f>
        <v>0</v>
      </c>
      <c r="U244" s="179">
        <f ca="1">IF(ISNUMBER(MATCH(DATEVALUE($A244),'changes1_based on steps'!U$1:U$400,0)),U$2,)</f>
        <v>0</v>
      </c>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79"/>
      <c r="BN244" s="179"/>
      <c r="BO244" s="179"/>
      <c r="BP244" s="179"/>
      <c r="BQ244" s="179"/>
      <c r="BR244" s="179"/>
      <c r="BS244" s="179"/>
      <c r="BT244" s="179"/>
      <c r="BU244" s="179"/>
      <c r="BV244" s="179"/>
      <c r="BW244" s="179"/>
      <c r="BX244" s="179"/>
      <c r="BY244" s="179"/>
      <c r="BZ244" s="179"/>
      <c r="CA244" s="179"/>
      <c r="CB244" s="179"/>
      <c r="CC244" s="179"/>
      <c r="CD244" s="179"/>
      <c r="CE244" s="179"/>
      <c r="CF244" s="179"/>
      <c r="CG244" s="179"/>
      <c r="CH244" s="179"/>
      <c r="CI244" s="179"/>
      <c r="CJ244" s="179"/>
      <c r="CK244" s="179"/>
      <c r="CL244" s="179"/>
      <c r="CM244" s="179"/>
      <c r="CN244" s="179"/>
      <c r="CO244" s="179"/>
      <c r="CP244" s="179"/>
      <c r="CQ244" s="179"/>
      <c r="CR244" s="179"/>
      <c r="CS244" s="179"/>
      <c r="CT244" s="179"/>
      <c r="CU244" s="179"/>
      <c r="CV244" s="179"/>
      <c r="CW244" s="179"/>
    </row>
    <row r="245" spans="1:101" x14ac:dyDescent="0.2">
      <c r="A245" s="32" t="str">
        <f t="shared" ca="1" si="3"/>
        <v>2025-11-26</v>
      </c>
      <c r="B245" s="179">
        <f ca="1">IF(ISNUMBER(MATCH(DATEVALUE($A245),'changes1_based on steps'!B$1:B$400,0)),B$2,)</f>
        <v>0</v>
      </c>
      <c r="C245" s="179">
        <f ca="1">IF(ISNUMBER(MATCH(DATEVALUE($A245),'changes1_based on steps'!C$1:C$400,0)),C$2,)</f>
        <v>0</v>
      </c>
      <c r="D245" s="179">
        <f ca="1">IF(ISNUMBER(MATCH(DATEVALUE($A245),'changes1_based on steps'!D$1:D$400,0)),D$2,)</f>
        <v>0</v>
      </c>
      <c r="E245" s="179">
        <f ca="1">IF(ISNUMBER(MATCH(DATEVALUE($A245),'changes1_based on steps'!E$1:E$400,0)),E$2,)</f>
        <v>0</v>
      </c>
      <c r="F245" s="179">
        <f ca="1">IF(ISNUMBER(MATCH(DATEVALUE($A245),'changes1_based on steps'!F$1:F$400,0)),F$2,)</f>
        <v>0</v>
      </c>
      <c r="G245" s="179">
        <f ca="1">IF(ISNUMBER(MATCH(DATEVALUE($A245),'changes1_based on steps'!G$1:G$400,0)),G$2,)</f>
        <v>0</v>
      </c>
      <c r="H245" s="179">
        <f ca="1">IF(ISNUMBER(MATCH(DATEVALUE($A245),'changes1_based on steps'!H$1:H$400,0)),H$2,)</f>
        <v>0</v>
      </c>
      <c r="I245" s="179">
        <f ca="1">IF(ISNUMBER(MATCH(DATEVALUE($A245),'changes1_based on steps'!I$1:I$400,0)),I$2,)</f>
        <v>0</v>
      </c>
      <c r="J245" s="179">
        <f ca="1">IF(ISNUMBER(MATCH(DATEVALUE($A245),'changes1_based on steps'!J$1:J$400,0)),J$2,)</f>
        <v>0</v>
      </c>
      <c r="K245" s="179">
        <f ca="1">IF(ISNUMBER(MATCH(DATEVALUE($A245),'changes1_based on steps'!K$1:K$400,0)),K$2,)</f>
        <v>0</v>
      </c>
      <c r="L245" s="179">
        <f ca="1">IF(ISNUMBER(MATCH(DATEVALUE($A245),'changes1_based on steps'!L$1:L$400,0)),L$2,)</f>
        <v>0</v>
      </c>
      <c r="M245" s="179">
        <f ca="1">IF(ISNUMBER(MATCH(DATEVALUE($A245),'changes1_based on steps'!M$1:M$400,0)),M$2,)</f>
        <v>0</v>
      </c>
      <c r="N245" s="179">
        <f ca="1">IF(ISNUMBER(MATCH(DATEVALUE($A245),'changes1_based on steps'!N$1:N$400,0)),N$2,)</f>
        <v>0</v>
      </c>
      <c r="O245" s="179">
        <f ca="1">IF(ISNUMBER(MATCH(DATEVALUE($A245),'changes1_based on steps'!O$1:O$400,0)),O$2,)</f>
        <v>0</v>
      </c>
      <c r="P245" s="179">
        <f ca="1">IF(ISNUMBER(MATCH(DATEVALUE($A245),'changes1_based on steps'!P$1:P$400,0)),P$2,)</f>
        <v>0</v>
      </c>
      <c r="Q245" s="179">
        <f ca="1">IF(ISNUMBER(MATCH(DATEVALUE($A245),'changes1_based on steps'!Q$1:Q$400,0)),Q$2,)</f>
        <v>0</v>
      </c>
      <c r="R245" s="179">
        <f ca="1">IF(ISNUMBER(MATCH(DATEVALUE($A245),'changes1_based on steps'!R$1:R$400,0)),R$2,)</f>
        <v>0</v>
      </c>
      <c r="S245" s="179">
        <f ca="1">IF(ISNUMBER(MATCH(DATEVALUE($A245),'changes1_based on steps'!S$1:S$400,0)),S$2,)</f>
        <v>0</v>
      </c>
      <c r="T245" s="179">
        <f ca="1">IF(ISNUMBER(MATCH(DATEVALUE($A245),'changes1_based on steps'!T$1:T$400,0)),T$2,)</f>
        <v>0</v>
      </c>
      <c r="U245" s="179">
        <f ca="1">IF(ISNUMBER(MATCH(DATEVALUE($A245),'changes1_based on steps'!U$1:U$400,0)),U$2,)</f>
        <v>0</v>
      </c>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79"/>
      <c r="BN245" s="179"/>
      <c r="BO245" s="179"/>
      <c r="BP245" s="179"/>
      <c r="BQ245" s="179"/>
      <c r="BR245" s="179"/>
      <c r="BS245" s="179"/>
      <c r="BT245" s="179"/>
      <c r="BU245" s="179"/>
      <c r="BV245" s="179"/>
      <c r="BW245" s="179"/>
      <c r="BX245" s="179"/>
      <c r="BY245" s="179"/>
      <c r="BZ245" s="179"/>
      <c r="CA245" s="179"/>
      <c r="CB245" s="179"/>
      <c r="CC245" s="179"/>
      <c r="CD245" s="179"/>
      <c r="CE245" s="179"/>
      <c r="CF245" s="179"/>
      <c r="CG245" s="179"/>
      <c r="CH245" s="179"/>
      <c r="CI245" s="179"/>
      <c r="CJ245" s="179"/>
      <c r="CK245" s="179"/>
      <c r="CL245" s="179"/>
      <c r="CM245" s="179"/>
      <c r="CN245" s="179"/>
      <c r="CO245" s="179"/>
      <c r="CP245" s="179"/>
      <c r="CQ245" s="179"/>
      <c r="CR245" s="179"/>
      <c r="CS245" s="179"/>
      <c r="CT245" s="179"/>
      <c r="CU245" s="179"/>
      <c r="CV245" s="179"/>
      <c r="CW245" s="179"/>
    </row>
    <row r="246" spans="1:101" x14ac:dyDescent="0.2">
      <c r="A246" s="32" t="str">
        <f t="shared" ca="1" si="3"/>
        <v>2025-11-27</v>
      </c>
      <c r="B246" s="179">
        <f ca="1">IF(ISNUMBER(MATCH(DATEVALUE($A246),'changes1_based on steps'!B$1:B$400,0)),B$2,)</f>
        <v>0</v>
      </c>
      <c r="C246" s="179">
        <f ca="1">IF(ISNUMBER(MATCH(DATEVALUE($A246),'changes1_based on steps'!C$1:C$400,0)),C$2,)</f>
        <v>0</v>
      </c>
      <c r="D246" s="179">
        <f ca="1">IF(ISNUMBER(MATCH(DATEVALUE($A246),'changes1_based on steps'!D$1:D$400,0)),D$2,)</f>
        <v>0</v>
      </c>
      <c r="E246" s="179">
        <f ca="1">IF(ISNUMBER(MATCH(DATEVALUE($A246),'changes1_based on steps'!E$1:E$400,0)),E$2,)</f>
        <v>0</v>
      </c>
      <c r="F246" s="179">
        <f ca="1">IF(ISNUMBER(MATCH(DATEVALUE($A246),'changes1_based on steps'!F$1:F$400,0)),F$2,)</f>
        <v>0</v>
      </c>
      <c r="G246" s="179">
        <f ca="1">IF(ISNUMBER(MATCH(DATEVALUE($A246),'changes1_based on steps'!G$1:G$400,0)),G$2,)</f>
        <v>0</v>
      </c>
      <c r="H246" s="179">
        <f ca="1">IF(ISNUMBER(MATCH(DATEVALUE($A246),'changes1_based on steps'!H$1:H$400,0)),H$2,)</f>
        <v>0</v>
      </c>
      <c r="I246" s="179">
        <f ca="1">IF(ISNUMBER(MATCH(DATEVALUE($A246),'changes1_based on steps'!I$1:I$400,0)),I$2,)</f>
        <v>0</v>
      </c>
      <c r="J246" s="179">
        <f ca="1">IF(ISNUMBER(MATCH(DATEVALUE($A246),'changes1_based on steps'!J$1:J$400,0)),J$2,)</f>
        <v>0</v>
      </c>
      <c r="K246" s="179">
        <f ca="1">IF(ISNUMBER(MATCH(DATEVALUE($A246),'changes1_based on steps'!K$1:K$400,0)),K$2,)</f>
        <v>0</v>
      </c>
      <c r="L246" s="179">
        <f ca="1">IF(ISNUMBER(MATCH(DATEVALUE($A246),'changes1_based on steps'!L$1:L$400,0)),L$2,)</f>
        <v>0</v>
      </c>
      <c r="M246" s="179">
        <f ca="1">IF(ISNUMBER(MATCH(DATEVALUE($A246),'changes1_based on steps'!M$1:M$400,0)),M$2,)</f>
        <v>0</v>
      </c>
      <c r="N246" s="179">
        <f ca="1">IF(ISNUMBER(MATCH(DATEVALUE($A246),'changes1_based on steps'!N$1:N$400,0)),N$2,)</f>
        <v>0</v>
      </c>
      <c r="O246" s="179">
        <f ca="1">IF(ISNUMBER(MATCH(DATEVALUE($A246),'changes1_based on steps'!O$1:O$400,0)),O$2,)</f>
        <v>0</v>
      </c>
      <c r="P246" s="179">
        <f ca="1">IF(ISNUMBER(MATCH(DATEVALUE($A246),'changes1_based on steps'!P$1:P$400,0)),P$2,)</f>
        <v>0</v>
      </c>
      <c r="Q246" s="179">
        <f ca="1">IF(ISNUMBER(MATCH(DATEVALUE($A246),'changes1_based on steps'!Q$1:Q$400,0)),Q$2,)</f>
        <v>0</v>
      </c>
      <c r="R246" s="179">
        <f ca="1">IF(ISNUMBER(MATCH(DATEVALUE($A246),'changes1_based on steps'!R$1:R$400,0)),R$2,)</f>
        <v>0</v>
      </c>
      <c r="S246" s="179">
        <f ca="1">IF(ISNUMBER(MATCH(DATEVALUE($A246),'changes1_based on steps'!S$1:S$400,0)),S$2,)</f>
        <v>0</v>
      </c>
      <c r="T246" s="179">
        <f ca="1">IF(ISNUMBER(MATCH(DATEVALUE($A246),'changes1_based on steps'!T$1:T$400,0)),T$2,)</f>
        <v>0</v>
      </c>
      <c r="U246" s="179">
        <f ca="1">IF(ISNUMBER(MATCH(DATEVALUE($A246),'changes1_based on steps'!U$1:U$400,0)),U$2,)</f>
        <v>0</v>
      </c>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79"/>
      <c r="BN246" s="179"/>
      <c r="BO246" s="179"/>
      <c r="BP246" s="179"/>
      <c r="BQ246" s="179"/>
      <c r="BR246" s="179"/>
      <c r="BS246" s="179"/>
      <c r="BT246" s="179"/>
      <c r="BU246" s="179"/>
      <c r="BV246" s="179"/>
      <c r="BW246" s="179"/>
      <c r="BX246" s="179"/>
      <c r="BY246" s="179"/>
      <c r="BZ246" s="179"/>
      <c r="CA246" s="179"/>
      <c r="CB246" s="179"/>
      <c r="CC246" s="179"/>
      <c r="CD246" s="179"/>
      <c r="CE246" s="179"/>
      <c r="CF246" s="179"/>
      <c r="CG246" s="179"/>
      <c r="CH246" s="179"/>
      <c r="CI246" s="179"/>
      <c r="CJ246" s="179"/>
      <c r="CK246" s="179"/>
      <c r="CL246" s="179"/>
      <c r="CM246" s="179"/>
      <c r="CN246" s="179"/>
      <c r="CO246" s="179"/>
      <c r="CP246" s="179"/>
      <c r="CQ246" s="179"/>
      <c r="CR246" s="179"/>
      <c r="CS246" s="179"/>
      <c r="CT246" s="179"/>
      <c r="CU246" s="179"/>
      <c r="CV246" s="179"/>
      <c r="CW246" s="179"/>
    </row>
    <row r="247" spans="1:101" x14ac:dyDescent="0.2">
      <c r="A247" s="32" t="str">
        <f t="shared" ca="1" si="3"/>
        <v>2025-11-28</v>
      </c>
      <c r="B247" s="179">
        <f ca="1">IF(ISNUMBER(MATCH(DATEVALUE($A247),'changes1_based on steps'!B$1:B$400,0)),B$2,)</f>
        <v>0</v>
      </c>
      <c r="C247" s="179">
        <f ca="1">IF(ISNUMBER(MATCH(DATEVALUE($A247),'changes1_based on steps'!C$1:C$400,0)),C$2,)</f>
        <v>0</v>
      </c>
      <c r="D247" s="179">
        <f ca="1">IF(ISNUMBER(MATCH(DATEVALUE($A247),'changes1_based on steps'!D$1:D$400,0)),D$2,)</f>
        <v>0</v>
      </c>
      <c r="E247" s="179">
        <f ca="1">IF(ISNUMBER(MATCH(DATEVALUE($A247),'changes1_based on steps'!E$1:E$400,0)),E$2,)</f>
        <v>0</v>
      </c>
      <c r="F247" s="179">
        <f ca="1">IF(ISNUMBER(MATCH(DATEVALUE($A247),'changes1_based on steps'!F$1:F$400,0)),F$2,)</f>
        <v>0</v>
      </c>
      <c r="G247" s="179">
        <f ca="1">IF(ISNUMBER(MATCH(DATEVALUE($A247),'changes1_based on steps'!G$1:G$400,0)),G$2,)</f>
        <v>0</v>
      </c>
      <c r="H247" s="179">
        <f ca="1">IF(ISNUMBER(MATCH(DATEVALUE($A247),'changes1_based on steps'!H$1:H$400,0)),H$2,)</f>
        <v>0</v>
      </c>
      <c r="I247" s="179">
        <f ca="1">IF(ISNUMBER(MATCH(DATEVALUE($A247),'changes1_based on steps'!I$1:I$400,0)),I$2,)</f>
        <v>0</v>
      </c>
      <c r="J247" s="179">
        <f ca="1">IF(ISNUMBER(MATCH(DATEVALUE($A247),'changes1_based on steps'!J$1:J$400,0)),J$2,)</f>
        <v>0</v>
      </c>
      <c r="K247" s="179">
        <f ca="1">IF(ISNUMBER(MATCH(DATEVALUE($A247),'changes1_based on steps'!K$1:K$400,0)),K$2,)</f>
        <v>0</v>
      </c>
      <c r="L247" s="179">
        <f ca="1">IF(ISNUMBER(MATCH(DATEVALUE($A247),'changes1_based on steps'!L$1:L$400,0)),L$2,)</f>
        <v>0</v>
      </c>
      <c r="M247" s="179">
        <f ca="1">IF(ISNUMBER(MATCH(DATEVALUE($A247),'changes1_based on steps'!M$1:M$400,0)),M$2,)</f>
        <v>0</v>
      </c>
      <c r="N247" s="179">
        <f ca="1">IF(ISNUMBER(MATCH(DATEVALUE($A247),'changes1_based on steps'!N$1:N$400,0)),N$2,)</f>
        <v>0</v>
      </c>
      <c r="O247" s="179">
        <f ca="1">IF(ISNUMBER(MATCH(DATEVALUE($A247),'changes1_based on steps'!O$1:O$400,0)),O$2,)</f>
        <v>0</v>
      </c>
      <c r="P247" s="179">
        <f ca="1">IF(ISNUMBER(MATCH(DATEVALUE($A247),'changes1_based on steps'!P$1:P$400,0)),P$2,)</f>
        <v>0</v>
      </c>
      <c r="Q247" s="179">
        <f ca="1">IF(ISNUMBER(MATCH(DATEVALUE($A247),'changes1_based on steps'!Q$1:Q$400,0)),Q$2,)</f>
        <v>0</v>
      </c>
      <c r="R247" s="179">
        <f ca="1">IF(ISNUMBER(MATCH(DATEVALUE($A247),'changes1_based on steps'!R$1:R$400,0)),R$2,)</f>
        <v>0</v>
      </c>
      <c r="S247" s="179">
        <f ca="1">IF(ISNUMBER(MATCH(DATEVALUE($A247),'changes1_based on steps'!S$1:S$400,0)),S$2,)</f>
        <v>0</v>
      </c>
      <c r="T247" s="179">
        <f ca="1">IF(ISNUMBER(MATCH(DATEVALUE($A247),'changes1_based on steps'!T$1:T$400,0)),T$2,)</f>
        <v>0</v>
      </c>
      <c r="U247" s="179">
        <f ca="1">IF(ISNUMBER(MATCH(DATEVALUE($A247),'changes1_based on steps'!U$1:U$400,0)),U$2,)</f>
        <v>0</v>
      </c>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c r="AV247" s="179"/>
      <c r="AW247" s="179"/>
      <c r="AX247" s="179"/>
      <c r="AY247" s="179"/>
      <c r="AZ247" s="179"/>
      <c r="BA247" s="179"/>
      <c r="BB247" s="179"/>
      <c r="BC247" s="179"/>
      <c r="BD247" s="179"/>
      <c r="BE247" s="179"/>
      <c r="BF247" s="179"/>
      <c r="BG247" s="179"/>
      <c r="BH247" s="179"/>
      <c r="BI247" s="179"/>
      <c r="BJ247" s="179"/>
      <c r="BK247" s="179"/>
      <c r="BL247" s="179"/>
      <c r="BM247" s="179"/>
      <c r="BN247" s="179"/>
      <c r="BO247" s="179"/>
      <c r="BP247" s="179"/>
      <c r="BQ247" s="179"/>
      <c r="BR247" s="179"/>
      <c r="BS247" s="179"/>
      <c r="BT247" s="179"/>
      <c r="BU247" s="179"/>
      <c r="BV247" s="179"/>
      <c r="BW247" s="179"/>
      <c r="BX247" s="179"/>
      <c r="BY247" s="179"/>
      <c r="BZ247" s="179"/>
      <c r="CA247" s="179"/>
      <c r="CB247" s="179"/>
      <c r="CC247" s="179"/>
      <c r="CD247" s="179"/>
      <c r="CE247" s="179"/>
      <c r="CF247" s="179"/>
      <c r="CG247" s="179"/>
      <c r="CH247" s="179"/>
      <c r="CI247" s="179"/>
      <c r="CJ247" s="179"/>
      <c r="CK247" s="179"/>
      <c r="CL247" s="179"/>
      <c r="CM247" s="179"/>
      <c r="CN247" s="179"/>
      <c r="CO247" s="179"/>
      <c r="CP247" s="179"/>
      <c r="CQ247" s="179"/>
      <c r="CR247" s="179"/>
      <c r="CS247" s="179"/>
      <c r="CT247" s="179"/>
      <c r="CU247" s="179"/>
      <c r="CV247" s="179"/>
      <c r="CW247" s="179"/>
    </row>
    <row r="248" spans="1:101" x14ac:dyDescent="0.2">
      <c r="A248" s="32" t="str">
        <f t="shared" ca="1" si="3"/>
        <v>2025-11-29</v>
      </c>
      <c r="B248" s="179">
        <f ca="1">IF(ISNUMBER(MATCH(DATEVALUE($A248),'changes1_based on steps'!B$1:B$400,0)),B$2,)</f>
        <v>0</v>
      </c>
      <c r="C248" s="179">
        <f ca="1">IF(ISNUMBER(MATCH(DATEVALUE($A248),'changes1_based on steps'!C$1:C$400,0)),C$2,)</f>
        <v>0</v>
      </c>
      <c r="D248" s="179">
        <f ca="1">IF(ISNUMBER(MATCH(DATEVALUE($A248),'changes1_based on steps'!D$1:D$400,0)),D$2,)</f>
        <v>0</v>
      </c>
      <c r="E248" s="179">
        <f ca="1">IF(ISNUMBER(MATCH(DATEVALUE($A248),'changes1_based on steps'!E$1:E$400,0)),E$2,)</f>
        <v>0</v>
      </c>
      <c r="F248" s="179">
        <f ca="1">IF(ISNUMBER(MATCH(DATEVALUE($A248),'changes1_based on steps'!F$1:F$400,0)),F$2,)</f>
        <v>0</v>
      </c>
      <c r="G248" s="179">
        <f ca="1">IF(ISNUMBER(MATCH(DATEVALUE($A248),'changes1_based on steps'!G$1:G$400,0)),G$2,)</f>
        <v>0</v>
      </c>
      <c r="H248" s="179">
        <f ca="1">IF(ISNUMBER(MATCH(DATEVALUE($A248),'changes1_based on steps'!H$1:H$400,0)),H$2,)</f>
        <v>0</v>
      </c>
      <c r="I248" s="179">
        <f ca="1">IF(ISNUMBER(MATCH(DATEVALUE($A248),'changes1_based on steps'!I$1:I$400,0)),I$2,)</f>
        <v>0</v>
      </c>
      <c r="J248" s="179">
        <f ca="1">IF(ISNUMBER(MATCH(DATEVALUE($A248),'changes1_based on steps'!J$1:J$400,0)),J$2,)</f>
        <v>0</v>
      </c>
      <c r="K248" s="179">
        <f ca="1">IF(ISNUMBER(MATCH(DATEVALUE($A248),'changes1_based on steps'!K$1:K$400,0)),K$2,)</f>
        <v>0</v>
      </c>
      <c r="L248" s="179">
        <f ca="1">IF(ISNUMBER(MATCH(DATEVALUE($A248),'changes1_based on steps'!L$1:L$400,0)),L$2,)</f>
        <v>0</v>
      </c>
      <c r="M248" s="179">
        <f ca="1">IF(ISNUMBER(MATCH(DATEVALUE($A248),'changes1_based on steps'!M$1:M$400,0)),M$2,)</f>
        <v>0</v>
      </c>
      <c r="N248" s="179">
        <f ca="1">IF(ISNUMBER(MATCH(DATEVALUE($A248),'changes1_based on steps'!N$1:N$400,0)),N$2,)</f>
        <v>0</v>
      </c>
      <c r="O248" s="179">
        <f ca="1">IF(ISNUMBER(MATCH(DATEVALUE($A248),'changes1_based on steps'!O$1:O$400,0)),O$2,)</f>
        <v>0</v>
      </c>
      <c r="P248" s="179">
        <f ca="1">IF(ISNUMBER(MATCH(DATEVALUE($A248),'changes1_based on steps'!P$1:P$400,0)),P$2,)</f>
        <v>0</v>
      </c>
      <c r="Q248" s="179">
        <f ca="1">IF(ISNUMBER(MATCH(DATEVALUE($A248),'changes1_based on steps'!Q$1:Q$400,0)),Q$2,)</f>
        <v>0</v>
      </c>
      <c r="R248" s="179">
        <f ca="1">IF(ISNUMBER(MATCH(DATEVALUE($A248),'changes1_based on steps'!R$1:R$400,0)),R$2,)</f>
        <v>0</v>
      </c>
      <c r="S248" s="179">
        <f ca="1">IF(ISNUMBER(MATCH(DATEVALUE($A248),'changes1_based on steps'!S$1:S$400,0)),S$2,)</f>
        <v>0</v>
      </c>
      <c r="T248" s="179">
        <f ca="1">IF(ISNUMBER(MATCH(DATEVALUE($A248),'changes1_based on steps'!T$1:T$400,0)),T$2,)</f>
        <v>0</v>
      </c>
      <c r="U248" s="179">
        <f ca="1">IF(ISNUMBER(MATCH(DATEVALUE($A248),'changes1_based on steps'!U$1:U$400,0)),U$2,)</f>
        <v>0</v>
      </c>
      <c r="V248" s="179"/>
      <c r="W248" s="179"/>
      <c r="X248" s="179"/>
      <c r="Y248" s="179"/>
      <c r="Z248" s="179"/>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c r="AV248" s="179"/>
      <c r="AW248" s="179"/>
      <c r="AX248" s="179"/>
      <c r="AY248" s="179"/>
      <c r="AZ248" s="179"/>
      <c r="BA248" s="179"/>
      <c r="BB248" s="179"/>
      <c r="BC248" s="179"/>
      <c r="BD248" s="179"/>
      <c r="BE248" s="179"/>
      <c r="BF248" s="179"/>
      <c r="BG248" s="179"/>
      <c r="BH248" s="179"/>
      <c r="BI248" s="179"/>
      <c r="BJ248" s="179"/>
      <c r="BK248" s="179"/>
      <c r="BL248" s="179"/>
      <c r="BM248" s="179"/>
      <c r="BN248" s="179"/>
      <c r="BO248" s="179"/>
      <c r="BP248" s="179"/>
      <c r="BQ248" s="179"/>
      <c r="BR248" s="179"/>
      <c r="BS248" s="179"/>
      <c r="BT248" s="179"/>
      <c r="BU248" s="179"/>
      <c r="BV248" s="179"/>
      <c r="BW248" s="179"/>
      <c r="BX248" s="179"/>
      <c r="BY248" s="179"/>
      <c r="BZ248" s="179"/>
      <c r="CA248" s="179"/>
      <c r="CB248" s="179"/>
      <c r="CC248" s="179"/>
      <c r="CD248" s="179"/>
      <c r="CE248" s="179"/>
      <c r="CF248" s="179"/>
      <c r="CG248" s="179"/>
      <c r="CH248" s="179"/>
      <c r="CI248" s="179"/>
      <c r="CJ248" s="179"/>
      <c r="CK248" s="179"/>
      <c r="CL248" s="179"/>
      <c r="CM248" s="179"/>
      <c r="CN248" s="179"/>
      <c r="CO248" s="179"/>
      <c r="CP248" s="179"/>
      <c r="CQ248" s="179"/>
      <c r="CR248" s="179"/>
      <c r="CS248" s="179"/>
      <c r="CT248" s="179"/>
      <c r="CU248" s="179"/>
      <c r="CV248" s="179"/>
      <c r="CW248" s="179"/>
    </row>
    <row r="249" spans="1:101" x14ac:dyDescent="0.2">
      <c r="A249" s="32" t="str">
        <f t="shared" ca="1" si="3"/>
        <v>2025-11-30</v>
      </c>
      <c r="B249" s="179">
        <f ca="1">IF(ISNUMBER(MATCH(DATEVALUE($A249),'changes1_based on steps'!B$1:B$400,0)),B$2,)</f>
        <v>0</v>
      </c>
      <c r="C249" s="179">
        <f ca="1">IF(ISNUMBER(MATCH(DATEVALUE($A249),'changes1_based on steps'!C$1:C$400,0)),C$2,)</f>
        <v>0</v>
      </c>
      <c r="D249" s="179">
        <f ca="1">IF(ISNUMBER(MATCH(DATEVALUE($A249),'changes1_based on steps'!D$1:D$400,0)),D$2,)</f>
        <v>0</v>
      </c>
      <c r="E249" s="179">
        <f ca="1">IF(ISNUMBER(MATCH(DATEVALUE($A249),'changes1_based on steps'!E$1:E$400,0)),E$2,)</f>
        <v>0</v>
      </c>
      <c r="F249" s="179">
        <f ca="1">IF(ISNUMBER(MATCH(DATEVALUE($A249),'changes1_based on steps'!F$1:F$400,0)),F$2,)</f>
        <v>0</v>
      </c>
      <c r="G249" s="179">
        <f ca="1">IF(ISNUMBER(MATCH(DATEVALUE($A249),'changes1_based on steps'!G$1:G$400,0)),G$2,)</f>
        <v>0</v>
      </c>
      <c r="H249" s="179">
        <f ca="1">IF(ISNUMBER(MATCH(DATEVALUE($A249),'changes1_based on steps'!H$1:H$400,0)),H$2,)</f>
        <v>0</v>
      </c>
      <c r="I249" s="179">
        <f ca="1">IF(ISNUMBER(MATCH(DATEVALUE($A249),'changes1_based on steps'!I$1:I$400,0)),I$2,)</f>
        <v>0</v>
      </c>
      <c r="J249" s="179">
        <f ca="1">IF(ISNUMBER(MATCH(DATEVALUE($A249),'changes1_based on steps'!J$1:J$400,0)),J$2,)</f>
        <v>0</v>
      </c>
      <c r="K249" s="179">
        <f ca="1">IF(ISNUMBER(MATCH(DATEVALUE($A249),'changes1_based on steps'!K$1:K$400,0)),K$2,)</f>
        <v>0</v>
      </c>
      <c r="L249" s="179">
        <f ca="1">IF(ISNUMBER(MATCH(DATEVALUE($A249),'changes1_based on steps'!L$1:L$400,0)),L$2,)</f>
        <v>0</v>
      </c>
      <c r="M249" s="179">
        <f ca="1">IF(ISNUMBER(MATCH(DATEVALUE($A249),'changes1_based on steps'!M$1:M$400,0)),M$2,)</f>
        <v>0</v>
      </c>
      <c r="N249" s="179">
        <f ca="1">IF(ISNUMBER(MATCH(DATEVALUE($A249),'changes1_based on steps'!N$1:N$400,0)),N$2,)</f>
        <v>0</v>
      </c>
      <c r="O249" s="179">
        <f ca="1">IF(ISNUMBER(MATCH(DATEVALUE($A249),'changes1_based on steps'!O$1:O$400,0)),O$2,)</f>
        <v>0</v>
      </c>
      <c r="P249" s="179">
        <f ca="1">IF(ISNUMBER(MATCH(DATEVALUE($A249),'changes1_based on steps'!P$1:P$400,0)),P$2,)</f>
        <v>0</v>
      </c>
      <c r="Q249" s="179">
        <f ca="1">IF(ISNUMBER(MATCH(DATEVALUE($A249),'changes1_based on steps'!Q$1:Q$400,0)),Q$2,)</f>
        <v>0</v>
      </c>
      <c r="R249" s="179">
        <f ca="1">IF(ISNUMBER(MATCH(DATEVALUE($A249),'changes1_based on steps'!R$1:R$400,0)),R$2,)</f>
        <v>0</v>
      </c>
      <c r="S249" s="179">
        <f ca="1">IF(ISNUMBER(MATCH(DATEVALUE($A249),'changes1_based on steps'!S$1:S$400,0)),S$2,)</f>
        <v>0</v>
      </c>
      <c r="T249" s="179">
        <f ca="1">IF(ISNUMBER(MATCH(DATEVALUE($A249),'changes1_based on steps'!T$1:T$400,0)),T$2,)</f>
        <v>0</v>
      </c>
      <c r="U249" s="179">
        <f ca="1">IF(ISNUMBER(MATCH(DATEVALUE($A249),'changes1_based on steps'!U$1:U$400,0)),U$2,)</f>
        <v>0</v>
      </c>
      <c r="V249" s="179"/>
      <c r="W249" s="179"/>
      <c r="X249" s="179"/>
      <c r="Y249" s="179"/>
      <c r="Z249" s="179"/>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c r="AV249" s="179"/>
      <c r="AW249" s="179"/>
      <c r="AX249" s="179"/>
      <c r="AY249" s="179"/>
      <c r="AZ249" s="179"/>
      <c r="BA249" s="179"/>
      <c r="BB249" s="179"/>
      <c r="BC249" s="179"/>
      <c r="BD249" s="179"/>
      <c r="BE249" s="179"/>
      <c r="BF249" s="179"/>
      <c r="BG249" s="179"/>
      <c r="BH249" s="179"/>
      <c r="BI249" s="179"/>
      <c r="BJ249" s="179"/>
      <c r="BK249" s="179"/>
      <c r="BL249" s="179"/>
      <c r="BM249" s="179"/>
      <c r="BN249" s="179"/>
      <c r="BO249" s="179"/>
      <c r="BP249" s="179"/>
      <c r="BQ249" s="179"/>
      <c r="BR249" s="179"/>
      <c r="BS249" s="179"/>
      <c r="BT249" s="179"/>
      <c r="BU249" s="179"/>
      <c r="BV249" s="179"/>
      <c r="BW249" s="179"/>
      <c r="BX249" s="179"/>
      <c r="BY249" s="179"/>
      <c r="BZ249" s="179"/>
      <c r="CA249" s="179"/>
      <c r="CB249" s="179"/>
      <c r="CC249" s="179"/>
      <c r="CD249" s="179"/>
      <c r="CE249" s="179"/>
      <c r="CF249" s="179"/>
      <c r="CG249" s="179"/>
      <c r="CH249" s="179"/>
      <c r="CI249" s="179"/>
      <c r="CJ249" s="179"/>
      <c r="CK249" s="179"/>
      <c r="CL249" s="179"/>
      <c r="CM249" s="179"/>
      <c r="CN249" s="179"/>
      <c r="CO249" s="179"/>
      <c r="CP249" s="179"/>
      <c r="CQ249" s="179"/>
      <c r="CR249" s="179"/>
      <c r="CS249" s="179"/>
      <c r="CT249" s="179"/>
      <c r="CU249" s="179"/>
      <c r="CV249" s="179"/>
      <c r="CW249" s="179"/>
    </row>
    <row r="250" spans="1:101" x14ac:dyDescent="0.2">
      <c r="A250" s="32" t="str">
        <f t="shared" ca="1" si="3"/>
        <v>2025-12-01</v>
      </c>
      <c r="B250" s="179">
        <f ca="1">IF(ISNUMBER(MATCH(DATEVALUE($A250),'changes1_based on steps'!B$1:B$400,0)),B$2,)</f>
        <v>0</v>
      </c>
      <c r="C250" s="179">
        <f ca="1">IF(ISNUMBER(MATCH(DATEVALUE($A250),'changes1_based on steps'!C$1:C$400,0)),C$2,)</f>
        <v>0</v>
      </c>
      <c r="D250" s="179">
        <f ca="1">IF(ISNUMBER(MATCH(DATEVALUE($A250),'changes1_based on steps'!D$1:D$400,0)),D$2,)</f>
        <v>0</v>
      </c>
      <c r="E250" s="179">
        <f ca="1">IF(ISNUMBER(MATCH(DATEVALUE($A250),'changes1_based on steps'!E$1:E$400,0)),E$2,)</f>
        <v>0</v>
      </c>
      <c r="F250" s="179">
        <f ca="1">IF(ISNUMBER(MATCH(DATEVALUE($A250),'changes1_based on steps'!F$1:F$400,0)),F$2,)</f>
        <v>0</v>
      </c>
      <c r="G250" s="179">
        <f ca="1">IF(ISNUMBER(MATCH(DATEVALUE($A250),'changes1_based on steps'!G$1:G$400,0)),G$2,)</f>
        <v>0</v>
      </c>
      <c r="H250" s="179">
        <f ca="1">IF(ISNUMBER(MATCH(DATEVALUE($A250),'changes1_based on steps'!H$1:H$400,0)),H$2,)</f>
        <v>0</v>
      </c>
      <c r="I250" s="179">
        <f ca="1">IF(ISNUMBER(MATCH(DATEVALUE($A250),'changes1_based on steps'!I$1:I$400,0)),I$2,)</f>
        <v>0</v>
      </c>
      <c r="J250" s="179">
        <f ca="1">IF(ISNUMBER(MATCH(DATEVALUE($A250),'changes1_based on steps'!J$1:J$400,0)),J$2,)</f>
        <v>0</v>
      </c>
      <c r="K250" s="179">
        <f ca="1">IF(ISNUMBER(MATCH(DATEVALUE($A250),'changes1_based on steps'!K$1:K$400,0)),K$2,)</f>
        <v>0</v>
      </c>
      <c r="L250" s="179">
        <f ca="1">IF(ISNUMBER(MATCH(DATEVALUE($A250),'changes1_based on steps'!L$1:L$400,0)),L$2,)</f>
        <v>0</v>
      </c>
      <c r="M250" s="179">
        <f ca="1">IF(ISNUMBER(MATCH(DATEVALUE($A250),'changes1_based on steps'!M$1:M$400,0)),M$2,)</f>
        <v>0</v>
      </c>
      <c r="N250" s="179">
        <f ca="1">IF(ISNUMBER(MATCH(DATEVALUE($A250),'changes1_based on steps'!N$1:N$400,0)),N$2,)</f>
        <v>0</v>
      </c>
      <c r="O250" s="179">
        <f ca="1">IF(ISNUMBER(MATCH(DATEVALUE($A250),'changes1_based on steps'!O$1:O$400,0)),O$2,)</f>
        <v>0</v>
      </c>
      <c r="P250" s="179">
        <f ca="1">IF(ISNUMBER(MATCH(DATEVALUE($A250),'changes1_based on steps'!P$1:P$400,0)),P$2,)</f>
        <v>0</v>
      </c>
      <c r="Q250" s="179">
        <f ca="1">IF(ISNUMBER(MATCH(DATEVALUE($A250),'changes1_based on steps'!Q$1:Q$400,0)),Q$2,)</f>
        <v>0</v>
      </c>
      <c r="R250" s="179">
        <f ca="1">IF(ISNUMBER(MATCH(DATEVALUE($A250),'changes1_based on steps'!R$1:R$400,0)),R$2,)</f>
        <v>0</v>
      </c>
      <c r="S250" s="179">
        <f ca="1">IF(ISNUMBER(MATCH(DATEVALUE($A250),'changes1_based on steps'!S$1:S$400,0)),S$2,)</f>
        <v>0</v>
      </c>
      <c r="T250" s="179">
        <f ca="1">IF(ISNUMBER(MATCH(DATEVALUE($A250),'changes1_based on steps'!T$1:T$400,0)),T$2,)</f>
        <v>0</v>
      </c>
      <c r="U250" s="179">
        <f ca="1">IF(ISNUMBER(MATCH(DATEVALUE($A250),'changes1_based on steps'!U$1:U$400,0)),U$2,)</f>
        <v>0</v>
      </c>
      <c r="V250" s="179"/>
      <c r="W250" s="179"/>
      <c r="X250" s="179"/>
      <c r="Y250" s="179"/>
      <c r="Z250" s="179"/>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c r="AV250" s="179"/>
      <c r="AW250" s="179"/>
      <c r="AX250" s="179"/>
      <c r="AY250" s="179"/>
      <c r="AZ250" s="179"/>
      <c r="BA250" s="179"/>
      <c r="BB250" s="179"/>
      <c r="BC250" s="179"/>
      <c r="BD250" s="179"/>
      <c r="BE250" s="179"/>
      <c r="BF250" s="179"/>
      <c r="BG250" s="179"/>
      <c r="BH250" s="179"/>
      <c r="BI250" s="179"/>
      <c r="BJ250" s="179"/>
      <c r="BK250" s="179"/>
      <c r="BL250" s="179"/>
      <c r="BM250" s="179"/>
      <c r="BN250" s="179"/>
      <c r="BO250" s="179"/>
      <c r="BP250" s="179"/>
      <c r="BQ250" s="179"/>
      <c r="BR250" s="179"/>
      <c r="BS250" s="179"/>
      <c r="BT250" s="179"/>
      <c r="BU250" s="179"/>
      <c r="BV250" s="179"/>
      <c r="BW250" s="179"/>
      <c r="BX250" s="179"/>
      <c r="BY250" s="179"/>
      <c r="BZ250" s="179"/>
      <c r="CA250" s="179"/>
      <c r="CB250" s="179"/>
      <c r="CC250" s="179"/>
      <c r="CD250" s="179"/>
      <c r="CE250" s="179"/>
      <c r="CF250" s="179"/>
      <c r="CG250" s="179"/>
      <c r="CH250" s="179"/>
      <c r="CI250" s="179"/>
      <c r="CJ250" s="179"/>
      <c r="CK250" s="179"/>
      <c r="CL250" s="179"/>
      <c r="CM250" s="179"/>
      <c r="CN250" s="179"/>
      <c r="CO250" s="179"/>
      <c r="CP250" s="179"/>
      <c r="CQ250" s="179"/>
      <c r="CR250" s="179"/>
      <c r="CS250" s="179"/>
      <c r="CT250" s="179"/>
      <c r="CU250" s="179"/>
      <c r="CV250" s="179"/>
      <c r="CW250" s="179"/>
    </row>
    <row r="251" spans="1:101" x14ac:dyDescent="0.2">
      <c r="A251" s="32" t="str">
        <f t="shared" ca="1" si="3"/>
        <v>2025-12-02</v>
      </c>
      <c r="B251" s="179">
        <f ca="1">IF(ISNUMBER(MATCH(DATEVALUE($A251),'changes1_based on steps'!B$1:B$400,0)),B$2,)</f>
        <v>0</v>
      </c>
      <c r="C251" s="179">
        <f ca="1">IF(ISNUMBER(MATCH(DATEVALUE($A251),'changes1_based on steps'!C$1:C$400,0)),C$2,)</f>
        <v>0</v>
      </c>
      <c r="D251" s="179">
        <f ca="1">IF(ISNUMBER(MATCH(DATEVALUE($A251),'changes1_based on steps'!D$1:D$400,0)),D$2,)</f>
        <v>0</v>
      </c>
      <c r="E251" s="179">
        <f ca="1">IF(ISNUMBER(MATCH(DATEVALUE($A251),'changes1_based on steps'!E$1:E$400,0)),E$2,)</f>
        <v>0</v>
      </c>
      <c r="F251" s="179">
        <f ca="1">IF(ISNUMBER(MATCH(DATEVALUE($A251),'changes1_based on steps'!F$1:F$400,0)),F$2,)</f>
        <v>0</v>
      </c>
      <c r="G251" s="179">
        <f ca="1">IF(ISNUMBER(MATCH(DATEVALUE($A251),'changes1_based on steps'!G$1:G$400,0)),G$2,)</f>
        <v>0</v>
      </c>
      <c r="H251" s="179">
        <f ca="1">IF(ISNUMBER(MATCH(DATEVALUE($A251),'changes1_based on steps'!H$1:H$400,0)),H$2,)</f>
        <v>0</v>
      </c>
      <c r="I251" s="179">
        <f ca="1">IF(ISNUMBER(MATCH(DATEVALUE($A251),'changes1_based on steps'!I$1:I$400,0)),I$2,)</f>
        <v>0</v>
      </c>
      <c r="J251" s="179">
        <f ca="1">IF(ISNUMBER(MATCH(DATEVALUE($A251),'changes1_based on steps'!J$1:J$400,0)),J$2,)</f>
        <v>0</v>
      </c>
      <c r="K251" s="179">
        <f ca="1">IF(ISNUMBER(MATCH(DATEVALUE($A251),'changes1_based on steps'!K$1:K$400,0)),K$2,)</f>
        <v>0</v>
      </c>
      <c r="L251" s="179">
        <f ca="1">IF(ISNUMBER(MATCH(DATEVALUE($A251),'changes1_based on steps'!L$1:L$400,0)),L$2,)</f>
        <v>0</v>
      </c>
      <c r="M251" s="179">
        <f ca="1">IF(ISNUMBER(MATCH(DATEVALUE($A251),'changes1_based on steps'!M$1:M$400,0)),M$2,)</f>
        <v>0</v>
      </c>
      <c r="N251" s="179">
        <f ca="1">IF(ISNUMBER(MATCH(DATEVALUE($A251),'changes1_based on steps'!N$1:N$400,0)),N$2,)</f>
        <v>0</v>
      </c>
      <c r="O251" s="179">
        <f ca="1">IF(ISNUMBER(MATCH(DATEVALUE($A251),'changes1_based on steps'!O$1:O$400,0)),O$2,)</f>
        <v>0</v>
      </c>
      <c r="P251" s="179">
        <f ca="1">IF(ISNUMBER(MATCH(DATEVALUE($A251),'changes1_based on steps'!P$1:P$400,0)),P$2,)</f>
        <v>0</v>
      </c>
      <c r="Q251" s="179">
        <f ca="1">IF(ISNUMBER(MATCH(DATEVALUE($A251),'changes1_based on steps'!Q$1:Q$400,0)),Q$2,)</f>
        <v>0</v>
      </c>
      <c r="R251" s="179">
        <f ca="1">IF(ISNUMBER(MATCH(DATEVALUE($A251),'changes1_based on steps'!R$1:R$400,0)),R$2,)</f>
        <v>0</v>
      </c>
      <c r="S251" s="179">
        <f ca="1">IF(ISNUMBER(MATCH(DATEVALUE($A251),'changes1_based on steps'!S$1:S$400,0)),S$2,)</f>
        <v>0</v>
      </c>
      <c r="T251" s="179">
        <f ca="1">IF(ISNUMBER(MATCH(DATEVALUE($A251),'changes1_based on steps'!T$1:T$400,0)),T$2,)</f>
        <v>0</v>
      </c>
      <c r="U251" s="179">
        <f ca="1">IF(ISNUMBER(MATCH(DATEVALUE($A251),'changes1_based on steps'!U$1:U$400,0)),U$2,)</f>
        <v>0</v>
      </c>
      <c r="V251" s="179"/>
      <c r="W251" s="179"/>
      <c r="X251" s="179"/>
      <c r="Y251" s="179"/>
      <c r="Z251" s="179"/>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c r="AV251" s="179"/>
      <c r="AW251" s="179"/>
      <c r="AX251" s="179"/>
      <c r="AY251" s="179"/>
      <c r="AZ251" s="179"/>
      <c r="BA251" s="179"/>
      <c r="BB251" s="179"/>
      <c r="BC251" s="179"/>
      <c r="BD251" s="179"/>
      <c r="BE251" s="179"/>
      <c r="BF251" s="179"/>
      <c r="BG251" s="179"/>
      <c r="BH251" s="179"/>
      <c r="BI251" s="179"/>
      <c r="BJ251" s="179"/>
      <c r="BK251" s="179"/>
      <c r="BL251" s="179"/>
      <c r="BM251" s="179"/>
      <c r="BN251" s="179"/>
      <c r="BO251" s="179"/>
      <c r="BP251" s="179"/>
      <c r="BQ251" s="179"/>
      <c r="BR251" s="179"/>
      <c r="BS251" s="179"/>
      <c r="BT251" s="179"/>
      <c r="BU251" s="179"/>
      <c r="BV251" s="179"/>
      <c r="BW251" s="179"/>
      <c r="BX251" s="179"/>
      <c r="BY251" s="179"/>
      <c r="BZ251" s="179"/>
      <c r="CA251" s="179"/>
      <c r="CB251" s="179"/>
      <c r="CC251" s="179"/>
      <c r="CD251" s="179"/>
      <c r="CE251" s="179"/>
      <c r="CF251" s="179"/>
      <c r="CG251" s="179"/>
      <c r="CH251" s="179"/>
      <c r="CI251" s="179"/>
      <c r="CJ251" s="179"/>
      <c r="CK251" s="179"/>
      <c r="CL251" s="179"/>
      <c r="CM251" s="179"/>
      <c r="CN251" s="179"/>
      <c r="CO251" s="179"/>
      <c r="CP251" s="179"/>
      <c r="CQ251" s="179"/>
      <c r="CR251" s="179"/>
      <c r="CS251" s="179"/>
      <c r="CT251" s="179"/>
      <c r="CU251" s="179"/>
      <c r="CV251" s="179"/>
      <c r="CW251" s="179"/>
    </row>
    <row r="252" spans="1:101" x14ac:dyDescent="0.2">
      <c r="A252" s="32" t="str">
        <f t="shared" ca="1" si="3"/>
        <v>2025-12-03</v>
      </c>
      <c r="B252" s="179">
        <f ca="1">IF(ISNUMBER(MATCH(DATEVALUE($A252),'changes1_based on steps'!B$1:B$400,0)),B$2,)</f>
        <v>0</v>
      </c>
      <c r="C252" s="179">
        <f ca="1">IF(ISNUMBER(MATCH(DATEVALUE($A252),'changes1_based on steps'!C$1:C$400,0)),C$2,)</f>
        <v>0</v>
      </c>
      <c r="D252" s="179">
        <f ca="1">IF(ISNUMBER(MATCH(DATEVALUE($A252),'changes1_based on steps'!D$1:D$400,0)),D$2,)</f>
        <v>0</v>
      </c>
      <c r="E252" s="179">
        <f ca="1">IF(ISNUMBER(MATCH(DATEVALUE($A252),'changes1_based on steps'!E$1:E$400,0)),E$2,)</f>
        <v>0</v>
      </c>
      <c r="F252" s="179">
        <f ca="1">IF(ISNUMBER(MATCH(DATEVALUE($A252),'changes1_based on steps'!F$1:F$400,0)),F$2,)</f>
        <v>0</v>
      </c>
      <c r="G252" s="179">
        <f ca="1">IF(ISNUMBER(MATCH(DATEVALUE($A252),'changes1_based on steps'!G$1:G$400,0)),G$2,)</f>
        <v>0</v>
      </c>
      <c r="H252" s="179">
        <f ca="1">IF(ISNUMBER(MATCH(DATEVALUE($A252),'changes1_based on steps'!H$1:H$400,0)),H$2,)</f>
        <v>0</v>
      </c>
      <c r="I252" s="179">
        <f ca="1">IF(ISNUMBER(MATCH(DATEVALUE($A252),'changes1_based on steps'!I$1:I$400,0)),I$2,)</f>
        <v>0</v>
      </c>
      <c r="J252" s="179">
        <f ca="1">IF(ISNUMBER(MATCH(DATEVALUE($A252),'changes1_based on steps'!J$1:J$400,0)),J$2,)</f>
        <v>0</v>
      </c>
      <c r="K252" s="179">
        <f ca="1">IF(ISNUMBER(MATCH(DATEVALUE($A252),'changes1_based on steps'!K$1:K$400,0)),K$2,)</f>
        <v>0</v>
      </c>
      <c r="L252" s="179">
        <f ca="1">IF(ISNUMBER(MATCH(DATEVALUE($A252),'changes1_based on steps'!L$1:L$400,0)),L$2,)</f>
        <v>0</v>
      </c>
      <c r="M252" s="179">
        <f ca="1">IF(ISNUMBER(MATCH(DATEVALUE($A252),'changes1_based on steps'!M$1:M$400,0)),M$2,)</f>
        <v>0</v>
      </c>
      <c r="N252" s="179">
        <f ca="1">IF(ISNUMBER(MATCH(DATEVALUE($A252),'changes1_based on steps'!N$1:N$400,0)),N$2,)</f>
        <v>0</v>
      </c>
      <c r="O252" s="179">
        <f ca="1">IF(ISNUMBER(MATCH(DATEVALUE($A252),'changes1_based on steps'!O$1:O$400,0)),O$2,)</f>
        <v>0</v>
      </c>
      <c r="P252" s="179">
        <f ca="1">IF(ISNUMBER(MATCH(DATEVALUE($A252),'changes1_based on steps'!P$1:P$400,0)),P$2,)</f>
        <v>0</v>
      </c>
      <c r="Q252" s="179">
        <f ca="1">IF(ISNUMBER(MATCH(DATEVALUE($A252),'changes1_based on steps'!Q$1:Q$400,0)),Q$2,)</f>
        <v>0</v>
      </c>
      <c r="R252" s="179">
        <f ca="1">IF(ISNUMBER(MATCH(DATEVALUE($A252),'changes1_based on steps'!R$1:R$400,0)),R$2,)</f>
        <v>0</v>
      </c>
      <c r="S252" s="179">
        <f ca="1">IF(ISNUMBER(MATCH(DATEVALUE($A252),'changes1_based on steps'!S$1:S$400,0)),S$2,)</f>
        <v>0</v>
      </c>
      <c r="T252" s="179">
        <f ca="1">IF(ISNUMBER(MATCH(DATEVALUE($A252),'changes1_based on steps'!T$1:T$400,0)),T$2,)</f>
        <v>0</v>
      </c>
      <c r="U252" s="179">
        <f ca="1">IF(ISNUMBER(MATCH(DATEVALUE($A252),'changes1_based on steps'!U$1:U$400,0)),U$2,)</f>
        <v>0</v>
      </c>
      <c r="V252" s="179"/>
      <c r="W252" s="179"/>
      <c r="X252" s="179"/>
      <c r="Y252" s="179"/>
      <c r="Z252" s="179"/>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c r="AV252" s="179"/>
      <c r="AW252" s="179"/>
      <c r="AX252" s="179"/>
      <c r="AY252" s="179"/>
      <c r="AZ252" s="179"/>
      <c r="BA252" s="179"/>
      <c r="BB252" s="179"/>
      <c r="BC252" s="179"/>
      <c r="BD252" s="179"/>
      <c r="BE252" s="179"/>
      <c r="BF252" s="179"/>
      <c r="BG252" s="179"/>
      <c r="BH252" s="179"/>
      <c r="BI252" s="179"/>
      <c r="BJ252" s="179"/>
      <c r="BK252" s="179"/>
      <c r="BL252" s="179"/>
      <c r="BM252" s="179"/>
      <c r="BN252" s="179"/>
      <c r="BO252" s="179"/>
      <c r="BP252" s="179"/>
      <c r="BQ252" s="179"/>
      <c r="BR252" s="179"/>
      <c r="BS252" s="179"/>
      <c r="BT252" s="179"/>
      <c r="BU252" s="179"/>
      <c r="BV252" s="179"/>
      <c r="BW252" s="179"/>
      <c r="BX252" s="179"/>
      <c r="BY252" s="179"/>
      <c r="BZ252" s="179"/>
      <c r="CA252" s="179"/>
      <c r="CB252" s="179"/>
      <c r="CC252" s="179"/>
      <c r="CD252" s="179"/>
      <c r="CE252" s="179"/>
      <c r="CF252" s="179"/>
      <c r="CG252" s="179"/>
      <c r="CH252" s="179"/>
      <c r="CI252" s="179"/>
      <c r="CJ252" s="179"/>
      <c r="CK252" s="179"/>
      <c r="CL252" s="179"/>
      <c r="CM252" s="179"/>
      <c r="CN252" s="179"/>
      <c r="CO252" s="179"/>
      <c r="CP252" s="179"/>
      <c r="CQ252" s="179"/>
      <c r="CR252" s="179"/>
      <c r="CS252" s="179"/>
      <c r="CT252" s="179"/>
      <c r="CU252" s="179"/>
      <c r="CV252" s="179"/>
      <c r="CW252" s="179"/>
    </row>
    <row r="253" spans="1:101" x14ac:dyDescent="0.2">
      <c r="A253" s="32" t="str">
        <f t="shared" ca="1" si="3"/>
        <v>2025-12-04</v>
      </c>
      <c r="B253" s="179">
        <f ca="1">IF(ISNUMBER(MATCH(DATEVALUE($A253),'changes1_based on steps'!B$1:B$400,0)),B$2,)</f>
        <v>0</v>
      </c>
      <c r="C253" s="179">
        <f ca="1">IF(ISNUMBER(MATCH(DATEVALUE($A253),'changes1_based on steps'!C$1:C$400,0)),C$2,)</f>
        <v>0</v>
      </c>
      <c r="D253" s="179">
        <f ca="1">IF(ISNUMBER(MATCH(DATEVALUE($A253),'changes1_based on steps'!D$1:D$400,0)),D$2,)</f>
        <v>0</v>
      </c>
      <c r="E253" s="179">
        <f ca="1">IF(ISNUMBER(MATCH(DATEVALUE($A253),'changes1_based on steps'!E$1:E$400,0)),E$2,)</f>
        <v>0</v>
      </c>
      <c r="F253" s="179">
        <f ca="1">IF(ISNUMBER(MATCH(DATEVALUE($A253),'changes1_based on steps'!F$1:F$400,0)),F$2,)</f>
        <v>0</v>
      </c>
      <c r="G253" s="179">
        <f ca="1">IF(ISNUMBER(MATCH(DATEVALUE($A253),'changes1_based on steps'!G$1:G$400,0)),G$2,)</f>
        <v>0</v>
      </c>
      <c r="H253" s="179">
        <f ca="1">IF(ISNUMBER(MATCH(DATEVALUE($A253),'changes1_based on steps'!H$1:H$400,0)),H$2,)</f>
        <v>0</v>
      </c>
      <c r="I253" s="179">
        <f ca="1">IF(ISNUMBER(MATCH(DATEVALUE($A253),'changes1_based on steps'!I$1:I$400,0)),I$2,)</f>
        <v>0</v>
      </c>
      <c r="J253" s="179">
        <f ca="1">IF(ISNUMBER(MATCH(DATEVALUE($A253),'changes1_based on steps'!J$1:J$400,0)),J$2,)</f>
        <v>0</v>
      </c>
      <c r="K253" s="179">
        <f ca="1">IF(ISNUMBER(MATCH(DATEVALUE($A253),'changes1_based on steps'!K$1:K$400,0)),K$2,)</f>
        <v>0</v>
      </c>
      <c r="L253" s="179">
        <f ca="1">IF(ISNUMBER(MATCH(DATEVALUE($A253),'changes1_based on steps'!L$1:L$400,0)),L$2,)</f>
        <v>0</v>
      </c>
      <c r="M253" s="179">
        <f ca="1">IF(ISNUMBER(MATCH(DATEVALUE($A253),'changes1_based on steps'!M$1:M$400,0)),M$2,)</f>
        <v>0</v>
      </c>
      <c r="N253" s="179">
        <f ca="1">IF(ISNUMBER(MATCH(DATEVALUE($A253),'changes1_based on steps'!N$1:N$400,0)),N$2,)</f>
        <v>0</v>
      </c>
      <c r="O253" s="179">
        <f ca="1">IF(ISNUMBER(MATCH(DATEVALUE($A253),'changes1_based on steps'!O$1:O$400,0)),O$2,)</f>
        <v>0</v>
      </c>
      <c r="P253" s="179">
        <f ca="1">IF(ISNUMBER(MATCH(DATEVALUE($A253),'changes1_based on steps'!P$1:P$400,0)),P$2,)</f>
        <v>0</v>
      </c>
      <c r="Q253" s="179">
        <f ca="1">IF(ISNUMBER(MATCH(DATEVALUE($A253),'changes1_based on steps'!Q$1:Q$400,0)),Q$2,)</f>
        <v>0</v>
      </c>
      <c r="R253" s="179">
        <f ca="1">IF(ISNUMBER(MATCH(DATEVALUE($A253),'changes1_based on steps'!R$1:R$400,0)),R$2,)</f>
        <v>0</v>
      </c>
      <c r="S253" s="179">
        <f ca="1">IF(ISNUMBER(MATCH(DATEVALUE($A253),'changes1_based on steps'!S$1:S$400,0)),S$2,)</f>
        <v>0</v>
      </c>
      <c r="T253" s="179">
        <f ca="1">IF(ISNUMBER(MATCH(DATEVALUE($A253),'changes1_based on steps'!T$1:T$400,0)),T$2,)</f>
        <v>0</v>
      </c>
      <c r="U253" s="179">
        <f ca="1">IF(ISNUMBER(MATCH(DATEVALUE($A253),'changes1_based on steps'!U$1:U$400,0)),U$2,)</f>
        <v>0</v>
      </c>
      <c r="V253" s="179"/>
      <c r="W253" s="179"/>
      <c r="X253" s="179"/>
      <c r="Y253" s="179"/>
      <c r="Z253" s="179"/>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c r="AV253" s="179"/>
      <c r="AW253" s="179"/>
      <c r="AX253" s="179"/>
      <c r="AY253" s="179"/>
      <c r="AZ253" s="179"/>
      <c r="BA253" s="179"/>
      <c r="BB253" s="179"/>
      <c r="BC253" s="179"/>
      <c r="BD253" s="179"/>
      <c r="BE253" s="179"/>
      <c r="BF253" s="179"/>
      <c r="BG253" s="179"/>
      <c r="BH253" s="179"/>
      <c r="BI253" s="179"/>
      <c r="BJ253" s="179"/>
      <c r="BK253" s="179"/>
      <c r="BL253" s="179"/>
      <c r="BM253" s="179"/>
      <c r="BN253" s="179"/>
      <c r="BO253" s="179"/>
      <c r="BP253" s="179"/>
      <c r="BQ253" s="179"/>
      <c r="BR253" s="179"/>
      <c r="BS253" s="179"/>
      <c r="BT253" s="179"/>
      <c r="BU253" s="179"/>
      <c r="BV253" s="179"/>
      <c r="BW253" s="179"/>
      <c r="BX253" s="179"/>
      <c r="BY253" s="179"/>
      <c r="BZ253" s="179"/>
      <c r="CA253" s="179"/>
      <c r="CB253" s="179"/>
      <c r="CC253" s="179"/>
      <c r="CD253" s="179"/>
      <c r="CE253" s="179"/>
      <c r="CF253" s="179"/>
      <c r="CG253" s="179"/>
      <c r="CH253" s="179"/>
      <c r="CI253" s="179"/>
      <c r="CJ253" s="179"/>
      <c r="CK253" s="179"/>
      <c r="CL253" s="179"/>
      <c r="CM253" s="179"/>
      <c r="CN253" s="179"/>
      <c r="CO253" s="179"/>
      <c r="CP253" s="179"/>
      <c r="CQ253" s="179"/>
      <c r="CR253" s="179"/>
      <c r="CS253" s="179"/>
      <c r="CT253" s="179"/>
      <c r="CU253" s="179"/>
      <c r="CV253" s="179"/>
      <c r="CW253" s="179"/>
    </row>
    <row r="254" spans="1:101" x14ac:dyDescent="0.2">
      <c r="A254" s="32" t="str">
        <f t="shared" ca="1" si="3"/>
        <v>2025-12-05</v>
      </c>
      <c r="B254" s="179">
        <f ca="1">IF(ISNUMBER(MATCH(DATEVALUE($A254),'changes1_based on steps'!B$1:B$400,0)),B$2,)</f>
        <v>0</v>
      </c>
      <c r="C254" s="179">
        <f ca="1">IF(ISNUMBER(MATCH(DATEVALUE($A254),'changes1_based on steps'!C$1:C$400,0)),C$2,)</f>
        <v>0</v>
      </c>
      <c r="D254" s="179">
        <f ca="1">IF(ISNUMBER(MATCH(DATEVALUE($A254),'changes1_based on steps'!D$1:D$400,0)),D$2,)</f>
        <v>0</v>
      </c>
      <c r="E254" s="179">
        <f ca="1">IF(ISNUMBER(MATCH(DATEVALUE($A254),'changes1_based on steps'!E$1:E$400,0)),E$2,)</f>
        <v>0</v>
      </c>
      <c r="F254" s="179">
        <f ca="1">IF(ISNUMBER(MATCH(DATEVALUE($A254),'changes1_based on steps'!F$1:F$400,0)),F$2,)</f>
        <v>0</v>
      </c>
      <c r="G254" s="179">
        <f ca="1">IF(ISNUMBER(MATCH(DATEVALUE($A254),'changes1_based on steps'!G$1:G$400,0)),G$2,)</f>
        <v>0</v>
      </c>
      <c r="H254" s="179">
        <f ca="1">IF(ISNUMBER(MATCH(DATEVALUE($A254),'changes1_based on steps'!H$1:H$400,0)),H$2,)</f>
        <v>0</v>
      </c>
      <c r="I254" s="179">
        <f ca="1">IF(ISNUMBER(MATCH(DATEVALUE($A254),'changes1_based on steps'!I$1:I$400,0)),I$2,)</f>
        <v>0</v>
      </c>
      <c r="J254" s="179">
        <f ca="1">IF(ISNUMBER(MATCH(DATEVALUE($A254),'changes1_based on steps'!J$1:J$400,0)),J$2,)</f>
        <v>0</v>
      </c>
      <c r="K254" s="179">
        <f ca="1">IF(ISNUMBER(MATCH(DATEVALUE($A254),'changes1_based on steps'!K$1:K$400,0)),K$2,)</f>
        <v>0</v>
      </c>
      <c r="L254" s="179">
        <f ca="1">IF(ISNUMBER(MATCH(DATEVALUE($A254),'changes1_based on steps'!L$1:L$400,0)),L$2,)</f>
        <v>0</v>
      </c>
      <c r="M254" s="179">
        <f ca="1">IF(ISNUMBER(MATCH(DATEVALUE($A254),'changes1_based on steps'!M$1:M$400,0)),M$2,)</f>
        <v>0</v>
      </c>
      <c r="N254" s="179">
        <f ca="1">IF(ISNUMBER(MATCH(DATEVALUE($A254),'changes1_based on steps'!N$1:N$400,0)),N$2,)</f>
        <v>0</v>
      </c>
      <c r="O254" s="179">
        <f ca="1">IF(ISNUMBER(MATCH(DATEVALUE($A254),'changes1_based on steps'!O$1:O$400,0)),O$2,)</f>
        <v>0</v>
      </c>
      <c r="P254" s="179">
        <f ca="1">IF(ISNUMBER(MATCH(DATEVALUE($A254),'changes1_based on steps'!P$1:P$400,0)),P$2,)</f>
        <v>0</v>
      </c>
      <c r="Q254" s="179">
        <f ca="1">IF(ISNUMBER(MATCH(DATEVALUE($A254),'changes1_based on steps'!Q$1:Q$400,0)),Q$2,)</f>
        <v>0</v>
      </c>
      <c r="R254" s="179">
        <f ca="1">IF(ISNUMBER(MATCH(DATEVALUE($A254),'changes1_based on steps'!R$1:R$400,0)),R$2,)</f>
        <v>0</v>
      </c>
      <c r="S254" s="179">
        <f ca="1">IF(ISNUMBER(MATCH(DATEVALUE($A254),'changes1_based on steps'!S$1:S$400,0)),S$2,)</f>
        <v>0</v>
      </c>
      <c r="T254" s="179">
        <f ca="1">IF(ISNUMBER(MATCH(DATEVALUE($A254),'changes1_based on steps'!T$1:T$400,0)),T$2,)</f>
        <v>0</v>
      </c>
      <c r="U254" s="179">
        <f ca="1">IF(ISNUMBER(MATCH(DATEVALUE($A254),'changes1_based on steps'!U$1:U$400,0)),U$2,)</f>
        <v>0</v>
      </c>
      <c r="V254" s="179"/>
      <c r="W254" s="179"/>
      <c r="X254" s="179"/>
      <c r="Y254" s="179"/>
      <c r="Z254" s="179"/>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c r="AV254" s="179"/>
      <c r="AW254" s="179"/>
      <c r="AX254" s="179"/>
      <c r="AY254" s="179"/>
      <c r="AZ254" s="179"/>
      <c r="BA254" s="179"/>
      <c r="BB254" s="179"/>
      <c r="BC254" s="179"/>
      <c r="BD254" s="179"/>
      <c r="BE254" s="179"/>
      <c r="BF254" s="179"/>
      <c r="BG254" s="179"/>
      <c r="BH254" s="179"/>
      <c r="BI254" s="179"/>
      <c r="BJ254" s="179"/>
      <c r="BK254" s="179"/>
      <c r="BL254" s="179"/>
      <c r="BM254" s="179"/>
      <c r="BN254" s="179"/>
      <c r="BO254" s="179"/>
      <c r="BP254" s="179"/>
      <c r="BQ254" s="179"/>
      <c r="BR254" s="179"/>
      <c r="BS254" s="179"/>
      <c r="BT254" s="179"/>
      <c r="BU254" s="179"/>
      <c r="BV254" s="179"/>
      <c r="BW254" s="179"/>
      <c r="BX254" s="179"/>
      <c r="BY254" s="179"/>
      <c r="BZ254" s="179"/>
      <c r="CA254" s="179"/>
      <c r="CB254" s="179"/>
      <c r="CC254" s="179"/>
      <c r="CD254" s="179"/>
      <c r="CE254" s="179"/>
      <c r="CF254" s="179"/>
      <c r="CG254" s="179"/>
      <c r="CH254" s="179"/>
      <c r="CI254" s="179"/>
      <c r="CJ254" s="179"/>
      <c r="CK254" s="179"/>
      <c r="CL254" s="179"/>
      <c r="CM254" s="179"/>
      <c r="CN254" s="179"/>
      <c r="CO254" s="179"/>
      <c r="CP254" s="179"/>
      <c r="CQ254" s="179"/>
      <c r="CR254" s="179"/>
      <c r="CS254" s="179"/>
      <c r="CT254" s="179"/>
      <c r="CU254" s="179"/>
      <c r="CV254" s="179"/>
      <c r="CW254" s="179"/>
    </row>
    <row r="255" spans="1:101" x14ac:dyDescent="0.2">
      <c r="A255" s="32" t="str">
        <f t="shared" ca="1" si="3"/>
        <v>2025-12-06</v>
      </c>
      <c r="B255" s="179">
        <f ca="1">IF(ISNUMBER(MATCH(DATEVALUE($A255),'changes1_based on steps'!B$1:B$400,0)),B$2,)</f>
        <v>0</v>
      </c>
      <c r="C255" s="179">
        <f ca="1">IF(ISNUMBER(MATCH(DATEVALUE($A255),'changes1_based on steps'!C$1:C$400,0)),C$2,)</f>
        <v>0</v>
      </c>
      <c r="D255" s="179">
        <f ca="1">IF(ISNUMBER(MATCH(DATEVALUE($A255),'changes1_based on steps'!D$1:D$400,0)),D$2,)</f>
        <v>0</v>
      </c>
      <c r="E255" s="179">
        <f ca="1">IF(ISNUMBER(MATCH(DATEVALUE($A255),'changes1_based on steps'!E$1:E$400,0)),E$2,)</f>
        <v>0</v>
      </c>
      <c r="F255" s="179">
        <f ca="1">IF(ISNUMBER(MATCH(DATEVALUE($A255),'changes1_based on steps'!F$1:F$400,0)),F$2,)</f>
        <v>0</v>
      </c>
      <c r="G255" s="179">
        <f ca="1">IF(ISNUMBER(MATCH(DATEVALUE($A255),'changes1_based on steps'!G$1:G$400,0)),G$2,)</f>
        <v>0</v>
      </c>
      <c r="H255" s="179">
        <f ca="1">IF(ISNUMBER(MATCH(DATEVALUE($A255),'changes1_based on steps'!H$1:H$400,0)),H$2,)</f>
        <v>0</v>
      </c>
      <c r="I255" s="179">
        <f ca="1">IF(ISNUMBER(MATCH(DATEVALUE($A255),'changes1_based on steps'!I$1:I$400,0)),I$2,)</f>
        <v>0</v>
      </c>
      <c r="J255" s="179">
        <f ca="1">IF(ISNUMBER(MATCH(DATEVALUE($A255),'changes1_based on steps'!J$1:J$400,0)),J$2,)</f>
        <v>0</v>
      </c>
      <c r="K255" s="179">
        <f ca="1">IF(ISNUMBER(MATCH(DATEVALUE($A255),'changes1_based on steps'!K$1:K$400,0)),K$2,)</f>
        <v>0</v>
      </c>
      <c r="L255" s="179">
        <f ca="1">IF(ISNUMBER(MATCH(DATEVALUE($A255),'changes1_based on steps'!L$1:L$400,0)),L$2,)</f>
        <v>0</v>
      </c>
      <c r="M255" s="179">
        <f ca="1">IF(ISNUMBER(MATCH(DATEVALUE($A255),'changes1_based on steps'!M$1:M$400,0)),M$2,)</f>
        <v>0</v>
      </c>
      <c r="N255" s="179">
        <f ca="1">IF(ISNUMBER(MATCH(DATEVALUE($A255),'changes1_based on steps'!N$1:N$400,0)),N$2,)</f>
        <v>0</v>
      </c>
      <c r="O255" s="179">
        <f ca="1">IF(ISNUMBER(MATCH(DATEVALUE($A255),'changes1_based on steps'!O$1:O$400,0)),O$2,)</f>
        <v>0</v>
      </c>
      <c r="P255" s="179">
        <f ca="1">IF(ISNUMBER(MATCH(DATEVALUE($A255),'changes1_based on steps'!P$1:P$400,0)),P$2,)</f>
        <v>0</v>
      </c>
      <c r="Q255" s="179">
        <f ca="1">IF(ISNUMBER(MATCH(DATEVALUE($A255),'changes1_based on steps'!Q$1:Q$400,0)),Q$2,)</f>
        <v>0</v>
      </c>
      <c r="R255" s="179">
        <f ca="1">IF(ISNUMBER(MATCH(DATEVALUE($A255),'changes1_based on steps'!R$1:R$400,0)),R$2,)</f>
        <v>0</v>
      </c>
      <c r="S255" s="179">
        <f ca="1">IF(ISNUMBER(MATCH(DATEVALUE($A255),'changes1_based on steps'!S$1:S$400,0)),S$2,)</f>
        <v>0</v>
      </c>
      <c r="T255" s="179">
        <f ca="1">IF(ISNUMBER(MATCH(DATEVALUE($A255),'changes1_based on steps'!T$1:T$400,0)),T$2,)</f>
        <v>0</v>
      </c>
      <c r="U255" s="179">
        <f ca="1">IF(ISNUMBER(MATCH(DATEVALUE($A255),'changes1_based on steps'!U$1:U$400,0)),U$2,)</f>
        <v>0</v>
      </c>
      <c r="V255" s="179"/>
      <c r="W255" s="179"/>
      <c r="X255" s="179"/>
      <c r="Y255" s="179"/>
      <c r="Z255" s="179"/>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c r="AV255" s="179"/>
      <c r="AW255" s="179"/>
      <c r="AX255" s="179"/>
      <c r="AY255" s="179"/>
      <c r="AZ255" s="179"/>
      <c r="BA255" s="179"/>
      <c r="BB255" s="179"/>
      <c r="BC255" s="179"/>
      <c r="BD255" s="179"/>
      <c r="BE255" s="179"/>
      <c r="BF255" s="179"/>
      <c r="BG255" s="179"/>
      <c r="BH255" s="179"/>
      <c r="BI255" s="179"/>
      <c r="BJ255" s="179"/>
      <c r="BK255" s="179"/>
      <c r="BL255" s="179"/>
      <c r="BM255" s="179"/>
      <c r="BN255" s="179"/>
      <c r="BO255" s="179"/>
      <c r="BP255" s="179"/>
      <c r="BQ255" s="179"/>
      <c r="BR255" s="179"/>
      <c r="BS255" s="179"/>
      <c r="BT255" s="179"/>
      <c r="BU255" s="179"/>
      <c r="BV255" s="179"/>
      <c r="BW255" s="179"/>
      <c r="BX255" s="179"/>
      <c r="BY255" s="179"/>
      <c r="BZ255" s="179"/>
      <c r="CA255" s="179"/>
      <c r="CB255" s="179"/>
      <c r="CC255" s="179"/>
      <c r="CD255" s="179"/>
      <c r="CE255" s="179"/>
      <c r="CF255" s="179"/>
      <c r="CG255" s="179"/>
      <c r="CH255" s="179"/>
      <c r="CI255" s="179"/>
      <c r="CJ255" s="179"/>
      <c r="CK255" s="179"/>
      <c r="CL255" s="179"/>
      <c r="CM255" s="179"/>
      <c r="CN255" s="179"/>
      <c r="CO255" s="179"/>
      <c r="CP255" s="179"/>
      <c r="CQ255" s="179"/>
      <c r="CR255" s="179"/>
      <c r="CS255" s="179"/>
      <c r="CT255" s="179"/>
      <c r="CU255" s="179"/>
      <c r="CV255" s="179"/>
      <c r="CW255" s="179"/>
    </row>
    <row r="256" spans="1:101" x14ac:dyDescent="0.2">
      <c r="A256" s="32" t="str">
        <f t="shared" ca="1" si="3"/>
        <v>2025-12-07</v>
      </c>
      <c r="B256" s="179">
        <f ca="1">IF(ISNUMBER(MATCH(DATEVALUE($A256),'changes1_based on steps'!B$1:B$400,0)),B$2,)</f>
        <v>0</v>
      </c>
      <c r="C256" s="179">
        <f ca="1">IF(ISNUMBER(MATCH(DATEVALUE($A256),'changes1_based on steps'!C$1:C$400,0)),C$2,)</f>
        <v>0</v>
      </c>
      <c r="D256" s="179">
        <f ca="1">IF(ISNUMBER(MATCH(DATEVALUE($A256),'changes1_based on steps'!D$1:D$400,0)),D$2,)</f>
        <v>0</v>
      </c>
      <c r="E256" s="179">
        <f ca="1">IF(ISNUMBER(MATCH(DATEVALUE($A256),'changes1_based on steps'!E$1:E$400,0)),E$2,)</f>
        <v>0</v>
      </c>
      <c r="F256" s="179">
        <f ca="1">IF(ISNUMBER(MATCH(DATEVALUE($A256),'changes1_based on steps'!F$1:F$400,0)),F$2,)</f>
        <v>0</v>
      </c>
      <c r="G256" s="179">
        <f ca="1">IF(ISNUMBER(MATCH(DATEVALUE($A256),'changes1_based on steps'!G$1:G$400,0)),G$2,)</f>
        <v>0</v>
      </c>
      <c r="H256" s="179">
        <f ca="1">IF(ISNUMBER(MATCH(DATEVALUE($A256),'changes1_based on steps'!H$1:H$400,0)),H$2,)</f>
        <v>0</v>
      </c>
      <c r="I256" s="179">
        <f ca="1">IF(ISNUMBER(MATCH(DATEVALUE($A256),'changes1_based on steps'!I$1:I$400,0)),I$2,)</f>
        <v>0</v>
      </c>
      <c r="J256" s="179">
        <f ca="1">IF(ISNUMBER(MATCH(DATEVALUE($A256),'changes1_based on steps'!J$1:J$400,0)),J$2,)</f>
        <v>0</v>
      </c>
      <c r="K256" s="179">
        <f ca="1">IF(ISNUMBER(MATCH(DATEVALUE($A256),'changes1_based on steps'!K$1:K$400,0)),K$2,)</f>
        <v>0</v>
      </c>
      <c r="L256" s="179">
        <f ca="1">IF(ISNUMBER(MATCH(DATEVALUE($A256),'changes1_based on steps'!L$1:L$400,0)),L$2,)</f>
        <v>0</v>
      </c>
      <c r="M256" s="179">
        <f ca="1">IF(ISNUMBER(MATCH(DATEVALUE($A256),'changes1_based on steps'!M$1:M$400,0)),M$2,)</f>
        <v>0</v>
      </c>
      <c r="N256" s="179">
        <f ca="1">IF(ISNUMBER(MATCH(DATEVALUE($A256),'changes1_based on steps'!N$1:N$400,0)),N$2,)</f>
        <v>0</v>
      </c>
      <c r="O256" s="179">
        <f ca="1">IF(ISNUMBER(MATCH(DATEVALUE($A256),'changes1_based on steps'!O$1:O$400,0)),O$2,)</f>
        <v>0</v>
      </c>
      <c r="P256" s="179">
        <f ca="1">IF(ISNUMBER(MATCH(DATEVALUE($A256),'changes1_based on steps'!P$1:P$400,0)),P$2,)</f>
        <v>0</v>
      </c>
      <c r="Q256" s="179">
        <f ca="1">IF(ISNUMBER(MATCH(DATEVALUE($A256),'changes1_based on steps'!Q$1:Q$400,0)),Q$2,)</f>
        <v>0</v>
      </c>
      <c r="R256" s="179">
        <f ca="1">IF(ISNUMBER(MATCH(DATEVALUE($A256),'changes1_based on steps'!R$1:R$400,0)),R$2,)</f>
        <v>0</v>
      </c>
      <c r="S256" s="179">
        <f ca="1">IF(ISNUMBER(MATCH(DATEVALUE($A256),'changes1_based on steps'!S$1:S$400,0)),S$2,)</f>
        <v>0</v>
      </c>
      <c r="T256" s="179">
        <f ca="1">IF(ISNUMBER(MATCH(DATEVALUE($A256),'changes1_based on steps'!T$1:T$400,0)),T$2,)</f>
        <v>0</v>
      </c>
      <c r="U256" s="179">
        <f ca="1">IF(ISNUMBER(MATCH(DATEVALUE($A256),'changes1_based on steps'!U$1:U$400,0)),U$2,)</f>
        <v>0</v>
      </c>
      <c r="V256" s="179"/>
      <c r="W256" s="179"/>
      <c r="X256" s="179"/>
      <c r="Y256" s="179"/>
      <c r="Z256" s="179"/>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c r="AV256" s="179"/>
      <c r="AW256" s="179"/>
      <c r="AX256" s="179"/>
      <c r="AY256" s="179"/>
      <c r="AZ256" s="179"/>
      <c r="BA256" s="179"/>
      <c r="BB256" s="179"/>
      <c r="BC256" s="179"/>
      <c r="BD256" s="179"/>
      <c r="BE256" s="179"/>
      <c r="BF256" s="179"/>
      <c r="BG256" s="179"/>
      <c r="BH256" s="179"/>
      <c r="BI256" s="179"/>
      <c r="BJ256" s="179"/>
      <c r="BK256" s="179"/>
      <c r="BL256" s="179"/>
      <c r="BM256" s="179"/>
      <c r="BN256" s="179"/>
      <c r="BO256" s="179"/>
      <c r="BP256" s="179"/>
      <c r="BQ256" s="179"/>
      <c r="BR256" s="179"/>
      <c r="BS256" s="179"/>
      <c r="BT256" s="179"/>
      <c r="BU256" s="179"/>
      <c r="BV256" s="179"/>
      <c r="BW256" s="179"/>
      <c r="BX256" s="179"/>
      <c r="BY256" s="179"/>
      <c r="BZ256" s="179"/>
      <c r="CA256" s="179"/>
      <c r="CB256" s="179"/>
      <c r="CC256" s="179"/>
      <c r="CD256" s="179"/>
      <c r="CE256" s="179"/>
      <c r="CF256" s="179"/>
      <c r="CG256" s="179"/>
      <c r="CH256" s="179"/>
      <c r="CI256" s="179"/>
      <c r="CJ256" s="179"/>
      <c r="CK256" s="179"/>
      <c r="CL256" s="179"/>
      <c r="CM256" s="179"/>
      <c r="CN256" s="179"/>
      <c r="CO256" s="179"/>
      <c r="CP256" s="179"/>
      <c r="CQ256" s="179"/>
      <c r="CR256" s="179"/>
      <c r="CS256" s="179"/>
      <c r="CT256" s="179"/>
      <c r="CU256" s="179"/>
      <c r="CV256" s="179"/>
      <c r="CW256" s="179"/>
    </row>
    <row r="257" spans="1:101" x14ac:dyDescent="0.2">
      <c r="A257" s="32" t="str">
        <f t="shared" ca="1" si="3"/>
        <v>2025-12-08</v>
      </c>
      <c r="B257" s="179">
        <f ca="1">IF(ISNUMBER(MATCH(DATEVALUE($A257),'changes1_based on steps'!B$1:B$400,0)),B$2,)</f>
        <v>0</v>
      </c>
      <c r="C257" s="179">
        <f ca="1">IF(ISNUMBER(MATCH(DATEVALUE($A257),'changes1_based on steps'!C$1:C$400,0)),C$2,)</f>
        <v>0</v>
      </c>
      <c r="D257" s="179">
        <f ca="1">IF(ISNUMBER(MATCH(DATEVALUE($A257),'changes1_based on steps'!D$1:D$400,0)),D$2,)</f>
        <v>0</v>
      </c>
      <c r="E257" s="179">
        <f ca="1">IF(ISNUMBER(MATCH(DATEVALUE($A257),'changes1_based on steps'!E$1:E$400,0)),E$2,)</f>
        <v>0</v>
      </c>
      <c r="F257" s="179">
        <f ca="1">IF(ISNUMBER(MATCH(DATEVALUE($A257),'changes1_based on steps'!F$1:F$400,0)),F$2,)</f>
        <v>0</v>
      </c>
      <c r="G257" s="179">
        <f ca="1">IF(ISNUMBER(MATCH(DATEVALUE($A257),'changes1_based on steps'!G$1:G$400,0)),G$2,)</f>
        <v>0</v>
      </c>
      <c r="H257" s="179">
        <f ca="1">IF(ISNUMBER(MATCH(DATEVALUE($A257),'changes1_based on steps'!H$1:H$400,0)),H$2,)</f>
        <v>0</v>
      </c>
      <c r="I257" s="179">
        <f ca="1">IF(ISNUMBER(MATCH(DATEVALUE($A257),'changes1_based on steps'!I$1:I$400,0)),I$2,)</f>
        <v>0</v>
      </c>
      <c r="J257" s="179">
        <f ca="1">IF(ISNUMBER(MATCH(DATEVALUE($A257),'changes1_based on steps'!J$1:J$400,0)),J$2,)</f>
        <v>0</v>
      </c>
      <c r="K257" s="179">
        <f ca="1">IF(ISNUMBER(MATCH(DATEVALUE($A257),'changes1_based on steps'!K$1:K$400,0)),K$2,)</f>
        <v>0</v>
      </c>
      <c r="L257" s="179">
        <f ca="1">IF(ISNUMBER(MATCH(DATEVALUE($A257),'changes1_based on steps'!L$1:L$400,0)),L$2,)</f>
        <v>0</v>
      </c>
      <c r="M257" s="179">
        <f ca="1">IF(ISNUMBER(MATCH(DATEVALUE($A257),'changes1_based on steps'!M$1:M$400,0)),M$2,)</f>
        <v>0</v>
      </c>
      <c r="N257" s="179">
        <f ca="1">IF(ISNUMBER(MATCH(DATEVALUE($A257),'changes1_based on steps'!N$1:N$400,0)),N$2,)</f>
        <v>0</v>
      </c>
      <c r="O257" s="179">
        <f ca="1">IF(ISNUMBER(MATCH(DATEVALUE($A257),'changes1_based on steps'!O$1:O$400,0)),O$2,)</f>
        <v>0</v>
      </c>
      <c r="P257" s="179">
        <f ca="1">IF(ISNUMBER(MATCH(DATEVALUE($A257),'changes1_based on steps'!P$1:P$400,0)),P$2,)</f>
        <v>0</v>
      </c>
      <c r="Q257" s="179">
        <f ca="1">IF(ISNUMBER(MATCH(DATEVALUE($A257),'changes1_based on steps'!Q$1:Q$400,0)),Q$2,)</f>
        <v>0</v>
      </c>
      <c r="R257" s="179">
        <f ca="1">IF(ISNUMBER(MATCH(DATEVALUE($A257),'changes1_based on steps'!R$1:R$400,0)),R$2,)</f>
        <v>0</v>
      </c>
      <c r="S257" s="179">
        <f ca="1">IF(ISNUMBER(MATCH(DATEVALUE($A257),'changes1_based on steps'!S$1:S$400,0)),S$2,)</f>
        <v>0</v>
      </c>
      <c r="T257" s="179">
        <f ca="1">IF(ISNUMBER(MATCH(DATEVALUE($A257),'changes1_based on steps'!T$1:T$400,0)),T$2,)</f>
        <v>0</v>
      </c>
      <c r="U257" s="179">
        <f ca="1">IF(ISNUMBER(MATCH(DATEVALUE($A257),'changes1_based on steps'!U$1:U$400,0)),U$2,)</f>
        <v>0</v>
      </c>
      <c r="V257" s="179"/>
      <c r="W257" s="179"/>
      <c r="X257" s="179"/>
      <c r="Y257" s="179"/>
      <c r="Z257" s="179"/>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c r="AV257" s="179"/>
      <c r="AW257" s="179"/>
      <c r="AX257" s="179"/>
      <c r="AY257" s="179"/>
      <c r="AZ257" s="179"/>
      <c r="BA257" s="179"/>
      <c r="BB257" s="179"/>
      <c r="BC257" s="179"/>
      <c r="BD257" s="179"/>
      <c r="BE257" s="179"/>
      <c r="BF257" s="179"/>
      <c r="BG257" s="179"/>
      <c r="BH257" s="179"/>
      <c r="BI257" s="179"/>
      <c r="BJ257" s="179"/>
      <c r="BK257" s="179"/>
      <c r="BL257" s="179"/>
      <c r="BM257" s="179"/>
      <c r="BN257" s="179"/>
      <c r="BO257" s="179"/>
      <c r="BP257" s="179"/>
      <c r="BQ257" s="179"/>
      <c r="BR257" s="179"/>
      <c r="BS257" s="179"/>
      <c r="BT257" s="179"/>
      <c r="BU257" s="179"/>
      <c r="BV257" s="179"/>
      <c r="BW257" s="179"/>
      <c r="BX257" s="179"/>
      <c r="BY257" s="179"/>
      <c r="BZ257" s="179"/>
      <c r="CA257" s="179"/>
      <c r="CB257" s="179"/>
      <c r="CC257" s="179"/>
      <c r="CD257" s="179"/>
      <c r="CE257" s="179"/>
      <c r="CF257" s="179"/>
      <c r="CG257" s="179"/>
      <c r="CH257" s="179"/>
      <c r="CI257" s="179"/>
      <c r="CJ257" s="179"/>
      <c r="CK257" s="179"/>
      <c r="CL257" s="179"/>
      <c r="CM257" s="179"/>
      <c r="CN257" s="179"/>
      <c r="CO257" s="179"/>
      <c r="CP257" s="179"/>
      <c r="CQ257" s="179"/>
      <c r="CR257" s="179"/>
      <c r="CS257" s="179"/>
      <c r="CT257" s="179"/>
      <c r="CU257" s="179"/>
      <c r="CV257" s="179"/>
      <c r="CW257" s="179"/>
    </row>
    <row r="258" spans="1:101" x14ac:dyDescent="0.2">
      <c r="A258" s="32" t="str">
        <f t="shared" ca="1" si="3"/>
        <v>2025-12-09</v>
      </c>
      <c r="B258" s="179">
        <f ca="1">IF(ISNUMBER(MATCH(DATEVALUE($A258),'changes1_based on steps'!B$1:B$400,0)),B$2,)</f>
        <v>0</v>
      </c>
      <c r="C258" s="179">
        <f ca="1">IF(ISNUMBER(MATCH(DATEVALUE($A258),'changes1_based on steps'!C$1:C$400,0)),C$2,)</f>
        <v>0</v>
      </c>
      <c r="D258" s="179">
        <f ca="1">IF(ISNUMBER(MATCH(DATEVALUE($A258),'changes1_based on steps'!D$1:D$400,0)),D$2,)</f>
        <v>0</v>
      </c>
      <c r="E258" s="179">
        <f ca="1">IF(ISNUMBER(MATCH(DATEVALUE($A258),'changes1_based on steps'!E$1:E$400,0)),E$2,)</f>
        <v>0</v>
      </c>
      <c r="F258" s="179">
        <f ca="1">IF(ISNUMBER(MATCH(DATEVALUE($A258),'changes1_based on steps'!F$1:F$400,0)),F$2,)</f>
        <v>0</v>
      </c>
      <c r="G258" s="179">
        <f ca="1">IF(ISNUMBER(MATCH(DATEVALUE($A258),'changes1_based on steps'!G$1:G$400,0)),G$2,)</f>
        <v>0</v>
      </c>
      <c r="H258" s="179">
        <f ca="1">IF(ISNUMBER(MATCH(DATEVALUE($A258),'changes1_based on steps'!H$1:H$400,0)),H$2,)</f>
        <v>0</v>
      </c>
      <c r="I258" s="179">
        <f ca="1">IF(ISNUMBER(MATCH(DATEVALUE($A258),'changes1_based on steps'!I$1:I$400,0)),I$2,)</f>
        <v>0</v>
      </c>
      <c r="J258" s="179">
        <f ca="1">IF(ISNUMBER(MATCH(DATEVALUE($A258),'changes1_based on steps'!J$1:J$400,0)),J$2,)</f>
        <v>0</v>
      </c>
      <c r="K258" s="179">
        <f ca="1">IF(ISNUMBER(MATCH(DATEVALUE($A258),'changes1_based on steps'!K$1:K$400,0)),K$2,)</f>
        <v>0</v>
      </c>
      <c r="L258" s="179">
        <f ca="1">IF(ISNUMBER(MATCH(DATEVALUE($A258),'changes1_based on steps'!L$1:L$400,0)),L$2,)</f>
        <v>0</v>
      </c>
      <c r="M258" s="179">
        <f ca="1">IF(ISNUMBER(MATCH(DATEVALUE($A258),'changes1_based on steps'!M$1:M$400,0)),M$2,)</f>
        <v>0</v>
      </c>
      <c r="N258" s="179">
        <f ca="1">IF(ISNUMBER(MATCH(DATEVALUE($A258),'changes1_based on steps'!N$1:N$400,0)),N$2,)</f>
        <v>0</v>
      </c>
      <c r="O258" s="179">
        <f ca="1">IF(ISNUMBER(MATCH(DATEVALUE($A258),'changes1_based on steps'!O$1:O$400,0)),O$2,)</f>
        <v>0</v>
      </c>
      <c r="P258" s="179">
        <f ca="1">IF(ISNUMBER(MATCH(DATEVALUE($A258),'changes1_based on steps'!P$1:P$400,0)),P$2,)</f>
        <v>0</v>
      </c>
      <c r="Q258" s="179">
        <f ca="1">IF(ISNUMBER(MATCH(DATEVALUE($A258),'changes1_based on steps'!Q$1:Q$400,0)),Q$2,)</f>
        <v>0</v>
      </c>
      <c r="R258" s="179">
        <f ca="1">IF(ISNUMBER(MATCH(DATEVALUE($A258),'changes1_based on steps'!R$1:R$400,0)),R$2,)</f>
        <v>0</v>
      </c>
      <c r="S258" s="179">
        <f ca="1">IF(ISNUMBER(MATCH(DATEVALUE($A258),'changes1_based on steps'!S$1:S$400,0)),S$2,)</f>
        <v>0</v>
      </c>
      <c r="T258" s="179">
        <f ca="1">IF(ISNUMBER(MATCH(DATEVALUE($A258),'changes1_based on steps'!T$1:T$400,0)),T$2,)</f>
        <v>0</v>
      </c>
      <c r="U258" s="179">
        <f ca="1">IF(ISNUMBER(MATCH(DATEVALUE($A258),'changes1_based on steps'!U$1:U$400,0)),U$2,)</f>
        <v>0</v>
      </c>
      <c r="V258" s="179"/>
      <c r="W258" s="179"/>
      <c r="X258" s="179"/>
      <c r="Y258" s="179"/>
      <c r="Z258" s="179"/>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c r="AV258" s="179"/>
      <c r="AW258" s="179"/>
      <c r="AX258" s="179"/>
      <c r="AY258" s="179"/>
      <c r="AZ258" s="179"/>
      <c r="BA258" s="179"/>
      <c r="BB258" s="179"/>
      <c r="BC258" s="179"/>
      <c r="BD258" s="179"/>
      <c r="BE258" s="179"/>
      <c r="BF258" s="179"/>
      <c r="BG258" s="179"/>
      <c r="BH258" s="179"/>
      <c r="BI258" s="179"/>
      <c r="BJ258" s="179"/>
      <c r="BK258" s="179"/>
      <c r="BL258" s="179"/>
      <c r="BM258" s="179"/>
      <c r="BN258" s="179"/>
      <c r="BO258" s="179"/>
      <c r="BP258" s="179"/>
      <c r="BQ258" s="179"/>
      <c r="BR258" s="179"/>
      <c r="BS258" s="179"/>
      <c r="BT258" s="179"/>
      <c r="BU258" s="179"/>
      <c r="BV258" s="179"/>
      <c r="BW258" s="179"/>
      <c r="BX258" s="179"/>
      <c r="BY258" s="179"/>
      <c r="BZ258" s="179"/>
      <c r="CA258" s="179"/>
      <c r="CB258" s="179"/>
      <c r="CC258" s="179"/>
      <c r="CD258" s="179"/>
      <c r="CE258" s="179"/>
      <c r="CF258" s="179"/>
      <c r="CG258" s="179"/>
      <c r="CH258" s="179"/>
      <c r="CI258" s="179"/>
      <c r="CJ258" s="179"/>
      <c r="CK258" s="179"/>
      <c r="CL258" s="179"/>
      <c r="CM258" s="179"/>
      <c r="CN258" s="179"/>
      <c r="CO258" s="179"/>
      <c r="CP258" s="179"/>
      <c r="CQ258" s="179"/>
      <c r="CR258" s="179"/>
      <c r="CS258" s="179"/>
      <c r="CT258" s="179"/>
      <c r="CU258" s="179"/>
      <c r="CV258" s="179"/>
      <c r="CW258" s="179"/>
    </row>
    <row r="259" spans="1:101" x14ac:dyDescent="0.2">
      <c r="A259" s="32" t="str">
        <f t="shared" ca="1" si="3"/>
        <v>2025-12-10</v>
      </c>
      <c r="B259" s="179">
        <f ca="1">IF(ISNUMBER(MATCH(DATEVALUE($A259),'changes1_based on steps'!B$1:B$400,0)),B$2,)</f>
        <v>0</v>
      </c>
      <c r="C259" s="179">
        <f ca="1">IF(ISNUMBER(MATCH(DATEVALUE($A259),'changes1_based on steps'!C$1:C$400,0)),C$2,)</f>
        <v>0</v>
      </c>
      <c r="D259" s="179">
        <f ca="1">IF(ISNUMBER(MATCH(DATEVALUE($A259),'changes1_based on steps'!D$1:D$400,0)),D$2,)</f>
        <v>0</v>
      </c>
      <c r="E259" s="179">
        <f ca="1">IF(ISNUMBER(MATCH(DATEVALUE($A259),'changes1_based on steps'!E$1:E$400,0)),E$2,)</f>
        <v>0</v>
      </c>
      <c r="F259" s="179">
        <f ca="1">IF(ISNUMBER(MATCH(DATEVALUE($A259),'changes1_based on steps'!F$1:F$400,0)),F$2,)</f>
        <v>0</v>
      </c>
      <c r="G259" s="179">
        <f ca="1">IF(ISNUMBER(MATCH(DATEVALUE($A259),'changes1_based on steps'!G$1:G$400,0)),G$2,)</f>
        <v>0</v>
      </c>
      <c r="H259" s="179">
        <f ca="1">IF(ISNUMBER(MATCH(DATEVALUE($A259),'changes1_based on steps'!H$1:H$400,0)),H$2,)</f>
        <v>0</v>
      </c>
      <c r="I259" s="179">
        <f ca="1">IF(ISNUMBER(MATCH(DATEVALUE($A259),'changes1_based on steps'!I$1:I$400,0)),I$2,)</f>
        <v>0</v>
      </c>
      <c r="J259" s="179">
        <f ca="1">IF(ISNUMBER(MATCH(DATEVALUE($A259),'changes1_based on steps'!J$1:J$400,0)),J$2,)</f>
        <v>0</v>
      </c>
      <c r="K259" s="179">
        <f ca="1">IF(ISNUMBER(MATCH(DATEVALUE($A259),'changes1_based on steps'!K$1:K$400,0)),K$2,)</f>
        <v>0</v>
      </c>
      <c r="L259" s="179">
        <f ca="1">IF(ISNUMBER(MATCH(DATEVALUE($A259),'changes1_based on steps'!L$1:L$400,0)),L$2,)</f>
        <v>0</v>
      </c>
      <c r="M259" s="179">
        <f ca="1">IF(ISNUMBER(MATCH(DATEVALUE($A259),'changes1_based on steps'!M$1:M$400,0)),M$2,)</f>
        <v>0</v>
      </c>
      <c r="N259" s="179">
        <f ca="1">IF(ISNUMBER(MATCH(DATEVALUE($A259),'changes1_based on steps'!N$1:N$400,0)),N$2,)</f>
        <v>0</v>
      </c>
      <c r="O259" s="179">
        <f ca="1">IF(ISNUMBER(MATCH(DATEVALUE($A259),'changes1_based on steps'!O$1:O$400,0)),O$2,)</f>
        <v>0</v>
      </c>
      <c r="P259" s="179">
        <f ca="1">IF(ISNUMBER(MATCH(DATEVALUE($A259),'changes1_based on steps'!P$1:P$400,0)),P$2,)</f>
        <v>0</v>
      </c>
      <c r="Q259" s="179">
        <f ca="1">IF(ISNUMBER(MATCH(DATEVALUE($A259),'changes1_based on steps'!Q$1:Q$400,0)),Q$2,)</f>
        <v>0</v>
      </c>
      <c r="R259" s="179">
        <f ca="1">IF(ISNUMBER(MATCH(DATEVALUE($A259),'changes1_based on steps'!R$1:R$400,0)),R$2,)</f>
        <v>0</v>
      </c>
      <c r="S259" s="179">
        <f ca="1">IF(ISNUMBER(MATCH(DATEVALUE($A259),'changes1_based on steps'!S$1:S$400,0)),S$2,)</f>
        <v>0</v>
      </c>
      <c r="T259" s="179">
        <f ca="1">IF(ISNUMBER(MATCH(DATEVALUE($A259),'changes1_based on steps'!T$1:T$400,0)),T$2,)</f>
        <v>0</v>
      </c>
      <c r="U259" s="179">
        <f ca="1">IF(ISNUMBER(MATCH(DATEVALUE($A259),'changes1_based on steps'!U$1:U$400,0)),U$2,)</f>
        <v>0</v>
      </c>
      <c r="V259" s="179"/>
      <c r="W259" s="179"/>
      <c r="X259" s="179"/>
      <c r="Y259" s="179"/>
      <c r="Z259" s="179"/>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c r="AV259" s="179"/>
      <c r="AW259" s="179"/>
      <c r="AX259" s="179"/>
      <c r="AY259" s="179"/>
      <c r="AZ259" s="179"/>
      <c r="BA259" s="179"/>
      <c r="BB259" s="179"/>
      <c r="BC259" s="179"/>
      <c r="BD259" s="179"/>
      <c r="BE259" s="179"/>
      <c r="BF259" s="179"/>
      <c r="BG259" s="179"/>
      <c r="BH259" s="179"/>
      <c r="BI259" s="179"/>
      <c r="BJ259" s="179"/>
      <c r="BK259" s="179"/>
      <c r="BL259" s="179"/>
      <c r="BM259" s="179"/>
      <c r="BN259" s="179"/>
      <c r="BO259" s="179"/>
      <c r="BP259" s="179"/>
      <c r="BQ259" s="179"/>
      <c r="BR259" s="179"/>
      <c r="BS259" s="179"/>
      <c r="BT259" s="179"/>
      <c r="BU259" s="179"/>
      <c r="BV259" s="179"/>
      <c r="BW259" s="179"/>
      <c r="BX259" s="179"/>
      <c r="BY259" s="179"/>
      <c r="BZ259" s="179"/>
      <c r="CA259" s="179"/>
      <c r="CB259" s="179"/>
      <c r="CC259" s="179"/>
      <c r="CD259" s="179"/>
      <c r="CE259" s="179"/>
      <c r="CF259" s="179"/>
      <c r="CG259" s="179"/>
      <c r="CH259" s="179"/>
      <c r="CI259" s="179"/>
      <c r="CJ259" s="179"/>
      <c r="CK259" s="179"/>
      <c r="CL259" s="179"/>
      <c r="CM259" s="179"/>
      <c r="CN259" s="179"/>
      <c r="CO259" s="179"/>
      <c r="CP259" s="179"/>
      <c r="CQ259" s="179"/>
      <c r="CR259" s="179"/>
      <c r="CS259" s="179"/>
      <c r="CT259" s="179"/>
      <c r="CU259" s="179"/>
      <c r="CV259" s="179"/>
      <c r="CW259" s="179"/>
    </row>
    <row r="260" spans="1:101" x14ac:dyDescent="0.2">
      <c r="A260" s="32" t="str">
        <f t="shared" ca="1" si="3"/>
        <v>2025-12-11</v>
      </c>
      <c r="B260" s="179">
        <f ca="1">IF(ISNUMBER(MATCH(DATEVALUE($A260),'changes1_based on steps'!B$1:B$400,0)),B$2,)</f>
        <v>0</v>
      </c>
      <c r="C260" s="179">
        <f ca="1">IF(ISNUMBER(MATCH(DATEVALUE($A260),'changes1_based on steps'!C$1:C$400,0)),C$2,)</f>
        <v>0</v>
      </c>
      <c r="D260" s="179">
        <f ca="1">IF(ISNUMBER(MATCH(DATEVALUE($A260),'changes1_based on steps'!D$1:D$400,0)),D$2,)</f>
        <v>0</v>
      </c>
      <c r="E260" s="179">
        <f ca="1">IF(ISNUMBER(MATCH(DATEVALUE($A260),'changes1_based on steps'!E$1:E$400,0)),E$2,)</f>
        <v>0</v>
      </c>
      <c r="F260" s="179">
        <f ca="1">IF(ISNUMBER(MATCH(DATEVALUE($A260),'changes1_based on steps'!F$1:F$400,0)),F$2,)</f>
        <v>0</v>
      </c>
      <c r="G260" s="179">
        <f ca="1">IF(ISNUMBER(MATCH(DATEVALUE($A260),'changes1_based on steps'!G$1:G$400,0)),G$2,)</f>
        <v>0</v>
      </c>
      <c r="H260" s="179">
        <f ca="1">IF(ISNUMBER(MATCH(DATEVALUE($A260),'changes1_based on steps'!H$1:H$400,0)),H$2,)</f>
        <v>0</v>
      </c>
      <c r="I260" s="179">
        <f ca="1">IF(ISNUMBER(MATCH(DATEVALUE($A260),'changes1_based on steps'!I$1:I$400,0)),I$2,)</f>
        <v>0</v>
      </c>
      <c r="J260" s="179">
        <f ca="1">IF(ISNUMBER(MATCH(DATEVALUE($A260),'changes1_based on steps'!J$1:J$400,0)),J$2,)</f>
        <v>0</v>
      </c>
      <c r="K260" s="179">
        <f ca="1">IF(ISNUMBER(MATCH(DATEVALUE($A260),'changes1_based on steps'!K$1:K$400,0)),K$2,)</f>
        <v>0</v>
      </c>
      <c r="L260" s="179">
        <f ca="1">IF(ISNUMBER(MATCH(DATEVALUE($A260),'changes1_based on steps'!L$1:L$400,0)),L$2,)</f>
        <v>0</v>
      </c>
      <c r="M260" s="179">
        <f ca="1">IF(ISNUMBER(MATCH(DATEVALUE($A260),'changes1_based on steps'!M$1:M$400,0)),M$2,)</f>
        <v>0</v>
      </c>
      <c r="N260" s="179">
        <f ca="1">IF(ISNUMBER(MATCH(DATEVALUE($A260),'changes1_based on steps'!N$1:N$400,0)),N$2,)</f>
        <v>0</v>
      </c>
      <c r="O260" s="179">
        <f ca="1">IF(ISNUMBER(MATCH(DATEVALUE($A260),'changes1_based on steps'!O$1:O$400,0)),O$2,)</f>
        <v>0</v>
      </c>
      <c r="P260" s="179">
        <f ca="1">IF(ISNUMBER(MATCH(DATEVALUE($A260),'changes1_based on steps'!P$1:P$400,0)),P$2,)</f>
        <v>0</v>
      </c>
      <c r="Q260" s="179">
        <f ca="1">IF(ISNUMBER(MATCH(DATEVALUE($A260),'changes1_based on steps'!Q$1:Q$400,0)),Q$2,)</f>
        <v>0</v>
      </c>
      <c r="R260" s="179">
        <f ca="1">IF(ISNUMBER(MATCH(DATEVALUE($A260),'changes1_based on steps'!R$1:R$400,0)),R$2,)</f>
        <v>0</v>
      </c>
      <c r="S260" s="179">
        <f ca="1">IF(ISNUMBER(MATCH(DATEVALUE($A260),'changes1_based on steps'!S$1:S$400,0)),S$2,)</f>
        <v>0</v>
      </c>
      <c r="T260" s="179">
        <f ca="1">IF(ISNUMBER(MATCH(DATEVALUE($A260),'changes1_based on steps'!T$1:T$400,0)),T$2,)</f>
        <v>0</v>
      </c>
      <c r="U260" s="179">
        <f ca="1">IF(ISNUMBER(MATCH(DATEVALUE($A260),'changes1_based on steps'!U$1:U$400,0)),U$2,)</f>
        <v>0</v>
      </c>
      <c r="V260" s="179"/>
      <c r="W260" s="179"/>
      <c r="X260" s="179"/>
      <c r="Y260" s="179"/>
      <c r="Z260" s="179"/>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c r="AV260" s="179"/>
      <c r="AW260" s="179"/>
      <c r="AX260" s="179"/>
      <c r="AY260" s="179"/>
      <c r="AZ260" s="179"/>
      <c r="BA260" s="179"/>
      <c r="BB260" s="179"/>
      <c r="BC260" s="179"/>
      <c r="BD260" s="179"/>
      <c r="BE260" s="179"/>
      <c r="BF260" s="179"/>
      <c r="BG260" s="179"/>
      <c r="BH260" s="179"/>
      <c r="BI260" s="179"/>
      <c r="BJ260" s="179"/>
      <c r="BK260" s="179"/>
      <c r="BL260" s="179"/>
      <c r="BM260" s="179"/>
      <c r="BN260" s="179"/>
      <c r="BO260" s="179"/>
      <c r="BP260" s="179"/>
      <c r="BQ260" s="179"/>
      <c r="BR260" s="179"/>
      <c r="BS260" s="179"/>
      <c r="BT260" s="179"/>
      <c r="BU260" s="179"/>
      <c r="BV260" s="179"/>
      <c r="BW260" s="179"/>
      <c r="BX260" s="179"/>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row>
    <row r="261" spans="1:101" x14ac:dyDescent="0.2">
      <c r="A261" s="32" t="str">
        <f t="shared" ref="A261:A324" ca="1" si="4">TEXT(DATEVALUE(A260)+1,"yyyy-mm-dd")</f>
        <v>2025-12-12</v>
      </c>
      <c r="B261" s="179">
        <f ca="1">IF(ISNUMBER(MATCH(DATEVALUE($A261),'changes1_based on steps'!B$1:B$400,0)),B$2,)</f>
        <v>0</v>
      </c>
      <c r="C261" s="179">
        <f ca="1">IF(ISNUMBER(MATCH(DATEVALUE($A261),'changes1_based on steps'!C$1:C$400,0)),C$2,)</f>
        <v>0</v>
      </c>
      <c r="D261" s="179">
        <f ca="1">IF(ISNUMBER(MATCH(DATEVALUE($A261),'changes1_based on steps'!D$1:D$400,0)),D$2,)</f>
        <v>0</v>
      </c>
      <c r="E261" s="179">
        <f ca="1">IF(ISNUMBER(MATCH(DATEVALUE($A261),'changes1_based on steps'!E$1:E$400,0)),E$2,)</f>
        <v>0</v>
      </c>
      <c r="F261" s="179">
        <f ca="1">IF(ISNUMBER(MATCH(DATEVALUE($A261),'changes1_based on steps'!F$1:F$400,0)),F$2,)</f>
        <v>0</v>
      </c>
      <c r="G261" s="179">
        <f ca="1">IF(ISNUMBER(MATCH(DATEVALUE($A261),'changes1_based on steps'!G$1:G$400,0)),G$2,)</f>
        <v>0</v>
      </c>
      <c r="H261" s="179">
        <f ca="1">IF(ISNUMBER(MATCH(DATEVALUE($A261),'changes1_based on steps'!H$1:H$400,0)),H$2,)</f>
        <v>0</v>
      </c>
      <c r="I261" s="179">
        <f ca="1">IF(ISNUMBER(MATCH(DATEVALUE($A261),'changes1_based on steps'!I$1:I$400,0)),I$2,)</f>
        <v>0</v>
      </c>
      <c r="J261" s="179">
        <f ca="1">IF(ISNUMBER(MATCH(DATEVALUE($A261),'changes1_based on steps'!J$1:J$400,0)),J$2,)</f>
        <v>0</v>
      </c>
      <c r="K261" s="179">
        <f ca="1">IF(ISNUMBER(MATCH(DATEVALUE($A261),'changes1_based on steps'!K$1:K$400,0)),K$2,)</f>
        <v>0</v>
      </c>
      <c r="L261" s="179">
        <f ca="1">IF(ISNUMBER(MATCH(DATEVALUE($A261),'changes1_based on steps'!L$1:L$400,0)),L$2,)</f>
        <v>0</v>
      </c>
      <c r="M261" s="179">
        <f ca="1">IF(ISNUMBER(MATCH(DATEVALUE($A261),'changes1_based on steps'!M$1:M$400,0)),M$2,)</f>
        <v>0</v>
      </c>
      <c r="N261" s="179">
        <f ca="1">IF(ISNUMBER(MATCH(DATEVALUE($A261),'changes1_based on steps'!N$1:N$400,0)),N$2,)</f>
        <v>0</v>
      </c>
      <c r="O261" s="179">
        <f ca="1">IF(ISNUMBER(MATCH(DATEVALUE($A261),'changes1_based on steps'!O$1:O$400,0)),O$2,)</f>
        <v>0</v>
      </c>
      <c r="P261" s="179">
        <f ca="1">IF(ISNUMBER(MATCH(DATEVALUE($A261),'changes1_based on steps'!P$1:P$400,0)),P$2,)</f>
        <v>0</v>
      </c>
      <c r="Q261" s="179">
        <f ca="1">IF(ISNUMBER(MATCH(DATEVALUE($A261),'changes1_based on steps'!Q$1:Q$400,0)),Q$2,)</f>
        <v>0</v>
      </c>
      <c r="R261" s="179">
        <f ca="1">IF(ISNUMBER(MATCH(DATEVALUE($A261),'changes1_based on steps'!R$1:R$400,0)),R$2,)</f>
        <v>0</v>
      </c>
      <c r="S261" s="179">
        <f ca="1">IF(ISNUMBER(MATCH(DATEVALUE($A261),'changes1_based on steps'!S$1:S$400,0)),S$2,)</f>
        <v>0</v>
      </c>
      <c r="T261" s="179">
        <f ca="1">IF(ISNUMBER(MATCH(DATEVALUE($A261),'changes1_based on steps'!T$1:T$400,0)),T$2,)</f>
        <v>0</v>
      </c>
      <c r="U261" s="179">
        <f ca="1">IF(ISNUMBER(MATCH(DATEVALUE($A261),'changes1_based on steps'!U$1:U$400,0)),U$2,)</f>
        <v>0</v>
      </c>
      <c r="V261" s="179"/>
      <c r="W261" s="179"/>
      <c r="X261" s="179"/>
      <c r="Y261" s="179"/>
      <c r="Z261" s="179"/>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c r="AV261" s="179"/>
      <c r="AW261" s="179"/>
      <c r="AX261" s="179"/>
      <c r="AY261" s="179"/>
      <c r="AZ261" s="179"/>
      <c r="BA261" s="179"/>
      <c r="BB261" s="179"/>
      <c r="BC261" s="179"/>
      <c r="BD261" s="179"/>
      <c r="BE261" s="179"/>
      <c r="BF261" s="179"/>
      <c r="BG261" s="179"/>
      <c r="BH261" s="179"/>
      <c r="BI261" s="179"/>
      <c r="BJ261" s="179"/>
      <c r="BK261" s="179"/>
      <c r="BL261" s="179"/>
      <c r="BM261" s="179"/>
      <c r="BN261" s="179"/>
      <c r="BO261" s="179"/>
      <c r="BP261" s="179"/>
      <c r="BQ261" s="179"/>
      <c r="BR261" s="179"/>
      <c r="BS261" s="179"/>
      <c r="BT261" s="179"/>
      <c r="BU261" s="179"/>
      <c r="BV261" s="179"/>
      <c r="BW261" s="179"/>
      <c r="BX261" s="179"/>
      <c r="BY261" s="179"/>
      <c r="BZ261" s="179"/>
      <c r="CA261" s="179"/>
      <c r="CB261" s="179"/>
      <c r="CC261" s="179"/>
      <c r="CD261" s="179"/>
      <c r="CE261" s="179"/>
      <c r="CF261" s="179"/>
      <c r="CG261" s="179"/>
      <c r="CH261" s="179"/>
      <c r="CI261" s="179"/>
      <c r="CJ261" s="179"/>
      <c r="CK261" s="179"/>
      <c r="CL261" s="179"/>
      <c r="CM261" s="179"/>
      <c r="CN261" s="179"/>
      <c r="CO261" s="179"/>
      <c r="CP261" s="179"/>
      <c r="CQ261" s="179"/>
      <c r="CR261" s="179"/>
      <c r="CS261" s="179"/>
      <c r="CT261" s="179"/>
      <c r="CU261" s="179"/>
      <c r="CV261" s="179"/>
      <c r="CW261" s="179"/>
    </row>
    <row r="262" spans="1:101" x14ac:dyDescent="0.2">
      <c r="A262" s="32" t="str">
        <f t="shared" ca="1" si="4"/>
        <v>2025-12-13</v>
      </c>
      <c r="B262" s="179">
        <f ca="1">IF(ISNUMBER(MATCH(DATEVALUE($A262),'changes1_based on steps'!B$1:B$400,0)),B$2,)</f>
        <v>0</v>
      </c>
      <c r="C262" s="179">
        <f ca="1">IF(ISNUMBER(MATCH(DATEVALUE($A262),'changes1_based on steps'!C$1:C$400,0)),C$2,)</f>
        <v>0</v>
      </c>
      <c r="D262" s="179">
        <f ca="1">IF(ISNUMBER(MATCH(DATEVALUE($A262),'changes1_based on steps'!D$1:D$400,0)),D$2,)</f>
        <v>0</v>
      </c>
      <c r="E262" s="179">
        <f ca="1">IF(ISNUMBER(MATCH(DATEVALUE($A262),'changes1_based on steps'!E$1:E$400,0)),E$2,)</f>
        <v>0</v>
      </c>
      <c r="F262" s="179">
        <f ca="1">IF(ISNUMBER(MATCH(DATEVALUE($A262),'changes1_based on steps'!F$1:F$400,0)),F$2,)</f>
        <v>0</v>
      </c>
      <c r="G262" s="179">
        <f ca="1">IF(ISNUMBER(MATCH(DATEVALUE($A262),'changes1_based on steps'!G$1:G$400,0)),G$2,)</f>
        <v>0</v>
      </c>
      <c r="H262" s="179">
        <f ca="1">IF(ISNUMBER(MATCH(DATEVALUE($A262),'changes1_based on steps'!H$1:H$400,0)),H$2,)</f>
        <v>0</v>
      </c>
      <c r="I262" s="179">
        <f ca="1">IF(ISNUMBER(MATCH(DATEVALUE($A262),'changes1_based on steps'!I$1:I$400,0)),I$2,)</f>
        <v>0</v>
      </c>
      <c r="J262" s="179">
        <f ca="1">IF(ISNUMBER(MATCH(DATEVALUE($A262),'changes1_based on steps'!J$1:J$400,0)),J$2,)</f>
        <v>0</v>
      </c>
      <c r="K262" s="179">
        <f ca="1">IF(ISNUMBER(MATCH(DATEVALUE($A262),'changes1_based on steps'!K$1:K$400,0)),K$2,)</f>
        <v>0</v>
      </c>
      <c r="L262" s="179">
        <f ca="1">IF(ISNUMBER(MATCH(DATEVALUE($A262),'changes1_based on steps'!L$1:L$400,0)),L$2,)</f>
        <v>0</v>
      </c>
      <c r="M262" s="179">
        <f ca="1">IF(ISNUMBER(MATCH(DATEVALUE($A262),'changes1_based on steps'!M$1:M$400,0)),M$2,)</f>
        <v>0</v>
      </c>
      <c r="N262" s="179">
        <f ca="1">IF(ISNUMBER(MATCH(DATEVALUE($A262),'changes1_based on steps'!N$1:N$400,0)),N$2,)</f>
        <v>0</v>
      </c>
      <c r="O262" s="179">
        <f ca="1">IF(ISNUMBER(MATCH(DATEVALUE($A262),'changes1_based on steps'!O$1:O$400,0)),O$2,)</f>
        <v>0</v>
      </c>
      <c r="P262" s="179">
        <f ca="1">IF(ISNUMBER(MATCH(DATEVALUE($A262),'changes1_based on steps'!P$1:P$400,0)),P$2,)</f>
        <v>0</v>
      </c>
      <c r="Q262" s="179">
        <f ca="1">IF(ISNUMBER(MATCH(DATEVALUE($A262),'changes1_based on steps'!Q$1:Q$400,0)),Q$2,)</f>
        <v>0</v>
      </c>
      <c r="R262" s="179">
        <f ca="1">IF(ISNUMBER(MATCH(DATEVALUE($A262),'changes1_based on steps'!R$1:R$400,0)),R$2,)</f>
        <v>0</v>
      </c>
      <c r="S262" s="179">
        <f ca="1">IF(ISNUMBER(MATCH(DATEVALUE($A262),'changes1_based on steps'!S$1:S$400,0)),S$2,)</f>
        <v>0</v>
      </c>
      <c r="T262" s="179">
        <f ca="1">IF(ISNUMBER(MATCH(DATEVALUE($A262),'changes1_based on steps'!T$1:T$400,0)),T$2,)</f>
        <v>0</v>
      </c>
      <c r="U262" s="179">
        <f ca="1">IF(ISNUMBER(MATCH(DATEVALUE($A262),'changes1_based on steps'!U$1:U$400,0)),U$2,)</f>
        <v>0</v>
      </c>
      <c r="V262" s="179"/>
      <c r="W262" s="179"/>
      <c r="X262" s="179"/>
      <c r="Y262" s="179"/>
      <c r="Z262" s="179"/>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c r="AV262" s="179"/>
      <c r="AW262" s="179"/>
      <c r="AX262" s="179"/>
      <c r="AY262" s="179"/>
      <c r="AZ262" s="179"/>
      <c r="BA262" s="179"/>
      <c r="BB262" s="179"/>
      <c r="BC262" s="179"/>
      <c r="BD262" s="179"/>
      <c r="BE262" s="179"/>
      <c r="BF262" s="179"/>
      <c r="BG262" s="179"/>
      <c r="BH262" s="179"/>
      <c r="BI262" s="179"/>
      <c r="BJ262" s="179"/>
      <c r="BK262" s="179"/>
      <c r="BL262" s="179"/>
      <c r="BM262" s="179"/>
      <c r="BN262" s="179"/>
      <c r="BO262" s="179"/>
      <c r="BP262" s="179"/>
      <c r="BQ262" s="179"/>
      <c r="BR262" s="179"/>
      <c r="BS262" s="179"/>
      <c r="BT262" s="179"/>
      <c r="BU262" s="179"/>
      <c r="BV262" s="179"/>
      <c r="BW262" s="179"/>
      <c r="BX262" s="179"/>
      <c r="BY262" s="179"/>
      <c r="BZ262" s="179"/>
      <c r="CA262" s="179"/>
      <c r="CB262" s="179"/>
      <c r="CC262" s="179"/>
      <c r="CD262" s="179"/>
      <c r="CE262" s="179"/>
      <c r="CF262" s="179"/>
      <c r="CG262" s="179"/>
      <c r="CH262" s="179"/>
      <c r="CI262" s="179"/>
      <c r="CJ262" s="179"/>
      <c r="CK262" s="179"/>
      <c r="CL262" s="179"/>
      <c r="CM262" s="179"/>
      <c r="CN262" s="179"/>
      <c r="CO262" s="179"/>
      <c r="CP262" s="179"/>
      <c r="CQ262" s="179"/>
      <c r="CR262" s="179"/>
      <c r="CS262" s="179"/>
      <c r="CT262" s="179"/>
      <c r="CU262" s="179"/>
      <c r="CV262" s="179"/>
      <c r="CW262" s="179"/>
    </row>
    <row r="263" spans="1:101" x14ac:dyDescent="0.2">
      <c r="A263" s="32" t="str">
        <f t="shared" ca="1" si="4"/>
        <v>2025-12-14</v>
      </c>
      <c r="B263" s="179">
        <f ca="1">IF(ISNUMBER(MATCH(DATEVALUE($A263),'changes1_based on steps'!B$1:B$400,0)),B$2,)</f>
        <v>0</v>
      </c>
      <c r="C263" s="179">
        <f ca="1">IF(ISNUMBER(MATCH(DATEVALUE($A263),'changes1_based on steps'!C$1:C$400,0)),C$2,)</f>
        <v>0</v>
      </c>
      <c r="D263" s="179">
        <f ca="1">IF(ISNUMBER(MATCH(DATEVALUE($A263),'changes1_based on steps'!D$1:D$400,0)),D$2,)</f>
        <v>0</v>
      </c>
      <c r="E263" s="179">
        <f ca="1">IF(ISNUMBER(MATCH(DATEVALUE($A263),'changes1_based on steps'!E$1:E$400,0)),E$2,)</f>
        <v>0</v>
      </c>
      <c r="F263" s="179">
        <f ca="1">IF(ISNUMBER(MATCH(DATEVALUE($A263),'changes1_based on steps'!F$1:F$400,0)),F$2,)</f>
        <v>0</v>
      </c>
      <c r="G263" s="179">
        <f ca="1">IF(ISNUMBER(MATCH(DATEVALUE($A263),'changes1_based on steps'!G$1:G$400,0)),G$2,)</f>
        <v>0</v>
      </c>
      <c r="H263" s="179">
        <f ca="1">IF(ISNUMBER(MATCH(DATEVALUE($A263),'changes1_based on steps'!H$1:H$400,0)),H$2,)</f>
        <v>0</v>
      </c>
      <c r="I263" s="179">
        <f ca="1">IF(ISNUMBER(MATCH(DATEVALUE($A263),'changes1_based on steps'!I$1:I$400,0)),I$2,)</f>
        <v>0</v>
      </c>
      <c r="J263" s="179">
        <f ca="1">IF(ISNUMBER(MATCH(DATEVALUE($A263),'changes1_based on steps'!J$1:J$400,0)),J$2,)</f>
        <v>0</v>
      </c>
      <c r="K263" s="179">
        <f ca="1">IF(ISNUMBER(MATCH(DATEVALUE($A263),'changes1_based on steps'!K$1:K$400,0)),K$2,)</f>
        <v>0</v>
      </c>
      <c r="L263" s="179">
        <f ca="1">IF(ISNUMBER(MATCH(DATEVALUE($A263),'changes1_based on steps'!L$1:L$400,0)),L$2,)</f>
        <v>0</v>
      </c>
      <c r="M263" s="179">
        <f ca="1">IF(ISNUMBER(MATCH(DATEVALUE($A263),'changes1_based on steps'!M$1:M$400,0)),M$2,)</f>
        <v>0</v>
      </c>
      <c r="N263" s="179">
        <f ca="1">IF(ISNUMBER(MATCH(DATEVALUE($A263),'changes1_based on steps'!N$1:N$400,0)),N$2,)</f>
        <v>0</v>
      </c>
      <c r="O263" s="179">
        <f ca="1">IF(ISNUMBER(MATCH(DATEVALUE($A263),'changes1_based on steps'!O$1:O$400,0)),O$2,)</f>
        <v>0</v>
      </c>
      <c r="P263" s="179">
        <f ca="1">IF(ISNUMBER(MATCH(DATEVALUE($A263),'changes1_based on steps'!P$1:P$400,0)),P$2,)</f>
        <v>0</v>
      </c>
      <c r="Q263" s="179">
        <f ca="1">IF(ISNUMBER(MATCH(DATEVALUE($A263),'changes1_based on steps'!Q$1:Q$400,0)),Q$2,)</f>
        <v>0</v>
      </c>
      <c r="R263" s="179">
        <f ca="1">IF(ISNUMBER(MATCH(DATEVALUE($A263),'changes1_based on steps'!R$1:R$400,0)),R$2,)</f>
        <v>0</v>
      </c>
      <c r="S263" s="179">
        <f ca="1">IF(ISNUMBER(MATCH(DATEVALUE($A263),'changes1_based on steps'!S$1:S$400,0)),S$2,)</f>
        <v>0</v>
      </c>
      <c r="T263" s="179">
        <f ca="1">IF(ISNUMBER(MATCH(DATEVALUE($A263),'changes1_based on steps'!T$1:T$400,0)),T$2,)</f>
        <v>0</v>
      </c>
      <c r="U263" s="179">
        <f ca="1">IF(ISNUMBER(MATCH(DATEVALUE($A263),'changes1_based on steps'!U$1:U$400,0)),U$2,)</f>
        <v>0</v>
      </c>
      <c r="V263" s="179"/>
      <c r="W263" s="179"/>
      <c r="X263" s="179"/>
      <c r="Y263" s="179"/>
      <c r="Z263" s="179"/>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c r="AV263" s="179"/>
      <c r="AW263" s="179"/>
      <c r="AX263" s="179"/>
      <c r="AY263" s="179"/>
      <c r="AZ263" s="179"/>
      <c r="BA263" s="179"/>
      <c r="BB263" s="179"/>
      <c r="BC263" s="179"/>
      <c r="BD263" s="179"/>
      <c r="BE263" s="179"/>
      <c r="BF263" s="179"/>
      <c r="BG263" s="179"/>
      <c r="BH263" s="179"/>
      <c r="BI263" s="179"/>
      <c r="BJ263" s="179"/>
      <c r="BK263" s="179"/>
      <c r="BL263" s="179"/>
      <c r="BM263" s="179"/>
      <c r="BN263" s="179"/>
      <c r="BO263" s="179"/>
      <c r="BP263" s="179"/>
      <c r="BQ263" s="179"/>
      <c r="BR263" s="179"/>
      <c r="BS263" s="179"/>
      <c r="BT263" s="179"/>
      <c r="BU263" s="179"/>
      <c r="BV263" s="179"/>
      <c r="BW263" s="179"/>
      <c r="BX263" s="179"/>
      <c r="BY263" s="179"/>
      <c r="BZ263" s="179"/>
      <c r="CA263" s="179"/>
      <c r="CB263" s="179"/>
      <c r="CC263" s="179"/>
      <c r="CD263" s="179"/>
      <c r="CE263" s="179"/>
      <c r="CF263" s="179"/>
      <c r="CG263" s="179"/>
      <c r="CH263" s="179"/>
      <c r="CI263" s="179"/>
      <c r="CJ263" s="179"/>
      <c r="CK263" s="179"/>
      <c r="CL263" s="179"/>
      <c r="CM263" s="179"/>
      <c r="CN263" s="179"/>
      <c r="CO263" s="179"/>
      <c r="CP263" s="179"/>
      <c r="CQ263" s="179"/>
      <c r="CR263" s="179"/>
      <c r="CS263" s="179"/>
      <c r="CT263" s="179"/>
      <c r="CU263" s="179"/>
      <c r="CV263" s="179"/>
      <c r="CW263" s="179"/>
    </row>
    <row r="264" spans="1:101" x14ac:dyDescent="0.2">
      <c r="A264" s="32" t="str">
        <f t="shared" ca="1" si="4"/>
        <v>2025-12-15</v>
      </c>
      <c r="B264" s="179">
        <f ca="1">IF(ISNUMBER(MATCH(DATEVALUE($A264),'changes1_based on steps'!B$1:B$400,0)),B$2,)</f>
        <v>0</v>
      </c>
      <c r="C264" s="179">
        <f ca="1">IF(ISNUMBER(MATCH(DATEVALUE($A264),'changes1_based on steps'!C$1:C$400,0)),C$2,)</f>
        <v>0</v>
      </c>
      <c r="D264" s="179">
        <f ca="1">IF(ISNUMBER(MATCH(DATEVALUE($A264),'changes1_based on steps'!D$1:D$400,0)),D$2,)</f>
        <v>0</v>
      </c>
      <c r="E264" s="179">
        <f ca="1">IF(ISNUMBER(MATCH(DATEVALUE($A264),'changes1_based on steps'!E$1:E$400,0)),E$2,)</f>
        <v>0</v>
      </c>
      <c r="F264" s="179">
        <f ca="1">IF(ISNUMBER(MATCH(DATEVALUE($A264),'changes1_based on steps'!F$1:F$400,0)),F$2,)</f>
        <v>0</v>
      </c>
      <c r="G264" s="179">
        <f ca="1">IF(ISNUMBER(MATCH(DATEVALUE($A264),'changes1_based on steps'!G$1:G$400,0)),G$2,)</f>
        <v>0</v>
      </c>
      <c r="H264" s="179">
        <f ca="1">IF(ISNUMBER(MATCH(DATEVALUE($A264),'changes1_based on steps'!H$1:H$400,0)),H$2,)</f>
        <v>0</v>
      </c>
      <c r="I264" s="179">
        <f ca="1">IF(ISNUMBER(MATCH(DATEVALUE($A264),'changes1_based on steps'!I$1:I$400,0)),I$2,)</f>
        <v>0</v>
      </c>
      <c r="J264" s="179">
        <f ca="1">IF(ISNUMBER(MATCH(DATEVALUE($A264),'changes1_based on steps'!J$1:J$400,0)),J$2,)</f>
        <v>0</v>
      </c>
      <c r="K264" s="179">
        <f ca="1">IF(ISNUMBER(MATCH(DATEVALUE($A264),'changes1_based on steps'!K$1:K$400,0)),K$2,)</f>
        <v>0</v>
      </c>
      <c r="L264" s="179">
        <f ca="1">IF(ISNUMBER(MATCH(DATEVALUE($A264),'changes1_based on steps'!L$1:L$400,0)),L$2,)</f>
        <v>0</v>
      </c>
      <c r="M264" s="179">
        <f ca="1">IF(ISNUMBER(MATCH(DATEVALUE($A264),'changes1_based on steps'!M$1:M$400,0)),M$2,)</f>
        <v>0</v>
      </c>
      <c r="N264" s="179">
        <f ca="1">IF(ISNUMBER(MATCH(DATEVALUE($A264),'changes1_based on steps'!N$1:N$400,0)),N$2,)</f>
        <v>0</v>
      </c>
      <c r="O264" s="179">
        <f ca="1">IF(ISNUMBER(MATCH(DATEVALUE($A264),'changes1_based on steps'!O$1:O$400,0)),O$2,)</f>
        <v>0</v>
      </c>
      <c r="P264" s="179">
        <f ca="1">IF(ISNUMBER(MATCH(DATEVALUE($A264),'changes1_based on steps'!P$1:P$400,0)),P$2,)</f>
        <v>0</v>
      </c>
      <c r="Q264" s="179">
        <f ca="1">IF(ISNUMBER(MATCH(DATEVALUE($A264),'changes1_based on steps'!Q$1:Q$400,0)),Q$2,)</f>
        <v>0</v>
      </c>
      <c r="R264" s="179">
        <f ca="1">IF(ISNUMBER(MATCH(DATEVALUE($A264),'changes1_based on steps'!R$1:R$400,0)),R$2,)</f>
        <v>0</v>
      </c>
      <c r="S264" s="179">
        <f ca="1">IF(ISNUMBER(MATCH(DATEVALUE($A264),'changes1_based on steps'!S$1:S$400,0)),S$2,)</f>
        <v>0</v>
      </c>
      <c r="T264" s="179">
        <f ca="1">IF(ISNUMBER(MATCH(DATEVALUE($A264),'changes1_based on steps'!T$1:T$400,0)),T$2,)</f>
        <v>0</v>
      </c>
      <c r="U264" s="179">
        <f ca="1">IF(ISNUMBER(MATCH(DATEVALUE($A264),'changes1_based on steps'!U$1:U$400,0)),U$2,)</f>
        <v>0</v>
      </c>
      <c r="V264" s="179"/>
      <c r="W264" s="179"/>
      <c r="X264" s="179"/>
      <c r="Y264" s="179"/>
      <c r="Z264" s="179"/>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c r="AV264" s="179"/>
      <c r="AW264" s="179"/>
      <c r="AX264" s="179"/>
      <c r="AY264" s="179"/>
      <c r="AZ264" s="179"/>
      <c r="BA264" s="179"/>
      <c r="BB264" s="179"/>
      <c r="BC264" s="179"/>
      <c r="BD264" s="179"/>
      <c r="BE264" s="179"/>
      <c r="BF264" s="179"/>
      <c r="BG264" s="179"/>
      <c r="BH264" s="179"/>
      <c r="BI264" s="179"/>
      <c r="BJ264" s="179"/>
      <c r="BK264" s="179"/>
      <c r="BL264" s="179"/>
      <c r="BM264" s="179"/>
      <c r="BN264" s="179"/>
      <c r="BO264" s="179"/>
      <c r="BP264" s="179"/>
      <c r="BQ264" s="179"/>
      <c r="BR264" s="179"/>
      <c r="BS264" s="179"/>
      <c r="BT264" s="179"/>
      <c r="BU264" s="179"/>
      <c r="BV264" s="179"/>
      <c r="BW264" s="179"/>
      <c r="BX264" s="179"/>
      <c r="BY264" s="179"/>
      <c r="BZ264" s="179"/>
      <c r="CA264" s="179"/>
      <c r="CB264" s="179"/>
      <c r="CC264" s="179"/>
      <c r="CD264" s="179"/>
      <c r="CE264" s="179"/>
      <c r="CF264" s="179"/>
      <c r="CG264" s="179"/>
      <c r="CH264" s="179"/>
      <c r="CI264" s="179"/>
      <c r="CJ264" s="179"/>
      <c r="CK264" s="179"/>
      <c r="CL264" s="179"/>
      <c r="CM264" s="179"/>
      <c r="CN264" s="179"/>
      <c r="CO264" s="179"/>
      <c r="CP264" s="179"/>
      <c r="CQ264" s="179"/>
      <c r="CR264" s="179"/>
      <c r="CS264" s="179"/>
      <c r="CT264" s="179"/>
      <c r="CU264" s="179"/>
      <c r="CV264" s="179"/>
      <c r="CW264" s="179"/>
    </row>
    <row r="265" spans="1:101" x14ac:dyDescent="0.2">
      <c r="A265" s="32" t="str">
        <f t="shared" ca="1" si="4"/>
        <v>2025-12-16</v>
      </c>
      <c r="B265" s="179">
        <f ca="1">IF(ISNUMBER(MATCH(DATEVALUE($A265),'changes1_based on steps'!B$1:B$400,0)),B$2,)</f>
        <v>0</v>
      </c>
      <c r="C265" s="179">
        <f ca="1">IF(ISNUMBER(MATCH(DATEVALUE($A265),'changes1_based on steps'!C$1:C$400,0)),C$2,)</f>
        <v>0</v>
      </c>
      <c r="D265" s="179">
        <f ca="1">IF(ISNUMBER(MATCH(DATEVALUE($A265),'changes1_based on steps'!D$1:D$400,0)),D$2,)</f>
        <v>0</v>
      </c>
      <c r="E265" s="179">
        <f ca="1">IF(ISNUMBER(MATCH(DATEVALUE($A265),'changes1_based on steps'!E$1:E$400,0)),E$2,)</f>
        <v>0</v>
      </c>
      <c r="F265" s="179">
        <f ca="1">IF(ISNUMBER(MATCH(DATEVALUE($A265),'changes1_based on steps'!F$1:F$400,0)),F$2,)</f>
        <v>0</v>
      </c>
      <c r="G265" s="179">
        <f ca="1">IF(ISNUMBER(MATCH(DATEVALUE($A265),'changes1_based on steps'!G$1:G$400,0)),G$2,)</f>
        <v>0</v>
      </c>
      <c r="H265" s="179">
        <f ca="1">IF(ISNUMBER(MATCH(DATEVALUE($A265),'changes1_based on steps'!H$1:H$400,0)),H$2,)</f>
        <v>0</v>
      </c>
      <c r="I265" s="179">
        <f ca="1">IF(ISNUMBER(MATCH(DATEVALUE($A265),'changes1_based on steps'!I$1:I$400,0)),I$2,)</f>
        <v>0</v>
      </c>
      <c r="J265" s="179">
        <f ca="1">IF(ISNUMBER(MATCH(DATEVALUE($A265),'changes1_based on steps'!J$1:J$400,0)),J$2,)</f>
        <v>0</v>
      </c>
      <c r="K265" s="179">
        <f ca="1">IF(ISNUMBER(MATCH(DATEVALUE($A265),'changes1_based on steps'!K$1:K$400,0)),K$2,)</f>
        <v>0</v>
      </c>
      <c r="L265" s="179">
        <f ca="1">IF(ISNUMBER(MATCH(DATEVALUE($A265),'changes1_based on steps'!L$1:L$400,0)),L$2,)</f>
        <v>0</v>
      </c>
      <c r="M265" s="179">
        <f ca="1">IF(ISNUMBER(MATCH(DATEVALUE($A265),'changes1_based on steps'!M$1:M$400,0)),M$2,)</f>
        <v>0</v>
      </c>
      <c r="N265" s="179">
        <f ca="1">IF(ISNUMBER(MATCH(DATEVALUE($A265),'changes1_based on steps'!N$1:N$400,0)),N$2,)</f>
        <v>0</v>
      </c>
      <c r="O265" s="179">
        <f ca="1">IF(ISNUMBER(MATCH(DATEVALUE($A265),'changes1_based on steps'!O$1:O$400,0)),O$2,)</f>
        <v>0</v>
      </c>
      <c r="P265" s="179">
        <f ca="1">IF(ISNUMBER(MATCH(DATEVALUE($A265),'changes1_based on steps'!P$1:P$400,0)),P$2,)</f>
        <v>0</v>
      </c>
      <c r="Q265" s="179">
        <f ca="1">IF(ISNUMBER(MATCH(DATEVALUE($A265),'changes1_based on steps'!Q$1:Q$400,0)),Q$2,)</f>
        <v>0</v>
      </c>
      <c r="R265" s="179">
        <f ca="1">IF(ISNUMBER(MATCH(DATEVALUE($A265),'changes1_based on steps'!R$1:R$400,0)),R$2,)</f>
        <v>0</v>
      </c>
      <c r="S265" s="179">
        <f ca="1">IF(ISNUMBER(MATCH(DATEVALUE($A265),'changes1_based on steps'!S$1:S$400,0)),S$2,)</f>
        <v>0</v>
      </c>
      <c r="T265" s="179">
        <f ca="1">IF(ISNUMBER(MATCH(DATEVALUE($A265),'changes1_based on steps'!T$1:T$400,0)),T$2,)</f>
        <v>0</v>
      </c>
      <c r="U265" s="179">
        <f ca="1">IF(ISNUMBER(MATCH(DATEVALUE($A265),'changes1_based on steps'!U$1:U$400,0)),U$2,)</f>
        <v>0</v>
      </c>
      <c r="V265" s="179"/>
      <c r="W265" s="179"/>
      <c r="X265" s="179"/>
      <c r="Y265" s="179"/>
      <c r="Z265" s="179"/>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c r="AV265" s="179"/>
      <c r="AW265" s="179"/>
      <c r="AX265" s="179"/>
      <c r="AY265" s="179"/>
      <c r="AZ265" s="179"/>
      <c r="BA265" s="179"/>
      <c r="BB265" s="179"/>
      <c r="BC265" s="179"/>
      <c r="BD265" s="179"/>
      <c r="BE265" s="179"/>
      <c r="BF265" s="179"/>
      <c r="BG265" s="179"/>
      <c r="BH265" s="179"/>
      <c r="BI265" s="179"/>
      <c r="BJ265" s="179"/>
      <c r="BK265" s="179"/>
      <c r="BL265" s="179"/>
      <c r="BM265" s="179"/>
      <c r="BN265" s="179"/>
      <c r="BO265" s="179"/>
      <c r="BP265" s="179"/>
      <c r="BQ265" s="179"/>
      <c r="BR265" s="179"/>
      <c r="BS265" s="179"/>
      <c r="BT265" s="179"/>
      <c r="BU265" s="179"/>
      <c r="BV265" s="179"/>
      <c r="BW265" s="179"/>
      <c r="BX265" s="179"/>
      <c r="BY265" s="179"/>
      <c r="BZ265" s="179"/>
      <c r="CA265" s="179"/>
      <c r="CB265" s="179"/>
      <c r="CC265" s="179"/>
      <c r="CD265" s="179"/>
      <c r="CE265" s="179"/>
      <c r="CF265" s="179"/>
      <c r="CG265" s="179"/>
      <c r="CH265" s="179"/>
      <c r="CI265" s="179"/>
      <c r="CJ265" s="179"/>
      <c r="CK265" s="179"/>
      <c r="CL265" s="179"/>
      <c r="CM265" s="179"/>
      <c r="CN265" s="179"/>
      <c r="CO265" s="179"/>
      <c r="CP265" s="179"/>
      <c r="CQ265" s="179"/>
      <c r="CR265" s="179"/>
      <c r="CS265" s="179"/>
      <c r="CT265" s="179"/>
      <c r="CU265" s="179"/>
      <c r="CV265" s="179"/>
      <c r="CW265" s="179"/>
    </row>
    <row r="266" spans="1:101" x14ac:dyDescent="0.2">
      <c r="A266" s="32" t="str">
        <f t="shared" ca="1" si="4"/>
        <v>2025-12-17</v>
      </c>
      <c r="B266" s="179">
        <f ca="1">IF(ISNUMBER(MATCH(DATEVALUE($A266),'changes1_based on steps'!B$1:B$400,0)),B$2,)</f>
        <v>0</v>
      </c>
      <c r="C266" s="179">
        <f ca="1">IF(ISNUMBER(MATCH(DATEVALUE($A266),'changes1_based on steps'!C$1:C$400,0)),C$2,)</f>
        <v>0</v>
      </c>
      <c r="D266" s="179">
        <f ca="1">IF(ISNUMBER(MATCH(DATEVALUE($A266),'changes1_based on steps'!D$1:D$400,0)),D$2,)</f>
        <v>0</v>
      </c>
      <c r="E266" s="179">
        <f ca="1">IF(ISNUMBER(MATCH(DATEVALUE($A266),'changes1_based on steps'!E$1:E$400,0)),E$2,)</f>
        <v>0</v>
      </c>
      <c r="F266" s="179">
        <f ca="1">IF(ISNUMBER(MATCH(DATEVALUE($A266),'changes1_based on steps'!F$1:F$400,0)),F$2,)</f>
        <v>0</v>
      </c>
      <c r="G266" s="179">
        <f ca="1">IF(ISNUMBER(MATCH(DATEVALUE($A266),'changes1_based on steps'!G$1:G$400,0)),G$2,)</f>
        <v>0</v>
      </c>
      <c r="H266" s="179">
        <f ca="1">IF(ISNUMBER(MATCH(DATEVALUE($A266),'changes1_based on steps'!H$1:H$400,0)),H$2,)</f>
        <v>0</v>
      </c>
      <c r="I266" s="179">
        <f ca="1">IF(ISNUMBER(MATCH(DATEVALUE($A266),'changes1_based on steps'!I$1:I$400,0)),I$2,)</f>
        <v>0</v>
      </c>
      <c r="J266" s="179">
        <f ca="1">IF(ISNUMBER(MATCH(DATEVALUE($A266),'changes1_based on steps'!J$1:J$400,0)),J$2,)</f>
        <v>0</v>
      </c>
      <c r="K266" s="179">
        <f ca="1">IF(ISNUMBER(MATCH(DATEVALUE($A266),'changes1_based on steps'!K$1:K$400,0)),K$2,)</f>
        <v>0</v>
      </c>
      <c r="L266" s="179">
        <f ca="1">IF(ISNUMBER(MATCH(DATEVALUE($A266),'changes1_based on steps'!L$1:L$400,0)),L$2,)</f>
        <v>0</v>
      </c>
      <c r="M266" s="179">
        <f ca="1">IF(ISNUMBER(MATCH(DATEVALUE($A266),'changes1_based on steps'!M$1:M$400,0)),M$2,)</f>
        <v>0</v>
      </c>
      <c r="N266" s="179">
        <f ca="1">IF(ISNUMBER(MATCH(DATEVALUE($A266),'changes1_based on steps'!N$1:N$400,0)),N$2,)</f>
        <v>0</v>
      </c>
      <c r="O266" s="179">
        <f ca="1">IF(ISNUMBER(MATCH(DATEVALUE($A266),'changes1_based on steps'!O$1:O$400,0)),O$2,)</f>
        <v>0</v>
      </c>
      <c r="P266" s="179">
        <f ca="1">IF(ISNUMBER(MATCH(DATEVALUE($A266),'changes1_based on steps'!P$1:P$400,0)),P$2,)</f>
        <v>0</v>
      </c>
      <c r="Q266" s="179">
        <f ca="1">IF(ISNUMBER(MATCH(DATEVALUE($A266),'changes1_based on steps'!Q$1:Q$400,0)),Q$2,)</f>
        <v>0</v>
      </c>
      <c r="R266" s="179">
        <f ca="1">IF(ISNUMBER(MATCH(DATEVALUE($A266),'changes1_based on steps'!R$1:R$400,0)),R$2,)</f>
        <v>0</v>
      </c>
      <c r="S266" s="179">
        <f ca="1">IF(ISNUMBER(MATCH(DATEVALUE($A266),'changes1_based on steps'!S$1:S$400,0)),S$2,)</f>
        <v>0</v>
      </c>
      <c r="T266" s="179">
        <f ca="1">IF(ISNUMBER(MATCH(DATEVALUE($A266),'changes1_based on steps'!T$1:T$400,0)),T$2,)</f>
        <v>0</v>
      </c>
      <c r="U266" s="179">
        <f ca="1">IF(ISNUMBER(MATCH(DATEVALUE($A266),'changes1_based on steps'!U$1:U$400,0)),U$2,)</f>
        <v>0</v>
      </c>
      <c r="V266" s="179"/>
      <c r="W266" s="179"/>
      <c r="X266" s="179"/>
      <c r="Y266" s="179"/>
      <c r="Z266" s="179"/>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c r="AV266" s="179"/>
      <c r="AW266" s="179"/>
      <c r="AX266" s="179"/>
      <c r="AY266" s="179"/>
      <c r="AZ266" s="179"/>
      <c r="BA266" s="179"/>
      <c r="BB266" s="179"/>
      <c r="BC266" s="179"/>
      <c r="BD266" s="179"/>
      <c r="BE266" s="179"/>
      <c r="BF266" s="179"/>
      <c r="BG266" s="179"/>
      <c r="BH266" s="179"/>
      <c r="BI266" s="179"/>
      <c r="BJ266" s="179"/>
      <c r="BK266" s="179"/>
      <c r="BL266" s="179"/>
      <c r="BM266" s="179"/>
      <c r="BN266" s="179"/>
      <c r="BO266" s="179"/>
      <c r="BP266" s="179"/>
      <c r="BQ266" s="179"/>
      <c r="BR266" s="179"/>
      <c r="BS266" s="179"/>
      <c r="BT266" s="179"/>
      <c r="BU266" s="179"/>
      <c r="BV266" s="179"/>
      <c r="BW266" s="179"/>
      <c r="BX266" s="179"/>
      <c r="BY266" s="179"/>
      <c r="BZ266" s="179"/>
      <c r="CA266" s="179"/>
      <c r="CB266" s="179"/>
      <c r="CC266" s="179"/>
      <c r="CD266" s="179"/>
      <c r="CE266" s="179"/>
      <c r="CF266" s="179"/>
      <c r="CG266" s="179"/>
      <c r="CH266" s="179"/>
      <c r="CI266" s="179"/>
      <c r="CJ266" s="179"/>
      <c r="CK266" s="179"/>
      <c r="CL266" s="179"/>
      <c r="CM266" s="179"/>
      <c r="CN266" s="179"/>
      <c r="CO266" s="179"/>
      <c r="CP266" s="179"/>
      <c r="CQ266" s="179"/>
      <c r="CR266" s="179"/>
      <c r="CS266" s="179"/>
      <c r="CT266" s="179"/>
      <c r="CU266" s="179"/>
      <c r="CV266" s="179"/>
      <c r="CW266" s="179"/>
    </row>
    <row r="267" spans="1:101" x14ac:dyDescent="0.2">
      <c r="A267" s="32" t="str">
        <f t="shared" ca="1" si="4"/>
        <v>2025-12-18</v>
      </c>
      <c r="B267" s="179">
        <f ca="1">IF(ISNUMBER(MATCH(DATEVALUE($A267),'changes1_based on steps'!B$1:B$400,0)),B$2,)</f>
        <v>0</v>
      </c>
      <c r="C267" s="179">
        <f ca="1">IF(ISNUMBER(MATCH(DATEVALUE($A267),'changes1_based on steps'!C$1:C$400,0)),C$2,)</f>
        <v>0</v>
      </c>
      <c r="D267" s="179">
        <f ca="1">IF(ISNUMBER(MATCH(DATEVALUE($A267),'changes1_based on steps'!D$1:D$400,0)),D$2,)</f>
        <v>0</v>
      </c>
      <c r="E267" s="179">
        <f ca="1">IF(ISNUMBER(MATCH(DATEVALUE($A267),'changes1_based on steps'!E$1:E$400,0)),E$2,)</f>
        <v>0</v>
      </c>
      <c r="F267" s="179">
        <f ca="1">IF(ISNUMBER(MATCH(DATEVALUE($A267),'changes1_based on steps'!F$1:F$400,0)),F$2,)</f>
        <v>0</v>
      </c>
      <c r="G267" s="179">
        <f ca="1">IF(ISNUMBER(MATCH(DATEVALUE($A267),'changes1_based on steps'!G$1:G$400,0)),G$2,)</f>
        <v>0</v>
      </c>
      <c r="H267" s="179">
        <f ca="1">IF(ISNUMBER(MATCH(DATEVALUE($A267),'changes1_based on steps'!H$1:H$400,0)),H$2,)</f>
        <v>0</v>
      </c>
      <c r="I267" s="179">
        <f ca="1">IF(ISNUMBER(MATCH(DATEVALUE($A267),'changes1_based on steps'!I$1:I$400,0)),I$2,)</f>
        <v>0</v>
      </c>
      <c r="J267" s="179">
        <f ca="1">IF(ISNUMBER(MATCH(DATEVALUE($A267),'changes1_based on steps'!J$1:J$400,0)),J$2,)</f>
        <v>0</v>
      </c>
      <c r="K267" s="179">
        <f ca="1">IF(ISNUMBER(MATCH(DATEVALUE($A267),'changes1_based on steps'!K$1:K$400,0)),K$2,)</f>
        <v>0</v>
      </c>
      <c r="L267" s="179">
        <f ca="1">IF(ISNUMBER(MATCH(DATEVALUE($A267),'changes1_based on steps'!L$1:L$400,0)),L$2,)</f>
        <v>0</v>
      </c>
      <c r="M267" s="179">
        <f ca="1">IF(ISNUMBER(MATCH(DATEVALUE($A267),'changes1_based on steps'!M$1:M$400,0)),M$2,)</f>
        <v>0</v>
      </c>
      <c r="N267" s="179">
        <f ca="1">IF(ISNUMBER(MATCH(DATEVALUE($A267),'changes1_based on steps'!N$1:N$400,0)),N$2,)</f>
        <v>0</v>
      </c>
      <c r="O267" s="179">
        <f ca="1">IF(ISNUMBER(MATCH(DATEVALUE($A267),'changes1_based on steps'!O$1:O$400,0)),O$2,)</f>
        <v>0</v>
      </c>
      <c r="P267" s="179">
        <f ca="1">IF(ISNUMBER(MATCH(DATEVALUE($A267),'changes1_based on steps'!P$1:P$400,0)),P$2,)</f>
        <v>0</v>
      </c>
      <c r="Q267" s="179">
        <f ca="1">IF(ISNUMBER(MATCH(DATEVALUE($A267),'changes1_based on steps'!Q$1:Q$400,0)),Q$2,)</f>
        <v>0</v>
      </c>
      <c r="R267" s="179">
        <f ca="1">IF(ISNUMBER(MATCH(DATEVALUE($A267),'changes1_based on steps'!R$1:R$400,0)),R$2,)</f>
        <v>0</v>
      </c>
      <c r="S267" s="179">
        <f ca="1">IF(ISNUMBER(MATCH(DATEVALUE($A267),'changes1_based on steps'!S$1:S$400,0)),S$2,)</f>
        <v>0</v>
      </c>
      <c r="T267" s="179">
        <f ca="1">IF(ISNUMBER(MATCH(DATEVALUE($A267),'changes1_based on steps'!T$1:T$400,0)),T$2,)</f>
        <v>0</v>
      </c>
      <c r="U267" s="179">
        <f ca="1">IF(ISNUMBER(MATCH(DATEVALUE($A267),'changes1_based on steps'!U$1:U$400,0)),U$2,)</f>
        <v>0</v>
      </c>
      <c r="V267" s="179"/>
      <c r="W267" s="179"/>
      <c r="X267" s="179"/>
      <c r="Y267" s="179"/>
      <c r="Z267" s="179"/>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c r="AV267" s="179"/>
      <c r="AW267" s="179"/>
      <c r="AX267" s="179"/>
      <c r="AY267" s="179"/>
      <c r="AZ267" s="179"/>
      <c r="BA267" s="179"/>
      <c r="BB267" s="179"/>
      <c r="BC267" s="179"/>
      <c r="BD267" s="179"/>
      <c r="BE267" s="179"/>
      <c r="BF267" s="179"/>
      <c r="BG267" s="179"/>
      <c r="BH267" s="179"/>
      <c r="BI267" s="179"/>
      <c r="BJ267" s="179"/>
      <c r="BK267" s="179"/>
      <c r="BL267" s="179"/>
      <c r="BM267" s="179"/>
      <c r="BN267" s="179"/>
      <c r="BO267" s="179"/>
      <c r="BP267" s="179"/>
      <c r="BQ267" s="179"/>
      <c r="BR267" s="179"/>
      <c r="BS267" s="179"/>
      <c r="BT267" s="179"/>
      <c r="BU267" s="179"/>
      <c r="BV267" s="179"/>
      <c r="BW267" s="179"/>
      <c r="BX267" s="179"/>
      <c r="BY267" s="179"/>
      <c r="BZ267" s="179"/>
      <c r="CA267" s="179"/>
      <c r="CB267" s="179"/>
      <c r="CC267" s="179"/>
      <c r="CD267" s="179"/>
      <c r="CE267" s="179"/>
      <c r="CF267" s="179"/>
      <c r="CG267" s="179"/>
      <c r="CH267" s="179"/>
      <c r="CI267" s="179"/>
      <c r="CJ267" s="179"/>
      <c r="CK267" s="179"/>
      <c r="CL267" s="179"/>
      <c r="CM267" s="179"/>
      <c r="CN267" s="179"/>
      <c r="CO267" s="179"/>
      <c r="CP267" s="179"/>
      <c r="CQ267" s="179"/>
      <c r="CR267" s="179"/>
      <c r="CS267" s="179"/>
      <c r="CT267" s="179"/>
      <c r="CU267" s="179"/>
      <c r="CV267" s="179"/>
      <c r="CW267" s="179"/>
    </row>
    <row r="268" spans="1:101" x14ac:dyDescent="0.2">
      <c r="A268" s="32" t="str">
        <f t="shared" ca="1" si="4"/>
        <v>2025-12-19</v>
      </c>
      <c r="B268" s="179">
        <f ca="1">IF(ISNUMBER(MATCH(DATEVALUE($A268),'changes1_based on steps'!B$1:B$400,0)),B$2,)</f>
        <v>0</v>
      </c>
      <c r="C268" s="179">
        <f ca="1">IF(ISNUMBER(MATCH(DATEVALUE($A268),'changes1_based on steps'!C$1:C$400,0)),C$2,)</f>
        <v>0</v>
      </c>
      <c r="D268" s="179">
        <f ca="1">IF(ISNUMBER(MATCH(DATEVALUE($A268),'changes1_based on steps'!D$1:D$400,0)),D$2,)</f>
        <v>0</v>
      </c>
      <c r="E268" s="179">
        <f ca="1">IF(ISNUMBER(MATCH(DATEVALUE($A268),'changes1_based on steps'!E$1:E$400,0)),E$2,)</f>
        <v>0</v>
      </c>
      <c r="F268" s="179">
        <f ca="1">IF(ISNUMBER(MATCH(DATEVALUE($A268),'changes1_based on steps'!F$1:F$400,0)),F$2,)</f>
        <v>0</v>
      </c>
      <c r="G268" s="179">
        <f ca="1">IF(ISNUMBER(MATCH(DATEVALUE($A268),'changes1_based on steps'!G$1:G$400,0)),G$2,)</f>
        <v>0</v>
      </c>
      <c r="H268" s="179">
        <f ca="1">IF(ISNUMBER(MATCH(DATEVALUE($A268),'changes1_based on steps'!H$1:H$400,0)),H$2,)</f>
        <v>0</v>
      </c>
      <c r="I268" s="179">
        <f ca="1">IF(ISNUMBER(MATCH(DATEVALUE($A268),'changes1_based on steps'!I$1:I$400,0)),I$2,)</f>
        <v>0</v>
      </c>
      <c r="J268" s="179">
        <f ca="1">IF(ISNUMBER(MATCH(DATEVALUE($A268),'changes1_based on steps'!J$1:J$400,0)),J$2,)</f>
        <v>0</v>
      </c>
      <c r="K268" s="179">
        <f ca="1">IF(ISNUMBER(MATCH(DATEVALUE($A268),'changes1_based on steps'!K$1:K$400,0)),K$2,)</f>
        <v>0</v>
      </c>
      <c r="L268" s="179">
        <f ca="1">IF(ISNUMBER(MATCH(DATEVALUE($A268),'changes1_based on steps'!L$1:L$400,0)),L$2,)</f>
        <v>0</v>
      </c>
      <c r="M268" s="179">
        <f ca="1">IF(ISNUMBER(MATCH(DATEVALUE($A268),'changes1_based on steps'!M$1:M$400,0)),M$2,)</f>
        <v>0</v>
      </c>
      <c r="N268" s="179">
        <f ca="1">IF(ISNUMBER(MATCH(DATEVALUE($A268),'changes1_based on steps'!N$1:N$400,0)),N$2,)</f>
        <v>0</v>
      </c>
      <c r="O268" s="179">
        <f ca="1">IF(ISNUMBER(MATCH(DATEVALUE($A268),'changes1_based on steps'!O$1:O$400,0)),O$2,)</f>
        <v>0</v>
      </c>
      <c r="P268" s="179">
        <f ca="1">IF(ISNUMBER(MATCH(DATEVALUE($A268),'changes1_based on steps'!P$1:P$400,0)),P$2,)</f>
        <v>0</v>
      </c>
      <c r="Q268" s="179">
        <f ca="1">IF(ISNUMBER(MATCH(DATEVALUE($A268),'changes1_based on steps'!Q$1:Q$400,0)),Q$2,)</f>
        <v>0</v>
      </c>
      <c r="R268" s="179">
        <f ca="1">IF(ISNUMBER(MATCH(DATEVALUE($A268),'changes1_based on steps'!R$1:R$400,0)),R$2,)</f>
        <v>0</v>
      </c>
      <c r="S268" s="179">
        <f ca="1">IF(ISNUMBER(MATCH(DATEVALUE($A268),'changes1_based on steps'!S$1:S$400,0)),S$2,)</f>
        <v>0</v>
      </c>
      <c r="T268" s="179">
        <f ca="1">IF(ISNUMBER(MATCH(DATEVALUE($A268),'changes1_based on steps'!T$1:T$400,0)),T$2,)</f>
        <v>0</v>
      </c>
      <c r="U268" s="179">
        <f ca="1">IF(ISNUMBER(MATCH(DATEVALUE($A268),'changes1_based on steps'!U$1:U$400,0)),U$2,)</f>
        <v>0</v>
      </c>
      <c r="V268" s="179"/>
      <c r="W268" s="179"/>
      <c r="X268" s="179"/>
      <c r="Y268" s="179"/>
      <c r="Z268" s="179"/>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c r="AV268" s="179"/>
      <c r="AW268" s="179"/>
      <c r="AX268" s="179"/>
      <c r="AY268" s="179"/>
      <c r="AZ268" s="179"/>
      <c r="BA268" s="179"/>
      <c r="BB268" s="179"/>
      <c r="BC268" s="179"/>
      <c r="BD268" s="179"/>
      <c r="BE268" s="179"/>
      <c r="BF268" s="179"/>
      <c r="BG268" s="179"/>
      <c r="BH268" s="179"/>
      <c r="BI268" s="179"/>
      <c r="BJ268" s="179"/>
      <c r="BK268" s="179"/>
      <c r="BL268" s="179"/>
      <c r="BM268" s="179"/>
      <c r="BN268" s="179"/>
      <c r="BO268" s="179"/>
      <c r="BP268" s="179"/>
      <c r="BQ268" s="179"/>
      <c r="BR268" s="179"/>
      <c r="BS268" s="179"/>
      <c r="BT268" s="179"/>
      <c r="BU268" s="179"/>
      <c r="BV268" s="179"/>
      <c r="BW268" s="179"/>
      <c r="BX268" s="179"/>
      <c r="BY268" s="179"/>
      <c r="BZ268" s="179"/>
      <c r="CA268" s="179"/>
      <c r="CB268" s="179"/>
      <c r="CC268" s="179"/>
      <c r="CD268" s="179"/>
      <c r="CE268" s="179"/>
      <c r="CF268" s="179"/>
      <c r="CG268" s="179"/>
      <c r="CH268" s="179"/>
      <c r="CI268" s="179"/>
      <c r="CJ268" s="179"/>
      <c r="CK268" s="179"/>
      <c r="CL268" s="179"/>
      <c r="CM268" s="179"/>
      <c r="CN268" s="179"/>
      <c r="CO268" s="179"/>
      <c r="CP268" s="179"/>
      <c r="CQ268" s="179"/>
      <c r="CR268" s="179"/>
      <c r="CS268" s="179"/>
      <c r="CT268" s="179"/>
      <c r="CU268" s="179"/>
      <c r="CV268" s="179"/>
      <c r="CW268" s="179"/>
    </row>
    <row r="269" spans="1:101" x14ac:dyDescent="0.2">
      <c r="A269" s="32" t="str">
        <f t="shared" ca="1" si="4"/>
        <v>2025-12-20</v>
      </c>
      <c r="B269" s="179">
        <f ca="1">IF(ISNUMBER(MATCH(DATEVALUE($A269),'changes1_based on steps'!B$1:B$400,0)),B$2,)</f>
        <v>0</v>
      </c>
      <c r="C269" s="179">
        <f ca="1">IF(ISNUMBER(MATCH(DATEVALUE($A269),'changes1_based on steps'!C$1:C$400,0)),C$2,)</f>
        <v>0</v>
      </c>
      <c r="D269" s="179">
        <f ca="1">IF(ISNUMBER(MATCH(DATEVALUE($A269),'changes1_based on steps'!D$1:D$400,0)),D$2,)</f>
        <v>0</v>
      </c>
      <c r="E269" s="179">
        <f ca="1">IF(ISNUMBER(MATCH(DATEVALUE($A269),'changes1_based on steps'!E$1:E$400,0)),E$2,)</f>
        <v>0</v>
      </c>
      <c r="F269" s="179">
        <f ca="1">IF(ISNUMBER(MATCH(DATEVALUE($A269),'changes1_based on steps'!F$1:F$400,0)),F$2,)</f>
        <v>0</v>
      </c>
      <c r="G269" s="179">
        <f ca="1">IF(ISNUMBER(MATCH(DATEVALUE($A269),'changes1_based on steps'!G$1:G$400,0)),G$2,)</f>
        <v>0</v>
      </c>
      <c r="H269" s="179">
        <f ca="1">IF(ISNUMBER(MATCH(DATEVALUE($A269),'changes1_based on steps'!H$1:H$400,0)),H$2,)</f>
        <v>0</v>
      </c>
      <c r="I269" s="179">
        <f ca="1">IF(ISNUMBER(MATCH(DATEVALUE($A269),'changes1_based on steps'!I$1:I$400,0)),I$2,)</f>
        <v>0</v>
      </c>
      <c r="J269" s="179">
        <f ca="1">IF(ISNUMBER(MATCH(DATEVALUE($A269),'changes1_based on steps'!J$1:J$400,0)),J$2,)</f>
        <v>0</v>
      </c>
      <c r="K269" s="179">
        <f ca="1">IF(ISNUMBER(MATCH(DATEVALUE($A269),'changes1_based on steps'!K$1:K$400,0)),K$2,)</f>
        <v>0</v>
      </c>
      <c r="L269" s="179">
        <f ca="1">IF(ISNUMBER(MATCH(DATEVALUE($A269),'changes1_based on steps'!L$1:L$400,0)),L$2,)</f>
        <v>0</v>
      </c>
      <c r="M269" s="179">
        <f ca="1">IF(ISNUMBER(MATCH(DATEVALUE($A269),'changes1_based on steps'!M$1:M$400,0)),M$2,)</f>
        <v>0</v>
      </c>
      <c r="N269" s="179">
        <f ca="1">IF(ISNUMBER(MATCH(DATEVALUE($A269),'changes1_based on steps'!N$1:N$400,0)),N$2,)</f>
        <v>0</v>
      </c>
      <c r="O269" s="179">
        <f ca="1">IF(ISNUMBER(MATCH(DATEVALUE($A269),'changes1_based on steps'!O$1:O$400,0)),O$2,)</f>
        <v>0</v>
      </c>
      <c r="P269" s="179">
        <f ca="1">IF(ISNUMBER(MATCH(DATEVALUE($A269),'changes1_based on steps'!P$1:P$400,0)),P$2,)</f>
        <v>0</v>
      </c>
      <c r="Q269" s="179">
        <f ca="1">IF(ISNUMBER(MATCH(DATEVALUE($A269),'changes1_based on steps'!Q$1:Q$400,0)),Q$2,)</f>
        <v>0</v>
      </c>
      <c r="R269" s="179">
        <f ca="1">IF(ISNUMBER(MATCH(DATEVALUE($A269),'changes1_based on steps'!R$1:R$400,0)),R$2,)</f>
        <v>0</v>
      </c>
      <c r="S269" s="179">
        <f ca="1">IF(ISNUMBER(MATCH(DATEVALUE($A269),'changes1_based on steps'!S$1:S$400,0)),S$2,)</f>
        <v>0</v>
      </c>
      <c r="T269" s="179">
        <f ca="1">IF(ISNUMBER(MATCH(DATEVALUE($A269),'changes1_based on steps'!T$1:T$400,0)),T$2,)</f>
        <v>0</v>
      </c>
      <c r="U269" s="179">
        <f ca="1">IF(ISNUMBER(MATCH(DATEVALUE($A269),'changes1_based on steps'!U$1:U$400,0)),U$2,)</f>
        <v>0</v>
      </c>
      <c r="V269" s="179"/>
      <c r="W269" s="179"/>
      <c r="X269" s="179"/>
      <c r="Y269" s="179"/>
      <c r="Z269" s="179"/>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c r="AV269" s="179"/>
      <c r="AW269" s="179"/>
      <c r="AX269" s="179"/>
      <c r="AY269" s="179"/>
      <c r="AZ269" s="179"/>
      <c r="BA269" s="179"/>
      <c r="BB269" s="179"/>
      <c r="BC269" s="179"/>
      <c r="BD269" s="179"/>
      <c r="BE269" s="179"/>
      <c r="BF269" s="179"/>
      <c r="BG269" s="179"/>
      <c r="BH269" s="179"/>
      <c r="BI269" s="179"/>
      <c r="BJ269" s="179"/>
      <c r="BK269" s="179"/>
      <c r="BL269" s="179"/>
      <c r="BM269" s="179"/>
      <c r="BN269" s="179"/>
      <c r="BO269" s="179"/>
      <c r="BP269" s="179"/>
      <c r="BQ269" s="179"/>
      <c r="BR269" s="179"/>
      <c r="BS269" s="179"/>
      <c r="BT269" s="179"/>
      <c r="BU269" s="179"/>
      <c r="BV269" s="179"/>
      <c r="BW269" s="179"/>
      <c r="BX269" s="179"/>
      <c r="BY269" s="179"/>
      <c r="BZ269" s="179"/>
      <c r="CA269" s="179"/>
      <c r="CB269" s="179"/>
      <c r="CC269" s="179"/>
      <c r="CD269" s="179"/>
      <c r="CE269" s="179"/>
      <c r="CF269" s="179"/>
      <c r="CG269" s="179"/>
      <c r="CH269" s="179"/>
      <c r="CI269" s="179"/>
      <c r="CJ269" s="179"/>
      <c r="CK269" s="179"/>
      <c r="CL269" s="179"/>
      <c r="CM269" s="179"/>
      <c r="CN269" s="179"/>
      <c r="CO269" s="179"/>
      <c r="CP269" s="179"/>
      <c r="CQ269" s="179"/>
      <c r="CR269" s="179"/>
      <c r="CS269" s="179"/>
      <c r="CT269" s="179"/>
      <c r="CU269" s="179"/>
      <c r="CV269" s="179"/>
      <c r="CW269" s="179"/>
    </row>
    <row r="270" spans="1:101" x14ac:dyDescent="0.2">
      <c r="A270" s="32" t="str">
        <f t="shared" ca="1" si="4"/>
        <v>2025-12-21</v>
      </c>
      <c r="B270" s="179">
        <f ca="1">IF(ISNUMBER(MATCH(DATEVALUE($A270),'changes1_based on steps'!B$1:B$400,0)),B$2,)</f>
        <v>0</v>
      </c>
      <c r="C270" s="179">
        <f ca="1">IF(ISNUMBER(MATCH(DATEVALUE($A270),'changes1_based on steps'!C$1:C$400,0)),C$2,)</f>
        <v>0</v>
      </c>
      <c r="D270" s="179">
        <f ca="1">IF(ISNUMBER(MATCH(DATEVALUE($A270),'changes1_based on steps'!D$1:D$400,0)),D$2,)</f>
        <v>0</v>
      </c>
      <c r="E270" s="179">
        <f ca="1">IF(ISNUMBER(MATCH(DATEVALUE($A270),'changes1_based on steps'!E$1:E$400,0)),E$2,)</f>
        <v>0</v>
      </c>
      <c r="F270" s="179">
        <f ca="1">IF(ISNUMBER(MATCH(DATEVALUE($A270),'changes1_based on steps'!F$1:F$400,0)),F$2,)</f>
        <v>0</v>
      </c>
      <c r="G270" s="179">
        <f ca="1">IF(ISNUMBER(MATCH(DATEVALUE($A270),'changes1_based on steps'!G$1:G$400,0)),G$2,)</f>
        <v>0</v>
      </c>
      <c r="H270" s="179">
        <f ca="1">IF(ISNUMBER(MATCH(DATEVALUE($A270),'changes1_based on steps'!H$1:H$400,0)),H$2,)</f>
        <v>0</v>
      </c>
      <c r="I270" s="179">
        <f ca="1">IF(ISNUMBER(MATCH(DATEVALUE($A270),'changes1_based on steps'!I$1:I$400,0)),I$2,)</f>
        <v>0</v>
      </c>
      <c r="J270" s="179">
        <f ca="1">IF(ISNUMBER(MATCH(DATEVALUE($A270),'changes1_based on steps'!J$1:J$400,0)),J$2,)</f>
        <v>0</v>
      </c>
      <c r="K270" s="179">
        <f ca="1">IF(ISNUMBER(MATCH(DATEVALUE($A270),'changes1_based on steps'!K$1:K$400,0)),K$2,)</f>
        <v>0</v>
      </c>
      <c r="L270" s="179">
        <f ca="1">IF(ISNUMBER(MATCH(DATEVALUE($A270),'changes1_based on steps'!L$1:L$400,0)),L$2,)</f>
        <v>0</v>
      </c>
      <c r="M270" s="179">
        <f ca="1">IF(ISNUMBER(MATCH(DATEVALUE($A270),'changes1_based on steps'!M$1:M$400,0)),M$2,)</f>
        <v>0</v>
      </c>
      <c r="N270" s="179">
        <f ca="1">IF(ISNUMBER(MATCH(DATEVALUE($A270),'changes1_based on steps'!N$1:N$400,0)),N$2,)</f>
        <v>0</v>
      </c>
      <c r="O270" s="179">
        <f ca="1">IF(ISNUMBER(MATCH(DATEVALUE($A270),'changes1_based on steps'!O$1:O$400,0)),O$2,)</f>
        <v>0</v>
      </c>
      <c r="P270" s="179">
        <f ca="1">IF(ISNUMBER(MATCH(DATEVALUE($A270),'changes1_based on steps'!P$1:P$400,0)),P$2,)</f>
        <v>0</v>
      </c>
      <c r="Q270" s="179">
        <f ca="1">IF(ISNUMBER(MATCH(DATEVALUE($A270),'changes1_based on steps'!Q$1:Q$400,0)),Q$2,)</f>
        <v>0</v>
      </c>
      <c r="R270" s="179">
        <f ca="1">IF(ISNUMBER(MATCH(DATEVALUE($A270),'changes1_based on steps'!R$1:R$400,0)),R$2,)</f>
        <v>0</v>
      </c>
      <c r="S270" s="179">
        <f ca="1">IF(ISNUMBER(MATCH(DATEVALUE($A270),'changes1_based on steps'!S$1:S$400,0)),S$2,)</f>
        <v>0</v>
      </c>
      <c r="T270" s="179">
        <f ca="1">IF(ISNUMBER(MATCH(DATEVALUE($A270),'changes1_based on steps'!T$1:T$400,0)),T$2,)</f>
        <v>0</v>
      </c>
      <c r="U270" s="179">
        <f ca="1">IF(ISNUMBER(MATCH(DATEVALUE($A270),'changes1_based on steps'!U$1:U$400,0)),U$2,)</f>
        <v>0</v>
      </c>
      <c r="V270" s="179"/>
      <c r="W270" s="179"/>
      <c r="X270" s="179"/>
      <c r="Y270" s="179"/>
      <c r="Z270" s="179"/>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c r="AV270" s="179"/>
      <c r="AW270" s="179"/>
      <c r="AX270" s="179"/>
      <c r="AY270" s="179"/>
      <c r="AZ270" s="179"/>
      <c r="BA270" s="179"/>
      <c r="BB270" s="179"/>
      <c r="BC270" s="179"/>
      <c r="BD270" s="179"/>
      <c r="BE270" s="179"/>
      <c r="BF270" s="179"/>
      <c r="BG270" s="179"/>
      <c r="BH270" s="179"/>
      <c r="BI270" s="179"/>
      <c r="BJ270" s="179"/>
      <c r="BK270" s="179"/>
      <c r="BL270" s="179"/>
      <c r="BM270" s="179"/>
      <c r="BN270" s="179"/>
      <c r="BO270" s="179"/>
      <c r="BP270" s="179"/>
      <c r="BQ270" s="179"/>
      <c r="BR270" s="179"/>
      <c r="BS270" s="179"/>
      <c r="BT270" s="179"/>
      <c r="BU270" s="179"/>
      <c r="BV270" s="179"/>
      <c r="BW270" s="179"/>
      <c r="BX270" s="179"/>
      <c r="BY270" s="179"/>
      <c r="BZ270" s="179"/>
      <c r="CA270" s="179"/>
      <c r="CB270" s="179"/>
      <c r="CC270" s="179"/>
      <c r="CD270" s="179"/>
      <c r="CE270" s="179"/>
      <c r="CF270" s="179"/>
      <c r="CG270" s="179"/>
      <c r="CH270" s="179"/>
      <c r="CI270" s="179"/>
      <c r="CJ270" s="179"/>
      <c r="CK270" s="179"/>
      <c r="CL270" s="179"/>
      <c r="CM270" s="179"/>
      <c r="CN270" s="179"/>
      <c r="CO270" s="179"/>
      <c r="CP270" s="179"/>
      <c r="CQ270" s="179"/>
      <c r="CR270" s="179"/>
      <c r="CS270" s="179"/>
      <c r="CT270" s="179"/>
      <c r="CU270" s="179"/>
      <c r="CV270" s="179"/>
      <c r="CW270" s="179"/>
    </row>
    <row r="271" spans="1:101" x14ac:dyDescent="0.2">
      <c r="A271" s="32" t="str">
        <f t="shared" ca="1" si="4"/>
        <v>2025-12-22</v>
      </c>
      <c r="B271" s="179">
        <f ca="1">IF(ISNUMBER(MATCH(DATEVALUE($A271),'changes1_based on steps'!B$1:B$400,0)),B$2,)</f>
        <v>0</v>
      </c>
      <c r="C271" s="179">
        <f ca="1">IF(ISNUMBER(MATCH(DATEVALUE($A271),'changes1_based on steps'!C$1:C$400,0)),C$2,)</f>
        <v>0</v>
      </c>
      <c r="D271" s="179">
        <f ca="1">IF(ISNUMBER(MATCH(DATEVALUE($A271),'changes1_based on steps'!D$1:D$400,0)),D$2,)</f>
        <v>0</v>
      </c>
      <c r="E271" s="179">
        <f ca="1">IF(ISNUMBER(MATCH(DATEVALUE($A271),'changes1_based on steps'!E$1:E$400,0)),E$2,)</f>
        <v>0</v>
      </c>
      <c r="F271" s="179">
        <f ca="1">IF(ISNUMBER(MATCH(DATEVALUE($A271),'changes1_based on steps'!F$1:F$400,0)),F$2,)</f>
        <v>0</v>
      </c>
      <c r="G271" s="179">
        <f ca="1">IF(ISNUMBER(MATCH(DATEVALUE($A271),'changes1_based on steps'!G$1:G$400,0)),G$2,)</f>
        <v>0</v>
      </c>
      <c r="H271" s="179">
        <f ca="1">IF(ISNUMBER(MATCH(DATEVALUE($A271),'changes1_based on steps'!H$1:H$400,0)),H$2,)</f>
        <v>0</v>
      </c>
      <c r="I271" s="179">
        <f ca="1">IF(ISNUMBER(MATCH(DATEVALUE($A271),'changes1_based on steps'!I$1:I$400,0)),I$2,)</f>
        <v>0</v>
      </c>
      <c r="J271" s="179">
        <f ca="1">IF(ISNUMBER(MATCH(DATEVALUE($A271),'changes1_based on steps'!J$1:J$400,0)),J$2,)</f>
        <v>0</v>
      </c>
      <c r="K271" s="179">
        <f ca="1">IF(ISNUMBER(MATCH(DATEVALUE($A271),'changes1_based on steps'!K$1:K$400,0)),K$2,)</f>
        <v>0</v>
      </c>
      <c r="L271" s="179">
        <f ca="1">IF(ISNUMBER(MATCH(DATEVALUE($A271),'changes1_based on steps'!L$1:L$400,0)),L$2,)</f>
        <v>0</v>
      </c>
      <c r="M271" s="179">
        <f ca="1">IF(ISNUMBER(MATCH(DATEVALUE($A271),'changes1_based on steps'!M$1:M$400,0)),M$2,)</f>
        <v>0</v>
      </c>
      <c r="N271" s="179">
        <f ca="1">IF(ISNUMBER(MATCH(DATEVALUE($A271),'changes1_based on steps'!N$1:N$400,0)),N$2,)</f>
        <v>0</v>
      </c>
      <c r="O271" s="179">
        <f ca="1">IF(ISNUMBER(MATCH(DATEVALUE($A271),'changes1_based on steps'!O$1:O$400,0)),O$2,)</f>
        <v>0</v>
      </c>
      <c r="P271" s="179">
        <f ca="1">IF(ISNUMBER(MATCH(DATEVALUE($A271),'changes1_based on steps'!P$1:P$400,0)),P$2,)</f>
        <v>0</v>
      </c>
      <c r="Q271" s="179">
        <f ca="1">IF(ISNUMBER(MATCH(DATEVALUE($A271),'changes1_based on steps'!Q$1:Q$400,0)),Q$2,)</f>
        <v>0</v>
      </c>
      <c r="R271" s="179">
        <f ca="1">IF(ISNUMBER(MATCH(DATEVALUE($A271),'changes1_based on steps'!R$1:R$400,0)),R$2,)</f>
        <v>0</v>
      </c>
      <c r="S271" s="179">
        <f ca="1">IF(ISNUMBER(MATCH(DATEVALUE($A271),'changes1_based on steps'!S$1:S$400,0)),S$2,)</f>
        <v>0</v>
      </c>
      <c r="T271" s="179">
        <f ca="1">IF(ISNUMBER(MATCH(DATEVALUE($A271),'changes1_based on steps'!T$1:T$400,0)),T$2,)</f>
        <v>0</v>
      </c>
      <c r="U271" s="179">
        <f ca="1">IF(ISNUMBER(MATCH(DATEVALUE($A271),'changes1_based on steps'!U$1:U$400,0)),U$2,)</f>
        <v>0</v>
      </c>
      <c r="V271" s="179"/>
      <c r="W271" s="179"/>
      <c r="X271" s="179"/>
      <c r="Y271" s="179"/>
      <c r="Z271" s="179"/>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c r="AV271" s="179"/>
      <c r="AW271" s="179"/>
      <c r="AX271" s="179"/>
      <c r="AY271" s="179"/>
      <c r="AZ271" s="179"/>
      <c r="BA271" s="179"/>
      <c r="BB271" s="179"/>
      <c r="BC271" s="179"/>
      <c r="BD271" s="179"/>
      <c r="BE271" s="179"/>
      <c r="BF271" s="179"/>
      <c r="BG271" s="179"/>
      <c r="BH271" s="179"/>
      <c r="BI271" s="179"/>
      <c r="BJ271" s="179"/>
      <c r="BK271" s="179"/>
      <c r="BL271" s="179"/>
      <c r="BM271" s="179"/>
      <c r="BN271" s="179"/>
      <c r="BO271" s="179"/>
      <c r="BP271" s="179"/>
      <c r="BQ271" s="179"/>
      <c r="BR271" s="179"/>
      <c r="BS271" s="179"/>
      <c r="BT271" s="179"/>
      <c r="BU271" s="179"/>
      <c r="BV271" s="179"/>
      <c r="BW271" s="179"/>
      <c r="BX271" s="179"/>
      <c r="BY271" s="179"/>
      <c r="BZ271" s="179"/>
      <c r="CA271" s="179"/>
      <c r="CB271" s="179"/>
      <c r="CC271" s="179"/>
      <c r="CD271" s="179"/>
      <c r="CE271" s="179"/>
      <c r="CF271" s="179"/>
      <c r="CG271" s="179"/>
      <c r="CH271" s="179"/>
      <c r="CI271" s="179"/>
      <c r="CJ271" s="179"/>
      <c r="CK271" s="179"/>
      <c r="CL271" s="179"/>
      <c r="CM271" s="179"/>
      <c r="CN271" s="179"/>
      <c r="CO271" s="179"/>
      <c r="CP271" s="179"/>
      <c r="CQ271" s="179"/>
      <c r="CR271" s="179"/>
      <c r="CS271" s="179"/>
      <c r="CT271" s="179"/>
      <c r="CU271" s="179"/>
      <c r="CV271" s="179"/>
      <c r="CW271" s="179"/>
    </row>
    <row r="272" spans="1:101" x14ac:dyDescent="0.2">
      <c r="A272" s="32" t="str">
        <f t="shared" ca="1" si="4"/>
        <v>2025-12-23</v>
      </c>
      <c r="B272" s="179">
        <f ca="1">IF(ISNUMBER(MATCH(DATEVALUE($A272),'changes1_based on steps'!B$1:B$400,0)),B$2,)</f>
        <v>0</v>
      </c>
      <c r="C272" s="179">
        <f ca="1">IF(ISNUMBER(MATCH(DATEVALUE($A272),'changes1_based on steps'!C$1:C$400,0)),C$2,)</f>
        <v>0</v>
      </c>
      <c r="D272" s="179">
        <f ca="1">IF(ISNUMBER(MATCH(DATEVALUE($A272),'changes1_based on steps'!D$1:D$400,0)),D$2,)</f>
        <v>0</v>
      </c>
      <c r="E272" s="179">
        <f ca="1">IF(ISNUMBER(MATCH(DATEVALUE($A272),'changes1_based on steps'!E$1:E$400,0)),E$2,)</f>
        <v>0</v>
      </c>
      <c r="F272" s="179">
        <f ca="1">IF(ISNUMBER(MATCH(DATEVALUE($A272),'changes1_based on steps'!F$1:F$400,0)),F$2,)</f>
        <v>0</v>
      </c>
      <c r="G272" s="179">
        <f ca="1">IF(ISNUMBER(MATCH(DATEVALUE($A272),'changes1_based on steps'!G$1:G$400,0)),G$2,)</f>
        <v>0</v>
      </c>
      <c r="H272" s="179">
        <f ca="1">IF(ISNUMBER(MATCH(DATEVALUE($A272),'changes1_based on steps'!H$1:H$400,0)),H$2,)</f>
        <v>0</v>
      </c>
      <c r="I272" s="179">
        <f ca="1">IF(ISNUMBER(MATCH(DATEVALUE($A272),'changes1_based on steps'!I$1:I$400,0)),I$2,)</f>
        <v>0</v>
      </c>
      <c r="J272" s="179">
        <f ca="1">IF(ISNUMBER(MATCH(DATEVALUE($A272),'changes1_based on steps'!J$1:J$400,0)),J$2,)</f>
        <v>0</v>
      </c>
      <c r="K272" s="179">
        <f ca="1">IF(ISNUMBER(MATCH(DATEVALUE($A272),'changes1_based on steps'!K$1:K$400,0)),K$2,)</f>
        <v>0</v>
      </c>
      <c r="L272" s="179">
        <f ca="1">IF(ISNUMBER(MATCH(DATEVALUE($A272),'changes1_based on steps'!L$1:L$400,0)),L$2,)</f>
        <v>0</v>
      </c>
      <c r="M272" s="179">
        <f ca="1">IF(ISNUMBER(MATCH(DATEVALUE($A272),'changes1_based on steps'!M$1:M$400,0)),M$2,)</f>
        <v>0</v>
      </c>
      <c r="N272" s="179">
        <f ca="1">IF(ISNUMBER(MATCH(DATEVALUE($A272),'changes1_based on steps'!N$1:N$400,0)),N$2,)</f>
        <v>0</v>
      </c>
      <c r="O272" s="179">
        <f ca="1">IF(ISNUMBER(MATCH(DATEVALUE($A272),'changes1_based on steps'!O$1:O$400,0)),O$2,)</f>
        <v>0</v>
      </c>
      <c r="P272" s="179">
        <f ca="1">IF(ISNUMBER(MATCH(DATEVALUE($A272),'changes1_based on steps'!P$1:P$400,0)),P$2,)</f>
        <v>0</v>
      </c>
      <c r="Q272" s="179">
        <f ca="1">IF(ISNUMBER(MATCH(DATEVALUE($A272),'changes1_based on steps'!Q$1:Q$400,0)),Q$2,)</f>
        <v>0</v>
      </c>
      <c r="R272" s="179">
        <f ca="1">IF(ISNUMBER(MATCH(DATEVALUE($A272),'changes1_based on steps'!R$1:R$400,0)),R$2,)</f>
        <v>0</v>
      </c>
      <c r="S272" s="179">
        <f ca="1">IF(ISNUMBER(MATCH(DATEVALUE($A272),'changes1_based on steps'!S$1:S$400,0)),S$2,)</f>
        <v>0</v>
      </c>
      <c r="T272" s="179">
        <f ca="1">IF(ISNUMBER(MATCH(DATEVALUE($A272),'changes1_based on steps'!T$1:T$400,0)),T$2,)</f>
        <v>0</v>
      </c>
      <c r="U272" s="179">
        <f ca="1">IF(ISNUMBER(MATCH(DATEVALUE($A272),'changes1_based on steps'!U$1:U$400,0)),U$2,)</f>
        <v>0</v>
      </c>
      <c r="V272" s="179"/>
      <c r="W272" s="179"/>
      <c r="X272" s="179"/>
      <c r="Y272" s="179"/>
      <c r="Z272" s="179"/>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c r="AV272" s="179"/>
      <c r="AW272" s="179"/>
      <c r="AX272" s="179"/>
      <c r="AY272" s="179"/>
      <c r="AZ272" s="179"/>
      <c r="BA272" s="179"/>
      <c r="BB272" s="179"/>
      <c r="BC272" s="179"/>
      <c r="BD272" s="179"/>
      <c r="BE272" s="179"/>
      <c r="BF272" s="179"/>
      <c r="BG272" s="179"/>
      <c r="BH272" s="179"/>
      <c r="BI272" s="179"/>
      <c r="BJ272" s="179"/>
      <c r="BK272" s="179"/>
      <c r="BL272" s="179"/>
      <c r="BM272" s="179"/>
      <c r="BN272" s="179"/>
      <c r="BO272" s="179"/>
      <c r="BP272" s="179"/>
      <c r="BQ272" s="179"/>
      <c r="BR272" s="179"/>
      <c r="BS272" s="179"/>
      <c r="BT272" s="179"/>
      <c r="BU272" s="179"/>
      <c r="BV272" s="179"/>
      <c r="BW272" s="179"/>
      <c r="BX272" s="179"/>
      <c r="BY272" s="179"/>
      <c r="BZ272" s="179"/>
      <c r="CA272" s="179"/>
      <c r="CB272" s="179"/>
      <c r="CC272" s="179"/>
      <c r="CD272" s="179"/>
      <c r="CE272" s="179"/>
      <c r="CF272" s="179"/>
      <c r="CG272" s="179"/>
      <c r="CH272" s="179"/>
      <c r="CI272" s="179"/>
      <c r="CJ272" s="179"/>
      <c r="CK272" s="179"/>
      <c r="CL272" s="179"/>
      <c r="CM272" s="179"/>
      <c r="CN272" s="179"/>
      <c r="CO272" s="179"/>
      <c r="CP272" s="179"/>
      <c r="CQ272" s="179"/>
      <c r="CR272" s="179"/>
      <c r="CS272" s="179"/>
      <c r="CT272" s="179"/>
      <c r="CU272" s="179"/>
      <c r="CV272" s="179"/>
      <c r="CW272" s="179"/>
    </row>
    <row r="273" spans="1:101" x14ac:dyDescent="0.2">
      <c r="A273" s="32" t="str">
        <f t="shared" ca="1" si="4"/>
        <v>2025-12-24</v>
      </c>
      <c r="B273" s="179">
        <f ca="1">IF(ISNUMBER(MATCH(DATEVALUE($A273),'changes1_based on steps'!B$1:B$400,0)),B$2,)</f>
        <v>0</v>
      </c>
      <c r="C273" s="179">
        <f ca="1">IF(ISNUMBER(MATCH(DATEVALUE($A273),'changes1_based on steps'!C$1:C$400,0)),C$2,)</f>
        <v>0</v>
      </c>
      <c r="D273" s="179">
        <f ca="1">IF(ISNUMBER(MATCH(DATEVALUE($A273),'changes1_based on steps'!D$1:D$400,0)),D$2,)</f>
        <v>0</v>
      </c>
      <c r="E273" s="179">
        <f ca="1">IF(ISNUMBER(MATCH(DATEVALUE($A273),'changes1_based on steps'!E$1:E$400,0)),E$2,)</f>
        <v>0</v>
      </c>
      <c r="F273" s="179">
        <f ca="1">IF(ISNUMBER(MATCH(DATEVALUE($A273),'changes1_based on steps'!F$1:F$400,0)),F$2,)</f>
        <v>0</v>
      </c>
      <c r="G273" s="179">
        <f ca="1">IF(ISNUMBER(MATCH(DATEVALUE($A273),'changes1_based on steps'!G$1:G$400,0)),G$2,)</f>
        <v>0</v>
      </c>
      <c r="H273" s="179">
        <f ca="1">IF(ISNUMBER(MATCH(DATEVALUE($A273),'changes1_based on steps'!H$1:H$400,0)),H$2,)</f>
        <v>0</v>
      </c>
      <c r="I273" s="179">
        <f ca="1">IF(ISNUMBER(MATCH(DATEVALUE($A273),'changes1_based on steps'!I$1:I$400,0)),I$2,)</f>
        <v>0</v>
      </c>
      <c r="J273" s="179">
        <f ca="1">IF(ISNUMBER(MATCH(DATEVALUE($A273),'changes1_based on steps'!J$1:J$400,0)),J$2,)</f>
        <v>0</v>
      </c>
      <c r="K273" s="179">
        <f ca="1">IF(ISNUMBER(MATCH(DATEVALUE($A273),'changes1_based on steps'!K$1:K$400,0)),K$2,)</f>
        <v>0</v>
      </c>
      <c r="L273" s="179">
        <f ca="1">IF(ISNUMBER(MATCH(DATEVALUE($A273),'changes1_based on steps'!L$1:L$400,0)),L$2,)</f>
        <v>0</v>
      </c>
      <c r="M273" s="179">
        <f ca="1">IF(ISNUMBER(MATCH(DATEVALUE($A273),'changes1_based on steps'!M$1:M$400,0)),M$2,)</f>
        <v>0</v>
      </c>
      <c r="N273" s="179">
        <f ca="1">IF(ISNUMBER(MATCH(DATEVALUE($A273),'changes1_based on steps'!N$1:N$400,0)),N$2,)</f>
        <v>0</v>
      </c>
      <c r="O273" s="179">
        <f ca="1">IF(ISNUMBER(MATCH(DATEVALUE($A273),'changes1_based on steps'!O$1:O$400,0)),O$2,)</f>
        <v>0</v>
      </c>
      <c r="P273" s="179">
        <f ca="1">IF(ISNUMBER(MATCH(DATEVALUE($A273),'changes1_based on steps'!P$1:P$400,0)),P$2,)</f>
        <v>0</v>
      </c>
      <c r="Q273" s="179">
        <f ca="1">IF(ISNUMBER(MATCH(DATEVALUE($A273),'changes1_based on steps'!Q$1:Q$400,0)),Q$2,)</f>
        <v>0</v>
      </c>
      <c r="R273" s="179">
        <f ca="1">IF(ISNUMBER(MATCH(DATEVALUE($A273),'changes1_based on steps'!R$1:R$400,0)),R$2,)</f>
        <v>0</v>
      </c>
      <c r="S273" s="179">
        <f ca="1">IF(ISNUMBER(MATCH(DATEVALUE($A273),'changes1_based on steps'!S$1:S$400,0)),S$2,)</f>
        <v>0</v>
      </c>
      <c r="T273" s="179">
        <f ca="1">IF(ISNUMBER(MATCH(DATEVALUE($A273),'changes1_based on steps'!T$1:T$400,0)),T$2,)</f>
        <v>0</v>
      </c>
      <c r="U273" s="179">
        <f ca="1">IF(ISNUMBER(MATCH(DATEVALUE($A273),'changes1_based on steps'!U$1:U$400,0)),U$2,)</f>
        <v>0</v>
      </c>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row>
    <row r="274" spans="1:101" x14ac:dyDescent="0.2">
      <c r="A274" s="32" t="str">
        <f t="shared" ca="1" si="4"/>
        <v>2025-12-25</v>
      </c>
      <c r="B274" s="179">
        <f ca="1">IF(ISNUMBER(MATCH(DATEVALUE($A274),'changes1_based on steps'!B$1:B$400,0)),B$2,)</f>
        <v>0</v>
      </c>
      <c r="C274" s="179">
        <f ca="1">IF(ISNUMBER(MATCH(DATEVALUE($A274),'changes1_based on steps'!C$1:C$400,0)),C$2,)</f>
        <v>0</v>
      </c>
      <c r="D274" s="179">
        <f ca="1">IF(ISNUMBER(MATCH(DATEVALUE($A274),'changes1_based on steps'!D$1:D$400,0)),D$2,)</f>
        <v>0</v>
      </c>
      <c r="E274" s="179">
        <f ca="1">IF(ISNUMBER(MATCH(DATEVALUE($A274),'changes1_based on steps'!E$1:E$400,0)),E$2,)</f>
        <v>0</v>
      </c>
      <c r="F274" s="179">
        <f ca="1">IF(ISNUMBER(MATCH(DATEVALUE($A274),'changes1_based on steps'!F$1:F$400,0)),F$2,)</f>
        <v>0</v>
      </c>
      <c r="G274" s="179">
        <f ca="1">IF(ISNUMBER(MATCH(DATEVALUE($A274),'changes1_based on steps'!G$1:G$400,0)),G$2,)</f>
        <v>0</v>
      </c>
      <c r="H274" s="179">
        <f ca="1">IF(ISNUMBER(MATCH(DATEVALUE($A274),'changes1_based on steps'!H$1:H$400,0)),H$2,)</f>
        <v>0</v>
      </c>
      <c r="I274" s="179">
        <f ca="1">IF(ISNUMBER(MATCH(DATEVALUE($A274),'changes1_based on steps'!I$1:I$400,0)),I$2,)</f>
        <v>0</v>
      </c>
      <c r="J274" s="179">
        <f ca="1">IF(ISNUMBER(MATCH(DATEVALUE($A274),'changes1_based on steps'!J$1:J$400,0)),J$2,)</f>
        <v>0</v>
      </c>
      <c r="K274" s="179">
        <f ca="1">IF(ISNUMBER(MATCH(DATEVALUE($A274),'changes1_based on steps'!K$1:K$400,0)),K$2,)</f>
        <v>0</v>
      </c>
      <c r="L274" s="179">
        <f ca="1">IF(ISNUMBER(MATCH(DATEVALUE($A274),'changes1_based on steps'!L$1:L$400,0)),L$2,)</f>
        <v>0</v>
      </c>
      <c r="M274" s="179">
        <f ca="1">IF(ISNUMBER(MATCH(DATEVALUE($A274),'changes1_based on steps'!M$1:M$400,0)),M$2,)</f>
        <v>0</v>
      </c>
      <c r="N274" s="179">
        <f ca="1">IF(ISNUMBER(MATCH(DATEVALUE($A274),'changes1_based on steps'!N$1:N$400,0)),N$2,)</f>
        <v>0</v>
      </c>
      <c r="O274" s="179">
        <f ca="1">IF(ISNUMBER(MATCH(DATEVALUE($A274),'changes1_based on steps'!O$1:O$400,0)),O$2,)</f>
        <v>0</v>
      </c>
      <c r="P274" s="179">
        <f ca="1">IF(ISNUMBER(MATCH(DATEVALUE($A274),'changes1_based on steps'!P$1:P$400,0)),P$2,)</f>
        <v>0</v>
      </c>
      <c r="Q274" s="179">
        <f ca="1">IF(ISNUMBER(MATCH(DATEVALUE($A274),'changes1_based on steps'!Q$1:Q$400,0)),Q$2,)</f>
        <v>0</v>
      </c>
      <c r="R274" s="179">
        <f ca="1">IF(ISNUMBER(MATCH(DATEVALUE($A274),'changes1_based on steps'!R$1:R$400,0)),R$2,)</f>
        <v>0</v>
      </c>
      <c r="S274" s="179">
        <f ca="1">IF(ISNUMBER(MATCH(DATEVALUE($A274),'changes1_based on steps'!S$1:S$400,0)),S$2,)</f>
        <v>0</v>
      </c>
      <c r="T274" s="179">
        <f ca="1">IF(ISNUMBER(MATCH(DATEVALUE($A274),'changes1_based on steps'!T$1:T$400,0)),T$2,)</f>
        <v>0</v>
      </c>
      <c r="U274" s="179">
        <f ca="1">IF(ISNUMBER(MATCH(DATEVALUE($A274),'changes1_based on steps'!U$1:U$400,0)),U$2,)</f>
        <v>0</v>
      </c>
      <c r="V274" s="179"/>
      <c r="W274" s="179"/>
      <c r="X274" s="179"/>
      <c r="Y274" s="179"/>
      <c r="Z274" s="179"/>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c r="AV274" s="179"/>
      <c r="AW274" s="179"/>
      <c r="AX274" s="179"/>
      <c r="AY274" s="179"/>
      <c r="AZ274" s="179"/>
      <c r="BA274" s="179"/>
      <c r="BB274" s="179"/>
      <c r="BC274" s="179"/>
      <c r="BD274" s="179"/>
      <c r="BE274" s="179"/>
      <c r="BF274" s="179"/>
      <c r="BG274" s="179"/>
      <c r="BH274" s="179"/>
      <c r="BI274" s="179"/>
      <c r="BJ274" s="179"/>
      <c r="BK274" s="179"/>
      <c r="BL274" s="179"/>
      <c r="BM274" s="179"/>
      <c r="BN274" s="179"/>
      <c r="BO274" s="179"/>
      <c r="BP274" s="179"/>
      <c r="BQ274" s="179"/>
      <c r="BR274" s="179"/>
      <c r="BS274" s="179"/>
      <c r="BT274" s="179"/>
      <c r="BU274" s="179"/>
      <c r="BV274" s="179"/>
      <c r="BW274" s="179"/>
      <c r="BX274" s="179"/>
      <c r="BY274" s="179"/>
      <c r="BZ274" s="179"/>
      <c r="CA274" s="179"/>
      <c r="CB274" s="179"/>
      <c r="CC274" s="179"/>
      <c r="CD274" s="179"/>
      <c r="CE274" s="179"/>
      <c r="CF274" s="179"/>
      <c r="CG274" s="179"/>
      <c r="CH274" s="179"/>
      <c r="CI274" s="179"/>
      <c r="CJ274" s="179"/>
      <c r="CK274" s="179"/>
      <c r="CL274" s="179"/>
      <c r="CM274" s="179"/>
      <c r="CN274" s="179"/>
      <c r="CO274" s="179"/>
      <c r="CP274" s="179"/>
      <c r="CQ274" s="179"/>
      <c r="CR274" s="179"/>
      <c r="CS274" s="179"/>
      <c r="CT274" s="179"/>
      <c r="CU274" s="179"/>
      <c r="CV274" s="179"/>
      <c r="CW274" s="179"/>
    </row>
    <row r="275" spans="1:101" x14ac:dyDescent="0.2">
      <c r="A275" s="32" t="str">
        <f t="shared" ca="1" si="4"/>
        <v>2025-12-26</v>
      </c>
      <c r="B275" s="179">
        <f ca="1">IF(ISNUMBER(MATCH(DATEVALUE($A275),'changes1_based on steps'!B$1:B$400,0)),B$2,)</f>
        <v>0</v>
      </c>
      <c r="C275" s="179">
        <f ca="1">IF(ISNUMBER(MATCH(DATEVALUE($A275),'changes1_based on steps'!C$1:C$400,0)),C$2,)</f>
        <v>0</v>
      </c>
      <c r="D275" s="179">
        <f ca="1">IF(ISNUMBER(MATCH(DATEVALUE($A275),'changes1_based on steps'!D$1:D$400,0)),D$2,)</f>
        <v>0</v>
      </c>
      <c r="E275" s="179">
        <f ca="1">IF(ISNUMBER(MATCH(DATEVALUE($A275),'changes1_based on steps'!E$1:E$400,0)),E$2,)</f>
        <v>0</v>
      </c>
      <c r="F275" s="179">
        <f ca="1">IF(ISNUMBER(MATCH(DATEVALUE($A275),'changes1_based on steps'!F$1:F$400,0)),F$2,)</f>
        <v>0</v>
      </c>
      <c r="G275" s="179">
        <f ca="1">IF(ISNUMBER(MATCH(DATEVALUE($A275),'changes1_based on steps'!G$1:G$400,0)),G$2,)</f>
        <v>0</v>
      </c>
      <c r="H275" s="179">
        <f ca="1">IF(ISNUMBER(MATCH(DATEVALUE($A275),'changes1_based on steps'!H$1:H$400,0)),H$2,)</f>
        <v>0</v>
      </c>
      <c r="I275" s="179">
        <f ca="1">IF(ISNUMBER(MATCH(DATEVALUE($A275),'changes1_based on steps'!I$1:I$400,0)),I$2,)</f>
        <v>0</v>
      </c>
      <c r="J275" s="179">
        <f ca="1">IF(ISNUMBER(MATCH(DATEVALUE($A275),'changes1_based on steps'!J$1:J$400,0)),J$2,)</f>
        <v>0</v>
      </c>
      <c r="K275" s="179">
        <f ca="1">IF(ISNUMBER(MATCH(DATEVALUE($A275),'changes1_based on steps'!K$1:K$400,0)),K$2,)</f>
        <v>0</v>
      </c>
      <c r="L275" s="179">
        <f ca="1">IF(ISNUMBER(MATCH(DATEVALUE($A275),'changes1_based on steps'!L$1:L$400,0)),L$2,)</f>
        <v>0</v>
      </c>
      <c r="M275" s="179">
        <f ca="1">IF(ISNUMBER(MATCH(DATEVALUE($A275),'changes1_based on steps'!M$1:M$400,0)),M$2,)</f>
        <v>0</v>
      </c>
      <c r="N275" s="179">
        <f ca="1">IF(ISNUMBER(MATCH(DATEVALUE($A275),'changes1_based on steps'!N$1:N$400,0)),N$2,)</f>
        <v>0</v>
      </c>
      <c r="O275" s="179">
        <f ca="1">IF(ISNUMBER(MATCH(DATEVALUE($A275),'changes1_based on steps'!O$1:O$400,0)),O$2,)</f>
        <v>0</v>
      </c>
      <c r="P275" s="179">
        <f ca="1">IF(ISNUMBER(MATCH(DATEVALUE($A275),'changes1_based on steps'!P$1:P$400,0)),P$2,)</f>
        <v>0</v>
      </c>
      <c r="Q275" s="179">
        <f ca="1">IF(ISNUMBER(MATCH(DATEVALUE($A275),'changes1_based on steps'!Q$1:Q$400,0)),Q$2,)</f>
        <v>0</v>
      </c>
      <c r="R275" s="179">
        <f ca="1">IF(ISNUMBER(MATCH(DATEVALUE($A275),'changes1_based on steps'!R$1:R$400,0)),R$2,)</f>
        <v>0</v>
      </c>
      <c r="S275" s="179">
        <f ca="1">IF(ISNUMBER(MATCH(DATEVALUE($A275),'changes1_based on steps'!S$1:S$400,0)),S$2,)</f>
        <v>0</v>
      </c>
      <c r="T275" s="179">
        <f ca="1">IF(ISNUMBER(MATCH(DATEVALUE($A275),'changes1_based on steps'!T$1:T$400,0)),T$2,)</f>
        <v>0</v>
      </c>
      <c r="U275" s="179">
        <f ca="1">IF(ISNUMBER(MATCH(DATEVALUE($A275),'changes1_based on steps'!U$1:U$400,0)),U$2,)</f>
        <v>0</v>
      </c>
      <c r="V275" s="179"/>
      <c r="W275" s="179"/>
      <c r="X275" s="179"/>
      <c r="Y275" s="179"/>
      <c r="Z275" s="179"/>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c r="AV275" s="179"/>
      <c r="AW275" s="179"/>
      <c r="AX275" s="179"/>
      <c r="AY275" s="179"/>
      <c r="AZ275" s="179"/>
      <c r="BA275" s="179"/>
      <c r="BB275" s="179"/>
      <c r="BC275" s="179"/>
      <c r="BD275" s="179"/>
      <c r="BE275" s="179"/>
      <c r="BF275" s="179"/>
      <c r="BG275" s="179"/>
      <c r="BH275" s="179"/>
      <c r="BI275" s="179"/>
      <c r="BJ275" s="179"/>
      <c r="BK275" s="179"/>
      <c r="BL275" s="179"/>
      <c r="BM275" s="179"/>
      <c r="BN275" s="179"/>
      <c r="BO275" s="179"/>
      <c r="BP275" s="179"/>
      <c r="BQ275" s="179"/>
      <c r="BR275" s="179"/>
      <c r="BS275" s="179"/>
      <c r="BT275" s="179"/>
      <c r="BU275" s="179"/>
      <c r="BV275" s="179"/>
      <c r="BW275" s="179"/>
      <c r="BX275" s="179"/>
      <c r="BY275" s="179"/>
      <c r="BZ275" s="179"/>
      <c r="CA275" s="179"/>
      <c r="CB275" s="179"/>
      <c r="CC275" s="179"/>
      <c r="CD275" s="179"/>
      <c r="CE275" s="179"/>
      <c r="CF275" s="179"/>
      <c r="CG275" s="179"/>
      <c r="CH275" s="179"/>
      <c r="CI275" s="179"/>
      <c r="CJ275" s="179"/>
      <c r="CK275" s="179"/>
      <c r="CL275" s="179"/>
      <c r="CM275" s="179"/>
      <c r="CN275" s="179"/>
      <c r="CO275" s="179"/>
      <c r="CP275" s="179"/>
      <c r="CQ275" s="179"/>
      <c r="CR275" s="179"/>
      <c r="CS275" s="179"/>
      <c r="CT275" s="179"/>
      <c r="CU275" s="179"/>
      <c r="CV275" s="179"/>
      <c r="CW275" s="179"/>
    </row>
    <row r="276" spans="1:101" x14ac:dyDescent="0.2">
      <c r="A276" s="32" t="str">
        <f t="shared" ca="1" si="4"/>
        <v>2025-12-27</v>
      </c>
      <c r="B276" s="179">
        <f ca="1">IF(ISNUMBER(MATCH(DATEVALUE($A276),'changes1_based on steps'!B$1:B$400,0)),B$2,)</f>
        <v>0</v>
      </c>
      <c r="C276" s="179">
        <f ca="1">IF(ISNUMBER(MATCH(DATEVALUE($A276),'changes1_based on steps'!C$1:C$400,0)),C$2,)</f>
        <v>0</v>
      </c>
      <c r="D276" s="179">
        <f ca="1">IF(ISNUMBER(MATCH(DATEVALUE($A276),'changes1_based on steps'!D$1:D$400,0)),D$2,)</f>
        <v>0</v>
      </c>
      <c r="E276" s="179">
        <f ca="1">IF(ISNUMBER(MATCH(DATEVALUE($A276),'changes1_based on steps'!E$1:E$400,0)),E$2,)</f>
        <v>0</v>
      </c>
      <c r="F276" s="179">
        <f ca="1">IF(ISNUMBER(MATCH(DATEVALUE($A276),'changes1_based on steps'!F$1:F$400,0)),F$2,)</f>
        <v>0</v>
      </c>
      <c r="G276" s="179">
        <f ca="1">IF(ISNUMBER(MATCH(DATEVALUE($A276),'changes1_based on steps'!G$1:G$400,0)),G$2,)</f>
        <v>0</v>
      </c>
      <c r="H276" s="179">
        <f ca="1">IF(ISNUMBER(MATCH(DATEVALUE($A276),'changes1_based on steps'!H$1:H$400,0)),H$2,)</f>
        <v>0</v>
      </c>
      <c r="I276" s="179">
        <f ca="1">IF(ISNUMBER(MATCH(DATEVALUE($A276),'changes1_based on steps'!I$1:I$400,0)),I$2,)</f>
        <v>0</v>
      </c>
      <c r="J276" s="179">
        <f ca="1">IF(ISNUMBER(MATCH(DATEVALUE($A276),'changes1_based on steps'!J$1:J$400,0)),J$2,)</f>
        <v>0</v>
      </c>
      <c r="K276" s="179">
        <f ca="1">IF(ISNUMBER(MATCH(DATEVALUE($A276),'changes1_based on steps'!K$1:K$400,0)),K$2,)</f>
        <v>0</v>
      </c>
      <c r="L276" s="179">
        <f ca="1">IF(ISNUMBER(MATCH(DATEVALUE($A276),'changes1_based on steps'!L$1:L$400,0)),L$2,)</f>
        <v>0</v>
      </c>
      <c r="M276" s="179">
        <f ca="1">IF(ISNUMBER(MATCH(DATEVALUE($A276),'changes1_based on steps'!M$1:M$400,0)),M$2,)</f>
        <v>0</v>
      </c>
      <c r="N276" s="179">
        <f ca="1">IF(ISNUMBER(MATCH(DATEVALUE($A276),'changes1_based on steps'!N$1:N$400,0)),N$2,)</f>
        <v>0</v>
      </c>
      <c r="O276" s="179">
        <f ca="1">IF(ISNUMBER(MATCH(DATEVALUE($A276),'changes1_based on steps'!O$1:O$400,0)),O$2,)</f>
        <v>0</v>
      </c>
      <c r="P276" s="179">
        <f ca="1">IF(ISNUMBER(MATCH(DATEVALUE($A276),'changes1_based on steps'!P$1:P$400,0)),P$2,)</f>
        <v>0</v>
      </c>
      <c r="Q276" s="179">
        <f ca="1">IF(ISNUMBER(MATCH(DATEVALUE($A276),'changes1_based on steps'!Q$1:Q$400,0)),Q$2,)</f>
        <v>0</v>
      </c>
      <c r="R276" s="179">
        <f ca="1">IF(ISNUMBER(MATCH(DATEVALUE($A276),'changes1_based on steps'!R$1:R$400,0)),R$2,)</f>
        <v>0</v>
      </c>
      <c r="S276" s="179">
        <f ca="1">IF(ISNUMBER(MATCH(DATEVALUE($A276),'changes1_based on steps'!S$1:S$400,0)),S$2,)</f>
        <v>0</v>
      </c>
      <c r="T276" s="179">
        <f ca="1">IF(ISNUMBER(MATCH(DATEVALUE($A276),'changes1_based on steps'!T$1:T$400,0)),T$2,)</f>
        <v>0</v>
      </c>
      <c r="U276" s="179">
        <f ca="1">IF(ISNUMBER(MATCH(DATEVALUE($A276),'changes1_based on steps'!U$1:U$400,0)),U$2,)</f>
        <v>0</v>
      </c>
      <c r="V276" s="179"/>
      <c r="W276" s="179"/>
      <c r="X276" s="179"/>
      <c r="Y276" s="179"/>
      <c r="Z276" s="179"/>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c r="AV276" s="179"/>
      <c r="AW276" s="179"/>
      <c r="AX276" s="179"/>
      <c r="AY276" s="179"/>
      <c r="AZ276" s="179"/>
      <c r="BA276" s="179"/>
      <c r="BB276" s="179"/>
      <c r="BC276" s="179"/>
      <c r="BD276" s="179"/>
      <c r="BE276" s="179"/>
      <c r="BF276" s="179"/>
      <c r="BG276" s="179"/>
      <c r="BH276" s="179"/>
      <c r="BI276" s="179"/>
      <c r="BJ276" s="179"/>
      <c r="BK276" s="179"/>
      <c r="BL276" s="179"/>
      <c r="BM276" s="179"/>
      <c r="BN276" s="179"/>
      <c r="BO276" s="179"/>
      <c r="BP276" s="179"/>
      <c r="BQ276" s="179"/>
      <c r="BR276" s="179"/>
      <c r="BS276" s="179"/>
      <c r="BT276" s="179"/>
      <c r="BU276" s="179"/>
      <c r="BV276" s="179"/>
      <c r="BW276" s="179"/>
      <c r="BX276" s="179"/>
      <c r="BY276" s="179"/>
      <c r="BZ276" s="179"/>
      <c r="CA276" s="179"/>
      <c r="CB276" s="179"/>
      <c r="CC276" s="179"/>
      <c r="CD276" s="179"/>
      <c r="CE276" s="179"/>
      <c r="CF276" s="179"/>
      <c r="CG276" s="179"/>
      <c r="CH276" s="179"/>
      <c r="CI276" s="179"/>
      <c r="CJ276" s="179"/>
      <c r="CK276" s="179"/>
      <c r="CL276" s="179"/>
      <c r="CM276" s="179"/>
      <c r="CN276" s="179"/>
      <c r="CO276" s="179"/>
      <c r="CP276" s="179"/>
      <c r="CQ276" s="179"/>
      <c r="CR276" s="179"/>
      <c r="CS276" s="179"/>
      <c r="CT276" s="179"/>
      <c r="CU276" s="179"/>
      <c r="CV276" s="179"/>
      <c r="CW276" s="179"/>
    </row>
    <row r="277" spans="1:101" x14ac:dyDescent="0.2">
      <c r="A277" s="32" t="str">
        <f t="shared" ca="1" si="4"/>
        <v>2025-12-28</v>
      </c>
      <c r="B277" s="179">
        <f ca="1">IF(ISNUMBER(MATCH(DATEVALUE($A277),'changes1_based on steps'!B$1:B$400,0)),B$2,)</f>
        <v>0</v>
      </c>
      <c r="C277" s="179">
        <f ca="1">IF(ISNUMBER(MATCH(DATEVALUE($A277),'changes1_based on steps'!C$1:C$400,0)),C$2,)</f>
        <v>0</v>
      </c>
      <c r="D277" s="179">
        <f ca="1">IF(ISNUMBER(MATCH(DATEVALUE($A277),'changes1_based on steps'!D$1:D$400,0)),D$2,)</f>
        <v>0</v>
      </c>
      <c r="E277" s="179">
        <f ca="1">IF(ISNUMBER(MATCH(DATEVALUE($A277),'changes1_based on steps'!E$1:E$400,0)),E$2,)</f>
        <v>0</v>
      </c>
      <c r="F277" s="179">
        <f ca="1">IF(ISNUMBER(MATCH(DATEVALUE($A277),'changes1_based on steps'!F$1:F$400,0)),F$2,)</f>
        <v>0</v>
      </c>
      <c r="G277" s="179">
        <f ca="1">IF(ISNUMBER(MATCH(DATEVALUE($A277),'changes1_based on steps'!G$1:G$400,0)),G$2,)</f>
        <v>0</v>
      </c>
      <c r="H277" s="179">
        <f ca="1">IF(ISNUMBER(MATCH(DATEVALUE($A277),'changes1_based on steps'!H$1:H$400,0)),H$2,)</f>
        <v>0</v>
      </c>
      <c r="I277" s="179">
        <f ca="1">IF(ISNUMBER(MATCH(DATEVALUE($A277),'changes1_based on steps'!I$1:I$400,0)),I$2,)</f>
        <v>0</v>
      </c>
      <c r="J277" s="179">
        <f ca="1">IF(ISNUMBER(MATCH(DATEVALUE($A277),'changes1_based on steps'!J$1:J$400,0)),J$2,)</f>
        <v>0</v>
      </c>
      <c r="K277" s="179">
        <f ca="1">IF(ISNUMBER(MATCH(DATEVALUE($A277),'changes1_based on steps'!K$1:K$400,0)),K$2,)</f>
        <v>0</v>
      </c>
      <c r="L277" s="179">
        <f ca="1">IF(ISNUMBER(MATCH(DATEVALUE($A277),'changes1_based on steps'!L$1:L$400,0)),L$2,)</f>
        <v>0</v>
      </c>
      <c r="M277" s="179">
        <f ca="1">IF(ISNUMBER(MATCH(DATEVALUE($A277),'changes1_based on steps'!M$1:M$400,0)),M$2,)</f>
        <v>0</v>
      </c>
      <c r="N277" s="179">
        <f ca="1">IF(ISNUMBER(MATCH(DATEVALUE($A277),'changes1_based on steps'!N$1:N$400,0)),N$2,)</f>
        <v>0</v>
      </c>
      <c r="O277" s="179">
        <f ca="1">IF(ISNUMBER(MATCH(DATEVALUE($A277),'changes1_based on steps'!O$1:O$400,0)),O$2,)</f>
        <v>0</v>
      </c>
      <c r="P277" s="179">
        <f ca="1">IF(ISNUMBER(MATCH(DATEVALUE($A277),'changes1_based on steps'!P$1:P$400,0)),P$2,)</f>
        <v>0</v>
      </c>
      <c r="Q277" s="179">
        <f ca="1">IF(ISNUMBER(MATCH(DATEVALUE($A277),'changes1_based on steps'!Q$1:Q$400,0)),Q$2,)</f>
        <v>0</v>
      </c>
      <c r="R277" s="179">
        <f ca="1">IF(ISNUMBER(MATCH(DATEVALUE($A277),'changes1_based on steps'!R$1:R$400,0)),R$2,)</f>
        <v>0</v>
      </c>
      <c r="S277" s="179">
        <f ca="1">IF(ISNUMBER(MATCH(DATEVALUE($A277),'changes1_based on steps'!S$1:S$400,0)),S$2,)</f>
        <v>0</v>
      </c>
      <c r="T277" s="179">
        <f ca="1">IF(ISNUMBER(MATCH(DATEVALUE($A277),'changes1_based on steps'!T$1:T$400,0)),T$2,)</f>
        <v>0</v>
      </c>
      <c r="U277" s="179">
        <f ca="1">IF(ISNUMBER(MATCH(DATEVALUE($A277),'changes1_based on steps'!U$1:U$400,0)),U$2,)</f>
        <v>0</v>
      </c>
      <c r="V277" s="179"/>
      <c r="W277" s="179"/>
      <c r="X277" s="179"/>
      <c r="Y277" s="179"/>
      <c r="Z277" s="179"/>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c r="AV277" s="179"/>
      <c r="AW277" s="179"/>
      <c r="AX277" s="179"/>
      <c r="AY277" s="179"/>
      <c r="AZ277" s="179"/>
      <c r="BA277" s="179"/>
      <c r="BB277" s="179"/>
      <c r="BC277" s="179"/>
      <c r="BD277" s="179"/>
      <c r="BE277" s="179"/>
      <c r="BF277" s="179"/>
      <c r="BG277" s="179"/>
      <c r="BH277" s="179"/>
      <c r="BI277" s="179"/>
      <c r="BJ277" s="179"/>
      <c r="BK277" s="179"/>
      <c r="BL277" s="179"/>
      <c r="BM277" s="179"/>
      <c r="BN277" s="179"/>
      <c r="BO277" s="179"/>
      <c r="BP277" s="179"/>
      <c r="BQ277" s="179"/>
      <c r="BR277" s="179"/>
      <c r="BS277" s="179"/>
      <c r="BT277" s="179"/>
      <c r="BU277" s="179"/>
      <c r="BV277" s="179"/>
      <c r="BW277" s="179"/>
      <c r="BX277" s="179"/>
      <c r="BY277" s="179"/>
      <c r="BZ277" s="179"/>
      <c r="CA277" s="179"/>
      <c r="CB277" s="179"/>
      <c r="CC277" s="179"/>
      <c r="CD277" s="179"/>
      <c r="CE277" s="179"/>
      <c r="CF277" s="179"/>
      <c r="CG277" s="179"/>
      <c r="CH277" s="179"/>
      <c r="CI277" s="179"/>
      <c r="CJ277" s="179"/>
      <c r="CK277" s="179"/>
      <c r="CL277" s="179"/>
      <c r="CM277" s="179"/>
      <c r="CN277" s="179"/>
      <c r="CO277" s="179"/>
      <c r="CP277" s="179"/>
      <c r="CQ277" s="179"/>
      <c r="CR277" s="179"/>
      <c r="CS277" s="179"/>
      <c r="CT277" s="179"/>
      <c r="CU277" s="179"/>
      <c r="CV277" s="179"/>
      <c r="CW277" s="179"/>
    </row>
    <row r="278" spans="1:101" x14ac:dyDescent="0.2">
      <c r="A278" s="32" t="str">
        <f t="shared" ca="1" si="4"/>
        <v>2025-12-29</v>
      </c>
      <c r="B278" s="179">
        <f ca="1">IF(ISNUMBER(MATCH(DATEVALUE($A278),'changes1_based on steps'!B$1:B$400,0)),B$2,)</f>
        <v>0</v>
      </c>
      <c r="C278" s="179">
        <f ca="1">IF(ISNUMBER(MATCH(DATEVALUE($A278),'changes1_based on steps'!C$1:C$400,0)),C$2,)</f>
        <v>0</v>
      </c>
      <c r="D278" s="179">
        <f ca="1">IF(ISNUMBER(MATCH(DATEVALUE($A278),'changes1_based on steps'!D$1:D$400,0)),D$2,)</f>
        <v>0</v>
      </c>
      <c r="E278" s="179">
        <f ca="1">IF(ISNUMBER(MATCH(DATEVALUE($A278),'changes1_based on steps'!E$1:E$400,0)),E$2,)</f>
        <v>0</v>
      </c>
      <c r="F278" s="179">
        <f ca="1">IF(ISNUMBER(MATCH(DATEVALUE($A278),'changes1_based on steps'!F$1:F$400,0)),F$2,)</f>
        <v>0</v>
      </c>
      <c r="G278" s="179">
        <f ca="1">IF(ISNUMBER(MATCH(DATEVALUE($A278),'changes1_based on steps'!G$1:G$400,0)),G$2,)</f>
        <v>0</v>
      </c>
      <c r="H278" s="179">
        <f ca="1">IF(ISNUMBER(MATCH(DATEVALUE($A278),'changes1_based on steps'!H$1:H$400,0)),H$2,)</f>
        <v>0</v>
      </c>
      <c r="I278" s="179">
        <f ca="1">IF(ISNUMBER(MATCH(DATEVALUE($A278),'changes1_based on steps'!I$1:I$400,0)),I$2,)</f>
        <v>0</v>
      </c>
      <c r="J278" s="179">
        <f ca="1">IF(ISNUMBER(MATCH(DATEVALUE($A278),'changes1_based on steps'!J$1:J$400,0)),J$2,)</f>
        <v>0</v>
      </c>
      <c r="K278" s="179">
        <f ca="1">IF(ISNUMBER(MATCH(DATEVALUE($A278),'changes1_based on steps'!K$1:K$400,0)),K$2,)</f>
        <v>0</v>
      </c>
      <c r="L278" s="179">
        <f ca="1">IF(ISNUMBER(MATCH(DATEVALUE($A278),'changes1_based on steps'!L$1:L$400,0)),L$2,)</f>
        <v>0</v>
      </c>
      <c r="M278" s="179">
        <f ca="1">IF(ISNUMBER(MATCH(DATEVALUE($A278),'changes1_based on steps'!M$1:M$400,0)),M$2,)</f>
        <v>0</v>
      </c>
      <c r="N278" s="179">
        <f ca="1">IF(ISNUMBER(MATCH(DATEVALUE($A278),'changes1_based on steps'!N$1:N$400,0)),N$2,)</f>
        <v>0</v>
      </c>
      <c r="O278" s="179">
        <f ca="1">IF(ISNUMBER(MATCH(DATEVALUE($A278),'changes1_based on steps'!O$1:O$400,0)),O$2,)</f>
        <v>0</v>
      </c>
      <c r="P278" s="179">
        <f ca="1">IF(ISNUMBER(MATCH(DATEVALUE($A278),'changes1_based on steps'!P$1:P$400,0)),P$2,)</f>
        <v>0</v>
      </c>
      <c r="Q278" s="179">
        <f ca="1">IF(ISNUMBER(MATCH(DATEVALUE($A278),'changes1_based on steps'!Q$1:Q$400,0)),Q$2,)</f>
        <v>0</v>
      </c>
      <c r="R278" s="179">
        <f ca="1">IF(ISNUMBER(MATCH(DATEVALUE($A278),'changes1_based on steps'!R$1:R$400,0)),R$2,)</f>
        <v>0</v>
      </c>
      <c r="S278" s="179">
        <f ca="1">IF(ISNUMBER(MATCH(DATEVALUE($A278),'changes1_based on steps'!S$1:S$400,0)),S$2,)</f>
        <v>0</v>
      </c>
      <c r="T278" s="179">
        <f ca="1">IF(ISNUMBER(MATCH(DATEVALUE($A278),'changes1_based on steps'!T$1:T$400,0)),T$2,)</f>
        <v>0</v>
      </c>
      <c r="U278" s="179">
        <f ca="1">IF(ISNUMBER(MATCH(DATEVALUE($A278),'changes1_based on steps'!U$1:U$400,0)),U$2,)</f>
        <v>0</v>
      </c>
      <c r="V278" s="179"/>
      <c r="W278" s="179"/>
      <c r="X278" s="179"/>
      <c r="Y278" s="179"/>
      <c r="Z278" s="179"/>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c r="AV278" s="179"/>
      <c r="AW278" s="179"/>
      <c r="AX278" s="179"/>
      <c r="AY278" s="179"/>
      <c r="AZ278" s="179"/>
      <c r="BA278" s="179"/>
      <c r="BB278" s="179"/>
      <c r="BC278" s="179"/>
      <c r="BD278" s="179"/>
      <c r="BE278" s="179"/>
      <c r="BF278" s="179"/>
      <c r="BG278" s="179"/>
      <c r="BH278" s="179"/>
      <c r="BI278" s="179"/>
      <c r="BJ278" s="179"/>
      <c r="BK278" s="179"/>
      <c r="BL278" s="179"/>
      <c r="BM278" s="179"/>
      <c r="BN278" s="179"/>
      <c r="BO278" s="179"/>
      <c r="BP278" s="179"/>
      <c r="BQ278" s="179"/>
      <c r="BR278" s="179"/>
      <c r="BS278" s="179"/>
      <c r="BT278" s="179"/>
      <c r="BU278" s="179"/>
      <c r="BV278" s="179"/>
      <c r="BW278" s="179"/>
      <c r="BX278" s="179"/>
      <c r="BY278" s="179"/>
      <c r="BZ278" s="179"/>
      <c r="CA278" s="179"/>
      <c r="CB278" s="179"/>
      <c r="CC278" s="179"/>
      <c r="CD278" s="179"/>
      <c r="CE278" s="179"/>
      <c r="CF278" s="179"/>
      <c r="CG278" s="179"/>
      <c r="CH278" s="179"/>
      <c r="CI278" s="179"/>
      <c r="CJ278" s="179"/>
      <c r="CK278" s="179"/>
      <c r="CL278" s="179"/>
      <c r="CM278" s="179"/>
      <c r="CN278" s="179"/>
      <c r="CO278" s="179"/>
      <c r="CP278" s="179"/>
      <c r="CQ278" s="179"/>
      <c r="CR278" s="179"/>
      <c r="CS278" s="179"/>
      <c r="CT278" s="179"/>
      <c r="CU278" s="179"/>
      <c r="CV278" s="179"/>
      <c r="CW278" s="179"/>
    </row>
    <row r="279" spans="1:101" x14ac:dyDescent="0.2">
      <c r="A279" s="32" t="str">
        <f t="shared" ca="1" si="4"/>
        <v>2025-12-30</v>
      </c>
      <c r="B279" s="179">
        <f ca="1">IF(ISNUMBER(MATCH(DATEVALUE($A279),'changes1_based on steps'!B$1:B$400,0)),B$2,)</f>
        <v>0</v>
      </c>
      <c r="C279" s="179">
        <f ca="1">IF(ISNUMBER(MATCH(DATEVALUE($A279),'changes1_based on steps'!C$1:C$400,0)),C$2,)</f>
        <v>0</v>
      </c>
      <c r="D279" s="179">
        <f ca="1">IF(ISNUMBER(MATCH(DATEVALUE($A279),'changes1_based on steps'!D$1:D$400,0)),D$2,)</f>
        <v>0</v>
      </c>
      <c r="E279" s="179">
        <f ca="1">IF(ISNUMBER(MATCH(DATEVALUE($A279),'changes1_based on steps'!E$1:E$400,0)),E$2,)</f>
        <v>0</v>
      </c>
      <c r="F279" s="179">
        <f ca="1">IF(ISNUMBER(MATCH(DATEVALUE($A279),'changes1_based on steps'!F$1:F$400,0)),F$2,)</f>
        <v>0</v>
      </c>
      <c r="G279" s="179">
        <f ca="1">IF(ISNUMBER(MATCH(DATEVALUE($A279),'changes1_based on steps'!G$1:G$400,0)),G$2,)</f>
        <v>0</v>
      </c>
      <c r="H279" s="179">
        <f ca="1">IF(ISNUMBER(MATCH(DATEVALUE($A279),'changes1_based on steps'!H$1:H$400,0)),H$2,)</f>
        <v>0</v>
      </c>
      <c r="I279" s="179">
        <f ca="1">IF(ISNUMBER(MATCH(DATEVALUE($A279),'changes1_based on steps'!I$1:I$400,0)),I$2,)</f>
        <v>0</v>
      </c>
      <c r="J279" s="179">
        <f ca="1">IF(ISNUMBER(MATCH(DATEVALUE($A279),'changes1_based on steps'!J$1:J$400,0)),J$2,)</f>
        <v>0</v>
      </c>
      <c r="K279" s="179">
        <f ca="1">IF(ISNUMBER(MATCH(DATEVALUE($A279),'changes1_based on steps'!K$1:K$400,0)),K$2,)</f>
        <v>0</v>
      </c>
      <c r="L279" s="179">
        <f ca="1">IF(ISNUMBER(MATCH(DATEVALUE($A279),'changes1_based on steps'!L$1:L$400,0)),L$2,)</f>
        <v>0</v>
      </c>
      <c r="M279" s="179">
        <f ca="1">IF(ISNUMBER(MATCH(DATEVALUE($A279),'changes1_based on steps'!M$1:M$400,0)),M$2,)</f>
        <v>0</v>
      </c>
      <c r="N279" s="179">
        <f ca="1">IF(ISNUMBER(MATCH(DATEVALUE($A279),'changes1_based on steps'!N$1:N$400,0)),N$2,)</f>
        <v>0</v>
      </c>
      <c r="O279" s="179">
        <f ca="1">IF(ISNUMBER(MATCH(DATEVALUE($A279),'changes1_based on steps'!O$1:O$400,0)),O$2,)</f>
        <v>0</v>
      </c>
      <c r="P279" s="179">
        <f ca="1">IF(ISNUMBER(MATCH(DATEVALUE($A279),'changes1_based on steps'!P$1:P$400,0)),P$2,)</f>
        <v>0</v>
      </c>
      <c r="Q279" s="179">
        <f ca="1">IF(ISNUMBER(MATCH(DATEVALUE($A279),'changes1_based on steps'!Q$1:Q$400,0)),Q$2,)</f>
        <v>0</v>
      </c>
      <c r="R279" s="179">
        <f ca="1">IF(ISNUMBER(MATCH(DATEVALUE($A279),'changes1_based on steps'!R$1:R$400,0)),R$2,)</f>
        <v>0</v>
      </c>
      <c r="S279" s="179">
        <f ca="1">IF(ISNUMBER(MATCH(DATEVALUE($A279),'changes1_based on steps'!S$1:S$400,0)),S$2,)</f>
        <v>0</v>
      </c>
      <c r="T279" s="179">
        <f ca="1">IF(ISNUMBER(MATCH(DATEVALUE($A279),'changes1_based on steps'!T$1:T$400,0)),T$2,)</f>
        <v>0</v>
      </c>
      <c r="U279" s="179">
        <f ca="1">IF(ISNUMBER(MATCH(DATEVALUE($A279),'changes1_based on steps'!U$1:U$400,0)),U$2,)</f>
        <v>0</v>
      </c>
      <c r="V279" s="179"/>
      <c r="W279" s="179"/>
      <c r="X279" s="179"/>
      <c r="Y279" s="179"/>
      <c r="Z279" s="179"/>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c r="AV279" s="179"/>
      <c r="AW279" s="179"/>
      <c r="AX279" s="179"/>
      <c r="AY279" s="179"/>
      <c r="AZ279" s="179"/>
      <c r="BA279" s="179"/>
      <c r="BB279" s="179"/>
      <c r="BC279" s="179"/>
      <c r="BD279" s="179"/>
      <c r="BE279" s="179"/>
      <c r="BF279" s="179"/>
      <c r="BG279" s="179"/>
      <c r="BH279" s="179"/>
      <c r="BI279" s="179"/>
      <c r="BJ279" s="179"/>
      <c r="BK279" s="179"/>
      <c r="BL279" s="179"/>
      <c r="BM279" s="179"/>
      <c r="BN279" s="179"/>
      <c r="BO279" s="179"/>
      <c r="BP279" s="179"/>
      <c r="BQ279" s="179"/>
      <c r="BR279" s="179"/>
      <c r="BS279" s="179"/>
      <c r="BT279" s="179"/>
      <c r="BU279" s="179"/>
      <c r="BV279" s="179"/>
      <c r="BW279" s="179"/>
      <c r="BX279" s="179"/>
      <c r="BY279" s="179"/>
      <c r="BZ279" s="179"/>
      <c r="CA279" s="179"/>
      <c r="CB279" s="179"/>
      <c r="CC279" s="179"/>
      <c r="CD279" s="179"/>
      <c r="CE279" s="179"/>
      <c r="CF279" s="179"/>
      <c r="CG279" s="179"/>
      <c r="CH279" s="179"/>
      <c r="CI279" s="179"/>
      <c r="CJ279" s="179"/>
      <c r="CK279" s="179"/>
      <c r="CL279" s="179"/>
      <c r="CM279" s="179"/>
      <c r="CN279" s="179"/>
      <c r="CO279" s="179"/>
      <c r="CP279" s="179"/>
      <c r="CQ279" s="179"/>
      <c r="CR279" s="179"/>
      <c r="CS279" s="179"/>
      <c r="CT279" s="179"/>
      <c r="CU279" s="179"/>
      <c r="CV279" s="179"/>
      <c r="CW279" s="179"/>
    </row>
    <row r="280" spans="1:101" x14ac:dyDescent="0.2">
      <c r="A280" s="32" t="str">
        <f t="shared" ca="1" si="4"/>
        <v>2025-12-31</v>
      </c>
      <c r="B280" s="179">
        <f ca="1">IF(ISNUMBER(MATCH(DATEVALUE($A280),'changes1_based on steps'!B$1:B$400,0)),B$2,)</f>
        <v>0</v>
      </c>
      <c r="C280" s="179">
        <f ca="1">IF(ISNUMBER(MATCH(DATEVALUE($A280),'changes1_based on steps'!C$1:C$400,0)),C$2,)</f>
        <v>0</v>
      </c>
      <c r="D280" s="179">
        <f ca="1">IF(ISNUMBER(MATCH(DATEVALUE($A280),'changes1_based on steps'!D$1:D$400,0)),D$2,)</f>
        <v>0</v>
      </c>
      <c r="E280" s="179">
        <f ca="1">IF(ISNUMBER(MATCH(DATEVALUE($A280),'changes1_based on steps'!E$1:E$400,0)),E$2,)</f>
        <v>0</v>
      </c>
      <c r="F280" s="179">
        <f ca="1">IF(ISNUMBER(MATCH(DATEVALUE($A280),'changes1_based on steps'!F$1:F$400,0)),F$2,)</f>
        <v>0</v>
      </c>
      <c r="G280" s="179">
        <f ca="1">IF(ISNUMBER(MATCH(DATEVALUE($A280),'changes1_based on steps'!G$1:G$400,0)),G$2,)</f>
        <v>0</v>
      </c>
      <c r="H280" s="179">
        <f ca="1">IF(ISNUMBER(MATCH(DATEVALUE($A280),'changes1_based on steps'!H$1:H$400,0)),H$2,)</f>
        <v>0</v>
      </c>
      <c r="I280" s="179">
        <f ca="1">IF(ISNUMBER(MATCH(DATEVALUE($A280),'changes1_based on steps'!I$1:I$400,0)),I$2,)</f>
        <v>0</v>
      </c>
      <c r="J280" s="179">
        <f ca="1">IF(ISNUMBER(MATCH(DATEVALUE($A280),'changes1_based on steps'!J$1:J$400,0)),J$2,)</f>
        <v>0</v>
      </c>
      <c r="K280" s="179">
        <f ca="1">IF(ISNUMBER(MATCH(DATEVALUE($A280),'changes1_based on steps'!K$1:K$400,0)),K$2,)</f>
        <v>0</v>
      </c>
      <c r="L280" s="179">
        <f ca="1">IF(ISNUMBER(MATCH(DATEVALUE($A280),'changes1_based on steps'!L$1:L$400,0)),L$2,)</f>
        <v>0</v>
      </c>
      <c r="M280" s="179">
        <f ca="1">IF(ISNUMBER(MATCH(DATEVALUE($A280),'changes1_based on steps'!M$1:M$400,0)),M$2,)</f>
        <v>0</v>
      </c>
      <c r="N280" s="179">
        <f ca="1">IF(ISNUMBER(MATCH(DATEVALUE($A280),'changes1_based on steps'!N$1:N$400,0)),N$2,)</f>
        <v>0</v>
      </c>
      <c r="O280" s="179">
        <f ca="1">IF(ISNUMBER(MATCH(DATEVALUE($A280),'changes1_based on steps'!O$1:O$400,0)),O$2,)</f>
        <v>0</v>
      </c>
      <c r="P280" s="179">
        <f ca="1">IF(ISNUMBER(MATCH(DATEVALUE($A280),'changes1_based on steps'!P$1:P$400,0)),P$2,)</f>
        <v>0</v>
      </c>
      <c r="Q280" s="179">
        <f ca="1">IF(ISNUMBER(MATCH(DATEVALUE($A280),'changes1_based on steps'!Q$1:Q$400,0)),Q$2,)</f>
        <v>0</v>
      </c>
      <c r="R280" s="179">
        <f ca="1">IF(ISNUMBER(MATCH(DATEVALUE($A280),'changes1_based on steps'!R$1:R$400,0)),R$2,)</f>
        <v>0</v>
      </c>
      <c r="S280" s="179">
        <f ca="1">IF(ISNUMBER(MATCH(DATEVALUE($A280),'changes1_based on steps'!S$1:S$400,0)),S$2,)</f>
        <v>0</v>
      </c>
      <c r="T280" s="179">
        <f ca="1">IF(ISNUMBER(MATCH(DATEVALUE($A280),'changes1_based on steps'!T$1:T$400,0)),T$2,)</f>
        <v>0</v>
      </c>
      <c r="U280" s="179">
        <f ca="1">IF(ISNUMBER(MATCH(DATEVALUE($A280),'changes1_based on steps'!U$1:U$400,0)),U$2,)</f>
        <v>0</v>
      </c>
      <c r="V280" s="179"/>
      <c r="W280" s="179"/>
      <c r="X280" s="179"/>
      <c r="Y280" s="179"/>
      <c r="Z280" s="179"/>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c r="AV280" s="179"/>
      <c r="AW280" s="179"/>
      <c r="AX280" s="179"/>
      <c r="AY280" s="179"/>
      <c r="AZ280" s="179"/>
      <c r="BA280" s="179"/>
      <c r="BB280" s="179"/>
      <c r="BC280" s="179"/>
      <c r="BD280" s="179"/>
      <c r="BE280" s="179"/>
      <c r="BF280" s="179"/>
      <c r="BG280" s="179"/>
      <c r="BH280" s="179"/>
      <c r="BI280" s="179"/>
      <c r="BJ280" s="179"/>
      <c r="BK280" s="179"/>
      <c r="BL280" s="179"/>
      <c r="BM280" s="179"/>
      <c r="BN280" s="179"/>
      <c r="BO280" s="179"/>
      <c r="BP280" s="179"/>
      <c r="BQ280" s="179"/>
      <c r="BR280" s="179"/>
      <c r="BS280" s="179"/>
      <c r="BT280" s="179"/>
      <c r="BU280" s="179"/>
      <c r="BV280" s="179"/>
      <c r="BW280" s="179"/>
      <c r="BX280" s="179"/>
      <c r="BY280" s="179"/>
      <c r="BZ280" s="179"/>
      <c r="CA280" s="179"/>
      <c r="CB280" s="179"/>
      <c r="CC280" s="179"/>
      <c r="CD280" s="179"/>
      <c r="CE280" s="179"/>
      <c r="CF280" s="179"/>
      <c r="CG280" s="179"/>
      <c r="CH280" s="179"/>
      <c r="CI280" s="179"/>
      <c r="CJ280" s="179"/>
      <c r="CK280" s="179"/>
      <c r="CL280" s="179"/>
      <c r="CM280" s="179"/>
      <c r="CN280" s="179"/>
      <c r="CO280" s="179"/>
      <c r="CP280" s="179"/>
      <c r="CQ280" s="179"/>
      <c r="CR280" s="179"/>
      <c r="CS280" s="179"/>
      <c r="CT280" s="179"/>
      <c r="CU280" s="179"/>
      <c r="CV280" s="179"/>
      <c r="CW280" s="179"/>
    </row>
    <row r="281" spans="1:101" x14ac:dyDescent="0.2">
      <c r="A281" s="32" t="str">
        <f t="shared" ca="1" si="4"/>
        <v>2026-01-01</v>
      </c>
      <c r="B281" s="179">
        <f ca="1">IF(ISNUMBER(MATCH(DATEVALUE($A281),'changes1_based on steps'!B$1:B$400,0)),B$2,)</f>
        <v>0</v>
      </c>
      <c r="C281" s="179">
        <f ca="1">IF(ISNUMBER(MATCH(DATEVALUE($A281),'changes1_based on steps'!C$1:C$400,0)),C$2,)</f>
        <v>0</v>
      </c>
      <c r="D281" s="179">
        <f ca="1">IF(ISNUMBER(MATCH(DATEVALUE($A281),'changes1_based on steps'!D$1:D$400,0)),D$2,)</f>
        <v>0</v>
      </c>
      <c r="E281" s="179">
        <f ca="1">IF(ISNUMBER(MATCH(DATEVALUE($A281),'changes1_based on steps'!E$1:E$400,0)),E$2,)</f>
        <v>0</v>
      </c>
      <c r="F281" s="179">
        <f ca="1">IF(ISNUMBER(MATCH(DATEVALUE($A281),'changes1_based on steps'!F$1:F$400,0)),F$2,)</f>
        <v>0</v>
      </c>
      <c r="G281" s="179">
        <f ca="1">IF(ISNUMBER(MATCH(DATEVALUE($A281),'changes1_based on steps'!G$1:G$400,0)),G$2,)</f>
        <v>0</v>
      </c>
      <c r="H281" s="179">
        <f ca="1">IF(ISNUMBER(MATCH(DATEVALUE($A281),'changes1_based on steps'!H$1:H$400,0)),H$2,)</f>
        <v>0</v>
      </c>
      <c r="I281" s="179">
        <f ca="1">IF(ISNUMBER(MATCH(DATEVALUE($A281),'changes1_based on steps'!I$1:I$400,0)),I$2,)</f>
        <v>0</v>
      </c>
      <c r="J281" s="179">
        <f ca="1">IF(ISNUMBER(MATCH(DATEVALUE($A281),'changes1_based on steps'!J$1:J$400,0)),J$2,)</f>
        <v>0</v>
      </c>
      <c r="K281" s="179">
        <f ca="1">IF(ISNUMBER(MATCH(DATEVALUE($A281),'changes1_based on steps'!K$1:K$400,0)),K$2,)</f>
        <v>0</v>
      </c>
      <c r="L281" s="179">
        <f ca="1">IF(ISNUMBER(MATCH(DATEVALUE($A281),'changes1_based on steps'!L$1:L$400,0)),L$2,)</f>
        <v>0</v>
      </c>
      <c r="M281" s="179">
        <f ca="1">IF(ISNUMBER(MATCH(DATEVALUE($A281),'changes1_based on steps'!M$1:M$400,0)),M$2,)</f>
        <v>0</v>
      </c>
      <c r="N281" s="179">
        <f ca="1">IF(ISNUMBER(MATCH(DATEVALUE($A281),'changes1_based on steps'!N$1:N$400,0)),N$2,)</f>
        <v>0</v>
      </c>
      <c r="O281" s="179">
        <f ca="1">IF(ISNUMBER(MATCH(DATEVALUE($A281),'changes1_based on steps'!O$1:O$400,0)),O$2,)</f>
        <v>0</v>
      </c>
      <c r="P281" s="179">
        <f ca="1">IF(ISNUMBER(MATCH(DATEVALUE($A281),'changes1_based on steps'!P$1:P$400,0)),P$2,)</f>
        <v>0</v>
      </c>
      <c r="Q281" s="179">
        <f ca="1">IF(ISNUMBER(MATCH(DATEVALUE($A281),'changes1_based on steps'!Q$1:Q$400,0)),Q$2,)</f>
        <v>0</v>
      </c>
      <c r="R281" s="179">
        <f ca="1">IF(ISNUMBER(MATCH(DATEVALUE($A281),'changes1_based on steps'!R$1:R$400,0)),R$2,)</f>
        <v>0</v>
      </c>
      <c r="S281" s="179">
        <f ca="1">IF(ISNUMBER(MATCH(DATEVALUE($A281),'changes1_based on steps'!S$1:S$400,0)),S$2,)</f>
        <v>0</v>
      </c>
      <c r="T281" s="179">
        <f ca="1">IF(ISNUMBER(MATCH(DATEVALUE($A281),'changes1_based on steps'!T$1:T$400,0)),T$2,)</f>
        <v>0</v>
      </c>
      <c r="U281" s="179">
        <f ca="1">IF(ISNUMBER(MATCH(DATEVALUE($A281),'changes1_based on steps'!U$1:U$400,0)),U$2,)</f>
        <v>0</v>
      </c>
      <c r="V281" s="179"/>
      <c r="W281" s="179"/>
      <c r="X281" s="179"/>
      <c r="Y281" s="179"/>
      <c r="Z281" s="179"/>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c r="AV281" s="179"/>
      <c r="AW281" s="179"/>
      <c r="AX281" s="179"/>
      <c r="AY281" s="179"/>
      <c r="AZ281" s="179"/>
      <c r="BA281" s="179"/>
      <c r="BB281" s="179"/>
      <c r="BC281" s="179"/>
      <c r="BD281" s="179"/>
      <c r="BE281" s="179"/>
      <c r="BF281" s="179"/>
      <c r="BG281" s="179"/>
      <c r="BH281" s="179"/>
      <c r="BI281" s="179"/>
      <c r="BJ281" s="179"/>
      <c r="BK281" s="179"/>
      <c r="BL281" s="179"/>
      <c r="BM281" s="179"/>
      <c r="BN281" s="179"/>
      <c r="BO281" s="179"/>
      <c r="BP281" s="179"/>
      <c r="BQ281" s="179"/>
      <c r="BR281" s="179"/>
      <c r="BS281" s="179"/>
      <c r="BT281" s="179"/>
      <c r="BU281" s="179"/>
      <c r="BV281" s="179"/>
      <c r="BW281" s="179"/>
      <c r="BX281" s="179"/>
      <c r="BY281" s="179"/>
      <c r="BZ281" s="179"/>
      <c r="CA281" s="179"/>
      <c r="CB281" s="179"/>
      <c r="CC281" s="179"/>
      <c r="CD281" s="179"/>
      <c r="CE281" s="179"/>
      <c r="CF281" s="179"/>
      <c r="CG281" s="179"/>
      <c r="CH281" s="179"/>
      <c r="CI281" s="179"/>
      <c r="CJ281" s="179"/>
      <c r="CK281" s="179"/>
      <c r="CL281" s="179"/>
      <c r="CM281" s="179"/>
      <c r="CN281" s="179"/>
      <c r="CO281" s="179"/>
      <c r="CP281" s="179"/>
      <c r="CQ281" s="179"/>
      <c r="CR281" s="179"/>
      <c r="CS281" s="179"/>
      <c r="CT281" s="179"/>
      <c r="CU281" s="179"/>
      <c r="CV281" s="179"/>
      <c r="CW281" s="179"/>
    </row>
    <row r="282" spans="1:101" x14ac:dyDescent="0.2">
      <c r="A282" s="32" t="str">
        <f t="shared" ca="1" si="4"/>
        <v>2026-01-02</v>
      </c>
      <c r="B282" s="179">
        <f ca="1">IF(ISNUMBER(MATCH(DATEVALUE($A282),'changes1_based on steps'!B$1:B$400,0)),B$2,)</f>
        <v>0</v>
      </c>
      <c r="C282" s="179">
        <f ca="1">IF(ISNUMBER(MATCH(DATEVALUE($A282),'changes1_based on steps'!C$1:C$400,0)),C$2,)</f>
        <v>0</v>
      </c>
      <c r="D282" s="179">
        <f ca="1">IF(ISNUMBER(MATCH(DATEVALUE($A282),'changes1_based on steps'!D$1:D$400,0)),D$2,)</f>
        <v>0</v>
      </c>
      <c r="E282" s="179">
        <f ca="1">IF(ISNUMBER(MATCH(DATEVALUE($A282),'changes1_based on steps'!E$1:E$400,0)),E$2,)</f>
        <v>0</v>
      </c>
      <c r="F282" s="179">
        <f ca="1">IF(ISNUMBER(MATCH(DATEVALUE($A282),'changes1_based on steps'!F$1:F$400,0)),F$2,)</f>
        <v>0</v>
      </c>
      <c r="G282" s="179">
        <f ca="1">IF(ISNUMBER(MATCH(DATEVALUE($A282),'changes1_based on steps'!G$1:G$400,0)),G$2,)</f>
        <v>0</v>
      </c>
      <c r="H282" s="179">
        <f ca="1">IF(ISNUMBER(MATCH(DATEVALUE($A282),'changes1_based on steps'!H$1:H$400,0)),H$2,)</f>
        <v>0</v>
      </c>
      <c r="I282" s="179">
        <f ca="1">IF(ISNUMBER(MATCH(DATEVALUE($A282),'changes1_based on steps'!I$1:I$400,0)),I$2,)</f>
        <v>0</v>
      </c>
      <c r="J282" s="179">
        <f ca="1">IF(ISNUMBER(MATCH(DATEVALUE($A282),'changes1_based on steps'!J$1:J$400,0)),J$2,)</f>
        <v>0</v>
      </c>
      <c r="K282" s="179">
        <f ca="1">IF(ISNUMBER(MATCH(DATEVALUE($A282),'changes1_based on steps'!K$1:K$400,0)),K$2,)</f>
        <v>0</v>
      </c>
      <c r="L282" s="179">
        <f ca="1">IF(ISNUMBER(MATCH(DATEVALUE($A282),'changes1_based on steps'!L$1:L$400,0)),L$2,)</f>
        <v>0</v>
      </c>
      <c r="M282" s="179">
        <f ca="1">IF(ISNUMBER(MATCH(DATEVALUE($A282),'changes1_based on steps'!M$1:M$400,0)),M$2,)</f>
        <v>0</v>
      </c>
      <c r="N282" s="179">
        <f ca="1">IF(ISNUMBER(MATCH(DATEVALUE($A282),'changes1_based on steps'!N$1:N$400,0)),N$2,)</f>
        <v>0</v>
      </c>
      <c r="O282" s="179">
        <f ca="1">IF(ISNUMBER(MATCH(DATEVALUE($A282),'changes1_based on steps'!O$1:O$400,0)),O$2,)</f>
        <v>0</v>
      </c>
      <c r="P282" s="179">
        <f ca="1">IF(ISNUMBER(MATCH(DATEVALUE($A282),'changes1_based on steps'!P$1:P$400,0)),P$2,)</f>
        <v>0</v>
      </c>
      <c r="Q282" s="179">
        <f ca="1">IF(ISNUMBER(MATCH(DATEVALUE($A282),'changes1_based on steps'!Q$1:Q$400,0)),Q$2,)</f>
        <v>0</v>
      </c>
      <c r="R282" s="179">
        <f ca="1">IF(ISNUMBER(MATCH(DATEVALUE($A282),'changes1_based on steps'!R$1:R$400,0)),R$2,)</f>
        <v>0</v>
      </c>
      <c r="S282" s="179">
        <f ca="1">IF(ISNUMBER(MATCH(DATEVALUE($A282),'changes1_based on steps'!S$1:S$400,0)),S$2,)</f>
        <v>0</v>
      </c>
      <c r="T282" s="179">
        <f ca="1">IF(ISNUMBER(MATCH(DATEVALUE($A282),'changes1_based on steps'!T$1:T$400,0)),T$2,)</f>
        <v>0</v>
      </c>
      <c r="U282" s="179">
        <f ca="1">IF(ISNUMBER(MATCH(DATEVALUE($A282),'changes1_based on steps'!U$1:U$400,0)),U$2,)</f>
        <v>0</v>
      </c>
      <c r="V282" s="179"/>
      <c r="W282" s="179"/>
      <c r="X282" s="179"/>
      <c r="Y282" s="179"/>
      <c r="Z282" s="179"/>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c r="AV282" s="179"/>
      <c r="AW282" s="179"/>
      <c r="AX282" s="179"/>
      <c r="AY282" s="179"/>
      <c r="AZ282" s="179"/>
      <c r="BA282" s="179"/>
      <c r="BB282" s="179"/>
      <c r="BC282" s="179"/>
      <c r="BD282" s="179"/>
      <c r="BE282" s="179"/>
      <c r="BF282" s="179"/>
      <c r="BG282" s="179"/>
      <c r="BH282" s="179"/>
      <c r="BI282" s="179"/>
      <c r="BJ282" s="179"/>
      <c r="BK282" s="179"/>
      <c r="BL282" s="179"/>
      <c r="BM282" s="179"/>
      <c r="BN282" s="179"/>
      <c r="BO282" s="179"/>
      <c r="BP282" s="179"/>
      <c r="BQ282" s="179"/>
      <c r="BR282" s="179"/>
      <c r="BS282" s="179"/>
      <c r="BT282" s="179"/>
      <c r="BU282" s="179"/>
      <c r="BV282" s="179"/>
      <c r="BW282" s="179"/>
      <c r="BX282" s="179"/>
      <c r="BY282" s="179"/>
      <c r="BZ282" s="179"/>
      <c r="CA282" s="179"/>
      <c r="CB282" s="179"/>
      <c r="CC282" s="179"/>
      <c r="CD282" s="179"/>
      <c r="CE282" s="179"/>
      <c r="CF282" s="179"/>
      <c r="CG282" s="179"/>
      <c r="CH282" s="179"/>
      <c r="CI282" s="179"/>
      <c r="CJ282" s="179"/>
      <c r="CK282" s="179"/>
      <c r="CL282" s="179"/>
      <c r="CM282" s="179"/>
      <c r="CN282" s="179"/>
      <c r="CO282" s="179"/>
      <c r="CP282" s="179"/>
      <c r="CQ282" s="179"/>
      <c r="CR282" s="179"/>
      <c r="CS282" s="179"/>
      <c r="CT282" s="179"/>
      <c r="CU282" s="179"/>
      <c r="CV282" s="179"/>
      <c r="CW282" s="179"/>
    </row>
    <row r="283" spans="1:101" x14ac:dyDescent="0.2">
      <c r="A283" s="32" t="str">
        <f t="shared" ca="1" si="4"/>
        <v>2026-01-03</v>
      </c>
      <c r="B283" s="179">
        <f ca="1">IF(ISNUMBER(MATCH(DATEVALUE($A283),'changes1_based on steps'!B$1:B$400,0)),B$2,)</f>
        <v>0</v>
      </c>
      <c r="C283" s="179">
        <f ca="1">IF(ISNUMBER(MATCH(DATEVALUE($A283),'changes1_based on steps'!C$1:C$400,0)),C$2,)</f>
        <v>0</v>
      </c>
      <c r="D283" s="179">
        <f ca="1">IF(ISNUMBER(MATCH(DATEVALUE($A283),'changes1_based on steps'!D$1:D$400,0)),D$2,)</f>
        <v>0</v>
      </c>
      <c r="E283" s="179">
        <f ca="1">IF(ISNUMBER(MATCH(DATEVALUE($A283),'changes1_based on steps'!E$1:E$400,0)),E$2,)</f>
        <v>0</v>
      </c>
      <c r="F283" s="179">
        <f ca="1">IF(ISNUMBER(MATCH(DATEVALUE($A283),'changes1_based on steps'!F$1:F$400,0)),F$2,)</f>
        <v>0</v>
      </c>
      <c r="G283" s="179">
        <f ca="1">IF(ISNUMBER(MATCH(DATEVALUE($A283),'changes1_based on steps'!G$1:G$400,0)),G$2,)</f>
        <v>0</v>
      </c>
      <c r="H283" s="179">
        <f ca="1">IF(ISNUMBER(MATCH(DATEVALUE($A283),'changes1_based on steps'!H$1:H$400,0)),H$2,)</f>
        <v>0</v>
      </c>
      <c r="I283" s="179">
        <f ca="1">IF(ISNUMBER(MATCH(DATEVALUE($A283),'changes1_based on steps'!I$1:I$400,0)),I$2,)</f>
        <v>0</v>
      </c>
      <c r="J283" s="179">
        <f ca="1">IF(ISNUMBER(MATCH(DATEVALUE($A283),'changes1_based on steps'!J$1:J$400,0)),J$2,)</f>
        <v>0</v>
      </c>
      <c r="K283" s="179">
        <f ca="1">IF(ISNUMBER(MATCH(DATEVALUE($A283),'changes1_based on steps'!K$1:K$400,0)),K$2,)</f>
        <v>0</v>
      </c>
      <c r="L283" s="179">
        <f ca="1">IF(ISNUMBER(MATCH(DATEVALUE($A283),'changes1_based on steps'!L$1:L$400,0)),L$2,)</f>
        <v>0</v>
      </c>
      <c r="M283" s="179">
        <f ca="1">IF(ISNUMBER(MATCH(DATEVALUE($A283),'changes1_based on steps'!M$1:M$400,0)),M$2,)</f>
        <v>0</v>
      </c>
      <c r="N283" s="179">
        <f ca="1">IF(ISNUMBER(MATCH(DATEVALUE($A283),'changes1_based on steps'!N$1:N$400,0)),N$2,)</f>
        <v>0</v>
      </c>
      <c r="O283" s="179">
        <f ca="1">IF(ISNUMBER(MATCH(DATEVALUE($A283),'changes1_based on steps'!O$1:O$400,0)),O$2,)</f>
        <v>0</v>
      </c>
      <c r="P283" s="179">
        <f ca="1">IF(ISNUMBER(MATCH(DATEVALUE($A283),'changes1_based on steps'!P$1:P$400,0)),P$2,)</f>
        <v>0</v>
      </c>
      <c r="Q283" s="179">
        <f ca="1">IF(ISNUMBER(MATCH(DATEVALUE($A283),'changes1_based on steps'!Q$1:Q$400,0)),Q$2,)</f>
        <v>0</v>
      </c>
      <c r="R283" s="179">
        <f ca="1">IF(ISNUMBER(MATCH(DATEVALUE($A283),'changes1_based on steps'!R$1:R$400,0)),R$2,)</f>
        <v>0</v>
      </c>
      <c r="S283" s="179">
        <f ca="1">IF(ISNUMBER(MATCH(DATEVALUE($A283),'changes1_based on steps'!S$1:S$400,0)),S$2,)</f>
        <v>0</v>
      </c>
      <c r="T283" s="179">
        <f ca="1">IF(ISNUMBER(MATCH(DATEVALUE($A283),'changes1_based on steps'!T$1:T$400,0)),T$2,)</f>
        <v>0</v>
      </c>
      <c r="U283" s="179">
        <f ca="1">IF(ISNUMBER(MATCH(DATEVALUE($A283),'changes1_based on steps'!U$1:U$400,0)),U$2,)</f>
        <v>0</v>
      </c>
      <c r="V283" s="179"/>
      <c r="W283" s="179"/>
      <c r="X283" s="179"/>
      <c r="Y283" s="179"/>
      <c r="Z283" s="179"/>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c r="AV283" s="179"/>
      <c r="AW283" s="179"/>
      <c r="AX283" s="179"/>
      <c r="AY283" s="179"/>
      <c r="AZ283" s="179"/>
      <c r="BA283" s="179"/>
      <c r="BB283" s="179"/>
      <c r="BC283" s="179"/>
      <c r="BD283" s="179"/>
      <c r="BE283" s="179"/>
      <c r="BF283" s="179"/>
      <c r="BG283" s="179"/>
      <c r="BH283" s="179"/>
      <c r="BI283" s="179"/>
      <c r="BJ283" s="179"/>
      <c r="BK283" s="179"/>
      <c r="BL283" s="179"/>
      <c r="BM283" s="179"/>
      <c r="BN283" s="179"/>
      <c r="BO283" s="179"/>
      <c r="BP283" s="179"/>
      <c r="BQ283" s="179"/>
      <c r="BR283" s="179"/>
      <c r="BS283" s="179"/>
      <c r="BT283" s="179"/>
      <c r="BU283" s="179"/>
      <c r="BV283" s="179"/>
      <c r="BW283" s="179"/>
      <c r="BX283" s="179"/>
      <c r="BY283" s="179"/>
      <c r="BZ283" s="179"/>
      <c r="CA283" s="179"/>
      <c r="CB283" s="179"/>
      <c r="CC283" s="179"/>
      <c r="CD283" s="179"/>
      <c r="CE283" s="179"/>
      <c r="CF283" s="179"/>
      <c r="CG283" s="179"/>
      <c r="CH283" s="179"/>
      <c r="CI283" s="179"/>
      <c r="CJ283" s="179"/>
      <c r="CK283" s="179"/>
      <c r="CL283" s="179"/>
      <c r="CM283" s="179"/>
      <c r="CN283" s="179"/>
      <c r="CO283" s="179"/>
      <c r="CP283" s="179"/>
      <c r="CQ283" s="179"/>
      <c r="CR283" s="179"/>
      <c r="CS283" s="179"/>
      <c r="CT283" s="179"/>
      <c r="CU283" s="179"/>
      <c r="CV283" s="179"/>
      <c r="CW283" s="179"/>
    </row>
    <row r="284" spans="1:101" x14ac:dyDescent="0.2">
      <c r="A284" s="32" t="str">
        <f t="shared" ca="1" si="4"/>
        <v>2026-01-04</v>
      </c>
      <c r="B284" s="179">
        <f ca="1">IF(ISNUMBER(MATCH(DATEVALUE($A284),'changes1_based on steps'!B$1:B$400,0)),B$2,)</f>
        <v>0</v>
      </c>
      <c r="C284" s="179">
        <f ca="1">IF(ISNUMBER(MATCH(DATEVALUE($A284),'changes1_based on steps'!C$1:C$400,0)),C$2,)</f>
        <v>0</v>
      </c>
      <c r="D284" s="179">
        <f ca="1">IF(ISNUMBER(MATCH(DATEVALUE($A284),'changes1_based on steps'!D$1:D$400,0)),D$2,)</f>
        <v>0</v>
      </c>
      <c r="E284" s="179">
        <f ca="1">IF(ISNUMBER(MATCH(DATEVALUE($A284),'changes1_based on steps'!E$1:E$400,0)),E$2,)</f>
        <v>0</v>
      </c>
      <c r="F284" s="179">
        <f ca="1">IF(ISNUMBER(MATCH(DATEVALUE($A284),'changes1_based on steps'!F$1:F$400,0)),F$2,)</f>
        <v>0</v>
      </c>
      <c r="G284" s="179">
        <f ca="1">IF(ISNUMBER(MATCH(DATEVALUE($A284),'changes1_based on steps'!G$1:G$400,0)),G$2,)</f>
        <v>0</v>
      </c>
      <c r="H284" s="179">
        <f ca="1">IF(ISNUMBER(MATCH(DATEVALUE($A284),'changes1_based on steps'!H$1:H$400,0)),H$2,)</f>
        <v>0</v>
      </c>
      <c r="I284" s="179">
        <f ca="1">IF(ISNUMBER(MATCH(DATEVALUE($A284),'changes1_based on steps'!I$1:I$400,0)),I$2,)</f>
        <v>0</v>
      </c>
      <c r="J284" s="179">
        <f ca="1">IF(ISNUMBER(MATCH(DATEVALUE($A284),'changes1_based on steps'!J$1:J$400,0)),J$2,)</f>
        <v>0</v>
      </c>
      <c r="K284" s="179">
        <f ca="1">IF(ISNUMBER(MATCH(DATEVALUE($A284),'changes1_based on steps'!K$1:K$400,0)),K$2,)</f>
        <v>0</v>
      </c>
      <c r="L284" s="179">
        <f ca="1">IF(ISNUMBER(MATCH(DATEVALUE($A284),'changes1_based on steps'!L$1:L$400,0)),L$2,)</f>
        <v>0</v>
      </c>
      <c r="M284" s="179">
        <f ca="1">IF(ISNUMBER(MATCH(DATEVALUE($A284),'changes1_based on steps'!M$1:M$400,0)),M$2,)</f>
        <v>0</v>
      </c>
      <c r="N284" s="179">
        <f ca="1">IF(ISNUMBER(MATCH(DATEVALUE($A284),'changes1_based on steps'!N$1:N$400,0)),N$2,)</f>
        <v>0</v>
      </c>
      <c r="O284" s="179">
        <f ca="1">IF(ISNUMBER(MATCH(DATEVALUE($A284),'changes1_based on steps'!O$1:O$400,0)),O$2,)</f>
        <v>0</v>
      </c>
      <c r="P284" s="179">
        <f ca="1">IF(ISNUMBER(MATCH(DATEVALUE($A284),'changes1_based on steps'!P$1:P$400,0)),P$2,)</f>
        <v>0</v>
      </c>
      <c r="Q284" s="179">
        <f ca="1">IF(ISNUMBER(MATCH(DATEVALUE($A284),'changes1_based on steps'!Q$1:Q$400,0)),Q$2,)</f>
        <v>0</v>
      </c>
      <c r="R284" s="179">
        <f ca="1">IF(ISNUMBER(MATCH(DATEVALUE($A284),'changes1_based on steps'!R$1:R$400,0)),R$2,)</f>
        <v>0</v>
      </c>
      <c r="S284" s="179">
        <f ca="1">IF(ISNUMBER(MATCH(DATEVALUE($A284),'changes1_based on steps'!S$1:S$400,0)),S$2,)</f>
        <v>0</v>
      </c>
      <c r="T284" s="179">
        <f ca="1">IF(ISNUMBER(MATCH(DATEVALUE($A284),'changes1_based on steps'!T$1:T$400,0)),T$2,)</f>
        <v>0</v>
      </c>
      <c r="U284" s="179">
        <f ca="1">IF(ISNUMBER(MATCH(DATEVALUE($A284),'changes1_based on steps'!U$1:U$400,0)),U$2,)</f>
        <v>0</v>
      </c>
      <c r="V284" s="179"/>
      <c r="W284" s="179"/>
      <c r="X284" s="179"/>
      <c r="Y284" s="179"/>
      <c r="Z284" s="179"/>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c r="AV284" s="179"/>
      <c r="AW284" s="179"/>
      <c r="AX284" s="179"/>
      <c r="AY284" s="179"/>
      <c r="AZ284" s="179"/>
      <c r="BA284" s="179"/>
      <c r="BB284" s="179"/>
      <c r="BC284" s="179"/>
      <c r="BD284" s="179"/>
      <c r="BE284" s="179"/>
      <c r="BF284" s="179"/>
      <c r="BG284" s="179"/>
      <c r="BH284" s="179"/>
      <c r="BI284" s="179"/>
      <c r="BJ284" s="179"/>
      <c r="BK284" s="179"/>
      <c r="BL284" s="179"/>
      <c r="BM284" s="179"/>
      <c r="BN284" s="179"/>
      <c r="BO284" s="179"/>
      <c r="BP284" s="179"/>
      <c r="BQ284" s="179"/>
      <c r="BR284" s="179"/>
      <c r="BS284" s="179"/>
      <c r="BT284" s="179"/>
      <c r="BU284" s="179"/>
      <c r="BV284" s="179"/>
      <c r="BW284" s="179"/>
      <c r="BX284" s="179"/>
      <c r="BY284" s="179"/>
      <c r="BZ284" s="179"/>
      <c r="CA284" s="179"/>
      <c r="CB284" s="179"/>
      <c r="CC284" s="179"/>
      <c r="CD284" s="179"/>
      <c r="CE284" s="179"/>
      <c r="CF284" s="179"/>
      <c r="CG284" s="179"/>
      <c r="CH284" s="179"/>
      <c r="CI284" s="179"/>
      <c r="CJ284" s="179"/>
      <c r="CK284" s="179"/>
      <c r="CL284" s="179"/>
      <c r="CM284" s="179"/>
      <c r="CN284" s="179"/>
      <c r="CO284" s="179"/>
      <c r="CP284" s="179"/>
      <c r="CQ284" s="179"/>
      <c r="CR284" s="179"/>
      <c r="CS284" s="179"/>
      <c r="CT284" s="179"/>
      <c r="CU284" s="179"/>
      <c r="CV284" s="179"/>
      <c r="CW284" s="179"/>
    </row>
    <row r="285" spans="1:101" x14ac:dyDescent="0.2">
      <c r="A285" s="32" t="str">
        <f t="shared" ca="1" si="4"/>
        <v>2026-01-05</v>
      </c>
      <c r="B285" s="179">
        <f ca="1">IF(ISNUMBER(MATCH(DATEVALUE($A285),'changes1_based on steps'!B$1:B$400,0)),B$2,)</f>
        <v>0</v>
      </c>
      <c r="C285" s="179">
        <f ca="1">IF(ISNUMBER(MATCH(DATEVALUE($A285),'changes1_based on steps'!C$1:C$400,0)),C$2,)</f>
        <v>0</v>
      </c>
      <c r="D285" s="179">
        <f ca="1">IF(ISNUMBER(MATCH(DATEVALUE($A285),'changes1_based on steps'!D$1:D$400,0)),D$2,)</f>
        <v>0</v>
      </c>
      <c r="E285" s="179">
        <f ca="1">IF(ISNUMBER(MATCH(DATEVALUE($A285),'changes1_based on steps'!E$1:E$400,0)),E$2,)</f>
        <v>0</v>
      </c>
      <c r="F285" s="179">
        <f ca="1">IF(ISNUMBER(MATCH(DATEVALUE($A285),'changes1_based on steps'!F$1:F$400,0)),F$2,)</f>
        <v>0</v>
      </c>
      <c r="G285" s="179">
        <f ca="1">IF(ISNUMBER(MATCH(DATEVALUE($A285),'changes1_based on steps'!G$1:G$400,0)),G$2,)</f>
        <v>0</v>
      </c>
      <c r="H285" s="179">
        <f ca="1">IF(ISNUMBER(MATCH(DATEVALUE($A285),'changes1_based on steps'!H$1:H$400,0)),H$2,)</f>
        <v>0</v>
      </c>
      <c r="I285" s="179">
        <f ca="1">IF(ISNUMBER(MATCH(DATEVALUE($A285),'changes1_based on steps'!I$1:I$400,0)),I$2,)</f>
        <v>0</v>
      </c>
      <c r="J285" s="179">
        <f ca="1">IF(ISNUMBER(MATCH(DATEVALUE($A285),'changes1_based on steps'!J$1:J$400,0)),J$2,)</f>
        <v>0</v>
      </c>
      <c r="K285" s="179">
        <f ca="1">IF(ISNUMBER(MATCH(DATEVALUE($A285),'changes1_based on steps'!K$1:K$400,0)),K$2,)</f>
        <v>0</v>
      </c>
      <c r="L285" s="179">
        <f ca="1">IF(ISNUMBER(MATCH(DATEVALUE($A285),'changes1_based on steps'!L$1:L$400,0)),L$2,)</f>
        <v>0</v>
      </c>
      <c r="M285" s="179">
        <f ca="1">IF(ISNUMBER(MATCH(DATEVALUE($A285),'changes1_based on steps'!M$1:M$400,0)),M$2,)</f>
        <v>0</v>
      </c>
      <c r="N285" s="179">
        <f ca="1">IF(ISNUMBER(MATCH(DATEVALUE($A285),'changes1_based on steps'!N$1:N$400,0)),N$2,)</f>
        <v>0</v>
      </c>
      <c r="O285" s="179">
        <f ca="1">IF(ISNUMBER(MATCH(DATEVALUE($A285),'changes1_based on steps'!O$1:O$400,0)),O$2,)</f>
        <v>0</v>
      </c>
      <c r="P285" s="179">
        <f ca="1">IF(ISNUMBER(MATCH(DATEVALUE($A285),'changes1_based on steps'!P$1:P$400,0)),P$2,)</f>
        <v>0</v>
      </c>
      <c r="Q285" s="179">
        <f ca="1">IF(ISNUMBER(MATCH(DATEVALUE($A285),'changes1_based on steps'!Q$1:Q$400,0)),Q$2,)</f>
        <v>0</v>
      </c>
      <c r="R285" s="179">
        <f ca="1">IF(ISNUMBER(MATCH(DATEVALUE($A285),'changes1_based on steps'!R$1:R$400,0)),R$2,)</f>
        <v>0</v>
      </c>
      <c r="S285" s="179">
        <f ca="1">IF(ISNUMBER(MATCH(DATEVALUE($A285),'changes1_based on steps'!S$1:S$400,0)),S$2,)</f>
        <v>0</v>
      </c>
      <c r="T285" s="179">
        <f ca="1">IF(ISNUMBER(MATCH(DATEVALUE($A285),'changes1_based on steps'!T$1:T$400,0)),T$2,)</f>
        <v>0</v>
      </c>
      <c r="U285" s="179">
        <f ca="1">IF(ISNUMBER(MATCH(DATEVALUE($A285),'changes1_based on steps'!U$1:U$400,0)),U$2,)</f>
        <v>0</v>
      </c>
      <c r="V285" s="179"/>
      <c r="W285" s="179"/>
      <c r="X285" s="179"/>
      <c r="Y285" s="179"/>
      <c r="Z285" s="179"/>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c r="AV285" s="179"/>
      <c r="AW285" s="179"/>
      <c r="AX285" s="179"/>
      <c r="AY285" s="179"/>
      <c r="AZ285" s="179"/>
      <c r="BA285" s="179"/>
      <c r="BB285" s="179"/>
      <c r="BC285" s="179"/>
      <c r="BD285" s="179"/>
      <c r="BE285" s="179"/>
      <c r="BF285" s="179"/>
      <c r="BG285" s="179"/>
      <c r="BH285" s="179"/>
      <c r="BI285" s="179"/>
      <c r="BJ285" s="179"/>
      <c r="BK285" s="179"/>
      <c r="BL285" s="179"/>
      <c r="BM285" s="179"/>
      <c r="BN285" s="179"/>
      <c r="BO285" s="179"/>
      <c r="BP285" s="179"/>
      <c r="BQ285" s="179"/>
      <c r="BR285" s="179"/>
      <c r="BS285" s="179"/>
      <c r="BT285" s="179"/>
      <c r="BU285" s="179"/>
      <c r="BV285" s="179"/>
      <c r="BW285" s="179"/>
      <c r="BX285" s="179"/>
      <c r="BY285" s="179"/>
      <c r="BZ285" s="179"/>
      <c r="CA285" s="179"/>
      <c r="CB285" s="179"/>
      <c r="CC285" s="179"/>
      <c r="CD285" s="179"/>
      <c r="CE285" s="179"/>
      <c r="CF285" s="179"/>
      <c r="CG285" s="179"/>
      <c r="CH285" s="179"/>
      <c r="CI285" s="179"/>
      <c r="CJ285" s="179"/>
      <c r="CK285" s="179"/>
      <c r="CL285" s="179"/>
      <c r="CM285" s="179"/>
      <c r="CN285" s="179"/>
      <c r="CO285" s="179"/>
      <c r="CP285" s="179"/>
      <c r="CQ285" s="179"/>
      <c r="CR285" s="179"/>
      <c r="CS285" s="179"/>
      <c r="CT285" s="179"/>
      <c r="CU285" s="179"/>
      <c r="CV285" s="179"/>
      <c r="CW285" s="179"/>
    </row>
    <row r="286" spans="1:101" x14ac:dyDescent="0.2">
      <c r="A286" s="32" t="str">
        <f t="shared" ca="1" si="4"/>
        <v>2026-01-06</v>
      </c>
      <c r="B286" s="179">
        <f ca="1">IF(ISNUMBER(MATCH(DATEVALUE($A286),'changes1_based on steps'!B$1:B$400,0)),B$2,)</f>
        <v>0</v>
      </c>
      <c r="C286" s="179">
        <f ca="1">IF(ISNUMBER(MATCH(DATEVALUE($A286),'changes1_based on steps'!C$1:C$400,0)),C$2,)</f>
        <v>0</v>
      </c>
      <c r="D286" s="179">
        <f ca="1">IF(ISNUMBER(MATCH(DATEVALUE($A286),'changes1_based on steps'!D$1:D$400,0)),D$2,)</f>
        <v>0</v>
      </c>
      <c r="E286" s="179">
        <f ca="1">IF(ISNUMBER(MATCH(DATEVALUE($A286),'changes1_based on steps'!E$1:E$400,0)),E$2,)</f>
        <v>0</v>
      </c>
      <c r="F286" s="179">
        <f ca="1">IF(ISNUMBER(MATCH(DATEVALUE($A286),'changes1_based on steps'!F$1:F$400,0)),F$2,)</f>
        <v>0</v>
      </c>
      <c r="G286" s="179">
        <f ca="1">IF(ISNUMBER(MATCH(DATEVALUE($A286),'changes1_based on steps'!G$1:G$400,0)),G$2,)</f>
        <v>0</v>
      </c>
      <c r="H286" s="179">
        <f ca="1">IF(ISNUMBER(MATCH(DATEVALUE($A286),'changes1_based on steps'!H$1:H$400,0)),H$2,)</f>
        <v>0</v>
      </c>
      <c r="I286" s="179">
        <f ca="1">IF(ISNUMBER(MATCH(DATEVALUE($A286),'changes1_based on steps'!I$1:I$400,0)),I$2,)</f>
        <v>0</v>
      </c>
      <c r="J286" s="179">
        <f ca="1">IF(ISNUMBER(MATCH(DATEVALUE($A286),'changes1_based on steps'!J$1:J$400,0)),J$2,)</f>
        <v>0</v>
      </c>
      <c r="K286" s="179">
        <f ca="1">IF(ISNUMBER(MATCH(DATEVALUE($A286),'changes1_based on steps'!K$1:K$400,0)),K$2,)</f>
        <v>0</v>
      </c>
      <c r="L286" s="179">
        <f ca="1">IF(ISNUMBER(MATCH(DATEVALUE($A286),'changes1_based on steps'!L$1:L$400,0)),L$2,)</f>
        <v>0</v>
      </c>
      <c r="M286" s="179">
        <f ca="1">IF(ISNUMBER(MATCH(DATEVALUE($A286),'changes1_based on steps'!M$1:M$400,0)),M$2,)</f>
        <v>0</v>
      </c>
      <c r="N286" s="179">
        <f ca="1">IF(ISNUMBER(MATCH(DATEVALUE($A286),'changes1_based on steps'!N$1:N$400,0)),N$2,)</f>
        <v>0</v>
      </c>
      <c r="O286" s="179">
        <f ca="1">IF(ISNUMBER(MATCH(DATEVALUE($A286),'changes1_based on steps'!O$1:O$400,0)),O$2,)</f>
        <v>0</v>
      </c>
      <c r="P286" s="179">
        <f ca="1">IF(ISNUMBER(MATCH(DATEVALUE($A286),'changes1_based on steps'!P$1:P$400,0)),P$2,)</f>
        <v>0</v>
      </c>
      <c r="Q286" s="179">
        <f ca="1">IF(ISNUMBER(MATCH(DATEVALUE($A286),'changes1_based on steps'!Q$1:Q$400,0)),Q$2,)</f>
        <v>0</v>
      </c>
      <c r="R286" s="179">
        <f ca="1">IF(ISNUMBER(MATCH(DATEVALUE($A286),'changes1_based on steps'!R$1:R$400,0)),R$2,)</f>
        <v>0</v>
      </c>
      <c r="S286" s="179">
        <f ca="1">IF(ISNUMBER(MATCH(DATEVALUE($A286),'changes1_based on steps'!S$1:S$400,0)),S$2,)</f>
        <v>0</v>
      </c>
      <c r="T286" s="179">
        <f ca="1">IF(ISNUMBER(MATCH(DATEVALUE($A286),'changes1_based on steps'!T$1:T$400,0)),T$2,)</f>
        <v>0</v>
      </c>
      <c r="U286" s="179">
        <f ca="1">IF(ISNUMBER(MATCH(DATEVALUE($A286),'changes1_based on steps'!U$1:U$400,0)),U$2,)</f>
        <v>0</v>
      </c>
      <c r="V286" s="179"/>
      <c r="W286" s="179"/>
      <c r="X286" s="179"/>
      <c r="Y286" s="179"/>
      <c r="Z286" s="179"/>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c r="AV286" s="179"/>
      <c r="AW286" s="179"/>
      <c r="AX286" s="179"/>
      <c r="AY286" s="179"/>
      <c r="AZ286" s="179"/>
      <c r="BA286" s="179"/>
      <c r="BB286" s="179"/>
      <c r="BC286" s="179"/>
      <c r="BD286" s="179"/>
      <c r="BE286" s="179"/>
      <c r="BF286" s="179"/>
      <c r="BG286" s="179"/>
      <c r="BH286" s="179"/>
      <c r="BI286" s="179"/>
      <c r="BJ286" s="179"/>
      <c r="BK286" s="179"/>
      <c r="BL286" s="179"/>
      <c r="BM286" s="179"/>
      <c r="BN286" s="179"/>
      <c r="BO286" s="179"/>
      <c r="BP286" s="179"/>
      <c r="BQ286" s="179"/>
      <c r="BR286" s="179"/>
      <c r="BS286" s="179"/>
      <c r="BT286" s="179"/>
      <c r="BU286" s="179"/>
      <c r="BV286" s="179"/>
      <c r="BW286" s="179"/>
      <c r="BX286" s="179"/>
      <c r="BY286" s="179"/>
      <c r="BZ286" s="179"/>
      <c r="CA286" s="179"/>
      <c r="CB286" s="179"/>
      <c r="CC286" s="179"/>
      <c r="CD286" s="179"/>
      <c r="CE286" s="179"/>
      <c r="CF286" s="179"/>
      <c r="CG286" s="179"/>
      <c r="CH286" s="179"/>
      <c r="CI286" s="179"/>
      <c r="CJ286" s="179"/>
      <c r="CK286" s="179"/>
      <c r="CL286" s="179"/>
      <c r="CM286" s="179"/>
      <c r="CN286" s="179"/>
      <c r="CO286" s="179"/>
      <c r="CP286" s="179"/>
      <c r="CQ286" s="179"/>
      <c r="CR286" s="179"/>
      <c r="CS286" s="179"/>
      <c r="CT286" s="179"/>
      <c r="CU286" s="179"/>
      <c r="CV286" s="179"/>
      <c r="CW286" s="179"/>
    </row>
    <row r="287" spans="1:101" x14ac:dyDescent="0.2">
      <c r="A287" s="32" t="str">
        <f t="shared" ca="1" si="4"/>
        <v>2026-01-07</v>
      </c>
      <c r="B287" s="179">
        <f ca="1">IF(ISNUMBER(MATCH(DATEVALUE($A287),'changes1_based on steps'!B$1:B$400,0)),B$2,)</f>
        <v>0</v>
      </c>
      <c r="C287" s="179">
        <f ca="1">IF(ISNUMBER(MATCH(DATEVALUE($A287),'changes1_based on steps'!C$1:C$400,0)),C$2,)</f>
        <v>0</v>
      </c>
      <c r="D287" s="179">
        <f ca="1">IF(ISNUMBER(MATCH(DATEVALUE($A287),'changes1_based on steps'!D$1:D$400,0)),D$2,)</f>
        <v>0</v>
      </c>
      <c r="E287" s="179">
        <f ca="1">IF(ISNUMBER(MATCH(DATEVALUE($A287),'changes1_based on steps'!E$1:E$400,0)),E$2,)</f>
        <v>0</v>
      </c>
      <c r="F287" s="179">
        <f ca="1">IF(ISNUMBER(MATCH(DATEVALUE($A287),'changes1_based on steps'!F$1:F$400,0)),F$2,)</f>
        <v>0</v>
      </c>
      <c r="G287" s="179">
        <f ca="1">IF(ISNUMBER(MATCH(DATEVALUE($A287),'changes1_based on steps'!G$1:G$400,0)),G$2,)</f>
        <v>0</v>
      </c>
      <c r="H287" s="179">
        <f ca="1">IF(ISNUMBER(MATCH(DATEVALUE($A287),'changes1_based on steps'!H$1:H$400,0)),H$2,)</f>
        <v>0</v>
      </c>
      <c r="I287" s="179">
        <f ca="1">IF(ISNUMBER(MATCH(DATEVALUE($A287),'changes1_based on steps'!I$1:I$400,0)),I$2,)</f>
        <v>0</v>
      </c>
      <c r="J287" s="179">
        <f ca="1">IF(ISNUMBER(MATCH(DATEVALUE($A287),'changes1_based on steps'!J$1:J$400,0)),J$2,)</f>
        <v>0</v>
      </c>
      <c r="K287" s="179">
        <f ca="1">IF(ISNUMBER(MATCH(DATEVALUE($A287),'changes1_based on steps'!K$1:K$400,0)),K$2,)</f>
        <v>0</v>
      </c>
      <c r="L287" s="179">
        <f ca="1">IF(ISNUMBER(MATCH(DATEVALUE($A287),'changes1_based on steps'!L$1:L$400,0)),L$2,)</f>
        <v>0</v>
      </c>
      <c r="M287" s="179">
        <f ca="1">IF(ISNUMBER(MATCH(DATEVALUE($A287),'changes1_based on steps'!M$1:M$400,0)),M$2,)</f>
        <v>0</v>
      </c>
      <c r="N287" s="179">
        <f ca="1">IF(ISNUMBER(MATCH(DATEVALUE($A287),'changes1_based on steps'!N$1:N$400,0)),N$2,)</f>
        <v>0</v>
      </c>
      <c r="O287" s="179">
        <f ca="1">IF(ISNUMBER(MATCH(DATEVALUE($A287),'changes1_based on steps'!O$1:O$400,0)),O$2,)</f>
        <v>0</v>
      </c>
      <c r="P287" s="179">
        <f ca="1">IF(ISNUMBER(MATCH(DATEVALUE($A287),'changes1_based on steps'!P$1:P$400,0)),P$2,)</f>
        <v>0</v>
      </c>
      <c r="Q287" s="179">
        <f ca="1">IF(ISNUMBER(MATCH(DATEVALUE($A287),'changes1_based on steps'!Q$1:Q$400,0)),Q$2,)</f>
        <v>0</v>
      </c>
      <c r="R287" s="179">
        <f ca="1">IF(ISNUMBER(MATCH(DATEVALUE($A287),'changes1_based on steps'!R$1:R$400,0)),R$2,)</f>
        <v>0</v>
      </c>
      <c r="S287" s="179">
        <f ca="1">IF(ISNUMBER(MATCH(DATEVALUE($A287),'changes1_based on steps'!S$1:S$400,0)),S$2,)</f>
        <v>0</v>
      </c>
      <c r="T287" s="179">
        <f ca="1">IF(ISNUMBER(MATCH(DATEVALUE($A287),'changes1_based on steps'!T$1:T$400,0)),T$2,)</f>
        <v>0</v>
      </c>
      <c r="U287" s="179">
        <f ca="1">IF(ISNUMBER(MATCH(DATEVALUE($A287),'changes1_based on steps'!U$1:U$400,0)),U$2,)</f>
        <v>0</v>
      </c>
      <c r="V287" s="179"/>
      <c r="W287" s="179"/>
      <c r="X287" s="179"/>
      <c r="Y287" s="179"/>
      <c r="Z287" s="179"/>
      <c r="AA287" s="179"/>
      <c r="AB287" s="179"/>
      <c r="AC287" s="179"/>
      <c r="AD287" s="179"/>
      <c r="AE287" s="179"/>
      <c r="AF287" s="179"/>
      <c r="AG287" s="179"/>
      <c r="AH287" s="179"/>
      <c r="AI287" s="179"/>
      <c r="AJ287" s="179"/>
      <c r="AK287" s="179"/>
      <c r="AL287" s="179"/>
      <c r="AM287" s="179"/>
      <c r="AN287" s="179"/>
      <c r="AO287" s="179"/>
      <c r="AP287" s="179"/>
      <c r="AQ287" s="179"/>
      <c r="AR287" s="179"/>
      <c r="AS287" s="179"/>
      <c r="AT287" s="179"/>
      <c r="AU287" s="179"/>
      <c r="AV287" s="179"/>
      <c r="AW287" s="179"/>
      <c r="AX287" s="179"/>
      <c r="AY287" s="179"/>
      <c r="AZ287" s="179"/>
      <c r="BA287" s="179"/>
      <c r="BB287" s="179"/>
      <c r="BC287" s="179"/>
      <c r="BD287" s="179"/>
      <c r="BE287" s="179"/>
      <c r="BF287" s="179"/>
      <c r="BG287" s="179"/>
      <c r="BH287" s="179"/>
      <c r="BI287" s="179"/>
      <c r="BJ287" s="179"/>
      <c r="BK287" s="179"/>
      <c r="BL287" s="179"/>
      <c r="BM287" s="179"/>
      <c r="BN287" s="179"/>
      <c r="BO287" s="179"/>
      <c r="BP287" s="179"/>
      <c r="BQ287" s="179"/>
      <c r="BR287" s="179"/>
      <c r="BS287" s="179"/>
      <c r="BT287" s="179"/>
      <c r="BU287" s="179"/>
      <c r="BV287" s="179"/>
      <c r="BW287" s="179"/>
      <c r="BX287" s="179"/>
      <c r="BY287" s="179"/>
      <c r="BZ287" s="179"/>
      <c r="CA287" s="179"/>
      <c r="CB287" s="179"/>
      <c r="CC287" s="179"/>
      <c r="CD287" s="179"/>
      <c r="CE287" s="179"/>
      <c r="CF287" s="179"/>
      <c r="CG287" s="179"/>
      <c r="CH287" s="179"/>
      <c r="CI287" s="179"/>
      <c r="CJ287" s="179"/>
      <c r="CK287" s="179"/>
      <c r="CL287" s="179"/>
      <c r="CM287" s="179"/>
      <c r="CN287" s="179"/>
      <c r="CO287" s="179"/>
      <c r="CP287" s="179"/>
      <c r="CQ287" s="179"/>
      <c r="CR287" s="179"/>
      <c r="CS287" s="179"/>
      <c r="CT287" s="179"/>
      <c r="CU287" s="179"/>
      <c r="CV287" s="179"/>
      <c r="CW287" s="179"/>
    </row>
    <row r="288" spans="1:101" x14ac:dyDescent="0.2">
      <c r="A288" s="32" t="str">
        <f t="shared" ca="1" si="4"/>
        <v>2026-01-08</v>
      </c>
      <c r="B288" s="179">
        <f ca="1">IF(ISNUMBER(MATCH(DATEVALUE($A288),'changes1_based on steps'!B$1:B$400,0)),B$2,)</f>
        <v>0</v>
      </c>
      <c r="C288" s="179">
        <f ca="1">IF(ISNUMBER(MATCH(DATEVALUE($A288),'changes1_based on steps'!C$1:C$400,0)),C$2,)</f>
        <v>0</v>
      </c>
      <c r="D288" s="179">
        <f ca="1">IF(ISNUMBER(MATCH(DATEVALUE($A288),'changes1_based on steps'!D$1:D$400,0)),D$2,)</f>
        <v>0</v>
      </c>
      <c r="E288" s="179">
        <f ca="1">IF(ISNUMBER(MATCH(DATEVALUE($A288),'changes1_based on steps'!E$1:E$400,0)),E$2,)</f>
        <v>0</v>
      </c>
      <c r="F288" s="179">
        <f ca="1">IF(ISNUMBER(MATCH(DATEVALUE($A288),'changes1_based on steps'!F$1:F$400,0)),F$2,)</f>
        <v>0</v>
      </c>
      <c r="G288" s="179">
        <f ca="1">IF(ISNUMBER(MATCH(DATEVALUE($A288),'changes1_based on steps'!G$1:G$400,0)),G$2,)</f>
        <v>0</v>
      </c>
      <c r="H288" s="179">
        <f ca="1">IF(ISNUMBER(MATCH(DATEVALUE($A288),'changes1_based on steps'!H$1:H$400,0)),H$2,)</f>
        <v>0</v>
      </c>
      <c r="I288" s="179">
        <f ca="1">IF(ISNUMBER(MATCH(DATEVALUE($A288),'changes1_based on steps'!I$1:I$400,0)),I$2,)</f>
        <v>0</v>
      </c>
      <c r="J288" s="179">
        <f ca="1">IF(ISNUMBER(MATCH(DATEVALUE($A288),'changes1_based on steps'!J$1:J$400,0)),J$2,)</f>
        <v>0</v>
      </c>
      <c r="K288" s="179">
        <f ca="1">IF(ISNUMBER(MATCH(DATEVALUE($A288),'changes1_based on steps'!K$1:K$400,0)),K$2,)</f>
        <v>0</v>
      </c>
      <c r="L288" s="179">
        <f ca="1">IF(ISNUMBER(MATCH(DATEVALUE($A288),'changes1_based on steps'!L$1:L$400,0)),L$2,)</f>
        <v>0</v>
      </c>
      <c r="M288" s="179">
        <f ca="1">IF(ISNUMBER(MATCH(DATEVALUE($A288),'changes1_based on steps'!M$1:M$400,0)),M$2,)</f>
        <v>0</v>
      </c>
      <c r="N288" s="179">
        <f ca="1">IF(ISNUMBER(MATCH(DATEVALUE($A288),'changes1_based on steps'!N$1:N$400,0)),N$2,)</f>
        <v>0</v>
      </c>
      <c r="O288" s="179">
        <f ca="1">IF(ISNUMBER(MATCH(DATEVALUE($A288),'changes1_based on steps'!O$1:O$400,0)),O$2,)</f>
        <v>0</v>
      </c>
      <c r="P288" s="179">
        <f ca="1">IF(ISNUMBER(MATCH(DATEVALUE($A288),'changes1_based on steps'!P$1:P$400,0)),P$2,)</f>
        <v>0</v>
      </c>
      <c r="Q288" s="179">
        <f ca="1">IF(ISNUMBER(MATCH(DATEVALUE($A288),'changes1_based on steps'!Q$1:Q$400,0)),Q$2,)</f>
        <v>0</v>
      </c>
      <c r="R288" s="179">
        <f ca="1">IF(ISNUMBER(MATCH(DATEVALUE($A288),'changes1_based on steps'!R$1:R$400,0)),R$2,)</f>
        <v>0</v>
      </c>
      <c r="S288" s="179">
        <f ca="1">IF(ISNUMBER(MATCH(DATEVALUE($A288),'changes1_based on steps'!S$1:S$400,0)),S$2,)</f>
        <v>0</v>
      </c>
      <c r="T288" s="179">
        <f ca="1">IF(ISNUMBER(MATCH(DATEVALUE($A288),'changes1_based on steps'!T$1:T$400,0)),T$2,)</f>
        <v>0</v>
      </c>
      <c r="U288" s="179">
        <f ca="1">IF(ISNUMBER(MATCH(DATEVALUE($A288),'changes1_based on steps'!U$1:U$400,0)),U$2,)</f>
        <v>0</v>
      </c>
      <c r="V288" s="179"/>
      <c r="W288" s="179"/>
      <c r="X288" s="179"/>
      <c r="Y288" s="179"/>
      <c r="Z288" s="179"/>
      <c r="AA288" s="179"/>
      <c r="AB288" s="179"/>
      <c r="AC288" s="179"/>
      <c r="AD288" s="179"/>
      <c r="AE288" s="179"/>
      <c r="AF288" s="179"/>
      <c r="AG288" s="179"/>
      <c r="AH288" s="179"/>
      <c r="AI288" s="179"/>
      <c r="AJ288" s="179"/>
      <c r="AK288" s="179"/>
      <c r="AL288" s="179"/>
      <c r="AM288" s="179"/>
      <c r="AN288" s="179"/>
      <c r="AO288" s="179"/>
      <c r="AP288" s="179"/>
      <c r="AQ288" s="179"/>
      <c r="AR288" s="179"/>
      <c r="AS288" s="179"/>
      <c r="AT288" s="179"/>
      <c r="AU288" s="179"/>
      <c r="AV288" s="179"/>
      <c r="AW288" s="179"/>
      <c r="AX288" s="179"/>
      <c r="AY288" s="179"/>
      <c r="AZ288" s="179"/>
      <c r="BA288" s="179"/>
      <c r="BB288" s="179"/>
      <c r="BC288" s="179"/>
      <c r="BD288" s="179"/>
      <c r="BE288" s="179"/>
      <c r="BF288" s="179"/>
      <c r="BG288" s="179"/>
      <c r="BH288" s="179"/>
      <c r="BI288" s="179"/>
      <c r="BJ288" s="179"/>
      <c r="BK288" s="179"/>
      <c r="BL288" s="179"/>
      <c r="BM288" s="179"/>
      <c r="BN288" s="179"/>
      <c r="BO288" s="179"/>
      <c r="BP288" s="179"/>
      <c r="BQ288" s="179"/>
      <c r="BR288" s="179"/>
      <c r="BS288" s="179"/>
      <c r="BT288" s="179"/>
      <c r="BU288" s="179"/>
      <c r="BV288" s="179"/>
      <c r="BW288" s="179"/>
      <c r="BX288" s="179"/>
      <c r="BY288" s="179"/>
      <c r="BZ288" s="179"/>
      <c r="CA288" s="179"/>
      <c r="CB288" s="179"/>
      <c r="CC288" s="179"/>
      <c r="CD288" s="179"/>
      <c r="CE288" s="179"/>
      <c r="CF288" s="179"/>
      <c r="CG288" s="179"/>
      <c r="CH288" s="179"/>
      <c r="CI288" s="179"/>
      <c r="CJ288" s="179"/>
      <c r="CK288" s="179"/>
      <c r="CL288" s="179"/>
      <c r="CM288" s="179"/>
      <c r="CN288" s="179"/>
      <c r="CO288" s="179"/>
      <c r="CP288" s="179"/>
      <c r="CQ288" s="179"/>
      <c r="CR288" s="179"/>
      <c r="CS288" s="179"/>
      <c r="CT288" s="179"/>
      <c r="CU288" s="179"/>
      <c r="CV288" s="179"/>
      <c r="CW288" s="179"/>
    </row>
    <row r="289" spans="1:101" x14ac:dyDescent="0.2">
      <c r="A289" s="32" t="str">
        <f t="shared" ca="1" si="4"/>
        <v>2026-01-09</v>
      </c>
      <c r="B289" s="179">
        <f ca="1">IF(ISNUMBER(MATCH(DATEVALUE($A289),'changes1_based on steps'!B$1:B$400,0)),B$2,)</f>
        <v>0</v>
      </c>
      <c r="C289" s="179">
        <f ca="1">IF(ISNUMBER(MATCH(DATEVALUE($A289),'changes1_based on steps'!C$1:C$400,0)),C$2,)</f>
        <v>0</v>
      </c>
      <c r="D289" s="179">
        <f ca="1">IF(ISNUMBER(MATCH(DATEVALUE($A289),'changes1_based on steps'!D$1:D$400,0)),D$2,)</f>
        <v>0</v>
      </c>
      <c r="E289" s="179">
        <f ca="1">IF(ISNUMBER(MATCH(DATEVALUE($A289),'changes1_based on steps'!E$1:E$400,0)),E$2,)</f>
        <v>0</v>
      </c>
      <c r="F289" s="179">
        <f ca="1">IF(ISNUMBER(MATCH(DATEVALUE($A289),'changes1_based on steps'!F$1:F$400,0)),F$2,)</f>
        <v>0</v>
      </c>
      <c r="G289" s="179">
        <f ca="1">IF(ISNUMBER(MATCH(DATEVALUE($A289),'changes1_based on steps'!G$1:G$400,0)),G$2,)</f>
        <v>0</v>
      </c>
      <c r="H289" s="179">
        <f ca="1">IF(ISNUMBER(MATCH(DATEVALUE($A289),'changes1_based on steps'!H$1:H$400,0)),H$2,)</f>
        <v>0</v>
      </c>
      <c r="I289" s="179">
        <f ca="1">IF(ISNUMBER(MATCH(DATEVALUE($A289),'changes1_based on steps'!I$1:I$400,0)),I$2,)</f>
        <v>0</v>
      </c>
      <c r="J289" s="179">
        <f ca="1">IF(ISNUMBER(MATCH(DATEVALUE($A289),'changes1_based on steps'!J$1:J$400,0)),J$2,)</f>
        <v>0</v>
      </c>
      <c r="K289" s="179">
        <f ca="1">IF(ISNUMBER(MATCH(DATEVALUE($A289),'changes1_based on steps'!K$1:K$400,0)),K$2,)</f>
        <v>0</v>
      </c>
      <c r="L289" s="179">
        <f ca="1">IF(ISNUMBER(MATCH(DATEVALUE($A289),'changes1_based on steps'!L$1:L$400,0)),L$2,)</f>
        <v>0</v>
      </c>
      <c r="M289" s="179">
        <f ca="1">IF(ISNUMBER(MATCH(DATEVALUE($A289),'changes1_based on steps'!M$1:M$400,0)),M$2,)</f>
        <v>0</v>
      </c>
      <c r="N289" s="179">
        <f ca="1">IF(ISNUMBER(MATCH(DATEVALUE($A289),'changes1_based on steps'!N$1:N$400,0)),N$2,)</f>
        <v>0</v>
      </c>
      <c r="O289" s="179">
        <f ca="1">IF(ISNUMBER(MATCH(DATEVALUE($A289),'changes1_based on steps'!O$1:O$400,0)),O$2,)</f>
        <v>0</v>
      </c>
      <c r="P289" s="179">
        <f ca="1">IF(ISNUMBER(MATCH(DATEVALUE($A289),'changes1_based on steps'!P$1:P$400,0)),P$2,)</f>
        <v>0</v>
      </c>
      <c r="Q289" s="179">
        <f ca="1">IF(ISNUMBER(MATCH(DATEVALUE($A289),'changes1_based on steps'!Q$1:Q$400,0)),Q$2,)</f>
        <v>0</v>
      </c>
      <c r="R289" s="179">
        <f ca="1">IF(ISNUMBER(MATCH(DATEVALUE($A289),'changes1_based on steps'!R$1:R$400,0)),R$2,)</f>
        <v>0</v>
      </c>
      <c r="S289" s="179">
        <f ca="1">IF(ISNUMBER(MATCH(DATEVALUE($A289),'changes1_based on steps'!S$1:S$400,0)),S$2,)</f>
        <v>0</v>
      </c>
      <c r="T289" s="179">
        <f ca="1">IF(ISNUMBER(MATCH(DATEVALUE($A289),'changes1_based on steps'!T$1:T$400,0)),T$2,)</f>
        <v>0</v>
      </c>
      <c r="U289" s="179">
        <f ca="1">IF(ISNUMBER(MATCH(DATEVALUE($A289),'changes1_based on steps'!U$1:U$400,0)),U$2,)</f>
        <v>0</v>
      </c>
      <c r="V289" s="179"/>
      <c r="W289" s="179"/>
      <c r="X289" s="179"/>
      <c r="Y289" s="179"/>
      <c r="Z289" s="179"/>
      <c r="AA289" s="179"/>
      <c r="AB289" s="179"/>
      <c r="AC289" s="179"/>
      <c r="AD289" s="179"/>
      <c r="AE289" s="179"/>
      <c r="AF289" s="179"/>
      <c r="AG289" s="179"/>
      <c r="AH289" s="179"/>
      <c r="AI289" s="179"/>
      <c r="AJ289" s="179"/>
      <c r="AK289" s="179"/>
      <c r="AL289" s="179"/>
      <c r="AM289" s="179"/>
      <c r="AN289" s="179"/>
      <c r="AO289" s="179"/>
      <c r="AP289" s="179"/>
      <c r="AQ289" s="179"/>
      <c r="AR289" s="179"/>
      <c r="AS289" s="179"/>
      <c r="AT289" s="179"/>
      <c r="AU289" s="179"/>
      <c r="AV289" s="179"/>
      <c r="AW289" s="179"/>
      <c r="AX289" s="179"/>
      <c r="AY289" s="179"/>
      <c r="AZ289" s="179"/>
      <c r="BA289" s="179"/>
      <c r="BB289" s="179"/>
      <c r="BC289" s="179"/>
      <c r="BD289" s="179"/>
      <c r="BE289" s="179"/>
      <c r="BF289" s="179"/>
      <c r="BG289" s="179"/>
      <c r="BH289" s="179"/>
      <c r="BI289" s="179"/>
      <c r="BJ289" s="179"/>
      <c r="BK289" s="179"/>
      <c r="BL289" s="179"/>
      <c r="BM289" s="179"/>
      <c r="BN289" s="179"/>
      <c r="BO289" s="179"/>
      <c r="BP289" s="179"/>
      <c r="BQ289" s="179"/>
      <c r="BR289" s="179"/>
      <c r="BS289" s="179"/>
      <c r="BT289" s="179"/>
      <c r="BU289" s="179"/>
      <c r="BV289" s="179"/>
      <c r="BW289" s="179"/>
      <c r="BX289" s="179"/>
      <c r="BY289" s="179"/>
      <c r="BZ289" s="179"/>
      <c r="CA289" s="179"/>
      <c r="CB289" s="179"/>
      <c r="CC289" s="179"/>
      <c r="CD289" s="179"/>
      <c r="CE289" s="179"/>
      <c r="CF289" s="179"/>
      <c r="CG289" s="179"/>
      <c r="CH289" s="179"/>
      <c r="CI289" s="179"/>
      <c r="CJ289" s="179"/>
      <c r="CK289" s="179"/>
      <c r="CL289" s="179"/>
      <c r="CM289" s="179"/>
      <c r="CN289" s="179"/>
      <c r="CO289" s="179"/>
      <c r="CP289" s="179"/>
      <c r="CQ289" s="179"/>
      <c r="CR289" s="179"/>
      <c r="CS289" s="179"/>
      <c r="CT289" s="179"/>
      <c r="CU289" s="179"/>
      <c r="CV289" s="179"/>
      <c r="CW289" s="179"/>
    </row>
    <row r="290" spans="1:101" x14ac:dyDescent="0.2">
      <c r="A290" s="32" t="str">
        <f t="shared" ca="1" si="4"/>
        <v>2026-01-10</v>
      </c>
      <c r="B290" s="179">
        <f ca="1">IF(ISNUMBER(MATCH(DATEVALUE($A290),'changes1_based on steps'!B$1:B$400,0)),B$2,)</f>
        <v>0</v>
      </c>
      <c r="C290" s="179">
        <f ca="1">IF(ISNUMBER(MATCH(DATEVALUE($A290),'changes1_based on steps'!C$1:C$400,0)),C$2,)</f>
        <v>0</v>
      </c>
      <c r="D290" s="179">
        <f ca="1">IF(ISNUMBER(MATCH(DATEVALUE($A290),'changes1_based on steps'!D$1:D$400,0)),D$2,)</f>
        <v>0</v>
      </c>
      <c r="E290" s="179">
        <f ca="1">IF(ISNUMBER(MATCH(DATEVALUE($A290),'changes1_based on steps'!E$1:E$400,0)),E$2,)</f>
        <v>0</v>
      </c>
      <c r="F290" s="179">
        <f ca="1">IF(ISNUMBER(MATCH(DATEVALUE($A290),'changes1_based on steps'!F$1:F$400,0)),F$2,)</f>
        <v>0</v>
      </c>
      <c r="G290" s="179">
        <f ca="1">IF(ISNUMBER(MATCH(DATEVALUE($A290),'changes1_based on steps'!G$1:G$400,0)),G$2,)</f>
        <v>0</v>
      </c>
      <c r="H290" s="179">
        <f ca="1">IF(ISNUMBER(MATCH(DATEVALUE($A290),'changes1_based on steps'!H$1:H$400,0)),H$2,)</f>
        <v>0</v>
      </c>
      <c r="I290" s="179">
        <f ca="1">IF(ISNUMBER(MATCH(DATEVALUE($A290),'changes1_based on steps'!I$1:I$400,0)),I$2,)</f>
        <v>0</v>
      </c>
      <c r="J290" s="179">
        <f ca="1">IF(ISNUMBER(MATCH(DATEVALUE($A290),'changes1_based on steps'!J$1:J$400,0)),J$2,)</f>
        <v>0</v>
      </c>
      <c r="K290" s="179">
        <f ca="1">IF(ISNUMBER(MATCH(DATEVALUE($A290),'changes1_based on steps'!K$1:K$400,0)),K$2,)</f>
        <v>0</v>
      </c>
      <c r="L290" s="179">
        <f ca="1">IF(ISNUMBER(MATCH(DATEVALUE($A290),'changes1_based on steps'!L$1:L$400,0)),L$2,)</f>
        <v>0</v>
      </c>
      <c r="M290" s="179">
        <f ca="1">IF(ISNUMBER(MATCH(DATEVALUE($A290),'changes1_based on steps'!M$1:M$400,0)),M$2,)</f>
        <v>0</v>
      </c>
      <c r="N290" s="179">
        <f ca="1">IF(ISNUMBER(MATCH(DATEVALUE($A290),'changes1_based on steps'!N$1:N$400,0)),N$2,)</f>
        <v>0</v>
      </c>
      <c r="O290" s="179">
        <f ca="1">IF(ISNUMBER(MATCH(DATEVALUE($A290),'changes1_based on steps'!O$1:O$400,0)),O$2,)</f>
        <v>0</v>
      </c>
      <c r="P290" s="179">
        <f ca="1">IF(ISNUMBER(MATCH(DATEVALUE($A290),'changes1_based on steps'!P$1:P$400,0)),P$2,)</f>
        <v>0</v>
      </c>
      <c r="Q290" s="179">
        <f ca="1">IF(ISNUMBER(MATCH(DATEVALUE($A290),'changes1_based on steps'!Q$1:Q$400,0)),Q$2,)</f>
        <v>0</v>
      </c>
      <c r="R290" s="179">
        <f ca="1">IF(ISNUMBER(MATCH(DATEVALUE($A290),'changes1_based on steps'!R$1:R$400,0)),R$2,)</f>
        <v>0</v>
      </c>
      <c r="S290" s="179">
        <f ca="1">IF(ISNUMBER(MATCH(DATEVALUE($A290),'changes1_based on steps'!S$1:S$400,0)),S$2,)</f>
        <v>0</v>
      </c>
      <c r="T290" s="179">
        <f ca="1">IF(ISNUMBER(MATCH(DATEVALUE($A290),'changes1_based on steps'!T$1:T$400,0)),T$2,)</f>
        <v>0</v>
      </c>
      <c r="U290" s="179">
        <f ca="1">IF(ISNUMBER(MATCH(DATEVALUE($A290),'changes1_based on steps'!U$1:U$400,0)),U$2,)</f>
        <v>0</v>
      </c>
      <c r="V290" s="179"/>
      <c r="W290" s="179"/>
      <c r="X290" s="179"/>
      <c r="Y290" s="179"/>
      <c r="Z290" s="179"/>
      <c r="AA290" s="179"/>
      <c r="AB290" s="179"/>
      <c r="AC290" s="179"/>
      <c r="AD290" s="179"/>
      <c r="AE290" s="179"/>
      <c r="AF290" s="179"/>
      <c r="AG290" s="179"/>
      <c r="AH290" s="179"/>
      <c r="AI290" s="179"/>
      <c r="AJ290" s="179"/>
      <c r="AK290" s="179"/>
      <c r="AL290" s="179"/>
      <c r="AM290" s="179"/>
      <c r="AN290" s="179"/>
      <c r="AO290" s="179"/>
      <c r="AP290" s="179"/>
      <c r="AQ290" s="179"/>
      <c r="AR290" s="179"/>
      <c r="AS290" s="179"/>
      <c r="AT290" s="179"/>
      <c r="AU290" s="179"/>
      <c r="AV290" s="179"/>
      <c r="AW290" s="179"/>
      <c r="AX290" s="179"/>
      <c r="AY290" s="179"/>
      <c r="AZ290" s="179"/>
      <c r="BA290" s="179"/>
      <c r="BB290" s="179"/>
      <c r="BC290" s="179"/>
      <c r="BD290" s="179"/>
      <c r="BE290" s="179"/>
      <c r="BF290" s="179"/>
      <c r="BG290" s="179"/>
      <c r="BH290" s="179"/>
      <c r="BI290" s="179"/>
      <c r="BJ290" s="179"/>
      <c r="BK290" s="179"/>
      <c r="BL290" s="179"/>
      <c r="BM290" s="179"/>
      <c r="BN290" s="179"/>
      <c r="BO290" s="179"/>
      <c r="BP290" s="179"/>
      <c r="BQ290" s="179"/>
      <c r="BR290" s="179"/>
      <c r="BS290" s="179"/>
      <c r="BT290" s="179"/>
      <c r="BU290" s="179"/>
      <c r="BV290" s="179"/>
      <c r="BW290" s="179"/>
      <c r="BX290" s="179"/>
      <c r="BY290" s="179"/>
      <c r="BZ290" s="179"/>
      <c r="CA290" s="179"/>
      <c r="CB290" s="179"/>
      <c r="CC290" s="179"/>
      <c r="CD290" s="179"/>
      <c r="CE290" s="179"/>
      <c r="CF290" s="179"/>
      <c r="CG290" s="179"/>
      <c r="CH290" s="179"/>
      <c r="CI290" s="179"/>
      <c r="CJ290" s="179"/>
      <c r="CK290" s="179"/>
      <c r="CL290" s="179"/>
      <c r="CM290" s="179"/>
      <c r="CN290" s="179"/>
      <c r="CO290" s="179"/>
      <c r="CP290" s="179"/>
      <c r="CQ290" s="179"/>
      <c r="CR290" s="179"/>
      <c r="CS290" s="179"/>
      <c r="CT290" s="179"/>
      <c r="CU290" s="179"/>
      <c r="CV290" s="179"/>
      <c r="CW290" s="179"/>
    </row>
    <row r="291" spans="1:101" x14ac:dyDescent="0.2">
      <c r="A291" s="32" t="str">
        <f t="shared" ca="1" si="4"/>
        <v>2026-01-11</v>
      </c>
      <c r="B291" s="179">
        <f ca="1">IF(ISNUMBER(MATCH(DATEVALUE($A291),'changes1_based on steps'!B$1:B$400,0)),B$2,)</f>
        <v>0</v>
      </c>
      <c r="C291" s="179">
        <f ca="1">IF(ISNUMBER(MATCH(DATEVALUE($A291),'changes1_based on steps'!C$1:C$400,0)),C$2,)</f>
        <v>0</v>
      </c>
      <c r="D291" s="179">
        <f ca="1">IF(ISNUMBER(MATCH(DATEVALUE($A291),'changes1_based on steps'!D$1:D$400,0)),D$2,)</f>
        <v>0</v>
      </c>
      <c r="E291" s="179">
        <f ca="1">IF(ISNUMBER(MATCH(DATEVALUE($A291),'changes1_based on steps'!E$1:E$400,0)),E$2,)</f>
        <v>0</v>
      </c>
      <c r="F291" s="179">
        <f ca="1">IF(ISNUMBER(MATCH(DATEVALUE($A291),'changes1_based on steps'!F$1:F$400,0)),F$2,)</f>
        <v>0</v>
      </c>
      <c r="G291" s="179">
        <f ca="1">IF(ISNUMBER(MATCH(DATEVALUE($A291),'changes1_based on steps'!G$1:G$400,0)),G$2,)</f>
        <v>0</v>
      </c>
      <c r="H291" s="179">
        <f ca="1">IF(ISNUMBER(MATCH(DATEVALUE($A291),'changes1_based on steps'!H$1:H$400,0)),H$2,)</f>
        <v>0</v>
      </c>
      <c r="I291" s="179">
        <f ca="1">IF(ISNUMBER(MATCH(DATEVALUE($A291),'changes1_based on steps'!I$1:I$400,0)),I$2,)</f>
        <v>0</v>
      </c>
      <c r="J291" s="179">
        <f ca="1">IF(ISNUMBER(MATCH(DATEVALUE($A291),'changes1_based on steps'!J$1:J$400,0)),J$2,)</f>
        <v>0</v>
      </c>
      <c r="K291" s="179">
        <f ca="1">IF(ISNUMBER(MATCH(DATEVALUE($A291),'changes1_based on steps'!K$1:K$400,0)),K$2,)</f>
        <v>0</v>
      </c>
      <c r="L291" s="179">
        <f ca="1">IF(ISNUMBER(MATCH(DATEVALUE($A291),'changes1_based on steps'!L$1:L$400,0)),L$2,)</f>
        <v>0</v>
      </c>
      <c r="M291" s="179">
        <f ca="1">IF(ISNUMBER(MATCH(DATEVALUE($A291),'changes1_based on steps'!M$1:M$400,0)),M$2,)</f>
        <v>0</v>
      </c>
      <c r="N291" s="179">
        <f ca="1">IF(ISNUMBER(MATCH(DATEVALUE($A291),'changes1_based on steps'!N$1:N$400,0)),N$2,)</f>
        <v>0</v>
      </c>
      <c r="O291" s="179">
        <f ca="1">IF(ISNUMBER(MATCH(DATEVALUE($A291),'changes1_based on steps'!O$1:O$400,0)),O$2,)</f>
        <v>0</v>
      </c>
      <c r="P291" s="179">
        <f ca="1">IF(ISNUMBER(MATCH(DATEVALUE($A291),'changes1_based on steps'!P$1:P$400,0)),P$2,)</f>
        <v>0</v>
      </c>
      <c r="Q291" s="179">
        <f ca="1">IF(ISNUMBER(MATCH(DATEVALUE($A291),'changes1_based on steps'!Q$1:Q$400,0)),Q$2,)</f>
        <v>0</v>
      </c>
      <c r="R291" s="179">
        <f ca="1">IF(ISNUMBER(MATCH(DATEVALUE($A291),'changes1_based on steps'!R$1:R$400,0)),R$2,)</f>
        <v>0</v>
      </c>
      <c r="S291" s="179">
        <f ca="1">IF(ISNUMBER(MATCH(DATEVALUE($A291),'changes1_based on steps'!S$1:S$400,0)),S$2,)</f>
        <v>0</v>
      </c>
      <c r="T291" s="179">
        <f ca="1">IF(ISNUMBER(MATCH(DATEVALUE($A291),'changes1_based on steps'!T$1:T$400,0)),T$2,)</f>
        <v>0</v>
      </c>
      <c r="U291" s="179">
        <f ca="1">IF(ISNUMBER(MATCH(DATEVALUE($A291),'changes1_based on steps'!U$1:U$400,0)),U$2,)</f>
        <v>0</v>
      </c>
      <c r="V291" s="179"/>
      <c r="W291" s="179"/>
      <c r="X291" s="179"/>
      <c r="Y291" s="179"/>
      <c r="Z291" s="179"/>
      <c r="AA291" s="179"/>
      <c r="AB291" s="179"/>
      <c r="AC291" s="179"/>
      <c r="AD291" s="179"/>
      <c r="AE291" s="179"/>
      <c r="AF291" s="179"/>
      <c r="AG291" s="179"/>
      <c r="AH291" s="179"/>
      <c r="AI291" s="179"/>
      <c r="AJ291" s="179"/>
      <c r="AK291" s="179"/>
      <c r="AL291" s="179"/>
      <c r="AM291" s="179"/>
      <c r="AN291" s="179"/>
      <c r="AO291" s="179"/>
      <c r="AP291" s="179"/>
      <c r="AQ291" s="179"/>
      <c r="AR291" s="179"/>
      <c r="AS291" s="179"/>
      <c r="AT291" s="179"/>
      <c r="AU291" s="179"/>
      <c r="AV291" s="179"/>
      <c r="AW291" s="179"/>
      <c r="AX291" s="179"/>
      <c r="AY291" s="179"/>
      <c r="AZ291" s="179"/>
      <c r="BA291" s="179"/>
      <c r="BB291" s="179"/>
      <c r="BC291" s="179"/>
      <c r="BD291" s="179"/>
      <c r="BE291" s="179"/>
      <c r="BF291" s="179"/>
      <c r="BG291" s="179"/>
      <c r="BH291" s="179"/>
      <c r="BI291" s="179"/>
      <c r="BJ291" s="179"/>
      <c r="BK291" s="179"/>
      <c r="BL291" s="179"/>
      <c r="BM291" s="179"/>
      <c r="BN291" s="179"/>
      <c r="BO291" s="179"/>
      <c r="BP291" s="179"/>
      <c r="BQ291" s="179"/>
      <c r="BR291" s="179"/>
      <c r="BS291" s="179"/>
      <c r="BT291" s="179"/>
      <c r="BU291" s="179"/>
      <c r="BV291" s="179"/>
      <c r="BW291" s="179"/>
      <c r="BX291" s="179"/>
      <c r="BY291" s="179"/>
      <c r="BZ291" s="179"/>
      <c r="CA291" s="179"/>
      <c r="CB291" s="179"/>
      <c r="CC291" s="179"/>
      <c r="CD291" s="179"/>
      <c r="CE291" s="179"/>
      <c r="CF291" s="179"/>
      <c r="CG291" s="179"/>
      <c r="CH291" s="179"/>
      <c r="CI291" s="179"/>
      <c r="CJ291" s="179"/>
      <c r="CK291" s="179"/>
      <c r="CL291" s="179"/>
      <c r="CM291" s="179"/>
      <c r="CN291" s="179"/>
      <c r="CO291" s="179"/>
      <c r="CP291" s="179"/>
      <c r="CQ291" s="179"/>
      <c r="CR291" s="179"/>
      <c r="CS291" s="179"/>
      <c r="CT291" s="179"/>
      <c r="CU291" s="179"/>
      <c r="CV291" s="179"/>
      <c r="CW291" s="179"/>
    </row>
    <row r="292" spans="1:101" x14ac:dyDescent="0.2">
      <c r="A292" s="32" t="str">
        <f t="shared" ca="1" si="4"/>
        <v>2026-01-12</v>
      </c>
      <c r="B292" s="179">
        <f ca="1">IF(ISNUMBER(MATCH(DATEVALUE($A292),'changes1_based on steps'!B$1:B$400,0)),B$2,)</f>
        <v>0</v>
      </c>
      <c r="C292" s="179">
        <f ca="1">IF(ISNUMBER(MATCH(DATEVALUE($A292),'changes1_based on steps'!C$1:C$400,0)),C$2,)</f>
        <v>0</v>
      </c>
      <c r="D292" s="179">
        <f ca="1">IF(ISNUMBER(MATCH(DATEVALUE($A292),'changes1_based on steps'!D$1:D$400,0)),D$2,)</f>
        <v>0</v>
      </c>
      <c r="E292" s="179">
        <f ca="1">IF(ISNUMBER(MATCH(DATEVALUE($A292),'changes1_based on steps'!E$1:E$400,0)),E$2,)</f>
        <v>0</v>
      </c>
      <c r="F292" s="179">
        <f ca="1">IF(ISNUMBER(MATCH(DATEVALUE($A292),'changes1_based on steps'!F$1:F$400,0)),F$2,)</f>
        <v>0</v>
      </c>
      <c r="G292" s="179">
        <f ca="1">IF(ISNUMBER(MATCH(DATEVALUE($A292),'changes1_based on steps'!G$1:G$400,0)),G$2,)</f>
        <v>0</v>
      </c>
      <c r="H292" s="179">
        <f ca="1">IF(ISNUMBER(MATCH(DATEVALUE($A292),'changes1_based on steps'!H$1:H$400,0)),H$2,)</f>
        <v>0</v>
      </c>
      <c r="I292" s="179">
        <f ca="1">IF(ISNUMBER(MATCH(DATEVALUE($A292),'changes1_based on steps'!I$1:I$400,0)),I$2,)</f>
        <v>0</v>
      </c>
      <c r="J292" s="179">
        <f ca="1">IF(ISNUMBER(MATCH(DATEVALUE($A292),'changes1_based on steps'!J$1:J$400,0)),J$2,)</f>
        <v>0</v>
      </c>
      <c r="K292" s="179">
        <f ca="1">IF(ISNUMBER(MATCH(DATEVALUE($A292),'changes1_based on steps'!K$1:K$400,0)),K$2,)</f>
        <v>0</v>
      </c>
      <c r="L292" s="179">
        <f ca="1">IF(ISNUMBER(MATCH(DATEVALUE($A292),'changes1_based on steps'!L$1:L$400,0)),L$2,)</f>
        <v>0</v>
      </c>
      <c r="M292" s="179">
        <f ca="1">IF(ISNUMBER(MATCH(DATEVALUE($A292),'changes1_based on steps'!M$1:M$400,0)),M$2,)</f>
        <v>0</v>
      </c>
      <c r="N292" s="179">
        <f ca="1">IF(ISNUMBER(MATCH(DATEVALUE($A292),'changes1_based on steps'!N$1:N$400,0)),N$2,)</f>
        <v>0</v>
      </c>
      <c r="O292" s="179">
        <f ca="1">IF(ISNUMBER(MATCH(DATEVALUE($A292),'changes1_based on steps'!O$1:O$400,0)),O$2,)</f>
        <v>0</v>
      </c>
      <c r="P292" s="179">
        <f ca="1">IF(ISNUMBER(MATCH(DATEVALUE($A292),'changes1_based on steps'!P$1:P$400,0)),P$2,)</f>
        <v>0</v>
      </c>
      <c r="Q292" s="179">
        <f ca="1">IF(ISNUMBER(MATCH(DATEVALUE($A292),'changes1_based on steps'!Q$1:Q$400,0)),Q$2,)</f>
        <v>0</v>
      </c>
      <c r="R292" s="179">
        <f ca="1">IF(ISNUMBER(MATCH(DATEVALUE($A292),'changes1_based on steps'!R$1:R$400,0)),R$2,)</f>
        <v>0</v>
      </c>
      <c r="S292" s="179">
        <f ca="1">IF(ISNUMBER(MATCH(DATEVALUE($A292),'changes1_based on steps'!S$1:S$400,0)),S$2,)</f>
        <v>0</v>
      </c>
      <c r="T292" s="179">
        <f ca="1">IF(ISNUMBER(MATCH(DATEVALUE($A292),'changes1_based on steps'!T$1:T$400,0)),T$2,)</f>
        <v>0</v>
      </c>
      <c r="U292" s="179">
        <f ca="1">IF(ISNUMBER(MATCH(DATEVALUE($A292),'changes1_based on steps'!U$1:U$400,0)),U$2,)</f>
        <v>0</v>
      </c>
      <c r="V292" s="179"/>
      <c r="W292" s="179"/>
      <c r="X292" s="179"/>
      <c r="Y292" s="179"/>
      <c r="Z292" s="179"/>
      <c r="AA292" s="179"/>
      <c r="AB292" s="179"/>
      <c r="AC292" s="179"/>
      <c r="AD292" s="179"/>
      <c r="AE292" s="179"/>
      <c r="AF292" s="179"/>
      <c r="AG292" s="179"/>
      <c r="AH292" s="179"/>
      <c r="AI292" s="179"/>
      <c r="AJ292" s="179"/>
      <c r="AK292" s="179"/>
      <c r="AL292" s="179"/>
      <c r="AM292" s="179"/>
      <c r="AN292" s="179"/>
      <c r="AO292" s="179"/>
      <c r="AP292" s="179"/>
      <c r="AQ292" s="179"/>
      <c r="AR292" s="179"/>
      <c r="AS292" s="179"/>
      <c r="AT292" s="179"/>
      <c r="AU292" s="179"/>
      <c r="AV292" s="179"/>
      <c r="AW292" s="179"/>
      <c r="AX292" s="179"/>
      <c r="AY292" s="179"/>
      <c r="AZ292" s="179"/>
      <c r="BA292" s="179"/>
      <c r="BB292" s="179"/>
      <c r="BC292" s="179"/>
      <c r="BD292" s="179"/>
      <c r="BE292" s="179"/>
      <c r="BF292" s="179"/>
      <c r="BG292" s="179"/>
      <c r="BH292" s="179"/>
      <c r="BI292" s="179"/>
      <c r="BJ292" s="179"/>
      <c r="BK292" s="179"/>
      <c r="BL292" s="179"/>
      <c r="BM292" s="179"/>
      <c r="BN292" s="179"/>
      <c r="BO292" s="179"/>
      <c r="BP292" s="179"/>
      <c r="BQ292" s="179"/>
      <c r="BR292" s="179"/>
      <c r="BS292" s="179"/>
      <c r="BT292" s="179"/>
      <c r="BU292" s="179"/>
      <c r="BV292" s="179"/>
      <c r="BW292" s="179"/>
      <c r="BX292" s="179"/>
      <c r="BY292" s="179"/>
      <c r="BZ292" s="179"/>
      <c r="CA292" s="179"/>
      <c r="CB292" s="179"/>
      <c r="CC292" s="179"/>
      <c r="CD292" s="179"/>
      <c r="CE292" s="179"/>
      <c r="CF292" s="179"/>
      <c r="CG292" s="179"/>
      <c r="CH292" s="179"/>
      <c r="CI292" s="179"/>
      <c r="CJ292" s="179"/>
      <c r="CK292" s="179"/>
      <c r="CL292" s="179"/>
      <c r="CM292" s="179"/>
      <c r="CN292" s="179"/>
      <c r="CO292" s="179"/>
      <c r="CP292" s="179"/>
      <c r="CQ292" s="179"/>
      <c r="CR292" s="179"/>
      <c r="CS292" s="179"/>
      <c r="CT292" s="179"/>
      <c r="CU292" s="179"/>
      <c r="CV292" s="179"/>
      <c r="CW292" s="179"/>
    </row>
    <row r="293" spans="1:101" x14ac:dyDescent="0.2">
      <c r="A293" s="32" t="str">
        <f t="shared" ca="1" si="4"/>
        <v>2026-01-13</v>
      </c>
      <c r="B293" s="179">
        <f ca="1">IF(ISNUMBER(MATCH(DATEVALUE($A293),'changes1_based on steps'!B$1:B$400,0)),B$2,)</f>
        <v>0</v>
      </c>
      <c r="C293" s="179">
        <f ca="1">IF(ISNUMBER(MATCH(DATEVALUE($A293),'changes1_based on steps'!C$1:C$400,0)),C$2,)</f>
        <v>0</v>
      </c>
      <c r="D293" s="179">
        <f ca="1">IF(ISNUMBER(MATCH(DATEVALUE($A293),'changes1_based on steps'!D$1:D$400,0)),D$2,)</f>
        <v>0</v>
      </c>
      <c r="E293" s="179">
        <f ca="1">IF(ISNUMBER(MATCH(DATEVALUE($A293),'changes1_based on steps'!E$1:E$400,0)),E$2,)</f>
        <v>0</v>
      </c>
      <c r="F293" s="179">
        <f ca="1">IF(ISNUMBER(MATCH(DATEVALUE($A293),'changes1_based on steps'!F$1:F$400,0)),F$2,)</f>
        <v>0</v>
      </c>
      <c r="G293" s="179">
        <f ca="1">IF(ISNUMBER(MATCH(DATEVALUE($A293),'changes1_based on steps'!G$1:G$400,0)),G$2,)</f>
        <v>0</v>
      </c>
      <c r="H293" s="179">
        <f ca="1">IF(ISNUMBER(MATCH(DATEVALUE($A293),'changes1_based on steps'!H$1:H$400,0)),H$2,)</f>
        <v>0</v>
      </c>
      <c r="I293" s="179">
        <f ca="1">IF(ISNUMBER(MATCH(DATEVALUE($A293),'changes1_based on steps'!I$1:I$400,0)),I$2,)</f>
        <v>0</v>
      </c>
      <c r="J293" s="179">
        <f ca="1">IF(ISNUMBER(MATCH(DATEVALUE($A293),'changes1_based on steps'!J$1:J$400,0)),J$2,)</f>
        <v>0</v>
      </c>
      <c r="K293" s="179">
        <f ca="1">IF(ISNUMBER(MATCH(DATEVALUE($A293),'changes1_based on steps'!K$1:K$400,0)),K$2,)</f>
        <v>0</v>
      </c>
      <c r="L293" s="179">
        <f ca="1">IF(ISNUMBER(MATCH(DATEVALUE($A293),'changes1_based on steps'!L$1:L$400,0)),L$2,)</f>
        <v>0</v>
      </c>
      <c r="M293" s="179">
        <f ca="1">IF(ISNUMBER(MATCH(DATEVALUE($A293),'changes1_based on steps'!M$1:M$400,0)),M$2,)</f>
        <v>0</v>
      </c>
      <c r="N293" s="179">
        <f ca="1">IF(ISNUMBER(MATCH(DATEVALUE($A293),'changes1_based on steps'!N$1:N$400,0)),N$2,)</f>
        <v>0</v>
      </c>
      <c r="O293" s="179">
        <f ca="1">IF(ISNUMBER(MATCH(DATEVALUE($A293),'changes1_based on steps'!O$1:O$400,0)),O$2,)</f>
        <v>0</v>
      </c>
      <c r="P293" s="179">
        <f ca="1">IF(ISNUMBER(MATCH(DATEVALUE($A293),'changes1_based on steps'!P$1:P$400,0)),P$2,)</f>
        <v>0</v>
      </c>
      <c r="Q293" s="179">
        <f ca="1">IF(ISNUMBER(MATCH(DATEVALUE($A293),'changes1_based on steps'!Q$1:Q$400,0)),Q$2,)</f>
        <v>0</v>
      </c>
      <c r="R293" s="179">
        <f ca="1">IF(ISNUMBER(MATCH(DATEVALUE($A293),'changes1_based on steps'!R$1:R$400,0)),R$2,)</f>
        <v>0</v>
      </c>
      <c r="S293" s="179">
        <f ca="1">IF(ISNUMBER(MATCH(DATEVALUE($A293),'changes1_based on steps'!S$1:S$400,0)),S$2,)</f>
        <v>0</v>
      </c>
      <c r="T293" s="179">
        <f ca="1">IF(ISNUMBER(MATCH(DATEVALUE($A293),'changes1_based on steps'!T$1:T$400,0)),T$2,)</f>
        <v>0</v>
      </c>
      <c r="U293" s="179">
        <f ca="1">IF(ISNUMBER(MATCH(DATEVALUE($A293),'changes1_based on steps'!U$1:U$400,0)),U$2,)</f>
        <v>0</v>
      </c>
      <c r="V293" s="179"/>
      <c r="W293" s="179"/>
      <c r="X293" s="179"/>
      <c r="Y293" s="179"/>
      <c r="Z293" s="179"/>
      <c r="AA293" s="179"/>
      <c r="AB293" s="179"/>
      <c r="AC293" s="179"/>
      <c r="AD293" s="179"/>
      <c r="AE293" s="179"/>
      <c r="AF293" s="179"/>
      <c r="AG293" s="179"/>
      <c r="AH293" s="179"/>
      <c r="AI293" s="179"/>
      <c r="AJ293" s="179"/>
      <c r="AK293" s="179"/>
      <c r="AL293" s="179"/>
      <c r="AM293" s="179"/>
      <c r="AN293" s="179"/>
      <c r="AO293" s="179"/>
      <c r="AP293" s="179"/>
      <c r="AQ293" s="179"/>
      <c r="AR293" s="179"/>
      <c r="AS293" s="179"/>
      <c r="AT293" s="179"/>
      <c r="AU293" s="179"/>
      <c r="AV293" s="179"/>
      <c r="AW293" s="179"/>
      <c r="AX293" s="179"/>
      <c r="AY293" s="179"/>
      <c r="AZ293" s="179"/>
      <c r="BA293" s="179"/>
      <c r="BB293" s="179"/>
      <c r="BC293" s="179"/>
      <c r="BD293" s="179"/>
      <c r="BE293" s="179"/>
      <c r="BF293" s="179"/>
      <c r="BG293" s="179"/>
      <c r="BH293" s="179"/>
      <c r="BI293" s="179"/>
      <c r="BJ293" s="179"/>
      <c r="BK293" s="179"/>
      <c r="BL293" s="179"/>
      <c r="BM293" s="179"/>
      <c r="BN293" s="179"/>
      <c r="BO293" s="179"/>
      <c r="BP293" s="179"/>
      <c r="BQ293" s="179"/>
      <c r="BR293" s="179"/>
      <c r="BS293" s="179"/>
      <c r="BT293" s="179"/>
      <c r="BU293" s="179"/>
      <c r="BV293" s="179"/>
      <c r="BW293" s="179"/>
      <c r="BX293" s="179"/>
      <c r="BY293" s="179"/>
      <c r="BZ293" s="179"/>
      <c r="CA293" s="179"/>
      <c r="CB293" s="179"/>
      <c r="CC293" s="179"/>
      <c r="CD293" s="179"/>
      <c r="CE293" s="179"/>
      <c r="CF293" s="179"/>
      <c r="CG293" s="179"/>
      <c r="CH293" s="179"/>
      <c r="CI293" s="179"/>
      <c r="CJ293" s="179"/>
      <c r="CK293" s="179"/>
      <c r="CL293" s="179"/>
      <c r="CM293" s="179"/>
      <c r="CN293" s="179"/>
      <c r="CO293" s="179"/>
      <c r="CP293" s="179"/>
      <c r="CQ293" s="179"/>
      <c r="CR293" s="179"/>
      <c r="CS293" s="179"/>
      <c r="CT293" s="179"/>
      <c r="CU293" s="179"/>
      <c r="CV293" s="179"/>
      <c r="CW293" s="179"/>
    </row>
    <row r="294" spans="1:101" x14ac:dyDescent="0.2">
      <c r="A294" s="32" t="str">
        <f t="shared" ca="1" si="4"/>
        <v>2026-01-14</v>
      </c>
      <c r="B294" s="179">
        <f ca="1">IF(ISNUMBER(MATCH(DATEVALUE($A294),'changes1_based on steps'!B$1:B$400,0)),B$2,)</f>
        <v>0</v>
      </c>
      <c r="C294" s="179">
        <f ca="1">IF(ISNUMBER(MATCH(DATEVALUE($A294),'changes1_based on steps'!C$1:C$400,0)),C$2,)</f>
        <v>0</v>
      </c>
      <c r="D294" s="179">
        <f ca="1">IF(ISNUMBER(MATCH(DATEVALUE($A294),'changes1_based on steps'!D$1:D$400,0)),D$2,)</f>
        <v>0</v>
      </c>
      <c r="E294" s="179">
        <f ca="1">IF(ISNUMBER(MATCH(DATEVALUE($A294),'changes1_based on steps'!E$1:E$400,0)),E$2,)</f>
        <v>0</v>
      </c>
      <c r="F294" s="179">
        <f ca="1">IF(ISNUMBER(MATCH(DATEVALUE($A294),'changes1_based on steps'!F$1:F$400,0)),F$2,)</f>
        <v>0</v>
      </c>
      <c r="G294" s="179">
        <f ca="1">IF(ISNUMBER(MATCH(DATEVALUE($A294),'changes1_based on steps'!G$1:G$400,0)),G$2,)</f>
        <v>0</v>
      </c>
      <c r="H294" s="179">
        <f ca="1">IF(ISNUMBER(MATCH(DATEVALUE($A294),'changes1_based on steps'!H$1:H$400,0)),H$2,)</f>
        <v>0</v>
      </c>
      <c r="I294" s="179">
        <f ca="1">IF(ISNUMBER(MATCH(DATEVALUE($A294),'changes1_based on steps'!I$1:I$400,0)),I$2,)</f>
        <v>0</v>
      </c>
      <c r="J294" s="179">
        <f ca="1">IF(ISNUMBER(MATCH(DATEVALUE($A294),'changes1_based on steps'!J$1:J$400,0)),J$2,)</f>
        <v>0</v>
      </c>
      <c r="K294" s="179">
        <f ca="1">IF(ISNUMBER(MATCH(DATEVALUE($A294),'changes1_based on steps'!K$1:K$400,0)),K$2,)</f>
        <v>0</v>
      </c>
      <c r="L294" s="179">
        <f ca="1">IF(ISNUMBER(MATCH(DATEVALUE($A294),'changes1_based on steps'!L$1:L$400,0)),L$2,)</f>
        <v>0</v>
      </c>
      <c r="M294" s="179">
        <f ca="1">IF(ISNUMBER(MATCH(DATEVALUE($A294),'changes1_based on steps'!M$1:M$400,0)),M$2,)</f>
        <v>0</v>
      </c>
      <c r="N294" s="179">
        <f ca="1">IF(ISNUMBER(MATCH(DATEVALUE($A294),'changes1_based on steps'!N$1:N$400,0)),N$2,)</f>
        <v>0</v>
      </c>
      <c r="O294" s="179">
        <f ca="1">IF(ISNUMBER(MATCH(DATEVALUE($A294),'changes1_based on steps'!O$1:O$400,0)),O$2,)</f>
        <v>0</v>
      </c>
      <c r="P294" s="179">
        <f ca="1">IF(ISNUMBER(MATCH(DATEVALUE($A294),'changes1_based on steps'!P$1:P$400,0)),P$2,)</f>
        <v>0</v>
      </c>
      <c r="Q294" s="179">
        <f ca="1">IF(ISNUMBER(MATCH(DATEVALUE($A294),'changes1_based on steps'!Q$1:Q$400,0)),Q$2,)</f>
        <v>0</v>
      </c>
      <c r="R294" s="179">
        <f ca="1">IF(ISNUMBER(MATCH(DATEVALUE($A294),'changes1_based on steps'!R$1:R$400,0)),R$2,)</f>
        <v>0</v>
      </c>
      <c r="S294" s="179">
        <f ca="1">IF(ISNUMBER(MATCH(DATEVALUE($A294),'changes1_based on steps'!S$1:S$400,0)),S$2,)</f>
        <v>0</v>
      </c>
      <c r="T294" s="179">
        <f ca="1">IF(ISNUMBER(MATCH(DATEVALUE($A294),'changes1_based on steps'!T$1:T$400,0)),T$2,)</f>
        <v>0</v>
      </c>
      <c r="U294" s="179">
        <f ca="1">IF(ISNUMBER(MATCH(DATEVALUE($A294),'changes1_based on steps'!U$1:U$400,0)),U$2,)</f>
        <v>0</v>
      </c>
      <c r="V294" s="179"/>
      <c r="W294" s="179"/>
      <c r="X294" s="179"/>
      <c r="Y294" s="179"/>
      <c r="Z294" s="179"/>
      <c r="AA294" s="179"/>
      <c r="AB294" s="179"/>
      <c r="AC294" s="179"/>
      <c r="AD294" s="179"/>
      <c r="AE294" s="179"/>
      <c r="AF294" s="179"/>
      <c r="AG294" s="179"/>
      <c r="AH294" s="179"/>
      <c r="AI294" s="179"/>
      <c r="AJ294" s="179"/>
      <c r="AK294" s="179"/>
      <c r="AL294" s="179"/>
      <c r="AM294" s="179"/>
      <c r="AN294" s="179"/>
      <c r="AO294" s="179"/>
      <c r="AP294" s="179"/>
      <c r="AQ294" s="179"/>
      <c r="AR294" s="179"/>
      <c r="AS294" s="179"/>
      <c r="AT294" s="179"/>
      <c r="AU294" s="179"/>
      <c r="AV294" s="179"/>
      <c r="AW294" s="179"/>
      <c r="AX294" s="179"/>
      <c r="AY294" s="179"/>
      <c r="AZ294" s="179"/>
      <c r="BA294" s="179"/>
      <c r="BB294" s="179"/>
      <c r="BC294" s="179"/>
      <c r="BD294" s="179"/>
      <c r="BE294" s="179"/>
      <c r="BF294" s="179"/>
      <c r="BG294" s="179"/>
      <c r="BH294" s="179"/>
      <c r="BI294" s="179"/>
      <c r="BJ294" s="179"/>
      <c r="BK294" s="179"/>
      <c r="BL294" s="179"/>
      <c r="BM294" s="179"/>
      <c r="BN294" s="179"/>
      <c r="BO294" s="179"/>
      <c r="BP294" s="179"/>
      <c r="BQ294" s="179"/>
      <c r="BR294" s="179"/>
      <c r="BS294" s="179"/>
      <c r="BT294" s="179"/>
      <c r="BU294" s="179"/>
      <c r="BV294" s="179"/>
      <c r="BW294" s="179"/>
      <c r="BX294" s="179"/>
      <c r="BY294" s="179"/>
      <c r="BZ294" s="179"/>
      <c r="CA294" s="179"/>
      <c r="CB294" s="179"/>
      <c r="CC294" s="179"/>
      <c r="CD294" s="179"/>
      <c r="CE294" s="179"/>
      <c r="CF294" s="179"/>
      <c r="CG294" s="179"/>
      <c r="CH294" s="179"/>
      <c r="CI294" s="179"/>
      <c r="CJ294" s="179"/>
      <c r="CK294" s="179"/>
      <c r="CL294" s="179"/>
      <c r="CM294" s="179"/>
      <c r="CN294" s="179"/>
      <c r="CO294" s="179"/>
      <c r="CP294" s="179"/>
      <c r="CQ294" s="179"/>
      <c r="CR294" s="179"/>
      <c r="CS294" s="179"/>
      <c r="CT294" s="179"/>
      <c r="CU294" s="179"/>
      <c r="CV294" s="179"/>
      <c r="CW294" s="179"/>
    </row>
    <row r="295" spans="1:101" x14ac:dyDescent="0.2">
      <c r="A295" s="32" t="str">
        <f t="shared" ca="1" si="4"/>
        <v>2026-01-15</v>
      </c>
      <c r="B295" s="179">
        <f ca="1">IF(ISNUMBER(MATCH(DATEVALUE($A295),'changes1_based on steps'!B$1:B$400,0)),B$2,)</f>
        <v>0</v>
      </c>
      <c r="C295" s="179">
        <f ca="1">IF(ISNUMBER(MATCH(DATEVALUE($A295),'changes1_based on steps'!C$1:C$400,0)),C$2,)</f>
        <v>0</v>
      </c>
      <c r="D295" s="179">
        <f ca="1">IF(ISNUMBER(MATCH(DATEVALUE($A295),'changes1_based on steps'!D$1:D$400,0)),D$2,)</f>
        <v>0</v>
      </c>
      <c r="E295" s="179">
        <f ca="1">IF(ISNUMBER(MATCH(DATEVALUE($A295),'changes1_based on steps'!E$1:E$400,0)),E$2,)</f>
        <v>0</v>
      </c>
      <c r="F295" s="179">
        <f ca="1">IF(ISNUMBER(MATCH(DATEVALUE($A295),'changes1_based on steps'!F$1:F$400,0)),F$2,)</f>
        <v>0</v>
      </c>
      <c r="G295" s="179">
        <f ca="1">IF(ISNUMBER(MATCH(DATEVALUE($A295),'changes1_based on steps'!G$1:G$400,0)),G$2,)</f>
        <v>0</v>
      </c>
      <c r="H295" s="179">
        <f ca="1">IF(ISNUMBER(MATCH(DATEVALUE($A295),'changes1_based on steps'!H$1:H$400,0)),H$2,)</f>
        <v>0</v>
      </c>
      <c r="I295" s="179">
        <f ca="1">IF(ISNUMBER(MATCH(DATEVALUE($A295),'changes1_based on steps'!I$1:I$400,0)),I$2,)</f>
        <v>0</v>
      </c>
      <c r="J295" s="179">
        <f ca="1">IF(ISNUMBER(MATCH(DATEVALUE($A295),'changes1_based on steps'!J$1:J$400,0)),J$2,)</f>
        <v>0</v>
      </c>
      <c r="K295" s="179">
        <f ca="1">IF(ISNUMBER(MATCH(DATEVALUE($A295),'changes1_based on steps'!K$1:K$400,0)),K$2,)</f>
        <v>0</v>
      </c>
      <c r="L295" s="179">
        <f ca="1">IF(ISNUMBER(MATCH(DATEVALUE($A295),'changes1_based on steps'!L$1:L$400,0)),L$2,)</f>
        <v>0</v>
      </c>
      <c r="M295" s="179">
        <f ca="1">IF(ISNUMBER(MATCH(DATEVALUE($A295),'changes1_based on steps'!M$1:M$400,0)),M$2,)</f>
        <v>0</v>
      </c>
      <c r="N295" s="179">
        <f ca="1">IF(ISNUMBER(MATCH(DATEVALUE($A295),'changes1_based on steps'!N$1:N$400,0)),N$2,)</f>
        <v>0</v>
      </c>
      <c r="O295" s="179">
        <f ca="1">IF(ISNUMBER(MATCH(DATEVALUE($A295),'changes1_based on steps'!O$1:O$400,0)),O$2,)</f>
        <v>0</v>
      </c>
      <c r="P295" s="179">
        <f ca="1">IF(ISNUMBER(MATCH(DATEVALUE($A295),'changes1_based on steps'!P$1:P$400,0)),P$2,)</f>
        <v>0</v>
      </c>
      <c r="Q295" s="179">
        <f ca="1">IF(ISNUMBER(MATCH(DATEVALUE($A295),'changes1_based on steps'!Q$1:Q$400,0)),Q$2,)</f>
        <v>0</v>
      </c>
      <c r="R295" s="179">
        <f ca="1">IF(ISNUMBER(MATCH(DATEVALUE($A295),'changes1_based on steps'!R$1:R$400,0)),R$2,)</f>
        <v>0</v>
      </c>
      <c r="S295" s="179">
        <f ca="1">IF(ISNUMBER(MATCH(DATEVALUE($A295),'changes1_based on steps'!S$1:S$400,0)),S$2,)</f>
        <v>0</v>
      </c>
      <c r="T295" s="179">
        <f ca="1">IF(ISNUMBER(MATCH(DATEVALUE($A295),'changes1_based on steps'!T$1:T$400,0)),T$2,)</f>
        <v>0</v>
      </c>
      <c r="U295" s="179">
        <f ca="1">IF(ISNUMBER(MATCH(DATEVALUE($A295),'changes1_based on steps'!U$1:U$400,0)),U$2,)</f>
        <v>0</v>
      </c>
      <c r="V295" s="179"/>
      <c r="W295" s="179"/>
      <c r="X295" s="179"/>
      <c r="Y295" s="179"/>
      <c r="Z295" s="179"/>
      <c r="AA295" s="179"/>
      <c r="AB295" s="179"/>
      <c r="AC295" s="179"/>
      <c r="AD295" s="179"/>
      <c r="AE295" s="179"/>
      <c r="AF295" s="179"/>
      <c r="AG295" s="179"/>
      <c r="AH295" s="179"/>
      <c r="AI295" s="179"/>
      <c r="AJ295" s="179"/>
      <c r="AK295" s="179"/>
      <c r="AL295" s="179"/>
      <c r="AM295" s="179"/>
      <c r="AN295" s="179"/>
      <c r="AO295" s="179"/>
      <c r="AP295" s="179"/>
      <c r="AQ295" s="179"/>
      <c r="AR295" s="179"/>
      <c r="AS295" s="179"/>
      <c r="AT295" s="179"/>
      <c r="AU295" s="179"/>
      <c r="AV295" s="179"/>
      <c r="AW295" s="179"/>
      <c r="AX295" s="179"/>
      <c r="AY295" s="179"/>
      <c r="AZ295" s="179"/>
      <c r="BA295" s="179"/>
      <c r="BB295" s="179"/>
      <c r="BC295" s="179"/>
      <c r="BD295" s="179"/>
      <c r="BE295" s="179"/>
      <c r="BF295" s="179"/>
      <c r="BG295" s="179"/>
      <c r="BH295" s="179"/>
      <c r="BI295" s="179"/>
      <c r="BJ295" s="179"/>
      <c r="BK295" s="179"/>
      <c r="BL295" s="179"/>
      <c r="BM295" s="179"/>
      <c r="BN295" s="179"/>
      <c r="BO295" s="179"/>
      <c r="BP295" s="179"/>
      <c r="BQ295" s="179"/>
      <c r="BR295" s="179"/>
      <c r="BS295" s="179"/>
      <c r="BT295" s="179"/>
      <c r="BU295" s="179"/>
      <c r="BV295" s="179"/>
      <c r="BW295" s="179"/>
      <c r="BX295" s="179"/>
      <c r="BY295" s="179"/>
      <c r="BZ295" s="179"/>
      <c r="CA295" s="179"/>
      <c r="CB295" s="179"/>
      <c r="CC295" s="179"/>
      <c r="CD295" s="179"/>
      <c r="CE295" s="179"/>
      <c r="CF295" s="179"/>
      <c r="CG295" s="179"/>
      <c r="CH295" s="179"/>
      <c r="CI295" s="179"/>
      <c r="CJ295" s="179"/>
      <c r="CK295" s="179"/>
      <c r="CL295" s="179"/>
      <c r="CM295" s="179"/>
      <c r="CN295" s="179"/>
      <c r="CO295" s="179"/>
      <c r="CP295" s="179"/>
      <c r="CQ295" s="179"/>
      <c r="CR295" s="179"/>
      <c r="CS295" s="179"/>
      <c r="CT295" s="179"/>
      <c r="CU295" s="179"/>
      <c r="CV295" s="179"/>
      <c r="CW295" s="179"/>
    </row>
    <row r="296" spans="1:101" x14ac:dyDescent="0.2">
      <c r="A296" s="32" t="str">
        <f t="shared" ca="1" si="4"/>
        <v>2026-01-16</v>
      </c>
      <c r="B296" s="179">
        <f ca="1">IF(ISNUMBER(MATCH(DATEVALUE($A296),'changes1_based on steps'!B$1:B$400,0)),B$2,)</f>
        <v>0</v>
      </c>
      <c r="C296" s="179">
        <f ca="1">IF(ISNUMBER(MATCH(DATEVALUE($A296),'changes1_based on steps'!C$1:C$400,0)),C$2,)</f>
        <v>0</v>
      </c>
      <c r="D296" s="179">
        <f ca="1">IF(ISNUMBER(MATCH(DATEVALUE($A296),'changes1_based on steps'!D$1:D$400,0)),D$2,)</f>
        <v>0</v>
      </c>
      <c r="E296" s="179">
        <f ca="1">IF(ISNUMBER(MATCH(DATEVALUE($A296),'changes1_based on steps'!E$1:E$400,0)),E$2,)</f>
        <v>0</v>
      </c>
      <c r="F296" s="179">
        <f ca="1">IF(ISNUMBER(MATCH(DATEVALUE($A296),'changes1_based on steps'!F$1:F$400,0)),F$2,)</f>
        <v>0</v>
      </c>
      <c r="G296" s="179">
        <f ca="1">IF(ISNUMBER(MATCH(DATEVALUE($A296),'changes1_based on steps'!G$1:G$400,0)),G$2,)</f>
        <v>0</v>
      </c>
      <c r="H296" s="179">
        <f ca="1">IF(ISNUMBER(MATCH(DATEVALUE($A296),'changes1_based on steps'!H$1:H$400,0)),H$2,)</f>
        <v>0</v>
      </c>
      <c r="I296" s="179">
        <f ca="1">IF(ISNUMBER(MATCH(DATEVALUE($A296),'changes1_based on steps'!I$1:I$400,0)),I$2,)</f>
        <v>0</v>
      </c>
      <c r="J296" s="179">
        <f ca="1">IF(ISNUMBER(MATCH(DATEVALUE($A296),'changes1_based on steps'!J$1:J$400,0)),J$2,)</f>
        <v>0</v>
      </c>
      <c r="K296" s="179">
        <f ca="1">IF(ISNUMBER(MATCH(DATEVALUE($A296),'changes1_based on steps'!K$1:K$400,0)),K$2,)</f>
        <v>0</v>
      </c>
      <c r="L296" s="179">
        <f ca="1">IF(ISNUMBER(MATCH(DATEVALUE($A296),'changes1_based on steps'!L$1:L$400,0)),L$2,)</f>
        <v>0</v>
      </c>
      <c r="M296" s="179">
        <f ca="1">IF(ISNUMBER(MATCH(DATEVALUE($A296),'changes1_based on steps'!M$1:M$400,0)),M$2,)</f>
        <v>0</v>
      </c>
      <c r="N296" s="179">
        <f ca="1">IF(ISNUMBER(MATCH(DATEVALUE($A296),'changes1_based on steps'!N$1:N$400,0)),N$2,)</f>
        <v>0</v>
      </c>
      <c r="O296" s="179">
        <f ca="1">IF(ISNUMBER(MATCH(DATEVALUE($A296),'changes1_based on steps'!O$1:O$400,0)),O$2,)</f>
        <v>0</v>
      </c>
      <c r="P296" s="179">
        <f ca="1">IF(ISNUMBER(MATCH(DATEVALUE($A296),'changes1_based on steps'!P$1:P$400,0)),P$2,)</f>
        <v>0</v>
      </c>
      <c r="Q296" s="179">
        <f ca="1">IF(ISNUMBER(MATCH(DATEVALUE($A296),'changes1_based on steps'!Q$1:Q$400,0)),Q$2,)</f>
        <v>0</v>
      </c>
      <c r="R296" s="179">
        <f ca="1">IF(ISNUMBER(MATCH(DATEVALUE($A296),'changes1_based on steps'!R$1:R$400,0)),R$2,)</f>
        <v>0</v>
      </c>
      <c r="S296" s="179">
        <f ca="1">IF(ISNUMBER(MATCH(DATEVALUE($A296),'changes1_based on steps'!S$1:S$400,0)),S$2,)</f>
        <v>0</v>
      </c>
      <c r="T296" s="179">
        <f ca="1">IF(ISNUMBER(MATCH(DATEVALUE($A296),'changes1_based on steps'!T$1:T$400,0)),T$2,)</f>
        <v>0</v>
      </c>
      <c r="U296" s="179">
        <f ca="1">IF(ISNUMBER(MATCH(DATEVALUE($A296),'changes1_based on steps'!U$1:U$400,0)),U$2,)</f>
        <v>0</v>
      </c>
      <c r="V296" s="179"/>
      <c r="W296" s="179"/>
      <c r="X296" s="179"/>
      <c r="Y296" s="179"/>
      <c r="Z296" s="179"/>
      <c r="AA296" s="179"/>
      <c r="AB296" s="179"/>
      <c r="AC296" s="179"/>
      <c r="AD296" s="179"/>
      <c r="AE296" s="179"/>
      <c r="AF296" s="179"/>
      <c r="AG296" s="179"/>
      <c r="AH296" s="179"/>
      <c r="AI296" s="179"/>
      <c r="AJ296" s="179"/>
      <c r="AK296" s="179"/>
      <c r="AL296" s="179"/>
      <c r="AM296" s="179"/>
      <c r="AN296" s="179"/>
      <c r="AO296" s="179"/>
      <c r="AP296" s="179"/>
      <c r="AQ296" s="179"/>
      <c r="AR296" s="179"/>
      <c r="AS296" s="179"/>
      <c r="AT296" s="179"/>
      <c r="AU296" s="179"/>
      <c r="AV296" s="179"/>
      <c r="AW296" s="179"/>
      <c r="AX296" s="179"/>
      <c r="AY296" s="179"/>
      <c r="AZ296" s="179"/>
      <c r="BA296" s="179"/>
      <c r="BB296" s="179"/>
      <c r="BC296" s="179"/>
      <c r="BD296" s="179"/>
      <c r="BE296" s="179"/>
      <c r="BF296" s="179"/>
      <c r="BG296" s="179"/>
      <c r="BH296" s="179"/>
      <c r="BI296" s="179"/>
      <c r="BJ296" s="179"/>
      <c r="BK296" s="179"/>
      <c r="BL296" s="179"/>
      <c r="BM296" s="179"/>
      <c r="BN296" s="179"/>
      <c r="BO296" s="179"/>
      <c r="BP296" s="179"/>
      <c r="BQ296" s="179"/>
      <c r="BR296" s="179"/>
      <c r="BS296" s="179"/>
      <c r="BT296" s="179"/>
      <c r="BU296" s="179"/>
      <c r="BV296" s="179"/>
      <c r="BW296" s="179"/>
      <c r="BX296" s="179"/>
      <c r="BY296" s="179"/>
      <c r="BZ296" s="179"/>
      <c r="CA296" s="179"/>
      <c r="CB296" s="179"/>
      <c r="CC296" s="179"/>
      <c r="CD296" s="179"/>
      <c r="CE296" s="179"/>
      <c r="CF296" s="179"/>
      <c r="CG296" s="179"/>
      <c r="CH296" s="179"/>
      <c r="CI296" s="179"/>
      <c r="CJ296" s="179"/>
      <c r="CK296" s="179"/>
      <c r="CL296" s="179"/>
      <c r="CM296" s="179"/>
      <c r="CN296" s="179"/>
      <c r="CO296" s="179"/>
      <c r="CP296" s="179"/>
      <c r="CQ296" s="179"/>
      <c r="CR296" s="179"/>
      <c r="CS296" s="179"/>
      <c r="CT296" s="179"/>
      <c r="CU296" s="179"/>
      <c r="CV296" s="179"/>
      <c r="CW296" s="179"/>
    </row>
    <row r="297" spans="1:101" x14ac:dyDescent="0.2">
      <c r="A297" s="32" t="str">
        <f t="shared" ca="1" si="4"/>
        <v>2026-01-17</v>
      </c>
      <c r="B297" s="179">
        <f ca="1">IF(ISNUMBER(MATCH(DATEVALUE($A297),'changes1_based on steps'!B$1:B$400,0)),B$2,)</f>
        <v>0</v>
      </c>
      <c r="C297" s="179">
        <f ca="1">IF(ISNUMBER(MATCH(DATEVALUE($A297),'changes1_based on steps'!C$1:C$400,0)),C$2,)</f>
        <v>0</v>
      </c>
      <c r="D297" s="179">
        <f ca="1">IF(ISNUMBER(MATCH(DATEVALUE($A297),'changes1_based on steps'!D$1:D$400,0)),D$2,)</f>
        <v>0</v>
      </c>
      <c r="E297" s="179">
        <f ca="1">IF(ISNUMBER(MATCH(DATEVALUE($A297),'changes1_based on steps'!E$1:E$400,0)),E$2,)</f>
        <v>0</v>
      </c>
      <c r="F297" s="179">
        <f ca="1">IF(ISNUMBER(MATCH(DATEVALUE($A297),'changes1_based on steps'!F$1:F$400,0)),F$2,)</f>
        <v>0</v>
      </c>
      <c r="G297" s="179">
        <f ca="1">IF(ISNUMBER(MATCH(DATEVALUE($A297),'changes1_based on steps'!G$1:G$400,0)),G$2,)</f>
        <v>0</v>
      </c>
      <c r="H297" s="179">
        <f ca="1">IF(ISNUMBER(MATCH(DATEVALUE($A297),'changes1_based on steps'!H$1:H$400,0)),H$2,)</f>
        <v>0</v>
      </c>
      <c r="I297" s="179">
        <f ca="1">IF(ISNUMBER(MATCH(DATEVALUE($A297),'changes1_based on steps'!I$1:I$400,0)),I$2,)</f>
        <v>0</v>
      </c>
      <c r="J297" s="179">
        <f ca="1">IF(ISNUMBER(MATCH(DATEVALUE($A297),'changes1_based on steps'!J$1:J$400,0)),J$2,)</f>
        <v>0</v>
      </c>
      <c r="K297" s="179">
        <f ca="1">IF(ISNUMBER(MATCH(DATEVALUE($A297),'changes1_based on steps'!K$1:K$400,0)),K$2,)</f>
        <v>0</v>
      </c>
      <c r="L297" s="179">
        <f ca="1">IF(ISNUMBER(MATCH(DATEVALUE($A297),'changes1_based on steps'!L$1:L$400,0)),L$2,)</f>
        <v>0</v>
      </c>
      <c r="M297" s="179">
        <f ca="1">IF(ISNUMBER(MATCH(DATEVALUE($A297),'changes1_based on steps'!M$1:M$400,0)),M$2,)</f>
        <v>0</v>
      </c>
      <c r="N297" s="179">
        <f ca="1">IF(ISNUMBER(MATCH(DATEVALUE($A297),'changes1_based on steps'!N$1:N$400,0)),N$2,)</f>
        <v>0</v>
      </c>
      <c r="O297" s="179">
        <f ca="1">IF(ISNUMBER(MATCH(DATEVALUE($A297),'changes1_based on steps'!O$1:O$400,0)),O$2,)</f>
        <v>0</v>
      </c>
      <c r="P297" s="179">
        <f ca="1">IF(ISNUMBER(MATCH(DATEVALUE($A297),'changes1_based on steps'!P$1:P$400,0)),P$2,)</f>
        <v>0</v>
      </c>
      <c r="Q297" s="179">
        <f ca="1">IF(ISNUMBER(MATCH(DATEVALUE($A297),'changes1_based on steps'!Q$1:Q$400,0)),Q$2,)</f>
        <v>0</v>
      </c>
      <c r="R297" s="179">
        <f ca="1">IF(ISNUMBER(MATCH(DATEVALUE($A297),'changes1_based on steps'!R$1:R$400,0)),R$2,)</f>
        <v>0</v>
      </c>
      <c r="S297" s="179">
        <f ca="1">IF(ISNUMBER(MATCH(DATEVALUE($A297),'changes1_based on steps'!S$1:S$400,0)),S$2,)</f>
        <v>0</v>
      </c>
      <c r="T297" s="179">
        <f ca="1">IF(ISNUMBER(MATCH(DATEVALUE($A297),'changes1_based on steps'!T$1:T$400,0)),T$2,)</f>
        <v>0</v>
      </c>
      <c r="U297" s="179">
        <f ca="1">IF(ISNUMBER(MATCH(DATEVALUE($A297),'changes1_based on steps'!U$1:U$400,0)),U$2,)</f>
        <v>0</v>
      </c>
      <c r="V297" s="179"/>
      <c r="W297" s="179"/>
      <c r="X297" s="179"/>
      <c r="Y297" s="179"/>
      <c r="Z297" s="179"/>
      <c r="AA297" s="179"/>
      <c r="AB297" s="179"/>
      <c r="AC297" s="179"/>
      <c r="AD297" s="179"/>
      <c r="AE297" s="179"/>
      <c r="AF297" s="179"/>
      <c r="AG297" s="179"/>
      <c r="AH297" s="179"/>
      <c r="AI297" s="179"/>
      <c r="AJ297" s="179"/>
      <c r="AK297" s="179"/>
      <c r="AL297" s="179"/>
      <c r="AM297" s="179"/>
      <c r="AN297" s="179"/>
      <c r="AO297" s="179"/>
      <c r="AP297" s="179"/>
      <c r="AQ297" s="179"/>
      <c r="AR297" s="179"/>
      <c r="AS297" s="179"/>
      <c r="AT297" s="179"/>
      <c r="AU297" s="179"/>
      <c r="AV297" s="179"/>
      <c r="AW297" s="179"/>
      <c r="AX297" s="179"/>
      <c r="AY297" s="179"/>
      <c r="AZ297" s="179"/>
      <c r="BA297" s="179"/>
      <c r="BB297" s="179"/>
      <c r="BC297" s="179"/>
      <c r="BD297" s="179"/>
      <c r="BE297" s="179"/>
      <c r="BF297" s="179"/>
      <c r="BG297" s="179"/>
      <c r="BH297" s="179"/>
      <c r="BI297" s="179"/>
      <c r="BJ297" s="179"/>
      <c r="BK297" s="179"/>
      <c r="BL297" s="179"/>
      <c r="BM297" s="179"/>
      <c r="BN297" s="179"/>
      <c r="BO297" s="179"/>
      <c r="BP297" s="179"/>
      <c r="BQ297" s="179"/>
      <c r="BR297" s="179"/>
      <c r="BS297" s="179"/>
      <c r="BT297" s="179"/>
      <c r="BU297" s="179"/>
      <c r="BV297" s="179"/>
      <c r="BW297" s="179"/>
      <c r="BX297" s="179"/>
      <c r="BY297" s="179"/>
      <c r="BZ297" s="179"/>
      <c r="CA297" s="179"/>
      <c r="CB297" s="179"/>
      <c r="CC297" s="179"/>
      <c r="CD297" s="179"/>
      <c r="CE297" s="179"/>
      <c r="CF297" s="179"/>
      <c r="CG297" s="179"/>
      <c r="CH297" s="179"/>
      <c r="CI297" s="179"/>
      <c r="CJ297" s="179"/>
      <c r="CK297" s="179"/>
      <c r="CL297" s="179"/>
      <c r="CM297" s="179"/>
      <c r="CN297" s="179"/>
      <c r="CO297" s="179"/>
      <c r="CP297" s="179"/>
      <c r="CQ297" s="179"/>
      <c r="CR297" s="179"/>
      <c r="CS297" s="179"/>
      <c r="CT297" s="179"/>
      <c r="CU297" s="179"/>
      <c r="CV297" s="179"/>
      <c r="CW297" s="179"/>
    </row>
    <row r="298" spans="1:101" x14ac:dyDescent="0.2">
      <c r="A298" s="32" t="str">
        <f t="shared" ca="1" si="4"/>
        <v>2026-01-18</v>
      </c>
      <c r="B298" s="179">
        <f ca="1">IF(ISNUMBER(MATCH(DATEVALUE($A298),'changes1_based on steps'!B$1:B$400,0)),B$2,)</f>
        <v>0</v>
      </c>
      <c r="C298" s="179">
        <f ca="1">IF(ISNUMBER(MATCH(DATEVALUE($A298),'changes1_based on steps'!C$1:C$400,0)),C$2,)</f>
        <v>0</v>
      </c>
      <c r="D298" s="179">
        <f ca="1">IF(ISNUMBER(MATCH(DATEVALUE($A298),'changes1_based on steps'!D$1:D$400,0)),D$2,)</f>
        <v>0</v>
      </c>
      <c r="E298" s="179">
        <f ca="1">IF(ISNUMBER(MATCH(DATEVALUE($A298),'changes1_based on steps'!E$1:E$400,0)),E$2,)</f>
        <v>0</v>
      </c>
      <c r="F298" s="179">
        <f ca="1">IF(ISNUMBER(MATCH(DATEVALUE($A298),'changes1_based on steps'!F$1:F$400,0)),F$2,)</f>
        <v>0</v>
      </c>
      <c r="G298" s="179">
        <f ca="1">IF(ISNUMBER(MATCH(DATEVALUE($A298),'changes1_based on steps'!G$1:G$400,0)),G$2,)</f>
        <v>0</v>
      </c>
      <c r="H298" s="179">
        <f ca="1">IF(ISNUMBER(MATCH(DATEVALUE($A298),'changes1_based on steps'!H$1:H$400,0)),H$2,)</f>
        <v>0</v>
      </c>
      <c r="I298" s="179">
        <f ca="1">IF(ISNUMBER(MATCH(DATEVALUE($A298),'changes1_based on steps'!I$1:I$400,0)),I$2,)</f>
        <v>0</v>
      </c>
      <c r="J298" s="179">
        <f ca="1">IF(ISNUMBER(MATCH(DATEVALUE($A298),'changes1_based on steps'!J$1:J$400,0)),J$2,)</f>
        <v>0</v>
      </c>
      <c r="K298" s="179">
        <f ca="1">IF(ISNUMBER(MATCH(DATEVALUE($A298),'changes1_based on steps'!K$1:K$400,0)),K$2,)</f>
        <v>0</v>
      </c>
      <c r="L298" s="179">
        <f ca="1">IF(ISNUMBER(MATCH(DATEVALUE($A298),'changes1_based on steps'!L$1:L$400,0)),L$2,)</f>
        <v>0</v>
      </c>
      <c r="M298" s="179">
        <f ca="1">IF(ISNUMBER(MATCH(DATEVALUE($A298),'changes1_based on steps'!M$1:M$400,0)),M$2,)</f>
        <v>0</v>
      </c>
      <c r="N298" s="179">
        <f ca="1">IF(ISNUMBER(MATCH(DATEVALUE($A298),'changes1_based on steps'!N$1:N$400,0)),N$2,)</f>
        <v>0</v>
      </c>
      <c r="O298" s="179">
        <f ca="1">IF(ISNUMBER(MATCH(DATEVALUE($A298),'changes1_based on steps'!O$1:O$400,0)),O$2,)</f>
        <v>0</v>
      </c>
      <c r="P298" s="179">
        <f ca="1">IF(ISNUMBER(MATCH(DATEVALUE($A298),'changes1_based on steps'!P$1:P$400,0)),P$2,)</f>
        <v>0</v>
      </c>
      <c r="Q298" s="179">
        <f ca="1">IF(ISNUMBER(MATCH(DATEVALUE($A298),'changes1_based on steps'!Q$1:Q$400,0)),Q$2,)</f>
        <v>0</v>
      </c>
      <c r="R298" s="179">
        <f ca="1">IF(ISNUMBER(MATCH(DATEVALUE($A298),'changes1_based on steps'!R$1:R$400,0)),R$2,)</f>
        <v>0</v>
      </c>
      <c r="S298" s="179">
        <f ca="1">IF(ISNUMBER(MATCH(DATEVALUE($A298),'changes1_based on steps'!S$1:S$400,0)),S$2,)</f>
        <v>0</v>
      </c>
      <c r="T298" s="179">
        <f ca="1">IF(ISNUMBER(MATCH(DATEVALUE($A298),'changes1_based on steps'!T$1:T$400,0)),T$2,)</f>
        <v>0</v>
      </c>
      <c r="U298" s="179">
        <f ca="1">IF(ISNUMBER(MATCH(DATEVALUE($A298),'changes1_based on steps'!U$1:U$400,0)),U$2,)</f>
        <v>0</v>
      </c>
      <c r="V298" s="179"/>
      <c r="W298" s="179"/>
      <c r="X298" s="179"/>
      <c r="Y298" s="179"/>
      <c r="Z298" s="179"/>
      <c r="AA298" s="179"/>
      <c r="AB298" s="179"/>
      <c r="AC298" s="179"/>
      <c r="AD298" s="179"/>
      <c r="AE298" s="179"/>
      <c r="AF298" s="179"/>
      <c r="AG298" s="179"/>
      <c r="AH298" s="179"/>
      <c r="AI298" s="179"/>
      <c r="AJ298" s="179"/>
      <c r="AK298" s="179"/>
      <c r="AL298" s="179"/>
      <c r="AM298" s="179"/>
      <c r="AN298" s="179"/>
      <c r="AO298" s="179"/>
      <c r="AP298" s="179"/>
      <c r="AQ298" s="179"/>
      <c r="AR298" s="179"/>
      <c r="AS298" s="179"/>
      <c r="AT298" s="179"/>
      <c r="AU298" s="179"/>
      <c r="AV298" s="179"/>
      <c r="AW298" s="179"/>
      <c r="AX298" s="179"/>
      <c r="AY298" s="179"/>
      <c r="AZ298" s="179"/>
      <c r="BA298" s="179"/>
      <c r="BB298" s="179"/>
      <c r="BC298" s="179"/>
      <c r="BD298" s="179"/>
      <c r="BE298" s="179"/>
      <c r="BF298" s="179"/>
      <c r="BG298" s="179"/>
      <c r="BH298" s="179"/>
      <c r="BI298" s="179"/>
      <c r="BJ298" s="179"/>
      <c r="BK298" s="179"/>
      <c r="BL298" s="179"/>
      <c r="BM298" s="179"/>
      <c r="BN298" s="179"/>
      <c r="BO298" s="179"/>
      <c r="BP298" s="179"/>
      <c r="BQ298" s="179"/>
      <c r="BR298" s="179"/>
      <c r="BS298" s="179"/>
      <c r="BT298" s="179"/>
      <c r="BU298" s="179"/>
      <c r="BV298" s="179"/>
      <c r="BW298" s="179"/>
      <c r="BX298" s="179"/>
      <c r="BY298" s="179"/>
      <c r="BZ298" s="179"/>
      <c r="CA298" s="179"/>
      <c r="CB298" s="179"/>
      <c r="CC298" s="179"/>
      <c r="CD298" s="179"/>
      <c r="CE298" s="179"/>
      <c r="CF298" s="179"/>
      <c r="CG298" s="179"/>
      <c r="CH298" s="179"/>
      <c r="CI298" s="179"/>
      <c r="CJ298" s="179"/>
      <c r="CK298" s="179"/>
      <c r="CL298" s="179"/>
      <c r="CM298" s="179"/>
      <c r="CN298" s="179"/>
      <c r="CO298" s="179"/>
      <c r="CP298" s="179"/>
      <c r="CQ298" s="179"/>
      <c r="CR298" s="179"/>
      <c r="CS298" s="179"/>
      <c r="CT298" s="179"/>
      <c r="CU298" s="179"/>
      <c r="CV298" s="179"/>
      <c r="CW298" s="179"/>
    </row>
    <row r="299" spans="1:101" x14ac:dyDescent="0.2">
      <c r="A299" s="32" t="str">
        <f t="shared" ca="1" si="4"/>
        <v>2026-01-19</v>
      </c>
      <c r="B299" s="179">
        <f ca="1">IF(ISNUMBER(MATCH(DATEVALUE($A299),'changes1_based on steps'!B$1:B$400,0)),B$2,)</f>
        <v>0</v>
      </c>
      <c r="C299" s="179">
        <f ca="1">IF(ISNUMBER(MATCH(DATEVALUE($A299),'changes1_based on steps'!C$1:C$400,0)),C$2,)</f>
        <v>0</v>
      </c>
      <c r="D299" s="179">
        <f ca="1">IF(ISNUMBER(MATCH(DATEVALUE($A299),'changes1_based on steps'!D$1:D$400,0)),D$2,)</f>
        <v>0</v>
      </c>
      <c r="E299" s="179">
        <f ca="1">IF(ISNUMBER(MATCH(DATEVALUE($A299),'changes1_based on steps'!E$1:E$400,0)),E$2,)</f>
        <v>0</v>
      </c>
      <c r="F299" s="179">
        <f ca="1">IF(ISNUMBER(MATCH(DATEVALUE($A299),'changes1_based on steps'!F$1:F$400,0)),F$2,)</f>
        <v>0</v>
      </c>
      <c r="G299" s="179">
        <f ca="1">IF(ISNUMBER(MATCH(DATEVALUE($A299),'changes1_based on steps'!G$1:G$400,0)),G$2,)</f>
        <v>0</v>
      </c>
      <c r="H299" s="179">
        <f ca="1">IF(ISNUMBER(MATCH(DATEVALUE($A299),'changes1_based on steps'!H$1:H$400,0)),H$2,)</f>
        <v>0</v>
      </c>
      <c r="I299" s="179">
        <f ca="1">IF(ISNUMBER(MATCH(DATEVALUE($A299),'changes1_based on steps'!I$1:I$400,0)),I$2,)</f>
        <v>0</v>
      </c>
      <c r="J299" s="179">
        <f ca="1">IF(ISNUMBER(MATCH(DATEVALUE($A299),'changes1_based on steps'!J$1:J$400,0)),J$2,)</f>
        <v>0</v>
      </c>
      <c r="K299" s="179">
        <f ca="1">IF(ISNUMBER(MATCH(DATEVALUE($A299),'changes1_based on steps'!K$1:K$400,0)),K$2,)</f>
        <v>0</v>
      </c>
      <c r="L299" s="179">
        <f ca="1">IF(ISNUMBER(MATCH(DATEVALUE($A299),'changes1_based on steps'!L$1:L$400,0)),L$2,)</f>
        <v>0</v>
      </c>
      <c r="M299" s="179">
        <f ca="1">IF(ISNUMBER(MATCH(DATEVALUE($A299),'changes1_based on steps'!M$1:M$400,0)),M$2,)</f>
        <v>0</v>
      </c>
      <c r="N299" s="179">
        <f ca="1">IF(ISNUMBER(MATCH(DATEVALUE($A299),'changes1_based on steps'!N$1:N$400,0)),N$2,)</f>
        <v>0</v>
      </c>
      <c r="O299" s="179">
        <f ca="1">IF(ISNUMBER(MATCH(DATEVALUE($A299),'changes1_based on steps'!O$1:O$400,0)),O$2,)</f>
        <v>0</v>
      </c>
      <c r="P299" s="179">
        <f ca="1">IF(ISNUMBER(MATCH(DATEVALUE($A299),'changes1_based on steps'!P$1:P$400,0)),P$2,)</f>
        <v>0</v>
      </c>
      <c r="Q299" s="179">
        <f ca="1">IF(ISNUMBER(MATCH(DATEVALUE($A299),'changes1_based on steps'!Q$1:Q$400,0)),Q$2,)</f>
        <v>0</v>
      </c>
      <c r="R299" s="179">
        <f ca="1">IF(ISNUMBER(MATCH(DATEVALUE($A299),'changes1_based on steps'!R$1:R$400,0)),R$2,)</f>
        <v>0</v>
      </c>
      <c r="S299" s="179">
        <f ca="1">IF(ISNUMBER(MATCH(DATEVALUE($A299),'changes1_based on steps'!S$1:S$400,0)),S$2,)</f>
        <v>0</v>
      </c>
      <c r="T299" s="179">
        <f ca="1">IF(ISNUMBER(MATCH(DATEVALUE($A299),'changes1_based on steps'!T$1:T$400,0)),T$2,)</f>
        <v>0</v>
      </c>
      <c r="U299" s="179">
        <f ca="1">IF(ISNUMBER(MATCH(DATEVALUE($A299),'changes1_based on steps'!U$1:U$400,0)),U$2,)</f>
        <v>0</v>
      </c>
      <c r="V299" s="179"/>
      <c r="W299" s="179"/>
      <c r="X299" s="179"/>
      <c r="Y299" s="179"/>
      <c r="Z299" s="179"/>
      <c r="AA299" s="179"/>
      <c r="AB299" s="179"/>
      <c r="AC299" s="179"/>
      <c r="AD299" s="179"/>
      <c r="AE299" s="179"/>
      <c r="AF299" s="179"/>
      <c r="AG299" s="179"/>
      <c r="AH299" s="179"/>
      <c r="AI299" s="179"/>
      <c r="AJ299" s="179"/>
      <c r="AK299" s="179"/>
      <c r="AL299" s="179"/>
      <c r="AM299" s="179"/>
      <c r="AN299" s="179"/>
      <c r="AO299" s="179"/>
      <c r="AP299" s="179"/>
      <c r="AQ299" s="179"/>
      <c r="AR299" s="179"/>
      <c r="AS299" s="179"/>
      <c r="AT299" s="179"/>
      <c r="AU299" s="179"/>
      <c r="AV299" s="179"/>
      <c r="AW299" s="179"/>
      <c r="AX299" s="179"/>
      <c r="AY299" s="179"/>
      <c r="AZ299" s="179"/>
      <c r="BA299" s="179"/>
      <c r="BB299" s="179"/>
      <c r="BC299" s="179"/>
      <c r="BD299" s="179"/>
      <c r="BE299" s="179"/>
      <c r="BF299" s="179"/>
      <c r="BG299" s="179"/>
      <c r="BH299" s="179"/>
      <c r="BI299" s="179"/>
      <c r="BJ299" s="179"/>
      <c r="BK299" s="179"/>
      <c r="BL299" s="179"/>
      <c r="BM299" s="179"/>
      <c r="BN299" s="179"/>
      <c r="BO299" s="179"/>
      <c r="BP299" s="179"/>
      <c r="BQ299" s="179"/>
      <c r="BR299" s="179"/>
      <c r="BS299" s="179"/>
      <c r="BT299" s="179"/>
      <c r="BU299" s="179"/>
      <c r="BV299" s="179"/>
      <c r="BW299" s="179"/>
      <c r="BX299" s="179"/>
      <c r="BY299" s="179"/>
      <c r="BZ299" s="179"/>
      <c r="CA299" s="179"/>
      <c r="CB299" s="179"/>
      <c r="CC299" s="179"/>
      <c r="CD299" s="179"/>
      <c r="CE299" s="179"/>
      <c r="CF299" s="179"/>
      <c r="CG299" s="179"/>
      <c r="CH299" s="179"/>
      <c r="CI299" s="179"/>
      <c r="CJ299" s="179"/>
      <c r="CK299" s="179"/>
      <c r="CL299" s="179"/>
      <c r="CM299" s="179"/>
      <c r="CN299" s="179"/>
      <c r="CO299" s="179"/>
      <c r="CP299" s="179"/>
      <c r="CQ299" s="179"/>
      <c r="CR299" s="179"/>
      <c r="CS299" s="179"/>
      <c r="CT299" s="179"/>
      <c r="CU299" s="179"/>
      <c r="CV299" s="179"/>
      <c r="CW299" s="179"/>
    </row>
    <row r="300" spans="1:101" x14ac:dyDescent="0.2">
      <c r="A300" s="32" t="str">
        <f t="shared" ca="1" si="4"/>
        <v>2026-01-20</v>
      </c>
      <c r="B300" s="179">
        <f ca="1">IF(ISNUMBER(MATCH(DATEVALUE($A300),'changes1_based on steps'!B$1:B$400,0)),B$2,)</f>
        <v>0</v>
      </c>
      <c r="C300" s="179">
        <f ca="1">IF(ISNUMBER(MATCH(DATEVALUE($A300),'changes1_based on steps'!C$1:C$400,0)),C$2,)</f>
        <v>0</v>
      </c>
      <c r="D300" s="179">
        <f ca="1">IF(ISNUMBER(MATCH(DATEVALUE($A300),'changes1_based on steps'!D$1:D$400,0)),D$2,)</f>
        <v>0</v>
      </c>
      <c r="E300" s="179">
        <f ca="1">IF(ISNUMBER(MATCH(DATEVALUE($A300),'changes1_based on steps'!E$1:E$400,0)),E$2,)</f>
        <v>0</v>
      </c>
      <c r="F300" s="179">
        <f ca="1">IF(ISNUMBER(MATCH(DATEVALUE($A300),'changes1_based on steps'!F$1:F$400,0)),F$2,)</f>
        <v>0</v>
      </c>
      <c r="G300" s="179">
        <f ca="1">IF(ISNUMBER(MATCH(DATEVALUE($A300),'changes1_based on steps'!G$1:G$400,0)),G$2,)</f>
        <v>0</v>
      </c>
      <c r="H300" s="179">
        <f ca="1">IF(ISNUMBER(MATCH(DATEVALUE($A300),'changes1_based on steps'!H$1:H$400,0)),H$2,)</f>
        <v>0</v>
      </c>
      <c r="I300" s="179">
        <f ca="1">IF(ISNUMBER(MATCH(DATEVALUE($A300),'changes1_based on steps'!I$1:I$400,0)),I$2,)</f>
        <v>0</v>
      </c>
      <c r="J300" s="179">
        <f ca="1">IF(ISNUMBER(MATCH(DATEVALUE($A300),'changes1_based on steps'!J$1:J$400,0)),J$2,)</f>
        <v>0</v>
      </c>
      <c r="K300" s="179">
        <f ca="1">IF(ISNUMBER(MATCH(DATEVALUE($A300),'changes1_based on steps'!K$1:K$400,0)),K$2,)</f>
        <v>0</v>
      </c>
      <c r="L300" s="179">
        <f ca="1">IF(ISNUMBER(MATCH(DATEVALUE($A300),'changes1_based on steps'!L$1:L$400,0)),L$2,)</f>
        <v>0</v>
      </c>
      <c r="M300" s="179">
        <f ca="1">IF(ISNUMBER(MATCH(DATEVALUE($A300),'changes1_based on steps'!M$1:M$400,0)),M$2,)</f>
        <v>0</v>
      </c>
      <c r="N300" s="179">
        <f ca="1">IF(ISNUMBER(MATCH(DATEVALUE($A300),'changes1_based on steps'!N$1:N$400,0)),N$2,)</f>
        <v>0</v>
      </c>
      <c r="O300" s="179">
        <f ca="1">IF(ISNUMBER(MATCH(DATEVALUE($A300),'changes1_based on steps'!O$1:O$400,0)),O$2,)</f>
        <v>0</v>
      </c>
      <c r="P300" s="179">
        <f ca="1">IF(ISNUMBER(MATCH(DATEVALUE($A300),'changes1_based on steps'!P$1:P$400,0)),P$2,)</f>
        <v>0</v>
      </c>
      <c r="Q300" s="179">
        <f ca="1">IF(ISNUMBER(MATCH(DATEVALUE($A300),'changes1_based on steps'!Q$1:Q$400,0)),Q$2,)</f>
        <v>0</v>
      </c>
      <c r="R300" s="179">
        <f ca="1">IF(ISNUMBER(MATCH(DATEVALUE($A300),'changes1_based on steps'!R$1:R$400,0)),R$2,)</f>
        <v>0</v>
      </c>
      <c r="S300" s="179">
        <f ca="1">IF(ISNUMBER(MATCH(DATEVALUE($A300),'changes1_based on steps'!S$1:S$400,0)),S$2,)</f>
        <v>0</v>
      </c>
      <c r="T300" s="179">
        <f ca="1">IF(ISNUMBER(MATCH(DATEVALUE($A300),'changes1_based on steps'!T$1:T$400,0)),T$2,)</f>
        <v>0</v>
      </c>
      <c r="U300" s="179">
        <f ca="1">IF(ISNUMBER(MATCH(DATEVALUE($A300),'changes1_based on steps'!U$1:U$400,0)),U$2,)</f>
        <v>0</v>
      </c>
      <c r="V300" s="179"/>
      <c r="W300" s="179"/>
      <c r="X300" s="179"/>
      <c r="Y300" s="179"/>
      <c r="Z300" s="179"/>
      <c r="AA300" s="179"/>
      <c r="AB300" s="179"/>
      <c r="AC300" s="179"/>
      <c r="AD300" s="179"/>
      <c r="AE300" s="179"/>
      <c r="AF300" s="179"/>
      <c r="AG300" s="179"/>
      <c r="AH300" s="179"/>
      <c r="AI300" s="179"/>
      <c r="AJ300" s="179"/>
      <c r="AK300" s="179"/>
      <c r="AL300" s="179"/>
      <c r="AM300" s="179"/>
      <c r="AN300" s="179"/>
      <c r="AO300" s="179"/>
      <c r="AP300" s="179"/>
      <c r="AQ300" s="179"/>
      <c r="AR300" s="179"/>
      <c r="AS300" s="179"/>
      <c r="AT300" s="179"/>
      <c r="AU300" s="179"/>
      <c r="AV300" s="179"/>
      <c r="AW300" s="179"/>
      <c r="AX300" s="179"/>
      <c r="AY300" s="179"/>
      <c r="AZ300" s="179"/>
      <c r="BA300" s="179"/>
      <c r="BB300" s="179"/>
      <c r="BC300" s="179"/>
      <c r="BD300" s="179"/>
      <c r="BE300" s="179"/>
      <c r="BF300" s="179"/>
      <c r="BG300" s="179"/>
      <c r="BH300" s="179"/>
      <c r="BI300" s="179"/>
      <c r="BJ300" s="179"/>
      <c r="BK300" s="179"/>
      <c r="BL300" s="179"/>
      <c r="BM300" s="179"/>
      <c r="BN300" s="179"/>
      <c r="BO300" s="179"/>
      <c r="BP300" s="179"/>
      <c r="BQ300" s="179"/>
      <c r="BR300" s="179"/>
      <c r="BS300" s="179"/>
      <c r="BT300" s="179"/>
      <c r="BU300" s="179"/>
      <c r="BV300" s="179"/>
      <c r="BW300" s="179"/>
      <c r="BX300" s="179"/>
      <c r="BY300" s="179"/>
      <c r="BZ300" s="179"/>
      <c r="CA300" s="179"/>
      <c r="CB300" s="179"/>
      <c r="CC300" s="179"/>
      <c r="CD300" s="179"/>
      <c r="CE300" s="179"/>
      <c r="CF300" s="179"/>
      <c r="CG300" s="179"/>
      <c r="CH300" s="179"/>
      <c r="CI300" s="179"/>
      <c r="CJ300" s="179"/>
      <c r="CK300" s="179"/>
      <c r="CL300" s="179"/>
      <c r="CM300" s="179"/>
      <c r="CN300" s="179"/>
      <c r="CO300" s="179"/>
      <c r="CP300" s="179"/>
      <c r="CQ300" s="179"/>
      <c r="CR300" s="179"/>
      <c r="CS300" s="179"/>
      <c r="CT300" s="179"/>
      <c r="CU300" s="179"/>
      <c r="CV300" s="179"/>
      <c r="CW300" s="179"/>
    </row>
    <row r="301" spans="1:101" x14ac:dyDescent="0.2">
      <c r="A301" s="32" t="str">
        <f t="shared" ca="1" si="4"/>
        <v>2026-01-21</v>
      </c>
      <c r="B301" s="179">
        <f ca="1">IF(ISNUMBER(MATCH(DATEVALUE($A301),'changes1_based on steps'!B$1:B$400,0)),B$2,)</f>
        <v>0</v>
      </c>
      <c r="C301" s="179">
        <f ca="1">IF(ISNUMBER(MATCH(DATEVALUE($A301),'changes1_based on steps'!C$1:C$400,0)),C$2,)</f>
        <v>0</v>
      </c>
      <c r="D301" s="179">
        <f ca="1">IF(ISNUMBER(MATCH(DATEVALUE($A301),'changes1_based on steps'!D$1:D$400,0)),D$2,)</f>
        <v>0</v>
      </c>
      <c r="E301" s="179">
        <f ca="1">IF(ISNUMBER(MATCH(DATEVALUE($A301),'changes1_based on steps'!E$1:E$400,0)),E$2,)</f>
        <v>0</v>
      </c>
      <c r="F301" s="179">
        <f ca="1">IF(ISNUMBER(MATCH(DATEVALUE($A301),'changes1_based on steps'!F$1:F$400,0)),F$2,)</f>
        <v>0</v>
      </c>
      <c r="G301" s="179">
        <f ca="1">IF(ISNUMBER(MATCH(DATEVALUE($A301),'changes1_based on steps'!G$1:G$400,0)),G$2,)</f>
        <v>0</v>
      </c>
      <c r="H301" s="179">
        <f ca="1">IF(ISNUMBER(MATCH(DATEVALUE($A301),'changes1_based on steps'!H$1:H$400,0)),H$2,)</f>
        <v>0</v>
      </c>
      <c r="I301" s="179">
        <f ca="1">IF(ISNUMBER(MATCH(DATEVALUE($A301),'changes1_based on steps'!I$1:I$400,0)),I$2,)</f>
        <v>0</v>
      </c>
      <c r="J301" s="179">
        <f ca="1">IF(ISNUMBER(MATCH(DATEVALUE($A301),'changes1_based on steps'!J$1:J$400,0)),J$2,)</f>
        <v>0</v>
      </c>
      <c r="K301" s="179">
        <f ca="1">IF(ISNUMBER(MATCH(DATEVALUE($A301),'changes1_based on steps'!K$1:K$400,0)),K$2,)</f>
        <v>0</v>
      </c>
      <c r="L301" s="179">
        <f ca="1">IF(ISNUMBER(MATCH(DATEVALUE($A301),'changes1_based on steps'!L$1:L$400,0)),L$2,)</f>
        <v>0</v>
      </c>
      <c r="M301" s="179">
        <f ca="1">IF(ISNUMBER(MATCH(DATEVALUE($A301),'changes1_based on steps'!M$1:M$400,0)),M$2,)</f>
        <v>0</v>
      </c>
      <c r="N301" s="179">
        <f ca="1">IF(ISNUMBER(MATCH(DATEVALUE($A301),'changes1_based on steps'!N$1:N$400,0)),N$2,)</f>
        <v>0</v>
      </c>
      <c r="O301" s="179">
        <f ca="1">IF(ISNUMBER(MATCH(DATEVALUE($A301),'changes1_based on steps'!O$1:O$400,0)),O$2,)</f>
        <v>0</v>
      </c>
      <c r="P301" s="179">
        <f ca="1">IF(ISNUMBER(MATCH(DATEVALUE($A301),'changes1_based on steps'!P$1:P$400,0)),P$2,)</f>
        <v>0</v>
      </c>
      <c r="Q301" s="179">
        <f ca="1">IF(ISNUMBER(MATCH(DATEVALUE($A301),'changes1_based on steps'!Q$1:Q$400,0)),Q$2,)</f>
        <v>0</v>
      </c>
      <c r="R301" s="179">
        <f ca="1">IF(ISNUMBER(MATCH(DATEVALUE($A301),'changes1_based on steps'!R$1:R$400,0)),R$2,)</f>
        <v>0</v>
      </c>
      <c r="S301" s="179">
        <f ca="1">IF(ISNUMBER(MATCH(DATEVALUE($A301),'changes1_based on steps'!S$1:S$400,0)),S$2,)</f>
        <v>0</v>
      </c>
      <c r="T301" s="179">
        <f ca="1">IF(ISNUMBER(MATCH(DATEVALUE($A301),'changes1_based on steps'!T$1:T$400,0)),T$2,)</f>
        <v>0</v>
      </c>
      <c r="U301" s="179">
        <f ca="1">IF(ISNUMBER(MATCH(DATEVALUE($A301),'changes1_based on steps'!U$1:U$400,0)),U$2,)</f>
        <v>0</v>
      </c>
      <c r="V301" s="179"/>
      <c r="W301" s="179"/>
      <c r="X301" s="179"/>
      <c r="Y301" s="179"/>
      <c r="Z301" s="179"/>
      <c r="AA301" s="179"/>
      <c r="AB301" s="179"/>
      <c r="AC301" s="179"/>
      <c r="AD301" s="179"/>
      <c r="AE301" s="179"/>
      <c r="AF301" s="179"/>
      <c r="AG301" s="179"/>
      <c r="AH301" s="179"/>
      <c r="AI301" s="179"/>
      <c r="AJ301" s="179"/>
      <c r="AK301" s="179"/>
      <c r="AL301" s="179"/>
      <c r="AM301" s="179"/>
      <c r="AN301" s="179"/>
      <c r="AO301" s="179"/>
      <c r="AP301" s="179"/>
      <c r="AQ301" s="179"/>
      <c r="AR301" s="179"/>
      <c r="AS301" s="179"/>
      <c r="AT301" s="179"/>
      <c r="AU301" s="179"/>
      <c r="AV301" s="179"/>
      <c r="AW301" s="179"/>
      <c r="AX301" s="179"/>
      <c r="AY301" s="179"/>
      <c r="AZ301" s="179"/>
      <c r="BA301" s="179"/>
      <c r="BB301" s="179"/>
      <c r="BC301" s="179"/>
      <c r="BD301" s="179"/>
      <c r="BE301" s="179"/>
      <c r="BF301" s="179"/>
      <c r="BG301" s="179"/>
      <c r="BH301" s="179"/>
      <c r="BI301" s="179"/>
      <c r="BJ301" s="179"/>
      <c r="BK301" s="179"/>
      <c r="BL301" s="179"/>
      <c r="BM301" s="179"/>
      <c r="BN301" s="179"/>
      <c r="BO301" s="179"/>
      <c r="BP301" s="179"/>
      <c r="BQ301" s="179"/>
      <c r="BR301" s="179"/>
      <c r="BS301" s="179"/>
      <c r="BT301" s="179"/>
      <c r="BU301" s="179"/>
      <c r="BV301" s="179"/>
      <c r="BW301" s="179"/>
      <c r="BX301" s="179"/>
      <c r="BY301" s="179"/>
      <c r="BZ301" s="179"/>
      <c r="CA301" s="179"/>
      <c r="CB301" s="179"/>
      <c r="CC301" s="179"/>
      <c r="CD301" s="179"/>
      <c r="CE301" s="179"/>
      <c r="CF301" s="179"/>
      <c r="CG301" s="179"/>
      <c r="CH301" s="179"/>
      <c r="CI301" s="179"/>
      <c r="CJ301" s="179"/>
      <c r="CK301" s="179"/>
      <c r="CL301" s="179"/>
      <c r="CM301" s="179"/>
      <c r="CN301" s="179"/>
      <c r="CO301" s="179"/>
      <c r="CP301" s="179"/>
      <c r="CQ301" s="179"/>
      <c r="CR301" s="179"/>
      <c r="CS301" s="179"/>
      <c r="CT301" s="179"/>
      <c r="CU301" s="179"/>
      <c r="CV301" s="179"/>
      <c r="CW301" s="179"/>
    </row>
    <row r="302" spans="1:101" x14ac:dyDescent="0.2">
      <c r="A302" s="32" t="str">
        <f t="shared" ca="1" si="4"/>
        <v>2026-01-22</v>
      </c>
      <c r="B302" s="179">
        <f ca="1">IF(ISNUMBER(MATCH(DATEVALUE($A302),'changes1_based on steps'!B$1:B$400,0)),B$2,)</f>
        <v>0</v>
      </c>
      <c r="C302" s="179">
        <f ca="1">IF(ISNUMBER(MATCH(DATEVALUE($A302),'changes1_based on steps'!C$1:C$400,0)),C$2,)</f>
        <v>0</v>
      </c>
      <c r="D302" s="179">
        <f ca="1">IF(ISNUMBER(MATCH(DATEVALUE($A302),'changes1_based on steps'!D$1:D$400,0)),D$2,)</f>
        <v>0</v>
      </c>
      <c r="E302" s="179">
        <f ca="1">IF(ISNUMBER(MATCH(DATEVALUE($A302),'changes1_based on steps'!E$1:E$400,0)),E$2,)</f>
        <v>0</v>
      </c>
      <c r="F302" s="179">
        <f ca="1">IF(ISNUMBER(MATCH(DATEVALUE($A302),'changes1_based on steps'!F$1:F$400,0)),F$2,)</f>
        <v>0</v>
      </c>
      <c r="G302" s="179">
        <f ca="1">IF(ISNUMBER(MATCH(DATEVALUE($A302),'changes1_based on steps'!G$1:G$400,0)),G$2,)</f>
        <v>0</v>
      </c>
      <c r="H302" s="179">
        <f ca="1">IF(ISNUMBER(MATCH(DATEVALUE($A302),'changes1_based on steps'!H$1:H$400,0)),H$2,)</f>
        <v>0</v>
      </c>
      <c r="I302" s="179">
        <f ca="1">IF(ISNUMBER(MATCH(DATEVALUE($A302),'changes1_based on steps'!I$1:I$400,0)),I$2,)</f>
        <v>0</v>
      </c>
      <c r="J302" s="179">
        <f ca="1">IF(ISNUMBER(MATCH(DATEVALUE($A302),'changes1_based on steps'!J$1:J$400,0)),J$2,)</f>
        <v>0</v>
      </c>
      <c r="K302" s="179">
        <f ca="1">IF(ISNUMBER(MATCH(DATEVALUE($A302),'changes1_based on steps'!K$1:K$400,0)),K$2,)</f>
        <v>0</v>
      </c>
      <c r="L302" s="179">
        <f ca="1">IF(ISNUMBER(MATCH(DATEVALUE($A302),'changes1_based on steps'!L$1:L$400,0)),L$2,)</f>
        <v>0</v>
      </c>
      <c r="M302" s="179">
        <f ca="1">IF(ISNUMBER(MATCH(DATEVALUE($A302),'changes1_based on steps'!M$1:M$400,0)),M$2,)</f>
        <v>0</v>
      </c>
      <c r="N302" s="179">
        <f ca="1">IF(ISNUMBER(MATCH(DATEVALUE($A302),'changes1_based on steps'!N$1:N$400,0)),N$2,)</f>
        <v>0</v>
      </c>
      <c r="O302" s="179">
        <f ca="1">IF(ISNUMBER(MATCH(DATEVALUE($A302),'changes1_based on steps'!O$1:O$400,0)),O$2,)</f>
        <v>0</v>
      </c>
      <c r="P302" s="179">
        <f ca="1">IF(ISNUMBER(MATCH(DATEVALUE($A302),'changes1_based on steps'!P$1:P$400,0)),P$2,)</f>
        <v>0</v>
      </c>
      <c r="Q302" s="179">
        <f ca="1">IF(ISNUMBER(MATCH(DATEVALUE($A302),'changes1_based on steps'!Q$1:Q$400,0)),Q$2,)</f>
        <v>0</v>
      </c>
      <c r="R302" s="179">
        <f ca="1">IF(ISNUMBER(MATCH(DATEVALUE($A302),'changes1_based on steps'!R$1:R$400,0)),R$2,)</f>
        <v>0</v>
      </c>
      <c r="S302" s="179">
        <f ca="1">IF(ISNUMBER(MATCH(DATEVALUE($A302),'changes1_based on steps'!S$1:S$400,0)),S$2,)</f>
        <v>0</v>
      </c>
      <c r="T302" s="179">
        <f ca="1">IF(ISNUMBER(MATCH(DATEVALUE($A302),'changes1_based on steps'!T$1:T$400,0)),T$2,)</f>
        <v>0</v>
      </c>
      <c r="U302" s="179">
        <f ca="1">IF(ISNUMBER(MATCH(DATEVALUE($A302),'changes1_based on steps'!U$1:U$400,0)),U$2,)</f>
        <v>0</v>
      </c>
      <c r="V302" s="179"/>
      <c r="W302" s="179"/>
      <c r="X302" s="179"/>
      <c r="Y302" s="179"/>
      <c r="Z302" s="179"/>
      <c r="AA302" s="179"/>
      <c r="AB302" s="179"/>
      <c r="AC302" s="179"/>
      <c r="AD302" s="179"/>
      <c r="AE302" s="179"/>
      <c r="AF302" s="179"/>
      <c r="AG302" s="179"/>
      <c r="AH302" s="179"/>
      <c r="AI302" s="179"/>
      <c r="AJ302" s="179"/>
      <c r="AK302" s="179"/>
      <c r="AL302" s="179"/>
      <c r="AM302" s="179"/>
      <c r="AN302" s="179"/>
      <c r="AO302" s="179"/>
      <c r="AP302" s="179"/>
      <c r="AQ302" s="179"/>
      <c r="AR302" s="179"/>
      <c r="AS302" s="179"/>
      <c r="AT302" s="179"/>
      <c r="AU302" s="179"/>
      <c r="AV302" s="179"/>
      <c r="AW302" s="179"/>
      <c r="AX302" s="179"/>
      <c r="AY302" s="179"/>
      <c r="AZ302" s="179"/>
      <c r="BA302" s="179"/>
      <c r="BB302" s="179"/>
      <c r="BC302" s="179"/>
      <c r="BD302" s="179"/>
      <c r="BE302" s="179"/>
      <c r="BF302" s="179"/>
      <c r="BG302" s="179"/>
      <c r="BH302" s="179"/>
      <c r="BI302" s="179"/>
      <c r="BJ302" s="179"/>
      <c r="BK302" s="179"/>
      <c r="BL302" s="179"/>
      <c r="BM302" s="179"/>
      <c r="BN302" s="179"/>
      <c r="BO302" s="179"/>
      <c r="BP302" s="179"/>
      <c r="BQ302" s="179"/>
      <c r="BR302" s="179"/>
      <c r="BS302" s="179"/>
      <c r="BT302" s="179"/>
      <c r="BU302" s="179"/>
      <c r="BV302" s="179"/>
      <c r="BW302" s="179"/>
      <c r="BX302" s="179"/>
      <c r="BY302" s="179"/>
      <c r="BZ302" s="179"/>
      <c r="CA302" s="179"/>
      <c r="CB302" s="179"/>
      <c r="CC302" s="179"/>
      <c r="CD302" s="179"/>
      <c r="CE302" s="179"/>
      <c r="CF302" s="179"/>
      <c r="CG302" s="179"/>
      <c r="CH302" s="179"/>
      <c r="CI302" s="179"/>
      <c r="CJ302" s="179"/>
      <c r="CK302" s="179"/>
      <c r="CL302" s="179"/>
      <c r="CM302" s="179"/>
      <c r="CN302" s="179"/>
      <c r="CO302" s="179"/>
      <c r="CP302" s="179"/>
      <c r="CQ302" s="179"/>
      <c r="CR302" s="179"/>
      <c r="CS302" s="179"/>
      <c r="CT302" s="179"/>
      <c r="CU302" s="179"/>
      <c r="CV302" s="179"/>
      <c r="CW302" s="179"/>
    </row>
    <row r="303" spans="1:101" x14ac:dyDescent="0.2">
      <c r="A303" s="32" t="str">
        <f t="shared" ca="1" si="4"/>
        <v>2026-01-23</v>
      </c>
      <c r="B303" s="179">
        <f ca="1">IF(ISNUMBER(MATCH(DATEVALUE($A303),'changes1_based on steps'!B$1:B$400,0)),B$2,)</f>
        <v>0</v>
      </c>
      <c r="C303" s="179">
        <f ca="1">IF(ISNUMBER(MATCH(DATEVALUE($A303),'changes1_based on steps'!C$1:C$400,0)),C$2,)</f>
        <v>0</v>
      </c>
      <c r="D303" s="179">
        <f ca="1">IF(ISNUMBER(MATCH(DATEVALUE($A303),'changes1_based on steps'!D$1:D$400,0)),D$2,)</f>
        <v>0</v>
      </c>
      <c r="E303" s="179">
        <f ca="1">IF(ISNUMBER(MATCH(DATEVALUE($A303),'changes1_based on steps'!E$1:E$400,0)),E$2,)</f>
        <v>0</v>
      </c>
      <c r="F303" s="179">
        <f ca="1">IF(ISNUMBER(MATCH(DATEVALUE($A303),'changes1_based on steps'!F$1:F$400,0)),F$2,)</f>
        <v>0</v>
      </c>
      <c r="G303" s="179">
        <f ca="1">IF(ISNUMBER(MATCH(DATEVALUE($A303),'changes1_based on steps'!G$1:G$400,0)),G$2,)</f>
        <v>0</v>
      </c>
      <c r="H303" s="179">
        <f ca="1">IF(ISNUMBER(MATCH(DATEVALUE($A303),'changes1_based on steps'!H$1:H$400,0)),H$2,)</f>
        <v>0</v>
      </c>
      <c r="I303" s="179">
        <f ca="1">IF(ISNUMBER(MATCH(DATEVALUE($A303),'changes1_based on steps'!I$1:I$400,0)),I$2,)</f>
        <v>0</v>
      </c>
      <c r="J303" s="179">
        <f ca="1">IF(ISNUMBER(MATCH(DATEVALUE($A303),'changes1_based on steps'!J$1:J$400,0)),J$2,)</f>
        <v>0</v>
      </c>
      <c r="K303" s="179">
        <f ca="1">IF(ISNUMBER(MATCH(DATEVALUE($A303),'changes1_based on steps'!K$1:K$400,0)),K$2,)</f>
        <v>0</v>
      </c>
      <c r="L303" s="179">
        <f ca="1">IF(ISNUMBER(MATCH(DATEVALUE($A303),'changes1_based on steps'!L$1:L$400,0)),L$2,)</f>
        <v>0</v>
      </c>
      <c r="M303" s="179">
        <f ca="1">IF(ISNUMBER(MATCH(DATEVALUE($A303),'changes1_based on steps'!M$1:M$400,0)),M$2,)</f>
        <v>0</v>
      </c>
      <c r="N303" s="179">
        <f ca="1">IF(ISNUMBER(MATCH(DATEVALUE($A303),'changes1_based on steps'!N$1:N$400,0)),N$2,)</f>
        <v>0</v>
      </c>
      <c r="O303" s="179">
        <f ca="1">IF(ISNUMBER(MATCH(DATEVALUE($A303),'changes1_based on steps'!O$1:O$400,0)),O$2,)</f>
        <v>0</v>
      </c>
      <c r="P303" s="179">
        <f ca="1">IF(ISNUMBER(MATCH(DATEVALUE($A303),'changes1_based on steps'!P$1:P$400,0)),P$2,)</f>
        <v>0</v>
      </c>
      <c r="Q303" s="179">
        <f ca="1">IF(ISNUMBER(MATCH(DATEVALUE($A303),'changes1_based on steps'!Q$1:Q$400,0)),Q$2,)</f>
        <v>0</v>
      </c>
      <c r="R303" s="179">
        <f ca="1">IF(ISNUMBER(MATCH(DATEVALUE($A303),'changes1_based on steps'!R$1:R$400,0)),R$2,)</f>
        <v>0</v>
      </c>
      <c r="S303" s="179">
        <f ca="1">IF(ISNUMBER(MATCH(DATEVALUE($A303),'changes1_based on steps'!S$1:S$400,0)),S$2,)</f>
        <v>0</v>
      </c>
      <c r="T303" s="179">
        <f ca="1">IF(ISNUMBER(MATCH(DATEVALUE($A303),'changes1_based on steps'!T$1:T$400,0)),T$2,)</f>
        <v>0</v>
      </c>
      <c r="U303" s="179">
        <f ca="1">IF(ISNUMBER(MATCH(DATEVALUE($A303),'changes1_based on steps'!U$1:U$400,0)),U$2,)</f>
        <v>0</v>
      </c>
      <c r="V303" s="179"/>
      <c r="W303" s="179"/>
      <c r="X303" s="179"/>
      <c r="Y303" s="179"/>
      <c r="Z303" s="179"/>
      <c r="AA303" s="179"/>
      <c r="AB303" s="179"/>
      <c r="AC303" s="179"/>
      <c r="AD303" s="179"/>
      <c r="AE303" s="179"/>
      <c r="AF303" s="179"/>
      <c r="AG303" s="179"/>
      <c r="AH303" s="179"/>
      <c r="AI303" s="179"/>
      <c r="AJ303" s="179"/>
      <c r="AK303" s="179"/>
      <c r="AL303" s="179"/>
      <c r="AM303" s="179"/>
      <c r="AN303" s="179"/>
      <c r="AO303" s="179"/>
      <c r="AP303" s="179"/>
      <c r="AQ303" s="179"/>
      <c r="AR303" s="179"/>
      <c r="AS303" s="179"/>
      <c r="AT303" s="179"/>
      <c r="AU303" s="179"/>
      <c r="AV303" s="179"/>
      <c r="AW303" s="179"/>
      <c r="AX303" s="179"/>
      <c r="AY303" s="179"/>
      <c r="AZ303" s="179"/>
      <c r="BA303" s="179"/>
      <c r="BB303" s="179"/>
      <c r="BC303" s="179"/>
      <c r="BD303" s="179"/>
      <c r="BE303" s="179"/>
      <c r="BF303" s="179"/>
      <c r="BG303" s="179"/>
      <c r="BH303" s="179"/>
      <c r="BI303" s="179"/>
      <c r="BJ303" s="179"/>
      <c r="BK303" s="179"/>
      <c r="BL303" s="179"/>
      <c r="BM303" s="179"/>
      <c r="BN303" s="179"/>
      <c r="BO303" s="179"/>
      <c r="BP303" s="179"/>
      <c r="BQ303" s="179"/>
      <c r="BR303" s="179"/>
      <c r="BS303" s="179"/>
      <c r="BT303" s="179"/>
      <c r="BU303" s="179"/>
      <c r="BV303" s="179"/>
      <c r="BW303" s="179"/>
      <c r="BX303" s="179"/>
      <c r="BY303" s="179"/>
      <c r="BZ303" s="179"/>
      <c r="CA303" s="179"/>
      <c r="CB303" s="179"/>
      <c r="CC303" s="179"/>
      <c r="CD303" s="179"/>
      <c r="CE303" s="179"/>
      <c r="CF303" s="179"/>
      <c r="CG303" s="179"/>
      <c r="CH303" s="179"/>
      <c r="CI303" s="179"/>
      <c r="CJ303" s="179"/>
      <c r="CK303" s="179"/>
      <c r="CL303" s="179"/>
      <c r="CM303" s="179"/>
      <c r="CN303" s="179"/>
      <c r="CO303" s="179"/>
      <c r="CP303" s="179"/>
      <c r="CQ303" s="179"/>
      <c r="CR303" s="179"/>
      <c r="CS303" s="179"/>
      <c r="CT303" s="179"/>
      <c r="CU303" s="179"/>
      <c r="CV303" s="179"/>
      <c r="CW303" s="179"/>
    </row>
    <row r="304" spans="1:101" x14ac:dyDescent="0.2">
      <c r="A304" s="32" t="str">
        <f t="shared" ca="1" si="4"/>
        <v>2026-01-24</v>
      </c>
      <c r="B304" s="179">
        <f ca="1">IF(ISNUMBER(MATCH(DATEVALUE($A304),'changes1_based on steps'!B$1:B$400,0)),B$2,)</f>
        <v>0</v>
      </c>
      <c r="C304" s="179">
        <f ca="1">IF(ISNUMBER(MATCH(DATEVALUE($A304),'changes1_based on steps'!C$1:C$400,0)),C$2,)</f>
        <v>0</v>
      </c>
      <c r="D304" s="179">
        <f ca="1">IF(ISNUMBER(MATCH(DATEVALUE($A304),'changes1_based on steps'!D$1:D$400,0)),D$2,)</f>
        <v>0</v>
      </c>
      <c r="E304" s="179">
        <f ca="1">IF(ISNUMBER(MATCH(DATEVALUE($A304),'changes1_based on steps'!E$1:E$400,0)),E$2,)</f>
        <v>0</v>
      </c>
      <c r="F304" s="179">
        <f ca="1">IF(ISNUMBER(MATCH(DATEVALUE($A304),'changes1_based on steps'!F$1:F$400,0)),F$2,)</f>
        <v>0</v>
      </c>
      <c r="G304" s="179">
        <f ca="1">IF(ISNUMBER(MATCH(DATEVALUE($A304),'changes1_based on steps'!G$1:G$400,0)),G$2,)</f>
        <v>0</v>
      </c>
      <c r="H304" s="179">
        <f ca="1">IF(ISNUMBER(MATCH(DATEVALUE($A304),'changes1_based on steps'!H$1:H$400,0)),H$2,)</f>
        <v>0</v>
      </c>
      <c r="I304" s="179">
        <f ca="1">IF(ISNUMBER(MATCH(DATEVALUE($A304),'changes1_based on steps'!I$1:I$400,0)),I$2,)</f>
        <v>0</v>
      </c>
      <c r="J304" s="179">
        <f ca="1">IF(ISNUMBER(MATCH(DATEVALUE($A304),'changes1_based on steps'!J$1:J$400,0)),J$2,)</f>
        <v>0</v>
      </c>
      <c r="K304" s="179">
        <f ca="1">IF(ISNUMBER(MATCH(DATEVALUE($A304),'changes1_based on steps'!K$1:K$400,0)),K$2,)</f>
        <v>0</v>
      </c>
      <c r="L304" s="179">
        <f ca="1">IF(ISNUMBER(MATCH(DATEVALUE($A304),'changes1_based on steps'!L$1:L$400,0)),L$2,)</f>
        <v>0</v>
      </c>
      <c r="M304" s="179">
        <f ca="1">IF(ISNUMBER(MATCH(DATEVALUE($A304),'changes1_based on steps'!M$1:M$400,0)),M$2,)</f>
        <v>0</v>
      </c>
      <c r="N304" s="179">
        <f ca="1">IF(ISNUMBER(MATCH(DATEVALUE($A304),'changes1_based on steps'!N$1:N$400,0)),N$2,)</f>
        <v>0</v>
      </c>
      <c r="O304" s="179">
        <f ca="1">IF(ISNUMBER(MATCH(DATEVALUE($A304),'changes1_based on steps'!O$1:O$400,0)),O$2,)</f>
        <v>0</v>
      </c>
      <c r="P304" s="179">
        <f ca="1">IF(ISNUMBER(MATCH(DATEVALUE($A304),'changes1_based on steps'!P$1:P$400,0)),P$2,)</f>
        <v>0</v>
      </c>
      <c r="Q304" s="179">
        <f ca="1">IF(ISNUMBER(MATCH(DATEVALUE($A304),'changes1_based on steps'!Q$1:Q$400,0)),Q$2,)</f>
        <v>0</v>
      </c>
      <c r="R304" s="179">
        <f ca="1">IF(ISNUMBER(MATCH(DATEVALUE($A304),'changes1_based on steps'!R$1:R$400,0)),R$2,)</f>
        <v>0</v>
      </c>
      <c r="S304" s="179">
        <f ca="1">IF(ISNUMBER(MATCH(DATEVALUE($A304),'changes1_based on steps'!S$1:S$400,0)),S$2,)</f>
        <v>0</v>
      </c>
      <c r="T304" s="179">
        <f ca="1">IF(ISNUMBER(MATCH(DATEVALUE($A304),'changes1_based on steps'!T$1:T$400,0)),T$2,)</f>
        <v>0</v>
      </c>
      <c r="U304" s="179">
        <f ca="1">IF(ISNUMBER(MATCH(DATEVALUE($A304),'changes1_based on steps'!U$1:U$400,0)),U$2,)</f>
        <v>0</v>
      </c>
      <c r="V304" s="179"/>
      <c r="W304" s="179"/>
      <c r="X304" s="179"/>
      <c r="Y304" s="179"/>
      <c r="Z304" s="179"/>
      <c r="AA304" s="179"/>
      <c r="AB304" s="179"/>
      <c r="AC304" s="179"/>
      <c r="AD304" s="179"/>
      <c r="AE304" s="179"/>
      <c r="AF304" s="179"/>
      <c r="AG304" s="179"/>
      <c r="AH304" s="179"/>
      <c r="AI304" s="179"/>
      <c r="AJ304" s="179"/>
      <c r="AK304" s="179"/>
      <c r="AL304" s="179"/>
      <c r="AM304" s="179"/>
      <c r="AN304" s="179"/>
      <c r="AO304" s="179"/>
      <c r="AP304" s="179"/>
      <c r="AQ304" s="179"/>
      <c r="AR304" s="179"/>
      <c r="AS304" s="179"/>
      <c r="AT304" s="179"/>
      <c r="AU304" s="179"/>
      <c r="AV304" s="179"/>
      <c r="AW304" s="179"/>
      <c r="AX304" s="179"/>
      <c r="AY304" s="179"/>
      <c r="AZ304" s="179"/>
      <c r="BA304" s="179"/>
      <c r="BB304" s="179"/>
      <c r="BC304" s="179"/>
      <c r="BD304" s="179"/>
      <c r="BE304" s="179"/>
      <c r="BF304" s="179"/>
      <c r="BG304" s="179"/>
      <c r="BH304" s="179"/>
      <c r="BI304" s="179"/>
      <c r="BJ304" s="179"/>
      <c r="BK304" s="179"/>
      <c r="BL304" s="179"/>
      <c r="BM304" s="179"/>
      <c r="BN304" s="179"/>
      <c r="BO304" s="179"/>
      <c r="BP304" s="179"/>
      <c r="BQ304" s="179"/>
      <c r="BR304" s="179"/>
      <c r="BS304" s="179"/>
      <c r="BT304" s="179"/>
      <c r="BU304" s="179"/>
      <c r="BV304" s="179"/>
      <c r="BW304" s="179"/>
      <c r="BX304" s="179"/>
      <c r="BY304" s="179"/>
      <c r="BZ304" s="179"/>
      <c r="CA304" s="179"/>
      <c r="CB304" s="179"/>
      <c r="CC304" s="179"/>
      <c r="CD304" s="179"/>
      <c r="CE304" s="179"/>
      <c r="CF304" s="179"/>
      <c r="CG304" s="179"/>
      <c r="CH304" s="179"/>
      <c r="CI304" s="179"/>
      <c r="CJ304" s="179"/>
      <c r="CK304" s="179"/>
      <c r="CL304" s="179"/>
      <c r="CM304" s="179"/>
      <c r="CN304" s="179"/>
      <c r="CO304" s="179"/>
      <c r="CP304" s="179"/>
      <c r="CQ304" s="179"/>
      <c r="CR304" s="179"/>
      <c r="CS304" s="179"/>
      <c r="CT304" s="179"/>
      <c r="CU304" s="179"/>
      <c r="CV304" s="179"/>
      <c r="CW304" s="179"/>
    </row>
    <row r="305" spans="1:101" x14ac:dyDescent="0.2">
      <c r="A305" s="32" t="str">
        <f t="shared" ca="1" si="4"/>
        <v>2026-01-25</v>
      </c>
      <c r="B305" s="179">
        <f ca="1">IF(ISNUMBER(MATCH(DATEVALUE($A305),'changes1_based on steps'!B$1:B$400,0)),B$2,)</f>
        <v>0</v>
      </c>
      <c r="C305" s="179">
        <f ca="1">IF(ISNUMBER(MATCH(DATEVALUE($A305),'changes1_based on steps'!C$1:C$400,0)),C$2,)</f>
        <v>0</v>
      </c>
      <c r="D305" s="179">
        <f ca="1">IF(ISNUMBER(MATCH(DATEVALUE($A305),'changes1_based on steps'!D$1:D$400,0)),D$2,)</f>
        <v>0</v>
      </c>
      <c r="E305" s="179">
        <f ca="1">IF(ISNUMBER(MATCH(DATEVALUE($A305),'changes1_based on steps'!E$1:E$400,0)),E$2,)</f>
        <v>0</v>
      </c>
      <c r="F305" s="179">
        <f ca="1">IF(ISNUMBER(MATCH(DATEVALUE($A305),'changes1_based on steps'!F$1:F$400,0)),F$2,)</f>
        <v>0</v>
      </c>
      <c r="G305" s="179">
        <f ca="1">IF(ISNUMBER(MATCH(DATEVALUE($A305),'changes1_based on steps'!G$1:G$400,0)),G$2,)</f>
        <v>0</v>
      </c>
      <c r="H305" s="179">
        <f ca="1">IF(ISNUMBER(MATCH(DATEVALUE($A305),'changes1_based on steps'!H$1:H$400,0)),H$2,)</f>
        <v>0</v>
      </c>
      <c r="I305" s="179">
        <f ca="1">IF(ISNUMBER(MATCH(DATEVALUE($A305),'changes1_based on steps'!I$1:I$400,0)),I$2,)</f>
        <v>0</v>
      </c>
      <c r="J305" s="179">
        <f ca="1">IF(ISNUMBER(MATCH(DATEVALUE($A305),'changes1_based on steps'!J$1:J$400,0)),J$2,)</f>
        <v>0</v>
      </c>
      <c r="K305" s="179">
        <f ca="1">IF(ISNUMBER(MATCH(DATEVALUE($A305),'changes1_based on steps'!K$1:K$400,0)),K$2,)</f>
        <v>0</v>
      </c>
      <c r="L305" s="179">
        <f ca="1">IF(ISNUMBER(MATCH(DATEVALUE($A305),'changes1_based on steps'!L$1:L$400,0)),L$2,)</f>
        <v>0</v>
      </c>
      <c r="M305" s="179">
        <f ca="1">IF(ISNUMBER(MATCH(DATEVALUE($A305),'changes1_based on steps'!M$1:M$400,0)),M$2,)</f>
        <v>0</v>
      </c>
      <c r="N305" s="179">
        <f ca="1">IF(ISNUMBER(MATCH(DATEVALUE($A305),'changes1_based on steps'!N$1:N$400,0)),N$2,)</f>
        <v>0</v>
      </c>
      <c r="O305" s="179">
        <f ca="1">IF(ISNUMBER(MATCH(DATEVALUE($A305),'changes1_based on steps'!O$1:O$400,0)),O$2,)</f>
        <v>0</v>
      </c>
      <c r="P305" s="179">
        <f ca="1">IF(ISNUMBER(MATCH(DATEVALUE($A305),'changes1_based on steps'!P$1:P$400,0)),P$2,)</f>
        <v>0</v>
      </c>
      <c r="Q305" s="179">
        <f ca="1">IF(ISNUMBER(MATCH(DATEVALUE($A305),'changes1_based on steps'!Q$1:Q$400,0)),Q$2,)</f>
        <v>0</v>
      </c>
      <c r="R305" s="179">
        <f ca="1">IF(ISNUMBER(MATCH(DATEVALUE($A305),'changes1_based on steps'!R$1:R$400,0)),R$2,)</f>
        <v>0</v>
      </c>
      <c r="S305" s="179">
        <f ca="1">IF(ISNUMBER(MATCH(DATEVALUE($A305),'changes1_based on steps'!S$1:S$400,0)),S$2,)</f>
        <v>0</v>
      </c>
      <c r="T305" s="179">
        <f ca="1">IF(ISNUMBER(MATCH(DATEVALUE($A305),'changes1_based on steps'!T$1:T$400,0)),T$2,)</f>
        <v>0</v>
      </c>
      <c r="U305" s="179">
        <f ca="1">IF(ISNUMBER(MATCH(DATEVALUE($A305),'changes1_based on steps'!U$1:U$400,0)),U$2,)</f>
        <v>0</v>
      </c>
      <c r="V305" s="179"/>
      <c r="W305" s="179"/>
      <c r="X305" s="179"/>
      <c r="Y305" s="179"/>
      <c r="Z305" s="179"/>
      <c r="AA305" s="179"/>
      <c r="AB305" s="179"/>
      <c r="AC305" s="179"/>
      <c r="AD305" s="179"/>
      <c r="AE305" s="179"/>
      <c r="AF305" s="179"/>
      <c r="AG305" s="179"/>
      <c r="AH305" s="179"/>
      <c r="AI305" s="179"/>
      <c r="AJ305" s="179"/>
      <c r="AK305" s="179"/>
      <c r="AL305" s="179"/>
      <c r="AM305" s="179"/>
      <c r="AN305" s="179"/>
      <c r="AO305" s="179"/>
      <c r="AP305" s="179"/>
      <c r="AQ305" s="179"/>
      <c r="AR305" s="179"/>
      <c r="AS305" s="179"/>
      <c r="AT305" s="179"/>
      <c r="AU305" s="179"/>
      <c r="AV305" s="179"/>
      <c r="AW305" s="179"/>
      <c r="AX305" s="179"/>
      <c r="AY305" s="179"/>
      <c r="AZ305" s="179"/>
      <c r="BA305" s="179"/>
      <c r="BB305" s="179"/>
      <c r="BC305" s="179"/>
      <c r="BD305" s="179"/>
      <c r="BE305" s="179"/>
      <c r="BF305" s="179"/>
      <c r="BG305" s="179"/>
      <c r="BH305" s="179"/>
      <c r="BI305" s="179"/>
      <c r="BJ305" s="179"/>
      <c r="BK305" s="179"/>
      <c r="BL305" s="179"/>
      <c r="BM305" s="179"/>
      <c r="BN305" s="179"/>
      <c r="BO305" s="179"/>
      <c r="BP305" s="179"/>
      <c r="BQ305" s="179"/>
      <c r="BR305" s="179"/>
      <c r="BS305" s="179"/>
      <c r="BT305" s="179"/>
      <c r="BU305" s="179"/>
      <c r="BV305" s="179"/>
      <c r="BW305" s="179"/>
      <c r="BX305" s="179"/>
      <c r="BY305" s="179"/>
      <c r="BZ305" s="179"/>
      <c r="CA305" s="179"/>
      <c r="CB305" s="179"/>
      <c r="CC305" s="179"/>
      <c r="CD305" s="179"/>
      <c r="CE305" s="179"/>
      <c r="CF305" s="179"/>
      <c r="CG305" s="179"/>
      <c r="CH305" s="179"/>
      <c r="CI305" s="179"/>
      <c r="CJ305" s="179"/>
      <c r="CK305" s="179"/>
      <c r="CL305" s="179"/>
      <c r="CM305" s="179"/>
      <c r="CN305" s="179"/>
      <c r="CO305" s="179"/>
      <c r="CP305" s="179"/>
      <c r="CQ305" s="179"/>
      <c r="CR305" s="179"/>
      <c r="CS305" s="179"/>
      <c r="CT305" s="179"/>
      <c r="CU305" s="179"/>
      <c r="CV305" s="179"/>
      <c r="CW305" s="179"/>
    </row>
    <row r="306" spans="1:101" x14ac:dyDescent="0.2">
      <c r="A306" s="32" t="str">
        <f t="shared" ca="1" si="4"/>
        <v>2026-01-26</v>
      </c>
      <c r="B306" s="179">
        <f ca="1">IF(ISNUMBER(MATCH(DATEVALUE($A306),'changes1_based on steps'!B$1:B$400,0)),B$2,)</f>
        <v>0</v>
      </c>
      <c r="C306" s="179">
        <f ca="1">IF(ISNUMBER(MATCH(DATEVALUE($A306),'changes1_based on steps'!C$1:C$400,0)),C$2,)</f>
        <v>0</v>
      </c>
      <c r="D306" s="179">
        <f ca="1">IF(ISNUMBER(MATCH(DATEVALUE($A306),'changes1_based on steps'!D$1:D$400,0)),D$2,)</f>
        <v>0</v>
      </c>
      <c r="E306" s="179">
        <f ca="1">IF(ISNUMBER(MATCH(DATEVALUE($A306),'changes1_based on steps'!E$1:E$400,0)),E$2,)</f>
        <v>0</v>
      </c>
      <c r="F306" s="179">
        <f ca="1">IF(ISNUMBER(MATCH(DATEVALUE($A306),'changes1_based on steps'!F$1:F$400,0)),F$2,)</f>
        <v>0</v>
      </c>
      <c r="G306" s="179">
        <f ca="1">IF(ISNUMBER(MATCH(DATEVALUE($A306),'changes1_based on steps'!G$1:G$400,0)),G$2,)</f>
        <v>0</v>
      </c>
      <c r="H306" s="179">
        <f ca="1">IF(ISNUMBER(MATCH(DATEVALUE($A306),'changes1_based on steps'!H$1:H$400,0)),H$2,)</f>
        <v>0</v>
      </c>
      <c r="I306" s="179">
        <f ca="1">IF(ISNUMBER(MATCH(DATEVALUE($A306),'changes1_based on steps'!I$1:I$400,0)),I$2,)</f>
        <v>0</v>
      </c>
      <c r="J306" s="179">
        <f ca="1">IF(ISNUMBER(MATCH(DATEVALUE($A306),'changes1_based on steps'!J$1:J$400,0)),J$2,)</f>
        <v>0</v>
      </c>
      <c r="K306" s="179">
        <f ca="1">IF(ISNUMBER(MATCH(DATEVALUE($A306),'changes1_based on steps'!K$1:K$400,0)),K$2,)</f>
        <v>0</v>
      </c>
      <c r="L306" s="179">
        <f ca="1">IF(ISNUMBER(MATCH(DATEVALUE($A306),'changes1_based on steps'!L$1:L$400,0)),L$2,)</f>
        <v>0</v>
      </c>
      <c r="M306" s="179">
        <f ca="1">IF(ISNUMBER(MATCH(DATEVALUE($A306),'changes1_based on steps'!M$1:M$400,0)),M$2,)</f>
        <v>0</v>
      </c>
      <c r="N306" s="179">
        <f ca="1">IF(ISNUMBER(MATCH(DATEVALUE($A306),'changes1_based on steps'!N$1:N$400,0)),N$2,)</f>
        <v>0</v>
      </c>
      <c r="O306" s="179">
        <f ca="1">IF(ISNUMBER(MATCH(DATEVALUE($A306),'changes1_based on steps'!O$1:O$400,0)),O$2,)</f>
        <v>0</v>
      </c>
      <c r="P306" s="179">
        <f ca="1">IF(ISNUMBER(MATCH(DATEVALUE($A306),'changes1_based on steps'!P$1:P$400,0)),P$2,)</f>
        <v>0</v>
      </c>
      <c r="Q306" s="179">
        <f ca="1">IF(ISNUMBER(MATCH(DATEVALUE($A306),'changes1_based on steps'!Q$1:Q$400,0)),Q$2,)</f>
        <v>0</v>
      </c>
      <c r="R306" s="179">
        <f ca="1">IF(ISNUMBER(MATCH(DATEVALUE($A306),'changes1_based on steps'!R$1:R$400,0)),R$2,)</f>
        <v>0</v>
      </c>
      <c r="S306" s="179">
        <f ca="1">IF(ISNUMBER(MATCH(DATEVALUE($A306),'changes1_based on steps'!S$1:S$400,0)),S$2,)</f>
        <v>0</v>
      </c>
      <c r="T306" s="179">
        <f ca="1">IF(ISNUMBER(MATCH(DATEVALUE($A306),'changes1_based on steps'!T$1:T$400,0)),T$2,)</f>
        <v>0</v>
      </c>
      <c r="U306" s="179">
        <f ca="1">IF(ISNUMBER(MATCH(DATEVALUE($A306),'changes1_based on steps'!U$1:U$400,0)),U$2,)</f>
        <v>0</v>
      </c>
      <c r="V306" s="179"/>
      <c r="W306" s="179"/>
      <c r="X306" s="179"/>
      <c r="Y306" s="179"/>
      <c r="Z306" s="179"/>
      <c r="AA306" s="179"/>
      <c r="AB306" s="179"/>
      <c r="AC306" s="179"/>
      <c r="AD306" s="179"/>
      <c r="AE306" s="179"/>
      <c r="AF306" s="179"/>
      <c r="AG306" s="179"/>
      <c r="AH306" s="179"/>
      <c r="AI306" s="179"/>
      <c r="AJ306" s="179"/>
      <c r="AK306" s="179"/>
      <c r="AL306" s="179"/>
      <c r="AM306" s="179"/>
      <c r="AN306" s="179"/>
      <c r="AO306" s="179"/>
      <c r="AP306" s="179"/>
      <c r="AQ306" s="179"/>
      <c r="AR306" s="179"/>
      <c r="AS306" s="179"/>
      <c r="AT306" s="179"/>
      <c r="AU306" s="179"/>
      <c r="AV306" s="179"/>
      <c r="AW306" s="179"/>
      <c r="AX306" s="179"/>
      <c r="AY306" s="179"/>
      <c r="AZ306" s="179"/>
      <c r="BA306" s="179"/>
      <c r="BB306" s="179"/>
      <c r="BC306" s="179"/>
      <c r="BD306" s="179"/>
      <c r="BE306" s="179"/>
      <c r="BF306" s="179"/>
      <c r="BG306" s="179"/>
      <c r="BH306" s="179"/>
      <c r="BI306" s="179"/>
      <c r="BJ306" s="179"/>
      <c r="BK306" s="179"/>
      <c r="BL306" s="179"/>
      <c r="BM306" s="179"/>
      <c r="BN306" s="179"/>
      <c r="BO306" s="179"/>
      <c r="BP306" s="179"/>
      <c r="BQ306" s="179"/>
      <c r="BR306" s="179"/>
      <c r="BS306" s="179"/>
      <c r="BT306" s="179"/>
      <c r="BU306" s="179"/>
      <c r="BV306" s="179"/>
      <c r="BW306" s="179"/>
      <c r="BX306" s="179"/>
      <c r="BY306" s="179"/>
      <c r="BZ306" s="179"/>
      <c r="CA306" s="179"/>
      <c r="CB306" s="179"/>
      <c r="CC306" s="179"/>
      <c r="CD306" s="179"/>
      <c r="CE306" s="179"/>
      <c r="CF306" s="179"/>
      <c r="CG306" s="179"/>
      <c r="CH306" s="179"/>
      <c r="CI306" s="179"/>
      <c r="CJ306" s="179"/>
      <c r="CK306" s="179"/>
      <c r="CL306" s="179"/>
      <c r="CM306" s="179"/>
      <c r="CN306" s="179"/>
      <c r="CO306" s="179"/>
      <c r="CP306" s="179"/>
      <c r="CQ306" s="179"/>
      <c r="CR306" s="179"/>
      <c r="CS306" s="179"/>
      <c r="CT306" s="179"/>
      <c r="CU306" s="179"/>
      <c r="CV306" s="179"/>
      <c r="CW306" s="179"/>
    </row>
    <row r="307" spans="1:101" x14ac:dyDescent="0.2">
      <c r="A307" s="32" t="str">
        <f t="shared" ca="1" si="4"/>
        <v>2026-01-27</v>
      </c>
      <c r="B307" s="179">
        <f ca="1">IF(ISNUMBER(MATCH(DATEVALUE($A307),'changes1_based on steps'!B$1:B$400,0)),B$2,)</f>
        <v>0</v>
      </c>
      <c r="C307" s="179">
        <f ca="1">IF(ISNUMBER(MATCH(DATEVALUE($A307),'changes1_based on steps'!C$1:C$400,0)),C$2,)</f>
        <v>0</v>
      </c>
      <c r="D307" s="179">
        <f ca="1">IF(ISNUMBER(MATCH(DATEVALUE($A307),'changes1_based on steps'!D$1:D$400,0)),D$2,)</f>
        <v>0</v>
      </c>
      <c r="E307" s="179">
        <f ca="1">IF(ISNUMBER(MATCH(DATEVALUE($A307),'changes1_based on steps'!E$1:E$400,0)),E$2,)</f>
        <v>0</v>
      </c>
      <c r="F307" s="179">
        <f ca="1">IF(ISNUMBER(MATCH(DATEVALUE($A307),'changes1_based on steps'!F$1:F$400,0)),F$2,)</f>
        <v>0</v>
      </c>
      <c r="G307" s="179">
        <f ca="1">IF(ISNUMBER(MATCH(DATEVALUE($A307),'changes1_based on steps'!G$1:G$400,0)),G$2,)</f>
        <v>0</v>
      </c>
      <c r="H307" s="179">
        <f ca="1">IF(ISNUMBER(MATCH(DATEVALUE($A307),'changes1_based on steps'!H$1:H$400,0)),H$2,)</f>
        <v>0</v>
      </c>
      <c r="I307" s="179">
        <f ca="1">IF(ISNUMBER(MATCH(DATEVALUE($A307),'changes1_based on steps'!I$1:I$400,0)),I$2,)</f>
        <v>0</v>
      </c>
      <c r="J307" s="179">
        <f ca="1">IF(ISNUMBER(MATCH(DATEVALUE($A307),'changes1_based on steps'!J$1:J$400,0)),J$2,)</f>
        <v>0</v>
      </c>
      <c r="K307" s="179">
        <f ca="1">IF(ISNUMBER(MATCH(DATEVALUE($A307),'changes1_based on steps'!K$1:K$400,0)),K$2,)</f>
        <v>0</v>
      </c>
      <c r="L307" s="179">
        <f ca="1">IF(ISNUMBER(MATCH(DATEVALUE($A307),'changes1_based on steps'!L$1:L$400,0)),L$2,)</f>
        <v>0</v>
      </c>
      <c r="M307" s="179">
        <f ca="1">IF(ISNUMBER(MATCH(DATEVALUE($A307),'changes1_based on steps'!M$1:M$400,0)),M$2,)</f>
        <v>0</v>
      </c>
      <c r="N307" s="179">
        <f ca="1">IF(ISNUMBER(MATCH(DATEVALUE($A307),'changes1_based on steps'!N$1:N$400,0)),N$2,)</f>
        <v>0</v>
      </c>
      <c r="O307" s="179">
        <f ca="1">IF(ISNUMBER(MATCH(DATEVALUE($A307),'changes1_based on steps'!O$1:O$400,0)),O$2,)</f>
        <v>0</v>
      </c>
      <c r="P307" s="179">
        <f ca="1">IF(ISNUMBER(MATCH(DATEVALUE($A307),'changes1_based on steps'!P$1:P$400,0)),P$2,)</f>
        <v>0</v>
      </c>
      <c r="Q307" s="179">
        <f ca="1">IF(ISNUMBER(MATCH(DATEVALUE($A307),'changes1_based on steps'!Q$1:Q$400,0)),Q$2,)</f>
        <v>0</v>
      </c>
      <c r="R307" s="179">
        <f ca="1">IF(ISNUMBER(MATCH(DATEVALUE($A307),'changes1_based on steps'!R$1:R$400,0)),R$2,)</f>
        <v>0</v>
      </c>
      <c r="S307" s="179">
        <f ca="1">IF(ISNUMBER(MATCH(DATEVALUE($A307),'changes1_based on steps'!S$1:S$400,0)),S$2,)</f>
        <v>0</v>
      </c>
      <c r="T307" s="179">
        <f ca="1">IF(ISNUMBER(MATCH(DATEVALUE($A307),'changes1_based on steps'!T$1:T$400,0)),T$2,)</f>
        <v>0</v>
      </c>
      <c r="U307" s="179">
        <f ca="1">IF(ISNUMBER(MATCH(DATEVALUE($A307),'changes1_based on steps'!U$1:U$400,0)),U$2,)</f>
        <v>0</v>
      </c>
      <c r="V307" s="179"/>
      <c r="W307" s="179"/>
      <c r="X307" s="179"/>
      <c r="Y307" s="179"/>
      <c r="Z307" s="179"/>
      <c r="AA307" s="179"/>
      <c r="AB307" s="179"/>
      <c r="AC307" s="179"/>
      <c r="AD307" s="179"/>
      <c r="AE307" s="179"/>
      <c r="AF307" s="179"/>
      <c r="AG307" s="179"/>
      <c r="AH307" s="179"/>
      <c r="AI307" s="179"/>
      <c r="AJ307" s="179"/>
      <c r="AK307" s="179"/>
      <c r="AL307" s="179"/>
      <c r="AM307" s="179"/>
      <c r="AN307" s="179"/>
      <c r="AO307" s="179"/>
      <c r="AP307" s="179"/>
      <c r="AQ307" s="179"/>
      <c r="AR307" s="179"/>
      <c r="AS307" s="179"/>
      <c r="AT307" s="179"/>
      <c r="AU307" s="179"/>
      <c r="AV307" s="179"/>
      <c r="AW307" s="179"/>
      <c r="AX307" s="179"/>
      <c r="AY307" s="179"/>
      <c r="AZ307" s="179"/>
      <c r="BA307" s="179"/>
      <c r="BB307" s="179"/>
      <c r="BC307" s="179"/>
      <c r="BD307" s="179"/>
      <c r="BE307" s="179"/>
      <c r="BF307" s="179"/>
      <c r="BG307" s="179"/>
      <c r="BH307" s="179"/>
      <c r="BI307" s="179"/>
      <c r="BJ307" s="179"/>
      <c r="BK307" s="179"/>
      <c r="BL307" s="179"/>
      <c r="BM307" s="179"/>
      <c r="BN307" s="179"/>
      <c r="BO307" s="179"/>
      <c r="BP307" s="179"/>
      <c r="BQ307" s="179"/>
      <c r="BR307" s="179"/>
      <c r="BS307" s="179"/>
      <c r="BT307" s="179"/>
      <c r="BU307" s="179"/>
      <c r="BV307" s="179"/>
      <c r="BW307" s="179"/>
      <c r="BX307" s="179"/>
      <c r="BY307" s="179"/>
      <c r="BZ307" s="179"/>
      <c r="CA307" s="179"/>
      <c r="CB307" s="179"/>
      <c r="CC307" s="179"/>
      <c r="CD307" s="179"/>
      <c r="CE307" s="179"/>
      <c r="CF307" s="179"/>
      <c r="CG307" s="179"/>
      <c r="CH307" s="179"/>
      <c r="CI307" s="179"/>
      <c r="CJ307" s="179"/>
      <c r="CK307" s="179"/>
      <c r="CL307" s="179"/>
      <c r="CM307" s="179"/>
      <c r="CN307" s="179"/>
      <c r="CO307" s="179"/>
      <c r="CP307" s="179"/>
      <c r="CQ307" s="179"/>
      <c r="CR307" s="179"/>
      <c r="CS307" s="179"/>
      <c r="CT307" s="179"/>
      <c r="CU307" s="179"/>
      <c r="CV307" s="179"/>
      <c r="CW307" s="179"/>
    </row>
    <row r="308" spans="1:101" x14ac:dyDescent="0.2">
      <c r="A308" s="32" t="str">
        <f t="shared" ca="1" si="4"/>
        <v>2026-01-28</v>
      </c>
      <c r="B308" s="179">
        <f ca="1">IF(ISNUMBER(MATCH(DATEVALUE($A308),'changes1_based on steps'!B$1:B$400,0)),B$2,)</f>
        <v>0</v>
      </c>
      <c r="C308" s="179">
        <f ca="1">IF(ISNUMBER(MATCH(DATEVALUE($A308),'changes1_based on steps'!C$1:C$400,0)),C$2,)</f>
        <v>0</v>
      </c>
      <c r="D308" s="179">
        <f ca="1">IF(ISNUMBER(MATCH(DATEVALUE($A308),'changes1_based on steps'!D$1:D$400,0)),D$2,)</f>
        <v>0</v>
      </c>
      <c r="E308" s="179">
        <f ca="1">IF(ISNUMBER(MATCH(DATEVALUE($A308),'changes1_based on steps'!E$1:E$400,0)),E$2,)</f>
        <v>0</v>
      </c>
      <c r="F308" s="179">
        <f ca="1">IF(ISNUMBER(MATCH(DATEVALUE($A308),'changes1_based on steps'!F$1:F$400,0)),F$2,)</f>
        <v>0</v>
      </c>
      <c r="G308" s="179">
        <f ca="1">IF(ISNUMBER(MATCH(DATEVALUE($A308),'changes1_based on steps'!G$1:G$400,0)),G$2,)</f>
        <v>0</v>
      </c>
      <c r="H308" s="179">
        <f ca="1">IF(ISNUMBER(MATCH(DATEVALUE($A308),'changes1_based on steps'!H$1:H$400,0)),H$2,)</f>
        <v>0</v>
      </c>
      <c r="I308" s="179">
        <f ca="1">IF(ISNUMBER(MATCH(DATEVALUE($A308),'changes1_based on steps'!I$1:I$400,0)),I$2,)</f>
        <v>0</v>
      </c>
      <c r="J308" s="179">
        <f ca="1">IF(ISNUMBER(MATCH(DATEVALUE($A308),'changes1_based on steps'!J$1:J$400,0)),J$2,)</f>
        <v>0</v>
      </c>
      <c r="K308" s="179">
        <f ca="1">IF(ISNUMBER(MATCH(DATEVALUE($A308),'changes1_based on steps'!K$1:K$400,0)),K$2,)</f>
        <v>0</v>
      </c>
      <c r="L308" s="179">
        <f ca="1">IF(ISNUMBER(MATCH(DATEVALUE($A308),'changes1_based on steps'!L$1:L$400,0)),L$2,)</f>
        <v>0</v>
      </c>
      <c r="M308" s="179">
        <f ca="1">IF(ISNUMBER(MATCH(DATEVALUE($A308),'changes1_based on steps'!M$1:M$400,0)),M$2,)</f>
        <v>0</v>
      </c>
      <c r="N308" s="179">
        <f ca="1">IF(ISNUMBER(MATCH(DATEVALUE($A308),'changes1_based on steps'!N$1:N$400,0)),N$2,)</f>
        <v>0</v>
      </c>
      <c r="O308" s="179">
        <f ca="1">IF(ISNUMBER(MATCH(DATEVALUE($A308),'changes1_based on steps'!O$1:O$400,0)),O$2,)</f>
        <v>0</v>
      </c>
      <c r="P308" s="179">
        <f ca="1">IF(ISNUMBER(MATCH(DATEVALUE($A308),'changes1_based on steps'!P$1:P$400,0)),P$2,)</f>
        <v>0</v>
      </c>
      <c r="Q308" s="179">
        <f ca="1">IF(ISNUMBER(MATCH(DATEVALUE($A308),'changes1_based on steps'!Q$1:Q$400,0)),Q$2,)</f>
        <v>0</v>
      </c>
      <c r="R308" s="179">
        <f ca="1">IF(ISNUMBER(MATCH(DATEVALUE($A308),'changes1_based on steps'!R$1:R$400,0)),R$2,)</f>
        <v>0</v>
      </c>
      <c r="S308" s="179">
        <f ca="1">IF(ISNUMBER(MATCH(DATEVALUE($A308),'changes1_based on steps'!S$1:S$400,0)),S$2,)</f>
        <v>0</v>
      </c>
      <c r="T308" s="179">
        <f ca="1">IF(ISNUMBER(MATCH(DATEVALUE($A308),'changes1_based on steps'!T$1:T$400,0)),T$2,)</f>
        <v>0</v>
      </c>
      <c r="U308" s="179">
        <f ca="1">IF(ISNUMBER(MATCH(DATEVALUE($A308),'changes1_based on steps'!U$1:U$400,0)),U$2,)</f>
        <v>0</v>
      </c>
      <c r="V308" s="179"/>
      <c r="W308" s="179"/>
      <c r="X308" s="179"/>
      <c r="Y308" s="179"/>
      <c r="Z308" s="179"/>
      <c r="AA308" s="179"/>
      <c r="AB308" s="179"/>
      <c r="AC308" s="179"/>
      <c r="AD308" s="179"/>
      <c r="AE308" s="179"/>
      <c r="AF308" s="179"/>
      <c r="AG308" s="179"/>
      <c r="AH308" s="179"/>
      <c r="AI308" s="179"/>
      <c r="AJ308" s="179"/>
      <c r="AK308" s="179"/>
      <c r="AL308" s="179"/>
      <c r="AM308" s="179"/>
      <c r="AN308" s="179"/>
      <c r="AO308" s="179"/>
      <c r="AP308" s="179"/>
      <c r="AQ308" s="179"/>
      <c r="AR308" s="179"/>
      <c r="AS308" s="179"/>
      <c r="AT308" s="179"/>
      <c r="AU308" s="179"/>
      <c r="AV308" s="179"/>
      <c r="AW308" s="179"/>
      <c r="AX308" s="179"/>
      <c r="AY308" s="179"/>
      <c r="AZ308" s="179"/>
      <c r="BA308" s="179"/>
      <c r="BB308" s="179"/>
      <c r="BC308" s="179"/>
      <c r="BD308" s="179"/>
      <c r="BE308" s="179"/>
      <c r="BF308" s="179"/>
      <c r="BG308" s="179"/>
      <c r="BH308" s="179"/>
      <c r="BI308" s="179"/>
      <c r="BJ308" s="179"/>
      <c r="BK308" s="179"/>
      <c r="BL308" s="179"/>
      <c r="BM308" s="179"/>
      <c r="BN308" s="179"/>
      <c r="BO308" s="179"/>
      <c r="BP308" s="179"/>
      <c r="BQ308" s="179"/>
      <c r="BR308" s="179"/>
      <c r="BS308" s="179"/>
      <c r="BT308" s="179"/>
      <c r="BU308" s="179"/>
      <c r="BV308" s="179"/>
      <c r="BW308" s="179"/>
      <c r="BX308" s="179"/>
      <c r="BY308" s="179"/>
      <c r="BZ308" s="179"/>
      <c r="CA308" s="179"/>
      <c r="CB308" s="179"/>
      <c r="CC308" s="179"/>
      <c r="CD308" s="179"/>
      <c r="CE308" s="179"/>
      <c r="CF308" s="179"/>
      <c r="CG308" s="179"/>
      <c r="CH308" s="179"/>
      <c r="CI308" s="179"/>
      <c r="CJ308" s="179"/>
      <c r="CK308" s="179"/>
      <c r="CL308" s="179"/>
      <c r="CM308" s="179"/>
      <c r="CN308" s="179"/>
      <c r="CO308" s="179"/>
      <c r="CP308" s="179"/>
      <c r="CQ308" s="179"/>
      <c r="CR308" s="179"/>
      <c r="CS308" s="179"/>
      <c r="CT308" s="179"/>
      <c r="CU308" s="179"/>
      <c r="CV308" s="179"/>
      <c r="CW308" s="179"/>
    </row>
    <row r="309" spans="1:101" x14ac:dyDescent="0.2">
      <c r="A309" s="32" t="str">
        <f t="shared" ca="1" si="4"/>
        <v>2026-01-29</v>
      </c>
      <c r="B309" s="179">
        <f ca="1">IF(ISNUMBER(MATCH(DATEVALUE($A309),'changes1_based on steps'!B$1:B$400,0)),B$2,)</f>
        <v>0</v>
      </c>
      <c r="C309" s="179">
        <f ca="1">IF(ISNUMBER(MATCH(DATEVALUE($A309),'changes1_based on steps'!C$1:C$400,0)),C$2,)</f>
        <v>0</v>
      </c>
      <c r="D309" s="179">
        <f ca="1">IF(ISNUMBER(MATCH(DATEVALUE($A309),'changes1_based on steps'!D$1:D$400,0)),D$2,)</f>
        <v>0</v>
      </c>
      <c r="E309" s="179">
        <f ca="1">IF(ISNUMBER(MATCH(DATEVALUE($A309),'changes1_based on steps'!E$1:E$400,0)),E$2,)</f>
        <v>0</v>
      </c>
      <c r="F309" s="179">
        <f ca="1">IF(ISNUMBER(MATCH(DATEVALUE($A309),'changes1_based on steps'!F$1:F$400,0)),F$2,)</f>
        <v>0</v>
      </c>
      <c r="G309" s="179">
        <f ca="1">IF(ISNUMBER(MATCH(DATEVALUE($A309),'changes1_based on steps'!G$1:G$400,0)),G$2,)</f>
        <v>0</v>
      </c>
      <c r="H309" s="179">
        <f ca="1">IF(ISNUMBER(MATCH(DATEVALUE($A309),'changes1_based on steps'!H$1:H$400,0)),H$2,)</f>
        <v>0</v>
      </c>
      <c r="I309" s="179">
        <f ca="1">IF(ISNUMBER(MATCH(DATEVALUE($A309),'changes1_based on steps'!I$1:I$400,0)),I$2,)</f>
        <v>0</v>
      </c>
      <c r="J309" s="179">
        <f ca="1">IF(ISNUMBER(MATCH(DATEVALUE($A309),'changes1_based on steps'!J$1:J$400,0)),J$2,)</f>
        <v>0</v>
      </c>
      <c r="K309" s="179">
        <f ca="1">IF(ISNUMBER(MATCH(DATEVALUE($A309),'changes1_based on steps'!K$1:K$400,0)),K$2,)</f>
        <v>0</v>
      </c>
      <c r="L309" s="179">
        <f ca="1">IF(ISNUMBER(MATCH(DATEVALUE($A309),'changes1_based on steps'!L$1:L$400,0)),L$2,)</f>
        <v>0</v>
      </c>
      <c r="M309" s="179">
        <f ca="1">IF(ISNUMBER(MATCH(DATEVALUE($A309),'changes1_based on steps'!M$1:M$400,0)),M$2,)</f>
        <v>0</v>
      </c>
      <c r="N309" s="179">
        <f ca="1">IF(ISNUMBER(MATCH(DATEVALUE($A309),'changes1_based on steps'!N$1:N$400,0)),N$2,)</f>
        <v>0</v>
      </c>
      <c r="O309" s="179">
        <f ca="1">IF(ISNUMBER(MATCH(DATEVALUE($A309),'changes1_based on steps'!O$1:O$400,0)),O$2,)</f>
        <v>0</v>
      </c>
      <c r="P309" s="179">
        <f ca="1">IF(ISNUMBER(MATCH(DATEVALUE($A309),'changes1_based on steps'!P$1:P$400,0)),P$2,)</f>
        <v>0</v>
      </c>
      <c r="Q309" s="179">
        <f ca="1">IF(ISNUMBER(MATCH(DATEVALUE($A309),'changes1_based on steps'!Q$1:Q$400,0)),Q$2,)</f>
        <v>0</v>
      </c>
      <c r="R309" s="179">
        <f ca="1">IF(ISNUMBER(MATCH(DATEVALUE($A309),'changes1_based on steps'!R$1:R$400,0)),R$2,)</f>
        <v>0</v>
      </c>
      <c r="S309" s="179">
        <f ca="1">IF(ISNUMBER(MATCH(DATEVALUE($A309),'changes1_based on steps'!S$1:S$400,0)),S$2,)</f>
        <v>0</v>
      </c>
      <c r="T309" s="179">
        <f ca="1">IF(ISNUMBER(MATCH(DATEVALUE($A309),'changes1_based on steps'!T$1:T$400,0)),T$2,)</f>
        <v>0</v>
      </c>
      <c r="U309" s="179">
        <f ca="1">IF(ISNUMBER(MATCH(DATEVALUE($A309),'changes1_based on steps'!U$1:U$400,0)),U$2,)</f>
        <v>0</v>
      </c>
      <c r="V309" s="179"/>
      <c r="W309" s="179"/>
      <c r="X309" s="179"/>
      <c r="Y309" s="179"/>
      <c r="Z309" s="179"/>
      <c r="AA309" s="179"/>
      <c r="AB309" s="179"/>
      <c r="AC309" s="179"/>
      <c r="AD309" s="179"/>
      <c r="AE309" s="179"/>
      <c r="AF309" s="179"/>
      <c r="AG309" s="179"/>
      <c r="AH309" s="179"/>
      <c r="AI309" s="179"/>
      <c r="AJ309" s="179"/>
      <c r="AK309" s="179"/>
      <c r="AL309" s="179"/>
      <c r="AM309" s="179"/>
      <c r="AN309" s="179"/>
      <c r="AO309" s="179"/>
      <c r="AP309" s="179"/>
      <c r="AQ309" s="179"/>
      <c r="AR309" s="179"/>
      <c r="AS309" s="179"/>
      <c r="AT309" s="179"/>
      <c r="AU309" s="179"/>
      <c r="AV309" s="179"/>
      <c r="AW309" s="179"/>
      <c r="AX309" s="179"/>
      <c r="AY309" s="179"/>
      <c r="AZ309" s="179"/>
      <c r="BA309" s="179"/>
      <c r="BB309" s="179"/>
      <c r="BC309" s="179"/>
      <c r="BD309" s="179"/>
      <c r="BE309" s="179"/>
      <c r="BF309" s="179"/>
      <c r="BG309" s="179"/>
      <c r="BH309" s="179"/>
      <c r="BI309" s="179"/>
      <c r="BJ309" s="179"/>
      <c r="BK309" s="179"/>
      <c r="BL309" s="179"/>
      <c r="BM309" s="179"/>
      <c r="BN309" s="179"/>
      <c r="BO309" s="179"/>
      <c r="BP309" s="179"/>
      <c r="BQ309" s="179"/>
      <c r="BR309" s="179"/>
      <c r="BS309" s="179"/>
      <c r="BT309" s="179"/>
      <c r="BU309" s="179"/>
      <c r="BV309" s="179"/>
      <c r="BW309" s="179"/>
      <c r="BX309" s="179"/>
      <c r="BY309" s="179"/>
      <c r="BZ309" s="179"/>
      <c r="CA309" s="179"/>
      <c r="CB309" s="179"/>
      <c r="CC309" s="179"/>
      <c r="CD309" s="179"/>
      <c r="CE309" s="179"/>
      <c r="CF309" s="179"/>
      <c r="CG309" s="179"/>
      <c r="CH309" s="179"/>
      <c r="CI309" s="179"/>
      <c r="CJ309" s="179"/>
      <c r="CK309" s="179"/>
      <c r="CL309" s="179"/>
      <c r="CM309" s="179"/>
      <c r="CN309" s="179"/>
      <c r="CO309" s="179"/>
      <c r="CP309" s="179"/>
      <c r="CQ309" s="179"/>
      <c r="CR309" s="179"/>
      <c r="CS309" s="179"/>
      <c r="CT309" s="179"/>
      <c r="CU309" s="179"/>
      <c r="CV309" s="179"/>
      <c r="CW309" s="179"/>
    </row>
    <row r="310" spans="1:101" x14ac:dyDescent="0.2">
      <c r="A310" s="32" t="str">
        <f t="shared" ca="1" si="4"/>
        <v>2026-01-30</v>
      </c>
      <c r="B310" s="179">
        <f ca="1">IF(ISNUMBER(MATCH(DATEVALUE($A310),'changes1_based on steps'!B$1:B$400,0)),B$2,)</f>
        <v>0</v>
      </c>
      <c r="C310" s="179">
        <f ca="1">IF(ISNUMBER(MATCH(DATEVALUE($A310),'changes1_based on steps'!C$1:C$400,0)),C$2,)</f>
        <v>0</v>
      </c>
      <c r="D310" s="179">
        <f ca="1">IF(ISNUMBER(MATCH(DATEVALUE($A310),'changes1_based on steps'!D$1:D$400,0)),D$2,)</f>
        <v>0</v>
      </c>
      <c r="E310" s="179">
        <f ca="1">IF(ISNUMBER(MATCH(DATEVALUE($A310),'changes1_based on steps'!E$1:E$400,0)),E$2,)</f>
        <v>0</v>
      </c>
      <c r="F310" s="179">
        <f ca="1">IF(ISNUMBER(MATCH(DATEVALUE($A310),'changes1_based on steps'!F$1:F$400,0)),F$2,)</f>
        <v>0</v>
      </c>
      <c r="G310" s="179">
        <f ca="1">IF(ISNUMBER(MATCH(DATEVALUE($A310),'changes1_based on steps'!G$1:G$400,0)),G$2,)</f>
        <v>0</v>
      </c>
      <c r="H310" s="179">
        <f ca="1">IF(ISNUMBER(MATCH(DATEVALUE($A310),'changes1_based on steps'!H$1:H$400,0)),H$2,)</f>
        <v>0</v>
      </c>
      <c r="I310" s="179">
        <f ca="1">IF(ISNUMBER(MATCH(DATEVALUE($A310),'changes1_based on steps'!I$1:I$400,0)),I$2,)</f>
        <v>0</v>
      </c>
      <c r="J310" s="179">
        <f ca="1">IF(ISNUMBER(MATCH(DATEVALUE($A310),'changes1_based on steps'!J$1:J$400,0)),J$2,)</f>
        <v>0</v>
      </c>
      <c r="K310" s="179">
        <f ca="1">IF(ISNUMBER(MATCH(DATEVALUE($A310),'changes1_based on steps'!K$1:K$400,0)),K$2,)</f>
        <v>0</v>
      </c>
      <c r="L310" s="179">
        <f ca="1">IF(ISNUMBER(MATCH(DATEVALUE($A310),'changes1_based on steps'!L$1:L$400,0)),L$2,)</f>
        <v>0</v>
      </c>
      <c r="M310" s="179">
        <f ca="1">IF(ISNUMBER(MATCH(DATEVALUE($A310),'changes1_based on steps'!M$1:M$400,0)),M$2,)</f>
        <v>0</v>
      </c>
      <c r="N310" s="179">
        <f ca="1">IF(ISNUMBER(MATCH(DATEVALUE($A310),'changes1_based on steps'!N$1:N$400,0)),N$2,)</f>
        <v>0</v>
      </c>
      <c r="O310" s="179">
        <f ca="1">IF(ISNUMBER(MATCH(DATEVALUE($A310),'changes1_based on steps'!O$1:O$400,0)),O$2,)</f>
        <v>0</v>
      </c>
      <c r="P310" s="179">
        <f ca="1">IF(ISNUMBER(MATCH(DATEVALUE($A310),'changes1_based on steps'!P$1:P$400,0)),P$2,)</f>
        <v>0</v>
      </c>
      <c r="Q310" s="179">
        <f ca="1">IF(ISNUMBER(MATCH(DATEVALUE($A310),'changes1_based on steps'!Q$1:Q$400,0)),Q$2,)</f>
        <v>0</v>
      </c>
      <c r="R310" s="179">
        <f ca="1">IF(ISNUMBER(MATCH(DATEVALUE($A310),'changes1_based on steps'!R$1:R$400,0)),R$2,)</f>
        <v>0</v>
      </c>
      <c r="S310" s="179">
        <f ca="1">IF(ISNUMBER(MATCH(DATEVALUE($A310),'changes1_based on steps'!S$1:S$400,0)),S$2,)</f>
        <v>0</v>
      </c>
      <c r="T310" s="179">
        <f ca="1">IF(ISNUMBER(MATCH(DATEVALUE($A310),'changes1_based on steps'!T$1:T$400,0)),T$2,)</f>
        <v>0</v>
      </c>
      <c r="U310" s="179">
        <f ca="1">IF(ISNUMBER(MATCH(DATEVALUE($A310),'changes1_based on steps'!U$1:U$400,0)),U$2,)</f>
        <v>0</v>
      </c>
      <c r="V310" s="179"/>
      <c r="W310" s="179"/>
      <c r="X310" s="179"/>
      <c r="Y310" s="179"/>
      <c r="Z310" s="179"/>
      <c r="AA310" s="179"/>
      <c r="AB310" s="179"/>
      <c r="AC310" s="179"/>
      <c r="AD310" s="179"/>
      <c r="AE310" s="179"/>
      <c r="AF310" s="179"/>
      <c r="AG310" s="179"/>
      <c r="AH310" s="179"/>
      <c r="AI310" s="179"/>
      <c r="AJ310" s="179"/>
      <c r="AK310" s="179"/>
      <c r="AL310" s="179"/>
      <c r="AM310" s="179"/>
      <c r="AN310" s="179"/>
      <c r="AO310" s="179"/>
      <c r="AP310" s="179"/>
      <c r="AQ310" s="179"/>
      <c r="AR310" s="179"/>
      <c r="AS310" s="179"/>
      <c r="AT310" s="179"/>
      <c r="AU310" s="179"/>
      <c r="AV310" s="179"/>
      <c r="AW310" s="179"/>
      <c r="AX310" s="179"/>
      <c r="AY310" s="179"/>
      <c r="AZ310" s="179"/>
      <c r="BA310" s="179"/>
      <c r="BB310" s="179"/>
      <c r="BC310" s="179"/>
      <c r="BD310" s="179"/>
      <c r="BE310" s="179"/>
      <c r="BF310" s="179"/>
      <c r="BG310" s="179"/>
      <c r="BH310" s="179"/>
      <c r="BI310" s="179"/>
      <c r="BJ310" s="179"/>
      <c r="BK310" s="179"/>
      <c r="BL310" s="179"/>
      <c r="BM310" s="179"/>
      <c r="BN310" s="179"/>
      <c r="BO310" s="179"/>
      <c r="BP310" s="179"/>
      <c r="BQ310" s="179"/>
      <c r="BR310" s="179"/>
      <c r="BS310" s="179"/>
      <c r="BT310" s="179"/>
      <c r="BU310" s="179"/>
      <c r="BV310" s="179"/>
      <c r="BW310" s="179"/>
      <c r="BX310" s="179"/>
      <c r="BY310" s="179"/>
      <c r="BZ310" s="179"/>
      <c r="CA310" s="179"/>
      <c r="CB310" s="179"/>
      <c r="CC310" s="179"/>
      <c r="CD310" s="179"/>
      <c r="CE310" s="179"/>
      <c r="CF310" s="179"/>
      <c r="CG310" s="179"/>
      <c r="CH310" s="179"/>
      <c r="CI310" s="179"/>
      <c r="CJ310" s="179"/>
      <c r="CK310" s="179"/>
      <c r="CL310" s="179"/>
      <c r="CM310" s="179"/>
      <c r="CN310" s="179"/>
      <c r="CO310" s="179"/>
      <c r="CP310" s="179"/>
      <c r="CQ310" s="179"/>
      <c r="CR310" s="179"/>
      <c r="CS310" s="179"/>
      <c r="CT310" s="179"/>
      <c r="CU310" s="179"/>
      <c r="CV310" s="179"/>
      <c r="CW310" s="179"/>
    </row>
    <row r="311" spans="1:101" x14ac:dyDescent="0.2">
      <c r="A311" s="32" t="str">
        <f t="shared" ca="1" si="4"/>
        <v>2026-01-31</v>
      </c>
      <c r="B311" s="179">
        <f ca="1">IF(ISNUMBER(MATCH(DATEVALUE($A311),'changes1_based on steps'!B$1:B$400,0)),B$2,)</f>
        <v>0</v>
      </c>
      <c r="C311" s="179">
        <f ca="1">IF(ISNUMBER(MATCH(DATEVALUE($A311),'changes1_based on steps'!C$1:C$400,0)),C$2,)</f>
        <v>0</v>
      </c>
      <c r="D311" s="179">
        <f ca="1">IF(ISNUMBER(MATCH(DATEVALUE($A311),'changes1_based on steps'!D$1:D$400,0)),D$2,)</f>
        <v>0</v>
      </c>
      <c r="E311" s="179">
        <f ca="1">IF(ISNUMBER(MATCH(DATEVALUE($A311),'changes1_based on steps'!E$1:E$400,0)),E$2,)</f>
        <v>0</v>
      </c>
      <c r="F311" s="179">
        <f ca="1">IF(ISNUMBER(MATCH(DATEVALUE($A311),'changes1_based on steps'!F$1:F$400,0)),F$2,)</f>
        <v>0</v>
      </c>
      <c r="G311" s="179">
        <f ca="1">IF(ISNUMBER(MATCH(DATEVALUE($A311),'changes1_based on steps'!G$1:G$400,0)),G$2,)</f>
        <v>0</v>
      </c>
      <c r="H311" s="179">
        <f ca="1">IF(ISNUMBER(MATCH(DATEVALUE($A311),'changes1_based on steps'!H$1:H$400,0)),H$2,)</f>
        <v>0</v>
      </c>
      <c r="I311" s="179">
        <f ca="1">IF(ISNUMBER(MATCH(DATEVALUE($A311),'changes1_based on steps'!I$1:I$400,0)),I$2,)</f>
        <v>0</v>
      </c>
      <c r="J311" s="179">
        <f ca="1">IF(ISNUMBER(MATCH(DATEVALUE($A311),'changes1_based on steps'!J$1:J$400,0)),J$2,)</f>
        <v>0</v>
      </c>
      <c r="K311" s="179">
        <f ca="1">IF(ISNUMBER(MATCH(DATEVALUE($A311),'changes1_based on steps'!K$1:K$400,0)),K$2,)</f>
        <v>0</v>
      </c>
      <c r="L311" s="179">
        <f ca="1">IF(ISNUMBER(MATCH(DATEVALUE($A311),'changes1_based on steps'!L$1:L$400,0)),L$2,)</f>
        <v>0</v>
      </c>
      <c r="M311" s="179">
        <f ca="1">IF(ISNUMBER(MATCH(DATEVALUE($A311),'changes1_based on steps'!M$1:M$400,0)),M$2,)</f>
        <v>0</v>
      </c>
      <c r="N311" s="179">
        <f ca="1">IF(ISNUMBER(MATCH(DATEVALUE($A311),'changes1_based on steps'!N$1:N$400,0)),N$2,)</f>
        <v>0</v>
      </c>
      <c r="O311" s="179">
        <f ca="1">IF(ISNUMBER(MATCH(DATEVALUE($A311),'changes1_based on steps'!O$1:O$400,0)),O$2,)</f>
        <v>0</v>
      </c>
      <c r="P311" s="179">
        <f ca="1">IF(ISNUMBER(MATCH(DATEVALUE($A311),'changes1_based on steps'!P$1:P$400,0)),P$2,)</f>
        <v>0</v>
      </c>
      <c r="Q311" s="179">
        <f ca="1">IF(ISNUMBER(MATCH(DATEVALUE($A311),'changes1_based on steps'!Q$1:Q$400,0)),Q$2,)</f>
        <v>0</v>
      </c>
      <c r="R311" s="179">
        <f ca="1">IF(ISNUMBER(MATCH(DATEVALUE($A311),'changes1_based on steps'!R$1:R$400,0)),R$2,)</f>
        <v>0</v>
      </c>
      <c r="S311" s="179">
        <f ca="1">IF(ISNUMBER(MATCH(DATEVALUE($A311),'changes1_based on steps'!S$1:S$400,0)),S$2,)</f>
        <v>0</v>
      </c>
      <c r="T311" s="179">
        <f ca="1">IF(ISNUMBER(MATCH(DATEVALUE($A311),'changes1_based on steps'!T$1:T$400,0)),T$2,)</f>
        <v>0</v>
      </c>
      <c r="U311" s="179">
        <f ca="1">IF(ISNUMBER(MATCH(DATEVALUE($A311),'changes1_based on steps'!U$1:U$400,0)),U$2,)</f>
        <v>0</v>
      </c>
      <c r="V311" s="179"/>
      <c r="W311" s="179"/>
      <c r="X311" s="179"/>
      <c r="Y311" s="179"/>
      <c r="Z311" s="179"/>
      <c r="AA311" s="179"/>
      <c r="AB311" s="179"/>
      <c r="AC311" s="179"/>
      <c r="AD311" s="179"/>
      <c r="AE311" s="179"/>
      <c r="AF311" s="179"/>
      <c r="AG311" s="179"/>
      <c r="AH311" s="179"/>
      <c r="AI311" s="179"/>
      <c r="AJ311" s="179"/>
      <c r="AK311" s="179"/>
      <c r="AL311" s="179"/>
      <c r="AM311" s="179"/>
      <c r="AN311" s="179"/>
      <c r="AO311" s="179"/>
      <c r="AP311" s="179"/>
      <c r="AQ311" s="179"/>
      <c r="AR311" s="179"/>
      <c r="AS311" s="179"/>
      <c r="AT311" s="179"/>
      <c r="AU311" s="179"/>
      <c r="AV311" s="179"/>
      <c r="AW311" s="179"/>
      <c r="AX311" s="179"/>
      <c r="AY311" s="179"/>
      <c r="AZ311" s="179"/>
      <c r="BA311" s="179"/>
      <c r="BB311" s="179"/>
      <c r="BC311" s="179"/>
      <c r="BD311" s="179"/>
      <c r="BE311" s="179"/>
      <c r="BF311" s="179"/>
      <c r="BG311" s="179"/>
      <c r="BH311" s="179"/>
      <c r="BI311" s="179"/>
      <c r="BJ311" s="179"/>
      <c r="BK311" s="179"/>
      <c r="BL311" s="179"/>
      <c r="BM311" s="179"/>
      <c r="BN311" s="179"/>
      <c r="BO311" s="179"/>
      <c r="BP311" s="179"/>
      <c r="BQ311" s="179"/>
      <c r="BR311" s="179"/>
      <c r="BS311" s="179"/>
      <c r="BT311" s="179"/>
      <c r="BU311" s="179"/>
      <c r="BV311" s="179"/>
      <c r="BW311" s="179"/>
      <c r="BX311" s="179"/>
      <c r="BY311" s="179"/>
      <c r="BZ311" s="179"/>
      <c r="CA311" s="179"/>
      <c r="CB311" s="179"/>
      <c r="CC311" s="179"/>
      <c r="CD311" s="179"/>
      <c r="CE311" s="179"/>
      <c r="CF311" s="179"/>
      <c r="CG311" s="179"/>
      <c r="CH311" s="179"/>
      <c r="CI311" s="179"/>
      <c r="CJ311" s="179"/>
      <c r="CK311" s="179"/>
      <c r="CL311" s="179"/>
      <c r="CM311" s="179"/>
      <c r="CN311" s="179"/>
      <c r="CO311" s="179"/>
      <c r="CP311" s="179"/>
      <c r="CQ311" s="179"/>
      <c r="CR311" s="179"/>
      <c r="CS311" s="179"/>
      <c r="CT311" s="179"/>
      <c r="CU311" s="179"/>
      <c r="CV311" s="179"/>
      <c r="CW311" s="179"/>
    </row>
    <row r="312" spans="1:101" x14ac:dyDescent="0.2">
      <c r="A312" s="32" t="str">
        <f t="shared" ca="1" si="4"/>
        <v>2026-02-01</v>
      </c>
      <c r="B312" s="179">
        <f ca="1">IF(ISNUMBER(MATCH(DATEVALUE($A312),'changes1_based on steps'!B$1:B$400,0)),B$2,)</f>
        <v>0</v>
      </c>
      <c r="C312" s="179">
        <f ca="1">IF(ISNUMBER(MATCH(DATEVALUE($A312),'changes1_based on steps'!C$1:C$400,0)),C$2,)</f>
        <v>0</v>
      </c>
      <c r="D312" s="179">
        <f ca="1">IF(ISNUMBER(MATCH(DATEVALUE($A312),'changes1_based on steps'!D$1:D$400,0)),D$2,)</f>
        <v>0</v>
      </c>
      <c r="E312" s="179">
        <f ca="1">IF(ISNUMBER(MATCH(DATEVALUE($A312),'changes1_based on steps'!E$1:E$400,0)),E$2,)</f>
        <v>0</v>
      </c>
      <c r="F312" s="179">
        <f ca="1">IF(ISNUMBER(MATCH(DATEVALUE($A312),'changes1_based on steps'!F$1:F$400,0)),F$2,)</f>
        <v>0</v>
      </c>
      <c r="G312" s="179">
        <f ca="1">IF(ISNUMBER(MATCH(DATEVALUE($A312),'changes1_based on steps'!G$1:G$400,0)),G$2,)</f>
        <v>0</v>
      </c>
      <c r="H312" s="179">
        <f ca="1">IF(ISNUMBER(MATCH(DATEVALUE($A312),'changes1_based on steps'!H$1:H$400,0)),H$2,)</f>
        <v>0</v>
      </c>
      <c r="I312" s="179">
        <f ca="1">IF(ISNUMBER(MATCH(DATEVALUE($A312),'changes1_based on steps'!I$1:I$400,0)),I$2,)</f>
        <v>0</v>
      </c>
      <c r="J312" s="179">
        <f ca="1">IF(ISNUMBER(MATCH(DATEVALUE($A312),'changes1_based on steps'!J$1:J$400,0)),J$2,)</f>
        <v>0</v>
      </c>
      <c r="K312" s="179">
        <f ca="1">IF(ISNUMBER(MATCH(DATEVALUE($A312),'changes1_based on steps'!K$1:K$400,0)),K$2,)</f>
        <v>0</v>
      </c>
      <c r="L312" s="179">
        <f ca="1">IF(ISNUMBER(MATCH(DATEVALUE($A312),'changes1_based on steps'!L$1:L$400,0)),L$2,)</f>
        <v>0</v>
      </c>
      <c r="M312" s="179">
        <f ca="1">IF(ISNUMBER(MATCH(DATEVALUE($A312),'changes1_based on steps'!M$1:M$400,0)),M$2,)</f>
        <v>0</v>
      </c>
      <c r="N312" s="179">
        <f ca="1">IF(ISNUMBER(MATCH(DATEVALUE($A312),'changes1_based on steps'!N$1:N$400,0)),N$2,)</f>
        <v>0</v>
      </c>
      <c r="O312" s="179">
        <f ca="1">IF(ISNUMBER(MATCH(DATEVALUE($A312),'changes1_based on steps'!O$1:O$400,0)),O$2,)</f>
        <v>0</v>
      </c>
      <c r="P312" s="179">
        <f ca="1">IF(ISNUMBER(MATCH(DATEVALUE($A312),'changes1_based on steps'!P$1:P$400,0)),P$2,)</f>
        <v>0</v>
      </c>
      <c r="Q312" s="179">
        <f ca="1">IF(ISNUMBER(MATCH(DATEVALUE($A312),'changes1_based on steps'!Q$1:Q$400,0)),Q$2,)</f>
        <v>0</v>
      </c>
      <c r="R312" s="179">
        <f ca="1">IF(ISNUMBER(MATCH(DATEVALUE($A312),'changes1_based on steps'!R$1:R$400,0)),R$2,)</f>
        <v>0</v>
      </c>
      <c r="S312" s="179">
        <f ca="1">IF(ISNUMBER(MATCH(DATEVALUE($A312),'changes1_based on steps'!S$1:S$400,0)),S$2,)</f>
        <v>0</v>
      </c>
      <c r="T312" s="179">
        <f ca="1">IF(ISNUMBER(MATCH(DATEVALUE($A312),'changes1_based on steps'!T$1:T$400,0)),T$2,)</f>
        <v>0</v>
      </c>
      <c r="U312" s="179">
        <f ca="1">IF(ISNUMBER(MATCH(DATEVALUE($A312),'changes1_based on steps'!U$1:U$400,0)),U$2,)</f>
        <v>0</v>
      </c>
      <c r="V312" s="179"/>
      <c r="W312" s="179"/>
      <c r="X312" s="179"/>
      <c r="Y312" s="179"/>
      <c r="Z312" s="179"/>
      <c r="AA312" s="179"/>
      <c r="AB312" s="179"/>
      <c r="AC312" s="179"/>
      <c r="AD312" s="179"/>
      <c r="AE312" s="179"/>
      <c r="AF312" s="179"/>
      <c r="AG312" s="179"/>
      <c r="AH312" s="179"/>
      <c r="AI312" s="179"/>
      <c r="AJ312" s="179"/>
      <c r="AK312" s="179"/>
      <c r="AL312" s="179"/>
      <c r="AM312" s="179"/>
      <c r="AN312" s="179"/>
      <c r="AO312" s="179"/>
      <c r="AP312" s="179"/>
      <c r="AQ312" s="179"/>
      <c r="AR312" s="179"/>
      <c r="AS312" s="179"/>
      <c r="AT312" s="179"/>
      <c r="AU312" s="179"/>
      <c r="AV312" s="179"/>
      <c r="AW312" s="179"/>
      <c r="AX312" s="179"/>
      <c r="AY312" s="179"/>
      <c r="AZ312" s="179"/>
      <c r="BA312" s="179"/>
      <c r="BB312" s="179"/>
      <c r="BC312" s="179"/>
      <c r="BD312" s="179"/>
      <c r="BE312" s="179"/>
      <c r="BF312" s="179"/>
      <c r="BG312" s="179"/>
      <c r="BH312" s="179"/>
      <c r="BI312" s="179"/>
      <c r="BJ312" s="179"/>
      <c r="BK312" s="179"/>
      <c r="BL312" s="179"/>
      <c r="BM312" s="179"/>
      <c r="BN312" s="179"/>
      <c r="BO312" s="179"/>
      <c r="BP312" s="179"/>
      <c r="BQ312" s="179"/>
      <c r="BR312" s="179"/>
      <c r="BS312" s="179"/>
      <c r="BT312" s="179"/>
      <c r="BU312" s="179"/>
      <c r="BV312" s="179"/>
      <c r="BW312" s="179"/>
      <c r="BX312" s="179"/>
      <c r="BY312" s="179"/>
      <c r="BZ312" s="179"/>
      <c r="CA312" s="179"/>
      <c r="CB312" s="179"/>
      <c r="CC312" s="179"/>
      <c r="CD312" s="179"/>
      <c r="CE312" s="179"/>
      <c r="CF312" s="179"/>
      <c r="CG312" s="179"/>
      <c r="CH312" s="179"/>
      <c r="CI312" s="179"/>
      <c r="CJ312" s="179"/>
      <c r="CK312" s="179"/>
      <c r="CL312" s="179"/>
      <c r="CM312" s="179"/>
      <c r="CN312" s="179"/>
      <c r="CO312" s="179"/>
      <c r="CP312" s="179"/>
      <c r="CQ312" s="179"/>
      <c r="CR312" s="179"/>
      <c r="CS312" s="179"/>
      <c r="CT312" s="179"/>
      <c r="CU312" s="179"/>
      <c r="CV312" s="179"/>
      <c r="CW312" s="179"/>
    </row>
    <row r="313" spans="1:101" x14ac:dyDescent="0.2">
      <c r="A313" s="32" t="str">
        <f t="shared" ca="1" si="4"/>
        <v>2026-02-02</v>
      </c>
      <c r="B313" s="179">
        <f ca="1">IF(ISNUMBER(MATCH(DATEVALUE($A313),'changes1_based on steps'!B$1:B$400,0)),B$2,)</f>
        <v>0</v>
      </c>
      <c r="C313" s="179">
        <f ca="1">IF(ISNUMBER(MATCH(DATEVALUE($A313),'changes1_based on steps'!C$1:C$400,0)),C$2,)</f>
        <v>0</v>
      </c>
      <c r="D313" s="179">
        <f ca="1">IF(ISNUMBER(MATCH(DATEVALUE($A313),'changes1_based on steps'!D$1:D$400,0)),D$2,)</f>
        <v>0</v>
      </c>
      <c r="E313" s="179">
        <f ca="1">IF(ISNUMBER(MATCH(DATEVALUE($A313),'changes1_based on steps'!E$1:E$400,0)),E$2,)</f>
        <v>0</v>
      </c>
      <c r="F313" s="179">
        <f ca="1">IF(ISNUMBER(MATCH(DATEVALUE($A313),'changes1_based on steps'!F$1:F$400,0)),F$2,)</f>
        <v>0</v>
      </c>
      <c r="G313" s="179">
        <f ca="1">IF(ISNUMBER(MATCH(DATEVALUE($A313),'changes1_based on steps'!G$1:G$400,0)),G$2,)</f>
        <v>0</v>
      </c>
      <c r="H313" s="179">
        <f ca="1">IF(ISNUMBER(MATCH(DATEVALUE($A313),'changes1_based on steps'!H$1:H$400,0)),H$2,)</f>
        <v>0</v>
      </c>
      <c r="I313" s="179">
        <f ca="1">IF(ISNUMBER(MATCH(DATEVALUE($A313),'changes1_based on steps'!I$1:I$400,0)),I$2,)</f>
        <v>0</v>
      </c>
      <c r="J313" s="179">
        <f ca="1">IF(ISNUMBER(MATCH(DATEVALUE($A313),'changes1_based on steps'!J$1:J$400,0)),J$2,)</f>
        <v>0</v>
      </c>
      <c r="K313" s="179">
        <f ca="1">IF(ISNUMBER(MATCH(DATEVALUE($A313),'changes1_based on steps'!K$1:K$400,0)),K$2,)</f>
        <v>0</v>
      </c>
      <c r="L313" s="179">
        <f ca="1">IF(ISNUMBER(MATCH(DATEVALUE($A313),'changes1_based on steps'!L$1:L$400,0)),L$2,)</f>
        <v>0</v>
      </c>
      <c r="M313" s="179">
        <f ca="1">IF(ISNUMBER(MATCH(DATEVALUE($A313),'changes1_based on steps'!M$1:M$400,0)),M$2,)</f>
        <v>0</v>
      </c>
      <c r="N313" s="179">
        <f ca="1">IF(ISNUMBER(MATCH(DATEVALUE($A313),'changes1_based on steps'!N$1:N$400,0)),N$2,)</f>
        <v>0</v>
      </c>
      <c r="O313" s="179">
        <f ca="1">IF(ISNUMBER(MATCH(DATEVALUE($A313),'changes1_based on steps'!O$1:O$400,0)),O$2,)</f>
        <v>0</v>
      </c>
      <c r="P313" s="179">
        <f ca="1">IF(ISNUMBER(MATCH(DATEVALUE($A313),'changes1_based on steps'!P$1:P$400,0)),P$2,)</f>
        <v>0</v>
      </c>
      <c r="Q313" s="179">
        <f ca="1">IF(ISNUMBER(MATCH(DATEVALUE($A313),'changes1_based on steps'!Q$1:Q$400,0)),Q$2,)</f>
        <v>0</v>
      </c>
      <c r="R313" s="179">
        <f ca="1">IF(ISNUMBER(MATCH(DATEVALUE($A313),'changes1_based on steps'!R$1:R$400,0)),R$2,)</f>
        <v>0</v>
      </c>
      <c r="S313" s="179">
        <f ca="1">IF(ISNUMBER(MATCH(DATEVALUE($A313),'changes1_based on steps'!S$1:S$400,0)),S$2,)</f>
        <v>0</v>
      </c>
      <c r="T313" s="179">
        <f ca="1">IF(ISNUMBER(MATCH(DATEVALUE($A313),'changes1_based on steps'!T$1:T$400,0)),T$2,)</f>
        <v>0</v>
      </c>
      <c r="U313" s="179">
        <f ca="1">IF(ISNUMBER(MATCH(DATEVALUE($A313),'changes1_based on steps'!U$1:U$400,0)),U$2,)</f>
        <v>0</v>
      </c>
      <c r="V313" s="179"/>
      <c r="W313" s="179"/>
      <c r="X313" s="179"/>
      <c r="Y313" s="179"/>
      <c r="Z313" s="179"/>
      <c r="AA313" s="179"/>
      <c r="AB313" s="179"/>
      <c r="AC313" s="179"/>
      <c r="AD313" s="179"/>
      <c r="AE313" s="179"/>
      <c r="AF313" s="179"/>
      <c r="AG313" s="179"/>
      <c r="AH313" s="179"/>
      <c r="AI313" s="179"/>
      <c r="AJ313" s="179"/>
      <c r="AK313" s="179"/>
      <c r="AL313" s="179"/>
      <c r="AM313" s="179"/>
      <c r="AN313" s="179"/>
      <c r="AO313" s="179"/>
      <c r="AP313" s="179"/>
      <c r="AQ313" s="179"/>
      <c r="AR313" s="179"/>
      <c r="AS313" s="179"/>
      <c r="AT313" s="179"/>
      <c r="AU313" s="179"/>
      <c r="AV313" s="179"/>
      <c r="AW313" s="179"/>
      <c r="AX313" s="179"/>
      <c r="AY313" s="179"/>
      <c r="AZ313" s="179"/>
      <c r="BA313" s="179"/>
      <c r="BB313" s="179"/>
      <c r="BC313" s="179"/>
      <c r="BD313" s="179"/>
      <c r="BE313" s="179"/>
      <c r="BF313" s="179"/>
      <c r="BG313" s="179"/>
      <c r="BH313" s="179"/>
      <c r="BI313" s="179"/>
      <c r="BJ313" s="179"/>
      <c r="BK313" s="179"/>
      <c r="BL313" s="179"/>
      <c r="BM313" s="179"/>
      <c r="BN313" s="179"/>
      <c r="BO313" s="179"/>
      <c r="BP313" s="179"/>
      <c r="BQ313" s="179"/>
      <c r="BR313" s="179"/>
      <c r="BS313" s="179"/>
      <c r="BT313" s="179"/>
      <c r="BU313" s="179"/>
      <c r="BV313" s="179"/>
      <c r="BW313" s="179"/>
      <c r="BX313" s="179"/>
      <c r="BY313" s="179"/>
      <c r="BZ313" s="179"/>
      <c r="CA313" s="179"/>
      <c r="CB313" s="179"/>
      <c r="CC313" s="179"/>
      <c r="CD313" s="179"/>
      <c r="CE313" s="179"/>
      <c r="CF313" s="179"/>
      <c r="CG313" s="179"/>
      <c r="CH313" s="179"/>
      <c r="CI313" s="179"/>
      <c r="CJ313" s="179"/>
      <c r="CK313" s="179"/>
      <c r="CL313" s="179"/>
      <c r="CM313" s="179"/>
      <c r="CN313" s="179"/>
      <c r="CO313" s="179"/>
      <c r="CP313" s="179"/>
      <c r="CQ313" s="179"/>
      <c r="CR313" s="179"/>
      <c r="CS313" s="179"/>
      <c r="CT313" s="179"/>
      <c r="CU313" s="179"/>
      <c r="CV313" s="179"/>
      <c r="CW313" s="179"/>
    </row>
    <row r="314" spans="1:101" x14ac:dyDescent="0.2">
      <c r="A314" s="32" t="str">
        <f t="shared" ca="1" si="4"/>
        <v>2026-02-03</v>
      </c>
      <c r="B314" s="179">
        <f ca="1">IF(ISNUMBER(MATCH(DATEVALUE($A314),'changes1_based on steps'!B$1:B$400,0)),B$2,)</f>
        <v>0</v>
      </c>
      <c r="C314" s="179">
        <f ca="1">IF(ISNUMBER(MATCH(DATEVALUE($A314),'changes1_based on steps'!C$1:C$400,0)),C$2,)</f>
        <v>0</v>
      </c>
      <c r="D314" s="179">
        <f ca="1">IF(ISNUMBER(MATCH(DATEVALUE($A314),'changes1_based on steps'!D$1:D$400,0)),D$2,)</f>
        <v>0</v>
      </c>
      <c r="E314" s="179">
        <f ca="1">IF(ISNUMBER(MATCH(DATEVALUE($A314),'changes1_based on steps'!E$1:E$400,0)),E$2,)</f>
        <v>0</v>
      </c>
      <c r="F314" s="179">
        <f ca="1">IF(ISNUMBER(MATCH(DATEVALUE($A314),'changes1_based on steps'!F$1:F$400,0)),F$2,)</f>
        <v>0</v>
      </c>
      <c r="G314" s="179">
        <f ca="1">IF(ISNUMBER(MATCH(DATEVALUE($A314),'changes1_based on steps'!G$1:G$400,0)),G$2,)</f>
        <v>0</v>
      </c>
      <c r="H314" s="179">
        <f ca="1">IF(ISNUMBER(MATCH(DATEVALUE($A314),'changes1_based on steps'!H$1:H$400,0)),H$2,)</f>
        <v>0</v>
      </c>
      <c r="I314" s="179">
        <f ca="1">IF(ISNUMBER(MATCH(DATEVALUE($A314),'changes1_based on steps'!I$1:I$400,0)),I$2,)</f>
        <v>0</v>
      </c>
      <c r="J314" s="179">
        <f ca="1">IF(ISNUMBER(MATCH(DATEVALUE($A314),'changes1_based on steps'!J$1:J$400,0)),J$2,)</f>
        <v>0</v>
      </c>
      <c r="K314" s="179">
        <f ca="1">IF(ISNUMBER(MATCH(DATEVALUE($A314),'changes1_based on steps'!K$1:K$400,0)),K$2,)</f>
        <v>0</v>
      </c>
      <c r="L314" s="179">
        <f ca="1">IF(ISNUMBER(MATCH(DATEVALUE($A314),'changes1_based on steps'!L$1:L$400,0)),L$2,)</f>
        <v>0</v>
      </c>
      <c r="M314" s="179">
        <f ca="1">IF(ISNUMBER(MATCH(DATEVALUE($A314),'changes1_based on steps'!M$1:M$400,0)),M$2,)</f>
        <v>0</v>
      </c>
      <c r="N314" s="179">
        <f ca="1">IF(ISNUMBER(MATCH(DATEVALUE($A314),'changes1_based on steps'!N$1:N$400,0)),N$2,)</f>
        <v>0</v>
      </c>
      <c r="O314" s="179">
        <f ca="1">IF(ISNUMBER(MATCH(DATEVALUE($A314),'changes1_based on steps'!O$1:O$400,0)),O$2,)</f>
        <v>0</v>
      </c>
      <c r="P314" s="179">
        <f ca="1">IF(ISNUMBER(MATCH(DATEVALUE($A314),'changes1_based on steps'!P$1:P$400,0)),P$2,)</f>
        <v>0</v>
      </c>
      <c r="Q314" s="179">
        <f ca="1">IF(ISNUMBER(MATCH(DATEVALUE($A314),'changes1_based on steps'!Q$1:Q$400,0)),Q$2,)</f>
        <v>0</v>
      </c>
      <c r="R314" s="179">
        <f ca="1">IF(ISNUMBER(MATCH(DATEVALUE($A314),'changes1_based on steps'!R$1:R$400,0)),R$2,)</f>
        <v>0</v>
      </c>
      <c r="S314" s="179">
        <f ca="1">IF(ISNUMBER(MATCH(DATEVALUE($A314),'changes1_based on steps'!S$1:S$400,0)),S$2,)</f>
        <v>0</v>
      </c>
      <c r="T314" s="179">
        <f ca="1">IF(ISNUMBER(MATCH(DATEVALUE($A314),'changes1_based on steps'!T$1:T$400,0)),T$2,)</f>
        <v>0</v>
      </c>
      <c r="U314" s="179">
        <f ca="1">IF(ISNUMBER(MATCH(DATEVALUE($A314),'changes1_based on steps'!U$1:U$400,0)),U$2,)</f>
        <v>0</v>
      </c>
      <c r="V314" s="179"/>
      <c r="W314" s="179"/>
      <c r="X314" s="179"/>
      <c r="Y314" s="179"/>
      <c r="Z314" s="179"/>
      <c r="AA314" s="179"/>
      <c r="AB314" s="179"/>
      <c r="AC314" s="179"/>
      <c r="AD314" s="179"/>
      <c r="AE314" s="179"/>
      <c r="AF314" s="179"/>
      <c r="AG314" s="179"/>
      <c r="AH314" s="179"/>
      <c r="AI314" s="179"/>
      <c r="AJ314" s="179"/>
      <c r="AK314" s="179"/>
      <c r="AL314" s="179"/>
      <c r="AM314" s="179"/>
      <c r="AN314" s="179"/>
      <c r="AO314" s="179"/>
      <c r="AP314" s="179"/>
      <c r="AQ314" s="179"/>
      <c r="AR314" s="179"/>
      <c r="AS314" s="179"/>
      <c r="AT314" s="179"/>
      <c r="AU314" s="179"/>
      <c r="AV314" s="179"/>
      <c r="AW314" s="179"/>
      <c r="AX314" s="179"/>
      <c r="AY314" s="179"/>
      <c r="AZ314" s="179"/>
      <c r="BA314" s="179"/>
      <c r="BB314" s="179"/>
      <c r="BC314" s="179"/>
      <c r="BD314" s="179"/>
      <c r="BE314" s="179"/>
      <c r="BF314" s="179"/>
      <c r="BG314" s="179"/>
      <c r="BH314" s="179"/>
      <c r="BI314" s="179"/>
      <c r="BJ314" s="179"/>
      <c r="BK314" s="179"/>
      <c r="BL314" s="179"/>
      <c r="BM314" s="179"/>
      <c r="BN314" s="179"/>
      <c r="BO314" s="179"/>
      <c r="BP314" s="179"/>
      <c r="BQ314" s="179"/>
      <c r="BR314" s="179"/>
      <c r="BS314" s="179"/>
      <c r="BT314" s="179"/>
      <c r="BU314" s="179"/>
      <c r="BV314" s="179"/>
      <c r="BW314" s="179"/>
      <c r="BX314" s="179"/>
      <c r="BY314" s="179"/>
      <c r="BZ314" s="179"/>
      <c r="CA314" s="179"/>
      <c r="CB314" s="179"/>
      <c r="CC314" s="179"/>
      <c r="CD314" s="179"/>
      <c r="CE314" s="179"/>
      <c r="CF314" s="179"/>
      <c r="CG314" s="179"/>
      <c r="CH314" s="179"/>
      <c r="CI314" s="179"/>
      <c r="CJ314" s="179"/>
      <c r="CK314" s="179"/>
      <c r="CL314" s="179"/>
      <c r="CM314" s="179"/>
      <c r="CN314" s="179"/>
      <c r="CO314" s="179"/>
      <c r="CP314" s="179"/>
      <c r="CQ314" s="179"/>
      <c r="CR314" s="179"/>
      <c r="CS314" s="179"/>
      <c r="CT314" s="179"/>
      <c r="CU314" s="179"/>
      <c r="CV314" s="179"/>
      <c r="CW314" s="179"/>
    </row>
    <row r="315" spans="1:101" x14ac:dyDescent="0.2">
      <c r="A315" s="32" t="str">
        <f t="shared" ca="1" si="4"/>
        <v>2026-02-04</v>
      </c>
      <c r="B315" s="179">
        <f ca="1">IF(ISNUMBER(MATCH(DATEVALUE($A315),'changes1_based on steps'!B$1:B$400,0)),B$2,)</f>
        <v>0</v>
      </c>
      <c r="C315" s="179">
        <f ca="1">IF(ISNUMBER(MATCH(DATEVALUE($A315),'changes1_based on steps'!C$1:C$400,0)),C$2,)</f>
        <v>0</v>
      </c>
      <c r="D315" s="179">
        <f ca="1">IF(ISNUMBER(MATCH(DATEVALUE($A315),'changes1_based on steps'!D$1:D$400,0)),D$2,)</f>
        <v>0</v>
      </c>
      <c r="E315" s="179">
        <f ca="1">IF(ISNUMBER(MATCH(DATEVALUE($A315),'changes1_based on steps'!E$1:E$400,0)),E$2,)</f>
        <v>0</v>
      </c>
      <c r="F315" s="179">
        <f ca="1">IF(ISNUMBER(MATCH(DATEVALUE($A315),'changes1_based on steps'!F$1:F$400,0)),F$2,)</f>
        <v>0</v>
      </c>
      <c r="G315" s="179">
        <f ca="1">IF(ISNUMBER(MATCH(DATEVALUE($A315),'changes1_based on steps'!G$1:G$400,0)),G$2,)</f>
        <v>0</v>
      </c>
      <c r="H315" s="179">
        <f ca="1">IF(ISNUMBER(MATCH(DATEVALUE($A315),'changes1_based on steps'!H$1:H$400,0)),H$2,)</f>
        <v>0</v>
      </c>
      <c r="I315" s="179">
        <f ca="1">IF(ISNUMBER(MATCH(DATEVALUE($A315),'changes1_based on steps'!I$1:I$400,0)),I$2,)</f>
        <v>0</v>
      </c>
      <c r="J315" s="179">
        <f ca="1">IF(ISNUMBER(MATCH(DATEVALUE($A315),'changes1_based on steps'!J$1:J$400,0)),J$2,)</f>
        <v>0</v>
      </c>
      <c r="K315" s="179">
        <f ca="1">IF(ISNUMBER(MATCH(DATEVALUE($A315),'changes1_based on steps'!K$1:K$400,0)),K$2,)</f>
        <v>0</v>
      </c>
      <c r="L315" s="179">
        <f ca="1">IF(ISNUMBER(MATCH(DATEVALUE($A315),'changes1_based on steps'!L$1:L$400,0)),L$2,)</f>
        <v>0</v>
      </c>
      <c r="M315" s="179">
        <f ca="1">IF(ISNUMBER(MATCH(DATEVALUE($A315),'changes1_based on steps'!M$1:M$400,0)),M$2,)</f>
        <v>0</v>
      </c>
      <c r="N315" s="179">
        <f ca="1">IF(ISNUMBER(MATCH(DATEVALUE($A315),'changes1_based on steps'!N$1:N$400,0)),N$2,)</f>
        <v>0</v>
      </c>
      <c r="O315" s="179">
        <f ca="1">IF(ISNUMBER(MATCH(DATEVALUE($A315),'changes1_based on steps'!O$1:O$400,0)),O$2,)</f>
        <v>0</v>
      </c>
      <c r="P315" s="179">
        <f ca="1">IF(ISNUMBER(MATCH(DATEVALUE($A315),'changes1_based on steps'!P$1:P$400,0)),P$2,)</f>
        <v>0</v>
      </c>
      <c r="Q315" s="179">
        <f ca="1">IF(ISNUMBER(MATCH(DATEVALUE($A315),'changes1_based on steps'!Q$1:Q$400,0)),Q$2,)</f>
        <v>0</v>
      </c>
      <c r="R315" s="179">
        <f ca="1">IF(ISNUMBER(MATCH(DATEVALUE($A315),'changes1_based on steps'!R$1:R$400,0)),R$2,)</f>
        <v>0</v>
      </c>
      <c r="S315" s="179">
        <f ca="1">IF(ISNUMBER(MATCH(DATEVALUE($A315),'changes1_based on steps'!S$1:S$400,0)),S$2,)</f>
        <v>0</v>
      </c>
      <c r="T315" s="179">
        <f ca="1">IF(ISNUMBER(MATCH(DATEVALUE($A315),'changes1_based on steps'!T$1:T$400,0)),T$2,)</f>
        <v>0</v>
      </c>
      <c r="U315" s="179">
        <f ca="1">IF(ISNUMBER(MATCH(DATEVALUE($A315),'changes1_based on steps'!U$1:U$400,0)),U$2,)</f>
        <v>0</v>
      </c>
      <c r="V315" s="179"/>
      <c r="W315" s="179"/>
      <c r="X315" s="179"/>
      <c r="Y315" s="179"/>
      <c r="Z315" s="179"/>
      <c r="AA315" s="179"/>
      <c r="AB315" s="179"/>
      <c r="AC315" s="179"/>
      <c r="AD315" s="179"/>
      <c r="AE315" s="179"/>
      <c r="AF315" s="179"/>
      <c r="AG315" s="179"/>
      <c r="AH315" s="179"/>
      <c r="AI315" s="179"/>
      <c r="AJ315" s="179"/>
      <c r="AK315" s="179"/>
      <c r="AL315" s="179"/>
      <c r="AM315" s="179"/>
      <c r="AN315" s="179"/>
      <c r="AO315" s="179"/>
      <c r="AP315" s="179"/>
      <c r="AQ315" s="179"/>
      <c r="AR315" s="179"/>
      <c r="AS315" s="179"/>
      <c r="AT315" s="179"/>
      <c r="AU315" s="179"/>
      <c r="AV315" s="179"/>
      <c r="AW315" s="179"/>
      <c r="AX315" s="179"/>
      <c r="AY315" s="179"/>
      <c r="AZ315" s="179"/>
      <c r="BA315" s="179"/>
      <c r="BB315" s="179"/>
      <c r="BC315" s="179"/>
      <c r="BD315" s="179"/>
      <c r="BE315" s="179"/>
      <c r="BF315" s="179"/>
      <c r="BG315" s="179"/>
      <c r="BH315" s="179"/>
      <c r="BI315" s="179"/>
      <c r="BJ315" s="179"/>
      <c r="BK315" s="179"/>
      <c r="BL315" s="179"/>
      <c r="BM315" s="179"/>
      <c r="BN315" s="179"/>
      <c r="BO315" s="179"/>
      <c r="BP315" s="179"/>
      <c r="BQ315" s="179"/>
      <c r="BR315" s="179"/>
      <c r="BS315" s="179"/>
      <c r="BT315" s="179"/>
      <c r="BU315" s="179"/>
      <c r="BV315" s="179"/>
      <c r="BW315" s="179"/>
      <c r="BX315" s="179"/>
      <c r="BY315" s="179"/>
      <c r="BZ315" s="179"/>
      <c r="CA315" s="179"/>
      <c r="CB315" s="179"/>
      <c r="CC315" s="179"/>
      <c r="CD315" s="179"/>
      <c r="CE315" s="179"/>
      <c r="CF315" s="179"/>
      <c r="CG315" s="179"/>
      <c r="CH315" s="179"/>
      <c r="CI315" s="179"/>
      <c r="CJ315" s="179"/>
      <c r="CK315" s="179"/>
      <c r="CL315" s="179"/>
      <c r="CM315" s="179"/>
      <c r="CN315" s="179"/>
      <c r="CO315" s="179"/>
      <c r="CP315" s="179"/>
      <c r="CQ315" s="179"/>
      <c r="CR315" s="179"/>
      <c r="CS315" s="179"/>
      <c r="CT315" s="179"/>
      <c r="CU315" s="179"/>
      <c r="CV315" s="179"/>
      <c r="CW315" s="179"/>
    </row>
    <row r="316" spans="1:101" x14ac:dyDescent="0.2">
      <c r="A316" s="32" t="str">
        <f t="shared" ca="1" si="4"/>
        <v>2026-02-05</v>
      </c>
      <c r="B316" s="179">
        <f ca="1">IF(ISNUMBER(MATCH(DATEVALUE($A316),'changes1_based on steps'!B$1:B$400,0)),B$2,)</f>
        <v>0</v>
      </c>
      <c r="C316" s="179">
        <f ca="1">IF(ISNUMBER(MATCH(DATEVALUE($A316),'changes1_based on steps'!C$1:C$400,0)),C$2,)</f>
        <v>0</v>
      </c>
      <c r="D316" s="179">
        <f ca="1">IF(ISNUMBER(MATCH(DATEVALUE($A316),'changes1_based on steps'!D$1:D$400,0)),D$2,)</f>
        <v>0</v>
      </c>
      <c r="E316" s="179">
        <f ca="1">IF(ISNUMBER(MATCH(DATEVALUE($A316),'changes1_based on steps'!E$1:E$400,0)),E$2,)</f>
        <v>0</v>
      </c>
      <c r="F316" s="179">
        <f ca="1">IF(ISNUMBER(MATCH(DATEVALUE($A316),'changes1_based on steps'!F$1:F$400,0)),F$2,)</f>
        <v>0</v>
      </c>
      <c r="G316" s="179">
        <f ca="1">IF(ISNUMBER(MATCH(DATEVALUE($A316),'changes1_based on steps'!G$1:G$400,0)),G$2,)</f>
        <v>0</v>
      </c>
      <c r="H316" s="179">
        <f ca="1">IF(ISNUMBER(MATCH(DATEVALUE($A316),'changes1_based on steps'!H$1:H$400,0)),H$2,)</f>
        <v>0</v>
      </c>
      <c r="I316" s="179">
        <f ca="1">IF(ISNUMBER(MATCH(DATEVALUE($A316),'changes1_based on steps'!I$1:I$400,0)),I$2,)</f>
        <v>0</v>
      </c>
      <c r="J316" s="179">
        <f ca="1">IF(ISNUMBER(MATCH(DATEVALUE($A316),'changes1_based on steps'!J$1:J$400,0)),J$2,)</f>
        <v>0</v>
      </c>
      <c r="K316" s="179">
        <f ca="1">IF(ISNUMBER(MATCH(DATEVALUE($A316),'changes1_based on steps'!K$1:K$400,0)),K$2,)</f>
        <v>0</v>
      </c>
      <c r="L316" s="179">
        <f ca="1">IF(ISNUMBER(MATCH(DATEVALUE($A316),'changes1_based on steps'!L$1:L$400,0)),L$2,)</f>
        <v>0</v>
      </c>
      <c r="M316" s="179">
        <f ca="1">IF(ISNUMBER(MATCH(DATEVALUE($A316),'changes1_based on steps'!M$1:M$400,0)),M$2,)</f>
        <v>0</v>
      </c>
      <c r="N316" s="179">
        <f ca="1">IF(ISNUMBER(MATCH(DATEVALUE($A316),'changes1_based on steps'!N$1:N$400,0)),N$2,)</f>
        <v>0</v>
      </c>
      <c r="O316" s="179">
        <f ca="1">IF(ISNUMBER(MATCH(DATEVALUE($A316),'changes1_based on steps'!O$1:O$400,0)),O$2,)</f>
        <v>0</v>
      </c>
      <c r="P316" s="179">
        <f ca="1">IF(ISNUMBER(MATCH(DATEVALUE($A316),'changes1_based on steps'!P$1:P$400,0)),P$2,)</f>
        <v>0</v>
      </c>
      <c r="Q316" s="179">
        <f ca="1">IF(ISNUMBER(MATCH(DATEVALUE($A316),'changes1_based on steps'!Q$1:Q$400,0)),Q$2,)</f>
        <v>0</v>
      </c>
      <c r="R316" s="179">
        <f ca="1">IF(ISNUMBER(MATCH(DATEVALUE($A316),'changes1_based on steps'!R$1:R$400,0)),R$2,)</f>
        <v>0</v>
      </c>
      <c r="S316" s="179">
        <f ca="1">IF(ISNUMBER(MATCH(DATEVALUE($A316),'changes1_based on steps'!S$1:S$400,0)),S$2,)</f>
        <v>0</v>
      </c>
      <c r="T316" s="179">
        <f ca="1">IF(ISNUMBER(MATCH(DATEVALUE($A316),'changes1_based on steps'!T$1:T$400,0)),T$2,)</f>
        <v>0</v>
      </c>
      <c r="U316" s="179">
        <f ca="1">IF(ISNUMBER(MATCH(DATEVALUE($A316),'changes1_based on steps'!U$1:U$400,0)),U$2,)</f>
        <v>0</v>
      </c>
      <c r="V316" s="179"/>
      <c r="W316" s="179"/>
      <c r="X316" s="179"/>
      <c r="Y316" s="179"/>
      <c r="Z316" s="179"/>
      <c r="AA316" s="179"/>
      <c r="AB316" s="179"/>
      <c r="AC316" s="179"/>
      <c r="AD316" s="179"/>
      <c r="AE316" s="179"/>
      <c r="AF316" s="179"/>
      <c r="AG316" s="179"/>
      <c r="AH316" s="179"/>
      <c r="AI316" s="179"/>
      <c r="AJ316" s="179"/>
      <c r="AK316" s="179"/>
      <c r="AL316" s="179"/>
      <c r="AM316" s="179"/>
      <c r="AN316" s="179"/>
      <c r="AO316" s="179"/>
      <c r="AP316" s="179"/>
      <c r="AQ316" s="179"/>
      <c r="AR316" s="179"/>
      <c r="AS316" s="179"/>
      <c r="AT316" s="179"/>
      <c r="AU316" s="179"/>
      <c r="AV316" s="179"/>
      <c r="AW316" s="179"/>
      <c r="AX316" s="179"/>
      <c r="AY316" s="179"/>
      <c r="AZ316" s="179"/>
      <c r="BA316" s="179"/>
      <c r="BB316" s="179"/>
      <c r="BC316" s="179"/>
      <c r="BD316" s="179"/>
      <c r="BE316" s="179"/>
      <c r="BF316" s="179"/>
      <c r="BG316" s="179"/>
      <c r="BH316" s="179"/>
      <c r="BI316" s="179"/>
      <c r="BJ316" s="179"/>
      <c r="BK316" s="179"/>
      <c r="BL316" s="179"/>
      <c r="BM316" s="179"/>
      <c r="BN316" s="179"/>
      <c r="BO316" s="179"/>
      <c r="BP316" s="179"/>
      <c r="BQ316" s="179"/>
      <c r="BR316" s="179"/>
      <c r="BS316" s="179"/>
      <c r="BT316" s="179"/>
      <c r="BU316" s="179"/>
      <c r="BV316" s="179"/>
      <c r="BW316" s="179"/>
      <c r="BX316" s="179"/>
      <c r="BY316" s="179"/>
      <c r="BZ316" s="179"/>
      <c r="CA316" s="179"/>
      <c r="CB316" s="179"/>
      <c r="CC316" s="179"/>
      <c r="CD316" s="179"/>
      <c r="CE316" s="179"/>
      <c r="CF316" s="179"/>
      <c r="CG316" s="179"/>
      <c r="CH316" s="179"/>
      <c r="CI316" s="179"/>
      <c r="CJ316" s="179"/>
      <c r="CK316" s="179"/>
      <c r="CL316" s="179"/>
      <c r="CM316" s="179"/>
      <c r="CN316" s="179"/>
      <c r="CO316" s="179"/>
      <c r="CP316" s="179"/>
      <c r="CQ316" s="179"/>
      <c r="CR316" s="179"/>
      <c r="CS316" s="179"/>
      <c r="CT316" s="179"/>
      <c r="CU316" s="179"/>
      <c r="CV316" s="179"/>
      <c r="CW316" s="179"/>
    </row>
    <row r="317" spans="1:101" x14ac:dyDescent="0.2">
      <c r="A317" s="32" t="str">
        <f t="shared" ca="1" si="4"/>
        <v>2026-02-06</v>
      </c>
      <c r="B317" s="179">
        <f ca="1">IF(ISNUMBER(MATCH(DATEVALUE($A317),'changes1_based on steps'!B$1:B$400,0)),B$2,)</f>
        <v>0</v>
      </c>
      <c r="C317" s="179">
        <f ca="1">IF(ISNUMBER(MATCH(DATEVALUE($A317),'changes1_based on steps'!C$1:C$400,0)),C$2,)</f>
        <v>0</v>
      </c>
      <c r="D317" s="179">
        <f ca="1">IF(ISNUMBER(MATCH(DATEVALUE($A317),'changes1_based on steps'!D$1:D$400,0)),D$2,)</f>
        <v>0</v>
      </c>
      <c r="E317" s="179">
        <f ca="1">IF(ISNUMBER(MATCH(DATEVALUE($A317),'changes1_based on steps'!E$1:E$400,0)),E$2,)</f>
        <v>0</v>
      </c>
      <c r="F317" s="179">
        <f ca="1">IF(ISNUMBER(MATCH(DATEVALUE($A317),'changes1_based on steps'!F$1:F$400,0)),F$2,)</f>
        <v>0</v>
      </c>
      <c r="G317" s="179">
        <f ca="1">IF(ISNUMBER(MATCH(DATEVALUE($A317),'changes1_based on steps'!G$1:G$400,0)),G$2,)</f>
        <v>0</v>
      </c>
      <c r="H317" s="179">
        <f ca="1">IF(ISNUMBER(MATCH(DATEVALUE($A317),'changes1_based on steps'!H$1:H$400,0)),H$2,)</f>
        <v>0</v>
      </c>
      <c r="I317" s="179">
        <f ca="1">IF(ISNUMBER(MATCH(DATEVALUE($A317),'changes1_based on steps'!I$1:I$400,0)),I$2,)</f>
        <v>0</v>
      </c>
      <c r="J317" s="179">
        <f ca="1">IF(ISNUMBER(MATCH(DATEVALUE($A317),'changes1_based on steps'!J$1:J$400,0)),J$2,)</f>
        <v>0</v>
      </c>
      <c r="K317" s="179">
        <f ca="1">IF(ISNUMBER(MATCH(DATEVALUE($A317),'changes1_based on steps'!K$1:K$400,0)),K$2,)</f>
        <v>0</v>
      </c>
      <c r="L317" s="179">
        <f ca="1">IF(ISNUMBER(MATCH(DATEVALUE($A317),'changes1_based on steps'!L$1:L$400,0)),L$2,)</f>
        <v>0</v>
      </c>
      <c r="M317" s="179">
        <f ca="1">IF(ISNUMBER(MATCH(DATEVALUE($A317),'changes1_based on steps'!M$1:M$400,0)),M$2,)</f>
        <v>0</v>
      </c>
      <c r="N317" s="179">
        <f ca="1">IF(ISNUMBER(MATCH(DATEVALUE($A317),'changes1_based on steps'!N$1:N$400,0)),N$2,)</f>
        <v>0</v>
      </c>
      <c r="O317" s="179">
        <f ca="1">IF(ISNUMBER(MATCH(DATEVALUE($A317),'changes1_based on steps'!O$1:O$400,0)),O$2,)</f>
        <v>0</v>
      </c>
      <c r="P317" s="179">
        <f ca="1">IF(ISNUMBER(MATCH(DATEVALUE($A317),'changes1_based on steps'!P$1:P$400,0)),P$2,)</f>
        <v>0</v>
      </c>
      <c r="Q317" s="179">
        <f ca="1">IF(ISNUMBER(MATCH(DATEVALUE($A317),'changes1_based on steps'!Q$1:Q$400,0)),Q$2,)</f>
        <v>0</v>
      </c>
      <c r="R317" s="179">
        <f ca="1">IF(ISNUMBER(MATCH(DATEVALUE($A317),'changes1_based on steps'!R$1:R$400,0)),R$2,)</f>
        <v>0</v>
      </c>
      <c r="S317" s="179">
        <f ca="1">IF(ISNUMBER(MATCH(DATEVALUE($A317),'changes1_based on steps'!S$1:S$400,0)),S$2,)</f>
        <v>0</v>
      </c>
      <c r="T317" s="179">
        <f ca="1">IF(ISNUMBER(MATCH(DATEVALUE($A317),'changes1_based on steps'!T$1:T$400,0)),T$2,)</f>
        <v>0</v>
      </c>
      <c r="U317" s="179">
        <f ca="1">IF(ISNUMBER(MATCH(DATEVALUE($A317),'changes1_based on steps'!U$1:U$400,0)),U$2,)</f>
        <v>0</v>
      </c>
      <c r="V317" s="179"/>
      <c r="W317" s="179"/>
      <c r="X317" s="179"/>
      <c r="Y317" s="179"/>
      <c r="Z317" s="179"/>
      <c r="AA317" s="179"/>
      <c r="AB317" s="179"/>
      <c r="AC317" s="179"/>
      <c r="AD317" s="179"/>
      <c r="AE317" s="179"/>
      <c r="AF317" s="179"/>
      <c r="AG317" s="179"/>
      <c r="AH317" s="179"/>
      <c r="AI317" s="179"/>
      <c r="AJ317" s="179"/>
      <c r="AK317" s="179"/>
      <c r="AL317" s="179"/>
      <c r="AM317" s="179"/>
      <c r="AN317" s="179"/>
      <c r="AO317" s="179"/>
      <c r="AP317" s="179"/>
      <c r="AQ317" s="179"/>
      <c r="AR317" s="179"/>
      <c r="AS317" s="179"/>
      <c r="AT317" s="179"/>
      <c r="AU317" s="179"/>
      <c r="AV317" s="179"/>
      <c r="AW317" s="179"/>
      <c r="AX317" s="179"/>
      <c r="AY317" s="179"/>
      <c r="AZ317" s="179"/>
      <c r="BA317" s="179"/>
      <c r="BB317" s="179"/>
      <c r="BC317" s="179"/>
      <c r="BD317" s="179"/>
      <c r="BE317" s="179"/>
      <c r="BF317" s="179"/>
      <c r="BG317" s="179"/>
      <c r="BH317" s="179"/>
      <c r="BI317" s="179"/>
      <c r="BJ317" s="179"/>
      <c r="BK317" s="179"/>
      <c r="BL317" s="179"/>
      <c r="BM317" s="179"/>
      <c r="BN317" s="179"/>
      <c r="BO317" s="179"/>
      <c r="BP317" s="179"/>
      <c r="BQ317" s="179"/>
      <c r="BR317" s="179"/>
      <c r="BS317" s="179"/>
      <c r="BT317" s="179"/>
      <c r="BU317" s="179"/>
      <c r="BV317" s="179"/>
      <c r="BW317" s="179"/>
      <c r="BX317" s="179"/>
      <c r="BY317" s="179"/>
      <c r="BZ317" s="179"/>
      <c r="CA317" s="179"/>
      <c r="CB317" s="179"/>
      <c r="CC317" s="179"/>
      <c r="CD317" s="179"/>
      <c r="CE317" s="179"/>
      <c r="CF317" s="179"/>
      <c r="CG317" s="179"/>
      <c r="CH317" s="179"/>
      <c r="CI317" s="179"/>
      <c r="CJ317" s="179"/>
      <c r="CK317" s="179"/>
      <c r="CL317" s="179"/>
      <c r="CM317" s="179"/>
      <c r="CN317" s="179"/>
      <c r="CO317" s="179"/>
      <c r="CP317" s="179"/>
      <c r="CQ317" s="179"/>
      <c r="CR317" s="179"/>
      <c r="CS317" s="179"/>
      <c r="CT317" s="179"/>
      <c r="CU317" s="179"/>
      <c r="CV317" s="179"/>
      <c r="CW317" s="179"/>
    </row>
    <row r="318" spans="1:101" x14ac:dyDescent="0.2">
      <c r="A318" s="32" t="str">
        <f t="shared" ca="1" si="4"/>
        <v>2026-02-07</v>
      </c>
      <c r="B318" s="179">
        <f ca="1">IF(ISNUMBER(MATCH(DATEVALUE($A318),'changes1_based on steps'!B$1:B$400,0)),B$2,)</f>
        <v>0</v>
      </c>
      <c r="C318" s="179">
        <f ca="1">IF(ISNUMBER(MATCH(DATEVALUE($A318),'changes1_based on steps'!C$1:C$400,0)),C$2,)</f>
        <v>0</v>
      </c>
      <c r="D318" s="179">
        <f ca="1">IF(ISNUMBER(MATCH(DATEVALUE($A318),'changes1_based on steps'!D$1:D$400,0)),D$2,)</f>
        <v>0</v>
      </c>
      <c r="E318" s="179">
        <f ca="1">IF(ISNUMBER(MATCH(DATEVALUE($A318),'changes1_based on steps'!E$1:E$400,0)),E$2,)</f>
        <v>0</v>
      </c>
      <c r="F318" s="179">
        <f ca="1">IF(ISNUMBER(MATCH(DATEVALUE($A318),'changes1_based on steps'!F$1:F$400,0)),F$2,)</f>
        <v>0</v>
      </c>
      <c r="G318" s="179">
        <f ca="1">IF(ISNUMBER(MATCH(DATEVALUE($A318),'changes1_based on steps'!G$1:G$400,0)),G$2,)</f>
        <v>0</v>
      </c>
      <c r="H318" s="179">
        <f ca="1">IF(ISNUMBER(MATCH(DATEVALUE($A318),'changes1_based on steps'!H$1:H$400,0)),H$2,)</f>
        <v>0</v>
      </c>
      <c r="I318" s="179">
        <f ca="1">IF(ISNUMBER(MATCH(DATEVALUE($A318),'changes1_based on steps'!I$1:I$400,0)),I$2,)</f>
        <v>0</v>
      </c>
      <c r="J318" s="179">
        <f ca="1">IF(ISNUMBER(MATCH(DATEVALUE($A318),'changes1_based on steps'!J$1:J$400,0)),J$2,)</f>
        <v>0</v>
      </c>
      <c r="K318" s="179">
        <f ca="1">IF(ISNUMBER(MATCH(DATEVALUE($A318),'changes1_based on steps'!K$1:K$400,0)),K$2,)</f>
        <v>0</v>
      </c>
      <c r="L318" s="179">
        <f ca="1">IF(ISNUMBER(MATCH(DATEVALUE($A318),'changes1_based on steps'!L$1:L$400,0)),L$2,)</f>
        <v>0</v>
      </c>
      <c r="M318" s="179">
        <f ca="1">IF(ISNUMBER(MATCH(DATEVALUE($A318),'changes1_based on steps'!M$1:M$400,0)),M$2,)</f>
        <v>0</v>
      </c>
      <c r="N318" s="179">
        <f ca="1">IF(ISNUMBER(MATCH(DATEVALUE($A318),'changes1_based on steps'!N$1:N$400,0)),N$2,)</f>
        <v>0</v>
      </c>
      <c r="O318" s="179">
        <f ca="1">IF(ISNUMBER(MATCH(DATEVALUE($A318),'changes1_based on steps'!O$1:O$400,0)),O$2,)</f>
        <v>0</v>
      </c>
      <c r="P318" s="179">
        <f ca="1">IF(ISNUMBER(MATCH(DATEVALUE($A318),'changes1_based on steps'!P$1:P$400,0)),P$2,)</f>
        <v>0</v>
      </c>
      <c r="Q318" s="179">
        <f ca="1">IF(ISNUMBER(MATCH(DATEVALUE($A318),'changes1_based on steps'!Q$1:Q$400,0)),Q$2,)</f>
        <v>0</v>
      </c>
      <c r="R318" s="179">
        <f ca="1">IF(ISNUMBER(MATCH(DATEVALUE($A318),'changes1_based on steps'!R$1:R$400,0)),R$2,)</f>
        <v>0</v>
      </c>
      <c r="S318" s="179">
        <f ca="1">IF(ISNUMBER(MATCH(DATEVALUE($A318),'changes1_based on steps'!S$1:S$400,0)),S$2,)</f>
        <v>0</v>
      </c>
      <c r="T318" s="179">
        <f ca="1">IF(ISNUMBER(MATCH(DATEVALUE($A318),'changes1_based on steps'!T$1:T$400,0)),T$2,)</f>
        <v>0</v>
      </c>
      <c r="U318" s="179">
        <f ca="1">IF(ISNUMBER(MATCH(DATEVALUE($A318),'changes1_based on steps'!U$1:U$400,0)),U$2,)</f>
        <v>0</v>
      </c>
      <c r="V318" s="179"/>
      <c r="W318" s="179"/>
      <c r="X318" s="179"/>
      <c r="Y318" s="179"/>
      <c r="Z318" s="179"/>
      <c r="AA318" s="179"/>
      <c r="AB318" s="179"/>
      <c r="AC318" s="179"/>
      <c r="AD318" s="179"/>
      <c r="AE318" s="179"/>
      <c r="AF318" s="179"/>
      <c r="AG318" s="179"/>
      <c r="AH318" s="179"/>
      <c r="AI318" s="179"/>
      <c r="AJ318" s="179"/>
      <c r="AK318" s="179"/>
      <c r="AL318" s="179"/>
      <c r="AM318" s="179"/>
      <c r="AN318" s="179"/>
      <c r="AO318" s="179"/>
      <c r="AP318" s="179"/>
      <c r="AQ318" s="179"/>
      <c r="AR318" s="179"/>
      <c r="AS318" s="179"/>
      <c r="AT318" s="179"/>
      <c r="AU318" s="179"/>
      <c r="AV318" s="179"/>
      <c r="AW318" s="179"/>
      <c r="AX318" s="179"/>
      <c r="AY318" s="179"/>
      <c r="AZ318" s="179"/>
      <c r="BA318" s="179"/>
      <c r="BB318" s="179"/>
      <c r="BC318" s="179"/>
      <c r="BD318" s="179"/>
      <c r="BE318" s="179"/>
      <c r="BF318" s="179"/>
      <c r="BG318" s="179"/>
      <c r="BH318" s="179"/>
      <c r="BI318" s="179"/>
      <c r="BJ318" s="179"/>
      <c r="BK318" s="179"/>
      <c r="BL318" s="179"/>
      <c r="BM318" s="179"/>
      <c r="BN318" s="179"/>
      <c r="BO318" s="179"/>
      <c r="BP318" s="179"/>
      <c r="BQ318" s="179"/>
      <c r="BR318" s="179"/>
      <c r="BS318" s="179"/>
      <c r="BT318" s="179"/>
      <c r="BU318" s="179"/>
      <c r="BV318" s="179"/>
      <c r="BW318" s="179"/>
      <c r="BX318" s="179"/>
      <c r="BY318" s="179"/>
      <c r="BZ318" s="179"/>
      <c r="CA318" s="179"/>
      <c r="CB318" s="179"/>
      <c r="CC318" s="179"/>
      <c r="CD318" s="179"/>
      <c r="CE318" s="179"/>
      <c r="CF318" s="179"/>
      <c r="CG318" s="179"/>
      <c r="CH318" s="179"/>
      <c r="CI318" s="179"/>
      <c r="CJ318" s="179"/>
      <c r="CK318" s="179"/>
      <c r="CL318" s="179"/>
      <c r="CM318" s="179"/>
      <c r="CN318" s="179"/>
      <c r="CO318" s="179"/>
      <c r="CP318" s="179"/>
      <c r="CQ318" s="179"/>
      <c r="CR318" s="179"/>
      <c r="CS318" s="179"/>
      <c r="CT318" s="179"/>
      <c r="CU318" s="179"/>
      <c r="CV318" s="179"/>
      <c r="CW318" s="179"/>
    </row>
    <row r="319" spans="1:101" x14ac:dyDescent="0.2">
      <c r="A319" s="32" t="str">
        <f t="shared" ca="1" si="4"/>
        <v>2026-02-08</v>
      </c>
      <c r="B319" s="179">
        <f ca="1">IF(ISNUMBER(MATCH(DATEVALUE($A319),'changes1_based on steps'!B$1:B$400,0)),B$2,)</f>
        <v>0</v>
      </c>
      <c r="C319" s="179">
        <f ca="1">IF(ISNUMBER(MATCH(DATEVALUE($A319),'changes1_based on steps'!C$1:C$400,0)),C$2,)</f>
        <v>0</v>
      </c>
      <c r="D319" s="179">
        <f ca="1">IF(ISNUMBER(MATCH(DATEVALUE($A319),'changes1_based on steps'!D$1:D$400,0)),D$2,)</f>
        <v>0</v>
      </c>
      <c r="E319" s="179">
        <f ca="1">IF(ISNUMBER(MATCH(DATEVALUE($A319),'changes1_based on steps'!E$1:E$400,0)),E$2,)</f>
        <v>0</v>
      </c>
      <c r="F319" s="179">
        <f ca="1">IF(ISNUMBER(MATCH(DATEVALUE($A319),'changes1_based on steps'!F$1:F$400,0)),F$2,)</f>
        <v>0</v>
      </c>
      <c r="G319" s="179">
        <f ca="1">IF(ISNUMBER(MATCH(DATEVALUE($A319),'changes1_based on steps'!G$1:G$400,0)),G$2,)</f>
        <v>0</v>
      </c>
      <c r="H319" s="179">
        <f ca="1">IF(ISNUMBER(MATCH(DATEVALUE($A319),'changes1_based on steps'!H$1:H$400,0)),H$2,)</f>
        <v>0</v>
      </c>
      <c r="I319" s="179">
        <f ca="1">IF(ISNUMBER(MATCH(DATEVALUE($A319),'changes1_based on steps'!I$1:I$400,0)),I$2,)</f>
        <v>0</v>
      </c>
      <c r="J319" s="179">
        <f ca="1">IF(ISNUMBER(MATCH(DATEVALUE($A319),'changes1_based on steps'!J$1:J$400,0)),J$2,)</f>
        <v>0</v>
      </c>
      <c r="K319" s="179">
        <f ca="1">IF(ISNUMBER(MATCH(DATEVALUE($A319),'changes1_based on steps'!K$1:K$400,0)),K$2,)</f>
        <v>0</v>
      </c>
      <c r="L319" s="179">
        <f ca="1">IF(ISNUMBER(MATCH(DATEVALUE($A319),'changes1_based on steps'!L$1:L$400,0)),L$2,)</f>
        <v>0</v>
      </c>
      <c r="M319" s="179">
        <f ca="1">IF(ISNUMBER(MATCH(DATEVALUE($A319),'changes1_based on steps'!M$1:M$400,0)),M$2,)</f>
        <v>0</v>
      </c>
      <c r="N319" s="179">
        <f ca="1">IF(ISNUMBER(MATCH(DATEVALUE($A319),'changes1_based on steps'!N$1:N$400,0)),N$2,)</f>
        <v>0</v>
      </c>
      <c r="O319" s="179">
        <f ca="1">IF(ISNUMBER(MATCH(DATEVALUE($A319),'changes1_based on steps'!O$1:O$400,0)),O$2,)</f>
        <v>0</v>
      </c>
      <c r="P319" s="179">
        <f ca="1">IF(ISNUMBER(MATCH(DATEVALUE($A319),'changes1_based on steps'!P$1:P$400,0)),P$2,)</f>
        <v>0</v>
      </c>
      <c r="Q319" s="179">
        <f ca="1">IF(ISNUMBER(MATCH(DATEVALUE($A319),'changes1_based on steps'!Q$1:Q$400,0)),Q$2,)</f>
        <v>0</v>
      </c>
      <c r="R319" s="179">
        <f ca="1">IF(ISNUMBER(MATCH(DATEVALUE($A319),'changes1_based on steps'!R$1:R$400,0)),R$2,)</f>
        <v>0</v>
      </c>
      <c r="S319" s="179">
        <f ca="1">IF(ISNUMBER(MATCH(DATEVALUE($A319),'changes1_based on steps'!S$1:S$400,0)),S$2,)</f>
        <v>0</v>
      </c>
      <c r="T319" s="179">
        <f ca="1">IF(ISNUMBER(MATCH(DATEVALUE($A319),'changes1_based on steps'!T$1:T$400,0)),T$2,)</f>
        <v>0</v>
      </c>
      <c r="U319" s="179">
        <f ca="1">IF(ISNUMBER(MATCH(DATEVALUE($A319),'changes1_based on steps'!U$1:U$400,0)),U$2,)</f>
        <v>0</v>
      </c>
      <c r="V319" s="179"/>
      <c r="W319" s="179"/>
      <c r="X319" s="179"/>
      <c r="Y319" s="179"/>
      <c r="Z319" s="179"/>
      <c r="AA319" s="179"/>
      <c r="AB319" s="179"/>
      <c r="AC319" s="179"/>
      <c r="AD319" s="179"/>
      <c r="AE319" s="179"/>
      <c r="AF319" s="179"/>
      <c r="AG319" s="179"/>
      <c r="AH319" s="179"/>
      <c r="AI319" s="179"/>
      <c r="AJ319" s="179"/>
      <c r="AK319" s="179"/>
      <c r="AL319" s="179"/>
      <c r="AM319" s="179"/>
      <c r="AN319" s="179"/>
      <c r="AO319" s="179"/>
      <c r="AP319" s="179"/>
      <c r="AQ319" s="179"/>
      <c r="AR319" s="179"/>
      <c r="AS319" s="179"/>
      <c r="AT319" s="179"/>
      <c r="AU319" s="179"/>
      <c r="AV319" s="179"/>
      <c r="AW319" s="179"/>
      <c r="AX319" s="179"/>
      <c r="AY319" s="179"/>
      <c r="AZ319" s="179"/>
      <c r="BA319" s="179"/>
      <c r="BB319" s="179"/>
      <c r="BC319" s="179"/>
      <c r="BD319" s="179"/>
      <c r="BE319" s="179"/>
      <c r="BF319" s="179"/>
      <c r="BG319" s="179"/>
      <c r="BH319" s="179"/>
      <c r="BI319" s="179"/>
      <c r="BJ319" s="179"/>
      <c r="BK319" s="179"/>
      <c r="BL319" s="179"/>
      <c r="BM319" s="179"/>
      <c r="BN319" s="179"/>
      <c r="BO319" s="179"/>
      <c r="BP319" s="179"/>
      <c r="BQ319" s="179"/>
      <c r="BR319" s="179"/>
      <c r="BS319" s="179"/>
      <c r="BT319" s="179"/>
      <c r="BU319" s="179"/>
      <c r="BV319" s="179"/>
      <c r="BW319" s="179"/>
      <c r="BX319" s="179"/>
      <c r="BY319" s="179"/>
      <c r="BZ319" s="179"/>
      <c r="CA319" s="179"/>
      <c r="CB319" s="179"/>
      <c r="CC319" s="179"/>
      <c r="CD319" s="179"/>
      <c r="CE319" s="179"/>
      <c r="CF319" s="179"/>
      <c r="CG319" s="179"/>
      <c r="CH319" s="179"/>
      <c r="CI319" s="179"/>
      <c r="CJ319" s="179"/>
      <c r="CK319" s="179"/>
      <c r="CL319" s="179"/>
      <c r="CM319" s="179"/>
      <c r="CN319" s="179"/>
      <c r="CO319" s="179"/>
      <c r="CP319" s="179"/>
      <c r="CQ319" s="179"/>
      <c r="CR319" s="179"/>
      <c r="CS319" s="179"/>
      <c r="CT319" s="179"/>
      <c r="CU319" s="179"/>
      <c r="CV319" s="179"/>
      <c r="CW319" s="179"/>
    </row>
    <row r="320" spans="1:101" x14ac:dyDescent="0.2">
      <c r="A320" s="32" t="str">
        <f t="shared" ca="1" si="4"/>
        <v>2026-02-09</v>
      </c>
      <c r="B320" s="179">
        <f ca="1">IF(ISNUMBER(MATCH(DATEVALUE($A320),'changes1_based on steps'!B$1:B$400,0)),B$2,)</f>
        <v>0</v>
      </c>
      <c r="C320" s="179">
        <f ca="1">IF(ISNUMBER(MATCH(DATEVALUE($A320),'changes1_based on steps'!C$1:C$400,0)),C$2,)</f>
        <v>0</v>
      </c>
      <c r="D320" s="179">
        <f ca="1">IF(ISNUMBER(MATCH(DATEVALUE($A320),'changes1_based on steps'!D$1:D$400,0)),D$2,)</f>
        <v>0</v>
      </c>
      <c r="E320" s="179">
        <f ca="1">IF(ISNUMBER(MATCH(DATEVALUE($A320),'changes1_based on steps'!E$1:E$400,0)),E$2,)</f>
        <v>0</v>
      </c>
      <c r="F320" s="179">
        <f ca="1">IF(ISNUMBER(MATCH(DATEVALUE($A320),'changes1_based on steps'!F$1:F$400,0)),F$2,)</f>
        <v>0</v>
      </c>
      <c r="G320" s="179">
        <f ca="1">IF(ISNUMBER(MATCH(DATEVALUE($A320),'changes1_based on steps'!G$1:G$400,0)),G$2,)</f>
        <v>0</v>
      </c>
      <c r="H320" s="179">
        <f ca="1">IF(ISNUMBER(MATCH(DATEVALUE($A320),'changes1_based on steps'!H$1:H$400,0)),H$2,)</f>
        <v>0</v>
      </c>
      <c r="I320" s="179">
        <f ca="1">IF(ISNUMBER(MATCH(DATEVALUE($A320),'changes1_based on steps'!I$1:I$400,0)),I$2,)</f>
        <v>0</v>
      </c>
      <c r="J320" s="179">
        <f ca="1">IF(ISNUMBER(MATCH(DATEVALUE($A320),'changes1_based on steps'!J$1:J$400,0)),J$2,)</f>
        <v>0</v>
      </c>
      <c r="K320" s="179">
        <f ca="1">IF(ISNUMBER(MATCH(DATEVALUE($A320),'changes1_based on steps'!K$1:K$400,0)),K$2,)</f>
        <v>0</v>
      </c>
      <c r="L320" s="179">
        <f ca="1">IF(ISNUMBER(MATCH(DATEVALUE($A320),'changes1_based on steps'!L$1:L$400,0)),L$2,)</f>
        <v>0</v>
      </c>
      <c r="M320" s="179">
        <f ca="1">IF(ISNUMBER(MATCH(DATEVALUE($A320),'changes1_based on steps'!M$1:M$400,0)),M$2,)</f>
        <v>0</v>
      </c>
      <c r="N320" s="179">
        <f ca="1">IF(ISNUMBER(MATCH(DATEVALUE($A320),'changes1_based on steps'!N$1:N$400,0)),N$2,)</f>
        <v>0</v>
      </c>
      <c r="O320" s="179">
        <f ca="1">IF(ISNUMBER(MATCH(DATEVALUE($A320),'changes1_based on steps'!O$1:O$400,0)),O$2,)</f>
        <v>0</v>
      </c>
      <c r="P320" s="179">
        <f ca="1">IF(ISNUMBER(MATCH(DATEVALUE($A320),'changes1_based on steps'!P$1:P$400,0)),P$2,)</f>
        <v>0</v>
      </c>
      <c r="Q320" s="179">
        <f ca="1">IF(ISNUMBER(MATCH(DATEVALUE($A320),'changes1_based on steps'!Q$1:Q$400,0)),Q$2,)</f>
        <v>0</v>
      </c>
      <c r="R320" s="179">
        <f ca="1">IF(ISNUMBER(MATCH(DATEVALUE($A320),'changes1_based on steps'!R$1:R$400,0)),R$2,)</f>
        <v>0</v>
      </c>
      <c r="S320" s="179">
        <f ca="1">IF(ISNUMBER(MATCH(DATEVALUE($A320),'changes1_based on steps'!S$1:S$400,0)),S$2,)</f>
        <v>0</v>
      </c>
      <c r="T320" s="179">
        <f ca="1">IF(ISNUMBER(MATCH(DATEVALUE($A320),'changes1_based on steps'!T$1:T$400,0)),T$2,)</f>
        <v>0</v>
      </c>
      <c r="U320" s="179">
        <f ca="1">IF(ISNUMBER(MATCH(DATEVALUE($A320),'changes1_based on steps'!U$1:U$400,0)),U$2,)</f>
        <v>0</v>
      </c>
      <c r="V320" s="179"/>
      <c r="W320" s="179"/>
      <c r="X320" s="179"/>
      <c r="Y320" s="179"/>
      <c r="Z320" s="179"/>
      <c r="AA320" s="179"/>
      <c r="AB320" s="179"/>
      <c r="AC320" s="179"/>
      <c r="AD320" s="179"/>
      <c r="AE320" s="179"/>
      <c r="AF320" s="179"/>
      <c r="AG320" s="179"/>
      <c r="AH320" s="179"/>
      <c r="AI320" s="179"/>
      <c r="AJ320" s="179"/>
      <c r="AK320" s="179"/>
      <c r="AL320" s="179"/>
      <c r="AM320" s="179"/>
      <c r="AN320" s="179"/>
      <c r="AO320" s="179"/>
      <c r="AP320" s="179"/>
      <c r="AQ320" s="179"/>
      <c r="AR320" s="179"/>
      <c r="AS320" s="179"/>
      <c r="AT320" s="179"/>
      <c r="AU320" s="179"/>
      <c r="AV320" s="179"/>
      <c r="AW320" s="179"/>
      <c r="AX320" s="179"/>
      <c r="AY320" s="179"/>
      <c r="AZ320" s="179"/>
      <c r="BA320" s="179"/>
      <c r="BB320" s="179"/>
      <c r="BC320" s="179"/>
      <c r="BD320" s="179"/>
      <c r="BE320" s="179"/>
      <c r="BF320" s="179"/>
      <c r="BG320" s="179"/>
      <c r="BH320" s="179"/>
      <c r="BI320" s="179"/>
      <c r="BJ320" s="179"/>
      <c r="BK320" s="179"/>
      <c r="BL320" s="179"/>
      <c r="BM320" s="179"/>
      <c r="BN320" s="179"/>
      <c r="BO320" s="179"/>
      <c r="BP320" s="179"/>
      <c r="BQ320" s="179"/>
      <c r="BR320" s="179"/>
      <c r="BS320" s="179"/>
      <c r="BT320" s="179"/>
      <c r="BU320" s="179"/>
      <c r="BV320" s="179"/>
      <c r="BW320" s="179"/>
      <c r="BX320" s="179"/>
      <c r="BY320" s="179"/>
      <c r="BZ320" s="179"/>
      <c r="CA320" s="179"/>
      <c r="CB320" s="179"/>
      <c r="CC320" s="179"/>
      <c r="CD320" s="179"/>
      <c r="CE320" s="179"/>
      <c r="CF320" s="179"/>
      <c r="CG320" s="179"/>
      <c r="CH320" s="179"/>
      <c r="CI320" s="179"/>
      <c r="CJ320" s="179"/>
      <c r="CK320" s="179"/>
      <c r="CL320" s="179"/>
      <c r="CM320" s="179"/>
      <c r="CN320" s="179"/>
      <c r="CO320" s="179"/>
      <c r="CP320" s="179"/>
      <c r="CQ320" s="179"/>
      <c r="CR320" s="179"/>
      <c r="CS320" s="179"/>
      <c r="CT320" s="179"/>
      <c r="CU320" s="179"/>
      <c r="CV320" s="179"/>
      <c r="CW320" s="179"/>
    </row>
    <row r="321" spans="1:101" x14ac:dyDescent="0.2">
      <c r="A321" s="32" t="str">
        <f t="shared" ca="1" si="4"/>
        <v>2026-02-10</v>
      </c>
      <c r="B321" s="179">
        <f ca="1">IF(ISNUMBER(MATCH(DATEVALUE($A321),'changes1_based on steps'!B$1:B$400,0)),B$2,)</f>
        <v>0</v>
      </c>
      <c r="C321" s="179">
        <f ca="1">IF(ISNUMBER(MATCH(DATEVALUE($A321),'changes1_based on steps'!C$1:C$400,0)),C$2,)</f>
        <v>0</v>
      </c>
      <c r="D321" s="179">
        <f ca="1">IF(ISNUMBER(MATCH(DATEVALUE($A321),'changes1_based on steps'!D$1:D$400,0)),D$2,)</f>
        <v>0</v>
      </c>
      <c r="E321" s="179">
        <f ca="1">IF(ISNUMBER(MATCH(DATEVALUE($A321),'changes1_based on steps'!E$1:E$400,0)),E$2,)</f>
        <v>0</v>
      </c>
      <c r="F321" s="179">
        <f ca="1">IF(ISNUMBER(MATCH(DATEVALUE($A321),'changes1_based on steps'!F$1:F$400,0)),F$2,)</f>
        <v>0</v>
      </c>
      <c r="G321" s="179">
        <f ca="1">IF(ISNUMBER(MATCH(DATEVALUE($A321),'changes1_based on steps'!G$1:G$400,0)),G$2,)</f>
        <v>0</v>
      </c>
      <c r="H321" s="179">
        <f ca="1">IF(ISNUMBER(MATCH(DATEVALUE($A321),'changes1_based on steps'!H$1:H$400,0)),H$2,)</f>
        <v>0</v>
      </c>
      <c r="I321" s="179">
        <f ca="1">IF(ISNUMBER(MATCH(DATEVALUE($A321),'changes1_based on steps'!I$1:I$400,0)),I$2,)</f>
        <v>0</v>
      </c>
      <c r="J321" s="179">
        <f ca="1">IF(ISNUMBER(MATCH(DATEVALUE($A321),'changes1_based on steps'!J$1:J$400,0)),J$2,)</f>
        <v>0</v>
      </c>
      <c r="K321" s="179">
        <f ca="1">IF(ISNUMBER(MATCH(DATEVALUE($A321),'changes1_based on steps'!K$1:K$400,0)),K$2,)</f>
        <v>0</v>
      </c>
      <c r="L321" s="179">
        <f ca="1">IF(ISNUMBER(MATCH(DATEVALUE($A321),'changes1_based on steps'!L$1:L$400,0)),L$2,)</f>
        <v>0</v>
      </c>
      <c r="M321" s="179">
        <f ca="1">IF(ISNUMBER(MATCH(DATEVALUE($A321),'changes1_based on steps'!M$1:M$400,0)),M$2,)</f>
        <v>0</v>
      </c>
      <c r="N321" s="179">
        <f ca="1">IF(ISNUMBER(MATCH(DATEVALUE($A321),'changes1_based on steps'!N$1:N$400,0)),N$2,)</f>
        <v>0</v>
      </c>
      <c r="O321" s="179">
        <f ca="1">IF(ISNUMBER(MATCH(DATEVALUE($A321),'changes1_based on steps'!O$1:O$400,0)),O$2,)</f>
        <v>0</v>
      </c>
      <c r="P321" s="179">
        <f ca="1">IF(ISNUMBER(MATCH(DATEVALUE($A321),'changes1_based on steps'!P$1:P$400,0)),P$2,)</f>
        <v>0</v>
      </c>
      <c r="Q321" s="179">
        <f ca="1">IF(ISNUMBER(MATCH(DATEVALUE($A321),'changes1_based on steps'!Q$1:Q$400,0)),Q$2,)</f>
        <v>0</v>
      </c>
      <c r="R321" s="179">
        <f ca="1">IF(ISNUMBER(MATCH(DATEVALUE($A321),'changes1_based on steps'!R$1:R$400,0)),R$2,)</f>
        <v>0</v>
      </c>
      <c r="S321" s="179">
        <f ca="1">IF(ISNUMBER(MATCH(DATEVALUE($A321),'changes1_based on steps'!S$1:S$400,0)),S$2,)</f>
        <v>0</v>
      </c>
      <c r="T321" s="179">
        <f ca="1">IF(ISNUMBER(MATCH(DATEVALUE($A321),'changes1_based on steps'!T$1:T$400,0)),T$2,)</f>
        <v>0</v>
      </c>
      <c r="U321" s="179">
        <f ca="1">IF(ISNUMBER(MATCH(DATEVALUE($A321),'changes1_based on steps'!U$1:U$400,0)),U$2,)</f>
        <v>0</v>
      </c>
      <c r="V321" s="179"/>
      <c r="W321" s="179"/>
      <c r="X321" s="179"/>
      <c r="Y321" s="179"/>
      <c r="Z321" s="179"/>
      <c r="AA321" s="179"/>
      <c r="AB321" s="179"/>
      <c r="AC321" s="179"/>
      <c r="AD321" s="179"/>
      <c r="AE321" s="179"/>
      <c r="AF321" s="179"/>
      <c r="AG321" s="179"/>
      <c r="AH321" s="179"/>
      <c r="AI321" s="179"/>
      <c r="AJ321" s="179"/>
      <c r="AK321" s="179"/>
      <c r="AL321" s="179"/>
      <c r="AM321" s="179"/>
      <c r="AN321" s="179"/>
      <c r="AO321" s="179"/>
      <c r="AP321" s="179"/>
      <c r="AQ321" s="179"/>
      <c r="AR321" s="179"/>
      <c r="AS321" s="179"/>
      <c r="AT321" s="179"/>
      <c r="AU321" s="179"/>
      <c r="AV321" s="179"/>
      <c r="AW321" s="179"/>
      <c r="AX321" s="179"/>
      <c r="AY321" s="179"/>
      <c r="AZ321" s="179"/>
      <c r="BA321" s="179"/>
      <c r="BB321" s="179"/>
      <c r="BC321" s="179"/>
      <c r="BD321" s="179"/>
      <c r="BE321" s="179"/>
      <c r="BF321" s="179"/>
      <c r="BG321" s="179"/>
      <c r="BH321" s="179"/>
      <c r="BI321" s="179"/>
      <c r="BJ321" s="179"/>
      <c r="BK321" s="179"/>
      <c r="BL321" s="179"/>
      <c r="BM321" s="179"/>
      <c r="BN321" s="179"/>
      <c r="BO321" s="179"/>
      <c r="BP321" s="179"/>
      <c r="BQ321" s="179"/>
      <c r="BR321" s="179"/>
      <c r="BS321" s="179"/>
      <c r="BT321" s="179"/>
      <c r="BU321" s="179"/>
      <c r="BV321" s="179"/>
      <c r="BW321" s="179"/>
      <c r="BX321" s="179"/>
      <c r="BY321" s="179"/>
      <c r="BZ321" s="179"/>
      <c r="CA321" s="179"/>
      <c r="CB321" s="179"/>
      <c r="CC321" s="179"/>
      <c r="CD321" s="179"/>
      <c r="CE321" s="179"/>
      <c r="CF321" s="179"/>
      <c r="CG321" s="179"/>
      <c r="CH321" s="179"/>
      <c r="CI321" s="179"/>
      <c r="CJ321" s="179"/>
      <c r="CK321" s="179"/>
      <c r="CL321" s="179"/>
      <c r="CM321" s="179"/>
      <c r="CN321" s="179"/>
      <c r="CO321" s="179"/>
      <c r="CP321" s="179"/>
      <c r="CQ321" s="179"/>
      <c r="CR321" s="179"/>
      <c r="CS321" s="179"/>
      <c r="CT321" s="179"/>
      <c r="CU321" s="179"/>
      <c r="CV321" s="179"/>
      <c r="CW321" s="179"/>
    </row>
    <row r="322" spans="1:101" x14ac:dyDescent="0.2">
      <c r="A322" s="32" t="str">
        <f t="shared" ca="1" si="4"/>
        <v>2026-02-11</v>
      </c>
      <c r="B322" s="179">
        <f ca="1">IF(ISNUMBER(MATCH(DATEVALUE($A322),'changes1_based on steps'!B$1:B$400,0)),B$2,)</f>
        <v>0</v>
      </c>
      <c r="C322" s="179">
        <f ca="1">IF(ISNUMBER(MATCH(DATEVALUE($A322),'changes1_based on steps'!C$1:C$400,0)),C$2,)</f>
        <v>0</v>
      </c>
      <c r="D322" s="179">
        <f ca="1">IF(ISNUMBER(MATCH(DATEVALUE($A322),'changes1_based on steps'!D$1:D$400,0)),D$2,)</f>
        <v>0</v>
      </c>
      <c r="E322" s="179">
        <f ca="1">IF(ISNUMBER(MATCH(DATEVALUE($A322),'changes1_based on steps'!E$1:E$400,0)),E$2,)</f>
        <v>0</v>
      </c>
      <c r="F322" s="179">
        <f ca="1">IF(ISNUMBER(MATCH(DATEVALUE($A322),'changes1_based on steps'!F$1:F$400,0)),F$2,)</f>
        <v>0</v>
      </c>
      <c r="G322" s="179">
        <f ca="1">IF(ISNUMBER(MATCH(DATEVALUE($A322),'changes1_based on steps'!G$1:G$400,0)),G$2,)</f>
        <v>0</v>
      </c>
      <c r="H322" s="179">
        <f ca="1">IF(ISNUMBER(MATCH(DATEVALUE($A322),'changes1_based on steps'!H$1:H$400,0)),H$2,)</f>
        <v>0</v>
      </c>
      <c r="I322" s="179">
        <f ca="1">IF(ISNUMBER(MATCH(DATEVALUE($A322),'changes1_based on steps'!I$1:I$400,0)),I$2,)</f>
        <v>0</v>
      </c>
      <c r="J322" s="179">
        <f ca="1">IF(ISNUMBER(MATCH(DATEVALUE($A322),'changes1_based on steps'!J$1:J$400,0)),J$2,)</f>
        <v>0</v>
      </c>
      <c r="K322" s="179">
        <f ca="1">IF(ISNUMBER(MATCH(DATEVALUE($A322),'changes1_based on steps'!K$1:K$400,0)),K$2,)</f>
        <v>0</v>
      </c>
      <c r="L322" s="179">
        <f ca="1">IF(ISNUMBER(MATCH(DATEVALUE($A322),'changes1_based on steps'!L$1:L$400,0)),L$2,)</f>
        <v>0</v>
      </c>
      <c r="M322" s="179">
        <f ca="1">IF(ISNUMBER(MATCH(DATEVALUE($A322),'changes1_based on steps'!M$1:M$400,0)),M$2,)</f>
        <v>0</v>
      </c>
      <c r="N322" s="179">
        <f ca="1">IF(ISNUMBER(MATCH(DATEVALUE($A322),'changes1_based on steps'!N$1:N$400,0)),N$2,)</f>
        <v>0</v>
      </c>
      <c r="O322" s="179">
        <f ca="1">IF(ISNUMBER(MATCH(DATEVALUE($A322),'changes1_based on steps'!O$1:O$400,0)),O$2,)</f>
        <v>0</v>
      </c>
      <c r="P322" s="179">
        <f ca="1">IF(ISNUMBER(MATCH(DATEVALUE($A322),'changes1_based on steps'!P$1:P$400,0)),P$2,)</f>
        <v>0</v>
      </c>
      <c r="Q322" s="179">
        <f ca="1">IF(ISNUMBER(MATCH(DATEVALUE($A322),'changes1_based on steps'!Q$1:Q$400,0)),Q$2,)</f>
        <v>0</v>
      </c>
      <c r="R322" s="179">
        <f ca="1">IF(ISNUMBER(MATCH(DATEVALUE($A322),'changes1_based on steps'!R$1:R$400,0)),R$2,)</f>
        <v>0</v>
      </c>
      <c r="S322" s="179">
        <f ca="1">IF(ISNUMBER(MATCH(DATEVALUE($A322),'changes1_based on steps'!S$1:S$400,0)),S$2,)</f>
        <v>0</v>
      </c>
      <c r="T322" s="179">
        <f ca="1">IF(ISNUMBER(MATCH(DATEVALUE($A322),'changes1_based on steps'!T$1:T$400,0)),T$2,)</f>
        <v>0</v>
      </c>
      <c r="U322" s="179">
        <f ca="1">IF(ISNUMBER(MATCH(DATEVALUE($A322),'changes1_based on steps'!U$1:U$400,0)),U$2,)</f>
        <v>0</v>
      </c>
      <c r="V322" s="179"/>
      <c r="W322" s="179"/>
      <c r="X322" s="179"/>
      <c r="Y322" s="179"/>
      <c r="Z322" s="179"/>
      <c r="AA322" s="179"/>
      <c r="AB322" s="179"/>
      <c r="AC322" s="179"/>
      <c r="AD322" s="179"/>
      <c r="AE322" s="179"/>
      <c r="AF322" s="179"/>
      <c r="AG322" s="179"/>
      <c r="AH322" s="179"/>
      <c r="AI322" s="179"/>
      <c r="AJ322" s="179"/>
      <c r="AK322" s="179"/>
      <c r="AL322" s="179"/>
      <c r="AM322" s="179"/>
      <c r="AN322" s="179"/>
      <c r="AO322" s="179"/>
      <c r="AP322" s="179"/>
      <c r="AQ322" s="179"/>
      <c r="AR322" s="179"/>
      <c r="AS322" s="179"/>
      <c r="AT322" s="179"/>
      <c r="AU322" s="179"/>
      <c r="AV322" s="179"/>
      <c r="AW322" s="179"/>
      <c r="AX322" s="179"/>
      <c r="AY322" s="179"/>
      <c r="AZ322" s="179"/>
      <c r="BA322" s="179"/>
      <c r="BB322" s="179"/>
      <c r="BC322" s="179"/>
      <c r="BD322" s="179"/>
      <c r="BE322" s="179"/>
      <c r="BF322" s="179"/>
      <c r="BG322" s="179"/>
      <c r="BH322" s="179"/>
      <c r="BI322" s="179"/>
      <c r="BJ322" s="179"/>
      <c r="BK322" s="179"/>
      <c r="BL322" s="179"/>
      <c r="BM322" s="179"/>
      <c r="BN322" s="179"/>
      <c r="BO322" s="179"/>
      <c r="BP322" s="179"/>
      <c r="BQ322" s="179"/>
      <c r="BR322" s="179"/>
      <c r="BS322" s="179"/>
      <c r="BT322" s="179"/>
      <c r="BU322" s="179"/>
      <c r="BV322" s="179"/>
      <c r="BW322" s="179"/>
      <c r="BX322" s="179"/>
      <c r="BY322" s="179"/>
      <c r="BZ322" s="179"/>
      <c r="CA322" s="179"/>
      <c r="CB322" s="179"/>
      <c r="CC322" s="179"/>
      <c r="CD322" s="179"/>
      <c r="CE322" s="179"/>
      <c r="CF322" s="179"/>
      <c r="CG322" s="179"/>
      <c r="CH322" s="179"/>
      <c r="CI322" s="179"/>
      <c r="CJ322" s="179"/>
      <c r="CK322" s="179"/>
      <c r="CL322" s="179"/>
      <c r="CM322" s="179"/>
      <c r="CN322" s="179"/>
      <c r="CO322" s="179"/>
      <c r="CP322" s="179"/>
      <c r="CQ322" s="179"/>
      <c r="CR322" s="179"/>
      <c r="CS322" s="179"/>
      <c r="CT322" s="179"/>
      <c r="CU322" s="179"/>
      <c r="CV322" s="179"/>
      <c r="CW322" s="179"/>
    </row>
    <row r="323" spans="1:101" x14ac:dyDescent="0.2">
      <c r="A323" s="32" t="str">
        <f t="shared" ca="1" si="4"/>
        <v>2026-02-12</v>
      </c>
      <c r="B323" s="179">
        <f ca="1">IF(ISNUMBER(MATCH(DATEVALUE($A323),'changes1_based on steps'!B$1:B$400,0)),B$2,)</f>
        <v>0</v>
      </c>
      <c r="C323" s="179">
        <f ca="1">IF(ISNUMBER(MATCH(DATEVALUE($A323),'changes1_based on steps'!C$1:C$400,0)),C$2,)</f>
        <v>0</v>
      </c>
      <c r="D323" s="179">
        <f ca="1">IF(ISNUMBER(MATCH(DATEVALUE($A323),'changes1_based on steps'!D$1:D$400,0)),D$2,)</f>
        <v>0</v>
      </c>
      <c r="E323" s="179">
        <f ca="1">IF(ISNUMBER(MATCH(DATEVALUE($A323),'changes1_based on steps'!E$1:E$400,0)),E$2,)</f>
        <v>0</v>
      </c>
      <c r="F323" s="179">
        <f ca="1">IF(ISNUMBER(MATCH(DATEVALUE($A323),'changes1_based on steps'!F$1:F$400,0)),F$2,)</f>
        <v>0</v>
      </c>
      <c r="G323" s="179">
        <f ca="1">IF(ISNUMBER(MATCH(DATEVALUE($A323),'changes1_based on steps'!G$1:G$400,0)),G$2,)</f>
        <v>0</v>
      </c>
      <c r="H323" s="179">
        <f ca="1">IF(ISNUMBER(MATCH(DATEVALUE($A323),'changes1_based on steps'!H$1:H$400,0)),H$2,)</f>
        <v>0</v>
      </c>
      <c r="I323" s="179">
        <f ca="1">IF(ISNUMBER(MATCH(DATEVALUE($A323),'changes1_based on steps'!I$1:I$400,0)),I$2,)</f>
        <v>0</v>
      </c>
      <c r="J323" s="179">
        <f ca="1">IF(ISNUMBER(MATCH(DATEVALUE($A323),'changes1_based on steps'!J$1:J$400,0)),J$2,)</f>
        <v>0</v>
      </c>
      <c r="K323" s="179">
        <f ca="1">IF(ISNUMBER(MATCH(DATEVALUE($A323),'changes1_based on steps'!K$1:K$400,0)),K$2,)</f>
        <v>0</v>
      </c>
      <c r="L323" s="179">
        <f ca="1">IF(ISNUMBER(MATCH(DATEVALUE($A323),'changes1_based on steps'!L$1:L$400,0)),L$2,)</f>
        <v>0</v>
      </c>
      <c r="M323" s="179">
        <f ca="1">IF(ISNUMBER(MATCH(DATEVALUE($A323),'changes1_based on steps'!M$1:M$400,0)),M$2,)</f>
        <v>0</v>
      </c>
      <c r="N323" s="179">
        <f ca="1">IF(ISNUMBER(MATCH(DATEVALUE($A323),'changes1_based on steps'!N$1:N$400,0)),N$2,)</f>
        <v>0</v>
      </c>
      <c r="O323" s="179">
        <f ca="1">IF(ISNUMBER(MATCH(DATEVALUE($A323),'changes1_based on steps'!O$1:O$400,0)),O$2,)</f>
        <v>0</v>
      </c>
      <c r="P323" s="179">
        <f ca="1">IF(ISNUMBER(MATCH(DATEVALUE($A323),'changes1_based on steps'!P$1:P$400,0)),P$2,)</f>
        <v>0</v>
      </c>
      <c r="Q323" s="179">
        <f ca="1">IF(ISNUMBER(MATCH(DATEVALUE($A323),'changes1_based on steps'!Q$1:Q$400,0)),Q$2,)</f>
        <v>0</v>
      </c>
      <c r="R323" s="179">
        <f ca="1">IF(ISNUMBER(MATCH(DATEVALUE($A323),'changes1_based on steps'!R$1:R$400,0)),R$2,)</f>
        <v>0</v>
      </c>
      <c r="S323" s="179">
        <f ca="1">IF(ISNUMBER(MATCH(DATEVALUE($A323),'changes1_based on steps'!S$1:S$400,0)),S$2,)</f>
        <v>0</v>
      </c>
      <c r="T323" s="179">
        <f ca="1">IF(ISNUMBER(MATCH(DATEVALUE($A323),'changes1_based on steps'!T$1:T$400,0)),T$2,)</f>
        <v>0</v>
      </c>
      <c r="U323" s="179">
        <f ca="1">IF(ISNUMBER(MATCH(DATEVALUE($A323),'changes1_based on steps'!U$1:U$400,0)),U$2,)</f>
        <v>0</v>
      </c>
      <c r="V323" s="179"/>
      <c r="W323" s="179"/>
      <c r="X323" s="179"/>
      <c r="Y323" s="179"/>
      <c r="Z323" s="179"/>
      <c r="AA323" s="179"/>
      <c r="AB323" s="179"/>
      <c r="AC323" s="179"/>
      <c r="AD323" s="179"/>
      <c r="AE323" s="179"/>
      <c r="AF323" s="179"/>
      <c r="AG323" s="179"/>
      <c r="AH323" s="179"/>
      <c r="AI323" s="179"/>
      <c r="AJ323" s="179"/>
      <c r="AK323" s="179"/>
      <c r="AL323" s="179"/>
      <c r="AM323" s="179"/>
      <c r="AN323" s="179"/>
      <c r="AO323" s="179"/>
      <c r="AP323" s="179"/>
      <c r="AQ323" s="179"/>
      <c r="AR323" s="179"/>
      <c r="AS323" s="179"/>
      <c r="AT323" s="179"/>
      <c r="AU323" s="179"/>
      <c r="AV323" s="179"/>
      <c r="AW323" s="179"/>
      <c r="AX323" s="179"/>
      <c r="AY323" s="179"/>
      <c r="AZ323" s="179"/>
      <c r="BA323" s="179"/>
      <c r="BB323" s="179"/>
      <c r="BC323" s="179"/>
      <c r="BD323" s="179"/>
      <c r="BE323" s="179"/>
      <c r="BF323" s="179"/>
      <c r="BG323" s="179"/>
      <c r="BH323" s="179"/>
      <c r="BI323" s="179"/>
      <c r="BJ323" s="179"/>
      <c r="BK323" s="179"/>
      <c r="BL323" s="179"/>
      <c r="BM323" s="179"/>
      <c r="BN323" s="179"/>
      <c r="BO323" s="179"/>
      <c r="BP323" s="179"/>
      <c r="BQ323" s="179"/>
      <c r="BR323" s="179"/>
      <c r="BS323" s="179"/>
      <c r="BT323" s="179"/>
      <c r="BU323" s="179"/>
      <c r="BV323" s="179"/>
      <c r="BW323" s="179"/>
      <c r="BX323" s="179"/>
      <c r="BY323" s="179"/>
      <c r="BZ323" s="179"/>
      <c r="CA323" s="179"/>
      <c r="CB323" s="179"/>
      <c r="CC323" s="179"/>
      <c r="CD323" s="179"/>
      <c r="CE323" s="179"/>
      <c r="CF323" s="179"/>
      <c r="CG323" s="179"/>
      <c r="CH323" s="179"/>
      <c r="CI323" s="179"/>
      <c r="CJ323" s="179"/>
      <c r="CK323" s="179"/>
      <c r="CL323" s="179"/>
      <c r="CM323" s="179"/>
      <c r="CN323" s="179"/>
      <c r="CO323" s="179"/>
      <c r="CP323" s="179"/>
      <c r="CQ323" s="179"/>
      <c r="CR323" s="179"/>
      <c r="CS323" s="179"/>
      <c r="CT323" s="179"/>
      <c r="CU323" s="179"/>
      <c r="CV323" s="179"/>
      <c r="CW323" s="179"/>
    </row>
    <row r="324" spans="1:101" x14ac:dyDescent="0.2">
      <c r="A324" s="32" t="str">
        <f t="shared" ca="1" si="4"/>
        <v>2026-02-13</v>
      </c>
      <c r="B324" s="179">
        <f ca="1">IF(ISNUMBER(MATCH(DATEVALUE($A324),'changes1_based on steps'!B$1:B$400,0)),B$2,)</f>
        <v>0</v>
      </c>
      <c r="C324" s="179">
        <f ca="1">IF(ISNUMBER(MATCH(DATEVALUE($A324),'changes1_based on steps'!C$1:C$400,0)),C$2,)</f>
        <v>0</v>
      </c>
      <c r="D324" s="179">
        <f ca="1">IF(ISNUMBER(MATCH(DATEVALUE($A324),'changes1_based on steps'!D$1:D$400,0)),D$2,)</f>
        <v>0</v>
      </c>
      <c r="E324" s="179">
        <f ca="1">IF(ISNUMBER(MATCH(DATEVALUE($A324),'changes1_based on steps'!E$1:E$400,0)),E$2,)</f>
        <v>0</v>
      </c>
      <c r="F324" s="179">
        <f ca="1">IF(ISNUMBER(MATCH(DATEVALUE($A324),'changes1_based on steps'!F$1:F$400,0)),F$2,)</f>
        <v>0</v>
      </c>
      <c r="G324" s="179">
        <f ca="1">IF(ISNUMBER(MATCH(DATEVALUE($A324),'changes1_based on steps'!G$1:G$400,0)),G$2,)</f>
        <v>0</v>
      </c>
      <c r="H324" s="179">
        <f ca="1">IF(ISNUMBER(MATCH(DATEVALUE($A324),'changes1_based on steps'!H$1:H$400,0)),H$2,)</f>
        <v>0</v>
      </c>
      <c r="I324" s="179">
        <f ca="1">IF(ISNUMBER(MATCH(DATEVALUE($A324),'changes1_based on steps'!I$1:I$400,0)),I$2,)</f>
        <v>0</v>
      </c>
      <c r="J324" s="179">
        <f ca="1">IF(ISNUMBER(MATCH(DATEVALUE($A324),'changes1_based on steps'!J$1:J$400,0)),J$2,)</f>
        <v>0</v>
      </c>
      <c r="K324" s="179">
        <f ca="1">IF(ISNUMBER(MATCH(DATEVALUE($A324),'changes1_based on steps'!K$1:K$400,0)),K$2,)</f>
        <v>0</v>
      </c>
      <c r="L324" s="179">
        <f ca="1">IF(ISNUMBER(MATCH(DATEVALUE($A324),'changes1_based on steps'!L$1:L$400,0)),L$2,)</f>
        <v>0</v>
      </c>
      <c r="M324" s="179">
        <f ca="1">IF(ISNUMBER(MATCH(DATEVALUE($A324),'changes1_based on steps'!M$1:M$400,0)),M$2,)</f>
        <v>0</v>
      </c>
      <c r="N324" s="179">
        <f ca="1">IF(ISNUMBER(MATCH(DATEVALUE($A324),'changes1_based on steps'!N$1:N$400,0)),N$2,)</f>
        <v>0</v>
      </c>
      <c r="O324" s="179">
        <f ca="1">IF(ISNUMBER(MATCH(DATEVALUE($A324),'changes1_based on steps'!O$1:O$400,0)),O$2,)</f>
        <v>0</v>
      </c>
      <c r="P324" s="179">
        <f ca="1">IF(ISNUMBER(MATCH(DATEVALUE($A324),'changes1_based on steps'!P$1:P$400,0)),P$2,)</f>
        <v>0</v>
      </c>
      <c r="Q324" s="179">
        <f ca="1">IF(ISNUMBER(MATCH(DATEVALUE($A324),'changes1_based on steps'!Q$1:Q$400,0)),Q$2,)</f>
        <v>0</v>
      </c>
      <c r="R324" s="179">
        <f ca="1">IF(ISNUMBER(MATCH(DATEVALUE($A324),'changes1_based on steps'!R$1:R$400,0)),R$2,)</f>
        <v>0</v>
      </c>
      <c r="S324" s="179">
        <f ca="1">IF(ISNUMBER(MATCH(DATEVALUE($A324),'changes1_based on steps'!S$1:S$400,0)),S$2,)</f>
        <v>0</v>
      </c>
      <c r="T324" s="179">
        <f ca="1">IF(ISNUMBER(MATCH(DATEVALUE($A324),'changes1_based on steps'!T$1:T$400,0)),T$2,)</f>
        <v>0</v>
      </c>
      <c r="U324" s="179">
        <f ca="1">IF(ISNUMBER(MATCH(DATEVALUE($A324),'changes1_based on steps'!U$1:U$400,0)),U$2,)</f>
        <v>0</v>
      </c>
      <c r="V324" s="179"/>
      <c r="W324" s="179"/>
      <c r="X324" s="179"/>
      <c r="Y324" s="179"/>
      <c r="Z324" s="179"/>
      <c r="AA324" s="179"/>
      <c r="AB324" s="179"/>
      <c r="AC324" s="179"/>
      <c r="AD324" s="179"/>
      <c r="AE324" s="179"/>
      <c r="AF324" s="179"/>
      <c r="AG324" s="179"/>
      <c r="AH324" s="179"/>
      <c r="AI324" s="179"/>
      <c r="AJ324" s="179"/>
      <c r="AK324" s="179"/>
      <c r="AL324" s="179"/>
      <c r="AM324" s="179"/>
      <c r="AN324" s="179"/>
      <c r="AO324" s="179"/>
      <c r="AP324" s="179"/>
      <c r="AQ324" s="179"/>
      <c r="AR324" s="179"/>
      <c r="AS324" s="179"/>
      <c r="AT324" s="179"/>
      <c r="AU324" s="179"/>
      <c r="AV324" s="179"/>
      <c r="AW324" s="179"/>
      <c r="AX324" s="179"/>
      <c r="AY324" s="179"/>
      <c r="AZ324" s="179"/>
      <c r="BA324" s="179"/>
      <c r="BB324" s="179"/>
      <c r="BC324" s="179"/>
      <c r="BD324" s="179"/>
      <c r="BE324" s="179"/>
      <c r="BF324" s="179"/>
      <c r="BG324" s="179"/>
      <c r="BH324" s="179"/>
      <c r="BI324" s="179"/>
      <c r="BJ324" s="179"/>
      <c r="BK324" s="179"/>
      <c r="BL324" s="179"/>
      <c r="BM324" s="179"/>
      <c r="BN324" s="179"/>
      <c r="BO324" s="179"/>
      <c r="BP324" s="179"/>
      <c r="BQ324" s="179"/>
      <c r="BR324" s="179"/>
      <c r="BS324" s="179"/>
      <c r="BT324" s="179"/>
      <c r="BU324" s="179"/>
      <c r="BV324" s="179"/>
      <c r="BW324" s="179"/>
      <c r="BX324" s="179"/>
      <c r="BY324" s="179"/>
      <c r="BZ324" s="179"/>
      <c r="CA324" s="179"/>
      <c r="CB324" s="179"/>
      <c r="CC324" s="179"/>
      <c r="CD324" s="179"/>
      <c r="CE324" s="179"/>
      <c r="CF324" s="179"/>
      <c r="CG324" s="179"/>
      <c r="CH324" s="179"/>
      <c r="CI324" s="179"/>
      <c r="CJ324" s="179"/>
      <c r="CK324" s="179"/>
      <c r="CL324" s="179"/>
      <c r="CM324" s="179"/>
      <c r="CN324" s="179"/>
      <c r="CO324" s="179"/>
      <c r="CP324" s="179"/>
      <c r="CQ324" s="179"/>
      <c r="CR324" s="179"/>
      <c r="CS324" s="179"/>
      <c r="CT324" s="179"/>
      <c r="CU324" s="179"/>
      <c r="CV324" s="179"/>
      <c r="CW324" s="179"/>
    </row>
    <row r="325" spans="1:101" x14ac:dyDescent="0.2">
      <c r="A325" s="32" t="str">
        <f t="shared" ref="A325:A371" ca="1" si="5">TEXT(DATEVALUE(A324)+1,"yyyy-mm-dd")</f>
        <v>2026-02-14</v>
      </c>
      <c r="B325" s="179">
        <f ca="1">IF(ISNUMBER(MATCH(DATEVALUE($A325),'changes1_based on steps'!B$1:B$400,0)),B$2,)</f>
        <v>0</v>
      </c>
      <c r="C325" s="179">
        <f ca="1">IF(ISNUMBER(MATCH(DATEVALUE($A325),'changes1_based on steps'!C$1:C$400,0)),C$2,)</f>
        <v>0</v>
      </c>
      <c r="D325" s="179">
        <f ca="1">IF(ISNUMBER(MATCH(DATEVALUE($A325),'changes1_based on steps'!D$1:D$400,0)),D$2,)</f>
        <v>0</v>
      </c>
      <c r="E325" s="179">
        <f ca="1">IF(ISNUMBER(MATCH(DATEVALUE($A325),'changes1_based on steps'!E$1:E$400,0)),E$2,)</f>
        <v>0</v>
      </c>
      <c r="F325" s="179">
        <f ca="1">IF(ISNUMBER(MATCH(DATEVALUE($A325),'changes1_based on steps'!F$1:F$400,0)),F$2,)</f>
        <v>0</v>
      </c>
      <c r="G325" s="179">
        <f ca="1">IF(ISNUMBER(MATCH(DATEVALUE($A325),'changes1_based on steps'!G$1:G$400,0)),G$2,)</f>
        <v>0</v>
      </c>
      <c r="H325" s="179">
        <f ca="1">IF(ISNUMBER(MATCH(DATEVALUE($A325),'changes1_based on steps'!H$1:H$400,0)),H$2,)</f>
        <v>0</v>
      </c>
      <c r="I325" s="179">
        <f ca="1">IF(ISNUMBER(MATCH(DATEVALUE($A325),'changes1_based on steps'!I$1:I$400,0)),I$2,)</f>
        <v>0</v>
      </c>
      <c r="J325" s="179">
        <f ca="1">IF(ISNUMBER(MATCH(DATEVALUE($A325),'changes1_based on steps'!J$1:J$400,0)),J$2,)</f>
        <v>0</v>
      </c>
      <c r="K325" s="179">
        <f ca="1">IF(ISNUMBER(MATCH(DATEVALUE($A325),'changes1_based on steps'!K$1:K$400,0)),K$2,)</f>
        <v>0</v>
      </c>
      <c r="L325" s="179">
        <f ca="1">IF(ISNUMBER(MATCH(DATEVALUE($A325),'changes1_based on steps'!L$1:L$400,0)),L$2,)</f>
        <v>0</v>
      </c>
      <c r="M325" s="179">
        <f ca="1">IF(ISNUMBER(MATCH(DATEVALUE($A325),'changes1_based on steps'!M$1:M$400,0)),M$2,)</f>
        <v>0</v>
      </c>
      <c r="N325" s="179">
        <f ca="1">IF(ISNUMBER(MATCH(DATEVALUE($A325),'changes1_based on steps'!N$1:N$400,0)),N$2,)</f>
        <v>0</v>
      </c>
      <c r="O325" s="179">
        <f ca="1">IF(ISNUMBER(MATCH(DATEVALUE($A325),'changes1_based on steps'!O$1:O$400,0)),O$2,)</f>
        <v>0</v>
      </c>
      <c r="P325" s="179">
        <f ca="1">IF(ISNUMBER(MATCH(DATEVALUE($A325),'changes1_based on steps'!P$1:P$400,0)),P$2,)</f>
        <v>0</v>
      </c>
      <c r="Q325" s="179">
        <f ca="1">IF(ISNUMBER(MATCH(DATEVALUE($A325),'changes1_based on steps'!Q$1:Q$400,0)),Q$2,)</f>
        <v>0</v>
      </c>
      <c r="R325" s="179">
        <f ca="1">IF(ISNUMBER(MATCH(DATEVALUE($A325),'changes1_based on steps'!R$1:R$400,0)),R$2,)</f>
        <v>0</v>
      </c>
      <c r="S325" s="179">
        <f ca="1">IF(ISNUMBER(MATCH(DATEVALUE($A325),'changes1_based on steps'!S$1:S$400,0)),S$2,)</f>
        <v>0</v>
      </c>
      <c r="T325" s="179">
        <f ca="1">IF(ISNUMBER(MATCH(DATEVALUE($A325),'changes1_based on steps'!T$1:T$400,0)),T$2,)</f>
        <v>0</v>
      </c>
      <c r="U325" s="179">
        <f ca="1">IF(ISNUMBER(MATCH(DATEVALUE($A325),'changes1_based on steps'!U$1:U$400,0)),U$2,)</f>
        <v>0</v>
      </c>
      <c r="V325" s="179"/>
      <c r="W325" s="179"/>
      <c r="X325" s="179"/>
      <c r="Y325" s="179"/>
      <c r="Z325" s="179"/>
      <c r="AA325" s="179"/>
      <c r="AB325" s="179"/>
      <c r="AC325" s="179"/>
      <c r="AD325" s="179"/>
      <c r="AE325" s="179"/>
      <c r="AF325" s="179"/>
      <c r="AG325" s="179"/>
      <c r="AH325" s="179"/>
      <c r="AI325" s="179"/>
      <c r="AJ325" s="179"/>
      <c r="AK325" s="179"/>
      <c r="AL325" s="179"/>
      <c r="AM325" s="179"/>
      <c r="AN325" s="179"/>
      <c r="AO325" s="179"/>
      <c r="AP325" s="179"/>
      <c r="AQ325" s="179"/>
      <c r="AR325" s="179"/>
      <c r="AS325" s="179"/>
      <c r="AT325" s="179"/>
      <c r="AU325" s="179"/>
      <c r="AV325" s="179"/>
      <c r="AW325" s="179"/>
      <c r="AX325" s="179"/>
      <c r="AY325" s="179"/>
      <c r="AZ325" s="179"/>
      <c r="BA325" s="179"/>
      <c r="BB325" s="179"/>
      <c r="BC325" s="179"/>
      <c r="BD325" s="179"/>
      <c r="BE325" s="179"/>
      <c r="BF325" s="179"/>
      <c r="BG325" s="179"/>
      <c r="BH325" s="179"/>
      <c r="BI325" s="179"/>
      <c r="BJ325" s="179"/>
      <c r="BK325" s="179"/>
      <c r="BL325" s="179"/>
      <c r="BM325" s="179"/>
      <c r="BN325" s="179"/>
      <c r="BO325" s="179"/>
      <c r="BP325" s="179"/>
      <c r="BQ325" s="179"/>
      <c r="BR325" s="179"/>
      <c r="BS325" s="179"/>
      <c r="BT325" s="179"/>
      <c r="BU325" s="179"/>
      <c r="BV325" s="179"/>
      <c r="BW325" s="179"/>
      <c r="BX325" s="179"/>
      <c r="BY325" s="179"/>
      <c r="BZ325" s="179"/>
      <c r="CA325" s="179"/>
      <c r="CB325" s="179"/>
      <c r="CC325" s="179"/>
      <c r="CD325" s="179"/>
      <c r="CE325" s="179"/>
      <c r="CF325" s="179"/>
      <c r="CG325" s="179"/>
      <c r="CH325" s="179"/>
      <c r="CI325" s="179"/>
      <c r="CJ325" s="179"/>
      <c r="CK325" s="179"/>
      <c r="CL325" s="179"/>
      <c r="CM325" s="179"/>
      <c r="CN325" s="179"/>
      <c r="CO325" s="179"/>
      <c r="CP325" s="179"/>
      <c r="CQ325" s="179"/>
      <c r="CR325" s="179"/>
      <c r="CS325" s="179"/>
      <c r="CT325" s="179"/>
      <c r="CU325" s="179"/>
      <c r="CV325" s="179"/>
      <c r="CW325" s="179"/>
    </row>
    <row r="326" spans="1:101" x14ac:dyDescent="0.2">
      <c r="A326" s="32" t="str">
        <f t="shared" ca="1" si="5"/>
        <v>2026-02-15</v>
      </c>
      <c r="B326" s="179">
        <f ca="1">IF(ISNUMBER(MATCH(DATEVALUE($A326),'changes1_based on steps'!B$1:B$400,0)),B$2,)</f>
        <v>0</v>
      </c>
      <c r="C326" s="179">
        <f ca="1">IF(ISNUMBER(MATCH(DATEVALUE($A326),'changes1_based on steps'!C$1:C$400,0)),C$2,)</f>
        <v>0</v>
      </c>
      <c r="D326" s="179">
        <f ca="1">IF(ISNUMBER(MATCH(DATEVALUE($A326),'changes1_based on steps'!D$1:D$400,0)),D$2,)</f>
        <v>0</v>
      </c>
      <c r="E326" s="179">
        <f ca="1">IF(ISNUMBER(MATCH(DATEVALUE($A326),'changes1_based on steps'!E$1:E$400,0)),E$2,)</f>
        <v>0</v>
      </c>
      <c r="F326" s="179">
        <f ca="1">IF(ISNUMBER(MATCH(DATEVALUE($A326),'changes1_based on steps'!F$1:F$400,0)),F$2,)</f>
        <v>0</v>
      </c>
      <c r="G326" s="179">
        <f ca="1">IF(ISNUMBER(MATCH(DATEVALUE($A326),'changes1_based on steps'!G$1:G$400,0)),G$2,)</f>
        <v>0</v>
      </c>
      <c r="H326" s="179">
        <f ca="1">IF(ISNUMBER(MATCH(DATEVALUE($A326),'changes1_based on steps'!H$1:H$400,0)),H$2,)</f>
        <v>0</v>
      </c>
      <c r="I326" s="179">
        <f ca="1">IF(ISNUMBER(MATCH(DATEVALUE($A326),'changes1_based on steps'!I$1:I$400,0)),I$2,)</f>
        <v>0</v>
      </c>
      <c r="J326" s="179">
        <f ca="1">IF(ISNUMBER(MATCH(DATEVALUE($A326),'changes1_based on steps'!J$1:J$400,0)),J$2,)</f>
        <v>0</v>
      </c>
      <c r="K326" s="179">
        <f ca="1">IF(ISNUMBER(MATCH(DATEVALUE($A326),'changes1_based on steps'!K$1:K$400,0)),K$2,)</f>
        <v>0</v>
      </c>
      <c r="L326" s="179">
        <f ca="1">IF(ISNUMBER(MATCH(DATEVALUE($A326),'changes1_based on steps'!L$1:L$400,0)),L$2,)</f>
        <v>0</v>
      </c>
      <c r="M326" s="179">
        <f ca="1">IF(ISNUMBER(MATCH(DATEVALUE($A326),'changes1_based on steps'!M$1:M$400,0)),M$2,)</f>
        <v>0</v>
      </c>
      <c r="N326" s="179">
        <f ca="1">IF(ISNUMBER(MATCH(DATEVALUE($A326),'changes1_based on steps'!N$1:N$400,0)),N$2,)</f>
        <v>0</v>
      </c>
      <c r="O326" s="179">
        <f ca="1">IF(ISNUMBER(MATCH(DATEVALUE($A326),'changes1_based on steps'!O$1:O$400,0)),O$2,)</f>
        <v>0</v>
      </c>
      <c r="P326" s="179">
        <f ca="1">IF(ISNUMBER(MATCH(DATEVALUE($A326),'changes1_based on steps'!P$1:P$400,0)),P$2,)</f>
        <v>0</v>
      </c>
      <c r="Q326" s="179">
        <f ca="1">IF(ISNUMBER(MATCH(DATEVALUE($A326),'changes1_based on steps'!Q$1:Q$400,0)),Q$2,)</f>
        <v>0</v>
      </c>
      <c r="R326" s="179">
        <f ca="1">IF(ISNUMBER(MATCH(DATEVALUE($A326),'changes1_based on steps'!R$1:R$400,0)),R$2,)</f>
        <v>0</v>
      </c>
      <c r="S326" s="179">
        <f ca="1">IF(ISNUMBER(MATCH(DATEVALUE($A326),'changes1_based on steps'!S$1:S$400,0)),S$2,)</f>
        <v>0</v>
      </c>
      <c r="T326" s="179">
        <f ca="1">IF(ISNUMBER(MATCH(DATEVALUE($A326),'changes1_based on steps'!T$1:T$400,0)),T$2,)</f>
        <v>0</v>
      </c>
      <c r="U326" s="179">
        <f ca="1">IF(ISNUMBER(MATCH(DATEVALUE($A326),'changes1_based on steps'!U$1:U$400,0)),U$2,)</f>
        <v>0</v>
      </c>
      <c r="V326" s="179"/>
      <c r="W326" s="179"/>
      <c r="X326" s="179"/>
      <c r="Y326" s="179"/>
      <c r="Z326" s="179"/>
      <c r="AA326" s="179"/>
      <c r="AB326" s="179"/>
      <c r="AC326" s="179"/>
      <c r="AD326" s="179"/>
      <c r="AE326" s="179"/>
      <c r="AF326" s="179"/>
      <c r="AG326" s="179"/>
      <c r="AH326" s="179"/>
      <c r="AI326" s="179"/>
      <c r="AJ326" s="179"/>
      <c r="AK326" s="179"/>
      <c r="AL326" s="179"/>
      <c r="AM326" s="179"/>
      <c r="AN326" s="179"/>
      <c r="AO326" s="179"/>
      <c r="AP326" s="179"/>
      <c r="AQ326" s="179"/>
      <c r="AR326" s="179"/>
      <c r="AS326" s="179"/>
      <c r="AT326" s="179"/>
      <c r="AU326" s="179"/>
      <c r="AV326" s="179"/>
      <c r="AW326" s="179"/>
      <c r="AX326" s="179"/>
      <c r="AY326" s="179"/>
      <c r="AZ326" s="179"/>
      <c r="BA326" s="179"/>
      <c r="BB326" s="179"/>
      <c r="BC326" s="179"/>
      <c r="BD326" s="179"/>
      <c r="BE326" s="179"/>
      <c r="BF326" s="179"/>
      <c r="BG326" s="179"/>
      <c r="BH326" s="179"/>
      <c r="BI326" s="179"/>
      <c r="BJ326" s="179"/>
      <c r="BK326" s="179"/>
      <c r="BL326" s="179"/>
      <c r="BM326" s="179"/>
      <c r="BN326" s="179"/>
      <c r="BO326" s="179"/>
      <c r="BP326" s="179"/>
      <c r="BQ326" s="179"/>
      <c r="BR326" s="179"/>
      <c r="BS326" s="179"/>
      <c r="BT326" s="179"/>
      <c r="BU326" s="179"/>
      <c r="BV326" s="179"/>
      <c r="BW326" s="179"/>
      <c r="BX326" s="179"/>
      <c r="BY326" s="179"/>
      <c r="BZ326" s="179"/>
      <c r="CA326" s="179"/>
      <c r="CB326" s="179"/>
      <c r="CC326" s="179"/>
      <c r="CD326" s="179"/>
      <c r="CE326" s="179"/>
      <c r="CF326" s="179"/>
      <c r="CG326" s="179"/>
      <c r="CH326" s="179"/>
      <c r="CI326" s="179"/>
      <c r="CJ326" s="179"/>
      <c r="CK326" s="179"/>
      <c r="CL326" s="179"/>
      <c r="CM326" s="179"/>
      <c r="CN326" s="179"/>
      <c r="CO326" s="179"/>
      <c r="CP326" s="179"/>
      <c r="CQ326" s="179"/>
      <c r="CR326" s="179"/>
      <c r="CS326" s="179"/>
      <c r="CT326" s="179"/>
      <c r="CU326" s="179"/>
      <c r="CV326" s="179"/>
      <c r="CW326" s="179"/>
    </row>
    <row r="327" spans="1:101" x14ac:dyDescent="0.2">
      <c r="A327" s="32" t="str">
        <f t="shared" ca="1" si="5"/>
        <v>2026-02-16</v>
      </c>
      <c r="B327" s="179">
        <f ca="1">IF(ISNUMBER(MATCH(DATEVALUE($A327),'changes1_based on steps'!B$1:B$400,0)),B$2,)</f>
        <v>0</v>
      </c>
      <c r="C327" s="179">
        <f ca="1">IF(ISNUMBER(MATCH(DATEVALUE($A327),'changes1_based on steps'!C$1:C$400,0)),C$2,)</f>
        <v>0</v>
      </c>
      <c r="D327" s="179">
        <f ca="1">IF(ISNUMBER(MATCH(DATEVALUE($A327),'changes1_based on steps'!D$1:D$400,0)),D$2,)</f>
        <v>0</v>
      </c>
      <c r="E327" s="179">
        <f ca="1">IF(ISNUMBER(MATCH(DATEVALUE($A327),'changes1_based on steps'!E$1:E$400,0)),E$2,)</f>
        <v>0</v>
      </c>
      <c r="F327" s="179">
        <f ca="1">IF(ISNUMBER(MATCH(DATEVALUE($A327),'changes1_based on steps'!F$1:F$400,0)),F$2,)</f>
        <v>0</v>
      </c>
      <c r="G327" s="179">
        <f ca="1">IF(ISNUMBER(MATCH(DATEVALUE($A327),'changes1_based on steps'!G$1:G$400,0)),G$2,)</f>
        <v>0</v>
      </c>
      <c r="H327" s="179">
        <f ca="1">IF(ISNUMBER(MATCH(DATEVALUE($A327),'changes1_based on steps'!H$1:H$400,0)),H$2,)</f>
        <v>0</v>
      </c>
      <c r="I327" s="179">
        <f ca="1">IF(ISNUMBER(MATCH(DATEVALUE($A327),'changes1_based on steps'!I$1:I$400,0)),I$2,)</f>
        <v>0</v>
      </c>
      <c r="J327" s="179">
        <f ca="1">IF(ISNUMBER(MATCH(DATEVALUE($A327),'changes1_based on steps'!J$1:J$400,0)),J$2,)</f>
        <v>0</v>
      </c>
      <c r="K327" s="179">
        <f ca="1">IF(ISNUMBER(MATCH(DATEVALUE($A327),'changes1_based on steps'!K$1:K$400,0)),K$2,)</f>
        <v>0</v>
      </c>
      <c r="L327" s="179">
        <f ca="1">IF(ISNUMBER(MATCH(DATEVALUE($A327),'changes1_based on steps'!L$1:L$400,0)),L$2,)</f>
        <v>0</v>
      </c>
      <c r="M327" s="179">
        <f ca="1">IF(ISNUMBER(MATCH(DATEVALUE($A327),'changes1_based on steps'!M$1:M$400,0)),M$2,)</f>
        <v>0</v>
      </c>
      <c r="N327" s="179">
        <f ca="1">IF(ISNUMBER(MATCH(DATEVALUE($A327),'changes1_based on steps'!N$1:N$400,0)),N$2,)</f>
        <v>0</v>
      </c>
      <c r="O327" s="179">
        <f ca="1">IF(ISNUMBER(MATCH(DATEVALUE($A327),'changes1_based on steps'!O$1:O$400,0)),O$2,)</f>
        <v>0</v>
      </c>
      <c r="P327" s="179">
        <f ca="1">IF(ISNUMBER(MATCH(DATEVALUE($A327),'changes1_based on steps'!P$1:P$400,0)),P$2,)</f>
        <v>0</v>
      </c>
      <c r="Q327" s="179">
        <f ca="1">IF(ISNUMBER(MATCH(DATEVALUE($A327),'changes1_based on steps'!Q$1:Q$400,0)),Q$2,)</f>
        <v>0</v>
      </c>
      <c r="R327" s="179">
        <f ca="1">IF(ISNUMBER(MATCH(DATEVALUE($A327),'changes1_based on steps'!R$1:R$400,0)),R$2,)</f>
        <v>0</v>
      </c>
      <c r="S327" s="179">
        <f ca="1">IF(ISNUMBER(MATCH(DATEVALUE($A327),'changes1_based on steps'!S$1:S$400,0)),S$2,)</f>
        <v>0</v>
      </c>
      <c r="T327" s="179">
        <f ca="1">IF(ISNUMBER(MATCH(DATEVALUE($A327),'changes1_based on steps'!T$1:T$400,0)),T$2,)</f>
        <v>0</v>
      </c>
      <c r="U327" s="179">
        <f ca="1">IF(ISNUMBER(MATCH(DATEVALUE($A327),'changes1_based on steps'!U$1:U$400,0)),U$2,)</f>
        <v>0</v>
      </c>
      <c r="V327" s="179"/>
      <c r="W327" s="179"/>
      <c r="X327" s="179"/>
      <c r="Y327" s="179"/>
      <c r="Z327" s="179"/>
      <c r="AA327" s="179"/>
      <c r="AB327" s="179"/>
      <c r="AC327" s="179"/>
      <c r="AD327" s="179"/>
      <c r="AE327" s="179"/>
      <c r="AF327" s="179"/>
      <c r="AG327" s="179"/>
      <c r="AH327" s="179"/>
      <c r="AI327" s="179"/>
      <c r="AJ327" s="179"/>
      <c r="AK327" s="179"/>
      <c r="AL327" s="179"/>
      <c r="AM327" s="179"/>
      <c r="AN327" s="179"/>
      <c r="AO327" s="179"/>
      <c r="AP327" s="179"/>
      <c r="AQ327" s="179"/>
      <c r="AR327" s="179"/>
      <c r="AS327" s="179"/>
      <c r="AT327" s="179"/>
      <c r="AU327" s="179"/>
      <c r="AV327" s="179"/>
      <c r="AW327" s="179"/>
      <c r="AX327" s="179"/>
      <c r="AY327" s="179"/>
      <c r="AZ327" s="179"/>
      <c r="BA327" s="179"/>
      <c r="BB327" s="179"/>
      <c r="BC327" s="179"/>
      <c r="BD327" s="179"/>
      <c r="BE327" s="179"/>
      <c r="BF327" s="179"/>
      <c r="BG327" s="179"/>
      <c r="BH327" s="179"/>
      <c r="BI327" s="179"/>
      <c r="BJ327" s="179"/>
      <c r="BK327" s="179"/>
      <c r="BL327" s="179"/>
      <c r="BM327" s="179"/>
      <c r="BN327" s="179"/>
      <c r="BO327" s="179"/>
      <c r="BP327" s="179"/>
      <c r="BQ327" s="179"/>
      <c r="BR327" s="179"/>
      <c r="BS327" s="179"/>
      <c r="BT327" s="179"/>
      <c r="BU327" s="179"/>
      <c r="BV327" s="179"/>
      <c r="BW327" s="179"/>
      <c r="BX327" s="179"/>
      <c r="BY327" s="179"/>
      <c r="BZ327" s="179"/>
      <c r="CA327" s="179"/>
      <c r="CB327" s="179"/>
      <c r="CC327" s="179"/>
      <c r="CD327" s="179"/>
      <c r="CE327" s="179"/>
      <c r="CF327" s="179"/>
      <c r="CG327" s="179"/>
      <c r="CH327" s="179"/>
      <c r="CI327" s="179"/>
      <c r="CJ327" s="179"/>
      <c r="CK327" s="179"/>
      <c r="CL327" s="179"/>
      <c r="CM327" s="179"/>
      <c r="CN327" s="179"/>
      <c r="CO327" s="179"/>
      <c r="CP327" s="179"/>
      <c r="CQ327" s="179"/>
      <c r="CR327" s="179"/>
      <c r="CS327" s="179"/>
      <c r="CT327" s="179"/>
      <c r="CU327" s="179"/>
      <c r="CV327" s="179"/>
      <c r="CW327" s="179"/>
    </row>
    <row r="328" spans="1:101" x14ac:dyDescent="0.2">
      <c r="A328" s="32" t="str">
        <f t="shared" ca="1" si="5"/>
        <v>2026-02-17</v>
      </c>
      <c r="B328" s="179">
        <f ca="1">IF(ISNUMBER(MATCH(DATEVALUE($A328),'changes1_based on steps'!B$1:B$400,0)),B$2,)</f>
        <v>0</v>
      </c>
      <c r="C328" s="179">
        <f ca="1">IF(ISNUMBER(MATCH(DATEVALUE($A328),'changes1_based on steps'!C$1:C$400,0)),C$2,)</f>
        <v>0</v>
      </c>
      <c r="D328" s="179">
        <f ca="1">IF(ISNUMBER(MATCH(DATEVALUE($A328),'changes1_based on steps'!D$1:D$400,0)),D$2,)</f>
        <v>0</v>
      </c>
      <c r="E328" s="179">
        <f ca="1">IF(ISNUMBER(MATCH(DATEVALUE($A328),'changes1_based on steps'!E$1:E$400,0)),E$2,)</f>
        <v>0</v>
      </c>
      <c r="F328" s="179">
        <f ca="1">IF(ISNUMBER(MATCH(DATEVALUE($A328),'changes1_based on steps'!F$1:F$400,0)),F$2,)</f>
        <v>0</v>
      </c>
      <c r="G328" s="179">
        <f ca="1">IF(ISNUMBER(MATCH(DATEVALUE($A328),'changes1_based on steps'!G$1:G$400,0)),G$2,)</f>
        <v>0</v>
      </c>
      <c r="H328" s="179">
        <f ca="1">IF(ISNUMBER(MATCH(DATEVALUE($A328),'changes1_based on steps'!H$1:H$400,0)),H$2,)</f>
        <v>0</v>
      </c>
      <c r="I328" s="179">
        <f ca="1">IF(ISNUMBER(MATCH(DATEVALUE($A328),'changes1_based on steps'!I$1:I$400,0)),I$2,)</f>
        <v>0</v>
      </c>
      <c r="J328" s="179">
        <f ca="1">IF(ISNUMBER(MATCH(DATEVALUE($A328),'changes1_based on steps'!J$1:J$400,0)),J$2,)</f>
        <v>0</v>
      </c>
      <c r="K328" s="179">
        <f ca="1">IF(ISNUMBER(MATCH(DATEVALUE($A328),'changes1_based on steps'!K$1:K$400,0)),K$2,)</f>
        <v>0</v>
      </c>
      <c r="L328" s="179">
        <f ca="1">IF(ISNUMBER(MATCH(DATEVALUE($A328),'changes1_based on steps'!L$1:L$400,0)),L$2,)</f>
        <v>0</v>
      </c>
      <c r="M328" s="179">
        <f ca="1">IF(ISNUMBER(MATCH(DATEVALUE($A328),'changes1_based on steps'!M$1:M$400,0)),M$2,)</f>
        <v>0</v>
      </c>
      <c r="N328" s="179">
        <f ca="1">IF(ISNUMBER(MATCH(DATEVALUE($A328),'changes1_based on steps'!N$1:N$400,0)),N$2,)</f>
        <v>0</v>
      </c>
      <c r="O328" s="179">
        <f ca="1">IF(ISNUMBER(MATCH(DATEVALUE($A328),'changes1_based on steps'!O$1:O$400,0)),O$2,)</f>
        <v>0</v>
      </c>
      <c r="P328" s="179">
        <f ca="1">IF(ISNUMBER(MATCH(DATEVALUE($A328),'changes1_based on steps'!P$1:P$400,0)),P$2,)</f>
        <v>0</v>
      </c>
      <c r="Q328" s="179">
        <f ca="1">IF(ISNUMBER(MATCH(DATEVALUE($A328),'changes1_based on steps'!Q$1:Q$400,0)),Q$2,)</f>
        <v>0</v>
      </c>
      <c r="R328" s="179">
        <f ca="1">IF(ISNUMBER(MATCH(DATEVALUE($A328),'changes1_based on steps'!R$1:R$400,0)),R$2,)</f>
        <v>0</v>
      </c>
      <c r="S328" s="179">
        <f ca="1">IF(ISNUMBER(MATCH(DATEVALUE($A328),'changes1_based on steps'!S$1:S$400,0)),S$2,)</f>
        <v>0</v>
      </c>
      <c r="T328" s="179">
        <f ca="1">IF(ISNUMBER(MATCH(DATEVALUE($A328),'changes1_based on steps'!T$1:T$400,0)),T$2,)</f>
        <v>0</v>
      </c>
      <c r="U328" s="179">
        <f ca="1">IF(ISNUMBER(MATCH(DATEVALUE($A328),'changes1_based on steps'!U$1:U$400,0)),U$2,)</f>
        <v>0</v>
      </c>
      <c r="V328" s="179"/>
      <c r="W328" s="179"/>
      <c r="X328" s="179"/>
      <c r="Y328" s="179"/>
      <c r="Z328" s="179"/>
      <c r="AA328" s="179"/>
      <c r="AB328" s="179"/>
      <c r="AC328" s="179"/>
      <c r="AD328" s="179"/>
      <c r="AE328" s="179"/>
      <c r="AF328" s="179"/>
      <c r="AG328" s="179"/>
      <c r="AH328" s="179"/>
      <c r="AI328" s="179"/>
      <c r="AJ328" s="179"/>
      <c r="AK328" s="179"/>
      <c r="AL328" s="179"/>
      <c r="AM328" s="179"/>
      <c r="AN328" s="179"/>
      <c r="AO328" s="179"/>
      <c r="AP328" s="179"/>
      <c r="AQ328" s="179"/>
      <c r="AR328" s="179"/>
      <c r="AS328" s="179"/>
      <c r="AT328" s="179"/>
      <c r="AU328" s="179"/>
      <c r="AV328" s="179"/>
      <c r="AW328" s="179"/>
      <c r="AX328" s="179"/>
      <c r="AY328" s="179"/>
      <c r="AZ328" s="179"/>
      <c r="BA328" s="179"/>
      <c r="BB328" s="179"/>
      <c r="BC328" s="179"/>
      <c r="BD328" s="179"/>
      <c r="BE328" s="179"/>
      <c r="BF328" s="179"/>
      <c r="BG328" s="179"/>
      <c r="BH328" s="179"/>
      <c r="BI328" s="179"/>
      <c r="BJ328" s="179"/>
      <c r="BK328" s="179"/>
      <c r="BL328" s="179"/>
      <c r="BM328" s="179"/>
      <c r="BN328" s="179"/>
      <c r="BO328" s="179"/>
      <c r="BP328" s="179"/>
      <c r="BQ328" s="179"/>
      <c r="BR328" s="179"/>
      <c r="BS328" s="179"/>
      <c r="BT328" s="179"/>
      <c r="BU328" s="179"/>
      <c r="BV328" s="179"/>
      <c r="BW328" s="179"/>
      <c r="BX328" s="179"/>
      <c r="BY328" s="179"/>
      <c r="BZ328" s="179"/>
      <c r="CA328" s="179"/>
      <c r="CB328" s="179"/>
      <c r="CC328" s="179"/>
      <c r="CD328" s="179"/>
      <c r="CE328" s="179"/>
      <c r="CF328" s="179"/>
      <c r="CG328" s="179"/>
      <c r="CH328" s="179"/>
      <c r="CI328" s="179"/>
      <c r="CJ328" s="179"/>
      <c r="CK328" s="179"/>
      <c r="CL328" s="179"/>
      <c r="CM328" s="179"/>
      <c r="CN328" s="179"/>
      <c r="CO328" s="179"/>
      <c r="CP328" s="179"/>
      <c r="CQ328" s="179"/>
      <c r="CR328" s="179"/>
      <c r="CS328" s="179"/>
      <c r="CT328" s="179"/>
      <c r="CU328" s="179"/>
      <c r="CV328" s="179"/>
      <c r="CW328" s="179"/>
    </row>
    <row r="329" spans="1:101" x14ac:dyDescent="0.2">
      <c r="A329" s="32" t="str">
        <f t="shared" ca="1" si="5"/>
        <v>2026-02-18</v>
      </c>
      <c r="B329" s="179">
        <f ca="1">IF(ISNUMBER(MATCH(DATEVALUE($A329),'changes1_based on steps'!B$1:B$400,0)),B$2,)</f>
        <v>0</v>
      </c>
      <c r="C329" s="179">
        <f ca="1">IF(ISNUMBER(MATCH(DATEVALUE($A329),'changes1_based on steps'!C$1:C$400,0)),C$2,)</f>
        <v>0</v>
      </c>
      <c r="D329" s="179">
        <f ca="1">IF(ISNUMBER(MATCH(DATEVALUE($A329),'changes1_based on steps'!D$1:D$400,0)),D$2,)</f>
        <v>0</v>
      </c>
      <c r="E329" s="179">
        <f ca="1">IF(ISNUMBER(MATCH(DATEVALUE($A329),'changes1_based on steps'!E$1:E$400,0)),E$2,)</f>
        <v>0</v>
      </c>
      <c r="F329" s="179">
        <f ca="1">IF(ISNUMBER(MATCH(DATEVALUE($A329),'changes1_based on steps'!F$1:F$400,0)),F$2,)</f>
        <v>0</v>
      </c>
      <c r="G329" s="179">
        <f ca="1">IF(ISNUMBER(MATCH(DATEVALUE($A329),'changes1_based on steps'!G$1:G$400,0)),G$2,)</f>
        <v>0</v>
      </c>
      <c r="H329" s="179">
        <f ca="1">IF(ISNUMBER(MATCH(DATEVALUE($A329),'changes1_based on steps'!H$1:H$400,0)),H$2,)</f>
        <v>0</v>
      </c>
      <c r="I329" s="179">
        <f ca="1">IF(ISNUMBER(MATCH(DATEVALUE($A329),'changes1_based on steps'!I$1:I$400,0)),I$2,)</f>
        <v>0</v>
      </c>
      <c r="J329" s="179">
        <f ca="1">IF(ISNUMBER(MATCH(DATEVALUE($A329),'changes1_based on steps'!J$1:J$400,0)),J$2,)</f>
        <v>0</v>
      </c>
      <c r="K329" s="179">
        <f ca="1">IF(ISNUMBER(MATCH(DATEVALUE($A329),'changes1_based on steps'!K$1:K$400,0)),K$2,)</f>
        <v>0</v>
      </c>
      <c r="L329" s="179">
        <f ca="1">IF(ISNUMBER(MATCH(DATEVALUE($A329),'changes1_based on steps'!L$1:L$400,0)),L$2,)</f>
        <v>0</v>
      </c>
      <c r="M329" s="179">
        <f ca="1">IF(ISNUMBER(MATCH(DATEVALUE($A329),'changes1_based on steps'!M$1:M$400,0)),M$2,)</f>
        <v>0</v>
      </c>
      <c r="N329" s="179">
        <f ca="1">IF(ISNUMBER(MATCH(DATEVALUE($A329),'changes1_based on steps'!N$1:N$400,0)),N$2,)</f>
        <v>0</v>
      </c>
      <c r="O329" s="179">
        <f ca="1">IF(ISNUMBER(MATCH(DATEVALUE($A329),'changes1_based on steps'!O$1:O$400,0)),O$2,)</f>
        <v>0</v>
      </c>
      <c r="P329" s="179">
        <f ca="1">IF(ISNUMBER(MATCH(DATEVALUE($A329),'changes1_based on steps'!P$1:P$400,0)),P$2,)</f>
        <v>0</v>
      </c>
      <c r="Q329" s="179">
        <f ca="1">IF(ISNUMBER(MATCH(DATEVALUE($A329),'changes1_based on steps'!Q$1:Q$400,0)),Q$2,)</f>
        <v>0</v>
      </c>
      <c r="R329" s="179">
        <f ca="1">IF(ISNUMBER(MATCH(DATEVALUE($A329),'changes1_based on steps'!R$1:R$400,0)),R$2,)</f>
        <v>0</v>
      </c>
      <c r="S329" s="179">
        <f ca="1">IF(ISNUMBER(MATCH(DATEVALUE($A329),'changes1_based on steps'!S$1:S$400,0)),S$2,)</f>
        <v>0</v>
      </c>
      <c r="T329" s="179">
        <f ca="1">IF(ISNUMBER(MATCH(DATEVALUE($A329),'changes1_based on steps'!T$1:T$400,0)),T$2,)</f>
        <v>0</v>
      </c>
      <c r="U329" s="179">
        <f ca="1">IF(ISNUMBER(MATCH(DATEVALUE($A329),'changes1_based on steps'!U$1:U$400,0)),U$2,)</f>
        <v>0</v>
      </c>
      <c r="V329" s="179"/>
      <c r="W329" s="179"/>
      <c r="X329" s="179"/>
      <c r="Y329" s="179"/>
      <c r="Z329" s="179"/>
      <c r="AA329" s="179"/>
      <c r="AB329" s="179"/>
      <c r="AC329" s="179"/>
      <c r="AD329" s="179"/>
      <c r="AE329" s="179"/>
      <c r="AF329" s="179"/>
      <c r="AG329" s="179"/>
      <c r="AH329" s="179"/>
      <c r="AI329" s="179"/>
      <c r="AJ329" s="179"/>
      <c r="AK329" s="179"/>
      <c r="AL329" s="179"/>
      <c r="AM329" s="179"/>
      <c r="AN329" s="179"/>
      <c r="AO329" s="179"/>
      <c r="AP329" s="179"/>
      <c r="AQ329" s="179"/>
      <c r="AR329" s="179"/>
      <c r="AS329" s="179"/>
      <c r="AT329" s="179"/>
      <c r="AU329" s="179"/>
      <c r="AV329" s="179"/>
      <c r="AW329" s="179"/>
      <c r="AX329" s="179"/>
      <c r="AY329" s="179"/>
      <c r="AZ329" s="179"/>
      <c r="BA329" s="179"/>
      <c r="BB329" s="179"/>
      <c r="BC329" s="179"/>
      <c r="BD329" s="179"/>
      <c r="BE329" s="179"/>
      <c r="BF329" s="179"/>
      <c r="BG329" s="179"/>
      <c r="BH329" s="179"/>
      <c r="BI329" s="179"/>
      <c r="BJ329" s="179"/>
      <c r="BK329" s="179"/>
      <c r="BL329" s="179"/>
      <c r="BM329" s="179"/>
      <c r="BN329" s="179"/>
      <c r="BO329" s="179"/>
      <c r="BP329" s="179"/>
      <c r="BQ329" s="179"/>
      <c r="BR329" s="179"/>
      <c r="BS329" s="179"/>
      <c r="BT329" s="179"/>
      <c r="BU329" s="179"/>
      <c r="BV329" s="179"/>
      <c r="BW329" s="179"/>
      <c r="BX329" s="179"/>
      <c r="BY329" s="179"/>
      <c r="BZ329" s="179"/>
      <c r="CA329" s="179"/>
      <c r="CB329" s="179"/>
      <c r="CC329" s="179"/>
      <c r="CD329" s="179"/>
      <c r="CE329" s="179"/>
      <c r="CF329" s="179"/>
      <c r="CG329" s="179"/>
      <c r="CH329" s="179"/>
      <c r="CI329" s="179"/>
      <c r="CJ329" s="179"/>
      <c r="CK329" s="179"/>
      <c r="CL329" s="179"/>
      <c r="CM329" s="179"/>
      <c r="CN329" s="179"/>
      <c r="CO329" s="179"/>
      <c r="CP329" s="179"/>
      <c r="CQ329" s="179"/>
      <c r="CR329" s="179"/>
      <c r="CS329" s="179"/>
      <c r="CT329" s="179"/>
      <c r="CU329" s="179"/>
      <c r="CV329" s="179"/>
      <c r="CW329" s="179"/>
    </row>
    <row r="330" spans="1:101" x14ac:dyDescent="0.2">
      <c r="A330" s="32" t="str">
        <f t="shared" ca="1" si="5"/>
        <v>2026-02-19</v>
      </c>
      <c r="B330" s="179">
        <f ca="1">IF(ISNUMBER(MATCH(DATEVALUE($A330),'changes1_based on steps'!B$1:B$400,0)),B$2,)</f>
        <v>0</v>
      </c>
      <c r="C330" s="179">
        <f ca="1">IF(ISNUMBER(MATCH(DATEVALUE($A330),'changes1_based on steps'!C$1:C$400,0)),C$2,)</f>
        <v>0</v>
      </c>
      <c r="D330" s="179">
        <f ca="1">IF(ISNUMBER(MATCH(DATEVALUE($A330),'changes1_based on steps'!D$1:D$400,0)),D$2,)</f>
        <v>0</v>
      </c>
      <c r="E330" s="179">
        <f ca="1">IF(ISNUMBER(MATCH(DATEVALUE($A330),'changes1_based on steps'!E$1:E$400,0)),E$2,)</f>
        <v>0</v>
      </c>
      <c r="F330" s="179">
        <f ca="1">IF(ISNUMBER(MATCH(DATEVALUE($A330),'changes1_based on steps'!F$1:F$400,0)),F$2,)</f>
        <v>0</v>
      </c>
      <c r="G330" s="179">
        <f ca="1">IF(ISNUMBER(MATCH(DATEVALUE($A330),'changes1_based on steps'!G$1:G$400,0)),G$2,)</f>
        <v>0</v>
      </c>
      <c r="H330" s="179">
        <f ca="1">IF(ISNUMBER(MATCH(DATEVALUE($A330),'changes1_based on steps'!H$1:H$400,0)),H$2,)</f>
        <v>0</v>
      </c>
      <c r="I330" s="179">
        <f ca="1">IF(ISNUMBER(MATCH(DATEVALUE($A330),'changes1_based on steps'!I$1:I$400,0)),I$2,)</f>
        <v>0</v>
      </c>
      <c r="J330" s="179">
        <f ca="1">IF(ISNUMBER(MATCH(DATEVALUE($A330),'changes1_based on steps'!J$1:J$400,0)),J$2,)</f>
        <v>0</v>
      </c>
      <c r="K330" s="179">
        <f ca="1">IF(ISNUMBER(MATCH(DATEVALUE($A330),'changes1_based on steps'!K$1:K$400,0)),K$2,)</f>
        <v>0</v>
      </c>
      <c r="L330" s="179">
        <f ca="1">IF(ISNUMBER(MATCH(DATEVALUE($A330),'changes1_based on steps'!L$1:L$400,0)),L$2,)</f>
        <v>0</v>
      </c>
      <c r="M330" s="179">
        <f ca="1">IF(ISNUMBER(MATCH(DATEVALUE($A330),'changes1_based on steps'!M$1:M$400,0)),M$2,)</f>
        <v>0</v>
      </c>
      <c r="N330" s="179">
        <f ca="1">IF(ISNUMBER(MATCH(DATEVALUE($A330),'changes1_based on steps'!N$1:N$400,0)),N$2,)</f>
        <v>0</v>
      </c>
      <c r="O330" s="179">
        <f ca="1">IF(ISNUMBER(MATCH(DATEVALUE($A330),'changes1_based on steps'!O$1:O$400,0)),O$2,)</f>
        <v>0</v>
      </c>
      <c r="P330" s="179">
        <f ca="1">IF(ISNUMBER(MATCH(DATEVALUE($A330),'changes1_based on steps'!P$1:P$400,0)),P$2,)</f>
        <v>0</v>
      </c>
      <c r="Q330" s="179">
        <f ca="1">IF(ISNUMBER(MATCH(DATEVALUE($A330),'changes1_based on steps'!Q$1:Q$400,0)),Q$2,)</f>
        <v>0</v>
      </c>
      <c r="R330" s="179">
        <f ca="1">IF(ISNUMBER(MATCH(DATEVALUE($A330),'changes1_based on steps'!R$1:R$400,0)),R$2,)</f>
        <v>0</v>
      </c>
      <c r="S330" s="179">
        <f ca="1">IF(ISNUMBER(MATCH(DATEVALUE($A330),'changes1_based on steps'!S$1:S$400,0)),S$2,)</f>
        <v>0</v>
      </c>
      <c r="T330" s="179">
        <f ca="1">IF(ISNUMBER(MATCH(DATEVALUE($A330),'changes1_based on steps'!T$1:T$400,0)),T$2,)</f>
        <v>0</v>
      </c>
      <c r="U330" s="179">
        <f ca="1">IF(ISNUMBER(MATCH(DATEVALUE($A330),'changes1_based on steps'!U$1:U$400,0)),U$2,)</f>
        <v>0</v>
      </c>
      <c r="V330" s="179"/>
      <c r="W330" s="179"/>
      <c r="X330" s="179"/>
      <c r="Y330" s="179"/>
      <c r="Z330" s="179"/>
      <c r="AA330" s="179"/>
      <c r="AB330" s="179"/>
      <c r="AC330" s="179"/>
      <c r="AD330" s="179"/>
      <c r="AE330" s="179"/>
      <c r="AF330" s="179"/>
      <c r="AG330" s="179"/>
      <c r="AH330" s="179"/>
      <c r="AI330" s="179"/>
      <c r="AJ330" s="179"/>
      <c r="AK330" s="179"/>
      <c r="AL330" s="179"/>
      <c r="AM330" s="179"/>
      <c r="AN330" s="179"/>
      <c r="AO330" s="179"/>
      <c r="AP330" s="179"/>
      <c r="AQ330" s="179"/>
      <c r="AR330" s="179"/>
      <c r="AS330" s="179"/>
      <c r="AT330" s="179"/>
      <c r="AU330" s="179"/>
      <c r="AV330" s="179"/>
      <c r="AW330" s="179"/>
      <c r="AX330" s="179"/>
      <c r="AY330" s="179"/>
      <c r="AZ330" s="179"/>
      <c r="BA330" s="179"/>
      <c r="BB330" s="179"/>
      <c r="BC330" s="179"/>
      <c r="BD330" s="179"/>
      <c r="BE330" s="179"/>
      <c r="BF330" s="179"/>
      <c r="BG330" s="179"/>
      <c r="BH330" s="179"/>
      <c r="BI330" s="179"/>
      <c r="BJ330" s="179"/>
      <c r="BK330" s="179"/>
      <c r="BL330" s="179"/>
      <c r="BM330" s="179"/>
      <c r="BN330" s="179"/>
      <c r="BO330" s="179"/>
      <c r="BP330" s="179"/>
      <c r="BQ330" s="179"/>
      <c r="BR330" s="179"/>
      <c r="BS330" s="179"/>
      <c r="BT330" s="179"/>
      <c r="BU330" s="179"/>
      <c r="BV330" s="179"/>
      <c r="BW330" s="179"/>
      <c r="BX330" s="179"/>
      <c r="BY330" s="179"/>
      <c r="BZ330" s="179"/>
      <c r="CA330" s="179"/>
      <c r="CB330" s="179"/>
      <c r="CC330" s="179"/>
      <c r="CD330" s="179"/>
      <c r="CE330" s="179"/>
      <c r="CF330" s="179"/>
      <c r="CG330" s="179"/>
      <c r="CH330" s="179"/>
      <c r="CI330" s="179"/>
      <c r="CJ330" s="179"/>
      <c r="CK330" s="179"/>
      <c r="CL330" s="179"/>
      <c r="CM330" s="179"/>
      <c r="CN330" s="179"/>
      <c r="CO330" s="179"/>
      <c r="CP330" s="179"/>
      <c r="CQ330" s="179"/>
      <c r="CR330" s="179"/>
      <c r="CS330" s="179"/>
      <c r="CT330" s="179"/>
      <c r="CU330" s="179"/>
      <c r="CV330" s="179"/>
      <c r="CW330" s="179"/>
    </row>
    <row r="331" spans="1:101" x14ac:dyDescent="0.2">
      <c r="A331" s="32" t="str">
        <f t="shared" ca="1" si="5"/>
        <v>2026-02-20</v>
      </c>
      <c r="B331" s="179">
        <f ca="1">IF(ISNUMBER(MATCH(DATEVALUE($A331),'changes1_based on steps'!B$1:B$400,0)),B$2,)</f>
        <v>0</v>
      </c>
      <c r="C331" s="179">
        <f ca="1">IF(ISNUMBER(MATCH(DATEVALUE($A331),'changes1_based on steps'!C$1:C$400,0)),C$2,)</f>
        <v>0</v>
      </c>
      <c r="D331" s="179">
        <f ca="1">IF(ISNUMBER(MATCH(DATEVALUE($A331),'changes1_based on steps'!D$1:D$400,0)),D$2,)</f>
        <v>0</v>
      </c>
      <c r="E331" s="179">
        <f ca="1">IF(ISNUMBER(MATCH(DATEVALUE($A331),'changes1_based on steps'!E$1:E$400,0)),E$2,)</f>
        <v>0</v>
      </c>
      <c r="F331" s="179">
        <f ca="1">IF(ISNUMBER(MATCH(DATEVALUE($A331),'changes1_based on steps'!F$1:F$400,0)),F$2,)</f>
        <v>0</v>
      </c>
      <c r="G331" s="179">
        <f ca="1">IF(ISNUMBER(MATCH(DATEVALUE($A331),'changes1_based on steps'!G$1:G$400,0)),G$2,)</f>
        <v>0</v>
      </c>
      <c r="H331" s="179">
        <f ca="1">IF(ISNUMBER(MATCH(DATEVALUE($A331),'changes1_based on steps'!H$1:H$400,0)),H$2,)</f>
        <v>0</v>
      </c>
      <c r="I331" s="179">
        <f ca="1">IF(ISNUMBER(MATCH(DATEVALUE($A331),'changes1_based on steps'!I$1:I$400,0)),I$2,)</f>
        <v>0</v>
      </c>
      <c r="J331" s="179">
        <f ca="1">IF(ISNUMBER(MATCH(DATEVALUE($A331),'changes1_based on steps'!J$1:J$400,0)),J$2,)</f>
        <v>0</v>
      </c>
      <c r="K331" s="179">
        <f ca="1">IF(ISNUMBER(MATCH(DATEVALUE($A331),'changes1_based on steps'!K$1:K$400,0)),K$2,)</f>
        <v>0</v>
      </c>
      <c r="L331" s="179">
        <f ca="1">IF(ISNUMBER(MATCH(DATEVALUE($A331),'changes1_based on steps'!L$1:L$400,0)),L$2,)</f>
        <v>0</v>
      </c>
      <c r="M331" s="179">
        <f ca="1">IF(ISNUMBER(MATCH(DATEVALUE($A331),'changes1_based on steps'!M$1:M$400,0)),M$2,)</f>
        <v>0</v>
      </c>
      <c r="N331" s="179">
        <f ca="1">IF(ISNUMBER(MATCH(DATEVALUE($A331),'changes1_based on steps'!N$1:N$400,0)),N$2,)</f>
        <v>0</v>
      </c>
      <c r="O331" s="179">
        <f ca="1">IF(ISNUMBER(MATCH(DATEVALUE($A331),'changes1_based on steps'!O$1:O$400,0)),O$2,)</f>
        <v>0</v>
      </c>
      <c r="P331" s="179">
        <f ca="1">IF(ISNUMBER(MATCH(DATEVALUE($A331),'changes1_based on steps'!P$1:P$400,0)),P$2,)</f>
        <v>0</v>
      </c>
      <c r="Q331" s="179">
        <f ca="1">IF(ISNUMBER(MATCH(DATEVALUE($A331),'changes1_based on steps'!Q$1:Q$400,0)),Q$2,)</f>
        <v>0</v>
      </c>
      <c r="R331" s="179">
        <f ca="1">IF(ISNUMBER(MATCH(DATEVALUE($A331),'changes1_based on steps'!R$1:R$400,0)),R$2,)</f>
        <v>0</v>
      </c>
      <c r="S331" s="179">
        <f ca="1">IF(ISNUMBER(MATCH(DATEVALUE($A331),'changes1_based on steps'!S$1:S$400,0)),S$2,)</f>
        <v>0</v>
      </c>
      <c r="T331" s="179">
        <f ca="1">IF(ISNUMBER(MATCH(DATEVALUE($A331),'changes1_based on steps'!T$1:T$400,0)),T$2,)</f>
        <v>0</v>
      </c>
      <c r="U331" s="179">
        <f ca="1">IF(ISNUMBER(MATCH(DATEVALUE($A331),'changes1_based on steps'!U$1:U$400,0)),U$2,)</f>
        <v>0</v>
      </c>
      <c r="V331" s="179"/>
      <c r="W331" s="179"/>
      <c r="X331" s="179"/>
      <c r="Y331" s="179"/>
      <c r="Z331" s="179"/>
      <c r="AA331" s="179"/>
      <c r="AB331" s="179"/>
      <c r="AC331" s="179"/>
      <c r="AD331" s="179"/>
      <c r="AE331" s="179"/>
      <c r="AF331" s="179"/>
      <c r="AG331" s="179"/>
      <c r="AH331" s="179"/>
      <c r="AI331" s="179"/>
      <c r="AJ331" s="179"/>
      <c r="AK331" s="179"/>
      <c r="AL331" s="179"/>
      <c r="AM331" s="179"/>
      <c r="AN331" s="179"/>
      <c r="AO331" s="179"/>
      <c r="AP331" s="179"/>
      <c r="AQ331" s="179"/>
      <c r="AR331" s="179"/>
      <c r="AS331" s="179"/>
      <c r="AT331" s="179"/>
      <c r="AU331" s="179"/>
      <c r="AV331" s="179"/>
      <c r="AW331" s="179"/>
      <c r="AX331" s="179"/>
      <c r="AY331" s="179"/>
      <c r="AZ331" s="179"/>
      <c r="BA331" s="179"/>
      <c r="BB331" s="179"/>
      <c r="BC331" s="179"/>
      <c r="BD331" s="179"/>
      <c r="BE331" s="179"/>
      <c r="BF331" s="179"/>
      <c r="BG331" s="179"/>
      <c r="BH331" s="179"/>
      <c r="BI331" s="179"/>
      <c r="BJ331" s="179"/>
      <c r="BK331" s="179"/>
      <c r="BL331" s="179"/>
      <c r="BM331" s="179"/>
      <c r="BN331" s="179"/>
      <c r="BO331" s="179"/>
      <c r="BP331" s="179"/>
      <c r="BQ331" s="179"/>
      <c r="BR331" s="179"/>
      <c r="BS331" s="179"/>
      <c r="BT331" s="179"/>
      <c r="BU331" s="179"/>
      <c r="BV331" s="179"/>
      <c r="BW331" s="179"/>
      <c r="BX331" s="179"/>
      <c r="BY331" s="179"/>
      <c r="BZ331" s="179"/>
      <c r="CA331" s="179"/>
      <c r="CB331" s="179"/>
      <c r="CC331" s="179"/>
      <c r="CD331" s="179"/>
      <c r="CE331" s="179"/>
      <c r="CF331" s="179"/>
      <c r="CG331" s="179"/>
      <c r="CH331" s="179"/>
      <c r="CI331" s="179"/>
      <c r="CJ331" s="179"/>
      <c r="CK331" s="179"/>
      <c r="CL331" s="179"/>
      <c r="CM331" s="179"/>
      <c r="CN331" s="179"/>
      <c r="CO331" s="179"/>
      <c r="CP331" s="179"/>
      <c r="CQ331" s="179"/>
      <c r="CR331" s="179"/>
      <c r="CS331" s="179"/>
      <c r="CT331" s="179"/>
      <c r="CU331" s="179"/>
      <c r="CV331" s="179"/>
      <c r="CW331" s="179"/>
    </row>
    <row r="332" spans="1:101" x14ac:dyDescent="0.2">
      <c r="A332" s="32" t="str">
        <f t="shared" ca="1" si="5"/>
        <v>2026-02-21</v>
      </c>
      <c r="B332" s="179">
        <f ca="1">IF(ISNUMBER(MATCH(DATEVALUE($A332),'changes1_based on steps'!B$1:B$400,0)),B$2,)</f>
        <v>0</v>
      </c>
      <c r="C332" s="179">
        <f ca="1">IF(ISNUMBER(MATCH(DATEVALUE($A332),'changes1_based on steps'!C$1:C$400,0)),C$2,)</f>
        <v>0</v>
      </c>
      <c r="D332" s="179">
        <f ca="1">IF(ISNUMBER(MATCH(DATEVALUE($A332),'changes1_based on steps'!D$1:D$400,0)),D$2,)</f>
        <v>0</v>
      </c>
      <c r="E332" s="179">
        <f ca="1">IF(ISNUMBER(MATCH(DATEVALUE($A332),'changes1_based on steps'!E$1:E$400,0)),E$2,)</f>
        <v>0</v>
      </c>
      <c r="F332" s="179">
        <f ca="1">IF(ISNUMBER(MATCH(DATEVALUE($A332),'changes1_based on steps'!F$1:F$400,0)),F$2,)</f>
        <v>0</v>
      </c>
      <c r="G332" s="179">
        <f ca="1">IF(ISNUMBER(MATCH(DATEVALUE($A332),'changes1_based on steps'!G$1:G$400,0)),G$2,)</f>
        <v>0</v>
      </c>
      <c r="H332" s="179">
        <f ca="1">IF(ISNUMBER(MATCH(DATEVALUE($A332),'changes1_based on steps'!H$1:H$400,0)),H$2,)</f>
        <v>0</v>
      </c>
      <c r="I332" s="179">
        <f ca="1">IF(ISNUMBER(MATCH(DATEVALUE($A332),'changes1_based on steps'!I$1:I$400,0)),I$2,)</f>
        <v>0</v>
      </c>
      <c r="J332" s="179">
        <f ca="1">IF(ISNUMBER(MATCH(DATEVALUE($A332),'changes1_based on steps'!J$1:J$400,0)),J$2,)</f>
        <v>0</v>
      </c>
      <c r="K332" s="179">
        <f ca="1">IF(ISNUMBER(MATCH(DATEVALUE($A332),'changes1_based on steps'!K$1:K$400,0)),K$2,)</f>
        <v>0</v>
      </c>
      <c r="L332" s="179">
        <f ca="1">IF(ISNUMBER(MATCH(DATEVALUE($A332),'changes1_based on steps'!L$1:L$400,0)),L$2,)</f>
        <v>0</v>
      </c>
      <c r="M332" s="179">
        <f ca="1">IF(ISNUMBER(MATCH(DATEVALUE($A332),'changes1_based on steps'!M$1:M$400,0)),M$2,)</f>
        <v>0</v>
      </c>
      <c r="N332" s="179">
        <f ca="1">IF(ISNUMBER(MATCH(DATEVALUE($A332),'changes1_based on steps'!N$1:N$400,0)),N$2,)</f>
        <v>0</v>
      </c>
      <c r="O332" s="179">
        <f ca="1">IF(ISNUMBER(MATCH(DATEVALUE($A332),'changes1_based on steps'!O$1:O$400,0)),O$2,)</f>
        <v>0</v>
      </c>
      <c r="P332" s="179">
        <f ca="1">IF(ISNUMBER(MATCH(DATEVALUE($A332),'changes1_based on steps'!P$1:P$400,0)),P$2,)</f>
        <v>0</v>
      </c>
      <c r="Q332" s="179">
        <f ca="1">IF(ISNUMBER(MATCH(DATEVALUE($A332),'changes1_based on steps'!Q$1:Q$400,0)),Q$2,)</f>
        <v>0</v>
      </c>
      <c r="R332" s="179">
        <f ca="1">IF(ISNUMBER(MATCH(DATEVALUE($A332),'changes1_based on steps'!R$1:R$400,0)),R$2,)</f>
        <v>0</v>
      </c>
      <c r="S332" s="179">
        <f ca="1">IF(ISNUMBER(MATCH(DATEVALUE($A332),'changes1_based on steps'!S$1:S$400,0)),S$2,)</f>
        <v>0</v>
      </c>
      <c r="T332" s="179">
        <f ca="1">IF(ISNUMBER(MATCH(DATEVALUE($A332),'changes1_based on steps'!T$1:T$400,0)),T$2,)</f>
        <v>0</v>
      </c>
      <c r="U332" s="179">
        <f ca="1">IF(ISNUMBER(MATCH(DATEVALUE($A332),'changes1_based on steps'!U$1:U$400,0)),U$2,)</f>
        <v>0</v>
      </c>
      <c r="V332" s="179"/>
      <c r="W332" s="179"/>
      <c r="X332" s="179"/>
      <c r="Y332" s="179"/>
      <c r="Z332" s="179"/>
      <c r="AA332" s="179"/>
      <c r="AB332" s="179"/>
      <c r="AC332" s="179"/>
      <c r="AD332" s="179"/>
      <c r="AE332" s="179"/>
      <c r="AF332" s="179"/>
      <c r="AG332" s="179"/>
      <c r="AH332" s="179"/>
      <c r="AI332" s="179"/>
      <c r="AJ332" s="179"/>
      <c r="AK332" s="179"/>
      <c r="AL332" s="179"/>
      <c r="AM332" s="179"/>
      <c r="AN332" s="179"/>
      <c r="AO332" s="179"/>
      <c r="AP332" s="179"/>
      <c r="AQ332" s="179"/>
      <c r="AR332" s="179"/>
      <c r="AS332" s="179"/>
      <c r="AT332" s="179"/>
      <c r="AU332" s="179"/>
      <c r="AV332" s="179"/>
      <c r="AW332" s="179"/>
      <c r="AX332" s="179"/>
      <c r="AY332" s="179"/>
      <c r="AZ332" s="179"/>
      <c r="BA332" s="179"/>
      <c r="BB332" s="179"/>
      <c r="BC332" s="179"/>
      <c r="BD332" s="179"/>
      <c r="BE332" s="179"/>
      <c r="BF332" s="179"/>
      <c r="BG332" s="179"/>
      <c r="BH332" s="179"/>
      <c r="BI332" s="179"/>
      <c r="BJ332" s="179"/>
      <c r="BK332" s="179"/>
      <c r="BL332" s="179"/>
      <c r="BM332" s="179"/>
      <c r="BN332" s="179"/>
      <c r="BO332" s="179"/>
      <c r="BP332" s="179"/>
      <c r="BQ332" s="179"/>
      <c r="BR332" s="179"/>
      <c r="BS332" s="179"/>
      <c r="BT332" s="179"/>
      <c r="BU332" s="179"/>
      <c r="BV332" s="179"/>
      <c r="BW332" s="179"/>
      <c r="BX332" s="179"/>
      <c r="BY332" s="179"/>
      <c r="BZ332" s="179"/>
      <c r="CA332" s="179"/>
      <c r="CB332" s="179"/>
      <c r="CC332" s="179"/>
      <c r="CD332" s="179"/>
      <c r="CE332" s="179"/>
      <c r="CF332" s="179"/>
      <c r="CG332" s="179"/>
      <c r="CH332" s="179"/>
      <c r="CI332" s="179"/>
      <c r="CJ332" s="179"/>
      <c r="CK332" s="179"/>
      <c r="CL332" s="179"/>
      <c r="CM332" s="179"/>
      <c r="CN332" s="179"/>
      <c r="CO332" s="179"/>
      <c r="CP332" s="179"/>
      <c r="CQ332" s="179"/>
      <c r="CR332" s="179"/>
      <c r="CS332" s="179"/>
      <c r="CT332" s="179"/>
      <c r="CU332" s="179"/>
      <c r="CV332" s="179"/>
      <c r="CW332" s="179"/>
    </row>
    <row r="333" spans="1:101" x14ac:dyDescent="0.2">
      <c r="A333" s="32" t="str">
        <f t="shared" ca="1" si="5"/>
        <v>2026-02-22</v>
      </c>
      <c r="B333" s="179">
        <f ca="1">IF(ISNUMBER(MATCH(DATEVALUE($A333),'changes1_based on steps'!B$1:B$400,0)),B$2,)</f>
        <v>0</v>
      </c>
      <c r="C333" s="179">
        <f ca="1">IF(ISNUMBER(MATCH(DATEVALUE($A333),'changes1_based on steps'!C$1:C$400,0)),C$2,)</f>
        <v>0</v>
      </c>
      <c r="D333" s="179">
        <f ca="1">IF(ISNUMBER(MATCH(DATEVALUE($A333),'changes1_based on steps'!D$1:D$400,0)),D$2,)</f>
        <v>0</v>
      </c>
      <c r="E333" s="179">
        <f ca="1">IF(ISNUMBER(MATCH(DATEVALUE($A333),'changes1_based on steps'!E$1:E$400,0)),E$2,)</f>
        <v>0</v>
      </c>
      <c r="F333" s="179">
        <f ca="1">IF(ISNUMBER(MATCH(DATEVALUE($A333),'changes1_based on steps'!F$1:F$400,0)),F$2,)</f>
        <v>0</v>
      </c>
      <c r="G333" s="179">
        <f ca="1">IF(ISNUMBER(MATCH(DATEVALUE($A333),'changes1_based on steps'!G$1:G$400,0)),G$2,)</f>
        <v>0</v>
      </c>
      <c r="H333" s="179">
        <f ca="1">IF(ISNUMBER(MATCH(DATEVALUE($A333),'changes1_based on steps'!H$1:H$400,0)),H$2,)</f>
        <v>0</v>
      </c>
      <c r="I333" s="179">
        <f ca="1">IF(ISNUMBER(MATCH(DATEVALUE($A333),'changes1_based on steps'!I$1:I$400,0)),I$2,)</f>
        <v>0</v>
      </c>
      <c r="J333" s="179">
        <f ca="1">IF(ISNUMBER(MATCH(DATEVALUE($A333),'changes1_based on steps'!J$1:J$400,0)),J$2,)</f>
        <v>0</v>
      </c>
      <c r="K333" s="179">
        <f ca="1">IF(ISNUMBER(MATCH(DATEVALUE($A333),'changes1_based on steps'!K$1:K$400,0)),K$2,)</f>
        <v>0</v>
      </c>
      <c r="L333" s="179">
        <f ca="1">IF(ISNUMBER(MATCH(DATEVALUE($A333),'changes1_based on steps'!L$1:L$400,0)),L$2,)</f>
        <v>0</v>
      </c>
      <c r="M333" s="179">
        <f ca="1">IF(ISNUMBER(MATCH(DATEVALUE($A333),'changes1_based on steps'!M$1:M$400,0)),M$2,)</f>
        <v>0</v>
      </c>
      <c r="N333" s="179">
        <f ca="1">IF(ISNUMBER(MATCH(DATEVALUE($A333),'changes1_based on steps'!N$1:N$400,0)),N$2,)</f>
        <v>0</v>
      </c>
      <c r="O333" s="179">
        <f ca="1">IF(ISNUMBER(MATCH(DATEVALUE($A333),'changes1_based on steps'!O$1:O$400,0)),O$2,)</f>
        <v>0</v>
      </c>
      <c r="P333" s="179">
        <f ca="1">IF(ISNUMBER(MATCH(DATEVALUE($A333),'changes1_based on steps'!P$1:P$400,0)),P$2,)</f>
        <v>0</v>
      </c>
      <c r="Q333" s="179">
        <f ca="1">IF(ISNUMBER(MATCH(DATEVALUE($A333),'changes1_based on steps'!Q$1:Q$400,0)),Q$2,)</f>
        <v>0</v>
      </c>
      <c r="R333" s="179">
        <f ca="1">IF(ISNUMBER(MATCH(DATEVALUE($A333),'changes1_based on steps'!R$1:R$400,0)),R$2,)</f>
        <v>0</v>
      </c>
      <c r="S333" s="179">
        <f ca="1">IF(ISNUMBER(MATCH(DATEVALUE($A333),'changes1_based on steps'!S$1:S$400,0)),S$2,)</f>
        <v>0</v>
      </c>
      <c r="T333" s="179">
        <f ca="1">IF(ISNUMBER(MATCH(DATEVALUE($A333),'changes1_based on steps'!T$1:T$400,0)),T$2,)</f>
        <v>0</v>
      </c>
      <c r="U333" s="179">
        <f ca="1">IF(ISNUMBER(MATCH(DATEVALUE($A333),'changes1_based on steps'!U$1:U$400,0)),U$2,)</f>
        <v>0</v>
      </c>
      <c r="V333" s="179"/>
      <c r="W333" s="179"/>
      <c r="X333" s="179"/>
      <c r="Y333" s="179"/>
      <c r="Z333" s="179"/>
      <c r="AA333" s="179"/>
      <c r="AB333" s="179"/>
      <c r="AC333" s="179"/>
      <c r="AD333" s="179"/>
      <c r="AE333" s="179"/>
      <c r="AF333" s="179"/>
      <c r="AG333" s="179"/>
      <c r="AH333" s="179"/>
      <c r="AI333" s="179"/>
      <c r="AJ333" s="179"/>
      <c r="AK333" s="179"/>
      <c r="AL333" s="179"/>
      <c r="AM333" s="179"/>
      <c r="AN333" s="179"/>
      <c r="AO333" s="179"/>
      <c r="AP333" s="179"/>
      <c r="AQ333" s="179"/>
      <c r="AR333" s="179"/>
      <c r="AS333" s="179"/>
      <c r="AT333" s="179"/>
      <c r="AU333" s="179"/>
      <c r="AV333" s="179"/>
      <c r="AW333" s="179"/>
      <c r="AX333" s="179"/>
      <c r="AY333" s="179"/>
      <c r="AZ333" s="179"/>
      <c r="BA333" s="179"/>
      <c r="BB333" s="179"/>
      <c r="BC333" s="179"/>
      <c r="BD333" s="179"/>
      <c r="BE333" s="179"/>
      <c r="BF333" s="179"/>
      <c r="BG333" s="179"/>
      <c r="BH333" s="179"/>
      <c r="BI333" s="179"/>
      <c r="BJ333" s="179"/>
      <c r="BK333" s="179"/>
      <c r="BL333" s="179"/>
      <c r="BM333" s="179"/>
      <c r="BN333" s="179"/>
      <c r="BO333" s="179"/>
      <c r="BP333" s="179"/>
      <c r="BQ333" s="179"/>
      <c r="BR333" s="179"/>
      <c r="BS333" s="179"/>
      <c r="BT333" s="179"/>
      <c r="BU333" s="179"/>
      <c r="BV333" s="179"/>
      <c r="BW333" s="179"/>
      <c r="BX333" s="179"/>
      <c r="BY333" s="179"/>
      <c r="BZ333" s="179"/>
      <c r="CA333" s="179"/>
      <c r="CB333" s="179"/>
      <c r="CC333" s="179"/>
      <c r="CD333" s="179"/>
      <c r="CE333" s="179"/>
      <c r="CF333" s="179"/>
      <c r="CG333" s="179"/>
      <c r="CH333" s="179"/>
      <c r="CI333" s="179"/>
      <c r="CJ333" s="179"/>
      <c r="CK333" s="179"/>
      <c r="CL333" s="179"/>
      <c r="CM333" s="179"/>
      <c r="CN333" s="179"/>
      <c r="CO333" s="179"/>
      <c r="CP333" s="179"/>
      <c r="CQ333" s="179"/>
      <c r="CR333" s="179"/>
      <c r="CS333" s="179"/>
      <c r="CT333" s="179"/>
      <c r="CU333" s="179"/>
      <c r="CV333" s="179"/>
      <c r="CW333" s="179"/>
    </row>
    <row r="334" spans="1:101" x14ac:dyDescent="0.2">
      <c r="A334" s="32" t="str">
        <f t="shared" ca="1" si="5"/>
        <v>2026-02-23</v>
      </c>
      <c r="B334" s="179">
        <f ca="1">IF(ISNUMBER(MATCH(DATEVALUE($A334),'changes1_based on steps'!B$1:B$400,0)),B$2,)</f>
        <v>0</v>
      </c>
      <c r="C334" s="179">
        <f ca="1">IF(ISNUMBER(MATCH(DATEVALUE($A334),'changes1_based on steps'!C$1:C$400,0)),C$2,)</f>
        <v>0</v>
      </c>
      <c r="D334" s="179">
        <f ca="1">IF(ISNUMBER(MATCH(DATEVALUE($A334),'changes1_based on steps'!D$1:D$400,0)),D$2,)</f>
        <v>0</v>
      </c>
      <c r="E334" s="179">
        <f ca="1">IF(ISNUMBER(MATCH(DATEVALUE($A334),'changes1_based on steps'!E$1:E$400,0)),E$2,)</f>
        <v>0</v>
      </c>
      <c r="F334" s="179">
        <f ca="1">IF(ISNUMBER(MATCH(DATEVALUE($A334),'changes1_based on steps'!F$1:F$400,0)),F$2,)</f>
        <v>0</v>
      </c>
      <c r="G334" s="179">
        <f ca="1">IF(ISNUMBER(MATCH(DATEVALUE($A334),'changes1_based on steps'!G$1:G$400,0)),G$2,)</f>
        <v>0</v>
      </c>
      <c r="H334" s="179">
        <f ca="1">IF(ISNUMBER(MATCH(DATEVALUE($A334),'changes1_based on steps'!H$1:H$400,0)),H$2,)</f>
        <v>0</v>
      </c>
      <c r="I334" s="179">
        <f ca="1">IF(ISNUMBER(MATCH(DATEVALUE($A334),'changes1_based on steps'!I$1:I$400,0)),I$2,)</f>
        <v>0</v>
      </c>
      <c r="J334" s="179">
        <f ca="1">IF(ISNUMBER(MATCH(DATEVALUE($A334),'changes1_based on steps'!J$1:J$400,0)),J$2,)</f>
        <v>0</v>
      </c>
      <c r="K334" s="179">
        <f ca="1">IF(ISNUMBER(MATCH(DATEVALUE($A334),'changes1_based on steps'!K$1:K$400,0)),K$2,)</f>
        <v>0</v>
      </c>
      <c r="L334" s="179">
        <f ca="1">IF(ISNUMBER(MATCH(DATEVALUE($A334),'changes1_based on steps'!L$1:L$400,0)),L$2,)</f>
        <v>0</v>
      </c>
      <c r="M334" s="179">
        <f ca="1">IF(ISNUMBER(MATCH(DATEVALUE($A334),'changes1_based on steps'!M$1:M$400,0)),M$2,)</f>
        <v>0</v>
      </c>
      <c r="N334" s="179">
        <f ca="1">IF(ISNUMBER(MATCH(DATEVALUE($A334),'changes1_based on steps'!N$1:N$400,0)),N$2,)</f>
        <v>0</v>
      </c>
      <c r="O334" s="179">
        <f ca="1">IF(ISNUMBER(MATCH(DATEVALUE($A334),'changes1_based on steps'!O$1:O$400,0)),O$2,)</f>
        <v>0</v>
      </c>
      <c r="P334" s="179">
        <f ca="1">IF(ISNUMBER(MATCH(DATEVALUE($A334),'changes1_based on steps'!P$1:P$400,0)),P$2,)</f>
        <v>0</v>
      </c>
      <c r="Q334" s="179">
        <f ca="1">IF(ISNUMBER(MATCH(DATEVALUE($A334),'changes1_based on steps'!Q$1:Q$400,0)),Q$2,)</f>
        <v>0</v>
      </c>
      <c r="R334" s="179">
        <f ca="1">IF(ISNUMBER(MATCH(DATEVALUE($A334),'changes1_based on steps'!R$1:R$400,0)),R$2,)</f>
        <v>0</v>
      </c>
      <c r="S334" s="179">
        <f ca="1">IF(ISNUMBER(MATCH(DATEVALUE($A334),'changes1_based on steps'!S$1:S$400,0)),S$2,)</f>
        <v>0</v>
      </c>
      <c r="T334" s="179">
        <f ca="1">IF(ISNUMBER(MATCH(DATEVALUE($A334),'changes1_based on steps'!T$1:T$400,0)),T$2,)</f>
        <v>0</v>
      </c>
      <c r="U334" s="179">
        <f ca="1">IF(ISNUMBER(MATCH(DATEVALUE($A334),'changes1_based on steps'!U$1:U$400,0)),U$2,)</f>
        <v>0</v>
      </c>
      <c r="V334" s="179"/>
      <c r="W334" s="179"/>
      <c r="X334" s="179"/>
      <c r="Y334" s="179"/>
      <c r="Z334" s="179"/>
      <c r="AA334" s="179"/>
      <c r="AB334" s="179"/>
      <c r="AC334" s="179"/>
      <c r="AD334" s="179"/>
      <c r="AE334" s="179"/>
      <c r="AF334" s="179"/>
      <c r="AG334" s="179"/>
      <c r="AH334" s="179"/>
      <c r="AI334" s="179"/>
      <c r="AJ334" s="179"/>
      <c r="AK334" s="179"/>
      <c r="AL334" s="179"/>
      <c r="AM334" s="179"/>
      <c r="AN334" s="179"/>
      <c r="AO334" s="179"/>
      <c r="AP334" s="179"/>
      <c r="AQ334" s="179"/>
      <c r="AR334" s="179"/>
      <c r="AS334" s="179"/>
      <c r="AT334" s="179"/>
      <c r="AU334" s="179"/>
      <c r="AV334" s="179"/>
      <c r="AW334" s="179"/>
      <c r="AX334" s="179"/>
      <c r="AY334" s="179"/>
      <c r="AZ334" s="179"/>
      <c r="BA334" s="179"/>
      <c r="BB334" s="179"/>
      <c r="BC334" s="179"/>
      <c r="BD334" s="179"/>
      <c r="BE334" s="179"/>
      <c r="BF334" s="179"/>
      <c r="BG334" s="179"/>
      <c r="BH334" s="179"/>
      <c r="BI334" s="179"/>
      <c r="BJ334" s="179"/>
      <c r="BK334" s="179"/>
      <c r="BL334" s="179"/>
      <c r="BM334" s="179"/>
      <c r="BN334" s="179"/>
      <c r="BO334" s="179"/>
      <c r="BP334" s="179"/>
      <c r="BQ334" s="179"/>
      <c r="BR334" s="179"/>
      <c r="BS334" s="179"/>
      <c r="BT334" s="179"/>
      <c r="BU334" s="179"/>
      <c r="BV334" s="179"/>
      <c r="BW334" s="179"/>
      <c r="BX334" s="179"/>
      <c r="BY334" s="179"/>
      <c r="BZ334" s="179"/>
      <c r="CA334" s="179"/>
      <c r="CB334" s="179"/>
      <c r="CC334" s="179"/>
      <c r="CD334" s="179"/>
      <c r="CE334" s="179"/>
      <c r="CF334" s="179"/>
      <c r="CG334" s="179"/>
      <c r="CH334" s="179"/>
      <c r="CI334" s="179"/>
      <c r="CJ334" s="179"/>
      <c r="CK334" s="179"/>
      <c r="CL334" s="179"/>
      <c r="CM334" s="179"/>
      <c r="CN334" s="179"/>
      <c r="CO334" s="179"/>
      <c r="CP334" s="179"/>
      <c r="CQ334" s="179"/>
      <c r="CR334" s="179"/>
      <c r="CS334" s="179"/>
      <c r="CT334" s="179"/>
      <c r="CU334" s="179"/>
      <c r="CV334" s="179"/>
      <c r="CW334" s="179"/>
    </row>
    <row r="335" spans="1:101" x14ac:dyDescent="0.2">
      <c r="A335" s="32" t="str">
        <f t="shared" ca="1" si="5"/>
        <v>2026-02-24</v>
      </c>
      <c r="B335" s="179">
        <f ca="1">IF(ISNUMBER(MATCH(DATEVALUE($A335),'changes1_based on steps'!B$1:B$400,0)),B$2,)</f>
        <v>0</v>
      </c>
      <c r="C335" s="179">
        <f ca="1">IF(ISNUMBER(MATCH(DATEVALUE($A335),'changes1_based on steps'!C$1:C$400,0)),C$2,)</f>
        <v>0</v>
      </c>
      <c r="D335" s="179">
        <f ca="1">IF(ISNUMBER(MATCH(DATEVALUE($A335),'changes1_based on steps'!D$1:D$400,0)),D$2,)</f>
        <v>0</v>
      </c>
      <c r="E335" s="179">
        <f ca="1">IF(ISNUMBER(MATCH(DATEVALUE($A335),'changes1_based on steps'!E$1:E$400,0)),E$2,)</f>
        <v>0</v>
      </c>
      <c r="F335" s="179">
        <f ca="1">IF(ISNUMBER(MATCH(DATEVALUE($A335),'changes1_based on steps'!F$1:F$400,0)),F$2,)</f>
        <v>0</v>
      </c>
      <c r="G335" s="179">
        <f ca="1">IF(ISNUMBER(MATCH(DATEVALUE($A335),'changes1_based on steps'!G$1:G$400,0)),G$2,)</f>
        <v>0</v>
      </c>
      <c r="H335" s="179">
        <f ca="1">IF(ISNUMBER(MATCH(DATEVALUE($A335),'changes1_based on steps'!H$1:H$400,0)),H$2,)</f>
        <v>0</v>
      </c>
      <c r="I335" s="179">
        <f ca="1">IF(ISNUMBER(MATCH(DATEVALUE($A335),'changes1_based on steps'!I$1:I$400,0)),I$2,)</f>
        <v>0</v>
      </c>
      <c r="J335" s="179">
        <f ca="1">IF(ISNUMBER(MATCH(DATEVALUE($A335),'changes1_based on steps'!J$1:J$400,0)),J$2,)</f>
        <v>0</v>
      </c>
      <c r="K335" s="179">
        <f ca="1">IF(ISNUMBER(MATCH(DATEVALUE($A335),'changes1_based on steps'!K$1:K$400,0)),K$2,)</f>
        <v>0</v>
      </c>
      <c r="L335" s="179">
        <f ca="1">IF(ISNUMBER(MATCH(DATEVALUE($A335),'changes1_based on steps'!L$1:L$400,0)),L$2,)</f>
        <v>0</v>
      </c>
      <c r="M335" s="179">
        <f ca="1">IF(ISNUMBER(MATCH(DATEVALUE($A335),'changes1_based on steps'!M$1:M$400,0)),M$2,)</f>
        <v>0</v>
      </c>
      <c r="N335" s="179">
        <f ca="1">IF(ISNUMBER(MATCH(DATEVALUE($A335),'changes1_based on steps'!N$1:N$400,0)),N$2,)</f>
        <v>0</v>
      </c>
      <c r="O335" s="179">
        <f ca="1">IF(ISNUMBER(MATCH(DATEVALUE($A335),'changes1_based on steps'!O$1:O$400,0)),O$2,)</f>
        <v>0</v>
      </c>
      <c r="P335" s="179">
        <f ca="1">IF(ISNUMBER(MATCH(DATEVALUE($A335),'changes1_based on steps'!P$1:P$400,0)),P$2,)</f>
        <v>0</v>
      </c>
      <c r="Q335" s="179">
        <f ca="1">IF(ISNUMBER(MATCH(DATEVALUE($A335),'changes1_based on steps'!Q$1:Q$400,0)),Q$2,)</f>
        <v>0</v>
      </c>
      <c r="R335" s="179">
        <f ca="1">IF(ISNUMBER(MATCH(DATEVALUE($A335),'changes1_based on steps'!R$1:R$400,0)),R$2,)</f>
        <v>0</v>
      </c>
      <c r="S335" s="179">
        <f ca="1">IF(ISNUMBER(MATCH(DATEVALUE($A335),'changes1_based on steps'!S$1:S$400,0)),S$2,)</f>
        <v>0</v>
      </c>
      <c r="T335" s="179">
        <f ca="1">IF(ISNUMBER(MATCH(DATEVALUE($A335),'changes1_based on steps'!T$1:T$400,0)),T$2,)</f>
        <v>0</v>
      </c>
      <c r="U335" s="179">
        <f ca="1">IF(ISNUMBER(MATCH(DATEVALUE($A335),'changes1_based on steps'!U$1:U$400,0)),U$2,)</f>
        <v>0</v>
      </c>
      <c r="V335" s="179"/>
      <c r="W335" s="179"/>
      <c r="X335" s="179"/>
      <c r="Y335" s="179"/>
      <c r="Z335" s="179"/>
      <c r="AA335" s="179"/>
      <c r="AB335" s="179"/>
      <c r="AC335" s="179"/>
      <c r="AD335" s="179"/>
      <c r="AE335" s="179"/>
      <c r="AF335" s="179"/>
      <c r="AG335" s="179"/>
      <c r="AH335" s="179"/>
      <c r="AI335" s="179"/>
      <c r="AJ335" s="179"/>
      <c r="AK335" s="179"/>
      <c r="AL335" s="179"/>
      <c r="AM335" s="179"/>
      <c r="AN335" s="179"/>
      <c r="AO335" s="179"/>
      <c r="AP335" s="179"/>
      <c r="AQ335" s="179"/>
      <c r="AR335" s="179"/>
      <c r="AS335" s="179"/>
      <c r="AT335" s="179"/>
      <c r="AU335" s="179"/>
      <c r="AV335" s="179"/>
      <c r="AW335" s="179"/>
      <c r="AX335" s="179"/>
      <c r="AY335" s="179"/>
      <c r="AZ335" s="179"/>
      <c r="BA335" s="179"/>
      <c r="BB335" s="179"/>
      <c r="BC335" s="179"/>
      <c r="BD335" s="179"/>
      <c r="BE335" s="179"/>
      <c r="BF335" s="179"/>
      <c r="BG335" s="179"/>
      <c r="BH335" s="179"/>
      <c r="BI335" s="179"/>
      <c r="BJ335" s="179"/>
      <c r="BK335" s="179"/>
      <c r="BL335" s="179"/>
      <c r="BM335" s="179"/>
      <c r="BN335" s="179"/>
      <c r="BO335" s="179"/>
      <c r="BP335" s="179"/>
      <c r="BQ335" s="179"/>
      <c r="BR335" s="179"/>
      <c r="BS335" s="179"/>
      <c r="BT335" s="179"/>
      <c r="BU335" s="179"/>
      <c r="BV335" s="179"/>
      <c r="BW335" s="179"/>
      <c r="BX335" s="179"/>
      <c r="BY335" s="179"/>
      <c r="BZ335" s="179"/>
      <c r="CA335" s="179"/>
      <c r="CB335" s="179"/>
      <c r="CC335" s="179"/>
      <c r="CD335" s="179"/>
      <c r="CE335" s="179"/>
      <c r="CF335" s="179"/>
      <c r="CG335" s="179"/>
      <c r="CH335" s="179"/>
      <c r="CI335" s="179"/>
      <c r="CJ335" s="179"/>
      <c r="CK335" s="179"/>
      <c r="CL335" s="179"/>
      <c r="CM335" s="179"/>
      <c r="CN335" s="179"/>
      <c r="CO335" s="179"/>
      <c r="CP335" s="179"/>
      <c r="CQ335" s="179"/>
      <c r="CR335" s="179"/>
      <c r="CS335" s="179"/>
      <c r="CT335" s="179"/>
      <c r="CU335" s="179"/>
      <c r="CV335" s="179"/>
      <c r="CW335" s="179"/>
    </row>
    <row r="336" spans="1:101" x14ac:dyDescent="0.2">
      <c r="A336" s="32" t="str">
        <f t="shared" ca="1" si="5"/>
        <v>2026-02-25</v>
      </c>
      <c r="B336" s="179">
        <f ca="1">IF(ISNUMBER(MATCH(DATEVALUE($A336),'changes1_based on steps'!B$1:B$400,0)),B$2,)</f>
        <v>0</v>
      </c>
      <c r="C336" s="179">
        <f ca="1">IF(ISNUMBER(MATCH(DATEVALUE($A336),'changes1_based on steps'!C$1:C$400,0)),C$2,)</f>
        <v>0</v>
      </c>
      <c r="D336" s="179">
        <f ca="1">IF(ISNUMBER(MATCH(DATEVALUE($A336),'changes1_based on steps'!D$1:D$400,0)),D$2,)</f>
        <v>0</v>
      </c>
      <c r="E336" s="179">
        <f ca="1">IF(ISNUMBER(MATCH(DATEVALUE($A336),'changes1_based on steps'!E$1:E$400,0)),E$2,)</f>
        <v>0</v>
      </c>
      <c r="F336" s="179">
        <f ca="1">IF(ISNUMBER(MATCH(DATEVALUE($A336),'changes1_based on steps'!F$1:F$400,0)),F$2,)</f>
        <v>0</v>
      </c>
      <c r="G336" s="179">
        <f ca="1">IF(ISNUMBER(MATCH(DATEVALUE($A336),'changes1_based on steps'!G$1:G$400,0)),G$2,)</f>
        <v>0</v>
      </c>
      <c r="H336" s="179">
        <f ca="1">IF(ISNUMBER(MATCH(DATEVALUE($A336),'changes1_based on steps'!H$1:H$400,0)),H$2,)</f>
        <v>0</v>
      </c>
      <c r="I336" s="179">
        <f ca="1">IF(ISNUMBER(MATCH(DATEVALUE($A336),'changes1_based on steps'!I$1:I$400,0)),I$2,)</f>
        <v>0</v>
      </c>
      <c r="J336" s="179">
        <f ca="1">IF(ISNUMBER(MATCH(DATEVALUE($A336),'changes1_based on steps'!J$1:J$400,0)),J$2,)</f>
        <v>0</v>
      </c>
      <c r="K336" s="179">
        <f ca="1">IF(ISNUMBER(MATCH(DATEVALUE($A336),'changes1_based on steps'!K$1:K$400,0)),K$2,)</f>
        <v>0</v>
      </c>
      <c r="L336" s="179">
        <f ca="1">IF(ISNUMBER(MATCH(DATEVALUE($A336),'changes1_based on steps'!L$1:L$400,0)),L$2,)</f>
        <v>0</v>
      </c>
      <c r="M336" s="179">
        <f ca="1">IF(ISNUMBER(MATCH(DATEVALUE($A336),'changes1_based on steps'!M$1:M$400,0)),M$2,)</f>
        <v>0</v>
      </c>
      <c r="N336" s="179">
        <f ca="1">IF(ISNUMBER(MATCH(DATEVALUE($A336),'changes1_based on steps'!N$1:N$400,0)),N$2,)</f>
        <v>0</v>
      </c>
      <c r="O336" s="179">
        <f ca="1">IF(ISNUMBER(MATCH(DATEVALUE($A336),'changes1_based on steps'!O$1:O$400,0)),O$2,)</f>
        <v>0</v>
      </c>
      <c r="P336" s="179">
        <f ca="1">IF(ISNUMBER(MATCH(DATEVALUE($A336),'changes1_based on steps'!P$1:P$400,0)),P$2,)</f>
        <v>0</v>
      </c>
      <c r="Q336" s="179">
        <f ca="1">IF(ISNUMBER(MATCH(DATEVALUE($A336),'changes1_based on steps'!Q$1:Q$400,0)),Q$2,)</f>
        <v>0</v>
      </c>
      <c r="R336" s="179">
        <f ca="1">IF(ISNUMBER(MATCH(DATEVALUE($A336),'changes1_based on steps'!R$1:R$400,0)),R$2,)</f>
        <v>0</v>
      </c>
      <c r="S336" s="179">
        <f ca="1">IF(ISNUMBER(MATCH(DATEVALUE($A336),'changes1_based on steps'!S$1:S$400,0)),S$2,)</f>
        <v>0</v>
      </c>
      <c r="T336" s="179">
        <f ca="1">IF(ISNUMBER(MATCH(DATEVALUE($A336),'changes1_based on steps'!T$1:T$400,0)),T$2,)</f>
        <v>0</v>
      </c>
      <c r="U336" s="179">
        <f ca="1">IF(ISNUMBER(MATCH(DATEVALUE($A336),'changes1_based on steps'!U$1:U$400,0)),U$2,)</f>
        <v>0</v>
      </c>
      <c r="V336" s="179"/>
      <c r="W336" s="179"/>
      <c r="X336" s="179"/>
      <c r="Y336" s="179"/>
      <c r="Z336" s="179"/>
      <c r="AA336" s="179"/>
      <c r="AB336" s="179"/>
      <c r="AC336" s="179"/>
      <c r="AD336" s="179"/>
      <c r="AE336" s="179"/>
      <c r="AF336" s="179"/>
      <c r="AG336" s="179"/>
      <c r="AH336" s="179"/>
      <c r="AI336" s="179"/>
      <c r="AJ336" s="179"/>
      <c r="AK336" s="179"/>
      <c r="AL336" s="179"/>
      <c r="AM336" s="179"/>
      <c r="AN336" s="179"/>
      <c r="AO336" s="179"/>
      <c r="AP336" s="179"/>
      <c r="AQ336" s="179"/>
      <c r="AR336" s="179"/>
      <c r="AS336" s="179"/>
      <c r="AT336" s="179"/>
      <c r="AU336" s="179"/>
      <c r="AV336" s="179"/>
      <c r="AW336" s="179"/>
      <c r="AX336" s="179"/>
      <c r="AY336" s="179"/>
      <c r="AZ336" s="179"/>
      <c r="BA336" s="179"/>
      <c r="BB336" s="179"/>
      <c r="BC336" s="179"/>
      <c r="BD336" s="179"/>
      <c r="BE336" s="179"/>
      <c r="BF336" s="179"/>
      <c r="BG336" s="179"/>
      <c r="BH336" s="179"/>
      <c r="BI336" s="179"/>
      <c r="BJ336" s="179"/>
      <c r="BK336" s="179"/>
      <c r="BL336" s="179"/>
      <c r="BM336" s="179"/>
      <c r="BN336" s="179"/>
      <c r="BO336" s="179"/>
      <c r="BP336" s="179"/>
      <c r="BQ336" s="179"/>
      <c r="BR336" s="179"/>
      <c r="BS336" s="179"/>
      <c r="BT336" s="179"/>
      <c r="BU336" s="179"/>
      <c r="BV336" s="179"/>
      <c r="BW336" s="179"/>
      <c r="BX336" s="179"/>
      <c r="BY336" s="179"/>
      <c r="BZ336" s="179"/>
      <c r="CA336" s="179"/>
      <c r="CB336" s="179"/>
      <c r="CC336" s="179"/>
      <c r="CD336" s="179"/>
      <c r="CE336" s="179"/>
      <c r="CF336" s="179"/>
      <c r="CG336" s="179"/>
      <c r="CH336" s="179"/>
      <c r="CI336" s="179"/>
      <c r="CJ336" s="179"/>
      <c r="CK336" s="179"/>
      <c r="CL336" s="179"/>
      <c r="CM336" s="179"/>
      <c r="CN336" s="179"/>
      <c r="CO336" s="179"/>
      <c r="CP336" s="179"/>
      <c r="CQ336" s="179"/>
      <c r="CR336" s="179"/>
      <c r="CS336" s="179"/>
      <c r="CT336" s="179"/>
      <c r="CU336" s="179"/>
      <c r="CV336" s="179"/>
      <c r="CW336" s="179"/>
    </row>
    <row r="337" spans="1:101" x14ac:dyDescent="0.2">
      <c r="A337" s="32" t="str">
        <f t="shared" ca="1" si="5"/>
        <v>2026-02-26</v>
      </c>
      <c r="B337" s="179">
        <f ca="1">IF(ISNUMBER(MATCH(DATEVALUE($A337),'changes1_based on steps'!B$1:B$400,0)),B$2,)</f>
        <v>0</v>
      </c>
      <c r="C337" s="179">
        <f ca="1">IF(ISNUMBER(MATCH(DATEVALUE($A337),'changes1_based on steps'!C$1:C$400,0)),C$2,)</f>
        <v>0</v>
      </c>
      <c r="D337" s="179">
        <f ca="1">IF(ISNUMBER(MATCH(DATEVALUE($A337),'changes1_based on steps'!D$1:D$400,0)),D$2,)</f>
        <v>0</v>
      </c>
      <c r="E337" s="179">
        <f ca="1">IF(ISNUMBER(MATCH(DATEVALUE($A337),'changes1_based on steps'!E$1:E$400,0)),E$2,)</f>
        <v>0</v>
      </c>
      <c r="F337" s="179">
        <f ca="1">IF(ISNUMBER(MATCH(DATEVALUE($A337),'changes1_based on steps'!F$1:F$400,0)),F$2,)</f>
        <v>0</v>
      </c>
      <c r="G337" s="179">
        <f ca="1">IF(ISNUMBER(MATCH(DATEVALUE($A337),'changes1_based on steps'!G$1:G$400,0)),G$2,)</f>
        <v>0</v>
      </c>
      <c r="H337" s="179">
        <f ca="1">IF(ISNUMBER(MATCH(DATEVALUE($A337),'changes1_based on steps'!H$1:H$400,0)),H$2,)</f>
        <v>0</v>
      </c>
      <c r="I337" s="179">
        <f ca="1">IF(ISNUMBER(MATCH(DATEVALUE($A337),'changes1_based on steps'!I$1:I$400,0)),I$2,)</f>
        <v>0</v>
      </c>
      <c r="J337" s="179">
        <f ca="1">IF(ISNUMBER(MATCH(DATEVALUE($A337),'changes1_based on steps'!J$1:J$400,0)),J$2,)</f>
        <v>0</v>
      </c>
      <c r="K337" s="179">
        <f ca="1">IF(ISNUMBER(MATCH(DATEVALUE($A337),'changes1_based on steps'!K$1:K$400,0)),K$2,)</f>
        <v>0</v>
      </c>
      <c r="L337" s="179">
        <f ca="1">IF(ISNUMBER(MATCH(DATEVALUE($A337),'changes1_based on steps'!L$1:L$400,0)),L$2,)</f>
        <v>0</v>
      </c>
      <c r="M337" s="179">
        <f ca="1">IF(ISNUMBER(MATCH(DATEVALUE($A337),'changes1_based on steps'!M$1:M$400,0)),M$2,)</f>
        <v>0</v>
      </c>
      <c r="N337" s="179">
        <f ca="1">IF(ISNUMBER(MATCH(DATEVALUE($A337),'changes1_based on steps'!N$1:N$400,0)),N$2,)</f>
        <v>0</v>
      </c>
      <c r="O337" s="179">
        <f ca="1">IF(ISNUMBER(MATCH(DATEVALUE($A337),'changes1_based on steps'!O$1:O$400,0)),O$2,)</f>
        <v>0</v>
      </c>
      <c r="P337" s="179">
        <f ca="1">IF(ISNUMBER(MATCH(DATEVALUE($A337),'changes1_based on steps'!P$1:P$400,0)),P$2,)</f>
        <v>0</v>
      </c>
      <c r="Q337" s="179">
        <f ca="1">IF(ISNUMBER(MATCH(DATEVALUE($A337),'changes1_based on steps'!Q$1:Q$400,0)),Q$2,)</f>
        <v>0</v>
      </c>
      <c r="R337" s="179">
        <f ca="1">IF(ISNUMBER(MATCH(DATEVALUE($A337),'changes1_based on steps'!R$1:R$400,0)),R$2,)</f>
        <v>0</v>
      </c>
      <c r="S337" s="179">
        <f ca="1">IF(ISNUMBER(MATCH(DATEVALUE($A337),'changes1_based on steps'!S$1:S$400,0)),S$2,)</f>
        <v>0</v>
      </c>
      <c r="T337" s="179">
        <f ca="1">IF(ISNUMBER(MATCH(DATEVALUE($A337),'changes1_based on steps'!T$1:T$400,0)),T$2,)</f>
        <v>0</v>
      </c>
      <c r="U337" s="179">
        <f ca="1">IF(ISNUMBER(MATCH(DATEVALUE($A337),'changes1_based on steps'!U$1:U$400,0)),U$2,)</f>
        <v>0</v>
      </c>
      <c r="V337" s="179"/>
      <c r="W337" s="179"/>
      <c r="X337" s="179"/>
      <c r="Y337" s="179"/>
      <c r="Z337" s="179"/>
      <c r="AA337" s="179"/>
      <c r="AB337" s="179"/>
      <c r="AC337" s="179"/>
      <c r="AD337" s="179"/>
      <c r="AE337" s="179"/>
      <c r="AF337" s="179"/>
      <c r="AG337" s="179"/>
      <c r="AH337" s="179"/>
      <c r="AI337" s="179"/>
      <c r="AJ337" s="179"/>
      <c r="AK337" s="179"/>
      <c r="AL337" s="179"/>
      <c r="AM337" s="179"/>
      <c r="AN337" s="179"/>
      <c r="AO337" s="179"/>
      <c r="AP337" s="179"/>
      <c r="AQ337" s="179"/>
      <c r="AR337" s="179"/>
      <c r="AS337" s="179"/>
      <c r="AT337" s="179"/>
      <c r="AU337" s="179"/>
      <c r="AV337" s="179"/>
      <c r="AW337" s="179"/>
      <c r="AX337" s="179"/>
      <c r="AY337" s="179"/>
      <c r="AZ337" s="179"/>
      <c r="BA337" s="179"/>
      <c r="BB337" s="179"/>
      <c r="BC337" s="179"/>
      <c r="BD337" s="179"/>
      <c r="BE337" s="179"/>
      <c r="BF337" s="179"/>
      <c r="BG337" s="179"/>
      <c r="BH337" s="179"/>
      <c r="BI337" s="179"/>
      <c r="BJ337" s="179"/>
      <c r="BK337" s="179"/>
      <c r="BL337" s="179"/>
      <c r="BM337" s="179"/>
      <c r="BN337" s="179"/>
      <c r="BO337" s="179"/>
      <c r="BP337" s="179"/>
      <c r="BQ337" s="179"/>
      <c r="BR337" s="179"/>
      <c r="BS337" s="179"/>
      <c r="BT337" s="179"/>
      <c r="BU337" s="179"/>
      <c r="BV337" s="179"/>
      <c r="BW337" s="179"/>
      <c r="BX337" s="179"/>
      <c r="BY337" s="179"/>
      <c r="BZ337" s="179"/>
      <c r="CA337" s="179"/>
      <c r="CB337" s="179"/>
      <c r="CC337" s="179"/>
      <c r="CD337" s="179"/>
      <c r="CE337" s="179"/>
      <c r="CF337" s="179"/>
      <c r="CG337" s="179"/>
      <c r="CH337" s="179"/>
      <c r="CI337" s="179"/>
      <c r="CJ337" s="179"/>
      <c r="CK337" s="179"/>
      <c r="CL337" s="179"/>
      <c r="CM337" s="179"/>
      <c r="CN337" s="179"/>
      <c r="CO337" s="179"/>
      <c r="CP337" s="179"/>
      <c r="CQ337" s="179"/>
      <c r="CR337" s="179"/>
      <c r="CS337" s="179"/>
      <c r="CT337" s="179"/>
      <c r="CU337" s="179"/>
      <c r="CV337" s="179"/>
      <c r="CW337" s="179"/>
    </row>
    <row r="338" spans="1:101" x14ac:dyDescent="0.2">
      <c r="A338" s="32" t="str">
        <f t="shared" ca="1" si="5"/>
        <v>2026-02-27</v>
      </c>
      <c r="B338" s="179">
        <f ca="1">IF(ISNUMBER(MATCH(DATEVALUE($A338),'changes1_based on steps'!B$1:B$400,0)),B$2,)</f>
        <v>0</v>
      </c>
      <c r="C338" s="179">
        <f ca="1">IF(ISNUMBER(MATCH(DATEVALUE($A338),'changes1_based on steps'!C$1:C$400,0)),C$2,)</f>
        <v>0</v>
      </c>
      <c r="D338" s="179">
        <f ca="1">IF(ISNUMBER(MATCH(DATEVALUE($A338),'changes1_based on steps'!D$1:D$400,0)),D$2,)</f>
        <v>0</v>
      </c>
      <c r="E338" s="179">
        <f ca="1">IF(ISNUMBER(MATCH(DATEVALUE($A338),'changes1_based on steps'!E$1:E$400,0)),E$2,)</f>
        <v>0</v>
      </c>
      <c r="F338" s="179">
        <f ca="1">IF(ISNUMBER(MATCH(DATEVALUE($A338),'changes1_based on steps'!F$1:F$400,0)),F$2,)</f>
        <v>0</v>
      </c>
      <c r="G338" s="179">
        <f ca="1">IF(ISNUMBER(MATCH(DATEVALUE($A338),'changes1_based on steps'!G$1:G$400,0)),G$2,)</f>
        <v>0</v>
      </c>
      <c r="H338" s="179">
        <f ca="1">IF(ISNUMBER(MATCH(DATEVALUE($A338),'changes1_based on steps'!H$1:H$400,0)),H$2,)</f>
        <v>0</v>
      </c>
      <c r="I338" s="179">
        <f ca="1">IF(ISNUMBER(MATCH(DATEVALUE($A338),'changes1_based on steps'!I$1:I$400,0)),I$2,)</f>
        <v>0</v>
      </c>
      <c r="J338" s="179">
        <f ca="1">IF(ISNUMBER(MATCH(DATEVALUE($A338),'changes1_based on steps'!J$1:J$400,0)),J$2,)</f>
        <v>0</v>
      </c>
      <c r="K338" s="179">
        <f ca="1">IF(ISNUMBER(MATCH(DATEVALUE($A338),'changes1_based on steps'!K$1:K$400,0)),K$2,)</f>
        <v>0</v>
      </c>
      <c r="L338" s="179">
        <f ca="1">IF(ISNUMBER(MATCH(DATEVALUE($A338),'changes1_based on steps'!L$1:L$400,0)),L$2,)</f>
        <v>0</v>
      </c>
      <c r="M338" s="179">
        <f ca="1">IF(ISNUMBER(MATCH(DATEVALUE($A338),'changes1_based on steps'!M$1:M$400,0)),M$2,)</f>
        <v>0</v>
      </c>
      <c r="N338" s="179">
        <f ca="1">IF(ISNUMBER(MATCH(DATEVALUE($A338),'changes1_based on steps'!N$1:N$400,0)),N$2,)</f>
        <v>0</v>
      </c>
      <c r="O338" s="179">
        <f ca="1">IF(ISNUMBER(MATCH(DATEVALUE($A338),'changes1_based on steps'!O$1:O$400,0)),O$2,)</f>
        <v>0</v>
      </c>
      <c r="P338" s="179">
        <f ca="1">IF(ISNUMBER(MATCH(DATEVALUE($A338),'changes1_based on steps'!P$1:P$400,0)),P$2,)</f>
        <v>0</v>
      </c>
      <c r="Q338" s="179">
        <f ca="1">IF(ISNUMBER(MATCH(DATEVALUE($A338),'changes1_based on steps'!Q$1:Q$400,0)),Q$2,)</f>
        <v>0</v>
      </c>
      <c r="R338" s="179">
        <f ca="1">IF(ISNUMBER(MATCH(DATEVALUE($A338),'changes1_based on steps'!R$1:R$400,0)),R$2,)</f>
        <v>0</v>
      </c>
      <c r="S338" s="179">
        <f ca="1">IF(ISNUMBER(MATCH(DATEVALUE($A338),'changes1_based on steps'!S$1:S$400,0)),S$2,)</f>
        <v>0</v>
      </c>
      <c r="T338" s="179">
        <f ca="1">IF(ISNUMBER(MATCH(DATEVALUE($A338),'changes1_based on steps'!T$1:T$400,0)),T$2,)</f>
        <v>0</v>
      </c>
      <c r="U338" s="179">
        <f ca="1">IF(ISNUMBER(MATCH(DATEVALUE($A338),'changes1_based on steps'!U$1:U$400,0)),U$2,)</f>
        <v>0</v>
      </c>
      <c r="V338" s="179"/>
      <c r="W338" s="179"/>
      <c r="X338" s="179"/>
      <c r="Y338" s="179"/>
      <c r="Z338" s="179"/>
      <c r="AA338" s="179"/>
      <c r="AB338" s="179"/>
      <c r="AC338" s="179"/>
      <c r="AD338" s="179"/>
      <c r="AE338" s="179"/>
      <c r="AF338" s="179"/>
      <c r="AG338" s="179"/>
      <c r="AH338" s="179"/>
      <c r="AI338" s="179"/>
      <c r="AJ338" s="179"/>
      <c r="AK338" s="179"/>
      <c r="AL338" s="179"/>
      <c r="AM338" s="179"/>
      <c r="AN338" s="179"/>
      <c r="AO338" s="179"/>
      <c r="AP338" s="179"/>
      <c r="AQ338" s="179"/>
      <c r="AR338" s="179"/>
      <c r="AS338" s="179"/>
      <c r="AT338" s="179"/>
      <c r="AU338" s="179"/>
      <c r="AV338" s="179"/>
      <c r="AW338" s="179"/>
      <c r="AX338" s="179"/>
      <c r="AY338" s="179"/>
      <c r="AZ338" s="179"/>
      <c r="BA338" s="179"/>
      <c r="BB338" s="179"/>
      <c r="BC338" s="179"/>
      <c r="BD338" s="179"/>
      <c r="BE338" s="179"/>
      <c r="BF338" s="179"/>
      <c r="BG338" s="179"/>
      <c r="BH338" s="179"/>
      <c r="BI338" s="179"/>
      <c r="BJ338" s="179"/>
      <c r="BK338" s="179"/>
      <c r="BL338" s="179"/>
      <c r="BM338" s="179"/>
      <c r="BN338" s="179"/>
      <c r="BO338" s="179"/>
      <c r="BP338" s="179"/>
      <c r="BQ338" s="179"/>
      <c r="BR338" s="179"/>
      <c r="BS338" s="179"/>
      <c r="BT338" s="179"/>
      <c r="BU338" s="179"/>
      <c r="BV338" s="179"/>
      <c r="BW338" s="179"/>
      <c r="BX338" s="179"/>
      <c r="BY338" s="179"/>
      <c r="BZ338" s="179"/>
      <c r="CA338" s="179"/>
      <c r="CB338" s="179"/>
      <c r="CC338" s="179"/>
      <c r="CD338" s="179"/>
      <c r="CE338" s="179"/>
      <c r="CF338" s="179"/>
      <c r="CG338" s="179"/>
      <c r="CH338" s="179"/>
      <c r="CI338" s="179"/>
      <c r="CJ338" s="179"/>
      <c r="CK338" s="179"/>
      <c r="CL338" s="179"/>
      <c r="CM338" s="179"/>
      <c r="CN338" s="179"/>
      <c r="CO338" s="179"/>
      <c r="CP338" s="179"/>
      <c r="CQ338" s="179"/>
      <c r="CR338" s="179"/>
      <c r="CS338" s="179"/>
      <c r="CT338" s="179"/>
      <c r="CU338" s="179"/>
      <c r="CV338" s="179"/>
      <c r="CW338" s="179"/>
    </row>
    <row r="339" spans="1:101" x14ac:dyDescent="0.2">
      <c r="A339" s="32" t="str">
        <f t="shared" ca="1" si="5"/>
        <v>2026-02-28</v>
      </c>
      <c r="B339" s="179">
        <f ca="1">IF(ISNUMBER(MATCH(DATEVALUE($A339),'changes1_based on steps'!B$1:B$400,0)),B$2,)</f>
        <v>0</v>
      </c>
      <c r="C339" s="179">
        <f ca="1">IF(ISNUMBER(MATCH(DATEVALUE($A339),'changes1_based on steps'!C$1:C$400,0)),C$2,)</f>
        <v>0</v>
      </c>
      <c r="D339" s="179">
        <f ca="1">IF(ISNUMBER(MATCH(DATEVALUE($A339),'changes1_based on steps'!D$1:D$400,0)),D$2,)</f>
        <v>0</v>
      </c>
      <c r="E339" s="179">
        <f ca="1">IF(ISNUMBER(MATCH(DATEVALUE($A339),'changes1_based on steps'!E$1:E$400,0)),E$2,)</f>
        <v>0</v>
      </c>
      <c r="F339" s="179">
        <f ca="1">IF(ISNUMBER(MATCH(DATEVALUE($A339),'changes1_based on steps'!F$1:F$400,0)),F$2,)</f>
        <v>0</v>
      </c>
      <c r="G339" s="179">
        <f ca="1">IF(ISNUMBER(MATCH(DATEVALUE($A339),'changes1_based on steps'!G$1:G$400,0)),G$2,)</f>
        <v>0</v>
      </c>
      <c r="H339" s="179">
        <f ca="1">IF(ISNUMBER(MATCH(DATEVALUE($A339),'changes1_based on steps'!H$1:H$400,0)),H$2,)</f>
        <v>0</v>
      </c>
      <c r="I339" s="179">
        <f ca="1">IF(ISNUMBER(MATCH(DATEVALUE($A339),'changes1_based on steps'!I$1:I$400,0)),I$2,)</f>
        <v>0</v>
      </c>
      <c r="J339" s="179">
        <f ca="1">IF(ISNUMBER(MATCH(DATEVALUE($A339),'changes1_based on steps'!J$1:J$400,0)),J$2,)</f>
        <v>0</v>
      </c>
      <c r="K339" s="179">
        <f ca="1">IF(ISNUMBER(MATCH(DATEVALUE($A339),'changes1_based on steps'!K$1:K$400,0)),K$2,)</f>
        <v>0</v>
      </c>
      <c r="L339" s="179">
        <f ca="1">IF(ISNUMBER(MATCH(DATEVALUE($A339),'changes1_based on steps'!L$1:L$400,0)),L$2,)</f>
        <v>0</v>
      </c>
      <c r="M339" s="179">
        <f ca="1">IF(ISNUMBER(MATCH(DATEVALUE($A339),'changes1_based on steps'!M$1:M$400,0)),M$2,)</f>
        <v>0</v>
      </c>
      <c r="N339" s="179">
        <f ca="1">IF(ISNUMBER(MATCH(DATEVALUE($A339),'changes1_based on steps'!N$1:N$400,0)),N$2,)</f>
        <v>0</v>
      </c>
      <c r="O339" s="179">
        <f ca="1">IF(ISNUMBER(MATCH(DATEVALUE($A339),'changes1_based on steps'!O$1:O$400,0)),O$2,)</f>
        <v>0</v>
      </c>
      <c r="P339" s="179">
        <f ca="1">IF(ISNUMBER(MATCH(DATEVALUE($A339),'changes1_based on steps'!P$1:P$400,0)),P$2,)</f>
        <v>0</v>
      </c>
      <c r="Q339" s="179">
        <f ca="1">IF(ISNUMBER(MATCH(DATEVALUE($A339),'changes1_based on steps'!Q$1:Q$400,0)),Q$2,)</f>
        <v>0</v>
      </c>
      <c r="R339" s="179">
        <f ca="1">IF(ISNUMBER(MATCH(DATEVALUE($A339),'changes1_based on steps'!R$1:R$400,0)),R$2,)</f>
        <v>0</v>
      </c>
      <c r="S339" s="179">
        <f ca="1">IF(ISNUMBER(MATCH(DATEVALUE($A339),'changes1_based on steps'!S$1:S$400,0)),S$2,)</f>
        <v>0</v>
      </c>
      <c r="T339" s="179">
        <f ca="1">IF(ISNUMBER(MATCH(DATEVALUE($A339),'changes1_based on steps'!T$1:T$400,0)),T$2,)</f>
        <v>0</v>
      </c>
      <c r="U339" s="179">
        <f ca="1">IF(ISNUMBER(MATCH(DATEVALUE($A339),'changes1_based on steps'!U$1:U$400,0)),U$2,)</f>
        <v>0</v>
      </c>
      <c r="V339" s="179"/>
      <c r="W339" s="179"/>
      <c r="X339" s="179"/>
      <c r="Y339" s="179"/>
      <c r="Z339" s="179"/>
      <c r="AA339" s="179"/>
      <c r="AB339" s="179"/>
      <c r="AC339" s="179"/>
      <c r="AD339" s="179"/>
      <c r="AE339" s="179"/>
      <c r="AF339" s="179"/>
      <c r="AG339" s="179"/>
      <c r="AH339" s="179"/>
      <c r="AI339" s="179"/>
      <c r="AJ339" s="179"/>
      <c r="AK339" s="179"/>
      <c r="AL339" s="179"/>
      <c r="AM339" s="179"/>
      <c r="AN339" s="179"/>
      <c r="AO339" s="179"/>
      <c r="AP339" s="179"/>
      <c r="AQ339" s="179"/>
      <c r="AR339" s="179"/>
      <c r="AS339" s="179"/>
      <c r="AT339" s="179"/>
      <c r="AU339" s="179"/>
      <c r="AV339" s="179"/>
      <c r="AW339" s="179"/>
      <c r="AX339" s="179"/>
      <c r="AY339" s="179"/>
      <c r="AZ339" s="179"/>
      <c r="BA339" s="179"/>
      <c r="BB339" s="179"/>
      <c r="BC339" s="179"/>
      <c r="BD339" s="179"/>
      <c r="BE339" s="179"/>
      <c r="BF339" s="179"/>
      <c r="BG339" s="179"/>
      <c r="BH339" s="179"/>
      <c r="BI339" s="179"/>
      <c r="BJ339" s="179"/>
      <c r="BK339" s="179"/>
      <c r="BL339" s="179"/>
      <c r="BM339" s="179"/>
      <c r="BN339" s="179"/>
      <c r="BO339" s="179"/>
      <c r="BP339" s="179"/>
      <c r="BQ339" s="179"/>
      <c r="BR339" s="179"/>
      <c r="BS339" s="179"/>
      <c r="BT339" s="179"/>
      <c r="BU339" s="179"/>
      <c r="BV339" s="179"/>
      <c r="BW339" s="179"/>
      <c r="BX339" s="179"/>
      <c r="BY339" s="179"/>
      <c r="BZ339" s="179"/>
      <c r="CA339" s="179"/>
      <c r="CB339" s="179"/>
      <c r="CC339" s="179"/>
      <c r="CD339" s="179"/>
      <c r="CE339" s="179"/>
      <c r="CF339" s="179"/>
      <c r="CG339" s="179"/>
      <c r="CH339" s="179"/>
      <c r="CI339" s="179"/>
      <c r="CJ339" s="179"/>
      <c r="CK339" s="179"/>
      <c r="CL339" s="179"/>
      <c r="CM339" s="179"/>
      <c r="CN339" s="179"/>
      <c r="CO339" s="179"/>
      <c r="CP339" s="179"/>
      <c r="CQ339" s="179"/>
      <c r="CR339" s="179"/>
      <c r="CS339" s="179"/>
      <c r="CT339" s="179"/>
      <c r="CU339" s="179"/>
      <c r="CV339" s="179"/>
      <c r="CW339" s="179"/>
    </row>
    <row r="340" spans="1:101" x14ac:dyDescent="0.2">
      <c r="A340" s="32" t="str">
        <f t="shared" ca="1" si="5"/>
        <v>2026-03-01</v>
      </c>
      <c r="B340" s="179">
        <f ca="1">IF(ISNUMBER(MATCH(DATEVALUE($A340),'changes1_based on steps'!B$1:B$400,0)),B$2,)</f>
        <v>0</v>
      </c>
      <c r="C340" s="179">
        <f ca="1">IF(ISNUMBER(MATCH(DATEVALUE($A340),'changes1_based on steps'!C$1:C$400,0)),C$2,)</f>
        <v>0</v>
      </c>
      <c r="D340" s="179">
        <f ca="1">IF(ISNUMBER(MATCH(DATEVALUE($A340),'changes1_based on steps'!D$1:D$400,0)),D$2,)</f>
        <v>0</v>
      </c>
      <c r="E340" s="179">
        <f ca="1">IF(ISNUMBER(MATCH(DATEVALUE($A340),'changes1_based on steps'!E$1:E$400,0)),E$2,)</f>
        <v>0</v>
      </c>
      <c r="F340" s="179">
        <f ca="1">IF(ISNUMBER(MATCH(DATEVALUE($A340),'changes1_based on steps'!F$1:F$400,0)),F$2,)</f>
        <v>0</v>
      </c>
      <c r="G340" s="179">
        <f ca="1">IF(ISNUMBER(MATCH(DATEVALUE($A340),'changes1_based on steps'!G$1:G$400,0)),G$2,)</f>
        <v>0</v>
      </c>
      <c r="H340" s="179">
        <f ca="1">IF(ISNUMBER(MATCH(DATEVALUE($A340),'changes1_based on steps'!H$1:H$400,0)),H$2,)</f>
        <v>0</v>
      </c>
      <c r="I340" s="179">
        <f ca="1">IF(ISNUMBER(MATCH(DATEVALUE($A340),'changes1_based on steps'!I$1:I$400,0)),I$2,)</f>
        <v>0</v>
      </c>
      <c r="J340" s="179">
        <f ca="1">IF(ISNUMBER(MATCH(DATEVALUE($A340),'changes1_based on steps'!J$1:J$400,0)),J$2,)</f>
        <v>0</v>
      </c>
      <c r="K340" s="179">
        <f ca="1">IF(ISNUMBER(MATCH(DATEVALUE($A340),'changes1_based on steps'!K$1:K$400,0)),K$2,)</f>
        <v>0</v>
      </c>
      <c r="L340" s="179">
        <f ca="1">IF(ISNUMBER(MATCH(DATEVALUE($A340),'changes1_based on steps'!L$1:L$400,0)),L$2,)</f>
        <v>0</v>
      </c>
      <c r="M340" s="179">
        <f ca="1">IF(ISNUMBER(MATCH(DATEVALUE($A340),'changes1_based on steps'!M$1:M$400,0)),M$2,)</f>
        <v>0</v>
      </c>
      <c r="N340" s="179">
        <f ca="1">IF(ISNUMBER(MATCH(DATEVALUE($A340),'changes1_based on steps'!N$1:N$400,0)),N$2,)</f>
        <v>0</v>
      </c>
      <c r="O340" s="179">
        <f ca="1">IF(ISNUMBER(MATCH(DATEVALUE($A340),'changes1_based on steps'!O$1:O$400,0)),O$2,)</f>
        <v>0</v>
      </c>
      <c r="P340" s="179">
        <f ca="1">IF(ISNUMBER(MATCH(DATEVALUE($A340),'changes1_based on steps'!P$1:P$400,0)),P$2,)</f>
        <v>0</v>
      </c>
      <c r="Q340" s="179">
        <f ca="1">IF(ISNUMBER(MATCH(DATEVALUE($A340),'changes1_based on steps'!Q$1:Q$400,0)),Q$2,)</f>
        <v>0</v>
      </c>
      <c r="R340" s="179">
        <f ca="1">IF(ISNUMBER(MATCH(DATEVALUE($A340),'changes1_based on steps'!R$1:R$400,0)),R$2,)</f>
        <v>0</v>
      </c>
      <c r="S340" s="179">
        <f ca="1">IF(ISNUMBER(MATCH(DATEVALUE($A340),'changes1_based on steps'!S$1:S$400,0)),S$2,)</f>
        <v>0</v>
      </c>
      <c r="T340" s="179">
        <f ca="1">IF(ISNUMBER(MATCH(DATEVALUE($A340),'changes1_based on steps'!T$1:T$400,0)),T$2,)</f>
        <v>0</v>
      </c>
      <c r="U340" s="179">
        <f ca="1">IF(ISNUMBER(MATCH(DATEVALUE($A340),'changes1_based on steps'!U$1:U$400,0)),U$2,)</f>
        <v>0</v>
      </c>
      <c r="V340" s="179"/>
      <c r="W340" s="179"/>
      <c r="X340" s="179"/>
      <c r="Y340" s="179"/>
      <c r="Z340" s="179"/>
      <c r="AA340" s="179"/>
      <c r="AB340" s="179"/>
      <c r="AC340" s="179"/>
      <c r="AD340" s="179"/>
      <c r="AE340" s="179"/>
      <c r="AF340" s="179"/>
      <c r="AG340" s="179"/>
      <c r="AH340" s="179"/>
      <c r="AI340" s="179"/>
      <c r="AJ340" s="179"/>
      <c r="AK340" s="179"/>
      <c r="AL340" s="179"/>
      <c r="AM340" s="179"/>
      <c r="AN340" s="179"/>
      <c r="AO340" s="179"/>
      <c r="AP340" s="179"/>
      <c r="AQ340" s="179"/>
      <c r="AR340" s="179"/>
      <c r="AS340" s="179"/>
      <c r="AT340" s="179"/>
      <c r="AU340" s="179"/>
      <c r="AV340" s="179"/>
      <c r="AW340" s="179"/>
      <c r="AX340" s="179"/>
      <c r="AY340" s="179"/>
      <c r="AZ340" s="179"/>
      <c r="BA340" s="179"/>
      <c r="BB340" s="179"/>
      <c r="BC340" s="179"/>
      <c r="BD340" s="179"/>
      <c r="BE340" s="179"/>
      <c r="BF340" s="179"/>
      <c r="BG340" s="179"/>
      <c r="BH340" s="179"/>
      <c r="BI340" s="179"/>
      <c r="BJ340" s="179"/>
      <c r="BK340" s="179"/>
      <c r="BL340" s="179"/>
      <c r="BM340" s="179"/>
      <c r="BN340" s="179"/>
      <c r="BO340" s="179"/>
      <c r="BP340" s="179"/>
      <c r="BQ340" s="179"/>
      <c r="BR340" s="179"/>
      <c r="BS340" s="179"/>
      <c r="BT340" s="179"/>
      <c r="BU340" s="179"/>
      <c r="BV340" s="179"/>
      <c r="BW340" s="179"/>
      <c r="BX340" s="179"/>
      <c r="BY340" s="179"/>
      <c r="BZ340" s="179"/>
      <c r="CA340" s="179"/>
      <c r="CB340" s="179"/>
      <c r="CC340" s="179"/>
      <c r="CD340" s="179"/>
      <c r="CE340" s="179"/>
      <c r="CF340" s="179"/>
      <c r="CG340" s="179"/>
      <c r="CH340" s="179"/>
      <c r="CI340" s="179"/>
      <c r="CJ340" s="179"/>
      <c r="CK340" s="179"/>
      <c r="CL340" s="179"/>
      <c r="CM340" s="179"/>
      <c r="CN340" s="179"/>
      <c r="CO340" s="179"/>
      <c r="CP340" s="179"/>
      <c r="CQ340" s="179"/>
      <c r="CR340" s="179"/>
      <c r="CS340" s="179"/>
      <c r="CT340" s="179"/>
      <c r="CU340" s="179"/>
      <c r="CV340" s="179"/>
      <c r="CW340" s="179"/>
    </row>
    <row r="341" spans="1:101" x14ac:dyDescent="0.2">
      <c r="A341" s="32" t="str">
        <f t="shared" ca="1" si="5"/>
        <v>2026-03-02</v>
      </c>
      <c r="B341" s="179">
        <f ca="1">IF(ISNUMBER(MATCH(DATEVALUE($A341),'changes1_based on steps'!B$1:B$400,0)),B$2,)</f>
        <v>0</v>
      </c>
      <c r="C341" s="179">
        <f ca="1">IF(ISNUMBER(MATCH(DATEVALUE($A341),'changes1_based on steps'!C$1:C$400,0)),C$2,)</f>
        <v>0</v>
      </c>
      <c r="D341" s="179">
        <f ca="1">IF(ISNUMBER(MATCH(DATEVALUE($A341),'changes1_based on steps'!D$1:D$400,0)),D$2,)</f>
        <v>0</v>
      </c>
      <c r="E341" s="179">
        <f ca="1">IF(ISNUMBER(MATCH(DATEVALUE($A341),'changes1_based on steps'!E$1:E$400,0)),E$2,)</f>
        <v>0</v>
      </c>
      <c r="F341" s="179">
        <f ca="1">IF(ISNUMBER(MATCH(DATEVALUE($A341),'changes1_based on steps'!F$1:F$400,0)),F$2,)</f>
        <v>0</v>
      </c>
      <c r="G341" s="179">
        <f ca="1">IF(ISNUMBER(MATCH(DATEVALUE($A341),'changes1_based on steps'!G$1:G$400,0)),G$2,)</f>
        <v>0</v>
      </c>
      <c r="H341" s="179">
        <f ca="1">IF(ISNUMBER(MATCH(DATEVALUE($A341),'changes1_based on steps'!H$1:H$400,0)),H$2,)</f>
        <v>0</v>
      </c>
      <c r="I341" s="179">
        <f ca="1">IF(ISNUMBER(MATCH(DATEVALUE($A341),'changes1_based on steps'!I$1:I$400,0)),I$2,)</f>
        <v>0</v>
      </c>
      <c r="J341" s="179">
        <f ca="1">IF(ISNUMBER(MATCH(DATEVALUE($A341),'changes1_based on steps'!J$1:J$400,0)),J$2,)</f>
        <v>0</v>
      </c>
      <c r="K341" s="179">
        <f ca="1">IF(ISNUMBER(MATCH(DATEVALUE($A341),'changes1_based on steps'!K$1:K$400,0)),K$2,)</f>
        <v>0</v>
      </c>
      <c r="L341" s="179">
        <f ca="1">IF(ISNUMBER(MATCH(DATEVALUE($A341),'changes1_based on steps'!L$1:L$400,0)),L$2,)</f>
        <v>0</v>
      </c>
      <c r="M341" s="179">
        <f ca="1">IF(ISNUMBER(MATCH(DATEVALUE($A341),'changes1_based on steps'!M$1:M$400,0)),M$2,)</f>
        <v>0</v>
      </c>
      <c r="N341" s="179">
        <f ca="1">IF(ISNUMBER(MATCH(DATEVALUE($A341),'changes1_based on steps'!N$1:N$400,0)),N$2,)</f>
        <v>0</v>
      </c>
      <c r="O341" s="179">
        <f ca="1">IF(ISNUMBER(MATCH(DATEVALUE($A341),'changes1_based on steps'!O$1:O$400,0)),O$2,)</f>
        <v>0</v>
      </c>
      <c r="P341" s="179">
        <f ca="1">IF(ISNUMBER(MATCH(DATEVALUE($A341),'changes1_based on steps'!P$1:P$400,0)),P$2,)</f>
        <v>0</v>
      </c>
      <c r="Q341" s="179">
        <f ca="1">IF(ISNUMBER(MATCH(DATEVALUE($A341),'changes1_based on steps'!Q$1:Q$400,0)),Q$2,)</f>
        <v>0</v>
      </c>
      <c r="R341" s="179">
        <f ca="1">IF(ISNUMBER(MATCH(DATEVALUE($A341),'changes1_based on steps'!R$1:R$400,0)),R$2,)</f>
        <v>0</v>
      </c>
      <c r="S341" s="179">
        <f ca="1">IF(ISNUMBER(MATCH(DATEVALUE($A341),'changes1_based on steps'!S$1:S$400,0)),S$2,)</f>
        <v>0</v>
      </c>
      <c r="T341" s="179">
        <f ca="1">IF(ISNUMBER(MATCH(DATEVALUE($A341),'changes1_based on steps'!T$1:T$400,0)),T$2,)</f>
        <v>0</v>
      </c>
      <c r="U341" s="179">
        <f ca="1">IF(ISNUMBER(MATCH(DATEVALUE($A341),'changes1_based on steps'!U$1:U$400,0)),U$2,)</f>
        <v>0</v>
      </c>
      <c r="V341" s="179"/>
      <c r="W341" s="179"/>
      <c r="X341" s="179"/>
      <c r="Y341" s="179"/>
      <c r="Z341" s="179"/>
      <c r="AA341" s="179"/>
      <c r="AB341" s="179"/>
      <c r="AC341" s="179"/>
      <c r="AD341" s="179"/>
      <c r="AE341" s="179"/>
      <c r="AF341" s="179"/>
      <c r="AG341" s="179"/>
      <c r="AH341" s="179"/>
      <c r="AI341" s="179"/>
      <c r="AJ341" s="179"/>
      <c r="AK341" s="179"/>
      <c r="AL341" s="179"/>
      <c r="AM341" s="179"/>
      <c r="AN341" s="179"/>
      <c r="AO341" s="179"/>
      <c r="AP341" s="179"/>
      <c r="AQ341" s="179"/>
      <c r="AR341" s="179"/>
      <c r="AS341" s="179"/>
      <c r="AT341" s="179"/>
      <c r="AU341" s="179"/>
      <c r="AV341" s="179"/>
      <c r="AW341" s="179"/>
      <c r="AX341" s="179"/>
      <c r="AY341" s="179"/>
      <c r="AZ341" s="179"/>
      <c r="BA341" s="179"/>
      <c r="BB341" s="179"/>
      <c r="BC341" s="179"/>
      <c r="BD341" s="179"/>
      <c r="BE341" s="179"/>
      <c r="BF341" s="179"/>
      <c r="BG341" s="179"/>
      <c r="BH341" s="179"/>
      <c r="BI341" s="179"/>
      <c r="BJ341" s="179"/>
      <c r="BK341" s="179"/>
      <c r="BL341" s="179"/>
      <c r="BM341" s="179"/>
      <c r="BN341" s="179"/>
      <c r="BO341" s="179"/>
      <c r="BP341" s="179"/>
      <c r="BQ341" s="179"/>
      <c r="BR341" s="179"/>
      <c r="BS341" s="179"/>
      <c r="BT341" s="179"/>
      <c r="BU341" s="179"/>
      <c r="BV341" s="179"/>
      <c r="BW341" s="179"/>
      <c r="BX341" s="179"/>
      <c r="BY341" s="179"/>
      <c r="BZ341" s="179"/>
      <c r="CA341" s="179"/>
      <c r="CB341" s="179"/>
      <c r="CC341" s="179"/>
      <c r="CD341" s="179"/>
      <c r="CE341" s="179"/>
      <c r="CF341" s="179"/>
      <c r="CG341" s="179"/>
      <c r="CH341" s="179"/>
      <c r="CI341" s="179"/>
      <c r="CJ341" s="179"/>
      <c r="CK341" s="179"/>
      <c r="CL341" s="179"/>
      <c r="CM341" s="179"/>
      <c r="CN341" s="179"/>
      <c r="CO341" s="179"/>
      <c r="CP341" s="179"/>
      <c r="CQ341" s="179"/>
      <c r="CR341" s="179"/>
      <c r="CS341" s="179"/>
      <c r="CT341" s="179"/>
      <c r="CU341" s="179"/>
      <c r="CV341" s="179"/>
      <c r="CW341" s="179"/>
    </row>
    <row r="342" spans="1:101" x14ac:dyDescent="0.2">
      <c r="A342" s="32" t="str">
        <f t="shared" ca="1" si="5"/>
        <v>2026-03-03</v>
      </c>
      <c r="B342" s="179">
        <f ca="1">IF(ISNUMBER(MATCH(DATEVALUE($A342),'changes1_based on steps'!B$1:B$400,0)),B$2,)</f>
        <v>0</v>
      </c>
      <c r="C342" s="179">
        <f ca="1">IF(ISNUMBER(MATCH(DATEVALUE($A342),'changes1_based on steps'!C$1:C$400,0)),C$2,)</f>
        <v>0</v>
      </c>
      <c r="D342" s="179">
        <f ca="1">IF(ISNUMBER(MATCH(DATEVALUE($A342),'changes1_based on steps'!D$1:D$400,0)),D$2,)</f>
        <v>0</v>
      </c>
      <c r="E342" s="179">
        <f ca="1">IF(ISNUMBER(MATCH(DATEVALUE($A342),'changes1_based on steps'!E$1:E$400,0)),E$2,)</f>
        <v>0</v>
      </c>
      <c r="F342" s="179">
        <f ca="1">IF(ISNUMBER(MATCH(DATEVALUE($A342),'changes1_based on steps'!F$1:F$400,0)),F$2,)</f>
        <v>0</v>
      </c>
      <c r="G342" s="179">
        <f ca="1">IF(ISNUMBER(MATCH(DATEVALUE($A342),'changes1_based on steps'!G$1:G$400,0)),G$2,)</f>
        <v>0</v>
      </c>
      <c r="H342" s="179">
        <f ca="1">IF(ISNUMBER(MATCH(DATEVALUE($A342),'changes1_based on steps'!H$1:H$400,0)),H$2,)</f>
        <v>0</v>
      </c>
      <c r="I342" s="179">
        <f ca="1">IF(ISNUMBER(MATCH(DATEVALUE($A342),'changes1_based on steps'!I$1:I$400,0)),I$2,)</f>
        <v>0</v>
      </c>
      <c r="J342" s="179">
        <f ca="1">IF(ISNUMBER(MATCH(DATEVALUE($A342),'changes1_based on steps'!J$1:J$400,0)),J$2,)</f>
        <v>0</v>
      </c>
      <c r="K342" s="179">
        <f ca="1">IF(ISNUMBER(MATCH(DATEVALUE($A342),'changes1_based on steps'!K$1:K$400,0)),K$2,)</f>
        <v>0</v>
      </c>
      <c r="L342" s="179">
        <f ca="1">IF(ISNUMBER(MATCH(DATEVALUE($A342),'changes1_based on steps'!L$1:L$400,0)),L$2,)</f>
        <v>0</v>
      </c>
      <c r="M342" s="179">
        <f ca="1">IF(ISNUMBER(MATCH(DATEVALUE($A342),'changes1_based on steps'!M$1:M$400,0)),M$2,)</f>
        <v>0</v>
      </c>
      <c r="N342" s="179">
        <f ca="1">IF(ISNUMBER(MATCH(DATEVALUE($A342),'changes1_based on steps'!N$1:N$400,0)),N$2,)</f>
        <v>0</v>
      </c>
      <c r="O342" s="179">
        <f ca="1">IF(ISNUMBER(MATCH(DATEVALUE($A342),'changes1_based on steps'!O$1:O$400,0)),O$2,)</f>
        <v>0</v>
      </c>
      <c r="P342" s="179">
        <f ca="1">IF(ISNUMBER(MATCH(DATEVALUE($A342),'changes1_based on steps'!P$1:P$400,0)),P$2,)</f>
        <v>0</v>
      </c>
      <c r="Q342" s="179">
        <f ca="1">IF(ISNUMBER(MATCH(DATEVALUE($A342),'changes1_based on steps'!Q$1:Q$400,0)),Q$2,)</f>
        <v>0</v>
      </c>
      <c r="R342" s="179">
        <f ca="1">IF(ISNUMBER(MATCH(DATEVALUE($A342),'changes1_based on steps'!R$1:R$400,0)),R$2,)</f>
        <v>0</v>
      </c>
      <c r="S342" s="179">
        <f ca="1">IF(ISNUMBER(MATCH(DATEVALUE($A342),'changes1_based on steps'!S$1:S$400,0)),S$2,)</f>
        <v>0</v>
      </c>
      <c r="T342" s="179">
        <f ca="1">IF(ISNUMBER(MATCH(DATEVALUE($A342),'changes1_based on steps'!T$1:T$400,0)),T$2,)</f>
        <v>0</v>
      </c>
      <c r="U342" s="179">
        <f ca="1">IF(ISNUMBER(MATCH(DATEVALUE($A342),'changes1_based on steps'!U$1:U$400,0)),U$2,)</f>
        <v>0</v>
      </c>
      <c r="V342" s="179"/>
      <c r="W342" s="179"/>
      <c r="X342" s="179"/>
      <c r="Y342" s="179"/>
      <c r="Z342" s="179"/>
      <c r="AA342" s="179"/>
      <c r="AB342" s="179"/>
      <c r="AC342" s="179"/>
      <c r="AD342" s="179"/>
      <c r="AE342" s="179"/>
      <c r="AF342" s="179"/>
      <c r="AG342" s="179"/>
      <c r="AH342" s="179"/>
      <c r="AI342" s="179"/>
      <c r="AJ342" s="179"/>
      <c r="AK342" s="179"/>
      <c r="AL342" s="179"/>
      <c r="AM342" s="179"/>
      <c r="AN342" s="179"/>
      <c r="AO342" s="179"/>
      <c r="AP342" s="179"/>
      <c r="AQ342" s="179"/>
      <c r="AR342" s="179"/>
      <c r="AS342" s="179"/>
      <c r="AT342" s="179"/>
      <c r="AU342" s="179"/>
      <c r="AV342" s="179"/>
      <c r="AW342" s="179"/>
      <c r="AX342" s="179"/>
      <c r="AY342" s="179"/>
      <c r="AZ342" s="179"/>
      <c r="BA342" s="179"/>
      <c r="BB342" s="179"/>
      <c r="BC342" s="179"/>
      <c r="BD342" s="179"/>
      <c r="BE342" s="179"/>
      <c r="BF342" s="179"/>
      <c r="BG342" s="179"/>
      <c r="BH342" s="179"/>
      <c r="BI342" s="179"/>
      <c r="BJ342" s="179"/>
      <c r="BK342" s="179"/>
      <c r="BL342" s="179"/>
      <c r="BM342" s="179"/>
      <c r="BN342" s="179"/>
      <c r="BO342" s="179"/>
      <c r="BP342" s="179"/>
      <c r="BQ342" s="179"/>
      <c r="BR342" s="179"/>
      <c r="BS342" s="179"/>
      <c r="BT342" s="179"/>
      <c r="BU342" s="179"/>
      <c r="BV342" s="179"/>
      <c r="BW342" s="179"/>
      <c r="BX342" s="179"/>
      <c r="BY342" s="179"/>
      <c r="BZ342" s="179"/>
      <c r="CA342" s="179"/>
      <c r="CB342" s="179"/>
      <c r="CC342" s="179"/>
      <c r="CD342" s="179"/>
      <c r="CE342" s="179"/>
      <c r="CF342" s="179"/>
      <c r="CG342" s="179"/>
      <c r="CH342" s="179"/>
      <c r="CI342" s="179"/>
      <c r="CJ342" s="179"/>
      <c r="CK342" s="179"/>
      <c r="CL342" s="179"/>
      <c r="CM342" s="179"/>
      <c r="CN342" s="179"/>
      <c r="CO342" s="179"/>
      <c r="CP342" s="179"/>
      <c r="CQ342" s="179"/>
      <c r="CR342" s="179"/>
      <c r="CS342" s="179"/>
      <c r="CT342" s="179"/>
      <c r="CU342" s="179"/>
      <c r="CV342" s="179"/>
      <c r="CW342" s="179"/>
    </row>
    <row r="343" spans="1:101" x14ac:dyDescent="0.2">
      <c r="A343" s="32" t="str">
        <f t="shared" ca="1" si="5"/>
        <v>2026-03-04</v>
      </c>
      <c r="B343" s="179">
        <f ca="1">IF(ISNUMBER(MATCH(DATEVALUE($A343),'changes1_based on steps'!B$1:B$400,0)),B$2,)</f>
        <v>0</v>
      </c>
      <c r="C343" s="179">
        <f ca="1">IF(ISNUMBER(MATCH(DATEVALUE($A343),'changes1_based on steps'!C$1:C$400,0)),C$2,)</f>
        <v>0</v>
      </c>
      <c r="D343" s="179">
        <f ca="1">IF(ISNUMBER(MATCH(DATEVALUE($A343),'changes1_based on steps'!D$1:D$400,0)),D$2,)</f>
        <v>0</v>
      </c>
      <c r="E343" s="179">
        <f ca="1">IF(ISNUMBER(MATCH(DATEVALUE($A343),'changes1_based on steps'!E$1:E$400,0)),E$2,)</f>
        <v>0</v>
      </c>
      <c r="F343" s="179">
        <f ca="1">IF(ISNUMBER(MATCH(DATEVALUE($A343),'changes1_based on steps'!F$1:F$400,0)),F$2,)</f>
        <v>0</v>
      </c>
      <c r="G343" s="179">
        <f ca="1">IF(ISNUMBER(MATCH(DATEVALUE($A343),'changes1_based on steps'!G$1:G$400,0)),G$2,)</f>
        <v>0</v>
      </c>
      <c r="H343" s="179">
        <f ca="1">IF(ISNUMBER(MATCH(DATEVALUE($A343),'changes1_based on steps'!H$1:H$400,0)),H$2,)</f>
        <v>0</v>
      </c>
      <c r="I343" s="179">
        <f ca="1">IF(ISNUMBER(MATCH(DATEVALUE($A343),'changes1_based on steps'!I$1:I$400,0)),I$2,)</f>
        <v>0</v>
      </c>
      <c r="J343" s="179">
        <f ca="1">IF(ISNUMBER(MATCH(DATEVALUE($A343),'changes1_based on steps'!J$1:J$400,0)),J$2,)</f>
        <v>0</v>
      </c>
      <c r="K343" s="179">
        <f ca="1">IF(ISNUMBER(MATCH(DATEVALUE($A343),'changes1_based on steps'!K$1:K$400,0)),K$2,)</f>
        <v>0</v>
      </c>
      <c r="L343" s="179">
        <f ca="1">IF(ISNUMBER(MATCH(DATEVALUE($A343),'changes1_based on steps'!L$1:L$400,0)),L$2,)</f>
        <v>0</v>
      </c>
      <c r="M343" s="179">
        <f ca="1">IF(ISNUMBER(MATCH(DATEVALUE($A343),'changes1_based on steps'!M$1:M$400,0)),M$2,)</f>
        <v>0</v>
      </c>
      <c r="N343" s="179">
        <f ca="1">IF(ISNUMBER(MATCH(DATEVALUE($A343),'changes1_based on steps'!N$1:N$400,0)),N$2,)</f>
        <v>0</v>
      </c>
      <c r="O343" s="179">
        <f ca="1">IF(ISNUMBER(MATCH(DATEVALUE($A343),'changes1_based on steps'!O$1:O$400,0)),O$2,)</f>
        <v>0</v>
      </c>
      <c r="P343" s="179">
        <f ca="1">IF(ISNUMBER(MATCH(DATEVALUE($A343),'changes1_based on steps'!P$1:P$400,0)),P$2,)</f>
        <v>0</v>
      </c>
      <c r="Q343" s="179">
        <f ca="1">IF(ISNUMBER(MATCH(DATEVALUE($A343),'changes1_based on steps'!Q$1:Q$400,0)),Q$2,)</f>
        <v>0</v>
      </c>
      <c r="R343" s="179">
        <f ca="1">IF(ISNUMBER(MATCH(DATEVALUE($A343),'changes1_based on steps'!R$1:R$400,0)),R$2,)</f>
        <v>0</v>
      </c>
      <c r="S343" s="179">
        <f ca="1">IF(ISNUMBER(MATCH(DATEVALUE($A343),'changes1_based on steps'!S$1:S$400,0)),S$2,)</f>
        <v>0</v>
      </c>
      <c r="T343" s="179">
        <f ca="1">IF(ISNUMBER(MATCH(DATEVALUE($A343),'changes1_based on steps'!T$1:T$400,0)),T$2,)</f>
        <v>0</v>
      </c>
      <c r="U343" s="179">
        <f ca="1">IF(ISNUMBER(MATCH(DATEVALUE($A343),'changes1_based on steps'!U$1:U$400,0)),U$2,)</f>
        <v>0</v>
      </c>
      <c r="V343" s="179"/>
      <c r="W343" s="179"/>
      <c r="X343" s="179"/>
      <c r="Y343" s="179"/>
      <c r="Z343" s="179"/>
      <c r="AA343" s="179"/>
      <c r="AB343" s="179"/>
      <c r="AC343" s="179"/>
      <c r="AD343" s="179"/>
      <c r="AE343" s="179"/>
      <c r="AF343" s="179"/>
      <c r="AG343" s="179"/>
      <c r="AH343" s="179"/>
      <c r="AI343" s="179"/>
      <c r="AJ343" s="179"/>
      <c r="AK343" s="179"/>
      <c r="AL343" s="179"/>
      <c r="AM343" s="179"/>
      <c r="AN343" s="179"/>
      <c r="AO343" s="179"/>
      <c r="AP343" s="179"/>
      <c r="AQ343" s="179"/>
      <c r="AR343" s="179"/>
      <c r="AS343" s="179"/>
      <c r="AT343" s="179"/>
      <c r="AU343" s="179"/>
      <c r="AV343" s="179"/>
      <c r="AW343" s="179"/>
      <c r="AX343" s="179"/>
      <c r="AY343" s="179"/>
      <c r="AZ343" s="179"/>
      <c r="BA343" s="179"/>
      <c r="BB343" s="179"/>
      <c r="BC343" s="179"/>
      <c r="BD343" s="179"/>
      <c r="BE343" s="179"/>
      <c r="BF343" s="179"/>
      <c r="BG343" s="179"/>
      <c r="BH343" s="179"/>
      <c r="BI343" s="179"/>
      <c r="BJ343" s="179"/>
      <c r="BK343" s="179"/>
      <c r="BL343" s="179"/>
      <c r="BM343" s="179"/>
      <c r="BN343" s="179"/>
      <c r="BO343" s="179"/>
      <c r="BP343" s="179"/>
      <c r="BQ343" s="179"/>
      <c r="BR343" s="179"/>
      <c r="BS343" s="179"/>
      <c r="BT343" s="179"/>
      <c r="BU343" s="179"/>
      <c r="BV343" s="179"/>
      <c r="BW343" s="179"/>
      <c r="BX343" s="179"/>
      <c r="BY343" s="179"/>
      <c r="BZ343" s="179"/>
      <c r="CA343" s="179"/>
      <c r="CB343" s="179"/>
      <c r="CC343" s="179"/>
      <c r="CD343" s="179"/>
      <c r="CE343" s="179"/>
      <c r="CF343" s="179"/>
      <c r="CG343" s="179"/>
      <c r="CH343" s="179"/>
      <c r="CI343" s="179"/>
      <c r="CJ343" s="179"/>
      <c r="CK343" s="179"/>
      <c r="CL343" s="179"/>
      <c r="CM343" s="179"/>
      <c r="CN343" s="179"/>
      <c r="CO343" s="179"/>
      <c r="CP343" s="179"/>
      <c r="CQ343" s="179"/>
      <c r="CR343" s="179"/>
      <c r="CS343" s="179"/>
      <c r="CT343" s="179"/>
      <c r="CU343" s="179"/>
      <c r="CV343" s="179"/>
      <c r="CW343" s="179"/>
    </row>
    <row r="344" spans="1:101" x14ac:dyDescent="0.2">
      <c r="A344" s="32" t="str">
        <f t="shared" ca="1" si="5"/>
        <v>2026-03-05</v>
      </c>
      <c r="B344" s="179">
        <f ca="1">IF(ISNUMBER(MATCH(DATEVALUE($A344),'changes1_based on steps'!B$1:B$400,0)),B$2,)</f>
        <v>0</v>
      </c>
      <c r="C344" s="179">
        <f ca="1">IF(ISNUMBER(MATCH(DATEVALUE($A344),'changes1_based on steps'!C$1:C$400,0)),C$2,)</f>
        <v>0</v>
      </c>
      <c r="D344" s="179">
        <f ca="1">IF(ISNUMBER(MATCH(DATEVALUE($A344),'changes1_based on steps'!D$1:D$400,0)),D$2,)</f>
        <v>0</v>
      </c>
      <c r="E344" s="179">
        <f ca="1">IF(ISNUMBER(MATCH(DATEVALUE($A344),'changes1_based on steps'!E$1:E$400,0)),E$2,)</f>
        <v>0</v>
      </c>
      <c r="F344" s="179">
        <f ca="1">IF(ISNUMBER(MATCH(DATEVALUE($A344),'changes1_based on steps'!F$1:F$400,0)),F$2,)</f>
        <v>0</v>
      </c>
      <c r="G344" s="179">
        <f ca="1">IF(ISNUMBER(MATCH(DATEVALUE($A344),'changes1_based on steps'!G$1:G$400,0)),G$2,)</f>
        <v>0</v>
      </c>
      <c r="H344" s="179">
        <f ca="1">IF(ISNUMBER(MATCH(DATEVALUE($A344),'changes1_based on steps'!H$1:H$400,0)),H$2,)</f>
        <v>0</v>
      </c>
      <c r="I344" s="179">
        <f ca="1">IF(ISNUMBER(MATCH(DATEVALUE($A344),'changes1_based on steps'!I$1:I$400,0)),I$2,)</f>
        <v>0</v>
      </c>
      <c r="J344" s="179">
        <f ca="1">IF(ISNUMBER(MATCH(DATEVALUE($A344),'changes1_based on steps'!J$1:J$400,0)),J$2,)</f>
        <v>0</v>
      </c>
      <c r="K344" s="179">
        <f ca="1">IF(ISNUMBER(MATCH(DATEVALUE($A344),'changes1_based on steps'!K$1:K$400,0)),K$2,)</f>
        <v>0</v>
      </c>
      <c r="L344" s="179">
        <f ca="1">IF(ISNUMBER(MATCH(DATEVALUE($A344),'changes1_based on steps'!L$1:L$400,0)),L$2,)</f>
        <v>0</v>
      </c>
      <c r="M344" s="179">
        <f ca="1">IF(ISNUMBER(MATCH(DATEVALUE($A344),'changes1_based on steps'!M$1:M$400,0)),M$2,)</f>
        <v>0</v>
      </c>
      <c r="N344" s="179">
        <f ca="1">IF(ISNUMBER(MATCH(DATEVALUE($A344),'changes1_based on steps'!N$1:N$400,0)),N$2,)</f>
        <v>0</v>
      </c>
      <c r="O344" s="179">
        <f ca="1">IF(ISNUMBER(MATCH(DATEVALUE($A344),'changes1_based on steps'!O$1:O$400,0)),O$2,)</f>
        <v>0</v>
      </c>
      <c r="P344" s="179">
        <f ca="1">IF(ISNUMBER(MATCH(DATEVALUE($A344),'changes1_based on steps'!P$1:P$400,0)),P$2,)</f>
        <v>0</v>
      </c>
      <c r="Q344" s="179">
        <f ca="1">IF(ISNUMBER(MATCH(DATEVALUE($A344),'changes1_based on steps'!Q$1:Q$400,0)),Q$2,)</f>
        <v>0</v>
      </c>
      <c r="R344" s="179">
        <f ca="1">IF(ISNUMBER(MATCH(DATEVALUE($A344),'changes1_based on steps'!R$1:R$400,0)),R$2,)</f>
        <v>0</v>
      </c>
      <c r="S344" s="179">
        <f ca="1">IF(ISNUMBER(MATCH(DATEVALUE($A344),'changes1_based on steps'!S$1:S$400,0)),S$2,)</f>
        <v>0</v>
      </c>
      <c r="T344" s="179">
        <f ca="1">IF(ISNUMBER(MATCH(DATEVALUE($A344),'changes1_based on steps'!T$1:T$400,0)),T$2,)</f>
        <v>0</v>
      </c>
      <c r="U344" s="179">
        <f ca="1">IF(ISNUMBER(MATCH(DATEVALUE($A344),'changes1_based on steps'!U$1:U$400,0)),U$2,)</f>
        <v>0</v>
      </c>
      <c r="V344" s="179"/>
      <c r="W344" s="179"/>
      <c r="X344" s="179"/>
      <c r="Y344" s="179"/>
      <c r="Z344" s="179"/>
      <c r="AA344" s="179"/>
      <c r="AB344" s="179"/>
      <c r="AC344" s="179"/>
      <c r="AD344" s="179"/>
      <c r="AE344" s="179"/>
      <c r="AF344" s="179"/>
      <c r="AG344" s="179"/>
      <c r="AH344" s="179"/>
      <c r="AI344" s="179"/>
      <c r="AJ344" s="179"/>
      <c r="AK344" s="179"/>
      <c r="AL344" s="179"/>
      <c r="AM344" s="179"/>
      <c r="AN344" s="179"/>
      <c r="AO344" s="179"/>
      <c r="AP344" s="179"/>
      <c r="AQ344" s="179"/>
      <c r="AR344" s="179"/>
      <c r="AS344" s="179"/>
      <c r="AT344" s="179"/>
      <c r="AU344" s="179"/>
      <c r="AV344" s="179"/>
      <c r="AW344" s="179"/>
      <c r="AX344" s="179"/>
      <c r="AY344" s="179"/>
      <c r="AZ344" s="179"/>
      <c r="BA344" s="179"/>
      <c r="BB344" s="179"/>
      <c r="BC344" s="179"/>
      <c r="BD344" s="179"/>
      <c r="BE344" s="179"/>
      <c r="BF344" s="179"/>
      <c r="BG344" s="179"/>
      <c r="BH344" s="179"/>
      <c r="BI344" s="179"/>
      <c r="BJ344" s="179"/>
      <c r="BK344" s="179"/>
      <c r="BL344" s="179"/>
      <c r="BM344" s="179"/>
      <c r="BN344" s="179"/>
      <c r="BO344" s="179"/>
      <c r="BP344" s="179"/>
      <c r="BQ344" s="179"/>
      <c r="BR344" s="179"/>
      <c r="BS344" s="179"/>
      <c r="BT344" s="179"/>
      <c r="BU344" s="179"/>
      <c r="BV344" s="179"/>
      <c r="BW344" s="179"/>
      <c r="BX344" s="179"/>
      <c r="BY344" s="179"/>
      <c r="BZ344" s="179"/>
      <c r="CA344" s="179"/>
      <c r="CB344" s="179"/>
      <c r="CC344" s="179"/>
      <c r="CD344" s="179"/>
      <c r="CE344" s="179"/>
      <c r="CF344" s="179"/>
      <c r="CG344" s="179"/>
      <c r="CH344" s="179"/>
      <c r="CI344" s="179"/>
      <c r="CJ344" s="179"/>
      <c r="CK344" s="179"/>
      <c r="CL344" s="179"/>
      <c r="CM344" s="179"/>
      <c r="CN344" s="179"/>
      <c r="CO344" s="179"/>
      <c r="CP344" s="179"/>
      <c r="CQ344" s="179"/>
      <c r="CR344" s="179"/>
      <c r="CS344" s="179"/>
      <c r="CT344" s="179"/>
      <c r="CU344" s="179"/>
      <c r="CV344" s="179"/>
      <c r="CW344" s="179"/>
    </row>
    <row r="345" spans="1:101" x14ac:dyDescent="0.2">
      <c r="A345" s="32" t="str">
        <f t="shared" ca="1" si="5"/>
        <v>2026-03-06</v>
      </c>
      <c r="B345" s="179">
        <f ca="1">IF(ISNUMBER(MATCH(DATEVALUE($A345),'changes1_based on steps'!B$1:B$400,0)),B$2,)</f>
        <v>0</v>
      </c>
      <c r="C345" s="179">
        <f ca="1">IF(ISNUMBER(MATCH(DATEVALUE($A345),'changes1_based on steps'!C$1:C$400,0)),C$2,)</f>
        <v>0</v>
      </c>
      <c r="D345" s="179">
        <f ca="1">IF(ISNUMBER(MATCH(DATEVALUE($A345),'changes1_based on steps'!D$1:D$400,0)),D$2,)</f>
        <v>0</v>
      </c>
      <c r="E345" s="179">
        <f ca="1">IF(ISNUMBER(MATCH(DATEVALUE($A345),'changes1_based on steps'!E$1:E$400,0)),E$2,)</f>
        <v>0</v>
      </c>
      <c r="F345" s="179">
        <f ca="1">IF(ISNUMBER(MATCH(DATEVALUE($A345),'changes1_based on steps'!F$1:F$400,0)),F$2,)</f>
        <v>0</v>
      </c>
      <c r="G345" s="179">
        <f ca="1">IF(ISNUMBER(MATCH(DATEVALUE($A345),'changes1_based on steps'!G$1:G$400,0)),G$2,)</f>
        <v>0</v>
      </c>
      <c r="H345" s="179">
        <f ca="1">IF(ISNUMBER(MATCH(DATEVALUE($A345),'changes1_based on steps'!H$1:H$400,0)),H$2,)</f>
        <v>0</v>
      </c>
      <c r="I345" s="179">
        <f ca="1">IF(ISNUMBER(MATCH(DATEVALUE($A345),'changes1_based on steps'!I$1:I$400,0)),I$2,)</f>
        <v>0</v>
      </c>
      <c r="J345" s="179">
        <f ca="1">IF(ISNUMBER(MATCH(DATEVALUE($A345),'changes1_based on steps'!J$1:J$400,0)),J$2,)</f>
        <v>0</v>
      </c>
      <c r="K345" s="179">
        <f ca="1">IF(ISNUMBER(MATCH(DATEVALUE($A345),'changes1_based on steps'!K$1:K$400,0)),K$2,)</f>
        <v>0</v>
      </c>
      <c r="L345" s="179">
        <f ca="1">IF(ISNUMBER(MATCH(DATEVALUE($A345),'changes1_based on steps'!L$1:L$400,0)),L$2,)</f>
        <v>0</v>
      </c>
      <c r="M345" s="179">
        <f ca="1">IF(ISNUMBER(MATCH(DATEVALUE($A345),'changes1_based on steps'!M$1:M$400,0)),M$2,)</f>
        <v>0</v>
      </c>
      <c r="N345" s="179">
        <f ca="1">IF(ISNUMBER(MATCH(DATEVALUE($A345),'changes1_based on steps'!N$1:N$400,0)),N$2,)</f>
        <v>0</v>
      </c>
      <c r="O345" s="179">
        <f ca="1">IF(ISNUMBER(MATCH(DATEVALUE($A345),'changes1_based on steps'!O$1:O$400,0)),O$2,)</f>
        <v>0</v>
      </c>
      <c r="P345" s="179">
        <f ca="1">IF(ISNUMBER(MATCH(DATEVALUE($A345),'changes1_based on steps'!P$1:P$400,0)),P$2,)</f>
        <v>0</v>
      </c>
      <c r="Q345" s="179">
        <f ca="1">IF(ISNUMBER(MATCH(DATEVALUE($A345),'changes1_based on steps'!Q$1:Q$400,0)),Q$2,)</f>
        <v>0</v>
      </c>
      <c r="R345" s="179">
        <f ca="1">IF(ISNUMBER(MATCH(DATEVALUE($A345),'changes1_based on steps'!R$1:R$400,0)),R$2,)</f>
        <v>0</v>
      </c>
      <c r="S345" s="179">
        <f ca="1">IF(ISNUMBER(MATCH(DATEVALUE($A345),'changes1_based on steps'!S$1:S$400,0)),S$2,)</f>
        <v>0</v>
      </c>
      <c r="T345" s="179">
        <f ca="1">IF(ISNUMBER(MATCH(DATEVALUE($A345),'changes1_based on steps'!T$1:T$400,0)),T$2,)</f>
        <v>0</v>
      </c>
      <c r="U345" s="179">
        <f ca="1">IF(ISNUMBER(MATCH(DATEVALUE($A345),'changes1_based on steps'!U$1:U$400,0)),U$2,)</f>
        <v>0</v>
      </c>
      <c r="V345" s="179"/>
      <c r="W345" s="179"/>
      <c r="X345" s="179"/>
      <c r="Y345" s="179"/>
      <c r="Z345" s="179"/>
      <c r="AA345" s="179"/>
      <c r="AB345" s="179"/>
      <c r="AC345" s="179"/>
      <c r="AD345" s="179"/>
      <c r="AE345" s="179"/>
      <c r="AF345" s="179"/>
      <c r="AG345" s="179"/>
      <c r="AH345" s="179"/>
      <c r="AI345" s="179"/>
      <c r="AJ345" s="179"/>
      <c r="AK345" s="179"/>
      <c r="AL345" s="179"/>
      <c r="AM345" s="179"/>
      <c r="AN345" s="179"/>
      <c r="AO345" s="179"/>
      <c r="AP345" s="179"/>
      <c r="AQ345" s="179"/>
      <c r="AR345" s="179"/>
      <c r="AS345" s="179"/>
      <c r="AT345" s="179"/>
      <c r="AU345" s="179"/>
      <c r="AV345" s="179"/>
      <c r="AW345" s="179"/>
      <c r="AX345" s="179"/>
      <c r="AY345" s="179"/>
      <c r="AZ345" s="179"/>
      <c r="BA345" s="179"/>
      <c r="BB345" s="179"/>
      <c r="BC345" s="179"/>
      <c r="BD345" s="179"/>
      <c r="BE345" s="179"/>
      <c r="BF345" s="179"/>
      <c r="BG345" s="179"/>
      <c r="BH345" s="179"/>
      <c r="BI345" s="179"/>
      <c r="BJ345" s="179"/>
      <c r="BK345" s="179"/>
      <c r="BL345" s="179"/>
      <c r="BM345" s="179"/>
      <c r="BN345" s="179"/>
      <c r="BO345" s="179"/>
      <c r="BP345" s="179"/>
      <c r="BQ345" s="179"/>
      <c r="BR345" s="179"/>
      <c r="BS345" s="179"/>
      <c r="BT345" s="179"/>
      <c r="BU345" s="179"/>
      <c r="BV345" s="179"/>
      <c r="BW345" s="179"/>
      <c r="BX345" s="179"/>
      <c r="BY345" s="179"/>
      <c r="BZ345" s="179"/>
      <c r="CA345" s="179"/>
      <c r="CB345" s="179"/>
      <c r="CC345" s="179"/>
      <c r="CD345" s="179"/>
      <c r="CE345" s="179"/>
      <c r="CF345" s="179"/>
      <c r="CG345" s="179"/>
      <c r="CH345" s="179"/>
      <c r="CI345" s="179"/>
      <c r="CJ345" s="179"/>
      <c r="CK345" s="179"/>
      <c r="CL345" s="179"/>
      <c r="CM345" s="179"/>
      <c r="CN345" s="179"/>
      <c r="CO345" s="179"/>
      <c r="CP345" s="179"/>
      <c r="CQ345" s="179"/>
      <c r="CR345" s="179"/>
      <c r="CS345" s="179"/>
      <c r="CT345" s="179"/>
      <c r="CU345" s="179"/>
      <c r="CV345" s="179"/>
      <c r="CW345" s="179"/>
    </row>
    <row r="346" spans="1:101" x14ac:dyDescent="0.2">
      <c r="A346" s="32" t="str">
        <f t="shared" ca="1" si="5"/>
        <v>2026-03-07</v>
      </c>
      <c r="B346" s="179">
        <f ca="1">IF(ISNUMBER(MATCH(DATEVALUE($A346),'changes1_based on steps'!B$1:B$400,0)),B$2,)</f>
        <v>0</v>
      </c>
      <c r="C346" s="179">
        <f ca="1">IF(ISNUMBER(MATCH(DATEVALUE($A346),'changes1_based on steps'!C$1:C$400,0)),C$2,)</f>
        <v>0</v>
      </c>
      <c r="D346" s="179">
        <f ca="1">IF(ISNUMBER(MATCH(DATEVALUE($A346),'changes1_based on steps'!D$1:D$400,0)),D$2,)</f>
        <v>0</v>
      </c>
      <c r="E346" s="179">
        <f ca="1">IF(ISNUMBER(MATCH(DATEVALUE($A346),'changes1_based on steps'!E$1:E$400,0)),E$2,)</f>
        <v>0</v>
      </c>
      <c r="F346" s="179">
        <f ca="1">IF(ISNUMBER(MATCH(DATEVALUE($A346),'changes1_based on steps'!F$1:F$400,0)),F$2,)</f>
        <v>0</v>
      </c>
      <c r="G346" s="179">
        <f ca="1">IF(ISNUMBER(MATCH(DATEVALUE($A346),'changes1_based on steps'!G$1:G$400,0)),G$2,)</f>
        <v>0</v>
      </c>
      <c r="H346" s="179">
        <f ca="1">IF(ISNUMBER(MATCH(DATEVALUE($A346),'changes1_based on steps'!H$1:H$400,0)),H$2,)</f>
        <v>0</v>
      </c>
      <c r="I346" s="179">
        <f ca="1">IF(ISNUMBER(MATCH(DATEVALUE($A346),'changes1_based on steps'!I$1:I$400,0)),I$2,)</f>
        <v>0</v>
      </c>
      <c r="J346" s="179">
        <f ca="1">IF(ISNUMBER(MATCH(DATEVALUE($A346),'changes1_based on steps'!J$1:J$400,0)),J$2,)</f>
        <v>0</v>
      </c>
      <c r="K346" s="179">
        <f ca="1">IF(ISNUMBER(MATCH(DATEVALUE($A346),'changes1_based on steps'!K$1:K$400,0)),K$2,)</f>
        <v>0</v>
      </c>
      <c r="L346" s="179">
        <f ca="1">IF(ISNUMBER(MATCH(DATEVALUE($A346),'changes1_based on steps'!L$1:L$400,0)),L$2,)</f>
        <v>0</v>
      </c>
      <c r="M346" s="179">
        <f ca="1">IF(ISNUMBER(MATCH(DATEVALUE($A346),'changes1_based on steps'!M$1:M$400,0)),M$2,)</f>
        <v>0</v>
      </c>
      <c r="N346" s="179">
        <f ca="1">IF(ISNUMBER(MATCH(DATEVALUE($A346),'changes1_based on steps'!N$1:N$400,0)),N$2,)</f>
        <v>0</v>
      </c>
      <c r="O346" s="179">
        <f ca="1">IF(ISNUMBER(MATCH(DATEVALUE($A346),'changes1_based on steps'!O$1:O$400,0)),O$2,)</f>
        <v>0</v>
      </c>
      <c r="P346" s="179">
        <f ca="1">IF(ISNUMBER(MATCH(DATEVALUE($A346),'changes1_based on steps'!P$1:P$400,0)),P$2,)</f>
        <v>0</v>
      </c>
      <c r="Q346" s="179">
        <f ca="1">IF(ISNUMBER(MATCH(DATEVALUE($A346),'changes1_based on steps'!Q$1:Q$400,0)),Q$2,)</f>
        <v>0</v>
      </c>
      <c r="R346" s="179">
        <f ca="1">IF(ISNUMBER(MATCH(DATEVALUE($A346),'changes1_based on steps'!R$1:R$400,0)),R$2,)</f>
        <v>0</v>
      </c>
      <c r="S346" s="179">
        <f ca="1">IF(ISNUMBER(MATCH(DATEVALUE($A346),'changes1_based on steps'!S$1:S$400,0)),S$2,)</f>
        <v>0</v>
      </c>
      <c r="T346" s="179">
        <f ca="1">IF(ISNUMBER(MATCH(DATEVALUE($A346),'changes1_based on steps'!T$1:T$400,0)),T$2,)</f>
        <v>0</v>
      </c>
      <c r="U346" s="179">
        <f ca="1">IF(ISNUMBER(MATCH(DATEVALUE($A346),'changes1_based on steps'!U$1:U$400,0)),U$2,)</f>
        <v>0</v>
      </c>
      <c r="V346" s="179"/>
      <c r="W346" s="179"/>
      <c r="X346" s="179"/>
      <c r="Y346" s="179"/>
      <c r="Z346" s="179"/>
      <c r="AA346" s="179"/>
      <c r="AB346" s="179"/>
      <c r="AC346" s="179"/>
      <c r="AD346" s="179"/>
      <c r="AE346" s="179"/>
      <c r="AF346" s="179"/>
      <c r="AG346" s="179"/>
      <c r="AH346" s="179"/>
      <c r="AI346" s="179"/>
      <c r="AJ346" s="179"/>
      <c r="AK346" s="179"/>
      <c r="AL346" s="179"/>
      <c r="AM346" s="179"/>
      <c r="AN346" s="179"/>
      <c r="AO346" s="179"/>
      <c r="AP346" s="179"/>
      <c r="AQ346" s="179"/>
      <c r="AR346" s="179"/>
      <c r="AS346" s="179"/>
      <c r="AT346" s="179"/>
      <c r="AU346" s="179"/>
      <c r="AV346" s="179"/>
      <c r="AW346" s="179"/>
      <c r="AX346" s="179"/>
      <c r="AY346" s="179"/>
      <c r="AZ346" s="179"/>
      <c r="BA346" s="179"/>
      <c r="BB346" s="179"/>
      <c r="BC346" s="179"/>
      <c r="BD346" s="179"/>
      <c r="BE346" s="179"/>
      <c r="BF346" s="179"/>
      <c r="BG346" s="179"/>
      <c r="BH346" s="179"/>
      <c r="BI346" s="179"/>
      <c r="BJ346" s="179"/>
      <c r="BK346" s="179"/>
      <c r="BL346" s="179"/>
      <c r="BM346" s="179"/>
      <c r="BN346" s="179"/>
      <c r="BO346" s="179"/>
      <c r="BP346" s="179"/>
      <c r="BQ346" s="179"/>
      <c r="BR346" s="179"/>
      <c r="BS346" s="179"/>
      <c r="BT346" s="179"/>
      <c r="BU346" s="179"/>
      <c r="BV346" s="179"/>
      <c r="BW346" s="179"/>
      <c r="BX346" s="179"/>
      <c r="BY346" s="179"/>
      <c r="BZ346" s="179"/>
      <c r="CA346" s="179"/>
      <c r="CB346" s="179"/>
      <c r="CC346" s="179"/>
      <c r="CD346" s="179"/>
      <c r="CE346" s="179"/>
      <c r="CF346" s="179"/>
      <c r="CG346" s="179"/>
      <c r="CH346" s="179"/>
      <c r="CI346" s="179"/>
      <c r="CJ346" s="179"/>
      <c r="CK346" s="179"/>
      <c r="CL346" s="179"/>
      <c r="CM346" s="179"/>
      <c r="CN346" s="179"/>
      <c r="CO346" s="179"/>
      <c r="CP346" s="179"/>
      <c r="CQ346" s="179"/>
      <c r="CR346" s="179"/>
      <c r="CS346" s="179"/>
      <c r="CT346" s="179"/>
      <c r="CU346" s="179"/>
      <c r="CV346" s="179"/>
      <c r="CW346" s="179"/>
    </row>
    <row r="347" spans="1:101" x14ac:dyDescent="0.2">
      <c r="A347" s="32" t="str">
        <f t="shared" ca="1" si="5"/>
        <v>2026-03-08</v>
      </c>
      <c r="B347" s="179">
        <f ca="1">IF(ISNUMBER(MATCH(DATEVALUE($A347),'changes1_based on steps'!B$1:B$400,0)),B$2,)</f>
        <v>0</v>
      </c>
      <c r="C347" s="179">
        <f ca="1">IF(ISNUMBER(MATCH(DATEVALUE($A347),'changes1_based on steps'!C$1:C$400,0)),C$2,)</f>
        <v>0</v>
      </c>
      <c r="D347" s="179">
        <f ca="1">IF(ISNUMBER(MATCH(DATEVALUE($A347),'changes1_based on steps'!D$1:D$400,0)),D$2,)</f>
        <v>0</v>
      </c>
      <c r="E347" s="179">
        <f ca="1">IF(ISNUMBER(MATCH(DATEVALUE($A347),'changes1_based on steps'!E$1:E$400,0)),E$2,)</f>
        <v>0</v>
      </c>
      <c r="F347" s="179">
        <f ca="1">IF(ISNUMBER(MATCH(DATEVALUE($A347),'changes1_based on steps'!F$1:F$400,0)),F$2,)</f>
        <v>0</v>
      </c>
      <c r="G347" s="179">
        <f ca="1">IF(ISNUMBER(MATCH(DATEVALUE($A347),'changes1_based on steps'!G$1:G$400,0)),G$2,)</f>
        <v>0</v>
      </c>
      <c r="H347" s="179">
        <f ca="1">IF(ISNUMBER(MATCH(DATEVALUE($A347),'changes1_based on steps'!H$1:H$400,0)),H$2,)</f>
        <v>0</v>
      </c>
      <c r="I347" s="179">
        <f ca="1">IF(ISNUMBER(MATCH(DATEVALUE($A347),'changes1_based on steps'!I$1:I$400,0)),I$2,)</f>
        <v>0</v>
      </c>
      <c r="J347" s="179">
        <f ca="1">IF(ISNUMBER(MATCH(DATEVALUE($A347),'changes1_based on steps'!J$1:J$400,0)),J$2,)</f>
        <v>0</v>
      </c>
      <c r="K347" s="179">
        <f ca="1">IF(ISNUMBER(MATCH(DATEVALUE($A347),'changes1_based on steps'!K$1:K$400,0)),K$2,)</f>
        <v>0</v>
      </c>
      <c r="L347" s="179">
        <f ca="1">IF(ISNUMBER(MATCH(DATEVALUE($A347),'changes1_based on steps'!L$1:L$400,0)),L$2,)</f>
        <v>0</v>
      </c>
      <c r="M347" s="179">
        <f ca="1">IF(ISNUMBER(MATCH(DATEVALUE($A347),'changes1_based on steps'!M$1:M$400,0)),M$2,)</f>
        <v>0</v>
      </c>
      <c r="N347" s="179">
        <f ca="1">IF(ISNUMBER(MATCH(DATEVALUE($A347),'changes1_based on steps'!N$1:N$400,0)),N$2,)</f>
        <v>0</v>
      </c>
      <c r="O347" s="179">
        <f ca="1">IF(ISNUMBER(MATCH(DATEVALUE($A347),'changes1_based on steps'!O$1:O$400,0)),O$2,)</f>
        <v>0</v>
      </c>
      <c r="P347" s="179">
        <f ca="1">IF(ISNUMBER(MATCH(DATEVALUE($A347),'changes1_based on steps'!P$1:P$400,0)),P$2,)</f>
        <v>0</v>
      </c>
      <c r="Q347" s="179">
        <f ca="1">IF(ISNUMBER(MATCH(DATEVALUE($A347),'changes1_based on steps'!Q$1:Q$400,0)),Q$2,)</f>
        <v>0</v>
      </c>
      <c r="R347" s="179">
        <f ca="1">IF(ISNUMBER(MATCH(DATEVALUE($A347),'changes1_based on steps'!R$1:R$400,0)),R$2,)</f>
        <v>0</v>
      </c>
      <c r="S347" s="179">
        <f ca="1">IF(ISNUMBER(MATCH(DATEVALUE($A347),'changes1_based on steps'!S$1:S$400,0)),S$2,)</f>
        <v>0</v>
      </c>
      <c r="T347" s="179">
        <f ca="1">IF(ISNUMBER(MATCH(DATEVALUE($A347),'changes1_based on steps'!T$1:T$400,0)),T$2,)</f>
        <v>0</v>
      </c>
      <c r="U347" s="179">
        <f ca="1">IF(ISNUMBER(MATCH(DATEVALUE($A347),'changes1_based on steps'!U$1:U$400,0)),U$2,)</f>
        <v>0</v>
      </c>
      <c r="V347" s="179"/>
      <c r="W347" s="179"/>
      <c r="X347" s="179"/>
      <c r="Y347" s="179"/>
      <c r="Z347" s="179"/>
      <c r="AA347" s="179"/>
      <c r="AB347" s="179"/>
      <c r="AC347" s="179"/>
      <c r="AD347" s="179"/>
      <c r="AE347" s="179"/>
      <c r="AF347" s="179"/>
      <c r="AG347" s="179"/>
      <c r="AH347" s="179"/>
      <c r="AI347" s="179"/>
      <c r="AJ347" s="179"/>
      <c r="AK347" s="179"/>
      <c r="AL347" s="179"/>
      <c r="AM347" s="179"/>
      <c r="AN347" s="179"/>
      <c r="AO347" s="179"/>
      <c r="AP347" s="179"/>
      <c r="AQ347" s="179"/>
      <c r="AR347" s="179"/>
      <c r="AS347" s="179"/>
      <c r="AT347" s="179"/>
      <c r="AU347" s="179"/>
      <c r="AV347" s="179"/>
      <c r="AW347" s="179"/>
      <c r="AX347" s="179"/>
      <c r="AY347" s="179"/>
      <c r="AZ347" s="179"/>
      <c r="BA347" s="179"/>
      <c r="BB347" s="179"/>
      <c r="BC347" s="179"/>
      <c r="BD347" s="179"/>
      <c r="BE347" s="179"/>
      <c r="BF347" s="179"/>
      <c r="BG347" s="179"/>
      <c r="BH347" s="179"/>
      <c r="BI347" s="179"/>
      <c r="BJ347" s="179"/>
      <c r="BK347" s="179"/>
      <c r="BL347" s="179"/>
      <c r="BM347" s="179"/>
      <c r="BN347" s="179"/>
      <c r="BO347" s="179"/>
      <c r="BP347" s="179"/>
      <c r="BQ347" s="179"/>
      <c r="BR347" s="179"/>
      <c r="BS347" s="179"/>
      <c r="BT347" s="179"/>
      <c r="BU347" s="179"/>
      <c r="BV347" s="179"/>
      <c r="BW347" s="179"/>
      <c r="BX347" s="179"/>
      <c r="BY347" s="179"/>
      <c r="BZ347" s="179"/>
      <c r="CA347" s="179"/>
      <c r="CB347" s="179"/>
      <c r="CC347" s="179"/>
      <c r="CD347" s="179"/>
      <c r="CE347" s="179"/>
      <c r="CF347" s="179"/>
      <c r="CG347" s="179"/>
      <c r="CH347" s="179"/>
      <c r="CI347" s="179"/>
      <c r="CJ347" s="179"/>
      <c r="CK347" s="179"/>
      <c r="CL347" s="179"/>
      <c r="CM347" s="179"/>
      <c r="CN347" s="179"/>
      <c r="CO347" s="179"/>
      <c r="CP347" s="179"/>
      <c r="CQ347" s="179"/>
      <c r="CR347" s="179"/>
      <c r="CS347" s="179"/>
      <c r="CT347" s="179"/>
      <c r="CU347" s="179"/>
      <c r="CV347" s="179"/>
      <c r="CW347" s="179"/>
    </row>
    <row r="348" spans="1:101" x14ac:dyDescent="0.2">
      <c r="A348" s="32" t="str">
        <f t="shared" ca="1" si="5"/>
        <v>2026-03-09</v>
      </c>
      <c r="B348" s="179">
        <f ca="1">IF(ISNUMBER(MATCH(DATEVALUE($A348),'changes1_based on steps'!B$1:B$400,0)),B$2,)</f>
        <v>0</v>
      </c>
      <c r="C348" s="179">
        <f ca="1">IF(ISNUMBER(MATCH(DATEVALUE($A348),'changes1_based on steps'!C$1:C$400,0)),C$2,)</f>
        <v>0</v>
      </c>
      <c r="D348" s="179">
        <f ca="1">IF(ISNUMBER(MATCH(DATEVALUE($A348),'changes1_based on steps'!D$1:D$400,0)),D$2,)</f>
        <v>0</v>
      </c>
      <c r="E348" s="179">
        <f ca="1">IF(ISNUMBER(MATCH(DATEVALUE($A348),'changes1_based on steps'!E$1:E$400,0)),E$2,)</f>
        <v>0</v>
      </c>
      <c r="F348" s="179">
        <f ca="1">IF(ISNUMBER(MATCH(DATEVALUE($A348),'changes1_based on steps'!F$1:F$400,0)),F$2,)</f>
        <v>0</v>
      </c>
      <c r="G348" s="179">
        <f ca="1">IF(ISNUMBER(MATCH(DATEVALUE($A348),'changes1_based on steps'!G$1:G$400,0)),G$2,)</f>
        <v>0</v>
      </c>
      <c r="H348" s="179">
        <f ca="1">IF(ISNUMBER(MATCH(DATEVALUE($A348),'changes1_based on steps'!H$1:H$400,0)),H$2,)</f>
        <v>0</v>
      </c>
      <c r="I348" s="179">
        <f ca="1">IF(ISNUMBER(MATCH(DATEVALUE($A348),'changes1_based on steps'!I$1:I$400,0)),I$2,)</f>
        <v>0</v>
      </c>
      <c r="J348" s="179">
        <f ca="1">IF(ISNUMBER(MATCH(DATEVALUE($A348),'changes1_based on steps'!J$1:J$400,0)),J$2,)</f>
        <v>0</v>
      </c>
      <c r="K348" s="179">
        <f ca="1">IF(ISNUMBER(MATCH(DATEVALUE($A348),'changes1_based on steps'!K$1:K$400,0)),K$2,)</f>
        <v>0</v>
      </c>
      <c r="L348" s="179">
        <f ca="1">IF(ISNUMBER(MATCH(DATEVALUE($A348),'changes1_based on steps'!L$1:L$400,0)),L$2,)</f>
        <v>0</v>
      </c>
      <c r="M348" s="179">
        <f ca="1">IF(ISNUMBER(MATCH(DATEVALUE($A348),'changes1_based on steps'!M$1:M$400,0)),M$2,)</f>
        <v>0</v>
      </c>
      <c r="N348" s="179">
        <f ca="1">IF(ISNUMBER(MATCH(DATEVALUE($A348),'changes1_based on steps'!N$1:N$400,0)),N$2,)</f>
        <v>0</v>
      </c>
      <c r="O348" s="179">
        <f ca="1">IF(ISNUMBER(MATCH(DATEVALUE($A348),'changes1_based on steps'!O$1:O$400,0)),O$2,)</f>
        <v>0</v>
      </c>
      <c r="P348" s="179">
        <f ca="1">IF(ISNUMBER(MATCH(DATEVALUE($A348),'changes1_based on steps'!P$1:P$400,0)),P$2,)</f>
        <v>0</v>
      </c>
      <c r="Q348" s="179">
        <f ca="1">IF(ISNUMBER(MATCH(DATEVALUE($A348),'changes1_based on steps'!Q$1:Q$400,0)),Q$2,)</f>
        <v>0</v>
      </c>
      <c r="R348" s="179">
        <f ca="1">IF(ISNUMBER(MATCH(DATEVALUE($A348),'changes1_based on steps'!R$1:R$400,0)),R$2,)</f>
        <v>0</v>
      </c>
      <c r="S348" s="179">
        <f ca="1">IF(ISNUMBER(MATCH(DATEVALUE($A348),'changes1_based on steps'!S$1:S$400,0)),S$2,)</f>
        <v>0</v>
      </c>
      <c r="T348" s="179">
        <f ca="1">IF(ISNUMBER(MATCH(DATEVALUE($A348),'changes1_based on steps'!T$1:T$400,0)),T$2,)</f>
        <v>0</v>
      </c>
      <c r="U348" s="179">
        <f ca="1">IF(ISNUMBER(MATCH(DATEVALUE($A348),'changes1_based on steps'!U$1:U$400,0)),U$2,)</f>
        <v>0</v>
      </c>
      <c r="V348" s="179"/>
      <c r="W348" s="179"/>
      <c r="X348" s="179"/>
      <c r="Y348" s="179"/>
      <c r="Z348" s="179"/>
      <c r="AA348" s="179"/>
      <c r="AB348" s="179"/>
      <c r="AC348" s="179"/>
      <c r="AD348" s="179"/>
      <c r="AE348" s="179"/>
      <c r="AF348" s="179"/>
      <c r="AG348" s="179"/>
      <c r="AH348" s="179"/>
      <c r="AI348" s="179"/>
      <c r="AJ348" s="179"/>
      <c r="AK348" s="179"/>
      <c r="AL348" s="179"/>
      <c r="AM348" s="179"/>
      <c r="AN348" s="179"/>
      <c r="AO348" s="179"/>
      <c r="AP348" s="179"/>
      <c r="AQ348" s="179"/>
      <c r="AR348" s="179"/>
      <c r="AS348" s="179"/>
      <c r="AT348" s="179"/>
      <c r="AU348" s="179"/>
      <c r="AV348" s="179"/>
      <c r="AW348" s="179"/>
      <c r="AX348" s="179"/>
      <c r="AY348" s="179"/>
      <c r="AZ348" s="179"/>
      <c r="BA348" s="179"/>
      <c r="BB348" s="179"/>
      <c r="BC348" s="179"/>
      <c r="BD348" s="179"/>
      <c r="BE348" s="179"/>
      <c r="BF348" s="179"/>
      <c r="BG348" s="179"/>
      <c r="BH348" s="179"/>
      <c r="BI348" s="179"/>
      <c r="BJ348" s="179"/>
      <c r="BK348" s="179"/>
      <c r="BL348" s="179"/>
      <c r="BM348" s="179"/>
      <c r="BN348" s="179"/>
      <c r="BO348" s="179"/>
      <c r="BP348" s="179"/>
      <c r="BQ348" s="179"/>
      <c r="BR348" s="179"/>
      <c r="BS348" s="179"/>
      <c r="BT348" s="179"/>
      <c r="BU348" s="179"/>
      <c r="BV348" s="179"/>
      <c r="BW348" s="179"/>
      <c r="BX348" s="179"/>
      <c r="BY348" s="179"/>
      <c r="BZ348" s="179"/>
      <c r="CA348" s="179"/>
      <c r="CB348" s="179"/>
      <c r="CC348" s="179"/>
      <c r="CD348" s="179"/>
      <c r="CE348" s="179"/>
      <c r="CF348" s="179"/>
      <c r="CG348" s="179"/>
      <c r="CH348" s="179"/>
      <c r="CI348" s="179"/>
      <c r="CJ348" s="179"/>
      <c r="CK348" s="179"/>
      <c r="CL348" s="179"/>
      <c r="CM348" s="179"/>
      <c r="CN348" s="179"/>
      <c r="CO348" s="179"/>
      <c r="CP348" s="179"/>
      <c r="CQ348" s="179"/>
      <c r="CR348" s="179"/>
      <c r="CS348" s="179"/>
      <c r="CT348" s="179"/>
      <c r="CU348" s="179"/>
      <c r="CV348" s="179"/>
      <c r="CW348" s="179"/>
    </row>
    <row r="349" spans="1:101" x14ac:dyDescent="0.2">
      <c r="A349" s="32" t="str">
        <f t="shared" ca="1" si="5"/>
        <v>2026-03-10</v>
      </c>
      <c r="B349" s="179">
        <f ca="1">IF(ISNUMBER(MATCH(DATEVALUE($A349),'changes1_based on steps'!B$1:B$400,0)),B$2,)</f>
        <v>0</v>
      </c>
      <c r="C349" s="179">
        <f ca="1">IF(ISNUMBER(MATCH(DATEVALUE($A349),'changes1_based on steps'!C$1:C$400,0)),C$2,)</f>
        <v>0</v>
      </c>
      <c r="D349" s="179">
        <f ca="1">IF(ISNUMBER(MATCH(DATEVALUE($A349),'changes1_based on steps'!D$1:D$400,0)),D$2,)</f>
        <v>0</v>
      </c>
      <c r="E349" s="179">
        <f ca="1">IF(ISNUMBER(MATCH(DATEVALUE($A349),'changes1_based on steps'!E$1:E$400,0)),E$2,)</f>
        <v>0</v>
      </c>
      <c r="F349" s="179">
        <f ca="1">IF(ISNUMBER(MATCH(DATEVALUE($A349),'changes1_based on steps'!F$1:F$400,0)),F$2,)</f>
        <v>0</v>
      </c>
      <c r="G349" s="179">
        <f ca="1">IF(ISNUMBER(MATCH(DATEVALUE($A349),'changes1_based on steps'!G$1:G$400,0)),G$2,)</f>
        <v>0</v>
      </c>
      <c r="H349" s="179">
        <f ca="1">IF(ISNUMBER(MATCH(DATEVALUE($A349),'changes1_based on steps'!H$1:H$400,0)),H$2,)</f>
        <v>0</v>
      </c>
      <c r="I349" s="179">
        <f ca="1">IF(ISNUMBER(MATCH(DATEVALUE($A349),'changes1_based on steps'!I$1:I$400,0)),I$2,)</f>
        <v>0</v>
      </c>
      <c r="J349" s="179">
        <f ca="1">IF(ISNUMBER(MATCH(DATEVALUE($A349),'changes1_based on steps'!J$1:J$400,0)),J$2,)</f>
        <v>0</v>
      </c>
      <c r="K349" s="179">
        <f ca="1">IF(ISNUMBER(MATCH(DATEVALUE($A349),'changes1_based on steps'!K$1:K$400,0)),K$2,)</f>
        <v>0</v>
      </c>
      <c r="L349" s="179">
        <f ca="1">IF(ISNUMBER(MATCH(DATEVALUE($A349),'changes1_based on steps'!L$1:L$400,0)),L$2,)</f>
        <v>0</v>
      </c>
      <c r="M349" s="179">
        <f ca="1">IF(ISNUMBER(MATCH(DATEVALUE($A349),'changes1_based on steps'!M$1:M$400,0)),M$2,)</f>
        <v>0</v>
      </c>
      <c r="N349" s="179">
        <f ca="1">IF(ISNUMBER(MATCH(DATEVALUE($A349),'changes1_based on steps'!N$1:N$400,0)),N$2,)</f>
        <v>0</v>
      </c>
      <c r="O349" s="179">
        <f ca="1">IF(ISNUMBER(MATCH(DATEVALUE($A349),'changes1_based on steps'!O$1:O$400,0)),O$2,)</f>
        <v>0</v>
      </c>
      <c r="P349" s="179">
        <f ca="1">IF(ISNUMBER(MATCH(DATEVALUE($A349),'changes1_based on steps'!P$1:P$400,0)),P$2,)</f>
        <v>0</v>
      </c>
      <c r="Q349" s="179">
        <f ca="1">IF(ISNUMBER(MATCH(DATEVALUE($A349),'changes1_based on steps'!Q$1:Q$400,0)),Q$2,)</f>
        <v>0</v>
      </c>
      <c r="R349" s="179">
        <f ca="1">IF(ISNUMBER(MATCH(DATEVALUE($A349),'changes1_based on steps'!R$1:R$400,0)),R$2,)</f>
        <v>0</v>
      </c>
      <c r="S349" s="179">
        <f ca="1">IF(ISNUMBER(MATCH(DATEVALUE($A349),'changes1_based on steps'!S$1:S$400,0)),S$2,)</f>
        <v>0</v>
      </c>
      <c r="T349" s="179">
        <f ca="1">IF(ISNUMBER(MATCH(DATEVALUE($A349),'changes1_based on steps'!T$1:T$400,0)),T$2,)</f>
        <v>0</v>
      </c>
      <c r="U349" s="179">
        <f ca="1">IF(ISNUMBER(MATCH(DATEVALUE($A349),'changes1_based on steps'!U$1:U$400,0)),U$2,)</f>
        <v>0</v>
      </c>
      <c r="V349" s="179"/>
      <c r="W349" s="179"/>
      <c r="X349" s="179"/>
      <c r="Y349" s="179"/>
      <c r="Z349" s="179"/>
      <c r="AA349" s="179"/>
      <c r="AB349" s="179"/>
      <c r="AC349" s="179"/>
      <c r="AD349" s="179"/>
      <c r="AE349" s="179"/>
      <c r="AF349" s="179"/>
      <c r="AG349" s="179"/>
      <c r="AH349" s="179"/>
      <c r="AI349" s="179"/>
      <c r="AJ349" s="179"/>
      <c r="AK349" s="179"/>
      <c r="AL349" s="179"/>
      <c r="AM349" s="179"/>
      <c r="AN349" s="179"/>
      <c r="AO349" s="179"/>
      <c r="AP349" s="179"/>
      <c r="AQ349" s="179"/>
      <c r="AR349" s="179"/>
      <c r="AS349" s="179"/>
      <c r="AT349" s="179"/>
      <c r="AU349" s="179"/>
      <c r="AV349" s="179"/>
      <c r="AW349" s="179"/>
      <c r="AX349" s="179"/>
      <c r="AY349" s="179"/>
      <c r="AZ349" s="179"/>
      <c r="BA349" s="179"/>
      <c r="BB349" s="179"/>
      <c r="BC349" s="179"/>
      <c r="BD349" s="179"/>
      <c r="BE349" s="179"/>
      <c r="BF349" s="179"/>
      <c r="BG349" s="179"/>
      <c r="BH349" s="179"/>
      <c r="BI349" s="179"/>
      <c r="BJ349" s="179"/>
      <c r="BK349" s="179"/>
      <c r="BL349" s="179"/>
      <c r="BM349" s="179"/>
      <c r="BN349" s="179"/>
      <c r="BO349" s="179"/>
      <c r="BP349" s="179"/>
      <c r="BQ349" s="179"/>
      <c r="BR349" s="179"/>
      <c r="BS349" s="179"/>
      <c r="BT349" s="179"/>
      <c r="BU349" s="179"/>
      <c r="BV349" s="179"/>
      <c r="BW349" s="179"/>
      <c r="BX349" s="179"/>
      <c r="BY349" s="179"/>
      <c r="BZ349" s="179"/>
      <c r="CA349" s="179"/>
      <c r="CB349" s="179"/>
      <c r="CC349" s="179"/>
      <c r="CD349" s="179"/>
      <c r="CE349" s="179"/>
      <c r="CF349" s="179"/>
      <c r="CG349" s="179"/>
      <c r="CH349" s="179"/>
      <c r="CI349" s="179"/>
      <c r="CJ349" s="179"/>
      <c r="CK349" s="179"/>
      <c r="CL349" s="179"/>
      <c r="CM349" s="179"/>
      <c r="CN349" s="179"/>
      <c r="CO349" s="179"/>
      <c r="CP349" s="179"/>
      <c r="CQ349" s="179"/>
      <c r="CR349" s="179"/>
      <c r="CS349" s="179"/>
      <c r="CT349" s="179"/>
      <c r="CU349" s="179"/>
      <c r="CV349" s="179"/>
      <c r="CW349" s="179"/>
    </row>
    <row r="350" spans="1:101" x14ac:dyDescent="0.2">
      <c r="A350" s="32" t="str">
        <f t="shared" ca="1" si="5"/>
        <v>2026-03-11</v>
      </c>
      <c r="B350" s="179">
        <f ca="1">IF(ISNUMBER(MATCH(DATEVALUE($A350),'changes1_based on steps'!B$1:B$400,0)),B$2,)</f>
        <v>0</v>
      </c>
      <c r="C350" s="179">
        <f ca="1">IF(ISNUMBER(MATCH(DATEVALUE($A350),'changes1_based on steps'!C$1:C$400,0)),C$2,)</f>
        <v>0</v>
      </c>
      <c r="D350" s="179">
        <f ca="1">IF(ISNUMBER(MATCH(DATEVALUE($A350),'changes1_based on steps'!D$1:D$400,0)),D$2,)</f>
        <v>0</v>
      </c>
      <c r="E350" s="179">
        <f ca="1">IF(ISNUMBER(MATCH(DATEVALUE($A350),'changes1_based on steps'!E$1:E$400,0)),E$2,)</f>
        <v>0</v>
      </c>
      <c r="F350" s="179">
        <f ca="1">IF(ISNUMBER(MATCH(DATEVALUE($A350),'changes1_based on steps'!F$1:F$400,0)),F$2,)</f>
        <v>0</v>
      </c>
      <c r="G350" s="179">
        <f ca="1">IF(ISNUMBER(MATCH(DATEVALUE($A350),'changes1_based on steps'!G$1:G$400,0)),G$2,)</f>
        <v>0</v>
      </c>
      <c r="H350" s="179">
        <f ca="1">IF(ISNUMBER(MATCH(DATEVALUE($A350),'changes1_based on steps'!H$1:H$400,0)),H$2,)</f>
        <v>0</v>
      </c>
      <c r="I350" s="179">
        <f ca="1">IF(ISNUMBER(MATCH(DATEVALUE($A350),'changes1_based on steps'!I$1:I$400,0)),I$2,)</f>
        <v>0</v>
      </c>
      <c r="J350" s="179">
        <f ca="1">IF(ISNUMBER(MATCH(DATEVALUE($A350),'changes1_based on steps'!J$1:J$400,0)),J$2,)</f>
        <v>0</v>
      </c>
      <c r="K350" s="179">
        <f ca="1">IF(ISNUMBER(MATCH(DATEVALUE($A350),'changes1_based on steps'!K$1:K$400,0)),K$2,)</f>
        <v>0</v>
      </c>
      <c r="L350" s="179">
        <f ca="1">IF(ISNUMBER(MATCH(DATEVALUE($A350),'changes1_based on steps'!L$1:L$400,0)),L$2,)</f>
        <v>0</v>
      </c>
      <c r="M350" s="179">
        <f ca="1">IF(ISNUMBER(MATCH(DATEVALUE($A350),'changes1_based on steps'!M$1:M$400,0)),M$2,)</f>
        <v>0</v>
      </c>
      <c r="N350" s="179">
        <f ca="1">IF(ISNUMBER(MATCH(DATEVALUE($A350),'changes1_based on steps'!N$1:N$400,0)),N$2,)</f>
        <v>0</v>
      </c>
      <c r="O350" s="179">
        <f ca="1">IF(ISNUMBER(MATCH(DATEVALUE($A350),'changes1_based on steps'!O$1:O$400,0)),O$2,)</f>
        <v>0</v>
      </c>
      <c r="P350" s="179">
        <f ca="1">IF(ISNUMBER(MATCH(DATEVALUE($A350),'changes1_based on steps'!P$1:P$400,0)),P$2,)</f>
        <v>0</v>
      </c>
      <c r="Q350" s="179">
        <f ca="1">IF(ISNUMBER(MATCH(DATEVALUE($A350),'changes1_based on steps'!Q$1:Q$400,0)),Q$2,)</f>
        <v>0</v>
      </c>
      <c r="R350" s="179">
        <f ca="1">IF(ISNUMBER(MATCH(DATEVALUE($A350),'changes1_based on steps'!R$1:R$400,0)),R$2,)</f>
        <v>0</v>
      </c>
      <c r="S350" s="179">
        <f ca="1">IF(ISNUMBER(MATCH(DATEVALUE($A350),'changes1_based on steps'!S$1:S$400,0)),S$2,)</f>
        <v>0</v>
      </c>
      <c r="T350" s="179">
        <f ca="1">IF(ISNUMBER(MATCH(DATEVALUE($A350),'changes1_based on steps'!T$1:T$400,0)),T$2,)</f>
        <v>0</v>
      </c>
      <c r="U350" s="179">
        <f ca="1">IF(ISNUMBER(MATCH(DATEVALUE($A350),'changes1_based on steps'!U$1:U$400,0)),U$2,)</f>
        <v>0</v>
      </c>
      <c r="V350" s="179"/>
      <c r="W350" s="179"/>
      <c r="X350" s="179"/>
      <c r="Y350" s="179"/>
      <c r="Z350" s="179"/>
      <c r="AA350" s="179"/>
      <c r="AB350" s="179"/>
      <c r="AC350" s="179"/>
      <c r="AD350" s="179"/>
      <c r="AE350" s="179"/>
      <c r="AF350" s="179"/>
      <c r="AG350" s="179"/>
      <c r="AH350" s="179"/>
      <c r="AI350" s="179"/>
      <c r="AJ350" s="179"/>
      <c r="AK350" s="179"/>
      <c r="AL350" s="179"/>
      <c r="AM350" s="179"/>
      <c r="AN350" s="179"/>
      <c r="AO350" s="179"/>
      <c r="AP350" s="179"/>
      <c r="AQ350" s="179"/>
      <c r="AR350" s="179"/>
      <c r="AS350" s="179"/>
      <c r="AT350" s="179"/>
      <c r="AU350" s="179"/>
      <c r="AV350" s="179"/>
      <c r="AW350" s="179"/>
      <c r="AX350" s="179"/>
      <c r="AY350" s="179"/>
      <c r="AZ350" s="179"/>
      <c r="BA350" s="179"/>
      <c r="BB350" s="179"/>
      <c r="BC350" s="179"/>
      <c r="BD350" s="179"/>
      <c r="BE350" s="179"/>
      <c r="BF350" s="179"/>
      <c r="BG350" s="179"/>
      <c r="BH350" s="179"/>
      <c r="BI350" s="179"/>
      <c r="BJ350" s="179"/>
      <c r="BK350" s="179"/>
      <c r="BL350" s="179"/>
      <c r="BM350" s="179"/>
      <c r="BN350" s="179"/>
      <c r="BO350" s="179"/>
      <c r="BP350" s="179"/>
      <c r="BQ350" s="179"/>
      <c r="BR350" s="179"/>
      <c r="BS350" s="179"/>
      <c r="BT350" s="179"/>
      <c r="BU350" s="179"/>
      <c r="BV350" s="179"/>
      <c r="BW350" s="179"/>
      <c r="BX350" s="179"/>
      <c r="BY350" s="179"/>
      <c r="BZ350" s="179"/>
      <c r="CA350" s="179"/>
      <c r="CB350" s="179"/>
      <c r="CC350" s="179"/>
      <c r="CD350" s="179"/>
      <c r="CE350" s="179"/>
      <c r="CF350" s="179"/>
      <c r="CG350" s="179"/>
      <c r="CH350" s="179"/>
      <c r="CI350" s="179"/>
      <c r="CJ350" s="179"/>
      <c r="CK350" s="179"/>
      <c r="CL350" s="179"/>
      <c r="CM350" s="179"/>
      <c r="CN350" s="179"/>
      <c r="CO350" s="179"/>
      <c r="CP350" s="179"/>
      <c r="CQ350" s="179"/>
      <c r="CR350" s="179"/>
      <c r="CS350" s="179"/>
      <c r="CT350" s="179"/>
      <c r="CU350" s="179"/>
      <c r="CV350" s="179"/>
      <c r="CW350" s="179"/>
    </row>
    <row r="351" spans="1:101" x14ac:dyDescent="0.2">
      <c r="A351" s="32" t="str">
        <f t="shared" ca="1" si="5"/>
        <v>2026-03-12</v>
      </c>
      <c r="B351" s="179">
        <f ca="1">IF(ISNUMBER(MATCH(DATEVALUE($A351),'changes1_based on steps'!B$1:B$400,0)),B$2,)</f>
        <v>0</v>
      </c>
      <c r="C351" s="179">
        <f ca="1">IF(ISNUMBER(MATCH(DATEVALUE($A351),'changes1_based on steps'!C$1:C$400,0)),C$2,)</f>
        <v>0</v>
      </c>
      <c r="D351" s="179">
        <f ca="1">IF(ISNUMBER(MATCH(DATEVALUE($A351),'changes1_based on steps'!D$1:D$400,0)),D$2,)</f>
        <v>0</v>
      </c>
      <c r="E351" s="179">
        <f ca="1">IF(ISNUMBER(MATCH(DATEVALUE($A351),'changes1_based on steps'!E$1:E$400,0)),E$2,)</f>
        <v>0</v>
      </c>
      <c r="F351" s="179">
        <f ca="1">IF(ISNUMBER(MATCH(DATEVALUE($A351),'changes1_based on steps'!F$1:F$400,0)),F$2,)</f>
        <v>0</v>
      </c>
      <c r="G351" s="179">
        <f ca="1">IF(ISNUMBER(MATCH(DATEVALUE($A351),'changes1_based on steps'!G$1:G$400,0)),G$2,)</f>
        <v>0</v>
      </c>
      <c r="H351" s="179">
        <f ca="1">IF(ISNUMBER(MATCH(DATEVALUE($A351),'changes1_based on steps'!H$1:H$400,0)),H$2,)</f>
        <v>0</v>
      </c>
      <c r="I351" s="179">
        <f ca="1">IF(ISNUMBER(MATCH(DATEVALUE($A351),'changes1_based on steps'!I$1:I$400,0)),I$2,)</f>
        <v>0</v>
      </c>
      <c r="J351" s="179">
        <f ca="1">IF(ISNUMBER(MATCH(DATEVALUE($A351),'changes1_based on steps'!J$1:J$400,0)),J$2,)</f>
        <v>0</v>
      </c>
      <c r="K351" s="179">
        <f ca="1">IF(ISNUMBER(MATCH(DATEVALUE($A351),'changes1_based on steps'!K$1:K$400,0)),K$2,)</f>
        <v>0</v>
      </c>
      <c r="L351" s="179">
        <f ca="1">IF(ISNUMBER(MATCH(DATEVALUE($A351),'changes1_based on steps'!L$1:L$400,0)),L$2,)</f>
        <v>0</v>
      </c>
      <c r="M351" s="179">
        <f ca="1">IF(ISNUMBER(MATCH(DATEVALUE($A351),'changes1_based on steps'!M$1:M$400,0)),M$2,)</f>
        <v>0</v>
      </c>
      <c r="N351" s="179">
        <f ca="1">IF(ISNUMBER(MATCH(DATEVALUE($A351),'changes1_based on steps'!N$1:N$400,0)),N$2,)</f>
        <v>0</v>
      </c>
      <c r="O351" s="179">
        <f ca="1">IF(ISNUMBER(MATCH(DATEVALUE($A351),'changes1_based on steps'!O$1:O$400,0)),O$2,)</f>
        <v>0</v>
      </c>
      <c r="P351" s="179">
        <f ca="1">IF(ISNUMBER(MATCH(DATEVALUE($A351),'changes1_based on steps'!P$1:P$400,0)),P$2,)</f>
        <v>0</v>
      </c>
      <c r="Q351" s="179">
        <f ca="1">IF(ISNUMBER(MATCH(DATEVALUE($A351),'changes1_based on steps'!Q$1:Q$400,0)),Q$2,)</f>
        <v>0</v>
      </c>
      <c r="R351" s="179">
        <f ca="1">IF(ISNUMBER(MATCH(DATEVALUE($A351),'changes1_based on steps'!R$1:R$400,0)),R$2,)</f>
        <v>0</v>
      </c>
      <c r="S351" s="179">
        <f ca="1">IF(ISNUMBER(MATCH(DATEVALUE($A351),'changes1_based on steps'!S$1:S$400,0)),S$2,)</f>
        <v>0</v>
      </c>
      <c r="T351" s="179">
        <f ca="1">IF(ISNUMBER(MATCH(DATEVALUE($A351),'changes1_based on steps'!T$1:T$400,0)),T$2,)</f>
        <v>0</v>
      </c>
      <c r="U351" s="179">
        <f ca="1">IF(ISNUMBER(MATCH(DATEVALUE($A351),'changes1_based on steps'!U$1:U$400,0)),U$2,)</f>
        <v>0</v>
      </c>
      <c r="V351" s="179"/>
      <c r="W351" s="179"/>
      <c r="X351" s="179"/>
      <c r="Y351" s="179"/>
      <c r="Z351" s="179"/>
      <c r="AA351" s="179"/>
      <c r="AB351" s="179"/>
      <c r="AC351" s="179"/>
      <c r="AD351" s="179"/>
      <c r="AE351" s="179"/>
      <c r="AF351" s="179"/>
      <c r="AG351" s="179"/>
      <c r="AH351" s="179"/>
      <c r="AI351" s="179"/>
      <c r="AJ351" s="179"/>
      <c r="AK351" s="179"/>
      <c r="AL351" s="179"/>
      <c r="AM351" s="179"/>
      <c r="AN351" s="179"/>
      <c r="AO351" s="179"/>
      <c r="AP351" s="179"/>
      <c r="AQ351" s="179"/>
      <c r="AR351" s="179"/>
      <c r="AS351" s="179"/>
      <c r="AT351" s="179"/>
      <c r="AU351" s="179"/>
      <c r="AV351" s="179"/>
      <c r="AW351" s="179"/>
      <c r="AX351" s="179"/>
      <c r="AY351" s="179"/>
      <c r="AZ351" s="179"/>
      <c r="BA351" s="179"/>
      <c r="BB351" s="179"/>
      <c r="BC351" s="179"/>
      <c r="BD351" s="179"/>
      <c r="BE351" s="179"/>
      <c r="BF351" s="179"/>
      <c r="BG351" s="179"/>
      <c r="BH351" s="179"/>
      <c r="BI351" s="179"/>
      <c r="BJ351" s="179"/>
      <c r="BK351" s="179"/>
      <c r="BL351" s="179"/>
      <c r="BM351" s="179"/>
      <c r="BN351" s="179"/>
      <c r="BO351" s="179"/>
      <c r="BP351" s="179"/>
      <c r="BQ351" s="179"/>
      <c r="BR351" s="179"/>
      <c r="BS351" s="179"/>
      <c r="BT351" s="179"/>
      <c r="BU351" s="179"/>
      <c r="BV351" s="179"/>
      <c r="BW351" s="179"/>
      <c r="BX351" s="179"/>
      <c r="BY351" s="179"/>
      <c r="BZ351" s="179"/>
      <c r="CA351" s="179"/>
      <c r="CB351" s="179"/>
      <c r="CC351" s="179"/>
      <c r="CD351" s="179"/>
      <c r="CE351" s="179"/>
      <c r="CF351" s="179"/>
      <c r="CG351" s="179"/>
      <c r="CH351" s="179"/>
      <c r="CI351" s="179"/>
      <c r="CJ351" s="179"/>
      <c r="CK351" s="179"/>
      <c r="CL351" s="179"/>
      <c r="CM351" s="179"/>
      <c r="CN351" s="179"/>
      <c r="CO351" s="179"/>
      <c r="CP351" s="179"/>
      <c r="CQ351" s="179"/>
      <c r="CR351" s="179"/>
      <c r="CS351" s="179"/>
      <c r="CT351" s="179"/>
      <c r="CU351" s="179"/>
      <c r="CV351" s="179"/>
      <c r="CW351" s="179"/>
    </row>
    <row r="352" spans="1:101" x14ac:dyDescent="0.2">
      <c r="A352" s="32" t="str">
        <f t="shared" ca="1" si="5"/>
        <v>2026-03-13</v>
      </c>
      <c r="B352" s="179">
        <f ca="1">IF(ISNUMBER(MATCH(DATEVALUE($A352),'changes1_based on steps'!B$1:B$400,0)),B$2,)</f>
        <v>0</v>
      </c>
      <c r="C352" s="179">
        <f ca="1">IF(ISNUMBER(MATCH(DATEVALUE($A352),'changes1_based on steps'!C$1:C$400,0)),C$2,)</f>
        <v>0</v>
      </c>
      <c r="D352" s="179">
        <f ca="1">IF(ISNUMBER(MATCH(DATEVALUE($A352),'changes1_based on steps'!D$1:D$400,0)),D$2,)</f>
        <v>0</v>
      </c>
      <c r="E352" s="179">
        <f ca="1">IF(ISNUMBER(MATCH(DATEVALUE($A352),'changes1_based on steps'!E$1:E$400,0)),E$2,)</f>
        <v>0</v>
      </c>
      <c r="F352" s="179">
        <f ca="1">IF(ISNUMBER(MATCH(DATEVALUE($A352),'changes1_based on steps'!F$1:F$400,0)),F$2,)</f>
        <v>0</v>
      </c>
      <c r="G352" s="179">
        <f ca="1">IF(ISNUMBER(MATCH(DATEVALUE($A352),'changes1_based on steps'!G$1:G$400,0)),G$2,)</f>
        <v>0</v>
      </c>
      <c r="H352" s="179">
        <f ca="1">IF(ISNUMBER(MATCH(DATEVALUE($A352),'changes1_based on steps'!H$1:H$400,0)),H$2,)</f>
        <v>0</v>
      </c>
      <c r="I352" s="179">
        <f ca="1">IF(ISNUMBER(MATCH(DATEVALUE($A352),'changes1_based on steps'!I$1:I$400,0)),I$2,)</f>
        <v>0</v>
      </c>
      <c r="J352" s="179">
        <f ca="1">IF(ISNUMBER(MATCH(DATEVALUE($A352),'changes1_based on steps'!J$1:J$400,0)),J$2,)</f>
        <v>0</v>
      </c>
      <c r="K352" s="179">
        <f ca="1">IF(ISNUMBER(MATCH(DATEVALUE($A352),'changes1_based on steps'!K$1:K$400,0)),K$2,)</f>
        <v>0</v>
      </c>
      <c r="L352" s="179">
        <f ca="1">IF(ISNUMBER(MATCH(DATEVALUE($A352),'changes1_based on steps'!L$1:L$400,0)),L$2,)</f>
        <v>0</v>
      </c>
      <c r="M352" s="179">
        <f ca="1">IF(ISNUMBER(MATCH(DATEVALUE($A352),'changes1_based on steps'!M$1:M$400,0)),M$2,)</f>
        <v>0</v>
      </c>
      <c r="N352" s="179">
        <f ca="1">IF(ISNUMBER(MATCH(DATEVALUE($A352),'changes1_based on steps'!N$1:N$400,0)),N$2,)</f>
        <v>0</v>
      </c>
      <c r="O352" s="179">
        <f ca="1">IF(ISNUMBER(MATCH(DATEVALUE($A352),'changes1_based on steps'!O$1:O$400,0)),O$2,)</f>
        <v>0</v>
      </c>
      <c r="P352" s="179">
        <f ca="1">IF(ISNUMBER(MATCH(DATEVALUE($A352),'changes1_based on steps'!P$1:P$400,0)),P$2,)</f>
        <v>0</v>
      </c>
      <c r="Q352" s="179">
        <f ca="1">IF(ISNUMBER(MATCH(DATEVALUE($A352),'changes1_based on steps'!Q$1:Q$400,0)),Q$2,)</f>
        <v>0</v>
      </c>
      <c r="R352" s="179">
        <f ca="1">IF(ISNUMBER(MATCH(DATEVALUE($A352),'changes1_based on steps'!R$1:R$400,0)),R$2,)</f>
        <v>0</v>
      </c>
      <c r="S352" s="179">
        <f ca="1">IF(ISNUMBER(MATCH(DATEVALUE($A352),'changes1_based on steps'!S$1:S$400,0)),S$2,)</f>
        <v>0</v>
      </c>
      <c r="T352" s="179">
        <f ca="1">IF(ISNUMBER(MATCH(DATEVALUE($A352),'changes1_based on steps'!T$1:T$400,0)),T$2,)</f>
        <v>0</v>
      </c>
      <c r="U352" s="179">
        <f ca="1">IF(ISNUMBER(MATCH(DATEVALUE($A352),'changes1_based on steps'!U$1:U$400,0)),U$2,)</f>
        <v>0</v>
      </c>
      <c r="V352" s="179"/>
      <c r="W352" s="179"/>
      <c r="X352" s="179"/>
      <c r="Y352" s="179"/>
      <c r="Z352" s="179"/>
      <c r="AA352" s="179"/>
      <c r="AB352" s="179"/>
      <c r="AC352" s="179"/>
      <c r="AD352" s="179"/>
      <c r="AE352" s="179"/>
      <c r="AF352" s="179"/>
      <c r="AG352" s="179"/>
      <c r="AH352" s="179"/>
      <c r="AI352" s="179"/>
      <c r="AJ352" s="179"/>
      <c r="AK352" s="179"/>
      <c r="AL352" s="179"/>
      <c r="AM352" s="179"/>
      <c r="AN352" s="179"/>
      <c r="AO352" s="179"/>
      <c r="AP352" s="179"/>
      <c r="AQ352" s="179"/>
      <c r="AR352" s="179"/>
      <c r="AS352" s="179"/>
      <c r="AT352" s="179"/>
      <c r="AU352" s="179"/>
      <c r="AV352" s="179"/>
      <c r="AW352" s="179"/>
      <c r="AX352" s="179"/>
      <c r="AY352" s="179"/>
      <c r="AZ352" s="179"/>
      <c r="BA352" s="179"/>
      <c r="BB352" s="179"/>
      <c r="BC352" s="179"/>
      <c r="BD352" s="179"/>
      <c r="BE352" s="179"/>
      <c r="BF352" s="179"/>
      <c r="BG352" s="179"/>
      <c r="BH352" s="179"/>
      <c r="BI352" s="179"/>
      <c r="BJ352" s="179"/>
      <c r="BK352" s="179"/>
      <c r="BL352" s="179"/>
      <c r="BM352" s="179"/>
      <c r="BN352" s="179"/>
      <c r="BO352" s="179"/>
      <c r="BP352" s="179"/>
      <c r="BQ352" s="179"/>
      <c r="BR352" s="179"/>
      <c r="BS352" s="179"/>
      <c r="BT352" s="179"/>
      <c r="BU352" s="179"/>
      <c r="BV352" s="179"/>
      <c r="BW352" s="179"/>
      <c r="BX352" s="179"/>
      <c r="BY352" s="179"/>
      <c r="BZ352" s="179"/>
      <c r="CA352" s="179"/>
      <c r="CB352" s="179"/>
      <c r="CC352" s="179"/>
      <c r="CD352" s="179"/>
      <c r="CE352" s="179"/>
      <c r="CF352" s="179"/>
      <c r="CG352" s="179"/>
      <c r="CH352" s="179"/>
      <c r="CI352" s="179"/>
      <c r="CJ352" s="179"/>
      <c r="CK352" s="179"/>
      <c r="CL352" s="179"/>
      <c r="CM352" s="179"/>
      <c r="CN352" s="179"/>
      <c r="CO352" s="179"/>
      <c r="CP352" s="179"/>
      <c r="CQ352" s="179"/>
      <c r="CR352" s="179"/>
      <c r="CS352" s="179"/>
      <c r="CT352" s="179"/>
      <c r="CU352" s="179"/>
      <c r="CV352" s="179"/>
      <c r="CW352" s="179"/>
    </row>
    <row r="353" spans="1:101" x14ac:dyDescent="0.2">
      <c r="A353" s="32" t="str">
        <f t="shared" ca="1" si="5"/>
        <v>2026-03-14</v>
      </c>
      <c r="B353" s="179">
        <f ca="1">IF(ISNUMBER(MATCH(DATEVALUE($A353),'changes1_based on steps'!B$1:B$400,0)),B$2,)</f>
        <v>0</v>
      </c>
      <c r="C353" s="179">
        <f ca="1">IF(ISNUMBER(MATCH(DATEVALUE($A353),'changes1_based on steps'!C$1:C$400,0)),C$2,)</f>
        <v>0</v>
      </c>
      <c r="D353" s="179">
        <f ca="1">IF(ISNUMBER(MATCH(DATEVALUE($A353),'changes1_based on steps'!D$1:D$400,0)),D$2,)</f>
        <v>0</v>
      </c>
      <c r="E353" s="179">
        <f ca="1">IF(ISNUMBER(MATCH(DATEVALUE($A353),'changes1_based on steps'!E$1:E$400,0)),E$2,)</f>
        <v>0</v>
      </c>
      <c r="F353" s="179">
        <f ca="1">IF(ISNUMBER(MATCH(DATEVALUE($A353),'changes1_based on steps'!F$1:F$400,0)),F$2,)</f>
        <v>0</v>
      </c>
      <c r="G353" s="179">
        <f ca="1">IF(ISNUMBER(MATCH(DATEVALUE($A353),'changes1_based on steps'!G$1:G$400,0)),G$2,)</f>
        <v>0</v>
      </c>
      <c r="H353" s="179">
        <f ca="1">IF(ISNUMBER(MATCH(DATEVALUE($A353),'changes1_based on steps'!H$1:H$400,0)),H$2,)</f>
        <v>0</v>
      </c>
      <c r="I353" s="179">
        <f ca="1">IF(ISNUMBER(MATCH(DATEVALUE($A353),'changes1_based on steps'!I$1:I$400,0)),I$2,)</f>
        <v>0</v>
      </c>
      <c r="J353" s="179">
        <f ca="1">IF(ISNUMBER(MATCH(DATEVALUE($A353),'changes1_based on steps'!J$1:J$400,0)),J$2,)</f>
        <v>0</v>
      </c>
      <c r="K353" s="179">
        <f ca="1">IF(ISNUMBER(MATCH(DATEVALUE($A353),'changes1_based on steps'!K$1:K$400,0)),K$2,)</f>
        <v>0</v>
      </c>
      <c r="L353" s="179">
        <f ca="1">IF(ISNUMBER(MATCH(DATEVALUE($A353),'changes1_based on steps'!L$1:L$400,0)),L$2,)</f>
        <v>0</v>
      </c>
      <c r="M353" s="179">
        <f ca="1">IF(ISNUMBER(MATCH(DATEVALUE($A353),'changes1_based on steps'!M$1:M$400,0)),M$2,)</f>
        <v>0</v>
      </c>
      <c r="N353" s="179">
        <f ca="1">IF(ISNUMBER(MATCH(DATEVALUE($A353),'changes1_based on steps'!N$1:N$400,0)),N$2,)</f>
        <v>0</v>
      </c>
      <c r="O353" s="179">
        <f ca="1">IF(ISNUMBER(MATCH(DATEVALUE($A353),'changes1_based on steps'!O$1:O$400,0)),O$2,)</f>
        <v>0</v>
      </c>
      <c r="P353" s="179">
        <f ca="1">IF(ISNUMBER(MATCH(DATEVALUE($A353),'changes1_based on steps'!P$1:P$400,0)),P$2,)</f>
        <v>0</v>
      </c>
      <c r="Q353" s="179">
        <f ca="1">IF(ISNUMBER(MATCH(DATEVALUE($A353),'changes1_based on steps'!Q$1:Q$400,0)),Q$2,)</f>
        <v>0</v>
      </c>
      <c r="R353" s="179">
        <f ca="1">IF(ISNUMBER(MATCH(DATEVALUE($A353),'changes1_based on steps'!R$1:R$400,0)),R$2,)</f>
        <v>0</v>
      </c>
      <c r="S353" s="179">
        <f ca="1">IF(ISNUMBER(MATCH(DATEVALUE($A353),'changes1_based on steps'!S$1:S$400,0)),S$2,)</f>
        <v>0</v>
      </c>
      <c r="T353" s="179">
        <f ca="1">IF(ISNUMBER(MATCH(DATEVALUE($A353),'changes1_based on steps'!T$1:T$400,0)),T$2,)</f>
        <v>0</v>
      </c>
      <c r="U353" s="179">
        <f ca="1">IF(ISNUMBER(MATCH(DATEVALUE($A353),'changes1_based on steps'!U$1:U$400,0)),U$2,)</f>
        <v>0</v>
      </c>
      <c r="V353" s="179"/>
      <c r="W353" s="179"/>
      <c r="X353" s="179"/>
      <c r="Y353" s="179"/>
      <c r="Z353" s="179"/>
      <c r="AA353" s="179"/>
      <c r="AB353" s="179"/>
      <c r="AC353" s="179"/>
      <c r="AD353" s="179"/>
      <c r="AE353" s="179"/>
      <c r="AF353" s="179"/>
      <c r="AG353" s="179"/>
      <c r="AH353" s="179"/>
      <c r="AI353" s="179"/>
      <c r="AJ353" s="179"/>
      <c r="AK353" s="179"/>
      <c r="AL353" s="179"/>
      <c r="AM353" s="179"/>
      <c r="AN353" s="179"/>
      <c r="AO353" s="179"/>
      <c r="AP353" s="179"/>
      <c r="AQ353" s="179"/>
      <c r="AR353" s="179"/>
      <c r="AS353" s="179"/>
      <c r="AT353" s="179"/>
      <c r="AU353" s="179"/>
      <c r="AV353" s="179"/>
      <c r="AW353" s="179"/>
      <c r="AX353" s="179"/>
      <c r="AY353" s="179"/>
      <c r="AZ353" s="179"/>
      <c r="BA353" s="179"/>
      <c r="BB353" s="179"/>
      <c r="BC353" s="179"/>
      <c r="BD353" s="179"/>
      <c r="BE353" s="179"/>
      <c r="BF353" s="179"/>
      <c r="BG353" s="179"/>
      <c r="BH353" s="179"/>
      <c r="BI353" s="179"/>
      <c r="BJ353" s="179"/>
      <c r="BK353" s="179"/>
      <c r="BL353" s="179"/>
      <c r="BM353" s="179"/>
      <c r="BN353" s="179"/>
      <c r="BO353" s="179"/>
      <c r="BP353" s="179"/>
      <c r="BQ353" s="179"/>
      <c r="BR353" s="179"/>
      <c r="BS353" s="179"/>
      <c r="BT353" s="179"/>
      <c r="BU353" s="179"/>
      <c r="BV353" s="179"/>
      <c r="BW353" s="179"/>
      <c r="BX353" s="179"/>
      <c r="BY353" s="179"/>
      <c r="BZ353" s="179"/>
      <c r="CA353" s="179"/>
      <c r="CB353" s="179"/>
      <c r="CC353" s="179"/>
      <c r="CD353" s="179"/>
      <c r="CE353" s="179"/>
      <c r="CF353" s="179"/>
      <c r="CG353" s="179"/>
      <c r="CH353" s="179"/>
      <c r="CI353" s="179"/>
      <c r="CJ353" s="179"/>
      <c r="CK353" s="179"/>
      <c r="CL353" s="179"/>
      <c r="CM353" s="179"/>
      <c r="CN353" s="179"/>
      <c r="CO353" s="179"/>
      <c r="CP353" s="179"/>
      <c r="CQ353" s="179"/>
      <c r="CR353" s="179"/>
      <c r="CS353" s="179"/>
      <c r="CT353" s="179"/>
      <c r="CU353" s="179"/>
      <c r="CV353" s="179"/>
      <c r="CW353" s="179"/>
    </row>
    <row r="354" spans="1:101" x14ac:dyDescent="0.2">
      <c r="A354" s="32" t="str">
        <f t="shared" ca="1" si="5"/>
        <v>2026-03-15</v>
      </c>
      <c r="B354" s="179">
        <f ca="1">IF(ISNUMBER(MATCH(DATEVALUE($A354),'changes1_based on steps'!B$1:B$400,0)),B$2,)</f>
        <v>0</v>
      </c>
      <c r="C354" s="179">
        <f ca="1">IF(ISNUMBER(MATCH(DATEVALUE($A354),'changes1_based on steps'!C$1:C$400,0)),C$2,)</f>
        <v>0</v>
      </c>
      <c r="D354" s="179">
        <f ca="1">IF(ISNUMBER(MATCH(DATEVALUE($A354),'changes1_based on steps'!D$1:D$400,0)),D$2,)</f>
        <v>0</v>
      </c>
      <c r="E354" s="179">
        <f ca="1">IF(ISNUMBER(MATCH(DATEVALUE($A354),'changes1_based on steps'!E$1:E$400,0)),E$2,)</f>
        <v>0</v>
      </c>
      <c r="F354" s="179">
        <f ca="1">IF(ISNUMBER(MATCH(DATEVALUE($A354),'changes1_based on steps'!F$1:F$400,0)),F$2,)</f>
        <v>0</v>
      </c>
      <c r="G354" s="179">
        <f ca="1">IF(ISNUMBER(MATCH(DATEVALUE($A354),'changes1_based on steps'!G$1:G$400,0)),G$2,)</f>
        <v>0</v>
      </c>
      <c r="H354" s="179">
        <f ca="1">IF(ISNUMBER(MATCH(DATEVALUE($A354),'changes1_based on steps'!H$1:H$400,0)),H$2,)</f>
        <v>0</v>
      </c>
      <c r="I354" s="179">
        <f ca="1">IF(ISNUMBER(MATCH(DATEVALUE($A354),'changes1_based on steps'!I$1:I$400,0)),I$2,)</f>
        <v>0</v>
      </c>
      <c r="J354" s="179">
        <f ca="1">IF(ISNUMBER(MATCH(DATEVALUE($A354),'changes1_based on steps'!J$1:J$400,0)),J$2,)</f>
        <v>0</v>
      </c>
      <c r="K354" s="179">
        <f ca="1">IF(ISNUMBER(MATCH(DATEVALUE($A354),'changes1_based on steps'!K$1:K$400,0)),K$2,)</f>
        <v>0</v>
      </c>
      <c r="L354" s="179">
        <f ca="1">IF(ISNUMBER(MATCH(DATEVALUE($A354),'changes1_based on steps'!L$1:L$400,0)),L$2,)</f>
        <v>0</v>
      </c>
      <c r="M354" s="179">
        <f ca="1">IF(ISNUMBER(MATCH(DATEVALUE($A354),'changes1_based on steps'!M$1:M$400,0)),M$2,)</f>
        <v>0</v>
      </c>
      <c r="N354" s="179">
        <f ca="1">IF(ISNUMBER(MATCH(DATEVALUE($A354),'changes1_based on steps'!N$1:N$400,0)),N$2,)</f>
        <v>0</v>
      </c>
      <c r="O354" s="179">
        <f ca="1">IF(ISNUMBER(MATCH(DATEVALUE($A354),'changes1_based on steps'!O$1:O$400,0)),O$2,)</f>
        <v>0</v>
      </c>
      <c r="P354" s="179">
        <f ca="1">IF(ISNUMBER(MATCH(DATEVALUE($A354),'changes1_based on steps'!P$1:P$400,0)),P$2,)</f>
        <v>0</v>
      </c>
      <c r="Q354" s="179">
        <f ca="1">IF(ISNUMBER(MATCH(DATEVALUE($A354),'changes1_based on steps'!Q$1:Q$400,0)),Q$2,)</f>
        <v>0</v>
      </c>
      <c r="R354" s="179">
        <f ca="1">IF(ISNUMBER(MATCH(DATEVALUE($A354),'changes1_based on steps'!R$1:R$400,0)),R$2,)</f>
        <v>0</v>
      </c>
      <c r="S354" s="179">
        <f ca="1">IF(ISNUMBER(MATCH(DATEVALUE($A354),'changes1_based on steps'!S$1:S$400,0)),S$2,)</f>
        <v>0</v>
      </c>
      <c r="T354" s="179">
        <f ca="1">IF(ISNUMBER(MATCH(DATEVALUE($A354),'changes1_based on steps'!T$1:T$400,0)),T$2,)</f>
        <v>0</v>
      </c>
      <c r="U354" s="179">
        <f ca="1">IF(ISNUMBER(MATCH(DATEVALUE($A354),'changes1_based on steps'!U$1:U$400,0)),U$2,)</f>
        <v>0</v>
      </c>
      <c r="V354" s="179"/>
      <c r="W354" s="179"/>
      <c r="X354" s="179"/>
      <c r="Y354" s="179"/>
      <c r="Z354" s="179"/>
      <c r="AA354" s="179"/>
      <c r="AB354" s="179"/>
      <c r="AC354" s="179"/>
      <c r="AD354" s="179"/>
      <c r="AE354" s="179"/>
      <c r="AF354" s="179"/>
      <c r="AG354" s="179"/>
      <c r="AH354" s="179"/>
      <c r="AI354" s="179"/>
      <c r="AJ354" s="179"/>
      <c r="AK354" s="179"/>
      <c r="AL354" s="179"/>
      <c r="AM354" s="179"/>
      <c r="AN354" s="179"/>
      <c r="AO354" s="179"/>
      <c r="AP354" s="179"/>
      <c r="AQ354" s="179"/>
      <c r="AR354" s="179"/>
      <c r="AS354" s="179"/>
      <c r="AT354" s="179"/>
      <c r="AU354" s="179"/>
      <c r="AV354" s="179"/>
      <c r="AW354" s="179"/>
      <c r="AX354" s="179"/>
      <c r="AY354" s="179"/>
      <c r="AZ354" s="179"/>
      <c r="BA354" s="179"/>
      <c r="BB354" s="179"/>
      <c r="BC354" s="179"/>
      <c r="BD354" s="179"/>
      <c r="BE354" s="179"/>
      <c r="BF354" s="179"/>
      <c r="BG354" s="179"/>
      <c r="BH354" s="179"/>
      <c r="BI354" s="179"/>
      <c r="BJ354" s="179"/>
      <c r="BK354" s="179"/>
      <c r="BL354" s="179"/>
      <c r="BM354" s="179"/>
      <c r="BN354" s="179"/>
      <c r="BO354" s="179"/>
      <c r="BP354" s="179"/>
      <c r="BQ354" s="179"/>
      <c r="BR354" s="179"/>
      <c r="BS354" s="179"/>
      <c r="BT354" s="179"/>
      <c r="BU354" s="179"/>
      <c r="BV354" s="179"/>
      <c r="BW354" s="179"/>
      <c r="BX354" s="179"/>
      <c r="BY354" s="179"/>
      <c r="BZ354" s="179"/>
      <c r="CA354" s="179"/>
      <c r="CB354" s="179"/>
      <c r="CC354" s="179"/>
      <c r="CD354" s="179"/>
      <c r="CE354" s="179"/>
      <c r="CF354" s="179"/>
      <c r="CG354" s="179"/>
      <c r="CH354" s="179"/>
      <c r="CI354" s="179"/>
      <c r="CJ354" s="179"/>
      <c r="CK354" s="179"/>
      <c r="CL354" s="179"/>
      <c r="CM354" s="179"/>
      <c r="CN354" s="179"/>
      <c r="CO354" s="179"/>
      <c r="CP354" s="179"/>
      <c r="CQ354" s="179"/>
      <c r="CR354" s="179"/>
      <c r="CS354" s="179"/>
      <c r="CT354" s="179"/>
      <c r="CU354" s="179"/>
      <c r="CV354" s="179"/>
      <c r="CW354" s="179"/>
    </row>
    <row r="355" spans="1:101" x14ac:dyDescent="0.2">
      <c r="A355" s="32" t="str">
        <f t="shared" ca="1" si="5"/>
        <v>2026-03-16</v>
      </c>
      <c r="B355" s="179">
        <f ca="1">IF(ISNUMBER(MATCH(DATEVALUE($A355),'changes1_based on steps'!B$1:B$400,0)),B$2,)</f>
        <v>0</v>
      </c>
      <c r="C355" s="179">
        <f ca="1">IF(ISNUMBER(MATCH(DATEVALUE($A355),'changes1_based on steps'!C$1:C$400,0)),C$2,)</f>
        <v>0</v>
      </c>
      <c r="D355" s="179">
        <f ca="1">IF(ISNUMBER(MATCH(DATEVALUE($A355),'changes1_based on steps'!D$1:D$400,0)),D$2,)</f>
        <v>0</v>
      </c>
      <c r="E355" s="179">
        <f ca="1">IF(ISNUMBER(MATCH(DATEVALUE($A355),'changes1_based on steps'!E$1:E$400,0)),E$2,)</f>
        <v>0</v>
      </c>
      <c r="F355" s="179">
        <f ca="1">IF(ISNUMBER(MATCH(DATEVALUE($A355),'changes1_based on steps'!F$1:F$400,0)),F$2,)</f>
        <v>0</v>
      </c>
      <c r="G355" s="179">
        <f ca="1">IF(ISNUMBER(MATCH(DATEVALUE($A355),'changes1_based on steps'!G$1:G$400,0)),G$2,)</f>
        <v>0</v>
      </c>
      <c r="H355" s="179">
        <f ca="1">IF(ISNUMBER(MATCH(DATEVALUE($A355),'changes1_based on steps'!H$1:H$400,0)),H$2,)</f>
        <v>0</v>
      </c>
      <c r="I355" s="179">
        <f ca="1">IF(ISNUMBER(MATCH(DATEVALUE($A355),'changes1_based on steps'!I$1:I$400,0)),I$2,)</f>
        <v>0</v>
      </c>
      <c r="J355" s="179">
        <f ca="1">IF(ISNUMBER(MATCH(DATEVALUE($A355),'changes1_based on steps'!J$1:J$400,0)),J$2,)</f>
        <v>0</v>
      </c>
      <c r="K355" s="179">
        <f ca="1">IF(ISNUMBER(MATCH(DATEVALUE($A355),'changes1_based on steps'!K$1:K$400,0)),K$2,)</f>
        <v>0</v>
      </c>
      <c r="L355" s="179">
        <f ca="1">IF(ISNUMBER(MATCH(DATEVALUE($A355),'changes1_based on steps'!L$1:L$400,0)),L$2,)</f>
        <v>0</v>
      </c>
      <c r="M355" s="179">
        <f ca="1">IF(ISNUMBER(MATCH(DATEVALUE($A355),'changes1_based on steps'!M$1:M$400,0)),M$2,)</f>
        <v>0</v>
      </c>
      <c r="N355" s="179">
        <f ca="1">IF(ISNUMBER(MATCH(DATEVALUE($A355),'changes1_based on steps'!N$1:N$400,0)),N$2,)</f>
        <v>0</v>
      </c>
      <c r="O355" s="179">
        <f ca="1">IF(ISNUMBER(MATCH(DATEVALUE($A355),'changes1_based on steps'!O$1:O$400,0)),O$2,)</f>
        <v>0</v>
      </c>
      <c r="P355" s="179">
        <f ca="1">IF(ISNUMBER(MATCH(DATEVALUE($A355),'changes1_based on steps'!P$1:P$400,0)),P$2,)</f>
        <v>0</v>
      </c>
      <c r="Q355" s="179">
        <f ca="1">IF(ISNUMBER(MATCH(DATEVALUE($A355),'changes1_based on steps'!Q$1:Q$400,0)),Q$2,)</f>
        <v>0</v>
      </c>
      <c r="R355" s="179">
        <f ca="1">IF(ISNUMBER(MATCH(DATEVALUE($A355),'changes1_based on steps'!R$1:R$400,0)),R$2,)</f>
        <v>0</v>
      </c>
      <c r="S355" s="179">
        <f ca="1">IF(ISNUMBER(MATCH(DATEVALUE($A355),'changes1_based on steps'!S$1:S$400,0)),S$2,)</f>
        <v>0</v>
      </c>
      <c r="T355" s="179">
        <f ca="1">IF(ISNUMBER(MATCH(DATEVALUE($A355),'changes1_based on steps'!T$1:T$400,0)),T$2,)</f>
        <v>0</v>
      </c>
      <c r="U355" s="179">
        <f ca="1">IF(ISNUMBER(MATCH(DATEVALUE($A355),'changes1_based on steps'!U$1:U$400,0)),U$2,)</f>
        <v>0</v>
      </c>
      <c r="V355" s="179"/>
      <c r="W355" s="179"/>
      <c r="X355" s="179"/>
      <c r="Y355" s="179"/>
      <c r="Z355" s="179"/>
      <c r="AA355" s="179"/>
      <c r="AB355" s="179"/>
      <c r="AC355" s="179"/>
      <c r="AD355" s="179"/>
      <c r="AE355" s="179"/>
      <c r="AF355" s="179"/>
      <c r="AG355" s="179"/>
      <c r="AH355" s="179"/>
      <c r="AI355" s="179"/>
      <c r="AJ355" s="179"/>
      <c r="AK355" s="179"/>
      <c r="AL355" s="179"/>
      <c r="AM355" s="179"/>
      <c r="AN355" s="179"/>
      <c r="AO355" s="179"/>
      <c r="AP355" s="179"/>
      <c r="AQ355" s="179"/>
      <c r="AR355" s="179"/>
      <c r="AS355" s="179"/>
      <c r="AT355" s="179"/>
      <c r="AU355" s="179"/>
      <c r="AV355" s="179"/>
      <c r="AW355" s="179"/>
      <c r="AX355" s="179"/>
      <c r="AY355" s="179"/>
      <c r="AZ355" s="179"/>
      <c r="BA355" s="179"/>
      <c r="BB355" s="179"/>
      <c r="BC355" s="179"/>
      <c r="BD355" s="179"/>
      <c r="BE355" s="179"/>
      <c r="BF355" s="179"/>
      <c r="BG355" s="179"/>
      <c r="BH355" s="179"/>
      <c r="BI355" s="179"/>
      <c r="BJ355" s="179"/>
      <c r="BK355" s="179"/>
      <c r="BL355" s="179"/>
      <c r="BM355" s="179"/>
      <c r="BN355" s="179"/>
      <c r="BO355" s="179"/>
      <c r="BP355" s="179"/>
      <c r="BQ355" s="179"/>
      <c r="BR355" s="179"/>
      <c r="BS355" s="179"/>
      <c r="BT355" s="179"/>
      <c r="BU355" s="179"/>
      <c r="BV355" s="179"/>
      <c r="BW355" s="179"/>
      <c r="BX355" s="179"/>
      <c r="BY355" s="179"/>
      <c r="BZ355" s="179"/>
      <c r="CA355" s="179"/>
      <c r="CB355" s="179"/>
      <c r="CC355" s="179"/>
      <c r="CD355" s="179"/>
      <c r="CE355" s="179"/>
      <c r="CF355" s="179"/>
      <c r="CG355" s="179"/>
      <c r="CH355" s="179"/>
      <c r="CI355" s="179"/>
      <c r="CJ355" s="179"/>
      <c r="CK355" s="179"/>
      <c r="CL355" s="179"/>
      <c r="CM355" s="179"/>
      <c r="CN355" s="179"/>
      <c r="CO355" s="179"/>
      <c r="CP355" s="179"/>
      <c r="CQ355" s="179"/>
      <c r="CR355" s="179"/>
      <c r="CS355" s="179"/>
      <c r="CT355" s="179"/>
      <c r="CU355" s="179"/>
      <c r="CV355" s="179"/>
      <c r="CW355" s="179"/>
    </row>
    <row r="356" spans="1:101" x14ac:dyDescent="0.2">
      <c r="A356" s="32" t="str">
        <f t="shared" ca="1" si="5"/>
        <v>2026-03-17</v>
      </c>
      <c r="B356" s="179">
        <f ca="1">IF(ISNUMBER(MATCH(DATEVALUE($A356),'changes1_based on steps'!B$1:B$400,0)),B$2,)</f>
        <v>0</v>
      </c>
      <c r="C356" s="179">
        <f ca="1">IF(ISNUMBER(MATCH(DATEVALUE($A356),'changes1_based on steps'!C$1:C$400,0)),C$2,)</f>
        <v>0</v>
      </c>
      <c r="D356" s="179">
        <f ca="1">IF(ISNUMBER(MATCH(DATEVALUE($A356),'changes1_based on steps'!D$1:D$400,0)),D$2,)</f>
        <v>0</v>
      </c>
      <c r="E356" s="179">
        <f ca="1">IF(ISNUMBER(MATCH(DATEVALUE($A356),'changes1_based on steps'!E$1:E$400,0)),E$2,)</f>
        <v>0</v>
      </c>
      <c r="F356" s="179">
        <f ca="1">IF(ISNUMBER(MATCH(DATEVALUE($A356),'changes1_based on steps'!F$1:F$400,0)),F$2,)</f>
        <v>0</v>
      </c>
      <c r="G356" s="179">
        <f ca="1">IF(ISNUMBER(MATCH(DATEVALUE($A356),'changes1_based on steps'!G$1:G$400,0)),G$2,)</f>
        <v>0</v>
      </c>
      <c r="H356" s="179">
        <f ca="1">IF(ISNUMBER(MATCH(DATEVALUE($A356),'changes1_based on steps'!H$1:H$400,0)),H$2,)</f>
        <v>0</v>
      </c>
      <c r="I356" s="179">
        <f ca="1">IF(ISNUMBER(MATCH(DATEVALUE($A356),'changes1_based on steps'!I$1:I$400,0)),I$2,)</f>
        <v>0</v>
      </c>
      <c r="J356" s="179">
        <f ca="1">IF(ISNUMBER(MATCH(DATEVALUE($A356),'changes1_based on steps'!J$1:J$400,0)),J$2,)</f>
        <v>0</v>
      </c>
      <c r="K356" s="179">
        <f ca="1">IF(ISNUMBER(MATCH(DATEVALUE($A356),'changes1_based on steps'!K$1:K$400,0)),K$2,)</f>
        <v>0</v>
      </c>
      <c r="L356" s="179">
        <f ca="1">IF(ISNUMBER(MATCH(DATEVALUE($A356),'changes1_based on steps'!L$1:L$400,0)),L$2,)</f>
        <v>0</v>
      </c>
      <c r="M356" s="179">
        <f ca="1">IF(ISNUMBER(MATCH(DATEVALUE($A356),'changes1_based on steps'!M$1:M$400,0)),M$2,)</f>
        <v>0</v>
      </c>
      <c r="N356" s="179">
        <f ca="1">IF(ISNUMBER(MATCH(DATEVALUE($A356),'changes1_based on steps'!N$1:N$400,0)),N$2,)</f>
        <v>0</v>
      </c>
      <c r="O356" s="179">
        <f ca="1">IF(ISNUMBER(MATCH(DATEVALUE($A356),'changes1_based on steps'!O$1:O$400,0)),O$2,)</f>
        <v>0</v>
      </c>
      <c r="P356" s="179">
        <f ca="1">IF(ISNUMBER(MATCH(DATEVALUE($A356),'changes1_based on steps'!P$1:P$400,0)),P$2,)</f>
        <v>0</v>
      </c>
      <c r="Q356" s="179">
        <f ca="1">IF(ISNUMBER(MATCH(DATEVALUE($A356),'changes1_based on steps'!Q$1:Q$400,0)),Q$2,)</f>
        <v>0</v>
      </c>
      <c r="R356" s="179">
        <f ca="1">IF(ISNUMBER(MATCH(DATEVALUE($A356),'changes1_based on steps'!R$1:R$400,0)),R$2,)</f>
        <v>0</v>
      </c>
      <c r="S356" s="179">
        <f ca="1">IF(ISNUMBER(MATCH(DATEVALUE($A356),'changes1_based on steps'!S$1:S$400,0)),S$2,)</f>
        <v>0</v>
      </c>
      <c r="T356" s="179">
        <f ca="1">IF(ISNUMBER(MATCH(DATEVALUE($A356),'changes1_based on steps'!T$1:T$400,0)),T$2,)</f>
        <v>0</v>
      </c>
      <c r="U356" s="179">
        <f ca="1">IF(ISNUMBER(MATCH(DATEVALUE($A356),'changes1_based on steps'!U$1:U$400,0)),U$2,)</f>
        <v>0</v>
      </c>
      <c r="V356" s="179"/>
      <c r="W356" s="179"/>
      <c r="X356" s="179"/>
      <c r="Y356" s="179"/>
      <c r="Z356" s="179"/>
      <c r="AA356" s="179"/>
      <c r="AB356" s="179"/>
      <c r="AC356" s="179"/>
      <c r="AD356" s="179"/>
      <c r="AE356" s="179"/>
      <c r="AF356" s="179"/>
      <c r="AG356" s="179"/>
      <c r="AH356" s="179"/>
      <c r="AI356" s="179"/>
      <c r="AJ356" s="179"/>
      <c r="AK356" s="179"/>
      <c r="AL356" s="179"/>
      <c r="AM356" s="179"/>
      <c r="AN356" s="179"/>
      <c r="AO356" s="179"/>
      <c r="AP356" s="179"/>
      <c r="AQ356" s="179"/>
      <c r="AR356" s="179"/>
      <c r="AS356" s="179"/>
      <c r="AT356" s="179"/>
      <c r="AU356" s="179"/>
      <c r="AV356" s="179"/>
      <c r="AW356" s="179"/>
      <c r="AX356" s="179"/>
      <c r="AY356" s="179"/>
      <c r="AZ356" s="179"/>
      <c r="BA356" s="179"/>
      <c r="BB356" s="179"/>
      <c r="BC356" s="179"/>
      <c r="BD356" s="179"/>
      <c r="BE356" s="179"/>
      <c r="BF356" s="179"/>
      <c r="BG356" s="179"/>
      <c r="BH356" s="179"/>
      <c r="BI356" s="179"/>
      <c r="BJ356" s="179"/>
      <c r="BK356" s="179"/>
      <c r="BL356" s="179"/>
      <c r="BM356" s="179"/>
      <c r="BN356" s="179"/>
      <c r="BO356" s="179"/>
      <c r="BP356" s="179"/>
      <c r="BQ356" s="179"/>
      <c r="BR356" s="179"/>
      <c r="BS356" s="179"/>
      <c r="BT356" s="179"/>
      <c r="BU356" s="179"/>
      <c r="BV356" s="179"/>
      <c r="BW356" s="179"/>
      <c r="BX356" s="179"/>
      <c r="BY356" s="179"/>
      <c r="BZ356" s="179"/>
      <c r="CA356" s="179"/>
      <c r="CB356" s="179"/>
      <c r="CC356" s="179"/>
      <c r="CD356" s="179"/>
      <c r="CE356" s="179"/>
      <c r="CF356" s="179"/>
      <c r="CG356" s="179"/>
      <c r="CH356" s="179"/>
      <c r="CI356" s="179"/>
      <c r="CJ356" s="179"/>
      <c r="CK356" s="179"/>
      <c r="CL356" s="179"/>
      <c r="CM356" s="179"/>
      <c r="CN356" s="179"/>
      <c r="CO356" s="179"/>
      <c r="CP356" s="179"/>
      <c r="CQ356" s="179"/>
      <c r="CR356" s="179"/>
      <c r="CS356" s="179"/>
      <c r="CT356" s="179"/>
      <c r="CU356" s="179"/>
      <c r="CV356" s="179"/>
      <c r="CW356" s="179"/>
    </row>
    <row r="357" spans="1:101" x14ac:dyDescent="0.2">
      <c r="A357" s="32" t="str">
        <f t="shared" ca="1" si="5"/>
        <v>2026-03-18</v>
      </c>
      <c r="B357" s="179">
        <f ca="1">IF(ISNUMBER(MATCH(DATEVALUE($A357),'changes1_based on steps'!B$1:B$400,0)),B$2,)</f>
        <v>0</v>
      </c>
      <c r="C357" s="179">
        <f ca="1">IF(ISNUMBER(MATCH(DATEVALUE($A357),'changes1_based on steps'!C$1:C$400,0)),C$2,)</f>
        <v>0</v>
      </c>
      <c r="D357" s="179">
        <f ca="1">IF(ISNUMBER(MATCH(DATEVALUE($A357),'changes1_based on steps'!D$1:D$400,0)),D$2,)</f>
        <v>0</v>
      </c>
      <c r="E357" s="179">
        <f ca="1">IF(ISNUMBER(MATCH(DATEVALUE($A357),'changes1_based on steps'!E$1:E$400,0)),E$2,)</f>
        <v>0</v>
      </c>
      <c r="F357" s="179">
        <f ca="1">IF(ISNUMBER(MATCH(DATEVALUE($A357),'changes1_based on steps'!F$1:F$400,0)),F$2,)</f>
        <v>0</v>
      </c>
      <c r="G357" s="179">
        <f ca="1">IF(ISNUMBER(MATCH(DATEVALUE($A357),'changes1_based on steps'!G$1:G$400,0)),G$2,)</f>
        <v>0</v>
      </c>
      <c r="H357" s="179">
        <f ca="1">IF(ISNUMBER(MATCH(DATEVALUE($A357),'changes1_based on steps'!H$1:H$400,0)),H$2,)</f>
        <v>0</v>
      </c>
      <c r="I357" s="179">
        <f ca="1">IF(ISNUMBER(MATCH(DATEVALUE($A357),'changes1_based on steps'!I$1:I$400,0)),I$2,)</f>
        <v>0</v>
      </c>
      <c r="J357" s="179">
        <f ca="1">IF(ISNUMBER(MATCH(DATEVALUE($A357),'changes1_based on steps'!J$1:J$400,0)),J$2,)</f>
        <v>0</v>
      </c>
      <c r="K357" s="179">
        <f ca="1">IF(ISNUMBER(MATCH(DATEVALUE($A357),'changes1_based on steps'!K$1:K$400,0)),K$2,)</f>
        <v>0</v>
      </c>
      <c r="L357" s="179">
        <f ca="1">IF(ISNUMBER(MATCH(DATEVALUE($A357),'changes1_based on steps'!L$1:L$400,0)),L$2,)</f>
        <v>0</v>
      </c>
      <c r="M357" s="179">
        <f ca="1">IF(ISNUMBER(MATCH(DATEVALUE($A357),'changes1_based on steps'!M$1:M$400,0)),M$2,)</f>
        <v>0</v>
      </c>
      <c r="N357" s="179">
        <f ca="1">IF(ISNUMBER(MATCH(DATEVALUE($A357),'changes1_based on steps'!N$1:N$400,0)),N$2,)</f>
        <v>0</v>
      </c>
      <c r="O357" s="179">
        <f ca="1">IF(ISNUMBER(MATCH(DATEVALUE($A357),'changes1_based on steps'!O$1:O$400,0)),O$2,)</f>
        <v>0</v>
      </c>
      <c r="P357" s="179">
        <f ca="1">IF(ISNUMBER(MATCH(DATEVALUE($A357),'changes1_based on steps'!P$1:P$400,0)),P$2,)</f>
        <v>0</v>
      </c>
      <c r="Q357" s="179">
        <f ca="1">IF(ISNUMBER(MATCH(DATEVALUE($A357),'changes1_based on steps'!Q$1:Q$400,0)),Q$2,)</f>
        <v>0</v>
      </c>
      <c r="R357" s="179">
        <f ca="1">IF(ISNUMBER(MATCH(DATEVALUE($A357),'changes1_based on steps'!R$1:R$400,0)),R$2,)</f>
        <v>0</v>
      </c>
      <c r="S357" s="179">
        <f ca="1">IF(ISNUMBER(MATCH(DATEVALUE($A357),'changes1_based on steps'!S$1:S$400,0)),S$2,)</f>
        <v>0</v>
      </c>
      <c r="T357" s="179">
        <f ca="1">IF(ISNUMBER(MATCH(DATEVALUE($A357),'changes1_based on steps'!T$1:T$400,0)),T$2,)</f>
        <v>0</v>
      </c>
      <c r="U357" s="179">
        <f ca="1">IF(ISNUMBER(MATCH(DATEVALUE($A357),'changes1_based on steps'!U$1:U$400,0)),U$2,)</f>
        <v>0</v>
      </c>
      <c r="V357" s="179"/>
      <c r="W357" s="179"/>
      <c r="X357" s="179"/>
      <c r="Y357" s="179"/>
      <c r="Z357" s="179"/>
      <c r="AA357" s="179"/>
      <c r="AB357" s="179"/>
      <c r="AC357" s="179"/>
      <c r="AD357" s="179"/>
      <c r="AE357" s="179"/>
      <c r="AF357" s="179"/>
      <c r="AG357" s="179"/>
      <c r="AH357" s="179"/>
      <c r="AI357" s="179"/>
      <c r="AJ357" s="179"/>
      <c r="AK357" s="179"/>
      <c r="AL357" s="179"/>
      <c r="AM357" s="179"/>
      <c r="AN357" s="179"/>
      <c r="AO357" s="179"/>
      <c r="AP357" s="179"/>
      <c r="AQ357" s="179"/>
      <c r="AR357" s="179"/>
      <c r="AS357" s="179"/>
      <c r="AT357" s="179"/>
      <c r="AU357" s="179"/>
      <c r="AV357" s="179"/>
      <c r="AW357" s="179"/>
      <c r="AX357" s="179"/>
      <c r="AY357" s="179"/>
      <c r="AZ357" s="179"/>
      <c r="BA357" s="179"/>
      <c r="BB357" s="179"/>
      <c r="BC357" s="179"/>
      <c r="BD357" s="179"/>
      <c r="BE357" s="179"/>
      <c r="BF357" s="179"/>
      <c r="BG357" s="179"/>
      <c r="BH357" s="179"/>
      <c r="BI357" s="179"/>
      <c r="BJ357" s="179"/>
      <c r="BK357" s="179"/>
      <c r="BL357" s="179"/>
      <c r="BM357" s="179"/>
      <c r="BN357" s="179"/>
      <c r="BO357" s="179"/>
      <c r="BP357" s="179"/>
      <c r="BQ357" s="179"/>
      <c r="BR357" s="179"/>
      <c r="BS357" s="179"/>
      <c r="BT357" s="179"/>
      <c r="BU357" s="179"/>
      <c r="BV357" s="179"/>
      <c r="BW357" s="179"/>
      <c r="BX357" s="179"/>
      <c r="BY357" s="179"/>
      <c r="BZ357" s="179"/>
      <c r="CA357" s="179"/>
      <c r="CB357" s="179"/>
      <c r="CC357" s="179"/>
      <c r="CD357" s="179"/>
      <c r="CE357" s="179"/>
      <c r="CF357" s="179"/>
      <c r="CG357" s="179"/>
      <c r="CH357" s="179"/>
      <c r="CI357" s="179"/>
      <c r="CJ357" s="179"/>
      <c r="CK357" s="179"/>
      <c r="CL357" s="179"/>
      <c r="CM357" s="179"/>
      <c r="CN357" s="179"/>
      <c r="CO357" s="179"/>
      <c r="CP357" s="179"/>
      <c r="CQ357" s="179"/>
      <c r="CR357" s="179"/>
      <c r="CS357" s="179"/>
      <c r="CT357" s="179"/>
      <c r="CU357" s="179"/>
      <c r="CV357" s="179"/>
      <c r="CW357" s="179"/>
    </row>
    <row r="358" spans="1:101" x14ac:dyDescent="0.2">
      <c r="A358" s="32" t="str">
        <f t="shared" ca="1" si="5"/>
        <v>2026-03-19</v>
      </c>
      <c r="B358" s="179">
        <f ca="1">IF(ISNUMBER(MATCH(DATEVALUE($A358),'changes1_based on steps'!B$1:B$400,0)),B$2,)</f>
        <v>0</v>
      </c>
      <c r="C358" s="179">
        <f ca="1">IF(ISNUMBER(MATCH(DATEVALUE($A358),'changes1_based on steps'!C$1:C$400,0)),C$2,)</f>
        <v>0</v>
      </c>
      <c r="D358" s="179">
        <f ca="1">IF(ISNUMBER(MATCH(DATEVALUE($A358),'changes1_based on steps'!D$1:D$400,0)),D$2,)</f>
        <v>0</v>
      </c>
      <c r="E358" s="179">
        <f ca="1">IF(ISNUMBER(MATCH(DATEVALUE($A358),'changes1_based on steps'!E$1:E$400,0)),E$2,)</f>
        <v>0</v>
      </c>
      <c r="F358" s="179">
        <f ca="1">IF(ISNUMBER(MATCH(DATEVALUE($A358),'changes1_based on steps'!F$1:F$400,0)),F$2,)</f>
        <v>0</v>
      </c>
      <c r="G358" s="179">
        <f ca="1">IF(ISNUMBER(MATCH(DATEVALUE($A358),'changes1_based on steps'!G$1:G$400,0)),G$2,)</f>
        <v>0</v>
      </c>
      <c r="H358" s="179">
        <f ca="1">IF(ISNUMBER(MATCH(DATEVALUE($A358),'changes1_based on steps'!H$1:H$400,0)),H$2,)</f>
        <v>0</v>
      </c>
      <c r="I358" s="179">
        <f ca="1">IF(ISNUMBER(MATCH(DATEVALUE($A358),'changes1_based on steps'!I$1:I$400,0)),I$2,)</f>
        <v>0</v>
      </c>
      <c r="J358" s="179">
        <f ca="1">IF(ISNUMBER(MATCH(DATEVALUE($A358),'changes1_based on steps'!J$1:J$400,0)),J$2,)</f>
        <v>0</v>
      </c>
      <c r="K358" s="179">
        <f ca="1">IF(ISNUMBER(MATCH(DATEVALUE($A358),'changes1_based on steps'!K$1:K$400,0)),K$2,)</f>
        <v>0</v>
      </c>
      <c r="L358" s="179">
        <f ca="1">IF(ISNUMBER(MATCH(DATEVALUE($A358),'changes1_based on steps'!L$1:L$400,0)),L$2,)</f>
        <v>0</v>
      </c>
      <c r="M358" s="179">
        <f ca="1">IF(ISNUMBER(MATCH(DATEVALUE($A358),'changes1_based on steps'!M$1:M$400,0)),M$2,)</f>
        <v>0</v>
      </c>
      <c r="N358" s="179">
        <f ca="1">IF(ISNUMBER(MATCH(DATEVALUE($A358),'changes1_based on steps'!N$1:N$400,0)),N$2,)</f>
        <v>0</v>
      </c>
      <c r="O358" s="179">
        <f ca="1">IF(ISNUMBER(MATCH(DATEVALUE($A358),'changes1_based on steps'!O$1:O$400,0)),O$2,)</f>
        <v>0</v>
      </c>
      <c r="P358" s="179">
        <f ca="1">IF(ISNUMBER(MATCH(DATEVALUE($A358),'changes1_based on steps'!P$1:P$400,0)),P$2,)</f>
        <v>0</v>
      </c>
      <c r="Q358" s="179">
        <f ca="1">IF(ISNUMBER(MATCH(DATEVALUE($A358),'changes1_based on steps'!Q$1:Q$400,0)),Q$2,)</f>
        <v>0</v>
      </c>
      <c r="R358" s="179">
        <f ca="1">IF(ISNUMBER(MATCH(DATEVALUE($A358),'changes1_based on steps'!R$1:R$400,0)),R$2,)</f>
        <v>0</v>
      </c>
      <c r="S358" s="179">
        <f ca="1">IF(ISNUMBER(MATCH(DATEVALUE($A358),'changes1_based on steps'!S$1:S$400,0)),S$2,)</f>
        <v>0</v>
      </c>
      <c r="T358" s="179">
        <f ca="1">IF(ISNUMBER(MATCH(DATEVALUE($A358),'changes1_based on steps'!T$1:T$400,0)),T$2,)</f>
        <v>0</v>
      </c>
      <c r="U358" s="179">
        <f ca="1">IF(ISNUMBER(MATCH(DATEVALUE($A358),'changes1_based on steps'!U$1:U$400,0)),U$2,)</f>
        <v>0</v>
      </c>
      <c r="V358" s="179"/>
      <c r="W358" s="179"/>
      <c r="X358" s="179"/>
      <c r="Y358" s="179"/>
      <c r="Z358" s="179"/>
      <c r="AA358" s="179"/>
      <c r="AB358" s="179"/>
      <c r="AC358" s="179"/>
      <c r="AD358" s="179"/>
      <c r="AE358" s="179"/>
      <c r="AF358" s="179"/>
      <c r="AG358" s="179"/>
      <c r="AH358" s="179"/>
      <c r="AI358" s="179"/>
      <c r="AJ358" s="179"/>
      <c r="AK358" s="179"/>
      <c r="AL358" s="179"/>
      <c r="AM358" s="179"/>
      <c r="AN358" s="179"/>
      <c r="AO358" s="179"/>
      <c r="AP358" s="179"/>
      <c r="AQ358" s="179"/>
      <c r="AR358" s="179"/>
      <c r="AS358" s="179"/>
      <c r="AT358" s="179"/>
      <c r="AU358" s="179"/>
      <c r="AV358" s="179"/>
      <c r="AW358" s="179"/>
      <c r="AX358" s="179"/>
      <c r="AY358" s="179"/>
      <c r="AZ358" s="179"/>
      <c r="BA358" s="179"/>
      <c r="BB358" s="179"/>
      <c r="BC358" s="179"/>
      <c r="BD358" s="179"/>
      <c r="BE358" s="179"/>
      <c r="BF358" s="179"/>
      <c r="BG358" s="179"/>
      <c r="BH358" s="179"/>
      <c r="BI358" s="179"/>
      <c r="BJ358" s="179"/>
      <c r="BK358" s="179"/>
      <c r="BL358" s="179"/>
      <c r="BM358" s="179"/>
      <c r="BN358" s="179"/>
      <c r="BO358" s="179"/>
      <c r="BP358" s="179"/>
      <c r="BQ358" s="179"/>
      <c r="BR358" s="179"/>
      <c r="BS358" s="179"/>
      <c r="BT358" s="179"/>
      <c r="BU358" s="179"/>
      <c r="BV358" s="179"/>
      <c r="BW358" s="179"/>
      <c r="BX358" s="179"/>
      <c r="BY358" s="179"/>
      <c r="BZ358" s="179"/>
      <c r="CA358" s="179"/>
      <c r="CB358" s="179"/>
      <c r="CC358" s="179"/>
      <c r="CD358" s="179"/>
      <c r="CE358" s="179"/>
      <c r="CF358" s="179"/>
      <c r="CG358" s="179"/>
      <c r="CH358" s="179"/>
      <c r="CI358" s="179"/>
      <c r="CJ358" s="179"/>
      <c r="CK358" s="179"/>
      <c r="CL358" s="179"/>
      <c r="CM358" s="179"/>
      <c r="CN358" s="179"/>
      <c r="CO358" s="179"/>
      <c r="CP358" s="179"/>
      <c r="CQ358" s="179"/>
      <c r="CR358" s="179"/>
      <c r="CS358" s="179"/>
      <c r="CT358" s="179"/>
      <c r="CU358" s="179"/>
      <c r="CV358" s="179"/>
      <c r="CW358" s="179"/>
    </row>
    <row r="359" spans="1:101" x14ac:dyDescent="0.2">
      <c r="A359" s="32" t="str">
        <f t="shared" ca="1" si="5"/>
        <v>2026-03-20</v>
      </c>
      <c r="B359" s="179">
        <f ca="1">IF(ISNUMBER(MATCH(DATEVALUE($A359),'changes1_based on steps'!B$1:B$400,0)),B$2,)</f>
        <v>0</v>
      </c>
      <c r="C359" s="179">
        <f ca="1">IF(ISNUMBER(MATCH(DATEVALUE($A359),'changes1_based on steps'!C$1:C$400,0)),C$2,)</f>
        <v>0</v>
      </c>
      <c r="D359" s="179">
        <f ca="1">IF(ISNUMBER(MATCH(DATEVALUE($A359),'changes1_based on steps'!D$1:D$400,0)),D$2,)</f>
        <v>0</v>
      </c>
      <c r="E359" s="179">
        <f ca="1">IF(ISNUMBER(MATCH(DATEVALUE($A359),'changes1_based on steps'!E$1:E$400,0)),E$2,)</f>
        <v>0</v>
      </c>
      <c r="F359" s="179">
        <f ca="1">IF(ISNUMBER(MATCH(DATEVALUE($A359),'changes1_based on steps'!F$1:F$400,0)),F$2,)</f>
        <v>0</v>
      </c>
      <c r="G359" s="179">
        <f ca="1">IF(ISNUMBER(MATCH(DATEVALUE($A359),'changes1_based on steps'!G$1:G$400,0)),G$2,)</f>
        <v>0</v>
      </c>
      <c r="H359" s="179">
        <f ca="1">IF(ISNUMBER(MATCH(DATEVALUE($A359),'changes1_based on steps'!H$1:H$400,0)),H$2,)</f>
        <v>0</v>
      </c>
      <c r="I359" s="179">
        <f ca="1">IF(ISNUMBER(MATCH(DATEVALUE($A359),'changes1_based on steps'!I$1:I$400,0)),I$2,)</f>
        <v>0</v>
      </c>
      <c r="J359" s="179">
        <f ca="1">IF(ISNUMBER(MATCH(DATEVALUE($A359),'changes1_based on steps'!J$1:J$400,0)),J$2,)</f>
        <v>0</v>
      </c>
      <c r="K359" s="179">
        <f ca="1">IF(ISNUMBER(MATCH(DATEVALUE($A359),'changes1_based on steps'!K$1:K$400,0)),K$2,)</f>
        <v>0</v>
      </c>
      <c r="L359" s="179">
        <f ca="1">IF(ISNUMBER(MATCH(DATEVALUE($A359),'changes1_based on steps'!L$1:L$400,0)),L$2,)</f>
        <v>0</v>
      </c>
      <c r="M359" s="179">
        <f ca="1">IF(ISNUMBER(MATCH(DATEVALUE($A359),'changes1_based on steps'!M$1:M$400,0)),M$2,)</f>
        <v>0</v>
      </c>
      <c r="N359" s="179">
        <f ca="1">IF(ISNUMBER(MATCH(DATEVALUE($A359),'changes1_based on steps'!N$1:N$400,0)),N$2,)</f>
        <v>0</v>
      </c>
      <c r="O359" s="179">
        <f ca="1">IF(ISNUMBER(MATCH(DATEVALUE($A359),'changes1_based on steps'!O$1:O$400,0)),O$2,)</f>
        <v>0</v>
      </c>
      <c r="P359" s="179">
        <f ca="1">IF(ISNUMBER(MATCH(DATEVALUE($A359),'changes1_based on steps'!P$1:P$400,0)),P$2,)</f>
        <v>0</v>
      </c>
      <c r="Q359" s="179">
        <f ca="1">IF(ISNUMBER(MATCH(DATEVALUE($A359),'changes1_based on steps'!Q$1:Q$400,0)),Q$2,)</f>
        <v>0</v>
      </c>
      <c r="R359" s="179">
        <f ca="1">IF(ISNUMBER(MATCH(DATEVALUE($A359),'changes1_based on steps'!R$1:R$400,0)),R$2,)</f>
        <v>0</v>
      </c>
      <c r="S359" s="179">
        <f ca="1">IF(ISNUMBER(MATCH(DATEVALUE($A359),'changes1_based on steps'!S$1:S$400,0)),S$2,)</f>
        <v>0</v>
      </c>
      <c r="T359" s="179">
        <f ca="1">IF(ISNUMBER(MATCH(DATEVALUE($A359),'changes1_based on steps'!T$1:T$400,0)),T$2,)</f>
        <v>0</v>
      </c>
      <c r="U359" s="179">
        <f ca="1">IF(ISNUMBER(MATCH(DATEVALUE($A359),'changes1_based on steps'!U$1:U$400,0)),U$2,)</f>
        <v>0</v>
      </c>
      <c r="V359" s="179"/>
      <c r="W359" s="179"/>
      <c r="X359" s="179"/>
      <c r="Y359" s="179"/>
      <c r="Z359" s="179"/>
      <c r="AA359" s="179"/>
      <c r="AB359" s="179"/>
      <c r="AC359" s="179"/>
      <c r="AD359" s="179"/>
      <c r="AE359" s="179"/>
      <c r="AF359" s="179"/>
      <c r="AG359" s="179"/>
      <c r="AH359" s="179"/>
      <c r="AI359" s="179"/>
      <c r="AJ359" s="179"/>
      <c r="AK359" s="179"/>
      <c r="AL359" s="179"/>
      <c r="AM359" s="179"/>
      <c r="AN359" s="179"/>
      <c r="AO359" s="179"/>
      <c r="AP359" s="179"/>
      <c r="AQ359" s="179"/>
      <c r="AR359" s="179"/>
      <c r="AS359" s="179"/>
      <c r="AT359" s="179"/>
      <c r="AU359" s="179"/>
      <c r="AV359" s="179"/>
      <c r="AW359" s="179"/>
      <c r="AX359" s="179"/>
      <c r="AY359" s="179"/>
      <c r="AZ359" s="179"/>
      <c r="BA359" s="179"/>
      <c r="BB359" s="179"/>
      <c r="BC359" s="179"/>
      <c r="BD359" s="179"/>
      <c r="BE359" s="179"/>
      <c r="BF359" s="179"/>
      <c r="BG359" s="179"/>
      <c r="BH359" s="179"/>
      <c r="BI359" s="179"/>
      <c r="BJ359" s="179"/>
      <c r="BK359" s="179"/>
      <c r="BL359" s="179"/>
      <c r="BM359" s="179"/>
      <c r="BN359" s="179"/>
      <c r="BO359" s="179"/>
      <c r="BP359" s="179"/>
      <c r="BQ359" s="179"/>
      <c r="BR359" s="179"/>
      <c r="BS359" s="179"/>
      <c r="BT359" s="179"/>
      <c r="BU359" s="179"/>
      <c r="BV359" s="179"/>
      <c r="BW359" s="179"/>
      <c r="BX359" s="179"/>
      <c r="BY359" s="179"/>
      <c r="BZ359" s="179"/>
      <c r="CA359" s="179"/>
      <c r="CB359" s="179"/>
      <c r="CC359" s="179"/>
      <c r="CD359" s="179"/>
      <c r="CE359" s="179"/>
      <c r="CF359" s="179"/>
      <c r="CG359" s="179"/>
      <c r="CH359" s="179"/>
      <c r="CI359" s="179"/>
      <c r="CJ359" s="179"/>
      <c r="CK359" s="179"/>
      <c r="CL359" s="179"/>
      <c r="CM359" s="179"/>
      <c r="CN359" s="179"/>
      <c r="CO359" s="179"/>
      <c r="CP359" s="179"/>
      <c r="CQ359" s="179"/>
      <c r="CR359" s="179"/>
      <c r="CS359" s="179"/>
      <c r="CT359" s="179"/>
      <c r="CU359" s="179"/>
      <c r="CV359" s="179"/>
      <c r="CW359" s="179"/>
    </row>
    <row r="360" spans="1:101" x14ac:dyDescent="0.2">
      <c r="A360" s="32" t="str">
        <f t="shared" ca="1" si="5"/>
        <v>2026-03-21</v>
      </c>
      <c r="B360" s="179">
        <f ca="1">IF(ISNUMBER(MATCH(DATEVALUE($A360),'changes1_based on steps'!B$1:B$400,0)),B$2,)</f>
        <v>0</v>
      </c>
      <c r="C360" s="179">
        <f ca="1">IF(ISNUMBER(MATCH(DATEVALUE($A360),'changes1_based on steps'!C$1:C$400,0)),C$2,)</f>
        <v>0</v>
      </c>
      <c r="D360" s="179">
        <f ca="1">IF(ISNUMBER(MATCH(DATEVALUE($A360),'changes1_based on steps'!D$1:D$400,0)),D$2,)</f>
        <v>0</v>
      </c>
      <c r="E360" s="179">
        <f ca="1">IF(ISNUMBER(MATCH(DATEVALUE($A360),'changes1_based on steps'!E$1:E$400,0)),E$2,)</f>
        <v>0</v>
      </c>
      <c r="F360" s="179">
        <f ca="1">IF(ISNUMBER(MATCH(DATEVALUE($A360),'changes1_based on steps'!F$1:F$400,0)),F$2,)</f>
        <v>0</v>
      </c>
      <c r="G360" s="179">
        <f ca="1">IF(ISNUMBER(MATCH(DATEVALUE($A360),'changes1_based on steps'!G$1:G$400,0)),G$2,)</f>
        <v>0</v>
      </c>
      <c r="H360" s="179">
        <f ca="1">IF(ISNUMBER(MATCH(DATEVALUE($A360),'changes1_based on steps'!H$1:H$400,0)),H$2,)</f>
        <v>0</v>
      </c>
      <c r="I360" s="179">
        <f ca="1">IF(ISNUMBER(MATCH(DATEVALUE($A360),'changes1_based on steps'!I$1:I$400,0)),I$2,)</f>
        <v>0</v>
      </c>
      <c r="J360" s="179">
        <f ca="1">IF(ISNUMBER(MATCH(DATEVALUE($A360),'changes1_based on steps'!J$1:J$400,0)),J$2,)</f>
        <v>0</v>
      </c>
      <c r="K360" s="179">
        <f ca="1">IF(ISNUMBER(MATCH(DATEVALUE($A360),'changes1_based on steps'!K$1:K$400,0)),K$2,)</f>
        <v>0</v>
      </c>
      <c r="L360" s="179">
        <f ca="1">IF(ISNUMBER(MATCH(DATEVALUE($A360),'changes1_based on steps'!L$1:L$400,0)),L$2,)</f>
        <v>0</v>
      </c>
      <c r="M360" s="179">
        <f ca="1">IF(ISNUMBER(MATCH(DATEVALUE($A360),'changes1_based on steps'!M$1:M$400,0)),M$2,)</f>
        <v>0</v>
      </c>
      <c r="N360" s="179">
        <f ca="1">IF(ISNUMBER(MATCH(DATEVALUE($A360),'changes1_based on steps'!N$1:N$400,0)),N$2,)</f>
        <v>0</v>
      </c>
      <c r="O360" s="179">
        <f ca="1">IF(ISNUMBER(MATCH(DATEVALUE($A360),'changes1_based on steps'!O$1:O$400,0)),O$2,)</f>
        <v>0</v>
      </c>
      <c r="P360" s="179">
        <f ca="1">IF(ISNUMBER(MATCH(DATEVALUE($A360),'changes1_based on steps'!P$1:P$400,0)),P$2,)</f>
        <v>0</v>
      </c>
      <c r="Q360" s="179">
        <f ca="1">IF(ISNUMBER(MATCH(DATEVALUE($A360),'changes1_based on steps'!Q$1:Q$400,0)),Q$2,)</f>
        <v>0</v>
      </c>
      <c r="R360" s="179">
        <f ca="1">IF(ISNUMBER(MATCH(DATEVALUE($A360),'changes1_based on steps'!R$1:R$400,0)),R$2,)</f>
        <v>0</v>
      </c>
      <c r="S360" s="179">
        <f ca="1">IF(ISNUMBER(MATCH(DATEVALUE($A360),'changes1_based on steps'!S$1:S$400,0)),S$2,)</f>
        <v>0</v>
      </c>
      <c r="T360" s="179">
        <f ca="1">IF(ISNUMBER(MATCH(DATEVALUE($A360),'changes1_based on steps'!T$1:T$400,0)),T$2,)</f>
        <v>0</v>
      </c>
      <c r="U360" s="179">
        <f ca="1">IF(ISNUMBER(MATCH(DATEVALUE($A360),'changes1_based on steps'!U$1:U$400,0)),U$2,)</f>
        <v>0</v>
      </c>
      <c r="V360" s="179"/>
      <c r="W360" s="179"/>
      <c r="X360" s="179"/>
      <c r="Y360" s="179"/>
      <c r="Z360" s="179"/>
      <c r="AA360" s="179"/>
      <c r="AB360" s="179"/>
      <c r="AC360" s="179"/>
      <c r="AD360" s="179"/>
      <c r="AE360" s="179"/>
      <c r="AF360" s="179"/>
      <c r="AG360" s="179"/>
      <c r="AH360" s="179"/>
      <c r="AI360" s="179"/>
      <c r="AJ360" s="179"/>
      <c r="AK360" s="179"/>
      <c r="AL360" s="179"/>
      <c r="AM360" s="179"/>
      <c r="AN360" s="179"/>
      <c r="AO360" s="179"/>
      <c r="AP360" s="179"/>
      <c r="AQ360" s="179"/>
      <c r="AR360" s="179"/>
      <c r="AS360" s="179"/>
      <c r="AT360" s="179"/>
      <c r="AU360" s="179"/>
      <c r="AV360" s="179"/>
      <c r="AW360" s="179"/>
      <c r="AX360" s="179"/>
      <c r="AY360" s="179"/>
      <c r="AZ360" s="179"/>
      <c r="BA360" s="179"/>
      <c r="BB360" s="179"/>
      <c r="BC360" s="179"/>
      <c r="BD360" s="179"/>
      <c r="BE360" s="179"/>
      <c r="BF360" s="179"/>
      <c r="BG360" s="179"/>
      <c r="BH360" s="179"/>
      <c r="BI360" s="179"/>
      <c r="BJ360" s="179"/>
      <c r="BK360" s="179"/>
      <c r="BL360" s="179"/>
      <c r="BM360" s="179"/>
      <c r="BN360" s="179"/>
      <c r="BO360" s="179"/>
      <c r="BP360" s="179"/>
      <c r="BQ360" s="179"/>
      <c r="BR360" s="179"/>
      <c r="BS360" s="179"/>
      <c r="BT360" s="179"/>
      <c r="BU360" s="179"/>
      <c r="BV360" s="179"/>
      <c r="BW360" s="179"/>
      <c r="BX360" s="179"/>
      <c r="BY360" s="179"/>
      <c r="BZ360" s="179"/>
      <c r="CA360" s="179"/>
      <c r="CB360" s="179"/>
      <c r="CC360" s="179"/>
      <c r="CD360" s="179"/>
      <c r="CE360" s="179"/>
      <c r="CF360" s="179"/>
      <c r="CG360" s="179"/>
      <c r="CH360" s="179"/>
      <c r="CI360" s="179"/>
      <c r="CJ360" s="179"/>
      <c r="CK360" s="179"/>
      <c r="CL360" s="179"/>
      <c r="CM360" s="179"/>
      <c r="CN360" s="179"/>
      <c r="CO360" s="179"/>
      <c r="CP360" s="179"/>
      <c r="CQ360" s="179"/>
      <c r="CR360" s="179"/>
      <c r="CS360" s="179"/>
      <c r="CT360" s="179"/>
      <c r="CU360" s="179"/>
      <c r="CV360" s="179"/>
      <c r="CW360" s="179"/>
    </row>
    <row r="361" spans="1:101" x14ac:dyDescent="0.2">
      <c r="A361" s="32" t="str">
        <f t="shared" ca="1" si="5"/>
        <v>2026-03-22</v>
      </c>
      <c r="B361" s="179">
        <f ca="1">IF(ISNUMBER(MATCH(DATEVALUE($A361),'changes1_based on steps'!B$1:B$400,0)),B$2,)</f>
        <v>0</v>
      </c>
      <c r="C361" s="179">
        <f ca="1">IF(ISNUMBER(MATCH(DATEVALUE($A361),'changes1_based on steps'!C$1:C$400,0)),C$2,)</f>
        <v>0</v>
      </c>
      <c r="D361" s="179">
        <f ca="1">IF(ISNUMBER(MATCH(DATEVALUE($A361),'changes1_based on steps'!D$1:D$400,0)),D$2,)</f>
        <v>0</v>
      </c>
      <c r="E361" s="179">
        <f ca="1">IF(ISNUMBER(MATCH(DATEVALUE($A361),'changes1_based on steps'!E$1:E$400,0)),E$2,)</f>
        <v>0</v>
      </c>
      <c r="F361" s="179">
        <f ca="1">IF(ISNUMBER(MATCH(DATEVALUE($A361),'changes1_based on steps'!F$1:F$400,0)),F$2,)</f>
        <v>0</v>
      </c>
      <c r="G361" s="179">
        <f ca="1">IF(ISNUMBER(MATCH(DATEVALUE($A361),'changes1_based on steps'!G$1:G$400,0)),G$2,)</f>
        <v>0</v>
      </c>
      <c r="H361" s="179">
        <f ca="1">IF(ISNUMBER(MATCH(DATEVALUE($A361),'changes1_based on steps'!H$1:H$400,0)),H$2,)</f>
        <v>0</v>
      </c>
      <c r="I361" s="179">
        <f ca="1">IF(ISNUMBER(MATCH(DATEVALUE($A361),'changes1_based on steps'!I$1:I$400,0)),I$2,)</f>
        <v>0</v>
      </c>
      <c r="J361" s="179">
        <f ca="1">IF(ISNUMBER(MATCH(DATEVALUE($A361),'changes1_based on steps'!J$1:J$400,0)),J$2,)</f>
        <v>0</v>
      </c>
      <c r="K361" s="179">
        <f ca="1">IF(ISNUMBER(MATCH(DATEVALUE($A361),'changes1_based on steps'!K$1:K$400,0)),K$2,)</f>
        <v>0</v>
      </c>
      <c r="L361" s="179">
        <f ca="1">IF(ISNUMBER(MATCH(DATEVALUE($A361),'changes1_based on steps'!L$1:L$400,0)),L$2,)</f>
        <v>0</v>
      </c>
      <c r="M361" s="179">
        <f ca="1">IF(ISNUMBER(MATCH(DATEVALUE($A361),'changes1_based on steps'!M$1:M$400,0)),M$2,)</f>
        <v>0</v>
      </c>
      <c r="N361" s="179">
        <f ca="1">IF(ISNUMBER(MATCH(DATEVALUE($A361),'changes1_based on steps'!N$1:N$400,0)),N$2,)</f>
        <v>0</v>
      </c>
      <c r="O361" s="179">
        <f ca="1">IF(ISNUMBER(MATCH(DATEVALUE($A361),'changes1_based on steps'!O$1:O$400,0)),O$2,)</f>
        <v>0</v>
      </c>
      <c r="P361" s="179">
        <f ca="1">IF(ISNUMBER(MATCH(DATEVALUE($A361),'changes1_based on steps'!P$1:P$400,0)),P$2,)</f>
        <v>0</v>
      </c>
      <c r="Q361" s="179">
        <f ca="1">IF(ISNUMBER(MATCH(DATEVALUE($A361),'changes1_based on steps'!Q$1:Q$400,0)),Q$2,)</f>
        <v>0</v>
      </c>
      <c r="R361" s="179">
        <f ca="1">IF(ISNUMBER(MATCH(DATEVALUE($A361),'changes1_based on steps'!R$1:R$400,0)),R$2,)</f>
        <v>0</v>
      </c>
      <c r="S361" s="179">
        <f ca="1">IF(ISNUMBER(MATCH(DATEVALUE($A361),'changes1_based on steps'!S$1:S$400,0)),S$2,)</f>
        <v>0</v>
      </c>
      <c r="T361" s="179">
        <f ca="1">IF(ISNUMBER(MATCH(DATEVALUE($A361),'changes1_based on steps'!T$1:T$400,0)),T$2,)</f>
        <v>0</v>
      </c>
      <c r="U361" s="179">
        <f ca="1">IF(ISNUMBER(MATCH(DATEVALUE($A361),'changes1_based on steps'!U$1:U$400,0)),U$2,)</f>
        <v>0</v>
      </c>
      <c r="V361" s="179"/>
      <c r="W361" s="179"/>
      <c r="X361" s="179"/>
      <c r="Y361" s="179"/>
      <c r="Z361" s="179"/>
      <c r="AA361" s="179"/>
      <c r="AB361" s="179"/>
      <c r="AC361" s="179"/>
      <c r="AD361" s="179"/>
      <c r="AE361" s="179"/>
      <c r="AF361" s="179"/>
      <c r="AG361" s="179"/>
      <c r="AH361" s="179"/>
      <c r="AI361" s="179"/>
      <c r="AJ361" s="179"/>
      <c r="AK361" s="179"/>
      <c r="AL361" s="179"/>
      <c r="AM361" s="179"/>
      <c r="AN361" s="179"/>
      <c r="AO361" s="179"/>
      <c r="AP361" s="179"/>
      <c r="AQ361" s="179"/>
      <c r="AR361" s="179"/>
      <c r="AS361" s="179"/>
      <c r="AT361" s="179"/>
      <c r="AU361" s="179"/>
      <c r="AV361" s="179"/>
      <c r="AW361" s="179"/>
      <c r="AX361" s="179"/>
      <c r="AY361" s="179"/>
      <c r="AZ361" s="179"/>
      <c r="BA361" s="179"/>
      <c r="BB361" s="179"/>
      <c r="BC361" s="179"/>
      <c r="BD361" s="179"/>
      <c r="BE361" s="179"/>
      <c r="BF361" s="179"/>
      <c r="BG361" s="179"/>
      <c r="BH361" s="179"/>
      <c r="BI361" s="179"/>
      <c r="BJ361" s="179"/>
      <c r="BK361" s="179"/>
      <c r="BL361" s="179"/>
      <c r="BM361" s="179"/>
      <c r="BN361" s="179"/>
      <c r="BO361" s="179"/>
      <c r="BP361" s="179"/>
      <c r="BQ361" s="179"/>
      <c r="BR361" s="179"/>
      <c r="BS361" s="179"/>
      <c r="BT361" s="179"/>
      <c r="BU361" s="179"/>
      <c r="BV361" s="179"/>
      <c r="BW361" s="179"/>
      <c r="BX361" s="179"/>
      <c r="BY361" s="179"/>
      <c r="BZ361" s="179"/>
      <c r="CA361" s="179"/>
      <c r="CB361" s="179"/>
      <c r="CC361" s="179"/>
      <c r="CD361" s="179"/>
      <c r="CE361" s="179"/>
      <c r="CF361" s="179"/>
      <c r="CG361" s="179"/>
      <c r="CH361" s="179"/>
      <c r="CI361" s="179"/>
      <c r="CJ361" s="179"/>
      <c r="CK361" s="179"/>
      <c r="CL361" s="179"/>
      <c r="CM361" s="179"/>
      <c r="CN361" s="179"/>
      <c r="CO361" s="179"/>
      <c r="CP361" s="179"/>
      <c r="CQ361" s="179"/>
      <c r="CR361" s="179"/>
      <c r="CS361" s="179"/>
      <c r="CT361" s="179"/>
      <c r="CU361" s="179"/>
      <c r="CV361" s="179"/>
      <c r="CW361" s="179"/>
    </row>
    <row r="362" spans="1:101" x14ac:dyDescent="0.2">
      <c r="A362" s="32" t="str">
        <f t="shared" ca="1" si="5"/>
        <v>2026-03-23</v>
      </c>
      <c r="B362" s="179">
        <f ca="1">IF(ISNUMBER(MATCH(DATEVALUE($A362),'changes1_based on steps'!B$1:B$400,0)),B$2,)</f>
        <v>0</v>
      </c>
      <c r="C362" s="179">
        <f ca="1">IF(ISNUMBER(MATCH(DATEVALUE($A362),'changes1_based on steps'!C$1:C$400,0)),C$2,)</f>
        <v>0</v>
      </c>
      <c r="D362" s="179">
        <f ca="1">IF(ISNUMBER(MATCH(DATEVALUE($A362),'changes1_based on steps'!D$1:D$400,0)),D$2,)</f>
        <v>0</v>
      </c>
      <c r="E362" s="179">
        <f ca="1">IF(ISNUMBER(MATCH(DATEVALUE($A362),'changes1_based on steps'!E$1:E$400,0)),E$2,)</f>
        <v>0</v>
      </c>
      <c r="F362" s="179">
        <f ca="1">IF(ISNUMBER(MATCH(DATEVALUE($A362),'changes1_based on steps'!F$1:F$400,0)),F$2,)</f>
        <v>0</v>
      </c>
      <c r="G362" s="179">
        <f ca="1">IF(ISNUMBER(MATCH(DATEVALUE($A362),'changes1_based on steps'!G$1:G$400,0)),G$2,)</f>
        <v>0</v>
      </c>
      <c r="H362" s="179">
        <f ca="1">IF(ISNUMBER(MATCH(DATEVALUE($A362),'changes1_based on steps'!H$1:H$400,0)),H$2,)</f>
        <v>0</v>
      </c>
      <c r="I362" s="179">
        <f ca="1">IF(ISNUMBER(MATCH(DATEVALUE($A362),'changes1_based on steps'!I$1:I$400,0)),I$2,)</f>
        <v>0</v>
      </c>
      <c r="J362" s="179">
        <f ca="1">IF(ISNUMBER(MATCH(DATEVALUE($A362),'changes1_based on steps'!J$1:J$400,0)),J$2,)</f>
        <v>0</v>
      </c>
      <c r="K362" s="179">
        <f ca="1">IF(ISNUMBER(MATCH(DATEVALUE($A362),'changes1_based on steps'!K$1:K$400,0)),K$2,)</f>
        <v>0</v>
      </c>
      <c r="L362" s="179">
        <f ca="1">IF(ISNUMBER(MATCH(DATEVALUE($A362),'changes1_based on steps'!L$1:L$400,0)),L$2,)</f>
        <v>0</v>
      </c>
      <c r="M362" s="179">
        <f ca="1">IF(ISNUMBER(MATCH(DATEVALUE($A362),'changes1_based on steps'!M$1:M$400,0)),M$2,)</f>
        <v>0</v>
      </c>
      <c r="N362" s="179">
        <f ca="1">IF(ISNUMBER(MATCH(DATEVALUE($A362),'changes1_based on steps'!N$1:N$400,0)),N$2,)</f>
        <v>0</v>
      </c>
      <c r="O362" s="179">
        <f ca="1">IF(ISNUMBER(MATCH(DATEVALUE($A362),'changes1_based on steps'!O$1:O$400,0)),O$2,)</f>
        <v>0</v>
      </c>
      <c r="P362" s="179">
        <f ca="1">IF(ISNUMBER(MATCH(DATEVALUE($A362),'changes1_based on steps'!P$1:P$400,0)),P$2,)</f>
        <v>0</v>
      </c>
      <c r="Q362" s="179">
        <f ca="1">IF(ISNUMBER(MATCH(DATEVALUE($A362),'changes1_based on steps'!Q$1:Q$400,0)),Q$2,)</f>
        <v>0</v>
      </c>
      <c r="R362" s="179">
        <f ca="1">IF(ISNUMBER(MATCH(DATEVALUE($A362),'changes1_based on steps'!R$1:R$400,0)),R$2,)</f>
        <v>0</v>
      </c>
      <c r="S362" s="179">
        <f ca="1">IF(ISNUMBER(MATCH(DATEVALUE($A362),'changes1_based on steps'!S$1:S$400,0)),S$2,)</f>
        <v>0</v>
      </c>
      <c r="T362" s="179">
        <f ca="1">IF(ISNUMBER(MATCH(DATEVALUE($A362),'changes1_based on steps'!T$1:T$400,0)),T$2,)</f>
        <v>0</v>
      </c>
      <c r="U362" s="179">
        <f ca="1">IF(ISNUMBER(MATCH(DATEVALUE($A362),'changes1_based on steps'!U$1:U$400,0)),U$2,)</f>
        <v>0</v>
      </c>
      <c r="V362" s="179"/>
      <c r="W362" s="179"/>
      <c r="X362" s="179"/>
      <c r="Y362" s="179"/>
      <c r="Z362" s="179"/>
      <c r="AA362" s="179"/>
      <c r="AB362" s="179"/>
      <c r="AC362" s="179"/>
      <c r="AD362" s="179"/>
      <c r="AE362" s="179"/>
      <c r="AF362" s="179"/>
      <c r="AG362" s="179"/>
      <c r="AH362" s="179"/>
      <c r="AI362" s="179"/>
      <c r="AJ362" s="179"/>
      <c r="AK362" s="179"/>
      <c r="AL362" s="179"/>
      <c r="AM362" s="179"/>
      <c r="AN362" s="179"/>
      <c r="AO362" s="179"/>
      <c r="AP362" s="179"/>
      <c r="AQ362" s="179"/>
      <c r="AR362" s="179"/>
      <c r="AS362" s="179"/>
      <c r="AT362" s="179"/>
      <c r="AU362" s="179"/>
      <c r="AV362" s="179"/>
      <c r="AW362" s="179"/>
      <c r="AX362" s="179"/>
      <c r="AY362" s="179"/>
      <c r="AZ362" s="179"/>
      <c r="BA362" s="179"/>
      <c r="BB362" s="179"/>
      <c r="BC362" s="179"/>
      <c r="BD362" s="179"/>
      <c r="BE362" s="179"/>
      <c r="BF362" s="179"/>
      <c r="BG362" s="179"/>
      <c r="BH362" s="179"/>
      <c r="BI362" s="179"/>
      <c r="BJ362" s="179"/>
      <c r="BK362" s="179"/>
      <c r="BL362" s="179"/>
      <c r="BM362" s="179"/>
      <c r="BN362" s="179"/>
      <c r="BO362" s="179"/>
      <c r="BP362" s="179"/>
      <c r="BQ362" s="179"/>
      <c r="BR362" s="179"/>
      <c r="BS362" s="179"/>
      <c r="BT362" s="179"/>
      <c r="BU362" s="179"/>
      <c r="BV362" s="179"/>
      <c r="BW362" s="179"/>
      <c r="BX362" s="179"/>
      <c r="BY362" s="179"/>
      <c r="BZ362" s="179"/>
      <c r="CA362" s="179"/>
      <c r="CB362" s="179"/>
      <c r="CC362" s="179"/>
      <c r="CD362" s="179"/>
      <c r="CE362" s="179"/>
      <c r="CF362" s="179"/>
      <c r="CG362" s="179"/>
      <c r="CH362" s="179"/>
      <c r="CI362" s="179"/>
      <c r="CJ362" s="179"/>
      <c r="CK362" s="179"/>
      <c r="CL362" s="179"/>
      <c r="CM362" s="179"/>
      <c r="CN362" s="179"/>
      <c r="CO362" s="179"/>
      <c r="CP362" s="179"/>
      <c r="CQ362" s="179"/>
      <c r="CR362" s="179"/>
      <c r="CS362" s="179"/>
      <c r="CT362" s="179"/>
      <c r="CU362" s="179"/>
      <c r="CV362" s="179"/>
      <c r="CW362" s="179"/>
    </row>
    <row r="363" spans="1:101" x14ac:dyDescent="0.2">
      <c r="A363" s="32" t="str">
        <f t="shared" ca="1" si="5"/>
        <v>2026-03-24</v>
      </c>
      <c r="B363" s="179">
        <f ca="1">IF(ISNUMBER(MATCH(DATEVALUE($A363),'changes1_based on steps'!B$1:B$400,0)),B$2,)</f>
        <v>0</v>
      </c>
      <c r="C363" s="179">
        <f ca="1">IF(ISNUMBER(MATCH(DATEVALUE($A363),'changes1_based on steps'!C$1:C$400,0)),C$2,)</f>
        <v>0</v>
      </c>
      <c r="D363" s="179">
        <f ca="1">IF(ISNUMBER(MATCH(DATEVALUE($A363),'changes1_based on steps'!D$1:D$400,0)),D$2,)</f>
        <v>0</v>
      </c>
      <c r="E363" s="179">
        <f ca="1">IF(ISNUMBER(MATCH(DATEVALUE($A363),'changes1_based on steps'!E$1:E$400,0)),E$2,)</f>
        <v>0</v>
      </c>
      <c r="F363" s="179">
        <f ca="1">IF(ISNUMBER(MATCH(DATEVALUE($A363),'changes1_based on steps'!F$1:F$400,0)),F$2,)</f>
        <v>0</v>
      </c>
      <c r="G363" s="179">
        <f ca="1">IF(ISNUMBER(MATCH(DATEVALUE($A363),'changes1_based on steps'!G$1:G$400,0)),G$2,)</f>
        <v>0</v>
      </c>
      <c r="H363" s="179">
        <f ca="1">IF(ISNUMBER(MATCH(DATEVALUE($A363),'changes1_based on steps'!H$1:H$400,0)),H$2,)</f>
        <v>0</v>
      </c>
      <c r="I363" s="179">
        <f ca="1">IF(ISNUMBER(MATCH(DATEVALUE($A363),'changes1_based on steps'!I$1:I$400,0)),I$2,)</f>
        <v>0</v>
      </c>
      <c r="J363" s="179">
        <f ca="1">IF(ISNUMBER(MATCH(DATEVALUE($A363),'changes1_based on steps'!J$1:J$400,0)),J$2,)</f>
        <v>0</v>
      </c>
      <c r="K363" s="179">
        <f ca="1">IF(ISNUMBER(MATCH(DATEVALUE($A363),'changes1_based on steps'!K$1:K$400,0)),K$2,)</f>
        <v>0</v>
      </c>
      <c r="L363" s="179">
        <f ca="1">IF(ISNUMBER(MATCH(DATEVALUE($A363),'changes1_based on steps'!L$1:L$400,0)),L$2,)</f>
        <v>0</v>
      </c>
      <c r="M363" s="179">
        <f ca="1">IF(ISNUMBER(MATCH(DATEVALUE($A363),'changes1_based on steps'!M$1:M$400,0)),M$2,)</f>
        <v>0</v>
      </c>
      <c r="N363" s="179">
        <f ca="1">IF(ISNUMBER(MATCH(DATEVALUE($A363),'changes1_based on steps'!N$1:N$400,0)),N$2,)</f>
        <v>0</v>
      </c>
      <c r="O363" s="179">
        <f ca="1">IF(ISNUMBER(MATCH(DATEVALUE($A363),'changes1_based on steps'!O$1:O$400,0)),O$2,)</f>
        <v>0</v>
      </c>
      <c r="P363" s="179">
        <f ca="1">IF(ISNUMBER(MATCH(DATEVALUE($A363),'changes1_based on steps'!P$1:P$400,0)),P$2,)</f>
        <v>0</v>
      </c>
      <c r="Q363" s="179">
        <f ca="1">IF(ISNUMBER(MATCH(DATEVALUE($A363),'changes1_based on steps'!Q$1:Q$400,0)),Q$2,)</f>
        <v>0</v>
      </c>
      <c r="R363" s="179">
        <f ca="1">IF(ISNUMBER(MATCH(DATEVALUE($A363),'changes1_based on steps'!R$1:R$400,0)),R$2,)</f>
        <v>0</v>
      </c>
      <c r="S363" s="179">
        <f ca="1">IF(ISNUMBER(MATCH(DATEVALUE($A363),'changes1_based on steps'!S$1:S$400,0)),S$2,)</f>
        <v>0</v>
      </c>
      <c r="T363" s="179">
        <f ca="1">IF(ISNUMBER(MATCH(DATEVALUE($A363),'changes1_based on steps'!T$1:T$400,0)),T$2,)</f>
        <v>0</v>
      </c>
      <c r="U363" s="179">
        <f ca="1">IF(ISNUMBER(MATCH(DATEVALUE($A363),'changes1_based on steps'!U$1:U$400,0)),U$2,)</f>
        <v>0</v>
      </c>
      <c r="V363" s="179"/>
      <c r="W363" s="179"/>
      <c r="X363" s="179"/>
      <c r="Y363" s="179"/>
      <c r="Z363" s="179"/>
      <c r="AA363" s="179"/>
      <c r="AB363" s="179"/>
      <c r="AC363" s="179"/>
      <c r="AD363" s="179"/>
      <c r="AE363" s="179"/>
      <c r="AF363" s="179"/>
      <c r="AG363" s="179"/>
      <c r="AH363" s="179"/>
      <c r="AI363" s="179"/>
      <c r="AJ363" s="179"/>
      <c r="AK363" s="179"/>
      <c r="AL363" s="179"/>
      <c r="AM363" s="179"/>
      <c r="AN363" s="179"/>
      <c r="AO363" s="179"/>
      <c r="AP363" s="179"/>
      <c r="AQ363" s="179"/>
      <c r="AR363" s="179"/>
      <c r="AS363" s="179"/>
      <c r="AT363" s="179"/>
      <c r="AU363" s="179"/>
      <c r="AV363" s="179"/>
      <c r="AW363" s="179"/>
      <c r="AX363" s="179"/>
      <c r="AY363" s="179"/>
      <c r="AZ363" s="179"/>
      <c r="BA363" s="179"/>
      <c r="BB363" s="179"/>
      <c r="BC363" s="179"/>
      <c r="BD363" s="179"/>
      <c r="BE363" s="179"/>
      <c r="BF363" s="179"/>
      <c r="BG363" s="179"/>
      <c r="BH363" s="179"/>
      <c r="BI363" s="179"/>
      <c r="BJ363" s="179"/>
      <c r="BK363" s="179"/>
      <c r="BL363" s="179"/>
      <c r="BM363" s="179"/>
      <c r="BN363" s="179"/>
      <c r="BO363" s="179"/>
      <c r="BP363" s="179"/>
      <c r="BQ363" s="179"/>
      <c r="BR363" s="179"/>
      <c r="BS363" s="179"/>
      <c r="BT363" s="179"/>
      <c r="BU363" s="179"/>
      <c r="BV363" s="179"/>
      <c r="BW363" s="179"/>
      <c r="BX363" s="179"/>
      <c r="BY363" s="179"/>
      <c r="BZ363" s="179"/>
      <c r="CA363" s="179"/>
      <c r="CB363" s="179"/>
      <c r="CC363" s="179"/>
      <c r="CD363" s="179"/>
      <c r="CE363" s="179"/>
      <c r="CF363" s="179"/>
      <c r="CG363" s="179"/>
      <c r="CH363" s="179"/>
      <c r="CI363" s="179"/>
      <c r="CJ363" s="179"/>
      <c r="CK363" s="179"/>
      <c r="CL363" s="179"/>
      <c r="CM363" s="179"/>
      <c r="CN363" s="179"/>
      <c r="CO363" s="179"/>
      <c r="CP363" s="179"/>
      <c r="CQ363" s="179"/>
      <c r="CR363" s="179"/>
      <c r="CS363" s="179"/>
      <c r="CT363" s="179"/>
      <c r="CU363" s="179"/>
      <c r="CV363" s="179"/>
      <c r="CW363" s="179"/>
    </row>
    <row r="364" spans="1:101" x14ac:dyDescent="0.2">
      <c r="A364" s="32" t="str">
        <f t="shared" ca="1" si="5"/>
        <v>2026-03-25</v>
      </c>
      <c r="B364" s="179">
        <f ca="1">IF(ISNUMBER(MATCH(DATEVALUE($A364),'changes1_based on steps'!B$1:B$400,0)),B$2,)</f>
        <v>0</v>
      </c>
      <c r="C364" s="179">
        <f ca="1">IF(ISNUMBER(MATCH(DATEVALUE($A364),'changes1_based on steps'!C$1:C$400,0)),C$2,)</f>
        <v>0</v>
      </c>
      <c r="D364" s="179">
        <f ca="1">IF(ISNUMBER(MATCH(DATEVALUE($A364),'changes1_based on steps'!D$1:D$400,0)),D$2,)</f>
        <v>0</v>
      </c>
      <c r="E364" s="179">
        <f ca="1">IF(ISNUMBER(MATCH(DATEVALUE($A364),'changes1_based on steps'!E$1:E$400,0)),E$2,)</f>
        <v>0</v>
      </c>
      <c r="F364" s="179">
        <f ca="1">IF(ISNUMBER(MATCH(DATEVALUE($A364),'changes1_based on steps'!F$1:F$400,0)),F$2,)</f>
        <v>0</v>
      </c>
      <c r="G364" s="179">
        <f ca="1">IF(ISNUMBER(MATCH(DATEVALUE($A364),'changes1_based on steps'!G$1:G$400,0)),G$2,)</f>
        <v>0</v>
      </c>
      <c r="H364" s="179">
        <f ca="1">IF(ISNUMBER(MATCH(DATEVALUE($A364),'changes1_based on steps'!H$1:H$400,0)),H$2,)</f>
        <v>0</v>
      </c>
      <c r="I364" s="179">
        <f ca="1">IF(ISNUMBER(MATCH(DATEVALUE($A364),'changes1_based on steps'!I$1:I$400,0)),I$2,)</f>
        <v>0</v>
      </c>
      <c r="J364" s="179">
        <f ca="1">IF(ISNUMBER(MATCH(DATEVALUE($A364),'changes1_based on steps'!J$1:J$400,0)),J$2,)</f>
        <v>0</v>
      </c>
      <c r="K364" s="179">
        <f ca="1">IF(ISNUMBER(MATCH(DATEVALUE($A364),'changes1_based on steps'!K$1:K$400,0)),K$2,)</f>
        <v>0</v>
      </c>
      <c r="L364" s="179">
        <f ca="1">IF(ISNUMBER(MATCH(DATEVALUE($A364),'changes1_based on steps'!L$1:L$400,0)),L$2,)</f>
        <v>0</v>
      </c>
      <c r="M364" s="179">
        <f ca="1">IF(ISNUMBER(MATCH(DATEVALUE($A364),'changes1_based on steps'!M$1:M$400,0)),M$2,)</f>
        <v>0</v>
      </c>
      <c r="N364" s="179">
        <f ca="1">IF(ISNUMBER(MATCH(DATEVALUE($A364),'changes1_based on steps'!N$1:N$400,0)),N$2,)</f>
        <v>0</v>
      </c>
      <c r="O364" s="179">
        <f ca="1">IF(ISNUMBER(MATCH(DATEVALUE($A364),'changes1_based on steps'!O$1:O$400,0)),O$2,)</f>
        <v>0</v>
      </c>
      <c r="P364" s="179">
        <f ca="1">IF(ISNUMBER(MATCH(DATEVALUE($A364),'changes1_based on steps'!P$1:P$400,0)),P$2,)</f>
        <v>0</v>
      </c>
      <c r="Q364" s="179">
        <f ca="1">IF(ISNUMBER(MATCH(DATEVALUE($A364),'changes1_based on steps'!Q$1:Q$400,0)),Q$2,)</f>
        <v>0</v>
      </c>
      <c r="R364" s="179">
        <f ca="1">IF(ISNUMBER(MATCH(DATEVALUE($A364),'changes1_based on steps'!R$1:R$400,0)),R$2,)</f>
        <v>0</v>
      </c>
      <c r="S364" s="179">
        <f ca="1">IF(ISNUMBER(MATCH(DATEVALUE($A364),'changes1_based on steps'!S$1:S$400,0)),S$2,)</f>
        <v>0</v>
      </c>
      <c r="T364" s="179">
        <f ca="1">IF(ISNUMBER(MATCH(DATEVALUE($A364),'changes1_based on steps'!T$1:T$400,0)),T$2,)</f>
        <v>0</v>
      </c>
      <c r="U364" s="179">
        <f ca="1">IF(ISNUMBER(MATCH(DATEVALUE($A364),'changes1_based on steps'!U$1:U$400,0)),U$2,)</f>
        <v>0</v>
      </c>
      <c r="V364" s="179"/>
      <c r="W364" s="179"/>
      <c r="X364" s="179"/>
      <c r="Y364" s="179"/>
      <c r="Z364" s="179"/>
      <c r="AA364" s="179"/>
      <c r="AB364" s="179"/>
      <c r="AC364" s="179"/>
      <c r="AD364" s="179"/>
      <c r="AE364" s="179"/>
      <c r="AF364" s="179"/>
      <c r="AG364" s="179"/>
      <c r="AH364" s="179"/>
      <c r="AI364" s="179"/>
      <c r="AJ364" s="179"/>
      <c r="AK364" s="179"/>
      <c r="AL364" s="179"/>
      <c r="AM364" s="179"/>
      <c r="AN364" s="179"/>
      <c r="AO364" s="179"/>
      <c r="AP364" s="179"/>
      <c r="AQ364" s="179"/>
      <c r="AR364" s="179"/>
      <c r="AS364" s="179"/>
      <c r="AT364" s="179"/>
      <c r="AU364" s="179"/>
      <c r="AV364" s="179"/>
      <c r="AW364" s="179"/>
      <c r="AX364" s="179"/>
      <c r="AY364" s="179"/>
      <c r="AZ364" s="179"/>
      <c r="BA364" s="179"/>
      <c r="BB364" s="179"/>
      <c r="BC364" s="179"/>
      <c r="BD364" s="179"/>
      <c r="BE364" s="179"/>
      <c r="BF364" s="179"/>
      <c r="BG364" s="179"/>
      <c r="BH364" s="179"/>
      <c r="BI364" s="179"/>
      <c r="BJ364" s="179"/>
      <c r="BK364" s="179"/>
      <c r="BL364" s="179"/>
      <c r="BM364" s="179"/>
      <c r="BN364" s="179"/>
      <c r="BO364" s="179"/>
      <c r="BP364" s="179"/>
      <c r="BQ364" s="179"/>
      <c r="BR364" s="179"/>
      <c r="BS364" s="179"/>
      <c r="BT364" s="179"/>
      <c r="BU364" s="179"/>
      <c r="BV364" s="179"/>
      <c r="BW364" s="179"/>
      <c r="BX364" s="179"/>
      <c r="BY364" s="179"/>
      <c r="BZ364" s="179"/>
      <c r="CA364" s="179"/>
      <c r="CB364" s="179"/>
      <c r="CC364" s="179"/>
      <c r="CD364" s="179"/>
      <c r="CE364" s="179"/>
      <c r="CF364" s="179"/>
      <c r="CG364" s="179"/>
      <c r="CH364" s="179"/>
      <c r="CI364" s="179"/>
      <c r="CJ364" s="179"/>
      <c r="CK364" s="179"/>
      <c r="CL364" s="179"/>
      <c r="CM364" s="179"/>
      <c r="CN364" s="179"/>
      <c r="CO364" s="179"/>
      <c r="CP364" s="179"/>
      <c r="CQ364" s="179"/>
      <c r="CR364" s="179"/>
      <c r="CS364" s="179"/>
      <c r="CT364" s="179"/>
      <c r="CU364" s="179"/>
      <c r="CV364" s="179"/>
      <c r="CW364" s="179"/>
    </row>
    <row r="365" spans="1:101" x14ac:dyDescent="0.2">
      <c r="A365" s="32" t="str">
        <f t="shared" ca="1" si="5"/>
        <v>2026-03-26</v>
      </c>
      <c r="B365" s="179">
        <f ca="1">IF(ISNUMBER(MATCH(DATEVALUE($A365),'changes1_based on steps'!B$1:B$400,0)),B$2,)</f>
        <v>0</v>
      </c>
      <c r="C365" s="179">
        <f ca="1">IF(ISNUMBER(MATCH(DATEVALUE($A365),'changes1_based on steps'!C$1:C$400,0)),C$2,)</f>
        <v>0</v>
      </c>
      <c r="D365" s="179">
        <f ca="1">IF(ISNUMBER(MATCH(DATEVALUE($A365),'changes1_based on steps'!D$1:D$400,0)),D$2,)</f>
        <v>0</v>
      </c>
      <c r="E365" s="179">
        <f ca="1">IF(ISNUMBER(MATCH(DATEVALUE($A365),'changes1_based on steps'!E$1:E$400,0)),E$2,)</f>
        <v>0</v>
      </c>
      <c r="F365" s="179">
        <f ca="1">IF(ISNUMBER(MATCH(DATEVALUE($A365),'changes1_based on steps'!F$1:F$400,0)),F$2,)</f>
        <v>0</v>
      </c>
      <c r="G365" s="179">
        <f ca="1">IF(ISNUMBER(MATCH(DATEVALUE($A365),'changes1_based on steps'!G$1:G$400,0)),G$2,)</f>
        <v>0</v>
      </c>
      <c r="H365" s="179">
        <f ca="1">IF(ISNUMBER(MATCH(DATEVALUE($A365),'changes1_based on steps'!H$1:H$400,0)),H$2,)</f>
        <v>0</v>
      </c>
      <c r="I365" s="179">
        <f ca="1">IF(ISNUMBER(MATCH(DATEVALUE($A365),'changes1_based on steps'!I$1:I$400,0)),I$2,)</f>
        <v>0</v>
      </c>
      <c r="J365" s="179">
        <f ca="1">IF(ISNUMBER(MATCH(DATEVALUE($A365),'changes1_based on steps'!J$1:J$400,0)),J$2,)</f>
        <v>0</v>
      </c>
      <c r="K365" s="179">
        <f ca="1">IF(ISNUMBER(MATCH(DATEVALUE($A365),'changes1_based on steps'!K$1:K$400,0)),K$2,)</f>
        <v>0</v>
      </c>
      <c r="L365" s="179">
        <f ca="1">IF(ISNUMBER(MATCH(DATEVALUE($A365),'changes1_based on steps'!L$1:L$400,0)),L$2,)</f>
        <v>0</v>
      </c>
      <c r="M365" s="179">
        <f ca="1">IF(ISNUMBER(MATCH(DATEVALUE($A365),'changes1_based on steps'!M$1:M$400,0)),M$2,)</f>
        <v>0</v>
      </c>
      <c r="N365" s="179">
        <f ca="1">IF(ISNUMBER(MATCH(DATEVALUE($A365),'changes1_based on steps'!N$1:N$400,0)),N$2,)</f>
        <v>0</v>
      </c>
      <c r="O365" s="179">
        <f ca="1">IF(ISNUMBER(MATCH(DATEVALUE($A365),'changes1_based on steps'!O$1:O$400,0)),O$2,)</f>
        <v>0</v>
      </c>
      <c r="P365" s="179">
        <f ca="1">IF(ISNUMBER(MATCH(DATEVALUE($A365),'changes1_based on steps'!P$1:P$400,0)),P$2,)</f>
        <v>0</v>
      </c>
      <c r="Q365" s="179">
        <f ca="1">IF(ISNUMBER(MATCH(DATEVALUE($A365),'changes1_based on steps'!Q$1:Q$400,0)),Q$2,)</f>
        <v>0</v>
      </c>
      <c r="R365" s="179">
        <f ca="1">IF(ISNUMBER(MATCH(DATEVALUE($A365),'changes1_based on steps'!R$1:R$400,0)),R$2,)</f>
        <v>0</v>
      </c>
      <c r="S365" s="179">
        <f ca="1">IF(ISNUMBER(MATCH(DATEVALUE($A365),'changes1_based on steps'!S$1:S$400,0)),S$2,)</f>
        <v>0</v>
      </c>
      <c r="T365" s="179">
        <f ca="1">IF(ISNUMBER(MATCH(DATEVALUE($A365),'changes1_based on steps'!T$1:T$400,0)),T$2,)</f>
        <v>0</v>
      </c>
      <c r="U365" s="179">
        <f ca="1">IF(ISNUMBER(MATCH(DATEVALUE($A365),'changes1_based on steps'!U$1:U$400,0)),U$2,)</f>
        <v>0</v>
      </c>
      <c r="V365" s="179"/>
      <c r="W365" s="179"/>
      <c r="X365" s="179"/>
      <c r="Y365" s="179"/>
      <c r="Z365" s="179"/>
      <c r="AA365" s="179"/>
      <c r="AB365" s="179"/>
      <c r="AC365" s="179"/>
      <c r="AD365" s="179"/>
      <c r="AE365" s="179"/>
      <c r="AF365" s="179"/>
      <c r="AG365" s="179"/>
      <c r="AH365" s="179"/>
      <c r="AI365" s="179"/>
      <c r="AJ365" s="179"/>
      <c r="AK365" s="179"/>
      <c r="AL365" s="179"/>
      <c r="AM365" s="179"/>
      <c r="AN365" s="179"/>
      <c r="AO365" s="179"/>
      <c r="AP365" s="179"/>
      <c r="AQ365" s="179"/>
      <c r="AR365" s="179"/>
      <c r="AS365" s="179"/>
      <c r="AT365" s="179"/>
      <c r="AU365" s="179"/>
      <c r="AV365" s="179"/>
      <c r="AW365" s="179"/>
      <c r="AX365" s="179"/>
      <c r="AY365" s="179"/>
      <c r="AZ365" s="179"/>
      <c r="BA365" s="179"/>
      <c r="BB365" s="179"/>
      <c r="BC365" s="179"/>
      <c r="BD365" s="179"/>
      <c r="BE365" s="179"/>
      <c r="BF365" s="179"/>
      <c r="BG365" s="179"/>
      <c r="BH365" s="179"/>
      <c r="BI365" s="179"/>
      <c r="BJ365" s="179"/>
      <c r="BK365" s="179"/>
      <c r="BL365" s="179"/>
      <c r="BM365" s="179"/>
      <c r="BN365" s="179"/>
      <c r="BO365" s="179"/>
      <c r="BP365" s="179"/>
      <c r="BQ365" s="179"/>
      <c r="BR365" s="179"/>
      <c r="BS365" s="179"/>
      <c r="BT365" s="179"/>
      <c r="BU365" s="179"/>
      <c r="BV365" s="179"/>
      <c r="BW365" s="179"/>
      <c r="BX365" s="179"/>
      <c r="BY365" s="179"/>
      <c r="BZ365" s="179"/>
      <c r="CA365" s="179"/>
      <c r="CB365" s="179"/>
      <c r="CC365" s="179"/>
      <c r="CD365" s="179"/>
      <c r="CE365" s="179"/>
      <c r="CF365" s="179"/>
      <c r="CG365" s="179"/>
      <c r="CH365" s="179"/>
      <c r="CI365" s="179"/>
      <c r="CJ365" s="179"/>
      <c r="CK365" s="179"/>
      <c r="CL365" s="179"/>
      <c r="CM365" s="179"/>
      <c r="CN365" s="179"/>
      <c r="CO365" s="179"/>
      <c r="CP365" s="179"/>
      <c r="CQ365" s="179"/>
      <c r="CR365" s="179"/>
      <c r="CS365" s="179"/>
      <c r="CT365" s="179"/>
      <c r="CU365" s="179"/>
      <c r="CV365" s="179"/>
      <c r="CW365" s="179"/>
    </row>
    <row r="366" spans="1:101" x14ac:dyDescent="0.2">
      <c r="A366" s="32" t="str">
        <f t="shared" ca="1" si="5"/>
        <v>2026-03-27</v>
      </c>
      <c r="B366" s="179">
        <f ca="1">IF(ISNUMBER(MATCH(DATEVALUE($A366),'changes1_based on steps'!B$1:B$400,0)),B$2,)</f>
        <v>0</v>
      </c>
      <c r="C366" s="179">
        <f ca="1">IF(ISNUMBER(MATCH(DATEVALUE($A366),'changes1_based on steps'!C$1:C$400,0)),C$2,)</f>
        <v>0</v>
      </c>
      <c r="D366" s="179">
        <f ca="1">IF(ISNUMBER(MATCH(DATEVALUE($A366),'changes1_based on steps'!D$1:D$400,0)),D$2,)</f>
        <v>0</v>
      </c>
      <c r="E366" s="179">
        <f ca="1">IF(ISNUMBER(MATCH(DATEVALUE($A366),'changes1_based on steps'!E$1:E$400,0)),E$2,)</f>
        <v>0</v>
      </c>
      <c r="F366" s="179">
        <f ca="1">IF(ISNUMBER(MATCH(DATEVALUE($A366),'changes1_based on steps'!F$1:F$400,0)),F$2,)</f>
        <v>0</v>
      </c>
      <c r="G366" s="179">
        <f ca="1">IF(ISNUMBER(MATCH(DATEVALUE($A366),'changes1_based on steps'!G$1:G$400,0)),G$2,)</f>
        <v>0</v>
      </c>
      <c r="H366" s="179">
        <f ca="1">IF(ISNUMBER(MATCH(DATEVALUE($A366),'changes1_based on steps'!H$1:H$400,0)),H$2,)</f>
        <v>0</v>
      </c>
      <c r="I366" s="179">
        <f ca="1">IF(ISNUMBER(MATCH(DATEVALUE($A366),'changes1_based on steps'!I$1:I$400,0)),I$2,)</f>
        <v>0</v>
      </c>
      <c r="J366" s="179">
        <f ca="1">IF(ISNUMBER(MATCH(DATEVALUE($A366),'changes1_based on steps'!J$1:J$400,0)),J$2,)</f>
        <v>0</v>
      </c>
      <c r="K366" s="179">
        <f ca="1">IF(ISNUMBER(MATCH(DATEVALUE($A366),'changes1_based on steps'!K$1:K$400,0)),K$2,)</f>
        <v>0</v>
      </c>
      <c r="L366" s="179">
        <f ca="1">IF(ISNUMBER(MATCH(DATEVALUE($A366),'changes1_based on steps'!L$1:L$400,0)),L$2,)</f>
        <v>0</v>
      </c>
      <c r="M366" s="179">
        <f ca="1">IF(ISNUMBER(MATCH(DATEVALUE($A366),'changes1_based on steps'!M$1:M$400,0)),M$2,)</f>
        <v>0</v>
      </c>
      <c r="N366" s="179">
        <f ca="1">IF(ISNUMBER(MATCH(DATEVALUE($A366),'changes1_based on steps'!N$1:N$400,0)),N$2,)</f>
        <v>0</v>
      </c>
      <c r="O366" s="179">
        <f ca="1">IF(ISNUMBER(MATCH(DATEVALUE($A366),'changes1_based on steps'!O$1:O$400,0)),O$2,)</f>
        <v>0</v>
      </c>
      <c r="P366" s="179">
        <f ca="1">IF(ISNUMBER(MATCH(DATEVALUE($A366),'changes1_based on steps'!P$1:P$400,0)),P$2,)</f>
        <v>0</v>
      </c>
      <c r="Q366" s="179">
        <f ca="1">IF(ISNUMBER(MATCH(DATEVALUE($A366),'changes1_based on steps'!Q$1:Q$400,0)),Q$2,)</f>
        <v>0</v>
      </c>
      <c r="R366" s="179">
        <f ca="1">IF(ISNUMBER(MATCH(DATEVALUE($A366),'changes1_based on steps'!R$1:R$400,0)),R$2,)</f>
        <v>0</v>
      </c>
      <c r="S366" s="179">
        <f ca="1">IF(ISNUMBER(MATCH(DATEVALUE($A366),'changes1_based on steps'!S$1:S$400,0)),S$2,)</f>
        <v>0</v>
      </c>
      <c r="T366" s="179">
        <f ca="1">IF(ISNUMBER(MATCH(DATEVALUE($A366),'changes1_based on steps'!T$1:T$400,0)),T$2,)</f>
        <v>0</v>
      </c>
      <c r="U366" s="179">
        <f ca="1">IF(ISNUMBER(MATCH(DATEVALUE($A366),'changes1_based on steps'!U$1:U$400,0)),U$2,)</f>
        <v>0</v>
      </c>
      <c r="V366" s="179"/>
      <c r="W366" s="179"/>
      <c r="X366" s="179"/>
      <c r="Y366" s="179"/>
      <c r="Z366" s="179"/>
      <c r="AA366" s="179"/>
      <c r="AB366" s="179"/>
      <c r="AC366" s="179"/>
      <c r="AD366" s="179"/>
      <c r="AE366" s="179"/>
      <c r="AF366" s="179"/>
      <c r="AG366" s="179"/>
      <c r="AH366" s="179"/>
      <c r="AI366" s="179"/>
      <c r="AJ366" s="179"/>
      <c r="AK366" s="179"/>
      <c r="AL366" s="179"/>
      <c r="AM366" s="179"/>
      <c r="AN366" s="179"/>
      <c r="AO366" s="179"/>
      <c r="AP366" s="179"/>
      <c r="AQ366" s="179"/>
      <c r="AR366" s="179"/>
      <c r="AS366" s="179"/>
      <c r="AT366" s="179"/>
      <c r="AU366" s="179"/>
      <c r="AV366" s="179"/>
      <c r="AW366" s="179"/>
      <c r="AX366" s="179"/>
      <c r="AY366" s="179"/>
      <c r="AZ366" s="179"/>
      <c r="BA366" s="179"/>
      <c r="BB366" s="179"/>
      <c r="BC366" s="179"/>
      <c r="BD366" s="179"/>
      <c r="BE366" s="179"/>
      <c r="BF366" s="179"/>
      <c r="BG366" s="179"/>
      <c r="BH366" s="179"/>
      <c r="BI366" s="179"/>
      <c r="BJ366" s="179"/>
      <c r="BK366" s="179"/>
      <c r="BL366" s="179"/>
      <c r="BM366" s="179"/>
      <c r="BN366" s="179"/>
      <c r="BO366" s="179"/>
      <c r="BP366" s="179"/>
      <c r="BQ366" s="179"/>
      <c r="BR366" s="179"/>
      <c r="BS366" s="179"/>
      <c r="BT366" s="179"/>
      <c r="BU366" s="179"/>
      <c r="BV366" s="179"/>
      <c r="BW366" s="179"/>
      <c r="BX366" s="179"/>
      <c r="BY366" s="179"/>
      <c r="BZ366" s="179"/>
      <c r="CA366" s="179"/>
      <c r="CB366" s="179"/>
      <c r="CC366" s="179"/>
      <c r="CD366" s="179"/>
      <c r="CE366" s="179"/>
      <c r="CF366" s="179"/>
      <c r="CG366" s="179"/>
      <c r="CH366" s="179"/>
      <c r="CI366" s="179"/>
      <c r="CJ366" s="179"/>
      <c r="CK366" s="179"/>
      <c r="CL366" s="179"/>
      <c r="CM366" s="179"/>
      <c r="CN366" s="179"/>
      <c r="CO366" s="179"/>
      <c r="CP366" s="179"/>
      <c r="CQ366" s="179"/>
      <c r="CR366" s="179"/>
      <c r="CS366" s="179"/>
      <c r="CT366" s="179"/>
      <c r="CU366" s="179"/>
      <c r="CV366" s="179"/>
      <c r="CW366" s="179"/>
    </row>
    <row r="367" spans="1:101" x14ac:dyDescent="0.2">
      <c r="A367" s="32" t="str">
        <f t="shared" ca="1" si="5"/>
        <v>2026-03-28</v>
      </c>
      <c r="B367" s="179">
        <f ca="1">IF(ISNUMBER(MATCH(DATEVALUE($A367),'changes1_based on steps'!B$1:B$400,0)),B$2,)</f>
        <v>0</v>
      </c>
      <c r="C367" s="179">
        <f ca="1">IF(ISNUMBER(MATCH(DATEVALUE($A367),'changes1_based on steps'!C$1:C$400,0)),C$2,)</f>
        <v>0</v>
      </c>
      <c r="D367" s="179">
        <f ca="1">IF(ISNUMBER(MATCH(DATEVALUE($A367),'changes1_based on steps'!D$1:D$400,0)),D$2,)</f>
        <v>0</v>
      </c>
      <c r="E367" s="179">
        <f ca="1">IF(ISNUMBER(MATCH(DATEVALUE($A367),'changes1_based on steps'!E$1:E$400,0)),E$2,)</f>
        <v>0</v>
      </c>
      <c r="F367" s="179">
        <f ca="1">IF(ISNUMBER(MATCH(DATEVALUE($A367),'changes1_based on steps'!F$1:F$400,0)),F$2,)</f>
        <v>0</v>
      </c>
      <c r="G367" s="179">
        <f ca="1">IF(ISNUMBER(MATCH(DATEVALUE($A367),'changes1_based on steps'!G$1:G$400,0)),G$2,)</f>
        <v>0</v>
      </c>
      <c r="H367" s="179">
        <f ca="1">IF(ISNUMBER(MATCH(DATEVALUE($A367),'changes1_based on steps'!H$1:H$400,0)),H$2,)</f>
        <v>0</v>
      </c>
      <c r="I367" s="179">
        <f ca="1">IF(ISNUMBER(MATCH(DATEVALUE($A367),'changes1_based on steps'!I$1:I$400,0)),I$2,)</f>
        <v>0</v>
      </c>
      <c r="J367" s="179">
        <f ca="1">IF(ISNUMBER(MATCH(DATEVALUE($A367),'changes1_based on steps'!J$1:J$400,0)),J$2,)</f>
        <v>0</v>
      </c>
      <c r="K367" s="179">
        <f ca="1">IF(ISNUMBER(MATCH(DATEVALUE($A367),'changes1_based on steps'!K$1:K$400,0)),K$2,)</f>
        <v>0</v>
      </c>
      <c r="L367" s="179">
        <f ca="1">IF(ISNUMBER(MATCH(DATEVALUE($A367),'changes1_based on steps'!L$1:L$400,0)),L$2,)</f>
        <v>0</v>
      </c>
      <c r="M367" s="179">
        <f ca="1">IF(ISNUMBER(MATCH(DATEVALUE($A367),'changes1_based on steps'!M$1:M$400,0)),M$2,)</f>
        <v>0</v>
      </c>
      <c r="N367" s="179">
        <f ca="1">IF(ISNUMBER(MATCH(DATEVALUE($A367),'changes1_based on steps'!N$1:N$400,0)),N$2,)</f>
        <v>0</v>
      </c>
      <c r="O367" s="179">
        <f ca="1">IF(ISNUMBER(MATCH(DATEVALUE($A367),'changes1_based on steps'!O$1:O$400,0)),O$2,)</f>
        <v>0</v>
      </c>
      <c r="P367" s="179">
        <f ca="1">IF(ISNUMBER(MATCH(DATEVALUE($A367),'changes1_based on steps'!P$1:P$400,0)),P$2,)</f>
        <v>0</v>
      </c>
      <c r="Q367" s="179">
        <f ca="1">IF(ISNUMBER(MATCH(DATEVALUE($A367),'changes1_based on steps'!Q$1:Q$400,0)),Q$2,)</f>
        <v>0</v>
      </c>
      <c r="R367" s="179">
        <f ca="1">IF(ISNUMBER(MATCH(DATEVALUE($A367),'changes1_based on steps'!R$1:R$400,0)),R$2,)</f>
        <v>0</v>
      </c>
      <c r="S367" s="179">
        <f ca="1">IF(ISNUMBER(MATCH(DATEVALUE($A367),'changes1_based on steps'!S$1:S$400,0)),S$2,)</f>
        <v>0</v>
      </c>
      <c r="T367" s="179">
        <f ca="1">IF(ISNUMBER(MATCH(DATEVALUE($A367),'changes1_based on steps'!T$1:T$400,0)),T$2,)</f>
        <v>0</v>
      </c>
      <c r="U367" s="179">
        <f ca="1">IF(ISNUMBER(MATCH(DATEVALUE($A367),'changes1_based on steps'!U$1:U$400,0)),U$2,)</f>
        <v>0</v>
      </c>
      <c r="V367" s="179"/>
      <c r="W367" s="179"/>
      <c r="X367" s="179"/>
      <c r="Y367" s="179"/>
      <c r="Z367" s="179"/>
      <c r="AA367" s="179"/>
      <c r="AB367" s="179"/>
      <c r="AC367" s="179"/>
      <c r="AD367" s="179"/>
      <c r="AE367" s="179"/>
      <c r="AF367" s="179"/>
      <c r="AG367" s="179"/>
      <c r="AH367" s="179"/>
      <c r="AI367" s="179"/>
      <c r="AJ367" s="179"/>
      <c r="AK367" s="179"/>
      <c r="AL367" s="179"/>
      <c r="AM367" s="179"/>
      <c r="AN367" s="179"/>
      <c r="AO367" s="179"/>
      <c r="AP367" s="179"/>
      <c r="AQ367" s="179"/>
      <c r="AR367" s="179"/>
      <c r="AS367" s="179"/>
      <c r="AT367" s="179"/>
      <c r="AU367" s="179"/>
      <c r="AV367" s="179"/>
      <c r="AW367" s="179"/>
      <c r="AX367" s="179"/>
      <c r="AY367" s="179"/>
      <c r="AZ367" s="179"/>
      <c r="BA367" s="179"/>
      <c r="BB367" s="179"/>
      <c r="BC367" s="179"/>
      <c r="BD367" s="179"/>
      <c r="BE367" s="179"/>
      <c r="BF367" s="179"/>
      <c r="BG367" s="179"/>
      <c r="BH367" s="179"/>
      <c r="BI367" s="179"/>
      <c r="BJ367" s="179"/>
      <c r="BK367" s="179"/>
      <c r="BL367" s="179"/>
      <c r="BM367" s="179"/>
      <c r="BN367" s="179"/>
      <c r="BO367" s="179"/>
      <c r="BP367" s="179"/>
      <c r="BQ367" s="179"/>
      <c r="BR367" s="179"/>
      <c r="BS367" s="179"/>
      <c r="BT367" s="179"/>
      <c r="BU367" s="179"/>
      <c r="BV367" s="179"/>
      <c r="BW367" s="179"/>
      <c r="BX367" s="179"/>
      <c r="BY367" s="179"/>
      <c r="BZ367" s="179"/>
      <c r="CA367" s="179"/>
      <c r="CB367" s="179"/>
      <c r="CC367" s="179"/>
      <c r="CD367" s="179"/>
      <c r="CE367" s="179"/>
      <c r="CF367" s="179"/>
      <c r="CG367" s="179"/>
      <c r="CH367" s="179"/>
      <c r="CI367" s="179"/>
      <c r="CJ367" s="179"/>
      <c r="CK367" s="179"/>
      <c r="CL367" s="179"/>
      <c r="CM367" s="179"/>
      <c r="CN367" s="179"/>
      <c r="CO367" s="179"/>
      <c r="CP367" s="179"/>
      <c r="CQ367" s="179"/>
      <c r="CR367" s="179"/>
      <c r="CS367" s="179"/>
      <c r="CT367" s="179"/>
      <c r="CU367" s="179"/>
      <c r="CV367" s="179"/>
      <c r="CW367" s="179"/>
    </row>
    <row r="368" spans="1:101" x14ac:dyDescent="0.2">
      <c r="A368" s="32" t="str">
        <f t="shared" ca="1" si="5"/>
        <v>2026-03-29</v>
      </c>
      <c r="B368" s="179">
        <f ca="1">IF(ISNUMBER(MATCH(DATEVALUE($A368),'changes1_based on steps'!B$1:B$400,0)),B$2,)</f>
        <v>0</v>
      </c>
      <c r="C368" s="179">
        <f ca="1">IF(ISNUMBER(MATCH(DATEVALUE($A368),'changes1_based on steps'!C$1:C$400,0)),C$2,)</f>
        <v>0</v>
      </c>
      <c r="D368" s="179">
        <f ca="1">IF(ISNUMBER(MATCH(DATEVALUE($A368),'changes1_based on steps'!D$1:D$400,0)),D$2,)</f>
        <v>0</v>
      </c>
      <c r="E368" s="179">
        <f ca="1">IF(ISNUMBER(MATCH(DATEVALUE($A368),'changes1_based on steps'!E$1:E$400,0)),E$2,)</f>
        <v>0</v>
      </c>
      <c r="F368" s="179">
        <f ca="1">IF(ISNUMBER(MATCH(DATEVALUE($A368),'changes1_based on steps'!F$1:F$400,0)),F$2,)</f>
        <v>0</v>
      </c>
      <c r="G368" s="179">
        <f ca="1">IF(ISNUMBER(MATCH(DATEVALUE($A368),'changes1_based on steps'!G$1:G$400,0)),G$2,)</f>
        <v>0</v>
      </c>
      <c r="H368" s="179">
        <f ca="1">IF(ISNUMBER(MATCH(DATEVALUE($A368),'changes1_based on steps'!H$1:H$400,0)),H$2,)</f>
        <v>0</v>
      </c>
      <c r="I368" s="179">
        <f ca="1">IF(ISNUMBER(MATCH(DATEVALUE($A368),'changes1_based on steps'!I$1:I$400,0)),I$2,)</f>
        <v>0</v>
      </c>
      <c r="J368" s="179">
        <f ca="1">IF(ISNUMBER(MATCH(DATEVALUE($A368),'changes1_based on steps'!J$1:J$400,0)),J$2,)</f>
        <v>0</v>
      </c>
      <c r="K368" s="179">
        <f ca="1">IF(ISNUMBER(MATCH(DATEVALUE($A368),'changes1_based on steps'!K$1:K$400,0)),K$2,)</f>
        <v>0</v>
      </c>
      <c r="L368" s="179">
        <f ca="1">IF(ISNUMBER(MATCH(DATEVALUE($A368),'changes1_based on steps'!L$1:L$400,0)),L$2,)</f>
        <v>0</v>
      </c>
      <c r="M368" s="179">
        <f ca="1">IF(ISNUMBER(MATCH(DATEVALUE($A368),'changes1_based on steps'!M$1:M$400,0)),M$2,)</f>
        <v>0</v>
      </c>
      <c r="N368" s="179">
        <f ca="1">IF(ISNUMBER(MATCH(DATEVALUE($A368),'changes1_based on steps'!N$1:N$400,0)),N$2,)</f>
        <v>0</v>
      </c>
      <c r="O368" s="179">
        <f ca="1">IF(ISNUMBER(MATCH(DATEVALUE($A368),'changes1_based on steps'!O$1:O$400,0)),O$2,)</f>
        <v>0</v>
      </c>
      <c r="P368" s="179">
        <f ca="1">IF(ISNUMBER(MATCH(DATEVALUE($A368),'changes1_based on steps'!P$1:P$400,0)),P$2,)</f>
        <v>0</v>
      </c>
      <c r="Q368" s="179">
        <f ca="1">IF(ISNUMBER(MATCH(DATEVALUE($A368),'changes1_based on steps'!Q$1:Q$400,0)),Q$2,)</f>
        <v>0</v>
      </c>
      <c r="R368" s="179">
        <f ca="1">IF(ISNUMBER(MATCH(DATEVALUE($A368),'changes1_based on steps'!R$1:R$400,0)),R$2,)</f>
        <v>0</v>
      </c>
      <c r="S368" s="179">
        <f ca="1">IF(ISNUMBER(MATCH(DATEVALUE($A368),'changes1_based on steps'!S$1:S$400,0)),S$2,)</f>
        <v>0</v>
      </c>
      <c r="T368" s="179">
        <f ca="1">IF(ISNUMBER(MATCH(DATEVALUE($A368),'changes1_based on steps'!T$1:T$400,0)),T$2,)</f>
        <v>0</v>
      </c>
      <c r="U368" s="179">
        <f ca="1">IF(ISNUMBER(MATCH(DATEVALUE($A368),'changes1_based on steps'!U$1:U$400,0)),U$2,)</f>
        <v>0</v>
      </c>
      <c r="V368" s="179"/>
      <c r="W368" s="179"/>
      <c r="X368" s="179"/>
      <c r="Y368" s="179"/>
      <c r="Z368" s="179"/>
      <c r="AA368" s="179"/>
      <c r="AB368" s="179"/>
      <c r="AC368" s="179"/>
      <c r="AD368" s="179"/>
      <c r="AE368" s="179"/>
      <c r="AF368" s="179"/>
      <c r="AG368" s="179"/>
      <c r="AH368" s="179"/>
      <c r="AI368" s="179"/>
      <c r="AJ368" s="179"/>
      <c r="AK368" s="179"/>
      <c r="AL368" s="179"/>
      <c r="AM368" s="179"/>
      <c r="AN368" s="179"/>
      <c r="AO368" s="179"/>
      <c r="AP368" s="179"/>
      <c r="AQ368" s="179"/>
      <c r="AR368" s="179"/>
      <c r="AS368" s="179"/>
      <c r="AT368" s="179"/>
      <c r="AU368" s="179"/>
      <c r="AV368" s="179"/>
      <c r="AW368" s="179"/>
      <c r="AX368" s="179"/>
      <c r="AY368" s="179"/>
      <c r="AZ368" s="179"/>
      <c r="BA368" s="179"/>
      <c r="BB368" s="179"/>
      <c r="BC368" s="179"/>
      <c r="BD368" s="179"/>
      <c r="BE368" s="179"/>
      <c r="BF368" s="179"/>
      <c r="BG368" s="179"/>
      <c r="BH368" s="179"/>
      <c r="BI368" s="179"/>
      <c r="BJ368" s="179"/>
      <c r="BK368" s="179"/>
      <c r="BL368" s="179"/>
      <c r="BM368" s="179"/>
      <c r="BN368" s="179"/>
      <c r="BO368" s="179"/>
      <c r="BP368" s="179"/>
      <c r="BQ368" s="179"/>
      <c r="BR368" s="179"/>
      <c r="BS368" s="179"/>
      <c r="BT368" s="179"/>
      <c r="BU368" s="179"/>
      <c r="BV368" s="179"/>
      <c r="BW368" s="179"/>
      <c r="BX368" s="179"/>
      <c r="BY368" s="179"/>
      <c r="BZ368" s="179"/>
      <c r="CA368" s="179"/>
      <c r="CB368" s="179"/>
      <c r="CC368" s="179"/>
      <c r="CD368" s="179"/>
      <c r="CE368" s="179"/>
      <c r="CF368" s="179"/>
      <c r="CG368" s="179"/>
      <c r="CH368" s="179"/>
      <c r="CI368" s="179"/>
      <c r="CJ368" s="179"/>
      <c r="CK368" s="179"/>
      <c r="CL368" s="179"/>
      <c r="CM368" s="179"/>
      <c r="CN368" s="179"/>
      <c r="CO368" s="179"/>
      <c r="CP368" s="179"/>
      <c r="CQ368" s="179"/>
      <c r="CR368" s="179"/>
      <c r="CS368" s="179"/>
      <c r="CT368" s="179"/>
      <c r="CU368" s="179"/>
      <c r="CV368" s="179"/>
      <c r="CW368" s="179"/>
    </row>
    <row r="369" spans="1:101" x14ac:dyDescent="0.2">
      <c r="A369" s="32" t="str">
        <f t="shared" ca="1" si="5"/>
        <v>2026-03-30</v>
      </c>
      <c r="B369" s="179">
        <f ca="1">IF(ISNUMBER(MATCH(DATEVALUE($A369),'changes1_based on steps'!B$1:B$400,0)),B$2,)</f>
        <v>0</v>
      </c>
      <c r="C369" s="179">
        <f ca="1">IF(ISNUMBER(MATCH(DATEVALUE($A369),'changes1_based on steps'!C$1:C$400,0)),C$2,)</f>
        <v>0</v>
      </c>
      <c r="D369" s="179">
        <f ca="1">IF(ISNUMBER(MATCH(DATEVALUE($A369),'changes1_based on steps'!D$1:D$400,0)),D$2,)</f>
        <v>0</v>
      </c>
      <c r="E369" s="179">
        <f ca="1">IF(ISNUMBER(MATCH(DATEVALUE($A369),'changes1_based on steps'!E$1:E$400,0)),E$2,)</f>
        <v>0</v>
      </c>
      <c r="F369" s="179">
        <f ca="1">IF(ISNUMBER(MATCH(DATEVALUE($A369),'changes1_based on steps'!F$1:F$400,0)),F$2,)</f>
        <v>0</v>
      </c>
      <c r="G369" s="179">
        <f ca="1">IF(ISNUMBER(MATCH(DATEVALUE($A369),'changes1_based on steps'!G$1:G$400,0)),G$2,)</f>
        <v>0</v>
      </c>
      <c r="H369" s="179">
        <f ca="1">IF(ISNUMBER(MATCH(DATEVALUE($A369),'changes1_based on steps'!H$1:H$400,0)),H$2,)</f>
        <v>0</v>
      </c>
      <c r="I369" s="179">
        <f ca="1">IF(ISNUMBER(MATCH(DATEVALUE($A369),'changes1_based on steps'!I$1:I$400,0)),I$2,)</f>
        <v>0</v>
      </c>
      <c r="J369" s="179">
        <f ca="1">IF(ISNUMBER(MATCH(DATEVALUE($A369),'changes1_based on steps'!J$1:J$400,0)),J$2,)</f>
        <v>0</v>
      </c>
      <c r="K369" s="179">
        <f ca="1">IF(ISNUMBER(MATCH(DATEVALUE($A369),'changes1_based on steps'!K$1:K$400,0)),K$2,)</f>
        <v>0</v>
      </c>
      <c r="L369" s="179">
        <f ca="1">IF(ISNUMBER(MATCH(DATEVALUE($A369),'changes1_based on steps'!L$1:L$400,0)),L$2,)</f>
        <v>0</v>
      </c>
      <c r="M369" s="179">
        <f ca="1">IF(ISNUMBER(MATCH(DATEVALUE($A369),'changes1_based on steps'!M$1:M$400,0)),M$2,)</f>
        <v>0</v>
      </c>
      <c r="N369" s="179">
        <f ca="1">IF(ISNUMBER(MATCH(DATEVALUE($A369),'changes1_based on steps'!N$1:N$400,0)),N$2,)</f>
        <v>0</v>
      </c>
      <c r="O369" s="179">
        <f ca="1">IF(ISNUMBER(MATCH(DATEVALUE($A369),'changes1_based on steps'!O$1:O$400,0)),O$2,)</f>
        <v>0</v>
      </c>
      <c r="P369" s="179">
        <f ca="1">IF(ISNUMBER(MATCH(DATEVALUE($A369),'changes1_based on steps'!P$1:P$400,0)),P$2,)</f>
        <v>0</v>
      </c>
      <c r="Q369" s="179">
        <f ca="1">IF(ISNUMBER(MATCH(DATEVALUE($A369),'changes1_based on steps'!Q$1:Q$400,0)),Q$2,)</f>
        <v>0</v>
      </c>
      <c r="R369" s="179">
        <f ca="1">IF(ISNUMBER(MATCH(DATEVALUE($A369),'changes1_based on steps'!R$1:R$400,0)),R$2,)</f>
        <v>0</v>
      </c>
      <c r="S369" s="179">
        <f ca="1">IF(ISNUMBER(MATCH(DATEVALUE($A369),'changes1_based on steps'!S$1:S$400,0)),S$2,)</f>
        <v>0</v>
      </c>
      <c r="T369" s="179">
        <f ca="1">IF(ISNUMBER(MATCH(DATEVALUE($A369),'changes1_based on steps'!T$1:T$400,0)),T$2,)</f>
        <v>0</v>
      </c>
      <c r="U369" s="179">
        <f ca="1">IF(ISNUMBER(MATCH(DATEVALUE($A369),'changes1_based on steps'!U$1:U$400,0)),U$2,)</f>
        <v>0</v>
      </c>
      <c r="V369" s="179"/>
      <c r="W369" s="179"/>
      <c r="X369" s="179"/>
      <c r="Y369" s="179"/>
      <c r="Z369" s="179"/>
      <c r="AA369" s="179"/>
      <c r="AB369" s="179"/>
      <c r="AC369" s="179"/>
      <c r="AD369" s="179"/>
      <c r="AE369" s="179"/>
      <c r="AF369" s="179"/>
      <c r="AG369" s="179"/>
      <c r="AH369" s="179"/>
      <c r="AI369" s="179"/>
      <c r="AJ369" s="179"/>
      <c r="AK369" s="179"/>
      <c r="AL369" s="179"/>
      <c r="AM369" s="179"/>
      <c r="AN369" s="179"/>
      <c r="AO369" s="179"/>
      <c r="AP369" s="179"/>
      <c r="AQ369" s="179"/>
      <c r="AR369" s="179"/>
      <c r="AS369" s="179"/>
      <c r="AT369" s="179"/>
      <c r="AU369" s="179"/>
      <c r="AV369" s="179"/>
      <c r="AW369" s="179"/>
      <c r="AX369" s="179"/>
      <c r="AY369" s="179"/>
      <c r="AZ369" s="179"/>
      <c r="BA369" s="179"/>
      <c r="BB369" s="179"/>
      <c r="BC369" s="179"/>
      <c r="BD369" s="179"/>
      <c r="BE369" s="179"/>
      <c r="BF369" s="179"/>
      <c r="BG369" s="179"/>
      <c r="BH369" s="179"/>
      <c r="BI369" s="179"/>
      <c r="BJ369" s="179"/>
      <c r="BK369" s="179"/>
      <c r="BL369" s="179"/>
      <c r="BM369" s="179"/>
      <c r="BN369" s="179"/>
      <c r="BO369" s="179"/>
      <c r="BP369" s="179"/>
      <c r="BQ369" s="179"/>
      <c r="BR369" s="179"/>
      <c r="BS369" s="179"/>
      <c r="BT369" s="179"/>
      <c r="BU369" s="179"/>
      <c r="BV369" s="179"/>
      <c r="BW369" s="179"/>
      <c r="BX369" s="179"/>
      <c r="BY369" s="179"/>
      <c r="BZ369" s="179"/>
      <c r="CA369" s="179"/>
      <c r="CB369" s="179"/>
      <c r="CC369" s="179"/>
      <c r="CD369" s="179"/>
      <c r="CE369" s="179"/>
      <c r="CF369" s="179"/>
      <c r="CG369" s="179"/>
      <c r="CH369" s="179"/>
      <c r="CI369" s="179"/>
      <c r="CJ369" s="179"/>
      <c r="CK369" s="179"/>
      <c r="CL369" s="179"/>
      <c r="CM369" s="179"/>
      <c r="CN369" s="179"/>
      <c r="CO369" s="179"/>
      <c r="CP369" s="179"/>
      <c r="CQ369" s="179"/>
      <c r="CR369" s="179"/>
      <c r="CS369" s="179"/>
      <c r="CT369" s="179"/>
      <c r="CU369" s="179"/>
      <c r="CV369" s="179"/>
      <c r="CW369" s="179"/>
    </row>
    <row r="370" spans="1:101" x14ac:dyDescent="0.2">
      <c r="A370" s="32" t="str">
        <f t="shared" ca="1" si="5"/>
        <v>2026-03-31</v>
      </c>
      <c r="B370" s="179">
        <f ca="1">IF(ISNUMBER(MATCH(DATEVALUE($A370),'changes1_based on steps'!B$1:B$400,0)),B$2,)</f>
        <v>0</v>
      </c>
      <c r="C370" s="179">
        <f ca="1">IF(ISNUMBER(MATCH(DATEVALUE($A370),'changes1_based on steps'!C$1:C$400,0)),C$2,)</f>
        <v>0</v>
      </c>
      <c r="D370" s="179">
        <f ca="1">IF(ISNUMBER(MATCH(DATEVALUE($A370),'changes1_based on steps'!D$1:D$400,0)),D$2,)</f>
        <v>0</v>
      </c>
      <c r="E370" s="179">
        <f ca="1">IF(ISNUMBER(MATCH(DATEVALUE($A370),'changes1_based on steps'!E$1:E$400,0)),E$2,)</f>
        <v>0</v>
      </c>
      <c r="F370" s="179">
        <f ca="1">IF(ISNUMBER(MATCH(DATEVALUE($A370),'changes1_based on steps'!F$1:F$400,0)),F$2,)</f>
        <v>0</v>
      </c>
      <c r="G370" s="179">
        <f ca="1">IF(ISNUMBER(MATCH(DATEVALUE($A370),'changes1_based on steps'!G$1:G$400,0)),G$2,)</f>
        <v>0</v>
      </c>
      <c r="H370" s="179">
        <f ca="1">IF(ISNUMBER(MATCH(DATEVALUE($A370),'changes1_based on steps'!H$1:H$400,0)),H$2,)</f>
        <v>0</v>
      </c>
      <c r="I370" s="179">
        <f ca="1">IF(ISNUMBER(MATCH(DATEVALUE($A370),'changes1_based on steps'!I$1:I$400,0)),I$2,)</f>
        <v>0</v>
      </c>
      <c r="J370" s="179">
        <f ca="1">IF(ISNUMBER(MATCH(DATEVALUE($A370),'changes1_based on steps'!J$1:J$400,0)),J$2,)</f>
        <v>0</v>
      </c>
      <c r="K370" s="179">
        <f ca="1">IF(ISNUMBER(MATCH(DATEVALUE($A370),'changes1_based on steps'!K$1:K$400,0)),K$2,)</f>
        <v>0</v>
      </c>
      <c r="L370" s="179">
        <f ca="1">IF(ISNUMBER(MATCH(DATEVALUE($A370),'changes1_based on steps'!L$1:L$400,0)),L$2,)</f>
        <v>0</v>
      </c>
      <c r="M370" s="179">
        <f ca="1">IF(ISNUMBER(MATCH(DATEVALUE($A370),'changes1_based on steps'!M$1:M$400,0)),M$2,)</f>
        <v>0</v>
      </c>
      <c r="N370" s="179">
        <f ca="1">IF(ISNUMBER(MATCH(DATEVALUE($A370),'changes1_based on steps'!N$1:N$400,0)),N$2,)</f>
        <v>0</v>
      </c>
      <c r="O370" s="179">
        <f ca="1">IF(ISNUMBER(MATCH(DATEVALUE($A370),'changes1_based on steps'!O$1:O$400,0)),O$2,)</f>
        <v>0</v>
      </c>
      <c r="P370" s="179">
        <f ca="1">IF(ISNUMBER(MATCH(DATEVALUE($A370),'changes1_based on steps'!P$1:P$400,0)),P$2,)</f>
        <v>0</v>
      </c>
      <c r="Q370" s="179">
        <f ca="1">IF(ISNUMBER(MATCH(DATEVALUE($A370),'changes1_based on steps'!Q$1:Q$400,0)),Q$2,)</f>
        <v>0</v>
      </c>
      <c r="R370" s="179">
        <f ca="1">IF(ISNUMBER(MATCH(DATEVALUE($A370),'changes1_based on steps'!R$1:R$400,0)),R$2,)</f>
        <v>0</v>
      </c>
      <c r="S370" s="179">
        <f ca="1">IF(ISNUMBER(MATCH(DATEVALUE($A370),'changes1_based on steps'!S$1:S$400,0)),S$2,)</f>
        <v>0</v>
      </c>
      <c r="T370" s="179">
        <f ca="1">IF(ISNUMBER(MATCH(DATEVALUE($A370),'changes1_based on steps'!T$1:T$400,0)),T$2,)</f>
        <v>0</v>
      </c>
      <c r="U370" s="179">
        <f ca="1">IF(ISNUMBER(MATCH(DATEVALUE($A370),'changes1_based on steps'!U$1:U$400,0)),U$2,)</f>
        <v>0</v>
      </c>
      <c r="V370" s="179"/>
      <c r="W370" s="179"/>
      <c r="X370" s="179"/>
      <c r="Y370" s="179"/>
      <c r="Z370" s="179"/>
      <c r="AA370" s="179"/>
      <c r="AB370" s="179"/>
      <c r="AC370" s="179"/>
      <c r="AD370" s="179"/>
      <c r="AE370" s="179"/>
      <c r="AF370" s="179"/>
      <c r="AG370" s="179"/>
      <c r="AH370" s="179"/>
      <c r="AI370" s="179"/>
      <c r="AJ370" s="179"/>
      <c r="AK370" s="179"/>
      <c r="AL370" s="179"/>
      <c r="AM370" s="179"/>
      <c r="AN370" s="179"/>
      <c r="AO370" s="179"/>
      <c r="AP370" s="179"/>
      <c r="AQ370" s="179"/>
      <c r="AR370" s="179"/>
      <c r="AS370" s="179"/>
      <c r="AT370" s="179"/>
      <c r="AU370" s="179"/>
      <c r="AV370" s="179"/>
      <c r="AW370" s="179"/>
      <c r="AX370" s="179"/>
      <c r="AY370" s="179"/>
      <c r="AZ370" s="179"/>
      <c r="BA370" s="179"/>
      <c r="BB370" s="179"/>
      <c r="BC370" s="179"/>
      <c r="BD370" s="179"/>
      <c r="BE370" s="179"/>
      <c r="BF370" s="179"/>
      <c r="BG370" s="179"/>
      <c r="BH370" s="179"/>
      <c r="BI370" s="179"/>
      <c r="BJ370" s="179"/>
      <c r="BK370" s="179"/>
      <c r="BL370" s="179"/>
      <c r="BM370" s="179"/>
      <c r="BN370" s="179"/>
      <c r="BO370" s="179"/>
      <c r="BP370" s="179"/>
      <c r="BQ370" s="179"/>
      <c r="BR370" s="179"/>
      <c r="BS370" s="179"/>
      <c r="BT370" s="179"/>
      <c r="BU370" s="179"/>
      <c r="BV370" s="179"/>
      <c r="BW370" s="179"/>
      <c r="BX370" s="179"/>
      <c r="BY370" s="179"/>
      <c r="BZ370" s="179"/>
      <c r="CA370" s="179"/>
      <c r="CB370" s="179"/>
      <c r="CC370" s="179"/>
      <c r="CD370" s="179"/>
      <c r="CE370" s="179"/>
      <c r="CF370" s="179"/>
      <c r="CG370" s="179"/>
      <c r="CH370" s="179"/>
      <c r="CI370" s="179"/>
      <c r="CJ370" s="179"/>
      <c r="CK370" s="179"/>
      <c r="CL370" s="179"/>
      <c r="CM370" s="179"/>
      <c r="CN370" s="179"/>
      <c r="CO370" s="179"/>
      <c r="CP370" s="179"/>
      <c r="CQ370" s="179"/>
      <c r="CR370" s="179"/>
      <c r="CS370" s="179"/>
      <c r="CT370" s="179"/>
      <c r="CU370" s="179"/>
      <c r="CV370" s="179"/>
      <c r="CW370" s="179"/>
    </row>
    <row r="371" spans="1:101" x14ac:dyDescent="0.2">
      <c r="A371" s="32" t="str">
        <f t="shared" ca="1" si="5"/>
        <v>2026-04-01</v>
      </c>
      <c r="B371" s="179">
        <f ca="1">IF(ISNUMBER(MATCH(DATEVALUE($A371),'changes1_based on steps'!B$1:B$400,0)),B$2,)</f>
        <v>0</v>
      </c>
      <c r="C371" s="179">
        <f ca="1">IF(ISNUMBER(MATCH(DATEVALUE($A371),'changes1_based on steps'!C$1:C$400,0)),C$2,)</f>
        <v>0</v>
      </c>
      <c r="D371" s="179">
        <f ca="1">IF(ISNUMBER(MATCH(DATEVALUE($A371),'changes1_based on steps'!D$1:D$400,0)),D$2,)</f>
        <v>0</v>
      </c>
      <c r="E371" s="179">
        <f ca="1">IF(ISNUMBER(MATCH(DATEVALUE($A371),'changes1_based on steps'!E$1:E$400,0)),E$2,)</f>
        <v>0</v>
      </c>
      <c r="F371" s="179">
        <f ca="1">IF(ISNUMBER(MATCH(DATEVALUE($A371),'changes1_based on steps'!F$1:F$400,0)),F$2,)</f>
        <v>0</v>
      </c>
      <c r="G371" s="179">
        <f ca="1">IF(ISNUMBER(MATCH(DATEVALUE($A371),'changes1_based on steps'!G$1:G$400,0)),G$2,)</f>
        <v>0</v>
      </c>
      <c r="H371" s="179">
        <f ca="1">IF(ISNUMBER(MATCH(DATEVALUE($A371),'changes1_based on steps'!H$1:H$400,0)),H$2,)</f>
        <v>0</v>
      </c>
      <c r="I371" s="179">
        <f ca="1">IF(ISNUMBER(MATCH(DATEVALUE($A371),'changes1_based on steps'!I$1:I$400,0)),I$2,)</f>
        <v>0</v>
      </c>
      <c r="J371" s="179">
        <f ca="1">IF(ISNUMBER(MATCH(DATEVALUE($A371),'changes1_based on steps'!J$1:J$400,0)),J$2,)</f>
        <v>0</v>
      </c>
      <c r="K371" s="179">
        <f ca="1">IF(ISNUMBER(MATCH(DATEVALUE($A371),'changes1_based on steps'!K$1:K$400,0)),K$2,)</f>
        <v>0</v>
      </c>
      <c r="L371" s="179">
        <f ca="1">IF(ISNUMBER(MATCH(DATEVALUE($A371),'changes1_based on steps'!L$1:L$400,0)),L$2,)</f>
        <v>0</v>
      </c>
      <c r="M371" s="179">
        <f ca="1">IF(ISNUMBER(MATCH(DATEVALUE($A371),'changes1_based on steps'!M$1:M$400,0)),M$2,)</f>
        <v>0</v>
      </c>
      <c r="N371" s="179">
        <f ca="1">IF(ISNUMBER(MATCH(DATEVALUE($A371),'changes1_based on steps'!N$1:N$400,0)),N$2,)</f>
        <v>0</v>
      </c>
      <c r="O371" s="179">
        <f ca="1">IF(ISNUMBER(MATCH(DATEVALUE($A371),'changes1_based on steps'!O$1:O$400,0)),O$2,)</f>
        <v>0</v>
      </c>
      <c r="P371" s="179">
        <f ca="1">IF(ISNUMBER(MATCH(DATEVALUE($A371),'changes1_based on steps'!P$1:P$400,0)),P$2,)</f>
        <v>0</v>
      </c>
      <c r="Q371" s="179">
        <f ca="1">IF(ISNUMBER(MATCH(DATEVALUE($A371),'changes1_based on steps'!Q$1:Q$400,0)),Q$2,)</f>
        <v>0</v>
      </c>
      <c r="R371" s="179">
        <f ca="1">IF(ISNUMBER(MATCH(DATEVALUE($A371),'changes1_based on steps'!R$1:R$400,0)),R$2,)</f>
        <v>0</v>
      </c>
      <c r="S371" s="179">
        <f ca="1">IF(ISNUMBER(MATCH(DATEVALUE($A371),'changes1_based on steps'!S$1:S$400,0)),S$2,)</f>
        <v>0</v>
      </c>
      <c r="T371" s="179">
        <f ca="1">IF(ISNUMBER(MATCH(DATEVALUE($A371),'changes1_based on steps'!T$1:T$400,0)),T$2,)</f>
        <v>0</v>
      </c>
      <c r="U371" s="179">
        <f ca="1">IF(ISNUMBER(MATCH(DATEVALUE($A371),'changes1_based on steps'!U$1:U$400,0)),U$2,)</f>
        <v>0</v>
      </c>
      <c r="V371" s="179"/>
      <c r="W371" s="179"/>
      <c r="X371" s="179"/>
      <c r="Y371" s="179"/>
      <c r="Z371" s="179"/>
      <c r="AA371" s="179"/>
      <c r="AB371" s="179"/>
      <c r="AC371" s="179"/>
      <c r="AD371" s="179"/>
      <c r="AE371" s="179"/>
      <c r="AF371" s="179"/>
      <c r="AG371" s="179"/>
      <c r="AH371" s="179"/>
      <c r="AI371" s="179"/>
      <c r="AJ371" s="179"/>
      <c r="AK371" s="179"/>
      <c r="AL371" s="179"/>
      <c r="AM371" s="179"/>
      <c r="AN371" s="179"/>
      <c r="AO371" s="179"/>
      <c r="AP371" s="179"/>
      <c r="AQ371" s="179"/>
      <c r="AR371" s="179"/>
      <c r="AS371" s="179"/>
      <c r="AT371" s="179"/>
      <c r="AU371" s="179"/>
      <c r="AV371" s="179"/>
      <c r="AW371" s="179"/>
      <c r="AX371" s="179"/>
      <c r="AY371" s="179"/>
      <c r="AZ371" s="179"/>
      <c r="BA371" s="179"/>
      <c r="BB371" s="179"/>
      <c r="BC371" s="179"/>
      <c r="BD371" s="179"/>
      <c r="BE371" s="179"/>
      <c r="BF371" s="179"/>
      <c r="BG371" s="179"/>
      <c r="BH371" s="179"/>
      <c r="BI371" s="179"/>
      <c r="BJ371" s="179"/>
      <c r="BK371" s="179"/>
      <c r="BL371" s="179"/>
      <c r="BM371" s="179"/>
      <c r="BN371" s="179"/>
      <c r="BO371" s="179"/>
      <c r="BP371" s="179"/>
      <c r="BQ371" s="179"/>
      <c r="BR371" s="179"/>
      <c r="BS371" s="179"/>
      <c r="BT371" s="179"/>
      <c r="BU371" s="179"/>
      <c r="BV371" s="179"/>
      <c r="BW371" s="179"/>
      <c r="BX371" s="179"/>
      <c r="BY371" s="179"/>
      <c r="BZ371" s="179"/>
      <c r="CA371" s="179"/>
      <c r="CB371" s="179"/>
      <c r="CC371" s="179"/>
      <c r="CD371" s="179"/>
      <c r="CE371" s="179"/>
      <c r="CF371" s="179"/>
      <c r="CG371" s="179"/>
      <c r="CH371" s="179"/>
      <c r="CI371" s="179"/>
      <c r="CJ371" s="179"/>
      <c r="CK371" s="179"/>
      <c r="CL371" s="179"/>
      <c r="CM371" s="179"/>
      <c r="CN371" s="179"/>
      <c r="CO371" s="179"/>
      <c r="CP371" s="179"/>
      <c r="CQ371" s="179"/>
      <c r="CR371" s="179"/>
      <c r="CS371" s="179"/>
      <c r="CT371" s="179"/>
      <c r="CU371" s="179"/>
      <c r="CV371" s="179"/>
      <c r="CW371" s="179"/>
    </row>
    <row r="372" spans="1:10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10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10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10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10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10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10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10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10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10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10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10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10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x14ac:dyDescent="0.2">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x14ac:dyDescent="0.2">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2:26" x14ac:dyDescent="0.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2:26" x14ac:dyDescent="0.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3" bestFit="1" customWidth="1"/>
    <col min="13" max="31" width="10.140625" style="33" customWidth="1"/>
    <col min="32" max="38" width="10.140625" style="33" bestFit="1" customWidth="1"/>
    <col min="39" max="16384" width="8" style="33"/>
  </cols>
  <sheetData>
    <row r="1" spans="1:39" x14ac:dyDescent="0.2">
      <c r="B1" s="179" t="str" cm="1">
        <f t="array" ref="B1:AD1">TRANSPOSE(_xlfn.UNIQUE(_xlfn._xlws.FILTER('Categorized Inputs'!$D:$D,'Categorized Inputs'!$A:$A="Cash Flow")))</f>
        <v>Salary &amp; Paychecks</v>
      </c>
      <c r="C1" s="179" t="str">
        <v>Other Earnings</v>
      </c>
      <c r="D1" s="179" t="str">
        <v>Bonus</v>
      </c>
      <c r="E1" s="179" t="str">
        <v>Friend Receivable</v>
      </c>
      <c r="F1" s="179" t="str">
        <v>Selling &amp; Refunds</v>
      </c>
      <c r="G1" s="179" t="str">
        <v>Brokerage Cashout</v>
      </c>
      <c r="H1" s="179" t="str">
        <v>Other</v>
      </c>
      <c r="I1" s="179" t="str">
        <v>Other Inflows</v>
      </c>
      <c r="J1" s="179" t="str">
        <v>Loans</v>
      </c>
      <c r="K1" s="179" t="str">
        <v>Credit Cards</v>
      </c>
      <c r="L1" s="179" t="str">
        <v>Retirement Deductions</v>
      </c>
      <c r="M1" s="179" t="str">
        <v>Events &amp; Entertainment</v>
      </c>
      <c r="N1" s="179" t="str">
        <v>Housing</v>
      </c>
      <c r="O1" s="179" t="str">
        <v>Travel</v>
      </c>
      <c r="P1" s="179" t="str">
        <v>Shopping</v>
      </c>
      <c r="Q1" s="179" t="str">
        <v>Food &amp; Drinks</v>
      </c>
      <c r="R1" s="179" t="str">
        <v>Dues &amp; Subscriptions</v>
      </c>
      <c r="S1" s="179" t="str">
        <v>Other Flexible Outflows</v>
      </c>
      <c r="T1" s="179" t="str">
        <v>Brokerage Contributions</v>
      </c>
      <c r="U1" s="179" t="str">
        <v>Retirement Contributions</v>
      </c>
      <c r="V1" s="179" t="str">
        <v>Employer Retirement Contributions</v>
      </c>
      <c r="W1" s="179" t="str">
        <v>Taxes</v>
      </c>
      <c r="X1" s="179" t="str">
        <v>Other Deductions</v>
      </c>
      <c r="Y1" s="179" t="str">
        <v>Transportation</v>
      </c>
      <c r="Z1" s="179" t="str">
        <v>Friend Payment</v>
      </c>
      <c r="AA1" s="179" t="str">
        <v>Health &amp; Personal Care</v>
      </c>
      <c r="AB1" s="179" t="str">
        <v>Groceries</v>
      </c>
      <c r="AC1" s="179" t="str">
        <v>Medication &amp; Supplements</v>
      </c>
      <c r="AD1" s="179" t="str">
        <v>Other Required Outflows</v>
      </c>
      <c r="AE1" s="179"/>
      <c r="AF1" s="203" t="s">
        <v>187</v>
      </c>
    </row>
    <row r="2" spans="1:39" x14ac:dyDescent="0.2">
      <c r="B2" s="201"/>
      <c r="C2" s="201"/>
      <c r="D2" s="201"/>
      <c r="E2" s="201"/>
      <c r="F2" s="201"/>
      <c r="G2" s="201"/>
      <c r="H2" s="201"/>
      <c r="I2" s="28"/>
      <c r="J2" s="201"/>
      <c r="K2" s="201"/>
      <c r="L2" s="201"/>
      <c r="M2" s="201"/>
      <c r="N2" s="201"/>
      <c r="O2" s="202"/>
      <c r="P2" s="201"/>
      <c r="Q2" s="28"/>
      <c r="R2" s="201"/>
      <c r="S2" s="201"/>
      <c r="T2" s="201"/>
      <c r="U2" s="201"/>
      <c r="V2"/>
      <c r="W2" s="201"/>
      <c r="X2" s="201"/>
      <c r="Y2" s="201"/>
      <c r="Z2" s="201"/>
      <c r="AA2" s="201"/>
      <c r="AB2" s="201"/>
      <c r="AC2" s="201"/>
      <c r="AD2" s="201"/>
      <c r="AE2" s="201"/>
      <c r="AF2" s="203"/>
    </row>
    <row r="3" spans="1:39" x14ac:dyDescent="0.2">
      <c r="A3" s="32">
        <f ca="1">TODAY()</f>
        <v>45745</v>
      </c>
      <c r="B3" s="179">
        <f>SUMIFS('recurring2_based on steps'!$B3:$AY3,'recurring2_based on steps'!$B$1:$AY$1,B$1)+SUMIFS('changes2_based on steps'!$B3:$U3,'changes2_based on steps'!$B$1:$U$1,B$1)</f>
        <v>0</v>
      </c>
      <c r="C3" s="179">
        <f>SUMIFS('recurring2_based on steps'!$B3:$AY3,'recurring2_based on steps'!$B$1:$AY$1,C$1)+SUMIFS('changes2_based on steps'!$B3:$U3,'changes2_based on steps'!$B$1:$U$1,C$1)</f>
        <v>0</v>
      </c>
      <c r="D3" s="179">
        <f>SUMIFS('recurring2_based on steps'!$B3:$AY3,'recurring2_based on steps'!$B$1:$AY$1,D$1)+SUMIFS('changes2_based on steps'!$B3:$U3,'changes2_based on steps'!$B$1:$U$1,D$1)</f>
        <v>0</v>
      </c>
      <c r="E3" s="179">
        <f>SUMIFS('recurring2_based on steps'!$B3:$AY3,'recurring2_based on steps'!$B$1:$AY$1,E$1)+SUMIFS('changes2_based on steps'!$B3:$U3,'changes2_based on steps'!$B$1:$U$1,E$1)</f>
        <v>0</v>
      </c>
      <c r="F3" s="179">
        <f>SUMIFS('recurring2_based on steps'!$B3:$AY3,'recurring2_based on steps'!$B$1:$AY$1,F$1)+SUMIFS('changes2_based on steps'!$B3:$U3,'changes2_based on steps'!$B$1:$U$1,F$1)</f>
        <v>0</v>
      </c>
      <c r="G3" s="179">
        <f>SUMIFS('recurring2_based on steps'!$B3:$AY3,'recurring2_based on steps'!$B$1:$AY$1,G$1)+SUMIFS('changes2_based on steps'!$B3:$U3,'changes2_based on steps'!$B$1:$U$1,G$1)</f>
        <v>0</v>
      </c>
      <c r="H3" s="179">
        <f>SUMIFS('recurring2_based on steps'!$B3:$AY3,'recurring2_based on steps'!$B$1:$AY$1,H$1)+SUMIFS('changes2_based on steps'!$B3:$U3,'changes2_based on steps'!$B$1:$U$1,H$1)</f>
        <v>0</v>
      </c>
      <c r="I3" s="179">
        <f>SUMIFS('recurring2_based on steps'!$B3:$AY3,'recurring2_based on steps'!$B$1:$AY$1,I$1)+SUMIFS('changes2_based on steps'!$B3:$U3,'changes2_based on steps'!$B$1:$U$1,I$1)</f>
        <v>0</v>
      </c>
      <c r="J3" s="179">
        <f>SUMIFS('recurring2_based on steps'!$B3:$AY3,'recurring2_based on steps'!$B$1:$AY$1,J$1)+SUMIFS('changes2_based on steps'!$B3:$U3,'changes2_based on steps'!$B$1:$U$1,J$1)</f>
        <v>0</v>
      </c>
      <c r="K3" s="179">
        <f>SUMIFS('recurring2_based on steps'!$B3:$AY3,'recurring2_based on steps'!$B$1:$AY$1,K$1)+SUMIFS('changes2_based on steps'!$B3:$U3,'changes2_based on steps'!$B$1:$U$1,K$1)</f>
        <v>0</v>
      </c>
      <c r="L3" s="179">
        <f>SUMIFS('recurring2_based on steps'!$B3:$AY3,'recurring2_based on steps'!$B$1:$AY$1,L$1)+SUMIFS('changes2_based on steps'!$B3:$U3,'changes2_based on steps'!$B$1:$U$1,L$1)</f>
        <v>0</v>
      </c>
      <c r="M3" s="179">
        <f>SUMIFS('recurring2_based on steps'!$B3:$AY3,'recurring2_based on steps'!$B$1:$AY$1,M$1)+SUMIFS('changes2_based on steps'!$B3:$U3,'changes2_based on steps'!$B$1:$U$1,M$1)</f>
        <v>0</v>
      </c>
      <c r="N3" s="179">
        <f>SUMIFS('recurring2_based on steps'!$B3:$AY3,'recurring2_based on steps'!$B$1:$AY$1,N$1)+SUMIFS('changes2_based on steps'!$B3:$U3,'changes2_based on steps'!$B$1:$U$1,N$1)</f>
        <v>0</v>
      </c>
      <c r="O3" s="179">
        <f>SUMIFS('recurring2_based on steps'!$B3:$AY3,'recurring2_based on steps'!$B$1:$AY$1,O$1)+SUMIFS('changes2_based on steps'!$B3:$U3,'changes2_based on steps'!$B$1:$U$1,O$1)</f>
        <v>0</v>
      </c>
      <c r="P3" s="179">
        <f>SUMIFS('recurring2_based on steps'!$B3:$AY3,'recurring2_based on steps'!$B$1:$AY$1,P$1)+SUMIFS('changes2_based on steps'!$B3:$U3,'changes2_based on steps'!$B$1:$U$1,P$1)</f>
        <v>0</v>
      </c>
      <c r="Q3" s="179">
        <f>SUMIFS('recurring2_based on steps'!$B3:$AY3,'recurring2_based on steps'!$B$1:$AY$1,Q$1)+SUMIFS('changes2_based on steps'!$B3:$U3,'changes2_based on steps'!$B$1:$U$1,Q$1)</f>
        <v>0</v>
      </c>
      <c r="R3" s="179">
        <f>SUMIFS('recurring2_based on steps'!$B3:$AY3,'recurring2_based on steps'!$B$1:$AY$1,R$1)+SUMIFS('changes2_based on steps'!$B3:$U3,'changes2_based on steps'!$B$1:$U$1,R$1)</f>
        <v>0</v>
      </c>
      <c r="S3" s="179">
        <f>SUMIFS('recurring2_based on steps'!$B3:$AY3,'recurring2_based on steps'!$B$1:$AY$1,S$1)+SUMIFS('changes2_based on steps'!$B3:$U3,'changes2_based on steps'!$B$1:$U$1,S$1)</f>
        <v>0</v>
      </c>
      <c r="T3" s="179">
        <f>SUMIFS('recurring2_based on steps'!$B3:$AY3,'recurring2_based on steps'!$B$1:$AY$1,T$1)+SUMIFS('changes2_based on steps'!$B3:$U3,'changes2_based on steps'!$B$1:$U$1,T$1)</f>
        <v>0</v>
      </c>
      <c r="U3" s="179">
        <f>SUMIFS('recurring2_based on steps'!$B3:$AY3,'recurring2_based on steps'!$B$1:$AY$1,U$1)+SUMIFS('changes2_based on steps'!$B3:$U3,'changes2_based on steps'!$B$1:$U$1,U$1)</f>
        <v>0</v>
      </c>
      <c r="V3" s="179">
        <f>SUMIFS('recurring2_based on steps'!$B3:$AY3,'recurring2_based on steps'!$B$1:$AY$1,V$1)+SUMIFS('changes2_based on steps'!$B3:$U3,'changes2_based on steps'!$B$1:$U$1,V$1)</f>
        <v>0</v>
      </c>
      <c r="W3" s="179">
        <f>SUMIFS('recurring2_based on steps'!$B3:$AY3,'recurring2_based on steps'!$B$1:$AY$1,W$1)+SUMIFS('changes2_based on steps'!$B3:$U3,'changes2_based on steps'!$B$1:$U$1,W$1)</f>
        <v>0</v>
      </c>
      <c r="X3" s="179">
        <f>SUMIFS('recurring2_based on steps'!$B3:$AY3,'recurring2_based on steps'!$B$1:$AY$1,X$1)+SUMIFS('changes2_based on steps'!$B3:$U3,'changes2_based on steps'!$B$1:$U$1,X$1)</f>
        <v>0</v>
      </c>
      <c r="Y3" s="179">
        <f>SUMIFS('recurring2_based on steps'!$B3:$AY3,'recurring2_based on steps'!$B$1:$AY$1,Y$1)+SUMIFS('changes2_based on steps'!$B3:$U3,'changes2_based on steps'!$B$1:$U$1,Y$1)</f>
        <v>0</v>
      </c>
      <c r="Z3" s="179">
        <f>SUMIFS('recurring2_based on steps'!$B3:$AY3,'recurring2_based on steps'!$B$1:$AY$1,Z$1)+SUMIFS('changes2_based on steps'!$B3:$U3,'changes2_based on steps'!$B$1:$U$1,Z$1)</f>
        <v>0</v>
      </c>
      <c r="AA3" s="179">
        <f>SUMIFS('recurring2_based on steps'!$B3:$AY3,'recurring2_based on steps'!$B$1:$AY$1,AA$1)+SUMIFS('changes2_based on steps'!$B3:$U3,'changes2_based on steps'!$B$1:$U$1,AA$1)</f>
        <v>0</v>
      </c>
      <c r="AB3" s="179">
        <f>SUMIFS('recurring2_based on steps'!$B3:$AY3,'recurring2_based on steps'!$B$1:$AY$1,AB$1)+SUMIFS('changes2_based on steps'!$B3:$U3,'changes2_based on steps'!$B$1:$U$1,AB$1)</f>
        <v>0</v>
      </c>
      <c r="AC3" s="179">
        <f>SUMIFS('recurring2_based on steps'!$B3:$AY3,'recurring2_based on steps'!$B$1:$AY$1,AC$1)+SUMIFS('changes2_based on steps'!$B3:$U3,'changes2_based on steps'!$B$1:$U$1,AC$1)</f>
        <v>0</v>
      </c>
      <c r="AD3" s="179">
        <f>SUMIFS('recurring2_based on steps'!$B3:$AY3,'recurring2_based on steps'!$B$1:$AY$1,AD$1)+SUMIFS('changes2_based on steps'!$B3:$U3,'changes2_based on steps'!$B$1:$U$1,AD$1)</f>
        <v>0</v>
      </c>
      <c r="AE3" s="179">
        <f>SUMIFS('recurring2_based on steps'!$B3:$AY3,'recurring2_based on steps'!$B$1:$AY$1,AE$1)+SUMIFS('changes2_based on steps'!$B3:$U3,'changes2_based on steps'!$B$1:$U$1,AE$1)</f>
        <v>0</v>
      </c>
      <c r="AF3" s="179"/>
      <c r="AG3" s="179"/>
      <c r="AH3" s="179"/>
      <c r="AI3" s="179"/>
      <c r="AJ3" s="179"/>
      <c r="AK3" s="179"/>
      <c r="AL3" s="179"/>
      <c r="AM3" s="179"/>
    </row>
    <row r="4" spans="1:39" x14ac:dyDescent="0.2">
      <c r="A4" s="32">
        <f ca="1">A3+1</f>
        <v>45746</v>
      </c>
      <c r="B4" s="179">
        <f>SUMIFS('recurring2_based on steps'!$B4:$AY4,'recurring2_based on steps'!$B$1:$AY$1,B$1)+SUMIFS('changes2_based on steps'!$B4:$U4,'changes2_based on steps'!$B$1:$U$1,B$1)</f>
        <v>0</v>
      </c>
      <c r="C4" s="179">
        <f>SUMIFS('recurring2_based on steps'!$B4:$AY4,'recurring2_based on steps'!$B$1:$AY$1,C$1)+SUMIFS('changes2_based on steps'!$B4:$U4,'changes2_based on steps'!$B$1:$U$1,C$1)</f>
        <v>0</v>
      </c>
      <c r="D4" s="179">
        <f>SUMIFS('recurring2_based on steps'!$B4:$AY4,'recurring2_based on steps'!$B$1:$AY$1,D$1)+SUMIFS('changes2_based on steps'!$B4:$U4,'changes2_based on steps'!$B$1:$U$1,D$1)</f>
        <v>0</v>
      </c>
      <c r="E4" s="179">
        <f>SUMIFS('recurring2_based on steps'!$B4:$AY4,'recurring2_based on steps'!$B$1:$AY$1,E$1)+SUMIFS('changes2_based on steps'!$B4:$U4,'changes2_based on steps'!$B$1:$U$1,E$1)</f>
        <v>0</v>
      </c>
      <c r="F4" s="179">
        <f>SUMIFS('recurring2_based on steps'!$B4:$AY4,'recurring2_based on steps'!$B$1:$AY$1,F$1)+SUMIFS('changes2_based on steps'!$B4:$U4,'changes2_based on steps'!$B$1:$U$1,F$1)</f>
        <v>0</v>
      </c>
      <c r="G4" s="179">
        <f>SUMIFS('recurring2_based on steps'!$B4:$AY4,'recurring2_based on steps'!$B$1:$AY$1,G$1)+SUMIFS('changes2_based on steps'!$B4:$U4,'changes2_based on steps'!$B$1:$U$1,G$1)</f>
        <v>0</v>
      </c>
      <c r="H4" s="179">
        <f>SUMIFS('recurring2_based on steps'!$B4:$AY4,'recurring2_based on steps'!$B$1:$AY$1,H$1)+SUMIFS('changes2_based on steps'!$B4:$U4,'changes2_based on steps'!$B$1:$U$1,H$1)</f>
        <v>0</v>
      </c>
      <c r="I4" s="179">
        <f>SUMIFS('recurring2_based on steps'!$B4:$AY4,'recurring2_based on steps'!$B$1:$AY$1,I$1)+SUMIFS('changes2_based on steps'!$B4:$U4,'changes2_based on steps'!$B$1:$U$1,I$1)</f>
        <v>0</v>
      </c>
      <c r="J4" s="179">
        <f>SUMIFS('recurring2_based on steps'!$B4:$AY4,'recurring2_based on steps'!$B$1:$AY$1,J$1)+SUMIFS('changes2_based on steps'!$B4:$U4,'changes2_based on steps'!$B$1:$U$1,J$1)</f>
        <v>0</v>
      </c>
      <c r="K4" s="179">
        <f>SUMIFS('recurring2_based on steps'!$B4:$AY4,'recurring2_based on steps'!$B$1:$AY$1,K$1)+SUMIFS('changes2_based on steps'!$B4:$U4,'changes2_based on steps'!$B$1:$U$1,K$1)</f>
        <v>0</v>
      </c>
      <c r="L4" s="179">
        <f>SUMIFS('recurring2_based on steps'!$B4:$AY4,'recurring2_based on steps'!$B$1:$AY$1,L$1)+SUMIFS('changes2_based on steps'!$B4:$U4,'changes2_based on steps'!$B$1:$U$1,L$1)</f>
        <v>0</v>
      </c>
      <c r="M4" s="179">
        <f>SUMIFS('recurring2_based on steps'!$B4:$AY4,'recurring2_based on steps'!$B$1:$AY$1,M$1)+SUMIFS('changes2_based on steps'!$B4:$U4,'changes2_based on steps'!$B$1:$U$1,M$1)</f>
        <v>0</v>
      </c>
      <c r="N4" s="179">
        <f>SUMIFS('recurring2_based on steps'!$B4:$AY4,'recurring2_based on steps'!$B$1:$AY$1,N$1)+SUMIFS('changes2_based on steps'!$B4:$U4,'changes2_based on steps'!$B$1:$U$1,N$1)</f>
        <v>0</v>
      </c>
      <c r="O4" s="179">
        <f>SUMIFS('recurring2_based on steps'!$B4:$AY4,'recurring2_based on steps'!$B$1:$AY$1,O$1)+SUMIFS('changes2_based on steps'!$B4:$U4,'changes2_based on steps'!$B$1:$U$1,O$1)</f>
        <v>0</v>
      </c>
      <c r="P4" s="179">
        <f>SUMIFS('recurring2_based on steps'!$B4:$AY4,'recurring2_based on steps'!$B$1:$AY$1,P$1)+SUMIFS('changes2_based on steps'!$B4:$U4,'changes2_based on steps'!$B$1:$U$1,P$1)</f>
        <v>0</v>
      </c>
      <c r="Q4" s="179">
        <f>SUMIFS('recurring2_based on steps'!$B4:$AY4,'recurring2_based on steps'!$B$1:$AY$1,Q$1)+SUMIFS('changes2_based on steps'!$B4:$U4,'changes2_based on steps'!$B$1:$U$1,Q$1)</f>
        <v>0</v>
      </c>
      <c r="R4" s="179">
        <f>SUMIFS('recurring2_based on steps'!$B4:$AY4,'recurring2_based on steps'!$B$1:$AY$1,R$1)+SUMIFS('changes2_based on steps'!$B4:$U4,'changes2_based on steps'!$B$1:$U$1,R$1)</f>
        <v>0</v>
      </c>
      <c r="S4" s="179">
        <f>SUMIFS('recurring2_based on steps'!$B4:$AY4,'recurring2_based on steps'!$B$1:$AY$1,S$1)+SUMIFS('changes2_based on steps'!$B4:$U4,'changes2_based on steps'!$B$1:$U$1,S$1)</f>
        <v>0</v>
      </c>
      <c r="T4" s="179">
        <f>SUMIFS('recurring2_based on steps'!$B4:$AY4,'recurring2_based on steps'!$B$1:$AY$1,T$1)+SUMIFS('changes2_based on steps'!$B4:$U4,'changes2_based on steps'!$B$1:$U$1,T$1)</f>
        <v>0</v>
      </c>
      <c r="U4" s="179">
        <f>SUMIFS('recurring2_based on steps'!$B4:$AY4,'recurring2_based on steps'!$B$1:$AY$1,U$1)+SUMIFS('changes2_based on steps'!$B4:$U4,'changes2_based on steps'!$B$1:$U$1,U$1)</f>
        <v>0</v>
      </c>
      <c r="V4" s="179">
        <f>SUMIFS('recurring2_based on steps'!$B4:$AY4,'recurring2_based on steps'!$B$1:$AY$1,V$1)+SUMIFS('changes2_based on steps'!$B4:$U4,'changes2_based on steps'!$B$1:$U$1,V$1)</f>
        <v>0</v>
      </c>
      <c r="W4" s="179">
        <f>SUMIFS('recurring2_based on steps'!$B4:$AY4,'recurring2_based on steps'!$B$1:$AY$1,W$1)+SUMIFS('changes2_based on steps'!$B4:$U4,'changes2_based on steps'!$B$1:$U$1,W$1)</f>
        <v>0</v>
      </c>
      <c r="X4" s="179">
        <f>SUMIFS('recurring2_based on steps'!$B4:$AY4,'recurring2_based on steps'!$B$1:$AY$1,X$1)+SUMIFS('changes2_based on steps'!$B4:$U4,'changes2_based on steps'!$B$1:$U$1,X$1)</f>
        <v>0</v>
      </c>
      <c r="Y4" s="179">
        <f>SUMIFS('recurring2_based on steps'!$B4:$AY4,'recurring2_based on steps'!$B$1:$AY$1,Y$1)+SUMIFS('changes2_based on steps'!$B4:$U4,'changes2_based on steps'!$B$1:$U$1,Y$1)</f>
        <v>0</v>
      </c>
      <c r="Z4" s="179">
        <f>SUMIFS('recurring2_based on steps'!$B4:$AY4,'recurring2_based on steps'!$B$1:$AY$1,Z$1)+SUMIFS('changes2_based on steps'!$B4:$U4,'changes2_based on steps'!$B$1:$U$1,Z$1)</f>
        <v>0</v>
      </c>
      <c r="AA4" s="179">
        <f>SUMIFS('recurring2_based on steps'!$B4:$AY4,'recurring2_based on steps'!$B$1:$AY$1,AA$1)+SUMIFS('changes2_based on steps'!$B4:$U4,'changes2_based on steps'!$B$1:$U$1,AA$1)</f>
        <v>0</v>
      </c>
      <c r="AB4" s="179">
        <f>SUMIFS('recurring2_based on steps'!$B4:$AY4,'recurring2_based on steps'!$B$1:$AY$1,AB$1)+SUMIFS('changes2_based on steps'!$B4:$U4,'changes2_based on steps'!$B$1:$U$1,AB$1)</f>
        <v>0</v>
      </c>
      <c r="AC4" s="179">
        <f>SUMIFS('recurring2_based on steps'!$B4:$AY4,'recurring2_based on steps'!$B$1:$AY$1,AC$1)+SUMIFS('changes2_based on steps'!$B4:$U4,'changes2_based on steps'!$B$1:$U$1,AC$1)</f>
        <v>0</v>
      </c>
      <c r="AD4" s="179">
        <f>SUMIFS('recurring2_based on steps'!$B4:$AY4,'recurring2_based on steps'!$B$1:$AY$1,AD$1)+SUMIFS('changes2_based on steps'!$B4:$U4,'changes2_based on steps'!$B$1:$U$1,AD$1)</f>
        <v>0</v>
      </c>
      <c r="AE4" s="179">
        <f>SUMIFS('recurring2_based on steps'!$B4:$AY4,'recurring2_based on steps'!$B$1:$AY$1,AE$1)+SUMIFS('changes2_based on steps'!$B4:$U4,'changes2_based on steps'!$B$1:$U$1,AE$1)</f>
        <v>0</v>
      </c>
      <c r="AF4" s="179"/>
      <c r="AG4" s="179"/>
      <c r="AH4" s="179"/>
      <c r="AI4" s="179"/>
      <c r="AJ4" s="179"/>
      <c r="AK4" s="179"/>
      <c r="AL4" s="179"/>
      <c r="AM4" s="179"/>
    </row>
    <row r="5" spans="1:39" x14ac:dyDescent="0.2">
      <c r="A5" s="32">
        <f t="shared" ref="A5:A68" ca="1" si="0">A4+1</f>
        <v>45747</v>
      </c>
      <c r="B5" s="179">
        <f>SUMIFS('recurring2_based on steps'!$B5:$AY5,'recurring2_based on steps'!$B$1:$AY$1,B$1)+SUMIFS('changes2_based on steps'!$B5:$U5,'changes2_based on steps'!$B$1:$U$1,B$1)</f>
        <v>0</v>
      </c>
      <c r="C5" s="179">
        <f>SUMIFS('recurring2_based on steps'!$B5:$AY5,'recurring2_based on steps'!$B$1:$AY$1,C$1)+SUMIFS('changes2_based on steps'!$B5:$U5,'changes2_based on steps'!$B$1:$U$1,C$1)</f>
        <v>0</v>
      </c>
      <c r="D5" s="179">
        <f>SUMIFS('recurring2_based on steps'!$B5:$AY5,'recurring2_based on steps'!$B$1:$AY$1,D$1)+SUMIFS('changes2_based on steps'!$B5:$U5,'changes2_based on steps'!$B$1:$U$1,D$1)</f>
        <v>0</v>
      </c>
      <c r="E5" s="179">
        <f>SUMIFS('recurring2_based on steps'!$B5:$AY5,'recurring2_based on steps'!$B$1:$AY$1,E$1)+SUMIFS('changes2_based on steps'!$B5:$U5,'changes2_based on steps'!$B$1:$U$1,E$1)</f>
        <v>0</v>
      </c>
      <c r="F5" s="179">
        <f>SUMIFS('recurring2_based on steps'!$B5:$AY5,'recurring2_based on steps'!$B$1:$AY$1,F$1)+SUMIFS('changes2_based on steps'!$B5:$U5,'changes2_based on steps'!$B$1:$U$1,F$1)</f>
        <v>0</v>
      </c>
      <c r="G5" s="179">
        <f>SUMIFS('recurring2_based on steps'!$B5:$AY5,'recurring2_based on steps'!$B$1:$AY$1,G$1)+SUMIFS('changes2_based on steps'!$B5:$U5,'changes2_based on steps'!$B$1:$U$1,G$1)</f>
        <v>0</v>
      </c>
      <c r="H5" s="179">
        <f>SUMIFS('recurring2_based on steps'!$B5:$AY5,'recurring2_based on steps'!$B$1:$AY$1,H$1)+SUMIFS('changes2_based on steps'!$B5:$U5,'changes2_based on steps'!$B$1:$U$1,H$1)</f>
        <v>0</v>
      </c>
      <c r="I5" s="179">
        <f>SUMIFS('recurring2_based on steps'!$B5:$AY5,'recurring2_based on steps'!$B$1:$AY$1,I$1)+SUMIFS('changes2_based on steps'!$B5:$U5,'changes2_based on steps'!$B$1:$U$1,I$1)</f>
        <v>0</v>
      </c>
      <c r="J5" s="179">
        <f>SUMIFS('recurring2_based on steps'!$B5:$AY5,'recurring2_based on steps'!$B$1:$AY$1,J$1)+SUMIFS('changes2_based on steps'!$B5:$U5,'changes2_based on steps'!$B$1:$U$1,J$1)</f>
        <v>0</v>
      </c>
      <c r="K5" s="179">
        <f>SUMIFS('recurring2_based on steps'!$B5:$AY5,'recurring2_based on steps'!$B$1:$AY$1,K$1)+SUMIFS('changes2_based on steps'!$B5:$U5,'changes2_based on steps'!$B$1:$U$1,K$1)</f>
        <v>0</v>
      </c>
      <c r="L5" s="179">
        <f>SUMIFS('recurring2_based on steps'!$B5:$AY5,'recurring2_based on steps'!$B$1:$AY$1,L$1)+SUMIFS('changes2_based on steps'!$B5:$U5,'changes2_based on steps'!$B$1:$U$1,L$1)</f>
        <v>0</v>
      </c>
      <c r="M5" s="179">
        <f>SUMIFS('recurring2_based on steps'!$B5:$AY5,'recurring2_based on steps'!$B$1:$AY$1,M$1)+SUMIFS('changes2_based on steps'!$B5:$U5,'changes2_based on steps'!$B$1:$U$1,M$1)</f>
        <v>0</v>
      </c>
      <c r="N5" s="179">
        <f>SUMIFS('recurring2_based on steps'!$B5:$AY5,'recurring2_based on steps'!$B$1:$AY$1,N$1)+SUMIFS('changes2_based on steps'!$B5:$U5,'changes2_based on steps'!$B$1:$U$1,N$1)</f>
        <v>0</v>
      </c>
      <c r="O5" s="179">
        <f>SUMIFS('recurring2_based on steps'!$B5:$AY5,'recurring2_based on steps'!$B$1:$AY$1,O$1)+SUMIFS('changes2_based on steps'!$B5:$U5,'changes2_based on steps'!$B$1:$U$1,O$1)</f>
        <v>0</v>
      </c>
      <c r="P5" s="179">
        <f>SUMIFS('recurring2_based on steps'!$B5:$AY5,'recurring2_based on steps'!$B$1:$AY$1,P$1)+SUMIFS('changes2_based on steps'!$B5:$U5,'changes2_based on steps'!$B$1:$U$1,P$1)</f>
        <v>0</v>
      </c>
      <c r="Q5" s="179">
        <f>SUMIFS('recurring2_based on steps'!$B5:$AY5,'recurring2_based on steps'!$B$1:$AY$1,Q$1)+SUMIFS('changes2_based on steps'!$B5:$U5,'changes2_based on steps'!$B$1:$U$1,Q$1)</f>
        <v>0</v>
      </c>
      <c r="R5" s="179">
        <f>SUMIFS('recurring2_based on steps'!$B5:$AY5,'recurring2_based on steps'!$B$1:$AY$1,R$1)+SUMIFS('changes2_based on steps'!$B5:$U5,'changes2_based on steps'!$B$1:$U$1,R$1)</f>
        <v>0</v>
      </c>
      <c r="S5" s="179">
        <f>SUMIFS('recurring2_based on steps'!$B5:$AY5,'recurring2_based on steps'!$B$1:$AY$1,S$1)+SUMIFS('changes2_based on steps'!$B5:$U5,'changes2_based on steps'!$B$1:$U$1,S$1)</f>
        <v>0</v>
      </c>
      <c r="T5" s="179">
        <f>SUMIFS('recurring2_based on steps'!$B5:$AY5,'recurring2_based on steps'!$B$1:$AY$1,T$1)+SUMIFS('changes2_based on steps'!$B5:$U5,'changes2_based on steps'!$B$1:$U$1,T$1)</f>
        <v>0</v>
      </c>
      <c r="U5" s="179">
        <f>SUMIFS('recurring2_based on steps'!$B5:$AY5,'recurring2_based on steps'!$B$1:$AY$1,U$1)+SUMIFS('changes2_based on steps'!$B5:$U5,'changes2_based on steps'!$B$1:$U$1,U$1)</f>
        <v>0</v>
      </c>
      <c r="V5" s="179">
        <f>SUMIFS('recurring2_based on steps'!$B5:$AY5,'recurring2_based on steps'!$B$1:$AY$1,V$1)+SUMIFS('changes2_based on steps'!$B5:$U5,'changes2_based on steps'!$B$1:$U$1,V$1)</f>
        <v>0</v>
      </c>
      <c r="W5" s="179">
        <f>SUMIFS('recurring2_based on steps'!$B5:$AY5,'recurring2_based on steps'!$B$1:$AY$1,W$1)+SUMIFS('changes2_based on steps'!$B5:$U5,'changes2_based on steps'!$B$1:$U$1,W$1)</f>
        <v>0</v>
      </c>
      <c r="X5" s="179">
        <f>SUMIFS('recurring2_based on steps'!$B5:$AY5,'recurring2_based on steps'!$B$1:$AY$1,X$1)+SUMIFS('changes2_based on steps'!$B5:$U5,'changes2_based on steps'!$B$1:$U$1,X$1)</f>
        <v>0</v>
      </c>
      <c r="Y5" s="179">
        <f>SUMIFS('recurring2_based on steps'!$B5:$AY5,'recurring2_based on steps'!$B$1:$AY$1,Y$1)+SUMIFS('changes2_based on steps'!$B5:$U5,'changes2_based on steps'!$B$1:$U$1,Y$1)</f>
        <v>0</v>
      </c>
      <c r="Z5" s="179">
        <f>SUMIFS('recurring2_based on steps'!$B5:$AY5,'recurring2_based on steps'!$B$1:$AY$1,Z$1)+SUMIFS('changes2_based on steps'!$B5:$U5,'changes2_based on steps'!$B$1:$U$1,Z$1)</f>
        <v>0</v>
      </c>
      <c r="AA5" s="179">
        <f>SUMIFS('recurring2_based on steps'!$B5:$AY5,'recurring2_based on steps'!$B$1:$AY$1,AA$1)+SUMIFS('changes2_based on steps'!$B5:$U5,'changes2_based on steps'!$B$1:$U$1,AA$1)</f>
        <v>0</v>
      </c>
      <c r="AB5" s="179">
        <f>SUMIFS('recurring2_based on steps'!$B5:$AY5,'recurring2_based on steps'!$B$1:$AY$1,AB$1)+SUMIFS('changes2_based on steps'!$B5:$U5,'changes2_based on steps'!$B$1:$U$1,AB$1)</f>
        <v>0</v>
      </c>
      <c r="AC5" s="179">
        <f>SUMIFS('recurring2_based on steps'!$B5:$AY5,'recurring2_based on steps'!$B$1:$AY$1,AC$1)+SUMIFS('changes2_based on steps'!$B5:$U5,'changes2_based on steps'!$B$1:$U$1,AC$1)</f>
        <v>0</v>
      </c>
      <c r="AD5" s="179">
        <f>SUMIFS('recurring2_based on steps'!$B5:$AY5,'recurring2_based on steps'!$B$1:$AY$1,AD$1)+SUMIFS('changes2_based on steps'!$B5:$U5,'changes2_based on steps'!$B$1:$U$1,AD$1)</f>
        <v>0</v>
      </c>
      <c r="AE5" s="179">
        <f>SUMIFS('recurring2_based on steps'!$B5:$AY5,'recurring2_based on steps'!$B$1:$AY$1,AE$1)+SUMIFS('changes2_based on steps'!$B5:$U5,'changes2_based on steps'!$B$1:$U$1,AE$1)</f>
        <v>0</v>
      </c>
      <c r="AF5" s="179"/>
      <c r="AG5" s="179"/>
      <c r="AH5" s="179"/>
      <c r="AI5" s="179"/>
      <c r="AJ5" s="179"/>
      <c r="AK5" s="179"/>
      <c r="AL5" s="179"/>
      <c r="AM5" s="179"/>
    </row>
    <row r="6" spans="1:39" x14ac:dyDescent="0.2">
      <c r="A6" s="32">
        <f t="shared" ca="1" si="0"/>
        <v>45748</v>
      </c>
      <c r="B6" s="179">
        <f>SUMIFS('recurring2_based on steps'!$B6:$AY6,'recurring2_based on steps'!$B$1:$AY$1,B$1)+SUMIFS('changes2_based on steps'!$B6:$U6,'changes2_based on steps'!$B$1:$U$1,B$1)</f>
        <v>0</v>
      </c>
      <c r="C6" s="179">
        <f>SUMIFS('recurring2_based on steps'!$B6:$AY6,'recurring2_based on steps'!$B$1:$AY$1,C$1)+SUMIFS('changes2_based on steps'!$B6:$U6,'changes2_based on steps'!$B$1:$U$1,C$1)</f>
        <v>0</v>
      </c>
      <c r="D6" s="179">
        <f>SUMIFS('recurring2_based on steps'!$B6:$AY6,'recurring2_based on steps'!$B$1:$AY$1,D$1)+SUMIFS('changes2_based on steps'!$B6:$U6,'changes2_based on steps'!$B$1:$U$1,D$1)</f>
        <v>0</v>
      </c>
      <c r="E6" s="179">
        <f>SUMIFS('recurring2_based on steps'!$B6:$AY6,'recurring2_based on steps'!$B$1:$AY$1,E$1)+SUMIFS('changes2_based on steps'!$B6:$U6,'changes2_based on steps'!$B$1:$U$1,E$1)</f>
        <v>0</v>
      </c>
      <c r="F6" s="179">
        <f>SUMIFS('recurring2_based on steps'!$B6:$AY6,'recurring2_based on steps'!$B$1:$AY$1,F$1)+SUMIFS('changes2_based on steps'!$B6:$U6,'changes2_based on steps'!$B$1:$U$1,F$1)</f>
        <v>0</v>
      </c>
      <c r="G6" s="179">
        <f>SUMIFS('recurring2_based on steps'!$B6:$AY6,'recurring2_based on steps'!$B$1:$AY$1,G$1)+SUMIFS('changes2_based on steps'!$B6:$U6,'changes2_based on steps'!$B$1:$U$1,G$1)</f>
        <v>0</v>
      </c>
      <c r="H6" s="179">
        <f>SUMIFS('recurring2_based on steps'!$B6:$AY6,'recurring2_based on steps'!$B$1:$AY$1,H$1)+SUMIFS('changes2_based on steps'!$B6:$U6,'changes2_based on steps'!$B$1:$U$1,H$1)</f>
        <v>0</v>
      </c>
      <c r="I6" s="179">
        <f>SUMIFS('recurring2_based on steps'!$B6:$AY6,'recurring2_based on steps'!$B$1:$AY$1,I$1)+SUMIFS('changes2_based on steps'!$B6:$U6,'changes2_based on steps'!$B$1:$U$1,I$1)</f>
        <v>0</v>
      </c>
      <c r="J6" s="179">
        <f>SUMIFS('recurring2_based on steps'!$B6:$AY6,'recurring2_based on steps'!$B$1:$AY$1,J$1)+SUMIFS('changes2_based on steps'!$B6:$U6,'changes2_based on steps'!$B$1:$U$1,J$1)</f>
        <v>0</v>
      </c>
      <c r="K6" s="179">
        <f>SUMIFS('recurring2_based on steps'!$B6:$AY6,'recurring2_based on steps'!$B$1:$AY$1,K$1)+SUMIFS('changes2_based on steps'!$B6:$U6,'changes2_based on steps'!$B$1:$U$1,K$1)</f>
        <v>0</v>
      </c>
      <c r="L6" s="179">
        <f>SUMIFS('recurring2_based on steps'!$B6:$AY6,'recurring2_based on steps'!$B$1:$AY$1,L$1)+SUMIFS('changes2_based on steps'!$B6:$U6,'changes2_based on steps'!$B$1:$U$1,L$1)</f>
        <v>0</v>
      </c>
      <c r="M6" s="179">
        <f>SUMIFS('recurring2_based on steps'!$B6:$AY6,'recurring2_based on steps'!$B$1:$AY$1,M$1)+SUMIFS('changes2_based on steps'!$B6:$U6,'changes2_based on steps'!$B$1:$U$1,M$1)</f>
        <v>0</v>
      </c>
      <c r="N6" s="179">
        <f>SUMIFS('recurring2_based on steps'!$B6:$AY6,'recurring2_based on steps'!$B$1:$AY$1,N$1)+SUMIFS('changes2_based on steps'!$B6:$U6,'changes2_based on steps'!$B$1:$U$1,N$1)</f>
        <v>0</v>
      </c>
      <c r="O6" s="179">
        <f>SUMIFS('recurring2_based on steps'!$B6:$AY6,'recurring2_based on steps'!$B$1:$AY$1,O$1)+SUMIFS('changes2_based on steps'!$B6:$U6,'changes2_based on steps'!$B$1:$U$1,O$1)</f>
        <v>0</v>
      </c>
      <c r="P6" s="179">
        <f>SUMIFS('recurring2_based on steps'!$B6:$AY6,'recurring2_based on steps'!$B$1:$AY$1,P$1)+SUMIFS('changes2_based on steps'!$B6:$U6,'changes2_based on steps'!$B$1:$U$1,P$1)</f>
        <v>0</v>
      </c>
      <c r="Q6" s="179">
        <f>SUMIFS('recurring2_based on steps'!$B6:$AY6,'recurring2_based on steps'!$B$1:$AY$1,Q$1)+SUMIFS('changes2_based on steps'!$B6:$U6,'changes2_based on steps'!$B$1:$U$1,Q$1)</f>
        <v>0</v>
      </c>
      <c r="R6" s="179">
        <f>SUMIFS('recurring2_based on steps'!$B6:$AY6,'recurring2_based on steps'!$B$1:$AY$1,R$1)+SUMIFS('changes2_based on steps'!$B6:$U6,'changes2_based on steps'!$B$1:$U$1,R$1)</f>
        <v>0</v>
      </c>
      <c r="S6" s="179">
        <f>SUMIFS('recurring2_based on steps'!$B6:$AY6,'recurring2_based on steps'!$B$1:$AY$1,S$1)+SUMIFS('changes2_based on steps'!$B6:$U6,'changes2_based on steps'!$B$1:$U$1,S$1)</f>
        <v>0</v>
      </c>
      <c r="T6" s="179">
        <f>SUMIFS('recurring2_based on steps'!$B6:$AY6,'recurring2_based on steps'!$B$1:$AY$1,T$1)+SUMIFS('changes2_based on steps'!$B6:$U6,'changes2_based on steps'!$B$1:$U$1,T$1)</f>
        <v>0</v>
      </c>
      <c r="U6" s="179">
        <f>SUMIFS('recurring2_based on steps'!$B6:$AY6,'recurring2_based on steps'!$B$1:$AY$1,U$1)+SUMIFS('changes2_based on steps'!$B6:$U6,'changes2_based on steps'!$B$1:$U$1,U$1)</f>
        <v>0</v>
      </c>
      <c r="V6" s="179">
        <f>SUMIFS('recurring2_based on steps'!$B6:$AY6,'recurring2_based on steps'!$B$1:$AY$1,V$1)+SUMIFS('changes2_based on steps'!$B6:$U6,'changes2_based on steps'!$B$1:$U$1,V$1)</f>
        <v>0</v>
      </c>
      <c r="W6" s="179">
        <f>SUMIFS('recurring2_based on steps'!$B6:$AY6,'recurring2_based on steps'!$B$1:$AY$1,W$1)+SUMIFS('changes2_based on steps'!$B6:$U6,'changes2_based on steps'!$B$1:$U$1,W$1)</f>
        <v>0</v>
      </c>
      <c r="X6" s="179">
        <f>SUMIFS('recurring2_based on steps'!$B6:$AY6,'recurring2_based on steps'!$B$1:$AY$1,X$1)+SUMIFS('changes2_based on steps'!$B6:$U6,'changes2_based on steps'!$B$1:$U$1,X$1)</f>
        <v>0</v>
      </c>
      <c r="Y6" s="179">
        <f>SUMIFS('recurring2_based on steps'!$B6:$AY6,'recurring2_based on steps'!$B$1:$AY$1,Y$1)+SUMIFS('changes2_based on steps'!$B6:$U6,'changes2_based on steps'!$B$1:$U$1,Y$1)</f>
        <v>0</v>
      </c>
      <c r="Z6" s="179">
        <f>SUMIFS('recurring2_based on steps'!$B6:$AY6,'recurring2_based on steps'!$B$1:$AY$1,Z$1)+SUMIFS('changes2_based on steps'!$B6:$U6,'changes2_based on steps'!$B$1:$U$1,Z$1)</f>
        <v>0</v>
      </c>
      <c r="AA6" s="179">
        <f>SUMIFS('recurring2_based on steps'!$B6:$AY6,'recurring2_based on steps'!$B$1:$AY$1,AA$1)+SUMIFS('changes2_based on steps'!$B6:$U6,'changes2_based on steps'!$B$1:$U$1,AA$1)</f>
        <v>0</v>
      </c>
      <c r="AB6" s="179">
        <f>SUMIFS('recurring2_based on steps'!$B6:$AY6,'recurring2_based on steps'!$B$1:$AY$1,AB$1)+SUMIFS('changes2_based on steps'!$B6:$U6,'changes2_based on steps'!$B$1:$U$1,AB$1)</f>
        <v>0</v>
      </c>
      <c r="AC6" s="179">
        <f>SUMIFS('recurring2_based on steps'!$B6:$AY6,'recurring2_based on steps'!$B$1:$AY$1,AC$1)+SUMIFS('changes2_based on steps'!$B6:$U6,'changes2_based on steps'!$B$1:$U$1,AC$1)</f>
        <v>0</v>
      </c>
      <c r="AD6" s="179">
        <f>SUMIFS('recurring2_based on steps'!$B6:$AY6,'recurring2_based on steps'!$B$1:$AY$1,AD$1)+SUMIFS('changes2_based on steps'!$B6:$U6,'changes2_based on steps'!$B$1:$U$1,AD$1)</f>
        <v>0</v>
      </c>
      <c r="AE6" s="179">
        <f>SUMIFS('recurring2_based on steps'!$B6:$AY6,'recurring2_based on steps'!$B$1:$AY$1,AE$1)+SUMIFS('changes2_based on steps'!$B6:$U6,'changes2_based on steps'!$B$1:$U$1,AE$1)</f>
        <v>0</v>
      </c>
      <c r="AF6" s="179"/>
      <c r="AG6" s="179"/>
      <c r="AH6" s="179"/>
      <c r="AI6" s="179"/>
      <c r="AJ6" s="179"/>
      <c r="AK6" s="179"/>
      <c r="AL6" s="179"/>
      <c r="AM6" s="179"/>
    </row>
    <row r="7" spans="1:39" x14ac:dyDescent="0.2">
      <c r="A7" s="32">
        <f t="shared" ca="1" si="0"/>
        <v>45749</v>
      </c>
      <c r="B7" s="179">
        <f>SUMIFS('recurring2_based on steps'!$B7:$AY7,'recurring2_based on steps'!$B$1:$AY$1,B$1)+SUMIFS('changes2_based on steps'!$B7:$U7,'changes2_based on steps'!$B$1:$U$1,B$1)</f>
        <v>0</v>
      </c>
      <c r="C7" s="179">
        <f>SUMIFS('recurring2_based on steps'!$B7:$AY7,'recurring2_based on steps'!$B$1:$AY$1,C$1)+SUMIFS('changes2_based on steps'!$B7:$U7,'changes2_based on steps'!$B$1:$U$1,C$1)</f>
        <v>0</v>
      </c>
      <c r="D7" s="179">
        <f>SUMIFS('recurring2_based on steps'!$B7:$AY7,'recurring2_based on steps'!$B$1:$AY$1,D$1)+SUMIFS('changes2_based on steps'!$B7:$U7,'changes2_based on steps'!$B$1:$U$1,D$1)</f>
        <v>0</v>
      </c>
      <c r="E7" s="179">
        <f>SUMIFS('recurring2_based on steps'!$B7:$AY7,'recurring2_based on steps'!$B$1:$AY$1,E$1)+SUMIFS('changes2_based on steps'!$B7:$U7,'changes2_based on steps'!$B$1:$U$1,E$1)</f>
        <v>0</v>
      </c>
      <c r="F7" s="179">
        <f>SUMIFS('recurring2_based on steps'!$B7:$AY7,'recurring2_based on steps'!$B$1:$AY$1,F$1)+SUMIFS('changes2_based on steps'!$B7:$U7,'changes2_based on steps'!$B$1:$U$1,F$1)</f>
        <v>0</v>
      </c>
      <c r="G7" s="179">
        <f>SUMIFS('recurring2_based on steps'!$B7:$AY7,'recurring2_based on steps'!$B$1:$AY$1,G$1)+SUMIFS('changes2_based on steps'!$B7:$U7,'changes2_based on steps'!$B$1:$U$1,G$1)</f>
        <v>0</v>
      </c>
      <c r="H7" s="179">
        <f>SUMIFS('recurring2_based on steps'!$B7:$AY7,'recurring2_based on steps'!$B$1:$AY$1,H$1)+SUMIFS('changes2_based on steps'!$B7:$U7,'changes2_based on steps'!$B$1:$U$1,H$1)</f>
        <v>0</v>
      </c>
      <c r="I7" s="179">
        <f>SUMIFS('recurring2_based on steps'!$B7:$AY7,'recurring2_based on steps'!$B$1:$AY$1,I$1)+SUMIFS('changes2_based on steps'!$B7:$U7,'changes2_based on steps'!$B$1:$U$1,I$1)</f>
        <v>0</v>
      </c>
      <c r="J7" s="179">
        <f>SUMIFS('recurring2_based on steps'!$B7:$AY7,'recurring2_based on steps'!$B$1:$AY$1,J$1)+SUMIFS('changes2_based on steps'!$B7:$U7,'changes2_based on steps'!$B$1:$U$1,J$1)</f>
        <v>0</v>
      </c>
      <c r="K7" s="179">
        <f>SUMIFS('recurring2_based on steps'!$B7:$AY7,'recurring2_based on steps'!$B$1:$AY$1,K$1)+SUMIFS('changes2_based on steps'!$B7:$U7,'changes2_based on steps'!$B$1:$U$1,K$1)</f>
        <v>0</v>
      </c>
      <c r="L7" s="179">
        <f>SUMIFS('recurring2_based on steps'!$B7:$AY7,'recurring2_based on steps'!$B$1:$AY$1,L$1)+SUMIFS('changes2_based on steps'!$B7:$U7,'changes2_based on steps'!$B$1:$U$1,L$1)</f>
        <v>0</v>
      </c>
      <c r="M7" s="179">
        <f>SUMIFS('recurring2_based on steps'!$B7:$AY7,'recurring2_based on steps'!$B$1:$AY$1,M$1)+SUMIFS('changes2_based on steps'!$B7:$U7,'changes2_based on steps'!$B$1:$U$1,M$1)</f>
        <v>0</v>
      </c>
      <c r="N7" s="179">
        <f>SUMIFS('recurring2_based on steps'!$B7:$AY7,'recurring2_based on steps'!$B$1:$AY$1,N$1)+SUMIFS('changes2_based on steps'!$B7:$U7,'changes2_based on steps'!$B$1:$U$1,N$1)</f>
        <v>0</v>
      </c>
      <c r="O7" s="179">
        <f>SUMIFS('recurring2_based on steps'!$B7:$AY7,'recurring2_based on steps'!$B$1:$AY$1,O$1)+SUMIFS('changes2_based on steps'!$B7:$U7,'changes2_based on steps'!$B$1:$U$1,O$1)</f>
        <v>0</v>
      </c>
      <c r="P7" s="179">
        <f>SUMIFS('recurring2_based on steps'!$B7:$AY7,'recurring2_based on steps'!$B$1:$AY$1,P$1)+SUMIFS('changes2_based on steps'!$B7:$U7,'changes2_based on steps'!$B$1:$U$1,P$1)</f>
        <v>0</v>
      </c>
      <c r="Q7" s="179">
        <f>SUMIFS('recurring2_based on steps'!$B7:$AY7,'recurring2_based on steps'!$B$1:$AY$1,Q$1)+SUMIFS('changes2_based on steps'!$B7:$U7,'changes2_based on steps'!$B$1:$U$1,Q$1)</f>
        <v>0</v>
      </c>
      <c r="R7" s="179">
        <f>SUMIFS('recurring2_based on steps'!$B7:$AY7,'recurring2_based on steps'!$B$1:$AY$1,R$1)+SUMIFS('changes2_based on steps'!$B7:$U7,'changes2_based on steps'!$B$1:$U$1,R$1)</f>
        <v>0</v>
      </c>
      <c r="S7" s="179">
        <f>SUMIFS('recurring2_based on steps'!$B7:$AY7,'recurring2_based on steps'!$B$1:$AY$1,S$1)+SUMIFS('changes2_based on steps'!$B7:$U7,'changes2_based on steps'!$B$1:$U$1,S$1)</f>
        <v>0</v>
      </c>
      <c r="T7" s="179">
        <f>SUMIFS('recurring2_based on steps'!$B7:$AY7,'recurring2_based on steps'!$B$1:$AY$1,T$1)+SUMIFS('changes2_based on steps'!$B7:$U7,'changes2_based on steps'!$B$1:$U$1,T$1)</f>
        <v>0</v>
      </c>
      <c r="U7" s="179">
        <f>SUMIFS('recurring2_based on steps'!$B7:$AY7,'recurring2_based on steps'!$B$1:$AY$1,U$1)+SUMIFS('changes2_based on steps'!$B7:$U7,'changes2_based on steps'!$B$1:$U$1,U$1)</f>
        <v>0</v>
      </c>
      <c r="V7" s="179">
        <f>SUMIFS('recurring2_based on steps'!$B7:$AY7,'recurring2_based on steps'!$B$1:$AY$1,V$1)+SUMIFS('changes2_based on steps'!$B7:$U7,'changes2_based on steps'!$B$1:$U$1,V$1)</f>
        <v>0</v>
      </c>
      <c r="W7" s="179">
        <f>SUMIFS('recurring2_based on steps'!$B7:$AY7,'recurring2_based on steps'!$B$1:$AY$1,W$1)+SUMIFS('changes2_based on steps'!$B7:$U7,'changes2_based on steps'!$B$1:$U$1,W$1)</f>
        <v>0</v>
      </c>
      <c r="X7" s="179">
        <f>SUMIFS('recurring2_based on steps'!$B7:$AY7,'recurring2_based on steps'!$B$1:$AY$1,X$1)+SUMIFS('changes2_based on steps'!$B7:$U7,'changes2_based on steps'!$B$1:$U$1,X$1)</f>
        <v>0</v>
      </c>
      <c r="Y7" s="179">
        <f>SUMIFS('recurring2_based on steps'!$B7:$AY7,'recurring2_based on steps'!$B$1:$AY$1,Y$1)+SUMIFS('changes2_based on steps'!$B7:$U7,'changes2_based on steps'!$B$1:$U$1,Y$1)</f>
        <v>0</v>
      </c>
      <c r="Z7" s="179">
        <f>SUMIFS('recurring2_based on steps'!$B7:$AY7,'recurring2_based on steps'!$B$1:$AY$1,Z$1)+SUMIFS('changes2_based on steps'!$B7:$U7,'changes2_based on steps'!$B$1:$U$1,Z$1)</f>
        <v>0</v>
      </c>
      <c r="AA7" s="179">
        <f>SUMIFS('recurring2_based on steps'!$B7:$AY7,'recurring2_based on steps'!$B$1:$AY$1,AA$1)+SUMIFS('changes2_based on steps'!$B7:$U7,'changes2_based on steps'!$B$1:$U$1,AA$1)</f>
        <v>0</v>
      </c>
      <c r="AB7" s="179">
        <f>SUMIFS('recurring2_based on steps'!$B7:$AY7,'recurring2_based on steps'!$B$1:$AY$1,AB$1)+SUMIFS('changes2_based on steps'!$B7:$U7,'changes2_based on steps'!$B$1:$U$1,AB$1)</f>
        <v>0</v>
      </c>
      <c r="AC7" s="179">
        <f>SUMIFS('recurring2_based on steps'!$B7:$AY7,'recurring2_based on steps'!$B$1:$AY$1,AC$1)+SUMIFS('changes2_based on steps'!$B7:$U7,'changes2_based on steps'!$B$1:$U$1,AC$1)</f>
        <v>0</v>
      </c>
      <c r="AD7" s="179">
        <f>SUMIFS('recurring2_based on steps'!$B7:$AY7,'recurring2_based on steps'!$B$1:$AY$1,AD$1)+SUMIFS('changes2_based on steps'!$B7:$U7,'changes2_based on steps'!$B$1:$U$1,AD$1)</f>
        <v>0</v>
      </c>
      <c r="AE7" s="179">
        <f>SUMIFS('recurring2_based on steps'!$B7:$AY7,'recurring2_based on steps'!$B$1:$AY$1,AE$1)+SUMIFS('changes2_based on steps'!$B7:$U7,'changes2_based on steps'!$B$1:$U$1,AE$1)</f>
        <v>0</v>
      </c>
      <c r="AF7" s="179"/>
      <c r="AG7" s="179"/>
      <c r="AH7" s="179"/>
      <c r="AI7" s="179"/>
      <c r="AJ7" s="179"/>
      <c r="AK7" s="179"/>
      <c r="AL7" s="179"/>
      <c r="AM7" s="179"/>
    </row>
    <row r="8" spans="1:39" x14ac:dyDescent="0.2">
      <c r="A8" s="32">
        <f t="shared" ca="1" si="0"/>
        <v>45750</v>
      </c>
      <c r="B8" s="179">
        <f>SUMIFS('recurring2_based on steps'!$B8:$AY8,'recurring2_based on steps'!$B$1:$AY$1,B$1)+SUMIFS('changes2_based on steps'!$B8:$U8,'changes2_based on steps'!$B$1:$U$1,B$1)</f>
        <v>0</v>
      </c>
      <c r="C8" s="179">
        <f>SUMIFS('recurring2_based on steps'!$B8:$AY8,'recurring2_based on steps'!$B$1:$AY$1,C$1)+SUMIFS('changes2_based on steps'!$B8:$U8,'changes2_based on steps'!$B$1:$U$1,C$1)</f>
        <v>0</v>
      </c>
      <c r="D8" s="179">
        <f>SUMIFS('recurring2_based on steps'!$B8:$AY8,'recurring2_based on steps'!$B$1:$AY$1,D$1)+SUMIFS('changes2_based on steps'!$B8:$U8,'changes2_based on steps'!$B$1:$U$1,D$1)</f>
        <v>0</v>
      </c>
      <c r="E8" s="179">
        <f>SUMIFS('recurring2_based on steps'!$B8:$AY8,'recurring2_based on steps'!$B$1:$AY$1,E$1)+SUMIFS('changes2_based on steps'!$B8:$U8,'changes2_based on steps'!$B$1:$U$1,E$1)</f>
        <v>0</v>
      </c>
      <c r="F8" s="179">
        <f>SUMIFS('recurring2_based on steps'!$B8:$AY8,'recurring2_based on steps'!$B$1:$AY$1,F$1)+SUMIFS('changes2_based on steps'!$B8:$U8,'changes2_based on steps'!$B$1:$U$1,F$1)</f>
        <v>0</v>
      </c>
      <c r="G8" s="179">
        <f>SUMIFS('recurring2_based on steps'!$B8:$AY8,'recurring2_based on steps'!$B$1:$AY$1,G$1)+SUMIFS('changes2_based on steps'!$B8:$U8,'changes2_based on steps'!$B$1:$U$1,G$1)</f>
        <v>0</v>
      </c>
      <c r="H8" s="179">
        <f>SUMIFS('recurring2_based on steps'!$B8:$AY8,'recurring2_based on steps'!$B$1:$AY$1,H$1)+SUMIFS('changes2_based on steps'!$B8:$U8,'changes2_based on steps'!$B$1:$U$1,H$1)</f>
        <v>0</v>
      </c>
      <c r="I8" s="179">
        <f>SUMIFS('recurring2_based on steps'!$B8:$AY8,'recurring2_based on steps'!$B$1:$AY$1,I$1)+SUMIFS('changes2_based on steps'!$B8:$U8,'changes2_based on steps'!$B$1:$U$1,I$1)</f>
        <v>0</v>
      </c>
      <c r="J8" s="179">
        <f>SUMIFS('recurring2_based on steps'!$B8:$AY8,'recurring2_based on steps'!$B$1:$AY$1,J$1)+SUMIFS('changes2_based on steps'!$B8:$U8,'changes2_based on steps'!$B$1:$U$1,J$1)</f>
        <v>0</v>
      </c>
      <c r="K8" s="179">
        <f>SUMIFS('recurring2_based on steps'!$B8:$AY8,'recurring2_based on steps'!$B$1:$AY$1,K$1)+SUMIFS('changes2_based on steps'!$B8:$U8,'changes2_based on steps'!$B$1:$U$1,K$1)</f>
        <v>0</v>
      </c>
      <c r="L8" s="179">
        <f>SUMIFS('recurring2_based on steps'!$B8:$AY8,'recurring2_based on steps'!$B$1:$AY$1,L$1)+SUMIFS('changes2_based on steps'!$B8:$U8,'changes2_based on steps'!$B$1:$U$1,L$1)</f>
        <v>0</v>
      </c>
      <c r="M8" s="179">
        <f>SUMIFS('recurring2_based on steps'!$B8:$AY8,'recurring2_based on steps'!$B$1:$AY$1,M$1)+SUMIFS('changes2_based on steps'!$B8:$U8,'changes2_based on steps'!$B$1:$U$1,M$1)</f>
        <v>0</v>
      </c>
      <c r="N8" s="179">
        <f>SUMIFS('recurring2_based on steps'!$B8:$AY8,'recurring2_based on steps'!$B$1:$AY$1,N$1)+SUMIFS('changes2_based on steps'!$B8:$U8,'changes2_based on steps'!$B$1:$U$1,N$1)</f>
        <v>0</v>
      </c>
      <c r="O8" s="179">
        <f>SUMIFS('recurring2_based on steps'!$B8:$AY8,'recurring2_based on steps'!$B$1:$AY$1,O$1)+SUMIFS('changes2_based on steps'!$B8:$U8,'changes2_based on steps'!$B$1:$U$1,O$1)</f>
        <v>0</v>
      </c>
      <c r="P8" s="179">
        <f>SUMIFS('recurring2_based on steps'!$B8:$AY8,'recurring2_based on steps'!$B$1:$AY$1,P$1)+SUMIFS('changes2_based on steps'!$B8:$U8,'changes2_based on steps'!$B$1:$U$1,P$1)</f>
        <v>0</v>
      </c>
      <c r="Q8" s="179">
        <f>SUMIFS('recurring2_based on steps'!$B8:$AY8,'recurring2_based on steps'!$B$1:$AY$1,Q$1)+SUMIFS('changes2_based on steps'!$B8:$U8,'changes2_based on steps'!$B$1:$U$1,Q$1)</f>
        <v>0</v>
      </c>
      <c r="R8" s="179">
        <f>SUMIFS('recurring2_based on steps'!$B8:$AY8,'recurring2_based on steps'!$B$1:$AY$1,R$1)+SUMIFS('changes2_based on steps'!$B8:$U8,'changes2_based on steps'!$B$1:$U$1,R$1)</f>
        <v>0</v>
      </c>
      <c r="S8" s="179">
        <f>SUMIFS('recurring2_based on steps'!$B8:$AY8,'recurring2_based on steps'!$B$1:$AY$1,S$1)+SUMIFS('changes2_based on steps'!$B8:$U8,'changes2_based on steps'!$B$1:$U$1,S$1)</f>
        <v>0</v>
      </c>
      <c r="T8" s="179">
        <f>SUMIFS('recurring2_based on steps'!$B8:$AY8,'recurring2_based on steps'!$B$1:$AY$1,T$1)+SUMIFS('changes2_based on steps'!$B8:$U8,'changes2_based on steps'!$B$1:$U$1,T$1)</f>
        <v>0</v>
      </c>
      <c r="U8" s="179">
        <f>SUMIFS('recurring2_based on steps'!$B8:$AY8,'recurring2_based on steps'!$B$1:$AY$1,U$1)+SUMIFS('changes2_based on steps'!$B8:$U8,'changes2_based on steps'!$B$1:$U$1,U$1)</f>
        <v>0</v>
      </c>
      <c r="V8" s="179">
        <f>SUMIFS('recurring2_based on steps'!$B8:$AY8,'recurring2_based on steps'!$B$1:$AY$1,V$1)+SUMIFS('changes2_based on steps'!$B8:$U8,'changes2_based on steps'!$B$1:$U$1,V$1)</f>
        <v>0</v>
      </c>
      <c r="W8" s="179">
        <f>SUMIFS('recurring2_based on steps'!$B8:$AY8,'recurring2_based on steps'!$B$1:$AY$1,W$1)+SUMIFS('changes2_based on steps'!$B8:$U8,'changes2_based on steps'!$B$1:$U$1,W$1)</f>
        <v>0</v>
      </c>
      <c r="X8" s="179">
        <f>SUMIFS('recurring2_based on steps'!$B8:$AY8,'recurring2_based on steps'!$B$1:$AY$1,X$1)+SUMIFS('changes2_based on steps'!$B8:$U8,'changes2_based on steps'!$B$1:$U$1,X$1)</f>
        <v>0</v>
      </c>
      <c r="Y8" s="179">
        <f>SUMIFS('recurring2_based on steps'!$B8:$AY8,'recurring2_based on steps'!$B$1:$AY$1,Y$1)+SUMIFS('changes2_based on steps'!$B8:$U8,'changes2_based on steps'!$B$1:$U$1,Y$1)</f>
        <v>0</v>
      </c>
      <c r="Z8" s="179">
        <f>SUMIFS('recurring2_based on steps'!$B8:$AY8,'recurring2_based on steps'!$B$1:$AY$1,Z$1)+SUMIFS('changes2_based on steps'!$B8:$U8,'changes2_based on steps'!$B$1:$U$1,Z$1)</f>
        <v>0</v>
      </c>
      <c r="AA8" s="179">
        <f>SUMIFS('recurring2_based on steps'!$B8:$AY8,'recurring2_based on steps'!$B$1:$AY$1,AA$1)+SUMIFS('changes2_based on steps'!$B8:$U8,'changes2_based on steps'!$B$1:$U$1,AA$1)</f>
        <v>0</v>
      </c>
      <c r="AB8" s="179">
        <f>SUMIFS('recurring2_based on steps'!$B8:$AY8,'recurring2_based on steps'!$B$1:$AY$1,AB$1)+SUMIFS('changes2_based on steps'!$B8:$U8,'changes2_based on steps'!$B$1:$U$1,AB$1)</f>
        <v>0</v>
      </c>
      <c r="AC8" s="179">
        <f>SUMIFS('recurring2_based on steps'!$B8:$AY8,'recurring2_based on steps'!$B$1:$AY$1,AC$1)+SUMIFS('changes2_based on steps'!$B8:$U8,'changes2_based on steps'!$B$1:$U$1,AC$1)</f>
        <v>0</v>
      </c>
      <c r="AD8" s="179">
        <f>SUMIFS('recurring2_based on steps'!$B8:$AY8,'recurring2_based on steps'!$B$1:$AY$1,AD$1)+SUMIFS('changes2_based on steps'!$B8:$U8,'changes2_based on steps'!$B$1:$U$1,AD$1)</f>
        <v>0</v>
      </c>
      <c r="AE8" s="179">
        <f>SUMIFS('recurring2_based on steps'!$B8:$AY8,'recurring2_based on steps'!$B$1:$AY$1,AE$1)+SUMIFS('changes2_based on steps'!$B8:$U8,'changes2_based on steps'!$B$1:$U$1,AE$1)</f>
        <v>0</v>
      </c>
      <c r="AF8" s="179"/>
      <c r="AG8" s="179"/>
      <c r="AH8" s="179"/>
      <c r="AI8" s="179"/>
      <c r="AJ8" s="179"/>
      <c r="AK8" s="179"/>
      <c r="AL8" s="179"/>
      <c r="AM8" s="179"/>
    </row>
    <row r="9" spans="1:39" x14ac:dyDescent="0.2">
      <c r="A9" s="32">
        <f t="shared" ca="1" si="0"/>
        <v>45751</v>
      </c>
      <c r="B9" s="179">
        <f>SUMIFS('recurring2_based on steps'!$B9:$AY9,'recurring2_based on steps'!$B$1:$AY$1,B$1)+SUMIFS('changes2_based on steps'!$B9:$U9,'changes2_based on steps'!$B$1:$U$1,B$1)</f>
        <v>0</v>
      </c>
      <c r="C9" s="179">
        <f>SUMIFS('recurring2_based on steps'!$B9:$AY9,'recurring2_based on steps'!$B$1:$AY$1,C$1)+SUMIFS('changes2_based on steps'!$B9:$U9,'changes2_based on steps'!$B$1:$U$1,C$1)</f>
        <v>0</v>
      </c>
      <c r="D9" s="179">
        <f>SUMIFS('recurring2_based on steps'!$B9:$AY9,'recurring2_based on steps'!$B$1:$AY$1,D$1)+SUMIFS('changes2_based on steps'!$B9:$U9,'changes2_based on steps'!$B$1:$U$1,D$1)</f>
        <v>0</v>
      </c>
      <c r="E9" s="179">
        <f>SUMIFS('recurring2_based on steps'!$B9:$AY9,'recurring2_based on steps'!$B$1:$AY$1,E$1)+SUMIFS('changes2_based on steps'!$B9:$U9,'changes2_based on steps'!$B$1:$U$1,E$1)</f>
        <v>0</v>
      </c>
      <c r="F9" s="179">
        <f>SUMIFS('recurring2_based on steps'!$B9:$AY9,'recurring2_based on steps'!$B$1:$AY$1,F$1)+SUMIFS('changes2_based on steps'!$B9:$U9,'changes2_based on steps'!$B$1:$U$1,F$1)</f>
        <v>0</v>
      </c>
      <c r="G9" s="179">
        <f>SUMIFS('recurring2_based on steps'!$B9:$AY9,'recurring2_based on steps'!$B$1:$AY$1,G$1)+SUMIFS('changes2_based on steps'!$B9:$U9,'changes2_based on steps'!$B$1:$U$1,G$1)</f>
        <v>0</v>
      </c>
      <c r="H9" s="179">
        <f>SUMIFS('recurring2_based on steps'!$B9:$AY9,'recurring2_based on steps'!$B$1:$AY$1,H$1)+SUMIFS('changes2_based on steps'!$B9:$U9,'changes2_based on steps'!$B$1:$U$1,H$1)</f>
        <v>0</v>
      </c>
      <c r="I9" s="179">
        <f>SUMIFS('recurring2_based on steps'!$B9:$AY9,'recurring2_based on steps'!$B$1:$AY$1,I$1)+SUMIFS('changes2_based on steps'!$B9:$U9,'changes2_based on steps'!$B$1:$U$1,I$1)</f>
        <v>0</v>
      </c>
      <c r="J9" s="179">
        <f>SUMIFS('recurring2_based on steps'!$B9:$AY9,'recurring2_based on steps'!$B$1:$AY$1,J$1)+SUMIFS('changes2_based on steps'!$B9:$U9,'changes2_based on steps'!$B$1:$U$1,J$1)</f>
        <v>0</v>
      </c>
      <c r="K9" s="179">
        <f>SUMIFS('recurring2_based on steps'!$B9:$AY9,'recurring2_based on steps'!$B$1:$AY$1,K$1)+SUMIFS('changes2_based on steps'!$B9:$U9,'changes2_based on steps'!$B$1:$U$1,K$1)</f>
        <v>0</v>
      </c>
      <c r="L9" s="179">
        <f>SUMIFS('recurring2_based on steps'!$B9:$AY9,'recurring2_based on steps'!$B$1:$AY$1,L$1)+SUMIFS('changes2_based on steps'!$B9:$U9,'changes2_based on steps'!$B$1:$U$1,L$1)</f>
        <v>0</v>
      </c>
      <c r="M9" s="179">
        <f>SUMIFS('recurring2_based on steps'!$B9:$AY9,'recurring2_based on steps'!$B$1:$AY$1,M$1)+SUMIFS('changes2_based on steps'!$B9:$U9,'changes2_based on steps'!$B$1:$U$1,M$1)</f>
        <v>0</v>
      </c>
      <c r="N9" s="179">
        <f>SUMIFS('recurring2_based on steps'!$B9:$AY9,'recurring2_based on steps'!$B$1:$AY$1,N$1)+SUMIFS('changes2_based on steps'!$B9:$U9,'changes2_based on steps'!$B$1:$U$1,N$1)</f>
        <v>0</v>
      </c>
      <c r="O9" s="179">
        <f>SUMIFS('recurring2_based on steps'!$B9:$AY9,'recurring2_based on steps'!$B$1:$AY$1,O$1)+SUMIFS('changes2_based on steps'!$B9:$U9,'changes2_based on steps'!$B$1:$U$1,O$1)</f>
        <v>0</v>
      </c>
      <c r="P9" s="179">
        <f>SUMIFS('recurring2_based on steps'!$B9:$AY9,'recurring2_based on steps'!$B$1:$AY$1,P$1)+SUMIFS('changes2_based on steps'!$B9:$U9,'changes2_based on steps'!$B$1:$U$1,P$1)</f>
        <v>0</v>
      </c>
      <c r="Q9" s="179">
        <f>SUMIFS('recurring2_based on steps'!$B9:$AY9,'recurring2_based on steps'!$B$1:$AY$1,Q$1)+SUMIFS('changes2_based on steps'!$B9:$U9,'changes2_based on steps'!$B$1:$U$1,Q$1)</f>
        <v>0</v>
      </c>
      <c r="R9" s="179">
        <f>SUMIFS('recurring2_based on steps'!$B9:$AY9,'recurring2_based on steps'!$B$1:$AY$1,R$1)+SUMIFS('changes2_based on steps'!$B9:$U9,'changes2_based on steps'!$B$1:$U$1,R$1)</f>
        <v>0</v>
      </c>
      <c r="S9" s="179">
        <f>SUMIFS('recurring2_based on steps'!$B9:$AY9,'recurring2_based on steps'!$B$1:$AY$1,S$1)+SUMIFS('changes2_based on steps'!$B9:$U9,'changes2_based on steps'!$B$1:$U$1,S$1)</f>
        <v>0</v>
      </c>
      <c r="T9" s="179">
        <f>SUMIFS('recurring2_based on steps'!$B9:$AY9,'recurring2_based on steps'!$B$1:$AY$1,T$1)+SUMIFS('changes2_based on steps'!$B9:$U9,'changes2_based on steps'!$B$1:$U$1,T$1)</f>
        <v>0</v>
      </c>
      <c r="U9" s="179">
        <f>SUMIFS('recurring2_based on steps'!$B9:$AY9,'recurring2_based on steps'!$B$1:$AY$1,U$1)+SUMIFS('changes2_based on steps'!$B9:$U9,'changes2_based on steps'!$B$1:$U$1,U$1)</f>
        <v>0</v>
      </c>
      <c r="V9" s="179">
        <f>SUMIFS('recurring2_based on steps'!$B9:$AY9,'recurring2_based on steps'!$B$1:$AY$1,V$1)+SUMIFS('changes2_based on steps'!$B9:$U9,'changes2_based on steps'!$B$1:$U$1,V$1)</f>
        <v>0</v>
      </c>
      <c r="W9" s="179">
        <f>SUMIFS('recurring2_based on steps'!$B9:$AY9,'recurring2_based on steps'!$B$1:$AY$1,W$1)+SUMIFS('changes2_based on steps'!$B9:$U9,'changes2_based on steps'!$B$1:$U$1,W$1)</f>
        <v>0</v>
      </c>
      <c r="X9" s="179">
        <f>SUMIFS('recurring2_based on steps'!$B9:$AY9,'recurring2_based on steps'!$B$1:$AY$1,X$1)+SUMIFS('changes2_based on steps'!$B9:$U9,'changes2_based on steps'!$B$1:$U$1,X$1)</f>
        <v>0</v>
      </c>
      <c r="Y9" s="179">
        <f>SUMIFS('recurring2_based on steps'!$B9:$AY9,'recurring2_based on steps'!$B$1:$AY$1,Y$1)+SUMIFS('changes2_based on steps'!$B9:$U9,'changes2_based on steps'!$B$1:$U$1,Y$1)</f>
        <v>0</v>
      </c>
      <c r="Z9" s="179">
        <f>SUMIFS('recurring2_based on steps'!$B9:$AY9,'recurring2_based on steps'!$B$1:$AY$1,Z$1)+SUMIFS('changes2_based on steps'!$B9:$U9,'changes2_based on steps'!$B$1:$U$1,Z$1)</f>
        <v>0</v>
      </c>
      <c r="AA9" s="179">
        <f>SUMIFS('recurring2_based on steps'!$B9:$AY9,'recurring2_based on steps'!$B$1:$AY$1,AA$1)+SUMIFS('changes2_based on steps'!$B9:$U9,'changes2_based on steps'!$B$1:$U$1,AA$1)</f>
        <v>0</v>
      </c>
      <c r="AB9" s="179">
        <f>SUMIFS('recurring2_based on steps'!$B9:$AY9,'recurring2_based on steps'!$B$1:$AY$1,AB$1)+SUMIFS('changes2_based on steps'!$B9:$U9,'changes2_based on steps'!$B$1:$U$1,AB$1)</f>
        <v>0</v>
      </c>
      <c r="AC9" s="179">
        <f>SUMIFS('recurring2_based on steps'!$B9:$AY9,'recurring2_based on steps'!$B$1:$AY$1,AC$1)+SUMIFS('changes2_based on steps'!$B9:$U9,'changes2_based on steps'!$B$1:$U$1,AC$1)</f>
        <v>0</v>
      </c>
      <c r="AD9" s="179">
        <f>SUMIFS('recurring2_based on steps'!$B9:$AY9,'recurring2_based on steps'!$B$1:$AY$1,AD$1)+SUMIFS('changes2_based on steps'!$B9:$U9,'changes2_based on steps'!$B$1:$U$1,AD$1)</f>
        <v>0</v>
      </c>
      <c r="AE9" s="179">
        <f>SUMIFS('recurring2_based on steps'!$B9:$AY9,'recurring2_based on steps'!$B$1:$AY$1,AE$1)+SUMIFS('changes2_based on steps'!$B9:$U9,'changes2_based on steps'!$B$1:$U$1,AE$1)</f>
        <v>0</v>
      </c>
      <c r="AF9" s="179"/>
      <c r="AG9" s="179"/>
      <c r="AH9" s="179"/>
      <c r="AI9" s="179"/>
      <c r="AJ9" s="179"/>
      <c r="AK9" s="179"/>
      <c r="AL9" s="179"/>
      <c r="AM9" s="179"/>
    </row>
    <row r="10" spans="1:39" x14ac:dyDescent="0.2">
      <c r="A10" s="32">
        <f t="shared" ca="1" si="0"/>
        <v>45752</v>
      </c>
      <c r="B10" s="179">
        <f>SUMIFS('recurring2_based on steps'!$B10:$AY10,'recurring2_based on steps'!$B$1:$AY$1,B$1)+SUMIFS('changes2_based on steps'!$B10:$U10,'changes2_based on steps'!$B$1:$U$1,B$1)</f>
        <v>0</v>
      </c>
      <c r="C10" s="179">
        <f>SUMIFS('recurring2_based on steps'!$B10:$AY10,'recurring2_based on steps'!$B$1:$AY$1,C$1)+SUMIFS('changes2_based on steps'!$B10:$U10,'changes2_based on steps'!$B$1:$U$1,C$1)</f>
        <v>0</v>
      </c>
      <c r="D10" s="179">
        <f>SUMIFS('recurring2_based on steps'!$B10:$AY10,'recurring2_based on steps'!$B$1:$AY$1,D$1)+SUMIFS('changes2_based on steps'!$B10:$U10,'changes2_based on steps'!$B$1:$U$1,D$1)</f>
        <v>0</v>
      </c>
      <c r="E10" s="179">
        <f>SUMIFS('recurring2_based on steps'!$B10:$AY10,'recurring2_based on steps'!$B$1:$AY$1,E$1)+SUMIFS('changes2_based on steps'!$B10:$U10,'changes2_based on steps'!$B$1:$U$1,E$1)</f>
        <v>0</v>
      </c>
      <c r="F10" s="179">
        <f>SUMIFS('recurring2_based on steps'!$B10:$AY10,'recurring2_based on steps'!$B$1:$AY$1,F$1)+SUMIFS('changes2_based on steps'!$B10:$U10,'changes2_based on steps'!$B$1:$U$1,F$1)</f>
        <v>0</v>
      </c>
      <c r="G10" s="179">
        <f>SUMIFS('recurring2_based on steps'!$B10:$AY10,'recurring2_based on steps'!$B$1:$AY$1,G$1)+SUMIFS('changes2_based on steps'!$B10:$U10,'changes2_based on steps'!$B$1:$U$1,G$1)</f>
        <v>0</v>
      </c>
      <c r="H10" s="179">
        <f>SUMIFS('recurring2_based on steps'!$B10:$AY10,'recurring2_based on steps'!$B$1:$AY$1,H$1)+SUMIFS('changes2_based on steps'!$B10:$U10,'changes2_based on steps'!$B$1:$U$1,H$1)</f>
        <v>0</v>
      </c>
      <c r="I10" s="179">
        <f>SUMIFS('recurring2_based on steps'!$B10:$AY10,'recurring2_based on steps'!$B$1:$AY$1,I$1)+SUMIFS('changes2_based on steps'!$B10:$U10,'changes2_based on steps'!$B$1:$U$1,I$1)</f>
        <v>0</v>
      </c>
      <c r="J10" s="179">
        <f>SUMIFS('recurring2_based on steps'!$B10:$AY10,'recurring2_based on steps'!$B$1:$AY$1,J$1)+SUMIFS('changes2_based on steps'!$B10:$U10,'changes2_based on steps'!$B$1:$U$1,J$1)</f>
        <v>0</v>
      </c>
      <c r="K10" s="179">
        <f>SUMIFS('recurring2_based on steps'!$B10:$AY10,'recurring2_based on steps'!$B$1:$AY$1,K$1)+SUMIFS('changes2_based on steps'!$B10:$U10,'changes2_based on steps'!$B$1:$U$1,K$1)</f>
        <v>0</v>
      </c>
      <c r="L10" s="179">
        <f>SUMIFS('recurring2_based on steps'!$B10:$AY10,'recurring2_based on steps'!$B$1:$AY$1,L$1)+SUMIFS('changes2_based on steps'!$B10:$U10,'changes2_based on steps'!$B$1:$U$1,L$1)</f>
        <v>0</v>
      </c>
      <c r="M10" s="179">
        <f>SUMIFS('recurring2_based on steps'!$B10:$AY10,'recurring2_based on steps'!$B$1:$AY$1,M$1)+SUMIFS('changes2_based on steps'!$B10:$U10,'changes2_based on steps'!$B$1:$U$1,M$1)</f>
        <v>0</v>
      </c>
      <c r="N10" s="179">
        <f>SUMIFS('recurring2_based on steps'!$B10:$AY10,'recurring2_based on steps'!$B$1:$AY$1,N$1)+SUMIFS('changes2_based on steps'!$B10:$U10,'changes2_based on steps'!$B$1:$U$1,N$1)</f>
        <v>0</v>
      </c>
      <c r="O10" s="179">
        <f>SUMIFS('recurring2_based on steps'!$B10:$AY10,'recurring2_based on steps'!$B$1:$AY$1,O$1)+SUMIFS('changes2_based on steps'!$B10:$U10,'changes2_based on steps'!$B$1:$U$1,O$1)</f>
        <v>0</v>
      </c>
      <c r="P10" s="179">
        <f>SUMIFS('recurring2_based on steps'!$B10:$AY10,'recurring2_based on steps'!$B$1:$AY$1,P$1)+SUMIFS('changes2_based on steps'!$B10:$U10,'changes2_based on steps'!$B$1:$U$1,P$1)</f>
        <v>0</v>
      </c>
      <c r="Q10" s="179">
        <f>SUMIFS('recurring2_based on steps'!$B10:$AY10,'recurring2_based on steps'!$B$1:$AY$1,Q$1)+SUMIFS('changes2_based on steps'!$B10:$U10,'changes2_based on steps'!$B$1:$U$1,Q$1)</f>
        <v>0</v>
      </c>
      <c r="R10" s="179">
        <f>SUMIFS('recurring2_based on steps'!$B10:$AY10,'recurring2_based on steps'!$B$1:$AY$1,R$1)+SUMIFS('changes2_based on steps'!$B10:$U10,'changes2_based on steps'!$B$1:$U$1,R$1)</f>
        <v>0</v>
      </c>
      <c r="S10" s="179">
        <f>SUMIFS('recurring2_based on steps'!$B10:$AY10,'recurring2_based on steps'!$B$1:$AY$1,S$1)+SUMIFS('changes2_based on steps'!$B10:$U10,'changes2_based on steps'!$B$1:$U$1,S$1)</f>
        <v>0</v>
      </c>
      <c r="T10" s="179">
        <f>SUMIFS('recurring2_based on steps'!$B10:$AY10,'recurring2_based on steps'!$B$1:$AY$1,T$1)+SUMIFS('changes2_based on steps'!$B10:$U10,'changes2_based on steps'!$B$1:$U$1,T$1)</f>
        <v>0</v>
      </c>
      <c r="U10" s="179">
        <f>SUMIFS('recurring2_based on steps'!$B10:$AY10,'recurring2_based on steps'!$B$1:$AY$1,U$1)+SUMIFS('changes2_based on steps'!$B10:$U10,'changes2_based on steps'!$B$1:$U$1,U$1)</f>
        <v>0</v>
      </c>
      <c r="V10" s="179">
        <f>SUMIFS('recurring2_based on steps'!$B10:$AY10,'recurring2_based on steps'!$B$1:$AY$1,V$1)+SUMIFS('changes2_based on steps'!$B10:$U10,'changes2_based on steps'!$B$1:$U$1,V$1)</f>
        <v>0</v>
      </c>
      <c r="W10" s="179">
        <f>SUMIFS('recurring2_based on steps'!$B10:$AY10,'recurring2_based on steps'!$B$1:$AY$1,W$1)+SUMIFS('changes2_based on steps'!$B10:$U10,'changes2_based on steps'!$B$1:$U$1,W$1)</f>
        <v>0</v>
      </c>
      <c r="X10" s="179">
        <f>SUMIFS('recurring2_based on steps'!$B10:$AY10,'recurring2_based on steps'!$B$1:$AY$1,X$1)+SUMIFS('changes2_based on steps'!$B10:$U10,'changes2_based on steps'!$B$1:$U$1,X$1)</f>
        <v>0</v>
      </c>
      <c r="Y10" s="179">
        <f>SUMIFS('recurring2_based on steps'!$B10:$AY10,'recurring2_based on steps'!$B$1:$AY$1,Y$1)+SUMIFS('changes2_based on steps'!$B10:$U10,'changes2_based on steps'!$B$1:$U$1,Y$1)</f>
        <v>0</v>
      </c>
      <c r="Z10" s="179">
        <f>SUMIFS('recurring2_based on steps'!$B10:$AY10,'recurring2_based on steps'!$B$1:$AY$1,Z$1)+SUMIFS('changes2_based on steps'!$B10:$U10,'changes2_based on steps'!$B$1:$U$1,Z$1)</f>
        <v>0</v>
      </c>
      <c r="AA10" s="179">
        <f>SUMIFS('recurring2_based on steps'!$B10:$AY10,'recurring2_based on steps'!$B$1:$AY$1,AA$1)+SUMIFS('changes2_based on steps'!$B10:$U10,'changes2_based on steps'!$B$1:$U$1,AA$1)</f>
        <v>0</v>
      </c>
      <c r="AB10" s="179">
        <f>SUMIFS('recurring2_based on steps'!$B10:$AY10,'recurring2_based on steps'!$B$1:$AY$1,AB$1)+SUMIFS('changes2_based on steps'!$B10:$U10,'changes2_based on steps'!$B$1:$U$1,AB$1)</f>
        <v>0</v>
      </c>
      <c r="AC10" s="179">
        <f>SUMIFS('recurring2_based on steps'!$B10:$AY10,'recurring2_based on steps'!$B$1:$AY$1,AC$1)+SUMIFS('changes2_based on steps'!$B10:$U10,'changes2_based on steps'!$B$1:$U$1,AC$1)</f>
        <v>0</v>
      </c>
      <c r="AD10" s="179">
        <f>SUMIFS('recurring2_based on steps'!$B10:$AY10,'recurring2_based on steps'!$B$1:$AY$1,AD$1)+SUMIFS('changes2_based on steps'!$B10:$U10,'changes2_based on steps'!$B$1:$U$1,AD$1)</f>
        <v>0</v>
      </c>
      <c r="AE10" s="179">
        <f>SUMIFS('recurring2_based on steps'!$B10:$AY10,'recurring2_based on steps'!$B$1:$AY$1,AE$1)+SUMIFS('changes2_based on steps'!$B10:$U10,'changes2_based on steps'!$B$1:$U$1,AE$1)</f>
        <v>0</v>
      </c>
      <c r="AF10" s="179"/>
      <c r="AG10" s="179"/>
      <c r="AH10" s="179"/>
      <c r="AI10" s="179"/>
      <c r="AJ10" s="179"/>
      <c r="AK10" s="179"/>
      <c r="AL10" s="179"/>
      <c r="AM10" s="179"/>
    </row>
    <row r="11" spans="1:39" x14ac:dyDescent="0.2">
      <c r="A11" s="32">
        <f t="shared" ca="1" si="0"/>
        <v>45753</v>
      </c>
      <c r="B11" s="179">
        <f>SUMIFS('recurring2_based on steps'!$B11:$AY11,'recurring2_based on steps'!$B$1:$AY$1,B$1)+SUMIFS('changes2_based on steps'!$B11:$U11,'changes2_based on steps'!$B$1:$U$1,B$1)</f>
        <v>0</v>
      </c>
      <c r="C11" s="179">
        <f>SUMIFS('recurring2_based on steps'!$B11:$AY11,'recurring2_based on steps'!$B$1:$AY$1,C$1)+SUMIFS('changes2_based on steps'!$B11:$U11,'changes2_based on steps'!$B$1:$U$1,C$1)</f>
        <v>0</v>
      </c>
      <c r="D11" s="179">
        <f>SUMIFS('recurring2_based on steps'!$B11:$AY11,'recurring2_based on steps'!$B$1:$AY$1,D$1)+SUMIFS('changes2_based on steps'!$B11:$U11,'changes2_based on steps'!$B$1:$U$1,D$1)</f>
        <v>0</v>
      </c>
      <c r="E11" s="179">
        <f>SUMIFS('recurring2_based on steps'!$B11:$AY11,'recurring2_based on steps'!$B$1:$AY$1,E$1)+SUMIFS('changes2_based on steps'!$B11:$U11,'changes2_based on steps'!$B$1:$U$1,E$1)</f>
        <v>0</v>
      </c>
      <c r="F11" s="179">
        <f>SUMIFS('recurring2_based on steps'!$B11:$AY11,'recurring2_based on steps'!$B$1:$AY$1,F$1)+SUMIFS('changes2_based on steps'!$B11:$U11,'changes2_based on steps'!$B$1:$U$1,F$1)</f>
        <v>0</v>
      </c>
      <c r="G11" s="179">
        <f>SUMIFS('recurring2_based on steps'!$B11:$AY11,'recurring2_based on steps'!$B$1:$AY$1,G$1)+SUMIFS('changes2_based on steps'!$B11:$U11,'changes2_based on steps'!$B$1:$U$1,G$1)</f>
        <v>0</v>
      </c>
      <c r="H11" s="179">
        <f>SUMIFS('recurring2_based on steps'!$B11:$AY11,'recurring2_based on steps'!$B$1:$AY$1,H$1)+SUMIFS('changes2_based on steps'!$B11:$U11,'changes2_based on steps'!$B$1:$U$1,H$1)</f>
        <v>0</v>
      </c>
      <c r="I11" s="179">
        <f>SUMIFS('recurring2_based on steps'!$B11:$AY11,'recurring2_based on steps'!$B$1:$AY$1,I$1)+SUMIFS('changes2_based on steps'!$B11:$U11,'changes2_based on steps'!$B$1:$U$1,I$1)</f>
        <v>0</v>
      </c>
      <c r="J11" s="179">
        <f>SUMIFS('recurring2_based on steps'!$B11:$AY11,'recurring2_based on steps'!$B$1:$AY$1,J$1)+SUMIFS('changes2_based on steps'!$B11:$U11,'changes2_based on steps'!$B$1:$U$1,J$1)</f>
        <v>0</v>
      </c>
      <c r="K11" s="179">
        <f>SUMIFS('recurring2_based on steps'!$B11:$AY11,'recurring2_based on steps'!$B$1:$AY$1,K$1)+SUMIFS('changes2_based on steps'!$B11:$U11,'changes2_based on steps'!$B$1:$U$1,K$1)</f>
        <v>0</v>
      </c>
      <c r="L11" s="179">
        <f>SUMIFS('recurring2_based on steps'!$B11:$AY11,'recurring2_based on steps'!$B$1:$AY$1,L$1)+SUMIFS('changes2_based on steps'!$B11:$U11,'changes2_based on steps'!$B$1:$U$1,L$1)</f>
        <v>0</v>
      </c>
      <c r="M11" s="179">
        <f>SUMIFS('recurring2_based on steps'!$B11:$AY11,'recurring2_based on steps'!$B$1:$AY$1,M$1)+SUMIFS('changes2_based on steps'!$B11:$U11,'changes2_based on steps'!$B$1:$U$1,M$1)</f>
        <v>0</v>
      </c>
      <c r="N11" s="179">
        <f>SUMIFS('recurring2_based on steps'!$B11:$AY11,'recurring2_based on steps'!$B$1:$AY$1,N$1)+SUMIFS('changes2_based on steps'!$B11:$U11,'changes2_based on steps'!$B$1:$U$1,N$1)</f>
        <v>0</v>
      </c>
      <c r="O11" s="179">
        <f>SUMIFS('recurring2_based on steps'!$B11:$AY11,'recurring2_based on steps'!$B$1:$AY$1,O$1)+SUMIFS('changes2_based on steps'!$B11:$U11,'changes2_based on steps'!$B$1:$U$1,O$1)</f>
        <v>0</v>
      </c>
      <c r="P11" s="179">
        <f>SUMIFS('recurring2_based on steps'!$B11:$AY11,'recurring2_based on steps'!$B$1:$AY$1,P$1)+SUMIFS('changes2_based on steps'!$B11:$U11,'changes2_based on steps'!$B$1:$U$1,P$1)</f>
        <v>0</v>
      </c>
      <c r="Q11" s="179">
        <f>SUMIFS('recurring2_based on steps'!$B11:$AY11,'recurring2_based on steps'!$B$1:$AY$1,Q$1)+SUMIFS('changes2_based on steps'!$B11:$U11,'changes2_based on steps'!$B$1:$U$1,Q$1)</f>
        <v>0</v>
      </c>
      <c r="R11" s="179">
        <f>SUMIFS('recurring2_based on steps'!$B11:$AY11,'recurring2_based on steps'!$B$1:$AY$1,R$1)+SUMIFS('changes2_based on steps'!$B11:$U11,'changes2_based on steps'!$B$1:$U$1,R$1)</f>
        <v>0</v>
      </c>
      <c r="S11" s="179">
        <f>SUMIFS('recurring2_based on steps'!$B11:$AY11,'recurring2_based on steps'!$B$1:$AY$1,S$1)+SUMIFS('changes2_based on steps'!$B11:$U11,'changes2_based on steps'!$B$1:$U$1,S$1)</f>
        <v>0</v>
      </c>
      <c r="T11" s="179">
        <f>SUMIFS('recurring2_based on steps'!$B11:$AY11,'recurring2_based on steps'!$B$1:$AY$1,T$1)+SUMIFS('changes2_based on steps'!$B11:$U11,'changes2_based on steps'!$B$1:$U$1,T$1)</f>
        <v>0</v>
      </c>
      <c r="U11" s="179">
        <f>SUMIFS('recurring2_based on steps'!$B11:$AY11,'recurring2_based on steps'!$B$1:$AY$1,U$1)+SUMIFS('changes2_based on steps'!$B11:$U11,'changes2_based on steps'!$B$1:$U$1,U$1)</f>
        <v>0</v>
      </c>
      <c r="V11" s="179">
        <f>SUMIFS('recurring2_based on steps'!$B11:$AY11,'recurring2_based on steps'!$B$1:$AY$1,V$1)+SUMIFS('changes2_based on steps'!$B11:$U11,'changes2_based on steps'!$B$1:$U$1,V$1)</f>
        <v>0</v>
      </c>
      <c r="W11" s="179">
        <f>SUMIFS('recurring2_based on steps'!$B11:$AY11,'recurring2_based on steps'!$B$1:$AY$1,W$1)+SUMIFS('changes2_based on steps'!$B11:$U11,'changes2_based on steps'!$B$1:$U$1,W$1)</f>
        <v>0</v>
      </c>
      <c r="X11" s="179">
        <f>SUMIFS('recurring2_based on steps'!$B11:$AY11,'recurring2_based on steps'!$B$1:$AY$1,X$1)+SUMIFS('changes2_based on steps'!$B11:$U11,'changes2_based on steps'!$B$1:$U$1,X$1)</f>
        <v>0</v>
      </c>
      <c r="Y11" s="179">
        <f>SUMIFS('recurring2_based on steps'!$B11:$AY11,'recurring2_based on steps'!$B$1:$AY$1,Y$1)+SUMIFS('changes2_based on steps'!$B11:$U11,'changes2_based on steps'!$B$1:$U$1,Y$1)</f>
        <v>0</v>
      </c>
      <c r="Z11" s="179">
        <f>SUMIFS('recurring2_based on steps'!$B11:$AY11,'recurring2_based on steps'!$B$1:$AY$1,Z$1)+SUMIFS('changes2_based on steps'!$B11:$U11,'changes2_based on steps'!$B$1:$U$1,Z$1)</f>
        <v>0</v>
      </c>
      <c r="AA11" s="179">
        <f>SUMIFS('recurring2_based on steps'!$B11:$AY11,'recurring2_based on steps'!$B$1:$AY$1,AA$1)+SUMIFS('changes2_based on steps'!$B11:$U11,'changes2_based on steps'!$B$1:$U$1,AA$1)</f>
        <v>0</v>
      </c>
      <c r="AB11" s="179">
        <f>SUMIFS('recurring2_based on steps'!$B11:$AY11,'recurring2_based on steps'!$B$1:$AY$1,AB$1)+SUMIFS('changes2_based on steps'!$B11:$U11,'changes2_based on steps'!$B$1:$U$1,AB$1)</f>
        <v>0</v>
      </c>
      <c r="AC11" s="179">
        <f>SUMIFS('recurring2_based on steps'!$B11:$AY11,'recurring2_based on steps'!$B$1:$AY$1,AC$1)+SUMIFS('changes2_based on steps'!$B11:$U11,'changes2_based on steps'!$B$1:$U$1,AC$1)</f>
        <v>0</v>
      </c>
      <c r="AD11" s="179">
        <f>SUMIFS('recurring2_based on steps'!$B11:$AY11,'recurring2_based on steps'!$B$1:$AY$1,AD$1)+SUMIFS('changes2_based on steps'!$B11:$U11,'changes2_based on steps'!$B$1:$U$1,AD$1)</f>
        <v>0</v>
      </c>
      <c r="AE11" s="179">
        <f>SUMIFS('recurring2_based on steps'!$B11:$AY11,'recurring2_based on steps'!$B$1:$AY$1,AE$1)+SUMIFS('changes2_based on steps'!$B11:$U11,'changes2_based on steps'!$B$1:$U$1,AE$1)</f>
        <v>0</v>
      </c>
      <c r="AF11" s="179"/>
      <c r="AG11" s="179"/>
      <c r="AH11" s="179"/>
      <c r="AI11" s="179"/>
      <c r="AJ11" s="179"/>
      <c r="AK11" s="179"/>
      <c r="AL11" s="179"/>
      <c r="AM11" s="179"/>
    </row>
    <row r="12" spans="1:39" x14ac:dyDescent="0.2">
      <c r="A12" s="32">
        <f t="shared" ca="1" si="0"/>
        <v>45754</v>
      </c>
      <c r="B12" s="179">
        <f>SUMIFS('recurring2_based on steps'!$B12:$AY12,'recurring2_based on steps'!$B$1:$AY$1,B$1)+SUMIFS('changes2_based on steps'!$B12:$U12,'changes2_based on steps'!$B$1:$U$1,B$1)</f>
        <v>0</v>
      </c>
      <c r="C12" s="179">
        <f>SUMIFS('recurring2_based on steps'!$B12:$AY12,'recurring2_based on steps'!$B$1:$AY$1,C$1)+SUMIFS('changes2_based on steps'!$B12:$U12,'changes2_based on steps'!$B$1:$U$1,C$1)</f>
        <v>0</v>
      </c>
      <c r="D12" s="179">
        <f>SUMIFS('recurring2_based on steps'!$B12:$AY12,'recurring2_based on steps'!$B$1:$AY$1,D$1)+SUMIFS('changes2_based on steps'!$B12:$U12,'changes2_based on steps'!$B$1:$U$1,D$1)</f>
        <v>0</v>
      </c>
      <c r="E12" s="179">
        <f>SUMIFS('recurring2_based on steps'!$B12:$AY12,'recurring2_based on steps'!$B$1:$AY$1,E$1)+SUMIFS('changes2_based on steps'!$B12:$U12,'changes2_based on steps'!$B$1:$U$1,E$1)</f>
        <v>0</v>
      </c>
      <c r="F12" s="179">
        <f>SUMIFS('recurring2_based on steps'!$B12:$AY12,'recurring2_based on steps'!$B$1:$AY$1,F$1)+SUMIFS('changes2_based on steps'!$B12:$U12,'changes2_based on steps'!$B$1:$U$1,F$1)</f>
        <v>0</v>
      </c>
      <c r="G12" s="179">
        <f>SUMIFS('recurring2_based on steps'!$B12:$AY12,'recurring2_based on steps'!$B$1:$AY$1,G$1)+SUMIFS('changes2_based on steps'!$B12:$U12,'changes2_based on steps'!$B$1:$U$1,G$1)</f>
        <v>0</v>
      </c>
      <c r="H12" s="179">
        <f>SUMIFS('recurring2_based on steps'!$B12:$AY12,'recurring2_based on steps'!$B$1:$AY$1,H$1)+SUMIFS('changes2_based on steps'!$B12:$U12,'changes2_based on steps'!$B$1:$U$1,H$1)</f>
        <v>0</v>
      </c>
      <c r="I12" s="179">
        <f>SUMIFS('recurring2_based on steps'!$B12:$AY12,'recurring2_based on steps'!$B$1:$AY$1,I$1)+SUMIFS('changes2_based on steps'!$B12:$U12,'changes2_based on steps'!$B$1:$U$1,I$1)</f>
        <v>0</v>
      </c>
      <c r="J12" s="179">
        <f>SUMIFS('recurring2_based on steps'!$B12:$AY12,'recurring2_based on steps'!$B$1:$AY$1,J$1)+SUMIFS('changes2_based on steps'!$B12:$U12,'changes2_based on steps'!$B$1:$U$1,J$1)</f>
        <v>0</v>
      </c>
      <c r="K12" s="179">
        <f>SUMIFS('recurring2_based on steps'!$B12:$AY12,'recurring2_based on steps'!$B$1:$AY$1,K$1)+SUMIFS('changes2_based on steps'!$B12:$U12,'changes2_based on steps'!$B$1:$U$1,K$1)</f>
        <v>0</v>
      </c>
      <c r="L12" s="179">
        <f>SUMIFS('recurring2_based on steps'!$B12:$AY12,'recurring2_based on steps'!$B$1:$AY$1,L$1)+SUMIFS('changes2_based on steps'!$B12:$U12,'changes2_based on steps'!$B$1:$U$1,L$1)</f>
        <v>0</v>
      </c>
      <c r="M12" s="179">
        <f>SUMIFS('recurring2_based on steps'!$B12:$AY12,'recurring2_based on steps'!$B$1:$AY$1,M$1)+SUMIFS('changes2_based on steps'!$B12:$U12,'changes2_based on steps'!$B$1:$U$1,M$1)</f>
        <v>0</v>
      </c>
      <c r="N12" s="179">
        <f>SUMIFS('recurring2_based on steps'!$B12:$AY12,'recurring2_based on steps'!$B$1:$AY$1,N$1)+SUMIFS('changes2_based on steps'!$B12:$U12,'changes2_based on steps'!$B$1:$U$1,N$1)</f>
        <v>0</v>
      </c>
      <c r="O12" s="179">
        <f>SUMIFS('recurring2_based on steps'!$B12:$AY12,'recurring2_based on steps'!$B$1:$AY$1,O$1)+SUMIFS('changes2_based on steps'!$B12:$U12,'changes2_based on steps'!$B$1:$U$1,O$1)</f>
        <v>0</v>
      </c>
      <c r="P12" s="179">
        <f>SUMIFS('recurring2_based on steps'!$B12:$AY12,'recurring2_based on steps'!$B$1:$AY$1,P$1)+SUMIFS('changes2_based on steps'!$B12:$U12,'changes2_based on steps'!$B$1:$U$1,P$1)</f>
        <v>0</v>
      </c>
      <c r="Q12" s="179">
        <f>SUMIFS('recurring2_based on steps'!$B12:$AY12,'recurring2_based on steps'!$B$1:$AY$1,Q$1)+SUMIFS('changes2_based on steps'!$B12:$U12,'changes2_based on steps'!$B$1:$U$1,Q$1)</f>
        <v>0</v>
      </c>
      <c r="R12" s="179">
        <f>SUMIFS('recurring2_based on steps'!$B12:$AY12,'recurring2_based on steps'!$B$1:$AY$1,R$1)+SUMIFS('changes2_based on steps'!$B12:$U12,'changes2_based on steps'!$B$1:$U$1,R$1)</f>
        <v>0</v>
      </c>
      <c r="S12" s="179">
        <f>SUMIFS('recurring2_based on steps'!$B12:$AY12,'recurring2_based on steps'!$B$1:$AY$1,S$1)+SUMIFS('changes2_based on steps'!$B12:$U12,'changes2_based on steps'!$B$1:$U$1,S$1)</f>
        <v>0</v>
      </c>
      <c r="T12" s="179">
        <f>SUMIFS('recurring2_based on steps'!$B12:$AY12,'recurring2_based on steps'!$B$1:$AY$1,T$1)+SUMIFS('changes2_based on steps'!$B12:$U12,'changes2_based on steps'!$B$1:$U$1,T$1)</f>
        <v>0</v>
      </c>
      <c r="U12" s="179">
        <f>SUMIFS('recurring2_based on steps'!$B12:$AY12,'recurring2_based on steps'!$B$1:$AY$1,U$1)+SUMIFS('changes2_based on steps'!$B12:$U12,'changes2_based on steps'!$B$1:$U$1,U$1)</f>
        <v>0</v>
      </c>
      <c r="V12" s="179">
        <f>SUMIFS('recurring2_based on steps'!$B12:$AY12,'recurring2_based on steps'!$B$1:$AY$1,V$1)+SUMIFS('changes2_based on steps'!$B12:$U12,'changes2_based on steps'!$B$1:$U$1,V$1)</f>
        <v>0</v>
      </c>
      <c r="W12" s="179">
        <f>SUMIFS('recurring2_based on steps'!$B12:$AY12,'recurring2_based on steps'!$B$1:$AY$1,W$1)+SUMIFS('changes2_based on steps'!$B12:$U12,'changes2_based on steps'!$B$1:$U$1,W$1)</f>
        <v>0</v>
      </c>
      <c r="X12" s="179">
        <f>SUMIFS('recurring2_based on steps'!$B12:$AY12,'recurring2_based on steps'!$B$1:$AY$1,X$1)+SUMIFS('changes2_based on steps'!$B12:$U12,'changes2_based on steps'!$B$1:$U$1,X$1)</f>
        <v>0</v>
      </c>
      <c r="Y12" s="179">
        <f>SUMIFS('recurring2_based on steps'!$B12:$AY12,'recurring2_based on steps'!$B$1:$AY$1,Y$1)+SUMIFS('changes2_based on steps'!$B12:$U12,'changes2_based on steps'!$B$1:$U$1,Y$1)</f>
        <v>0</v>
      </c>
      <c r="Z12" s="179">
        <f>SUMIFS('recurring2_based on steps'!$B12:$AY12,'recurring2_based on steps'!$B$1:$AY$1,Z$1)+SUMIFS('changes2_based on steps'!$B12:$U12,'changes2_based on steps'!$B$1:$U$1,Z$1)</f>
        <v>0</v>
      </c>
      <c r="AA12" s="179">
        <f>SUMIFS('recurring2_based on steps'!$B12:$AY12,'recurring2_based on steps'!$B$1:$AY$1,AA$1)+SUMIFS('changes2_based on steps'!$B12:$U12,'changes2_based on steps'!$B$1:$U$1,AA$1)</f>
        <v>0</v>
      </c>
      <c r="AB12" s="179">
        <f>SUMIFS('recurring2_based on steps'!$B12:$AY12,'recurring2_based on steps'!$B$1:$AY$1,AB$1)+SUMIFS('changes2_based on steps'!$B12:$U12,'changes2_based on steps'!$B$1:$U$1,AB$1)</f>
        <v>0</v>
      </c>
      <c r="AC12" s="179">
        <f>SUMIFS('recurring2_based on steps'!$B12:$AY12,'recurring2_based on steps'!$B$1:$AY$1,AC$1)+SUMIFS('changes2_based on steps'!$B12:$U12,'changes2_based on steps'!$B$1:$U$1,AC$1)</f>
        <v>0</v>
      </c>
      <c r="AD12" s="179">
        <f>SUMIFS('recurring2_based on steps'!$B12:$AY12,'recurring2_based on steps'!$B$1:$AY$1,AD$1)+SUMIFS('changes2_based on steps'!$B12:$U12,'changes2_based on steps'!$B$1:$U$1,AD$1)</f>
        <v>0</v>
      </c>
      <c r="AE12" s="179">
        <f>SUMIFS('recurring2_based on steps'!$B12:$AY12,'recurring2_based on steps'!$B$1:$AY$1,AE$1)+SUMIFS('changes2_based on steps'!$B12:$U12,'changes2_based on steps'!$B$1:$U$1,AE$1)</f>
        <v>0</v>
      </c>
      <c r="AF12" s="179"/>
      <c r="AG12" s="179"/>
      <c r="AH12" s="179"/>
      <c r="AI12" s="179"/>
      <c r="AJ12" s="179"/>
      <c r="AK12" s="179"/>
      <c r="AL12" s="179"/>
      <c r="AM12" s="179"/>
    </row>
    <row r="13" spans="1:39" x14ac:dyDescent="0.2">
      <c r="A13" s="32">
        <f t="shared" ca="1" si="0"/>
        <v>45755</v>
      </c>
      <c r="B13" s="179">
        <f>SUMIFS('recurring2_based on steps'!$B13:$AY13,'recurring2_based on steps'!$B$1:$AY$1,B$1)+SUMIFS('changes2_based on steps'!$B13:$U13,'changes2_based on steps'!$B$1:$U$1,B$1)</f>
        <v>0</v>
      </c>
      <c r="C13" s="179">
        <f>SUMIFS('recurring2_based on steps'!$B13:$AY13,'recurring2_based on steps'!$B$1:$AY$1,C$1)+SUMIFS('changes2_based on steps'!$B13:$U13,'changes2_based on steps'!$B$1:$U$1,C$1)</f>
        <v>0</v>
      </c>
      <c r="D13" s="179">
        <f>SUMIFS('recurring2_based on steps'!$B13:$AY13,'recurring2_based on steps'!$B$1:$AY$1,D$1)+SUMIFS('changes2_based on steps'!$B13:$U13,'changes2_based on steps'!$B$1:$U$1,D$1)</f>
        <v>0</v>
      </c>
      <c r="E13" s="179">
        <f>SUMIFS('recurring2_based on steps'!$B13:$AY13,'recurring2_based on steps'!$B$1:$AY$1,E$1)+SUMIFS('changes2_based on steps'!$B13:$U13,'changes2_based on steps'!$B$1:$U$1,E$1)</f>
        <v>0</v>
      </c>
      <c r="F13" s="179">
        <f>SUMIFS('recurring2_based on steps'!$B13:$AY13,'recurring2_based on steps'!$B$1:$AY$1,F$1)+SUMIFS('changes2_based on steps'!$B13:$U13,'changes2_based on steps'!$B$1:$U$1,F$1)</f>
        <v>0</v>
      </c>
      <c r="G13" s="179">
        <f>SUMIFS('recurring2_based on steps'!$B13:$AY13,'recurring2_based on steps'!$B$1:$AY$1,G$1)+SUMIFS('changes2_based on steps'!$B13:$U13,'changes2_based on steps'!$B$1:$U$1,G$1)</f>
        <v>0</v>
      </c>
      <c r="H13" s="179">
        <f>SUMIFS('recurring2_based on steps'!$B13:$AY13,'recurring2_based on steps'!$B$1:$AY$1,H$1)+SUMIFS('changes2_based on steps'!$B13:$U13,'changes2_based on steps'!$B$1:$U$1,H$1)</f>
        <v>0</v>
      </c>
      <c r="I13" s="179">
        <f>SUMIFS('recurring2_based on steps'!$B13:$AY13,'recurring2_based on steps'!$B$1:$AY$1,I$1)+SUMIFS('changes2_based on steps'!$B13:$U13,'changes2_based on steps'!$B$1:$U$1,I$1)</f>
        <v>0</v>
      </c>
      <c r="J13" s="179">
        <f>SUMIFS('recurring2_based on steps'!$B13:$AY13,'recurring2_based on steps'!$B$1:$AY$1,J$1)+SUMIFS('changes2_based on steps'!$B13:$U13,'changes2_based on steps'!$B$1:$U$1,J$1)</f>
        <v>0</v>
      </c>
      <c r="K13" s="179">
        <f>SUMIFS('recurring2_based on steps'!$B13:$AY13,'recurring2_based on steps'!$B$1:$AY$1,K$1)+SUMIFS('changes2_based on steps'!$B13:$U13,'changes2_based on steps'!$B$1:$U$1,K$1)</f>
        <v>0</v>
      </c>
      <c r="L13" s="179">
        <f>SUMIFS('recurring2_based on steps'!$B13:$AY13,'recurring2_based on steps'!$B$1:$AY$1,L$1)+SUMIFS('changes2_based on steps'!$B13:$U13,'changes2_based on steps'!$B$1:$U$1,L$1)</f>
        <v>0</v>
      </c>
      <c r="M13" s="179">
        <f>SUMIFS('recurring2_based on steps'!$B13:$AY13,'recurring2_based on steps'!$B$1:$AY$1,M$1)+SUMIFS('changes2_based on steps'!$B13:$U13,'changes2_based on steps'!$B$1:$U$1,M$1)</f>
        <v>0</v>
      </c>
      <c r="N13" s="179">
        <f>SUMIFS('recurring2_based on steps'!$B13:$AY13,'recurring2_based on steps'!$B$1:$AY$1,N$1)+SUMIFS('changes2_based on steps'!$B13:$U13,'changes2_based on steps'!$B$1:$U$1,N$1)</f>
        <v>0</v>
      </c>
      <c r="O13" s="179">
        <f>SUMIFS('recurring2_based on steps'!$B13:$AY13,'recurring2_based on steps'!$B$1:$AY$1,O$1)+SUMIFS('changes2_based on steps'!$B13:$U13,'changes2_based on steps'!$B$1:$U$1,O$1)</f>
        <v>0</v>
      </c>
      <c r="P13" s="179">
        <f>SUMIFS('recurring2_based on steps'!$B13:$AY13,'recurring2_based on steps'!$B$1:$AY$1,P$1)+SUMIFS('changes2_based on steps'!$B13:$U13,'changes2_based on steps'!$B$1:$U$1,P$1)</f>
        <v>0</v>
      </c>
      <c r="Q13" s="179">
        <f>SUMIFS('recurring2_based on steps'!$B13:$AY13,'recurring2_based on steps'!$B$1:$AY$1,Q$1)+SUMIFS('changes2_based on steps'!$B13:$U13,'changes2_based on steps'!$B$1:$U$1,Q$1)</f>
        <v>0</v>
      </c>
      <c r="R13" s="179">
        <f>SUMIFS('recurring2_based on steps'!$B13:$AY13,'recurring2_based on steps'!$B$1:$AY$1,R$1)+SUMIFS('changes2_based on steps'!$B13:$U13,'changes2_based on steps'!$B$1:$U$1,R$1)</f>
        <v>0</v>
      </c>
      <c r="S13" s="179">
        <f>SUMIFS('recurring2_based on steps'!$B13:$AY13,'recurring2_based on steps'!$B$1:$AY$1,S$1)+SUMIFS('changes2_based on steps'!$B13:$U13,'changes2_based on steps'!$B$1:$U$1,S$1)</f>
        <v>0</v>
      </c>
      <c r="T13" s="179">
        <f>SUMIFS('recurring2_based on steps'!$B13:$AY13,'recurring2_based on steps'!$B$1:$AY$1,T$1)+SUMIFS('changes2_based on steps'!$B13:$U13,'changes2_based on steps'!$B$1:$U$1,T$1)</f>
        <v>0</v>
      </c>
      <c r="U13" s="179">
        <f>SUMIFS('recurring2_based on steps'!$B13:$AY13,'recurring2_based on steps'!$B$1:$AY$1,U$1)+SUMIFS('changes2_based on steps'!$B13:$U13,'changes2_based on steps'!$B$1:$U$1,U$1)</f>
        <v>0</v>
      </c>
      <c r="V13" s="179">
        <f>SUMIFS('recurring2_based on steps'!$B13:$AY13,'recurring2_based on steps'!$B$1:$AY$1,V$1)+SUMIFS('changes2_based on steps'!$B13:$U13,'changes2_based on steps'!$B$1:$U$1,V$1)</f>
        <v>0</v>
      </c>
      <c r="W13" s="179">
        <f>SUMIFS('recurring2_based on steps'!$B13:$AY13,'recurring2_based on steps'!$B$1:$AY$1,W$1)+SUMIFS('changes2_based on steps'!$B13:$U13,'changes2_based on steps'!$B$1:$U$1,W$1)</f>
        <v>0</v>
      </c>
      <c r="X13" s="179">
        <f>SUMIFS('recurring2_based on steps'!$B13:$AY13,'recurring2_based on steps'!$B$1:$AY$1,X$1)+SUMIFS('changes2_based on steps'!$B13:$U13,'changes2_based on steps'!$B$1:$U$1,X$1)</f>
        <v>0</v>
      </c>
      <c r="Y13" s="179">
        <f>SUMIFS('recurring2_based on steps'!$B13:$AY13,'recurring2_based on steps'!$B$1:$AY$1,Y$1)+SUMIFS('changes2_based on steps'!$B13:$U13,'changes2_based on steps'!$B$1:$U$1,Y$1)</f>
        <v>0</v>
      </c>
      <c r="Z13" s="179">
        <f>SUMIFS('recurring2_based on steps'!$B13:$AY13,'recurring2_based on steps'!$B$1:$AY$1,Z$1)+SUMIFS('changes2_based on steps'!$B13:$U13,'changes2_based on steps'!$B$1:$U$1,Z$1)</f>
        <v>0</v>
      </c>
      <c r="AA13" s="179">
        <f>SUMIFS('recurring2_based on steps'!$B13:$AY13,'recurring2_based on steps'!$B$1:$AY$1,AA$1)+SUMIFS('changes2_based on steps'!$B13:$U13,'changes2_based on steps'!$B$1:$U$1,AA$1)</f>
        <v>0</v>
      </c>
      <c r="AB13" s="179">
        <f>SUMIFS('recurring2_based on steps'!$B13:$AY13,'recurring2_based on steps'!$B$1:$AY$1,AB$1)+SUMIFS('changes2_based on steps'!$B13:$U13,'changes2_based on steps'!$B$1:$U$1,AB$1)</f>
        <v>0</v>
      </c>
      <c r="AC13" s="179">
        <f>SUMIFS('recurring2_based on steps'!$B13:$AY13,'recurring2_based on steps'!$B$1:$AY$1,AC$1)+SUMIFS('changes2_based on steps'!$B13:$U13,'changes2_based on steps'!$B$1:$U$1,AC$1)</f>
        <v>0</v>
      </c>
      <c r="AD13" s="179">
        <f>SUMIFS('recurring2_based on steps'!$B13:$AY13,'recurring2_based on steps'!$B$1:$AY$1,AD$1)+SUMIFS('changes2_based on steps'!$B13:$U13,'changes2_based on steps'!$B$1:$U$1,AD$1)</f>
        <v>0</v>
      </c>
      <c r="AE13" s="179">
        <f>SUMIFS('recurring2_based on steps'!$B13:$AY13,'recurring2_based on steps'!$B$1:$AY$1,AE$1)+SUMIFS('changes2_based on steps'!$B13:$U13,'changes2_based on steps'!$B$1:$U$1,AE$1)</f>
        <v>0</v>
      </c>
      <c r="AF13" s="179"/>
      <c r="AG13" s="179"/>
      <c r="AH13" s="179"/>
      <c r="AI13" s="179"/>
      <c r="AJ13" s="179"/>
      <c r="AK13" s="179"/>
      <c r="AL13" s="179"/>
      <c r="AM13" s="179"/>
    </row>
    <row r="14" spans="1:39" x14ac:dyDescent="0.2">
      <c r="A14" s="32">
        <f t="shared" ca="1" si="0"/>
        <v>45756</v>
      </c>
      <c r="B14" s="179">
        <f>SUMIFS('recurring2_based on steps'!$B14:$AY14,'recurring2_based on steps'!$B$1:$AY$1,B$1)+SUMIFS('changes2_based on steps'!$B14:$U14,'changes2_based on steps'!$B$1:$U$1,B$1)</f>
        <v>0</v>
      </c>
      <c r="C14" s="179">
        <f>SUMIFS('recurring2_based on steps'!$B14:$AY14,'recurring2_based on steps'!$B$1:$AY$1,C$1)+SUMIFS('changes2_based on steps'!$B14:$U14,'changes2_based on steps'!$B$1:$U$1,C$1)</f>
        <v>0</v>
      </c>
      <c r="D14" s="179">
        <f>SUMIFS('recurring2_based on steps'!$B14:$AY14,'recurring2_based on steps'!$B$1:$AY$1,D$1)+SUMIFS('changes2_based on steps'!$B14:$U14,'changes2_based on steps'!$B$1:$U$1,D$1)</f>
        <v>0</v>
      </c>
      <c r="E14" s="179">
        <f>SUMIFS('recurring2_based on steps'!$B14:$AY14,'recurring2_based on steps'!$B$1:$AY$1,E$1)+SUMIFS('changes2_based on steps'!$B14:$U14,'changes2_based on steps'!$B$1:$U$1,E$1)</f>
        <v>0</v>
      </c>
      <c r="F14" s="179">
        <f>SUMIFS('recurring2_based on steps'!$B14:$AY14,'recurring2_based on steps'!$B$1:$AY$1,F$1)+SUMIFS('changes2_based on steps'!$B14:$U14,'changes2_based on steps'!$B$1:$U$1,F$1)</f>
        <v>0</v>
      </c>
      <c r="G14" s="179">
        <f>SUMIFS('recurring2_based on steps'!$B14:$AY14,'recurring2_based on steps'!$B$1:$AY$1,G$1)+SUMIFS('changes2_based on steps'!$B14:$U14,'changes2_based on steps'!$B$1:$U$1,G$1)</f>
        <v>0</v>
      </c>
      <c r="H14" s="179">
        <f>SUMIFS('recurring2_based on steps'!$B14:$AY14,'recurring2_based on steps'!$B$1:$AY$1,H$1)+SUMIFS('changes2_based on steps'!$B14:$U14,'changes2_based on steps'!$B$1:$U$1,H$1)</f>
        <v>0</v>
      </c>
      <c r="I14" s="179">
        <f>SUMIFS('recurring2_based on steps'!$B14:$AY14,'recurring2_based on steps'!$B$1:$AY$1,I$1)+SUMIFS('changes2_based on steps'!$B14:$U14,'changes2_based on steps'!$B$1:$U$1,I$1)</f>
        <v>0</v>
      </c>
      <c r="J14" s="179">
        <f>SUMIFS('recurring2_based on steps'!$B14:$AY14,'recurring2_based on steps'!$B$1:$AY$1,J$1)+SUMIFS('changes2_based on steps'!$B14:$U14,'changes2_based on steps'!$B$1:$U$1,J$1)</f>
        <v>0</v>
      </c>
      <c r="K14" s="179">
        <f>SUMIFS('recurring2_based on steps'!$B14:$AY14,'recurring2_based on steps'!$B$1:$AY$1,K$1)+SUMIFS('changes2_based on steps'!$B14:$U14,'changes2_based on steps'!$B$1:$U$1,K$1)</f>
        <v>0</v>
      </c>
      <c r="L14" s="179">
        <f>SUMIFS('recurring2_based on steps'!$B14:$AY14,'recurring2_based on steps'!$B$1:$AY$1,L$1)+SUMIFS('changes2_based on steps'!$B14:$U14,'changes2_based on steps'!$B$1:$U$1,L$1)</f>
        <v>0</v>
      </c>
      <c r="M14" s="179">
        <f>SUMIFS('recurring2_based on steps'!$B14:$AY14,'recurring2_based on steps'!$B$1:$AY$1,M$1)+SUMIFS('changes2_based on steps'!$B14:$U14,'changes2_based on steps'!$B$1:$U$1,M$1)</f>
        <v>0</v>
      </c>
      <c r="N14" s="179">
        <f>SUMIFS('recurring2_based on steps'!$B14:$AY14,'recurring2_based on steps'!$B$1:$AY$1,N$1)+SUMIFS('changes2_based on steps'!$B14:$U14,'changes2_based on steps'!$B$1:$U$1,N$1)</f>
        <v>0</v>
      </c>
      <c r="O14" s="179">
        <f>SUMIFS('recurring2_based on steps'!$B14:$AY14,'recurring2_based on steps'!$B$1:$AY$1,O$1)+SUMIFS('changes2_based on steps'!$B14:$U14,'changes2_based on steps'!$B$1:$U$1,O$1)</f>
        <v>0</v>
      </c>
      <c r="P14" s="179">
        <f>SUMIFS('recurring2_based on steps'!$B14:$AY14,'recurring2_based on steps'!$B$1:$AY$1,P$1)+SUMIFS('changes2_based on steps'!$B14:$U14,'changes2_based on steps'!$B$1:$U$1,P$1)</f>
        <v>0</v>
      </c>
      <c r="Q14" s="179">
        <f>SUMIFS('recurring2_based on steps'!$B14:$AY14,'recurring2_based on steps'!$B$1:$AY$1,Q$1)+SUMIFS('changes2_based on steps'!$B14:$U14,'changes2_based on steps'!$B$1:$U$1,Q$1)</f>
        <v>0</v>
      </c>
      <c r="R14" s="179">
        <f>SUMIFS('recurring2_based on steps'!$B14:$AY14,'recurring2_based on steps'!$B$1:$AY$1,R$1)+SUMIFS('changes2_based on steps'!$B14:$U14,'changes2_based on steps'!$B$1:$U$1,R$1)</f>
        <v>0</v>
      </c>
      <c r="S14" s="179">
        <f>SUMIFS('recurring2_based on steps'!$B14:$AY14,'recurring2_based on steps'!$B$1:$AY$1,S$1)+SUMIFS('changes2_based on steps'!$B14:$U14,'changes2_based on steps'!$B$1:$U$1,S$1)</f>
        <v>0</v>
      </c>
      <c r="T14" s="179">
        <f>SUMIFS('recurring2_based on steps'!$B14:$AY14,'recurring2_based on steps'!$B$1:$AY$1,T$1)+SUMIFS('changes2_based on steps'!$B14:$U14,'changes2_based on steps'!$B$1:$U$1,T$1)</f>
        <v>0</v>
      </c>
      <c r="U14" s="179">
        <f>SUMIFS('recurring2_based on steps'!$B14:$AY14,'recurring2_based on steps'!$B$1:$AY$1,U$1)+SUMIFS('changes2_based on steps'!$B14:$U14,'changes2_based on steps'!$B$1:$U$1,U$1)</f>
        <v>0</v>
      </c>
      <c r="V14" s="179">
        <f>SUMIFS('recurring2_based on steps'!$B14:$AY14,'recurring2_based on steps'!$B$1:$AY$1,V$1)+SUMIFS('changes2_based on steps'!$B14:$U14,'changes2_based on steps'!$B$1:$U$1,V$1)</f>
        <v>0</v>
      </c>
      <c r="W14" s="179">
        <f>SUMIFS('recurring2_based on steps'!$B14:$AY14,'recurring2_based on steps'!$B$1:$AY$1,W$1)+SUMIFS('changes2_based on steps'!$B14:$U14,'changes2_based on steps'!$B$1:$U$1,W$1)</f>
        <v>0</v>
      </c>
      <c r="X14" s="179">
        <f>SUMIFS('recurring2_based on steps'!$B14:$AY14,'recurring2_based on steps'!$B$1:$AY$1,X$1)+SUMIFS('changes2_based on steps'!$B14:$U14,'changes2_based on steps'!$B$1:$U$1,X$1)</f>
        <v>0</v>
      </c>
      <c r="Y14" s="179">
        <f>SUMIFS('recurring2_based on steps'!$B14:$AY14,'recurring2_based on steps'!$B$1:$AY$1,Y$1)+SUMIFS('changes2_based on steps'!$B14:$U14,'changes2_based on steps'!$B$1:$U$1,Y$1)</f>
        <v>0</v>
      </c>
      <c r="Z14" s="179">
        <f>SUMIFS('recurring2_based on steps'!$B14:$AY14,'recurring2_based on steps'!$B$1:$AY$1,Z$1)+SUMIFS('changes2_based on steps'!$B14:$U14,'changes2_based on steps'!$B$1:$U$1,Z$1)</f>
        <v>0</v>
      </c>
      <c r="AA14" s="179">
        <f>SUMIFS('recurring2_based on steps'!$B14:$AY14,'recurring2_based on steps'!$B$1:$AY$1,AA$1)+SUMIFS('changes2_based on steps'!$B14:$U14,'changes2_based on steps'!$B$1:$U$1,AA$1)</f>
        <v>0</v>
      </c>
      <c r="AB14" s="179">
        <f>SUMIFS('recurring2_based on steps'!$B14:$AY14,'recurring2_based on steps'!$B$1:$AY$1,AB$1)+SUMIFS('changes2_based on steps'!$B14:$U14,'changes2_based on steps'!$B$1:$U$1,AB$1)</f>
        <v>0</v>
      </c>
      <c r="AC14" s="179">
        <f>SUMIFS('recurring2_based on steps'!$B14:$AY14,'recurring2_based on steps'!$B$1:$AY$1,AC$1)+SUMIFS('changes2_based on steps'!$B14:$U14,'changes2_based on steps'!$B$1:$U$1,AC$1)</f>
        <v>0</v>
      </c>
      <c r="AD14" s="179">
        <f>SUMIFS('recurring2_based on steps'!$B14:$AY14,'recurring2_based on steps'!$B$1:$AY$1,AD$1)+SUMIFS('changes2_based on steps'!$B14:$U14,'changes2_based on steps'!$B$1:$U$1,AD$1)</f>
        <v>0</v>
      </c>
      <c r="AE14" s="179">
        <f>SUMIFS('recurring2_based on steps'!$B14:$AY14,'recurring2_based on steps'!$B$1:$AY$1,AE$1)+SUMIFS('changes2_based on steps'!$B14:$U14,'changes2_based on steps'!$B$1:$U$1,AE$1)</f>
        <v>0</v>
      </c>
      <c r="AF14" s="179"/>
      <c r="AG14" s="179"/>
      <c r="AH14" s="179"/>
      <c r="AI14" s="179"/>
      <c r="AJ14" s="179"/>
      <c r="AK14" s="179"/>
      <c r="AL14" s="179"/>
      <c r="AM14" s="179"/>
    </row>
    <row r="15" spans="1:39" x14ac:dyDescent="0.2">
      <c r="A15" s="32">
        <f t="shared" ca="1" si="0"/>
        <v>45757</v>
      </c>
      <c r="B15" s="179">
        <f>SUMIFS('recurring2_based on steps'!$B15:$AY15,'recurring2_based on steps'!$B$1:$AY$1,B$1)+SUMIFS('changes2_based on steps'!$B15:$U15,'changes2_based on steps'!$B$1:$U$1,B$1)</f>
        <v>0</v>
      </c>
      <c r="C15" s="179">
        <f>SUMIFS('recurring2_based on steps'!$B15:$AY15,'recurring2_based on steps'!$B$1:$AY$1,C$1)+SUMIFS('changes2_based on steps'!$B15:$U15,'changes2_based on steps'!$B$1:$U$1,C$1)</f>
        <v>0</v>
      </c>
      <c r="D15" s="179">
        <f>SUMIFS('recurring2_based on steps'!$B15:$AY15,'recurring2_based on steps'!$B$1:$AY$1,D$1)+SUMIFS('changes2_based on steps'!$B15:$U15,'changes2_based on steps'!$B$1:$U$1,D$1)</f>
        <v>0</v>
      </c>
      <c r="E15" s="179">
        <f>SUMIFS('recurring2_based on steps'!$B15:$AY15,'recurring2_based on steps'!$B$1:$AY$1,E$1)+SUMIFS('changes2_based on steps'!$B15:$U15,'changes2_based on steps'!$B$1:$U$1,E$1)</f>
        <v>0</v>
      </c>
      <c r="F15" s="179">
        <f>SUMIFS('recurring2_based on steps'!$B15:$AY15,'recurring2_based on steps'!$B$1:$AY$1,F$1)+SUMIFS('changes2_based on steps'!$B15:$U15,'changes2_based on steps'!$B$1:$U$1,F$1)</f>
        <v>0</v>
      </c>
      <c r="G15" s="179">
        <f>SUMIFS('recurring2_based on steps'!$B15:$AY15,'recurring2_based on steps'!$B$1:$AY$1,G$1)+SUMIFS('changes2_based on steps'!$B15:$U15,'changes2_based on steps'!$B$1:$U$1,G$1)</f>
        <v>0</v>
      </c>
      <c r="H15" s="179">
        <f>SUMIFS('recurring2_based on steps'!$B15:$AY15,'recurring2_based on steps'!$B$1:$AY$1,H$1)+SUMIFS('changes2_based on steps'!$B15:$U15,'changes2_based on steps'!$B$1:$U$1,H$1)</f>
        <v>0</v>
      </c>
      <c r="I15" s="179">
        <f>SUMIFS('recurring2_based on steps'!$B15:$AY15,'recurring2_based on steps'!$B$1:$AY$1,I$1)+SUMIFS('changes2_based on steps'!$B15:$U15,'changes2_based on steps'!$B$1:$U$1,I$1)</f>
        <v>0</v>
      </c>
      <c r="J15" s="179">
        <f>SUMIFS('recurring2_based on steps'!$B15:$AY15,'recurring2_based on steps'!$B$1:$AY$1,J$1)+SUMIFS('changes2_based on steps'!$B15:$U15,'changes2_based on steps'!$B$1:$U$1,J$1)</f>
        <v>0</v>
      </c>
      <c r="K15" s="179">
        <f>SUMIFS('recurring2_based on steps'!$B15:$AY15,'recurring2_based on steps'!$B$1:$AY$1,K$1)+SUMIFS('changes2_based on steps'!$B15:$U15,'changes2_based on steps'!$B$1:$U$1,K$1)</f>
        <v>0</v>
      </c>
      <c r="L15" s="179">
        <f>SUMIFS('recurring2_based on steps'!$B15:$AY15,'recurring2_based on steps'!$B$1:$AY$1,L$1)+SUMIFS('changes2_based on steps'!$B15:$U15,'changes2_based on steps'!$B$1:$U$1,L$1)</f>
        <v>0</v>
      </c>
      <c r="M15" s="179">
        <f>SUMIFS('recurring2_based on steps'!$B15:$AY15,'recurring2_based on steps'!$B$1:$AY$1,M$1)+SUMIFS('changes2_based on steps'!$B15:$U15,'changes2_based on steps'!$B$1:$U$1,M$1)</f>
        <v>0</v>
      </c>
      <c r="N15" s="179">
        <f>SUMIFS('recurring2_based on steps'!$B15:$AY15,'recurring2_based on steps'!$B$1:$AY$1,N$1)+SUMIFS('changes2_based on steps'!$B15:$U15,'changes2_based on steps'!$B$1:$U$1,N$1)</f>
        <v>0</v>
      </c>
      <c r="O15" s="179">
        <f>SUMIFS('recurring2_based on steps'!$B15:$AY15,'recurring2_based on steps'!$B$1:$AY$1,O$1)+SUMIFS('changes2_based on steps'!$B15:$U15,'changes2_based on steps'!$B$1:$U$1,O$1)</f>
        <v>0</v>
      </c>
      <c r="P15" s="179">
        <f>SUMIFS('recurring2_based on steps'!$B15:$AY15,'recurring2_based on steps'!$B$1:$AY$1,P$1)+SUMIFS('changes2_based on steps'!$B15:$U15,'changes2_based on steps'!$B$1:$U$1,P$1)</f>
        <v>0</v>
      </c>
      <c r="Q15" s="179">
        <f>SUMIFS('recurring2_based on steps'!$B15:$AY15,'recurring2_based on steps'!$B$1:$AY$1,Q$1)+SUMIFS('changes2_based on steps'!$B15:$U15,'changes2_based on steps'!$B$1:$U$1,Q$1)</f>
        <v>0</v>
      </c>
      <c r="R15" s="179">
        <f>SUMIFS('recurring2_based on steps'!$B15:$AY15,'recurring2_based on steps'!$B$1:$AY$1,R$1)+SUMIFS('changes2_based on steps'!$B15:$U15,'changes2_based on steps'!$B$1:$U$1,R$1)</f>
        <v>0</v>
      </c>
      <c r="S15" s="179">
        <f>SUMIFS('recurring2_based on steps'!$B15:$AY15,'recurring2_based on steps'!$B$1:$AY$1,S$1)+SUMIFS('changes2_based on steps'!$B15:$U15,'changes2_based on steps'!$B$1:$U$1,S$1)</f>
        <v>0</v>
      </c>
      <c r="T15" s="179">
        <f>SUMIFS('recurring2_based on steps'!$B15:$AY15,'recurring2_based on steps'!$B$1:$AY$1,T$1)+SUMIFS('changes2_based on steps'!$B15:$U15,'changes2_based on steps'!$B$1:$U$1,T$1)</f>
        <v>0</v>
      </c>
      <c r="U15" s="179">
        <f>SUMIFS('recurring2_based on steps'!$B15:$AY15,'recurring2_based on steps'!$B$1:$AY$1,U$1)+SUMIFS('changes2_based on steps'!$B15:$U15,'changes2_based on steps'!$B$1:$U$1,U$1)</f>
        <v>0</v>
      </c>
      <c r="V15" s="179">
        <f>SUMIFS('recurring2_based on steps'!$B15:$AY15,'recurring2_based on steps'!$B$1:$AY$1,V$1)+SUMIFS('changes2_based on steps'!$B15:$U15,'changes2_based on steps'!$B$1:$U$1,V$1)</f>
        <v>0</v>
      </c>
      <c r="W15" s="179">
        <f>SUMIFS('recurring2_based on steps'!$B15:$AY15,'recurring2_based on steps'!$B$1:$AY$1,W$1)+SUMIFS('changes2_based on steps'!$B15:$U15,'changes2_based on steps'!$B$1:$U$1,W$1)</f>
        <v>0</v>
      </c>
      <c r="X15" s="179">
        <f>SUMIFS('recurring2_based on steps'!$B15:$AY15,'recurring2_based on steps'!$B$1:$AY$1,X$1)+SUMIFS('changes2_based on steps'!$B15:$U15,'changes2_based on steps'!$B$1:$U$1,X$1)</f>
        <v>0</v>
      </c>
      <c r="Y15" s="179">
        <f>SUMIFS('recurring2_based on steps'!$B15:$AY15,'recurring2_based on steps'!$B$1:$AY$1,Y$1)+SUMIFS('changes2_based on steps'!$B15:$U15,'changes2_based on steps'!$B$1:$U$1,Y$1)</f>
        <v>0</v>
      </c>
      <c r="Z15" s="179">
        <f>SUMIFS('recurring2_based on steps'!$B15:$AY15,'recurring2_based on steps'!$B$1:$AY$1,Z$1)+SUMIFS('changes2_based on steps'!$B15:$U15,'changes2_based on steps'!$B$1:$U$1,Z$1)</f>
        <v>0</v>
      </c>
      <c r="AA15" s="179">
        <f>SUMIFS('recurring2_based on steps'!$B15:$AY15,'recurring2_based on steps'!$B$1:$AY$1,AA$1)+SUMIFS('changes2_based on steps'!$B15:$U15,'changes2_based on steps'!$B$1:$U$1,AA$1)</f>
        <v>0</v>
      </c>
      <c r="AB15" s="179">
        <f>SUMIFS('recurring2_based on steps'!$B15:$AY15,'recurring2_based on steps'!$B$1:$AY$1,AB$1)+SUMIFS('changes2_based on steps'!$B15:$U15,'changes2_based on steps'!$B$1:$U$1,AB$1)</f>
        <v>0</v>
      </c>
      <c r="AC15" s="179">
        <f>SUMIFS('recurring2_based on steps'!$B15:$AY15,'recurring2_based on steps'!$B$1:$AY$1,AC$1)+SUMIFS('changes2_based on steps'!$B15:$U15,'changes2_based on steps'!$B$1:$U$1,AC$1)</f>
        <v>0</v>
      </c>
      <c r="AD15" s="179">
        <f>SUMIFS('recurring2_based on steps'!$B15:$AY15,'recurring2_based on steps'!$B$1:$AY$1,AD$1)+SUMIFS('changes2_based on steps'!$B15:$U15,'changes2_based on steps'!$B$1:$U$1,AD$1)</f>
        <v>0</v>
      </c>
      <c r="AE15" s="179">
        <f>SUMIFS('recurring2_based on steps'!$B15:$AY15,'recurring2_based on steps'!$B$1:$AY$1,AE$1)+SUMIFS('changes2_based on steps'!$B15:$U15,'changes2_based on steps'!$B$1:$U$1,AE$1)</f>
        <v>0</v>
      </c>
      <c r="AF15" s="179"/>
      <c r="AG15" s="179"/>
      <c r="AH15" s="179"/>
      <c r="AI15" s="179"/>
      <c r="AJ15" s="179"/>
      <c r="AK15" s="179"/>
      <c r="AL15" s="179"/>
      <c r="AM15" s="179"/>
    </row>
    <row r="16" spans="1:39" x14ac:dyDescent="0.2">
      <c r="A16" s="32">
        <f t="shared" ca="1" si="0"/>
        <v>45758</v>
      </c>
      <c r="B16" s="179">
        <f>SUMIFS('recurring2_based on steps'!$B16:$AY16,'recurring2_based on steps'!$B$1:$AY$1,B$1)+SUMIFS('changes2_based on steps'!$B16:$U16,'changes2_based on steps'!$B$1:$U$1,B$1)</f>
        <v>0</v>
      </c>
      <c r="C16" s="179">
        <f>SUMIFS('recurring2_based on steps'!$B16:$AY16,'recurring2_based on steps'!$B$1:$AY$1,C$1)+SUMIFS('changes2_based on steps'!$B16:$U16,'changes2_based on steps'!$B$1:$U$1,C$1)</f>
        <v>0</v>
      </c>
      <c r="D16" s="179">
        <f>SUMIFS('recurring2_based on steps'!$B16:$AY16,'recurring2_based on steps'!$B$1:$AY$1,D$1)+SUMIFS('changes2_based on steps'!$B16:$U16,'changes2_based on steps'!$B$1:$U$1,D$1)</f>
        <v>0</v>
      </c>
      <c r="E16" s="179">
        <f>SUMIFS('recurring2_based on steps'!$B16:$AY16,'recurring2_based on steps'!$B$1:$AY$1,E$1)+SUMIFS('changes2_based on steps'!$B16:$U16,'changes2_based on steps'!$B$1:$U$1,E$1)</f>
        <v>0</v>
      </c>
      <c r="F16" s="179">
        <f>SUMIFS('recurring2_based on steps'!$B16:$AY16,'recurring2_based on steps'!$B$1:$AY$1,F$1)+SUMIFS('changes2_based on steps'!$B16:$U16,'changes2_based on steps'!$B$1:$U$1,F$1)</f>
        <v>0</v>
      </c>
      <c r="G16" s="179">
        <f>SUMIFS('recurring2_based on steps'!$B16:$AY16,'recurring2_based on steps'!$B$1:$AY$1,G$1)+SUMIFS('changes2_based on steps'!$B16:$U16,'changes2_based on steps'!$B$1:$U$1,G$1)</f>
        <v>0</v>
      </c>
      <c r="H16" s="179">
        <f>SUMIFS('recurring2_based on steps'!$B16:$AY16,'recurring2_based on steps'!$B$1:$AY$1,H$1)+SUMIFS('changes2_based on steps'!$B16:$U16,'changes2_based on steps'!$B$1:$U$1,H$1)</f>
        <v>0</v>
      </c>
      <c r="I16" s="179">
        <f>SUMIFS('recurring2_based on steps'!$B16:$AY16,'recurring2_based on steps'!$B$1:$AY$1,I$1)+SUMIFS('changes2_based on steps'!$B16:$U16,'changes2_based on steps'!$B$1:$U$1,I$1)</f>
        <v>0</v>
      </c>
      <c r="J16" s="179">
        <f>SUMIFS('recurring2_based on steps'!$B16:$AY16,'recurring2_based on steps'!$B$1:$AY$1,J$1)+SUMIFS('changes2_based on steps'!$B16:$U16,'changes2_based on steps'!$B$1:$U$1,J$1)</f>
        <v>0</v>
      </c>
      <c r="K16" s="179">
        <f>SUMIFS('recurring2_based on steps'!$B16:$AY16,'recurring2_based on steps'!$B$1:$AY$1,K$1)+SUMIFS('changes2_based on steps'!$B16:$U16,'changes2_based on steps'!$B$1:$U$1,K$1)</f>
        <v>0</v>
      </c>
      <c r="L16" s="179">
        <f>SUMIFS('recurring2_based on steps'!$B16:$AY16,'recurring2_based on steps'!$B$1:$AY$1,L$1)+SUMIFS('changes2_based on steps'!$B16:$U16,'changes2_based on steps'!$B$1:$U$1,L$1)</f>
        <v>0</v>
      </c>
      <c r="M16" s="179">
        <f>SUMIFS('recurring2_based on steps'!$B16:$AY16,'recurring2_based on steps'!$B$1:$AY$1,M$1)+SUMIFS('changes2_based on steps'!$B16:$U16,'changes2_based on steps'!$B$1:$U$1,M$1)</f>
        <v>0</v>
      </c>
      <c r="N16" s="179">
        <f>SUMIFS('recurring2_based on steps'!$B16:$AY16,'recurring2_based on steps'!$B$1:$AY$1,N$1)+SUMIFS('changes2_based on steps'!$B16:$U16,'changes2_based on steps'!$B$1:$U$1,N$1)</f>
        <v>0</v>
      </c>
      <c r="O16" s="179">
        <f>SUMIFS('recurring2_based on steps'!$B16:$AY16,'recurring2_based on steps'!$B$1:$AY$1,O$1)+SUMIFS('changes2_based on steps'!$B16:$U16,'changes2_based on steps'!$B$1:$U$1,O$1)</f>
        <v>0</v>
      </c>
      <c r="P16" s="179">
        <f>SUMIFS('recurring2_based on steps'!$B16:$AY16,'recurring2_based on steps'!$B$1:$AY$1,P$1)+SUMIFS('changes2_based on steps'!$B16:$U16,'changes2_based on steps'!$B$1:$U$1,P$1)</f>
        <v>0</v>
      </c>
      <c r="Q16" s="179">
        <f>SUMIFS('recurring2_based on steps'!$B16:$AY16,'recurring2_based on steps'!$B$1:$AY$1,Q$1)+SUMIFS('changes2_based on steps'!$B16:$U16,'changes2_based on steps'!$B$1:$U$1,Q$1)</f>
        <v>0</v>
      </c>
      <c r="R16" s="179">
        <f>SUMIFS('recurring2_based on steps'!$B16:$AY16,'recurring2_based on steps'!$B$1:$AY$1,R$1)+SUMIFS('changes2_based on steps'!$B16:$U16,'changes2_based on steps'!$B$1:$U$1,R$1)</f>
        <v>0</v>
      </c>
      <c r="S16" s="179">
        <f>SUMIFS('recurring2_based on steps'!$B16:$AY16,'recurring2_based on steps'!$B$1:$AY$1,S$1)+SUMIFS('changes2_based on steps'!$B16:$U16,'changes2_based on steps'!$B$1:$U$1,S$1)</f>
        <v>0</v>
      </c>
      <c r="T16" s="179">
        <f>SUMIFS('recurring2_based on steps'!$B16:$AY16,'recurring2_based on steps'!$B$1:$AY$1,T$1)+SUMIFS('changes2_based on steps'!$B16:$U16,'changes2_based on steps'!$B$1:$U$1,T$1)</f>
        <v>0</v>
      </c>
      <c r="U16" s="179">
        <f>SUMIFS('recurring2_based on steps'!$B16:$AY16,'recurring2_based on steps'!$B$1:$AY$1,U$1)+SUMIFS('changes2_based on steps'!$B16:$U16,'changes2_based on steps'!$B$1:$U$1,U$1)</f>
        <v>0</v>
      </c>
      <c r="V16" s="179">
        <f>SUMIFS('recurring2_based on steps'!$B16:$AY16,'recurring2_based on steps'!$B$1:$AY$1,V$1)+SUMIFS('changes2_based on steps'!$B16:$U16,'changes2_based on steps'!$B$1:$U$1,V$1)</f>
        <v>0</v>
      </c>
      <c r="W16" s="179">
        <f>SUMIFS('recurring2_based on steps'!$B16:$AY16,'recurring2_based on steps'!$B$1:$AY$1,W$1)+SUMIFS('changes2_based on steps'!$B16:$U16,'changes2_based on steps'!$B$1:$U$1,W$1)</f>
        <v>0</v>
      </c>
      <c r="X16" s="179">
        <f>SUMIFS('recurring2_based on steps'!$B16:$AY16,'recurring2_based on steps'!$B$1:$AY$1,X$1)+SUMIFS('changes2_based on steps'!$B16:$U16,'changes2_based on steps'!$B$1:$U$1,X$1)</f>
        <v>0</v>
      </c>
      <c r="Y16" s="179">
        <f>SUMIFS('recurring2_based on steps'!$B16:$AY16,'recurring2_based on steps'!$B$1:$AY$1,Y$1)+SUMIFS('changes2_based on steps'!$B16:$U16,'changes2_based on steps'!$B$1:$U$1,Y$1)</f>
        <v>0</v>
      </c>
      <c r="Z16" s="179">
        <f>SUMIFS('recurring2_based on steps'!$B16:$AY16,'recurring2_based on steps'!$B$1:$AY$1,Z$1)+SUMIFS('changes2_based on steps'!$B16:$U16,'changes2_based on steps'!$B$1:$U$1,Z$1)</f>
        <v>0</v>
      </c>
      <c r="AA16" s="179">
        <f>SUMIFS('recurring2_based on steps'!$B16:$AY16,'recurring2_based on steps'!$B$1:$AY$1,AA$1)+SUMIFS('changes2_based on steps'!$B16:$U16,'changes2_based on steps'!$B$1:$U$1,AA$1)</f>
        <v>0</v>
      </c>
      <c r="AB16" s="179">
        <f>SUMIFS('recurring2_based on steps'!$B16:$AY16,'recurring2_based on steps'!$B$1:$AY$1,AB$1)+SUMIFS('changes2_based on steps'!$B16:$U16,'changes2_based on steps'!$B$1:$U$1,AB$1)</f>
        <v>0</v>
      </c>
      <c r="AC16" s="179">
        <f>SUMIFS('recurring2_based on steps'!$B16:$AY16,'recurring2_based on steps'!$B$1:$AY$1,AC$1)+SUMIFS('changes2_based on steps'!$B16:$U16,'changes2_based on steps'!$B$1:$U$1,AC$1)</f>
        <v>0</v>
      </c>
      <c r="AD16" s="179">
        <f>SUMIFS('recurring2_based on steps'!$B16:$AY16,'recurring2_based on steps'!$B$1:$AY$1,AD$1)+SUMIFS('changes2_based on steps'!$B16:$U16,'changes2_based on steps'!$B$1:$U$1,AD$1)</f>
        <v>0</v>
      </c>
      <c r="AE16" s="179">
        <f>SUMIFS('recurring2_based on steps'!$B16:$AY16,'recurring2_based on steps'!$B$1:$AY$1,AE$1)+SUMIFS('changes2_based on steps'!$B16:$U16,'changes2_based on steps'!$B$1:$U$1,AE$1)</f>
        <v>0</v>
      </c>
      <c r="AF16" s="179"/>
      <c r="AG16" s="179"/>
      <c r="AH16" s="179"/>
      <c r="AI16" s="179"/>
      <c r="AJ16" s="179"/>
      <c r="AK16" s="179"/>
      <c r="AL16" s="179"/>
      <c r="AM16" s="179"/>
    </row>
    <row r="17" spans="1:39" x14ac:dyDescent="0.2">
      <c r="A17" s="32">
        <f t="shared" ca="1" si="0"/>
        <v>45759</v>
      </c>
      <c r="B17" s="179">
        <f>SUMIFS('recurring2_based on steps'!$B17:$AY17,'recurring2_based on steps'!$B$1:$AY$1,B$1)+SUMIFS('changes2_based on steps'!$B17:$U17,'changes2_based on steps'!$B$1:$U$1,B$1)</f>
        <v>0</v>
      </c>
      <c r="C17" s="179">
        <f>SUMIFS('recurring2_based on steps'!$B17:$AY17,'recurring2_based on steps'!$B$1:$AY$1,C$1)+SUMIFS('changes2_based on steps'!$B17:$U17,'changes2_based on steps'!$B$1:$U$1,C$1)</f>
        <v>0</v>
      </c>
      <c r="D17" s="179">
        <f>SUMIFS('recurring2_based on steps'!$B17:$AY17,'recurring2_based on steps'!$B$1:$AY$1,D$1)+SUMIFS('changes2_based on steps'!$B17:$U17,'changes2_based on steps'!$B$1:$U$1,D$1)</f>
        <v>0</v>
      </c>
      <c r="E17" s="179">
        <f>SUMIFS('recurring2_based on steps'!$B17:$AY17,'recurring2_based on steps'!$B$1:$AY$1,E$1)+SUMIFS('changes2_based on steps'!$B17:$U17,'changes2_based on steps'!$B$1:$U$1,E$1)</f>
        <v>0</v>
      </c>
      <c r="F17" s="179">
        <f>SUMIFS('recurring2_based on steps'!$B17:$AY17,'recurring2_based on steps'!$B$1:$AY$1,F$1)+SUMIFS('changes2_based on steps'!$B17:$U17,'changes2_based on steps'!$B$1:$U$1,F$1)</f>
        <v>0</v>
      </c>
      <c r="G17" s="179">
        <f>SUMIFS('recurring2_based on steps'!$B17:$AY17,'recurring2_based on steps'!$B$1:$AY$1,G$1)+SUMIFS('changes2_based on steps'!$B17:$U17,'changes2_based on steps'!$B$1:$U$1,G$1)</f>
        <v>0</v>
      </c>
      <c r="H17" s="179">
        <f>SUMIFS('recurring2_based on steps'!$B17:$AY17,'recurring2_based on steps'!$B$1:$AY$1,H$1)+SUMIFS('changes2_based on steps'!$B17:$U17,'changes2_based on steps'!$B$1:$U$1,H$1)</f>
        <v>0</v>
      </c>
      <c r="I17" s="179">
        <f>SUMIFS('recurring2_based on steps'!$B17:$AY17,'recurring2_based on steps'!$B$1:$AY$1,I$1)+SUMIFS('changes2_based on steps'!$B17:$U17,'changes2_based on steps'!$B$1:$U$1,I$1)</f>
        <v>0</v>
      </c>
      <c r="J17" s="179">
        <f>SUMIFS('recurring2_based on steps'!$B17:$AY17,'recurring2_based on steps'!$B$1:$AY$1,J$1)+SUMIFS('changes2_based on steps'!$B17:$U17,'changes2_based on steps'!$B$1:$U$1,J$1)</f>
        <v>0</v>
      </c>
      <c r="K17" s="179">
        <f>SUMIFS('recurring2_based on steps'!$B17:$AY17,'recurring2_based on steps'!$B$1:$AY$1,K$1)+SUMIFS('changes2_based on steps'!$B17:$U17,'changes2_based on steps'!$B$1:$U$1,K$1)</f>
        <v>0</v>
      </c>
      <c r="L17" s="179">
        <f>SUMIFS('recurring2_based on steps'!$B17:$AY17,'recurring2_based on steps'!$B$1:$AY$1,L$1)+SUMIFS('changes2_based on steps'!$B17:$U17,'changes2_based on steps'!$B$1:$U$1,L$1)</f>
        <v>0</v>
      </c>
      <c r="M17" s="179">
        <f>SUMIFS('recurring2_based on steps'!$B17:$AY17,'recurring2_based on steps'!$B$1:$AY$1,M$1)+SUMIFS('changes2_based on steps'!$B17:$U17,'changes2_based on steps'!$B$1:$U$1,M$1)</f>
        <v>0</v>
      </c>
      <c r="N17" s="179">
        <f>SUMIFS('recurring2_based on steps'!$B17:$AY17,'recurring2_based on steps'!$B$1:$AY$1,N$1)+SUMIFS('changes2_based on steps'!$B17:$U17,'changes2_based on steps'!$B$1:$U$1,N$1)</f>
        <v>0</v>
      </c>
      <c r="O17" s="179">
        <f>SUMIFS('recurring2_based on steps'!$B17:$AY17,'recurring2_based on steps'!$B$1:$AY$1,O$1)+SUMIFS('changes2_based on steps'!$B17:$U17,'changes2_based on steps'!$B$1:$U$1,O$1)</f>
        <v>0</v>
      </c>
      <c r="P17" s="179">
        <f>SUMIFS('recurring2_based on steps'!$B17:$AY17,'recurring2_based on steps'!$B$1:$AY$1,P$1)+SUMIFS('changes2_based on steps'!$B17:$U17,'changes2_based on steps'!$B$1:$U$1,P$1)</f>
        <v>0</v>
      </c>
      <c r="Q17" s="179">
        <f>SUMIFS('recurring2_based on steps'!$B17:$AY17,'recurring2_based on steps'!$B$1:$AY$1,Q$1)+SUMIFS('changes2_based on steps'!$B17:$U17,'changes2_based on steps'!$B$1:$U$1,Q$1)</f>
        <v>0</v>
      </c>
      <c r="R17" s="179">
        <f>SUMIFS('recurring2_based on steps'!$B17:$AY17,'recurring2_based on steps'!$B$1:$AY$1,R$1)+SUMIFS('changes2_based on steps'!$B17:$U17,'changes2_based on steps'!$B$1:$U$1,R$1)</f>
        <v>0</v>
      </c>
      <c r="S17" s="179">
        <f>SUMIFS('recurring2_based on steps'!$B17:$AY17,'recurring2_based on steps'!$B$1:$AY$1,S$1)+SUMIFS('changes2_based on steps'!$B17:$U17,'changes2_based on steps'!$B$1:$U$1,S$1)</f>
        <v>0</v>
      </c>
      <c r="T17" s="179">
        <f>SUMIFS('recurring2_based on steps'!$B17:$AY17,'recurring2_based on steps'!$B$1:$AY$1,T$1)+SUMIFS('changes2_based on steps'!$B17:$U17,'changes2_based on steps'!$B$1:$U$1,T$1)</f>
        <v>0</v>
      </c>
      <c r="U17" s="179">
        <f>SUMIFS('recurring2_based on steps'!$B17:$AY17,'recurring2_based on steps'!$B$1:$AY$1,U$1)+SUMIFS('changes2_based on steps'!$B17:$U17,'changes2_based on steps'!$B$1:$U$1,U$1)</f>
        <v>0</v>
      </c>
      <c r="V17" s="179">
        <f>SUMIFS('recurring2_based on steps'!$B17:$AY17,'recurring2_based on steps'!$B$1:$AY$1,V$1)+SUMIFS('changes2_based on steps'!$B17:$U17,'changes2_based on steps'!$B$1:$U$1,V$1)</f>
        <v>0</v>
      </c>
      <c r="W17" s="179">
        <f>SUMIFS('recurring2_based on steps'!$B17:$AY17,'recurring2_based on steps'!$B$1:$AY$1,W$1)+SUMIFS('changes2_based on steps'!$B17:$U17,'changes2_based on steps'!$B$1:$U$1,W$1)</f>
        <v>0</v>
      </c>
      <c r="X17" s="179">
        <f>SUMIFS('recurring2_based on steps'!$B17:$AY17,'recurring2_based on steps'!$B$1:$AY$1,X$1)+SUMIFS('changes2_based on steps'!$B17:$U17,'changes2_based on steps'!$B$1:$U$1,X$1)</f>
        <v>0</v>
      </c>
      <c r="Y17" s="179">
        <f>SUMIFS('recurring2_based on steps'!$B17:$AY17,'recurring2_based on steps'!$B$1:$AY$1,Y$1)+SUMIFS('changes2_based on steps'!$B17:$U17,'changes2_based on steps'!$B$1:$U$1,Y$1)</f>
        <v>0</v>
      </c>
      <c r="Z17" s="179">
        <f>SUMIFS('recurring2_based on steps'!$B17:$AY17,'recurring2_based on steps'!$B$1:$AY$1,Z$1)+SUMIFS('changes2_based on steps'!$B17:$U17,'changes2_based on steps'!$B$1:$U$1,Z$1)</f>
        <v>0</v>
      </c>
      <c r="AA17" s="179">
        <f>SUMIFS('recurring2_based on steps'!$B17:$AY17,'recurring2_based on steps'!$B$1:$AY$1,AA$1)+SUMIFS('changes2_based on steps'!$B17:$U17,'changes2_based on steps'!$B$1:$U$1,AA$1)</f>
        <v>0</v>
      </c>
      <c r="AB17" s="179">
        <f>SUMIFS('recurring2_based on steps'!$B17:$AY17,'recurring2_based on steps'!$B$1:$AY$1,AB$1)+SUMIFS('changes2_based on steps'!$B17:$U17,'changes2_based on steps'!$B$1:$U$1,AB$1)</f>
        <v>0</v>
      </c>
      <c r="AC17" s="179">
        <f>SUMIFS('recurring2_based on steps'!$B17:$AY17,'recurring2_based on steps'!$B$1:$AY$1,AC$1)+SUMIFS('changes2_based on steps'!$B17:$U17,'changes2_based on steps'!$B$1:$U$1,AC$1)</f>
        <v>0</v>
      </c>
      <c r="AD17" s="179">
        <f>SUMIFS('recurring2_based on steps'!$B17:$AY17,'recurring2_based on steps'!$B$1:$AY$1,AD$1)+SUMIFS('changes2_based on steps'!$B17:$U17,'changes2_based on steps'!$B$1:$U$1,AD$1)</f>
        <v>0</v>
      </c>
      <c r="AE17" s="179">
        <f>SUMIFS('recurring2_based on steps'!$B17:$AY17,'recurring2_based on steps'!$B$1:$AY$1,AE$1)+SUMIFS('changes2_based on steps'!$B17:$U17,'changes2_based on steps'!$B$1:$U$1,AE$1)</f>
        <v>0</v>
      </c>
      <c r="AF17" s="179"/>
      <c r="AG17" s="179"/>
      <c r="AH17" s="179"/>
      <c r="AI17" s="179"/>
      <c r="AJ17" s="179"/>
      <c r="AK17" s="179"/>
      <c r="AL17" s="179"/>
      <c r="AM17" s="179"/>
    </row>
    <row r="18" spans="1:39" x14ac:dyDescent="0.2">
      <c r="A18" s="32">
        <f t="shared" ca="1" si="0"/>
        <v>45760</v>
      </c>
      <c r="B18" s="179">
        <f>SUMIFS('recurring2_based on steps'!$B18:$AY18,'recurring2_based on steps'!$B$1:$AY$1,B$1)+SUMIFS('changes2_based on steps'!$B18:$U18,'changes2_based on steps'!$B$1:$U$1,B$1)</f>
        <v>0</v>
      </c>
      <c r="C18" s="179">
        <f>SUMIFS('recurring2_based on steps'!$B18:$AY18,'recurring2_based on steps'!$B$1:$AY$1,C$1)+SUMIFS('changes2_based on steps'!$B18:$U18,'changes2_based on steps'!$B$1:$U$1,C$1)</f>
        <v>0</v>
      </c>
      <c r="D18" s="179">
        <f>SUMIFS('recurring2_based on steps'!$B18:$AY18,'recurring2_based on steps'!$B$1:$AY$1,D$1)+SUMIFS('changes2_based on steps'!$B18:$U18,'changes2_based on steps'!$B$1:$U$1,D$1)</f>
        <v>0</v>
      </c>
      <c r="E18" s="179">
        <f>SUMIFS('recurring2_based on steps'!$B18:$AY18,'recurring2_based on steps'!$B$1:$AY$1,E$1)+SUMIFS('changes2_based on steps'!$B18:$U18,'changes2_based on steps'!$B$1:$U$1,E$1)</f>
        <v>0</v>
      </c>
      <c r="F18" s="179">
        <f>SUMIFS('recurring2_based on steps'!$B18:$AY18,'recurring2_based on steps'!$B$1:$AY$1,F$1)+SUMIFS('changes2_based on steps'!$B18:$U18,'changes2_based on steps'!$B$1:$U$1,F$1)</f>
        <v>0</v>
      </c>
      <c r="G18" s="179">
        <f>SUMIFS('recurring2_based on steps'!$B18:$AY18,'recurring2_based on steps'!$B$1:$AY$1,G$1)+SUMIFS('changes2_based on steps'!$B18:$U18,'changes2_based on steps'!$B$1:$U$1,G$1)</f>
        <v>0</v>
      </c>
      <c r="H18" s="179">
        <f>SUMIFS('recurring2_based on steps'!$B18:$AY18,'recurring2_based on steps'!$B$1:$AY$1,H$1)+SUMIFS('changes2_based on steps'!$B18:$U18,'changes2_based on steps'!$B$1:$U$1,H$1)</f>
        <v>0</v>
      </c>
      <c r="I18" s="179">
        <f>SUMIFS('recurring2_based on steps'!$B18:$AY18,'recurring2_based on steps'!$B$1:$AY$1,I$1)+SUMIFS('changes2_based on steps'!$B18:$U18,'changes2_based on steps'!$B$1:$U$1,I$1)</f>
        <v>0</v>
      </c>
      <c r="J18" s="179">
        <f>SUMIFS('recurring2_based on steps'!$B18:$AY18,'recurring2_based on steps'!$B$1:$AY$1,J$1)+SUMIFS('changes2_based on steps'!$B18:$U18,'changes2_based on steps'!$B$1:$U$1,J$1)</f>
        <v>0</v>
      </c>
      <c r="K18" s="179">
        <f>SUMIFS('recurring2_based on steps'!$B18:$AY18,'recurring2_based on steps'!$B$1:$AY$1,K$1)+SUMIFS('changes2_based on steps'!$B18:$U18,'changes2_based on steps'!$B$1:$U$1,K$1)</f>
        <v>0</v>
      </c>
      <c r="L18" s="179">
        <f>SUMIFS('recurring2_based on steps'!$B18:$AY18,'recurring2_based on steps'!$B$1:$AY$1,L$1)+SUMIFS('changes2_based on steps'!$B18:$U18,'changes2_based on steps'!$B$1:$U$1,L$1)</f>
        <v>0</v>
      </c>
      <c r="M18" s="179">
        <f>SUMIFS('recurring2_based on steps'!$B18:$AY18,'recurring2_based on steps'!$B$1:$AY$1,M$1)+SUMIFS('changes2_based on steps'!$B18:$U18,'changes2_based on steps'!$B$1:$U$1,M$1)</f>
        <v>0</v>
      </c>
      <c r="N18" s="179">
        <f>SUMIFS('recurring2_based on steps'!$B18:$AY18,'recurring2_based on steps'!$B$1:$AY$1,N$1)+SUMIFS('changes2_based on steps'!$B18:$U18,'changes2_based on steps'!$B$1:$U$1,N$1)</f>
        <v>0</v>
      </c>
      <c r="O18" s="179">
        <f>SUMIFS('recurring2_based on steps'!$B18:$AY18,'recurring2_based on steps'!$B$1:$AY$1,O$1)+SUMIFS('changes2_based on steps'!$B18:$U18,'changes2_based on steps'!$B$1:$U$1,O$1)</f>
        <v>0</v>
      </c>
      <c r="P18" s="179">
        <f>SUMIFS('recurring2_based on steps'!$B18:$AY18,'recurring2_based on steps'!$B$1:$AY$1,P$1)+SUMIFS('changes2_based on steps'!$B18:$U18,'changes2_based on steps'!$B$1:$U$1,P$1)</f>
        <v>0</v>
      </c>
      <c r="Q18" s="179">
        <f>SUMIFS('recurring2_based on steps'!$B18:$AY18,'recurring2_based on steps'!$B$1:$AY$1,Q$1)+SUMIFS('changes2_based on steps'!$B18:$U18,'changes2_based on steps'!$B$1:$U$1,Q$1)</f>
        <v>0</v>
      </c>
      <c r="R18" s="179">
        <f>SUMIFS('recurring2_based on steps'!$B18:$AY18,'recurring2_based on steps'!$B$1:$AY$1,R$1)+SUMIFS('changes2_based on steps'!$B18:$U18,'changes2_based on steps'!$B$1:$U$1,R$1)</f>
        <v>0</v>
      </c>
      <c r="S18" s="179">
        <f>SUMIFS('recurring2_based on steps'!$B18:$AY18,'recurring2_based on steps'!$B$1:$AY$1,S$1)+SUMIFS('changes2_based on steps'!$B18:$U18,'changes2_based on steps'!$B$1:$U$1,S$1)</f>
        <v>0</v>
      </c>
      <c r="T18" s="179">
        <f>SUMIFS('recurring2_based on steps'!$B18:$AY18,'recurring2_based on steps'!$B$1:$AY$1,T$1)+SUMIFS('changes2_based on steps'!$B18:$U18,'changes2_based on steps'!$B$1:$U$1,T$1)</f>
        <v>0</v>
      </c>
      <c r="U18" s="179">
        <f>SUMIFS('recurring2_based on steps'!$B18:$AY18,'recurring2_based on steps'!$B$1:$AY$1,U$1)+SUMIFS('changes2_based on steps'!$B18:$U18,'changes2_based on steps'!$B$1:$U$1,U$1)</f>
        <v>0</v>
      </c>
      <c r="V18" s="179">
        <f>SUMIFS('recurring2_based on steps'!$B18:$AY18,'recurring2_based on steps'!$B$1:$AY$1,V$1)+SUMIFS('changes2_based on steps'!$B18:$U18,'changes2_based on steps'!$B$1:$U$1,V$1)</f>
        <v>0</v>
      </c>
      <c r="W18" s="179">
        <f>SUMIFS('recurring2_based on steps'!$B18:$AY18,'recurring2_based on steps'!$B$1:$AY$1,W$1)+SUMIFS('changes2_based on steps'!$B18:$U18,'changes2_based on steps'!$B$1:$U$1,W$1)</f>
        <v>0</v>
      </c>
      <c r="X18" s="179">
        <f>SUMIFS('recurring2_based on steps'!$B18:$AY18,'recurring2_based on steps'!$B$1:$AY$1,X$1)+SUMIFS('changes2_based on steps'!$B18:$U18,'changes2_based on steps'!$B$1:$U$1,X$1)</f>
        <v>0</v>
      </c>
      <c r="Y18" s="179">
        <f>SUMIFS('recurring2_based on steps'!$B18:$AY18,'recurring2_based on steps'!$B$1:$AY$1,Y$1)+SUMIFS('changes2_based on steps'!$B18:$U18,'changes2_based on steps'!$B$1:$U$1,Y$1)</f>
        <v>0</v>
      </c>
      <c r="Z18" s="179">
        <f>SUMIFS('recurring2_based on steps'!$B18:$AY18,'recurring2_based on steps'!$B$1:$AY$1,Z$1)+SUMIFS('changes2_based on steps'!$B18:$U18,'changes2_based on steps'!$B$1:$U$1,Z$1)</f>
        <v>0</v>
      </c>
      <c r="AA18" s="179">
        <f>SUMIFS('recurring2_based on steps'!$B18:$AY18,'recurring2_based on steps'!$B$1:$AY$1,AA$1)+SUMIFS('changes2_based on steps'!$B18:$U18,'changes2_based on steps'!$B$1:$U$1,AA$1)</f>
        <v>0</v>
      </c>
      <c r="AB18" s="179">
        <f>SUMIFS('recurring2_based on steps'!$B18:$AY18,'recurring2_based on steps'!$B$1:$AY$1,AB$1)+SUMIFS('changes2_based on steps'!$B18:$U18,'changes2_based on steps'!$B$1:$U$1,AB$1)</f>
        <v>0</v>
      </c>
      <c r="AC18" s="179">
        <f>SUMIFS('recurring2_based on steps'!$B18:$AY18,'recurring2_based on steps'!$B$1:$AY$1,AC$1)+SUMIFS('changes2_based on steps'!$B18:$U18,'changes2_based on steps'!$B$1:$U$1,AC$1)</f>
        <v>0</v>
      </c>
      <c r="AD18" s="179">
        <f>SUMIFS('recurring2_based on steps'!$B18:$AY18,'recurring2_based on steps'!$B$1:$AY$1,AD$1)+SUMIFS('changes2_based on steps'!$B18:$U18,'changes2_based on steps'!$B$1:$U$1,AD$1)</f>
        <v>0</v>
      </c>
      <c r="AE18" s="179">
        <f>SUMIFS('recurring2_based on steps'!$B18:$AY18,'recurring2_based on steps'!$B$1:$AY$1,AE$1)+SUMIFS('changes2_based on steps'!$B18:$U18,'changes2_based on steps'!$B$1:$U$1,AE$1)</f>
        <v>0</v>
      </c>
      <c r="AF18" s="179"/>
      <c r="AG18" s="179"/>
      <c r="AH18" s="179"/>
      <c r="AI18" s="179"/>
      <c r="AJ18" s="179"/>
      <c r="AK18" s="179"/>
      <c r="AL18" s="179"/>
      <c r="AM18" s="179"/>
    </row>
    <row r="19" spans="1:39" x14ac:dyDescent="0.2">
      <c r="A19" s="32">
        <f t="shared" ca="1" si="0"/>
        <v>45761</v>
      </c>
      <c r="B19" s="179">
        <f>SUMIFS('recurring2_based on steps'!$B19:$AY19,'recurring2_based on steps'!$B$1:$AY$1,B$1)+SUMIFS('changes2_based on steps'!$B19:$U19,'changes2_based on steps'!$B$1:$U$1,B$1)</f>
        <v>0</v>
      </c>
      <c r="C19" s="179">
        <f>SUMIFS('recurring2_based on steps'!$B19:$AY19,'recurring2_based on steps'!$B$1:$AY$1,C$1)+SUMIFS('changes2_based on steps'!$B19:$U19,'changes2_based on steps'!$B$1:$U$1,C$1)</f>
        <v>0</v>
      </c>
      <c r="D19" s="179">
        <f>SUMIFS('recurring2_based on steps'!$B19:$AY19,'recurring2_based on steps'!$B$1:$AY$1,D$1)+SUMIFS('changes2_based on steps'!$B19:$U19,'changes2_based on steps'!$B$1:$U$1,D$1)</f>
        <v>0</v>
      </c>
      <c r="E19" s="179">
        <f>SUMIFS('recurring2_based on steps'!$B19:$AY19,'recurring2_based on steps'!$B$1:$AY$1,E$1)+SUMIFS('changes2_based on steps'!$B19:$U19,'changes2_based on steps'!$B$1:$U$1,E$1)</f>
        <v>0</v>
      </c>
      <c r="F19" s="179">
        <f>SUMIFS('recurring2_based on steps'!$B19:$AY19,'recurring2_based on steps'!$B$1:$AY$1,F$1)+SUMIFS('changes2_based on steps'!$B19:$U19,'changes2_based on steps'!$B$1:$U$1,F$1)</f>
        <v>0</v>
      </c>
      <c r="G19" s="179">
        <f>SUMIFS('recurring2_based on steps'!$B19:$AY19,'recurring2_based on steps'!$B$1:$AY$1,G$1)+SUMIFS('changes2_based on steps'!$B19:$U19,'changes2_based on steps'!$B$1:$U$1,G$1)</f>
        <v>0</v>
      </c>
      <c r="H19" s="179">
        <f>SUMIFS('recurring2_based on steps'!$B19:$AY19,'recurring2_based on steps'!$B$1:$AY$1,H$1)+SUMIFS('changes2_based on steps'!$B19:$U19,'changes2_based on steps'!$B$1:$U$1,H$1)</f>
        <v>0</v>
      </c>
      <c r="I19" s="179">
        <f>SUMIFS('recurring2_based on steps'!$B19:$AY19,'recurring2_based on steps'!$B$1:$AY$1,I$1)+SUMIFS('changes2_based on steps'!$B19:$U19,'changes2_based on steps'!$B$1:$U$1,I$1)</f>
        <v>0</v>
      </c>
      <c r="J19" s="179">
        <f>SUMIFS('recurring2_based on steps'!$B19:$AY19,'recurring2_based on steps'!$B$1:$AY$1,J$1)+SUMIFS('changes2_based on steps'!$B19:$U19,'changes2_based on steps'!$B$1:$U$1,J$1)</f>
        <v>0</v>
      </c>
      <c r="K19" s="179">
        <f>SUMIFS('recurring2_based on steps'!$B19:$AY19,'recurring2_based on steps'!$B$1:$AY$1,K$1)+SUMIFS('changes2_based on steps'!$B19:$U19,'changes2_based on steps'!$B$1:$U$1,K$1)</f>
        <v>0</v>
      </c>
      <c r="L19" s="179">
        <f>SUMIFS('recurring2_based on steps'!$B19:$AY19,'recurring2_based on steps'!$B$1:$AY$1,L$1)+SUMIFS('changes2_based on steps'!$B19:$U19,'changes2_based on steps'!$B$1:$U$1,L$1)</f>
        <v>0</v>
      </c>
      <c r="M19" s="179">
        <f>SUMIFS('recurring2_based on steps'!$B19:$AY19,'recurring2_based on steps'!$B$1:$AY$1,M$1)+SUMIFS('changes2_based on steps'!$B19:$U19,'changes2_based on steps'!$B$1:$U$1,M$1)</f>
        <v>0</v>
      </c>
      <c r="N19" s="179">
        <f>SUMIFS('recurring2_based on steps'!$B19:$AY19,'recurring2_based on steps'!$B$1:$AY$1,N$1)+SUMIFS('changes2_based on steps'!$B19:$U19,'changes2_based on steps'!$B$1:$U$1,N$1)</f>
        <v>0</v>
      </c>
      <c r="O19" s="179">
        <f>SUMIFS('recurring2_based on steps'!$B19:$AY19,'recurring2_based on steps'!$B$1:$AY$1,O$1)+SUMIFS('changes2_based on steps'!$B19:$U19,'changes2_based on steps'!$B$1:$U$1,O$1)</f>
        <v>0</v>
      </c>
      <c r="P19" s="179">
        <f>SUMIFS('recurring2_based on steps'!$B19:$AY19,'recurring2_based on steps'!$B$1:$AY$1,P$1)+SUMIFS('changes2_based on steps'!$B19:$U19,'changes2_based on steps'!$B$1:$U$1,P$1)</f>
        <v>0</v>
      </c>
      <c r="Q19" s="179">
        <f>SUMIFS('recurring2_based on steps'!$B19:$AY19,'recurring2_based on steps'!$B$1:$AY$1,Q$1)+SUMIFS('changes2_based on steps'!$B19:$U19,'changes2_based on steps'!$B$1:$U$1,Q$1)</f>
        <v>0</v>
      </c>
      <c r="R19" s="179">
        <f>SUMIFS('recurring2_based on steps'!$B19:$AY19,'recurring2_based on steps'!$B$1:$AY$1,R$1)+SUMIFS('changes2_based on steps'!$B19:$U19,'changes2_based on steps'!$B$1:$U$1,R$1)</f>
        <v>0</v>
      </c>
      <c r="S19" s="179">
        <f>SUMIFS('recurring2_based on steps'!$B19:$AY19,'recurring2_based on steps'!$B$1:$AY$1,S$1)+SUMIFS('changes2_based on steps'!$B19:$U19,'changes2_based on steps'!$B$1:$U$1,S$1)</f>
        <v>0</v>
      </c>
      <c r="T19" s="179">
        <f>SUMIFS('recurring2_based on steps'!$B19:$AY19,'recurring2_based on steps'!$B$1:$AY$1,T$1)+SUMIFS('changes2_based on steps'!$B19:$U19,'changes2_based on steps'!$B$1:$U$1,T$1)</f>
        <v>0</v>
      </c>
      <c r="U19" s="179">
        <f>SUMIFS('recurring2_based on steps'!$B19:$AY19,'recurring2_based on steps'!$B$1:$AY$1,U$1)+SUMIFS('changes2_based on steps'!$B19:$U19,'changes2_based on steps'!$B$1:$U$1,U$1)</f>
        <v>0</v>
      </c>
      <c r="V19" s="179">
        <f>SUMIFS('recurring2_based on steps'!$B19:$AY19,'recurring2_based on steps'!$B$1:$AY$1,V$1)+SUMIFS('changes2_based on steps'!$B19:$U19,'changes2_based on steps'!$B$1:$U$1,V$1)</f>
        <v>0</v>
      </c>
      <c r="W19" s="179">
        <f>SUMIFS('recurring2_based on steps'!$B19:$AY19,'recurring2_based on steps'!$B$1:$AY$1,W$1)+SUMIFS('changes2_based on steps'!$B19:$U19,'changes2_based on steps'!$B$1:$U$1,W$1)</f>
        <v>0</v>
      </c>
      <c r="X19" s="179">
        <f>SUMIFS('recurring2_based on steps'!$B19:$AY19,'recurring2_based on steps'!$B$1:$AY$1,X$1)+SUMIFS('changes2_based on steps'!$B19:$U19,'changes2_based on steps'!$B$1:$U$1,X$1)</f>
        <v>0</v>
      </c>
      <c r="Y19" s="179">
        <f>SUMIFS('recurring2_based on steps'!$B19:$AY19,'recurring2_based on steps'!$B$1:$AY$1,Y$1)+SUMIFS('changes2_based on steps'!$B19:$U19,'changes2_based on steps'!$B$1:$U$1,Y$1)</f>
        <v>0</v>
      </c>
      <c r="Z19" s="179">
        <f>SUMIFS('recurring2_based on steps'!$B19:$AY19,'recurring2_based on steps'!$B$1:$AY$1,Z$1)+SUMIFS('changes2_based on steps'!$B19:$U19,'changes2_based on steps'!$B$1:$U$1,Z$1)</f>
        <v>0</v>
      </c>
      <c r="AA19" s="179">
        <f>SUMIFS('recurring2_based on steps'!$B19:$AY19,'recurring2_based on steps'!$B$1:$AY$1,AA$1)+SUMIFS('changes2_based on steps'!$B19:$U19,'changes2_based on steps'!$B$1:$U$1,AA$1)</f>
        <v>0</v>
      </c>
      <c r="AB19" s="179">
        <f>SUMIFS('recurring2_based on steps'!$B19:$AY19,'recurring2_based on steps'!$B$1:$AY$1,AB$1)+SUMIFS('changes2_based on steps'!$B19:$U19,'changes2_based on steps'!$B$1:$U$1,AB$1)</f>
        <v>0</v>
      </c>
      <c r="AC19" s="179">
        <f>SUMIFS('recurring2_based on steps'!$B19:$AY19,'recurring2_based on steps'!$B$1:$AY$1,AC$1)+SUMIFS('changes2_based on steps'!$B19:$U19,'changes2_based on steps'!$B$1:$U$1,AC$1)</f>
        <v>0</v>
      </c>
      <c r="AD19" s="179">
        <f>SUMIFS('recurring2_based on steps'!$B19:$AY19,'recurring2_based on steps'!$B$1:$AY$1,AD$1)+SUMIFS('changes2_based on steps'!$B19:$U19,'changes2_based on steps'!$B$1:$U$1,AD$1)</f>
        <v>0</v>
      </c>
      <c r="AE19" s="179">
        <f>SUMIFS('recurring2_based on steps'!$B19:$AY19,'recurring2_based on steps'!$B$1:$AY$1,AE$1)+SUMIFS('changes2_based on steps'!$B19:$U19,'changes2_based on steps'!$B$1:$U$1,AE$1)</f>
        <v>0</v>
      </c>
      <c r="AF19" s="179"/>
      <c r="AG19" s="179"/>
      <c r="AH19" s="179"/>
      <c r="AI19" s="179"/>
      <c r="AJ19" s="179"/>
      <c r="AK19" s="179"/>
      <c r="AL19" s="179"/>
      <c r="AM19" s="179"/>
    </row>
    <row r="20" spans="1:39" x14ac:dyDescent="0.2">
      <c r="A20" s="32">
        <f t="shared" ca="1" si="0"/>
        <v>45762</v>
      </c>
      <c r="B20" s="179">
        <f>SUMIFS('recurring2_based on steps'!$B20:$AY20,'recurring2_based on steps'!$B$1:$AY$1,B$1)+SUMIFS('changes2_based on steps'!$B20:$U20,'changes2_based on steps'!$B$1:$U$1,B$1)</f>
        <v>0</v>
      </c>
      <c r="C20" s="179">
        <f>SUMIFS('recurring2_based on steps'!$B20:$AY20,'recurring2_based on steps'!$B$1:$AY$1,C$1)+SUMIFS('changes2_based on steps'!$B20:$U20,'changes2_based on steps'!$B$1:$U$1,C$1)</f>
        <v>0</v>
      </c>
      <c r="D20" s="179">
        <f>SUMIFS('recurring2_based on steps'!$B20:$AY20,'recurring2_based on steps'!$B$1:$AY$1,D$1)+SUMIFS('changes2_based on steps'!$B20:$U20,'changes2_based on steps'!$B$1:$U$1,D$1)</f>
        <v>0</v>
      </c>
      <c r="E20" s="179">
        <f>SUMIFS('recurring2_based on steps'!$B20:$AY20,'recurring2_based on steps'!$B$1:$AY$1,E$1)+SUMIFS('changes2_based on steps'!$B20:$U20,'changes2_based on steps'!$B$1:$U$1,E$1)</f>
        <v>0</v>
      </c>
      <c r="F20" s="179">
        <f>SUMIFS('recurring2_based on steps'!$B20:$AY20,'recurring2_based on steps'!$B$1:$AY$1,F$1)+SUMIFS('changes2_based on steps'!$B20:$U20,'changes2_based on steps'!$B$1:$U$1,F$1)</f>
        <v>0</v>
      </c>
      <c r="G20" s="179">
        <f>SUMIFS('recurring2_based on steps'!$B20:$AY20,'recurring2_based on steps'!$B$1:$AY$1,G$1)+SUMIFS('changes2_based on steps'!$B20:$U20,'changes2_based on steps'!$B$1:$U$1,G$1)</f>
        <v>0</v>
      </c>
      <c r="H20" s="179">
        <f>SUMIFS('recurring2_based on steps'!$B20:$AY20,'recurring2_based on steps'!$B$1:$AY$1,H$1)+SUMIFS('changes2_based on steps'!$B20:$U20,'changes2_based on steps'!$B$1:$U$1,H$1)</f>
        <v>0</v>
      </c>
      <c r="I20" s="179">
        <f>SUMIFS('recurring2_based on steps'!$B20:$AY20,'recurring2_based on steps'!$B$1:$AY$1,I$1)+SUMIFS('changes2_based on steps'!$B20:$U20,'changes2_based on steps'!$B$1:$U$1,I$1)</f>
        <v>0</v>
      </c>
      <c r="J20" s="179">
        <f>SUMIFS('recurring2_based on steps'!$B20:$AY20,'recurring2_based on steps'!$B$1:$AY$1,J$1)+SUMIFS('changes2_based on steps'!$B20:$U20,'changes2_based on steps'!$B$1:$U$1,J$1)</f>
        <v>0</v>
      </c>
      <c r="K20" s="179">
        <f>SUMIFS('recurring2_based on steps'!$B20:$AY20,'recurring2_based on steps'!$B$1:$AY$1,K$1)+SUMIFS('changes2_based on steps'!$B20:$U20,'changes2_based on steps'!$B$1:$U$1,K$1)</f>
        <v>0</v>
      </c>
      <c r="L20" s="179">
        <f>SUMIFS('recurring2_based on steps'!$B20:$AY20,'recurring2_based on steps'!$B$1:$AY$1,L$1)+SUMIFS('changes2_based on steps'!$B20:$U20,'changes2_based on steps'!$B$1:$U$1,L$1)</f>
        <v>0</v>
      </c>
      <c r="M20" s="179">
        <f>SUMIFS('recurring2_based on steps'!$B20:$AY20,'recurring2_based on steps'!$B$1:$AY$1,M$1)+SUMIFS('changes2_based on steps'!$B20:$U20,'changes2_based on steps'!$B$1:$U$1,M$1)</f>
        <v>0</v>
      </c>
      <c r="N20" s="179">
        <f>SUMIFS('recurring2_based on steps'!$B20:$AY20,'recurring2_based on steps'!$B$1:$AY$1,N$1)+SUMIFS('changes2_based on steps'!$B20:$U20,'changes2_based on steps'!$B$1:$U$1,N$1)</f>
        <v>0</v>
      </c>
      <c r="O20" s="179">
        <f>SUMIFS('recurring2_based on steps'!$B20:$AY20,'recurring2_based on steps'!$B$1:$AY$1,O$1)+SUMIFS('changes2_based on steps'!$B20:$U20,'changes2_based on steps'!$B$1:$U$1,O$1)</f>
        <v>0</v>
      </c>
      <c r="P20" s="179">
        <f>SUMIFS('recurring2_based on steps'!$B20:$AY20,'recurring2_based on steps'!$B$1:$AY$1,P$1)+SUMIFS('changes2_based on steps'!$B20:$U20,'changes2_based on steps'!$B$1:$U$1,P$1)</f>
        <v>0</v>
      </c>
      <c r="Q20" s="179">
        <f>SUMIFS('recurring2_based on steps'!$B20:$AY20,'recurring2_based on steps'!$B$1:$AY$1,Q$1)+SUMIFS('changes2_based on steps'!$B20:$U20,'changes2_based on steps'!$B$1:$U$1,Q$1)</f>
        <v>0</v>
      </c>
      <c r="R20" s="179">
        <f>SUMIFS('recurring2_based on steps'!$B20:$AY20,'recurring2_based on steps'!$B$1:$AY$1,R$1)+SUMIFS('changes2_based on steps'!$B20:$U20,'changes2_based on steps'!$B$1:$U$1,R$1)</f>
        <v>0</v>
      </c>
      <c r="S20" s="179">
        <f>SUMIFS('recurring2_based on steps'!$B20:$AY20,'recurring2_based on steps'!$B$1:$AY$1,S$1)+SUMIFS('changes2_based on steps'!$B20:$U20,'changes2_based on steps'!$B$1:$U$1,S$1)</f>
        <v>0</v>
      </c>
      <c r="T20" s="179">
        <f>SUMIFS('recurring2_based on steps'!$B20:$AY20,'recurring2_based on steps'!$B$1:$AY$1,T$1)+SUMIFS('changes2_based on steps'!$B20:$U20,'changes2_based on steps'!$B$1:$U$1,T$1)</f>
        <v>0</v>
      </c>
      <c r="U20" s="179">
        <f>SUMIFS('recurring2_based on steps'!$B20:$AY20,'recurring2_based on steps'!$B$1:$AY$1,U$1)+SUMIFS('changes2_based on steps'!$B20:$U20,'changes2_based on steps'!$B$1:$U$1,U$1)</f>
        <v>0</v>
      </c>
      <c r="V20" s="179">
        <f>SUMIFS('recurring2_based on steps'!$B20:$AY20,'recurring2_based on steps'!$B$1:$AY$1,V$1)+SUMIFS('changes2_based on steps'!$B20:$U20,'changes2_based on steps'!$B$1:$U$1,V$1)</f>
        <v>0</v>
      </c>
      <c r="W20" s="179">
        <f>SUMIFS('recurring2_based on steps'!$B20:$AY20,'recurring2_based on steps'!$B$1:$AY$1,W$1)+SUMIFS('changes2_based on steps'!$B20:$U20,'changes2_based on steps'!$B$1:$U$1,W$1)</f>
        <v>0</v>
      </c>
      <c r="X20" s="179">
        <f>SUMIFS('recurring2_based on steps'!$B20:$AY20,'recurring2_based on steps'!$B$1:$AY$1,X$1)+SUMIFS('changes2_based on steps'!$B20:$U20,'changes2_based on steps'!$B$1:$U$1,X$1)</f>
        <v>0</v>
      </c>
      <c r="Y20" s="179">
        <f>SUMIFS('recurring2_based on steps'!$B20:$AY20,'recurring2_based on steps'!$B$1:$AY$1,Y$1)+SUMIFS('changes2_based on steps'!$B20:$U20,'changes2_based on steps'!$B$1:$U$1,Y$1)</f>
        <v>0</v>
      </c>
      <c r="Z20" s="179">
        <f>SUMIFS('recurring2_based on steps'!$B20:$AY20,'recurring2_based on steps'!$B$1:$AY$1,Z$1)+SUMIFS('changes2_based on steps'!$B20:$U20,'changes2_based on steps'!$B$1:$U$1,Z$1)</f>
        <v>0</v>
      </c>
      <c r="AA20" s="179">
        <f>SUMIFS('recurring2_based on steps'!$B20:$AY20,'recurring2_based on steps'!$B$1:$AY$1,AA$1)+SUMIFS('changes2_based on steps'!$B20:$U20,'changes2_based on steps'!$B$1:$U$1,AA$1)</f>
        <v>0</v>
      </c>
      <c r="AB20" s="179">
        <f>SUMIFS('recurring2_based on steps'!$B20:$AY20,'recurring2_based on steps'!$B$1:$AY$1,AB$1)+SUMIFS('changes2_based on steps'!$B20:$U20,'changes2_based on steps'!$B$1:$U$1,AB$1)</f>
        <v>0</v>
      </c>
      <c r="AC20" s="179">
        <f>SUMIFS('recurring2_based on steps'!$B20:$AY20,'recurring2_based on steps'!$B$1:$AY$1,AC$1)+SUMIFS('changes2_based on steps'!$B20:$U20,'changes2_based on steps'!$B$1:$U$1,AC$1)</f>
        <v>0</v>
      </c>
      <c r="AD20" s="179">
        <f>SUMIFS('recurring2_based on steps'!$B20:$AY20,'recurring2_based on steps'!$B$1:$AY$1,AD$1)+SUMIFS('changes2_based on steps'!$B20:$U20,'changes2_based on steps'!$B$1:$U$1,AD$1)</f>
        <v>0</v>
      </c>
      <c r="AE20" s="179">
        <f>SUMIFS('recurring2_based on steps'!$B20:$AY20,'recurring2_based on steps'!$B$1:$AY$1,AE$1)+SUMIFS('changes2_based on steps'!$B20:$U20,'changes2_based on steps'!$B$1:$U$1,AE$1)</f>
        <v>0</v>
      </c>
      <c r="AF20" s="179"/>
      <c r="AG20" s="179"/>
      <c r="AH20" s="179"/>
      <c r="AI20" s="179"/>
      <c r="AJ20" s="179"/>
      <c r="AK20" s="179"/>
      <c r="AL20" s="179"/>
      <c r="AM20" s="179"/>
    </row>
    <row r="21" spans="1:39" x14ac:dyDescent="0.2">
      <c r="A21" s="32">
        <f t="shared" ca="1" si="0"/>
        <v>45763</v>
      </c>
      <c r="B21" s="179">
        <f>SUMIFS('recurring2_based on steps'!$B21:$AY21,'recurring2_based on steps'!$B$1:$AY$1,B$1)+SUMIFS('changes2_based on steps'!$B21:$U21,'changes2_based on steps'!$B$1:$U$1,B$1)</f>
        <v>0</v>
      </c>
      <c r="C21" s="179">
        <f>SUMIFS('recurring2_based on steps'!$B21:$AY21,'recurring2_based on steps'!$B$1:$AY$1,C$1)+SUMIFS('changes2_based on steps'!$B21:$U21,'changes2_based on steps'!$B$1:$U$1,C$1)</f>
        <v>0</v>
      </c>
      <c r="D21" s="179">
        <f>SUMIFS('recurring2_based on steps'!$B21:$AY21,'recurring2_based on steps'!$B$1:$AY$1,D$1)+SUMIFS('changes2_based on steps'!$B21:$U21,'changes2_based on steps'!$B$1:$U$1,D$1)</f>
        <v>0</v>
      </c>
      <c r="E21" s="179">
        <f>SUMIFS('recurring2_based on steps'!$B21:$AY21,'recurring2_based on steps'!$B$1:$AY$1,E$1)+SUMIFS('changes2_based on steps'!$B21:$U21,'changes2_based on steps'!$B$1:$U$1,E$1)</f>
        <v>0</v>
      </c>
      <c r="F21" s="179">
        <f>SUMIFS('recurring2_based on steps'!$B21:$AY21,'recurring2_based on steps'!$B$1:$AY$1,F$1)+SUMIFS('changes2_based on steps'!$B21:$U21,'changes2_based on steps'!$B$1:$U$1,F$1)</f>
        <v>0</v>
      </c>
      <c r="G21" s="179">
        <f>SUMIFS('recurring2_based on steps'!$B21:$AY21,'recurring2_based on steps'!$B$1:$AY$1,G$1)+SUMIFS('changes2_based on steps'!$B21:$U21,'changes2_based on steps'!$B$1:$U$1,G$1)</f>
        <v>0</v>
      </c>
      <c r="H21" s="179">
        <f>SUMIFS('recurring2_based on steps'!$B21:$AY21,'recurring2_based on steps'!$B$1:$AY$1,H$1)+SUMIFS('changes2_based on steps'!$B21:$U21,'changes2_based on steps'!$B$1:$U$1,H$1)</f>
        <v>0</v>
      </c>
      <c r="I21" s="179">
        <f>SUMIFS('recurring2_based on steps'!$B21:$AY21,'recurring2_based on steps'!$B$1:$AY$1,I$1)+SUMIFS('changes2_based on steps'!$B21:$U21,'changes2_based on steps'!$B$1:$U$1,I$1)</f>
        <v>0</v>
      </c>
      <c r="J21" s="179">
        <f>SUMIFS('recurring2_based on steps'!$B21:$AY21,'recurring2_based on steps'!$B$1:$AY$1,J$1)+SUMIFS('changes2_based on steps'!$B21:$U21,'changes2_based on steps'!$B$1:$U$1,J$1)</f>
        <v>0</v>
      </c>
      <c r="K21" s="179">
        <f>SUMIFS('recurring2_based on steps'!$B21:$AY21,'recurring2_based on steps'!$B$1:$AY$1,K$1)+SUMIFS('changes2_based on steps'!$B21:$U21,'changes2_based on steps'!$B$1:$U$1,K$1)</f>
        <v>0</v>
      </c>
      <c r="L21" s="179">
        <f>SUMIFS('recurring2_based on steps'!$B21:$AY21,'recurring2_based on steps'!$B$1:$AY$1,L$1)+SUMIFS('changes2_based on steps'!$B21:$U21,'changes2_based on steps'!$B$1:$U$1,L$1)</f>
        <v>0</v>
      </c>
      <c r="M21" s="179">
        <f>SUMIFS('recurring2_based on steps'!$B21:$AY21,'recurring2_based on steps'!$B$1:$AY$1,M$1)+SUMIFS('changes2_based on steps'!$B21:$U21,'changes2_based on steps'!$B$1:$U$1,M$1)</f>
        <v>0</v>
      </c>
      <c r="N21" s="179">
        <f>SUMIFS('recurring2_based on steps'!$B21:$AY21,'recurring2_based on steps'!$B$1:$AY$1,N$1)+SUMIFS('changes2_based on steps'!$B21:$U21,'changes2_based on steps'!$B$1:$U$1,N$1)</f>
        <v>0</v>
      </c>
      <c r="O21" s="179">
        <f>SUMIFS('recurring2_based on steps'!$B21:$AY21,'recurring2_based on steps'!$B$1:$AY$1,O$1)+SUMIFS('changes2_based on steps'!$B21:$U21,'changes2_based on steps'!$B$1:$U$1,O$1)</f>
        <v>0</v>
      </c>
      <c r="P21" s="179">
        <f>SUMIFS('recurring2_based on steps'!$B21:$AY21,'recurring2_based on steps'!$B$1:$AY$1,P$1)+SUMIFS('changes2_based on steps'!$B21:$U21,'changes2_based on steps'!$B$1:$U$1,P$1)</f>
        <v>0</v>
      </c>
      <c r="Q21" s="179">
        <f>SUMIFS('recurring2_based on steps'!$B21:$AY21,'recurring2_based on steps'!$B$1:$AY$1,Q$1)+SUMIFS('changes2_based on steps'!$B21:$U21,'changes2_based on steps'!$B$1:$U$1,Q$1)</f>
        <v>0</v>
      </c>
      <c r="R21" s="179">
        <f>SUMIFS('recurring2_based on steps'!$B21:$AY21,'recurring2_based on steps'!$B$1:$AY$1,R$1)+SUMIFS('changes2_based on steps'!$B21:$U21,'changes2_based on steps'!$B$1:$U$1,R$1)</f>
        <v>0</v>
      </c>
      <c r="S21" s="179">
        <f>SUMIFS('recurring2_based on steps'!$B21:$AY21,'recurring2_based on steps'!$B$1:$AY$1,S$1)+SUMIFS('changes2_based on steps'!$B21:$U21,'changes2_based on steps'!$B$1:$U$1,S$1)</f>
        <v>0</v>
      </c>
      <c r="T21" s="179">
        <f>SUMIFS('recurring2_based on steps'!$B21:$AY21,'recurring2_based on steps'!$B$1:$AY$1,T$1)+SUMIFS('changes2_based on steps'!$B21:$U21,'changes2_based on steps'!$B$1:$U$1,T$1)</f>
        <v>0</v>
      </c>
      <c r="U21" s="179">
        <f>SUMIFS('recurring2_based on steps'!$B21:$AY21,'recurring2_based on steps'!$B$1:$AY$1,U$1)+SUMIFS('changes2_based on steps'!$B21:$U21,'changes2_based on steps'!$B$1:$U$1,U$1)</f>
        <v>0</v>
      </c>
      <c r="V21" s="179">
        <f>SUMIFS('recurring2_based on steps'!$B21:$AY21,'recurring2_based on steps'!$B$1:$AY$1,V$1)+SUMIFS('changes2_based on steps'!$B21:$U21,'changes2_based on steps'!$B$1:$U$1,V$1)</f>
        <v>0</v>
      </c>
      <c r="W21" s="179">
        <f>SUMIFS('recurring2_based on steps'!$B21:$AY21,'recurring2_based on steps'!$B$1:$AY$1,W$1)+SUMIFS('changes2_based on steps'!$B21:$U21,'changes2_based on steps'!$B$1:$U$1,W$1)</f>
        <v>0</v>
      </c>
      <c r="X21" s="179">
        <f>SUMIFS('recurring2_based on steps'!$B21:$AY21,'recurring2_based on steps'!$B$1:$AY$1,X$1)+SUMIFS('changes2_based on steps'!$B21:$U21,'changes2_based on steps'!$B$1:$U$1,X$1)</f>
        <v>0</v>
      </c>
      <c r="Y21" s="179">
        <f>SUMIFS('recurring2_based on steps'!$B21:$AY21,'recurring2_based on steps'!$B$1:$AY$1,Y$1)+SUMIFS('changes2_based on steps'!$B21:$U21,'changes2_based on steps'!$B$1:$U$1,Y$1)</f>
        <v>0</v>
      </c>
      <c r="Z21" s="179">
        <f>SUMIFS('recurring2_based on steps'!$B21:$AY21,'recurring2_based on steps'!$B$1:$AY$1,Z$1)+SUMIFS('changes2_based on steps'!$B21:$U21,'changes2_based on steps'!$B$1:$U$1,Z$1)</f>
        <v>0</v>
      </c>
      <c r="AA21" s="179">
        <f>SUMIFS('recurring2_based on steps'!$B21:$AY21,'recurring2_based on steps'!$B$1:$AY$1,AA$1)+SUMIFS('changes2_based on steps'!$B21:$U21,'changes2_based on steps'!$B$1:$U$1,AA$1)</f>
        <v>0</v>
      </c>
      <c r="AB21" s="179">
        <f>SUMIFS('recurring2_based on steps'!$B21:$AY21,'recurring2_based on steps'!$B$1:$AY$1,AB$1)+SUMIFS('changes2_based on steps'!$B21:$U21,'changes2_based on steps'!$B$1:$U$1,AB$1)</f>
        <v>0</v>
      </c>
      <c r="AC21" s="179">
        <f>SUMIFS('recurring2_based on steps'!$B21:$AY21,'recurring2_based on steps'!$B$1:$AY$1,AC$1)+SUMIFS('changes2_based on steps'!$B21:$U21,'changes2_based on steps'!$B$1:$U$1,AC$1)</f>
        <v>0</v>
      </c>
      <c r="AD21" s="179">
        <f>SUMIFS('recurring2_based on steps'!$B21:$AY21,'recurring2_based on steps'!$B$1:$AY$1,AD$1)+SUMIFS('changes2_based on steps'!$B21:$U21,'changes2_based on steps'!$B$1:$U$1,AD$1)</f>
        <v>0</v>
      </c>
      <c r="AE21" s="179">
        <f>SUMIFS('recurring2_based on steps'!$B21:$AY21,'recurring2_based on steps'!$B$1:$AY$1,AE$1)+SUMIFS('changes2_based on steps'!$B21:$U21,'changes2_based on steps'!$B$1:$U$1,AE$1)</f>
        <v>0</v>
      </c>
      <c r="AF21" s="179"/>
      <c r="AG21" s="179"/>
      <c r="AH21" s="179"/>
      <c r="AI21" s="179"/>
      <c r="AJ21" s="179"/>
      <c r="AK21" s="179"/>
      <c r="AL21" s="179"/>
      <c r="AM21" s="179"/>
    </row>
    <row r="22" spans="1:39" x14ac:dyDescent="0.2">
      <c r="A22" s="32">
        <f t="shared" ca="1" si="0"/>
        <v>45764</v>
      </c>
      <c r="B22" s="179">
        <f>SUMIFS('recurring2_based on steps'!$B22:$AY22,'recurring2_based on steps'!$B$1:$AY$1,B$1)+SUMIFS('changes2_based on steps'!$B22:$U22,'changes2_based on steps'!$B$1:$U$1,B$1)</f>
        <v>0</v>
      </c>
      <c r="C22" s="179">
        <f>SUMIFS('recurring2_based on steps'!$B22:$AY22,'recurring2_based on steps'!$B$1:$AY$1,C$1)+SUMIFS('changes2_based on steps'!$B22:$U22,'changes2_based on steps'!$B$1:$U$1,C$1)</f>
        <v>0</v>
      </c>
      <c r="D22" s="179">
        <f>SUMIFS('recurring2_based on steps'!$B22:$AY22,'recurring2_based on steps'!$B$1:$AY$1,D$1)+SUMIFS('changes2_based on steps'!$B22:$U22,'changes2_based on steps'!$B$1:$U$1,D$1)</f>
        <v>0</v>
      </c>
      <c r="E22" s="179">
        <f>SUMIFS('recurring2_based on steps'!$B22:$AY22,'recurring2_based on steps'!$B$1:$AY$1,E$1)+SUMIFS('changes2_based on steps'!$B22:$U22,'changes2_based on steps'!$B$1:$U$1,E$1)</f>
        <v>0</v>
      </c>
      <c r="F22" s="179">
        <f>SUMIFS('recurring2_based on steps'!$B22:$AY22,'recurring2_based on steps'!$B$1:$AY$1,F$1)+SUMIFS('changes2_based on steps'!$B22:$U22,'changes2_based on steps'!$B$1:$U$1,F$1)</f>
        <v>0</v>
      </c>
      <c r="G22" s="179">
        <f>SUMIFS('recurring2_based on steps'!$B22:$AY22,'recurring2_based on steps'!$B$1:$AY$1,G$1)+SUMIFS('changes2_based on steps'!$B22:$U22,'changes2_based on steps'!$B$1:$U$1,G$1)</f>
        <v>0</v>
      </c>
      <c r="H22" s="179">
        <f>SUMIFS('recurring2_based on steps'!$B22:$AY22,'recurring2_based on steps'!$B$1:$AY$1,H$1)+SUMIFS('changes2_based on steps'!$B22:$U22,'changes2_based on steps'!$B$1:$U$1,H$1)</f>
        <v>0</v>
      </c>
      <c r="I22" s="179">
        <f>SUMIFS('recurring2_based on steps'!$B22:$AY22,'recurring2_based on steps'!$B$1:$AY$1,I$1)+SUMIFS('changes2_based on steps'!$B22:$U22,'changes2_based on steps'!$B$1:$U$1,I$1)</f>
        <v>0</v>
      </c>
      <c r="J22" s="179">
        <f>SUMIFS('recurring2_based on steps'!$B22:$AY22,'recurring2_based on steps'!$B$1:$AY$1,J$1)+SUMIFS('changes2_based on steps'!$B22:$U22,'changes2_based on steps'!$B$1:$U$1,J$1)</f>
        <v>0</v>
      </c>
      <c r="K22" s="179">
        <f>SUMIFS('recurring2_based on steps'!$B22:$AY22,'recurring2_based on steps'!$B$1:$AY$1,K$1)+SUMIFS('changes2_based on steps'!$B22:$U22,'changes2_based on steps'!$B$1:$U$1,K$1)</f>
        <v>0</v>
      </c>
      <c r="L22" s="179">
        <f>SUMIFS('recurring2_based on steps'!$B22:$AY22,'recurring2_based on steps'!$B$1:$AY$1,L$1)+SUMIFS('changes2_based on steps'!$B22:$U22,'changes2_based on steps'!$B$1:$U$1,L$1)</f>
        <v>0</v>
      </c>
      <c r="M22" s="179">
        <f>SUMIFS('recurring2_based on steps'!$B22:$AY22,'recurring2_based on steps'!$B$1:$AY$1,M$1)+SUMIFS('changes2_based on steps'!$B22:$U22,'changes2_based on steps'!$B$1:$U$1,M$1)</f>
        <v>0</v>
      </c>
      <c r="N22" s="179">
        <f>SUMIFS('recurring2_based on steps'!$B22:$AY22,'recurring2_based on steps'!$B$1:$AY$1,N$1)+SUMIFS('changes2_based on steps'!$B22:$U22,'changes2_based on steps'!$B$1:$U$1,N$1)</f>
        <v>0</v>
      </c>
      <c r="O22" s="179">
        <f>SUMIFS('recurring2_based on steps'!$B22:$AY22,'recurring2_based on steps'!$B$1:$AY$1,O$1)+SUMIFS('changes2_based on steps'!$B22:$U22,'changes2_based on steps'!$B$1:$U$1,O$1)</f>
        <v>0</v>
      </c>
      <c r="P22" s="179">
        <f>SUMIFS('recurring2_based on steps'!$B22:$AY22,'recurring2_based on steps'!$B$1:$AY$1,P$1)+SUMIFS('changes2_based on steps'!$B22:$U22,'changes2_based on steps'!$B$1:$U$1,P$1)</f>
        <v>0</v>
      </c>
      <c r="Q22" s="179">
        <f>SUMIFS('recurring2_based on steps'!$B22:$AY22,'recurring2_based on steps'!$B$1:$AY$1,Q$1)+SUMIFS('changes2_based on steps'!$B22:$U22,'changes2_based on steps'!$B$1:$U$1,Q$1)</f>
        <v>0</v>
      </c>
      <c r="R22" s="179">
        <f>SUMIFS('recurring2_based on steps'!$B22:$AY22,'recurring2_based on steps'!$B$1:$AY$1,R$1)+SUMIFS('changes2_based on steps'!$B22:$U22,'changes2_based on steps'!$B$1:$U$1,R$1)</f>
        <v>0</v>
      </c>
      <c r="S22" s="179">
        <f>SUMIFS('recurring2_based on steps'!$B22:$AY22,'recurring2_based on steps'!$B$1:$AY$1,S$1)+SUMIFS('changes2_based on steps'!$B22:$U22,'changes2_based on steps'!$B$1:$U$1,S$1)</f>
        <v>0</v>
      </c>
      <c r="T22" s="179">
        <f>SUMIFS('recurring2_based on steps'!$B22:$AY22,'recurring2_based on steps'!$B$1:$AY$1,T$1)+SUMIFS('changes2_based on steps'!$B22:$U22,'changes2_based on steps'!$B$1:$U$1,T$1)</f>
        <v>0</v>
      </c>
      <c r="U22" s="179">
        <f>SUMIFS('recurring2_based on steps'!$B22:$AY22,'recurring2_based on steps'!$B$1:$AY$1,U$1)+SUMIFS('changes2_based on steps'!$B22:$U22,'changes2_based on steps'!$B$1:$U$1,U$1)</f>
        <v>0</v>
      </c>
      <c r="V22" s="179">
        <f>SUMIFS('recurring2_based on steps'!$B22:$AY22,'recurring2_based on steps'!$B$1:$AY$1,V$1)+SUMIFS('changes2_based on steps'!$B22:$U22,'changes2_based on steps'!$B$1:$U$1,V$1)</f>
        <v>0</v>
      </c>
      <c r="W22" s="179">
        <f>SUMIFS('recurring2_based on steps'!$B22:$AY22,'recurring2_based on steps'!$B$1:$AY$1,W$1)+SUMIFS('changes2_based on steps'!$B22:$U22,'changes2_based on steps'!$B$1:$U$1,W$1)</f>
        <v>0</v>
      </c>
      <c r="X22" s="179">
        <f>SUMIFS('recurring2_based on steps'!$B22:$AY22,'recurring2_based on steps'!$B$1:$AY$1,X$1)+SUMIFS('changes2_based on steps'!$B22:$U22,'changes2_based on steps'!$B$1:$U$1,X$1)</f>
        <v>0</v>
      </c>
      <c r="Y22" s="179">
        <f>SUMIFS('recurring2_based on steps'!$B22:$AY22,'recurring2_based on steps'!$B$1:$AY$1,Y$1)+SUMIFS('changes2_based on steps'!$B22:$U22,'changes2_based on steps'!$B$1:$U$1,Y$1)</f>
        <v>0</v>
      </c>
      <c r="Z22" s="179">
        <f>SUMIFS('recurring2_based on steps'!$B22:$AY22,'recurring2_based on steps'!$B$1:$AY$1,Z$1)+SUMIFS('changes2_based on steps'!$B22:$U22,'changes2_based on steps'!$B$1:$U$1,Z$1)</f>
        <v>0</v>
      </c>
      <c r="AA22" s="179">
        <f>SUMIFS('recurring2_based on steps'!$B22:$AY22,'recurring2_based on steps'!$B$1:$AY$1,AA$1)+SUMIFS('changes2_based on steps'!$B22:$U22,'changes2_based on steps'!$B$1:$U$1,AA$1)</f>
        <v>0</v>
      </c>
      <c r="AB22" s="179">
        <f>SUMIFS('recurring2_based on steps'!$B22:$AY22,'recurring2_based on steps'!$B$1:$AY$1,AB$1)+SUMIFS('changes2_based on steps'!$B22:$U22,'changes2_based on steps'!$B$1:$U$1,AB$1)</f>
        <v>0</v>
      </c>
      <c r="AC22" s="179">
        <f>SUMIFS('recurring2_based on steps'!$B22:$AY22,'recurring2_based on steps'!$B$1:$AY$1,AC$1)+SUMIFS('changes2_based on steps'!$B22:$U22,'changes2_based on steps'!$B$1:$U$1,AC$1)</f>
        <v>0</v>
      </c>
      <c r="AD22" s="179">
        <f>SUMIFS('recurring2_based on steps'!$B22:$AY22,'recurring2_based on steps'!$B$1:$AY$1,AD$1)+SUMIFS('changes2_based on steps'!$B22:$U22,'changes2_based on steps'!$B$1:$U$1,AD$1)</f>
        <v>0</v>
      </c>
      <c r="AE22" s="179">
        <f>SUMIFS('recurring2_based on steps'!$B22:$AY22,'recurring2_based on steps'!$B$1:$AY$1,AE$1)+SUMIFS('changes2_based on steps'!$B22:$U22,'changes2_based on steps'!$B$1:$U$1,AE$1)</f>
        <v>0</v>
      </c>
      <c r="AF22" s="179"/>
      <c r="AG22" s="179"/>
      <c r="AH22" s="179"/>
      <c r="AI22" s="179"/>
      <c r="AJ22" s="179"/>
      <c r="AK22" s="179"/>
      <c r="AL22" s="179"/>
      <c r="AM22" s="179"/>
    </row>
    <row r="23" spans="1:39" x14ac:dyDescent="0.2">
      <c r="A23" s="32">
        <f t="shared" ca="1" si="0"/>
        <v>45765</v>
      </c>
      <c r="B23" s="179">
        <f>SUMIFS('recurring2_based on steps'!$B23:$AY23,'recurring2_based on steps'!$B$1:$AY$1,B$1)+SUMIFS('changes2_based on steps'!$B23:$U23,'changes2_based on steps'!$B$1:$U$1,B$1)</f>
        <v>0</v>
      </c>
      <c r="C23" s="179">
        <f>SUMIFS('recurring2_based on steps'!$B23:$AY23,'recurring2_based on steps'!$B$1:$AY$1,C$1)+SUMIFS('changes2_based on steps'!$B23:$U23,'changes2_based on steps'!$B$1:$U$1,C$1)</f>
        <v>0</v>
      </c>
      <c r="D23" s="179">
        <f>SUMIFS('recurring2_based on steps'!$B23:$AY23,'recurring2_based on steps'!$B$1:$AY$1,D$1)+SUMIFS('changes2_based on steps'!$B23:$U23,'changes2_based on steps'!$B$1:$U$1,D$1)</f>
        <v>0</v>
      </c>
      <c r="E23" s="179">
        <f>SUMIFS('recurring2_based on steps'!$B23:$AY23,'recurring2_based on steps'!$B$1:$AY$1,E$1)+SUMIFS('changes2_based on steps'!$B23:$U23,'changes2_based on steps'!$B$1:$U$1,E$1)</f>
        <v>0</v>
      </c>
      <c r="F23" s="179">
        <f>SUMIFS('recurring2_based on steps'!$B23:$AY23,'recurring2_based on steps'!$B$1:$AY$1,F$1)+SUMIFS('changes2_based on steps'!$B23:$U23,'changes2_based on steps'!$B$1:$U$1,F$1)</f>
        <v>0</v>
      </c>
      <c r="G23" s="179">
        <f>SUMIFS('recurring2_based on steps'!$B23:$AY23,'recurring2_based on steps'!$B$1:$AY$1,G$1)+SUMIFS('changes2_based on steps'!$B23:$U23,'changes2_based on steps'!$B$1:$U$1,G$1)</f>
        <v>0</v>
      </c>
      <c r="H23" s="179">
        <f>SUMIFS('recurring2_based on steps'!$B23:$AY23,'recurring2_based on steps'!$B$1:$AY$1,H$1)+SUMIFS('changes2_based on steps'!$B23:$U23,'changes2_based on steps'!$B$1:$U$1,H$1)</f>
        <v>0</v>
      </c>
      <c r="I23" s="179">
        <f>SUMIFS('recurring2_based on steps'!$B23:$AY23,'recurring2_based on steps'!$B$1:$AY$1,I$1)+SUMIFS('changes2_based on steps'!$B23:$U23,'changes2_based on steps'!$B$1:$U$1,I$1)</f>
        <v>0</v>
      </c>
      <c r="J23" s="179">
        <f>SUMIFS('recurring2_based on steps'!$B23:$AY23,'recurring2_based on steps'!$B$1:$AY$1,J$1)+SUMIFS('changes2_based on steps'!$B23:$U23,'changes2_based on steps'!$B$1:$U$1,J$1)</f>
        <v>0</v>
      </c>
      <c r="K23" s="179">
        <f>SUMIFS('recurring2_based on steps'!$B23:$AY23,'recurring2_based on steps'!$B$1:$AY$1,K$1)+SUMIFS('changes2_based on steps'!$B23:$U23,'changes2_based on steps'!$B$1:$U$1,K$1)</f>
        <v>0</v>
      </c>
      <c r="L23" s="179">
        <f>SUMIFS('recurring2_based on steps'!$B23:$AY23,'recurring2_based on steps'!$B$1:$AY$1,L$1)+SUMIFS('changes2_based on steps'!$B23:$U23,'changes2_based on steps'!$B$1:$U$1,L$1)</f>
        <v>0</v>
      </c>
      <c r="M23" s="179">
        <f>SUMIFS('recurring2_based on steps'!$B23:$AY23,'recurring2_based on steps'!$B$1:$AY$1,M$1)+SUMIFS('changes2_based on steps'!$B23:$U23,'changes2_based on steps'!$B$1:$U$1,M$1)</f>
        <v>0</v>
      </c>
      <c r="N23" s="179">
        <f>SUMIFS('recurring2_based on steps'!$B23:$AY23,'recurring2_based on steps'!$B$1:$AY$1,N$1)+SUMIFS('changes2_based on steps'!$B23:$U23,'changes2_based on steps'!$B$1:$U$1,N$1)</f>
        <v>0</v>
      </c>
      <c r="O23" s="179">
        <f>SUMIFS('recurring2_based on steps'!$B23:$AY23,'recurring2_based on steps'!$B$1:$AY$1,O$1)+SUMIFS('changes2_based on steps'!$B23:$U23,'changes2_based on steps'!$B$1:$U$1,O$1)</f>
        <v>0</v>
      </c>
      <c r="P23" s="179">
        <f>SUMIFS('recurring2_based on steps'!$B23:$AY23,'recurring2_based on steps'!$B$1:$AY$1,P$1)+SUMIFS('changes2_based on steps'!$B23:$U23,'changes2_based on steps'!$B$1:$U$1,P$1)</f>
        <v>0</v>
      </c>
      <c r="Q23" s="179">
        <f>SUMIFS('recurring2_based on steps'!$B23:$AY23,'recurring2_based on steps'!$B$1:$AY$1,Q$1)+SUMIFS('changes2_based on steps'!$B23:$U23,'changes2_based on steps'!$B$1:$U$1,Q$1)</f>
        <v>0</v>
      </c>
      <c r="R23" s="179">
        <f>SUMIFS('recurring2_based on steps'!$B23:$AY23,'recurring2_based on steps'!$B$1:$AY$1,R$1)+SUMIFS('changes2_based on steps'!$B23:$U23,'changes2_based on steps'!$B$1:$U$1,R$1)</f>
        <v>0</v>
      </c>
      <c r="S23" s="179">
        <f>SUMIFS('recurring2_based on steps'!$B23:$AY23,'recurring2_based on steps'!$B$1:$AY$1,S$1)+SUMIFS('changes2_based on steps'!$B23:$U23,'changes2_based on steps'!$B$1:$U$1,S$1)</f>
        <v>0</v>
      </c>
      <c r="T23" s="179">
        <f>SUMIFS('recurring2_based on steps'!$B23:$AY23,'recurring2_based on steps'!$B$1:$AY$1,T$1)+SUMIFS('changes2_based on steps'!$B23:$U23,'changes2_based on steps'!$B$1:$U$1,T$1)</f>
        <v>0</v>
      </c>
      <c r="U23" s="179">
        <f>SUMIFS('recurring2_based on steps'!$B23:$AY23,'recurring2_based on steps'!$B$1:$AY$1,U$1)+SUMIFS('changes2_based on steps'!$B23:$U23,'changes2_based on steps'!$B$1:$U$1,U$1)</f>
        <v>0</v>
      </c>
      <c r="V23" s="179">
        <f>SUMIFS('recurring2_based on steps'!$B23:$AY23,'recurring2_based on steps'!$B$1:$AY$1,V$1)+SUMIFS('changes2_based on steps'!$B23:$U23,'changes2_based on steps'!$B$1:$U$1,V$1)</f>
        <v>0</v>
      </c>
      <c r="W23" s="179">
        <f>SUMIFS('recurring2_based on steps'!$B23:$AY23,'recurring2_based on steps'!$B$1:$AY$1,W$1)+SUMIFS('changes2_based on steps'!$B23:$U23,'changes2_based on steps'!$B$1:$U$1,W$1)</f>
        <v>0</v>
      </c>
      <c r="X23" s="179">
        <f>SUMIFS('recurring2_based on steps'!$B23:$AY23,'recurring2_based on steps'!$B$1:$AY$1,X$1)+SUMIFS('changes2_based on steps'!$B23:$U23,'changes2_based on steps'!$B$1:$U$1,X$1)</f>
        <v>0</v>
      </c>
      <c r="Y23" s="179">
        <f>SUMIFS('recurring2_based on steps'!$B23:$AY23,'recurring2_based on steps'!$B$1:$AY$1,Y$1)+SUMIFS('changes2_based on steps'!$B23:$U23,'changes2_based on steps'!$B$1:$U$1,Y$1)</f>
        <v>0</v>
      </c>
      <c r="Z23" s="179">
        <f>SUMIFS('recurring2_based on steps'!$B23:$AY23,'recurring2_based on steps'!$B$1:$AY$1,Z$1)+SUMIFS('changes2_based on steps'!$B23:$U23,'changes2_based on steps'!$B$1:$U$1,Z$1)</f>
        <v>0</v>
      </c>
      <c r="AA23" s="179">
        <f>SUMIFS('recurring2_based on steps'!$B23:$AY23,'recurring2_based on steps'!$B$1:$AY$1,AA$1)+SUMIFS('changes2_based on steps'!$B23:$U23,'changes2_based on steps'!$B$1:$U$1,AA$1)</f>
        <v>0</v>
      </c>
      <c r="AB23" s="179">
        <f>SUMIFS('recurring2_based on steps'!$B23:$AY23,'recurring2_based on steps'!$B$1:$AY$1,AB$1)+SUMIFS('changes2_based on steps'!$B23:$U23,'changes2_based on steps'!$B$1:$U$1,AB$1)</f>
        <v>0</v>
      </c>
      <c r="AC23" s="179">
        <f>SUMIFS('recurring2_based on steps'!$B23:$AY23,'recurring2_based on steps'!$B$1:$AY$1,AC$1)+SUMIFS('changes2_based on steps'!$B23:$U23,'changes2_based on steps'!$B$1:$U$1,AC$1)</f>
        <v>0</v>
      </c>
      <c r="AD23" s="179">
        <f>SUMIFS('recurring2_based on steps'!$B23:$AY23,'recurring2_based on steps'!$B$1:$AY$1,AD$1)+SUMIFS('changes2_based on steps'!$B23:$U23,'changes2_based on steps'!$B$1:$U$1,AD$1)</f>
        <v>0</v>
      </c>
      <c r="AE23" s="179">
        <f>SUMIFS('recurring2_based on steps'!$B23:$AY23,'recurring2_based on steps'!$B$1:$AY$1,AE$1)+SUMIFS('changes2_based on steps'!$B23:$U23,'changes2_based on steps'!$B$1:$U$1,AE$1)</f>
        <v>0</v>
      </c>
      <c r="AF23" s="179"/>
      <c r="AG23" s="179"/>
      <c r="AH23" s="179"/>
      <c r="AI23" s="179"/>
      <c r="AJ23" s="179"/>
      <c r="AK23" s="179"/>
      <c r="AL23" s="179"/>
      <c r="AM23" s="179"/>
    </row>
    <row r="24" spans="1:39" x14ac:dyDescent="0.2">
      <c r="A24" s="32">
        <f t="shared" ca="1" si="0"/>
        <v>45766</v>
      </c>
      <c r="B24" s="179">
        <f>SUMIFS('recurring2_based on steps'!$B24:$AY24,'recurring2_based on steps'!$B$1:$AY$1,B$1)+SUMIFS('changes2_based on steps'!$B24:$U24,'changes2_based on steps'!$B$1:$U$1,B$1)</f>
        <v>0</v>
      </c>
      <c r="C24" s="179">
        <f>SUMIFS('recurring2_based on steps'!$B24:$AY24,'recurring2_based on steps'!$B$1:$AY$1,C$1)+SUMIFS('changes2_based on steps'!$B24:$U24,'changes2_based on steps'!$B$1:$U$1,C$1)</f>
        <v>0</v>
      </c>
      <c r="D24" s="179">
        <f>SUMIFS('recurring2_based on steps'!$B24:$AY24,'recurring2_based on steps'!$B$1:$AY$1,D$1)+SUMIFS('changes2_based on steps'!$B24:$U24,'changes2_based on steps'!$B$1:$U$1,D$1)</f>
        <v>0</v>
      </c>
      <c r="E24" s="179">
        <f>SUMIFS('recurring2_based on steps'!$B24:$AY24,'recurring2_based on steps'!$B$1:$AY$1,E$1)+SUMIFS('changes2_based on steps'!$B24:$U24,'changes2_based on steps'!$B$1:$U$1,E$1)</f>
        <v>0</v>
      </c>
      <c r="F24" s="179">
        <f>SUMIFS('recurring2_based on steps'!$B24:$AY24,'recurring2_based on steps'!$B$1:$AY$1,F$1)+SUMIFS('changes2_based on steps'!$B24:$U24,'changes2_based on steps'!$B$1:$U$1,F$1)</f>
        <v>0</v>
      </c>
      <c r="G24" s="179">
        <f>SUMIFS('recurring2_based on steps'!$B24:$AY24,'recurring2_based on steps'!$B$1:$AY$1,G$1)+SUMIFS('changes2_based on steps'!$B24:$U24,'changes2_based on steps'!$B$1:$U$1,G$1)</f>
        <v>0</v>
      </c>
      <c r="H24" s="179">
        <f>SUMIFS('recurring2_based on steps'!$B24:$AY24,'recurring2_based on steps'!$B$1:$AY$1,H$1)+SUMIFS('changes2_based on steps'!$B24:$U24,'changes2_based on steps'!$B$1:$U$1,H$1)</f>
        <v>0</v>
      </c>
      <c r="I24" s="179">
        <f>SUMIFS('recurring2_based on steps'!$B24:$AY24,'recurring2_based on steps'!$B$1:$AY$1,I$1)+SUMIFS('changes2_based on steps'!$B24:$U24,'changes2_based on steps'!$B$1:$U$1,I$1)</f>
        <v>0</v>
      </c>
      <c r="J24" s="179">
        <f>SUMIFS('recurring2_based on steps'!$B24:$AY24,'recurring2_based on steps'!$B$1:$AY$1,J$1)+SUMIFS('changes2_based on steps'!$B24:$U24,'changes2_based on steps'!$B$1:$U$1,J$1)</f>
        <v>0</v>
      </c>
      <c r="K24" s="179">
        <f>SUMIFS('recurring2_based on steps'!$B24:$AY24,'recurring2_based on steps'!$B$1:$AY$1,K$1)+SUMIFS('changes2_based on steps'!$B24:$U24,'changes2_based on steps'!$B$1:$U$1,K$1)</f>
        <v>0</v>
      </c>
      <c r="L24" s="179">
        <f>SUMIFS('recurring2_based on steps'!$B24:$AY24,'recurring2_based on steps'!$B$1:$AY$1,L$1)+SUMIFS('changes2_based on steps'!$B24:$U24,'changes2_based on steps'!$B$1:$U$1,L$1)</f>
        <v>0</v>
      </c>
      <c r="M24" s="179">
        <f>SUMIFS('recurring2_based on steps'!$B24:$AY24,'recurring2_based on steps'!$B$1:$AY$1,M$1)+SUMIFS('changes2_based on steps'!$B24:$U24,'changes2_based on steps'!$B$1:$U$1,M$1)</f>
        <v>0</v>
      </c>
      <c r="N24" s="179">
        <f>SUMIFS('recurring2_based on steps'!$B24:$AY24,'recurring2_based on steps'!$B$1:$AY$1,N$1)+SUMIFS('changes2_based on steps'!$B24:$U24,'changes2_based on steps'!$B$1:$U$1,N$1)</f>
        <v>0</v>
      </c>
      <c r="O24" s="179">
        <f>SUMIFS('recurring2_based on steps'!$B24:$AY24,'recurring2_based on steps'!$B$1:$AY$1,O$1)+SUMIFS('changes2_based on steps'!$B24:$U24,'changes2_based on steps'!$B$1:$U$1,O$1)</f>
        <v>0</v>
      </c>
      <c r="P24" s="179">
        <f>SUMIFS('recurring2_based on steps'!$B24:$AY24,'recurring2_based on steps'!$B$1:$AY$1,P$1)+SUMIFS('changes2_based on steps'!$B24:$U24,'changes2_based on steps'!$B$1:$U$1,P$1)</f>
        <v>0</v>
      </c>
      <c r="Q24" s="179">
        <f>SUMIFS('recurring2_based on steps'!$B24:$AY24,'recurring2_based on steps'!$B$1:$AY$1,Q$1)+SUMIFS('changes2_based on steps'!$B24:$U24,'changes2_based on steps'!$B$1:$U$1,Q$1)</f>
        <v>0</v>
      </c>
      <c r="R24" s="179">
        <f>SUMIFS('recurring2_based on steps'!$B24:$AY24,'recurring2_based on steps'!$B$1:$AY$1,R$1)+SUMIFS('changes2_based on steps'!$B24:$U24,'changes2_based on steps'!$B$1:$U$1,R$1)</f>
        <v>0</v>
      </c>
      <c r="S24" s="179">
        <f>SUMIFS('recurring2_based on steps'!$B24:$AY24,'recurring2_based on steps'!$B$1:$AY$1,S$1)+SUMIFS('changes2_based on steps'!$B24:$U24,'changes2_based on steps'!$B$1:$U$1,S$1)</f>
        <v>0</v>
      </c>
      <c r="T24" s="179">
        <f>SUMIFS('recurring2_based on steps'!$B24:$AY24,'recurring2_based on steps'!$B$1:$AY$1,T$1)+SUMIFS('changes2_based on steps'!$B24:$U24,'changes2_based on steps'!$B$1:$U$1,T$1)</f>
        <v>0</v>
      </c>
      <c r="U24" s="179">
        <f>SUMIFS('recurring2_based on steps'!$B24:$AY24,'recurring2_based on steps'!$B$1:$AY$1,U$1)+SUMIFS('changes2_based on steps'!$B24:$U24,'changes2_based on steps'!$B$1:$U$1,U$1)</f>
        <v>0</v>
      </c>
      <c r="V24" s="179">
        <f>SUMIFS('recurring2_based on steps'!$B24:$AY24,'recurring2_based on steps'!$B$1:$AY$1,V$1)+SUMIFS('changes2_based on steps'!$B24:$U24,'changes2_based on steps'!$B$1:$U$1,V$1)</f>
        <v>0</v>
      </c>
      <c r="W24" s="179">
        <f>SUMIFS('recurring2_based on steps'!$B24:$AY24,'recurring2_based on steps'!$B$1:$AY$1,W$1)+SUMIFS('changes2_based on steps'!$B24:$U24,'changes2_based on steps'!$B$1:$U$1,W$1)</f>
        <v>0</v>
      </c>
      <c r="X24" s="179">
        <f>SUMIFS('recurring2_based on steps'!$B24:$AY24,'recurring2_based on steps'!$B$1:$AY$1,X$1)+SUMIFS('changes2_based on steps'!$B24:$U24,'changes2_based on steps'!$B$1:$U$1,X$1)</f>
        <v>0</v>
      </c>
      <c r="Y24" s="179">
        <f>SUMIFS('recurring2_based on steps'!$B24:$AY24,'recurring2_based on steps'!$B$1:$AY$1,Y$1)+SUMIFS('changes2_based on steps'!$B24:$U24,'changes2_based on steps'!$B$1:$U$1,Y$1)</f>
        <v>0</v>
      </c>
      <c r="Z24" s="179">
        <f>SUMIFS('recurring2_based on steps'!$B24:$AY24,'recurring2_based on steps'!$B$1:$AY$1,Z$1)+SUMIFS('changes2_based on steps'!$B24:$U24,'changes2_based on steps'!$B$1:$U$1,Z$1)</f>
        <v>0</v>
      </c>
      <c r="AA24" s="179">
        <f>SUMIFS('recurring2_based on steps'!$B24:$AY24,'recurring2_based on steps'!$B$1:$AY$1,AA$1)+SUMIFS('changes2_based on steps'!$B24:$U24,'changes2_based on steps'!$B$1:$U$1,AA$1)</f>
        <v>0</v>
      </c>
      <c r="AB24" s="179">
        <f>SUMIFS('recurring2_based on steps'!$B24:$AY24,'recurring2_based on steps'!$B$1:$AY$1,AB$1)+SUMIFS('changes2_based on steps'!$B24:$U24,'changes2_based on steps'!$B$1:$U$1,AB$1)</f>
        <v>0</v>
      </c>
      <c r="AC24" s="179">
        <f>SUMIFS('recurring2_based on steps'!$B24:$AY24,'recurring2_based on steps'!$B$1:$AY$1,AC$1)+SUMIFS('changes2_based on steps'!$B24:$U24,'changes2_based on steps'!$B$1:$U$1,AC$1)</f>
        <v>0</v>
      </c>
      <c r="AD24" s="179">
        <f>SUMIFS('recurring2_based on steps'!$B24:$AY24,'recurring2_based on steps'!$B$1:$AY$1,AD$1)+SUMIFS('changes2_based on steps'!$B24:$U24,'changes2_based on steps'!$B$1:$U$1,AD$1)</f>
        <v>0</v>
      </c>
      <c r="AE24" s="179">
        <f>SUMIFS('recurring2_based on steps'!$B24:$AY24,'recurring2_based on steps'!$B$1:$AY$1,AE$1)+SUMIFS('changes2_based on steps'!$B24:$U24,'changes2_based on steps'!$B$1:$U$1,AE$1)</f>
        <v>0</v>
      </c>
      <c r="AF24" s="179"/>
      <c r="AG24" s="179"/>
      <c r="AH24" s="179"/>
      <c r="AI24" s="179"/>
      <c r="AJ24" s="179"/>
      <c r="AK24" s="179"/>
      <c r="AL24" s="179"/>
      <c r="AM24" s="179"/>
    </row>
    <row r="25" spans="1:39" x14ac:dyDescent="0.2">
      <c r="A25" s="32">
        <f t="shared" ca="1" si="0"/>
        <v>45767</v>
      </c>
      <c r="B25" s="179">
        <f>SUMIFS('recurring2_based on steps'!$B25:$AY25,'recurring2_based on steps'!$B$1:$AY$1,B$1)+SUMIFS('changes2_based on steps'!$B25:$U25,'changes2_based on steps'!$B$1:$U$1,B$1)</f>
        <v>0</v>
      </c>
      <c r="C25" s="179">
        <f>SUMIFS('recurring2_based on steps'!$B25:$AY25,'recurring2_based on steps'!$B$1:$AY$1,C$1)+SUMIFS('changes2_based on steps'!$B25:$U25,'changes2_based on steps'!$B$1:$U$1,C$1)</f>
        <v>0</v>
      </c>
      <c r="D25" s="179">
        <f>SUMIFS('recurring2_based on steps'!$B25:$AY25,'recurring2_based on steps'!$B$1:$AY$1,D$1)+SUMIFS('changes2_based on steps'!$B25:$U25,'changes2_based on steps'!$B$1:$U$1,D$1)</f>
        <v>0</v>
      </c>
      <c r="E25" s="179">
        <f>SUMIFS('recurring2_based on steps'!$B25:$AY25,'recurring2_based on steps'!$B$1:$AY$1,E$1)+SUMIFS('changes2_based on steps'!$B25:$U25,'changes2_based on steps'!$B$1:$U$1,E$1)</f>
        <v>0</v>
      </c>
      <c r="F25" s="179">
        <f>SUMIFS('recurring2_based on steps'!$B25:$AY25,'recurring2_based on steps'!$B$1:$AY$1,F$1)+SUMIFS('changes2_based on steps'!$B25:$U25,'changes2_based on steps'!$B$1:$U$1,F$1)</f>
        <v>0</v>
      </c>
      <c r="G25" s="179">
        <f>SUMIFS('recurring2_based on steps'!$B25:$AY25,'recurring2_based on steps'!$B$1:$AY$1,G$1)+SUMIFS('changes2_based on steps'!$B25:$U25,'changes2_based on steps'!$B$1:$U$1,G$1)</f>
        <v>0</v>
      </c>
      <c r="H25" s="179">
        <f>SUMIFS('recurring2_based on steps'!$B25:$AY25,'recurring2_based on steps'!$B$1:$AY$1,H$1)+SUMIFS('changes2_based on steps'!$B25:$U25,'changes2_based on steps'!$B$1:$U$1,H$1)</f>
        <v>0</v>
      </c>
      <c r="I25" s="179">
        <f>SUMIFS('recurring2_based on steps'!$B25:$AY25,'recurring2_based on steps'!$B$1:$AY$1,I$1)+SUMIFS('changes2_based on steps'!$B25:$U25,'changes2_based on steps'!$B$1:$U$1,I$1)</f>
        <v>0</v>
      </c>
      <c r="J25" s="179">
        <f>SUMIFS('recurring2_based on steps'!$B25:$AY25,'recurring2_based on steps'!$B$1:$AY$1,J$1)+SUMIFS('changes2_based on steps'!$B25:$U25,'changes2_based on steps'!$B$1:$U$1,J$1)</f>
        <v>0</v>
      </c>
      <c r="K25" s="179">
        <f>SUMIFS('recurring2_based on steps'!$B25:$AY25,'recurring2_based on steps'!$B$1:$AY$1,K$1)+SUMIFS('changes2_based on steps'!$B25:$U25,'changes2_based on steps'!$B$1:$U$1,K$1)</f>
        <v>0</v>
      </c>
      <c r="L25" s="179">
        <f>SUMIFS('recurring2_based on steps'!$B25:$AY25,'recurring2_based on steps'!$B$1:$AY$1,L$1)+SUMIFS('changes2_based on steps'!$B25:$U25,'changes2_based on steps'!$B$1:$U$1,L$1)</f>
        <v>0</v>
      </c>
      <c r="M25" s="179">
        <f>SUMIFS('recurring2_based on steps'!$B25:$AY25,'recurring2_based on steps'!$B$1:$AY$1,M$1)+SUMIFS('changes2_based on steps'!$B25:$U25,'changes2_based on steps'!$B$1:$U$1,M$1)</f>
        <v>0</v>
      </c>
      <c r="N25" s="179">
        <f>SUMIFS('recurring2_based on steps'!$B25:$AY25,'recurring2_based on steps'!$B$1:$AY$1,N$1)+SUMIFS('changes2_based on steps'!$B25:$U25,'changes2_based on steps'!$B$1:$U$1,N$1)</f>
        <v>0</v>
      </c>
      <c r="O25" s="179">
        <f>SUMIFS('recurring2_based on steps'!$B25:$AY25,'recurring2_based on steps'!$B$1:$AY$1,O$1)+SUMIFS('changes2_based on steps'!$B25:$U25,'changes2_based on steps'!$B$1:$U$1,O$1)</f>
        <v>0</v>
      </c>
      <c r="P25" s="179">
        <f>SUMIFS('recurring2_based on steps'!$B25:$AY25,'recurring2_based on steps'!$B$1:$AY$1,P$1)+SUMIFS('changes2_based on steps'!$B25:$U25,'changes2_based on steps'!$B$1:$U$1,P$1)</f>
        <v>0</v>
      </c>
      <c r="Q25" s="179">
        <f>SUMIFS('recurring2_based on steps'!$B25:$AY25,'recurring2_based on steps'!$B$1:$AY$1,Q$1)+SUMIFS('changes2_based on steps'!$B25:$U25,'changes2_based on steps'!$B$1:$U$1,Q$1)</f>
        <v>0</v>
      </c>
      <c r="R25" s="179">
        <f>SUMIFS('recurring2_based on steps'!$B25:$AY25,'recurring2_based on steps'!$B$1:$AY$1,R$1)+SUMIFS('changes2_based on steps'!$B25:$U25,'changes2_based on steps'!$B$1:$U$1,R$1)</f>
        <v>0</v>
      </c>
      <c r="S25" s="179">
        <f>SUMIFS('recurring2_based on steps'!$B25:$AY25,'recurring2_based on steps'!$B$1:$AY$1,S$1)+SUMIFS('changes2_based on steps'!$B25:$U25,'changes2_based on steps'!$B$1:$U$1,S$1)</f>
        <v>0</v>
      </c>
      <c r="T25" s="179">
        <f>SUMIFS('recurring2_based on steps'!$B25:$AY25,'recurring2_based on steps'!$B$1:$AY$1,T$1)+SUMIFS('changes2_based on steps'!$B25:$U25,'changes2_based on steps'!$B$1:$U$1,T$1)</f>
        <v>0</v>
      </c>
      <c r="U25" s="179">
        <f>SUMIFS('recurring2_based on steps'!$B25:$AY25,'recurring2_based on steps'!$B$1:$AY$1,U$1)+SUMIFS('changes2_based on steps'!$B25:$U25,'changes2_based on steps'!$B$1:$U$1,U$1)</f>
        <v>0</v>
      </c>
      <c r="V25" s="179">
        <f>SUMIFS('recurring2_based on steps'!$B25:$AY25,'recurring2_based on steps'!$B$1:$AY$1,V$1)+SUMIFS('changes2_based on steps'!$B25:$U25,'changes2_based on steps'!$B$1:$U$1,V$1)</f>
        <v>0</v>
      </c>
      <c r="W25" s="179">
        <f>SUMIFS('recurring2_based on steps'!$B25:$AY25,'recurring2_based on steps'!$B$1:$AY$1,W$1)+SUMIFS('changes2_based on steps'!$B25:$U25,'changes2_based on steps'!$B$1:$U$1,W$1)</f>
        <v>0</v>
      </c>
      <c r="X25" s="179">
        <f>SUMIFS('recurring2_based on steps'!$B25:$AY25,'recurring2_based on steps'!$B$1:$AY$1,X$1)+SUMIFS('changes2_based on steps'!$B25:$U25,'changes2_based on steps'!$B$1:$U$1,X$1)</f>
        <v>0</v>
      </c>
      <c r="Y25" s="179">
        <f>SUMIFS('recurring2_based on steps'!$B25:$AY25,'recurring2_based on steps'!$B$1:$AY$1,Y$1)+SUMIFS('changes2_based on steps'!$B25:$U25,'changes2_based on steps'!$B$1:$U$1,Y$1)</f>
        <v>0</v>
      </c>
      <c r="Z25" s="179">
        <f>SUMIFS('recurring2_based on steps'!$B25:$AY25,'recurring2_based on steps'!$B$1:$AY$1,Z$1)+SUMIFS('changes2_based on steps'!$B25:$U25,'changes2_based on steps'!$B$1:$U$1,Z$1)</f>
        <v>0</v>
      </c>
      <c r="AA25" s="179">
        <f>SUMIFS('recurring2_based on steps'!$B25:$AY25,'recurring2_based on steps'!$B$1:$AY$1,AA$1)+SUMIFS('changes2_based on steps'!$B25:$U25,'changes2_based on steps'!$B$1:$U$1,AA$1)</f>
        <v>0</v>
      </c>
      <c r="AB25" s="179">
        <f>SUMIFS('recurring2_based on steps'!$B25:$AY25,'recurring2_based on steps'!$B$1:$AY$1,AB$1)+SUMIFS('changes2_based on steps'!$B25:$U25,'changes2_based on steps'!$B$1:$U$1,AB$1)</f>
        <v>0</v>
      </c>
      <c r="AC25" s="179">
        <f>SUMIFS('recurring2_based on steps'!$B25:$AY25,'recurring2_based on steps'!$B$1:$AY$1,AC$1)+SUMIFS('changes2_based on steps'!$B25:$U25,'changes2_based on steps'!$B$1:$U$1,AC$1)</f>
        <v>0</v>
      </c>
      <c r="AD25" s="179">
        <f>SUMIFS('recurring2_based on steps'!$B25:$AY25,'recurring2_based on steps'!$B$1:$AY$1,AD$1)+SUMIFS('changes2_based on steps'!$B25:$U25,'changes2_based on steps'!$B$1:$U$1,AD$1)</f>
        <v>0</v>
      </c>
      <c r="AE25" s="179">
        <f>SUMIFS('recurring2_based on steps'!$B25:$AY25,'recurring2_based on steps'!$B$1:$AY$1,AE$1)+SUMIFS('changes2_based on steps'!$B25:$U25,'changes2_based on steps'!$B$1:$U$1,AE$1)</f>
        <v>0</v>
      </c>
      <c r="AF25" s="179"/>
      <c r="AG25" s="179"/>
      <c r="AH25" s="179"/>
      <c r="AI25" s="179"/>
      <c r="AJ25" s="179"/>
      <c r="AK25" s="179"/>
      <c r="AL25" s="179"/>
      <c r="AM25" s="179"/>
    </row>
    <row r="26" spans="1:39" x14ac:dyDescent="0.2">
      <c r="A26" s="32">
        <f t="shared" ca="1" si="0"/>
        <v>45768</v>
      </c>
      <c r="B26" s="179">
        <f>SUMIFS('recurring2_based on steps'!$B26:$AY26,'recurring2_based on steps'!$B$1:$AY$1,B$1)+SUMIFS('changes2_based on steps'!$B26:$U26,'changes2_based on steps'!$B$1:$U$1,B$1)</f>
        <v>0</v>
      </c>
      <c r="C26" s="179">
        <f>SUMIFS('recurring2_based on steps'!$B26:$AY26,'recurring2_based on steps'!$B$1:$AY$1,C$1)+SUMIFS('changes2_based on steps'!$B26:$U26,'changes2_based on steps'!$B$1:$U$1,C$1)</f>
        <v>0</v>
      </c>
      <c r="D26" s="179">
        <f>SUMIFS('recurring2_based on steps'!$B26:$AY26,'recurring2_based on steps'!$B$1:$AY$1,D$1)+SUMIFS('changes2_based on steps'!$B26:$U26,'changes2_based on steps'!$B$1:$U$1,D$1)</f>
        <v>0</v>
      </c>
      <c r="E26" s="179">
        <f>SUMIFS('recurring2_based on steps'!$B26:$AY26,'recurring2_based on steps'!$B$1:$AY$1,E$1)+SUMIFS('changes2_based on steps'!$B26:$U26,'changes2_based on steps'!$B$1:$U$1,E$1)</f>
        <v>0</v>
      </c>
      <c r="F26" s="179">
        <f>SUMIFS('recurring2_based on steps'!$B26:$AY26,'recurring2_based on steps'!$B$1:$AY$1,F$1)+SUMIFS('changes2_based on steps'!$B26:$U26,'changes2_based on steps'!$B$1:$U$1,F$1)</f>
        <v>0</v>
      </c>
      <c r="G26" s="179">
        <f>SUMIFS('recurring2_based on steps'!$B26:$AY26,'recurring2_based on steps'!$B$1:$AY$1,G$1)+SUMIFS('changes2_based on steps'!$B26:$U26,'changes2_based on steps'!$B$1:$U$1,G$1)</f>
        <v>0</v>
      </c>
      <c r="H26" s="179">
        <f>SUMIFS('recurring2_based on steps'!$B26:$AY26,'recurring2_based on steps'!$B$1:$AY$1,H$1)+SUMIFS('changes2_based on steps'!$B26:$U26,'changes2_based on steps'!$B$1:$U$1,H$1)</f>
        <v>0</v>
      </c>
      <c r="I26" s="179">
        <f>SUMIFS('recurring2_based on steps'!$B26:$AY26,'recurring2_based on steps'!$B$1:$AY$1,I$1)+SUMIFS('changes2_based on steps'!$B26:$U26,'changes2_based on steps'!$B$1:$U$1,I$1)</f>
        <v>0</v>
      </c>
      <c r="J26" s="179">
        <f>SUMIFS('recurring2_based on steps'!$B26:$AY26,'recurring2_based on steps'!$B$1:$AY$1,J$1)+SUMIFS('changes2_based on steps'!$B26:$U26,'changes2_based on steps'!$B$1:$U$1,J$1)</f>
        <v>0</v>
      </c>
      <c r="K26" s="179">
        <f>SUMIFS('recurring2_based on steps'!$B26:$AY26,'recurring2_based on steps'!$B$1:$AY$1,K$1)+SUMIFS('changes2_based on steps'!$B26:$U26,'changes2_based on steps'!$B$1:$U$1,K$1)</f>
        <v>0</v>
      </c>
      <c r="L26" s="179">
        <f>SUMIFS('recurring2_based on steps'!$B26:$AY26,'recurring2_based on steps'!$B$1:$AY$1,L$1)+SUMIFS('changes2_based on steps'!$B26:$U26,'changes2_based on steps'!$B$1:$U$1,L$1)</f>
        <v>0</v>
      </c>
      <c r="M26" s="179">
        <f>SUMIFS('recurring2_based on steps'!$B26:$AY26,'recurring2_based on steps'!$B$1:$AY$1,M$1)+SUMIFS('changes2_based on steps'!$B26:$U26,'changes2_based on steps'!$B$1:$U$1,M$1)</f>
        <v>0</v>
      </c>
      <c r="N26" s="179">
        <f>SUMIFS('recurring2_based on steps'!$B26:$AY26,'recurring2_based on steps'!$B$1:$AY$1,N$1)+SUMIFS('changes2_based on steps'!$B26:$U26,'changes2_based on steps'!$B$1:$U$1,N$1)</f>
        <v>0</v>
      </c>
      <c r="O26" s="179">
        <f>SUMIFS('recurring2_based on steps'!$B26:$AY26,'recurring2_based on steps'!$B$1:$AY$1,O$1)+SUMIFS('changes2_based on steps'!$B26:$U26,'changes2_based on steps'!$B$1:$U$1,O$1)</f>
        <v>0</v>
      </c>
      <c r="P26" s="179">
        <f>SUMIFS('recurring2_based on steps'!$B26:$AY26,'recurring2_based on steps'!$B$1:$AY$1,P$1)+SUMIFS('changes2_based on steps'!$B26:$U26,'changes2_based on steps'!$B$1:$U$1,P$1)</f>
        <v>0</v>
      </c>
      <c r="Q26" s="179">
        <f>SUMIFS('recurring2_based on steps'!$B26:$AY26,'recurring2_based on steps'!$B$1:$AY$1,Q$1)+SUMIFS('changes2_based on steps'!$B26:$U26,'changes2_based on steps'!$B$1:$U$1,Q$1)</f>
        <v>0</v>
      </c>
      <c r="R26" s="179">
        <f>SUMIFS('recurring2_based on steps'!$B26:$AY26,'recurring2_based on steps'!$B$1:$AY$1,R$1)+SUMIFS('changes2_based on steps'!$B26:$U26,'changes2_based on steps'!$B$1:$U$1,R$1)</f>
        <v>0</v>
      </c>
      <c r="S26" s="179">
        <f>SUMIFS('recurring2_based on steps'!$B26:$AY26,'recurring2_based on steps'!$B$1:$AY$1,S$1)+SUMIFS('changes2_based on steps'!$B26:$U26,'changes2_based on steps'!$B$1:$U$1,S$1)</f>
        <v>0</v>
      </c>
      <c r="T26" s="179">
        <f>SUMIFS('recurring2_based on steps'!$B26:$AY26,'recurring2_based on steps'!$B$1:$AY$1,T$1)+SUMIFS('changes2_based on steps'!$B26:$U26,'changes2_based on steps'!$B$1:$U$1,T$1)</f>
        <v>0</v>
      </c>
      <c r="U26" s="179">
        <f>SUMIFS('recurring2_based on steps'!$B26:$AY26,'recurring2_based on steps'!$B$1:$AY$1,U$1)+SUMIFS('changes2_based on steps'!$B26:$U26,'changes2_based on steps'!$B$1:$U$1,U$1)</f>
        <v>0</v>
      </c>
      <c r="V26" s="179">
        <f>SUMIFS('recurring2_based on steps'!$B26:$AY26,'recurring2_based on steps'!$B$1:$AY$1,V$1)+SUMIFS('changes2_based on steps'!$B26:$U26,'changes2_based on steps'!$B$1:$U$1,V$1)</f>
        <v>0</v>
      </c>
      <c r="W26" s="179">
        <f>SUMIFS('recurring2_based on steps'!$B26:$AY26,'recurring2_based on steps'!$B$1:$AY$1,W$1)+SUMIFS('changes2_based on steps'!$B26:$U26,'changes2_based on steps'!$B$1:$U$1,W$1)</f>
        <v>0</v>
      </c>
      <c r="X26" s="179">
        <f>SUMIFS('recurring2_based on steps'!$B26:$AY26,'recurring2_based on steps'!$B$1:$AY$1,X$1)+SUMIFS('changes2_based on steps'!$B26:$U26,'changes2_based on steps'!$B$1:$U$1,X$1)</f>
        <v>0</v>
      </c>
      <c r="Y26" s="179">
        <f>SUMIFS('recurring2_based on steps'!$B26:$AY26,'recurring2_based on steps'!$B$1:$AY$1,Y$1)+SUMIFS('changes2_based on steps'!$B26:$U26,'changes2_based on steps'!$B$1:$U$1,Y$1)</f>
        <v>0</v>
      </c>
      <c r="Z26" s="179">
        <f>SUMIFS('recurring2_based on steps'!$B26:$AY26,'recurring2_based on steps'!$B$1:$AY$1,Z$1)+SUMIFS('changes2_based on steps'!$B26:$U26,'changes2_based on steps'!$B$1:$U$1,Z$1)</f>
        <v>0</v>
      </c>
      <c r="AA26" s="179">
        <f>SUMIFS('recurring2_based on steps'!$B26:$AY26,'recurring2_based on steps'!$B$1:$AY$1,AA$1)+SUMIFS('changes2_based on steps'!$B26:$U26,'changes2_based on steps'!$B$1:$U$1,AA$1)</f>
        <v>0</v>
      </c>
      <c r="AB26" s="179">
        <f>SUMIFS('recurring2_based on steps'!$B26:$AY26,'recurring2_based on steps'!$B$1:$AY$1,AB$1)+SUMIFS('changes2_based on steps'!$B26:$U26,'changes2_based on steps'!$B$1:$U$1,AB$1)</f>
        <v>0</v>
      </c>
      <c r="AC26" s="179">
        <f>SUMIFS('recurring2_based on steps'!$B26:$AY26,'recurring2_based on steps'!$B$1:$AY$1,AC$1)+SUMIFS('changes2_based on steps'!$B26:$U26,'changes2_based on steps'!$B$1:$U$1,AC$1)</f>
        <v>0</v>
      </c>
      <c r="AD26" s="179">
        <f>SUMIFS('recurring2_based on steps'!$B26:$AY26,'recurring2_based on steps'!$B$1:$AY$1,AD$1)+SUMIFS('changes2_based on steps'!$B26:$U26,'changes2_based on steps'!$B$1:$U$1,AD$1)</f>
        <v>0</v>
      </c>
      <c r="AE26" s="179">
        <f>SUMIFS('recurring2_based on steps'!$B26:$AY26,'recurring2_based on steps'!$B$1:$AY$1,AE$1)+SUMIFS('changes2_based on steps'!$B26:$U26,'changes2_based on steps'!$B$1:$U$1,AE$1)</f>
        <v>0</v>
      </c>
      <c r="AF26" s="179"/>
      <c r="AG26" s="179"/>
      <c r="AH26" s="179"/>
      <c r="AI26" s="179"/>
      <c r="AJ26" s="179"/>
      <c r="AK26" s="179"/>
      <c r="AL26" s="179"/>
      <c r="AM26" s="179"/>
    </row>
    <row r="27" spans="1:39" x14ac:dyDescent="0.2">
      <c r="A27" s="32">
        <f t="shared" ca="1" si="0"/>
        <v>45769</v>
      </c>
      <c r="B27" s="179">
        <f>SUMIFS('recurring2_based on steps'!$B27:$AY27,'recurring2_based on steps'!$B$1:$AY$1,B$1)+SUMIFS('changes2_based on steps'!$B27:$U27,'changes2_based on steps'!$B$1:$U$1,B$1)</f>
        <v>0</v>
      </c>
      <c r="C27" s="179">
        <f>SUMIFS('recurring2_based on steps'!$B27:$AY27,'recurring2_based on steps'!$B$1:$AY$1,C$1)+SUMIFS('changes2_based on steps'!$B27:$U27,'changes2_based on steps'!$B$1:$U$1,C$1)</f>
        <v>0</v>
      </c>
      <c r="D27" s="179">
        <f>SUMIFS('recurring2_based on steps'!$B27:$AY27,'recurring2_based on steps'!$B$1:$AY$1,D$1)+SUMIFS('changes2_based on steps'!$B27:$U27,'changes2_based on steps'!$B$1:$U$1,D$1)</f>
        <v>0</v>
      </c>
      <c r="E27" s="179">
        <f>SUMIFS('recurring2_based on steps'!$B27:$AY27,'recurring2_based on steps'!$B$1:$AY$1,E$1)+SUMIFS('changes2_based on steps'!$B27:$U27,'changes2_based on steps'!$B$1:$U$1,E$1)</f>
        <v>0</v>
      </c>
      <c r="F27" s="179">
        <f>SUMIFS('recurring2_based on steps'!$B27:$AY27,'recurring2_based on steps'!$B$1:$AY$1,F$1)+SUMIFS('changes2_based on steps'!$B27:$U27,'changes2_based on steps'!$B$1:$U$1,F$1)</f>
        <v>0</v>
      </c>
      <c r="G27" s="179">
        <f>SUMIFS('recurring2_based on steps'!$B27:$AY27,'recurring2_based on steps'!$B$1:$AY$1,G$1)+SUMIFS('changes2_based on steps'!$B27:$U27,'changes2_based on steps'!$B$1:$U$1,G$1)</f>
        <v>0</v>
      </c>
      <c r="H27" s="179">
        <f>SUMIFS('recurring2_based on steps'!$B27:$AY27,'recurring2_based on steps'!$B$1:$AY$1,H$1)+SUMIFS('changes2_based on steps'!$B27:$U27,'changes2_based on steps'!$B$1:$U$1,H$1)</f>
        <v>0</v>
      </c>
      <c r="I27" s="179">
        <f>SUMIFS('recurring2_based on steps'!$B27:$AY27,'recurring2_based on steps'!$B$1:$AY$1,I$1)+SUMIFS('changes2_based on steps'!$B27:$U27,'changes2_based on steps'!$B$1:$U$1,I$1)</f>
        <v>0</v>
      </c>
      <c r="J27" s="179">
        <f>SUMIFS('recurring2_based on steps'!$B27:$AY27,'recurring2_based on steps'!$B$1:$AY$1,J$1)+SUMIFS('changes2_based on steps'!$B27:$U27,'changes2_based on steps'!$B$1:$U$1,J$1)</f>
        <v>0</v>
      </c>
      <c r="K27" s="179">
        <f>SUMIFS('recurring2_based on steps'!$B27:$AY27,'recurring2_based on steps'!$B$1:$AY$1,K$1)+SUMIFS('changes2_based on steps'!$B27:$U27,'changes2_based on steps'!$B$1:$U$1,K$1)</f>
        <v>0</v>
      </c>
      <c r="L27" s="179">
        <f>SUMIFS('recurring2_based on steps'!$B27:$AY27,'recurring2_based on steps'!$B$1:$AY$1,L$1)+SUMIFS('changes2_based on steps'!$B27:$U27,'changes2_based on steps'!$B$1:$U$1,L$1)</f>
        <v>0</v>
      </c>
      <c r="M27" s="179">
        <f>SUMIFS('recurring2_based on steps'!$B27:$AY27,'recurring2_based on steps'!$B$1:$AY$1,M$1)+SUMIFS('changes2_based on steps'!$B27:$U27,'changes2_based on steps'!$B$1:$U$1,M$1)</f>
        <v>0</v>
      </c>
      <c r="N27" s="179">
        <f>SUMIFS('recurring2_based on steps'!$B27:$AY27,'recurring2_based on steps'!$B$1:$AY$1,N$1)+SUMIFS('changes2_based on steps'!$B27:$U27,'changes2_based on steps'!$B$1:$U$1,N$1)</f>
        <v>0</v>
      </c>
      <c r="O27" s="179">
        <f>SUMIFS('recurring2_based on steps'!$B27:$AY27,'recurring2_based on steps'!$B$1:$AY$1,O$1)+SUMIFS('changes2_based on steps'!$B27:$U27,'changes2_based on steps'!$B$1:$U$1,O$1)</f>
        <v>0</v>
      </c>
      <c r="P27" s="179">
        <f>SUMIFS('recurring2_based on steps'!$B27:$AY27,'recurring2_based on steps'!$B$1:$AY$1,P$1)+SUMIFS('changes2_based on steps'!$B27:$U27,'changes2_based on steps'!$B$1:$U$1,P$1)</f>
        <v>0</v>
      </c>
      <c r="Q27" s="179">
        <f>SUMIFS('recurring2_based on steps'!$B27:$AY27,'recurring2_based on steps'!$B$1:$AY$1,Q$1)+SUMIFS('changes2_based on steps'!$B27:$U27,'changes2_based on steps'!$B$1:$U$1,Q$1)</f>
        <v>0</v>
      </c>
      <c r="R27" s="179">
        <f>SUMIFS('recurring2_based on steps'!$B27:$AY27,'recurring2_based on steps'!$B$1:$AY$1,R$1)+SUMIFS('changes2_based on steps'!$B27:$U27,'changes2_based on steps'!$B$1:$U$1,R$1)</f>
        <v>0</v>
      </c>
      <c r="S27" s="179">
        <f>SUMIFS('recurring2_based on steps'!$B27:$AY27,'recurring2_based on steps'!$B$1:$AY$1,S$1)+SUMIFS('changes2_based on steps'!$B27:$U27,'changes2_based on steps'!$B$1:$U$1,S$1)</f>
        <v>0</v>
      </c>
      <c r="T27" s="179">
        <f>SUMIFS('recurring2_based on steps'!$B27:$AY27,'recurring2_based on steps'!$B$1:$AY$1,T$1)+SUMIFS('changes2_based on steps'!$B27:$U27,'changes2_based on steps'!$B$1:$U$1,T$1)</f>
        <v>0</v>
      </c>
      <c r="U27" s="179">
        <f>SUMIFS('recurring2_based on steps'!$B27:$AY27,'recurring2_based on steps'!$B$1:$AY$1,U$1)+SUMIFS('changes2_based on steps'!$B27:$U27,'changes2_based on steps'!$B$1:$U$1,U$1)</f>
        <v>0</v>
      </c>
      <c r="V27" s="179">
        <f>SUMIFS('recurring2_based on steps'!$B27:$AY27,'recurring2_based on steps'!$B$1:$AY$1,V$1)+SUMIFS('changes2_based on steps'!$B27:$U27,'changes2_based on steps'!$B$1:$U$1,V$1)</f>
        <v>0</v>
      </c>
      <c r="W27" s="179">
        <f>SUMIFS('recurring2_based on steps'!$B27:$AY27,'recurring2_based on steps'!$B$1:$AY$1,W$1)+SUMIFS('changes2_based on steps'!$B27:$U27,'changes2_based on steps'!$B$1:$U$1,W$1)</f>
        <v>0</v>
      </c>
      <c r="X27" s="179">
        <f>SUMIFS('recurring2_based on steps'!$B27:$AY27,'recurring2_based on steps'!$B$1:$AY$1,X$1)+SUMIFS('changes2_based on steps'!$B27:$U27,'changes2_based on steps'!$B$1:$U$1,X$1)</f>
        <v>0</v>
      </c>
      <c r="Y27" s="179">
        <f>SUMIFS('recurring2_based on steps'!$B27:$AY27,'recurring2_based on steps'!$B$1:$AY$1,Y$1)+SUMIFS('changes2_based on steps'!$B27:$U27,'changes2_based on steps'!$B$1:$U$1,Y$1)</f>
        <v>0</v>
      </c>
      <c r="Z27" s="179">
        <f>SUMIFS('recurring2_based on steps'!$B27:$AY27,'recurring2_based on steps'!$B$1:$AY$1,Z$1)+SUMIFS('changes2_based on steps'!$B27:$U27,'changes2_based on steps'!$B$1:$U$1,Z$1)</f>
        <v>0</v>
      </c>
      <c r="AA27" s="179">
        <f>SUMIFS('recurring2_based on steps'!$B27:$AY27,'recurring2_based on steps'!$B$1:$AY$1,AA$1)+SUMIFS('changes2_based on steps'!$B27:$U27,'changes2_based on steps'!$B$1:$U$1,AA$1)</f>
        <v>0</v>
      </c>
      <c r="AB27" s="179">
        <f>SUMIFS('recurring2_based on steps'!$B27:$AY27,'recurring2_based on steps'!$B$1:$AY$1,AB$1)+SUMIFS('changes2_based on steps'!$B27:$U27,'changes2_based on steps'!$B$1:$U$1,AB$1)</f>
        <v>0</v>
      </c>
      <c r="AC27" s="179">
        <f>SUMIFS('recurring2_based on steps'!$B27:$AY27,'recurring2_based on steps'!$B$1:$AY$1,AC$1)+SUMIFS('changes2_based on steps'!$B27:$U27,'changes2_based on steps'!$B$1:$U$1,AC$1)</f>
        <v>0</v>
      </c>
      <c r="AD27" s="179">
        <f>SUMIFS('recurring2_based on steps'!$B27:$AY27,'recurring2_based on steps'!$B$1:$AY$1,AD$1)+SUMIFS('changes2_based on steps'!$B27:$U27,'changes2_based on steps'!$B$1:$U$1,AD$1)</f>
        <v>0</v>
      </c>
      <c r="AE27" s="179">
        <f>SUMIFS('recurring2_based on steps'!$B27:$AY27,'recurring2_based on steps'!$B$1:$AY$1,AE$1)+SUMIFS('changes2_based on steps'!$B27:$U27,'changes2_based on steps'!$B$1:$U$1,AE$1)</f>
        <v>0</v>
      </c>
      <c r="AF27" s="179"/>
      <c r="AG27" s="179"/>
      <c r="AH27" s="179"/>
      <c r="AI27" s="179"/>
      <c r="AJ27" s="179"/>
      <c r="AK27" s="179"/>
      <c r="AL27" s="179"/>
      <c r="AM27" s="179"/>
    </row>
    <row r="28" spans="1:39" x14ac:dyDescent="0.2">
      <c r="A28" s="32">
        <f t="shared" ca="1" si="0"/>
        <v>45770</v>
      </c>
      <c r="B28" s="179">
        <f>SUMIFS('recurring2_based on steps'!$B28:$AY28,'recurring2_based on steps'!$B$1:$AY$1,B$1)+SUMIFS('changes2_based on steps'!$B28:$U28,'changes2_based on steps'!$B$1:$U$1,B$1)</f>
        <v>0</v>
      </c>
      <c r="C28" s="179">
        <f>SUMIFS('recurring2_based on steps'!$B28:$AY28,'recurring2_based on steps'!$B$1:$AY$1,C$1)+SUMIFS('changes2_based on steps'!$B28:$U28,'changes2_based on steps'!$B$1:$U$1,C$1)</f>
        <v>0</v>
      </c>
      <c r="D28" s="179">
        <f>SUMIFS('recurring2_based on steps'!$B28:$AY28,'recurring2_based on steps'!$B$1:$AY$1,D$1)+SUMIFS('changes2_based on steps'!$B28:$U28,'changes2_based on steps'!$B$1:$U$1,D$1)</f>
        <v>0</v>
      </c>
      <c r="E28" s="179">
        <f>SUMIFS('recurring2_based on steps'!$B28:$AY28,'recurring2_based on steps'!$B$1:$AY$1,E$1)+SUMIFS('changes2_based on steps'!$B28:$U28,'changes2_based on steps'!$B$1:$U$1,E$1)</f>
        <v>0</v>
      </c>
      <c r="F28" s="179">
        <f>SUMIFS('recurring2_based on steps'!$B28:$AY28,'recurring2_based on steps'!$B$1:$AY$1,F$1)+SUMIFS('changes2_based on steps'!$B28:$U28,'changes2_based on steps'!$B$1:$U$1,F$1)</f>
        <v>0</v>
      </c>
      <c r="G28" s="179">
        <f>SUMIFS('recurring2_based on steps'!$B28:$AY28,'recurring2_based on steps'!$B$1:$AY$1,G$1)+SUMIFS('changes2_based on steps'!$B28:$U28,'changes2_based on steps'!$B$1:$U$1,G$1)</f>
        <v>0</v>
      </c>
      <c r="H28" s="179">
        <f>SUMIFS('recurring2_based on steps'!$B28:$AY28,'recurring2_based on steps'!$B$1:$AY$1,H$1)+SUMIFS('changes2_based on steps'!$B28:$U28,'changes2_based on steps'!$B$1:$U$1,H$1)</f>
        <v>0</v>
      </c>
      <c r="I28" s="179">
        <f>SUMIFS('recurring2_based on steps'!$B28:$AY28,'recurring2_based on steps'!$B$1:$AY$1,I$1)+SUMIFS('changes2_based on steps'!$B28:$U28,'changes2_based on steps'!$B$1:$U$1,I$1)</f>
        <v>0</v>
      </c>
      <c r="J28" s="179">
        <f>SUMIFS('recurring2_based on steps'!$B28:$AY28,'recurring2_based on steps'!$B$1:$AY$1,J$1)+SUMIFS('changes2_based on steps'!$B28:$U28,'changes2_based on steps'!$B$1:$U$1,J$1)</f>
        <v>0</v>
      </c>
      <c r="K28" s="179">
        <f>SUMIFS('recurring2_based on steps'!$B28:$AY28,'recurring2_based on steps'!$B$1:$AY$1,K$1)+SUMIFS('changes2_based on steps'!$B28:$U28,'changes2_based on steps'!$B$1:$U$1,K$1)</f>
        <v>0</v>
      </c>
      <c r="L28" s="179">
        <f>SUMIFS('recurring2_based on steps'!$B28:$AY28,'recurring2_based on steps'!$B$1:$AY$1,L$1)+SUMIFS('changes2_based on steps'!$B28:$U28,'changes2_based on steps'!$B$1:$U$1,L$1)</f>
        <v>0</v>
      </c>
      <c r="M28" s="179">
        <f>SUMIFS('recurring2_based on steps'!$B28:$AY28,'recurring2_based on steps'!$B$1:$AY$1,M$1)+SUMIFS('changes2_based on steps'!$B28:$U28,'changes2_based on steps'!$B$1:$U$1,M$1)</f>
        <v>0</v>
      </c>
      <c r="N28" s="179">
        <f>SUMIFS('recurring2_based on steps'!$B28:$AY28,'recurring2_based on steps'!$B$1:$AY$1,N$1)+SUMIFS('changes2_based on steps'!$B28:$U28,'changes2_based on steps'!$B$1:$U$1,N$1)</f>
        <v>0</v>
      </c>
      <c r="O28" s="179">
        <f>SUMIFS('recurring2_based on steps'!$B28:$AY28,'recurring2_based on steps'!$B$1:$AY$1,O$1)+SUMIFS('changes2_based on steps'!$B28:$U28,'changes2_based on steps'!$B$1:$U$1,O$1)</f>
        <v>0</v>
      </c>
      <c r="P28" s="179">
        <f>SUMIFS('recurring2_based on steps'!$B28:$AY28,'recurring2_based on steps'!$B$1:$AY$1,P$1)+SUMIFS('changes2_based on steps'!$B28:$U28,'changes2_based on steps'!$B$1:$U$1,P$1)</f>
        <v>0</v>
      </c>
      <c r="Q28" s="179">
        <f>SUMIFS('recurring2_based on steps'!$B28:$AY28,'recurring2_based on steps'!$B$1:$AY$1,Q$1)+SUMIFS('changes2_based on steps'!$B28:$U28,'changes2_based on steps'!$B$1:$U$1,Q$1)</f>
        <v>0</v>
      </c>
      <c r="R28" s="179">
        <f>SUMIFS('recurring2_based on steps'!$B28:$AY28,'recurring2_based on steps'!$B$1:$AY$1,R$1)+SUMIFS('changes2_based on steps'!$B28:$U28,'changes2_based on steps'!$B$1:$U$1,R$1)</f>
        <v>0</v>
      </c>
      <c r="S28" s="179">
        <f>SUMIFS('recurring2_based on steps'!$B28:$AY28,'recurring2_based on steps'!$B$1:$AY$1,S$1)+SUMIFS('changes2_based on steps'!$B28:$U28,'changes2_based on steps'!$B$1:$U$1,S$1)</f>
        <v>0</v>
      </c>
      <c r="T28" s="179">
        <f>SUMIFS('recurring2_based on steps'!$B28:$AY28,'recurring2_based on steps'!$B$1:$AY$1,T$1)+SUMIFS('changes2_based on steps'!$B28:$U28,'changes2_based on steps'!$B$1:$U$1,T$1)</f>
        <v>0</v>
      </c>
      <c r="U28" s="179">
        <f>SUMIFS('recurring2_based on steps'!$B28:$AY28,'recurring2_based on steps'!$B$1:$AY$1,U$1)+SUMIFS('changes2_based on steps'!$B28:$U28,'changes2_based on steps'!$B$1:$U$1,U$1)</f>
        <v>0</v>
      </c>
      <c r="V28" s="179">
        <f>SUMIFS('recurring2_based on steps'!$B28:$AY28,'recurring2_based on steps'!$B$1:$AY$1,V$1)+SUMIFS('changes2_based on steps'!$B28:$U28,'changes2_based on steps'!$B$1:$U$1,V$1)</f>
        <v>0</v>
      </c>
      <c r="W28" s="179">
        <f>SUMIFS('recurring2_based on steps'!$B28:$AY28,'recurring2_based on steps'!$B$1:$AY$1,W$1)+SUMIFS('changes2_based on steps'!$B28:$U28,'changes2_based on steps'!$B$1:$U$1,W$1)</f>
        <v>0</v>
      </c>
      <c r="X28" s="179">
        <f>SUMIFS('recurring2_based on steps'!$B28:$AY28,'recurring2_based on steps'!$B$1:$AY$1,X$1)+SUMIFS('changes2_based on steps'!$B28:$U28,'changes2_based on steps'!$B$1:$U$1,X$1)</f>
        <v>0</v>
      </c>
      <c r="Y28" s="179">
        <f>SUMIFS('recurring2_based on steps'!$B28:$AY28,'recurring2_based on steps'!$B$1:$AY$1,Y$1)+SUMIFS('changes2_based on steps'!$B28:$U28,'changes2_based on steps'!$B$1:$U$1,Y$1)</f>
        <v>0</v>
      </c>
      <c r="Z28" s="179">
        <f>SUMIFS('recurring2_based on steps'!$B28:$AY28,'recurring2_based on steps'!$B$1:$AY$1,Z$1)+SUMIFS('changes2_based on steps'!$B28:$U28,'changes2_based on steps'!$B$1:$U$1,Z$1)</f>
        <v>0</v>
      </c>
      <c r="AA28" s="179">
        <f>SUMIFS('recurring2_based on steps'!$B28:$AY28,'recurring2_based on steps'!$B$1:$AY$1,AA$1)+SUMIFS('changes2_based on steps'!$B28:$U28,'changes2_based on steps'!$B$1:$U$1,AA$1)</f>
        <v>0</v>
      </c>
      <c r="AB28" s="179">
        <f>SUMIFS('recurring2_based on steps'!$B28:$AY28,'recurring2_based on steps'!$B$1:$AY$1,AB$1)+SUMIFS('changes2_based on steps'!$B28:$U28,'changes2_based on steps'!$B$1:$U$1,AB$1)</f>
        <v>0</v>
      </c>
      <c r="AC28" s="179">
        <f>SUMIFS('recurring2_based on steps'!$B28:$AY28,'recurring2_based on steps'!$B$1:$AY$1,AC$1)+SUMIFS('changes2_based on steps'!$B28:$U28,'changes2_based on steps'!$B$1:$U$1,AC$1)</f>
        <v>0</v>
      </c>
      <c r="AD28" s="179">
        <f>SUMIFS('recurring2_based on steps'!$B28:$AY28,'recurring2_based on steps'!$B$1:$AY$1,AD$1)+SUMIFS('changes2_based on steps'!$B28:$U28,'changes2_based on steps'!$B$1:$U$1,AD$1)</f>
        <v>0</v>
      </c>
      <c r="AE28" s="179">
        <f>SUMIFS('recurring2_based on steps'!$B28:$AY28,'recurring2_based on steps'!$B$1:$AY$1,AE$1)+SUMIFS('changes2_based on steps'!$B28:$U28,'changes2_based on steps'!$B$1:$U$1,AE$1)</f>
        <v>0</v>
      </c>
      <c r="AF28" s="179"/>
      <c r="AG28" s="179"/>
      <c r="AH28" s="179"/>
      <c r="AI28" s="179"/>
      <c r="AJ28" s="179"/>
      <c r="AK28" s="179"/>
      <c r="AL28" s="179"/>
      <c r="AM28" s="179"/>
    </row>
    <row r="29" spans="1:39" x14ac:dyDescent="0.2">
      <c r="A29" s="32">
        <f t="shared" ca="1" si="0"/>
        <v>45771</v>
      </c>
      <c r="B29" s="179">
        <f>SUMIFS('recurring2_based on steps'!$B29:$AY29,'recurring2_based on steps'!$B$1:$AY$1,B$1)+SUMIFS('changes2_based on steps'!$B29:$U29,'changes2_based on steps'!$B$1:$U$1,B$1)</f>
        <v>0</v>
      </c>
      <c r="C29" s="179">
        <f>SUMIFS('recurring2_based on steps'!$B29:$AY29,'recurring2_based on steps'!$B$1:$AY$1,C$1)+SUMIFS('changes2_based on steps'!$B29:$U29,'changes2_based on steps'!$B$1:$U$1,C$1)</f>
        <v>0</v>
      </c>
      <c r="D29" s="179">
        <f>SUMIFS('recurring2_based on steps'!$B29:$AY29,'recurring2_based on steps'!$B$1:$AY$1,D$1)+SUMIFS('changes2_based on steps'!$B29:$U29,'changes2_based on steps'!$B$1:$U$1,D$1)</f>
        <v>0</v>
      </c>
      <c r="E29" s="179">
        <f>SUMIFS('recurring2_based on steps'!$B29:$AY29,'recurring2_based on steps'!$B$1:$AY$1,E$1)+SUMIFS('changes2_based on steps'!$B29:$U29,'changes2_based on steps'!$B$1:$U$1,E$1)</f>
        <v>0</v>
      </c>
      <c r="F29" s="179">
        <f>SUMIFS('recurring2_based on steps'!$B29:$AY29,'recurring2_based on steps'!$B$1:$AY$1,F$1)+SUMIFS('changes2_based on steps'!$B29:$U29,'changes2_based on steps'!$B$1:$U$1,F$1)</f>
        <v>0</v>
      </c>
      <c r="G29" s="179">
        <f>SUMIFS('recurring2_based on steps'!$B29:$AY29,'recurring2_based on steps'!$B$1:$AY$1,G$1)+SUMIFS('changes2_based on steps'!$B29:$U29,'changes2_based on steps'!$B$1:$U$1,G$1)</f>
        <v>0</v>
      </c>
      <c r="H29" s="179">
        <f>SUMIFS('recurring2_based on steps'!$B29:$AY29,'recurring2_based on steps'!$B$1:$AY$1,H$1)+SUMIFS('changes2_based on steps'!$B29:$U29,'changes2_based on steps'!$B$1:$U$1,H$1)</f>
        <v>0</v>
      </c>
      <c r="I29" s="179">
        <f>SUMIFS('recurring2_based on steps'!$B29:$AY29,'recurring2_based on steps'!$B$1:$AY$1,I$1)+SUMIFS('changes2_based on steps'!$B29:$U29,'changes2_based on steps'!$B$1:$U$1,I$1)</f>
        <v>0</v>
      </c>
      <c r="J29" s="179">
        <f>SUMIFS('recurring2_based on steps'!$B29:$AY29,'recurring2_based on steps'!$B$1:$AY$1,J$1)+SUMIFS('changes2_based on steps'!$B29:$U29,'changes2_based on steps'!$B$1:$U$1,J$1)</f>
        <v>0</v>
      </c>
      <c r="K29" s="179">
        <f>SUMIFS('recurring2_based on steps'!$B29:$AY29,'recurring2_based on steps'!$B$1:$AY$1,K$1)+SUMIFS('changes2_based on steps'!$B29:$U29,'changes2_based on steps'!$B$1:$U$1,K$1)</f>
        <v>0</v>
      </c>
      <c r="L29" s="179">
        <f>SUMIFS('recurring2_based on steps'!$B29:$AY29,'recurring2_based on steps'!$B$1:$AY$1,L$1)+SUMIFS('changes2_based on steps'!$B29:$U29,'changes2_based on steps'!$B$1:$U$1,L$1)</f>
        <v>0</v>
      </c>
      <c r="M29" s="179">
        <f>SUMIFS('recurring2_based on steps'!$B29:$AY29,'recurring2_based on steps'!$B$1:$AY$1,M$1)+SUMIFS('changes2_based on steps'!$B29:$U29,'changes2_based on steps'!$B$1:$U$1,M$1)</f>
        <v>0</v>
      </c>
      <c r="N29" s="179">
        <f>SUMIFS('recurring2_based on steps'!$B29:$AY29,'recurring2_based on steps'!$B$1:$AY$1,N$1)+SUMIFS('changes2_based on steps'!$B29:$U29,'changes2_based on steps'!$B$1:$U$1,N$1)</f>
        <v>0</v>
      </c>
      <c r="O29" s="179">
        <f>SUMIFS('recurring2_based on steps'!$B29:$AY29,'recurring2_based on steps'!$B$1:$AY$1,O$1)+SUMIFS('changes2_based on steps'!$B29:$U29,'changes2_based on steps'!$B$1:$U$1,O$1)</f>
        <v>0</v>
      </c>
      <c r="P29" s="179">
        <f>SUMIFS('recurring2_based on steps'!$B29:$AY29,'recurring2_based on steps'!$B$1:$AY$1,P$1)+SUMIFS('changes2_based on steps'!$B29:$U29,'changes2_based on steps'!$B$1:$U$1,P$1)</f>
        <v>0</v>
      </c>
      <c r="Q29" s="179">
        <f>SUMIFS('recurring2_based on steps'!$B29:$AY29,'recurring2_based on steps'!$B$1:$AY$1,Q$1)+SUMIFS('changes2_based on steps'!$B29:$U29,'changes2_based on steps'!$B$1:$U$1,Q$1)</f>
        <v>0</v>
      </c>
      <c r="R29" s="179">
        <f>SUMIFS('recurring2_based on steps'!$B29:$AY29,'recurring2_based on steps'!$B$1:$AY$1,R$1)+SUMIFS('changes2_based on steps'!$B29:$U29,'changes2_based on steps'!$B$1:$U$1,R$1)</f>
        <v>0</v>
      </c>
      <c r="S29" s="179">
        <f>SUMIFS('recurring2_based on steps'!$B29:$AY29,'recurring2_based on steps'!$B$1:$AY$1,S$1)+SUMIFS('changes2_based on steps'!$B29:$U29,'changes2_based on steps'!$B$1:$U$1,S$1)</f>
        <v>0</v>
      </c>
      <c r="T29" s="179">
        <f>SUMIFS('recurring2_based on steps'!$B29:$AY29,'recurring2_based on steps'!$B$1:$AY$1,T$1)+SUMIFS('changes2_based on steps'!$B29:$U29,'changes2_based on steps'!$B$1:$U$1,T$1)</f>
        <v>0</v>
      </c>
      <c r="U29" s="179">
        <f>SUMIFS('recurring2_based on steps'!$B29:$AY29,'recurring2_based on steps'!$B$1:$AY$1,U$1)+SUMIFS('changes2_based on steps'!$B29:$U29,'changes2_based on steps'!$B$1:$U$1,U$1)</f>
        <v>0</v>
      </c>
      <c r="V29" s="179">
        <f>SUMIFS('recurring2_based on steps'!$B29:$AY29,'recurring2_based on steps'!$B$1:$AY$1,V$1)+SUMIFS('changes2_based on steps'!$B29:$U29,'changes2_based on steps'!$B$1:$U$1,V$1)</f>
        <v>0</v>
      </c>
      <c r="W29" s="179">
        <f>SUMIFS('recurring2_based on steps'!$B29:$AY29,'recurring2_based on steps'!$B$1:$AY$1,W$1)+SUMIFS('changes2_based on steps'!$B29:$U29,'changes2_based on steps'!$B$1:$U$1,W$1)</f>
        <v>0</v>
      </c>
      <c r="X29" s="179">
        <f>SUMIFS('recurring2_based on steps'!$B29:$AY29,'recurring2_based on steps'!$B$1:$AY$1,X$1)+SUMIFS('changes2_based on steps'!$B29:$U29,'changes2_based on steps'!$B$1:$U$1,X$1)</f>
        <v>0</v>
      </c>
      <c r="Y29" s="179">
        <f>SUMIFS('recurring2_based on steps'!$B29:$AY29,'recurring2_based on steps'!$B$1:$AY$1,Y$1)+SUMIFS('changes2_based on steps'!$B29:$U29,'changes2_based on steps'!$B$1:$U$1,Y$1)</f>
        <v>0</v>
      </c>
      <c r="Z29" s="179">
        <f>SUMIFS('recurring2_based on steps'!$B29:$AY29,'recurring2_based on steps'!$B$1:$AY$1,Z$1)+SUMIFS('changes2_based on steps'!$B29:$U29,'changes2_based on steps'!$B$1:$U$1,Z$1)</f>
        <v>0</v>
      </c>
      <c r="AA29" s="179">
        <f>SUMIFS('recurring2_based on steps'!$B29:$AY29,'recurring2_based on steps'!$B$1:$AY$1,AA$1)+SUMIFS('changes2_based on steps'!$B29:$U29,'changes2_based on steps'!$B$1:$U$1,AA$1)</f>
        <v>0</v>
      </c>
      <c r="AB29" s="179">
        <f>SUMIFS('recurring2_based on steps'!$B29:$AY29,'recurring2_based on steps'!$B$1:$AY$1,AB$1)+SUMIFS('changes2_based on steps'!$B29:$U29,'changes2_based on steps'!$B$1:$U$1,AB$1)</f>
        <v>0</v>
      </c>
      <c r="AC29" s="179">
        <f>SUMIFS('recurring2_based on steps'!$B29:$AY29,'recurring2_based on steps'!$B$1:$AY$1,AC$1)+SUMIFS('changes2_based on steps'!$B29:$U29,'changes2_based on steps'!$B$1:$U$1,AC$1)</f>
        <v>0</v>
      </c>
      <c r="AD29" s="179">
        <f>SUMIFS('recurring2_based on steps'!$B29:$AY29,'recurring2_based on steps'!$B$1:$AY$1,AD$1)+SUMIFS('changes2_based on steps'!$B29:$U29,'changes2_based on steps'!$B$1:$U$1,AD$1)</f>
        <v>0</v>
      </c>
      <c r="AE29" s="179">
        <f>SUMIFS('recurring2_based on steps'!$B29:$AY29,'recurring2_based on steps'!$B$1:$AY$1,AE$1)+SUMIFS('changes2_based on steps'!$B29:$U29,'changes2_based on steps'!$B$1:$U$1,AE$1)</f>
        <v>0</v>
      </c>
      <c r="AF29" s="179"/>
      <c r="AG29" s="179"/>
      <c r="AH29" s="179"/>
      <c r="AI29" s="179"/>
      <c r="AJ29" s="179"/>
      <c r="AK29" s="179"/>
      <c r="AL29" s="179"/>
      <c r="AM29" s="179"/>
    </row>
    <row r="30" spans="1:39" x14ac:dyDescent="0.2">
      <c r="A30" s="32">
        <f t="shared" ca="1" si="0"/>
        <v>45772</v>
      </c>
      <c r="B30" s="179">
        <f>SUMIFS('recurring2_based on steps'!$B30:$AY30,'recurring2_based on steps'!$B$1:$AY$1,B$1)+SUMIFS('changes2_based on steps'!$B30:$U30,'changes2_based on steps'!$B$1:$U$1,B$1)</f>
        <v>0</v>
      </c>
      <c r="C30" s="179">
        <f>SUMIFS('recurring2_based on steps'!$B30:$AY30,'recurring2_based on steps'!$B$1:$AY$1,C$1)+SUMIFS('changes2_based on steps'!$B30:$U30,'changes2_based on steps'!$B$1:$U$1,C$1)</f>
        <v>0</v>
      </c>
      <c r="D30" s="179">
        <f>SUMIFS('recurring2_based on steps'!$B30:$AY30,'recurring2_based on steps'!$B$1:$AY$1,D$1)+SUMIFS('changes2_based on steps'!$B30:$U30,'changes2_based on steps'!$B$1:$U$1,D$1)</f>
        <v>0</v>
      </c>
      <c r="E30" s="179">
        <f>SUMIFS('recurring2_based on steps'!$B30:$AY30,'recurring2_based on steps'!$B$1:$AY$1,E$1)+SUMIFS('changes2_based on steps'!$B30:$U30,'changes2_based on steps'!$B$1:$U$1,E$1)</f>
        <v>0</v>
      </c>
      <c r="F30" s="179">
        <f>SUMIFS('recurring2_based on steps'!$B30:$AY30,'recurring2_based on steps'!$B$1:$AY$1,F$1)+SUMIFS('changes2_based on steps'!$B30:$U30,'changes2_based on steps'!$B$1:$U$1,F$1)</f>
        <v>0</v>
      </c>
      <c r="G30" s="179">
        <f>SUMIFS('recurring2_based on steps'!$B30:$AY30,'recurring2_based on steps'!$B$1:$AY$1,G$1)+SUMIFS('changes2_based on steps'!$B30:$U30,'changes2_based on steps'!$B$1:$U$1,G$1)</f>
        <v>0</v>
      </c>
      <c r="H30" s="179">
        <f>SUMIFS('recurring2_based on steps'!$B30:$AY30,'recurring2_based on steps'!$B$1:$AY$1,H$1)+SUMIFS('changes2_based on steps'!$B30:$U30,'changes2_based on steps'!$B$1:$U$1,H$1)</f>
        <v>0</v>
      </c>
      <c r="I30" s="179">
        <f>SUMIFS('recurring2_based on steps'!$B30:$AY30,'recurring2_based on steps'!$B$1:$AY$1,I$1)+SUMIFS('changes2_based on steps'!$B30:$U30,'changes2_based on steps'!$B$1:$U$1,I$1)</f>
        <v>0</v>
      </c>
      <c r="J30" s="179">
        <f>SUMIFS('recurring2_based on steps'!$B30:$AY30,'recurring2_based on steps'!$B$1:$AY$1,J$1)+SUMIFS('changes2_based on steps'!$B30:$U30,'changes2_based on steps'!$B$1:$U$1,J$1)</f>
        <v>0</v>
      </c>
      <c r="K30" s="179">
        <f>SUMIFS('recurring2_based on steps'!$B30:$AY30,'recurring2_based on steps'!$B$1:$AY$1,K$1)+SUMIFS('changes2_based on steps'!$B30:$U30,'changes2_based on steps'!$B$1:$U$1,K$1)</f>
        <v>0</v>
      </c>
      <c r="L30" s="179">
        <f>SUMIFS('recurring2_based on steps'!$B30:$AY30,'recurring2_based on steps'!$B$1:$AY$1,L$1)+SUMIFS('changes2_based on steps'!$B30:$U30,'changes2_based on steps'!$B$1:$U$1,L$1)</f>
        <v>0</v>
      </c>
      <c r="M30" s="179">
        <f>SUMIFS('recurring2_based on steps'!$B30:$AY30,'recurring2_based on steps'!$B$1:$AY$1,M$1)+SUMIFS('changes2_based on steps'!$B30:$U30,'changes2_based on steps'!$B$1:$U$1,M$1)</f>
        <v>0</v>
      </c>
      <c r="N30" s="179">
        <f>SUMIFS('recurring2_based on steps'!$B30:$AY30,'recurring2_based on steps'!$B$1:$AY$1,N$1)+SUMIFS('changes2_based on steps'!$B30:$U30,'changes2_based on steps'!$B$1:$U$1,N$1)</f>
        <v>0</v>
      </c>
      <c r="O30" s="179">
        <f>SUMIFS('recurring2_based on steps'!$B30:$AY30,'recurring2_based on steps'!$B$1:$AY$1,O$1)+SUMIFS('changes2_based on steps'!$B30:$U30,'changes2_based on steps'!$B$1:$U$1,O$1)</f>
        <v>0</v>
      </c>
      <c r="P30" s="179">
        <f>SUMIFS('recurring2_based on steps'!$B30:$AY30,'recurring2_based on steps'!$B$1:$AY$1,P$1)+SUMIFS('changes2_based on steps'!$B30:$U30,'changes2_based on steps'!$B$1:$U$1,P$1)</f>
        <v>0</v>
      </c>
      <c r="Q30" s="179">
        <f>SUMIFS('recurring2_based on steps'!$B30:$AY30,'recurring2_based on steps'!$B$1:$AY$1,Q$1)+SUMIFS('changes2_based on steps'!$B30:$U30,'changes2_based on steps'!$B$1:$U$1,Q$1)</f>
        <v>0</v>
      </c>
      <c r="R30" s="179">
        <f>SUMIFS('recurring2_based on steps'!$B30:$AY30,'recurring2_based on steps'!$B$1:$AY$1,R$1)+SUMIFS('changes2_based on steps'!$B30:$U30,'changes2_based on steps'!$B$1:$U$1,R$1)</f>
        <v>0</v>
      </c>
      <c r="S30" s="179">
        <f>SUMIFS('recurring2_based on steps'!$B30:$AY30,'recurring2_based on steps'!$B$1:$AY$1,S$1)+SUMIFS('changes2_based on steps'!$B30:$U30,'changes2_based on steps'!$B$1:$U$1,S$1)</f>
        <v>0</v>
      </c>
      <c r="T30" s="179">
        <f>SUMIFS('recurring2_based on steps'!$B30:$AY30,'recurring2_based on steps'!$B$1:$AY$1,T$1)+SUMIFS('changes2_based on steps'!$B30:$U30,'changes2_based on steps'!$B$1:$U$1,T$1)</f>
        <v>0</v>
      </c>
      <c r="U30" s="179">
        <f>SUMIFS('recurring2_based on steps'!$B30:$AY30,'recurring2_based on steps'!$B$1:$AY$1,U$1)+SUMIFS('changes2_based on steps'!$B30:$U30,'changes2_based on steps'!$B$1:$U$1,U$1)</f>
        <v>0</v>
      </c>
      <c r="V30" s="179">
        <f>SUMIFS('recurring2_based on steps'!$B30:$AY30,'recurring2_based on steps'!$B$1:$AY$1,V$1)+SUMIFS('changes2_based on steps'!$B30:$U30,'changes2_based on steps'!$B$1:$U$1,V$1)</f>
        <v>0</v>
      </c>
      <c r="W30" s="179">
        <f>SUMIFS('recurring2_based on steps'!$B30:$AY30,'recurring2_based on steps'!$B$1:$AY$1,W$1)+SUMIFS('changes2_based on steps'!$B30:$U30,'changes2_based on steps'!$B$1:$U$1,W$1)</f>
        <v>0</v>
      </c>
      <c r="X30" s="179">
        <f>SUMIFS('recurring2_based on steps'!$B30:$AY30,'recurring2_based on steps'!$B$1:$AY$1,X$1)+SUMIFS('changes2_based on steps'!$B30:$U30,'changes2_based on steps'!$B$1:$U$1,X$1)</f>
        <v>0</v>
      </c>
      <c r="Y30" s="179">
        <f>SUMIFS('recurring2_based on steps'!$B30:$AY30,'recurring2_based on steps'!$B$1:$AY$1,Y$1)+SUMIFS('changes2_based on steps'!$B30:$U30,'changes2_based on steps'!$B$1:$U$1,Y$1)</f>
        <v>0</v>
      </c>
      <c r="Z30" s="179">
        <f>SUMIFS('recurring2_based on steps'!$B30:$AY30,'recurring2_based on steps'!$B$1:$AY$1,Z$1)+SUMIFS('changes2_based on steps'!$B30:$U30,'changes2_based on steps'!$B$1:$U$1,Z$1)</f>
        <v>0</v>
      </c>
      <c r="AA30" s="179">
        <f>SUMIFS('recurring2_based on steps'!$B30:$AY30,'recurring2_based on steps'!$B$1:$AY$1,AA$1)+SUMIFS('changes2_based on steps'!$B30:$U30,'changes2_based on steps'!$B$1:$U$1,AA$1)</f>
        <v>0</v>
      </c>
      <c r="AB30" s="179">
        <f>SUMIFS('recurring2_based on steps'!$B30:$AY30,'recurring2_based on steps'!$B$1:$AY$1,AB$1)+SUMIFS('changes2_based on steps'!$B30:$U30,'changes2_based on steps'!$B$1:$U$1,AB$1)</f>
        <v>0</v>
      </c>
      <c r="AC30" s="179">
        <f>SUMIFS('recurring2_based on steps'!$B30:$AY30,'recurring2_based on steps'!$B$1:$AY$1,AC$1)+SUMIFS('changes2_based on steps'!$B30:$U30,'changes2_based on steps'!$B$1:$U$1,AC$1)</f>
        <v>0</v>
      </c>
      <c r="AD30" s="179">
        <f>SUMIFS('recurring2_based on steps'!$B30:$AY30,'recurring2_based on steps'!$B$1:$AY$1,AD$1)+SUMIFS('changes2_based on steps'!$B30:$U30,'changes2_based on steps'!$B$1:$U$1,AD$1)</f>
        <v>0</v>
      </c>
      <c r="AE30" s="179">
        <f>SUMIFS('recurring2_based on steps'!$B30:$AY30,'recurring2_based on steps'!$B$1:$AY$1,AE$1)+SUMIFS('changes2_based on steps'!$B30:$U30,'changes2_based on steps'!$B$1:$U$1,AE$1)</f>
        <v>0</v>
      </c>
      <c r="AF30" s="179"/>
      <c r="AG30" s="179"/>
      <c r="AH30" s="179"/>
      <c r="AI30" s="179"/>
      <c r="AJ30" s="179"/>
      <c r="AK30" s="179"/>
      <c r="AL30" s="179"/>
      <c r="AM30" s="179"/>
    </row>
    <row r="31" spans="1:39" x14ac:dyDescent="0.2">
      <c r="A31" s="32">
        <f t="shared" ca="1" si="0"/>
        <v>45773</v>
      </c>
      <c r="B31" s="179">
        <f>SUMIFS('recurring2_based on steps'!$B31:$AY31,'recurring2_based on steps'!$B$1:$AY$1,B$1)+SUMIFS('changes2_based on steps'!$B31:$U31,'changes2_based on steps'!$B$1:$U$1,B$1)</f>
        <v>0</v>
      </c>
      <c r="C31" s="179">
        <f>SUMIFS('recurring2_based on steps'!$B31:$AY31,'recurring2_based on steps'!$B$1:$AY$1,C$1)+SUMIFS('changes2_based on steps'!$B31:$U31,'changes2_based on steps'!$B$1:$U$1,C$1)</f>
        <v>0</v>
      </c>
      <c r="D31" s="179">
        <f>SUMIFS('recurring2_based on steps'!$B31:$AY31,'recurring2_based on steps'!$B$1:$AY$1,D$1)+SUMIFS('changes2_based on steps'!$B31:$U31,'changes2_based on steps'!$B$1:$U$1,D$1)</f>
        <v>0</v>
      </c>
      <c r="E31" s="179">
        <f>SUMIFS('recurring2_based on steps'!$B31:$AY31,'recurring2_based on steps'!$B$1:$AY$1,E$1)+SUMIFS('changes2_based on steps'!$B31:$U31,'changes2_based on steps'!$B$1:$U$1,E$1)</f>
        <v>0</v>
      </c>
      <c r="F31" s="179">
        <f>SUMIFS('recurring2_based on steps'!$B31:$AY31,'recurring2_based on steps'!$B$1:$AY$1,F$1)+SUMIFS('changes2_based on steps'!$B31:$U31,'changes2_based on steps'!$B$1:$U$1,F$1)</f>
        <v>0</v>
      </c>
      <c r="G31" s="179">
        <f>SUMIFS('recurring2_based on steps'!$B31:$AY31,'recurring2_based on steps'!$B$1:$AY$1,G$1)+SUMIFS('changes2_based on steps'!$B31:$U31,'changes2_based on steps'!$B$1:$U$1,G$1)</f>
        <v>0</v>
      </c>
      <c r="H31" s="179">
        <f>SUMIFS('recurring2_based on steps'!$B31:$AY31,'recurring2_based on steps'!$B$1:$AY$1,H$1)+SUMIFS('changes2_based on steps'!$B31:$U31,'changes2_based on steps'!$B$1:$U$1,H$1)</f>
        <v>0</v>
      </c>
      <c r="I31" s="179">
        <f>SUMIFS('recurring2_based on steps'!$B31:$AY31,'recurring2_based on steps'!$B$1:$AY$1,I$1)+SUMIFS('changes2_based on steps'!$B31:$U31,'changes2_based on steps'!$B$1:$U$1,I$1)</f>
        <v>0</v>
      </c>
      <c r="J31" s="179">
        <f>SUMIFS('recurring2_based on steps'!$B31:$AY31,'recurring2_based on steps'!$B$1:$AY$1,J$1)+SUMIFS('changes2_based on steps'!$B31:$U31,'changes2_based on steps'!$B$1:$U$1,J$1)</f>
        <v>0</v>
      </c>
      <c r="K31" s="179">
        <f>SUMIFS('recurring2_based on steps'!$B31:$AY31,'recurring2_based on steps'!$B$1:$AY$1,K$1)+SUMIFS('changes2_based on steps'!$B31:$U31,'changes2_based on steps'!$B$1:$U$1,K$1)</f>
        <v>0</v>
      </c>
      <c r="L31" s="179">
        <f>SUMIFS('recurring2_based on steps'!$B31:$AY31,'recurring2_based on steps'!$B$1:$AY$1,L$1)+SUMIFS('changes2_based on steps'!$B31:$U31,'changes2_based on steps'!$B$1:$U$1,L$1)</f>
        <v>0</v>
      </c>
      <c r="M31" s="179">
        <f>SUMIFS('recurring2_based on steps'!$B31:$AY31,'recurring2_based on steps'!$B$1:$AY$1,M$1)+SUMIFS('changes2_based on steps'!$B31:$U31,'changes2_based on steps'!$B$1:$U$1,M$1)</f>
        <v>0</v>
      </c>
      <c r="N31" s="179">
        <f>SUMIFS('recurring2_based on steps'!$B31:$AY31,'recurring2_based on steps'!$B$1:$AY$1,N$1)+SUMIFS('changes2_based on steps'!$B31:$U31,'changes2_based on steps'!$B$1:$U$1,N$1)</f>
        <v>0</v>
      </c>
      <c r="O31" s="179">
        <f>SUMIFS('recurring2_based on steps'!$B31:$AY31,'recurring2_based on steps'!$B$1:$AY$1,O$1)+SUMIFS('changes2_based on steps'!$B31:$U31,'changes2_based on steps'!$B$1:$U$1,O$1)</f>
        <v>0</v>
      </c>
      <c r="P31" s="179">
        <f>SUMIFS('recurring2_based on steps'!$B31:$AY31,'recurring2_based on steps'!$B$1:$AY$1,P$1)+SUMIFS('changes2_based on steps'!$B31:$U31,'changes2_based on steps'!$B$1:$U$1,P$1)</f>
        <v>0</v>
      </c>
      <c r="Q31" s="179">
        <f>SUMIFS('recurring2_based on steps'!$B31:$AY31,'recurring2_based on steps'!$B$1:$AY$1,Q$1)+SUMIFS('changes2_based on steps'!$B31:$U31,'changes2_based on steps'!$B$1:$U$1,Q$1)</f>
        <v>0</v>
      </c>
      <c r="R31" s="179">
        <f>SUMIFS('recurring2_based on steps'!$B31:$AY31,'recurring2_based on steps'!$B$1:$AY$1,R$1)+SUMIFS('changes2_based on steps'!$B31:$U31,'changes2_based on steps'!$B$1:$U$1,R$1)</f>
        <v>0</v>
      </c>
      <c r="S31" s="179">
        <f>SUMIFS('recurring2_based on steps'!$B31:$AY31,'recurring2_based on steps'!$B$1:$AY$1,S$1)+SUMIFS('changes2_based on steps'!$B31:$U31,'changes2_based on steps'!$B$1:$U$1,S$1)</f>
        <v>0</v>
      </c>
      <c r="T31" s="179">
        <f>SUMIFS('recurring2_based on steps'!$B31:$AY31,'recurring2_based on steps'!$B$1:$AY$1,T$1)+SUMIFS('changes2_based on steps'!$B31:$U31,'changes2_based on steps'!$B$1:$U$1,T$1)</f>
        <v>0</v>
      </c>
      <c r="U31" s="179">
        <f>SUMIFS('recurring2_based on steps'!$B31:$AY31,'recurring2_based on steps'!$B$1:$AY$1,U$1)+SUMIFS('changes2_based on steps'!$B31:$U31,'changes2_based on steps'!$B$1:$U$1,U$1)</f>
        <v>0</v>
      </c>
      <c r="V31" s="179">
        <f>SUMIFS('recurring2_based on steps'!$B31:$AY31,'recurring2_based on steps'!$B$1:$AY$1,V$1)+SUMIFS('changes2_based on steps'!$B31:$U31,'changes2_based on steps'!$B$1:$U$1,V$1)</f>
        <v>0</v>
      </c>
      <c r="W31" s="179">
        <f>SUMIFS('recurring2_based on steps'!$B31:$AY31,'recurring2_based on steps'!$B$1:$AY$1,W$1)+SUMIFS('changes2_based on steps'!$B31:$U31,'changes2_based on steps'!$B$1:$U$1,W$1)</f>
        <v>0</v>
      </c>
      <c r="X31" s="179">
        <f>SUMIFS('recurring2_based on steps'!$B31:$AY31,'recurring2_based on steps'!$B$1:$AY$1,X$1)+SUMIFS('changes2_based on steps'!$B31:$U31,'changes2_based on steps'!$B$1:$U$1,X$1)</f>
        <v>0</v>
      </c>
      <c r="Y31" s="179">
        <f>SUMIFS('recurring2_based on steps'!$B31:$AY31,'recurring2_based on steps'!$B$1:$AY$1,Y$1)+SUMIFS('changes2_based on steps'!$B31:$U31,'changes2_based on steps'!$B$1:$U$1,Y$1)</f>
        <v>0</v>
      </c>
      <c r="Z31" s="179">
        <f>SUMIFS('recurring2_based on steps'!$B31:$AY31,'recurring2_based on steps'!$B$1:$AY$1,Z$1)+SUMIFS('changes2_based on steps'!$B31:$U31,'changes2_based on steps'!$B$1:$U$1,Z$1)</f>
        <v>0</v>
      </c>
      <c r="AA31" s="179">
        <f>SUMIFS('recurring2_based on steps'!$B31:$AY31,'recurring2_based on steps'!$B$1:$AY$1,AA$1)+SUMIFS('changes2_based on steps'!$B31:$U31,'changes2_based on steps'!$B$1:$U$1,AA$1)</f>
        <v>0</v>
      </c>
      <c r="AB31" s="179">
        <f>SUMIFS('recurring2_based on steps'!$B31:$AY31,'recurring2_based on steps'!$B$1:$AY$1,AB$1)+SUMIFS('changes2_based on steps'!$B31:$U31,'changes2_based on steps'!$B$1:$U$1,AB$1)</f>
        <v>0</v>
      </c>
      <c r="AC31" s="179">
        <f>SUMIFS('recurring2_based on steps'!$B31:$AY31,'recurring2_based on steps'!$B$1:$AY$1,AC$1)+SUMIFS('changes2_based on steps'!$B31:$U31,'changes2_based on steps'!$B$1:$U$1,AC$1)</f>
        <v>0</v>
      </c>
      <c r="AD31" s="179">
        <f>SUMIFS('recurring2_based on steps'!$B31:$AY31,'recurring2_based on steps'!$B$1:$AY$1,AD$1)+SUMIFS('changes2_based on steps'!$B31:$U31,'changes2_based on steps'!$B$1:$U$1,AD$1)</f>
        <v>0</v>
      </c>
      <c r="AE31" s="179">
        <f>SUMIFS('recurring2_based on steps'!$B31:$AY31,'recurring2_based on steps'!$B$1:$AY$1,AE$1)+SUMIFS('changes2_based on steps'!$B31:$U31,'changes2_based on steps'!$B$1:$U$1,AE$1)</f>
        <v>0</v>
      </c>
      <c r="AF31" s="179"/>
      <c r="AG31" s="179"/>
      <c r="AH31" s="179"/>
      <c r="AI31" s="179"/>
      <c r="AJ31" s="179"/>
      <c r="AK31" s="179"/>
      <c r="AL31" s="179"/>
      <c r="AM31" s="179"/>
    </row>
    <row r="32" spans="1:39" x14ac:dyDescent="0.2">
      <c r="A32" s="32">
        <f t="shared" ca="1" si="0"/>
        <v>45774</v>
      </c>
      <c r="B32" s="179">
        <f>SUMIFS('recurring2_based on steps'!$B32:$AY32,'recurring2_based on steps'!$B$1:$AY$1,B$1)+SUMIFS('changes2_based on steps'!$B32:$U32,'changes2_based on steps'!$B$1:$U$1,B$1)</f>
        <v>0</v>
      </c>
      <c r="C32" s="179">
        <f>SUMIFS('recurring2_based on steps'!$B32:$AY32,'recurring2_based on steps'!$B$1:$AY$1,C$1)+SUMIFS('changes2_based on steps'!$B32:$U32,'changes2_based on steps'!$B$1:$U$1,C$1)</f>
        <v>0</v>
      </c>
      <c r="D32" s="179">
        <f>SUMIFS('recurring2_based on steps'!$B32:$AY32,'recurring2_based on steps'!$B$1:$AY$1,D$1)+SUMIFS('changes2_based on steps'!$B32:$U32,'changes2_based on steps'!$B$1:$U$1,D$1)</f>
        <v>0</v>
      </c>
      <c r="E32" s="179">
        <f>SUMIFS('recurring2_based on steps'!$B32:$AY32,'recurring2_based on steps'!$B$1:$AY$1,E$1)+SUMIFS('changes2_based on steps'!$B32:$U32,'changes2_based on steps'!$B$1:$U$1,E$1)</f>
        <v>0</v>
      </c>
      <c r="F32" s="179">
        <f>SUMIFS('recurring2_based on steps'!$B32:$AY32,'recurring2_based on steps'!$B$1:$AY$1,F$1)+SUMIFS('changes2_based on steps'!$B32:$U32,'changes2_based on steps'!$B$1:$U$1,F$1)</f>
        <v>0</v>
      </c>
      <c r="G32" s="179">
        <f>SUMIFS('recurring2_based on steps'!$B32:$AY32,'recurring2_based on steps'!$B$1:$AY$1,G$1)+SUMIFS('changes2_based on steps'!$B32:$U32,'changes2_based on steps'!$B$1:$U$1,G$1)</f>
        <v>0</v>
      </c>
      <c r="H32" s="179">
        <f>SUMIFS('recurring2_based on steps'!$B32:$AY32,'recurring2_based on steps'!$B$1:$AY$1,H$1)+SUMIFS('changes2_based on steps'!$B32:$U32,'changes2_based on steps'!$B$1:$U$1,H$1)</f>
        <v>0</v>
      </c>
      <c r="I32" s="179">
        <f>SUMIFS('recurring2_based on steps'!$B32:$AY32,'recurring2_based on steps'!$B$1:$AY$1,I$1)+SUMIFS('changes2_based on steps'!$B32:$U32,'changes2_based on steps'!$B$1:$U$1,I$1)</f>
        <v>0</v>
      </c>
      <c r="J32" s="179">
        <f>SUMIFS('recurring2_based on steps'!$B32:$AY32,'recurring2_based on steps'!$B$1:$AY$1,J$1)+SUMIFS('changes2_based on steps'!$B32:$U32,'changes2_based on steps'!$B$1:$U$1,J$1)</f>
        <v>0</v>
      </c>
      <c r="K32" s="179">
        <f>SUMIFS('recurring2_based on steps'!$B32:$AY32,'recurring2_based on steps'!$B$1:$AY$1,K$1)+SUMIFS('changes2_based on steps'!$B32:$U32,'changes2_based on steps'!$B$1:$U$1,K$1)</f>
        <v>0</v>
      </c>
      <c r="L32" s="179">
        <f>SUMIFS('recurring2_based on steps'!$B32:$AY32,'recurring2_based on steps'!$B$1:$AY$1,L$1)+SUMIFS('changes2_based on steps'!$B32:$U32,'changes2_based on steps'!$B$1:$U$1,L$1)</f>
        <v>0</v>
      </c>
      <c r="M32" s="179">
        <f>SUMIFS('recurring2_based on steps'!$B32:$AY32,'recurring2_based on steps'!$B$1:$AY$1,M$1)+SUMIFS('changes2_based on steps'!$B32:$U32,'changes2_based on steps'!$B$1:$U$1,M$1)</f>
        <v>0</v>
      </c>
      <c r="N32" s="179">
        <f>SUMIFS('recurring2_based on steps'!$B32:$AY32,'recurring2_based on steps'!$B$1:$AY$1,N$1)+SUMIFS('changes2_based on steps'!$B32:$U32,'changes2_based on steps'!$B$1:$U$1,N$1)</f>
        <v>0</v>
      </c>
      <c r="O32" s="179">
        <f>SUMIFS('recurring2_based on steps'!$B32:$AY32,'recurring2_based on steps'!$B$1:$AY$1,O$1)+SUMIFS('changes2_based on steps'!$B32:$U32,'changes2_based on steps'!$B$1:$U$1,O$1)</f>
        <v>0</v>
      </c>
      <c r="P32" s="179">
        <f>SUMIFS('recurring2_based on steps'!$B32:$AY32,'recurring2_based on steps'!$B$1:$AY$1,P$1)+SUMIFS('changes2_based on steps'!$B32:$U32,'changes2_based on steps'!$B$1:$U$1,P$1)</f>
        <v>0</v>
      </c>
      <c r="Q32" s="179">
        <f>SUMIFS('recurring2_based on steps'!$B32:$AY32,'recurring2_based on steps'!$B$1:$AY$1,Q$1)+SUMIFS('changes2_based on steps'!$B32:$U32,'changes2_based on steps'!$B$1:$U$1,Q$1)</f>
        <v>0</v>
      </c>
      <c r="R32" s="179">
        <f>SUMIFS('recurring2_based on steps'!$B32:$AY32,'recurring2_based on steps'!$B$1:$AY$1,R$1)+SUMIFS('changes2_based on steps'!$B32:$U32,'changes2_based on steps'!$B$1:$U$1,R$1)</f>
        <v>0</v>
      </c>
      <c r="S32" s="179">
        <f>SUMIFS('recurring2_based on steps'!$B32:$AY32,'recurring2_based on steps'!$B$1:$AY$1,S$1)+SUMIFS('changes2_based on steps'!$B32:$U32,'changes2_based on steps'!$B$1:$U$1,S$1)</f>
        <v>0</v>
      </c>
      <c r="T32" s="179">
        <f>SUMIFS('recurring2_based on steps'!$B32:$AY32,'recurring2_based on steps'!$B$1:$AY$1,T$1)+SUMIFS('changes2_based on steps'!$B32:$U32,'changes2_based on steps'!$B$1:$U$1,T$1)</f>
        <v>0</v>
      </c>
      <c r="U32" s="179">
        <f>SUMIFS('recurring2_based on steps'!$B32:$AY32,'recurring2_based on steps'!$B$1:$AY$1,U$1)+SUMIFS('changes2_based on steps'!$B32:$U32,'changes2_based on steps'!$B$1:$U$1,U$1)</f>
        <v>0</v>
      </c>
      <c r="V32" s="179">
        <f>SUMIFS('recurring2_based on steps'!$B32:$AY32,'recurring2_based on steps'!$B$1:$AY$1,V$1)+SUMIFS('changes2_based on steps'!$B32:$U32,'changes2_based on steps'!$B$1:$U$1,V$1)</f>
        <v>0</v>
      </c>
      <c r="W32" s="179">
        <f>SUMIFS('recurring2_based on steps'!$B32:$AY32,'recurring2_based on steps'!$B$1:$AY$1,W$1)+SUMIFS('changes2_based on steps'!$B32:$U32,'changes2_based on steps'!$B$1:$U$1,W$1)</f>
        <v>0</v>
      </c>
      <c r="X32" s="179">
        <f>SUMIFS('recurring2_based on steps'!$B32:$AY32,'recurring2_based on steps'!$B$1:$AY$1,X$1)+SUMIFS('changes2_based on steps'!$B32:$U32,'changes2_based on steps'!$B$1:$U$1,X$1)</f>
        <v>0</v>
      </c>
      <c r="Y32" s="179">
        <f>SUMIFS('recurring2_based on steps'!$B32:$AY32,'recurring2_based on steps'!$B$1:$AY$1,Y$1)+SUMIFS('changes2_based on steps'!$B32:$U32,'changes2_based on steps'!$B$1:$U$1,Y$1)</f>
        <v>0</v>
      </c>
      <c r="Z32" s="179">
        <f>SUMIFS('recurring2_based on steps'!$B32:$AY32,'recurring2_based on steps'!$B$1:$AY$1,Z$1)+SUMIFS('changes2_based on steps'!$B32:$U32,'changes2_based on steps'!$B$1:$U$1,Z$1)</f>
        <v>0</v>
      </c>
      <c r="AA32" s="179">
        <f>SUMIFS('recurring2_based on steps'!$B32:$AY32,'recurring2_based on steps'!$B$1:$AY$1,AA$1)+SUMIFS('changes2_based on steps'!$B32:$U32,'changes2_based on steps'!$B$1:$U$1,AA$1)</f>
        <v>0</v>
      </c>
      <c r="AB32" s="179">
        <f>SUMIFS('recurring2_based on steps'!$B32:$AY32,'recurring2_based on steps'!$B$1:$AY$1,AB$1)+SUMIFS('changes2_based on steps'!$B32:$U32,'changes2_based on steps'!$B$1:$U$1,AB$1)</f>
        <v>0</v>
      </c>
      <c r="AC32" s="179">
        <f>SUMIFS('recurring2_based on steps'!$B32:$AY32,'recurring2_based on steps'!$B$1:$AY$1,AC$1)+SUMIFS('changes2_based on steps'!$B32:$U32,'changes2_based on steps'!$B$1:$U$1,AC$1)</f>
        <v>0</v>
      </c>
      <c r="AD32" s="179">
        <f>SUMIFS('recurring2_based on steps'!$B32:$AY32,'recurring2_based on steps'!$B$1:$AY$1,AD$1)+SUMIFS('changes2_based on steps'!$B32:$U32,'changes2_based on steps'!$B$1:$U$1,AD$1)</f>
        <v>0</v>
      </c>
      <c r="AE32" s="179">
        <f>SUMIFS('recurring2_based on steps'!$B32:$AY32,'recurring2_based on steps'!$B$1:$AY$1,AE$1)+SUMIFS('changes2_based on steps'!$B32:$U32,'changes2_based on steps'!$B$1:$U$1,AE$1)</f>
        <v>0</v>
      </c>
      <c r="AF32" s="179"/>
      <c r="AG32" s="179"/>
      <c r="AH32" s="179"/>
      <c r="AI32" s="179"/>
      <c r="AJ32" s="179"/>
      <c r="AK32" s="179"/>
      <c r="AL32" s="179"/>
      <c r="AM32" s="179"/>
    </row>
    <row r="33" spans="1:39" x14ac:dyDescent="0.2">
      <c r="A33" s="32">
        <f t="shared" ca="1" si="0"/>
        <v>45775</v>
      </c>
      <c r="B33" s="179">
        <f>SUMIFS('recurring2_based on steps'!$B33:$AY33,'recurring2_based on steps'!$B$1:$AY$1,B$1)+SUMIFS('changes2_based on steps'!$B33:$U33,'changes2_based on steps'!$B$1:$U$1,B$1)</f>
        <v>0</v>
      </c>
      <c r="C33" s="179">
        <f>SUMIFS('recurring2_based on steps'!$B33:$AY33,'recurring2_based on steps'!$B$1:$AY$1,C$1)+SUMIFS('changes2_based on steps'!$B33:$U33,'changes2_based on steps'!$B$1:$U$1,C$1)</f>
        <v>0</v>
      </c>
      <c r="D33" s="179">
        <f>SUMIFS('recurring2_based on steps'!$B33:$AY33,'recurring2_based on steps'!$B$1:$AY$1,D$1)+SUMIFS('changes2_based on steps'!$B33:$U33,'changes2_based on steps'!$B$1:$U$1,D$1)</f>
        <v>0</v>
      </c>
      <c r="E33" s="179">
        <f>SUMIFS('recurring2_based on steps'!$B33:$AY33,'recurring2_based on steps'!$B$1:$AY$1,E$1)+SUMIFS('changes2_based on steps'!$B33:$U33,'changes2_based on steps'!$B$1:$U$1,E$1)</f>
        <v>0</v>
      </c>
      <c r="F33" s="179">
        <f>SUMIFS('recurring2_based on steps'!$B33:$AY33,'recurring2_based on steps'!$B$1:$AY$1,F$1)+SUMIFS('changes2_based on steps'!$B33:$U33,'changes2_based on steps'!$B$1:$U$1,F$1)</f>
        <v>0</v>
      </c>
      <c r="G33" s="179">
        <f>SUMIFS('recurring2_based on steps'!$B33:$AY33,'recurring2_based on steps'!$B$1:$AY$1,G$1)+SUMIFS('changes2_based on steps'!$B33:$U33,'changes2_based on steps'!$B$1:$U$1,G$1)</f>
        <v>0</v>
      </c>
      <c r="H33" s="179">
        <f>SUMIFS('recurring2_based on steps'!$B33:$AY33,'recurring2_based on steps'!$B$1:$AY$1,H$1)+SUMIFS('changes2_based on steps'!$B33:$U33,'changes2_based on steps'!$B$1:$U$1,H$1)</f>
        <v>0</v>
      </c>
      <c r="I33" s="179">
        <f>SUMIFS('recurring2_based on steps'!$B33:$AY33,'recurring2_based on steps'!$B$1:$AY$1,I$1)+SUMIFS('changes2_based on steps'!$B33:$U33,'changes2_based on steps'!$B$1:$U$1,I$1)</f>
        <v>0</v>
      </c>
      <c r="J33" s="179">
        <f>SUMIFS('recurring2_based on steps'!$B33:$AY33,'recurring2_based on steps'!$B$1:$AY$1,J$1)+SUMIFS('changes2_based on steps'!$B33:$U33,'changes2_based on steps'!$B$1:$U$1,J$1)</f>
        <v>0</v>
      </c>
      <c r="K33" s="179">
        <f>SUMIFS('recurring2_based on steps'!$B33:$AY33,'recurring2_based on steps'!$B$1:$AY$1,K$1)+SUMIFS('changes2_based on steps'!$B33:$U33,'changes2_based on steps'!$B$1:$U$1,K$1)</f>
        <v>0</v>
      </c>
      <c r="L33" s="179">
        <f>SUMIFS('recurring2_based on steps'!$B33:$AY33,'recurring2_based on steps'!$B$1:$AY$1,L$1)+SUMIFS('changes2_based on steps'!$B33:$U33,'changes2_based on steps'!$B$1:$U$1,L$1)</f>
        <v>0</v>
      </c>
      <c r="M33" s="179">
        <f>SUMIFS('recurring2_based on steps'!$B33:$AY33,'recurring2_based on steps'!$B$1:$AY$1,M$1)+SUMIFS('changes2_based on steps'!$B33:$U33,'changes2_based on steps'!$B$1:$U$1,M$1)</f>
        <v>0</v>
      </c>
      <c r="N33" s="179">
        <f>SUMIFS('recurring2_based on steps'!$B33:$AY33,'recurring2_based on steps'!$B$1:$AY$1,N$1)+SUMIFS('changes2_based on steps'!$B33:$U33,'changes2_based on steps'!$B$1:$U$1,N$1)</f>
        <v>0</v>
      </c>
      <c r="O33" s="179">
        <f>SUMIFS('recurring2_based on steps'!$B33:$AY33,'recurring2_based on steps'!$B$1:$AY$1,O$1)+SUMIFS('changes2_based on steps'!$B33:$U33,'changes2_based on steps'!$B$1:$U$1,O$1)</f>
        <v>0</v>
      </c>
      <c r="P33" s="179">
        <f>SUMIFS('recurring2_based on steps'!$B33:$AY33,'recurring2_based on steps'!$B$1:$AY$1,P$1)+SUMIFS('changes2_based on steps'!$B33:$U33,'changes2_based on steps'!$B$1:$U$1,P$1)</f>
        <v>0</v>
      </c>
      <c r="Q33" s="179">
        <f>SUMIFS('recurring2_based on steps'!$B33:$AY33,'recurring2_based on steps'!$B$1:$AY$1,Q$1)+SUMIFS('changes2_based on steps'!$B33:$U33,'changes2_based on steps'!$B$1:$U$1,Q$1)</f>
        <v>0</v>
      </c>
      <c r="R33" s="179">
        <f>SUMIFS('recurring2_based on steps'!$B33:$AY33,'recurring2_based on steps'!$B$1:$AY$1,R$1)+SUMIFS('changes2_based on steps'!$B33:$U33,'changes2_based on steps'!$B$1:$U$1,R$1)</f>
        <v>0</v>
      </c>
      <c r="S33" s="179">
        <f>SUMIFS('recurring2_based on steps'!$B33:$AY33,'recurring2_based on steps'!$B$1:$AY$1,S$1)+SUMIFS('changes2_based on steps'!$B33:$U33,'changes2_based on steps'!$B$1:$U$1,S$1)</f>
        <v>0</v>
      </c>
      <c r="T33" s="179">
        <f>SUMIFS('recurring2_based on steps'!$B33:$AY33,'recurring2_based on steps'!$B$1:$AY$1,T$1)+SUMIFS('changes2_based on steps'!$B33:$U33,'changes2_based on steps'!$B$1:$U$1,T$1)</f>
        <v>0</v>
      </c>
      <c r="U33" s="179">
        <f>SUMIFS('recurring2_based on steps'!$B33:$AY33,'recurring2_based on steps'!$B$1:$AY$1,U$1)+SUMIFS('changes2_based on steps'!$B33:$U33,'changes2_based on steps'!$B$1:$U$1,U$1)</f>
        <v>0</v>
      </c>
      <c r="V33" s="179">
        <f>SUMIFS('recurring2_based on steps'!$B33:$AY33,'recurring2_based on steps'!$B$1:$AY$1,V$1)+SUMIFS('changes2_based on steps'!$B33:$U33,'changes2_based on steps'!$B$1:$U$1,V$1)</f>
        <v>0</v>
      </c>
      <c r="W33" s="179">
        <f>SUMIFS('recurring2_based on steps'!$B33:$AY33,'recurring2_based on steps'!$B$1:$AY$1,W$1)+SUMIFS('changes2_based on steps'!$B33:$U33,'changes2_based on steps'!$B$1:$U$1,W$1)</f>
        <v>0</v>
      </c>
      <c r="X33" s="179">
        <f>SUMIFS('recurring2_based on steps'!$B33:$AY33,'recurring2_based on steps'!$B$1:$AY$1,X$1)+SUMIFS('changes2_based on steps'!$B33:$U33,'changes2_based on steps'!$B$1:$U$1,X$1)</f>
        <v>0</v>
      </c>
      <c r="Y33" s="179">
        <f>SUMIFS('recurring2_based on steps'!$B33:$AY33,'recurring2_based on steps'!$B$1:$AY$1,Y$1)+SUMIFS('changes2_based on steps'!$B33:$U33,'changes2_based on steps'!$B$1:$U$1,Y$1)</f>
        <v>0</v>
      </c>
      <c r="Z33" s="179">
        <f>SUMIFS('recurring2_based on steps'!$B33:$AY33,'recurring2_based on steps'!$B$1:$AY$1,Z$1)+SUMIFS('changes2_based on steps'!$B33:$U33,'changes2_based on steps'!$B$1:$U$1,Z$1)</f>
        <v>0</v>
      </c>
      <c r="AA33" s="179">
        <f>SUMIFS('recurring2_based on steps'!$B33:$AY33,'recurring2_based on steps'!$B$1:$AY$1,AA$1)+SUMIFS('changes2_based on steps'!$B33:$U33,'changes2_based on steps'!$B$1:$U$1,AA$1)</f>
        <v>0</v>
      </c>
      <c r="AB33" s="179">
        <f>SUMIFS('recurring2_based on steps'!$B33:$AY33,'recurring2_based on steps'!$B$1:$AY$1,AB$1)+SUMIFS('changes2_based on steps'!$B33:$U33,'changes2_based on steps'!$B$1:$U$1,AB$1)</f>
        <v>0</v>
      </c>
      <c r="AC33" s="179">
        <f>SUMIFS('recurring2_based on steps'!$B33:$AY33,'recurring2_based on steps'!$B$1:$AY$1,AC$1)+SUMIFS('changes2_based on steps'!$B33:$U33,'changes2_based on steps'!$B$1:$U$1,AC$1)</f>
        <v>0</v>
      </c>
      <c r="AD33" s="179">
        <f>SUMIFS('recurring2_based on steps'!$B33:$AY33,'recurring2_based on steps'!$B$1:$AY$1,AD$1)+SUMIFS('changes2_based on steps'!$B33:$U33,'changes2_based on steps'!$B$1:$U$1,AD$1)</f>
        <v>0</v>
      </c>
      <c r="AE33" s="179">
        <f>SUMIFS('recurring2_based on steps'!$B33:$AY33,'recurring2_based on steps'!$B$1:$AY$1,AE$1)+SUMIFS('changes2_based on steps'!$B33:$U33,'changes2_based on steps'!$B$1:$U$1,AE$1)</f>
        <v>0</v>
      </c>
      <c r="AF33" s="179"/>
      <c r="AG33" s="179"/>
      <c r="AH33" s="179"/>
      <c r="AI33" s="179"/>
      <c r="AJ33" s="179"/>
      <c r="AK33" s="179"/>
      <c r="AL33" s="179"/>
      <c r="AM33" s="179"/>
    </row>
    <row r="34" spans="1:39" x14ac:dyDescent="0.2">
      <c r="A34" s="32">
        <f t="shared" ca="1" si="0"/>
        <v>45776</v>
      </c>
      <c r="B34" s="179">
        <f>SUMIFS('recurring2_based on steps'!$B34:$AY34,'recurring2_based on steps'!$B$1:$AY$1,B$1)+SUMIFS('changes2_based on steps'!$B34:$U34,'changes2_based on steps'!$B$1:$U$1,B$1)</f>
        <v>0</v>
      </c>
      <c r="C34" s="179">
        <f>SUMIFS('recurring2_based on steps'!$B34:$AY34,'recurring2_based on steps'!$B$1:$AY$1,C$1)+SUMIFS('changes2_based on steps'!$B34:$U34,'changes2_based on steps'!$B$1:$U$1,C$1)</f>
        <v>0</v>
      </c>
      <c r="D34" s="179">
        <f>SUMIFS('recurring2_based on steps'!$B34:$AY34,'recurring2_based on steps'!$B$1:$AY$1,D$1)+SUMIFS('changes2_based on steps'!$B34:$U34,'changes2_based on steps'!$B$1:$U$1,D$1)</f>
        <v>0</v>
      </c>
      <c r="E34" s="179">
        <f>SUMIFS('recurring2_based on steps'!$B34:$AY34,'recurring2_based on steps'!$B$1:$AY$1,E$1)+SUMIFS('changes2_based on steps'!$B34:$U34,'changes2_based on steps'!$B$1:$U$1,E$1)</f>
        <v>0</v>
      </c>
      <c r="F34" s="179">
        <f>SUMIFS('recurring2_based on steps'!$B34:$AY34,'recurring2_based on steps'!$B$1:$AY$1,F$1)+SUMIFS('changes2_based on steps'!$B34:$U34,'changes2_based on steps'!$B$1:$U$1,F$1)</f>
        <v>0</v>
      </c>
      <c r="G34" s="179">
        <f>SUMIFS('recurring2_based on steps'!$B34:$AY34,'recurring2_based on steps'!$B$1:$AY$1,G$1)+SUMIFS('changes2_based on steps'!$B34:$U34,'changes2_based on steps'!$B$1:$U$1,G$1)</f>
        <v>0</v>
      </c>
      <c r="H34" s="179">
        <f>SUMIFS('recurring2_based on steps'!$B34:$AY34,'recurring2_based on steps'!$B$1:$AY$1,H$1)+SUMIFS('changes2_based on steps'!$B34:$U34,'changes2_based on steps'!$B$1:$U$1,H$1)</f>
        <v>0</v>
      </c>
      <c r="I34" s="179">
        <f>SUMIFS('recurring2_based on steps'!$B34:$AY34,'recurring2_based on steps'!$B$1:$AY$1,I$1)+SUMIFS('changes2_based on steps'!$B34:$U34,'changes2_based on steps'!$B$1:$U$1,I$1)</f>
        <v>0</v>
      </c>
      <c r="J34" s="179">
        <f>SUMIFS('recurring2_based on steps'!$B34:$AY34,'recurring2_based on steps'!$B$1:$AY$1,J$1)+SUMIFS('changes2_based on steps'!$B34:$U34,'changes2_based on steps'!$B$1:$U$1,J$1)</f>
        <v>0</v>
      </c>
      <c r="K34" s="179">
        <f>SUMIFS('recurring2_based on steps'!$B34:$AY34,'recurring2_based on steps'!$B$1:$AY$1,K$1)+SUMIFS('changes2_based on steps'!$B34:$U34,'changes2_based on steps'!$B$1:$U$1,K$1)</f>
        <v>0</v>
      </c>
      <c r="L34" s="179">
        <f>SUMIFS('recurring2_based on steps'!$B34:$AY34,'recurring2_based on steps'!$B$1:$AY$1,L$1)+SUMIFS('changes2_based on steps'!$B34:$U34,'changes2_based on steps'!$B$1:$U$1,L$1)</f>
        <v>0</v>
      </c>
      <c r="M34" s="179">
        <f>SUMIFS('recurring2_based on steps'!$B34:$AY34,'recurring2_based on steps'!$B$1:$AY$1,M$1)+SUMIFS('changes2_based on steps'!$B34:$U34,'changes2_based on steps'!$B$1:$U$1,M$1)</f>
        <v>0</v>
      </c>
      <c r="N34" s="179">
        <f>SUMIFS('recurring2_based on steps'!$B34:$AY34,'recurring2_based on steps'!$B$1:$AY$1,N$1)+SUMIFS('changes2_based on steps'!$B34:$U34,'changes2_based on steps'!$B$1:$U$1,N$1)</f>
        <v>0</v>
      </c>
      <c r="O34" s="179">
        <f>SUMIFS('recurring2_based on steps'!$B34:$AY34,'recurring2_based on steps'!$B$1:$AY$1,O$1)+SUMIFS('changes2_based on steps'!$B34:$U34,'changes2_based on steps'!$B$1:$U$1,O$1)</f>
        <v>0</v>
      </c>
      <c r="P34" s="179">
        <f>SUMIFS('recurring2_based on steps'!$B34:$AY34,'recurring2_based on steps'!$B$1:$AY$1,P$1)+SUMIFS('changes2_based on steps'!$B34:$U34,'changes2_based on steps'!$B$1:$U$1,P$1)</f>
        <v>0</v>
      </c>
      <c r="Q34" s="179">
        <f>SUMIFS('recurring2_based on steps'!$B34:$AY34,'recurring2_based on steps'!$B$1:$AY$1,Q$1)+SUMIFS('changes2_based on steps'!$B34:$U34,'changes2_based on steps'!$B$1:$U$1,Q$1)</f>
        <v>0</v>
      </c>
      <c r="R34" s="179">
        <f>SUMIFS('recurring2_based on steps'!$B34:$AY34,'recurring2_based on steps'!$B$1:$AY$1,R$1)+SUMIFS('changes2_based on steps'!$B34:$U34,'changes2_based on steps'!$B$1:$U$1,R$1)</f>
        <v>0</v>
      </c>
      <c r="S34" s="179">
        <f>SUMIFS('recurring2_based on steps'!$B34:$AY34,'recurring2_based on steps'!$B$1:$AY$1,S$1)+SUMIFS('changes2_based on steps'!$B34:$U34,'changes2_based on steps'!$B$1:$U$1,S$1)</f>
        <v>0</v>
      </c>
      <c r="T34" s="179">
        <f>SUMIFS('recurring2_based on steps'!$B34:$AY34,'recurring2_based on steps'!$B$1:$AY$1,T$1)+SUMIFS('changes2_based on steps'!$B34:$U34,'changes2_based on steps'!$B$1:$U$1,T$1)</f>
        <v>0</v>
      </c>
      <c r="U34" s="179">
        <f>SUMIFS('recurring2_based on steps'!$B34:$AY34,'recurring2_based on steps'!$B$1:$AY$1,U$1)+SUMIFS('changes2_based on steps'!$B34:$U34,'changes2_based on steps'!$B$1:$U$1,U$1)</f>
        <v>0</v>
      </c>
      <c r="V34" s="179">
        <f>SUMIFS('recurring2_based on steps'!$B34:$AY34,'recurring2_based on steps'!$B$1:$AY$1,V$1)+SUMIFS('changes2_based on steps'!$B34:$U34,'changes2_based on steps'!$B$1:$U$1,V$1)</f>
        <v>0</v>
      </c>
      <c r="W34" s="179">
        <f>SUMIFS('recurring2_based on steps'!$B34:$AY34,'recurring2_based on steps'!$B$1:$AY$1,W$1)+SUMIFS('changes2_based on steps'!$B34:$U34,'changes2_based on steps'!$B$1:$U$1,W$1)</f>
        <v>0</v>
      </c>
      <c r="X34" s="179">
        <f>SUMIFS('recurring2_based on steps'!$B34:$AY34,'recurring2_based on steps'!$B$1:$AY$1,X$1)+SUMIFS('changes2_based on steps'!$B34:$U34,'changes2_based on steps'!$B$1:$U$1,X$1)</f>
        <v>0</v>
      </c>
      <c r="Y34" s="179">
        <f>SUMIFS('recurring2_based on steps'!$B34:$AY34,'recurring2_based on steps'!$B$1:$AY$1,Y$1)+SUMIFS('changes2_based on steps'!$B34:$U34,'changes2_based on steps'!$B$1:$U$1,Y$1)</f>
        <v>0</v>
      </c>
      <c r="Z34" s="179">
        <f>SUMIFS('recurring2_based on steps'!$B34:$AY34,'recurring2_based on steps'!$B$1:$AY$1,Z$1)+SUMIFS('changes2_based on steps'!$B34:$U34,'changes2_based on steps'!$B$1:$U$1,Z$1)</f>
        <v>0</v>
      </c>
      <c r="AA34" s="179">
        <f>SUMIFS('recurring2_based on steps'!$B34:$AY34,'recurring2_based on steps'!$B$1:$AY$1,AA$1)+SUMIFS('changes2_based on steps'!$B34:$U34,'changes2_based on steps'!$B$1:$U$1,AA$1)</f>
        <v>0</v>
      </c>
      <c r="AB34" s="179">
        <f>SUMIFS('recurring2_based on steps'!$B34:$AY34,'recurring2_based on steps'!$B$1:$AY$1,AB$1)+SUMIFS('changes2_based on steps'!$B34:$U34,'changes2_based on steps'!$B$1:$U$1,AB$1)</f>
        <v>0</v>
      </c>
      <c r="AC34" s="179">
        <f>SUMIFS('recurring2_based on steps'!$B34:$AY34,'recurring2_based on steps'!$B$1:$AY$1,AC$1)+SUMIFS('changes2_based on steps'!$B34:$U34,'changes2_based on steps'!$B$1:$U$1,AC$1)</f>
        <v>0</v>
      </c>
      <c r="AD34" s="179">
        <f>SUMIFS('recurring2_based on steps'!$B34:$AY34,'recurring2_based on steps'!$B$1:$AY$1,AD$1)+SUMIFS('changes2_based on steps'!$B34:$U34,'changes2_based on steps'!$B$1:$U$1,AD$1)</f>
        <v>0</v>
      </c>
      <c r="AE34" s="179">
        <f>SUMIFS('recurring2_based on steps'!$B34:$AY34,'recurring2_based on steps'!$B$1:$AY$1,AE$1)+SUMIFS('changes2_based on steps'!$B34:$U34,'changes2_based on steps'!$B$1:$U$1,AE$1)</f>
        <v>0</v>
      </c>
      <c r="AF34" s="179"/>
      <c r="AG34" s="179"/>
      <c r="AH34" s="179"/>
      <c r="AI34" s="179"/>
      <c r="AJ34" s="179"/>
      <c r="AK34" s="179"/>
      <c r="AL34" s="179"/>
      <c r="AM34" s="179"/>
    </row>
    <row r="35" spans="1:39" x14ac:dyDescent="0.2">
      <c r="A35" s="32">
        <f t="shared" ca="1" si="0"/>
        <v>45777</v>
      </c>
      <c r="B35" s="179">
        <f>SUMIFS('recurring2_based on steps'!$B35:$AY35,'recurring2_based on steps'!$B$1:$AY$1,B$1)+SUMIFS('changes2_based on steps'!$B35:$U35,'changes2_based on steps'!$B$1:$U$1,B$1)</f>
        <v>0</v>
      </c>
      <c r="C35" s="179">
        <f>SUMIFS('recurring2_based on steps'!$B35:$AY35,'recurring2_based on steps'!$B$1:$AY$1,C$1)+SUMIFS('changes2_based on steps'!$B35:$U35,'changes2_based on steps'!$B$1:$U$1,C$1)</f>
        <v>0</v>
      </c>
      <c r="D35" s="179">
        <f>SUMIFS('recurring2_based on steps'!$B35:$AY35,'recurring2_based on steps'!$B$1:$AY$1,D$1)+SUMIFS('changes2_based on steps'!$B35:$U35,'changes2_based on steps'!$B$1:$U$1,D$1)</f>
        <v>0</v>
      </c>
      <c r="E35" s="179">
        <f>SUMIFS('recurring2_based on steps'!$B35:$AY35,'recurring2_based on steps'!$B$1:$AY$1,E$1)+SUMIFS('changes2_based on steps'!$B35:$U35,'changes2_based on steps'!$B$1:$U$1,E$1)</f>
        <v>0</v>
      </c>
      <c r="F35" s="179">
        <f>SUMIFS('recurring2_based on steps'!$B35:$AY35,'recurring2_based on steps'!$B$1:$AY$1,F$1)+SUMIFS('changes2_based on steps'!$B35:$U35,'changes2_based on steps'!$B$1:$U$1,F$1)</f>
        <v>0</v>
      </c>
      <c r="G35" s="179">
        <f>SUMIFS('recurring2_based on steps'!$B35:$AY35,'recurring2_based on steps'!$B$1:$AY$1,G$1)+SUMIFS('changes2_based on steps'!$B35:$U35,'changes2_based on steps'!$B$1:$U$1,G$1)</f>
        <v>0</v>
      </c>
      <c r="H35" s="179">
        <f>SUMIFS('recurring2_based on steps'!$B35:$AY35,'recurring2_based on steps'!$B$1:$AY$1,H$1)+SUMIFS('changes2_based on steps'!$B35:$U35,'changes2_based on steps'!$B$1:$U$1,H$1)</f>
        <v>0</v>
      </c>
      <c r="I35" s="179">
        <f>SUMIFS('recurring2_based on steps'!$B35:$AY35,'recurring2_based on steps'!$B$1:$AY$1,I$1)+SUMIFS('changes2_based on steps'!$B35:$U35,'changes2_based on steps'!$B$1:$U$1,I$1)</f>
        <v>0</v>
      </c>
      <c r="J35" s="179">
        <f>SUMIFS('recurring2_based on steps'!$B35:$AY35,'recurring2_based on steps'!$B$1:$AY$1,J$1)+SUMIFS('changes2_based on steps'!$B35:$U35,'changes2_based on steps'!$B$1:$U$1,J$1)</f>
        <v>0</v>
      </c>
      <c r="K35" s="179">
        <f>SUMIFS('recurring2_based on steps'!$B35:$AY35,'recurring2_based on steps'!$B$1:$AY$1,K$1)+SUMIFS('changes2_based on steps'!$B35:$U35,'changes2_based on steps'!$B$1:$U$1,K$1)</f>
        <v>0</v>
      </c>
      <c r="L35" s="179">
        <f>SUMIFS('recurring2_based on steps'!$B35:$AY35,'recurring2_based on steps'!$B$1:$AY$1,L$1)+SUMIFS('changes2_based on steps'!$B35:$U35,'changes2_based on steps'!$B$1:$U$1,L$1)</f>
        <v>0</v>
      </c>
      <c r="M35" s="179">
        <f>SUMIFS('recurring2_based on steps'!$B35:$AY35,'recurring2_based on steps'!$B$1:$AY$1,M$1)+SUMIFS('changes2_based on steps'!$B35:$U35,'changes2_based on steps'!$B$1:$U$1,M$1)</f>
        <v>0</v>
      </c>
      <c r="N35" s="179">
        <f>SUMIFS('recurring2_based on steps'!$B35:$AY35,'recurring2_based on steps'!$B$1:$AY$1,N$1)+SUMIFS('changes2_based on steps'!$B35:$U35,'changes2_based on steps'!$B$1:$U$1,N$1)</f>
        <v>0</v>
      </c>
      <c r="O35" s="179">
        <f>SUMIFS('recurring2_based on steps'!$B35:$AY35,'recurring2_based on steps'!$B$1:$AY$1,O$1)+SUMIFS('changes2_based on steps'!$B35:$U35,'changes2_based on steps'!$B$1:$U$1,O$1)</f>
        <v>0</v>
      </c>
      <c r="P35" s="179">
        <f>SUMIFS('recurring2_based on steps'!$B35:$AY35,'recurring2_based on steps'!$B$1:$AY$1,P$1)+SUMIFS('changes2_based on steps'!$B35:$U35,'changes2_based on steps'!$B$1:$U$1,P$1)</f>
        <v>0</v>
      </c>
      <c r="Q35" s="179">
        <f>SUMIFS('recurring2_based on steps'!$B35:$AY35,'recurring2_based on steps'!$B$1:$AY$1,Q$1)+SUMIFS('changes2_based on steps'!$B35:$U35,'changes2_based on steps'!$B$1:$U$1,Q$1)</f>
        <v>0</v>
      </c>
      <c r="R35" s="179">
        <f>SUMIFS('recurring2_based on steps'!$B35:$AY35,'recurring2_based on steps'!$B$1:$AY$1,R$1)+SUMIFS('changes2_based on steps'!$B35:$U35,'changes2_based on steps'!$B$1:$U$1,R$1)</f>
        <v>0</v>
      </c>
      <c r="S35" s="179">
        <f>SUMIFS('recurring2_based on steps'!$B35:$AY35,'recurring2_based on steps'!$B$1:$AY$1,S$1)+SUMIFS('changes2_based on steps'!$B35:$U35,'changes2_based on steps'!$B$1:$U$1,S$1)</f>
        <v>0</v>
      </c>
      <c r="T35" s="179">
        <f>SUMIFS('recurring2_based on steps'!$B35:$AY35,'recurring2_based on steps'!$B$1:$AY$1,T$1)+SUMIFS('changes2_based on steps'!$B35:$U35,'changes2_based on steps'!$B$1:$U$1,T$1)</f>
        <v>0</v>
      </c>
      <c r="U35" s="179">
        <f>SUMIFS('recurring2_based on steps'!$B35:$AY35,'recurring2_based on steps'!$B$1:$AY$1,U$1)+SUMIFS('changes2_based on steps'!$B35:$U35,'changes2_based on steps'!$B$1:$U$1,U$1)</f>
        <v>0</v>
      </c>
      <c r="V35" s="179">
        <f>SUMIFS('recurring2_based on steps'!$B35:$AY35,'recurring2_based on steps'!$B$1:$AY$1,V$1)+SUMIFS('changes2_based on steps'!$B35:$U35,'changes2_based on steps'!$B$1:$U$1,V$1)</f>
        <v>0</v>
      </c>
      <c r="W35" s="179">
        <f>SUMIFS('recurring2_based on steps'!$B35:$AY35,'recurring2_based on steps'!$B$1:$AY$1,W$1)+SUMIFS('changes2_based on steps'!$B35:$U35,'changes2_based on steps'!$B$1:$U$1,W$1)</f>
        <v>0</v>
      </c>
      <c r="X35" s="179">
        <f>SUMIFS('recurring2_based on steps'!$B35:$AY35,'recurring2_based on steps'!$B$1:$AY$1,X$1)+SUMIFS('changes2_based on steps'!$B35:$U35,'changes2_based on steps'!$B$1:$U$1,X$1)</f>
        <v>0</v>
      </c>
      <c r="Y35" s="179">
        <f>SUMIFS('recurring2_based on steps'!$B35:$AY35,'recurring2_based on steps'!$B$1:$AY$1,Y$1)+SUMIFS('changes2_based on steps'!$B35:$U35,'changes2_based on steps'!$B$1:$U$1,Y$1)</f>
        <v>0</v>
      </c>
      <c r="Z35" s="179">
        <f>SUMIFS('recurring2_based on steps'!$B35:$AY35,'recurring2_based on steps'!$B$1:$AY$1,Z$1)+SUMIFS('changes2_based on steps'!$B35:$U35,'changes2_based on steps'!$B$1:$U$1,Z$1)</f>
        <v>0</v>
      </c>
      <c r="AA35" s="179">
        <f>SUMIFS('recurring2_based on steps'!$B35:$AY35,'recurring2_based on steps'!$B$1:$AY$1,AA$1)+SUMIFS('changes2_based on steps'!$B35:$U35,'changes2_based on steps'!$B$1:$U$1,AA$1)</f>
        <v>0</v>
      </c>
      <c r="AB35" s="179">
        <f>SUMIFS('recurring2_based on steps'!$B35:$AY35,'recurring2_based on steps'!$B$1:$AY$1,AB$1)+SUMIFS('changes2_based on steps'!$B35:$U35,'changes2_based on steps'!$B$1:$U$1,AB$1)</f>
        <v>0</v>
      </c>
      <c r="AC35" s="179">
        <f>SUMIFS('recurring2_based on steps'!$B35:$AY35,'recurring2_based on steps'!$B$1:$AY$1,AC$1)+SUMIFS('changes2_based on steps'!$B35:$U35,'changes2_based on steps'!$B$1:$U$1,AC$1)</f>
        <v>0</v>
      </c>
      <c r="AD35" s="179">
        <f>SUMIFS('recurring2_based on steps'!$B35:$AY35,'recurring2_based on steps'!$B$1:$AY$1,AD$1)+SUMIFS('changes2_based on steps'!$B35:$U35,'changes2_based on steps'!$B$1:$U$1,AD$1)</f>
        <v>0</v>
      </c>
      <c r="AE35" s="179">
        <f>SUMIFS('recurring2_based on steps'!$B35:$AY35,'recurring2_based on steps'!$B$1:$AY$1,AE$1)+SUMIFS('changes2_based on steps'!$B35:$U35,'changes2_based on steps'!$B$1:$U$1,AE$1)</f>
        <v>0</v>
      </c>
      <c r="AF35" s="179"/>
      <c r="AG35" s="179"/>
      <c r="AH35" s="179"/>
      <c r="AI35" s="179"/>
      <c r="AJ35" s="179"/>
      <c r="AK35" s="179"/>
      <c r="AL35" s="179"/>
      <c r="AM35" s="179"/>
    </row>
    <row r="36" spans="1:39" x14ac:dyDescent="0.2">
      <c r="A36" s="32">
        <f t="shared" ca="1" si="0"/>
        <v>45778</v>
      </c>
      <c r="B36" s="179">
        <f>SUMIFS('recurring2_based on steps'!$B36:$AY36,'recurring2_based on steps'!$B$1:$AY$1,B$1)+SUMIFS('changes2_based on steps'!$B36:$U36,'changes2_based on steps'!$B$1:$U$1,B$1)</f>
        <v>0</v>
      </c>
      <c r="C36" s="179">
        <f>SUMIFS('recurring2_based on steps'!$B36:$AY36,'recurring2_based on steps'!$B$1:$AY$1,C$1)+SUMIFS('changes2_based on steps'!$B36:$U36,'changes2_based on steps'!$B$1:$U$1,C$1)</f>
        <v>0</v>
      </c>
      <c r="D36" s="179">
        <f>SUMIFS('recurring2_based on steps'!$B36:$AY36,'recurring2_based on steps'!$B$1:$AY$1,D$1)+SUMIFS('changes2_based on steps'!$B36:$U36,'changes2_based on steps'!$B$1:$U$1,D$1)</f>
        <v>0</v>
      </c>
      <c r="E36" s="179">
        <f>SUMIFS('recurring2_based on steps'!$B36:$AY36,'recurring2_based on steps'!$B$1:$AY$1,E$1)+SUMIFS('changes2_based on steps'!$B36:$U36,'changes2_based on steps'!$B$1:$U$1,E$1)</f>
        <v>0</v>
      </c>
      <c r="F36" s="179">
        <f>SUMIFS('recurring2_based on steps'!$B36:$AY36,'recurring2_based on steps'!$B$1:$AY$1,F$1)+SUMIFS('changes2_based on steps'!$B36:$U36,'changes2_based on steps'!$B$1:$U$1,F$1)</f>
        <v>0</v>
      </c>
      <c r="G36" s="179">
        <f>SUMIFS('recurring2_based on steps'!$B36:$AY36,'recurring2_based on steps'!$B$1:$AY$1,G$1)+SUMIFS('changes2_based on steps'!$B36:$U36,'changes2_based on steps'!$B$1:$U$1,G$1)</f>
        <v>0</v>
      </c>
      <c r="H36" s="179">
        <f>SUMIFS('recurring2_based on steps'!$B36:$AY36,'recurring2_based on steps'!$B$1:$AY$1,H$1)+SUMIFS('changes2_based on steps'!$B36:$U36,'changes2_based on steps'!$B$1:$U$1,H$1)</f>
        <v>0</v>
      </c>
      <c r="I36" s="179">
        <f>SUMIFS('recurring2_based on steps'!$B36:$AY36,'recurring2_based on steps'!$B$1:$AY$1,I$1)+SUMIFS('changes2_based on steps'!$B36:$U36,'changes2_based on steps'!$B$1:$U$1,I$1)</f>
        <v>0</v>
      </c>
      <c r="J36" s="179">
        <f>SUMIFS('recurring2_based on steps'!$B36:$AY36,'recurring2_based on steps'!$B$1:$AY$1,J$1)+SUMIFS('changes2_based on steps'!$B36:$U36,'changes2_based on steps'!$B$1:$U$1,J$1)</f>
        <v>0</v>
      </c>
      <c r="K36" s="179">
        <f>SUMIFS('recurring2_based on steps'!$B36:$AY36,'recurring2_based on steps'!$B$1:$AY$1,K$1)+SUMIFS('changes2_based on steps'!$B36:$U36,'changes2_based on steps'!$B$1:$U$1,K$1)</f>
        <v>0</v>
      </c>
      <c r="L36" s="179">
        <f>SUMIFS('recurring2_based on steps'!$B36:$AY36,'recurring2_based on steps'!$B$1:$AY$1,L$1)+SUMIFS('changes2_based on steps'!$B36:$U36,'changes2_based on steps'!$B$1:$U$1,L$1)</f>
        <v>0</v>
      </c>
      <c r="M36" s="179">
        <f>SUMIFS('recurring2_based on steps'!$B36:$AY36,'recurring2_based on steps'!$B$1:$AY$1,M$1)+SUMIFS('changes2_based on steps'!$B36:$U36,'changes2_based on steps'!$B$1:$U$1,M$1)</f>
        <v>0</v>
      </c>
      <c r="N36" s="179">
        <f>SUMIFS('recurring2_based on steps'!$B36:$AY36,'recurring2_based on steps'!$B$1:$AY$1,N$1)+SUMIFS('changes2_based on steps'!$B36:$U36,'changes2_based on steps'!$B$1:$U$1,N$1)</f>
        <v>0</v>
      </c>
      <c r="O36" s="179">
        <f>SUMIFS('recurring2_based on steps'!$B36:$AY36,'recurring2_based on steps'!$B$1:$AY$1,O$1)+SUMIFS('changes2_based on steps'!$B36:$U36,'changes2_based on steps'!$B$1:$U$1,O$1)</f>
        <v>0</v>
      </c>
      <c r="P36" s="179">
        <f>SUMIFS('recurring2_based on steps'!$B36:$AY36,'recurring2_based on steps'!$B$1:$AY$1,P$1)+SUMIFS('changes2_based on steps'!$B36:$U36,'changes2_based on steps'!$B$1:$U$1,P$1)</f>
        <v>0</v>
      </c>
      <c r="Q36" s="179">
        <f>SUMIFS('recurring2_based on steps'!$B36:$AY36,'recurring2_based on steps'!$B$1:$AY$1,Q$1)+SUMIFS('changes2_based on steps'!$B36:$U36,'changes2_based on steps'!$B$1:$U$1,Q$1)</f>
        <v>0</v>
      </c>
      <c r="R36" s="179">
        <f>SUMIFS('recurring2_based on steps'!$B36:$AY36,'recurring2_based on steps'!$B$1:$AY$1,R$1)+SUMIFS('changes2_based on steps'!$B36:$U36,'changes2_based on steps'!$B$1:$U$1,R$1)</f>
        <v>0</v>
      </c>
      <c r="S36" s="179">
        <f>SUMIFS('recurring2_based on steps'!$B36:$AY36,'recurring2_based on steps'!$B$1:$AY$1,S$1)+SUMIFS('changes2_based on steps'!$B36:$U36,'changes2_based on steps'!$B$1:$U$1,S$1)</f>
        <v>0</v>
      </c>
      <c r="T36" s="179">
        <f>SUMIFS('recurring2_based on steps'!$B36:$AY36,'recurring2_based on steps'!$B$1:$AY$1,T$1)+SUMIFS('changes2_based on steps'!$B36:$U36,'changes2_based on steps'!$B$1:$U$1,T$1)</f>
        <v>0</v>
      </c>
      <c r="U36" s="179">
        <f>SUMIFS('recurring2_based on steps'!$B36:$AY36,'recurring2_based on steps'!$B$1:$AY$1,U$1)+SUMIFS('changes2_based on steps'!$B36:$U36,'changes2_based on steps'!$B$1:$U$1,U$1)</f>
        <v>0</v>
      </c>
      <c r="V36" s="179">
        <f>SUMIFS('recurring2_based on steps'!$B36:$AY36,'recurring2_based on steps'!$B$1:$AY$1,V$1)+SUMIFS('changes2_based on steps'!$B36:$U36,'changes2_based on steps'!$B$1:$U$1,V$1)</f>
        <v>0</v>
      </c>
      <c r="W36" s="179">
        <f>SUMIFS('recurring2_based on steps'!$B36:$AY36,'recurring2_based on steps'!$B$1:$AY$1,W$1)+SUMIFS('changes2_based on steps'!$B36:$U36,'changes2_based on steps'!$B$1:$U$1,W$1)</f>
        <v>0</v>
      </c>
      <c r="X36" s="179">
        <f>SUMIFS('recurring2_based on steps'!$B36:$AY36,'recurring2_based on steps'!$B$1:$AY$1,X$1)+SUMIFS('changes2_based on steps'!$B36:$U36,'changes2_based on steps'!$B$1:$U$1,X$1)</f>
        <v>0</v>
      </c>
      <c r="Y36" s="179">
        <f>SUMIFS('recurring2_based on steps'!$B36:$AY36,'recurring2_based on steps'!$B$1:$AY$1,Y$1)+SUMIFS('changes2_based on steps'!$B36:$U36,'changes2_based on steps'!$B$1:$U$1,Y$1)</f>
        <v>0</v>
      </c>
      <c r="Z36" s="179">
        <f>SUMIFS('recurring2_based on steps'!$B36:$AY36,'recurring2_based on steps'!$B$1:$AY$1,Z$1)+SUMIFS('changes2_based on steps'!$B36:$U36,'changes2_based on steps'!$B$1:$U$1,Z$1)</f>
        <v>0</v>
      </c>
      <c r="AA36" s="179">
        <f>SUMIFS('recurring2_based on steps'!$B36:$AY36,'recurring2_based on steps'!$B$1:$AY$1,AA$1)+SUMIFS('changes2_based on steps'!$B36:$U36,'changes2_based on steps'!$B$1:$U$1,AA$1)</f>
        <v>0</v>
      </c>
      <c r="AB36" s="179">
        <f>SUMIFS('recurring2_based on steps'!$B36:$AY36,'recurring2_based on steps'!$B$1:$AY$1,AB$1)+SUMIFS('changes2_based on steps'!$B36:$U36,'changes2_based on steps'!$B$1:$U$1,AB$1)</f>
        <v>0</v>
      </c>
      <c r="AC36" s="179">
        <f>SUMIFS('recurring2_based on steps'!$B36:$AY36,'recurring2_based on steps'!$B$1:$AY$1,AC$1)+SUMIFS('changes2_based on steps'!$B36:$U36,'changes2_based on steps'!$B$1:$U$1,AC$1)</f>
        <v>0</v>
      </c>
      <c r="AD36" s="179">
        <f>SUMIFS('recurring2_based on steps'!$B36:$AY36,'recurring2_based on steps'!$B$1:$AY$1,AD$1)+SUMIFS('changes2_based on steps'!$B36:$U36,'changes2_based on steps'!$B$1:$U$1,AD$1)</f>
        <v>0</v>
      </c>
      <c r="AE36" s="179">
        <f>SUMIFS('recurring2_based on steps'!$B36:$AY36,'recurring2_based on steps'!$B$1:$AY$1,AE$1)+SUMIFS('changes2_based on steps'!$B36:$U36,'changes2_based on steps'!$B$1:$U$1,AE$1)</f>
        <v>0</v>
      </c>
      <c r="AF36" s="179"/>
      <c r="AG36" s="179"/>
      <c r="AH36" s="179"/>
      <c r="AI36" s="179"/>
      <c r="AJ36" s="179"/>
      <c r="AK36" s="179"/>
      <c r="AL36" s="179"/>
      <c r="AM36" s="179"/>
    </row>
    <row r="37" spans="1:39" x14ac:dyDescent="0.2">
      <c r="A37" s="32">
        <f t="shared" ca="1" si="0"/>
        <v>45779</v>
      </c>
      <c r="B37" s="179">
        <f>SUMIFS('recurring2_based on steps'!$B37:$AY37,'recurring2_based on steps'!$B$1:$AY$1,B$1)+SUMIFS('changes2_based on steps'!$B37:$U37,'changes2_based on steps'!$B$1:$U$1,B$1)</f>
        <v>0</v>
      </c>
      <c r="C37" s="179">
        <f>SUMIFS('recurring2_based on steps'!$B37:$AY37,'recurring2_based on steps'!$B$1:$AY$1,C$1)+SUMIFS('changes2_based on steps'!$B37:$U37,'changes2_based on steps'!$B$1:$U$1,C$1)</f>
        <v>0</v>
      </c>
      <c r="D37" s="179">
        <f>SUMIFS('recurring2_based on steps'!$B37:$AY37,'recurring2_based on steps'!$B$1:$AY$1,D$1)+SUMIFS('changes2_based on steps'!$B37:$U37,'changes2_based on steps'!$B$1:$U$1,D$1)</f>
        <v>0</v>
      </c>
      <c r="E37" s="179">
        <f>SUMIFS('recurring2_based on steps'!$B37:$AY37,'recurring2_based on steps'!$B$1:$AY$1,E$1)+SUMIFS('changes2_based on steps'!$B37:$U37,'changes2_based on steps'!$B$1:$U$1,E$1)</f>
        <v>0</v>
      </c>
      <c r="F37" s="179">
        <f>SUMIFS('recurring2_based on steps'!$B37:$AY37,'recurring2_based on steps'!$B$1:$AY$1,F$1)+SUMIFS('changes2_based on steps'!$B37:$U37,'changes2_based on steps'!$B$1:$U$1,F$1)</f>
        <v>0</v>
      </c>
      <c r="G37" s="179">
        <f>SUMIFS('recurring2_based on steps'!$B37:$AY37,'recurring2_based on steps'!$B$1:$AY$1,G$1)+SUMIFS('changes2_based on steps'!$B37:$U37,'changes2_based on steps'!$B$1:$U$1,G$1)</f>
        <v>0</v>
      </c>
      <c r="H37" s="179">
        <f>SUMIFS('recurring2_based on steps'!$B37:$AY37,'recurring2_based on steps'!$B$1:$AY$1,H$1)+SUMIFS('changes2_based on steps'!$B37:$U37,'changes2_based on steps'!$B$1:$U$1,H$1)</f>
        <v>0</v>
      </c>
      <c r="I37" s="179">
        <f>SUMIFS('recurring2_based on steps'!$B37:$AY37,'recurring2_based on steps'!$B$1:$AY$1,I$1)+SUMIFS('changes2_based on steps'!$B37:$U37,'changes2_based on steps'!$B$1:$U$1,I$1)</f>
        <v>0</v>
      </c>
      <c r="J37" s="179">
        <f>SUMIFS('recurring2_based on steps'!$B37:$AY37,'recurring2_based on steps'!$B$1:$AY$1,J$1)+SUMIFS('changes2_based on steps'!$B37:$U37,'changes2_based on steps'!$B$1:$U$1,J$1)</f>
        <v>0</v>
      </c>
      <c r="K37" s="179">
        <f>SUMIFS('recurring2_based on steps'!$B37:$AY37,'recurring2_based on steps'!$B$1:$AY$1,K$1)+SUMIFS('changes2_based on steps'!$B37:$U37,'changes2_based on steps'!$B$1:$U$1,K$1)</f>
        <v>0</v>
      </c>
      <c r="L37" s="179">
        <f>SUMIFS('recurring2_based on steps'!$B37:$AY37,'recurring2_based on steps'!$B$1:$AY$1,L$1)+SUMIFS('changes2_based on steps'!$B37:$U37,'changes2_based on steps'!$B$1:$U$1,L$1)</f>
        <v>0</v>
      </c>
      <c r="M37" s="179">
        <f>SUMIFS('recurring2_based on steps'!$B37:$AY37,'recurring2_based on steps'!$B$1:$AY$1,M$1)+SUMIFS('changes2_based on steps'!$B37:$U37,'changes2_based on steps'!$B$1:$U$1,M$1)</f>
        <v>0</v>
      </c>
      <c r="N37" s="179">
        <f>SUMIFS('recurring2_based on steps'!$B37:$AY37,'recurring2_based on steps'!$B$1:$AY$1,N$1)+SUMIFS('changes2_based on steps'!$B37:$U37,'changes2_based on steps'!$B$1:$U$1,N$1)</f>
        <v>0</v>
      </c>
      <c r="O37" s="179">
        <f>SUMIFS('recurring2_based on steps'!$B37:$AY37,'recurring2_based on steps'!$B$1:$AY$1,O$1)+SUMIFS('changes2_based on steps'!$B37:$U37,'changes2_based on steps'!$B$1:$U$1,O$1)</f>
        <v>0</v>
      </c>
      <c r="P37" s="179">
        <f>SUMIFS('recurring2_based on steps'!$B37:$AY37,'recurring2_based on steps'!$B$1:$AY$1,P$1)+SUMIFS('changes2_based on steps'!$B37:$U37,'changes2_based on steps'!$B$1:$U$1,P$1)</f>
        <v>0</v>
      </c>
      <c r="Q37" s="179">
        <f>SUMIFS('recurring2_based on steps'!$B37:$AY37,'recurring2_based on steps'!$B$1:$AY$1,Q$1)+SUMIFS('changes2_based on steps'!$B37:$U37,'changes2_based on steps'!$B$1:$U$1,Q$1)</f>
        <v>0</v>
      </c>
      <c r="R37" s="179">
        <f>SUMIFS('recurring2_based on steps'!$B37:$AY37,'recurring2_based on steps'!$B$1:$AY$1,R$1)+SUMIFS('changes2_based on steps'!$B37:$U37,'changes2_based on steps'!$B$1:$U$1,R$1)</f>
        <v>0</v>
      </c>
      <c r="S37" s="179">
        <f>SUMIFS('recurring2_based on steps'!$B37:$AY37,'recurring2_based on steps'!$B$1:$AY$1,S$1)+SUMIFS('changes2_based on steps'!$B37:$U37,'changes2_based on steps'!$B$1:$U$1,S$1)</f>
        <v>0</v>
      </c>
      <c r="T37" s="179">
        <f>SUMIFS('recurring2_based on steps'!$B37:$AY37,'recurring2_based on steps'!$B$1:$AY$1,T$1)+SUMIFS('changes2_based on steps'!$B37:$U37,'changes2_based on steps'!$B$1:$U$1,T$1)</f>
        <v>0</v>
      </c>
      <c r="U37" s="179">
        <f>SUMIFS('recurring2_based on steps'!$B37:$AY37,'recurring2_based on steps'!$B$1:$AY$1,U$1)+SUMIFS('changes2_based on steps'!$B37:$U37,'changes2_based on steps'!$B$1:$U$1,U$1)</f>
        <v>0</v>
      </c>
      <c r="V37" s="179">
        <f>SUMIFS('recurring2_based on steps'!$B37:$AY37,'recurring2_based on steps'!$B$1:$AY$1,V$1)+SUMIFS('changes2_based on steps'!$B37:$U37,'changes2_based on steps'!$B$1:$U$1,V$1)</f>
        <v>0</v>
      </c>
      <c r="W37" s="179">
        <f>SUMIFS('recurring2_based on steps'!$B37:$AY37,'recurring2_based on steps'!$B$1:$AY$1,W$1)+SUMIFS('changes2_based on steps'!$B37:$U37,'changes2_based on steps'!$B$1:$U$1,W$1)</f>
        <v>0</v>
      </c>
      <c r="X37" s="179">
        <f>SUMIFS('recurring2_based on steps'!$B37:$AY37,'recurring2_based on steps'!$B$1:$AY$1,X$1)+SUMIFS('changes2_based on steps'!$B37:$U37,'changes2_based on steps'!$B$1:$U$1,X$1)</f>
        <v>0</v>
      </c>
      <c r="Y37" s="179">
        <f>SUMIFS('recurring2_based on steps'!$B37:$AY37,'recurring2_based on steps'!$B$1:$AY$1,Y$1)+SUMIFS('changes2_based on steps'!$B37:$U37,'changes2_based on steps'!$B$1:$U$1,Y$1)</f>
        <v>0</v>
      </c>
      <c r="Z37" s="179">
        <f>SUMIFS('recurring2_based on steps'!$B37:$AY37,'recurring2_based on steps'!$B$1:$AY$1,Z$1)+SUMIFS('changes2_based on steps'!$B37:$U37,'changes2_based on steps'!$B$1:$U$1,Z$1)</f>
        <v>0</v>
      </c>
      <c r="AA37" s="179">
        <f>SUMIFS('recurring2_based on steps'!$B37:$AY37,'recurring2_based on steps'!$B$1:$AY$1,AA$1)+SUMIFS('changes2_based on steps'!$B37:$U37,'changes2_based on steps'!$B$1:$U$1,AA$1)</f>
        <v>0</v>
      </c>
      <c r="AB37" s="179">
        <f>SUMIFS('recurring2_based on steps'!$B37:$AY37,'recurring2_based on steps'!$B$1:$AY$1,AB$1)+SUMIFS('changes2_based on steps'!$B37:$U37,'changes2_based on steps'!$B$1:$U$1,AB$1)</f>
        <v>0</v>
      </c>
      <c r="AC37" s="179">
        <f>SUMIFS('recurring2_based on steps'!$B37:$AY37,'recurring2_based on steps'!$B$1:$AY$1,AC$1)+SUMIFS('changes2_based on steps'!$B37:$U37,'changes2_based on steps'!$B$1:$U$1,AC$1)</f>
        <v>0</v>
      </c>
      <c r="AD37" s="179">
        <f>SUMIFS('recurring2_based on steps'!$B37:$AY37,'recurring2_based on steps'!$B$1:$AY$1,AD$1)+SUMIFS('changes2_based on steps'!$B37:$U37,'changes2_based on steps'!$B$1:$U$1,AD$1)</f>
        <v>0</v>
      </c>
      <c r="AE37" s="179">
        <f>SUMIFS('recurring2_based on steps'!$B37:$AY37,'recurring2_based on steps'!$B$1:$AY$1,AE$1)+SUMIFS('changes2_based on steps'!$B37:$U37,'changes2_based on steps'!$B$1:$U$1,AE$1)</f>
        <v>0</v>
      </c>
      <c r="AF37" s="179"/>
      <c r="AG37" s="179"/>
      <c r="AH37" s="179"/>
      <c r="AI37" s="179"/>
      <c r="AJ37" s="179"/>
      <c r="AK37" s="179"/>
      <c r="AL37" s="179"/>
      <c r="AM37" s="179"/>
    </row>
    <row r="38" spans="1:39" x14ac:dyDescent="0.2">
      <c r="A38" s="32">
        <f t="shared" ca="1" si="0"/>
        <v>45780</v>
      </c>
      <c r="B38" s="179">
        <f>SUMIFS('recurring2_based on steps'!$B38:$AY38,'recurring2_based on steps'!$B$1:$AY$1,B$1)+SUMIFS('changes2_based on steps'!$B38:$U38,'changes2_based on steps'!$B$1:$U$1,B$1)</f>
        <v>0</v>
      </c>
      <c r="C38" s="179">
        <f>SUMIFS('recurring2_based on steps'!$B38:$AY38,'recurring2_based on steps'!$B$1:$AY$1,C$1)+SUMIFS('changes2_based on steps'!$B38:$U38,'changes2_based on steps'!$B$1:$U$1,C$1)</f>
        <v>0</v>
      </c>
      <c r="D38" s="179">
        <f>SUMIFS('recurring2_based on steps'!$B38:$AY38,'recurring2_based on steps'!$B$1:$AY$1,D$1)+SUMIFS('changes2_based on steps'!$B38:$U38,'changes2_based on steps'!$B$1:$U$1,D$1)</f>
        <v>0</v>
      </c>
      <c r="E38" s="179">
        <f>SUMIFS('recurring2_based on steps'!$B38:$AY38,'recurring2_based on steps'!$B$1:$AY$1,E$1)+SUMIFS('changes2_based on steps'!$B38:$U38,'changes2_based on steps'!$B$1:$U$1,E$1)</f>
        <v>0</v>
      </c>
      <c r="F38" s="179">
        <f>SUMIFS('recurring2_based on steps'!$B38:$AY38,'recurring2_based on steps'!$B$1:$AY$1,F$1)+SUMIFS('changes2_based on steps'!$B38:$U38,'changes2_based on steps'!$B$1:$U$1,F$1)</f>
        <v>0</v>
      </c>
      <c r="G38" s="179">
        <f>SUMIFS('recurring2_based on steps'!$B38:$AY38,'recurring2_based on steps'!$B$1:$AY$1,G$1)+SUMIFS('changes2_based on steps'!$B38:$U38,'changes2_based on steps'!$B$1:$U$1,G$1)</f>
        <v>0</v>
      </c>
      <c r="H38" s="179">
        <f>SUMIFS('recurring2_based on steps'!$B38:$AY38,'recurring2_based on steps'!$B$1:$AY$1,H$1)+SUMIFS('changes2_based on steps'!$B38:$U38,'changes2_based on steps'!$B$1:$U$1,H$1)</f>
        <v>0</v>
      </c>
      <c r="I38" s="179">
        <f>SUMIFS('recurring2_based on steps'!$B38:$AY38,'recurring2_based on steps'!$B$1:$AY$1,I$1)+SUMIFS('changes2_based on steps'!$B38:$U38,'changes2_based on steps'!$B$1:$U$1,I$1)</f>
        <v>0</v>
      </c>
      <c r="J38" s="179">
        <f>SUMIFS('recurring2_based on steps'!$B38:$AY38,'recurring2_based on steps'!$B$1:$AY$1,J$1)+SUMIFS('changes2_based on steps'!$B38:$U38,'changes2_based on steps'!$B$1:$U$1,J$1)</f>
        <v>0</v>
      </c>
      <c r="K38" s="179">
        <f>SUMIFS('recurring2_based on steps'!$B38:$AY38,'recurring2_based on steps'!$B$1:$AY$1,K$1)+SUMIFS('changes2_based on steps'!$B38:$U38,'changes2_based on steps'!$B$1:$U$1,K$1)</f>
        <v>0</v>
      </c>
      <c r="L38" s="179">
        <f>SUMIFS('recurring2_based on steps'!$B38:$AY38,'recurring2_based on steps'!$B$1:$AY$1,L$1)+SUMIFS('changes2_based on steps'!$B38:$U38,'changes2_based on steps'!$B$1:$U$1,L$1)</f>
        <v>0</v>
      </c>
      <c r="M38" s="179">
        <f>SUMIFS('recurring2_based on steps'!$B38:$AY38,'recurring2_based on steps'!$B$1:$AY$1,M$1)+SUMIFS('changes2_based on steps'!$B38:$U38,'changes2_based on steps'!$B$1:$U$1,M$1)</f>
        <v>0</v>
      </c>
      <c r="N38" s="179">
        <f>SUMIFS('recurring2_based on steps'!$B38:$AY38,'recurring2_based on steps'!$B$1:$AY$1,N$1)+SUMIFS('changes2_based on steps'!$B38:$U38,'changes2_based on steps'!$B$1:$U$1,N$1)</f>
        <v>0</v>
      </c>
      <c r="O38" s="179">
        <f>SUMIFS('recurring2_based on steps'!$B38:$AY38,'recurring2_based on steps'!$B$1:$AY$1,O$1)+SUMIFS('changes2_based on steps'!$B38:$U38,'changes2_based on steps'!$B$1:$U$1,O$1)</f>
        <v>0</v>
      </c>
      <c r="P38" s="179">
        <f>SUMIFS('recurring2_based on steps'!$B38:$AY38,'recurring2_based on steps'!$B$1:$AY$1,P$1)+SUMIFS('changes2_based on steps'!$B38:$U38,'changes2_based on steps'!$B$1:$U$1,P$1)</f>
        <v>0</v>
      </c>
      <c r="Q38" s="179">
        <f>SUMIFS('recurring2_based on steps'!$B38:$AY38,'recurring2_based on steps'!$B$1:$AY$1,Q$1)+SUMIFS('changes2_based on steps'!$B38:$U38,'changes2_based on steps'!$B$1:$U$1,Q$1)</f>
        <v>0</v>
      </c>
      <c r="R38" s="179">
        <f>SUMIFS('recurring2_based on steps'!$B38:$AY38,'recurring2_based on steps'!$B$1:$AY$1,R$1)+SUMIFS('changes2_based on steps'!$B38:$U38,'changes2_based on steps'!$B$1:$U$1,R$1)</f>
        <v>0</v>
      </c>
      <c r="S38" s="179">
        <f>SUMIFS('recurring2_based on steps'!$B38:$AY38,'recurring2_based on steps'!$B$1:$AY$1,S$1)+SUMIFS('changes2_based on steps'!$B38:$U38,'changes2_based on steps'!$B$1:$U$1,S$1)</f>
        <v>0</v>
      </c>
      <c r="T38" s="179">
        <f>SUMIFS('recurring2_based on steps'!$B38:$AY38,'recurring2_based on steps'!$B$1:$AY$1,T$1)+SUMIFS('changes2_based on steps'!$B38:$U38,'changes2_based on steps'!$B$1:$U$1,T$1)</f>
        <v>0</v>
      </c>
      <c r="U38" s="179">
        <f>SUMIFS('recurring2_based on steps'!$B38:$AY38,'recurring2_based on steps'!$B$1:$AY$1,U$1)+SUMIFS('changes2_based on steps'!$B38:$U38,'changes2_based on steps'!$B$1:$U$1,U$1)</f>
        <v>0</v>
      </c>
      <c r="V38" s="179">
        <f>SUMIFS('recurring2_based on steps'!$B38:$AY38,'recurring2_based on steps'!$B$1:$AY$1,V$1)+SUMIFS('changes2_based on steps'!$B38:$U38,'changes2_based on steps'!$B$1:$U$1,V$1)</f>
        <v>0</v>
      </c>
      <c r="W38" s="179">
        <f>SUMIFS('recurring2_based on steps'!$B38:$AY38,'recurring2_based on steps'!$B$1:$AY$1,W$1)+SUMIFS('changes2_based on steps'!$B38:$U38,'changes2_based on steps'!$B$1:$U$1,W$1)</f>
        <v>0</v>
      </c>
      <c r="X38" s="179">
        <f>SUMIFS('recurring2_based on steps'!$B38:$AY38,'recurring2_based on steps'!$B$1:$AY$1,X$1)+SUMIFS('changes2_based on steps'!$B38:$U38,'changes2_based on steps'!$B$1:$U$1,X$1)</f>
        <v>0</v>
      </c>
      <c r="Y38" s="179">
        <f>SUMIFS('recurring2_based on steps'!$B38:$AY38,'recurring2_based on steps'!$B$1:$AY$1,Y$1)+SUMIFS('changes2_based on steps'!$B38:$U38,'changes2_based on steps'!$B$1:$U$1,Y$1)</f>
        <v>0</v>
      </c>
      <c r="Z38" s="179">
        <f>SUMIFS('recurring2_based on steps'!$B38:$AY38,'recurring2_based on steps'!$B$1:$AY$1,Z$1)+SUMIFS('changes2_based on steps'!$B38:$U38,'changes2_based on steps'!$B$1:$U$1,Z$1)</f>
        <v>0</v>
      </c>
      <c r="AA38" s="179">
        <f>SUMIFS('recurring2_based on steps'!$B38:$AY38,'recurring2_based on steps'!$B$1:$AY$1,AA$1)+SUMIFS('changes2_based on steps'!$B38:$U38,'changes2_based on steps'!$B$1:$U$1,AA$1)</f>
        <v>0</v>
      </c>
      <c r="AB38" s="179">
        <f>SUMIFS('recurring2_based on steps'!$B38:$AY38,'recurring2_based on steps'!$B$1:$AY$1,AB$1)+SUMIFS('changes2_based on steps'!$B38:$U38,'changes2_based on steps'!$B$1:$U$1,AB$1)</f>
        <v>0</v>
      </c>
      <c r="AC38" s="179">
        <f>SUMIFS('recurring2_based on steps'!$B38:$AY38,'recurring2_based on steps'!$B$1:$AY$1,AC$1)+SUMIFS('changes2_based on steps'!$B38:$U38,'changes2_based on steps'!$B$1:$U$1,AC$1)</f>
        <v>0</v>
      </c>
      <c r="AD38" s="179">
        <f>SUMIFS('recurring2_based on steps'!$B38:$AY38,'recurring2_based on steps'!$B$1:$AY$1,AD$1)+SUMIFS('changes2_based on steps'!$B38:$U38,'changes2_based on steps'!$B$1:$U$1,AD$1)</f>
        <v>0</v>
      </c>
      <c r="AE38" s="179">
        <f>SUMIFS('recurring2_based on steps'!$B38:$AY38,'recurring2_based on steps'!$B$1:$AY$1,AE$1)+SUMIFS('changes2_based on steps'!$B38:$U38,'changes2_based on steps'!$B$1:$U$1,AE$1)</f>
        <v>0</v>
      </c>
      <c r="AF38" s="179"/>
      <c r="AG38" s="179"/>
      <c r="AH38" s="179"/>
      <c r="AI38" s="179"/>
      <c r="AJ38" s="179"/>
      <c r="AK38" s="179"/>
      <c r="AL38" s="179"/>
      <c r="AM38" s="179"/>
    </row>
    <row r="39" spans="1:39" x14ac:dyDescent="0.2">
      <c r="A39" s="32">
        <f t="shared" ca="1" si="0"/>
        <v>45781</v>
      </c>
      <c r="B39" s="179">
        <f>SUMIFS('recurring2_based on steps'!$B39:$AY39,'recurring2_based on steps'!$B$1:$AY$1,B$1)+SUMIFS('changes2_based on steps'!$B39:$U39,'changes2_based on steps'!$B$1:$U$1,B$1)</f>
        <v>0</v>
      </c>
      <c r="C39" s="179">
        <f>SUMIFS('recurring2_based on steps'!$B39:$AY39,'recurring2_based on steps'!$B$1:$AY$1,C$1)+SUMIFS('changes2_based on steps'!$B39:$U39,'changes2_based on steps'!$B$1:$U$1,C$1)</f>
        <v>0</v>
      </c>
      <c r="D39" s="179">
        <f>SUMIFS('recurring2_based on steps'!$B39:$AY39,'recurring2_based on steps'!$B$1:$AY$1,D$1)+SUMIFS('changes2_based on steps'!$B39:$U39,'changes2_based on steps'!$B$1:$U$1,D$1)</f>
        <v>0</v>
      </c>
      <c r="E39" s="179">
        <f>SUMIFS('recurring2_based on steps'!$B39:$AY39,'recurring2_based on steps'!$B$1:$AY$1,E$1)+SUMIFS('changes2_based on steps'!$B39:$U39,'changes2_based on steps'!$B$1:$U$1,E$1)</f>
        <v>0</v>
      </c>
      <c r="F39" s="179">
        <f>SUMIFS('recurring2_based on steps'!$B39:$AY39,'recurring2_based on steps'!$B$1:$AY$1,F$1)+SUMIFS('changes2_based on steps'!$B39:$U39,'changes2_based on steps'!$B$1:$U$1,F$1)</f>
        <v>0</v>
      </c>
      <c r="G39" s="179">
        <f>SUMIFS('recurring2_based on steps'!$B39:$AY39,'recurring2_based on steps'!$B$1:$AY$1,G$1)+SUMIFS('changes2_based on steps'!$B39:$U39,'changes2_based on steps'!$B$1:$U$1,G$1)</f>
        <v>0</v>
      </c>
      <c r="H39" s="179">
        <f>SUMIFS('recurring2_based on steps'!$B39:$AY39,'recurring2_based on steps'!$B$1:$AY$1,H$1)+SUMIFS('changes2_based on steps'!$B39:$U39,'changes2_based on steps'!$B$1:$U$1,H$1)</f>
        <v>0</v>
      </c>
      <c r="I39" s="179">
        <f>SUMIFS('recurring2_based on steps'!$B39:$AY39,'recurring2_based on steps'!$B$1:$AY$1,I$1)+SUMIFS('changes2_based on steps'!$B39:$U39,'changes2_based on steps'!$B$1:$U$1,I$1)</f>
        <v>0</v>
      </c>
      <c r="J39" s="179">
        <f>SUMIFS('recurring2_based on steps'!$B39:$AY39,'recurring2_based on steps'!$B$1:$AY$1,J$1)+SUMIFS('changes2_based on steps'!$B39:$U39,'changes2_based on steps'!$B$1:$U$1,J$1)</f>
        <v>0</v>
      </c>
      <c r="K39" s="179">
        <f>SUMIFS('recurring2_based on steps'!$B39:$AY39,'recurring2_based on steps'!$B$1:$AY$1,K$1)+SUMIFS('changes2_based on steps'!$B39:$U39,'changes2_based on steps'!$B$1:$U$1,K$1)</f>
        <v>0</v>
      </c>
      <c r="L39" s="179">
        <f>SUMIFS('recurring2_based on steps'!$B39:$AY39,'recurring2_based on steps'!$B$1:$AY$1,L$1)+SUMIFS('changes2_based on steps'!$B39:$U39,'changes2_based on steps'!$B$1:$U$1,L$1)</f>
        <v>0</v>
      </c>
      <c r="M39" s="179">
        <f>SUMIFS('recurring2_based on steps'!$B39:$AY39,'recurring2_based on steps'!$B$1:$AY$1,M$1)+SUMIFS('changes2_based on steps'!$B39:$U39,'changes2_based on steps'!$B$1:$U$1,M$1)</f>
        <v>0</v>
      </c>
      <c r="N39" s="179">
        <f>SUMIFS('recurring2_based on steps'!$B39:$AY39,'recurring2_based on steps'!$B$1:$AY$1,N$1)+SUMIFS('changes2_based on steps'!$B39:$U39,'changes2_based on steps'!$B$1:$U$1,N$1)</f>
        <v>0</v>
      </c>
      <c r="O39" s="179">
        <f>SUMIFS('recurring2_based on steps'!$B39:$AY39,'recurring2_based on steps'!$B$1:$AY$1,O$1)+SUMIFS('changes2_based on steps'!$B39:$U39,'changes2_based on steps'!$B$1:$U$1,O$1)</f>
        <v>0</v>
      </c>
      <c r="P39" s="179">
        <f>SUMIFS('recurring2_based on steps'!$B39:$AY39,'recurring2_based on steps'!$B$1:$AY$1,P$1)+SUMIFS('changes2_based on steps'!$B39:$U39,'changes2_based on steps'!$B$1:$U$1,P$1)</f>
        <v>0</v>
      </c>
      <c r="Q39" s="179">
        <f>SUMIFS('recurring2_based on steps'!$B39:$AY39,'recurring2_based on steps'!$B$1:$AY$1,Q$1)+SUMIFS('changes2_based on steps'!$B39:$U39,'changes2_based on steps'!$B$1:$U$1,Q$1)</f>
        <v>0</v>
      </c>
      <c r="R39" s="179">
        <f>SUMIFS('recurring2_based on steps'!$B39:$AY39,'recurring2_based on steps'!$B$1:$AY$1,R$1)+SUMIFS('changes2_based on steps'!$B39:$U39,'changes2_based on steps'!$B$1:$U$1,R$1)</f>
        <v>0</v>
      </c>
      <c r="S39" s="179">
        <f>SUMIFS('recurring2_based on steps'!$B39:$AY39,'recurring2_based on steps'!$B$1:$AY$1,S$1)+SUMIFS('changes2_based on steps'!$B39:$U39,'changes2_based on steps'!$B$1:$U$1,S$1)</f>
        <v>0</v>
      </c>
      <c r="T39" s="179">
        <f>SUMIFS('recurring2_based on steps'!$B39:$AY39,'recurring2_based on steps'!$B$1:$AY$1,T$1)+SUMIFS('changes2_based on steps'!$B39:$U39,'changes2_based on steps'!$B$1:$U$1,T$1)</f>
        <v>0</v>
      </c>
      <c r="U39" s="179">
        <f>SUMIFS('recurring2_based on steps'!$B39:$AY39,'recurring2_based on steps'!$B$1:$AY$1,U$1)+SUMIFS('changes2_based on steps'!$B39:$U39,'changes2_based on steps'!$B$1:$U$1,U$1)</f>
        <v>0</v>
      </c>
      <c r="V39" s="179">
        <f>SUMIFS('recurring2_based on steps'!$B39:$AY39,'recurring2_based on steps'!$B$1:$AY$1,V$1)+SUMIFS('changes2_based on steps'!$B39:$U39,'changes2_based on steps'!$B$1:$U$1,V$1)</f>
        <v>0</v>
      </c>
      <c r="W39" s="179">
        <f>SUMIFS('recurring2_based on steps'!$B39:$AY39,'recurring2_based on steps'!$B$1:$AY$1,W$1)+SUMIFS('changes2_based on steps'!$B39:$U39,'changes2_based on steps'!$B$1:$U$1,W$1)</f>
        <v>0</v>
      </c>
      <c r="X39" s="179">
        <f>SUMIFS('recurring2_based on steps'!$B39:$AY39,'recurring2_based on steps'!$B$1:$AY$1,X$1)+SUMIFS('changes2_based on steps'!$B39:$U39,'changes2_based on steps'!$B$1:$U$1,X$1)</f>
        <v>0</v>
      </c>
      <c r="Y39" s="179">
        <f>SUMIFS('recurring2_based on steps'!$B39:$AY39,'recurring2_based on steps'!$B$1:$AY$1,Y$1)+SUMIFS('changes2_based on steps'!$B39:$U39,'changes2_based on steps'!$B$1:$U$1,Y$1)</f>
        <v>0</v>
      </c>
      <c r="Z39" s="179">
        <f>SUMIFS('recurring2_based on steps'!$B39:$AY39,'recurring2_based on steps'!$B$1:$AY$1,Z$1)+SUMIFS('changes2_based on steps'!$B39:$U39,'changes2_based on steps'!$B$1:$U$1,Z$1)</f>
        <v>0</v>
      </c>
      <c r="AA39" s="179">
        <f>SUMIFS('recurring2_based on steps'!$B39:$AY39,'recurring2_based on steps'!$B$1:$AY$1,AA$1)+SUMIFS('changes2_based on steps'!$B39:$U39,'changes2_based on steps'!$B$1:$U$1,AA$1)</f>
        <v>0</v>
      </c>
      <c r="AB39" s="179">
        <f>SUMIFS('recurring2_based on steps'!$B39:$AY39,'recurring2_based on steps'!$B$1:$AY$1,AB$1)+SUMIFS('changes2_based on steps'!$B39:$U39,'changes2_based on steps'!$B$1:$U$1,AB$1)</f>
        <v>0</v>
      </c>
      <c r="AC39" s="179">
        <f>SUMIFS('recurring2_based on steps'!$B39:$AY39,'recurring2_based on steps'!$B$1:$AY$1,AC$1)+SUMIFS('changes2_based on steps'!$B39:$U39,'changes2_based on steps'!$B$1:$U$1,AC$1)</f>
        <v>0</v>
      </c>
      <c r="AD39" s="179">
        <f>SUMIFS('recurring2_based on steps'!$B39:$AY39,'recurring2_based on steps'!$B$1:$AY$1,AD$1)+SUMIFS('changes2_based on steps'!$B39:$U39,'changes2_based on steps'!$B$1:$U$1,AD$1)</f>
        <v>0</v>
      </c>
      <c r="AE39" s="179">
        <f>SUMIFS('recurring2_based on steps'!$B39:$AY39,'recurring2_based on steps'!$B$1:$AY$1,AE$1)+SUMIFS('changes2_based on steps'!$B39:$U39,'changes2_based on steps'!$B$1:$U$1,AE$1)</f>
        <v>0</v>
      </c>
      <c r="AF39" s="179"/>
      <c r="AG39" s="179"/>
      <c r="AH39" s="179"/>
      <c r="AI39" s="179"/>
      <c r="AJ39" s="179"/>
      <c r="AK39" s="179"/>
      <c r="AL39" s="179"/>
      <c r="AM39" s="179"/>
    </row>
    <row r="40" spans="1:39" x14ac:dyDescent="0.2">
      <c r="A40" s="32">
        <f t="shared" ca="1" si="0"/>
        <v>45782</v>
      </c>
      <c r="B40" s="179">
        <f>SUMIFS('recurring2_based on steps'!$B40:$AY40,'recurring2_based on steps'!$B$1:$AY$1,B$1)+SUMIFS('changes2_based on steps'!$B40:$U40,'changes2_based on steps'!$B$1:$U$1,B$1)</f>
        <v>0</v>
      </c>
      <c r="C40" s="179">
        <f>SUMIFS('recurring2_based on steps'!$B40:$AY40,'recurring2_based on steps'!$B$1:$AY$1,C$1)+SUMIFS('changes2_based on steps'!$B40:$U40,'changes2_based on steps'!$B$1:$U$1,C$1)</f>
        <v>0</v>
      </c>
      <c r="D40" s="179">
        <f>SUMIFS('recurring2_based on steps'!$B40:$AY40,'recurring2_based on steps'!$B$1:$AY$1,D$1)+SUMIFS('changes2_based on steps'!$B40:$U40,'changes2_based on steps'!$B$1:$U$1,D$1)</f>
        <v>0</v>
      </c>
      <c r="E40" s="179">
        <f>SUMIFS('recurring2_based on steps'!$B40:$AY40,'recurring2_based on steps'!$B$1:$AY$1,E$1)+SUMIFS('changes2_based on steps'!$B40:$U40,'changes2_based on steps'!$B$1:$U$1,E$1)</f>
        <v>0</v>
      </c>
      <c r="F40" s="179">
        <f>SUMIFS('recurring2_based on steps'!$B40:$AY40,'recurring2_based on steps'!$B$1:$AY$1,F$1)+SUMIFS('changes2_based on steps'!$B40:$U40,'changes2_based on steps'!$B$1:$U$1,F$1)</f>
        <v>0</v>
      </c>
      <c r="G40" s="179">
        <f>SUMIFS('recurring2_based on steps'!$B40:$AY40,'recurring2_based on steps'!$B$1:$AY$1,G$1)+SUMIFS('changes2_based on steps'!$B40:$U40,'changes2_based on steps'!$B$1:$U$1,G$1)</f>
        <v>0</v>
      </c>
      <c r="H40" s="179">
        <f>SUMIFS('recurring2_based on steps'!$B40:$AY40,'recurring2_based on steps'!$B$1:$AY$1,H$1)+SUMIFS('changes2_based on steps'!$B40:$U40,'changes2_based on steps'!$B$1:$U$1,H$1)</f>
        <v>0</v>
      </c>
      <c r="I40" s="179">
        <f>SUMIFS('recurring2_based on steps'!$B40:$AY40,'recurring2_based on steps'!$B$1:$AY$1,I$1)+SUMIFS('changes2_based on steps'!$B40:$U40,'changes2_based on steps'!$B$1:$U$1,I$1)</f>
        <v>0</v>
      </c>
      <c r="J40" s="179">
        <f>SUMIFS('recurring2_based on steps'!$B40:$AY40,'recurring2_based on steps'!$B$1:$AY$1,J$1)+SUMIFS('changes2_based on steps'!$B40:$U40,'changes2_based on steps'!$B$1:$U$1,J$1)</f>
        <v>0</v>
      </c>
      <c r="K40" s="179">
        <f>SUMIFS('recurring2_based on steps'!$B40:$AY40,'recurring2_based on steps'!$B$1:$AY$1,K$1)+SUMIFS('changes2_based on steps'!$B40:$U40,'changes2_based on steps'!$B$1:$U$1,K$1)</f>
        <v>0</v>
      </c>
      <c r="L40" s="179">
        <f>SUMIFS('recurring2_based on steps'!$B40:$AY40,'recurring2_based on steps'!$B$1:$AY$1,L$1)+SUMIFS('changes2_based on steps'!$B40:$U40,'changes2_based on steps'!$B$1:$U$1,L$1)</f>
        <v>0</v>
      </c>
      <c r="M40" s="179">
        <f>SUMIFS('recurring2_based on steps'!$B40:$AY40,'recurring2_based on steps'!$B$1:$AY$1,M$1)+SUMIFS('changes2_based on steps'!$B40:$U40,'changes2_based on steps'!$B$1:$U$1,M$1)</f>
        <v>0</v>
      </c>
      <c r="N40" s="179">
        <f>SUMIFS('recurring2_based on steps'!$B40:$AY40,'recurring2_based on steps'!$B$1:$AY$1,N$1)+SUMIFS('changes2_based on steps'!$B40:$U40,'changes2_based on steps'!$B$1:$U$1,N$1)</f>
        <v>0</v>
      </c>
      <c r="O40" s="179">
        <f>SUMIFS('recurring2_based on steps'!$B40:$AY40,'recurring2_based on steps'!$B$1:$AY$1,O$1)+SUMIFS('changes2_based on steps'!$B40:$U40,'changes2_based on steps'!$B$1:$U$1,O$1)</f>
        <v>0</v>
      </c>
      <c r="P40" s="179">
        <f>SUMIFS('recurring2_based on steps'!$B40:$AY40,'recurring2_based on steps'!$B$1:$AY$1,P$1)+SUMIFS('changes2_based on steps'!$B40:$U40,'changes2_based on steps'!$B$1:$U$1,P$1)</f>
        <v>0</v>
      </c>
      <c r="Q40" s="179">
        <f>SUMIFS('recurring2_based on steps'!$B40:$AY40,'recurring2_based on steps'!$B$1:$AY$1,Q$1)+SUMIFS('changes2_based on steps'!$B40:$U40,'changes2_based on steps'!$B$1:$U$1,Q$1)</f>
        <v>0</v>
      </c>
      <c r="R40" s="179">
        <f>SUMIFS('recurring2_based on steps'!$B40:$AY40,'recurring2_based on steps'!$B$1:$AY$1,R$1)+SUMIFS('changes2_based on steps'!$B40:$U40,'changes2_based on steps'!$B$1:$U$1,R$1)</f>
        <v>0</v>
      </c>
      <c r="S40" s="179">
        <f>SUMIFS('recurring2_based on steps'!$B40:$AY40,'recurring2_based on steps'!$B$1:$AY$1,S$1)+SUMIFS('changes2_based on steps'!$B40:$U40,'changes2_based on steps'!$B$1:$U$1,S$1)</f>
        <v>0</v>
      </c>
      <c r="T40" s="179">
        <f>SUMIFS('recurring2_based on steps'!$B40:$AY40,'recurring2_based on steps'!$B$1:$AY$1,T$1)+SUMIFS('changes2_based on steps'!$B40:$U40,'changes2_based on steps'!$B$1:$U$1,T$1)</f>
        <v>0</v>
      </c>
      <c r="U40" s="179">
        <f>SUMIFS('recurring2_based on steps'!$B40:$AY40,'recurring2_based on steps'!$B$1:$AY$1,U$1)+SUMIFS('changes2_based on steps'!$B40:$U40,'changes2_based on steps'!$B$1:$U$1,U$1)</f>
        <v>0</v>
      </c>
      <c r="V40" s="179">
        <f>SUMIFS('recurring2_based on steps'!$B40:$AY40,'recurring2_based on steps'!$B$1:$AY$1,V$1)+SUMIFS('changes2_based on steps'!$B40:$U40,'changes2_based on steps'!$B$1:$U$1,V$1)</f>
        <v>0</v>
      </c>
      <c r="W40" s="179">
        <f>SUMIFS('recurring2_based on steps'!$B40:$AY40,'recurring2_based on steps'!$B$1:$AY$1,W$1)+SUMIFS('changes2_based on steps'!$B40:$U40,'changes2_based on steps'!$B$1:$U$1,W$1)</f>
        <v>0</v>
      </c>
      <c r="X40" s="179">
        <f>SUMIFS('recurring2_based on steps'!$B40:$AY40,'recurring2_based on steps'!$B$1:$AY$1,X$1)+SUMIFS('changes2_based on steps'!$B40:$U40,'changes2_based on steps'!$B$1:$U$1,X$1)</f>
        <v>0</v>
      </c>
      <c r="Y40" s="179">
        <f>SUMIFS('recurring2_based on steps'!$B40:$AY40,'recurring2_based on steps'!$B$1:$AY$1,Y$1)+SUMIFS('changes2_based on steps'!$B40:$U40,'changes2_based on steps'!$B$1:$U$1,Y$1)</f>
        <v>0</v>
      </c>
      <c r="Z40" s="179">
        <f>SUMIFS('recurring2_based on steps'!$B40:$AY40,'recurring2_based on steps'!$B$1:$AY$1,Z$1)+SUMIFS('changes2_based on steps'!$B40:$U40,'changes2_based on steps'!$B$1:$U$1,Z$1)</f>
        <v>0</v>
      </c>
      <c r="AA40" s="179">
        <f>SUMIFS('recurring2_based on steps'!$B40:$AY40,'recurring2_based on steps'!$B$1:$AY$1,AA$1)+SUMIFS('changes2_based on steps'!$B40:$U40,'changes2_based on steps'!$B$1:$U$1,AA$1)</f>
        <v>0</v>
      </c>
      <c r="AB40" s="179">
        <f>SUMIFS('recurring2_based on steps'!$B40:$AY40,'recurring2_based on steps'!$B$1:$AY$1,AB$1)+SUMIFS('changes2_based on steps'!$B40:$U40,'changes2_based on steps'!$B$1:$U$1,AB$1)</f>
        <v>0</v>
      </c>
      <c r="AC40" s="179">
        <f>SUMIFS('recurring2_based on steps'!$B40:$AY40,'recurring2_based on steps'!$B$1:$AY$1,AC$1)+SUMIFS('changes2_based on steps'!$B40:$U40,'changes2_based on steps'!$B$1:$U$1,AC$1)</f>
        <v>0</v>
      </c>
      <c r="AD40" s="179">
        <f>SUMIFS('recurring2_based on steps'!$B40:$AY40,'recurring2_based on steps'!$B$1:$AY$1,AD$1)+SUMIFS('changes2_based on steps'!$B40:$U40,'changes2_based on steps'!$B$1:$U$1,AD$1)</f>
        <v>0</v>
      </c>
      <c r="AE40" s="179">
        <f>SUMIFS('recurring2_based on steps'!$B40:$AY40,'recurring2_based on steps'!$B$1:$AY$1,AE$1)+SUMIFS('changes2_based on steps'!$B40:$U40,'changes2_based on steps'!$B$1:$U$1,AE$1)</f>
        <v>0</v>
      </c>
      <c r="AF40" s="179"/>
      <c r="AG40" s="179"/>
      <c r="AH40" s="179"/>
      <c r="AI40" s="179"/>
      <c r="AJ40" s="179"/>
      <c r="AK40" s="179"/>
      <c r="AL40" s="179"/>
      <c r="AM40" s="179"/>
    </row>
    <row r="41" spans="1:39" x14ac:dyDescent="0.2">
      <c r="A41" s="32">
        <f t="shared" ca="1" si="0"/>
        <v>45783</v>
      </c>
      <c r="B41" s="179">
        <f>SUMIFS('recurring2_based on steps'!$B41:$AY41,'recurring2_based on steps'!$B$1:$AY$1,B$1)+SUMIFS('changes2_based on steps'!$B41:$U41,'changes2_based on steps'!$B$1:$U$1,B$1)</f>
        <v>0</v>
      </c>
      <c r="C41" s="179">
        <f>SUMIFS('recurring2_based on steps'!$B41:$AY41,'recurring2_based on steps'!$B$1:$AY$1,C$1)+SUMIFS('changes2_based on steps'!$B41:$U41,'changes2_based on steps'!$B$1:$U$1,C$1)</f>
        <v>0</v>
      </c>
      <c r="D41" s="179">
        <f>SUMIFS('recurring2_based on steps'!$B41:$AY41,'recurring2_based on steps'!$B$1:$AY$1,D$1)+SUMIFS('changes2_based on steps'!$B41:$U41,'changes2_based on steps'!$B$1:$U$1,D$1)</f>
        <v>0</v>
      </c>
      <c r="E41" s="179">
        <f>SUMIFS('recurring2_based on steps'!$B41:$AY41,'recurring2_based on steps'!$B$1:$AY$1,E$1)+SUMIFS('changes2_based on steps'!$B41:$U41,'changes2_based on steps'!$B$1:$U$1,E$1)</f>
        <v>0</v>
      </c>
      <c r="F41" s="179">
        <f>SUMIFS('recurring2_based on steps'!$B41:$AY41,'recurring2_based on steps'!$B$1:$AY$1,F$1)+SUMIFS('changes2_based on steps'!$B41:$U41,'changes2_based on steps'!$B$1:$U$1,F$1)</f>
        <v>0</v>
      </c>
      <c r="G41" s="179">
        <f>SUMIFS('recurring2_based on steps'!$B41:$AY41,'recurring2_based on steps'!$B$1:$AY$1,G$1)+SUMIFS('changes2_based on steps'!$B41:$U41,'changes2_based on steps'!$B$1:$U$1,G$1)</f>
        <v>0</v>
      </c>
      <c r="H41" s="179">
        <f>SUMIFS('recurring2_based on steps'!$B41:$AY41,'recurring2_based on steps'!$B$1:$AY$1,H$1)+SUMIFS('changes2_based on steps'!$B41:$U41,'changes2_based on steps'!$B$1:$U$1,H$1)</f>
        <v>0</v>
      </c>
      <c r="I41" s="179">
        <f>SUMIFS('recurring2_based on steps'!$B41:$AY41,'recurring2_based on steps'!$B$1:$AY$1,I$1)+SUMIFS('changes2_based on steps'!$B41:$U41,'changes2_based on steps'!$B$1:$U$1,I$1)</f>
        <v>0</v>
      </c>
      <c r="J41" s="179">
        <f>SUMIFS('recurring2_based on steps'!$B41:$AY41,'recurring2_based on steps'!$B$1:$AY$1,J$1)+SUMIFS('changes2_based on steps'!$B41:$U41,'changes2_based on steps'!$B$1:$U$1,J$1)</f>
        <v>0</v>
      </c>
      <c r="K41" s="179">
        <f>SUMIFS('recurring2_based on steps'!$B41:$AY41,'recurring2_based on steps'!$B$1:$AY$1,K$1)+SUMIFS('changes2_based on steps'!$B41:$U41,'changes2_based on steps'!$B$1:$U$1,K$1)</f>
        <v>0</v>
      </c>
      <c r="L41" s="179">
        <f>SUMIFS('recurring2_based on steps'!$B41:$AY41,'recurring2_based on steps'!$B$1:$AY$1,L$1)+SUMIFS('changes2_based on steps'!$B41:$U41,'changes2_based on steps'!$B$1:$U$1,L$1)</f>
        <v>0</v>
      </c>
      <c r="M41" s="179">
        <f>SUMIFS('recurring2_based on steps'!$B41:$AY41,'recurring2_based on steps'!$B$1:$AY$1,M$1)+SUMIFS('changes2_based on steps'!$B41:$U41,'changes2_based on steps'!$B$1:$U$1,M$1)</f>
        <v>0</v>
      </c>
      <c r="N41" s="179">
        <f>SUMIFS('recurring2_based on steps'!$B41:$AY41,'recurring2_based on steps'!$B$1:$AY$1,N$1)+SUMIFS('changes2_based on steps'!$B41:$U41,'changes2_based on steps'!$B$1:$U$1,N$1)</f>
        <v>0</v>
      </c>
      <c r="O41" s="179">
        <f>SUMIFS('recurring2_based on steps'!$B41:$AY41,'recurring2_based on steps'!$B$1:$AY$1,O$1)+SUMIFS('changes2_based on steps'!$B41:$U41,'changes2_based on steps'!$B$1:$U$1,O$1)</f>
        <v>0</v>
      </c>
      <c r="P41" s="179">
        <f>SUMIFS('recurring2_based on steps'!$B41:$AY41,'recurring2_based on steps'!$B$1:$AY$1,P$1)+SUMIFS('changes2_based on steps'!$B41:$U41,'changes2_based on steps'!$B$1:$U$1,P$1)</f>
        <v>0</v>
      </c>
      <c r="Q41" s="179">
        <f>SUMIFS('recurring2_based on steps'!$B41:$AY41,'recurring2_based on steps'!$B$1:$AY$1,Q$1)+SUMIFS('changes2_based on steps'!$B41:$U41,'changes2_based on steps'!$B$1:$U$1,Q$1)</f>
        <v>0</v>
      </c>
      <c r="R41" s="179">
        <f>SUMIFS('recurring2_based on steps'!$B41:$AY41,'recurring2_based on steps'!$B$1:$AY$1,R$1)+SUMIFS('changes2_based on steps'!$B41:$U41,'changes2_based on steps'!$B$1:$U$1,R$1)</f>
        <v>0</v>
      </c>
      <c r="S41" s="179">
        <f>SUMIFS('recurring2_based on steps'!$B41:$AY41,'recurring2_based on steps'!$B$1:$AY$1,S$1)+SUMIFS('changes2_based on steps'!$B41:$U41,'changes2_based on steps'!$B$1:$U$1,S$1)</f>
        <v>0</v>
      </c>
      <c r="T41" s="179">
        <f>SUMIFS('recurring2_based on steps'!$B41:$AY41,'recurring2_based on steps'!$B$1:$AY$1,T$1)+SUMIFS('changes2_based on steps'!$B41:$U41,'changes2_based on steps'!$B$1:$U$1,T$1)</f>
        <v>0</v>
      </c>
      <c r="U41" s="179">
        <f>SUMIFS('recurring2_based on steps'!$B41:$AY41,'recurring2_based on steps'!$B$1:$AY$1,U$1)+SUMIFS('changes2_based on steps'!$B41:$U41,'changes2_based on steps'!$B$1:$U$1,U$1)</f>
        <v>0</v>
      </c>
      <c r="V41" s="179">
        <f>SUMIFS('recurring2_based on steps'!$B41:$AY41,'recurring2_based on steps'!$B$1:$AY$1,V$1)+SUMIFS('changes2_based on steps'!$B41:$U41,'changes2_based on steps'!$B$1:$U$1,V$1)</f>
        <v>0</v>
      </c>
      <c r="W41" s="179">
        <f>SUMIFS('recurring2_based on steps'!$B41:$AY41,'recurring2_based on steps'!$B$1:$AY$1,W$1)+SUMIFS('changes2_based on steps'!$B41:$U41,'changes2_based on steps'!$B$1:$U$1,W$1)</f>
        <v>0</v>
      </c>
      <c r="X41" s="179">
        <f>SUMIFS('recurring2_based on steps'!$B41:$AY41,'recurring2_based on steps'!$B$1:$AY$1,X$1)+SUMIFS('changes2_based on steps'!$B41:$U41,'changes2_based on steps'!$B$1:$U$1,X$1)</f>
        <v>0</v>
      </c>
      <c r="Y41" s="179">
        <f>SUMIFS('recurring2_based on steps'!$B41:$AY41,'recurring2_based on steps'!$B$1:$AY$1,Y$1)+SUMIFS('changes2_based on steps'!$B41:$U41,'changes2_based on steps'!$B$1:$U$1,Y$1)</f>
        <v>0</v>
      </c>
      <c r="Z41" s="179">
        <f>SUMIFS('recurring2_based on steps'!$B41:$AY41,'recurring2_based on steps'!$B$1:$AY$1,Z$1)+SUMIFS('changes2_based on steps'!$B41:$U41,'changes2_based on steps'!$B$1:$U$1,Z$1)</f>
        <v>0</v>
      </c>
      <c r="AA41" s="179">
        <f>SUMIFS('recurring2_based on steps'!$B41:$AY41,'recurring2_based on steps'!$B$1:$AY$1,AA$1)+SUMIFS('changes2_based on steps'!$B41:$U41,'changes2_based on steps'!$B$1:$U$1,AA$1)</f>
        <v>0</v>
      </c>
      <c r="AB41" s="179">
        <f>SUMIFS('recurring2_based on steps'!$B41:$AY41,'recurring2_based on steps'!$B$1:$AY$1,AB$1)+SUMIFS('changes2_based on steps'!$B41:$U41,'changes2_based on steps'!$B$1:$U$1,AB$1)</f>
        <v>0</v>
      </c>
      <c r="AC41" s="179">
        <f>SUMIFS('recurring2_based on steps'!$B41:$AY41,'recurring2_based on steps'!$B$1:$AY$1,AC$1)+SUMIFS('changes2_based on steps'!$B41:$U41,'changes2_based on steps'!$B$1:$U$1,AC$1)</f>
        <v>0</v>
      </c>
      <c r="AD41" s="179">
        <f>SUMIFS('recurring2_based on steps'!$B41:$AY41,'recurring2_based on steps'!$B$1:$AY$1,AD$1)+SUMIFS('changes2_based on steps'!$B41:$U41,'changes2_based on steps'!$B$1:$U$1,AD$1)</f>
        <v>0</v>
      </c>
      <c r="AE41" s="179">
        <f>SUMIFS('recurring2_based on steps'!$B41:$AY41,'recurring2_based on steps'!$B$1:$AY$1,AE$1)+SUMIFS('changes2_based on steps'!$B41:$U41,'changes2_based on steps'!$B$1:$U$1,AE$1)</f>
        <v>0</v>
      </c>
      <c r="AF41" s="179"/>
      <c r="AG41" s="179"/>
      <c r="AH41" s="179"/>
      <c r="AI41" s="179"/>
      <c r="AJ41" s="179"/>
      <c r="AK41" s="179"/>
      <c r="AL41" s="179"/>
      <c r="AM41" s="179"/>
    </row>
    <row r="42" spans="1:39" x14ac:dyDescent="0.2">
      <c r="A42" s="32">
        <f t="shared" ca="1" si="0"/>
        <v>45784</v>
      </c>
      <c r="B42" s="179">
        <f>SUMIFS('recurring2_based on steps'!$B42:$AY42,'recurring2_based on steps'!$B$1:$AY$1,B$1)+SUMIFS('changes2_based on steps'!$B42:$U42,'changes2_based on steps'!$B$1:$U$1,B$1)</f>
        <v>0</v>
      </c>
      <c r="C42" s="179">
        <f>SUMIFS('recurring2_based on steps'!$B42:$AY42,'recurring2_based on steps'!$B$1:$AY$1,C$1)+SUMIFS('changes2_based on steps'!$B42:$U42,'changes2_based on steps'!$B$1:$U$1,C$1)</f>
        <v>0</v>
      </c>
      <c r="D42" s="179">
        <f>SUMIFS('recurring2_based on steps'!$B42:$AY42,'recurring2_based on steps'!$B$1:$AY$1,D$1)+SUMIFS('changes2_based on steps'!$B42:$U42,'changes2_based on steps'!$B$1:$U$1,D$1)</f>
        <v>0</v>
      </c>
      <c r="E42" s="179">
        <f>SUMIFS('recurring2_based on steps'!$B42:$AY42,'recurring2_based on steps'!$B$1:$AY$1,E$1)+SUMIFS('changes2_based on steps'!$B42:$U42,'changes2_based on steps'!$B$1:$U$1,E$1)</f>
        <v>0</v>
      </c>
      <c r="F42" s="179">
        <f>SUMIFS('recurring2_based on steps'!$B42:$AY42,'recurring2_based on steps'!$B$1:$AY$1,F$1)+SUMIFS('changes2_based on steps'!$B42:$U42,'changes2_based on steps'!$B$1:$U$1,F$1)</f>
        <v>0</v>
      </c>
      <c r="G42" s="179">
        <f>SUMIFS('recurring2_based on steps'!$B42:$AY42,'recurring2_based on steps'!$B$1:$AY$1,G$1)+SUMIFS('changes2_based on steps'!$B42:$U42,'changes2_based on steps'!$B$1:$U$1,G$1)</f>
        <v>0</v>
      </c>
      <c r="H42" s="179">
        <f>SUMIFS('recurring2_based on steps'!$B42:$AY42,'recurring2_based on steps'!$B$1:$AY$1,H$1)+SUMIFS('changes2_based on steps'!$B42:$U42,'changes2_based on steps'!$B$1:$U$1,H$1)</f>
        <v>0</v>
      </c>
      <c r="I42" s="179">
        <f>SUMIFS('recurring2_based on steps'!$B42:$AY42,'recurring2_based on steps'!$B$1:$AY$1,I$1)+SUMIFS('changes2_based on steps'!$B42:$U42,'changes2_based on steps'!$B$1:$U$1,I$1)</f>
        <v>0</v>
      </c>
      <c r="J42" s="179">
        <f>SUMIFS('recurring2_based on steps'!$B42:$AY42,'recurring2_based on steps'!$B$1:$AY$1,J$1)+SUMIFS('changes2_based on steps'!$B42:$U42,'changes2_based on steps'!$B$1:$U$1,J$1)</f>
        <v>0</v>
      </c>
      <c r="K42" s="179">
        <f>SUMIFS('recurring2_based on steps'!$B42:$AY42,'recurring2_based on steps'!$B$1:$AY$1,K$1)+SUMIFS('changes2_based on steps'!$B42:$U42,'changes2_based on steps'!$B$1:$U$1,K$1)</f>
        <v>0</v>
      </c>
      <c r="L42" s="179">
        <f>SUMIFS('recurring2_based on steps'!$B42:$AY42,'recurring2_based on steps'!$B$1:$AY$1,L$1)+SUMIFS('changes2_based on steps'!$B42:$U42,'changes2_based on steps'!$B$1:$U$1,L$1)</f>
        <v>0</v>
      </c>
      <c r="M42" s="179">
        <f>SUMIFS('recurring2_based on steps'!$B42:$AY42,'recurring2_based on steps'!$B$1:$AY$1,M$1)+SUMIFS('changes2_based on steps'!$B42:$U42,'changes2_based on steps'!$B$1:$U$1,M$1)</f>
        <v>0</v>
      </c>
      <c r="N42" s="179">
        <f>SUMIFS('recurring2_based on steps'!$B42:$AY42,'recurring2_based on steps'!$B$1:$AY$1,N$1)+SUMIFS('changes2_based on steps'!$B42:$U42,'changes2_based on steps'!$B$1:$U$1,N$1)</f>
        <v>0</v>
      </c>
      <c r="O42" s="179">
        <f>SUMIFS('recurring2_based on steps'!$B42:$AY42,'recurring2_based on steps'!$B$1:$AY$1,O$1)+SUMIFS('changes2_based on steps'!$B42:$U42,'changes2_based on steps'!$B$1:$U$1,O$1)</f>
        <v>0</v>
      </c>
      <c r="P42" s="179">
        <f>SUMIFS('recurring2_based on steps'!$B42:$AY42,'recurring2_based on steps'!$B$1:$AY$1,P$1)+SUMIFS('changes2_based on steps'!$B42:$U42,'changes2_based on steps'!$B$1:$U$1,P$1)</f>
        <v>0</v>
      </c>
      <c r="Q42" s="179">
        <f>SUMIFS('recurring2_based on steps'!$B42:$AY42,'recurring2_based on steps'!$B$1:$AY$1,Q$1)+SUMIFS('changes2_based on steps'!$B42:$U42,'changes2_based on steps'!$B$1:$U$1,Q$1)</f>
        <v>0</v>
      </c>
      <c r="R42" s="179">
        <f>SUMIFS('recurring2_based on steps'!$B42:$AY42,'recurring2_based on steps'!$B$1:$AY$1,R$1)+SUMIFS('changes2_based on steps'!$B42:$U42,'changes2_based on steps'!$B$1:$U$1,R$1)</f>
        <v>0</v>
      </c>
      <c r="S42" s="179">
        <f>SUMIFS('recurring2_based on steps'!$B42:$AY42,'recurring2_based on steps'!$B$1:$AY$1,S$1)+SUMIFS('changes2_based on steps'!$B42:$U42,'changes2_based on steps'!$B$1:$U$1,S$1)</f>
        <v>0</v>
      </c>
      <c r="T42" s="179">
        <f>SUMIFS('recurring2_based on steps'!$B42:$AY42,'recurring2_based on steps'!$B$1:$AY$1,T$1)+SUMIFS('changes2_based on steps'!$B42:$U42,'changes2_based on steps'!$B$1:$U$1,T$1)</f>
        <v>0</v>
      </c>
      <c r="U42" s="179">
        <f>SUMIFS('recurring2_based on steps'!$B42:$AY42,'recurring2_based on steps'!$B$1:$AY$1,U$1)+SUMIFS('changes2_based on steps'!$B42:$U42,'changes2_based on steps'!$B$1:$U$1,U$1)</f>
        <v>0</v>
      </c>
      <c r="V42" s="179">
        <f>SUMIFS('recurring2_based on steps'!$B42:$AY42,'recurring2_based on steps'!$B$1:$AY$1,V$1)+SUMIFS('changes2_based on steps'!$B42:$U42,'changes2_based on steps'!$B$1:$U$1,V$1)</f>
        <v>0</v>
      </c>
      <c r="W42" s="179">
        <f>SUMIFS('recurring2_based on steps'!$B42:$AY42,'recurring2_based on steps'!$B$1:$AY$1,W$1)+SUMIFS('changes2_based on steps'!$B42:$U42,'changes2_based on steps'!$B$1:$U$1,W$1)</f>
        <v>0</v>
      </c>
      <c r="X42" s="179">
        <f>SUMIFS('recurring2_based on steps'!$B42:$AY42,'recurring2_based on steps'!$B$1:$AY$1,X$1)+SUMIFS('changes2_based on steps'!$B42:$U42,'changes2_based on steps'!$B$1:$U$1,X$1)</f>
        <v>0</v>
      </c>
      <c r="Y42" s="179">
        <f>SUMIFS('recurring2_based on steps'!$B42:$AY42,'recurring2_based on steps'!$B$1:$AY$1,Y$1)+SUMIFS('changes2_based on steps'!$B42:$U42,'changes2_based on steps'!$B$1:$U$1,Y$1)</f>
        <v>0</v>
      </c>
      <c r="Z42" s="179">
        <f>SUMIFS('recurring2_based on steps'!$B42:$AY42,'recurring2_based on steps'!$B$1:$AY$1,Z$1)+SUMIFS('changes2_based on steps'!$B42:$U42,'changes2_based on steps'!$B$1:$U$1,Z$1)</f>
        <v>0</v>
      </c>
      <c r="AA42" s="179">
        <f>SUMIFS('recurring2_based on steps'!$B42:$AY42,'recurring2_based on steps'!$B$1:$AY$1,AA$1)+SUMIFS('changes2_based on steps'!$B42:$U42,'changes2_based on steps'!$B$1:$U$1,AA$1)</f>
        <v>0</v>
      </c>
      <c r="AB42" s="179">
        <f>SUMIFS('recurring2_based on steps'!$B42:$AY42,'recurring2_based on steps'!$B$1:$AY$1,AB$1)+SUMIFS('changes2_based on steps'!$B42:$U42,'changes2_based on steps'!$B$1:$U$1,AB$1)</f>
        <v>0</v>
      </c>
      <c r="AC42" s="179">
        <f>SUMIFS('recurring2_based on steps'!$B42:$AY42,'recurring2_based on steps'!$B$1:$AY$1,AC$1)+SUMIFS('changes2_based on steps'!$B42:$U42,'changes2_based on steps'!$B$1:$U$1,AC$1)</f>
        <v>0</v>
      </c>
      <c r="AD42" s="179">
        <f>SUMIFS('recurring2_based on steps'!$B42:$AY42,'recurring2_based on steps'!$B$1:$AY$1,AD$1)+SUMIFS('changes2_based on steps'!$B42:$U42,'changes2_based on steps'!$B$1:$U$1,AD$1)</f>
        <v>0</v>
      </c>
      <c r="AE42" s="179">
        <f>SUMIFS('recurring2_based on steps'!$B42:$AY42,'recurring2_based on steps'!$B$1:$AY$1,AE$1)+SUMIFS('changes2_based on steps'!$B42:$U42,'changes2_based on steps'!$B$1:$U$1,AE$1)</f>
        <v>0</v>
      </c>
      <c r="AF42" s="179"/>
      <c r="AG42" s="179"/>
      <c r="AH42" s="179"/>
      <c r="AI42" s="179"/>
      <c r="AJ42" s="179"/>
      <c r="AK42" s="179"/>
      <c r="AL42" s="179"/>
      <c r="AM42" s="179"/>
    </row>
    <row r="43" spans="1:39" x14ac:dyDescent="0.2">
      <c r="A43" s="32">
        <f t="shared" ca="1" si="0"/>
        <v>45785</v>
      </c>
      <c r="B43" s="179">
        <f>SUMIFS('recurring2_based on steps'!$B43:$AY43,'recurring2_based on steps'!$B$1:$AY$1,B$1)+SUMIFS('changes2_based on steps'!$B43:$U43,'changes2_based on steps'!$B$1:$U$1,B$1)</f>
        <v>0</v>
      </c>
      <c r="C43" s="179">
        <f>SUMIFS('recurring2_based on steps'!$B43:$AY43,'recurring2_based on steps'!$B$1:$AY$1,C$1)+SUMIFS('changes2_based on steps'!$B43:$U43,'changes2_based on steps'!$B$1:$U$1,C$1)</f>
        <v>0</v>
      </c>
      <c r="D43" s="179">
        <f>SUMIFS('recurring2_based on steps'!$B43:$AY43,'recurring2_based on steps'!$B$1:$AY$1,D$1)+SUMIFS('changes2_based on steps'!$B43:$U43,'changes2_based on steps'!$B$1:$U$1,D$1)</f>
        <v>0</v>
      </c>
      <c r="E43" s="179">
        <f>SUMIFS('recurring2_based on steps'!$B43:$AY43,'recurring2_based on steps'!$B$1:$AY$1,E$1)+SUMIFS('changes2_based on steps'!$B43:$U43,'changes2_based on steps'!$B$1:$U$1,E$1)</f>
        <v>0</v>
      </c>
      <c r="F43" s="179">
        <f>SUMIFS('recurring2_based on steps'!$B43:$AY43,'recurring2_based on steps'!$B$1:$AY$1,F$1)+SUMIFS('changes2_based on steps'!$B43:$U43,'changes2_based on steps'!$B$1:$U$1,F$1)</f>
        <v>0</v>
      </c>
      <c r="G43" s="179">
        <f>SUMIFS('recurring2_based on steps'!$B43:$AY43,'recurring2_based on steps'!$B$1:$AY$1,G$1)+SUMIFS('changes2_based on steps'!$B43:$U43,'changes2_based on steps'!$B$1:$U$1,G$1)</f>
        <v>0</v>
      </c>
      <c r="H43" s="179">
        <f>SUMIFS('recurring2_based on steps'!$B43:$AY43,'recurring2_based on steps'!$B$1:$AY$1,H$1)+SUMIFS('changes2_based on steps'!$B43:$U43,'changes2_based on steps'!$B$1:$U$1,H$1)</f>
        <v>0</v>
      </c>
      <c r="I43" s="179">
        <f>SUMIFS('recurring2_based on steps'!$B43:$AY43,'recurring2_based on steps'!$B$1:$AY$1,I$1)+SUMIFS('changes2_based on steps'!$B43:$U43,'changes2_based on steps'!$B$1:$U$1,I$1)</f>
        <v>0</v>
      </c>
      <c r="J43" s="179">
        <f>SUMIFS('recurring2_based on steps'!$B43:$AY43,'recurring2_based on steps'!$B$1:$AY$1,J$1)+SUMIFS('changes2_based on steps'!$B43:$U43,'changes2_based on steps'!$B$1:$U$1,J$1)</f>
        <v>0</v>
      </c>
      <c r="K43" s="179">
        <f>SUMIFS('recurring2_based on steps'!$B43:$AY43,'recurring2_based on steps'!$B$1:$AY$1,K$1)+SUMIFS('changes2_based on steps'!$B43:$U43,'changes2_based on steps'!$B$1:$U$1,K$1)</f>
        <v>0</v>
      </c>
      <c r="L43" s="179">
        <f>SUMIFS('recurring2_based on steps'!$B43:$AY43,'recurring2_based on steps'!$B$1:$AY$1,L$1)+SUMIFS('changes2_based on steps'!$B43:$U43,'changes2_based on steps'!$B$1:$U$1,L$1)</f>
        <v>0</v>
      </c>
      <c r="M43" s="179">
        <f>SUMIFS('recurring2_based on steps'!$B43:$AY43,'recurring2_based on steps'!$B$1:$AY$1,M$1)+SUMIFS('changes2_based on steps'!$B43:$U43,'changes2_based on steps'!$B$1:$U$1,M$1)</f>
        <v>0</v>
      </c>
      <c r="N43" s="179">
        <f>SUMIFS('recurring2_based on steps'!$B43:$AY43,'recurring2_based on steps'!$B$1:$AY$1,N$1)+SUMIFS('changes2_based on steps'!$B43:$U43,'changes2_based on steps'!$B$1:$U$1,N$1)</f>
        <v>0</v>
      </c>
      <c r="O43" s="179">
        <f>SUMIFS('recurring2_based on steps'!$B43:$AY43,'recurring2_based on steps'!$B$1:$AY$1,O$1)+SUMIFS('changes2_based on steps'!$B43:$U43,'changes2_based on steps'!$B$1:$U$1,O$1)</f>
        <v>0</v>
      </c>
      <c r="P43" s="179">
        <f>SUMIFS('recurring2_based on steps'!$B43:$AY43,'recurring2_based on steps'!$B$1:$AY$1,P$1)+SUMIFS('changes2_based on steps'!$B43:$U43,'changes2_based on steps'!$B$1:$U$1,P$1)</f>
        <v>0</v>
      </c>
      <c r="Q43" s="179">
        <f>SUMIFS('recurring2_based on steps'!$B43:$AY43,'recurring2_based on steps'!$B$1:$AY$1,Q$1)+SUMIFS('changes2_based on steps'!$B43:$U43,'changes2_based on steps'!$B$1:$U$1,Q$1)</f>
        <v>0</v>
      </c>
      <c r="R43" s="179">
        <f>SUMIFS('recurring2_based on steps'!$B43:$AY43,'recurring2_based on steps'!$B$1:$AY$1,R$1)+SUMIFS('changes2_based on steps'!$B43:$U43,'changes2_based on steps'!$B$1:$U$1,R$1)</f>
        <v>0</v>
      </c>
      <c r="S43" s="179">
        <f>SUMIFS('recurring2_based on steps'!$B43:$AY43,'recurring2_based on steps'!$B$1:$AY$1,S$1)+SUMIFS('changes2_based on steps'!$B43:$U43,'changes2_based on steps'!$B$1:$U$1,S$1)</f>
        <v>0</v>
      </c>
      <c r="T43" s="179">
        <f>SUMIFS('recurring2_based on steps'!$B43:$AY43,'recurring2_based on steps'!$B$1:$AY$1,T$1)+SUMIFS('changes2_based on steps'!$B43:$U43,'changes2_based on steps'!$B$1:$U$1,T$1)</f>
        <v>0</v>
      </c>
      <c r="U43" s="179">
        <f>SUMIFS('recurring2_based on steps'!$B43:$AY43,'recurring2_based on steps'!$B$1:$AY$1,U$1)+SUMIFS('changes2_based on steps'!$B43:$U43,'changes2_based on steps'!$B$1:$U$1,U$1)</f>
        <v>0</v>
      </c>
      <c r="V43" s="179">
        <f>SUMIFS('recurring2_based on steps'!$B43:$AY43,'recurring2_based on steps'!$B$1:$AY$1,V$1)+SUMIFS('changes2_based on steps'!$B43:$U43,'changes2_based on steps'!$B$1:$U$1,V$1)</f>
        <v>0</v>
      </c>
      <c r="W43" s="179">
        <f>SUMIFS('recurring2_based on steps'!$B43:$AY43,'recurring2_based on steps'!$B$1:$AY$1,W$1)+SUMIFS('changes2_based on steps'!$B43:$U43,'changes2_based on steps'!$B$1:$U$1,W$1)</f>
        <v>0</v>
      </c>
      <c r="X43" s="179">
        <f>SUMIFS('recurring2_based on steps'!$B43:$AY43,'recurring2_based on steps'!$B$1:$AY$1,X$1)+SUMIFS('changes2_based on steps'!$B43:$U43,'changes2_based on steps'!$B$1:$U$1,X$1)</f>
        <v>0</v>
      </c>
      <c r="Y43" s="179">
        <f>SUMIFS('recurring2_based on steps'!$B43:$AY43,'recurring2_based on steps'!$B$1:$AY$1,Y$1)+SUMIFS('changes2_based on steps'!$B43:$U43,'changes2_based on steps'!$B$1:$U$1,Y$1)</f>
        <v>0</v>
      </c>
      <c r="Z43" s="179">
        <f>SUMIFS('recurring2_based on steps'!$B43:$AY43,'recurring2_based on steps'!$B$1:$AY$1,Z$1)+SUMIFS('changes2_based on steps'!$B43:$U43,'changes2_based on steps'!$B$1:$U$1,Z$1)</f>
        <v>0</v>
      </c>
      <c r="AA43" s="179">
        <f>SUMIFS('recurring2_based on steps'!$B43:$AY43,'recurring2_based on steps'!$B$1:$AY$1,AA$1)+SUMIFS('changes2_based on steps'!$B43:$U43,'changes2_based on steps'!$B$1:$U$1,AA$1)</f>
        <v>0</v>
      </c>
      <c r="AB43" s="179">
        <f>SUMIFS('recurring2_based on steps'!$B43:$AY43,'recurring2_based on steps'!$B$1:$AY$1,AB$1)+SUMIFS('changes2_based on steps'!$B43:$U43,'changes2_based on steps'!$B$1:$U$1,AB$1)</f>
        <v>0</v>
      </c>
      <c r="AC43" s="179">
        <f>SUMIFS('recurring2_based on steps'!$B43:$AY43,'recurring2_based on steps'!$B$1:$AY$1,AC$1)+SUMIFS('changes2_based on steps'!$B43:$U43,'changes2_based on steps'!$B$1:$U$1,AC$1)</f>
        <v>0</v>
      </c>
      <c r="AD43" s="179">
        <f>SUMIFS('recurring2_based on steps'!$B43:$AY43,'recurring2_based on steps'!$B$1:$AY$1,AD$1)+SUMIFS('changes2_based on steps'!$B43:$U43,'changes2_based on steps'!$B$1:$U$1,AD$1)</f>
        <v>0</v>
      </c>
      <c r="AE43" s="179">
        <f>SUMIFS('recurring2_based on steps'!$B43:$AY43,'recurring2_based on steps'!$B$1:$AY$1,AE$1)+SUMIFS('changes2_based on steps'!$B43:$U43,'changes2_based on steps'!$B$1:$U$1,AE$1)</f>
        <v>0</v>
      </c>
      <c r="AF43" s="179"/>
      <c r="AG43" s="179"/>
      <c r="AH43" s="179"/>
      <c r="AI43" s="179"/>
      <c r="AJ43" s="179"/>
      <c r="AK43" s="179"/>
      <c r="AL43" s="179"/>
      <c r="AM43" s="179"/>
    </row>
    <row r="44" spans="1:39" x14ac:dyDescent="0.2">
      <c r="A44" s="32">
        <f t="shared" ca="1" si="0"/>
        <v>45786</v>
      </c>
      <c r="B44" s="179">
        <f>SUMIFS('recurring2_based on steps'!$B44:$AY44,'recurring2_based on steps'!$B$1:$AY$1,B$1)+SUMIFS('changes2_based on steps'!$B44:$U44,'changes2_based on steps'!$B$1:$U$1,B$1)</f>
        <v>0</v>
      </c>
      <c r="C44" s="179">
        <f>SUMIFS('recurring2_based on steps'!$B44:$AY44,'recurring2_based on steps'!$B$1:$AY$1,C$1)+SUMIFS('changes2_based on steps'!$B44:$U44,'changes2_based on steps'!$B$1:$U$1,C$1)</f>
        <v>0</v>
      </c>
      <c r="D44" s="179">
        <f>SUMIFS('recurring2_based on steps'!$B44:$AY44,'recurring2_based on steps'!$B$1:$AY$1,D$1)+SUMIFS('changes2_based on steps'!$B44:$U44,'changes2_based on steps'!$B$1:$U$1,D$1)</f>
        <v>0</v>
      </c>
      <c r="E44" s="179">
        <f>SUMIFS('recurring2_based on steps'!$B44:$AY44,'recurring2_based on steps'!$B$1:$AY$1,E$1)+SUMIFS('changes2_based on steps'!$B44:$U44,'changes2_based on steps'!$B$1:$U$1,E$1)</f>
        <v>0</v>
      </c>
      <c r="F44" s="179">
        <f>SUMIFS('recurring2_based on steps'!$B44:$AY44,'recurring2_based on steps'!$B$1:$AY$1,F$1)+SUMIFS('changes2_based on steps'!$B44:$U44,'changes2_based on steps'!$B$1:$U$1,F$1)</f>
        <v>0</v>
      </c>
      <c r="G44" s="179">
        <f>SUMIFS('recurring2_based on steps'!$B44:$AY44,'recurring2_based on steps'!$B$1:$AY$1,G$1)+SUMIFS('changes2_based on steps'!$B44:$U44,'changes2_based on steps'!$B$1:$U$1,G$1)</f>
        <v>0</v>
      </c>
      <c r="H44" s="179">
        <f>SUMIFS('recurring2_based on steps'!$B44:$AY44,'recurring2_based on steps'!$B$1:$AY$1,H$1)+SUMIFS('changes2_based on steps'!$B44:$U44,'changes2_based on steps'!$B$1:$U$1,H$1)</f>
        <v>0</v>
      </c>
      <c r="I44" s="179">
        <f>SUMIFS('recurring2_based on steps'!$B44:$AY44,'recurring2_based on steps'!$B$1:$AY$1,I$1)+SUMIFS('changes2_based on steps'!$B44:$U44,'changes2_based on steps'!$B$1:$U$1,I$1)</f>
        <v>0</v>
      </c>
      <c r="J44" s="179">
        <f>SUMIFS('recurring2_based on steps'!$B44:$AY44,'recurring2_based on steps'!$B$1:$AY$1,J$1)+SUMIFS('changes2_based on steps'!$B44:$U44,'changes2_based on steps'!$B$1:$U$1,J$1)</f>
        <v>0</v>
      </c>
      <c r="K44" s="179">
        <f>SUMIFS('recurring2_based on steps'!$B44:$AY44,'recurring2_based on steps'!$B$1:$AY$1,K$1)+SUMIFS('changes2_based on steps'!$B44:$U44,'changes2_based on steps'!$B$1:$U$1,K$1)</f>
        <v>0</v>
      </c>
      <c r="L44" s="179">
        <f>SUMIFS('recurring2_based on steps'!$B44:$AY44,'recurring2_based on steps'!$B$1:$AY$1,L$1)+SUMIFS('changes2_based on steps'!$B44:$U44,'changes2_based on steps'!$B$1:$U$1,L$1)</f>
        <v>0</v>
      </c>
      <c r="M44" s="179">
        <f>SUMIFS('recurring2_based on steps'!$B44:$AY44,'recurring2_based on steps'!$B$1:$AY$1,M$1)+SUMIFS('changes2_based on steps'!$B44:$U44,'changes2_based on steps'!$B$1:$U$1,M$1)</f>
        <v>0</v>
      </c>
      <c r="N44" s="179">
        <f>SUMIFS('recurring2_based on steps'!$B44:$AY44,'recurring2_based on steps'!$B$1:$AY$1,N$1)+SUMIFS('changes2_based on steps'!$B44:$U44,'changes2_based on steps'!$B$1:$U$1,N$1)</f>
        <v>0</v>
      </c>
      <c r="O44" s="179">
        <f>SUMIFS('recurring2_based on steps'!$B44:$AY44,'recurring2_based on steps'!$B$1:$AY$1,O$1)+SUMIFS('changes2_based on steps'!$B44:$U44,'changes2_based on steps'!$B$1:$U$1,O$1)</f>
        <v>0</v>
      </c>
      <c r="P44" s="179">
        <f>SUMIFS('recurring2_based on steps'!$B44:$AY44,'recurring2_based on steps'!$B$1:$AY$1,P$1)+SUMIFS('changes2_based on steps'!$B44:$U44,'changes2_based on steps'!$B$1:$U$1,P$1)</f>
        <v>0</v>
      </c>
      <c r="Q44" s="179">
        <f>SUMIFS('recurring2_based on steps'!$B44:$AY44,'recurring2_based on steps'!$B$1:$AY$1,Q$1)+SUMIFS('changes2_based on steps'!$B44:$U44,'changes2_based on steps'!$B$1:$U$1,Q$1)</f>
        <v>0</v>
      </c>
      <c r="R44" s="179">
        <f>SUMIFS('recurring2_based on steps'!$B44:$AY44,'recurring2_based on steps'!$B$1:$AY$1,R$1)+SUMIFS('changes2_based on steps'!$B44:$U44,'changes2_based on steps'!$B$1:$U$1,R$1)</f>
        <v>0</v>
      </c>
      <c r="S44" s="179">
        <f>SUMIFS('recurring2_based on steps'!$B44:$AY44,'recurring2_based on steps'!$B$1:$AY$1,S$1)+SUMIFS('changes2_based on steps'!$B44:$U44,'changes2_based on steps'!$B$1:$U$1,S$1)</f>
        <v>0</v>
      </c>
      <c r="T44" s="179">
        <f>SUMIFS('recurring2_based on steps'!$B44:$AY44,'recurring2_based on steps'!$B$1:$AY$1,T$1)+SUMIFS('changes2_based on steps'!$B44:$U44,'changes2_based on steps'!$B$1:$U$1,T$1)</f>
        <v>0</v>
      </c>
      <c r="U44" s="179">
        <f>SUMIFS('recurring2_based on steps'!$B44:$AY44,'recurring2_based on steps'!$B$1:$AY$1,U$1)+SUMIFS('changes2_based on steps'!$B44:$U44,'changes2_based on steps'!$B$1:$U$1,U$1)</f>
        <v>0</v>
      </c>
      <c r="V44" s="179">
        <f>SUMIFS('recurring2_based on steps'!$B44:$AY44,'recurring2_based on steps'!$B$1:$AY$1,V$1)+SUMIFS('changes2_based on steps'!$B44:$U44,'changes2_based on steps'!$B$1:$U$1,V$1)</f>
        <v>0</v>
      </c>
      <c r="W44" s="179">
        <f>SUMIFS('recurring2_based on steps'!$B44:$AY44,'recurring2_based on steps'!$B$1:$AY$1,W$1)+SUMIFS('changes2_based on steps'!$B44:$U44,'changes2_based on steps'!$B$1:$U$1,W$1)</f>
        <v>0</v>
      </c>
      <c r="X44" s="179">
        <f>SUMIFS('recurring2_based on steps'!$B44:$AY44,'recurring2_based on steps'!$B$1:$AY$1,X$1)+SUMIFS('changes2_based on steps'!$B44:$U44,'changes2_based on steps'!$B$1:$U$1,X$1)</f>
        <v>0</v>
      </c>
      <c r="Y44" s="179">
        <f>SUMIFS('recurring2_based on steps'!$B44:$AY44,'recurring2_based on steps'!$B$1:$AY$1,Y$1)+SUMIFS('changes2_based on steps'!$B44:$U44,'changes2_based on steps'!$B$1:$U$1,Y$1)</f>
        <v>0</v>
      </c>
      <c r="Z44" s="179">
        <f>SUMIFS('recurring2_based on steps'!$B44:$AY44,'recurring2_based on steps'!$B$1:$AY$1,Z$1)+SUMIFS('changes2_based on steps'!$B44:$U44,'changes2_based on steps'!$B$1:$U$1,Z$1)</f>
        <v>0</v>
      </c>
      <c r="AA44" s="179">
        <f>SUMIFS('recurring2_based on steps'!$B44:$AY44,'recurring2_based on steps'!$B$1:$AY$1,AA$1)+SUMIFS('changes2_based on steps'!$B44:$U44,'changes2_based on steps'!$B$1:$U$1,AA$1)</f>
        <v>0</v>
      </c>
      <c r="AB44" s="179">
        <f>SUMIFS('recurring2_based on steps'!$B44:$AY44,'recurring2_based on steps'!$B$1:$AY$1,AB$1)+SUMIFS('changes2_based on steps'!$B44:$U44,'changes2_based on steps'!$B$1:$U$1,AB$1)</f>
        <v>0</v>
      </c>
      <c r="AC44" s="179">
        <f>SUMIFS('recurring2_based on steps'!$B44:$AY44,'recurring2_based on steps'!$B$1:$AY$1,AC$1)+SUMIFS('changes2_based on steps'!$B44:$U44,'changes2_based on steps'!$B$1:$U$1,AC$1)</f>
        <v>0</v>
      </c>
      <c r="AD44" s="179">
        <f>SUMIFS('recurring2_based on steps'!$B44:$AY44,'recurring2_based on steps'!$B$1:$AY$1,AD$1)+SUMIFS('changes2_based on steps'!$B44:$U44,'changes2_based on steps'!$B$1:$U$1,AD$1)</f>
        <v>0</v>
      </c>
      <c r="AE44" s="179">
        <f>SUMIFS('recurring2_based on steps'!$B44:$AY44,'recurring2_based on steps'!$B$1:$AY$1,AE$1)+SUMIFS('changes2_based on steps'!$B44:$U44,'changes2_based on steps'!$B$1:$U$1,AE$1)</f>
        <v>0</v>
      </c>
      <c r="AF44" s="179"/>
      <c r="AG44" s="179"/>
      <c r="AH44" s="179"/>
      <c r="AI44" s="179"/>
      <c r="AJ44" s="179"/>
      <c r="AK44" s="179"/>
      <c r="AL44" s="179"/>
      <c r="AM44" s="179"/>
    </row>
    <row r="45" spans="1:39" x14ac:dyDescent="0.2">
      <c r="A45" s="32">
        <f t="shared" ca="1" si="0"/>
        <v>45787</v>
      </c>
      <c r="B45" s="179">
        <f>SUMIFS('recurring2_based on steps'!$B45:$AY45,'recurring2_based on steps'!$B$1:$AY$1,B$1)+SUMIFS('changes2_based on steps'!$B45:$U45,'changes2_based on steps'!$B$1:$U$1,B$1)</f>
        <v>0</v>
      </c>
      <c r="C45" s="179">
        <f>SUMIFS('recurring2_based on steps'!$B45:$AY45,'recurring2_based on steps'!$B$1:$AY$1,C$1)+SUMIFS('changes2_based on steps'!$B45:$U45,'changes2_based on steps'!$B$1:$U$1,C$1)</f>
        <v>0</v>
      </c>
      <c r="D45" s="179">
        <f>SUMIFS('recurring2_based on steps'!$B45:$AY45,'recurring2_based on steps'!$B$1:$AY$1,D$1)+SUMIFS('changes2_based on steps'!$B45:$U45,'changes2_based on steps'!$B$1:$U$1,D$1)</f>
        <v>0</v>
      </c>
      <c r="E45" s="179">
        <f>SUMIFS('recurring2_based on steps'!$B45:$AY45,'recurring2_based on steps'!$B$1:$AY$1,E$1)+SUMIFS('changes2_based on steps'!$B45:$U45,'changes2_based on steps'!$B$1:$U$1,E$1)</f>
        <v>0</v>
      </c>
      <c r="F45" s="179">
        <f>SUMIFS('recurring2_based on steps'!$B45:$AY45,'recurring2_based on steps'!$B$1:$AY$1,F$1)+SUMIFS('changes2_based on steps'!$B45:$U45,'changes2_based on steps'!$B$1:$U$1,F$1)</f>
        <v>0</v>
      </c>
      <c r="G45" s="179">
        <f>SUMIFS('recurring2_based on steps'!$B45:$AY45,'recurring2_based on steps'!$B$1:$AY$1,G$1)+SUMIFS('changes2_based on steps'!$B45:$U45,'changes2_based on steps'!$B$1:$U$1,G$1)</f>
        <v>0</v>
      </c>
      <c r="H45" s="179">
        <f>SUMIFS('recurring2_based on steps'!$B45:$AY45,'recurring2_based on steps'!$B$1:$AY$1,H$1)+SUMIFS('changes2_based on steps'!$B45:$U45,'changes2_based on steps'!$B$1:$U$1,H$1)</f>
        <v>0</v>
      </c>
      <c r="I45" s="179">
        <f>SUMIFS('recurring2_based on steps'!$B45:$AY45,'recurring2_based on steps'!$B$1:$AY$1,I$1)+SUMIFS('changes2_based on steps'!$B45:$U45,'changes2_based on steps'!$B$1:$U$1,I$1)</f>
        <v>0</v>
      </c>
      <c r="J45" s="179">
        <f>SUMIFS('recurring2_based on steps'!$B45:$AY45,'recurring2_based on steps'!$B$1:$AY$1,J$1)+SUMIFS('changes2_based on steps'!$B45:$U45,'changes2_based on steps'!$B$1:$U$1,J$1)</f>
        <v>0</v>
      </c>
      <c r="K45" s="179">
        <f>SUMIFS('recurring2_based on steps'!$B45:$AY45,'recurring2_based on steps'!$B$1:$AY$1,K$1)+SUMIFS('changes2_based on steps'!$B45:$U45,'changes2_based on steps'!$B$1:$U$1,K$1)</f>
        <v>0</v>
      </c>
      <c r="L45" s="179">
        <f>SUMIFS('recurring2_based on steps'!$B45:$AY45,'recurring2_based on steps'!$B$1:$AY$1,L$1)+SUMIFS('changes2_based on steps'!$B45:$U45,'changes2_based on steps'!$B$1:$U$1,L$1)</f>
        <v>0</v>
      </c>
      <c r="M45" s="179">
        <f>SUMIFS('recurring2_based on steps'!$B45:$AY45,'recurring2_based on steps'!$B$1:$AY$1,M$1)+SUMIFS('changes2_based on steps'!$B45:$U45,'changes2_based on steps'!$B$1:$U$1,M$1)</f>
        <v>0</v>
      </c>
      <c r="N45" s="179">
        <f>SUMIFS('recurring2_based on steps'!$B45:$AY45,'recurring2_based on steps'!$B$1:$AY$1,N$1)+SUMIFS('changes2_based on steps'!$B45:$U45,'changes2_based on steps'!$B$1:$U$1,N$1)</f>
        <v>0</v>
      </c>
      <c r="O45" s="179">
        <f>SUMIFS('recurring2_based on steps'!$B45:$AY45,'recurring2_based on steps'!$B$1:$AY$1,O$1)+SUMIFS('changes2_based on steps'!$B45:$U45,'changes2_based on steps'!$B$1:$U$1,O$1)</f>
        <v>0</v>
      </c>
      <c r="P45" s="179">
        <f>SUMIFS('recurring2_based on steps'!$B45:$AY45,'recurring2_based on steps'!$B$1:$AY$1,P$1)+SUMIFS('changes2_based on steps'!$B45:$U45,'changes2_based on steps'!$B$1:$U$1,P$1)</f>
        <v>0</v>
      </c>
      <c r="Q45" s="179">
        <f>SUMIFS('recurring2_based on steps'!$B45:$AY45,'recurring2_based on steps'!$B$1:$AY$1,Q$1)+SUMIFS('changes2_based on steps'!$B45:$U45,'changes2_based on steps'!$B$1:$U$1,Q$1)</f>
        <v>0</v>
      </c>
      <c r="R45" s="179">
        <f>SUMIFS('recurring2_based on steps'!$B45:$AY45,'recurring2_based on steps'!$B$1:$AY$1,R$1)+SUMIFS('changes2_based on steps'!$B45:$U45,'changes2_based on steps'!$B$1:$U$1,R$1)</f>
        <v>0</v>
      </c>
      <c r="S45" s="179">
        <f>SUMIFS('recurring2_based on steps'!$B45:$AY45,'recurring2_based on steps'!$B$1:$AY$1,S$1)+SUMIFS('changes2_based on steps'!$B45:$U45,'changes2_based on steps'!$B$1:$U$1,S$1)</f>
        <v>0</v>
      </c>
      <c r="T45" s="179">
        <f>SUMIFS('recurring2_based on steps'!$B45:$AY45,'recurring2_based on steps'!$B$1:$AY$1,T$1)+SUMIFS('changes2_based on steps'!$B45:$U45,'changes2_based on steps'!$B$1:$U$1,T$1)</f>
        <v>0</v>
      </c>
      <c r="U45" s="179">
        <f>SUMIFS('recurring2_based on steps'!$B45:$AY45,'recurring2_based on steps'!$B$1:$AY$1,U$1)+SUMIFS('changes2_based on steps'!$B45:$U45,'changes2_based on steps'!$B$1:$U$1,U$1)</f>
        <v>0</v>
      </c>
      <c r="V45" s="179">
        <f>SUMIFS('recurring2_based on steps'!$B45:$AY45,'recurring2_based on steps'!$B$1:$AY$1,V$1)+SUMIFS('changes2_based on steps'!$B45:$U45,'changes2_based on steps'!$B$1:$U$1,V$1)</f>
        <v>0</v>
      </c>
      <c r="W45" s="179">
        <f>SUMIFS('recurring2_based on steps'!$B45:$AY45,'recurring2_based on steps'!$B$1:$AY$1,W$1)+SUMIFS('changes2_based on steps'!$B45:$U45,'changes2_based on steps'!$B$1:$U$1,W$1)</f>
        <v>0</v>
      </c>
      <c r="X45" s="179">
        <f>SUMIFS('recurring2_based on steps'!$B45:$AY45,'recurring2_based on steps'!$B$1:$AY$1,X$1)+SUMIFS('changes2_based on steps'!$B45:$U45,'changes2_based on steps'!$B$1:$U$1,X$1)</f>
        <v>0</v>
      </c>
      <c r="Y45" s="179">
        <f>SUMIFS('recurring2_based on steps'!$B45:$AY45,'recurring2_based on steps'!$B$1:$AY$1,Y$1)+SUMIFS('changes2_based on steps'!$B45:$U45,'changes2_based on steps'!$B$1:$U$1,Y$1)</f>
        <v>0</v>
      </c>
      <c r="Z45" s="179">
        <f>SUMIFS('recurring2_based on steps'!$B45:$AY45,'recurring2_based on steps'!$B$1:$AY$1,Z$1)+SUMIFS('changes2_based on steps'!$B45:$U45,'changes2_based on steps'!$B$1:$U$1,Z$1)</f>
        <v>0</v>
      </c>
      <c r="AA45" s="179">
        <f>SUMIFS('recurring2_based on steps'!$B45:$AY45,'recurring2_based on steps'!$B$1:$AY$1,AA$1)+SUMIFS('changes2_based on steps'!$B45:$U45,'changes2_based on steps'!$B$1:$U$1,AA$1)</f>
        <v>0</v>
      </c>
      <c r="AB45" s="179">
        <f>SUMIFS('recurring2_based on steps'!$B45:$AY45,'recurring2_based on steps'!$B$1:$AY$1,AB$1)+SUMIFS('changes2_based on steps'!$B45:$U45,'changes2_based on steps'!$B$1:$U$1,AB$1)</f>
        <v>0</v>
      </c>
      <c r="AC45" s="179">
        <f>SUMIFS('recurring2_based on steps'!$B45:$AY45,'recurring2_based on steps'!$B$1:$AY$1,AC$1)+SUMIFS('changes2_based on steps'!$B45:$U45,'changes2_based on steps'!$B$1:$U$1,AC$1)</f>
        <v>0</v>
      </c>
      <c r="AD45" s="179">
        <f>SUMIFS('recurring2_based on steps'!$B45:$AY45,'recurring2_based on steps'!$B$1:$AY$1,AD$1)+SUMIFS('changes2_based on steps'!$B45:$U45,'changes2_based on steps'!$B$1:$U$1,AD$1)</f>
        <v>0</v>
      </c>
      <c r="AE45" s="179">
        <f>SUMIFS('recurring2_based on steps'!$B45:$AY45,'recurring2_based on steps'!$B$1:$AY$1,AE$1)+SUMIFS('changes2_based on steps'!$B45:$U45,'changes2_based on steps'!$B$1:$U$1,AE$1)</f>
        <v>0</v>
      </c>
      <c r="AF45" s="179"/>
      <c r="AG45" s="179"/>
      <c r="AH45" s="179"/>
      <c r="AI45" s="179"/>
      <c r="AJ45" s="179"/>
      <c r="AK45" s="179"/>
      <c r="AL45" s="179"/>
      <c r="AM45" s="179"/>
    </row>
    <row r="46" spans="1:39" x14ac:dyDescent="0.2">
      <c r="A46" s="32">
        <f t="shared" ca="1" si="0"/>
        <v>45788</v>
      </c>
      <c r="B46" s="179">
        <f>SUMIFS('recurring2_based on steps'!$B46:$AY46,'recurring2_based on steps'!$B$1:$AY$1,B$1)+SUMIFS('changes2_based on steps'!$B46:$U46,'changes2_based on steps'!$B$1:$U$1,B$1)</f>
        <v>0</v>
      </c>
      <c r="C46" s="179">
        <f>SUMIFS('recurring2_based on steps'!$B46:$AY46,'recurring2_based on steps'!$B$1:$AY$1,C$1)+SUMIFS('changes2_based on steps'!$B46:$U46,'changes2_based on steps'!$B$1:$U$1,C$1)</f>
        <v>0</v>
      </c>
      <c r="D46" s="179">
        <f>SUMIFS('recurring2_based on steps'!$B46:$AY46,'recurring2_based on steps'!$B$1:$AY$1,D$1)+SUMIFS('changes2_based on steps'!$B46:$U46,'changes2_based on steps'!$B$1:$U$1,D$1)</f>
        <v>0</v>
      </c>
      <c r="E46" s="179">
        <f>SUMIFS('recurring2_based on steps'!$B46:$AY46,'recurring2_based on steps'!$B$1:$AY$1,E$1)+SUMIFS('changes2_based on steps'!$B46:$U46,'changes2_based on steps'!$B$1:$U$1,E$1)</f>
        <v>0</v>
      </c>
      <c r="F46" s="179">
        <f>SUMIFS('recurring2_based on steps'!$B46:$AY46,'recurring2_based on steps'!$B$1:$AY$1,F$1)+SUMIFS('changes2_based on steps'!$B46:$U46,'changes2_based on steps'!$B$1:$U$1,F$1)</f>
        <v>0</v>
      </c>
      <c r="G46" s="179">
        <f>SUMIFS('recurring2_based on steps'!$B46:$AY46,'recurring2_based on steps'!$B$1:$AY$1,G$1)+SUMIFS('changes2_based on steps'!$B46:$U46,'changes2_based on steps'!$B$1:$U$1,G$1)</f>
        <v>0</v>
      </c>
      <c r="H46" s="179">
        <f>SUMIFS('recurring2_based on steps'!$B46:$AY46,'recurring2_based on steps'!$B$1:$AY$1,H$1)+SUMIFS('changes2_based on steps'!$B46:$U46,'changes2_based on steps'!$B$1:$U$1,H$1)</f>
        <v>0</v>
      </c>
      <c r="I46" s="179">
        <f>SUMIFS('recurring2_based on steps'!$B46:$AY46,'recurring2_based on steps'!$B$1:$AY$1,I$1)+SUMIFS('changes2_based on steps'!$B46:$U46,'changes2_based on steps'!$B$1:$U$1,I$1)</f>
        <v>0</v>
      </c>
      <c r="J46" s="179">
        <f>SUMIFS('recurring2_based on steps'!$B46:$AY46,'recurring2_based on steps'!$B$1:$AY$1,J$1)+SUMIFS('changes2_based on steps'!$B46:$U46,'changes2_based on steps'!$B$1:$U$1,J$1)</f>
        <v>0</v>
      </c>
      <c r="K46" s="179">
        <f>SUMIFS('recurring2_based on steps'!$B46:$AY46,'recurring2_based on steps'!$B$1:$AY$1,K$1)+SUMIFS('changes2_based on steps'!$B46:$U46,'changes2_based on steps'!$B$1:$U$1,K$1)</f>
        <v>0</v>
      </c>
      <c r="L46" s="179">
        <f>SUMIFS('recurring2_based on steps'!$B46:$AY46,'recurring2_based on steps'!$B$1:$AY$1,L$1)+SUMIFS('changes2_based on steps'!$B46:$U46,'changes2_based on steps'!$B$1:$U$1,L$1)</f>
        <v>0</v>
      </c>
      <c r="M46" s="179">
        <f>SUMIFS('recurring2_based on steps'!$B46:$AY46,'recurring2_based on steps'!$B$1:$AY$1,M$1)+SUMIFS('changes2_based on steps'!$B46:$U46,'changes2_based on steps'!$B$1:$U$1,M$1)</f>
        <v>0</v>
      </c>
      <c r="N46" s="179">
        <f>SUMIFS('recurring2_based on steps'!$B46:$AY46,'recurring2_based on steps'!$B$1:$AY$1,N$1)+SUMIFS('changes2_based on steps'!$B46:$U46,'changes2_based on steps'!$B$1:$U$1,N$1)</f>
        <v>0</v>
      </c>
      <c r="O46" s="179">
        <f>SUMIFS('recurring2_based on steps'!$B46:$AY46,'recurring2_based on steps'!$B$1:$AY$1,O$1)+SUMIFS('changes2_based on steps'!$B46:$U46,'changes2_based on steps'!$B$1:$U$1,O$1)</f>
        <v>0</v>
      </c>
      <c r="P46" s="179">
        <f>SUMIFS('recurring2_based on steps'!$B46:$AY46,'recurring2_based on steps'!$B$1:$AY$1,P$1)+SUMIFS('changes2_based on steps'!$B46:$U46,'changes2_based on steps'!$B$1:$U$1,P$1)</f>
        <v>0</v>
      </c>
      <c r="Q46" s="179">
        <f>SUMIFS('recurring2_based on steps'!$B46:$AY46,'recurring2_based on steps'!$B$1:$AY$1,Q$1)+SUMIFS('changes2_based on steps'!$B46:$U46,'changes2_based on steps'!$B$1:$U$1,Q$1)</f>
        <v>0</v>
      </c>
      <c r="R46" s="179">
        <f>SUMIFS('recurring2_based on steps'!$B46:$AY46,'recurring2_based on steps'!$B$1:$AY$1,R$1)+SUMIFS('changes2_based on steps'!$B46:$U46,'changes2_based on steps'!$B$1:$U$1,R$1)</f>
        <v>0</v>
      </c>
      <c r="S46" s="179">
        <f>SUMIFS('recurring2_based on steps'!$B46:$AY46,'recurring2_based on steps'!$B$1:$AY$1,S$1)+SUMIFS('changes2_based on steps'!$B46:$U46,'changes2_based on steps'!$B$1:$U$1,S$1)</f>
        <v>0</v>
      </c>
      <c r="T46" s="179">
        <f>SUMIFS('recurring2_based on steps'!$B46:$AY46,'recurring2_based on steps'!$B$1:$AY$1,T$1)+SUMIFS('changes2_based on steps'!$B46:$U46,'changes2_based on steps'!$B$1:$U$1,T$1)</f>
        <v>0</v>
      </c>
      <c r="U46" s="179">
        <f>SUMIFS('recurring2_based on steps'!$B46:$AY46,'recurring2_based on steps'!$B$1:$AY$1,U$1)+SUMIFS('changes2_based on steps'!$B46:$U46,'changes2_based on steps'!$B$1:$U$1,U$1)</f>
        <v>0</v>
      </c>
      <c r="V46" s="179">
        <f>SUMIFS('recurring2_based on steps'!$B46:$AY46,'recurring2_based on steps'!$B$1:$AY$1,V$1)+SUMIFS('changes2_based on steps'!$B46:$U46,'changes2_based on steps'!$B$1:$U$1,V$1)</f>
        <v>0</v>
      </c>
      <c r="W46" s="179">
        <f>SUMIFS('recurring2_based on steps'!$B46:$AY46,'recurring2_based on steps'!$B$1:$AY$1,W$1)+SUMIFS('changes2_based on steps'!$B46:$U46,'changes2_based on steps'!$B$1:$U$1,W$1)</f>
        <v>0</v>
      </c>
      <c r="X46" s="179">
        <f>SUMIFS('recurring2_based on steps'!$B46:$AY46,'recurring2_based on steps'!$B$1:$AY$1,X$1)+SUMIFS('changes2_based on steps'!$B46:$U46,'changes2_based on steps'!$B$1:$U$1,X$1)</f>
        <v>0</v>
      </c>
      <c r="Y46" s="179">
        <f>SUMIFS('recurring2_based on steps'!$B46:$AY46,'recurring2_based on steps'!$B$1:$AY$1,Y$1)+SUMIFS('changes2_based on steps'!$B46:$U46,'changes2_based on steps'!$B$1:$U$1,Y$1)</f>
        <v>0</v>
      </c>
      <c r="Z46" s="179">
        <f>SUMIFS('recurring2_based on steps'!$B46:$AY46,'recurring2_based on steps'!$B$1:$AY$1,Z$1)+SUMIFS('changes2_based on steps'!$B46:$U46,'changes2_based on steps'!$B$1:$U$1,Z$1)</f>
        <v>0</v>
      </c>
      <c r="AA46" s="179">
        <f>SUMIFS('recurring2_based on steps'!$B46:$AY46,'recurring2_based on steps'!$B$1:$AY$1,AA$1)+SUMIFS('changes2_based on steps'!$B46:$U46,'changes2_based on steps'!$B$1:$U$1,AA$1)</f>
        <v>0</v>
      </c>
      <c r="AB46" s="179">
        <f>SUMIFS('recurring2_based on steps'!$B46:$AY46,'recurring2_based on steps'!$B$1:$AY$1,AB$1)+SUMIFS('changes2_based on steps'!$B46:$U46,'changes2_based on steps'!$B$1:$U$1,AB$1)</f>
        <v>0</v>
      </c>
      <c r="AC46" s="179">
        <f>SUMIFS('recurring2_based on steps'!$B46:$AY46,'recurring2_based on steps'!$B$1:$AY$1,AC$1)+SUMIFS('changes2_based on steps'!$B46:$U46,'changes2_based on steps'!$B$1:$U$1,AC$1)</f>
        <v>0</v>
      </c>
      <c r="AD46" s="179">
        <f>SUMIFS('recurring2_based on steps'!$B46:$AY46,'recurring2_based on steps'!$B$1:$AY$1,AD$1)+SUMIFS('changes2_based on steps'!$B46:$U46,'changes2_based on steps'!$B$1:$U$1,AD$1)</f>
        <v>0</v>
      </c>
      <c r="AE46" s="179">
        <f>SUMIFS('recurring2_based on steps'!$B46:$AY46,'recurring2_based on steps'!$B$1:$AY$1,AE$1)+SUMIFS('changes2_based on steps'!$B46:$U46,'changes2_based on steps'!$B$1:$U$1,AE$1)</f>
        <v>0</v>
      </c>
      <c r="AF46" s="179"/>
      <c r="AG46" s="179"/>
      <c r="AH46" s="179"/>
      <c r="AI46" s="179"/>
      <c r="AJ46" s="179"/>
      <c r="AK46" s="179"/>
      <c r="AL46" s="179"/>
      <c r="AM46" s="179"/>
    </row>
    <row r="47" spans="1:39" x14ac:dyDescent="0.2">
      <c r="A47" s="32">
        <f t="shared" ca="1" si="0"/>
        <v>45789</v>
      </c>
      <c r="B47" s="179">
        <f>SUMIFS('recurring2_based on steps'!$B47:$AY47,'recurring2_based on steps'!$B$1:$AY$1,B$1)+SUMIFS('changes2_based on steps'!$B47:$U47,'changes2_based on steps'!$B$1:$U$1,B$1)</f>
        <v>0</v>
      </c>
      <c r="C47" s="179">
        <f>SUMIFS('recurring2_based on steps'!$B47:$AY47,'recurring2_based on steps'!$B$1:$AY$1,C$1)+SUMIFS('changes2_based on steps'!$B47:$U47,'changes2_based on steps'!$B$1:$U$1,C$1)</f>
        <v>0</v>
      </c>
      <c r="D47" s="179">
        <f>SUMIFS('recurring2_based on steps'!$B47:$AY47,'recurring2_based on steps'!$B$1:$AY$1,D$1)+SUMIFS('changes2_based on steps'!$B47:$U47,'changes2_based on steps'!$B$1:$U$1,D$1)</f>
        <v>0</v>
      </c>
      <c r="E47" s="179">
        <f>SUMIFS('recurring2_based on steps'!$B47:$AY47,'recurring2_based on steps'!$B$1:$AY$1,E$1)+SUMIFS('changes2_based on steps'!$B47:$U47,'changes2_based on steps'!$B$1:$U$1,E$1)</f>
        <v>0</v>
      </c>
      <c r="F47" s="179">
        <f>SUMIFS('recurring2_based on steps'!$B47:$AY47,'recurring2_based on steps'!$B$1:$AY$1,F$1)+SUMIFS('changes2_based on steps'!$B47:$U47,'changes2_based on steps'!$B$1:$U$1,F$1)</f>
        <v>0</v>
      </c>
      <c r="G47" s="179">
        <f>SUMIFS('recurring2_based on steps'!$B47:$AY47,'recurring2_based on steps'!$B$1:$AY$1,G$1)+SUMIFS('changes2_based on steps'!$B47:$U47,'changes2_based on steps'!$B$1:$U$1,G$1)</f>
        <v>0</v>
      </c>
      <c r="H47" s="179">
        <f>SUMIFS('recurring2_based on steps'!$B47:$AY47,'recurring2_based on steps'!$B$1:$AY$1,H$1)+SUMIFS('changes2_based on steps'!$B47:$U47,'changes2_based on steps'!$B$1:$U$1,H$1)</f>
        <v>0</v>
      </c>
      <c r="I47" s="179">
        <f>SUMIFS('recurring2_based on steps'!$B47:$AY47,'recurring2_based on steps'!$B$1:$AY$1,I$1)+SUMIFS('changes2_based on steps'!$B47:$U47,'changes2_based on steps'!$B$1:$U$1,I$1)</f>
        <v>0</v>
      </c>
      <c r="J47" s="179">
        <f>SUMIFS('recurring2_based on steps'!$B47:$AY47,'recurring2_based on steps'!$B$1:$AY$1,J$1)+SUMIFS('changes2_based on steps'!$B47:$U47,'changes2_based on steps'!$B$1:$U$1,J$1)</f>
        <v>0</v>
      </c>
      <c r="K47" s="179">
        <f>SUMIFS('recurring2_based on steps'!$B47:$AY47,'recurring2_based on steps'!$B$1:$AY$1,K$1)+SUMIFS('changes2_based on steps'!$B47:$U47,'changes2_based on steps'!$B$1:$U$1,K$1)</f>
        <v>0</v>
      </c>
      <c r="L47" s="179">
        <f>SUMIFS('recurring2_based on steps'!$B47:$AY47,'recurring2_based on steps'!$B$1:$AY$1,L$1)+SUMIFS('changes2_based on steps'!$B47:$U47,'changes2_based on steps'!$B$1:$U$1,L$1)</f>
        <v>0</v>
      </c>
      <c r="M47" s="179">
        <f>SUMIFS('recurring2_based on steps'!$B47:$AY47,'recurring2_based on steps'!$B$1:$AY$1,M$1)+SUMIFS('changes2_based on steps'!$B47:$U47,'changes2_based on steps'!$B$1:$U$1,M$1)</f>
        <v>0</v>
      </c>
      <c r="N47" s="179">
        <f>SUMIFS('recurring2_based on steps'!$B47:$AY47,'recurring2_based on steps'!$B$1:$AY$1,N$1)+SUMIFS('changes2_based on steps'!$B47:$U47,'changes2_based on steps'!$B$1:$U$1,N$1)</f>
        <v>0</v>
      </c>
      <c r="O47" s="179">
        <f>SUMIFS('recurring2_based on steps'!$B47:$AY47,'recurring2_based on steps'!$B$1:$AY$1,O$1)+SUMIFS('changes2_based on steps'!$B47:$U47,'changes2_based on steps'!$B$1:$U$1,O$1)</f>
        <v>0</v>
      </c>
      <c r="P47" s="179">
        <f>SUMIFS('recurring2_based on steps'!$B47:$AY47,'recurring2_based on steps'!$B$1:$AY$1,P$1)+SUMIFS('changes2_based on steps'!$B47:$U47,'changes2_based on steps'!$B$1:$U$1,P$1)</f>
        <v>0</v>
      </c>
      <c r="Q47" s="179">
        <f>SUMIFS('recurring2_based on steps'!$B47:$AY47,'recurring2_based on steps'!$B$1:$AY$1,Q$1)+SUMIFS('changes2_based on steps'!$B47:$U47,'changes2_based on steps'!$B$1:$U$1,Q$1)</f>
        <v>0</v>
      </c>
      <c r="R47" s="179">
        <f>SUMIFS('recurring2_based on steps'!$B47:$AY47,'recurring2_based on steps'!$B$1:$AY$1,R$1)+SUMIFS('changes2_based on steps'!$B47:$U47,'changes2_based on steps'!$B$1:$U$1,R$1)</f>
        <v>0</v>
      </c>
      <c r="S47" s="179">
        <f>SUMIFS('recurring2_based on steps'!$B47:$AY47,'recurring2_based on steps'!$B$1:$AY$1,S$1)+SUMIFS('changes2_based on steps'!$B47:$U47,'changes2_based on steps'!$B$1:$U$1,S$1)</f>
        <v>0</v>
      </c>
      <c r="T47" s="179">
        <f>SUMIFS('recurring2_based on steps'!$B47:$AY47,'recurring2_based on steps'!$B$1:$AY$1,T$1)+SUMIFS('changes2_based on steps'!$B47:$U47,'changes2_based on steps'!$B$1:$U$1,T$1)</f>
        <v>0</v>
      </c>
      <c r="U47" s="179">
        <f>SUMIFS('recurring2_based on steps'!$B47:$AY47,'recurring2_based on steps'!$B$1:$AY$1,U$1)+SUMIFS('changes2_based on steps'!$B47:$U47,'changes2_based on steps'!$B$1:$U$1,U$1)</f>
        <v>0</v>
      </c>
      <c r="V47" s="179">
        <f>SUMIFS('recurring2_based on steps'!$B47:$AY47,'recurring2_based on steps'!$B$1:$AY$1,V$1)+SUMIFS('changes2_based on steps'!$B47:$U47,'changes2_based on steps'!$B$1:$U$1,V$1)</f>
        <v>0</v>
      </c>
      <c r="W47" s="179">
        <f>SUMIFS('recurring2_based on steps'!$B47:$AY47,'recurring2_based on steps'!$B$1:$AY$1,W$1)+SUMIFS('changes2_based on steps'!$B47:$U47,'changes2_based on steps'!$B$1:$U$1,W$1)</f>
        <v>0</v>
      </c>
      <c r="X47" s="179">
        <f>SUMIFS('recurring2_based on steps'!$B47:$AY47,'recurring2_based on steps'!$B$1:$AY$1,X$1)+SUMIFS('changes2_based on steps'!$B47:$U47,'changes2_based on steps'!$B$1:$U$1,X$1)</f>
        <v>0</v>
      </c>
      <c r="Y47" s="179">
        <f>SUMIFS('recurring2_based on steps'!$B47:$AY47,'recurring2_based on steps'!$B$1:$AY$1,Y$1)+SUMIFS('changes2_based on steps'!$B47:$U47,'changes2_based on steps'!$B$1:$U$1,Y$1)</f>
        <v>0</v>
      </c>
      <c r="Z47" s="179">
        <f>SUMIFS('recurring2_based on steps'!$B47:$AY47,'recurring2_based on steps'!$B$1:$AY$1,Z$1)+SUMIFS('changes2_based on steps'!$B47:$U47,'changes2_based on steps'!$B$1:$U$1,Z$1)</f>
        <v>0</v>
      </c>
      <c r="AA47" s="179">
        <f>SUMIFS('recurring2_based on steps'!$B47:$AY47,'recurring2_based on steps'!$B$1:$AY$1,AA$1)+SUMIFS('changes2_based on steps'!$B47:$U47,'changes2_based on steps'!$B$1:$U$1,AA$1)</f>
        <v>0</v>
      </c>
      <c r="AB47" s="179">
        <f>SUMIFS('recurring2_based on steps'!$B47:$AY47,'recurring2_based on steps'!$B$1:$AY$1,AB$1)+SUMIFS('changes2_based on steps'!$B47:$U47,'changes2_based on steps'!$B$1:$U$1,AB$1)</f>
        <v>0</v>
      </c>
      <c r="AC47" s="179">
        <f>SUMIFS('recurring2_based on steps'!$B47:$AY47,'recurring2_based on steps'!$B$1:$AY$1,AC$1)+SUMIFS('changes2_based on steps'!$B47:$U47,'changes2_based on steps'!$B$1:$U$1,AC$1)</f>
        <v>0</v>
      </c>
      <c r="AD47" s="179">
        <f>SUMIFS('recurring2_based on steps'!$B47:$AY47,'recurring2_based on steps'!$B$1:$AY$1,AD$1)+SUMIFS('changes2_based on steps'!$B47:$U47,'changes2_based on steps'!$B$1:$U$1,AD$1)</f>
        <v>0</v>
      </c>
      <c r="AE47" s="179">
        <f>SUMIFS('recurring2_based on steps'!$B47:$AY47,'recurring2_based on steps'!$B$1:$AY$1,AE$1)+SUMIFS('changes2_based on steps'!$B47:$U47,'changes2_based on steps'!$B$1:$U$1,AE$1)</f>
        <v>0</v>
      </c>
      <c r="AF47" s="179"/>
      <c r="AG47" s="179"/>
      <c r="AH47" s="179"/>
      <c r="AI47" s="179"/>
      <c r="AJ47" s="179"/>
      <c r="AK47" s="179"/>
      <c r="AL47" s="179"/>
      <c r="AM47" s="179"/>
    </row>
    <row r="48" spans="1:39" x14ac:dyDescent="0.2">
      <c r="A48" s="32">
        <f t="shared" ca="1" si="0"/>
        <v>45790</v>
      </c>
      <c r="B48" s="179">
        <f>SUMIFS('recurring2_based on steps'!$B48:$AY48,'recurring2_based on steps'!$B$1:$AY$1,B$1)+SUMIFS('changes2_based on steps'!$B48:$U48,'changes2_based on steps'!$B$1:$U$1,B$1)</f>
        <v>0</v>
      </c>
      <c r="C48" s="179">
        <f>SUMIFS('recurring2_based on steps'!$B48:$AY48,'recurring2_based on steps'!$B$1:$AY$1,C$1)+SUMIFS('changes2_based on steps'!$B48:$U48,'changes2_based on steps'!$B$1:$U$1,C$1)</f>
        <v>0</v>
      </c>
      <c r="D48" s="179">
        <f>SUMIFS('recurring2_based on steps'!$B48:$AY48,'recurring2_based on steps'!$B$1:$AY$1,D$1)+SUMIFS('changes2_based on steps'!$B48:$U48,'changes2_based on steps'!$B$1:$U$1,D$1)</f>
        <v>0</v>
      </c>
      <c r="E48" s="179">
        <f>SUMIFS('recurring2_based on steps'!$B48:$AY48,'recurring2_based on steps'!$B$1:$AY$1,E$1)+SUMIFS('changes2_based on steps'!$B48:$U48,'changes2_based on steps'!$B$1:$U$1,E$1)</f>
        <v>0</v>
      </c>
      <c r="F48" s="179">
        <f>SUMIFS('recurring2_based on steps'!$B48:$AY48,'recurring2_based on steps'!$B$1:$AY$1,F$1)+SUMIFS('changes2_based on steps'!$B48:$U48,'changes2_based on steps'!$B$1:$U$1,F$1)</f>
        <v>0</v>
      </c>
      <c r="G48" s="179">
        <f>SUMIFS('recurring2_based on steps'!$B48:$AY48,'recurring2_based on steps'!$B$1:$AY$1,G$1)+SUMIFS('changes2_based on steps'!$B48:$U48,'changes2_based on steps'!$B$1:$U$1,G$1)</f>
        <v>0</v>
      </c>
      <c r="H48" s="179">
        <f>SUMIFS('recurring2_based on steps'!$B48:$AY48,'recurring2_based on steps'!$B$1:$AY$1,H$1)+SUMIFS('changes2_based on steps'!$B48:$U48,'changes2_based on steps'!$B$1:$U$1,H$1)</f>
        <v>0</v>
      </c>
      <c r="I48" s="179">
        <f>SUMIFS('recurring2_based on steps'!$B48:$AY48,'recurring2_based on steps'!$B$1:$AY$1,I$1)+SUMIFS('changes2_based on steps'!$B48:$U48,'changes2_based on steps'!$B$1:$U$1,I$1)</f>
        <v>0</v>
      </c>
      <c r="J48" s="179">
        <f>SUMIFS('recurring2_based on steps'!$B48:$AY48,'recurring2_based on steps'!$B$1:$AY$1,J$1)+SUMIFS('changes2_based on steps'!$B48:$U48,'changes2_based on steps'!$B$1:$U$1,J$1)</f>
        <v>0</v>
      </c>
      <c r="K48" s="179">
        <f>SUMIFS('recurring2_based on steps'!$B48:$AY48,'recurring2_based on steps'!$B$1:$AY$1,K$1)+SUMIFS('changes2_based on steps'!$B48:$U48,'changes2_based on steps'!$B$1:$U$1,K$1)</f>
        <v>0</v>
      </c>
      <c r="L48" s="179">
        <f>SUMIFS('recurring2_based on steps'!$B48:$AY48,'recurring2_based on steps'!$B$1:$AY$1,L$1)+SUMIFS('changes2_based on steps'!$B48:$U48,'changes2_based on steps'!$B$1:$U$1,L$1)</f>
        <v>0</v>
      </c>
      <c r="M48" s="179">
        <f>SUMIFS('recurring2_based on steps'!$B48:$AY48,'recurring2_based on steps'!$B$1:$AY$1,M$1)+SUMIFS('changes2_based on steps'!$B48:$U48,'changes2_based on steps'!$B$1:$U$1,M$1)</f>
        <v>0</v>
      </c>
      <c r="N48" s="179">
        <f>SUMIFS('recurring2_based on steps'!$B48:$AY48,'recurring2_based on steps'!$B$1:$AY$1,N$1)+SUMIFS('changes2_based on steps'!$B48:$U48,'changes2_based on steps'!$B$1:$U$1,N$1)</f>
        <v>0</v>
      </c>
      <c r="O48" s="179">
        <f>SUMIFS('recurring2_based on steps'!$B48:$AY48,'recurring2_based on steps'!$B$1:$AY$1,O$1)+SUMIFS('changes2_based on steps'!$B48:$U48,'changes2_based on steps'!$B$1:$U$1,O$1)</f>
        <v>0</v>
      </c>
      <c r="P48" s="179">
        <f>SUMIFS('recurring2_based on steps'!$B48:$AY48,'recurring2_based on steps'!$B$1:$AY$1,P$1)+SUMIFS('changes2_based on steps'!$B48:$U48,'changes2_based on steps'!$B$1:$U$1,P$1)</f>
        <v>0</v>
      </c>
      <c r="Q48" s="179">
        <f>SUMIFS('recurring2_based on steps'!$B48:$AY48,'recurring2_based on steps'!$B$1:$AY$1,Q$1)+SUMIFS('changes2_based on steps'!$B48:$U48,'changes2_based on steps'!$B$1:$U$1,Q$1)</f>
        <v>0</v>
      </c>
      <c r="R48" s="179">
        <f>SUMIFS('recurring2_based on steps'!$B48:$AY48,'recurring2_based on steps'!$B$1:$AY$1,R$1)+SUMIFS('changes2_based on steps'!$B48:$U48,'changes2_based on steps'!$B$1:$U$1,R$1)</f>
        <v>0</v>
      </c>
      <c r="S48" s="179">
        <f>SUMIFS('recurring2_based on steps'!$B48:$AY48,'recurring2_based on steps'!$B$1:$AY$1,S$1)+SUMIFS('changes2_based on steps'!$B48:$U48,'changes2_based on steps'!$B$1:$U$1,S$1)</f>
        <v>0</v>
      </c>
      <c r="T48" s="179">
        <f>SUMIFS('recurring2_based on steps'!$B48:$AY48,'recurring2_based on steps'!$B$1:$AY$1,T$1)+SUMIFS('changes2_based on steps'!$B48:$U48,'changes2_based on steps'!$B$1:$U$1,T$1)</f>
        <v>0</v>
      </c>
      <c r="U48" s="179">
        <f>SUMIFS('recurring2_based on steps'!$B48:$AY48,'recurring2_based on steps'!$B$1:$AY$1,U$1)+SUMIFS('changes2_based on steps'!$B48:$U48,'changes2_based on steps'!$B$1:$U$1,U$1)</f>
        <v>0</v>
      </c>
      <c r="V48" s="179">
        <f>SUMIFS('recurring2_based on steps'!$B48:$AY48,'recurring2_based on steps'!$B$1:$AY$1,V$1)+SUMIFS('changes2_based on steps'!$B48:$U48,'changes2_based on steps'!$B$1:$U$1,V$1)</f>
        <v>0</v>
      </c>
      <c r="W48" s="179">
        <f>SUMIFS('recurring2_based on steps'!$B48:$AY48,'recurring2_based on steps'!$B$1:$AY$1,W$1)+SUMIFS('changes2_based on steps'!$B48:$U48,'changes2_based on steps'!$B$1:$U$1,W$1)</f>
        <v>0</v>
      </c>
      <c r="X48" s="179">
        <f>SUMIFS('recurring2_based on steps'!$B48:$AY48,'recurring2_based on steps'!$B$1:$AY$1,X$1)+SUMIFS('changes2_based on steps'!$B48:$U48,'changes2_based on steps'!$B$1:$U$1,X$1)</f>
        <v>0</v>
      </c>
      <c r="Y48" s="179">
        <f>SUMIFS('recurring2_based on steps'!$B48:$AY48,'recurring2_based on steps'!$B$1:$AY$1,Y$1)+SUMIFS('changes2_based on steps'!$B48:$U48,'changes2_based on steps'!$B$1:$U$1,Y$1)</f>
        <v>0</v>
      </c>
      <c r="Z48" s="179">
        <f>SUMIFS('recurring2_based on steps'!$B48:$AY48,'recurring2_based on steps'!$B$1:$AY$1,Z$1)+SUMIFS('changes2_based on steps'!$B48:$U48,'changes2_based on steps'!$B$1:$U$1,Z$1)</f>
        <v>0</v>
      </c>
      <c r="AA48" s="179">
        <f>SUMIFS('recurring2_based on steps'!$B48:$AY48,'recurring2_based on steps'!$B$1:$AY$1,AA$1)+SUMIFS('changes2_based on steps'!$B48:$U48,'changes2_based on steps'!$B$1:$U$1,AA$1)</f>
        <v>0</v>
      </c>
      <c r="AB48" s="179">
        <f>SUMIFS('recurring2_based on steps'!$B48:$AY48,'recurring2_based on steps'!$B$1:$AY$1,AB$1)+SUMIFS('changes2_based on steps'!$B48:$U48,'changes2_based on steps'!$B$1:$U$1,AB$1)</f>
        <v>0</v>
      </c>
      <c r="AC48" s="179">
        <f>SUMIFS('recurring2_based on steps'!$B48:$AY48,'recurring2_based on steps'!$B$1:$AY$1,AC$1)+SUMIFS('changes2_based on steps'!$B48:$U48,'changes2_based on steps'!$B$1:$U$1,AC$1)</f>
        <v>0</v>
      </c>
      <c r="AD48" s="179">
        <f>SUMIFS('recurring2_based on steps'!$B48:$AY48,'recurring2_based on steps'!$B$1:$AY$1,AD$1)+SUMIFS('changes2_based on steps'!$B48:$U48,'changes2_based on steps'!$B$1:$U$1,AD$1)</f>
        <v>0</v>
      </c>
      <c r="AE48" s="179">
        <f>SUMIFS('recurring2_based on steps'!$B48:$AY48,'recurring2_based on steps'!$B$1:$AY$1,AE$1)+SUMIFS('changes2_based on steps'!$B48:$U48,'changes2_based on steps'!$B$1:$U$1,AE$1)</f>
        <v>0</v>
      </c>
      <c r="AF48" s="179"/>
      <c r="AG48" s="179"/>
      <c r="AH48" s="179"/>
      <c r="AI48" s="179"/>
      <c r="AJ48" s="179"/>
      <c r="AK48" s="179"/>
      <c r="AL48" s="179"/>
      <c r="AM48" s="179"/>
    </row>
    <row r="49" spans="1:39" x14ac:dyDescent="0.2">
      <c r="A49" s="32">
        <f t="shared" ca="1" si="0"/>
        <v>45791</v>
      </c>
      <c r="B49" s="179">
        <f>SUMIFS('recurring2_based on steps'!$B49:$AY49,'recurring2_based on steps'!$B$1:$AY$1,B$1)+SUMIFS('changes2_based on steps'!$B49:$U49,'changes2_based on steps'!$B$1:$U$1,B$1)</f>
        <v>0</v>
      </c>
      <c r="C49" s="179">
        <f>SUMIFS('recurring2_based on steps'!$B49:$AY49,'recurring2_based on steps'!$B$1:$AY$1,C$1)+SUMIFS('changes2_based on steps'!$B49:$U49,'changes2_based on steps'!$B$1:$U$1,C$1)</f>
        <v>0</v>
      </c>
      <c r="D49" s="179">
        <f>SUMIFS('recurring2_based on steps'!$B49:$AY49,'recurring2_based on steps'!$B$1:$AY$1,D$1)+SUMIFS('changes2_based on steps'!$B49:$U49,'changes2_based on steps'!$B$1:$U$1,D$1)</f>
        <v>0</v>
      </c>
      <c r="E49" s="179">
        <f>SUMIFS('recurring2_based on steps'!$B49:$AY49,'recurring2_based on steps'!$B$1:$AY$1,E$1)+SUMIFS('changes2_based on steps'!$B49:$U49,'changes2_based on steps'!$B$1:$U$1,E$1)</f>
        <v>0</v>
      </c>
      <c r="F49" s="179">
        <f>SUMIFS('recurring2_based on steps'!$B49:$AY49,'recurring2_based on steps'!$B$1:$AY$1,F$1)+SUMIFS('changes2_based on steps'!$B49:$U49,'changes2_based on steps'!$B$1:$U$1,F$1)</f>
        <v>0</v>
      </c>
      <c r="G49" s="179">
        <f>SUMIFS('recurring2_based on steps'!$B49:$AY49,'recurring2_based on steps'!$B$1:$AY$1,G$1)+SUMIFS('changes2_based on steps'!$B49:$U49,'changes2_based on steps'!$B$1:$U$1,G$1)</f>
        <v>0</v>
      </c>
      <c r="H49" s="179">
        <f>SUMIFS('recurring2_based on steps'!$B49:$AY49,'recurring2_based on steps'!$B$1:$AY$1,H$1)+SUMIFS('changes2_based on steps'!$B49:$U49,'changes2_based on steps'!$B$1:$U$1,H$1)</f>
        <v>0</v>
      </c>
      <c r="I49" s="179">
        <f>SUMIFS('recurring2_based on steps'!$B49:$AY49,'recurring2_based on steps'!$B$1:$AY$1,I$1)+SUMIFS('changes2_based on steps'!$B49:$U49,'changes2_based on steps'!$B$1:$U$1,I$1)</f>
        <v>0</v>
      </c>
      <c r="J49" s="179">
        <f>SUMIFS('recurring2_based on steps'!$B49:$AY49,'recurring2_based on steps'!$B$1:$AY$1,J$1)+SUMIFS('changes2_based on steps'!$B49:$U49,'changes2_based on steps'!$B$1:$U$1,J$1)</f>
        <v>0</v>
      </c>
      <c r="K49" s="179">
        <f>SUMIFS('recurring2_based on steps'!$B49:$AY49,'recurring2_based on steps'!$B$1:$AY$1,K$1)+SUMIFS('changes2_based on steps'!$B49:$U49,'changes2_based on steps'!$B$1:$U$1,K$1)</f>
        <v>0</v>
      </c>
      <c r="L49" s="179">
        <f>SUMIFS('recurring2_based on steps'!$B49:$AY49,'recurring2_based on steps'!$B$1:$AY$1,L$1)+SUMIFS('changes2_based on steps'!$B49:$U49,'changes2_based on steps'!$B$1:$U$1,L$1)</f>
        <v>0</v>
      </c>
      <c r="M49" s="179">
        <f>SUMIFS('recurring2_based on steps'!$B49:$AY49,'recurring2_based on steps'!$B$1:$AY$1,M$1)+SUMIFS('changes2_based on steps'!$B49:$U49,'changes2_based on steps'!$B$1:$U$1,M$1)</f>
        <v>0</v>
      </c>
      <c r="N49" s="179">
        <f>SUMIFS('recurring2_based on steps'!$B49:$AY49,'recurring2_based on steps'!$B$1:$AY$1,N$1)+SUMIFS('changes2_based on steps'!$B49:$U49,'changes2_based on steps'!$B$1:$U$1,N$1)</f>
        <v>0</v>
      </c>
      <c r="O49" s="179">
        <f>SUMIFS('recurring2_based on steps'!$B49:$AY49,'recurring2_based on steps'!$B$1:$AY$1,O$1)+SUMIFS('changes2_based on steps'!$B49:$U49,'changes2_based on steps'!$B$1:$U$1,O$1)</f>
        <v>0</v>
      </c>
      <c r="P49" s="179">
        <f>SUMIFS('recurring2_based on steps'!$B49:$AY49,'recurring2_based on steps'!$B$1:$AY$1,P$1)+SUMIFS('changes2_based on steps'!$B49:$U49,'changes2_based on steps'!$B$1:$U$1,P$1)</f>
        <v>0</v>
      </c>
      <c r="Q49" s="179">
        <f>SUMIFS('recurring2_based on steps'!$B49:$AY49,'recurring2_based on steps'!$B$1:$AY$1,Q$1)+SUMIFS('changes2_based on steps'!$B49:$U49,'changes2_based on steps'!$B$1:$U$1,Q$1)</f>
        <v>0</v>
      </c>
      <c r="R49" s="179">
        <f>SUMIFS('recurring2_based on steps'!$B49:$AY49,'recurring2_based on steps'!$B$1:$AY$1,R$1)+SUMIFS('changes2_based on steps'!$B49:$U49,'changes2_based on steps'!$B$1:$U$1,R$1)</f>
        <v>0</v>
      </c>
      <c r="S49" s="179">
        <f>SUMIFS('recurring2_based on steps'!$B49:$AY49,'recurring2_based on steps'!$B$1:$AY$1,S$1)+SUMIFS('changes2_based on steps'!$B49:$U49,'changes2_based on steps'!$B$1:$U$1,S$1)</f>
        <v>0</v>
      </c>
      <c r="T49" s="179">
        <f>SUMIFS('recurring2_based on steps'!$B49:$AY49,'recurring2_based on steps'!$B$1:$AY$1,T$1)+SUMIFS('changes2_based on steps'!$B49:$U49,'changes2_based on steps'!$B$1:$U$1,T$1)</f>
        <v>0</v>
      </c>
      <c r="U49" s="179">
        <f>SUMIFS('recurring2_based on steps'!$B49:$AY49,'recurring2_based on steps'!$B$1:$AY$1,U$1)+SUMIFS('changes2_based on steps'!$B49:$U49,'changes2_based on steps'!$B$1:$U$1,U$1)</f>
        <v>0</v>
      </c>
      <c r="V49" s="179">
        <f>SUMIFS('recurring2_based on steps'!$B49:$AY49,'recurring2_based on steps'!$B$1:$AY$1,V$1)+SUMIFS('changes2_based on steps'!$B49:$U49,'changes2_based on steps'!$B$1:$U$1,V$1)</f>
        <v>0</v>
      </c>
      <c r="W49" s="179">
        <f>SUMIFS('recurring2_based on steps'!$B49:$AY49,'recurring2_based on steps'!$B$1:$AY$1,W$1)+SUMIFS('changes2_based on steps'!$B49:$U49,'changes2_based on steps'!$B$1:$U$1,W$1)</f>
        <v>0</v>
      </c>
      <c r="X49" s="179">
        <f>SUMIFS('recurring2_based on steps'!$B49:$AY49,'recurring2_based on steps'!$B$1:$AY$1,X$1)+SUMIFS('changes2_based on steps'!$B49:$U49,'changes2_based on steps'!$B$1:$U$1,X$1)</f>
        <v>0</v>
      </c>
      <c r="Y49" s="179">
        <f>SUMIFS('recurring2_based on steps'!$B49:$AY49,'recurring2_based on steps'!$B$1:$AY$1,Y$1)+SUMIFS('changes2_based on steps'!$B49:$U49,'changes2_based on steps'!$B$1:$U$1,Y$1)</f>
        <v>0</v>
      </c>
      <c r="Z49" s="179">
        <f>SUMIFS('recurring2_based on steps'!$B49:$AY49,'recurring2_based on steps'!$B$1:$AY$1,Z$1)+SUMIFS('changes2_based on steps'!$B49:$U49,'changes2_based on steps'!$B$1:$U$1,Z$1)</f>
        <v>0</v>
      </c>
      <c r="AA49" s="179">
        <f>SUMIFS('recurring2_based on steps'!$B49:$AY49,'recurring2_based on steps'!$B$1:$AY$1,AA$1)+SUMIFS('changes2_based on steps'!$B49:$U49,'changes2_based on steps'!$B$1:$U$1,AA$1)</f>
        <v>0</v>
      </c>
      <c r="AB49" s="179">
        <f>SUMIFS('recurring2_based on steps'!$B49:$AY49,'recurring2_based on steps'!$B$1:$AY$1,AB$1)+SUMIFS('changes2_based on steps'!$B49:$U49,'changes2_based on steps'!$B$1:$U$1,AB$1)</f>
        <v>0</v>
      </c>
      <c r="AC49" s="179">
        <f>SUMIFS('recurring2_based on steps'!$B49:$AY49,'recurring2_based on steps'!$B$1:$AY$1,AC$1)+SUMIFS('changes2_based on steps'!$B49:$U49,'changes2_based on steps'!$B$1:$U$1,AC$1)</f>
        <v>0</v>
      </c>
      <c r="AD49" s="179">
        <f>SUMIFS('recurring2_based on steps'!$B49:$AY49,'recurring2_based on steps'!$B$1:$AY$1,AD$1)+SUMIFS('changes2_based on steps'!$B49:$U49,'changes2_based on steps'!$B$1:$U$1,AD$1)</f>
        <v>0</v>
      </c>
      <c r="AE49" s="179">
        <f>SUMIFS('recurring2_based on steps'!$B49:$AY49,'recurring2_based on steps'!$B$1:$AY$1,AE$1)+SUMIFS('changes2_based on steps'!$B49:$U49,'changes2_based on steps'!$B$1:$U$1,AE$1)</f>
        <v>0</v>
      </c>
      <c r="AF49" s="179"/>
      <c r="AG49" s="179"/>
      <c r="AH49" s="179"/>
      <c r="AI49" s="179"/>
      <c r="AJ49" s="179"/>
      <c r="AK49" s="179"/>
      <c r="AL49" s="179"/>
      <c r="AM49" s="179"/>
    </row>
    <row r="50" spans="1:39" x14ac:dyDescent="0.2">
      <c r="A50" s="32">
        <f t="shared" ca="1" si="0"/>
        <v>45792</v>
      </c>
      <c r="B50" s="179">
        <f>SUMIFS('recurring2_based on steps'!$B50:$AY50,'recurring2_based on steps'!$B$1:$AY$1,B$1)+SUMIFS('changes2_based on steps'!$B50:$U50,'changes2_based on steps'!$B$1:$U$1,B$1)</f>
        <v>0</v>
      </c>
      <c r="C50" s="179">
        <f>SUMIFS('recurring2_based on steps'!$B50:$AY50,'recurring2_based on steps'!$B$1:$AY$1,C$1)+SUMIFS('changes2_based on steps'!$B50:$U50,'changes2_based on steps'!$B$1:$U$1,C$1)</f>
        <v>0</v>
      </c>
      <c r="D50" s="179">
        <f>SUMIFS('recurring2_based on steps'!$B50:$AY50,'recurring2_based on steps'!$B$1:$AY$1,D$1)+SUMIFS('changes2_based on steps'!$B50:$U50,'changes2_based on steps'!$B$1:$U$1,D$1)</f>
        <v>0</v>
      </c>
      <c r="E50" s="179">
        <f>SUMIFS('recurring2_based on steps'!$B50:$AY50,'recurring2_based on steps'!$B$1:$AY$1,E$1)+SUMIFS('changes2_based on steps'!$B50:$U50,'changes2_based on steps'!$B$1:$U$1,E$1)</f>
        <v>0</v>
      </c>
      <c r="F50" s="179">
        <f>SUMIFS('recurring2_based on steps'!$B50:$AY50,'recurring2_based on steps'!$B$1:$AY$1,F$1)+SUMIFS('changes2_based on steps'!$B50:$U50,'changes2_based on steps'!$B$1:$U$1,F$1)</f>
        <v>0</v>
      </c>
      <c r="G50" s="179">
        <f>SUMIFS('recurring2_based on steps'!$B50:$AY50,'recurring2_based on steps'!$B$1:$AY$1,G$1)+SUMIFS('changes2_based on steps'!$B50:$U50,'changes2_based on steps'!$B$1:$U$1,G$1)</f>
        <v>0</v>
      </c>
      <c r="H50" s="179">
        <f>SUMIFS('recurring2_based on steps'!$B50:$AY50,'recurring2_based on steps'!$B$1:$AY$1,H$1)+SUMIFS('changes2_based on steps'!$B50:$U50,'changes2_based on steps'!$B$1:$U$1,H$1)</f>
        <v>0</v>
      </c>
      <c r="I50" s="179">
        <f>SUMIFS('recurring2_based on steps'!$B50:$AY50,'recurring2_based on steps'!$B$1:$AY$1,I$1)+SUMIFS('changes2_based on steps'!$B50:$U50,'changes2_based on steps'!$B$1:$U$1,I$1)</f>
        <v>0</v>
      </c>
      <c r="J50" s="179">
        <f>SUMIFS('recurring2_based on steps'!$B50:$AY50,'recurring2_based on steps'!$B$1:$AY$1,J$1)+SUMIFS('changes2_based on steps'!$B50:$U50,'changes2_based on steps'!$B$1:$U$1,J$1)</f>
        <v>0</v>
      </c>
      <c r="K50" s="179">
        <f>SUMIFS('recurring2_based on steps'!$B50:$AY50,'recurring2_based on steps'!$B$1:$AY$1,K$1)+SUMIFS('changes2_based on steps'!$B50:$U50,'changes2_based on steps'!$B$1:$U$1,K$1)</f>
        <v>0</v>
      </c>
      <c r="L50" s="179">
        <f>SUMIFS('recurring2_based on steps'!$B50:$AY50,'recurring2_based on steps'!$B$1:$AY$1,L$1)+SUMIFS('changes2_based on steps'!$B50:$U50,'changes2_based on steps'!$B$1:$U$1,L$1)</f>
        <v>0</v>
      </c>
      <c r="M50" s="179">
        <f>SUMIFS('recurring2_based on steps'!$B50:$AY50,'recurring2_based on steps'!$B$1:$AY$1,M$1)+SUMIFS('changes2_based on steps'!$B50:$U50,'changes2_based on steps'!$B$1:$U$1,M$1)</f>
        <v>0</v>
      </c>
      <c r="N50" s="179">
        <f>SUMIFS('recurring2_based on steps'!$B50:$AY50,'recurring2_based on steps'!$B$1:$AY$1,N$1)+SUMIFS('changes2_based on steps'!$B50:$U50,'changes2_based on steps'!$B$1:$U$1,N$1)</f>
        <v>0</v>
      </c>
      <c r="O50" s="179">
        <f>SUMIFS('recurring2_based on steps'!$B50:$AY50,'recurring2_based on steps'!$B$1:$AY$1,O$1)+SUMIFS('changes2_based on steps'!$B50:$U50,'changes2_based on steps'!$B$1:$U$1,O$1)</f>
        <v>0</v>
      </c>
      <c r="P50" s="179">
        <f>SUMIFS('recurring2_based on steps'!$B50:$AY50,'recurring2_based on steps'!$B$1:$AY$1,P$1)+SUMIFS('changes2_based on steps'!$B50:$U50,'changes2_based on steps'!$B$1:$U$1,P$1)</f>
        <v>0</v>
      </c>
      <c r="Q50" s="179">
        <f>SUMIFS('recurring2_based on steps'!$B50:$AY50,'recurring2_based on steps'!$B$1:$AY$1,Q$1)+SUMIFS('changes2_based on steps'!$B50:$U50,'changes2_based on steps'!$B$1:$U$1,Q$1)</f>
        <v>0</v>
      </c>
      <c r="R50" s="179">
        <f>SUMIFS('recurring2_based on steps'!$B50:$AY50,'recurring2_based on steps'!$B$1:$AY$1,R$1)+SUMIFS('changes2_based on steps'!$B50:$U50,'changes2_based on steps'!$B$1:$U$1,R$1)</f>
        <v>0</v>
      </c>
      <c r="S50" s="179">
        <f>SUMIFS('recurring2_based on steps'!$B50:$AY50,'recurring2_based on steps'!$B$1:$AY$1,S$1)+SUMIFS('changes2_based on steps'!$B50:$U50,'changes2_based on steps'!$B$1:$U$1,S$1)</f>
        <v>0</v>
      </c>
      <c r="T50" s="179">
        <f>SUMIFS('recurring2_based on steps'!$B50:$AY50,'recurring2_based on steps'!$B$1:$AY$1,T$1)+SUMIFS('changes2_based on steps'!$B50:$U50,'changes2_based on steps'!$B$1:$U$1,T$1)</f>
        <v>0</v>
      </c>
      <c r="U50" s="179">
        <f>SUMIFS('recurring2_based on steps'!$B50:$AY50,'recurring2_based on steps'!$B$1:$AY$1,U$1)+SUMIFS('changes2_based on steps'!$B50:$U50,'changes2_based on steps'!$B$1:$U$1,U$1)</f>
        <v>0</v>
      </c>
      <c r="V50" s="179">
        <f>SUMIFS('recurring2_based on steps'!$B50:$AY50,'recurring2_based on steps'!$B$1:$AY$1,V$1)+SUMIFS('changes2_based on steps'!$B50:$U50,'changes2_based on steps'!$B$1:$U$1,V$1)</f>
        <v>0</v>
      </c>
      <c r="W50" s="179">
        <f>SUMIFS('recurring2_based on steps'!$B50:$AY50,'recurring2_based on steps'!$B$1:$AY$1,W$1)+SUMIFS('changes2_based on steps'!$B50:$U50,'changes2_based on steps'!$B$1:$U$1,W$1)</f>
        <v>0</v>
      </c>
      <c r="X50" s="179">
        <f>SUMIFS('recurring2_based on steps'!$B50:$AY50,'recurring2_based on steps'!$B$1:$AY$1,X$1)+SUMIFS('changes2_based on steps'!$B50:$U50,'changes2_based on steps'!$B$1:$U$1,X$1)</f>
        <v>0</v>
      </c>
      <c r="Y50" s="179">
        <f>SUMIFS('recurring2_based on steps'!$B50:$AY50,'recurring2_based on steps'!$B$1:$AY$1,Y$1)+SUMIFS('changes2_based on steps'!$B50:$U50,'changes2_based on steps'!$B$1:$U$1,Y$1)</f>
        <v>0</v>
      </c>
      <c r="Z50" s="179">
        <f>SUMIFS('recurring2_based on steps'!$B50:$AY50,'recurring2_based on steps'!$B$1:$AY$1,Z$1)+SUMIFS('changes2_based on steps'!$B50:$U50,'changes2_based on steps'!$B$1:$U$1,Z$1)</f>
        <v>0</v>
      </c>
      <c r="AA50" s="179">
        <f>SUMIFS('recurring2_based on steps'!$B50:$AY50,'recurring2_based on steps'!$B$1:$AY$1,AA$1)+SUMIFS('changes2_based on steps'!$B50:$U50,'changes2_based on steps'!$B$1:$U$1,AA$1)</f>
        <v>0</v>
      </c>
      <c r="AB50" s="179">
        <f>SUMIFS('recurring2_based on steps'!$B50:$AY50,'recurring2_based on steps'!$B$1:$AY$1,AB$1)+SUMIFS('changes2_based on steps'!$B50:$U50,'changes2_based on steps'!$B$1:$U$1,AB$1)</f>
        <v>0</v>
      </c>
      <c r="AC50" s="179">
        <f>SUMIFS('recurring2_based on steps'!$B50:$AY50,'recurring2_based on steps'!$B$1:$AY$1,AC$1)+SUMIFS('changes2_based on steps'!$B50:$U50,'changes2_based on steps'!$B$1:$U$1,AC$1)</f>
        <v>0</v>
      </c>
      <c r="AD50" s="179">
        <f>SUMIFS('recurring2_based on steps'!$B50:$AY50,'recurring2_based on steps'!$B$1:$AY$1,AD$1)+SUMIFS('changes2_based on steps'!$B50:$U50,'changes2_based on steps'!$B$1:$U$1,AD$1)</f>
        <v>0</v>
      </c>
      <c r="AE50" s="179">
        <f>SUMIFS('recurring2_based on steps'!$B50:$AY50,'recurring2_based on steps'!$B$1:$AY$1,AE$1)+SUMIFS('changes2_based on steps'!$B50:$U50,'changes2_based on steps'!$B$1:$U$1,AE$1)</f>
        <v>0</v>
      </c>
      <c r="AF50" s="179"/>
      <c r="AG50" s="179"/>
      <c r="AH50" s="179"/>
      <c r="AI50" s="179"/>
      <c r="AJ50" s="179"/>
      <c r="AK50" s="179"/>
      <c r="AL50" s="179"/>
      <c r="AM50" s="179"/>
    </row>
    <row r="51" spans="1:39" x14ac:dyDescent="0.2">
      <c r="A51" s="32">
        <f t="shared" ca="1" si="0"/>
        <v>45793</v>
      </c>
      <c r="B51" s="179">
        <f>SUMIFS('recurring2_based on steps'!$B51:$AY51,'recurring2_based on steps'!$B$1:$AY$1,B$1)+SUMIFS('changes2_based on steps'!$B51:$U51,'changes2_based on steps'!$B$1:$U$1,B$1)</f>
        <v>0</v>
      </c>
      <c r="C51" s="179">
        <f>SUMIFS('recurring2_based on steps'!$B51:$AY51,'recurring2_based on steps'!$B$1:$AY$1,C$1)+SUMIFS('changes2_based on steps'!$B51:$U51,'changes2_based on steps'!$B$1:$U$1,C$1)</f>
        <v>0</v>
      </c>
      <c r="D51" s="179">
        <f>SUMIFS('recurring2_based on steps'!$B51:$AY51,'recurring2_based on steps'!$B$1:$AY$1,D$1)+SUMIFS('changes2_based on steps'!$B51:$U51,'changes2_based on steps'!$B$1:$U$1,D$1)</f>
        <v>0</v>
      </c>
      <c r="E51" s="179">
        <f>SUMIFS('recurring2_based on steps'!$B51:$AY51,'recurring2_based on steps'!$B$1:$AY$1,E$1)+SUMIFS('changes2_based on steps'!$B51:$U51,'changes2_based on steps'!$B$1:$U$1,E$1)</f>
        <v>0</v>
      </c>
      <c r="F51" s="179">
        <f>SUMIFS('recurring2_based on steps'!$B51:$AY51,'recurring2_based on steps'!$B$1:$AY$1,F$1)+SUMIFS('changes2_based on steps'!$B51:$U51,'changes2_based on steps'!$B$1:$U$1,F$1)</f>
        <v>0</v>
      </c>
      <c r="G51" s="179">
        <f>SUMIFS('recurring2_based on steps'!$B51:$AY51,'recurring2_based on steps'!$B$1:$AY$1,G$1)+SUMIFS('changes2_based on steps'!$B51:$U51,'changes2_based on steps'!$B$1:$U$1,G$1)</f>
        <v>0</v>
      </c>
      <c r="H51" s="179">
        <f>SUMIFS('recurring2_based on steps'!$B51:$AY51,'recurring2_based on steps'!$B$1:$AY$1,H$1)+SUMIFS('changes2_based on steps'!$B51:$U51,'changes2_based on steps'!$B$1:$U$1,H$1)</f>
        <v>0</v>
      </c>
      <c r="I51" s="179">
        <f>SUMIFS('recurring2_based on steps'!$B51:$AY51,'recurring2_based on steps'!$B$1:$AY$1,I$1)+SUMIFS('changes2_based on steps'!$B51:$U51,'changes2_based on steps'!$B$1:$U$1,I$1)</f>
        <v>0</v>
      </c>
      <c r="J51" s="179">
        <f>SUMIFS('recurring2_based on steps'!$B51:$AY51,'recurring2_based on steps'!$B$1:$AY$1,J$1)+SUMIFS('changes2_based on steps'!$B51:$U51,'changes2_based on steps'!$B$1:$U$1,J$1)</f>
        <v>0</v>
      </c>
      <c r="K51" s="179">
        <f>SUMIFS('recurring2_based on steps'!$B51:$AY51,'recurring2_based on steps'!$B$1:$AY$1,K$1)+SUMIFS('changes2_based on steps'!$B51:$U51,'changes2_based on steps'!$B$1:$U$1,K$1)</f>
        <v>0</v>
      </c>
      <c r="L51" s="179">
        <f>SUMIFS('recurring2_based on steps'!$B51:$AY51,'recurring2_based on steps'!$B$1:$AY$1,L$1)+SUMIFS('changes2_based on steps'!$B51:$U51,'changes2_based on steps'!$B$1:$U$1,L$1)</f>
        <v>0</v>
      </c>
      <c r="M51" s="179">
        <f>SUMIFS('recurring2_based on steps'!$B51:$AY51,'recurring2_based on steps'!$B$1:$AY$1,M$1)+SUMIFS('changes2_based on steps'!$B51:$U51,'changes2_based on steps'!$B$1:$U$1,M$1)</f>
        <v>0</v>
      </c>
      <c r="N51" s="179">
        <f>SUMIFS('recurring2_based on steps'!$B51:$AY51,'recurring2_based on steps'!$B$1:$AY$1,N$1)+SUMIFS('changes2_based on steps'!$B51:$U51,'changes2_based on steps'!$B$1:$U$1,N$1)</f>
        <v>0</v>
      </c>
      <c r="O51" s="179">
        <f>SUMIFS('recurring2_based on steps'!$B51:$AY51,'recurring2_based on steps'!$B$1:$AY$1,O$1)+SUMIFS('changes2_based on steps'!$B51:$U51,'changes2_based on steps'!$B$1:$U$1,O$1)</f>
        <v>0</v>
      </c>
      <c r="P51" s="179">
        <f>SUMIFS('recurring2_based on steps'!$B51:$AY51,'recurring2_based on steps'!$B$1:$AY$1,P$1)+SUMIFS('changes2_based on steps'!$B51:$U51,'changes2_based on steps'!$B$1:$U$1,P$1)</f>
        <v>0</v>
      </c>
      <c r="Q51" s="179">
        <f>SUMIFS('recurring2_based on steps'!$B51:$AY51,'recurring2_based on steps'!$B$1:$AY$1,Q$1)+SUMIFS('changes2_based on steps'!$B51:$U51,'changes2_based on steps'!$B$1:$U$1,Q$1)</f>
        <v>0</v>
      </c>
      <c r="R51" s="179">
        <f>SUMIFS('recurring2_based on steps'!$B51:$AY51,'recurring2_based on steps'!$B$1:$AY$1,R$1)+SUMIFS('changes2_based on steps'!$B51:$U51,'changes2_based on steps'!$B$1:$U$1,R$1)</f>
        <v>0</v>
      </c>
      <c r="S51" s="179">
        <f>SUMIFS('recurring2_based on steps'!$B51:$AY51,'recurring2_based on steps'!$B$1:$AY$1,S$1)+SUMIFS('changes2_based on steps'!$B51:$U51,'changes2_based on steps'!$B$1:$U$1,S$1)</f>
        <v>0</v>
      </c>
      <c r="T51" s="179">
        <f>SUMIFS('recurring2_based on steps'!$B51:$AY51,'recurring2_based on steps'!$B$1:$AY$1,T$1)+SUMIFS('changes2_based on steps'!$B51:$U51,'changes2_based on steps'!$B$1:$U$1,T$1)</f>
        <v>0</v>
      </c>
      <c r="U51" s="179">
        <f>SUMIFS('recurring2_based on steps'!$B51:$AY51,'recurring2_based on steps'!$B$1:$AY$1,U$1)+SUMIFS('changes2_based on steps'!$B51:$U51,'changes2_based on steps'!$B$1:$U$1,U$1)</f>
        <v>0</v>
      </c>
      <c r="V51" s="179">
        <f>SUMIFS('recurring2_based on steps'!$B51:$AY51,'recurring2_based on steps'!$B$1:$AY$1,V$1)+SUMIFS('changes2_based on steps'!$B51:$U51,'changes2_based on steps'!$B$1:$U$1,V$1)</f>
        <v>0</v>
      </c>
      <c r="W51" s="179">
        <f>SUMIFS('recurring2_based on steps'!$B51:$AY51,'recurring2_based on steps'!$B$1:$AY$1,W$1)+SUMIFS('changes2_based on steps'!$B51:$U51,'changes2_based on steps'!$B$1:$U$1,W$1)</f>
        <v>0</v>
      </c>
      <c r="X51" s="179">
        <f>SUMIFS('recurring2_based on steps'!$B51:$AY51,'recurring2_based on steps'!$B$1:$AY$1,X$1)+SUMIFS('changes2_based on steps'!$B51:$U51,'changes2_based on steps'!$B$1:$U$1,X$1)</f>
        <v>0</v>
      </c>
      <c r="Y51" s="179">
        <f>SUMIFS('recurring2_based on steps'!$B51:$AY51,'recurring2_based on steps'!$B$1:$AY$1,Y$1)+SUMIFS('changes2_based on steps'!$B51:$U51,'changes2_based on steps'!$B$1:$U$1,Y$1)</f>
        <v>0</v>
      </c>
      <c r="Z51" s="179">
        <f>SUMIFS('recurring2_based on steps'!$B51:$AY51,'recurring2_based on steps'!$B$1:$AY$1,Z$1)+SUMIFS('changes2_based on steps'!$B51:$U51,'changes2_based on steps'!$B$1:$U$1,Z$1)</f>
        <v>0</v>
      </c>
      <c r="AA51" s="179">
        <f>SUMIFS('recurring2_based on steps'!$B51:$AY51,'recurring2_based on steps'!$B$1:$AY$1,AA$1)+SUMIFS('changes2_based on steps'!$B51:$U51,'changes2_based on steps'!$B$1:$U$1,AA$1)</f>
        <v>0</v>
      </c>
      <c r="AB51" s="179">
        <f>SUMIFS('recurring2_based on steps'!$B51:$AY51,'recurring2_based on steps'!$B$1:$AY$1,AB$1)+SUMIFS('changes2_based on steps'!$B51:$U51,'changes2_based on steps'!$B$1:$U$1,AB$1)</f>
        <v>0</v>
      </c>
      <c r="AC51" s="179">
        <f>SUMIFS('recurring2_based on steps'!$B51:$AY51,'recurring2_based on steps'!$B$1:$AY$1,AC$1)+SUMIFS('changes2_based on steps'!$B51:$U51,'changes2_based on steps'!$B$1:$U$1,AC$1)</f>
        <v>0</v>
      </c>
      <c r="AD51" s="179">
        <f>SUMIFS('recurring2_based on steps'!$B51:$AY51,'recurring2_based on steps'!$B$1:$AY$1,AD$1)+SUMIFS('changes2_based on steps'!$B51:$U51,'changes2_based on steps'!$B$1:$U$1,AD$1)</f>
        <v>0</v>
      </c>
      <c r="AE51" s="179">
        <f>SUMIFS('recurring2_based on steps'!$B51:$AY51,'recurring2_based on steps'!$B$1:$AY$1,AE$1)+SUMIFS('changes2_based on steps'!$B51:$U51,'changes2_based on steps'!$B$1:$U$1,AE$1)</f>
        <v>0</v>
      </c>
      <c r="AF51" s="179"/>
      <c r="AG51" s="179"/>
      <c r="AH51" s="179"/>
      <c r="AI51" s="179"/>
      <c r="AJ51" s="179"/>
      <c r="AK51" s="179"/>
      <c r="AL51" s="179"/>
      <c r="AM51" s="179"/>
    </row>
    <row r="52" spans="1:39" x14ac:dyDescent="0.2">
      <c r="A52" s="32">
        <f t="shared" ca="1" si="0"/>
        <v>45794</v>
      </c>
      <c r="B52" s="179">
        <f>SUMIFS('recurring2_based on steps'!$B52:$AY52,'recurring2_based on steps'!$B$1:$AY$1,B$1)+SUMIFS('changes2_based on steps'!$B52:$U52,'changes2_based on steps'!$B$1:$U$1,B$1)</f>
        <v>0</v>
      </c>
      <c r="C52" s="179">
        <f>SUMIFS('recurring2_based on steps'!$B52:$AY52,'recurring2_based on steps'!$B$1:$AY$1,C$1)+SUMIFS('changes2_based on steps'!$B52:$U52,'changes2_based on steps'!$B$1:$U$1,C$1)</f>
        <v>0</v>
      </c>
      <c r="D52" s="179">
        <f>SUMIFS('recurring2_based on steps'!$B52:$AY52,'recurring2_based on steps'!$B$1:$AY$1,D$1)+SUMIFS('changes2_based on steps'!$B52:$U52,'changes2_based on steps'!$B$1:$U$1,D$1)</f>
        <v>0</v>
      </c>
      <c r="E52" s="179">
        <f>SUMIFS('recurring2_based on steps'!$B52:$AY52,'recurring2_based on steps'!$B$1:$AY$1,E$1)+SUMIFS('changes2_based on steps'!$B52:$U52,'changes2_based on steps'!$B$1:$U$1,E$1)</f>
        <v>0</v>
      </c>
      <c r="F52" s="179">
        <f>SUMIFS('recurring2_based on steps'!$B52:$AY52,'recurring2_based on steps'!$B$1:$AY$1,F$1)+SUMIFS('changes2_based on steps'!$B52:$U52,'changes2_based on steps'!$B$1:$U$1,F$1)</f>
        <v>0</v>
      </c>
      <c r="G52" s="179">
        <f>SUMIFS('recurring2_based on steps'!$B52:$AY52,'recurring2_based on steps'!$B$1:$AY$1,G$1)+SUMIFS('changes2_based on steps'!$B52:$U52,'changes2_based on steps'!$B$1:$U$1,G$1)</f>
        <v>0</v>
      </c>
      <c r="H52" s="179">
        <f>SUMIFS('recurring2_based on steps'!$B52:$AY52,'recurring2_based on steps'!$B$1:$AY$1,H$1)+SUMIFS('changes2_based on steps'!$B52:$U52,'changes2_based on steps'!$B$1:$U$1,H$1)</f>
        <v>0</v>
      </c>
      <c r="I52" s="179">
        <f>SUMIFS('recurring2_based on steps'!$B52:$AY52,'recurring2_based on steps'!$B$1:$AY$1,I$1)+SUMIFS('changes2_based on steps'!$B52:$U52,'changes2_based on steps'!$B$1:$U$1,I$1)</f>
        <v>0</v>
      </c>
      <c r="J52" s="179">
        <f>SUMIFS('recurring2_based on steps'!$B52:$AY52,'recurring2_based on steps'!$B$1:$AY$1,J$1)+SUMIFS('changes2_based on steps'!$B52:$U52,'changes2_based on steps'!$B$1:$U$1,J$1)</f>
        <v>0</v>
      </c>
      <c r="K52" s="179">
        <f>SUMIFS('recurring2_based on steps'!$B52:$AY52,'recurring2_based on steps'!$B$1:$AY$1,K$1)+SUMIFS('changes2_based on steps'!$B52:$U52,'changes2_based on steps'!$B$1:$U$1,K$1)</f>
        <v>0</v>
      </c>
      <c r="L52" s="179">
        <f>SUMIFS('recurring2_based on steps'!$B52:$AY52,'recurring2_based on steps'!$B$1:$AY$1,L$1)+SUMIFS('changes2_based on steps'!$B52:$U52,'changes2_based on steps'!$B$1:$U$1,L$1)</f>
        <v>0</v>
      </c>
      <c r="M52" s="179">
        <f>SUMIFS('recurring2_based on steps'!$B52:$AY52,'recurring2_based on steps'!$B$1:$AY$1,M$1)+SUMIFS('changes2_based on steps'!$B52:$U52,'changes2_based on steps'!$B$1:$U$1,M$1)</f>
        <v>0</v>
      </c>
      <c r="N52" s="179">
        <f>SUMIFS('recurring2_based on steps'!$B52:$AY52,'recurring2_based on steps'!$B$1:$AY$1,N$1)+SUMIFS('changes2_based on steps'!$B52:$U52,'changes2_based on steps'!$B$1:$U$1,N$1)</f>
        <v>0</v>
      </c>
      <c r="O52" s="179">
        <f>SUMIFS('recurring2_based on steps'!$B52:$AY52,'recurring2_based on steps'!$B$1:$AY$1,O$1)+SUMIFS('changes2_based on steps'!$B52:$U52,'changes2_based on steps'!$B$1:$U$1,O$1)</f>
        <v>0</v>
      </c>
      <c r="P52" s="179">
        <f>SUMIFS('recurring2_based on steps'!$B52:$AY52,'recurring2_based on steps'!$B$1:$AY$1,P$1)+SUMIFS('changes2_based on steps'!$B52:$U52,'changes2_based on steps'!$B$1:$U$1,P$1)</f>
        <v>0</v>
      </c>
      <c r="Q52" s="179">
        <f>SUMIFS('recurring2_based on steps'!$B52:$AY52,'recurring2_based on steps'!$B$1:$AY$1,Q$1)+SUMIFS('changes2_based on steps'!$B52:$U52,'changes2_based on steps'!$B$1:$U$1,Q$1)</f>
        <v>0</v>
      </c>
      <c r="R52" s="179">
        <f>SUMIFS('recurring2_based on steps'!$B52:$AY52,'recurring2_based on steps'!$B$1:$AY$1,R$1)+SUMIFS('changes2_based on steps'!$B52:$U52,'changes2_based on steps'!$B$1:$U$1,R$1)</f>
        <v>0</v>
      </c>
      <c r="S52" s="179">
        <f>SUMIFS('recurring2_based on steps'!$B52:$AY52,'recurring2_based on steps'!$B$1:$AY$1,S$1)+SUMIFS('changes2_based on steps'!$B52:$U52,'changes2_based on steps'!$B$1:$U$1,S$1)</f>
        <v>0</v>
      </c>
      <c r="T52" s="179">
        <f>SUMIFS('recurring2_based on steps'!$B52:$AY52,'recurring2_based on steps'!$B$1:$AY$1,T$1)+SUMIFS('changes2_based on steps'!$B52:$U52,'changes2_based on steps'!$B$1:$U$1,T$1)</f>
        <v>0</v>
      </c>
      <c r="U52" s="179">
        <f>SUMIFS('recurring2_based on steps'!$B52:$AY52,'recurring2_based on steps'!$B$1:$AY$1,U$1)+SUMIFS('changes2_based on steps'!$B52:$U52,'changes2_based on steps'!$B$1:$U$1,U$1)</f>
        <v>0</v>
      </c>
      <c r="V52" s="179">
        <f>SUMIFS('recurring2_based on steps'!$B52:$AY52,'recurring2_based on steps'!$B$1:$AY$1,V$1)+SUMIFS('changes2_based on steps'!$B52:$U52,'changes2_based on steps'!$B$1:$U$1,V$1)</f>
        <v>0</v>
      </c>
      <c r="W52" s="179">
        <f>SUMIFS('recurring2_based on steps'!$B52:$AY52,'recurring2_based on steps'!$B$1:$AY$1,W$1)+SUMIFS('changes2_based on steps'!$B52:$U52,'changes2_based on steps'!$B$1:$U$1,W$1)</f>
        <v>0</v>
      </c>
      <c r="X52" s="179">
        <f>SUMIFS('recurring2_based on steps'!$B52:$AY52,'recurring2_based on steps'!$B$1:$AY$1,X$1)+SUMIFS('changes2_based on steps'!$B52:$U52,'changes2_based on steps'!$B$1:$U$1,X$1)</f>
        <v>0</v>
      </c>
      <c r="Y52" s="179">
        <f>SUMIFS('recurring2_based on steps'!$B52:$AY52,'recurring2_based on steps'!$B$1:$AY$1,Y$1)+SUMIFS('changes2_based on steps'!$B52:$U52,'changes2_based on steps'!$B$1:$U$1,Y$1)</f>
        <v>0</v>
      </c>
      <c r="Z52" s="179">
        <f>SUMIFS('recurring2_based on steps'!$B52:$AY52,'recurring2_based on steps'!$B$1:$AY$1,Z$1)+SUMIFS('changes2_based on steps'!$B52:$U52,'changes2_based on steps'!$B$1:$U$1,Z$1)</f>
        <v>0</v>
      </c>
      <c r="AA52" s="179">
        <f>SUMIFS('recurring2_based on steps'!$B52:$AY52,'recurring2_based on steps'!$B$1:$AY$1,AA$1)+SUMIFS('changes2_based on steps'!$B52:$U52,'changes2_based on steps'!$B$1:$U$1,AA$1)</f>
        <v>0</v>
      </c>
      <c r="AB52" s="179">
        <f>SUMIFS('recurring2_based on steps'!$B52:$AY52,'recurring2_based on steps'!$B$1:$AY$1,AB$1)+SUMIFS('changes2_based on steps'!$B52:$U52,'changes2_based on steps'!$B$1:$U$1,AB$1)</f>
        <v>0</v>
      </c>
      <c r="AC52" s="179">
        <f>SUMIFS('recurring2_based on steps'!$B52:$AY52,'recurring2_based on steps'!$B$1:$AY$1,AC$1)+SUMIFS('changes2_based on steps'!$B52:$U52,'changes2_based on steps'!$B$1:$U$1,AC$1)</f>
        <v>0</v>
      </c>
      <c r="AD52" s="179">
        <f>SUMIFS('recurring2_based on steps'!$B52:$AY52,'recurring2_based on steps'!$B$1:$AY$1,AD$1)+SUMIFS('changes2_based on steps'!$B52:$U52,'changes2_based on steps'!$B$1:$U$1,AD$1)</f>
        <v>0</v>
      </c>
      <c r="AE52" s="179">
        <f>SUMIFS('recurring2_based on steps'!$B52:$AY52,'recurring2_based on steps'!$B$1:$AY$1,AE$1)+SUMIFS('changes2_based on steps'!$B52:$U52,'changes2_based on steps'!$B$1:$U$1,AE$1)</f>
        <v>0</v>
      </c>
      <c r="AF52" s="179"/>
      <c r="AG52" s="179"/>
      <c r="AH52" s="179"/>
      <c r="AI52" s="179"/>
      <c r="AJ52" s="179"/>
      <c r="AK52" s="179"/>
      <c r="AL52" s="179"/>
      <c r="AM52" s="179"/>
    </row>
    <row r="53" spans="1:39" x14ac:dyDescent="0.2">
      <c r="A53" s="32">
        <f t="shared" ca="1" si="0"/>
        <v>45795</v>
      </c>
      <c r="B53" s="179">
        <f>SUMIFS('recurring2_based on steps'!$B53:$AY53,'recurring2_based on steps'!$B$1:$AY$1,B$1)+SUMIFS('changes2_based on steps'!$B53:$U53,'changes2_based on steps'!$B$1:$U$1,B$1)</f>
        <v>0</v>
      </c>
      <c r="C53" s="179">
        <f>SUMIFS('recurring2_based on steps'!$B53:$AY53,'recurring2_based on steps'!$B$1:$AY$1,C$1)+SUMIFS('changes2_based on steps'!$B53:$U53,'changes2_based on steps'!$B$1:$U$1,C$1)</f>
        <v>0</v>
      </c>
      <c r="D53" s="179">
        <f>SUMIFS('recurring2_based on steps'!$B53:$AY53,'recurring2_based on steps'!$B$1:$AY$1,D$1)+SUMIFS('changes2_based on steps'!$B53:$U53,'changes2_based on steps'!$B$1:$U$1,D$1)</f>
        <v>0</v>
      </c>
      <c r="E53" s="179">
        <f>SUMIFS('recurring2_based on steps'!$B53:$AY53,'recurring2_based on steps'!$B$1:$AY$1,E$1)+SUMIFS('changes2_based on steps'!$B53:$U53,'changes2_based on steps'!$B$1:$U$1,E$1)</f>
        <v>0</v>
      </c>
      <c r="F53" s="179">
        <f>SUMIFS('recurring2_based on steps'!$B53:$AY53,'recurring2_based on steps'!$B$1:$AY$1,F$1)+SUMIFS('changes2_based on steps'!$B53:$U53,'changes2_based on steps'!$B$1:$U$1,F$1)</f>
        <v>0</v>
      </c>
      <c r="G53" s="179">
        <f>SUMIFS('recurring2_based on steps'!$B53:$AY53,'recurring2_based on steps'!$B$1:$AY$1,G$1)+SUMIFS('changes2_based on steps'!$B53:$U53,'changes2_based on steps'!$B$1:$U$1,G$1)</f>
        <v>0</v>
      </c>
      <c r="H53" s="179">
        <f>SUMIFS('recurring2_based on steps'!$B53:$AY53,'recurring2_based on steps'!$B$1:$AY$1,H$1)+SUMIFS('changes2_based on steps'!$B53:$U53,'changes2_based on steps'!$B$1:$U$1,H$1)</f>
        <v>0</v>
      </c>
      <c r="I53" s="179">
        <f>SUMIFS('recurring2_based on steps'!$B53:$AY53,'recurring2_based on steps'!$B$1:$AY$1,I$1)+SUMIFS('changes2_based on steps'!$B53:$U53,'changes2_based on steps'!$B$1:$U$1,I$1)</f>
        <v>0</v>
      </c>
      <c r="J53" s="179">
        <f>SUMIFS('recurring2_based on steps'!$B53:$AY53,'recurring2_based on steps'!$B$1:$AY$1,J$1)+SUMIFS('changes2_based on steps'!$B53:$U53,'changes2_based on steps'!$B$1:$U$1,J$1)</f>
        <v>0</v>
      </c>
      <c r="K53" s="179">
        <f>SUMIFS('recurring2_based on steps'!$B53:$AY53,'recurring2_based on steps'!$B$1:$AY$1,K$1)+SUMIFS('changes2_based on steps'!$B53:$U53,'changes2_based on steps'!$B$1:$U$1,K$1)</f>
        <v>0</v>
      </c>
      <c r="L53" s="179">
        <f>SUMIFS('recurring2_based on steps'!$B53:$AY53,'recurring2_based on steps'!$B$1:$AY$1,L$1)+SUMIFS('changes2_based on steps'!$B53:$U53,'changes2_based on steps'!$B$1:$U$1,L$1)</f>
        <v>0</v>
      </c>
      <c r="M53" s="179">
        <f>SUMIFS('recurring2_based on steps'!$B53:$AY53,'recurring2_based on steps'!$B$1:$AY$1,M$1)+SUMIFS('changes2_based on steps'!$B53:$U53,'changes2_based on steps'!$B$1:$U$1,M$1)</f>
        <v>0</v>
      </c>
      <c r="N53" s="179">
        <f>SUMIFS('recurring2_based on steps'!$B53:$AY53,'recurring2_based on steps'!$B$1:$AY$1,N$1)+SUMIFS('changes2_based on steps'!$B53:$U53,'changes2_based on steps'!$B$1:$U$1,N$1)</f>
        <v>0</v>
      </c>
      <c r="O53" s="179">
        <f>SUMIFS('recurring2_based on steps'!$B53:$AY53,'recurring2_based on steps'!$B$1:$AY$1,O$1)+SUMIFS('changes2_based on steps'!$B53:$U53,'changes2_based on steps'!$B$1:$U$1,O$1)</f>
        <v>0</v>
      </c>
      <c r="P53" s="179">
        <f>SUMIFS('recurring2_based on steps'!$B53:$AY53,'recurring2_based on steps'!$B$1:$AY$1,P$1)+SUMIFS('changes2_based on steps'!$B53:$U53,'changes2_based on steps'!$B$1:$U$1,P$1)</f>
        <v>0</v>
      </c>
      <c r="Q53" s="179">
        <f>SUMIFS('recurring2_based on steps'!$B53:$AY53,'recurring2_based on steps'!$B$1:$AY$1,Q$1)+SUMIFS('changes2_based on steps'!$B53:$U53,'changes2_based on steps'!$B$1:$U$1,Q$1)</f>
        <v>0</v>
      </c>
      <c r="R53" s="179">
        <f>SUMIFS('recurring2_based on steps'!$B53:$AY53,'recurring2_based on steps'!$B$1:$AY$1,R$1)+SUMIFS('changes2_based on steps'!$B53:$U53,'changes2_based on steps'!$B$1:$U$1,R$1)</f>
        <v>0</v>
      </c>
      <c r="S53" s="179">
        <f>SUMIFS('recurring2_based on steps'!$B53:$AY53,'recurring2_based on steps'!$B$1:$AY$1,S$1)+SUMIFS('changes2_based on steps'!$B53:$U53,'changes2_based on steps'!$B$1:$U$1,S$1)</f>
        <v>0</v>
      </c>
      <c r="T53" s="179">
        <f>SUMIFS('recurring2_based on steps'!$B53:$AY53,'recurring2_based on steps'!$B$1:$AY$1,T$1)+SUMIFS('changes2_based on steps'!$B53:$U53,'changes2_based on steps'!$B$1:$U$1,T$1)</f>
        <v>0</v>
      </c>
      <c r="U53" s="179">
        <f>SUMIFS('recurring2_based on steps'!$B53:$AY53,'recurring2_based on steps'!$B$1:$AY$1,U$1)+SUMIFS('changes2_based on steps'!$B53:$U53,'changes2_based on steps'!$B$1:$U$1,U$1)</f>
        <v>0</v>
      </c>
      <c r="V53" s="179">
        <f>SUMIFS('recurring2_based on steps'!$B53:$AY53,'recurring2_based on steps'!$B$1:$AY$1,V$1)+SUMIFS('changes2_based on steps'!$B53:$U53,'changes2_based on steps'!$B$1:$U$1,V$1)</f>
        <v>0</v>
      </c>
      <c r="W53" s="179">
        <f>SUMIFS('recurring2_based on steps'!$B53:$AY53,'recurring2_based on steps'!$B$1:$AY$1,W$1)+SUMIFS('changes2_based on steps'!$B53:$U53,'changes2_based on steps'!$B$1:$U$1,W$1)</f>
        <v>0</v>
      </c>
      <c r="X53" s="179">
        <f>SUMIFS('recurring2_based on steps'!$B53:$AY53,'recurring2_based on steps'!$B$1:$AY$1,X$1)+SUMIFS('changes2_based on steps'!$B53:$U53,'changes2_based on steps'!$B$1:$U$1,X$1)</f>
        <v>0</v>
      </c>
      <c r="Y53" s="179">
        <f>SUMIFS('recurring2_based on steps'!$B53:$AY53,'recurring2_based on steps'!$B$1:$AY$1,Y$1)+SUMIFS('changes2_based on steps'!$B53:$U53,'changes2_based on steps'!$B$1:$U$1,Y$1)</f>
        <v>0</v>
      </c>
      <c r="Z53" s="179">
        <f>SUMIFS('recurring2_based on steps'!$B53:$AY53,'recurring2_based on steps'!$B$1:$AY$1,Z$1)+SUMIFS('changes2_based on steps'!$B53:$U53,'changes2_based on steps'!$B$1:$U$1,Z$1)</f>
        <v>0</v>
      </c>
      <c r="AA53" s="179">
        <f>SUMIFS('recurring2_based on steps'!$B53:$AY53,'recurring2_based on steps'!$B$1:$AY$1,AA$1)+SUMIFS('changes2_based on steps'!$B53:$U53,'changes2_based on steps'!$B$1:$U$1,AA$1)</f>
        <v>0</v>
      </c>
      <c r="AB53" s="179">
        <f>SUMIFS('recurring2_based on steps'!$B53:$AY53,'recurring2_based on steps'!$B$1:$AY$1,AB$1)+SUMIFS('changes2_based on steps'!$B53:$U53,'changes2_based on steps'!$B$1:$U$1,AB$1)</f>
        <v>0</v>
      </c>
      <c r="AC53" s="179">
        <f>SUMIFS('recurring2_based on steps'!$B53:$AY53,'recurring2_based on steps'!$B$1:$AY$1,AC$1)+SUMIFS('changes2_based on steps'!$B53:$U53,'changes2_based on steps'!$B$1:$U$1,AC$1)</f>
        <v>0</v>
      </c>
      <c r="AD53" s="179">
        <f>SUMIFS('recurring2_based on steps'!$B53:$AY53,'recurring2_based on steps'!$B$1:$AY$1,AD$1)+SUMIFS('changes2_based on steps'!$B53:$U53,'changes2_based on steps'!$B$1:$U$1,AD$1)</f>
        <v>0</v>
      </c>
      <c r="AE53" s="179">
        <f>SUMIFS('recurring2_based on steps'!$B53:$AY53,'recurring2_based on steps'!$B$1:$AY$1,AE$1)+SUMIFS('changes2_based on steps'!$B53:$U53,'changes2_based on steps'!$B$1:$U$1,AE$1)</f>
        <v>0</v>
      </c>
      <c r="AF53" s="179"/>
      <c r="AG53" s="179"/>
      <c r="AH53" s="179"/>
      <c r="AI53" s="179"/>
      <c r="AJ53" s="179"/>
      <c r="AK53" s="179"/>
      <c r="AL53" s="179"/>
      <c r="AM53" s="179"/>
    </row>
    <row r="54" spans="1:39" x14ac:dyDescent="0.2">
      <c r="A54" s="32">
        <f t="shared" ca="1" si="0"/>
        <v>45796</v>
      </c>
      <c r="B54" s="179">
        <f>SUMIFS('recurring2_based on steps'!$B54:$AY54,'recurring2_based on steps'!$B$1:$AY$1,B$1)+SUMIFS('changes2_based on steps'!$B54:$U54,'changes2_based on steps'!$B$1:$U$1,B$1)</f>
        <v>0</v>
      </c>
      <c r="C54" s="179">
        <f>SUMIFS('recurring2_based on steps'!$B54:$AY54,'recurring2_based on steps'!$B$1:$AY$1,C$1)+SUMIFS('changes2_based on steps'!$B54:$U54,'changes2_based on steps'!$B$1:$U$1,C$1)</f>
        <v>0</v>
      </c>
      <c r="D54" s="179">
        <f>SUMIFS('recurring2_based on steps'!$B54:$AY54,'recurring2_based on steps'!$B$1:$AY$1,D$1)+SUMIFS('changes2_based on steps'!$B54:$U54,'changes2_based on steps'!$B$1:$U$1,D$1)</f>
        <v>0</v>
      </c>
      <c r="E54" s="179">
        <f>SUMIFS('recurring2_based on steps'!$B54:$AY54,'recurring2_based on steps'!$B$1:$AY$1,E$1)+SUMIFS('changes2_based on steps'!$B54:$U54,'changes2_based on steps'!$B$1:$U$1,E$1)</f>
        <v>0</v>
      </c>
      <c r="F54" s="179">
        <f>SUMIFS('recurring2_based on steps'!$B54:$AY54,'recurring2_based on steps'!$B$1:$AY$1,F$1)+SUMIFS('changes2_based on steps'!$B54:$U54,'changes2_based on steps'!$B$1:$U$1,F$1)</f>
        <v>0</v>
      </c>
      <c r="G54" s="179">
        <f>SUMIFS('recurring2_based on steps'!$B54:$AY54,'recurring2_based on steps'!$B$1:$AY$1,G$1)+SUMIFS('changes2_based on steps'!$B54:$U54,'changes2_based on steps'!$B$1:$U$1,G$1)</f>
        <v>0</v>
      </c>
      <c r="H54" s="179">
        <f>SUMIFS('recurring2_based on steps'!$B54:$AY54,'recurring2_based on steps'!$B$1:$AY$1,H$1)+SUMIFS('changes2_based on steps'!$B54:$U54,'changes2_based on steps'!$B$1:$U$1,H$1)</f>
        <v>0</v>
      </c>
      <c r="I54" s="179">
        <f>SUMIFS('recurring2_based on steps'!$B54:$AY54,'recurring2_based on steps'!$B$1:$AY$1,I$1)+SUMIFS('changes2_based on steps'!$B54:$U54,'changes2_based on steps'!$B$1:$U$1,I$1)</f>
        <v>0</v>
      </c>
      <c r="J54" s="179">
        <f>SUMIFS('recurring2_based on steps'!$B54:$AY54,'recurring2_based on steps'!$B$1:$AY$1,J$1)+SUMIFS('changes2_based on steps'!$B54:$U54,'changes2_based on steps'!$B$1:$U$1,J$1)</f>
        <v>0</v>
      </c>
      <c r="K54" s="179">
        <f>SUMIFS('recurring2_based on steps'!$B54:$AY54,'recurring2_based on steps'!$B$1:$AY$1,K$1)+SUMIFS('changes2_based on steps'!$B54:$U54,'changes2_based on steps'!$B$1:$U$1,K$1)</f>
        <v>0</v>
      </c>
      <c r="L54" s="179">
        <f>SUMIFS('recurring2_based on steps'!$B54:$AY54,'recurring2_based on steps'!$B$1:$AY$1,L$1)+SUMIFS('changes2_based on steps'!$B54:$U54,'changes2_based on steps'!$B$1:$U$1,L$1)</f>
        <v>0</v>
      </c>
      <c r="M54" s="179">
        <f>SUMIFS('recurring2_based on steps'!$B54:$AY54,'recurring2_based on steps'!$B$1:$AY$1,M$1)+SUMIFS('changes2_based on steps'!$B54:$U54,'changes2_based on steps'!$B$1:$U$1,M$1)</f>
        <v>0</v>
      </c>
      <c r="N54" s="179">
        <f>SUMIFS('recurring2_based on steps'!$B54:$AY54,'recurring2_based on steps'!$B$1:$AY$1,N$1)+SUMIFS('changes2_based on steps'!$B54:$U54,'changes2_based on steps'!$B$1:$U$1,N$1)</f>
        <v>0</v>
      </c>
      <c r="O54" s="179">
        <f>SUMIFS('recurring2_based on steps'!$B54:$AY54,'recurring2_based on steps'!$B$1:$AY$1,O$1)+SUMIFS('changes2_based on steps'!$B54:$U54,'changes2_based on steps'!$B$1:$U$1,O$1)</f>
        <v>0</v>
      </c>
      <c r="P54" s="179">
        <f>SUMIFS('recurring2_based on steps'!$B54:$AY54,'recurring2_based on steps'!$B$1:$AY$1,P$1)+SUMIFS('changes2_based on steps'!$B54:$U54,'changes2_based on steps'!$B$1:$U$1,P$1)</f>
        <v>0</v>
      </c>
      <c r="Q54" s="179">
        <f>SUMIFS('recurring2_based on steps'!$B54:$AY54,'recurring2_based on steps'!$B$1:$AY$1,Q$1)+SUMIFS('changes2_based on steps'!$B54:$U54,'changes2_based on steps'!$B$1:$U$1,Q$1)</f>
        <v>0</v>
      </c>
      <c r="R54" s="179">
        <f>SUMIFS('recurring2_based on steps'!$B54:$AY54,'recurring2_based on steps'!$B$1:$AY$1,R$1)+SUMIFS('changes2_based on steps'!$B54:$U54,'changes2_based on steps'!$B$1:$U$1,R$1)</f>
        <v>0</v>
      </c>
      <c r="S54" s="179">
        <f>SUMIFS('recurring2_based on steps'!$B54:$AY54,'recurring2_based on steps'!$B$1:$AY$1,S$1)+SUMIFS('changes2_based on steps'!$B54:$U54,'changes2_based on steps'!$B$1:$U$1,S$1)</f>
        <v>0</v>
      </c>
      <c r="T54" s="179">
        <f>SUMIFS('recurring2_based on steps'!$B54:$AY54,'recurring2_based on steps'!$B$1:$AY$1,T$1)+SUMIFS('changes2_based on steps'!$B54:$U54,'changes2_based on steps'!$B$1:$U$1,T$1)</f>
        <v>0</v>
      </c>
      <c r="U54" s="179">
        <f>SUMIFS('recurring2_based on steps'!$B54:$AY54,'recurring2_based on steps'!$B$1:$AY$1,U$1)+SUMIFS('changes2_based on steps'!$B54:$U54,'changes2_based on steps'!$B$1:$U$1,U$1)</f>
        <v>0</v>
      </c>
      <c r="V54" s="179">
        <f>SUMIFS('recurring2_based on steps'!$B54:$AY54,'recurring2_based on steps'!$B$1:$AY$1,V$1)+SUMIFS('changes2_based on steps'!$B54:$U54,'changes2_based on steps'!$B$1:$U$1,V$1)</f>
        <v>0</v>
      </c>
      <c r="W54" s="179">
        <f>SUMIFS('recurring2_based on steps'!$B54:$AY54,'recurring2_based on steps'!$B$1:$AY$1,W$1)+SUMIFS('changes2_based on steps'!$B54:$U54,'changes2_based on steps'!$B$1:$U$1,W$1)</f>
        <v>0</v>
      </c>
      <c r="X54" s="179">
        <f>SUMIFS('recurring2_based on steps'!$B54:$AY54,'recurring2_based on steps'!$B$1:$AY$1,X$1)+SUMIFS('changes2_based on steps'!$B54:$U54,'changes2_based on steps'!$B$1:$U$1,X$1)</f>
        <v>0</v>
      </c>
      <c r="Y54" s="179">
        <f>SUMIFS('recurring2_based on steps'!$B54:$AY54,'recurring2_based on steps'!$B$1:$AY$1,Y$1)+SUMIFS('changes2_based on steps'!$B54:$U54,'changes2_based on steps'!$B$1:$U$1,Y$1)</f>
        <v>0</v>
      </c>
      <c r="Z54" s="179">
        <f>SUMIFS('recurring2_based on steps'!$B54:$AY54,'recurring2_based on steps'!$B$1:$AY$1,Z$1)+SUMIFS('changes2_based on steps'!$B54:$U54,'changes2_based on steps'!$B$1:$U$1,Z$1)</f>
        <v>0</v>
      </c>
      <c r="AA54" s="179">
        <f>SUMIFS('recurring2_based on steps'!$B54:$AY54,'recurring2_based on steps'!$B$1:$AY$1,AA$1)+SUMIFS('changes2_based on steps'!$B54:$U54,'changes2_based on steps'!$B$1:$U$1,AA$1)</f>
        <v>0</v>
      </c>
      <c r="AB54" s="179">
        <f>SUMIFS('recurring2_based on steps'!$B54:$AY54,'recurring2_based on steps'!$B$1:$AY$1,AB$1)+SUMIFS('changes2_based on steps'!$B54:$U54,'changes2_based on steps'!$B$1:$U$1,AB$1)</f>
        <v>0</v>
      </c>
      <c r="AC54" s="179">
        <f>SUMIFS('recurring2_based on steps'!$B54:$AY54,'recurring2_based on steps'!$B$1:$AY$1,AC$1)+SUMIFS('changes2_based on steps'!$B54:$U54,'changes2_based on steps'!$B$1:$U$1,AC$1)</f>
        <v>0</v>
      </c>
      <c r="AD54" s="179">
        <f>SUMIFS('recurring2_based on steps'!$B54:$AY54,'recurring2_based on steps'!$B$1:$AY$1,AD$1)+SUMIFS('changes2_based on steps'!$B54:$U54,'changes2_based on steps'!$B$1:$U$1,AD$1)</f>
        <v>0</v>
      </c>
      <c r="AE54" s="179">
        <f>SUMIFS('recurring2_based on steps'!$B54:$AY54,'recurring2_based on steps'!$B$1:$AY$1,AE$1)+SUMIFS('changes2_based on steps'!$B54:$U54,'changes2_based on steps'!$B$1:$U$1,AE$1)</f>
        <v>0</v>
      </c>
      <c r="AF54" s="179"/>
      <c r="AG54" s="179"/>
      <c r="AH54" s="179"/>
      <c r="AI54" s="179"/>
      <c r="AJ54" s="179"/>
      <c r="AK54" s="179"/>
      <c r="AL54" s="179"/>
      <c r="AM54" s="179"/>
    </row>
    <row r="55" spans="1:39" x14ac:dyDescent="0.2">
      <c r="A55" s="32">
        <f t="shared" ca="1" si="0"/>
        <v>45797</v>
      </c>
      <c r="B55" s="179">
        <f>SUMIFS('recurring2_based on steps'!$B55:$AY55,'recurring2_based on steps'!$B$1:$AY$1,B$1)+SUMIFS('changes2_based on steps'!$B55:$U55,'changes2_based on steps'!$B$1:$U$1,B$1)</f>
        <v>0</v>
      </c>
      <c r="C55" s="179">
        <f>SUMIFS('recurring2_based on steps'!$B55:$AY55,'recurring2_based on steps'!$B$1:$AY$1,C$1)+SUMIFS('changes2_based on steps'!$B55:$U55,'changes2_based on steps'!$B$1:$U$1,C$1)</f>
        <v>0</v>
      </c>
      <c r="D55" s="179">
        <f>SUMIFS('recurring2_based on steps'!$B55:$AY55,'recurring2_based on steps'!$B$1:$AY$1,D$1)+SUMIFS('changes2_based on steps'!$B55:$U55,'changes2_based on steps'!$B$1:$U$1,D$1)</f>
        <v>0</v>
      </c>
      <c r="E55" s="179">
        <f>SUMIFS('recurring2_based on steps'!$B55:$AY55,'recurring2_based on steps'!$B$1:$AY$1,E$1)+SUMIFS('changes2_based on steps'!$B55:$U55,'changes2_based on steps'!$B$1:$U$1,E$1)</f>
        <v>0</v>
      </c>
      <c r="F55" s="179">
        <f>SUMIFS('recurring2_based on steps'!$B55:$AY55,'recurring2_based on steps'!$B$1:$AY$1,F$1)+SUMIFS('changes2_based on steps'!$B55:$U55,'changes2_based on steps'!$B$1:$U$1,F$1)</f>
        <v>0</v>
      </c>
      <c r="G55" s="179">
        <f>SUMIFS('recurring2_based on steps'!$B55:$AY55,'recurring2_based on steps'!$B$1:$AY$1,G$1)+SUMIFS('changes2_based on steps'!$B55:$U55,'changes2_based on steps'!$B$1:$U$1,G$1)</f>
        <v>0</v>
      </c>
      <c r="H55" s="179">
        <f>SUMIFS('recurring2_based on steps'!$B55:$AY55,'recurring2_based on steps'!$B$1:$AY$1,H$1)+SUMIFS('changes2_based on steps'!$B55:$U55,'changes2_based on steps'!$B$1:$U$1,H$1)</f>
        <v>0</v>
      </c>
      <c r="I55" s="179">
        <f>SUMIFS('recurring2_based on steps'!$B55:$AY55,'recurring2_based on steps'!$B$1:$AY$1,I$1)+SUMIFS('changes2_based on steps'!$B55:$U55,'changes2_based on steps'!$B$1:$U$1,I$1)</f>
        <v>0</v>
      </c>
      <c r="J55" s="179">
        <f>SUMIFS('recurring2_based on steps'!$B55:$AY55,'recurring2_based on steps'!$B$1:$AY$1,J$1)+SUMIFS('changes2_based on steps'!$B55:$U55,'changes2_based on steps'!$B$1:$U$1,J$1)</f>
        <v>0</v>
      </c>
      <c r="K55" s="179">
        <f>SUMIFS('recurring2_based on steps'!$B55:$AY55,'recurring2_based on steps'!$B$1:$AY$1,K$1)+SUMIFS('changes2_based on steps'!$B55:$U55,'changes2_based on steps'!$B$1:$U$1,K$1)</f>
        <v>0</v>
      </c>
      <c r="L55" s="179">
        <f>SUMIFS('recurring2_based on steps'!$B55:$AY55,'recurring2_based on steps'!$B$1:$AY$1,L$1)+SUMIFS('changes2_based on steps'!$B55:$U55,'changes2_based on steps'!$B$1:$U$1,L$1)</f>
        <v>0</v>
      </c>
      <c r="M55" s="179">
        <f>SUMIFS('recurring2_based on steps'!$B55:$AY55,'recurring2_based on steps'!$B$1:$AY$1,M$1)+SUMIFS('changes2_based on steps'!$B55:$U55,'changes2_based on steps'!$B$1:$U$1,M$1)</f>
        <v>0</v>
      </c>
      <c r="N55" s="179">
        <f>SUMIFS('recurring2_based on steps'!$B55:$AY55,'recurring2_based on steps'!$B$1:$AY$1,N$1)+SUMIFS('changes2_based on steps'!$B55:$U55,'changes2_based on steps'!$B$1:$U$1,N$1)</f>
        <v>0</v>
      </c>
      <c r="O55" s="179">
        <f>SUMIFS('recurring2_based on steps'!$B55:$AY55,'recurring2_based on steps'!$B$1:$AY$1,O$1)+SUMIFS('changes2_based on steps'!$B55:$U55,'changes2_based on steps'!$B$1:$U$1,O$1)</f>
        <v>0</v>
      </c>
      <c r="P55" s="179">
        <f>SUMIFS('recurring2_based on steps'!$B55:$AY55,'recurring2_based on steps'!$B$1:$AY$1,P$1)+SUMIFS('changes2_based on steps'!$B55:$U55,'changes2_based on steps'!$B$1:$U$1,P$1)</f>
        <v>0</v>
      </c>
      <c r="Q55" s="179">
        <f>SUMIFS('recurring2_based on steps'!$B55:$AY55,'recurring2_based on steps'!$B$1:$AY$1,Q$1)+SUMIFS('changes2_based on steps'!$B55:$U55,'changes2_based on steps'!$B$1:$U$1,Q$1)</f>
        <v>0</v>
      </c>
      <c r="R55" s="179">
        <f>SUMIFS('recurring2_based on steps'!$B55:$AY55,'recurring2_based on steps'!$B$1:$AY$1,R$1)+SUMIFS('changes2_based on steps'!$B55:$U55,'changes2_based on steps'!$B$1:$U$1,R$1)</f>
        <v>0</v>
      </c>
      <c r="S55" s="179">
        <f>SUMIFS('recurring2_based on steps'!$B55:$AY55,'recurring2_based on steps'!$B$1:$AY$1,S$1)+SUMIFS('changes2_based on steps'!$B55:$U55,'changes2_based on steps'!$B$1:$U$1,S$1)</f>
        <v>0</v>
      </c>
      <c r="T55" s="179">
        <f>SUMIFS('recurring2_based on steps'!$B55:$AY55,'recurring2_based on steps'!$B$1:$AY$1,T$1)+SUMIFS('changes2_based on steps'!$B55:$U55,'changes2_based on steps'!$B$1:$U$1,T$1)</f>
        <v>0</v>
      </c>
      <c r="U55" s="179">
        <f>SUMIFS('recurring2_based on steps'!$B55:$AY55,'recurring2_based on steps'!$B$1:$AY$1,U$1)+SUMIFS('changes2_based on steps'!$B55:$U55,'changes2_based on steps'!$B$1:$U$1,U$1)</f>
        <v>0</v>
      </c>
      <c r="V55" s="179">
        <f>SUMIFS('recurring2_based on steps'!$B55:$AY55,'recurring2_based on steps'!$B$1:$AY$1,V$1)+SUMIFS('changes2_based on steps'!$B55:$U55,'changes2_based on steps'!$B$1:$U$1,V$1)</f>
        <v>0</v>
      </c>
      <c r="W55" s="179">
        <f>SUMIFS('recurring2_based on steps'!$B55:$AY55,'recurring2_based on steps'!$B$1:$AY$1,W$1)+SUMIFS('changes2_based on steps'!$B55:$U55,'changes2_based on steps'!$B$1:$U$1,W$1)</f>
        <v>0</v>
      </c>
      <c r="X55" s="179">
        <f>SUMIFS('recurring2_based on steps'!$B55:$AY55,'recurring2_based on steps'!$B$1:$AY$1,X$1)+SUMIFS('changes2_based on steps'!$B55:$U55,'changes2_based on steps'!$B$1:$U$1,X$1)</f>
        <v>0</v>
      </c>
      <c r="Y55" s="179">
        <f>SUMIFS('recurring2_based on steps'!$B55:$AY55,'recurring2_based on steps'!$B$1:$AY$1,Y$1)+SUMIFS('changes2_based on steps'!$B55:$U55,'changes2_based on steps'!$B$1:$U$1,Y$1)</f>
        <v>0</v>
      </c>
      <c r="Z55" s="179">
        <f>SUMIFS('recurring2_based on steps'!$B55:$AY55,'recurring2_based on steps'!$B$1:$AY$1,Z$1)+SUMIFS('changes2_based on steps'!$B55:$U55,'changes2_based on steps'!$B$1:$U$1,Z$1)</f>
        <v>0</v>
      </c>
      <c r="AA55" s="179">
        <f>SUMIFS('recurring2_based on steps'!$B55:$AY55,'recurring2_based on steps'!$B$1:$AY$1,AA$1)+SUMIFS('changes2_based on steps'!$B55:$U55,'changes2_based on steps'!$B$1:$U$1,AA$1)</f>
        <v>0</v>
      </c>
      <c r="AB55" s="179">
        <f>SUMIFS('recurring2_based on steps'!$B55:$AY55,'recurring2_based on steps'!$B$1:$AY$1,AB$1)+SUMIFS('changes2_based on steps'!$B55:$U55,'changes2_based on steps'!$B$1:$U$1,AB$1)</f>
        <v>0</v>
      </c>
      <c r="AC55" s="179">
        <f>SUMIFS('recurring2_based on steps'!$B55:$AY55,'recurring2_based on steps'!$B$1:$AY$1,AC$1)+SUMIFS('changes2_based on steps'!$B55:$U55,'changes2_based on steps'!$B$1:$U$1,AC$1)</f>
        <v>0</v>
      </c>
      <c r="AD55" s="179">
        <f>SUMIFS('recurring2_based on steps'!$B55:$AY55,'recurring2_based on steps'!$B$1:$AY$1,AD$1)+SUMIFS('changes2_based on steps'!$B55:$U55,'changes2_based on steps'!$B$1:$U$1,AD$1)</f>
        <v>0</v>
      </c>
      <c r="AE55" s="179">
        <f>SUMIFS('recurring2_based on steps'!$B55:$AY55,'recurring2_based on steps'!$B$1:$AY$1,AE$1)+SUMIFS('changes2_based on steps'!$B55:$U55,'changes2_based on steps'!$B$1:$U$1,AE$1)</f>
        <v>0</v>
      </c>
      <c r="AF55" s="179"/>
      <c r="AG55" s="179"/>
      <c r="AH55" s="179"/>
      <c r="AI55" s="179"/>
      <c r="AJ55" s="179"/>
      <c r="AK55" s="179"/>
      <c r="AL55" s="179"/>
      <c r="AM55" s="179"/>
    </row>
    <row r="56" spans="1:39" x14ac:dyDescent="0.2">
      <c r="A56" s="32">
        <f t="shared" ca="1" si="0"/>
        <v>45798</v>
      </c>
      <c r="B56" s="179">
        <f>SUMIFS('recurring2_based on steps'!$B56:$AY56,'recurring2_based on steps'!$B$1:$AY$1,B$1)+SUMIFS('changes2_based on steps'!$B56:$U56,'changes2_based on steps'!$B$1:$U$1,B$1)</f>
        <v>0</v>
      </c>
      <c r="C56" s="179">
        <f>SUMIFS('recurring2_based on steps'!$B56:$AY56,'recurring2_based on steps'!$B$1:$AY$1,C$1)+SUMIFS('changes2_based on steps'!$B56:$U56,'changes2_based on steps'!$B$1:$U$1,C$1)</f>
        <v>0</v>
      </c>
      <c r="D56" s="179">
        <f>SUMIFS('recurring2_based on steps'!$B56:$AY56,'recurring2_based on steps'!$B$1:$AY$1,D$1)+SUMIFS('changes2_based on steps'!$B56:$U56,'changes2_based on steps'!$B$1:$U$1,D$1)</f>
        <v>0</v>
      </c>
      <c r="E56" s="179">
        <f>SUMIFS('recurring2_based on steps'!$B56:$AY56,'recurring2_based on steps'!$B$1:$AY$1,E$1)+SUMIFS('changes2_based on steps'!$B56:$U56,'changes2_based on steps'!$B$1:$U$1,E$1)</f>
        <v>0</v>
      </c>
      <c r="F56" s="179">
        <f>SUMIFS('recurring2_based on steps'!$B56:$AY56,'recurring2_based on steps'!$B$1:$AY$1,F$1)+SUMIFS('changes2_based on steps'!$B56:$U56,'changes2_based on steps'!$B$1:$U$1,F$1)</f>
        <v>0</v>
      </c>
      <c r="G56" s="179">
        <f>SUMIFS('recurring2_based on steps'!$B56:$AY56,'recurring2_based on steps'!$B$1:$AY$1,G$1)+SUMIFS('changes2_based on steps'!$B56:$U56,'changes2_based on steps'!$B$1:$U$1,G$1)</f>
        <v>0</v>
      </c>
      <c r="H56" s="179">
        <f>SUMIFS('recurring2_based on steps'!$B56:$AY56,'recurring2_based on steps'!$B$1:$AY$1,H$1)+SUMIFS('changes2_based on steps'!$B56:$U56,'changes2_based on steps'!$B$1:$U$1,H$1)</f>
        <v>0</v>
      </c>
      <c r="I56" s="179">
        <f>SUMIFS('recurring2_based on steps'!$B56:$AY56,'recurring2_based on steps'!$B$1:$AY$1,I$1)+SUMIFS('changes2_based on steps'!$B56:$U56,'changes2_based on steps'!$B$1:$U$1,I$1)</f>
        <v>0</v>
      </c>
      <c r="J56" s="179">
        <f>SUMIFS('recurring2_based on steps'!$B56:$AY56,'recurring2_based on steps'!$B$1:$AY$1,J$1)+SUMIFS('changes2_based on steps'!$B56:$U56,'changes2_based on steps'!$B$1:$U$1,J$1)</f>
        <v>0</v>
      </c>
      <c r="K56" s="179">
        <f>SUMIFS('recurring2_based on steps'!$B56:$AY56,'recurring2_based on steps'!$B$1:$AY$1,K$1)+SUMIFS('changes2_based on steps'!$B56:$U56,'changes2_based on steps'!$B$1:$U$1,K$1)</f>
        <v>0</v>
      </c>
      <c r="L56" s="179">
        <f>SUMIFS('recurring2_based on steps'!$B56:$AY56,'recurring2_based on steps'!$B$1:$AY$1,L$1)+SUMIFS('changes2_based on steps'!$B56:$U56,'changes2_based on steps'!$B$1:$U$1,L$1)</f>
        <v>0</v>
      </c>
      <c r="M56" s="179">
        <f>SUMIFS('recurring2_based on steps'!$B56:$AY56,'recurring2_based on steps'!$B$1:$AY$1,M$1)+SUMIFS('changes2_based on steps'!$B56:$U56,'changes2_based on steps'!$B$1:$U$1,M$1)</f>
        <v>0</v>
      </c>
      <c r="N56" s="179">
        <f>SUMIFS('recurring2_based on steps'!$B56:$AY56,'recurring2_based on steps'!$B$1:$AY$1,N$1)+SUMIFS('changes2_based on steps'!$B56:$U56,'changes2_based on steps'!$B$1:$U$1,N$1)</f>
        <v>0</v>
      </c>
      <c r="O56" s="179">
        <f>SUMIFS('recurring2_based on steps'!$B56:$AY56,'recurring2_based on steps'!$B$1:$AY$1,O$1)+SUMIFS('changes2_based on steps'!$B56:$U56,'changes2_based on steps'!$B$1:$U$1,O$1)</f>
        <v>0</v>
      </c>
      <c r="P56" s="179">
        <f>SUMIFS('recurring2_based on steps'!$B56:$AY56,'recurring2_based on steps'!$B$1:$AY$1,P$1)+SUMIFS('changes2_based on steps'!$B56:$U56,'changes2_based on steps'!$B$1:$U$1,P$1)</f>
        <v>0</v>
      </c>
      <c r="Q56" s="179">
        <f>SUMIFS('recurring2_based on steps'!$B56:$AY56,'recurring2_based on steps'!$B$1:$AY$1,Q$1)+SUMIFS('changes2_based on steps'!$B56:$U56,'changes2_based on steps'!$B$1:$U$1,Q$1)</f>
        <v>0</v>
      </c>
      <c r="R56" s="179">
        <f>SUMIFS('recurring2_based on steps'!$B56:$AY56,'recurring2_based on steps'!$B$1:$AY$1,R$1)+SUMIFS('changes2_based on steps'!$B56:$U56,'changes2_based on steps'!$B$1:$U$1,R$1)</f>
        <v>0</v>
      </c>
      <c r="S56" s="179">
        <f>SUMIFS('recurring2_based on steps'!$B56:$AY56,'recurring2_based on steps'!$B$1:$AY$1,S$1)+SUMIFS('changes2_based on steps'!$B56:$U56,'changes2_based on steps'!$B$1:$U$1,S$1)</f>
        <v>0</v>
      </c>
      <c r="T56" s="179">
        <f>SUMIFS('recurring2_based on steps'!$B56:$AY56,'recurring2_based on steps'!$B$1:$AY$1,T$1)+SUMIFS('changes2_based on steps'!$B56:$U56,'changes2_based on steps'!$B$1:$U$1,T$1)</f>
        <v>0</v>
      </c>
      <c r="U56" s="179">
        <f>SUMIFS('recurring2_based on steps'!$B56:$AY56,'recurring2_based on steps'!$B$1:$AY$1,U$1)+SUMIFS('changes2_based on steps'!$B56:$U56,'changes2_based on steps'!$B$1:$U$1,U$1)</f>
        <v>0</v>
      </c>
      <c r="V56" s="179">
        <f>SUMIFS('recurring2_based on steps'!$B56:$AY56,'recurring2_based on steps'!$B$1:$AY$1,V$1)+SUMIFS('changes2_based on steps'!$B56:$U56,'changes2_based on steps'!$B$1:$U$1,V$1)</f>
        <v>0</v>
      </c>
      <c r="W56" s="179">
        <f>SUMIFS('recurring2_based on steps'!$B56:$AY56,'recurring2_based on steps'!$B$1:$AY$1,W$1)+SUMIFS('changes2_based on steps'!$B56:$U56,'changes2_based on steps'!$B$1:$U$1,W$1)</f>
        <v>0</v>
      </c>
      <c r="X56" s="179">
        <f>SUMIFS('recurring2_based on steps'!$B56:$AY56,'recurring2_based on steps'!$B$1:$AY$1,X$1)+SUMIFS('changes2_based on steps'!$B56:$U56,'changes2_based on steps'!$B$1:$U$1,X$1)</f>
        <v>0</v>
      </c>
      <c r="Y56" s="179">
        <f>SUMIFS('recurring2_based on steps'!$B56:$AY56,'recurring2_based on steps'!$B$1:$AY$1,Y$1)+SUMIFS('changes2_based on steps'!$B56:$U56,'changes2_based on steps'!$B$1:$U$1,Y$1)</f>
        <v>0</v>
      </c>
      <c r="Z56" s="179">
        <f>SUMIFS('recurring2_based on steps'!$B56:$AY56,'recurring2_based on steps'!$B$1:$AY$1,Z$1)+SUMIFS('changes2_based on steps'!$B56:$U56,'changes2_based on steps'!$B$1:$U$1,Z$1)</f>
        <v>0</v>
      </c>
      <c r="AA56" s="179">
        <f>SUMIFS('recurring2_based on steps'!$B56:$AY56,'recurring2_based on steps'!$B$1:$AY$1,AA$1)+SUMIFS('changes2_based on steps'!$B56:$U56,'changes2_based on steps'!$B$1:$U$1,AA$1)</f>
        <v>0</v>
      </c>
      <c r="AB56" s="179">
        <f>SUMIFS('recurring2_based on steps'!$B56:$AY56,'recurring2_based on steps'!$B$1:$AY$1,AB$1)+SUMIFS('changes2_based on steps'!$B56:$U56,'changes2_based on steps'!$B$1:$U$1,AB$1)</f>
        <v>0</v>
      </c>
      <c r="AC56" s="179">
        <f>SUMIFS('recurring2_based on steps'!$B56:$AY56,'recurring2_based on steps'!$B$1:$AY$1,AC$1)+SUMIFS('changes2_based on steps'!$B56:$U56,'changes2_based on steps'!$B$1:$U$1,AC$1)</f>
        <v>0</v>
      </c>
      <c r="AD56" s="179">
        <f>SUMIFS('recurring2_based on steps'!$B56:$AY56,'recurring2_based on steps'!$B$1:$AY$1,AD$1)+SUMIFS('changes2_based on steps'!$B56:$U56,'changes2_based on steps'!$B$1:$U$1,AD$1)</f>
        <v>0</v>
      </c>
      <c r="AE56" s="179">
        <f>SUMIFS('recurring2_based on steps'!$B56:$AY56,'recurring2_based on steps'!$B$1:$AY$1,AE$1)+SUMIFS('changes2_based on steps'!$B56:$U56,'changes2_based on steps'!$B$1:$U$1,AE$1)</f>
        <v>0</v>
      </c>
      <c r="AF56" s="179"/>
      <c r="AG56" s="179"/>
      <c r="AH56" s="179"/>
      <c r="AI56" s="179"/>
      <c r="AJ56" s="179"/>
      <c r="AK56" s="179"/>
      <c r="AL56" s="179"/>
      <c r="AM56" s="179"/>
    </row>
    <row r="57" spans="1:39" x14ac:dyDescent="0.2">
      <c r="A57" s="32">
        <f t="shared" ca="1" si="0"/>
        <v>45799</v>
      </c>
      <c r="B57" s="179">
        <f>SUMIFS('recurring2_based on steps'!$B57:$AY57,'recurring2_based on steps'!$B$1:$AY$1,B$1)+SUMIFS('changes2_based on steps'!$B57:$U57,'changes2_based on steps'!$B$1:$U$1,B$1)</f>
        <v>0</v>
      </c>
      <c r="C57" s="179">
        <f>SUMIFS('recurring2_based on steps'!$B57:$AY57,'recurring2_based on steps'!$B$1:$AY$1,C$1)+SUMIFS('changes2_based on steps'!$B57:$U57,'changes2_based on steps'!$B$1:$U$1,C$1)</f>
        <v>0</v>
      </c>
      <c r="D57" s="179">
        <f>SUMIFS('recurring2_based on steps'!$B57:$AY57,'recurring2_based on steps'!$B$1:$AY$1,D$1)+SUMIFS('changes2_based on steps'!$B57:$U57,'changes2_based on steps'!$B$1:$U$1,D$1)</f>
        <v>0</v>
      </c>
      <c r="E57" s="179">
        <f>SUMIFS('recurring2_based on steps'!$B57:$AY57,'recurring2_based on steps'!$B$1:$AY$1,E$1)+SUMIFS('changes2_based on steps'!$B57:$U57,'changes2_based on steps'!$B$1:$U$1,E$1)</f>
        <v>0</v>
      </c>
      <c r="F57" s="179">
        <f>SUMIFS('recurring2_based on steps'!$B57:$AY57,'recurring2_based on steps'!$B$1:$AY$1,F$1)+SUMIFS('changes2_based on steps'!$B57:$U57,'changes2_based on steps'!$B$1:$U$1,F$1)</f>
        <v>0</v>
      </c>
      <c r="G57" s="179">
        <f>SUMIFS('recurring2_based on steps'!$B57:$AY57,'recurring2_based on steps'!$B$1:$AY$1,G$1)+SUMIFS('changes2_based on steps'!$B57:$U57,'changes2_based on steps'!$B$1:$U$1,G$1)</f>
        <v>0</v>
      </c>
      <c r="H57" s="179">
        <f>SUMIFS('recurring2_based on steps'!$B57:$AY57,'recurring2_based on steps'!$B$1:$AY$1,H$1)+SUMIFS('changes2_based on steps'!$B57:$U57,'changes2_based on steps'!$B$1:$U$1,H$1)</f>
        <v>0</v>
      </c>
      <c r="I57" s="179">
        <f>SUMIFS('recurring2_based on steps'!$B57:$AY57,'recurring2_based on steps'!$B$1:$AY$1,I$1)+SUMIFS('changes2_based on steps'!$B57:$U57,'changes2_based on steps'!$B$1:$U$1,I$1)</f>
        <v>0</v>
      </c>
      <c r="J57" s="179">
        <f>SUMIFS('recurring2_based on steps'!$B57:$AY57,'recurring2_based on steps'!$B$1:$AY$1,J$1)+SUMIFS('changes2_based on steps'!$B57:$U57,'changes2_based on steps'!$B$1:$U$1,J$1)</f>
        <v>0</v>
      </c>
      <c r="K57" s="179">
        <f>SUMIFS('recurring2_based on steps'!$B57:$AY57,'recurring2_based on steps'!$B$1:$AY$1,K$1)+SUMIFS('changes2_based on steps'!$B57:$U57,'changes2_based on steps'!$B$1:$U$1,K$1)</f>
        <v>0</v>
      </c>
      <c r="L57" s="179">
        <f>SUMIFS('recurring2_based on steps'!$B57:$AY57,'recurring2_based on steps'!$B$1:$AY$1,L$1)+SUMIFS('changes2_based on steps'!$B57:$U57,'changes2_based on steps'!$B$1:$U$1,L$1)</f>
        <v>0</v>
      </c>
      <c r="M57" s="179">
        <f>SUMIFS('recurring2_based on steps'!$B57:$AY57,'recurring2_based on steps'!$B$1:$AY$1,M$1)+SUMIFS('changes2_based on steps'!$B57:$U57,'changes2_based on steps'!$B$1:$U$1,M$1)</f>
        <v>0</v>
      </c>
      <c r="N57" s="179">
        <f>SUMIFS('recurring2_based on steps'!$B57:$AY57,'recurring2_based on steps'!$B$1:$AY$1,N$1)+SUMIFS('changes2_based on steps'!$B57:$U57,'changes2_based on steps'!$B$1:$U$1,N$1)</f>
        <v>0</v>
      </c>
      <c r="O57" s="179">
        <f>SUMIFS('recurring2_based on steps'!$B57:$AY57,'recurring2_based on steps'!$B$1:$AY$1,O$1)+SUMIFS('changes2_based on steps'!$B57:$U57,'changes2_based on steps'!$B$1:$U$1,O$1)</f>
        <v>0</v>
      </c>
      <c r="P57" s="179">
        <f>SUMIFS('recurring2_based on steps'!$B57:$AY57,'recurring2_based on steps'!$B$1:$AY$1,P$1)+SUMIFS('changes2_based on steps'!$B57:$U57,'changes2_based on steps'!$B$1:$U$1,P$1)</f>
        <v>0</v>
      </c>
      <c r="Q57" s="179">
        <f>SUMIFS('recurring2_based on steps'!$B57:$AY57,'recurring2_based on steps'!$B$1:$AY$1,Q$1)+SUMIFS('changes2_based on steps'!$B57:$U57,'changes2_based on steps'!$B$1:$U$1,Q$1)</f>
        <v>0</v>
      </c>
      <c r="R57" s="179">
        <f>SUMIFS('recurring2_based on steps'!$B57:$AY57,'recurring2_based on steps'!$B$1:$AY$1,R$1)+SUMIFS('changes2_based on steps'!$B57:$U57,'changes2_based on steps'!$B$1:$U$1,R$1)</f>
        <v>0</v>
      </c>
      <c r="S57" s="179">
        <f>SUMIFS('recurring2_based on steps'!$B57:$AY57,'recurring2_based on steps'!$B$1:$AY$1,S$1)+SUMIFS('changes2_based on steps'!$B57:$U57,'changes2_based on steps'!$B$1:$U$1,S$1)</f>
        <v>0</v>
      </c>
      <c r="T57" s="179">
        <f>SUMIFS('recurring2_based on steps'!$B57:$AY57,'recurring2_based on steps'!$B$1:$AY$1,T$1)+SUMIFS('changes2_based on steps'!$B57:$U57,'changes2_based on steps'!$B$1:$U$1,T$1)</f>
        <v>0</v>
      </c>
      <c r="U57" s="179">
        <f>SUMIFS('recurring2_based on steps'!$B57:$AY57,'recurring2_based on steps'!$B$1:$AY$1,U$1)+SUMIFS('changes2_based on steps'!$B57:$U57,'changes2_based on steps'!$B$1:$U$1,U$1)</f>
        <v>0</v>
      </c>
      <c r="V57" s="179">
        <f>SUMIFS('recurring2_based on steps'!$B57:$AY57,'recurring2_based on steps'!$B$1:$AY$1,V$1)+SUMIFS('changes2_based on steps'!$B57:$U57,'changes2_based on steps'!$B$1:$U$1,V$1)</f>
        <v>0</v>
      </c>
      <c r="W57" s="179">
        <f>SUMIFS('recurring2_based on steps'!$B57:$AY57,'recurring2_based on steps'!$B$1:$AY$1,W$1)+SUMIFS('changes2_based on steps'!$B57:$U57,'changes2_based on steps'!$B$1:$U$1,W$1)</f>
        <v>0</v>
      </c>
      <c r="X57" s="179">
        <f>SUMIFS('recurring2_based on steps'!$B57:$AY57,'recurring2_based on steps'!$B$1:$AY$1,X$1)+SUMIFS('changes2_based on steps'!$B57:$U57,'changes2_based on steps'!$B$1:$U$1,X$1)</f>
        <v>0</v>
      </c>
      <c r="Y57" s="179">
        <f>SUMIFS('recurring2_based on steps'!$B57:$AY57,'recurring2_based on steps'!$B$1:$AY$1,Y$1)+SUMIFS('changes2_based on steps'!$B57:$U57,'changes2_based on steps'!$B$1:$U$1,Y$1)</f>
        <v>0</v>
      </c>
      <c r="Z57" s="179">
        <f>SUMIFS('recurring2_based on steps'!$B57:$AY57,'recurring2_based on steps'!$B$1:$AY$1,Z$1)+SUMIFS('changes2_based on steps'!$B57:$U57,'changes2_based on steps'!$B$1:$U$1,Z$1)</f>
        <v>0</v>
      </c>
      <c r="AA57" s="179">
        <f>SUMIFS('recurring2_based on steps'!$B57:$AY57,'recurring2_based on steps'!$B$1:$AY$1,AA$1)+SUMIFS('changes2_based on steps'!$B57:$U57,'changes2_based on steps'!$B$1:$U$1,AA$1)</f>
        <v>0</v>
      </c>
      <c r="AB57" s="179">
        <f>SUMIFS('recurring2_based on steps'!$B57:$AY57,'recurring2_based on steps'!$B$1:$AY$1,AB$1)+SUMIFS('changes2_based on steps'!$B57:$U57,'changes2_based on steps'!$B$1:$U$1,AB$1)</f>
        <v>0</v>
      </c>
      <c r="AC57" s="179">
        <f>SUMIFS('recurring2_based on steps'!$B57:$AY57,'recurring2_based on steps'!$B$1:$AY$1,AC$1)+SUMIFS('changes2_based on steps'!$B57:$U57,'changes2_based on steps'!$B$1:$U$1,AC$1)</f>
        <v>0</v>
      </c>
      <c r="AD57" s="179">
        <f>SUMIFS('recurring2_based on steps'!$B57:$AY57,'recurring2_based on steps'!$B$1:$AY$1,AD$1)+SUMIFS('changes2_based on steps'!$B57:$U57,'changes2_based on steps'!$B$1:$U$1,AD$1)</f>
        <v>0</v>
      </c>
      <c r="AE57" s="179">
        <f>SUMIFS('recurring2_based on steps'!$B57:$AY57,'recurring2_based on steps'!$B$1:$AY$1,AE$1)+SUMIFS('changes2_based on steps'!$B57:$U57,'changes2_based on steps'!$B$1:$U$1,AE$1)</f>
        <v>0</v>
      </c>
      <c r="AF57" s="179"/>
      <c r="AG57" s="179"/>
      <c r="AH57" s="179"/>
      <c r="AI57" s="179"/>
      <c r="AJ57" s="179"/>
      <c r="AK57" s="179"/>
      <c r="AL57" s="179"/>
      <c r="AM57" s="179"/>
    </row>
    <row r="58" spans="1:39" x14ac:dyDescent="0.2">
      <c r="A58" s="32">
        <f t="shared" ca="1" si="0"/>
        <v>45800</v>
      </c>
      <c r="B58" s="179">
        <f>SUMIFS('recurring2_based on steps'!$B58:$AY58,'recurring2_based on steps'!$B$1:$AY$1,B$1)+SUMIFS('changes2_based on steps'!$B58:$U58,'changes2_based on steps'!$B$1:$U$1,B$1)</f>
        <v>0</v>
      </c>
      <c r="C58" s="179">
        <f>SUMIFS('recurring2_based on steps'!$B58:$AY58,'recurring2_based on steps'!$B$1:$AY$1,C$1)+SUMIFS('changes2_based on steps'!$B58:$U58,'changes2_based on steps'!$B$1:$U$1,C$1)</f>
        <v>0</v>
      </c>
      <c r="D58" s="179">
        <f>SUMIFS('recurring2_based on steps'!$B58:$AY58,'recurring2_based on steps'!$B$1:$AY$1,D$1)+SUMIFS('changes2_based on steps'!$B58:$U58,'changes2_based on steps'!$B$1:$U$1,D$1)</f>
        <v>0</v>
      </c>
      <c r="E58" s="179">
        <f>SUMIFS('recurring2_based on steps'!$B58:$AY58,'recurring2_based on steps'!$B$1:$AY$1,E$1)+SUMIFS('changes2_based on steps'!$B58:$U58,'changes2_based on steps'!$B$1:$U$1,E$1)</f>
        <v>0</v>
      </c>
      <c r="F58" s="179">
        <f>SUMIFS('recurring2_based on steps'!$B58:$AY58,'recurring2_based on steps'!$B$1:$AY$1,F$1)+SUMIFS('changes2_based on steps'!$B58:$U58,'changes2_based on steps'!$B$1:$U$1,F$1)</f>
        <v>0</v>
      </c>
      <c r="G58" s="179">
        <f>SUMIFS('recurring2_based on steps'!$B58:$AY58,'recurring2_based on steps'!$B$1:$AY$1,G$1)+SUMIFS('changes2_based on steps'!$B58:$U58,'changes2_based on steps'!$B$1:$U$1,G$1)</f>
        <v>0</v>
      </c>
      <c r="H58" s="179">
        <f>SUMIFS('recurring2_based on steps'!$B58:$AY58,'recurring2_based on steps'!$B$1:$AY$1,H$1)+SUMIFS('changes2_based on steps'!$B58:$U58,'changes2_based on steps'!$B$1:$U$1,H$1)</f>
        <v>0</v>
      </c>
      <c r="I58" s="179">
        <f>SUMIFS('recurring2_based on steps'!$B58:$AY58,'recurring2_based on steps'!$B$1:$AY$1,I$1)+SUMIFS('changes2_based on steps'!$B58:$U58,'changes2_based on steps'!$B$1:$U$1,I$1)</f>
        <v>0</v>
      </c>
      <c r="J58" s="179">
        <f>SUMIFS('recurring2_based on steps'!$B58:$AY58,'recurring2_based on steps'!$B$1:$AY$1,J$1)+SUMIFS('changes2_based on steps'!$B58:$U58,'changes2_based on steps'!$B$1:$U$1,J$1)</f>
        <v>0</v>
      </c>
      <c r="K58" s="179">
        <f>SUMIFS('recurring2_based on steps'!$B58:$AY58,'recurring2_based on steps'!$B$1:$AY$1,K$1)+SUMIFS('changes2_based on steps'!$B58:$U58,'changes2_based on steps'!$B$1:$U$1,K$1)</f>
        <v>0</v>
      </c>
      <c r="L58" s="179">
        <f>SUMIFS('recurring2_based on steps'!$B58:$AY58,'recurring2_based on steps'!$B$1:$AY$1,L$1)+SUMIFS('changes2_based on steps'!$B58:$U58,'changes2_based on steps'!$B$1:$U$1,L$1)</f>
        <v>0</v>
      </c>
      <c r="M58" s="179">
        <f>SUMIFS('recurring2_based on steps'!$B58:$AY58,'recurring2_based on steps'!$B$1:$AY$1,M$1)+SUMIFS('changes2_based on steps'!$B58:$U58,'changes2_based on steps'!$B$1:$U$1,M$1)</f>
        <v>0</v>
      </c>
      <c r="N58" s="179">
        <f>SUMIFS('recurring2_based on steps'!$B58:$AY58,'recurring2_based on steps'!$B$1:$AY$1,N$1)+SUMIFS('changes2_based on steps'!$B58:$U58,'changes2_based on steps'!$B$1:$U$1,N$1)</f>
        <v>0</v>
      </c>
      <c r="O58" s="179">
        <f>SUMIFS('recurring2_based on steps'!$B58:$AY58,'recurring2_based on steps'!$B$1:$AY$1,O$1)+SUMIFS('changes2_based on steps'!$B58:$U58,'changes2_based on steps'!$B$1:$U$1,O$1)</f>
        <v>0</v>
      </c>
      <c r="P58" s="179">
        <f>SUMIFS('recurring2_based on steps'!$B58:$AY58,'recurring2_based on steps'!$B$1:$AY$1,P$1)+SUMIFS('changes2_based on steps'!$B58:$U58,'changes2_based on steps'!$B$1:$U$1,P$1)</f>
        <v>0</v>
      </c>
      <c r="Q58" s="179">
        <f>SUMIFS('recurring2_based on steps'!$B58:$AY58,'recurring2_based on steps'!$B$1:$AY$1,Q$1)+SUMIFS('changes2_based on steps'!$B58:$U58,'changes2_based on steps'!$B$1:$U$1,Q$1)</f>
        <v>0</v>
      </c>
      <c r="R58" s="179">
        <f>SUMIFS('recurring2_based on steps'!$B58:$AY58,'recurring2_based on steps'!$B$1:$AY$1,R$1)+SUMIFS('changes2_based on steps'!$B58:$U58,'changes2_based on steps'!$B$1:$U$1,R$1)</f>
        <v>0</v>
      </c>
      <c r="S58" s="179">
        <f>SUMIFS('recurring2_based on steps'!$B58:$AY58,'recurring2_based on steps'!$B$1:$AY$1,S$1)+SUMIFS('changes2_based on steps'!$B58:$U58,'changes2_based on steps'!$B$1:$U$1,S$1)</f>
        <v>0</v>
      </c>
      <c r="T58" s="179">
        <f>SUMIFS('recurring2_based on steps'!$B58:$AY58,'recurring2_based on steps'!$B$1:$AY$1,T$1)+SUMIFS('changes2_based on steps'!$B58:$U58,'changes2_based on steps'!$B$1:$U$1,T$1)</f>
        <v>0</v>
      </c>
      <c r="U58" s="179">
        <f>SUMIFS('recurring2_based on steps'!$B58:$AY58,'recurring2_based on steps'!$B$1:$AY$1,U$1)+SUMIFS('changes2_based on steps'!$B58:$U58,'changes2_based on steps'!$B$1:$U$1,U$1)</f>
        <v>0</v>
      </c>
      <c r="V58" s="179">
        <f>SUMIFS('recurring2_based on steps'!$B58:$AY58,'recurring2_based on steps'!$B$1:$AY$1,V$1)+SUMIFS('changes2_based on steps'!$B58:$U58,'changes2_based on steps'!$B$1:$U$1,V$1)</f>
        <v>0</v>
      </c>
      <c r="W58" s="179">
        <f>SUMIFS('recurring2_based on steps'!$B58:$AY58,'recurring2_based on steps'!$B$1:$AY$1,W$1)+SUMIFS('changes2_based on steps'!$B58:$U58,'changes2_based on steps'!$B$1:$U$1,W$1)</f>
        <v>0</v>
      </c>
      <c r="X58" s="179">
        <f>SUMIFS('recurring2_based on steps'!$B58:$AY58,'recurring2_based on steps'!$B$1:$AY$1,X$1)+SUMIFS('changes2_based on steps'!$B58:$U58,'changes2_based on steps'!$B$1:$U$1,X$1)</f>
        <v>0</v>
      </c>
      <c r="Y58" s="179">
        <f>SUMIFS('recurring2_based on steps'!$B58:$AY58,'recurring2_based on steps'!$B$1:$AY$1,Y$1)+SUMIFS('changes2_based on steps'!$B58:$U58,'changes2_based on steps'!$B$1:$U$1,Y$1)</f>
        <v>0</v>
      </c>
      <c r="Z58" s="179">
        <f>SUMIFS('recurring2_based on steps'!$B58:$AY58,'recurring2_based on steps'!$B$1:$AY$1,Z$1)+SUMIFS('changes2_based on steps'!$B58:$U58,'changes2_based on steps'!$B$1:$U$1,Z$1)</f>
        <v>0</v>
      </c>
      <c r="AA58" s="179">
        <f>SUMIFS('recurring2_based on steps'!$B58:$AY58,'recurring2_based on steps'!$B$1:$AY$1,AA$1)+SUMIFS('changes2_based on steps'!$B58:$U58,'changes2_based on steps'!$B$1:$U$1,AA$1)</f>
        <v>0</v>
      </c>
      <c r="AB58" s="179">
        <f>SUMIFS('recurring2_based on steps'!$B58:$AY58,'recurring2_based on steps'!$B$1:$AY$1,AB$1)+SUMIFS('changes2_based on steps'!$B58:$U58,'changes2_based on steps'!$B$1:$U$1,AB$1)</f>
        <v>0</v>
      </c>
      <c r="AC58" s="179">
        <f>SUMIFS('recurring2_based on steps'!$B58:$AY58,'recurring2_based on steps'!$B$1:$AY$1,AC$1)+SUMIFS('changes2_based on steps'!$B58:$U58,'changes2_based on steps'!$B$1:$U$1,AC$1)</f>
        <v>0</v>
      </c>
      <c r="AD58" s="179">
        <f>SUMIFS('recurring2_based on steps'!$B58:$AY58,'recurring2_based on steps'!$B$1:$AY$1,AD$1)+SUMIFS('changes2_based on steps'!$B58:$U58,'changes2_based on steps'!$B$1:$U$1,AD$1)</f>
        <v>0</v>
      </c>
      <c r="AE58" s="179">
        <f>SUMIFS('recurring2_based on steps'!$B58:$AY58,'recurring2_based on steps'!$B$1:$AY$1,AE$1)+SUMIFS('changes2_based on steps'!$B58:$U58,'changes2_based on steps'!$B$1:$U$1,AE$1)</f>
        <v>0</v>
      </c>
      <c r="AF58" s="179"/>
      <c r="AG58" s="179"/>
      <c r="AH58" s="179"/>
      <c r="AI58" s="179"/>
      <c r="AJ58" s="179"/>
      <c r="AK58" s="179"/>
      <c r="AL58" s="179"/>
      <c r="AM58" s="179"/>
    </row>
    <row r="59" spans="1:39" x14ac:dyDescent="0.2">
      <c r="A59" s="32">
        <f t="shared" ca="1" si="0"/>
        <v>45801</v>
      </c>
      <c r="B59" s="179">
        <f>SUMIFS('recurring2_based on steps'!$B59:$AY59,'recurring2_based on steps'!$B$1:$AY$1,B$1)+SUMIFS('changes2_based on steps'!$B59:$U59,'changes2_based on steps'!$B$1:$U$1,B$1)</f>
        <v>0</v>
      </c>
      <c r="C59" s="179">
        <f>SUMIFS('recurring2_based on steps'!$B59:$AY59,'recurring2_based on steps'!$B$1:$AY$1,C$1)+SUMIFS('changes2_based on steps'!$B59:$U59,'changes2_based on steps'!$B$1:$U$1,C$1)</f>
        <v>0</v>
      </c>
      <c r="D59" s="179">
        <f>SUMIFS('recurring2_based on steps'!$B59:$AY59,'recurring2_based on steps'!$B$1:$AY$1,D$1)+SUMIFS('changes2_based on steps'!$B59:$U59,'changes2_based on steps'!$B$1:$U$1,D$1)</f>
        <v>0</v>
      </c>
      <c r="E59" s="179">
        <f>SUMIFS('recurring2_based on steps'!$B59:$AY59,'recurring2_based on steps'!$B$1:$AY$1,E$1)+SUMIFS('changes2_based on steps'!$B59:$U59,'changes2_based on steps'!$B$1:$U$1,E$1)</f>
        <v>0</v>
      </c>
      <c r="F59" s="179">
        <f>SUMIFS('recurring2_based on steps'!$B59:$AY59,'recurring2_based on steps'!$B$1:$AY$1,F$1)+SUMIFS('changes2_based on steps'!$B59:$U59,'changes2_based on steps'!$B$1:$U$1,F$1)</f>
        <v>0</v>
      </c>
      <c r="G59" s="179">
        <f>SUMIFS('recurring2_based on steps'!$B59:$AY59,'recurring2_based on steps'!$B$1:$AY$1,G$1)+SUMIFS('changes2_based on steps'!$B59:$U59,'changes2_based on steps'!$B$1:$U$1,G$1)</f>
        <v>0</v>
      </c>
      <c r="H59" s="179">
        <f>SUMIFS('recurring2_based on steps'!$B59:$AY59,'recurring2_based on steps'!$B$1:$AY$1,H$1)+SUMIFS('changes2_based on steps'!$B59:$U59,'changes2_based on steps'!$B$1:$U$1,H$1)</f>
        <v>0</v>
      </c>
      <c r="I59" s="179">
        <f>SUMIFS('recurring2_based on steps'!$B59:$AY59,'recurring2_based on steps'!$B$1:$AY$1,I$1)+SUMIFS('changes2_based on steps'!$B59:$U59,'changes2_based on steps'!$B$1:$U$1,I$1)</f>
        <v>0</v>
      </c>
      <c r="J59" s="179">
        <f>SUMIFS('recurring2_based on steps'!$B59:$AY59,'recurring2_based on steps'!$B$1:$AY$1,J$1)+SUMIFS('changes2_based on steps'!$B59:$U59,'changes2_based on steps'!$B$1:$U$1,J$1)</f>
        <v>0</v>
      </c>
      <c r="K59" s="179">
        <f>SUMIFS('recurring2_based on steps'!$B59:$AY59,'recurring2_based on steps'!$B$1:$AY$1,K$1)+SUMIFS('changes2_based on steps'!$B59:$U59,'changes2_based on steps'!$B$1:$U$1,K$1)</f>
        <v>0</v>
      </c>
      <c r="L59" s="179">
        <f>SUMIFS('recurring2_based on steps'!$B59:$AY59,'recurring2_based on steps'!$B$1:$AY$1,L$1)+SUMIFS('changes2_based on steps'!$B59:$U59,'changes2_based on steps'!$B$1:$U$1,L$1)</f>
        <v>0</v>
      </c>
      <c r="M59" s="179">
        <f>SUMIFS('recurring2_based on steps'!$B59:$AY59,'recurring2_based on steps'!$B$1:$AY$1,M$1)+SUMIFS('changes2_based on steps'!$B59:$U59,'changes2_based on steps'!$B$1:$U$1,M$1)</f>
        <v>0</v>
      </c>
      <c r="N59" s="179">
        <f>SUMIFS('recurring2_based on steps'!$B59:$AY59,'recurring2_based on steps'!$B$1:$AY$1,N$1)+SUMIFS('changes2_based on steps'!$B59:$U59,'changes2_based on steps'!$B$1:$U$1,N$1)</f>
        <v>0</v>
      </c>
      <c r="O59" s="179">
        <f>SUMIFS('recurring2_based on steps'!$B59:$AY59,'recurring2_based on steps'!$B$1:$AY$1,O$1)+SUMIFS('changes2_based on steps'!$B59:$U59,'changes2_based on steps'!$B$1:$U$1,O$1)</f>
        <v>0</v>
      </c>
      <c r="P59" s="179">
        <f>SUMIFS('recurring2_based on steps'!$B59:$AY59,'recurring2_based on steps'!$B$1:$AY$1,P$1)+SUMIFS('changes2_based on steps'!$B59:$U59,'changes2_based on steps'!$B$1:$U$1,P$1)</f>
        <v>0</v>
      </c>
      <c r="Q59" s="179">
        <f>SUMIFS('recurring2_based on steps'!$B59:$AY59,'recurring2_based on steps'!$B$1:$AY$1,Q$1)+SUMIFS('changes2_based on steps'!$B59:$U59,'changes2_based on steps'!$B$1:$U$1,Q$1)</f>
        <v>0</v>
      </c>
      <c r="R59" s="179">
        <f>SUMIFS('recurring2_based on steps'!$B59:$AY59,'recurring2_based on steps'!$B$1:$AY$1,R$1)+SUMIFS('changes2_based on steps'!$B59:$U59,'changes2_based on steps'!$B$1:$U$1,R$1)</f>
        <v>0</v>
      </c>
      <c r="S59" s="179">
        <f>SUMIFS('recurring2_based on steps'!$B59:$AY59,'recurring2_based on steps'!$B$1:$AY$1,S$1)+SUMIFS('changes2_based on steps'!$B59:$U59,'changes2_based on steps'!$B$1:$U$1,S$1)</f>
        <v>0</v>
      </c>
      <c r="T59" s="179">
        <f>SUMIFS('recurring2_based on steps'!$B59:$AY59,'recurring2_based on steps'!$B$1:$AY$1,T$1)+SUMIFS('changes2_based on steps'!$B59:$U59,'changes2_based on steps'!$B$1:$U$1,T$1)</f>
        <v>0</v>
      </c>
      <c r="U59" s="179">
        <f>SUMIFS('recurring2_based on steps'!$B59:$AY59,'recurring2_based on steps'!$B$1:$AY$1,U$1)+SUMIFS('changes2_based on steps'!$B59:$U59,'changes2_based on steps'!$B$1:$U$1,U$1)</f>
        <v>0</v>
      </c>
      <c r="V59" s="179">
        <f>SUMIFS('recurring2_based on steps'!$B59:$AY59,'recurring2_based on steps'!$B$1:$AY$1,V$1)+SUMIFS('changes2_based on steps'!$B59:$U59,'changes2_based on steps'!$B$1:$U$1,V$1)</f>
        <v>0</v>
      </c>
      <c r="W59" s="179">
        <f>SUMIFS('recurring2_based on steps'!$B59:$AY59,'recurring2_based on steps'!$B$1:$AY$1,W$1)+SUMIFS('changes2_based on steps'!$B59:$U59,'changes2_based on steps'!$B$1:$U$1,W$1)</f>
        <v>0</v>
      </c>
      <c r="X59" s="179">
        <f>SUMIFS('recurring2_based on steps'!$B59:$AY59,'recurring2_based on steps'!$B$1:$AY$1,X$1)+SUMIFS('changes2_based on steps'!$B59:$U59,'changes2_based on steps'!$B$1:$U$1,X$1)</f>
        <v>0</v>
      </c>
      <c r="Y59" s="179">
        <f>SUMIFS('recurring2_based on steps'!$B59:$AY59,'recurring2_based on steps'!$B$1:$AY$1,Y$1)+SUMIFS('changes2_based on steps'!$B59:$U59,'changes2_based on steps'!$B$1:$U$1,Y$1)</f>
        <v>0</v>
      </c>
      <c r="Z59" s="179">
        <f>SUMIFS('recurring2_based on steps'!$B59:$AY59,'recurring2_based on steps'!$B$1:$AY$1,Z$1)+SUMIFS('changes2_based on steps'!$B59:$U59,'changes2_based on steps'!$B$1:$U$1,Z$1)</f>
        <v>0</v>
      </c>
      <c r="AA59" s="179">
        <f>SUMIFS('recurring2_based on steps'!$B59:$AY59,'recurring2_based on steps'!$B$1:$AY$1,AA$1)+SUMIFS('changes2_based on steps'!$B59:$U59,'changes2_based on steps'!$B$1:$U$1,AA$1)</f>
        <v>0</v>
      </c>
      <c r="AB59" s="179">
        <f>SUMIFS('recurring2_based on steps'!$B59:$AY59,'recurring2_based on steps'!$B$1:$AY$1,AB$1)+SUMIFS('changes2_based on steps'!$B59:$U59,'changes2_based on steps'!$B$1:$U$1,AB$1)</f>
        <v>0</v>
      </c>
      <c r="AC59" s="179">
        <f>SUMIFS('recurring2_based on steps'!$B59:$AY59,'recurring2_based on steps'!$B$1:$AY$1,AC$1)+SUMIFS('changes2_based on steps'!$B59:$U59,'changes2_based on steps'!$B$1:$U$1,AC$1)</f>
        <v>0</v>
      </c>
      <c r="AD59" s="179">
        <f>SUMIFS('recurring2_based on steps'!$B59:$AY59,'recurring2_based on steps'!$B$1:$AY$1,AD$1)+SUMIFS('changes2_based on steps'!$B59:$U59,'changes2_based on steps'!$B$1:$U$1,AD$1)</f>
        <v>0</v>
      </c>
      <c r="AE59" s="179">
        <f>SUMIFS('recurring2_based on steps'!$B59:$AY59,'recurring2_based on steps'!$B$1:$AY$1,AE$1)+SUMIFS('changes2_based on steps'!$B59:$U59,'changes2_based on steps'!$B$1:$U$1,AE$1)</f>
        <v>0</v>
      </c>
      <c r="AF59" s="179"/>
      <c r="AG59" s="179"/>
      <c r="AH59" s="179"/>
      <c r="AI59" s="179"/>
      <c r="AJ59" s="179"/>
      <c r="AK59" s="179"/>
      <c r="AL59" s="179"/>
      <c r="AM59" s="179"/>
    </row>
    <row r="60" spans="1:39" x14ac:dyDescent="0.2">
      <c r="A60" s="32">
        <f t="shared" ca="1" si="0"/>
        <v>45802</v>
      </c>
      <c r="B60" s="179">
        <f>SUMIFS('recurring2_based on steps'!$B60:$AY60,'recurring2_based on steps'!$B$1:$AY$1,B$1)+SUMIFS('changes2_based on steps'!$B60:$U60,'changes2_based on steps'!$B$1:$U$1,B$1)</f>
        <v>0</v>
      </c>
      <c r="C60" s="179">
        <f>SUMIFS('recurring2_based on steps'!$B60:$AY60,'recurring2_based on steps'!$B$1:$AY$1,C$1)+SUMIFS('changes2_based on steps'!$B60:$U60,'changes2_based on steps'!$B$1:$U$1,C$1)</f>
        <v>0</v>
      </c>
      <c r="D60" s="179">
        <f>SUMIFS('recurring2_based on steps'!$B60:$AY60,'recurring2_based on steps'!$B$1:$AY$1,D$1)+SUMIFS('changes2_based on steps'!$B60:$U60,'changes2_based on steps'!$B$1:$U$1,D$1)</f>
        <v>0</v>
      </c>
      <c r="E60" s="179">
        <f>SUMIFS('recurring2_based on steps'!$B60:$AY60,'recurring2_based on steps'!$B$1:$AY$1,E$1)+SUMIFS('changes2_based on steps'!$B60:$U60,'changes2_based on steps'!$B$1:$U$1,E$1)</f>
        <v>0</v>
      </c>
      <c r="F60" s="179">
        <f>SUMIFS('recurring2_based on steps'!$B60:$AY60,'recurring2_based on steps'!$B$1:$AY$1,F$1)+SUMIFS('changes2_based on steps'!$B60:$U60,'changes2_based on steps'!$B$1:$U$1,F$1)</f>
        <v>0</v>
      </c>
      <c r="G60" s="179">
        <f>SUMIFS('recurring2_based on steps'!$B60:$AY60,'recurring2_based on steps'!$B$1:$AY$1,G$1)+SUMIFS('changes2_based on steps'!$B60:$U60,'changes2_based on steps'!$B$1:$U$1,G$1)</f>
        <v>0</v>
      </c>
      <c r="H60" s="179">
        <f>SUMIFS('recurring2_based on steps'!$B60:$AY60,'recurring2_based on steps'!$B$1:$AY$1,H$1)+SUMIFS('changes2_based on steps'!$B60:$U60,'changes2_based on steps'!$B$1:$U$1,H$1)</f>
        <v>0</v>
      </c>
      <c r="I60" s="179">
        <f>SUMIFS('recurring2_based on steps'!$B60:$AY60,'recurring2_based on steps'!$B$1:$AY$1,I$1)+SUMIFS('changes2_based on steps'!$B60:$U60,'changes2_based on steps'!$B$1:$U$1,I$1)</f>
        <v>0</v>
      </c>
      <c r="J60" s="179">
        <f>SUMIFS('recurring2_based on steps'!$B60:$AY60,'recurring2_based on steps'!$B$1:$AY$1,J$1)+SUMIFS('changes2_based on steps'!$B60:$U60,'changes2_based on steps'!$B$1:$U$1,J$1)</f>
        <v>0</v>
      </c>
      <c r="K60" s="179">
        <f>SUMIFS('recurring2_based on steps'!$B60:$AY60,'recurring2_based on steps'!$B$1:$AY$1,K$1)+SUMIFS('changes2_based on steps'!$B60:$U60,'changes2_based on steps'!$B$1:$U$1,K$1)</f>
        <v>0</v>
      </c>
      <c r="L60" s="179">
        <f>SUMIFS('recurring2_based on steps'!$B60:$AY60,'recurring2_based on steps'!$B$1:$AY$1,L$1)+SUMIFS('changes2_based on steps'!$B60:$U60,'changes2_based on steps'!$B$1:$U$1,L$1)</f>
        <v>0</v>
      </c>
      <c r="M60" s="179">
        <f>SUMIFS('recurring2_based on steps'!$B60:$AY60,'recurring2_based on steps'!$B$1:$AY$1,M$1)+SUMIFS('changes2_based on steps'!$B60:$U60,'changes2_based on steps'!$B$1:$U$1,M$1)</f>
        <v>0</v>
      </c>
      <c r="N60" s="179">
        <f>SUMIFS('recurring2_based on steps'!$B60:$AY60,'recurring2_based on steps'!$B$1:$AY$1,N$1)+SUMIFS('changes2_based on steps'!$B60:$U60,'changes2_based on steps'!$B$1:$U$1,N$1)</f>
        <v>0</v>
      </c>
      <c r="O60" s="179">
        <f>SUMIFS('recurring2_based on steps'!$B60:$AY60,'recurring2_based on steps'!$B$1:$AY$1,O$1)+SUMIFS('changes2_based on steps'!$B60:$U60,'changes2_based on steps'!$B$1:$U$1,O$1)</f>
        <v>0</v>
      </c>
      <c r="P60" s="179">
        <f>SUMIFS('recurring2_based on steps'!$B60:$AY60,'recurring2_based on steps'!$B$1:$AY$1,P$1)+SUMIFS('changes2_based on steps'!$B60:$U60,'changes2_based on steps'!$B$1:$U$1,P$1)</f>
        <v>0</v>
      </c>
      <c r="Q60" s="179">
        <f>SUMIFS('recurring2_based on steps'!$B60:$AY60,'recurring2_based on steps'!$B$1:$AY$1,Q$1)+SUMIFS('changes2_based on steps'!$B60:$U60,'changes2_based on steps'!$B$1:$U$1,Q$1)</f>
        <v>0</v>
      </c>
      <c r="R60" s="179">
        <f>SUMIFS('recurring2_based on steps'!$B60:$AY60,'recurring2_based on steps'!$B$1:$AY$1,R$1)+SUMIFS('changes2_based on steps'!$B60:$U60,'changes2_based on steps'!$B$1:$U$1,R$1)</f>
        <v>0</v>
      </c>
      <c r="S60" s="179">
        <f>SUMIFS('recurring2_based on steps'!$B60:$AY60,'recurring2_based on steps'!$B$1:$AY$1,S$1)+SUMIFS('changes2_based on steps'!$B60:$U60,'changes2_based on steps'!$B$1:$U$1,S$1)</f>
        <v>0</v>
      </c>
      <c r="T60" s="179">
        <f>SUMIFS('recurring2_based on steps'!$B60:$AY60,'recurring2_based on steps'!$B$1:$AY$1,T$1)+SUMIFS('changes2_based on steps'!$B60:$U60,'changes2_based on steps'!$B$1:$U$1,T$1)</f>
        <v>0</v>
      </c>
      <c r="U60" s="179">
        <f>SUMIFS('recurring2_based on steps'!$B60:$AY60,'recurring2_based on steps'!$B$1:$AY$1,U$1)+SUMIFS('changes2_based on steps'!$B60:$U60,'changes2_based on steps'!$B$1:$U$1,U$1)</f>
        <v>0</v>
      </c>
      <c r="V60" s="179">
        <f>SUMIFS('recurring2_based on steps'!$B60:$AY60,'recurring2_based on steps'!$B$1:$AY$1,V$1)+SUMIFS('changes2_based on steps'!$B60:$U60,'changes2_based on steps'!$B$1:$U$1,V$1)</f>
        <v>0</v>
      </c>
      <c r="W60" s="179">
        <f>SUMIFS('recurring2_based on steps'!$B60:$AY60,'recurring2_based on steps'!$B$1:$AY$1,W$1)+SUMIFS('changes2_based on steps'!$B60:$U60,'changes2_based on steps'!$B$1:$U$1,W$1)</f>
        <v>0</v>
      </c>
      <c r="X60" s="179">
        <f>SUMIFS('recurring2_based on steps'!$B60:$AY60,'recurring2_based on steps'!$B$1:$AY$1,X$1)+SUMIFS('changes2_based on steps'!$B60:$U60,'changes2_based on steps'!$B$1:$U$1,X$1)</f>
        <v>0</v>
      </c>
      <c r="Y60" s="179">
        <f>SUMIFS('recurring2_based on steps'!$B60:$AY60,'recurring2_based on steps'!$B$1:$AY$1,Y$1)+SUMIFS('changes2_based on steps'!$B60:$U60,'changes2_based on steps'!$B$1:$U$1,Y$1)</f>
        <v>0</v>
      </c>
      <c r="Z60" s="179">
        <f>SUMIFS('recurring2_based on steps'!$B60:$AY60,'recurring2_based on steps'!$B$1:$AY$1,Z$1)+SUMIFS('changes2_based on steps'!$B60:$U60,'changes2_based on steps'!$B$1:$U$1,Z$1)</f>
        <v>0</v>
      </c>
      <c r="AA60" s="179">
        <f>SUMIFS('recurring2_based on steps'!$B60:$AY60,'recurring2_based on steps'!$B$1:$AY$1,AA$1)+SUMIFS('changes2_based on steps'!$B60:$U60,'changes2_based on steps'!$B$1:$U$1,AA$1)</f>
        <v>0</v>
      </c>
      <c r="AB60" s="179">
        <f>SUMIFS('recurring2_based on steps'!$B60:$AY60,'recurring2_based on steps'!$B$1:$AY$1,AB$1)+SUMIFS('changes2_based on steps'!$B60:$U60,'changes2_based on steps'!$B$1:$U$1,AB$1)</f>
        <v>0</v>
      </c>
      <c r="AC60" s="179">
        <f>SUMIFS('recurring2_based on steps'!$B60:$AY60,'recurring2_based on steps'!$B$1:$AY$1,AC$1)+SUMIFS('changes2_based on steps'!$B60:$U60,'changes2_based on steps'!$B$1:$U$1,AC$1)</f>
        <v>0</v>
      </c>
      <c r="AD60" s="179">
        <f>SUMIFS('recurring2_based on steps'!$B60:$AY60,'recurring2_based on steps'!$B$1:$AY$1,AD$1)+SUMIFS('changes2_based on steps'!$B60:$U60,'changes2_based on steps'!$B$1:$U$1,AD$1)</f>
        <v>0</v>
      </c>
      <c r="AE60" s="179">
        <f>SUMIFS('recurring2_based on steps'!$B60:$AY60,'recurring2_based on steps'!$B$1:$AY$1,AE$1)+SUMIFS('changes2_based on steps'!$B60:$U60,'changes2_based on steps'!$B$1:$U$1,AE$1)</f>
        <v>0</v>
      </c>
      <c r="AF60" s="179"/>
      <c r="AG60" s="179"/>
      <c r="AH60" s="179"/>
      <c r="AI60" s="179"/>
      <c r="AJ60" s="179"/>
      <c r="AK60" s="179"/>
      <c r="AL60" s="179"/>
      <c r="AM60" s="179"/>
    </row>
    <row r="61" spans="1:39" x14ac:dyDescent="0.2">
      <c r="A61" s="32">
        <f t="shared" ca="1" si="0"/>
        <v>45803</v>
      </c>
      <c r="B61" s="179">
        <f>SUMIFS('recurring2_based on steps'!$B61:$AY61,'recurring2_based on steps'!$B$1:$AY$1,B$1)+SUMIFS('changes2_based on steps'!$B61:$U61,'changes2_based on steps'!$B$1:$U$1,B$1)</f>
        <v>0</v>
      </c>
      <c r="C61" s="179">
        <f>SUMIFS('recurring2_based on steps'!$B61:$AY61,'recurring2_based on steps'!$B$1:$AY$1,C$1)+SUMIFS('changes2_based on steps'!$B61:$U61,'changes2_based on steps'!$B$1:$U$1,C$1)</f>
        <v>0</v>
      </c>
      <c r="D61" s="179">
        <f>SUMIFS('recurring2_based on steps'!$B61:$AY61,'recurring2_based on steps'!$B$1:$AY$1,D$1)+SUMIFS('changes2_based on steps'!$B61:$U61,'changes2_based on steps'!$B$1:$U$1,D$1)</f>
        <v>0</v>
      </c>
      <c r="E61" s="179">
        <f>SUMIFS('recurring2_based on steps'!$B61:$AY61,'recurring2_based on steps'!$B$1:$AY$1,E$1)+SUMIFS('changes2_based on steps'!$B61:$U61,'changes2_based on steps'!$B$1:$U$1,E$1)</f>
        <v>0</v>
      </c>
      <c r="F61" s="179">
        <f>SUMIFS('recurring2_based on steps'!$B61:$AY61,'recurring2_based on steps'!$B$1:$AY$1,F$1)+SUMIFS('changes2_based on steps'!$B61:$U61,'changes2_based on steps'!$B$1:$U$1,F$1)</f>
        <v>0</v>
      </c>
      <c r="G61" s="179">
        <f>SUMIFS('recurring2_based on steps'!$B61:$AY61,'recurring2_based on steps'!$B$1:$AY$1,G$1)+SUMIFS('changes2_based on steps'!$B61:$U61,'changes2_based on steps'!$B$1:$U$1,G$1)</f>
        <v>0</v>
      </c>
      <c r="H61" s="179">
        <f>SUMIFS('recurring2_based on steps'!$B61:$AY61,'recurring2_based on steps'!$B$1:$AY$1,H$1)+SUMIFS('changes2_based on steps'!$B61:$U61,'changes2_based on steps'!$B$1:$U$1,H$1)</f>
        <v>0</v>
      </c>
      <c r="I61" s="179">
        <f>SUMIFS('recurring2_based on steps'!$B61:$AY61,'recurring2_based on steps'!$B$1:$AY$1,I$1)+SUMIFS('changes2_based on steps'!$B61:$U61,'changes2_based on steps'!$B$1:$U$1,I$1)</f>
        <v>0</v>
      </c>
      <c r="J61" s="179">
        <f>SUMIFS('recurring2_based on steps'!$B61:$AY61,'recurring2_based on steps'!$B$1:$AY$1,J$1)+SUMIFS('changes2_based on steps'!$B61:$U61,'changes2_based on steps'!$B$1:$U$1,J$1)</f>
        <v>0</v>
      </c>
      <c r="K61" s="179">
        <f>SUMIFS('recurring2_based on steps'!$B61:$AY61,'recurring2_based on steps'!$B$1:$AY$1,K$1)+SUMIFS('changes2_based on steps'!$B61:$U61,'changes2_based on steps'!$B$1:$U$1,K$1)</f>
        <v>0</v>
      </c>
      <c r="L61" s="179">
        <f>SUMIFS('recurring2_based on steps'!$B61:$AY61,'recurring2_based on steps'!$B$1:$AY$1,L$1)+SUMIFS('changes2_based on steps'!$B61:$U61,'changes2_based on steps'!$B$1:$U$1,L$1)</f>
        <v>0</v>
      </c>
      <c r="M61" s="179">
        <f>SUMIFS('recurring2_based on steps'!$B61:$AY61,'recurring2_based on steps'!$B$1:$AY$1,M$1)+SUMIFS('changes2_based on steps'!$B61:$U61,'changes2_based on steps'!$B$1:$U$1,M$1)</f>
        <v>0</v>
      </c>
      <c r="N61" s="179">
        <f>SUMIFS('recurring2_based on steps'!$B61:$AY61,'recurring2_based on steps'!$B$1:$AY$1,N$1)+SUMIFS('changes2_based on steps'!$B61:$U61,'changes2_based on steps'!$B$1:$U$1,N$1)</f>
        <v>0</v>
      </c>
      <c r="O61" s="179">
        <f>SUMIFS('recurring2_based on steps'!$B61:$AY61,'recurring2_based on steps'!$B$1:$AY$1,O$1)+SUMIFS('changes2_based on steps'!$B61:$U61,'changes2_based on steps'!$B$1:$U$1,O$1)</f>
        <v>0</v>
      </c>
      <c r="P61" s="179">
        <f>SUMIFS('recurring2_based on steps'!$B61:$AY61,'recurring2_based on steps'!$B$1:$AY$1,P$1)+SUMIFS('changes2_based on steps'!$B61:$U61,'changes2_based on steps'!$B$1:$U$1,P$1)</f>
        <v>0</v>
      </c>
      <c r="Q61" s="179">
        <f>SUMIFS('recurring2_based on steps'!$B61:$AY61,'recurring2_based on steps'!$B$1:$AY$1,Q$1)+SUMIFS('changes2_based on steps'!$B61:$U61,'changes2_based on steps'!$B$1:$U$1,Q$1)</f>
        <v>0</v>
      </c>
      <c r="R61" s="179">
        <f>SUMIFS('recurring2_based on steps'!$B61:$AY61,'recurring2_based on steps'!$B$1:$AY$1,R$1)+SUMIFS('changes2_based on steps'!$B61:$U61,'changes2_based on steps'!$B$1:$U$1,R$1)</f>
        <v>0</v>
      </c>
      <c r="S61" s="179">
        <f>SUMIFS('recurring2_based on steps'!$B61:$AY61,'recurring2_based on steps'!$B$1:$AY$1,S$1)+SUMIFS('changes2_based on steps'!$B61:$U61,'changes2_based on steps'!$B$1:$U$1,S$1)</f>
        <v>0</v>
      </c>
      <c r="T61" s="179">
        <f>SUMIFS('recurring2_based on steps'!$B61:$AY61,'recurring2_based on steps'!$B$1:$AY$1,T$1)+SUMIFS('changes2_based on steps'!$B61:$U61,'changes2_based on steps'!$B$1:$U$1,T$1)</f>
        <v>0</v>
      </c>
      <c r="U61" s="179">
        <f>SUMIFS('recurring2_based on steps'!$B61:$AY61,'recurring2_based on steps'!$B$1:$AY$1,U$1)+SUMIFS('changes2_based on steps'!$B61:$U61,'changes2_based on steps'!$B$1:$U$1,U$1)</f>
        <v>0</v>
      </c>
      <c r="V61" s="179">
        <f>SUMIFS('recurring2_based on steps'!$B61:$AY61,'recurring2_based on steps'!$B$1:$AY$1,V$1)+SUMIFS('changes2_based on steps'!$B61:$U61,'changes2_based on steps'!$B$1:$U$1,V$1)</f>
        <v>0</v>
      </c>
      <c r="W61" s="179">
        <f>SUMIFS('recurring2_based on steps'!$B61:$AY61,'recurring2_based on steps'!$B$1:$AY$1,W$1)+SUMIFS('changes2_based on steps'!$B61:$U61,'changes2_based on steps'!$B$1:$U$1,W$1)</f>
        <v>0</v>
      </c>
      <c r="X61" s="179">
        <f>SUMIFS('recurring2_based on steps'!$B61:$AY61,'recurring2_based on steps'!$B$1:$AY$1,X$1)+SUMIFS('changes2_based on steps'!$B61:$U61,'changes2_based on steps'!$B$1:$U$1,X$1)</f>
        <v>0</v>
      </c>
      <c r="Y61" s="179">
        <f>SUMIFS('recurring2_based on steps'!$B61:$AY61,'recurring2_based on steps'!$B$1:$AY$1,Y$1)+SUMIFS('changes2_based on steps'!$B61:$U61,'changes2_based on steps'!$B$1:$U$1,Y$1)</f>
        <v>0</v>
      </c>
      <c r="Z61" s="179">
        <f>SUMIFS('recurring2_based on steps'!$B61:$AY61,'recurring2_based on steps'!$B$1:$AY$1,Z$1)+SUMIFS('changes2_based on steps'!$B61:$U61,'changes2_based on steps'!$B$1:$U$1,Z$1)</f>
        <v>0</v>
      </c>
      <c r="AA61" s="179">
        <f>SUMIFS('recurring2_based on steps'!$B61:$AY61,'recurring2_based on steps'!$B$1:$AY$1,AA$1)+SUMIFS('changes2_based on steps'!$B61:$U61,'changes2_based on steps'!$B$1:$U$1,AA$1)</f>
        <v>0</v>
      </c>
      <c r="AB61" s="179">
        <f>SUMIFS('recurring2_based on steps'!$B61:$AY61,'recurring2_based on steps'!$B$1:$AY$1,AB$1)+SUMIFS('changes2_based on steps'!$B61:$U61,'changes2_based on steps'!$B$1:$U$1,AB$1)</f>
        <v>0</v>
      </c>
      <c r="AC61" s="179">
        <f>SUMIFS('recurring2_based on steps'!$B61:$AY61,'recurring2_based on steps'!$B$1:$AY$1,AC$1)+SUMIFS('changes2_based on steps'!$B61:$U61,'changes2_based on steps'!$B$1:$U$1,AC$1)</f>
        <v>0</v>
      </c>
      <c r="AD61" s="179">
        <f>SUMIFS('recurring2_based on steps'!$B61:$AY61,'recurring2_based on steps'!$B$1:$AY$1,AD$1)+SUMIFS('changes2_based on steps'!$B61:$U61,'changes2_based on steps'!$B$1:$U$1,AD$1)</f>
        <v>0</v>
      </c>
      <c r="AE61" s="179">
        <f>SUMIFS('recurring2_based on steps'!$B61:$AY61,'recurring2_based on steps'!$B$1:$AY$1,AE$1)+SUMIFS('changes2_based on steps'!$B61:$U61,'changes2_based on steps'!$B$1:$U$1,AE$1)</f>
        <v>0</v>
      </c>
      <c r="AF61" s="179"/>
      <c r="AG61" s="179"/>
      <c r="AH61" s="179"/>
      <c r="AI61" s="179"/>
      <c r="AJ61" s="179"/>
      <c r="AK61" s="179"/>
      <c r="AL61" s="179"/>
      <c r="AM61" s="179"/>
    </row>
    <row r="62" spans="1:39" x14ac:dyDescent="0.2">
      <c r="A62" s="32">
        <f t="shared" ca="1" si="0"/>
        <v>45804</v>
      </c>
      <c r="B62" s="179">
        <f>SUMIFS('recurring2_based on steps'!$B62:$AY62,'recurring2_based on steps'!$B$1:$AY$1,B$1)+SUMIFS('changes2_based on steps'!$B62:$U62,'changes2_based on steps'!$B$1:$U$1,B$1)</f>
        <v>0</v>
      </c>
      <c r="C62" s="179">
        <f>SUMIFS('recurring2_based on steps'!$B62:$AY62,'recurring2_based on steps'!$B$1:$AY$1,C$1)+SUMIFS('changes2_based on steps'!$B62:$U62,'changes2_based on steps'!$B$1:$U$1,C$1)</f>
        <v>0</v>
      </c>
      <c r="D62" s="179">
        <f>SUMIFS('recurring2_based on steps'!$B62:$AY62,'recurring2_based on steps'!$B$1:$AY$1,D$1)+SUMIFS('changes2_based on steps'!$B62:$U62,'changes2_based on steps'!$B$1:$U$1,D$1)</f>
        <v>0</v>
      </c>
      <c r="E62" s="179">
        <f>SUMIFS('recurring2_based on steps'!$B62:$AY62,'recurring2_based on steps'!$B$1:$AY$1,E$1)+SUMIFS('changes2_based on steps'!$B62:$U62,'changes2_based on steps'!$B$1:$U$1,E$1)</f>
        <v>0</v>
      </c>
      <c r="F62" s="179">
        <f>SUMIFS('recurring2_based on steps'!$B62:$AY62,'recurring2_based on steps'!$B$1:$AY$1,F$1)+SUMIFS('changes2_based on steps'!$B62:$U62,'changes2_based on steps'!$B$1:$U$1,F$1)</f>
        <v>0</v>
      </c>
      <c r="G62" s="179">
        <f>SUMIFS('recurring2_based on steps'!$B62:$AY62,'recurring2_based on steps'!$B$1:$AY$1,G$1)+SUMIFS('changes2_based on steps'!$B62:$U62,'changes2_based on steps'!$B$1:$U$1,G$1)</f>
        <v>0</v>
      </c>
      <c r="H62" s="179">
        <f>SUMIFS('recurring2_based on steps'!$B62:$AY62,'recurring2_based on steps'!$B$1:$AY$1,H$1)+SUMIFS('changes2_based on steps'!$B62:$U62,'changes2_based on steps'!$B$1:$U$1,H$1)</f>
        <v>0</v>
      </c>
      <c r="I62" s="179">
        <f>SUMIFS('recurring2_based on steps'!$B62:$AY62,'recurring2_based on steps'!$B$1:$AY$1,I$1)+SUMIFS('changes2_based on steps'!$B62:$U62,'changes2_based on steps'!$B$1:$U$1,I$1)</f>
        <v>0</v>
      </c>
      <c r="J62" s="179">
        <f>SUMIFS('recurring2_based on steps'!$B62:$AY62,'recurring2_based on steps'!$B$1:$AY$1,J$1)+SUMIFS('changes2_based on steps'!$B62:$U62,'changes2_based on steps'!$B$1:$U$1,J$1)</f>
        <v>0</v>
      </c>
      <c r="K62" s="179">
        <f>SUMIFS('recurring2_based on steps'!$B62:$AY62,'recurring2_based on steps'!$B$1:$AY$1,K$1)+SUMIFS('changes2_based on steps'!$B62:$U62,'changes2_based on steps'!$B$1:$U$1,K$1)</f>
        <v>0</v>
      </c>
      <c r="L62" s="179">
        <f>SUMIFS('recurring2_based on steps'!$B62:$AY62,'recurring2_based on steps'!$B$1:$AY$1,L$1)+SUMIFS('changes2_based on steps'!$B62:$U62,'changes2_based on steps'!$B$1:$U$1,L$1)</f>
        <v>0</v>
      </c>
      <c r="M62" s="179">
        <f>SUMIFS('recurring2_based on steps'!$B62:$AY62,'recurring2_based on steps'!$B$1:$AY$1,M$1)+SUMIFS('changes2_based on steps'!$B62:$U62,'changes2_based on steps'!$B$1:$U$1,M$1)</f>
        <v>0</v>
      </c>
      <c r="N62" s="179">
        <f>SUMIFS('recurring2_based on steps'!$B62:$AY62,'recurring2_based on steps'!$B$1:$AY$1,N$1)+SUMIFS('changes2_based on steps'!$B62:$U62,'changes2_based on steps'!$B$1:$U$1,N$1)</f>
        <v>0</v>
      </c>
      <c r="O62" s="179">
        <f>SUMIFS('recurring2_based on steps'!$B62:$AY62,'recurring2_based on steps'!$B$1:$AY$1,O$1)+SUMIFS('changes2_based on steps'!$B62:$U62,'changes2_based on steps'!$B$1:$U$1,O$1)</f>
        <v>0</v>
      </c>
      <c r="P62" s="179">
        <f>SUMIFS('recurring2_based on steps'!$B62:$AY62,'recurring2_based on steps'!$B$1:$AY$1,P$1)+SUMIFS('changes2_based on steps'!$B62:$U62,'changes2_based on steps'!$B$1:$U$1,P$1)</f>
        <v>0</v>
      </c>
      <c r="Q62" s="179">
        <f>SUMIFS('recurring2_based on steps'!$B62:$AY62,'recurring2_based on steps'!$B$1:$AY$1,Q$1)+SUMIFS('changes2_based on steps'!$B62:$U62,'changes2_based on steps'!$B$1:$U$1,Q$1)</f>
        <v>0</v>
      </c>
      <c r="R62" s="179">
        <f>SUMIFS('recurring2_based on steps'!$B62:$AY62,'recurring2_based on steps'!$B$1:$AY$1,R$1)+SUMIFS('changes2_based on steps'!$B62:$U62,'changes2_based on steps'!$B$1:$U$1,R$1)</f>
        <v>0</v>
      </c>
      <c r="S62" s="179">
        <f>SUMIFS('recurring2_based on steps'!$B62:$AY62,'recurring2_based on steps'!$B$1:$AY$1,S$1)+SUMIFS('changes2_based on steps'!$B62:$U62,'changes2_based on steps'!$B$1:$U$1,S$1)</f>
        <v>0</v>
      </c>
      <c r="T62" s="179">
        <f>SUMIFS('recurring2_based on steps'!$B62:$AY62,'recurring2_based on steps'!$B$1:$AY$1,T$1)+SUMIFS('changes2_based on steps'!$B62:$U62,'changes2_based on steps'!$B$1:$U$1,T$1)</f>
        <v>0</v>
      </c>
      <c r="U62" s="179">
        <f>SUMIFS('recurring2_based on steps'!$B62:$AY62,'recurring2_based on steps'!$B$1:$AY$1,U$1)+SUMIFS('changes2_based on steps'!$B62:$U62,'changes2_based on steps'!$B$1:$U$1,U$1)</f>
        <v>0</v>
      </c>
      <c r="V62" s="179">
        <f>SUMIFS('recurring2_based on steps'!$B62:$AY62,'recurring2_based on steps'!$B$1:$AY$1,V$1)+SUMIFS('changes2_based on steps'!$B62:$U62,'changes2_based on steps'!$B$1:$U$1,V$1)</f>
        <v>0</v>
      </c>
      <c r="W62" s="179">
        <f>SUMIFS('recurring2_based on steps'!$B62:$AY62,'recurring2_based on steps'!$B$1:$AY$1,W$1)+SUMIFS('changes2_based on steps'!$B62:$U62,'changes2_based on steps'!$B$1:$U$1,W$1)</f>
        <v>0</v>
      </c>
      <c r="X62" s="179">
        <f>SUMIFS('recurring2_based on steps'!$B62:$AY62,'recurring2_based on steps'!$B$1:$AY$1,X$1)+SUMIFS('changes2_based on steps'!$B62:$U62,'changes2_based on steps'!$B$1:$U$1,X$1)</f>
        <v>0</v>
      </c>
      <c r="Y62" s="179">
        <f>SUMIFS('recurring2_based on steps'!$B62:$AY62,'recurring2_based on steps'!$B$1:$AY$1,Y$1)+SUMIFS('changes2_based on steps'!$B62:$U62,'changes2_based on steps'!$B$1:$U$1,Y$1)</f>
        <v>0</v>
      </c>
      <c r="Z62" s="179">
        <f>SUMIFS('recurring2_based on steps'!$B62:$AY62,'recurring2_based on steps'!$B$1:$AY$1,Z$1)+SUMIFS('changes2_based on steps'!$B62:$U62,'changes2_based on steps'!$B$1:$U$1,Z$1)</f>
        <v>0</v>
      </c>
      <c r="AA62" s="179">
        <f>SUMIFS('recurring2_based on steps'!$B62:$AY62,'recurring2_based on steps'!$B$1:$AY$1,AA$1)+SUMIFS('changes2_based on steps'!$B62:$U62,'changes2_based on steps'!$B$1:$U$1,AA$1)</f>
        <v>0</v>
      </c>
      <c r="AB62" s="179">
        <f>SUMIFS('recurring2_based on steps'!$B62:$AY62,'recurring2_based on steps'!$B$1:$AY$1,AB$1)+SUMIFS('changes2_based on steps'!$B62:$U62,'changes2_based on steps'!$B$1:$U$1,AB$1)</f>
        <v>0</v>
      </c>
      <c r="AC62" s="179">
        <f>SUMIFS('recurring2_based on steps'!$B62:$AY62,'recurring2_based on steps'!$B$1:$AY$1,AC$1)+SUMIFS('changes2_based on steps'!$B62:$U62,'changes2_based on steps'!$B$1:$U$1,AC$1)</f>
        <v>0</v>
      </c>
      <c r="AD62" s="179">
        <f>SUMIFS('recurring2_based on steps'!$B62:$AY62,'recurring2_based on steps'!$B$1:$AY$1,AD$1)+SUMIFS('changes2_based on steps'!$B62:$U62,'changes2_based on steps'!$B$1:$U$1,AD$1)</f>
        <v>0</v>
      </c>
      <c r="AE62" s="179">
        <f>SUMIFS('recurring2_based on steps'!$B62:$AY62,'recurring2_based on steps'!$B$1:$AY$1,AE$1)+SUMIFS('changes2_based on steps'!$B62:$U62,'changes2_based on steps'!$B$1:$U$1,AE$1)</f>
        <v>0</v>
      </c>
      <c r="AF62" s="179"/>
      <c r="AG62" s="179"/>
      <c r="AH62" s="179"/>
      <c r="AI62" s="179"/>
      <c r="AJ62" s="179"/>
      <c r="AK62" s="179"/>
      <c r="AL62" s="179"/>
      <c r="AM62" s="179"/>
    </row>
    <row r="63" spans="1:39" x14ac:dyDescent="0.2">
      <c r="A63" s="32">
        <f t="shared" ca="1" si="0"/>
        <v>45805</v>
      </c>
      <c r="B63" s="179">
        <f>SUMIFS('recurring2_based on steps'!$B63:$AY63,'recurring2_based on steps'!$B$1:$AY$1,B$1)+SUMIFS('changes2_based on steps'!$B63:$U63,'changes2_based on steps'!$B$1:$U$1,B$1)</f>
        <v>0</v>
      </c>
      <c r="C63" s="179">
        <f>SUMIFS('recurring2_based on steps'!$B63:$AY63,'recurring2_based on steps'!$B$1:$AY$1,C$1)+SUMIFS('changes2_based on steps'!$B63:$U63,'changes2_based on steps'!$B$1:$U$1,C$1)</f>
        <v>0</v>
      </c>
      <c r="D63" s="179">
        <f>SUMIFS('recurring2_based on steps'!$B63:$AY63,'recurring2_based on steps'!$B$1:$AY$1,D$1)+SUMIFS('changes2_based on steps'!$B63:$U63,'changes2_based on steps'!$B$1:$U$1,D$1)</f>
        <v>0</v>
      </c>
      <c r="E63" s="179">
        <f>SUMIFS('recurring2_based on steps'!$B63:$AY63,'recurring2_based on steps'!$B$1:$AY$1,E$1)+SUMIFS('changes2_based on steps'!$B63:$U63,'changes2_based on steps'!$B$1:$U$1,E$1)</f>
        <v>0</v>
      </c>
      <c r="F63" s="179">
        <f>SUMIFS('recurring2_based on steps'!$B63:$AY63,'recurring2_based on steps'!$B$1:$AY$1,F$1)+SUMIFS('changes2_based on steps'!$B63:$U63,'changes2_based on steps'!$B$1:$U$1,F$1)</f>
        <v>0</v>
      </c>
      <c r="G63" s="179">
        <f>SUMIFS('recurring2_based on steps'!$B63:$AY63,'recurring2_based on steps'!$B$1:$AY$1,G$1)+SUMIFS('changes2_based on steps'!$B63:$U63,'changes2_based on steps'!$B$1:$U$1,G$1)</f>
        <v>0</v>
      </c>
      <c r="H63" s="179">
        <f>SUMIFS('recurring2_based on steps'!$B63:$AY63,'recurring2_based on steps'!$B$1:$AY$1,H$1)+SUMIFS('changes2_based on steps'!$B63:$U63,'changes2_based on steps'!$B$1:$U$1,H$1)</f>
        <v>0</v>
      </c>
      <c r="I63" s="179">
        <f>SUMIFS('recurring2_based on steps'!$B63:$AY63,'recurring2_based on steps'!$B$1:$AY$1,I$1)+SUMIFS('changes2_based on steps'!$B63:$U63,'changes2_based on steps'!$B$1:$U$1,I$1)</f>
        <v>0</v>
      </c>
      <c r="J63" s="179">
        <f>SUMIFS('recurring2_based on steps'!$B63:$AY63,'recurring2_based on steps'!$B$1:$AY$1,J$1)+SUMIFS('changes2_based on steps'!$B63:$U63,'changes2_based on steps'!$B$1:$U$1,J$1)</f>
        <v>0</v>
      </c>
      <c r="K63" s="179">
        <f>SUMIFS('recurring2_based on steps'!$B63:$AY63,'recurring2_based on steps'!$B$1:$AY$1,K$1)+SUMIFS('changes2_based on steps'!$B63:$U63,'changes2_based on steps'!$B$1:$U$1,K$1)</f>
        <v>0</v>
      </c>
      <c r="L63" s="179">
        <f>SUMIFS('recurring2_based on steps'!$B63:$AY63,'recurring2_based on steps'!$B$1:$AY$1,L$1)+SUMIFS('changes2_based on steps'!$B63:$U63,'changes2_based on steps'!$B$1:$U$1,L$1)</f>
        <v>0</v>
      </c>
      <c r="M63" s="179">
        <f>SUMIFS('recurring2_based on steps'!$B63:$AY63,'recurring2_based on steps'!$B$1:$AY$1,M$1)+SUMIFS('changes2_based on steps'!$B63:$U63,'changes2_based on steps'!$B$1:$U$1,M$1)</f>
        <v>0</v>
      </c>
      <c r="N63" s="179">
        <f>SUMIFS('recurring2_based on steps'!$B63:$AY63,'recurring2_based on steps'!$B$1:$AY$1,N$1)+SUMIFS('changes2_based on steps'!$B63:$U63,'changes2_based on steps'!$B$1:$U$1,N$1)</f>
        <v>0</v>
      </c>
      <c r="O63" s="179">
        <f>SUMIFS('recurring2_based on steps'!$B63:$AY63,'recurring2_based on steps'!$B$1:$AY$1,O$1)+SUMIFS('changes2_based on steps'!$B63:$U63,'changes2_based on steps'!$B$1:$U$1,O$1)</f>
        <v>0</v>
      </c>
      <c r="P63" s="179">
        <f>SUMIFS('recurring2_based on steps'!$B63:$AY63,'recurring2_based on steps'!$B$1:$AY$1,P$1)+SUMIFS('changes2_based on steps'!$B63:$U63,'changes2_based on steps'!$B$1:$U$1,P$1)</f>
        <v>0</v>
      </c>
      <c r="Q63" s="179">
        <f>SUMIFS('recurring2_based on steps'!$B63:$AY63,'recurring2_based on steps'!$B$1:$AY$1,Q$1)+SUMIFS('changes2_based on steps'!$B63:$U63,'changes2_based on steps'!$B$1:$U$1,Q$1)</f>
        <v>0</v>
      </c>
      <c r="R63" s="179">
        <f>SUMIFS('recurring2_based on steps'!$B63:$AY63,'recurring2_based on steps'!$B$1:$AY$1,R$1)+SUMIFS('changes2_based on steps'!$B63:$U63,'changes2_based on steps'!$B$1:$U$1,R$1)</f>
        <v>0</v>
      </c>
      <c r="S63" s="179">
        <f>SUMIFS('recurring2_based on steps'!$B63:$AY63,'recurring2_based on steps'!$B$1:$AY$1,S$1)+SUMIFS('changes2_based on steps'!$B63:$U63,'changes2_based on steps'!$B$1:$U$1,S$1)</f>
        <v>0</v>
      </c>
      <c r="T63" s="179">
        <f>SUMIFS('recurring2_based on steps'!$B63:$AY63,'recurring2_based on steps'!$B$1:$AY$1,T$1)+SUMIFS('changes2_based on steps'!$B63:$U63,'changes2_based on steps'!$B$1:$U$1,T$1)</f>
        <v>0</v>
      </c>
      <c r="U63" s="179">
        <f>SUMIFS('recurring2_based on steps'!$B63:$AY63,'recurring2_based on steps'!$B$1:$AY$1,U$1)+SUMIFS('changes2_based on steps'!$B63:$U63,'changes2_based on steps'!$B$1:$U$1,U$1)</f>
        <v>0</v>
      </c>
      <c r="V63" s="179">
        <f>SUMIFS('recurring2_based on steps'!$B63:$AY63,'recurring2_based on steps'!$B$1:$AY$1,V$1)+SUMIFS('changes2_based on steps'!$B63:$U63,'changes2_based on steps'!$B$1:$U$1,V$1)</f>
        <v>0</v>
      </c>
      <c r="W63" s="179">
        <f>SUMIFS('recurring2_based on steps'!$B63:$AY63,'recurring2_based on steps'!$B$1:$AY$1,W$1)+SUMIFS('changes2_based on steps'!$B63:$U63,'changes2_based on steps'!$B$1:$U$1,W$1)</f>
        <v>0</v>
      </c>
      <c r="X63" s="179">
        <f>SUMIFS('recurring2_based on steps'!$B63:$AY63,'recurring2_based on steps'!$B$1:$AY$1,X$1)+SUMIFS('changes2_based on steps'!$B63:$U63,'changes2_based on steps'!$B$1:$U$1,X$1)</f>
        <v>0</v>
      </c>
      <c r="Y63" s="179">
        <f>SUMIFS('recurring2_based on steps'!$B63:$AY63,'recurring2_based on steps'!$B$1:$AY$1,Y$1)+SUMIFS('changes2_based on steps'!$B63:$U63,'changes2_based on steps'!$B$1:$U$1,Y$1)</f>
        <v>0</v>
      </c>
      <c r="Z63" s="179">
        <f>SUMIFS('recurring2_based on steps'!$B63:$AY63,'recurring2_based on steps'!$B$1:$AY$1,Z$1)+SUMIFS('changes2_based on steps'!$B63:$U63,'changes2_based on steps'!$B$1:$U$1,Z$1)</f>
        <v>0</v>
      </c>
      <c r="AA63" s="179">
        <f>SUMIFS('recurring2_based on steps'!$B63:$AY63,'recurring2_based on steps'!$B$1:$AY$1,AA$1)+SUMIFS('changes2_based on steps'!$B63:$U63,'changes2_based on steps'!$B$1:$U$1,AA$1)</f>
        <v>0</v>
      </c>
      <c r="AB63" s="179">
        <f>SUMIFS('recurring2_based on steps'!$B63:$AY63,'recurring2_based on steps'!$B$1:$AY$1,AB$1)+SUMIFS('changes2_based on steps'!$B63:$U63,'changes2_based on steps'!$B$1:$U$1,AB$1)</f>
        <v>0</v>
      </c>
      <c r="AC63" s="179">
        <f>SUMIFS('recurring2_based on steps'!$B63:$AY63,'recurring2_based on steps'!$B$1:$AY$1,AC$1)+SUMIFS('changes2_based on steps'!$B63:$U63,'changes2_based on steps'!$B$1:$U$1,AC$1)</f>
        <v>0</v>
      </c>
      <c r="AD63" s="179">
        <f>SUMIFS('recurring2_based on steps'!$B63:$AY63,'recurring2_based on steps'!$B$1:$AY$1,AD$1)+SUMIFS('changes2_based on steps'!$B63:$U63,'changes2_based on steps'!$B$1:$U$1,AD$1)</f>
        <v>0</v>
      </c>
      <c r="AE63" s="179">
        <f>SUMIFS('recurring2_based on steps'!$B63:$AY63,'recurring2_based on steps'!$B$1:$AY$1,AE$1)+SUMIFS('changes2_based on steps'!$B63:$U63,'changes2_based on steps'!$B$1:$U$1,AE$1)</f>
        <v>0</v>
      </c>
      <c r="AF63" s="179"/>
      <c r="AG63" s="179"/>
      <c r="AH63" s="179"/>
      <c r="AI63" s="179"/>
      <c r="AJ63" s="179"/>
      <c r="AK63" s="179"/>
      <c r="AL63" s="179"/>
      <c r="AM63" s="179"/>
    </row>
    <row r="64" spans="1:39" x14ac:dyDescent="0.2">
      <c r="A64" s="32">
        <f t="shared" ca="1" si="0"/>
        <v>45806</v>
      </c>
      <c r="B64" s="179">
        <f>SUMIFS('recurring2_based on steps'!$B64:$AY64,'recurring2_based on steps'!$B$1:$AY$1,B$1)+SUMIFS('changes2_based on steps'!$B64:$U64,'changes2_based on steps'!$B$1:$U$1,B$1)</f>
        <v>0</v>
      </c>
      <c r="C64" s="179">
        <f>SUMIFS('recurring2_based on steps'!$B64:$AY64,'recurring2_based on steps'!$B$1:$AY$1,C$1)+SUMIFS('changes2_based on steps'!$B64:$U64,'changes2_based on steps'!$B$1:$U$1,C$1)</f>
        <v>0</v>
      </c>
      <c r="D64" s="179">
        <f>SUMIFS('recurring2_based on steps'!$B64:$AY64,'recurring2_based on steps'!$B$1:$AY$1,D$1)+SUMIFS('changes2_based on steps'!$B64:$U64,'changes2_based on steps'!$B$1:$U$1,D$1)</f>
        <v>0</v>
      </c>
      <c r="E64" s="179">
        <f>SUMIFS('recurring2_based on steps'!$B64:$AY64,'recurring2_based on steps'!$B$1:$AY$1,E$1)+SUMIFS('changes2_based on steps'!$B64:$U64,'changes2_based on steps'!$B$1:$U$1,E$1)</f>
        <v>0</v>
      </c>
      <c r="F64" s="179">
        <f>SUMIFS('recurring2_based on steps'!$B64:$AY64,'recurring2_based on steps'!$B$1:$AY$1,F$1)+SUMIFS('changes2_based on steps'!$B64:$U64,'changes2_based on steps'!$B$1:$U$1,F$1)</f>
        <v>0</v>
      </c>
      <c r="G64" s="179">
        <f>SUMIFS('recurring2_based on steps'!$B64:$AY64,'recurring2_based on steps'!$B$1:$AY$1,G$1)+SUMIFS('changes2_based on steps'!$B64:$U64,'changes2_based on steps'!$B$1:$U$1,G$1)</f>
        <v>0</v>
      </c>
      <c r="H64" s="179">
        <f>SUMIFS('recurring2_based on steps'!$B64:$AY64,'recurring2_based on steps'!$B$1:$AY$1,H$1)+SUMIFS('changes2_based on steps'!$B64:$U64,'changes2_based on steps'!$B$1:$U$1,H$1)</f>
        <v>0</v>
      </c>
      <c r="I64" s="179">
        <f>SUMIFS('recurring2_based on steps'!$B64:$AY64,'recurring2_based on steps'!$B$1:$AY$1,I$1)+SUMIFS('changes2_based on steps'!$B64:$U64,'changes2_based on steps'!$B$1:$U$1,I$1)</f>
        <v>0</v>
      </c>
      <c r="J64" s="179">
        <f>SUMIFS('recurring2_based on steps'!$B64:$AY64,'recurring2_based on steps'!$B$1:$AY$1,J$1)+SUMIFS('changes2_based on steps'!$B64:$U64,'changes2_based on steps'!$B$1:$U$1,J$1)</f>
        <v>0</v>
      </c>
      <c r="K64" s="179">
        <f>SUMIFS('recurring2_based on steps'!$B64:$AY64,'recurring2_based on steps'!$B$1:$AY$1,K$1)+SUMIFS('changes2_based on steps'!$B64:$U64,'changes2_based on steps'!$B$1:$U$1,K$1)</f>
        <v>0</v>
      </c>
      <c r="L64" s="179">
        <f>SUMIFS('recurring2_based on steps'!$B64:$AY64,'recurring2_based on steps'!$B$1:$AY$1,L$1)+SUMIFS('changes2_based on steps'!$B64:$U64,'changes2_based on steps'!$B$1:$U$1,L$1)</f>
        <v>0</v>
      </c>
      <c r="M64" s="179">
        <f>SUMIFS('recurring2_based on steps'!$B64:$AY64,'recurring2_based on steps'!$B$1:$AY$1,M$1)+SUMIFS('changes2_based on steps'!$B64:$U64,'changes2_based on steps'!$B$1:$U$1,M$1)</f>
        <v>0</v>
      </c>
      <c r="N64" s="179">
        <f>SUMIFS('recurring2_based on steps'!$B64:$AY64,'recurring2_based on steps'!$B$1:$AY$1,N$1)+SUMIFS('changes2_based on steps'!$B64:$U64,'changes2_based on steps'!$B$1:$U$1,N$1)</f>
        <v>0</v>
      </c>
      <c r="O64" s="179">
        <f>SUMIFS('recurring2_based on steps'!$B64:$AY64,'recurring2_based on steps'!$B$1:$AY$1,O$1)+SUMIFS('changes2_based on steps'!$B64:$U64,'changes2_based on steps'!$B$1:$U$1,O$1)</f>
        <v>0</v>
      </c>
      <c r="P64" s="179">
        <f>SUMIFS('recurring2_based on steps'!$B64:$AY64,'recurring2_based on steps'!$B$1:$AY$1,P$1)+SUMIFS('changes2_based on steps'!$B64:$U64,'changes2_based on steps'!$B$1:$U$1,P$1)</f>
        <v>0</v>
      </c>
      <c r="Q64" s="179">
        <f>SUMIFS('recurring2_based on steps'!$B64:$AY64,'recurring2_based on steps'!$B$1:$AY$1,Q$1)+SUMIFS('changes2_based on steps'!$B64:$U64,'changes2_based on steps'!$B$1:$U$1,Q$1)</f>
        <v>0</v>
      </c>
      <c r="R64" s="179">
        <f>SUMIFS('recurring2_based on steps'!$B64:$AY64,'recurring2_based on steps'!$B$1:$AY$1,R$1)+SUMIFS('changes2_based on steps'!$B64:$U64,'changes2_based on steps'!$B$1:$U$1,R$1)</f>
        <v>0</v>
      </c>
      <c r="S64" s="179">
        <f>SUMIFS('recurring2_based on steps'!$B64:$AY64,'recurring2_based on steps'!$B$1:$AY$1,S$1)+SUMIFS('changes2_based on steps'!$B64:$U64,'changes2_based on steps'!$B$1:$U$1,S$1)</f>
        <v>0</v>
      </c>
      <c r="T64" s="179">
        <f>SUMIFS('recurring2_based on steps'!$B64:$AY64,'recurring2_based on steps'!$B$1:$AY$1,T$1)+SUMIFS('changes2_based on steps'!$B64:$U64,'changes2_based on steps'!$B$1:$U$1,T$1)</f>
        <v>0</v>
      </c>
      <c r="U64" s="179">
        <f>SUMIFS('recurring2_based on steps'!$B64:$AY64,'recurring2_based on steps'!$B$1:$AY$1,U$1)+SUMIFS('changes2_based on steps'!$B64:$U64,'changes2_based on steps'!$B$1:$U$1,U$1)</f>
        <v>0</v>
      </c>
      <c r="V64" s="179">
        <f>SUMIFS('recurring2_based on steps'!$B64:$AY64,'recurring2_based on steps'!$B$1:$AY$1,V$1)+SUMIFS('changes2_based on steps'!$B64:$U64,'changes2_based on steps'!$B$1:$U$1,V$1)</f>
        <v>0</v>
      </c>
      <c r="W64" s="179">
        <f>SUMIFS('recurring2_based on steps'!$B64:$AY64,'recurring2_based on steps'!$B$1:$AY$1,W$1)+SUMIFS('changes2_based on steps'!$B64:$U64,'changes2_based on steps'!$B$1:$U$1,W$1)</f>
        <v>0</v>
      </c>
      <c r="X64" s="179">
        <f>SUMIFS('recurring2_based on steps'!$B64:$AY64,'recurring2_based on steps'!$B$1:$AY$1,X$1)+SUMIFS('changes2_based on steps'!$B64:$U64,'changes2_based on steps'!$B$1:$U$1,X$1)</f>
        <v>0</v>
      </c>
      <c r="Y64" s="179">
        <f>SUMIFS('recurring2_based on steps'!$B64:$AY64,'recurring2_based on steps'!$B$1:$AY$1,Y$1)+SUMIFS('changes2_based on steps'!$B64:$U64,'changes2_based on steps'!$B$1:$U$1,Y$1)</f>
        <v>0</v>
      </c>
      <c r="Z64" s="179">
        <f>SUMIFS('recurring2_based on steps'!$B64:$AY64,'recurring2_based on steps'!$B$1:$AY$1,Z$1)+SUMIFS('changes2_based on steps'!$B64:$U64,'changes2_based on steps'!$B$1:$U$1,Z$1)</f>
        <v>0</v>
      </c>
      <c r="AA64" s="179">
        <f>SUMIFS('recurring2_based on steps'!$B64:$AY64,'recurring2_based on steps'!$B$1:$AY$1,AA$1)+SUMIFS('changes2_based on steps'!$B64:$U64,'changes2_based on steps'!$B$1:$U$1,AA$1)</f>
        <v>0</v>
      </c>
      <c r="AB64" s="179">
        <f>SUMIFS('recurring2_based on steps'!$B64:$AY64,'recurring2_based on steps'!$B$1:$AY$1,AB$1)+SUMIFS('changes2_based on steps'!$B64:$U64,'changes2_based on steps'!$B$1:$U$1,AB$1)</f>
        <v>0</v>
      </c>
      <c r="AC64" s="179">
        <f>SUMIFS('recurring2_based on steps'!$B64:$AY64,'recurring2_based on steps'!$B$1:$AY$1,AC$1)+SUMIFS('changes2_based on steps'!$B64:$U64,'changes2_based on steps'!$B$1:$U$1,AC$1)</f>
        <v>0</v>
      </c>
      <c r="AD64" s="179">
        <f>SUMIFS('recurring2_based on steps'!$B64:$AY64,'recurring2_based on steps'!$B$1:$AY$1,AD$1)+SUMIFS('changes2_based on steps'!$B64:$U64,'changes2_based on steps'!$B$1:$U$1,AD$1)</f>
        <v>0</v>
      </c>
      <c r="AE64" s="179">
        <f>SUMIFS('recurring2_based on steps'!$B64:$AY64,'recurring2_based on steps'!$B$1:$AY$1,AE$1)+SUMIFS('changes2_based on steps'!$B64:$U64,'changes2_based on steps'!$B$1:$U$1,AE$1)</f>
        <v>0</v>
      </c>
      <c r="AF64" s="179"/>
      <c r="AG64" s="179"/>
      <c r="AH64" s="179"/>
      <c r="AI64" s="179"/>
      <c r="AJ64" s="179"/>
      <c r="AK64" s="179"/>
      <c r="AL64" s="179"/>
      <c r="AM64" s="179"/>
    </row>
    <row r="65" spans="1:39" x14ac:dyDescent="0.2">
      <c r="A65" s="32">
        <f t="shared" ca="1" si="0"/>
        <v>45807</v>
      </c>
      <c r="B65" s="179">
        <f>SUMIFS('recurring2_based on steps'!$B65:$AY65,'recurring2_based on steps'!$B$1:$AY$1,B$1)+SUMIFS('changes2_based on steps'!$B65:$U65,'changes2_based on steps'!$B$1:$U$1,B$1)</f>
        <v>0</v>
      </c>
      <c r="C65" s="179">
        <f>SUMIFS('recurring2_based on steps'!$B65:$AY65,'recurring2_based on steps'!$B$1:$AY$1,C$1)+SUMIFS('changes2_based on steps'!$B65:$U65,'changes2_based on steps'!$B$1:$U$1,C$1)</f>
        <v>0</v>
      </c>
      <c r="D65" s="179">
        <f>SUMIFS('recurring2_based on steps'!$B65:$AY65,'recurring2_based on steps'!$B$1:$AY$1,D$1)+SUMIFS('changes2_based on steps'!$B65:$U65,'changes2_based on steps'!$B$1:$U$1,D$1)</f>
        <v>0</v>
      </c>
      <c r="E65" s="179">
        <f>SUMIFS('recurring2_based on steps'!$B65:$AY65,'recurring2_based on steps'!$B$1:$AY$1,E$1)+SUMIFS('changes2_based on steps'!$B65:$U65,'changes2_based on steps'!$B$1:$U$1,E$1)</f>
        <v>0</v>
      </c>
      <c r="F65" s="179">
        <f>SUMIFS('recurring2_based on steps'!$B65:$AY65,'recurring2_based on steps'!$B$1:$AY$1,F$1)+SUMIFS('changes2_based on steps'!$B65:$U65,'changes2_based on steps'!$B$1:$U$1,F$1)</f>
        <v>0</v>
      </c>
      <c r="G65" s="179">
        <f>SUMIFS('recurring2_based on steps'!$B65:$AY65,'recurring2_based on steps'!$B$1:$AY$1,G$1)+SUMIFS('changes2_based on steps'!$B65:$U65,'changes2_based on steps'!$B$1:$U$1,G$1)</f>
        <v>0</v>
      </c>
      <c r="H65" s="179">
        <f>SUMIFS('recurring2_based on steps'!$B65:$AY65,'recurring2_based on steps'!$B$1:$AY$1,H$1)+SUMIFS('changes2_based on steps'!$B65:$U65,'changes2_based on steps'!$B$1:$U$1,H$1)</f>
        <v>0</v>
      </c>
      <c r="I65" s="179">
        <f>SUMIFS('recurring2_based on steps'!$B65:$AY65,'recurring2_based on steps'!$B$1:$AY$1,I$1)+SUMIFS('changes2_based on steps'!$B65:$U65,'changes2_based on steps'!$B$1:$U$1,I$1)</f>
        <v>0</v>
      </c>
      <c r="J65" s="179">
        <f>SUMIFS('recurring2_based on steps'!$B65:$AY65,'recurring2_based on steps'!$B$1:$AY$1,J$1)+SUMIFS('changes2_based on steps'!$B65:$U65,'changes2_based on steps'!$B$1:$U$1,J$1)</f>
        <v>0</v>
      </c>
      <c r="K65" s="179">
        <f>SUMIFS('recurring2_based on steps'!$B65:$AY65,'recurring2_based on steps'!$B$1:$AY$1,K$1)+SUMIFS('changes2_based on steps'!$B65:$U65,'changes2_based on steps'!$B$1:$U$1,K$1)</f>
        <v>0</v>
      </c>
      <c r="L65" s="179">
        <f>SUMIFS('recurring2_based on steps'!$B65:$AY65,'recurring2_based on steps'!$B$1:$AY$1,L$1)+SUMIFS('changes2_based on steps'!$B65:$U65,'changes2_based on steps'!$B$1:$U$1,L$1)</f>
        <v>0</v>
      </c>
      <c r="M65" s="179">
        <f>SUMIFS('recurring2_based on steps'!$B65:$AY65,'recurring2_based on steps'!$B$1:$AY$1,M$1)+SUMIFS('changes2_based on steps'!$B65:$U65,'changes2_based on steps'!$B$1:$U$1,M$1)</f>
        <v>0</v>
      </c>
      <c r="N65" s="179">
        <f>SUMIFS('recurring2_based on steps'!$B65:$AY65,'recurring2_based on steps'!$B$1:$AY$1,N$1)+SUMIFS('changes2_based on steps'!$B65:$U65,'changes2_based on steps'!$B$1:$U$1,N$1)</f>
        <v>0</v>
      </c>
      <c r="O65" s="179">
        <f>SUMIFS('recurring2_based on steps'!$B65:$AY65,'recurring2_based on steps'!$B$1:$AY$1,O$1)+SUMIFS('changes2_based on steps'!$B65:$U65,'changes2_based on steps'!$B$1:$U$1,O$1)</f>
        <v>0</v>
      </c>
      <c r="P65" s="179">
        <f>SUMIFS('recurring2_based on steps'!$B65:$AY65,'recurring2_based on steps'!$B$1:$AY$1,P$1)+SUMIFS('changes2_based on steps'!$B65:$U65,'changes2_based on steps'!$B$1:$U$1,P$1)</f>
        <v>0</v>
      </c>
      <c r="Q65" s="179">
        <f>SUMIFS('recurring2_based on steps'!$B65:$AY65,'recurring2_based on steps'!$B$1:$AY$1,Q$1)+SUMIFS('changes2_based on steps'!$B65:$U65,'changes2_based on steps'!$B$1:$U$1,Q$1)</f>
        <v>0</v>
      </c>
      <c r="R65" s="179">
        <f>SUMIFS('recurring2_based on steps'!$B65:$AY65,'recurring2_based on steps'!$B$1:$AY$1,R$1)+SUMIFS('changes2_based on steps'!$B65:$U65,'changes2_based on steps'!$B$1:$U$1,R$1)</f>
        <v>0</v>
      </c>
      <c r="S65" s="179">
        <f>SUMIFS('recurring2_based on steps'!$B65:$AY65,'recurring2_based on steps'!$B$1:$AY$1,S$1)+SUMIFS('changes2_based on steps'!$B65:$U65,'changes2_based on steps'!$B$1:$U$1,S$1)</f>
        <v>0</v>
      </c>
      <c r="T65" s="179">
        <f>SUMIFS('recurring2_based on steps'!$B65:$AY65,'recurring2_based on steps'!$B$1:$AY$1,T$1)+SUMIFS('changes2_based on steps'!$B65:$U65,'changes2_based on steps'!$B$1:$U$1,T$1)</f>
        <v>0</v>
      </c>
      <c r="U65" s="179">
        <f>SUMIFS('recurring2_based on steps'!$B65:$AY65,'recurring2_based on steps'!$B$1:$AY$1,U$1)+SUMIFS('changes2_based on steps'!$B65:$U65,'changes2_based on steps'!$B$1:$U$1,U$1)</f>
        <v>0</v>
      </c>
      <c r="V65" s="179">
        <f>SUMIFS('recurring2_based on steps'!$B65:$AY65,'recurring2_based on steps'!$B$1:$AY$1,V$1)+SUMIFS('changes2_based on steps'!$B65:$U65,'changes2_based on steps'!$B$1:$U$1,V$1)</f>
        <v>0</v>
      </c>
      <c r="W65" s="179">
        <f>SUMIFS('recurring2_based on steps'!$B65:$AY65,'recurring2_based on steps'!$B$1:$AY$1,W$1)+SUMIFS('changes2_based on steps'!$B65:$U65,'changes2_based on steps'!$B$1:$U$1,W$1)</f>
        <v>0</v>
      </c>
      <c r="X65" s="179">
        <f>SUMIFS('recurring2_based on steps'!$B65:$AY65,'recurring2_based on steps'!$B$1:$AY$1,X$1)+SUMIFS('changes2_based on steps'!$B65:$U65,'changes2_based on steps'!$B$1:$U$1,X$1)</f>
        <v>0</v>
      </c>
      <c r="Y65" s="179">
        <f>SUMIFS('recurring2_based on steps'!$B65:$AY65,'recurring2_based on steps'!$B$1:$AY$1,Y$1)+SUMIFS('changes2_based on steps'!$B65:$U65,'changes2_based on steps'!$B$1:$U$1,Y$1)</f>
        <v>0</v>
      </c>
      <c r="Z65" s="179">
        <f>SUMIFS('recurring2_based on steps'!$B65:$AY65,'recurring2_based on steps'!$B$1:$AY$1,Z$1)+SUMIFS('changes2_based on steps'!$B65:$U65,'changes2_based on steps'!$B$1:$U$1,Z$1)</f>
        <v>0</v>
      </c>
      <c r="AA65" s="179">
        <f>SUMIFS('recurring2_based on steps'!$B65:$AY65,'recurring2_based on steps'!$B$1:$AY$1,AA$1)+SUMIFS('changes2_based on steps'!$B65:$U65,'changes2_based on steps'!$B$1:$U$1,AA$1)</f>
        <v>0</v>
      </c>
      <c r="AB65" s="179">
        <f>SUMIFS('recurring2_based on steps'!$B65:$AY65,'recurring2_based on steps'!$B$1:$AY$1,AB$1)+SUMIFS('changes2_based on steps'!$B65:$U65,'changes2_based on steps'!$B$1:$U$1,AB$1)</f>
        <v>0</v>
      </c>
      <c r="AC65" s="179">
        <f>SUMIFS('recurring2_based on steps'!$B65:$AY65,'recurring2_based on steps'!$B$1:$AY$1,AC$1)+SUMIFS('changes2_based on steps'!$B65:$U65,'changes2_based on steps'!$B$1:$U$1,AC$1)</f>
        <v>0</v>
      </c>
      <c r="AD65" s="179">
        <f>SUMIFS('recurring2_based on steps'!$B65:$AY65,'recurring2_based on steps'!$B$1:$AY$1,AD$1)+SUMIFS('changes2_based on steps'!$B65:$U65,'changes2_based on steps'!$B$1:$U$1,AD$1)</f>
        <v>0</v>
      </c>
      <c r="AE65" s="179">
        <f>SUMIFS('recurring2_based on steps'!$B65:$AY65,'recurring2_based on steps'!$B$1:$AY$1,AE$1)+SUMIFS('changes2_based on steps'!$B65:$U65,'changes2_based on steps'!$B$1:$U$1,AE$1)</f>
        <v>0</v>
      </c>
      <c r="AF65" s="179"/>
      <c r="AG65" s="179"/>
      <c r="AH65" s="179"/>
      <c r="AI65" s="179"/>
      <c r="AJ65" s="179"/>
      <c r="AK65" s="179"/>
      <c r="AL65" s="179"/>
      <c r="AM65" s="179"/>
    </row>
    <row r="66" spans="1:39" x14ac:dyDescent="0.2">
      <c r="A66" s="32">
        <f t="shared" ca="1" si="0"/>
        <v>45808</v>
      </c>
      <c r="B66" s="179">
        <f>SUMIFS('recurring2_based on steps'!$B66:$AY66,'recurring2_based on steps'!$B$1:$AY$1,B$1)+SUMIFS('changes2_based on steps'!$B66:$U66,'changes2_based on steps'!$B$1:$U$1,B$1)</f>
        <v>0</v>
      </c>
      <c r="C66" s="179">
        <f>SUMIFS('recurring2_based on steps'!$B66:$AY66,'recurring2_based on steps'!$B$1:$AY$1,C$1)+SUMIFS('changes2_based on steps'!$B66:$U66,'changes2_based on steps'!$B$1:$U$1,C$1)</f>
        <v>0</v>
      </c>
      <c r="D66" s="179">
        <f>SUMIFS('recurring2_based on steps'!$B66:$AY66,'recurring2_based on steps'!$B$1:$AY$1,D$1)+SUMIFS('changes2_based on steps'!$B66:$U66,'changes2_based on steps'!$B$1:$U$1,D$1)</f>
        <v>0</v>
      </c>
      <c r="E66" s="179">
        <f>SUMIFS('recurring2_based on steps'!$B66:$AY66,'recurring2_based on steps'!$B$1:$AY$1,E$1)+SUMIFS('changes2_based on steps'!$B66:$U66,'changes2_based on steps'!$B$1:$U$1,E$1)</f>
        <v>0</v>
      </c>
      <c r="F66" s="179">
        <f>SUMIFS('recurring2_based on steps'!$B66:$AY66,'recurring2_based on steps'!$B$1:$AY$1,F$1)+SUMIFS('changes2_based on steps'!$B66:$U66,'changes2_based on steps'!$B$1:$U$1,F$1)</f>
        <v>0</v>
      </c>
      <c r="G66" s="179">
        <f>SUMIFS('recurring2_based on steps'!$B66:$AY66,'recurring2_based on steps'!$B$1:$AY$1,G$1)+SUMIFS('changes2_based on steps'!$B66:$U66,'changes2_based on steps'!$B$1:$U$1,G$1)</f>
        <v>0</v>
      </c>
      <c r="H66" s="179">
        <f>SUMIFS('recurring2_based on steps'!$B66:$AY66,'recurring2_based on steps'!$B$1:$AY$1,H$1)+SUMIFS('changes2_based on steps'!$B66:$U66,'changes2_based on steps'!$B$1:$U$1,H$1)</f>
        <v>0</v>
      </c>
      <c r="I66" s="179">
        <f>SUMIFS('recurring2_based on steps'!$B66:$AY66,'recurring2_based on steps'!$B$1:$AY$1,I$1)+SUMIFS('changes2_based on steps'!$B66:$U66,'changes2_based on steps'!$B$1:$U$1,I$1)</f>
        <v>0</v>
      </c>
      <c r="J66" s="179">
        <f>SUMIFS('recurring2_based on steps'!$B66:$AY66,'recurring2_based on steps'!$B$1:$AY$1,J$1)+SUMIFS('changes2_based on steps'!$B66:$U66,'changes2_based on steps'!$B$1:$U$1,J$1)</f>
        <v>0</v>
      </c>
      <c r="K66" s="179">
        <f>SUMIFS('recurring2_based on steps'!$B66:$AY66,'recurring2_based on steps'!$B$1:$AY$1,K$1)+SUMIFS('changes2_based on steps'!$B66:$U66,'changes2_based on steps'!$B$1:$U$1,K$1)</f>
        <v>0</v>
      </c>
      <c r="L66" s="179">
        <f>SUMIFS('recurring2_based on steps'!$B66:$AY66,'recurring2_based on steps'!$B$1:$AY$1,L$1)+SUMIFS('changes2_based on steps'!$B66:$U66,'changes2_based on steps'!$B$1:$U$1,L$1)</f>
        <v>0</v>
      </c>
      <c r="M66" s="179">
        <f>SUMIFS('recurring2_based on steps'!$B66:$AY66,'recurring2_based on steps'!$B$1:$AY$1,M$1)+SUMIFS('changes2_based on steps'!$B66:$U66,'changes2_based on steps'!$B$1:$U$1,M$1)</f>
        <v>0</v>
      </c>
      <c r="N66" s="179">
        <f>SUMIFS('recurring2_based on steps'!$B66:$AY66,'recurring2_based on steps'!$B$1:$AY$1,N$1)+SUMIFS('changes2_based on steps'!$B66:$U66,'changes2_based on steps'!$B$1:$U$1,N$1)</f>
        <v>0</v>
      </c>
      <c r="O66" s="179">
        <f>SUMIFS('recurring2_based on steps'!$B66:$AY66,'recurring2_based on steps'!$B$1:$AY$1,O$1)+SUMIFS('changes2_based on steps'!$B66:$U66,'changes2_based on steps'!$B$1:$U$1,O$1)</f>
        <v>0</v>
      </c>
      <c r="P66" s="179">
        <f>SUMIFS('recurring2_based on steps'!$B66:$AY66,'recurring2_based on steps'!$B$1:$AY$1,P$1)+SUMIFS('changes2_based on steps'!$B66:$U66,'changes2_based on steps'!$B$1:$U$1,P$1)</f>
        <v>0</v>
      </c>
      <c r="Q66" s="179">
        <f>SUMIFS('recurring2_based on steps'!$B66:$AY66,'recurring2_based on steps'!$B$1:$AY$1,Q$1)+SUMIFS('changes2_based on steps'!$B66:$U66,'changes2_based on steps'!$B$1:$U$1,Q$1)</f>
        <v>0</v>
      </c>
      <c r="R66" s="179">
        <f>SUMIFS('recurring2_based on steps'!$B66:$AY66,'recurring2_based on steps'!$B$1:$AY$1,R$1)+SUMIFS('changes2_based on steps'!$B66:$U66,'changes2_based on steps'!$B$1:$U$1,R$1)</f>
        <v>0</v>
      </c>
      <c r="S66" s="179">
        <f>SUMIFS('recurring2_based on steps'!$B66:$AY66,'recurring2_based on steps'!$B$1:$AY$1,S$1)+SUMIFS('changes2_based on steps'!$B66:$U66,'changes2_based on steps'!$B$1:$U$1,S$1)</f>
        <v>0</v>
      </c>
      <c r="T66" s="179">
        <f>SUMIFS('recurring2_based on steps'!$B66:$AY66,'recurring2_based on steps'!$B$1:$AY$1,T$1)+SUMIFS('changes2_based on steps'!$B66:$U66,'changes2_based on steps'!$B$1:$U$1,T$1)</f>
        <v>0</v>
      </c>
      <c r="U66" s="179">
        <f>SUMIFS('recurring2_based on steps'!$B66:$AY66,'recurring2_based on steps'!$B$1:$AY$1,U$1)+SUMIFS('changes2_based on steps'!$B66:$U66,'changes2_based on steps'!$B$1:$U$1,U$1)</f>
        <v>0</v>
      </c>
      <c r="V66" s="179">
        <f>SUMIFS('recurring2_based on steps'!$B66:$AY66,'recurring2_based on steps'!$B$1:$AY$1,V$1)+SUMIFS('changes2_based on steps'!$B66:$U66,'changes2_based on steps'!$B$1:$U$1,V$1)</f>
        <v>0</v>
      </c>
      <c r="W66" s="179">
        <f>SUMIFS('recurring2_based on steps'!$B66:$AY66,'recurring2_based on steps'!$B$1:$AY$1,W$1)+SUMIFS('changes2_based on steps'!$B66:$U66,'changes2_based on steps'!$B$1:$U$1,W$1)</f>
        <v>0</v>
      </c>
      <c r="X66" s="179">
        <f>SUMIFS('recurring2_based on steps'!$B66:$AY66,'recurring2_based on steps'!$B$1:$AY$1,X$1)+SUMIFS('changes2_based on steps'!$B66:$U66,'changes2_based on steps'!$B$1:$U$1,X$1)</f>
        <v>0</v>
      </c>
      <c r="Y66" s="179">
        <f>SUMIFS('recurring2_based on steps'!$B66:$AY66,'recurring2_based on steps'!$B$1:$AY$1,Y$1)+SUMIFS('changes2_based on steps'!$B66:$U66,'changes2_based on steps'!$B$1:$U$1,Y$1)</f>
        <v>0</v>
      </c>
      <c r="Z66" s="179">
        <f>SUMIFS('recurring2_based on steps'!$B66:$AY66,'recurring2_based on steps'!$B$1:$AY$1,Z$1)+SUMIFS('changes2_based on steps'!$B66:$U66,'changes2_based on steps'!$B$1:$U$1,Z$1)</f>
        <v>0</v>
      </c>
      <c r="AA66" s="179">
        <f>SUMIFS('recurring2_based on steps'!$B66:$AY66,'recurring2_based on steps'!$B$1:$AY$1,AA$1)+SUMIFS('changes2_based on steps'!$B66:$U66,'changes2_based on steps'!$B$1:$U$1,AA$1)</f>
        <v>0</v>
      </c>
      <c r="AB66" s="179">
        <f>SUMIFS('recurring2_based on steps'!$B66:$AY66,'recurring2_based on steps'!$B$1:$AY$1,AB$1)+SUMIFS('changes2_based on steps'!$B66:$U66,'changes2_based on steps'!$B$1:$U$1,AB$1)</f>
        <v>0</v>
      </c>
      <c r="AC66" s="179">
        <f>SUMIFS('recurring2_based on steps'!$B66:$AY66,'recurring2_based on steps'!$B$1:$AY$1,AC$1)+SUMIFS('changes2_based on steps'!$B66:$U66,'changes2_based on steps'!$B$1:$U$1,AC$1)</f>
        <v>0</v>
      </c>
      <c r="AD66" s="179">
        <f>SUMIFS('recurring2_based on steps'!$B66:$AY66,'recurring2_based on steps'!$B$1:$AY$1,AD$1)+SUMIFS('changes2_based on steps'!$B66:$U66,'changes2_based on steps'!$B$1:$U$1,AD$1)</f>
        <v>0</v>
      </c>
      <c r="AE66" s="179">
        <f>SUMIFS('recurring2_based on steps'!$B66:$AY66,'recurring2_based on steps'!$B$1:$AY$1,AE$1)+SUMIFS('changes2_based on steps'!$B66:$U66,'changes2_based on steps'!$B$1:$U$1,AE$1)</f>
        <v>0</v>
      </c>
      <c r="AF66" s="179"/>
      <c r="AG66" s="179"/>
      <c r="AH66" s="179"/>
      <c r="AI66" s="179"/>
      <c r="AJ66" s="179"/>
      <c r="AK66" s="179"/>
      <c r="AL66" s="179"/>
      <c r="AM66" s="179"/>
    </row>
    <row r="67" spans="1:39" x14ac:dyDescent="0.2">
      <c r="A67" s="32">
        <f t="shared" ca="1" si="0"/>
        <v>45809</v>
      </c>
      <c r="B67" s="179">
        <f>SUMIFS('recurring2_based on steps'!$B67:$AY67,'recurring2_based on steps'!$B$1:$AY$1,B$1)+SUMIFS('changes2_based on steps'!$B67:$U67,'changes2_based on steps'!$B$1:$U$1,B$1)</f>
        <v>0</v>
      </c>
      <c r="C67" s="179">
        <f>SUMIFS('recurring2_based on steps'!$B67:$AY67,'recurring2_based on steps'!$B$1:$AY$1,C$1)+SUMIFS('changes2_based on steps'!$B67:$U67,'changes2_based on steps'!$B$1:$U$1,C$1)</f>
        <v>0</v>
      </c>
      <c r="D67" s="179">
        <f>SUMIFS('recurring2_based on steps'!$B67:$AY67,'recurring2_based on steps'!$B$1:$AY$1,D$1)+SUMIFS('changes2_based on steps'!$B67:$U67,'changes2_based on steps'!$B$1:$U$1,D$1)</f>
        <v>0</v>
      </c>
      <c r="E67" s="179">
        <f>SUMIFS('recurring2_based on steps'!$B67:$AY67,'recurring2_based on steps'!$B$1:$AY$1,E$1)+SUMIFS('changes2_based on steps'!$B67:$U67,'changes2_based on steps'!$B$1:$U$1,E$1)</f>
        <v>0</v>
      </c>
      <c r="F67" s="179">
        <f>SUMIFS('recurring2_based on steps'!$B67:$AY67,'recurring2_based on steps'!$B$1:$AY$1,F$1)+SUMIFS('changes2_based on steps'!$B67:$U67,'changes2_based on steps'!$B$1:$U$1,F$1)</f>
        <v>0</v>
      </c>
      <c r="G67" s="179">
        <f>SUMIFS('recurring2_based on steps'!$B67:$AY67,'recurring2_based on steps'!$B$1:$AY$1,G$1)+SUMIFS('changes2_based on steps'!$B67:$U67,'changes2_based on steps'!$B$1:$U$1,G$1)</f>
        <v>0</v>
      </c>
      <c r="H67" s="179">
        <f>SUMIFS('recurring2_based on steps'!$B67:$AY67,'recurring2_based on steps'!$B$1:$AY$1,H$1)+SUMIFS('changes2_based on steps'!$B67:$U67,'changes2_based on steps'!$B$1:$U$1,H$1)</f>
        <v>0</v>
      </c>
      <c r="I67" s="179">
        <f>SUMIFS('recurring2_based on steps'!$B67:$AY67,'recurring2_based on steps'!$B$1:$AY$1,I$1)+SUMIFS('changes2_based on steps'!$B67:$U67,'changes2_based on steps'!$B$1:$U$1,I$1)</f>
        <v>0</v>
      </c>
      <c r="J67" s="179">
        <f>SUMIFS('recurring2_based on steps'!$B67:$AY67,'recurring2_based on steps'!$B$1:$AY$1,J$1)+SUMIFS('changes2_based on steps'!$B67:$U67,'changes2_based on steps'!$B$1:$U$1,J$1)</f>
        <v>0</v>
      </c>
      <c r="K67" s="179">
        <f>SUMIFS('recurring2_based on steps'!$B67:$AY67,'recurring2_based on steps'!$B$1:$AY$1,K$1)+SUMIFS('changes2_based on steps'!$B67:$U67,'changes2_based on steps'!$B$1:$U$1,K$1)</f>
        <v>0</v>
      </c>
      <c r="L67" s="179">
        <f>SUMIFS('recurring2_based on steps'!$B67:$AY67,'recurring2_based on steps'!$B$1:$AY$1,L$1)+SUMIFS('changes2_based on steps'!$B67:$U67,'changes2_based on steps'!$B$1:$U$1,L$1)</f>
        <v>0</v>
      </c>
      <c r="M67" s="179">
        <f>SUMIFS('recurring2_based on steps'!$B67:$AY67,'recurring2_based on steps'!$B$1:$AY$1,M$1)+SUMIFS('changes2_based on steps'!$B67:$U67,'changes2_based on steps'!$B$1:$U$1,M$1)</f>
        <v>0</v>
      </c>
      <c r="N67" s="179">
        <f>SUMIFS('recurring2_based on steps'!$B67:$AY67,'recurring2_based on steps'!$B$1:$AY$1,N$1)+SUMIFS('changes2_based on steps'!$B67:$U67,'changes2_based on steps'!$B$1:$U$1,N$1)</f>
        <v>0</v>
      </c>
      <c r="O67" s="179">
        <f>SUMIFS('recurring2_based on steps'!$B67:$AY67,'recurring2_based on steps'!$B$1:$AY$1,O$1)+SUMIFS('changes2_based on steps'!$B67:$U67,'changes2_based on steps'!$B$1:$U$1,O$1)</f>
        <v>0</v>
      </c>
      <c r="P67" s="179">
        <f>SUMIFS('recurring2_based on steps'!$B67:$AY67,'recurring2_based on steps'!$B$1:$AY$1,P$1)+SUMIFS('changes2_based on steps'!$B67:$U67,'changes2_based on steps'!$B$1:$U$1,P$1)</f>
        <v>0</v>
      </c>
      <c r="Q67" s="179">
        <f>SUMIFS('recurring2_based on steps'!$B67:$AY67,'recurring2_based on steps'!$B$1:$AY$1,Q$1)+SUMIFS('changes2_based on steps'!$B67:$U67,'changes2_based on steps'!$B$1:$U$1,Q$1)</f>
        <v>0</v>
      </c>
      <c r="R67" s="179">
        <f>SUMIFS('recurring2_based on steps'!$B67:$AY67,'recurring2_based on steps'!$B$1:$AY$1,R$1)+SUMIFS('changes2_based on steps'!$B67:$U67,'changes2_based on steps'!$B$1:$U$1,R$1)</f>
        <v>0</v>
      </c>
      <c r="S67" s="179">
        <f>SUMIFS('recurring2_based on steps'!$B67:$AY67,'recurring2_based on steps'!$B$1:$AY$1,S$1)+SUMIFS('changes2_based on steps'!$B67:$U67,'changes2_based on steps'!$B$1:$U$1,S$1)</f>
        <v>0</v>
      </c>
      <c r="T67" s="179">
        <f>SUMIFS('recurring2_based on steps'!$B67:$AY67,'recurring2_based on steps'!$B$1:$AY$1,T$1)+SUMIFS('changes2_based on steps'!$B67:$U67,'changes2_based on steps'!$B$1:$U$1,T$1)</f>
        <v>0</v>
      </c>
      <c r="U67" s="179">
        <f>SUMIFS('recurring2_based on steps'!$B67:$AY67,'recurring2_based on steps'!$B$1:$AY$1,U$1)+SUMIFS('changes2_based on steps'!$B67:$U67,'changes2_based on steps'!$B$1:$U$1,U$1)</f>
        <v>0</v>
      </c>
      <c r="V67" s="179">
        <f>SUMIFS('recurring2_based on steps'!$B67:$AY67,'recurring2_based on steps'!$B$1:$AY$1,V$1)+SUMIFS('changes2_based on steps'!$B67:$U67,'changes2_based on steps'!$B$1:$U$1,V$1)</f>
        <v>0</v>
      </c>
      <c r="W67" s="179">
        <f>SUMIFS('recurring2_based on steps'!$B67:$AY67,'recurring2_based on steps'!$B$1:$AY$1,W$1)+SUMIFS('changes2_based on steps'!$B67:$U67,'changes2_based on steps'!$B$1:$U$1,W$1)</f>
        <v>0</v>
      </c>
      <c r="X67" s="179">
        <f>SUMIFS('recurring2_based on steps'!$B67:$AY67,'recurring2_based on steps'!$B$1:$AY$1,X$1)+SUMIFS('changes2_based on steps'!$B67:$U67,'changes2_based on steps'!$B$1:$U$1,X$1)</f>
        <v>0</v>
      </c>
      <c r="Y67" s="179">
        <f>SUMIFS('recurring2_based on steps'!$B67:$AY67,'recurring2_based on steps'!$B$1:$AY$1,Y$1)+SUMIFS('changes2_based on steps'!$B67:$U67,'changes2_based on steps'!$B$1:$U$1,Y$1)</f>
        <v>0</v>
      </c>
      <c r="Z67" s="179">
        <f>SUMIFS('recurring2_based on steps'!$B67:$AY67,'recurring2_based on steps'!$B$1:$AY$1,Z$1)+SUMIFS('changes2_based on steps'!$B67:$U67,'changes2_based on steps'!$B$1:$U$1,Z$1)</f>
        <v>0</v>
      </c>
      <c r="AA67" s="179">
        <f>SUMIFS('recurring2_based on steps'!$B67:$AY67,'recurring2_based on steps'!$B$1:$AY$1,AA$1)+SUMIFS('changes2_based on steps'!$B67:$U67,'changes2_based on steps'!$B$1:$U$1,AA$1)</f>
        <v>0</v>
      </c>
      <c r="AB67" s="179">
        <f>SUMIFS('recurring2_based on steps'!$B67:$AY67,'recurring2_based on steps'!$B$1:$AY$1,AB$1)+SUMIFS('changes2_based on steps'!$B67:$U67,'changes2_based on steps'!$B$1:$U$1,AB$1)</f>
        <v>0</v>
      </c>
      <c r="AC67" s="179">
        <f>SUMIFS('recurring2_based on steps'!$B67:$AY67,'recurring2_based on steps'!$B$1:$AY$1,AC$1)+SUMIFS('changes2_based on steps'!$B67:$U67,'changes2_based on steps'!$B$1:$U$1,AC$1)</f>
        <v>0</v>
      </c>
      <c r="AD67" s="179">
        <f>SUMIFS('recurring2_based on steps'!$B67:$AY67,'recurring2_based on steps'!$B$1:$AY$1,AD$1)+SUMIFS('changes2_based on steps'!$B67:$U67,'changes2_based on steps'!$B$1:$U$1,AD$1)</f>
        <v>0</v>
      </c>
      <c r="AE67" s="179">
        <f>SUMIFS('recurring2_based on steps'!$B67:$AY67,'recurring2_based on steps'!$B$1:$AY$1,AE$1)+SUMIFS('changes2_based on steps'!$B67:$U67,'changes2_based on steps'!$B$1:$U$1,AE$1)</f>
        <v>0</v>
      </c>
      <c r="AF67" s="179"/>
      <c r="AG67" s="179"/>
      <c r="AH67" s="179"/>
      <c r="AI67" s="179"/>
      <c r="AJ67" s="179"/>
      <c r="AK67" s="179"/>
      <c r="AL67" s="179"/>
      <c r="AM67" s="179"/>
    </row>
    <row r="68" spans="1:39" x14ac:dyDescent="0.2">
      <c r="A68" s="32">
        <f t="shared" ca="1" si="0"/>
        <v>45810</v>
      </c>
      <c r="B68" s="179">
        <f>SUMIFS('recurring2_based on steps'!$B68:$AY68,'recurring2_based on steps'!$B$1:$AY$1,B$1)+SUMIFS('changes2_based on steps'!$B68:$U68,'changes2_based on steps'!$B$1:$U$1,B$1)</f>
        <v>0</v>
      </c>
      <c r="C68" s="179">
        <f>SUMIFS('recurring2_based on steps'!$B68:$AY68,'recurring2_based on steps'!$B$1:$AY$1,C$1)+SUMIFS('changes2_based on steps'!$B68:$U68,'changes2_based on steps'!$B$1:$U$1,C$1)</f>
        <v>0</v>
      </c>
      <c r="D68" s="179">
        <f>SUMIFS('recurring2_based on steps'!$B68:$AY68,'recurring2_based on steps'!$B$1:$AY$1,D$1)+SUMIFS('changes2_based on steps'!$B68:$U68,'changes2_based on steps'!$B$1:$U$1,D$1)</f>
        <v>0</v>
      </c>
      <c r="E68" s="179">
        <f>SUMIFS('recurring2_based on steps'!$B68:$AY68,'recurring2_based on steps'!$B$1:$AY$1,E$1)+SUMIFS('changes2_based on steps'!$B68:$U68,'changes2_based on steps'!$B$1:$U$1,E$1)</f>
        <v>0</v>
      </c>
      <c r="F68" s="179">
        <f>SUMIFS('recurring2_based on steps'!$B68:$AY68,'recurring2_based on steps'!$B$1:$AY$1,F$1)+SUMIFS('changes2_based on steps'!$B68:$U68,'changes2_based on steps'!$B$1:$U$1,F$1)</f>
        <v>0</v>
      </c>
      <c r="G68" s="179">
        <f>SUMIFS('recurring2_based on steps'!$B68:$AY68,'recurring2_based on steps'!$B$1:$AY$1,G$1)+SUMIFS('changes2_based on steps'!$B68:$U68,'changes2_based on steps'!$B$1:$U$1,G$1)</f>
        <v>0</v>
      </c>
      <c r="H68" s="179">
        <f>SUMIFS('recurring2_based on steps'!$B68:$AY68,'recurring2_based on steps'!$B$1:$AY$1,H$1)+SUMIFS('changes2_based on steps'!$B68:$U68,'changes2_based on steps'!$B$1:$U$1,H$1)</f>
        <v>0</v>
      </c>
      <c r="I68" s="179">
        <f>SUMIFS('recurring2_based on steps'!$B68:$AY68,'recurring2_based on steps'!$B$1:$AY$1,I$1)+SUMIFS('changes2_based on steps'!$B68:$U68,'changes2_based on steps'!$B$1:$U$1,I$1)</f>
        <v>0</v>
      </c>
      <c r="J68" s="179">
        <f>SUMIFS('recurring2_based on steps'!$B68:$AY68,'recurring2_based on steps'!$B$1:$AY$1,J$1)+SUMIFS('changes2_based on steps'!$B68:$U68,'changes2_based on steps'!$B$1:$U$1,J$1)</f>
        <v>0</v>
      </c>
      <c r="K68" s="179">
        <f>SUMIFS('recurring2_based on steps'!$B68:$AY68,'recurring2_based on steps'!$B$1:$AY$1,K$1)+SUMIFS('changes2_based on steps'!$B68:$U68,'changes2_based on steps'!$B$1:$U$1,K$1)</f>
        <v>0</v>
      </c>
      <c r="L68" s="179">
        <f>SUMIFS('recurring2_based on steps'!$B68:$AY68,'recurring2_based on steps'!$B$1:$AY$1,L$1)+SUMIFS('changes2_based on steps'!$B68:$U68,'changes2_based on steps'!$B$1:$U$1,L$1)</f>
        <v>0</v>
      </c>
      <c r="M68" s="179">
        <f>SUMIFS('recurring2_based on steps'!$B68:$AY68,'recurring2_based on steps'!$B$1:$AY$1,M$1)+SUMIFS('changes2_based on steps'!$B68:$U68,'changes2_based on steps'!$B$1:$U$1,M$1)</f>
        <v>0</v>
      </c>
      <c r="N68" s="179">
        <f>SUMIFS('recurring2_based on steps'!$B68:$AY68,'recurring2_based on steps'!$B$1:$AY$1,N$1)+SUMIFS('changes2_based on steps'!$B68:$U68,'changes2_based on steps'!$B$1:$U$1,N$1)</f>
        <v>0</v>
      </c>
      <c r="O68" s="179">
        <f>SUMIFS('recurring2_based on steps'!$B68:$AY68,'recurring2_based on steps'!$B$1:$AY$1,O$1)+SUMIFS('changes2_based on steps'!$B68:$U68,'changes2_based on steps'!$B$1:$U$1,O$1)</f>
        <v>0</v>
      </c>
      <c r="P68" s="179">
        <f>SUMIFS('recurring2_based on steps'!$B68:$AY68,'recurring2_based on steps'!$B$1:$AY$1,P$1)+SUMIFS('changes2_based on steps'!$B68:$U68,'changes2_based on steps'!$B$1:$U$1,P$1)</f>
        <v>0</v>
      </c>
      <c r="Q68" s="179">
        <f>SUMIFS('recurring2_based on steps'!$B68:$AY68,'recurring2_based on steps'!$B$1:$AY$1,Q$1)+SUMIFS('changes2_based on steps'!$B68:$U68,'changes2_based on steps'!$B$1:$U$1,Q$1)</f>
        <v>0</v>
      </c>
      <c r="R68" s="179">
        <f>SUMIFS('recurring2_based on steps'!$B68:$AY68,'recurring2_based on steps'!$B$1:$AY$1,R$1)+SUMIFS('changes2_based on steps'!$B68:$U68,'changes2_based on steps'!$B$1:$U$1,R$1)</f>
        <v>0</v>
      </c>
      <c r="S68" s="179">
        <f>SUMIFS('recurring2_based on steps'!$B68:$AY68,'recurring2_based on steps'!$B$1:$AY$1,S$1)+SUMIFS('changes2_based on steps'!$B68:$U68,'changes2_based on steps'!$B$1:$U$1,S$1)</f>
        <v>0</v>
      </c>
      <c r="T68" s="179">
        <f>SUMIFS('recurring2_based on steps'!$B68:$AY68,'recurring2_based on steps'!$B$1:$AY$1,T$1)+SUMIFS('changes2_based on steps'!$B68:$U68,'changes2_based on steps'!$B$1:$U$1,T$1)</f>
        <v>0</v>
      </c>
      <c r="U68" s="179">
        <f>SUMIFS('recurring2_based on steps'!$B68:$AY68,'recurring2_based on steps'!$B$1:$AY$1,U$1)+SUMIFS('changes2_based on steps'!$B68:$U68,'changes2_based on steps'!$B$1:$U$1,U$1)</f>
        <v>0</v>
      </c>
      <c r="V68" s="179">
        <f>SUMIFS('recurring2_based on steps'!$B68:$AY68,'recurring2_based on steps'!$B$1:$AY$1,V$1)+SUMIFS('changes2_based on steps'!$B68:$U68,'changes2_based on steps'!$B$1:$U$1,V$1)</f>
        <v>0</v>
      </c>
      <c r="W68" s="179">
        <f>SUMIFS('recurring2_based on steps'!$B68:$AY68,'recurring2_based on steps'!$B$1:$AY$1,W$1)+SUMIFS('changes2_based on steps'!$B68:$U68,'changes2_based on steps'!$B$1:$U$1,W$1)</f>
        <v>0</v>
      </c>
      <c r="X68" s="179">
        <f>SUMIFS('recurring2_based on steps'!$B68:$AY68,'recurring2_based on steps'!$B$1:$AY$1,X$1)+SUMIFS('changes2_based on steps'!$B68:$U68,'changes2_based on steps'!$B$1:$U$1,X$1)</f>
        <v>0</v>
      </c>
      <c r="Y68" s="179">
        <f>SUMIFS('recurring2_based on steps'!$B68:$AY68,'recurring2_based on steps'!$B$1:$AY$1,Y$1)+SUMIFS('changes2_based on steps'!$B68:$U68,'changes2_based on steps'!$B$1:$U$1,Y$1)</f>
        <v>0</v>
      </c>
      <c r="Z68" s="179">
        <f>SUMIFS('recurring2_based on steps'!$B68:$AY68,'recurring2_based on steps'!$B$1:$AY$1,Z$1)+SUMIFS('changes2_based on steps'!$B68:$U68,'changes2_based on steps'!$B$1:$U$1,Z$1)</f>
        <v>0</v>
      </c>
      <c r="AA68" s="179">
        <f>SUMIFS('recurring2_based on steps'!$B68:$AY68,'recurring2_based on steps'!$B$1:$AY$1,AA$1)+SUMIFS('changes2_based on steps'!$B68:$U68,'changes2_based on steps'!$B$1:$U$1,AA$1)</f>
        <v>0</v>
      </c>
      <c r="AB68" s="179">
        <f>SUMIFS('recurring2_based on steps'!$B68:$AY68,'recurring2_based on steps'!$B$1:$AY$1,AB$1)+SUMIFS('changes2_based on steps'!$B68:$U68,'changes2_based on steps'!$B$1:$U$1,AB$1)</f>
        <v>0</v>
      </c>
      <c r="AC68" s="179">
        <f>SUMIFS('recurring2_based on steps'!$B68:$AY68,'recurring2_based on steps'!$B$1:$AY$1,AC$1)+SUMIFS('changes2_based on steps'!$B68:$U68,'changes2_based on steps'!$B$1:$U$1,AC$1)</f>
        <v>0</v>
      </c>
      <c r="AD68" s="179">
        <f>SUMIFS('recurring2_based on steps'!$B68:$AY68,'recurring2_based on steps'!$B$1:$AY$1,AD$1)+SUMIFS('changes2_based on steps'!$B68:$U68,'changes2_based on steps'!$B$1:$U$1,AD$1)</f>
        <v>0</v>
      </c>
      <c r="AE68" s="179">
        <f>SUMIFS('recurring2_based on steps'!$B68:$AY68,'recurring2_based on steps'!$B$1:$AY$1,AE$1)+SUMIFS('changes2_based on steps'!$B68:$U68,'changes2_based on steps'!$B$1:$U$1,AE$1)</f>
        <v>0</v>
      </c>
      <c r="AF68" s="179"/>
      <c r="AG68" s="179"/>
      <c r="AH68" s="179"/>
      <c r="AI68" s="179"/>
      <c r="AJ68" s="179"/>
      <c r="AK68" s="179"/>
      <c r="AL68" s="179"/>
      <c r="AM68" s="179"/>
    </row>
    <row r="69" spans="1:39" x14ac:dyDescent="0.2">
      <c r="A69" s="32">
        <f t="shared" ref="A69:A132" ca="1" si="1">A68+1</f>
        <v>45811</v>
      </c>
      <c r="B69" s="179">
        <f>SUMIFS('recurring2_based on steps'!$B69:$AY69,'recurring2_based on steps'!$B$1:$AY$1,B$1)+SUMIFS('changes2_based on steps'!$B69:$U69,'changes2_based on steps'!$B$1:$U$1,B$1)</f>
        <v>0</v>
      </c>
      <c r="C69" s="179">
        <f>SUMIFS('recurring2_based on steps'!$B69:$AY69,'recurring2_based on steps'!$B$1:$AY$1,C$1)+SUMIFS('changes2_based on steps'!$B69:$U69,'changes2_based on steps'!$B$1:$U$1,C$1)</f>
        <v>0</v>
      </c>
      <c r="D69" s="179">
        <f>SUMIFS('recurring2_based on steps'!$B69:$AY69,'recurring2_based on steps'!$B$1:$AY$1,D$1)+SUMIFS('changes2_based on steps'!$B69:$U69,'changes2_based on steps'!$B$1:$U$1,D$1)</f>
        <v>0</v>
      </c>
      <c r="E69" s="179">
        <f>SUMIFS('recurring2_based on steps'!$B69:$AY69,'recurring2_based on steps'!$B$1:$AY$1,E$1)+SUMIFS('changes2_based on steps'!$B69:$U69,'changes2_based on steps'!$B$1:$U$1,E$1)</f>
        <v>0</v>
      </c>
      <c r="F69" s="179">
        <f>SUMIFS('recurring2_based on steps'!$B69:$AY69,'recurring2_based on steps'!$B$1:$AY$1,F$1)+SUMIFS('changes2_based on steps'!$B69:$U69,'changes2_based on steps'!$B$1:$U$1,F$1)</f>
        <v>0</v>
      </c>
      <c r="G69" s="179">
        <f>SUMIFS('recurring2_based on steps'!$B69:$AY69,'recurring2_based on steps'!$B$1:$AY$1,G$1)+SUMIFS('changes2_based on steps'!$B69:$U69,'changes2_based on steps'!$B$1:$U$1,G$1)</f>
        <v>0</v>
      </c>
      <c r="H69" s="179">
        <f>SUMIFS('recurring2_based on steps'!$B69:$AY69,'recurring2_based on steps'!$B$1:$AY$1,H$1)+SUMIFS('changes2_based on steps'!$B69:$U69,'changes2_based on steps'!$B$1:$U$1,H$1)</f>
        <v>0</v>
      </c>
      <c r="I69" s="179">
        <f>SUMIFS('recurring2_based on steps'!$B69:$AY69,'recurring2_based on steps'!$B$1:$AY$1,I$1)+SUMIFS('changes2_based on steps'!$B69:$U69,'changes2_based on steps'!$B$1:$U$1,I$1)</f>
        <v>0</v>
      </c>
      <c r="J69" s="179">
        <f>SUMIFS('recurring2_based on steps'!$B69:$AY69,'recurring2_based on steps'!$B$1:$AY$1,J$1)+SUMIFS('changes2_based on steps'!$B69:$U69,'changes2_based on steps'!$B$1:$U$1,J$1)</f>
        <v>0</v>
      </c>
      <c r="K69" s="179">
        <f>SUMIFS('recurring2_based on steps'!$B69:$AY69,'recurring2_based on steps'!$B$1:$AY$1,K$1)+SUMIFS('changes2_based on steps'!$B69:$U69,'changes2_based on steps'!$B$1:$U$1,K$1)</f>
        <v>0</v>
      </c>
      <c r="L69" s="179">
        <f>SUMIFS('recurring2_based on steps'!$B69:$AY69,'recurring2_based on steps'!$B$1:$AY$1,L$1)+SUMIFS('changes2_based on steps'!$B69:$U69,'changes2_based on steps'!$B$1:$U$1,L$1)</f>
        <v>0</v>
      </c>
      <c r="M69" s="179">
        <f>SUMIFS('recurring2_based on steps'!$B69:$AY69,'recurring2_based on steps'!$B$1:$AY$1,M$1)+SUMIFS('changes2_based on steps'!$B69:$U69,'changes2_based on steps'!$B$1:$U$1,M$1)</f>
        <v>0</v>
      </c>
      <c r="N69" s="179">
        <f>SUMIFS('recurring2_based on steps'!$B69:$AY69,'recurring2_based on steps'!$B$1:$AY$1,N$1)+SUMIFS('changes2_based on steps'!$B69:$U69,'changes2_based on steps'!$B$1:$U$1,N$1)</f>
        <v>0</v>
      </c>
      <c r="O69" s="179">
        <f>SUMIFS('recurring2_based on steps'!$B69:$AY69,'recurring2_based on steps'!$B$1:$AY$1,O$1)+SUMIFS('changes2_based on steps'!$B69:$U69,'changes2_based on steps'!$B$1:$U$1,O$1)</f>
        <v>0</v>
      </c>
      <c r="P69" s="179">
        <f>SUMIFS('recurring2_based on steps'!$B69:$AY69,'recurring2_based on steps'!$B$1:$AY$1,P$1)+SUMIFS('changes2_based on steps'!$B69:$U69,'changes2_based on steps'!$B$1:$U$1,P$1)</f>
        <v>0</v>
      </c>
      <c r="Q69" s="179">
        <f>SUMIFS('recurring2_based on steps'!$B69:$AY69,'recurring2_based on steps'!$B$1:$AY$1,Q$1)+SUMIFS('changes2_based on steps'!$B69:$U69,'changes2_based on steps'!$B$1:$U$1,Q$1)</f>
        <v>0</v>
      </c>
      <c r="R69" s="179">
        <f>SUMIFS('recurring2_based on steps'!$B69:$AY69,'recurring2_based on steps'!$B$1:$AY$1,R$1)+SUMIFS('changes2_based on steps'!$B69:$U69,'changes2_based on steps'!$B$1:$U$1,R$1)</f>
        <v>0</v>
      </c>
      <c r="S69" s="179">
        <f>SUMIFS('recurring2_based on steps'!$B69:$AY69,'recurring2_based on steps'!$B$1:$AY$1,S$1)+SUMIFS('changes2_based on steps'!$B69:$U69,'changes2_based on steps'!$B$1:$U$1,S$1)</f>
        <v>0</v>
      </c>
      <c r="T69" s="179">
        <f>SUMIFS('recurring2_based on steps'!$B69:$AY69,'recurring2_based on steps'!$B$1:$AY$1,T$1)+SUMIFS('changes2_based on steps'!$B69:$U69,'changes2_based on steps'!$B$1:$U$1,T$1)</f>
        <v>0</v>
      </c>
      <c r="U69" s="179">
        <f>SUMIFS('recurring2_based on steps'!$B69:$AY69,'recurring2_based on steps'!$B$1:$AY$1,U$1)+SUMIFS('changes2_based on steps'!$B69:$U69,'changes2_based on steps'!$B$1:$U$1,U$1)</f>
        <v>0</v>
      </c>
      <c r="V69" s="179">
        <f>SUMIFS('recurring2_based on steps'!$B69:$AY69,'recurring2_based on steps'!$B$1:$AY$1,V$1)+SUMIFS('changes2_based on steps'!$B69:$U69,'changes2_based on steps'!$B$1:$U$1,V$1)</f>
        <v>0</v>
      </c>
      <c r="W69" s="179">
        <f>SUMIFS('recurring2_based on steps'!$B69:$AY69,'recurring2_based on steps'!$B$1:$AY$1,W$1)+SUMIFS('changes2_based on steps'!$B69:$U69,'changes2_based on steps'!$B$1:$U$1,W$1)</f>
        <v>0</v>
      </c>
      <c r="X69" s="179">
        <f>SUMIFS('recurring2_based on steps'!$B69:$AY69,'recurring2_based on steps'!$B$1:$AY$1,X$1)+SUMIFS('changes2_based on steps'!$B69:$U69,'changes2_based on steps'!$B$1:$U$1,X$1)</f>
        <v>0</v>
      </c>
      <c r="Y69" s="179">
        <f>SUMIFS('recurring2_based on steps'!$B69:$AY69,'recurring2_based on steps'!$B$1:$AY$1,Y$1)+SUMIFS('changes2_based on steps'!$B69:$U69,'changes2_based on steps'!$B$1:$U$1,Y$1)</f>
        <v>0</v>
      </c>
      <c r="Z69" s="179">
        <f>SUMIFS('recurring2_based on steps'!$B69:$AY69,'recurring2_based on steps'!$B$1:$AY$1,Z$1)+SUMIFS('changes2_based on steps'!$B69:$U69,'changes2_based on steps'!$B$1:$U$1,Z$1)</f>
        <v>0</v>
      </c>
      <c r="AA69" s="179">
        <f>SUMIFS('recurring2_based on steps'!$B69:$AY69,'recurring2_based on steps'!$B$1:$AY$1,AA$1)+SUMIFS('changes2_based on steps'!$B69:$U69,'changes2_based on steps'!$B$1:$U$1,AA$1)</f>
        <v>0</v>
      </c>
      <c r="AB69" s="179">
        <f>SUMIFS('recurring2_based on steps'!$B69:$AY69,'recurring2_based on steps'!$B$1:$AY$1,AB$1)+SUMIFS('changes2_based on steps'!$B69:$U69,'changes2_based on steps'!$B$1:$U$1,AB$1)</f>
        <v>0</v>
      </c>
      <c r="AC69" s="179">
        <f>SUMIFS('recurring2_based on steps'!$B69:$AY69,'recurring2_based on steps'!$B$1:$AY$1,AC$1)+SUMIFS('changes2_based on steps'!$B69:$U69,'changes2_based on steps'!$B$1:$U$1,AC$1)</f>
        <v>0</v>
      </c>
      <c r="AD69" s="179">
        <f>SUMIFS('recurring2_based on steps'!$B69:$AY69,'recurring2_based on steps'!$B$1:$AY$1,AD$1)+SUMIFS('changes2_based on steps'!$B69:$U69,'changes2_based on steps'!$B$1:$U$1,AD$1)</f>
        <v>0</v>
      </c>
      <c r="AE69" s="179">
        <f>SUMIFS('recurring2_based on steps'!$B69:$AY69,'recurring2_based on steps'!$B$1:$AY$1,AE$1)+SUMIFS('changes2_based on steps'!$B69:$U69,'changes2_based on steps'!$B$1:$U$1,AE$1)</f>
        <v>0</v>
      </c>
      <c r="AF69" s="179"/>
      <c r="AG69" s="179"/>
      <c r="AH69" s="179"/>
      <c r="AI69" s="179"/>
      <c r="AJ69" s="179"/>
      <c r="AK69" s="179"/>
      <c r="AL69" s="179"/>
      <c r="AM69" s="179"/>
    </row>
    <row r="70" spans="1:39" x14ac:dyDescent="0.2">
      <c r="A70" s="32">
        <f t="shared" ca="1" si="1"/>
        <v>45812</v>
      </c>
      <c r="B70" s="179">
        <f>SUMIFS('recurring2_based on steps'!$B70:$AY70,'recurring2_based on steps'!$B$1:$AY$1,B$1)+SUMIFS('changes2_based on steps'!$B70:$U70,'changes2_based on steps'!$B$1:$U$1,B$1)</f>
        <v>0</v>
      </c>
      <c r="C70" s="179">
        <f>SUMIFS('recurring2_based on steps'!$B70:$AY70,'recurring2_based on steps'!$B$1:$AY$1,C$1)+SUMIFS('changes2_based on steps'!$B70:$U70,'changes2_based on steps'!$B$1:$U$1,C$1)</f>
        <v>0</v>
      </c>
      <c r="D70" s="179">
        <f>SUMIFS('recurring2_based on steps'!$B70:$AY70,'recurring2_based on steps'!$B$1:$AY$1,D$1)+SUMIFS('changes2_based on steps'!$B70:$U70,'changes2_based on steps'!$B$1:$U$1,D$1)</f>
        <v>0</v>
      </c>
      <c r="E70" s="179">
        <f>SUMIFS('recurring2_based on steps'!$B70:$AY70,'recurring2_based on steps'!$B$1:$AY$1,E$1)+SUMIFS('changes2_based on steps'!$B70:$U70,'changes2_based on steps'!$B$1:$U$1,E$1)</f>
        <v>0</v>
      </c>
      <c r="F70" s="179">
        <f>SUMIFS('recurring2_based on steps'!$B70:$AY70,'recurring2_based on steps'!$B$1:$AY$1,F$1)+SUMIFS('changes2_based on steps'!$B70:$U70,'changes2_based on steps'!$B$1:$U$1,F$1)</f>
        <v>0</v>
      </c>
      <c r="G70" s="179">
        <f>SUMIFS('recurring2_based on steps'!$B70:$AY70,'recurring2_based on steps'!$B$1:$AY$1,G$1)+SUMIFS('changes2_based on steps'!$B70:$U70,'changes2_based on steps'!$B$1:$U$1,G$1)</f>
        <v>0</v>
      </c>
      <c r="H70" s="179">
        <f>SUMIFS('recurring2_based on steps'!$B70:$AY70,'recurring2_based on steps'!$B$1:$AY$1,H$1)+SUMIFS('changes2_based on steps'!$B70:$U70,'changes2_based on steps'!$B$1:$U$1,H$1)</f>
        <v>0</v>
      </c>
      <c r="I70" s="179">
        <f>SUMIFS('recurring2_based on steps'!$B70:$AY70,'recurring2_based on steps'!$B$1:$AY$1,I$1)+SUMIFS('changes2_based on steps'!$B70:$U70,'changes2_based on steps'!$B$1:$U$1,I$1)</f>
        <v>0</v>
      </c>
      <c r="J70" s="179">
        <f>SUMIFS('recurring2_based on steps'!$B70:$AY70,'recurring2_based on steps'!$B$1:$AY$1,J$1)+SUMIFS('changes2_based on steps'!$B70:$U70,'changes2_based on steps'!$B$1:$U$1,J$1)</f>
        <v>0</v>
      </c>
      <c r="K70" s="179">
        <f>SUMIFS('recurring2_based on steps'!$B70:$AY70,'recurring2_based on steps'!$B$1:$AY$1,K$1)+SUMIFS('changes2_based on steps'!$B70:$U70,'changes2_based on steps'!$B$1:$U$1,K$1)</f>
        <v>0</v>
      </c>
      <c r="L70" s="179">
        <f>SUMIFS('recurring2_based on steps'!$B70:$AY70,'recurring2_based on steps'!$B$1:$AY$1,L$1)+SUMIFS('changes2_based on steps'!$B70:$U70,'changes2_based on steps'!$B$1:$U$1,L$1)</f>
        <v>0</v>
      </c>
      <c r="M70" s="179">
        <f>SUMIFS('recurring2_based on steps'!$B70:$AY70,'recurring2_based on steps'!$B$1:$AY$1,M$1)+SUMIFS('changes2_based on steps'!$B70:$U70,'changes2_based on steps'!$B$1:$U$1,M$1)</f>
        <v>0</v>
      </c>
      <c r="N70" s="179">
        <f>SUMIFS('recurring2_based on steps'!$B70:$AY70,'recurring2_based on steps'!$B$1:$AY$1,N$1)+SUMIFS('changes2_based on steps'!$B70:$U70,'changes2_based on steps'!$B$1:$U$1,N$1)</f>
        <v>0</v>
      </c>
      <c r="O70" s="179">
        <f>SUMIFS('recurring2_based on steps'!$B70:$AY70,'recurring2_based on steps'!$B$1:$AY$1,O$1)+SUMIFS('changes2_based on steps'!$B70:$U70,'changes2_based on steps'!$B$1:$U$1,O$1)</f>
        <v>0</v>
      </c>
      <c r="P70" s="179">
        <f>SUMIFS('recurring2_based on steps'!$B70:$AY70,'recurring2_based on steps'!$B$1:$AY$1,P$1)+SUMIFS('changes2_based on steps'!$B70:$U70,'changes2_based on steps'!$B$1:$U$1,P$1)</f>
        <v>0</v>
      </c>
      <c r="Q70" s="179">
        <f>SUMIFS('recurring2_based on steps'!$B70:$AY70,'recurring2_based on steps'!$B$1:$AY$1,Q$1)+SUMIFS('changes2_based on steps'!$B70:$U70,'changes2_based on steps'!$B$1:$U$1,Q$1)</f>
        <v>0</v>
      </c>
      <c r="R70" s="179">
        <f>SUMIFS('recurring2_based on steps'!$B70:$AY70,'recurring2_based on steps'!$B$1:$AY$1,R$1)+SUMIFS('changes2_based on steps'!$B70:$U70,'changes2_based on steps'!$B$1:$U$1,R$1)</f>
        <v>0</v>
      </c>
      <c r="S70" s="179">
        <f>SUMIFS('recurring2_based on steps'!$B70:$AY70,'recurring2_based on steps'!$B$1:$AY$1,S$1)+SUMIFS('changes2_based on steps'!$B70:$U70,'changes2_based on steps'!$B$1:$U$1,S$1)</f>
        <v>0</v>
      </c>
      <c r="T70" s="179">
        <f>SUMIFS('recurring2_based on steps'!$B70:$AY70,'recurring2_based on steps'!$B$1:$AY$1,T$1)+SUMIFS('changes2_based on steps'!$B70:$U70,'changes2_based on steps'!$B$1:$U$1,T$1)</f>
        <v>0</v>
      </c>
      <c r="U70" s="179">
        <f>SUMIFS('recurring2_based on steps'!$B70:$AY70,'recurring2_based on steps'!$B$1:$AY$1,U$1)+SUMIFS('changes2_based on steps'!$B70:$U70,'changes2_based on steps'!$B$1:$U$1,U$1)</f>
        <v>0</v>
      </c>
      <c r="V70" s="179">
        <f>SUMIFS('recurring2_based on steps'!$B70:$AY70,'recurring2_based on steps'!$B$1:$AY$1,V$1)+SUMIFS('changes2_based on steps'!$B70:$U70,'changes2_based on steps'!$B$1:$U$1,V$1)</f>
        <v>0</v>
      </c>
      <c r="W70" s="179">
        <f>SUMIFS('recurring2_based on steps'!$B70:$AY70,'recurring2_based on steps'!$B$1:$AY$1,W$1)+SUMIFS('changes2_based on steps'!$B70:$U70,'changes2_based on steps'!$B$1:$U$1,W$1)</f>
        <v>0</v>
      </c>
      <c r="X70" s="179">
        <f>SUMIFS('recurring2_based on steps'!$B70:$AY70,'recurring2_based on steps'!$B$1:$AY$1,X$1)+SUMIFS('changes2_based on steps'!$B70:$U70,'changes2_based on steps'!$B$1:$U$1,X$1)</f>
        <v>0</v>
      </c>
      <c r="Y70" s="179">
        <f>SUMIFS('recurring2_based on steps'!$B70:$AY70,'recurring2_based on steps'!$B$1:$AY$1,Y$1)+SUMIFS('changes2_based on steps'!$B70:$U70,'changes2_based on steps'!$B$1:$U$1,Y$1)</f>
        <v>0</v>
      </c>
      <c r="Z70" s="179">
        <f>SUMIFS('recurring2_based on steps'!$B70:$AY70,'recurring2_based on steps'!$B$1:$AY$1,Z$1)+SUMIFS('changes2_based on steps'!$B70:$U70,'changes2_based on steps'!$B$1:$U$1,Z$1)</f>
        <v>0</v>
      </c>
      <c r="AA70" s="179">
        <f>SUMIFS('recurring2_based on steps'!$B70:$AY70,'recurring2_based on steps'!$B$1:$AY$1,AA$1)+SUMIFS('changes2_based on steps'!$B70:$U70,'changes2_based on steps'!$B$1:$U$1,AA$1)</f>
        <v>0</v>
      </c>
      <c r="AB70" s="179">
        <f>SUMIFS('recurring2_based on steps'!$B70:$AY70,'recurring2_based on steps'!$B$1:$AY$1,AB$1)+SUMIFS('changes2_based on steps'!$B70:$U70,'changes2_based on steps'!$B$1:$U$1,AB$1)</f>
        <v>0</v>
      </c>
      <c r="AC70" s="179">
        <f>SUMIFS('recurring2_based on steps'!$B70:$AY70,'recurring2_based on steps'!$B$1:$AY$1,AC$1)+SUMIFS('changes2_based on steps'!$B70:$U70,'changes2_based on steps'!$B$1:$U$1,AC$1)</f>
        <v>0</v>
      </c>
      <c r="AD70" s="179">
        <f>SUMIFS('recurring2_based on steps'!$B70:$AY70,'recurring2_based on steps'!$B$1:$AY$1,AD$1)+SUMIFS('changes2_based on steps'!$B70:$U70,'changes2_based on steps'!$B$1:$U$1,AD$1)</f>
        <v>0</v>
      </c>
      <c r="AE70" s="179">
        <f>SUMIFS('recurring2_based on steps'!$B70:$AY70,'recurring2_based on steps'!$B$1:$AY$1,AE$1)+SUMIFS('changes2_based on steps'!$B70:$U70,'changes2_based on steps'!$B$1:$U$1,AE$1)</f>
        <v>0</v>
      </c>
      <c r="AF70" s="179"/>
      <c r="AG70" s="179"/>
      <c r="AH70" s="179"/>
      <c r="AI70" s="179"/>
      <c r="AJ70" s="179"/>
      <c r="AK70" s="179"/>
      <c r="AL70" s="179"/>
      <c r="AM70" s="179"/>
    </row>
    <row r="71" spans="1:39" x14ac:dyDescent="0.2">
      <c r="A71" s="32">
        <f t="shared" ca="1" si="1"/>
        <v>45813</v>
      </c>
      <c r="B71" s="179">
        <f>SUMIFS('recurring2_based on steps'!$B71:$AY71,'recurring2_based on steps'!$B$1:$AY$1,B$1)+SUMIFS('changes2_based on steps'!$B71:$U71,'changes2_based on steps'!$B$1:$U$1,B$1)</f>
        <v>0</v>
      </c>
      <c r="C71" s="179">
        <f>SUMIFS('recurring2_based on steps'!$B71:$AY71,'recurring2_based on steps'!$B$1:$AY$1,C$1)+SUMIFS('changes2_based on steps'!$B71:$U71,'changes2_based on steps'!$B$1:$U$1,C$1)</f>
        <v>0</v>
      </c>
      <c r="D71" s="179">
        <f>SUMIFS('recurring2_based on steps'!$B71:$AY71,'recurring2_based on steps'!$B$1:$AY$1,D$1)+SUMIFS('changes2_based on steps'!$B71:$U71,'changes2_based on steps'!$B$1:$U$1,D$1)</f>
        <v>0</v>
      </c>
      <c r="E71" s="179">
        <f>SUMIFS('recurring2_based on steps'!$B71:$AY71,'recurring2_based on steps'!$B$1:$AY$1,E$1)+SUMIFS('changes2_based on steps'!$B71:$U71,'changes2_based on steps'!$B$1:$U$1,E$1)</f>
        <v>0</v>
      </c>
      <c r="F71" s="179">
        <f>SUMIFS('recurring2_based on steps'!$B71:$AY71,'recurring2_based on steps'!$B$1:$AY$1,F$1)+SUMIFS('changes2_based on steps'!$B71:$U71,'changes2_based on steps'!$B$1:$U$1,F$1)</f>
        <v>0</v>
      </c>
      <c r="G71" s="179">
        <f>SUMIFS('recurring2_based on steps'!$B71:$AY71,'recurring2_based on steps'!$B$1:$AY$1,G$1)+SUMIFS('changes2_based on steps'!$B71:$U71,'changes2_based on steps'!$B$1:$U$1,G$1)</f>
        <v>0</v>
      </c>
      <c r="H71" s="179">
        <f>SUMIFS('recurring2_based on steps'!$B71:$AY71,'recurring2_based on steps'!$B$1:$AY$1,H$1)+SUMIFS('changes2_based on steps'!$B71:$U71,'changes2_based on steps'!$B$1:$U$1,H$1)</f>
        <v>0</v>
      </c>
      <c r="I71" s="179">
        <f>SUMIFS('recurring2_based on steps'!$B71:$AY71,'recurring2_based on steps'!$B$1:$AY$1,I$1)+SUMIFS('changes2_based on steps'!$B71:$U71,'changes2_based on steps'!$B$1:$U$1,I$1)</f>
        <v>0</v>
      </c>
      <c r="J71" s="179">
        <f>SUMIFS('recurring2_based on steps'!$B71:$AY71,'recurring2_based on steps'!$B$1:$AY$1,J$1)+SUMIFS('changes2_based on steps'!$B71:$U71,'changes2_based on steps'!$B$1:$U$1,J$1)</f>
        <v>0</v>
      </c>
      <c r="K71" s="179">
        <f>SUMIFS('recurring2_based on steps'!$B71:$AY71,'recurring2_based on steps'!$B$1:$AY$1,K$1)+SUMIFS('changes2_based on steps'!$B71:$U71,'changes2_based on steps'!$B$1:$U$1,K$1)</f>
        <v>0</v>
      </c>
      <c r="L71" s="179">
        <f>SUMIFS('recurring2_based on steps'!$B71:$AY71,'recurring2_based on steps'!$B$1:$AY$1,L$1)+SUMIFS('changes2_based on steps'!$B71:$U71,'changes2_based on steps'!$B$1:$U$1,L$1)</f>
        <v>0</v>
      </c>
      <c r="M71" s="179">
        <f>SUMIFS('recurring2_based on steps'!$B71:$AY71,'recurring2_based on steps'!$B$1:$AY$1,M$1)+SUMIFS('changes2_based on steps'!$B71:$U71,'changes2_based on steps'!$B$1:$U$1,M$1)</f>
        <v>0</v>
      </c>
      <c r="N71" s="179">
        <f>SUMIFS('recurring2_based on steps'!$B71:$AY71,'recurring2_based on steps'!$B$1:$AY$1,N$1)+SUMIFS('changes2_based on steps'!$B71:$U71,'changes2_based on steps'!$B$1:$U$1,N$1)</f>
        <v>0</v>
      </c>
      <c r="O71" s="179">
        <f>SUMIFS('recurring2_based on steps'!$B71:$AY71,'recurring2_based on steps'!$B$1:$AY$1,O$1)+SUMIFS('changes2_based on steps'!$B71:$U71,'changes2_based on steps'!$B$1:$U$1,O$1)</f>
        <v>0</v>
      </c>
      <c r="P71" s="179">
        <f>SUMIFS('recurring2_based on steps'!$B71:$AY71,'recurring2_based on steps'!$B$1:$AY$1,P$1)+SUMIFS('changes2_based on steps'!$B71:$U71,'changes2_based on steps'!$B$1:$U$1,P$1)</f>
        <v>0</v>
      </c>
      <c r="Q71" s="179">
        <f>SUMIFS('recurring2_based on steps'!$B71:$AY71,'recurring2_based on steps'!$B$1:$AY$1,Q$1)+SUMIFS('changes2_based on steps'!$B71:$U71,'changes2_based on steps'!$B$1:$U$1,Q$1)</f>
        <v>0</v>
      </c>
      <c r="R71" s="179">
        <f>SUMIFS('recurring2_based on steps'!$B71:$AY71,'recurring2_based on steps'!$B$1:$AY$1,R$1)+SUMIFS('changes2_based on steps'!$B71:$U71,'changes2_based on steps'!$B$1:$U$1,R$1)</f>
        <v>0</v>
      </c>
      <c r="S71" s="179">
        <f>SUMIFS('recurring2_based on steps'!$B71:$AY71,'recurring2_based on steps'!$B$1:$AY$1,S$1)+SUMIFS('changes2_based on steps'!$B71:$U71,'changes2_based on steps'!$B$1:$U$1,S$1)</f>
        <v>0</v>
      </c>
      <c r="T71" s="179">
        <f>SUMIFS('recurring2_based on steps'!$B71:$AY71,'recurring2_based on steps'!$B$1:$AY$1,T$1)+SUMIFS('changes2_based on steps'!$B71:$U71,'changes2_based on steps'!$B$1:$U$1,T$1)</f>
        <v>0</v>
      </c>
      <c r="U71" s="179">
        <f>SUMIFS('recurring2_based on steps'!$B71:$AY71,'recurring2_based on steps'!$B$1:$AY$1,U$1)+SUMIFS('changes2_based on steps'!$B71:$U71,'changes2_based on steps'!$B$1:$U$1,U$1)</f>
        <v>0</v>
      </c>
      <c r="V71" s="179">
        <f>SUMIFS('recurring2_based on steps'!$B71:$AY71,'recurring2_based on steps'!$B$1:$AY$1,V$1)+SUMIFS('changes2_based on steps'!$B71:$U71,'changes2_based on steps'!$B$1:$U$1,V$1)</f>
        <v>0</v>
      </c>
      <c r="W71" s="179">
        <f>SUMIFS('recurring2_based on steps'!$B71:$AY71,'recurring2_based on steps'!$B$1:$AY$1,W$1)+SUMIFS('changes2_based on steps'!$B71:$U71,'changes2_based on steps'!$B$1:$U$1,W$1)</f>
        <v>0</v>
      </c>
      <c r="X71" s="179">
        <f>SUMIFS('recurring2_based on steps'!$B71:$AY71,'recurring2_based on steps'!$B$1:$AY$1,X$1)+SUMIFS('changes2_based on steps'!$B71:$U71,'changes2_based on steps'!$B$1:$U$1,X$1)</f>
        <v>0</v>
      </c>
      <c r="Y71" s="179">
        <f>SUMIFS('recurring2_based on steps'!$B71:$AY71,'recurring2_based on steps'!$B$1:$AY$1,Y$1)+SUMIFS('changes2_based on steps'!$B71:$U71,'changes2_based on steps'!$B$1:$U$1,Y$1)</f>
        <v>0</v>
      </c>
      <c r="Z71" s="179">
        <f>SUMIFS('recurring2_based on steps'!$B71:$AY71,'recurring2_based on steps'!$B$1:$AY$1,Z$1)+SUMIFS('changes2_based on steps'!$B71:$U71,'changes2_based on steps'!$B$1:$U$1,Z$1)</f>
        <v>0</v>
      </c>
      <c r="AA71" s="179">
        <f>SUMIFS('recurring2_based on steps'!$B71:$AY71,'recurring2_based on steps'!$B$1:$AY$1,AA$1)+SUMIFS('changes2_based on steps'!$B71:$U71,'changes2_based on steps'!$B$1:$U$1,AA$1)</f>
        <v>0</v>
      </c>
      <c r="AB71" s="179">
        <f>SUMIFS('recurring2_based on steps'!$B71:$AY71,'recurring2_based on steps'!$B$1:$AY$1,AB$1)+SUMIFS('changes2_based on steps'!$B71:$U71,'changes2_based on steps'!$B$1:$U$1,AB$1)</f>
        <v>0</v>
      </c>
      <c r="AC71" s="179">
        <f>SUMIFS('recurring2_based on steps'!$B71:$AY71,'recurring2_based on steps'!$B$1:$AY$1,AC$1)+SUMIFS('changes2_based on steps'!$B71:$U71,'changes2_based on steps'!$B$1:$U$1,AC$1)</f>
        <v>0</v>
      </c>
      <c r="AD71" s="179">
        <f>SUMIFS('recurring2_based on steps'!$B71:$AY71,'recurring2_based on steps'!$B$1:$AY$1,AD$1)+SUMIFS('changes2_based on steps'!$B71:$U71,'changes2_based on steps'!$B$1:$U$1,AD$1)</f>
        <v>0</v>
      </c>
      <c r="AE71" s="179">
        <f>SUMIFS('recurring2_based on steps'!$B71:$AY71,'recurring2_based on steps'!$B$1:$AY$1,AE$1)+SUMIFS('changes2_based on steps'!$B71:$U71,'changes2_based on steps'!$B$1:$U$1,AE$1)</f>
        <v>0</v>
      </c>
      <c r="AF71" s="179"/>
      <c r="AG71" s="179"/>
      <c r="AH71" s="179"/>
      <c r="AI71" s="179"/>
      <c r="AJ71" s="179"/>
      <c r="AK71" s="179"/>
      <c r="AL71" s="179"/>
      <c r="AM71" s="179"/>
    </row>
    <row r="72" spans="1:39" x14ac:dyDescent="0.2">
      <c r="A72" s="32">
        <f t="shared" ca="1" si="1"/>
        <v>45814</v>
      </c>
      <c r="B72" s="179">
        <f>SUMIFS('recurring2_based on steps'!$B72:$AY72,'recurring2_based on steps'!$B$1:$AY$1,B$1)+SUMIFS('changes2_based on steps'!$B72:$U72,'changes2_based on steps'!$B$1:$U$1,B$1)</f>
        <v>0</v>
      </c>
      <c r="C72" s="179">
        <f>SUMIFS('recurring2_based on steps'!$B72:$AY72,'recurring2_based on steps'!$B$1:$AY$1,C$1)+SUMIFS('changes2_based on steps'!$B72:$U72,'changes2_based on steps'!$B$1:$U$1,C$1)</f>
        <v>0</v>
      </c>
      <c r="D72" s="179">
        <f>SUMIFS('recurring2_based on steps'!$B72:$AY72,'recurring2_based on steps'!$B$1:$AY$1,D$1)+SUMIFS('changes2_based on steps'!$B72:$U72,'changes2_based on steps'!$B$1:$U$1,D$1)</f>
        <v>0</v>
      </c>
      <c r="E72" s="179">
        <f>SUMIFS('recurring2_based on steps'!$B72:$AY72,'recurring2_based on steps'!$B$1:$AY$1,E$1)+SUMIFS('changes2_based on steps'!$B72:$U72,'changes2_based on steps'!$B$1:$U$1,E$1)</f>
        <v>0</v>
      </c>
      <c r="F72" s="179">
        <f>SUMIFS('recurring2_based on steps'!$B72:$AY72,'recurring2_based on steps'!$B$1:$AY$1,F$1)+SUMIFS('changes2_based on steps'!$B72:$U72,'changes2_based on steps'!$B$1:$U$1,F$1)</f>
        <v>0</v>
      </c>
      <c r="G72" s="179">
        <f>SUMIFS('recurring2_based on steps'!$B72:$AY72,'recurring2_based on steps'!$B$1:$AY$1,G$1)+SUMIFS('changes2_based on steps'!$B72:$U72,'changes2_based on steps'!$B$1:$U$1,G$1)</f>
        <v>0</v>
      </c>
      <c r="H72" s="179">
        <f>SUMIFS('recurring2_based on steps'!$B72:$AY72,'recurring2_based on steps'!$B$1:$AY$1,H$1)+SUMIFS('changes2_based on steps'!$B72:$U72,'changes2_based on steps'!$B$1:$U$1,H$1)</f>
        <v>0</v>
      </c>
      <c r="I72" s="179">
        <f>SUMIFS('recurring2_based on steps'!$B72:$AY72,'recurring2_based on steps'!$B$1:$AY$1,I$1)+SUMIFS('changes2_based on steps'!$B72:$U72,'changes2_based on steps'!$B$1:$U$1,I$1)</f>
        <v>0</v>
      </c>
      <c r="J72" s="179">
        <f>SUMIFS('recurring2_based on steps'!$B72:$AY72,'recurring2_based on steps'!$B$1:$AY$1,J$1)+SUMIFS('changes2_based on steps'!$B72:$U72,'changes2_based on steps'!$B$1:$U$1,J$1)</f>
        <v>0</v>
      </c>
      <c r="K72" s="179">
        <f>SUMIFS('recurring2_based on steps'!$B72:$AY72,'recurring2_based on steps'!$B$1:$AY$1,K$1)+SUMIFS('changes2_based on steps'!$B72:$U72,'changes2_based on steps'!$B$1:$U$1,K$1)</f>
        <v>0</v>
      </c>
      <c r="L72" s="179">
        <f>SUMIFS('recurring2_based on steps'!$B72:$AY72,'recurring2_based on steps'!$B$1:$AY$1,L$1)+SUMIFS('changes2_based on steps'!$B72:$U72,'changes2_based on steps'!$B$1:$U$1,L$1)</f>
        <v>0</v>
      </c>
      <c r="M72" s="179">
        <f>SUMIFS('recurring2_based on steps'!$B72:$AY72,'recurring2_based on steps'!$B$1:$AY$1,M$1)+SUMIFS('changes2_based on steps'!$B72:$U72,'changes2_based on steps'!$B$1:$U$1,M$1)</f>
        <v>0</v>
      </c>
      <c r="N72" s="179">
        <f>SUMIFS('recurring2_based on steps'!$B72:$AY72,'recurring2_based on steps'!$B$1:$AY$1,N$1)+SUMIFS('changes2_based on steps'!$B72:$U72,'changes2_based on steps'!$B$1:$U$1,N$1)</f>
        <v>0</v>
      </c>
      <c r="O72" s="179">
        <f>SUMIFS('recurring2_based on steps'!$B72:$AY72,'recurring2_based on steps'!$B$1:$AY$1,O$1)+SUMIFS('changes2_based on steps'!$B72:$U72,'changes2_based on steps'!$B$1:$U$1,O$1)</f>
        <v>0</v>
      </c>
      <c r="P72" s="179">
        <f>SUMIFS('recurring2_based on steps'!$B72:$AY72,'recurring2_based on steps'!$B$1:$AY$1,P$1)+SUMIFS('changes2_based on steps'!$B72:$U72,'changes2_based on steps'!$B$1:$U$1,P$1)</f>
        <v>0</v>
      </c>
      <c r="Q72" s="179">
        <f>SUMIFS('recurring2_based on steps'!$B72:$AY72,'recurring2_based on steps'!$B$1:$AY$1,Q$1)+SUMIFS('changes2_based on steps'!$B72:$U72,'changes2_based on steps'!$B$1:$U$1,Q$1)</f>
        <v>0</v>
      </c>
      <c r="R72" s="179">
        <f>SUMIFS('recurring2_based on steps'!$B72:$AY72,'recurring2_based on steps'!$B$1:$AY$1,R$1)+SUMIFS('changes2_based on steps'!$B72:$U72,'changes2_based on steps'!$B$1:$U$1,R$1)</f>
        <v>0</v>
      </c>
      <c r="S72" s="179">
        <f>SUMIFS('recurring2_based on steps'!$B72:$AY72,'recurring2_based on steps'!$B$1:$AY$1,S$1)+SUMIFS('changes2_based on steps'!$B72:$U72,'changes2_based on steps'!$B$1:$U$1,S$1)</f>
        <v>0</v>
      </c>
      <c r="T72" s="179">
        <f>SUMIFS('recurring2_based on steps'!$B72:$AY72,'recurring2_based on steps'!$B$1:$AY$1,T$1)+SUMIFS('changes2_based on steps'!$B72:$U72,'changes2_based on steps'!$B$1:$U$1,T$1)</f>
        <v>0</v>
      </c>
      <c r="U72" s="179">
        <f>SUMIFS('recurring2_based on steps'!$B72:$AY72,'recurring2_based on steps'!$B$1:$AY$1,U$1)+SUMIFS('changes2_based on steps'!$B72:$U72,'changes2_based on steps'!$B$1:$U$1,U$1)</f>
        <v>0</v>
      </c>
      <c r="V72" s="179">
        <f>SUMIFS('recurring2_based on steps'!$B72:$AY72,'recurring2_based on steps'!$B$1:$AY$1,V$1)+SUMIFS('changes2_based on steps'!$B72:$U72,'changes2_based on steps'!$B$1:$U$1,V$1)</f>
        <v>0</v>
      </c>
      <c r="W72" s="179">
        <f>SUMIFS('recurring2_based on steps'!$B72:$AY72,'recurring2_based on steps'!$B$1:$AY$1,W$1)+SUMIFS('changes2_based on steps'!$B72:$U72,'changes2_based on steps'!$B$1:$U$1,W$1)</f>
        <v>0</v>
      </c>
      <c r="X72" s="179">
        <f>SUMIFS('recurring2_based on steps'!$B72:$AY72,'recurring2_based on steps'!$B$1:$AY$1,X$1)+SUMIFS('changes2_based on steps'!$B72:$U72,'changes2_based on steps'!$B$1:$U$1,X$1)</f>
        <v>0</v>
      </c>
      <c r="Y72" s="179">
        <f>SUMIFS('recurring2_based on steps'!$B72:$AY72,'recurring2_based on steps'!$B$1:$AY$1,Y$1)+SUMIFS('changes2_based on steps'!$B72:$U72,'changes2_based on steps'!$B$1:$U$1,Y$1)</f>
        <v>0</v>
      </c>
      <c r="Z72" s="179">
        <f>SUMIFS('recurring2_based on steps'!$B72:$AY72,'recurring2_based on steps'!$B$1:$AY$1,Z$1)+SUMIFS('changes2_based on steps'!$B72:$U72,'changes2_based on steps'!$B$1:$U$1,Z$1)</f>
        <v>0</v>
      </c>
      <c r="AA72" s="179">
        <f>SUMIFS('recurring2_based on steps'!$B72:$AY72,'recurring2_based on steps'!$B$1:$AY$1,AA$1)+SUMIFS('changes2_based on steps'!$B72:$U72,'changes2_based on steps'!$B$1:$U$1,AA$1)</f>
        <v>0</v>
      </c>
      <c r="AB72" s="179">
        <f>SUMIFS('recurring2_based on steps'!$B72:$AY72,'recurring2_based on steps'!$B$1:$AY$1,AB$1)+SUMIFS('changes2_based on steps'!$B72:$U72,'changes2_based on steps'!$B$1:$U$1,AB$1)</f>
        <v>0</v>
      </c>
      <c r="AC72" s="179">
        <f>SUMIFS('recurring2_based on steps'!$B72:$AY72,'recurring2_based on steps'!$B$1:$AY$1,AC$1)+SUMIFS('changes2_based on steps'!$B72:$U72,'changes2_based on steps'!$B$1:$U$1,AC$1)</f>
        <v>0</v>
      </c>
      <c r="AD72" s="179">
        <f>SUMIFS('recurring2_based on steps'!$B72:$AY72,'recurring2_based on steps'!$B$1:$AY$1,AD$1)+SUMIFS('changes2_based on steps'!$B72:$U72,'changes2_based on steps'!$B$1:$U$1,AD$1)</f>
        <v>0</v>
      </c>
      <c r="AE72" s="179">
        <f>SUMIFS('recurring2_based on steps'!$B72:$AY72,'recurring2_based on steps'!$B$1:$AY$1,AE$1)+SUMIFS('changes2_based on steps'!$B72:$U72,'changes2_based on steps'!$B$1:$U$1,AE$1)</f>
        <v>0</v>
      </c>
      <c r="AF72" s="179"/>
      <c r="AG72" s="179"/>
      <c r="AH72" s="179"/>
      <c r="AI72" s="179"/>
      <c r="AJ72" s="179"/>
      <c r="AK72" s="179"/>
      <c r="AL72" s="179"/>
      <c r="AM72" s="179"/>
    </row>
    <row r="73" spans="1:39" x14ac:dyDescent="0.2">
      <c r="A73" s="32">
        <f t="shared" ca="1" si="1"/>
        <v>45815</v>
      </c>
      <c r="B73" s="179">
        <f>SUMIFS('recurring2_based on steps'!$B73:$AY73,'recurring2_based on steps'!$B$1:$AY$1,B$1)+SUMIFS('changes2_based on steps'!$B73:$U73,'changes2_based on steps'!$B$1:$U$1,B$1)</f>
        <v>0</v>
      </c>
      <c r="C73" s="179">
        <f>SUMIFS('recurring2_based on steps'!$B73:$AY73,'recurring2_based on steps'!$B$1:$AY$1,C$1)+SUMIFS('changes2_based on steps'!$B73:$U73,'changes2_based on steps'!$B$1:$U$1,C$1)</f>
        <v>0</v>
      </c>
      <c r="D73" s="179">
        <f>SUMIFS('recurring2_based on steps'!$B73:$AY73,'recurring2_based on steps'!$B$1:$AY$1,D$1)+SUMIFS('changes2_based on steps'!$B73:$U73,'changes2_based on steps'!$B$1:$U$1,D$1)</f>
        <v>0</v>
      </c>
      <c r="E73" s="179">
        <f>SUMIFS('recurring2_based on steps'!$B73:$AY73,'recurring2_based on steps'!$B$1:$AY$1,E$1)+SUMIFS('changes2_based on steps'!$B73:$U73,'changes2_based on steps'!$B$1:$U$1,E$1)</f>
        <v>0</v>
      </c>
      <c r="F73" s="179">
        <f>SUMIFS('recurring2_based on steps'!$B73:$AY73,'recurring2_based on steps'!$B$1:$AY$1,F$1)+SUMIFS('changes2_based on steps'!$B73:$U73,'changes2_based on steps'!$B$1:$U$1,F$1)</f>
        <v>0</v>
      </c>
      <c r="G73" s="179">
        <f>SUMIFS('recurring2_based on steps'!$B73:$AY73,'recurring2_based on steps'!$B$1:$AY$1,G$1)+SUMIFS('changes2_based on steps'!$B73:$U73,'changes2_based on steps'!$B$1:$U$1,G$1)</f>
        <v>0</v>
      </c>
      <c r="H73" s="179">
        <f>SUMIFS('recurring2_based on steps'!$B73:$AY73,'recurring2_based on steps'!$B$1:$AY$1,H$1)+SUMIFS('changes2_based on steps'!$B73:$U73,'changes2_based on steps'!$B$1:$U$1,H$1)</f>
        <v>0</v>
      </c>
      <c r="I73" s="179">
        <f>SUMIFS('recurring2_based on steps'!$B73:$AY73,'recurring2_based on steps'!$B$1:$AY$1,I$1)+SUMIFS('changes2_based on steps'!$B73:$U73,'changes2_based on steps'!$B$1:$U$1,I$1)</f>
        <v>0</v>
      </c>
      <c r="J73" s="179">
        <f>SUMIFS('recurring2_based on steps'!$B73:$AY73,'recurring2_based on steps'!$B$1:$AY$1,J$1)+SUMIFS('changes2_based on steps'!$B73:$U73,'changes2_based on steps'!$B$1:$U$1,J$1)</f>
        <v>0</v>
      </c>
      <c r="K73" s="179">
        <f>SUMIFS('recurring2_based on steps'!$B73:$AY73,'recurring2_based on steps'!$B$1:$AY$1,K$1)+SUMIFS('changes2_based on steps'!$B73:$U73,'changes2_based on steps'!$B$1:$U$1,K$1)</f>
        <v>0</v>
      </c>
      <c r="L73" s="179">
        <f>SUMIFS('recurring2_based on steps'!$B73:$AY73,'recurring2_based on steps'!$B$1:$AY$1,L$1)+SUMIFS('changes2_based on steps'!$B73:$U73,'changes2_based on steps'!$B$1:$U$1,L$1)</f>
        <v>0</v>
      </c>
      <c r="M73" s="179">
        <f>SUMIFS('recurring2_based on steps'!$B73:$AY73,'recurring2_based on steps'!$B$1:$AY$1,M$1)+SUMIFS('changes2_based on steps'!$B73:$U73,'changes2_based on steps'!$B$1:$U$1,M$1)</f>
        <v>0</v>
      </c>
      <c r="N73" s="179">
        <f>SUMIFS('recurring2_based on steps'!$B73:$AY73,'recurring2_based on steps'!$B$1:$AY$1,N$1)+SUMIFS('changes2_based on steps'!$B73:$U73,'changes2_based on steps'!$B$1:$U$1,N$1)</f>
        <v>0</v>
      </c>
      <c r="O73" s="179">
        <f>SUMIFS('recurring2_based on steps'!$B73:$AY73,'recurring2_based on steps'!$B$1:$AY$1,O$1)+SUMIFS('changes2_based on steps'!$B73:$U73,'changes2_based on steps'!$B$1:$U$1,O$1)</f>
        <v>0</v>
      </c>
      <c r="P73" s="179">
        <f>SUMIFS('recurring2_based on steps'!$B73:$AY73,'recurring2_based on steps'!$B$1:$AY$1,P$1)+SUMIFS('changes2_based on steps'!$B73:$U73,'changes2_based on steps'!$B$1:$U$1,P$1)</f>
        <v>0</v>
      </c>
      <c r="Q73" s="179">
        <f>SUMIFS('recurring2_based on steps'!$B73:$AY73,'recurring2_based on steps'!$B$1:$AY$1,Q$1)+SUMIFS('changes2_based on steps'!$B73:$U73,'changes2_based on steps'!$B$1:$U$1,Q$1)</f>
        <v>0</v>
      </c>
      <c r="R73" s="179">
        <f>SUMIFS('recurring2_based on steps'!$B73:$AY73,'recurring2_based on steps'!$B$1:$AY$1,R$1)+SUMIFS('changes2_based on steps'!$B73:$U73,'changes2_based on steps'!$B$1:$U$1,R$1)</f>
        <v>0</v>
      </c>
      <c r="S73" s="179">
        <f>SUMIFS('recurring2_based on steps'!$B73:$AY73,'recurring2_based on steps'!$B$1:$AY$1,S$1)+SUMIFS('changes2_based on steps'!$B73:$U73,'changes2_based on steps'!$B$1:$U$1,S$1)</f>
        <v>0</v>
      </c>
      <c r="T73" s="179">
        <f>SUMIFS('recurring2_based on steps'!$B73:$AY73,'recurring2_based on steps'!$B$1:$AY$1,T$1)+SUMIFS('changes2_based on steps'!$B73:$U73,'changes2_based on steps'!$B$1:$U$1,T$1)</f>
        <v>0</v>
      </c>
      <c r="U73" s="179">
        <f>SUMIFS('recurring2_based on steps'!$B73:$AY73,'recurring2_based on steps'!$B$1:$AY$1,U$1)+SUMIFS('changes2_based on steps'!$B73:$U73,'changes2_based on steps'!$B$1:$U$1,U$1)</f>
        <v>0</v>
      </c>
      <c r="V73" s="179">
        <f>SUMIFS('recurring2_based on steps'!$B73:$AY73,'recurring2_based on steps'!$B$1:$AY$1,V$1)+SUMIFS('changes2_based on steps'!$B73:$U73,'changes2_based on steps'!$B$1:$U$1,V$1)</f>
        <v>0</v>
      </c>
      <c r="W73" s="179">
        <f>SUMIFS('recurring2_based on steps'!$B73:$AY73,'recurring2_based on steps'!$B$1:$AY$1,W$1)+SUMIFS('changes2_based on steps'!$B73:$U73,'changes2_based on steps'!$B$1:$U$1,W$1)</f>
        <v>0</v>
      </c>
      <c r="X73" s="179">
        <f>SUMIFS('recurring2_based on steps'!$B73:$AY73,'recurring2_based on steps'!$B$1:$AY$1,X$1)+SUMIFS('changes2_based on steps'!$B73:$U73,'changes2_based on steps'!$B$1:$U$1,X$1)</f>
        <v>0</v>
      </c>
      <c r="Y73" s="179">
        <f>SUMIFS('recurring2_based on steps'!$B73:$AY73,'recurring2_based on steps'!$B$1:$AY$1,Y$1)+SUMIFS('changes2_based on steps'!$B73:$U73,'changes2_based on steps'!$B$1:$U$1,Y$1)</f>
        <v>0</v>
      </c>
      <c r="Z73" s="179">
        <f>SUMIFS('recurring2_based on steps'!$B73:$AY73,'recurring2_based on steps'!$B$1:$AY$1,Z$1)+SUMIFS('changes2_based on steps'!$B73:$U73,'changes2_based on steps'!$B$1:$U$1,Z$1)</f>
        <v>0</v>
      </c>
      <c r="AA73" s="179">
        <f>SUMIFS('recurring2_based on steps'!$B73:$AY73,'recurring2_based on steps'!$B$1:$AY$1,AA$1)+SUMIFS('changes2_based on steps'!$B73:$U73,'changes2_based on steps'!$B$1:$U$1,AA$1)</f>
        <v>0</v>
      </c>
      <c r="AB73" s="179">
        <f>SUMIFS('recurring2_based on steps'!$B73:$AY73,'recurring2_based on steps'!$B$1:$AY$1,AB$1)+SUMIFS('changes2_based on steps'!$B73:$U73,'changes2_based on steps'!$B$1:$U$1,AB$1)</f>
        <v>0</v>
      </c>
      <c r="AC73" s="179">
        <f>SUMIFS('recurring2_based on steps'!$B73:$AY73,'recurring2_based on steps'!$B$1:$AY$1,AC$1)+SUMIFS('changes2_based on steps'!$B73:$U73,'changes2_based on steps'!$B$1:$U$1,AC$1)</f>
        <v>0</v>
      </c>
      <c r="AD73" s="179">
        <f>SUMIFS('recurring2_based on steps'!$B73:$AY73,'recurring2_based on steps'!$B$1:$AY$1,AD$1)+SUMIFS('changes2_based on steps'!$B73:$U73,'changes2_based on steps'!$B$1:$U$1,AD$1)</f>
        <v>0</v>
      </c>
      <c r="AE73" s="179">
        <f>SUMIFS('recurring2_based on steps'!$B73:$AY73,'recurring2_based on steps'!$B$1:$AY$1,AE$1)+SUMIFS('changes2_based on steps'!$B73:$U73,'changes2_based on steps'!$B$1:$U$1,AE$1)</f>
        <v>0</v>
      </c>
      <c r="AF73" s="179"/>
      <c r="AG73" s="179"/>
      <c r="AH73" s="179"/>
      <c r="AI73" s="179"/>
      <c r="AJ73" s="179"/>
      <c r="AK73" s="179"/>
      <c r="AL73" s="179"/>
      <c r="AM73" s="179"/>
    </row>
    <row r="74" spans="1:39" x14ac:dyDescent="0.2">
      <c r="A74" s="32">
        <f t="shared" ca="1" si="1"/>
        <v>45816</v>
      </c>
      <c r="B74" s="179">
        <f>SUMIFS('recurring2_based on steps'!$B74:$AY74,'recurring2_based on steps'!$B$1:$AY$1,B$1)+SUMIFS('changes2_based on steps'!$B74:$U74,'changes2_based on steps'!$B$1:$U$1,B$1)</f>
        <v>0</v>
      </c>
      <c r="C74" s="179">
        <f>SUMIFS('recurring2_based on steps'!$B74:$AY74,'recurring2_based on steps'!$B$1:$AY$1,C$1)+SUMIFS('changes2_based on steps'!$B74:$U74,'changes2_based on steps'!$B$1:$U$1,C$1)</f>
        <v>0</v>
      </c>
      <c r="D74" s="179">
        <f>SUMIFS('recurring2_based on steps'!$B74:$AY74,'recurring2_based on steps'!$B$1:$AY$1,D$1)+SUMIFS('changes2_based on steps'!$B74:$U74,'changes2_based on steps'!$B$1:$U$1,D$1)</f>
        <v>0</v>
      </c>
      <c r="E74" s="179">
        <f>SUMIFS('recurring2_based on steps'!$B74:$AY74,'recurring2_based on steps'!$B$1:$AY$1,E$1)+SUMIFS('changes2_based on steps'!$B74:$U74,'changes2_based on steps'!$B$1:$U$1,E$1)</f>
        <v>0</v>
      </c>
      <c r="F74" s="179">
        <f>SUMIFS('recurring2_based on steps'!$B74:$AY74,'recurring2_based on steps'!$B$1:$AY$1,F$1)+SUMIFS('changes2_based on steps'!$B74:$U74,'changes2_based on steps'!$B$1:$U$1,F$1)</f>
        <v>0</v>
      </c>
      <c r="G74" s="179">
        <f>SUMIFS('recurring2_based on steps'!$B74:$AY74,'recurring2_based on steps'!$B$1:$AY$1,G$1)+SUMIFS('changes2_based on steps'!$B74:$U74,'changes2_based on steps'!$B$1:$U$1,G$1)</f>
        <v>0</v>
      </c>
      <c r="H74" s="179">
        <f>SUMIFS('recurring2_based on steps'!$B74:$AY74,'recurring2_based on steps'!$B$1:$AY$1,H$1)+SUMIFS('changes2_based on steps'!$B74:$U74,'changes2_based on steps'!$B$1:$U$1,H$1)</f>
        <v>0</v>
      </c>
      <c r="I74" s="179">
        <f>SUMIFS('recurring2_based on steps'!$B74:$AY74,'recurring2_based on steps'!$B$1:$AY$1,I$1)+SUMIFS('changes2_based on steps'!$B74:$U74,'changes2_based on steps'!$B$1:$U$1,I$1)</f>
        <v>0</v>
      </c>
      <c r="J74" s="179">
        <f>SUMIFS('recurring2_based on steps'!$B74:$AY74,'recurring2_based on steps'!$B$1:$AY$1,J$1)+SUMIFS('changes2_based on steps'!$B74:$U74,'changes2_based on steps'!$B$1:$U$1,J$1)</f>
        <v>0</v>
      </c>
      <c r="K74" s="179">
        <f>SUMIFS('recurring2_based on steps'!$B74:$AY74,'recurring2_based on steps'!$B$1:$AY$1,K$1)+SUMIFS('changes2_based on steps'!$B74:$U74,'changes2_based on steps'!$B$1:$U$1,K$1)</f>
        <v>0</v>
      </c>
      <c r="L74" s="179">
        <f>SUMIFS('recurring2_based on steps'!$B74:$AY74,'recurring2_based on steps'!$B$1:$AY$1,L$1)+SUMIFS('changes2_based on steps'!$B74:$U74,'changes2_based on steps'!$B$1:$U$1,L$1)</f>
        <v>0</v>
      </c>
      <c r="M74" s="179">
        <f>SUMIFS('recurring2_based on steps'!$B74:$AY74,'recurring2_based on steps'!$B$1:$AY$1,M$1)+SUMIFS('changes2_based on steps'!$B74:$U74,'changes2_based on steps'!$B$1:$U$1,M$1)</f>
        <v>0</v>
      </c>
      <c r="N74" s="179">
        <f>SUMIFS('recurring2_based on steps'!$B74:$AY74,'recurring2_based on steps'!$B$1:$AY$1,N$1)+SUMIFS('changes2_based on steps'!$B74:$U74,'changes2_based on steps'!$B$1:$U$1,N$1)</f>
        <v>0</v>
      </c>
      <c r="O74" s="179">
        <f>SUMIFS('recurring2_based on steps'!$B74:$AY74,'recurring2_based on steps'!$B$1:$AY$1,O$1)+SUMIFS('changes2_based on steps'!$B74:$U74,'changes2_based on steps'!$B$1:$U$1,O$1)</f>
        <v>0</v>
      </c>
      <c r="P74" s="179">
        <f>SUMIFS('recurring2_based on steps'!$B74:$AY74,'recurring2_based on steps'!$B$1:$AY$1,P$1)+SUMIFS('changes2_based on steps'!$B74:$U74,'changes2_based on steps'!$B$1:$U$1,P$1)</f>
        <v>0</v>
      </c>
      <c r="Q74" s="179">
        <f>SUMIFS('recurring2_based on steps'!$B74:$AY74,'recurring2_based on steps'!$B$1:$AY$1,Q$1)+SUMIFS('changes2_based on steps'!$B74:$U74,'changes2_based on steps'!$B$1:$U$1,Q$1)</f>
        <v>0</v>
      </c>
      <c r="R74" s="179">
        <f>SUMIFS('recurring2_based on steps'!$B74:$AY74,'recurring2_based on steps'!$B$1:$AY$1,R$1)+SUMIFS('changes2_based on steps'!$B74:$U74,'changes2_based on steps'!$B$1:$U$1,R$1)</f>
        <v>0</v>
      </c>
      <c r="S74" s="179">
        <f>SUMIFS('recurring2_based on steps'!$B74:$AY74,'recurring2_based on steps'!$B$1:$AY$1,S$1)+SUMIFS('changes2_based on steps'!$B74:$U74,'changes2_based on steps'!$B$1:$U$1,S$1)</f>
        <v>0</v>
      </c>
      <c r="T74" s="179">
        <f>SUMIFS('recurring2_based on steps'!$B74:$AY74,'recurring2_based on steps'!$B$1:$AY$1,T$1)+SUMIFS('changes2_based on steps'!$B74:$U74,'changes2_based on steps'!$B$1:$U$1,T$1)</f>
        <v>0</v>
      </c>
      <c r="U74" s="179">
        <f>SUMIFS('recurring2_based on steps'!$B74:$AY74,'recurring2_based on steps'!$B$1:$AY$1,U$1)+SUMIFS('changes2_based on steps'!$B74:$U74,'changes2_based on steps'!$B$1:$U$1,U$1)</f>
        <v>0</v>
      </c>
      <c r="V74" s="179">
        <f>SUMIFS('recurring2_based on steps'!$B74:$AY74,'recurring2_based on steps'!$B$1:$AY$1,V$1)+SUMIFS('changes2_based on steps'!$B74:$U74,'changes2_based on steps'!$B$1:$U$1,V$1)</f>
        <v>0</v>
      </c>
      <c r="W74" s="179">
        <f>SUMIFS('recurring2_based on steps'!$B74:$AY74,'recurring2_based on steps'!$B$1:$AY$1,W$1)+SUMIFS('changes2_based on steps'!$B74:$U74,'changes2_based on steps'!$B$1:$U$1,W$1)</f>
        <v>0</v>
      </c>
      <c r="X74" s="179">
        <f>SUMIFS('recurring2_based on steps'!$B74:$AY74,'recurring2_based on steps'!$B$1:$AY$1,X$1)+SUMIFS('changes2_based on steps'!$B74:$U74,'changes2_based on steps'!$B$1:$U$1,X$1)</f>
        <v>0</v>
      </c>
      <c r="Y74" s="179">
        <f>SUMIFS('recurring2_based on steps'!$B74:$AY74,'recurring2_based on steps'!$B$1:$AY$1,Y$1)+SUMIFS('changes2_based on steps'!$B74:$U74,'changes2_based on steps'!$B$1:$U$1,Y$1)</f>
        <v>0</v>
      </c>
      <c r="Z74" s="179">
        <f>SUMIFS('recurring2_based on steps'!$B74:$AY74,'recurring2_based on steps'!$B$1:$AY$1,Z$1)+SUMIFS('changes2_based on steps'!$B74:$U74,'changes2_based on steps'!$B$1:$U$1,Z$1)</f>
        <v>0</v>
      </c>
      <c r="AA74" s="179">
        <f>SUMIFS('recurring2_based on steps'!$B74:$AY74,'recurring2_based on steps'!$B$1:$AY$1,AA$1)+SUMIFS('changes2_based on steps'!$B74:$U74,'changes2_based on steps'!$B$1:$U$1,AA$1)</f>
        <v>0</v>
      </c>
      <c r="AB74" s="179">
        <f>SUMIFS('recurring2_based on steps'!$B74:$AY74,'recurring2_based on steps'!$B$1:$AY$1,AB$1)+SUMIFS('changes2_based on steps'!$B74:$U74,'changes2_based on steps'!$B$1:$U$1,AB$1)</f>
        <v>0</v>
      </c>
      <c r="AC74" s="179">
        <f>SUMIFS('recurring2_based on steps'!$B74:$AY74,'recurring2_based on steps'!$B$1:$AY$1,AC$1)+SUMIFS('changes2_based on steps'!$B74:$U74,'changes2_based on steps'!$B$1:$U$1,AC$1)</f>
        <v>0</v>
      </c>
      <c r="AD74" s="179">
        <f>SUMIFS('recurring2_based on steps'!$B74:$AY74,'recurring2_based on steps'!$B$1:$AY$1,AD$1)+SUMIFS('changes2_based on steps'!$B74:$U74,'changes2_based on steps'!$B$1:$U$1,AD$1)</f>
        <v>0</v>
      </c>
      <c r="AE74" s="179">
        <f>SUMIFS('recurring2_based on steps'!$B74:$AY74,'recurring2_based on steps'!$B$1:$AY$1,AE$1)+SUMIFS('changes2_based on steps'!$B74:$U74,'changes2_based on steps'!$B$1:$U$1,AE$1)</f>
        <v>0</v>
      </c>
      <c r="AF74" s="179"/>
      <c r="AG74" s="179"/>
      <c r="AH74" s="179"/>
      <c r="AI74" s="179"/>
      <c r="AJ74" s="179"/>
      <c r="AK74" s="179"/>
      <c r="AL74" s="179"/>
      <c r="AM74" s="179"/>
    </row>
    <row r="75" spans="1:39" x14ac:dyDescent="0.2">
      <c r="A75" s="32">
        <f t="shared" ca="1" si="1"/>
        <v>45817</v>
      </c>
      <c r="B75" s="179">
        <f>SUMIFS('recurring2_based on steps'!$B75:$AY75,'recurring2_based on steps'!$B$1:$AY$1,B$1)+SUMIFS('changes2_based on steps'!$B75:$U75,'changes2_based on steps'!$B$1:$U$1,B$1)</f>
        <v>0</v>
      </c>
      <c r="C75" s="179">
        <f>SUMIFS('recurring2_based on steps'!$B75:$AY75,'recurring2_based on steps'!$B$1:$AY$1,C$1)+SUMIFS('changes2_based on steps'!$B75:$U75,'changes2_based on steps'!$B$1:$U$1,C$1)</f>
        <v>0</v>
      </c>
      <c r="D75" s="179">
        <f>SUMIFS('recurring2_based on steps'!$B75:$AY75,'recurring2_based on steps'!$B$1:$AY$1,D$1)+SUMIFS('changes2_based on steps'!$B75:$U75,'changes2_based on steps'!$B$1:$U$1,D$1)</f>
        <v>0</v>
      </c>
      <c r="E75" s="179">
        <f>SUMIFS('recurring2_based on steps'!$B75:$AY75,'recurring2_based on steps'!$B$1:$AY$1,E$1)+SUMIFS('changes2_based on steps'!$B75:$U75,'changes2_based on steps'!$B$1:$U$1,E$1)</f>
        <v>0</v>
      </c>
      <c r="F75" s="179">
        <f>SUMIFS('recurring2_based on steps'!$B75:$AY75,'recurring2_based on steps'!$B$1:$AY$1,F$1)+SUMIFS('changes2_based on steps'!$B75:$U75,'changes2_based on steps'!$B$1:$U$1,F$1)</f>
        <v>0</v>
      </c>
      <c r="G75" s="179">
        <f>SUMIFS('recurring2_based on steps'!$B75:$AY75,'recurring2_based on steps'!$B$1:$AY$1,G$1)+SUMIFS('changes2_based on steps'!$B75:$U75,'changes2_based on steps'!$B$1:$U$1,G$1)</f>
        <v>0</v>
      </c>
      <c r="H75" s="179">
        <f>SUMIFS('recurring2_based on steps'!$B75:$AY75,'recurring2_based on steps'!$B$1:$AY$1,H$1)+SUMIFS('changes2_based on steps'!$B75:$U75,'changes2_based on steps'!$B$1:$U$1,H$1)</f>
        <v>0</v>
      </c>
      <c r="I75" s="179">
        <f>SUMIFS('recurring2_based on steps'!$B75:$AY75,'recurring2_based on steps'!$B$1:$AY$1,I$1)+SUMIFS('changes2_based on steps'!$B75:$U75,'changes2_based on steps'!$B$1:$U$1,I$1)</f>
        <v>0</v>
      </c>
      <c r="J75" s="179">
        <f>SUMIFS('recurring2_based on steps'!$B75:$AY75,'recurring2_based on steps'!$B$1:$AY$1,J$1)+SUMIFS('changes2_based on steps'!$B75:$U75,'changes2_based on steps'!$B$1:$U$1,J$1)</f>
        <v>0</v>
      </c>
      <c r="K75" s="179">
        <f>SUMIFS('recurring2_based on steps'!$B75:$AY75,'recurring2_based on steps'!$B$1:$AY$1,K$1)+SUMIFS('changes2_based on steps'!$B75:$U75,'changes2_based on steps'!$B$1:$U$1,K$1)</f>
        <v>0</v>
      </c>
      <c r="L75" s="179">
        <f>SUMIFS('recurring2_based on steps'!$B75:$AY75,'recurring2_based on steps'!$B$1:$AY$1,L$1)+SUMIFS('changes2_based on steps'!$B75:$U75,'changes2_based on steps'!$B$1:$U$1,L$1)</f>
        <v>0</v>
      </c>
      <c r="M75" s="179">
        <f>SUMIFS('recurring2_based on steps'!$B75:$AY75,'recurring2_based on steps'!$B$1:$AY$1,M$1)+SUMIFS('changes2_based on steps'!$B75:$U75,'changes2_based on steps'!$B$1:$U$1,M$1)</f>
        <v>0</v>
      </c>
      <c r="N75" s="179">
        <f>SUMIFS('recurring2_based on steps'!$B75:$AY75,'recurring2_based on steps'!$B$1:$AY$1,N$1)+SUMIFS('changes2_based on steps'!$B75:$U75,'changes2_based on steps'!$B$1:$U$1,N$1)</f>
        <v>0</v>
      </c>
      <c r="O75" s="179">
        <f>SUMIFS('recurring2_based on steps'!$B75:$AY75,'recurring2_based on steps'!$B$1:$AY$1,O$1)+SUMIFS('changes2_based on steps'!$B75:$U75,'changes2_based on steps'!$B$1:$U$1,O$1)</f>
        <v>0</v>
      </c>
      <c r="P75" s="179">
        <f>SUMIFS('recurring2_based on steps'!$B75:$AY75,'recurring2_based on steps'!$B$1:$AY$1,P$1)+SUMIFS('changes2_based on steps'!$B75:$U75,'changes2_based on steps'!$B$1:$U$1,P$1)</f>
        <v>0</v>
      </c>
      <c r="Q75" s="179">
        <f>SUMIFS('recurring2_based on steps'!$B75:$AY75,'recurring2_based on steps'!$B$1:$AY$1,Q$1)+SUMIFS('changes2_based on steps'!$B75:$U75,'changes2_based on steps'!$B$1:$U$1,Q$1)</f>
        <v>0</v>
      </c>
      <c r="R75" s="179">
        <f>SUMIFS('recurring2_based on steps'!$B75:$AY75,'recurring2_based on steps'!$B$1:$AY$1,R$1)+SUMIFS('changes2_based on steps'!$B75:$U75,'changes2_based on steps'!$B$1:$U$1,R$1)</f>
        <v>0</v>
      </c>
      <c r="S75" s="179">
        <f>SUMIFS('recurring2_based on steps'!$B75:$AY75,'recurring2_based on steps'!$B$1:$AY$1,S$1)+SUMIFS('changes2_based on steps'!$B75:$U75,'changes2_based on steps'!$B$1:$U$1,S$1)</f>
        <v>0</v>
      </c>
      <c r="T75" s="179">
        <f>SUMIFS('recurring2_based on steps'!$B75:$AY75,'recurring2_based on steps'!$B$1:$AY$1,T$1)+SUMIFS('changes2_based on steps'!$B75:$U75,'changes2_based on steps'!$B$1:$U$1,T$1)</f>
        <v>0</v>
      </c>
      <c r="U75" s="179">
        <f>SUMIFS('recurring2_based on steps'!$B75:$AY75,'recurring2_based on steps'!$B$1:$AY$1,U$1)+SUMIFS('changes2_based on steps'!$B75:$U75,'changes2_based on steps'!$B$1:$U$1,U$1)</f>
        <v>0</v>
      </c>
      <c r="V75" s="179">
        <f>SUMIFS('recurring2_based on steps'!$B75:$AY75,'recurring2_based on steps'!$B$1:$AY$1,V$1)+SUMIFS('changes2_based on steps'!$B75:$U75,'changes2_based on steps'!$B$1:$U$1,V$1)</f>
        <v>0</v>
      </c>
      <c r="W75" s="179">
        <f>SUMIFS('recurring2_based on steps'!$B75:$AY75,'recurring2_based on steps'!$B$1:$AY$1,W$1)+SUMIFS('changes2_based on steps'!$B75:$U75,'changes2_based on steps'!$B$1:$U$1,W$1)</f>
        <v>0</v>
      </c>
      <c r="X75" s="179">
        <f>SUMIFS('recurring2_based on steps'!$B75:$AY75,'recurring2_based on steps'!$B$1:$AY$1,X$1)+SUMIFS('changes2_based on steps'!$B75:$U75,'changes2_based on steps'!$B$1:$U$1,X$1)</f>
        <v>0</v>
      </c>
      <c r="Y75" s="179">
        <f>SUMIFS('recurring2_based on steps'!$B75:$AY75,'recurring2_based on steps'!$B$1:$AY$1,Y$1)+SUMIFS('changes2_based on steps'!$B75:$U75,'changes2_based on steps'!$B$1:$U$1,Y$1)</f>
        <v>0</v>
      </c>
      <c r="Z75" s="179">
        <f>SUMIFS('recurring2_based on steps'!$B75:$AY75,'recurring2_based on steps'!$B$1:$AY$1,Z$1)+SUMIFS('changes2_based on steps'!$B75:$U75,'changes2_based on steps'!$B$1:$U$1,Z$1)</f>
        <v>0</v>
      </c>
      <c r="AA75" s="179">
        <f>SUMIFS('recurring2_based on steps'!$B75:$AY75,'recurring2_based on steps'!$B$1:$AY$1,AA$1)+SUMIFS('changes2_based on steps'!$B75:$U75,'changes2_based on steps'!$B$1:$U$1,AA$1)</f>
        <v>0</v>
      </c>
      <c r="AB75" s="179">
        <f>SUMIFS('recurring2_based on steps'!$B75:$AY75,'recurring2_based on steps'!$B$1:$AY$1,AB$1)+SUMIFS('changes2_based on steps'!$B75:$U75,'changes2_based on steps'!$B$1:$U$1,AB$1)</f>
        <v>0</v>
      </c>
      <c r="AC75" s="179">
        <f>SUMIFS('recurring2_based on steps'!$B75:$AY75,'recurring2_based on steps'!$B$1:$AY$1,AC$1)+SUMIFS('changes2_based on steps'!$B75:$U75,'changes2_based on steps'!$B$1:$U$1,AC$1)</f>
        <v>0</v>
      </c>
      <c r="AD75" s="179">
        <f>SUMIFS('recurring2_based on steps'!$B75:$AY75,'recurring2_based on steps'!$B$1:$AY$1,AD$1)+SUMIFS('changes2_based on steps'!$B75:$U75,'changes2_based on steps'!$B$1:$U$1,AD$1)</f>
        <v>0</v>
      </c>
      <c r="AE75" s="179">
        <f>SUMIFS('recurring2_based on steps'!$B75:$AY75,'recurring2_based on steps'!$B$1:$AY$1,AE$1)+SUMIFS('changes2_based on steps'!$B75:$U75,'changes2_based on steps'!$B$1:$U$1,AE$1)</f>
        <v>0</v>
      </c>
      <c r="AF75" s="179"/>
      <c r="AG75" s="179"/>
      <c r="AH75" s="179"/>
      <c r="AI75" s="179"/>
      <c r="AJ75" s="179"/>
      <c r="AK75" s="179"/>
      <c r="AL75" s="179"/>
      <c r="AM75" s="179"/>
    </row>
    <row r="76" spans="1:39" x14ac:dyDescent="0.2">
      <c r="A76" s="32">
        <f t="shared" ca="1" si="1"/>
        <v>45818</v>
      </c>
      <c r="B76" s="179">
        <f>SUMIFS('recurring2_based on steps'!$B76:$AY76,'recurring2_based on steps'!$B$1:$AY$1,B$1)+SUMIFS('changes2_based on steps'!$B76:$U76,'changes2_based on steps'!$B$1:$U$1,B$1)</f>
        <v>0</v>
      </c>
      <c r="C76" s="179">
        <f>SUMIFS('recurring2_based on steps'!$B76:$AY76,'recurring2_based on steps'!$B$1:$AY$1,C$1)+SUMIFS('changes2_based on steps'!$B76:$U76,'changes2_based on steps'!$B$1:$U$1,C$1)</f>
        <v>0</v>
      </c>
      <c r="D76" s="179">
        <f>SUMIFS('recurring2_based on steps'!$B76:$AY76,'recurring2_based on steps'!$B$1:$AY$1,D$1)+SUMIFS('changes2_based on steps'!$B76:$U76,'changes2_based on steps'!$B$1:$U$1,D$1)</f>
        <v>0</v>
      </c>
      <c r="E76" s="179">
        <f>SUMIFS('recurring2_based on steps'!$B76:$AY76,'recurring2_based on steps'!$B$1:$AY$1,E$1)+SUMIFS('changes2_based on steps'!$B76:$U76,'changes2_based on steps'!$B$1:$U$1,E$1)</f>
        <v>0</v>
      </c>
      <c r="F76" s="179">
        <f>SUMIFS('recurring2_based on steps'!$B76:$AY76,'recurring2_based on steps'!$B$1:$AY$1,F$1)+SUMIFS('changes2_based on steps'!$B76:$U76,'changes2_based on steps'!$B$1:$U$1,F$1)</f>
        <v>0</v>
      </c>
      <c r="G76" s="179">
        <f>SUMIFS('recurring2_based on steps'!$B76:$AY76,'recurring2_based on steps'!$B$1:$AY$1,G$1)+SUMIFS('changes2_based on steps'!$B76:$U76,'changes2_based on steps'!$B$1:$U$1,G$1)</f>
        <v>0</v>
      </c>
      <c r="H76" s="179">
        <f>SUMIFS('recurring2_based on steps'!$B76:$AY76,'recurring2_based on steps'!$B$1:$AY$1,H$1)+SUMIFS('changes2_based on steps'!$B76:$U76,'changes2_based on steps'!$B$1:$U$1,H$1)</f>
        <v>0</v>
      </c>
      <c r="I76" s="179">
        <f>SUMIFS('recurring2_based on steps'!$B76:$AY76,'recurring2_based on steps'!$B$1:$AY$1,I$1)+SUMIFS('changes2_based on steps'!$B76:$U76,'changes2_based on steps'!$B$1:$U$1,I$1)</f>
        <v>0</v>
      </c>
      <c r="J76" s="179">
        <f>SUMIFS('recurring2_based on steps'!$B76:$AY76,'recurring2_based on steps'!$B$1:$AY$1,J$1)+SUMIFS('changes2_based on steps'!$B76:$U76,'changes2_based on steps'!$B$1:$U$1,J$1)</f>
        <v>0</v>
      </c>
      <c r="K76" s="179">
        <f>SUMIFS('recurring2_based on steps'!$B76:$AY76,'recurring2_based on steps'!$B$1:$AY$1,K$1)+SUMIFS('changes2_based on steps'!$B76:$U76,'changes2_based on steps'!$B$1:$U$1,K$1)</f>
        <v>0</v>
      </c>
      <c r="L76" s="179">
        <f>SUMIFS('recurring2_based on steps'!$B76:$AY76,'recurring2_based on steps'!$B$1:$AY$1,L$1)+SUMIFS('changes2_based on steps'!$B76:$U76,'changes2_based on steps'!$B$1:$U$1,L$1)</f>
        <v>0</v>
      </c>
      <c r="M76" s="179">
        <f>SUMIFS('recurring2_based on steps'!$B76:$AY76,'recurring2_based on steps'!$B$1:$AY$1,M$1)+SUMIFS('changes2_based on steps'!$B76:$U76,'changes2_based on steps'!$B$1:$U$1,M$1)</f>
        <v>0</v>
      </c>
      <c r="N76" s="179">
        <f>SUMIFS('recurring2_based on steps'!$B76:$AY76,'recurring2_based on steps'!$B$1:$AY$1,N$1)+SUMIFS('changes2_based on steps'!$B76:$U76,'changes2_based on steps'!$B$1:$U$1,N$1)</f>
        <v>0</v>
      </c>
      <c r="O76" s="179">
        <f>SUMIFS('recurring2_based on steps'!$B76:$AY76,'recurring2_based on steps'!$B$1:$AY$1,O$1)+SUMIFS('changes2_based on steps'!$B76:$U76,'changes2_based on steps'!$B$1:$U$1,O$1)</f>
        <v>0</v>
      </c>
      <c r="P76" s="179">
        <f>SUMIFS('recurring2_based on steps'!$B76:$AY76,'recurring2_based on steps'!$B$1:$AY$1,P$1)+SUMIFS('changes2_based on steps'!$B76:$U76,'changes2_based on steps'!$B$1:$U$1,P$1)</f>
        <v>0</v>
      </c>
      <c r="Q76" s="179">
        <f>SUMIFS('recurring2_based on steps'!$B76:$AY76,'recurring2_based on steps'!$B$1:$AY$1,Q$1)+SUMIFS('changes2_based on steps'!$B76:$U76,'changes2_based on steps'!$B$1:$U$1,Q$1)</f>
        <v>0</v>
      </c>
      <c r="R76" s="179">
        <f>SUMIFS('recurring2_based on steps'!$B76:$AY76,'recurring2_based on steps'!$B$1:$AY$1,R$1)+SUMIFS('changes2_based on steps'!$B76:$U76,'changes2_based on steps'!$B$1:$U$1,R$1)</f>
        <v>0</v>
      </c>
      <c r="S76" s="179">
        <f>SUMIFS('recurring2_based on steps'!$B76:$AY76,'recurring2_based on steps'!$B$1:$AY$1,S$1)+SUMIFS('changes2_based on steps'!$B76:$U76,'changes2_based on steps'!$B$1:$U$1,S$1)</f>
        <v>0</v>
      </c>
      <c r="T76" s="179">
        <f>SUMIFS('recurring2_based on steps'!$B76:$AY76,'recurring2_based on steps'!$B$1:$AY$1,T$1)+SUMIFS('changes2_based on steps'!$B76:$U76,'changes2_based on steps'!$B$1:$U$1,T$1)</f>
        <v>0</v>
      </c>
      <c r="U76" s="179">
        <f>SUMIFS('recurring2_based on steps'!$B76:$AY76,'recurring2_based on steps'!$B$1:$AY$1,U$1)+SUMIFS('changes2_based on steps'!$B76:$U76,'changes2_based on steps'!$B$1:$U$1,U$1)</f>
        <v>0</v>
      </c>
      <c r="V76" s="179">
        <f>SUMIFS('recurring2_based on steps'!$B76:$AY76,'recurring2_based on steps'!$B$1:$AY$1,V$1)+SUMIFS('changes2_based on steps'!$B76:$U76,'changes2_based on steps'!$B$1:$U$1,V$1)</f>
        <v>0</v>
      </c>
      <c r="W76" s="179">
        <f>SUMIFS('recurring2_based on steps'!$B76:$AY76,'recurring2_based on steps'!$B$1:$AY$1,W$1)+SUMIFS('changes2_based on steps'!$B76:$U76,'changes2_based on steps'!$B$1:$U$1,W$1)</f>
        <v>0</v>
      </c>
      <c r="X76" s="179">
        <f>SUMIFS('recurring2_based on steps'!$B76:$AY76,'recurring2_based on steps'!$B$1:$AY$1,X$1)+SUMIFS('changes2_based on steps'!$B76:$U76,'changes2_based on steps'!$B$1:$U$1,X$1)</f>
        <v>0</v>
      </c>
      <c r="Y76" s="179">
        <f>SUMIFS('recurring2_based on steps'!$B76:$AY76,'recurring2_based on steps'!$B$1:$AY$1,Y$1)+SUMIFS('changes2_based on steps'!$B76:$U76,'changes2_based on steps'!$B$1:$U$1,Y$1)</f>
        <v>0</v>
      </c>
      <c r="Z76" s="179">
        <f>SUMIFS('recurring2_based on steps'!$B76:$AY76,'recurring2_based on steps'!$B$1:$AY$1,Z$1)+SUMIFS('changes2_based on steps'!$B76:$U76,'changes2_based on steps'!$B$1:$U$1,Z$1)</f>
        <v>0</v>
      </c>
      <c r="AA76" s="179">
        <f>SUMIFS('recurring2_based on steps'!$B76:$AY76,'recurring2_based on steps'!$B$1:$AY$1,AA$1)+SUMIFS('changes2_based on steps'!$B76:$U76,'changes2_based on steps'!$B$1:$U$1,AA$1)</f>
        <v>0</v>
      </c>
      <c r="AB76" s="179">
        <f>SUMIFS('recurring2_based on steps'!$B76:$AY76,'recurring2_based on steps'!$B$1:$AY$1,AB$1)+SUMIFS('changes2_based on steps'!$B76:$U76,'changes2_based on steps'!$B$1:$U$1,AB$1)</f>
        <v>0</v>
      </c>
      <c r="AC76" s="179">
        <f>SUMIFS('recurring2_based on steps'!$B76:$AY76,'recurring2_based on steps'!$B$1:$AY$1,AC$1)+SUMIFS('changes2_based on steps'!$B76:$U76,'changes2_based on steps'!$B$1:$U$1,AC$1)</f>
        <v>0</v>
      </c>
      <c r="AD76" s="179">
        <f>SUMIFS('recurring2_based on steps'!$B76:$AY76,'recurring2_based on steps'!$B$1:$AY$1,AD$1)+SUMIFS('changes2_based on steps'!$B76:$U76,'changes2_based on steps'!$B$1:$U$1,AD$1)</f>
        <v>0</v>
      </c>
      <c r="AE76" s="179">
        <f>SUMIFS('recurring2_based on steps'!$B76:$AY76,'recurring2_based on steps'!$B$1:$AY$1,AE$1)+SUMIFS('changes2_based on steps'!$B76:$U76,'changes2_based on steps'!$B$1:$U$1,AE$1)</f>
        <v>0</v>
      </c>
      <c r="AF76" s="179"/>
      <c r="AG76" s="179"/>
      <c r="AH76" s="179"/>
      <c r="AI76" s="179"/>
      <c r="AJ76" s="179"/>
      <c r="AK76" s="179"/>
      <c r="AL76" s="179"/>
      <c r="AM76" s="179"/>
    </row>
    <row r="77" spans="1:39" x14ac:dyDescent="0.2">
      <c r="A77" s="32">
        <f t="shared" ca="1" si="1"/>
        <v>45819</v>
      </c>
      <c r="B77" s="179">
        <f>SUMIFS('recurring2_based on steps'!$B77:$AY77,'recurring2_based on steps'!$B$1:$AY$1,B$1)+SUMIFS('changes2_based on steps'!$B77:$U77,'changes2_based on steps'!$B$1:$U$1,B$1)</f>
        <v>0</v>
      </c>
      <c r="C77" s="179">
        <f>SUMIFS('recurring2_based on steps'!$B77:$AY77,'recurring2_based on steps'!$B$1:$AY$1,C$1)+SUMIFS('changes2_based on steps'!$B77:$U77,'changes2_based on steps'!$B$1:$U$1,C$1)</f>
        <v>0</v>
      </c>
      <c r="D77" s="179">
        <f>SUMIFS('recurring2_based on steps'!$B77:$AY77,'recurring2_based on steps'!$B$1:$AY$1,D$1)+SUMIFS('changes2_based on steps'!$B77:$U77,'changes2_based on steps'!$B$1:$U$1,D$1)</f>
        <v>0</v>
      </c>
      <c r="E77" s="179">
        <f>SUMIFS('recurring2_based on steps'!$B77:$AY77,'recurring2_based on steps'!$B$1:$AY$1,E$1)+SUMIFS('changes2_based on steps'!$B77:$U77,'changes2_based on steps'!$B$1:$U$1,E$1)</f>
        <v>0</v>
      </c>
      <c r="F77" s="179">
        <f>SUMIFS('recurring2_based on steps'!$B77:$AY77,'recurring2_based on steps'!$B$1:$AY$1,F$1)+SUMIFS('changes2_based on steps'!$B77:$U77,'changes2_based on steps'!$B$1:$U$1,F$1)</f>
        <v>0</v>
      </c>
      <c r="G77" s="179">
        <f>SUMIFS('recurring2_based on steps'!$B77:$AY77,'recurring2_based on steps'!$B$1:$AY$1,G$1)+SUMIFS('changes2_based on steps'!$B77:$U77,'changes2_based on steps'!$B$1:$U$1,G$1)</f>
        <v>0</v>
      </c>
      <c r="H77" s="179">
        <f>SUMIFS('recurring2_based on steps'!$B77:$AY77,'recurring2_based on steps'!$B$1:$AY$1,H$1)+SUMIFS('changes2_based on steps'!$B77:$U77,'changes2_based on steps'!$B$1:$U$1,H$1)</f>
        <v>0</v>
      </c>
      <c r="I77" s="179">
        <f>SUMIFS('recurring2_based on steps'!$B77:$AY77,'recurring2_based on steps'!$B$1:$AY$1,I$1)+SUMIFS('changes2_based on steps'!$B77:$U77,'changes2_based on steps'!$B$1:$U$1,I$1)</f>
        <v>0</v>
      </c>
      <c r="J77" s="179">
        <f>SUMIFS('recurring2_based on steps'!$B77:$AY77,'recurring2_based on steps'!$B$1:$AY$1,J$1)+SUMIFS('changes2_based on steps'!$B77:$U77,'changes2_based on steps'!$B$1:$U$1,J$1)</f>
        <v>0</v>
      </c>
      <c r="K77" s="179">
        <f>SUMIFS('recurring2_based on steps'!$B77:$AY77,'recurring2_based on steps'!$B$1:$AY$1,K$1)+SUMIFS('changes2_based on steps'!$B77:$U77,'changes2_based on steps'!$B$1:$U$1,K$1)</f>
        <v>0</v>
      </c>
      <c r="L77" s="179">
        <f>SUMIFS('recurring2_based on steps'!$B77:$AY77,'recurring2_based on steps'!$B$1:$AY$1,L$1)+SUMIFS('changes2_based on steps'!$B77:$U77,'changes2_based on steps'!$B$1:$U$1,L$1)</f>
        <v>0</v>
      </c>
      <c r="M77" s="179">
        <f>SUMIFS('recurring2_based on steps'!$B77:$AY77,'recurring2_based on steps'!$B$1:$AY$1,M$1)+SUMIFS('changes2_based on steps'!$B77:$U77,'changes2_based on steps'!$B$1:$U$1,M$1)</f>
        <v>0</v>
      </c>
      <c r="N77" s="179">
        <f>SUMIFS('recurring2_based on steps'!$B77:$AY77,'recurring2_based on steps'!$B$1:$AY$1,N$1)+SUMIFS('changes2_based on steps'!$B77:$U77,'changes2_based on steps'!$B$1:$U$1,N$1)</f>
        <v>0</v>
      </c>
      <c r="O77" s="179">
        <f>SUMIFS('recurring2_based on steps'!$B77:$AY77,'recurring2_based on steps'!$B$1:$AY$1,O$1)+SUMIFS('changes2_based on steps'!$B77:$U77,'changes2_based on steps'!$B$1:$U$1,O$1)</f>
        <v>0</v>
      </c>
      <c r="P77" s="179">
        <f>SUMIFS('recurring2_based on steps'!$B77:$AY77,'recurring2_based on steps'!$B$1:$AY$1,P$1)+SUMIFS('changes2_based on steps'!$B77:$U77,'changes2_based on steps'!$B$1:$U$1,P$1)</f>
        <v>0</v>
      </c>
      <c r="Q77" s="179">
        <f>SUMIFS('recurring2_based on steps'!$B77:$AY77,'recurring2_based on steps'!$B$1:$AY$1,Q$1)+SUMIFS('changes2_based on steps'!$B77:$U77,'changes2_based on steps'!$B$1:$U$1,Q$1)</f>
        <v>0</v>
      </c>
      <c r="R77" s="179">
        <f>SUMIFS('recurring2_based on steps'!$B77:$AY77,'recurring2_based on steps'!$B$1:$AY$1,R$1)+SUMIFS('changes2_based on steps'!$B77:$U77,'changes2_based on steps'!$B$1:$U$1,R$1)</f>
        <v>0</v>
      </c>
      <c r="S77" s="179">
        <f>SUMIFS('recurring2_based on steps'!$B77:$AY77,'recurring2_based on steps'!$B$1:$AY$1,S$1)+SUMIFS('changes2_based on steps'!$B77:$U77,'changes2_based on steps'!$B$1:$U$1,S$1)</f>
        <v>0</v>
      </c>
      <c r="T77" s="179">
        <f>SUMIFS('recurring2_based on steps'!$B77:$AY77,'recurring2_based on steps'!$B$1:$AY$1,T$1)+SUMIFS('changes2_based on steps'!$B77:$U77,'changes2_based on steps'!$B$1:$U$1,T$1)</f>
        <v>0</v>
      </c>
      <c r="U77" s="179">
        <f>SUMIFS('recurring2_based on steps'!$B77:$AY77,'recurring2_based on steps'!$B$1:$AY$1,U$1)+SUMIFS('changes2_based on steps'!$B77:$U77,'changes2_based on steps'!$B$1:$U$1,U$1)</f>
        <v>0</v>
      </c>
      <c r="V77" s="179">
        <f>SUMIFS('recurring2_based on steps'!$B77:$AY77,'recurring2_based on steps'!$B$1:$AY$1,V$1)+SUMIFS('changes2_based on steps'!$B77:$U77,'changes2_based on steps'!$B$1:$U$1,V$1)</f>
        <v>0</v>
      </c>
      <c r="W77" s="179">
        <f>SUMIFS('recurring2_based on steps'!$B77:$AY77,'recurring2_based on steps'!$B$1:$AY$1,W$1)+SUMIFS('changes2_based on steps'!$B77:$U77,'changes2_based on steps'!$B$1:$U$1,W$1)</f>
        <v>0</v>
      </c>
      <c r="X77" s="179">
        <f>SUMIFS('recurring2_based on steps'!$B77:$AY77,'recurring2_based on steps'!$B$1:$AY$1,X$1)+SUMIFS('changes2_based on steps'!$B77:$U77,'changes2_based on steps'!$B$1:$U$1,X$1)</f>
        <v>0</v>
      </c>
      <c r="Y77" s="179">
        <f>SUMIFS('recurring2_based on steps'!$B77:$AY77,'recurring2_based on steps'!$B$1:$AY$1,Y$1)+SUMIFS('changes2_based on steps'!$B77:$U77,'changes2_based on steps'!$B$1:$U$1,Y$1)</f>
        <v>0</v>
      </c>
      <c r="Z77" s="179">
        <f>SUMIFS('recurring2_based on steps'!$B77:$AY77,'recurring2_based on steps'!$B$1:$AY$1,Z$1)+SUMIFS('changes2_based on steps'!$B77:$U77,'changes2_based on steps'!$B$1:$U$1,Z$1)</f>
        <v>0</v>
      </c>
      <c r="AA77" s="179">
        <f>SUMIFS('recurring2_based on steps'!$B77:$AY77,'recurring2_based on steps'!$B$1:$AY$1,AA$1)+SUMIFS('changes2_based on steps'!$B77:$U77,'changes2_based on steps'!$B$1:$U$1,AA$1)</f>
        <v>0</v>
      </c>
      <c r="AB77" s="179">
        <f>SUMIFS('recurring2_based on steps'!$B77:$AY77,'recurring2_based on steps'!$B$1:$AY$1,AB$1)+SUMIFS('changes2_based on steps'!$B77:$U77,'changes2_based on steps'!$B$1:$U$1,AB$1)</f>
        <v>0</v>
      </c>
      <c r="AC77" s="179">
        <f>SUMIFS('recurring2_based on steps'!$B77:$AY77,'recurring2_based on steps'!$B$1:$AY$1,AC$1)+SUMIFS('changes2_based on steps'!$B77:$U77,'changes2_based on steps'!$B$1:$U$1,AC$1)</f>
        <v>0</v>
      </c>
      <c r="AD77" s="179">
        <f>SUMIFS('recurring2_based on steps'!$B77:$AY77,'recurring2_based on steps'!$B$1:$AY$1,AD$1)+SUMIFS('changes2_based on steps'!$B77:$U77,'changes2_based on steps'!$B$1:$U$1,AD$1)</f>
        <v>0</v>
      </c>
      <c r="AE77" s="179">
        <f>SUMIFS('recurring2_based on steps'!$B77:$AY77,'recurring2_based on steps'!$B$1:$AY$1,AE$1)+SUMIFS('changes2_based on steps'!$B77:$U77,'changes2_based on steps'!$B$1:$U$1,AE$1)</f>
        <v>0</v>
      </c>
      <c r="AF77" s="179"/>
      <c r="AG77" s="179"/>
      <c r="AH77" s="179"/>
      <c r="AI77" s="179"/>
      <c r="AJ77" s="179"/>
      <c r="AK77" s="179"/>
      <c r="AL77" s="179"/>
      <c r="AM77" s="179"/>
    </row>
    <row r="78" spans="1:39" x14ac:dyDescent="0.2">
      <c r="A78" s="32">
        <f t="shared" ca="1" si="1"/>
        <v>45820</v>
      </c>
      <c r="B78" s="179">
        <f>SUMIFS('recurring2_based on steps'!$B78:$AY78,'recurring2_based on steps'!$B$1:$AY$1,B$1)+SUMIFS('changes2_based on steps'!$B78:$U78,'changes2_based on steps'!$B$1:$U$1,B$1)</f>
        <v>0</v>
      </c>
      <c r="C78" s="179">
        <f>SUMIFS('recurring2_based on steps'!$B78:$AY78,'recurring2_based on steps'!$B$1:$AY$1,C$1)+SUMIFS('changes2_based on steps'!$B78:$U78,'changes2_based on steps'!$B$1:$U$1,C$1)</f>
        <v>0</v>
      </c>
      <c r="D78" s="179">
        <f>SUMIFS('recurring2_based on steps'!$B78:$AY78,'recurring2_based on steps'!$B$1:$AY$1,D$1)+SUMIFS('changes2_based on steps'!$B78:$U78,'changes2_based on steps'!$B$1:$U$1,D$1)</f>
        <v>0</v>
      </c>
      <c r="E78" s="179">
        <f>SUMIFS('recurring2_based on steps'!$B78:$AY78,'recurring2_based on steps'!$B$1:$AY$1,E$1)+SUMIFS('changes2_based on steps'!$B78:$U78,'changes2_based on steps'!$B$1:$U$1,E$1)</f>
        <v>0</v>
      </c>
      <c r="F78" s="179">
        <f>SUMIFS('recurring2_based on steps'!$B78:$AY78,'recurring2_based on steps'!$B$1:$AY$1,F$1)+SUMIFS('changes2_based on steps'!$B78:$U78,'changes2_based on steps'!$B$1:$U$1,F$1)</f>
        <v>0</v>
      </c>
      <c r="G78" s="179">
        <f>SUMIFS('recurring2_based on steps'!$B78:$AY78,'recurring2_based on steps'!$B$1:$AY$1,G$1)+SUMIFS('changes2_based on steps'!$B78:$U78,'changes2_based on steps'!$B$1:$U$1,G$1)</f>
        <v>0</v>
      </c>
      <c r="H78" s="179">
        <f>SUMIFS('recurring2_based on steps'!$B78:$AY78,'recurring2_based on steps'!$B$1:$AY$1,H$1)+SUMIFS('changes2_based on steps'!$B78:$U78,'changes2_based on steps'!$B$1:$U$1,H$1)</f>
        <v>0</v>
      </c>
      <c r="I78" s="179">
        <f>SUMIFS('recurring2_based on steps'!$B78:$AY78,'recurring2_based on steps'!$B$1:$AY$1,I$1)+SUMIFS('changes2_based on steps'!$B78:$U78,'changes2_based on steps'!$B$1:$U$1,I$1)</f>
        <v>0</v>
      </c>
      <c r="J78" s="179">
        <f>SUMIFS('recurring2_based on steps'!$B78:$AY78,'recurring2_based on steps'!$B$1:$AY$1,J$1)+SUMIFS('changes2_based on steps'!$B78:$U78,'changes2_based on steps'!$B$1:$U$1,J$1)</f>
        <v>0</v>
      </c>
      <c r="K78" s="179">
        <f>SUMIFS('recurring2_based on steps'!$B78:$AY78,'recurring2_based on steps'!$B$1:$AY$1,K$1)+SUMIFS('changes2_based on steps'!$B78:$U78,'changes2_based on steps'!$B$1:$U$1,K$1)</f>
        <v>0</v>
      </c>
      <c r="L78" s="179">
        <f>SUMIFS('recurring2_based on steps'!$B78:$AY78,'recurring2_based on steps'!$B$1:$AY$1,L$1)+SUMIFS('changes2_based on steps'!$B78:$U78,'changes2_based on steps'!$B$1:$U$1,L$1)</f>
        <v>0</v>
      </c>
      <c r="M78" s="179">
        <f>SUMIFS('recurring2_based on steps'!$B78:$AY78,'recurring2_based on steps'!$B$1:$AY$1,M$1)+SUMIFS('changes2_based on steps'!$B78:$U78,'changes2_based on steps'!$B$1:$U$1,M$1)</f>
        <v>0</v>
      </c>
      <c r="N78" s="179">
        <f>SUMIFS('recurring2_based on steps'!$B78:$AY78,'recurring2_based on steps'!$B$1:$AY$1,N$1)+SUMIFS('changes2_based on steps'!$B78:$U78,'changes2_based on steps'!$B$1:$U$1,N$1)</f>
        <v>0</v>
      </c>
      <c r="O78" s="179">
        <f>SUMIFS('recurring2_based on steps'!$B78:$AY78,'recurring2_based on steps'!$B$1:$AY$1,O$1)+SUMIFS('changes2_based on steps'!$B78:$U78,'changes2_based on steps'!$B$1:$U$1,O$1)</f>
        <v>0</v>
      </c>
      <c r="P78" s="179">
        <f>SUMIFS('recurring2_based on steps'!$B78:$AY78,'recurring2_based on steps'!$B$1:$AY$1,P$1)+SUMIFS('changes2_based on steps'!$B78:$U78,'changes2_based on steps'!$B$1:$U$1,P$1)</f>
        <v>0</v>
      </c>
      <c r="Q78" s="179">
        <f>SUMIFS('recurring2_based on steps'!$B78:$AY78,'recurring2_based on steps'!$B$1:$AY$1,Q$1)+SUMIFS('changes2_based on steps'!$B78:$U78,'changes2_based on steps'!$B$1:$U$1,Q$1)</f>
        <v>0</v>
      </c>
      <c r="R78" s="179">
        <f>SUMIFS('recurring2_based on steps'!$B78:$AY78,'recurring2_based on steps'!$B$1:$AY$1,R$1)+SUMIFS('changes2_based on steps'!$B78:$U78,'changes2_based on steps'!$B$1:$U$1,R$1)</f>
        <v>0</v>
      </c>
      <c r="S78" s="179">
        <f>SUMIFS('recurring2_based on steps'!$B78:$AY78,'recurring2_based on steps'!$B$1:$AY$1,S$1)+SUMIFS('changes2_based on steps'!$B78:$U78,'changes2_based on steps'!$B$1:$U$1,S$1)</f>
        <v>0</v>
      </c>
      <c r="T78" s="179">
        <f>SUMIFS('recurring2_based on steps'!$B78:$AY78,'recurring2_based on steps'!$B$1:$AY$1,T$1)+SUMIFS('changes2_based on steps'!$B78:$U78,'changes2_based on steps'!$B$1:$U$1,T$1)</f>
        <v>0</v>
      </c>
      <c r="U78" s="179">
        <f>SUMIFS('recurring2_based on steps'!$B78:$AY78,'recurring2_based on steps'!$B$1:$AY$1,U$1)+SUMIFS('changes2_based on steps'!$B78:$U78,'changes2_based on steps'!$B$1:$U$1,U$1)</f>
        <v>0</v>
      </c>
      <c r="V78" s="179">
        <f>SUMIFS('recurring2_based on steps'!$B78:$AY78,'recurring2_based on steps'!$B$1:$AY$1,V$1)+SUMIFS('changes2_based on steps'!$B78:$U78,'changes2_based on steps'!$B$1:$U$1,V$1)</f>
        <v>0</v>
      </c>
      <c r="W78" s="179">
        <f>SUMIFS('recurring2_based on steps'!$B78:$AY78,'recurring2_based on steps'!$B$1:$AY$1,W$1)+SUMIFS('changes2_based on steps'!$B78:$U78,'changes2_based on steps'!$B$1:$U$1,W$1)</f>
        <v>0</v>
      </c>
      <c r="X78" s="179">
        <f>SUMIFS('recurring2_based on steps'!$B78:$AY78,'recurring2_based on steps'!$B$1:$AY$1,X$1)+SUMIFS('changes2_based on steps'!$B78:$U78,'changes2_based on steps'!$B$1:$U$1,X$1)</f>
        <v>0</v>
      </c>
      <c r="Y78" s="179">
        <f>SUMIFS('recurring2_based on steps'!$B78:$AY78,'recurring2_based on steps'!$B$1:$AY$1,Y$1)+SUMIFS('changes2_based on steps'!$B78:$U78,'changes2_based on steps'!$B$1:$U$1,Y$1)</f>
        <v>0</v>
      </c>
      <c r="Z78" s="179">
        <f>SUMIFS('recurring2_based on steps'!$B78:$AY78,'recurring2_based on steps'!$B$1:$AY$1,Z$1)+SUMIFS('changes2_based on steps'!$B78:$U78,'changes2_based on steps'!$B$1:$U$1,Z$1)</f>
        <v>0</v>
      </c>
      <c r="AA78" s="179">
        <f>SUMIFS('recurring2_based on steps'!$B78:$AY78,'recurring2_based on steps'!$B$1:$AY$1,AA$1)+SUMIFS('changes2_based on steps'!$B78:$U78,'changes2_based on steps'!$B$1:$U$1,AA$1)</f>
        <v>0</v>
      </c>
      <c r="AB78" s="179">
        <f>SUMIFS('recurring2_based on steps'!$B78:$AY78,'recurring2_based on steps'!$B$1:$AY$1,AB$1)+SUMIFS('changes2_based on steps'!$B78:$U78,'changes2_based on steps'!$B$1:$U$1,AB$1)</f>
        <v>0</v>
      </c>
      <c r="AC78" s="179">
        <f>SUMIFS('recurring2_based on steps'!$B78:$AY78,'recurring2_based on steps'!$B$1:$AY$1,AC$1)+SUMIFS('changes2_based on steps'!$B78:$U78,'changes2_based on steps'!$B$1:$U$1,AC$1)</f>
        <v>0</v>
      </c>
      <c r="AD78" s="179">
        <f>SUMIFS('recurring2_based on steps'!$B78:$AY78,'recurring2_based on steps'!$B$1:$AY$1,AD$1)+SUMIFS('changes2_based on steps'!$B78:$U78,'changes2_based on steps'!$B$1:$U$1,AD$1)</f>
        <v>0</v>
      </c>
      <c r="AE78" s="179">
        <f>SUMIFS('recurring2_based on steps'!$B78:$AY78,'recurring2_based on steps'!$B$1:$AY$1,AE$1)+SUMIFS('changes2_based on steps'!$B78:$U78,'changes2_based on steps'!$B$1:$U$1,AE$1)</f>
        <v>0</v>
      </c>
      <c r="AF78" s="179"/>
      <c r="AG78" s="179"/>
      <c r="AH78" s="179"/>
      <c r="AI78" s="179"/>
      <c r="AJ78" s="179"/>
      <c r="AK78" s="179"/>
      <c r="AL78" s="179"/>
      <c r="AM78" s="179"/>
    </row>
    <row r="79" spans="1:39" x14ac:dyDescent="0.2">
      <c r="A79" s="32">
        <f t="shared" ca="1" si="1"/>
        <v>45821</v>
      </c>
      <c r="B79" s="179">
        <f>SUMIFS('recurring2_based on steps'!$B79:$AY79,'recurring2_based on steps'!$B$1:$AY$1,B$1)+SUMIFS('changes2_based on steps'!$B79:$U79,'changes2_based on steps'!$B$1:$U$1,B$1)</f>
        <v>0</v>
      </c>
      <c r="C79" s="179">
        <f>SUMIFS('recurring2_based on steps'!$B79:$AY79,'recurring2_based on steps'!$B$1:$AY$1,C$1)+SUMIFS('changes2_based on steps'!$B79:$U79,'changes2_based on steps'!$B$1:$U$1,C$1)</f>
        <v>0</v>
      </c>
      <c r="D79" s="179">
        <f>SUMIFS('recurring2_based on steps'!$B79:$AY79,'recurring2_based on steps'!$B$1:$AY$1,D$1)+SUMIFS('changes2_based on steps'!$B79:$U79,'changes2_based on steps'!$B$1:$U$1,D$1)</f>
        <v>0</v>
      </c>
      <c r="E79" s="179">
        <f>SUMIFS('recurring2_based on steps'!$B79:$AY79,'recurring2_based on steps'!$B$1:$AY$1,E$1)+SUMIFS('changes2_based on steps'!$B79:$U79,'changes2_based on steps'!$B$1:$U$1,E$1)</f>
        <v>0</v>
      </c>
      <c r="F79" s="179">
        <f>SUMIFS('recurring2_based on steps'!$B79:$AY79,'recurring2_based on steps'!$B$1:$AY$1,F$1)+SUMIFS('changes2_based on steps'!$B79:$U79,'changes2_based on steps'!$B$1:$U$1,F$1)</f>
        <v>0</v>
      </c>
      <c r="G79" s="179">
        <f>SUMIFS('recurring2_based on steps'!$B79:$AY79,'recurring2_based on steps'!$B$1:$AY$1,G$1)+SUMIFS('changes2_based on steps'!$B79:$U79,'changes2_based on steps'!$B$1:$U$1,G$1)</f>
        <v>0</v>
      </c>
      <c r="H79" s="179">
        <f>SUMIFS('recurring2_based on steps'!$B79:$AY79,'recurring2_based on steps'!$B$1:$AY$1,H$1)+SUMIFS('changes2_based on steps'!$B79:$U79,'changes2_based on steps'!$B$1:$U$1,H$1)</f>
        <v>0</v>
      </c>
      <c r="I79" s="179">
        <f>SUMIFS('recurring2_based on steps'!$B79:$AY79,'recurring2_based on steps'!$B$1:$AY$1,I$1)+SUMIFS('changes2_based on steps'!$B79:$U79,'changes2_based on steps'!$B$1:$U$1,I$1)</f>
        <v>0</v>
      </c>
      <c r="J79" s="179">
        <f>SUMIFS('recurring2_based on steps'!$B79:$AY79,'recurring2_based on steps'!$B$1:$AY$1,J$1)+SUMIFS('changes2_based on steps'!$B79:$U79,'changes2_based on steps'!$B$1:$U$1,J$1)</f>
        <v>0</v>
      </c>
      <c r="K79" s="179">
        <f>SUMIFS('recurring2_based on steps'!$B79:$AY79,'recurring2_based on steps'!$B$1:$AY$1,K$1)+SUMIFS('changes2_based on steps'!$B79:$U79,'changes2_based on steps'!$B$1:$U$1,K$1)</f>
        <v>0</v>
      </c>
      <c r="L79" s="179">
        <f>SUMIFS('recurring2_based on steps'!$B79:$AY79,'recurring2_based on steps'!$B$1:$AY$1,L$1)+SUMIFS('changes2_based on steps'!$B79:$U79,'changes2_based on steps'!$B$1:$U$1,L$1)</f>
        <v>0</v>
      </c>
      <c r="M79" s="179">
        <f>SUMIFS('recurring2_based on steps'!$B79:$AY79,'recurring2_based on steps'!$B$1:$AY$1,M$1)+SUMIFS('changes2_based on steps'!$B79:$U79,'changes2_based on steps'!$B$1:$U$1,M$1)</f>
        <v>0</v>
      </c>
      <c r="N79" s="179">
        <f>SUMIFS('recurring2_based on steps'!$B79:$AY79,'recurring2_based on steps'!$B$1:$AY$1,N$1)+SUMIFS('changes2_based on steps'!$B79:$U79,'changes2_based on steps'!$B$1:$U$1,N$1)</f>
        <v>0</v>
      </c>
      <c r="O79" s="179">
        <f>SUMIFS('recurring2_based on steps'!$B79:$AY79,'recurring2_based on steps'!$B$1:$AY$1,O$1)+SUMIFS('changes2_based on steps'!$B79:$U79,'changes2_based on steps'!$B$1:$U$1,O$1)</f>
        <v>0</v>
      </c>
      <c r="P79" s="179">
        <f>SUMIFS('recurring2_based on steps'!$B79:$AY79,'recurring2_based on steps'!$B$1:$AY$1,P$1)+SUMIFS('changes2_based on steps'!$B79:$U79,'changes2_based on steps'!$B$1:$U$1,P$1)</f>
        <v>0</v>
      </c>
      <c r="Q79" s="179">
        <f>SUMIFS('recurring2_based on steps'!$B79:$AY79,'recurring2_based on steps'!$B$1:$AY$1,Q$1)+SUMIFS('changes2_based on steps'!$B79:$U79,'changes2_based on steps'!$B$1:$U$1,Q$1)</f>
        <v>0</v>
      </c>
      <c r="R79" s="179">
        <f>SUMIFS('recurring2_based on steps'!$B79:$AY79,'recurring2_based on steps'!$B$1:$AY$1,R$1)+SUMIFS('changes2_based on steps'!$B79:$U79,'changes2_based on steps'!$B$1:$U$1,R$1)</f>
        <v>0</v>
      </c>
      <c r="S79" s="179">
        <f>SUMIFS('recurring2_based on steps'!$B79:$AY79,'recurring2_based on steps'!$B$1:$AY$1,S$1)+SUMIFS('changes2_based on steps'!$B79:$U79,'changes2_based on steps'!$B$1:$U$1,S$1)</f>
        <v>0</v>
      </c>
      <c r="T79" s="179">
        <f>SUMIFS('recurring2_based on steps'!$B79:$AY79,'recurring2_based on steps'!$B$1:$AY$1,T$1)+SUMIFS('changes2_based on steps'!$B79:$U79,'changes2_based on steps'!$B$1:$U$1,T$1)</f>
        <v>0</v>
      </c>
      <c r="U79" s="179">
        <f>SUMIFS('recurring2_based on steps'!$B79:$AY79,'recurring2_based on steps'!$B$1:$AY$1,U$1)+SUMIFS('changes2_based on steps'!$B79:$U79,'changes2_based on steps'!$B$1:$U$1,U$1)</f>
        <v>0</v>
      </c>
      <c r="V79" s="179">
        <f>SUMIFS('recurring2_based on steps'!$B79:$AY79,'recurring2_based on steps'!$B$1:$AY$1,V$1)+SUMIFS('changes2_based on steps'!$B79:$U79,'changes2_based on steps'!$B$1:$U$1,V$1)</f>
        <v>0</v>
      </c>
      <c r="W79" s="179">
        <f>SUMIFS('recurring2_based on steps'!$B79:$AY79,'recurring2_based on steps'!$B$1:$AY$1,W$1)+SUMIFS('changes2_based on steps'!$B79:$U79,'changes2_based on steps'!$B$1:$U$1,W$1)</f>
        <v>0</v>
      </c>
      <c r="X79" s="179">
        <f>SUMIFS('recurring2_based on steps'!$B79:$AY79,'recurring2_based on steps'!$B$1:$AY$1,X$1)+SUMIFS('changes2_based on steps'!$B79:$U79,'changes2_based on steps'!$B$1:$U$1,X$1)</f>
        <v>0</v>
      </c>
      <c r="Y79" s="179">
        <f>SUMIFS('recurring2_based on steps'!$B79:$AY79,'recurring2_based on steps'!$B$1:$AY$1,Y$1)+SUMIFS('changes2_based on steps'!$B79:$U79,'changes2_based on steps'!$B$1:$U$1,Y$1)</f>
        <v>0</v>
      </c>
      <c r="Z79" s="179">
        <f>SUMIFS('recurring2_based on steps'!$B79:$AY79,'recurring2_based on steps'!$B$1:$AY$1,Z$1)+SUMIFS('changes2_based on steps'!$B79:$U79,'changes2_based on steps'!$B$1:$U$1,Z$1)</f>
        <v>0</v>
      </c>
      <c r="AA79" s="179">
        <f>SUMIFS('recurring2_based on steps'!$B79:$AY79,'recurring2_based on steps'!$B$1:$AY$1,AA$1)+SUMIFS('changes2_based on steps'!$B79:$U79,'changes2_based on steps'!$B$1:$U$1,AA$1)</f>
        <v>0</v>
      </c>
      <c r="AB79" s="179">
        <f>SUMIFS('recurring2_based on steps'!$B79:$AY79,'recurring2_based on steps'!$B$1:$AY$1,AB$1)+SUMIFS('changes2_based on steps'!$B79:$U79,'changes2_based on steps'!$B$1:$U$1,AB$1)</f>
        <v>0</v>
      </c>
      <c r="AC79" s="179">
        <f>SUMIFS('recurring2_based on steps'!$B79:$AY79,'recurring2_based on steps'!$B$1:$AY$1,AC$1)+SUMIFS('changes2_based on steps'!$B79:$U79,'changes2_based on steps'!$B$1:$U$1,AC$1)</f>
        <v>0</v>
      </c>
      <c r="AD79" s="179">
        <f>SUMIFS('recurring2_based on steps'!$B79:$AY79,'recurring2_based on steps'!$B$1:$AY$1,AD$1)+SUMIFS('changes2_based on steps'!$B79:$U79,'changes2_based on steps'!$B$1:$U$1,AD$1)</f>
        <v>0</v>
      </c>
      <c r="AE79" s="179">
        <f>SUMIFS('recurring2_based on steps'!$B79:$AY79,'recurring2_based on steps'!$B$1:$AY$1,AE$1)+SUMIFS('changes2_based on steps'!$B79:$U79,'changes2_based on steps'!$B$1:$U$1,AE$1)</f>
        <v>0</v>
      </c>
      <c r="AF79" s="179"/>
      <c r="AG79" s="179"/>
      <c r="AH79" s="179"/>
      <c r="AI79" s="179"/>
      <c r="AJ79" s="179"/>
      <c r="AK79" s="179"/>
      <c r="AL79" s="179"/>
      <c r="AM79" s="179"/>
    </row>
    <row r="80" spans="1:39" x14ac:dyDescent="0.2">
      <c r="A80" s="32">
        <f t="shared" ca="1" si="1"/>
        <v>45822</v>
      </c>
      <c r="B80" s="179">
        <f>SUMIFS('recurring2_based on steps'!$B80:$AY80,'recurring2_based on steps'!$B$1:$AY$1,B$1)+SUMIFS('changes2_based on steps'!$B80:$U80,'changes2_based on steps'!$B$1:$U$1,B$1)</f>
        <v>0</v>
      </c>
      <c r="C80" s="179">
        <f>SUMIFS('recurring2_based on steps'!$B80:$AY80,'recurring2_based on steps'!$B$1:$AY$1,C$1)+SUMIFS('changes2_based on steps'!$B80:$U80,'changes2_based on steps'!$B$1:$U$1,C$1)</f>
        <v>0</v>
      </c>
      <c r="D80" s="179">
        <f>SUMIFS('recurring2_based on steps'!$B80:$AY80,'recurring2_based on steps'!$B$1:$AY$1,D$1)+SUMIFS('changes2_based on steps'!$B80:$U80,'changes2_based on steps'!$B$1:$U$1,D$1)</f>
        <v>0</v>
      </c>
      <c r="E80" s="179">
        <f>SUMIFS('recurring2_based on steps'!$B80:$AY80,'recurring2_based on steps'!$B$1:$AY$1,E$1)+SUMIFS('changes2_based on steps'!$B80:$U80,'changes2_based on steps'!$B$1:$U$1,E$1)</f>
        <v>0</v>
      </c>
      <c r="F80" s="179">
        <f>SUMIFS('recurring2_based on steps'!$B80:$AY80,'recurring2_based on steps'!$B$1:$AY$1,F$1)+SUMIFS('changes2_based on steps'!$B80:$U80,'changes2_based on steps'!$B$1:$U$1,F$1)</f>
        <v>0</v>
      </c>
      <c r="G80" s="179">
        <f>SUMIFS('recurring2_based on steps'!$B80:$AY80,'recurring2_based on steps'!$B$1:$AY$1,G$1)+SUMIFS('changes2_based on steps'!$B80:$U80,'changes2_based on steps'!$B$1:$U$1,G$1)</f>
        <v>0</v>
      </c>
      <c r="H80" s="179">
        <f>SUMIFS('recurring2_based on steps'!$B80:$AY80,'recurring2_based on steps'!$B$1:$AY$1,H$1)+SUMIFS('changes2_based on steps'!$B80:$U80,'changes2_based on steps'!$B$1:$U$1,H$1)</f>
        <v>0</v>
      </c>
      <c r="I80" s="179">
        <f>SUMIFS('recurring2_based on steps'!$B80:$AY80,'recurring2_based on steps'!$B$1:$AY$1,I$1)+SUMIFS('changes2_based on steps'!$B80:$U80,'changes2_based on steps'!$B$1:$U$1,I$1)</f>
        <v>0</v>
      </c>
      <c r="J80" s="179">
        <f>SUMIFS('recurring2_based on steps'!$B80:$AY80,'recurring2_based on steps'!$B$1:$AY$1,J$1)+SUMIFS('changes2_based on steps'!$B80:$U80,'changes2_based on steps'!$B$1:$U$1,J$1)</f>
        <v>0</v>
      </c>
      <c r="K80" s="179">
        <f>SUMIFS('recurring2_based on steps'!$B80:$AY80,'recurring2_based on steps'!$B$1:$AY$1,K$1)+SUMIFS('changes2_based on steps'!$B80:$U80,'changes2_based on steps'!$B$1:$U$1,K$1)</f>
        <v>0</v>
      </c>
      <c r="L80" s="179">
        <f>SUMIFS('recurring2_based on steps'!$B80:$AY80,'recurring2_based on steps'!$B$1:$AY$1,L$1)+SUMIFS('changes2_based on steps'!$B80:$U80,'changes2_based on steps'!$B$1:$U$1,L$1)</f>
        <v>0</v>
      </c>
      <c r="M80" s="179">
        <f>SUMIFS('recurring2_based on steps'!$B80:$AY80,'recurring2_based on steps'!$B$1:$AY$1,M$1)+SUMIFS('changes2_based on steps'!$B80:$U80,'changes2_based on steps'!$B$1:$U$1,M$1)</f>
        <v>0</v>
      </c>
      <c r="N80" s="179">
        <f>SUMIFS('recurring2_based on steps'!$B80:$AY80,'recurring2_based on steps'!$B$1:$AY$1,N$1)+SUMIFS('changes2_based on steps'!$B80:$U80,'changes2_based on steps'!$B$1:$U$1,N$1)</f>
        <v>0</v>
      </c>
      <c r="O80" s="179">
        <f>SUMIFS('recurring2_based on steps'!$B80:$AY80,'recurring2_based on steps'!$B$1:$AY$1,O$1)+SUMIFS('changes2_based on steps'!$B80:$U80,'changes2_based on steps'!$B$1:$U$1,O$1)</f>
        <v>0</v>
      </c>
      <c r="P80" s="179">
        <f>SUMIFS('recurring2_based on steps'!$B80:$AY80,'recurring2_based on steps'!$B$1:$AY$1,P$1)+SUMIFS('changes2_based on steps'!$B80:$U80,'changes2_based on steps'!$B$1:$U$1,P$1)</f>
        <v>0</v>
      </c>
      <c r="Q80" s="179">
        <f>SUMIFS('recurring2_based on steps'!$B80:$AY80,'recurring2_based on steps'!$B$1:$AY$1,Q$1)+SUMIFS('changes2_based on steps'!$B80:$U80,'changes2_based on steps'!$B$1:$U$1,Q$1)</f>
        <v>0</v>
      </c>
      <c r="R80" s="179">
        <f>SUMIFS('recurring2_based on steps'!$B80:$AY80,'recurring2_based on steps'!$B$1:$AY$1,R$1)+SUMIFS('changes2_based on steps'!$B80:$U80,'changes2_based on steps'!$B$1:$U$1,R$1)</f>
        <v>0</v>
      </c>
      <c r="S80" s="179">
        <f>SUMIFS('recurring2_based on steps'!$B80:$AY80,'recurring2_based on steps'!$B$1:$AY$1,S$1)+SUMIFS('changes2_based on steps'!$B80:$U80,'changes2_based on steps'!$B$1:$U$1,S$1)</f>
        <v>0</v>
      </c>
      <c r="T80" s="179">
        <f>SUMIFS('recurring2_based on steps'!$B80:$AY80,'recurring2_based on steps'!$B$1:$AY$1,T$1)+SUMIFS('changes2_based on steps'!$B80:$U80,'changes2_based on steps'!$B$1:$U$1,T$1)</f>
        <v>0</v>
      </c>
      <c r="U80" s="179">
        <f>SUMIFS('recurring2_based on steps'!$B80:$AY80,'recurring2_based on steps'!$B$1:$AY$1,U$1)+SUMIFS('changes2_based on steps'!$B80:$U80,'changes2_based on steps'!$B$1:$U$1,U$1)</f>
        <v>0</v>
      </c>
      <c r="V80" s="179">
        <f>SUMIFS('recurring2_based on steps'!$B80:$AY80,'recurring2_based on steps'!$B$1:$AY$1,V$1)+SUMIFS('changes2_based on steps'!$B80:$U80,'changes2_based on steps'!$B$1:$U$1,V$1)</f>
        <v>0</v>
      </c>
      <c r="W80" s="179">
        <f>SUMIFS('recurring2_based on steps'!$B80:$AY80,'recurring2_based on steps'!$B$1:$AY$1,W$1)+SUMIFS('changes2_based on steps'!$B80:$U80,'changes2_based on steps'!$B$1:$U$1,W$1)</f>
        <v>0</v>
      </c>
      <c r="X80" s="179">
        <f>SUMIFS('recurring2_based on steps'!$B80:$AY80,'recurring2_based on steps'!$B$1:$AY$1,X$1)+SUMIFS('changes2_based on steps'!$B80:$U80,'changes2_based on steps'!$B$1:$U$1,X$1)</f>
        <v>0</v>
      </c>
      <c r="Y80" s="179">
        <f>SUMIFS('recurring2_based on steps'!$B80:$AY80,'recurring2_based on steps'!$B$1:$AY$1,Y$1)+SUMIFS('changes2_based on steps'!$B80:$U80,'changes2_based on steps'!$B$1:$U$1,Y$1)</f>
        <v>0</v>
      </c>
      <c r="Z80" s="179">
        <f>SUMIFS('recurring2_based on steps'!$B80:$AY80,'recurring2_based on steps'!$B$1:$AY$1,Z$1)+SUMIFS('changes2_based on steps'!$B80:$U80,'changes2_based on steps'!$B$1:$U$1,Z$1)</f>
        <v>0</v>
      </c>
      <c r="AA80" s="179">
        <f>SUMIFS('recurring2_based on steps'!$B80:$AY80,'recurring2_based on steps'!$B$1:$AY$1,AA$1)+SUMIFS('changes2_based on steps'!$B80:$U80,'changes2_based on steps'!$B$1:$U$1,AA$1)</f>
        <v>0</v>
      </c>
      <c r="AB80" s="179">
        <f>SUMIFS('recurring2_based on steps'!$B80:$AY80,'recurring2_based on steps'!$B$1:$AY$1,AB$1)+SUMIFS('changes2_based on steps'!$B80:$U80,'changes2_based on steps'!$B$1:$U$1,AB$1)</f>
        <v>0</v>
      </c>
      <c r="AC80" s="179">
        <f>SUMIFS('recurring2_based on steps'!$B80:$AY80,'recurring2_based on steps'!$B$1:$AY$1,AC$1)+SUMIFS('changes2_based on steps'!$B80:$U80,'changes2_based on steps'!$B$1:$U$1,AC$1)</f>
        <v>0</v>
      </c>
      <c r="AD80" s="179">
        <f>SUMIFS('recurring2_based on steps'!$B80:$AY80,'recurring2_based on steps'!$B$1:$AY$1,AD$1)+SUMIFS('changes2_based on steps'!$B80:$U80,'changes2_based on steps'!$B$1:$U$1,AD$1)</f>
        <v>0</v>
      </c>
      <c r="AE80" s="179">
        <f>SUMIFS('recurring2_based on steps'!$B80:$AY80,'recurring2_based on steps'!$B$1:$AY$1,AE$1)+SUMIFS('changes2_based on steps'!$B80:$U80,'changes2_based on steps'!$B$1:$U$1,AE$1)</f>
        <v>0</v>
      </c>
      <c r="AF80" s="179"/>
      <c r="AG80" s="179"/>
      <c r="AH80" s="179"/>
      <c r="AI80" s="179"/>
      <c r="AJ80" s="179"/>
      <c r="AK80" s="179"/>
      <c r="AL80" s="179"/>
      <c r="AM80" s="179"/>
    </row>
    <row r="81" spans="1:39" x14ac:dyDescent="0.2">
      <c r="A81" s="32">
        <f t="shared" ca="1" si="1"/>
        <v>45823</v>
      </c>
      <c r="B81" s="179">
        <f>SUMIFS('recurring2_based on steps'!$B81:$AY81,'recurring2_based on steps'!$B$1:$AY$1,B$1)+SUMIFS('changes2_based on steps'!$B81:$U81,'changes2_based on steps'!$B$1:$U$1,B$1)</f>
        <v>0</v>
      </c>
      <c r="C81" s="179">
        <f>SUMIFS('recurring2_based on steps'!$B81:$AY81,'recurring2_based on steps'!$B$1:$AY$1,C$1)+SUMIFS('changes2_based on steps'!$B81:$U81,'changes2_based on steps'!$B$1:$U$1,C$1)</f>
        <v>0</v>
      </c>
      <c r="D81" s="179">
        <f>SUMIFS('recurring2_based on steps'!$B81:$AY81,'recurring2_based on steps'!$B$1:$AY$1,D$1)+SUMIFS('changes2_based on steps'!$B81:$U81,'changes2_based on steps'!$B$1:$U$1,D$1)</f>
        <v>0</v>
      </c>
      <c r="E81" s="179">
        <f>SUMIFS('recurring2_based on steps'!$B81:$AY81,'recurring2_based on steps'!$B$1:$AY$1,E$1)+SUMIFS('changes2_based on steps'!$B81:$U81,'changes2_based on steps'!$B$1:$U$1,E$1)</f>
        <v>0</v>
      </c>
      <c r="F81" s="179">
        <f>SUMIFS('recurring2_based on steps'!$B81:$AY81,'recurring2_based on steps'!$B$1:$AY$1,F$1)+SUMIFS('changes2_based on steps'!$B81:$U81,'changes2_based on steps'!$B$1:$U$1,F$1)</f>
        <v>0</v>
      </c>
      <c r="G81" s="179">
        <f>SUMIFS('recurring2_based on steps'!$B81:$AY81,'recurring2_based on steps'!$B$1:$AY$1,G$1)+SUMIFS('changes2_based on steps'!$B81:$U81,'changes2_based on steps'!$B$1:$U$1,G$1)</f>
        <v>0</v>
      </c>
      <c r="H81" s="179">
        <f>SUMIFS('recurring2_based on steps'!$B81:$AY81,'recurring2_based on steps'!$B$1:$AY$1,H$1)+SUMIFS('changes2_based on steps'!$B81:$U81,'changes2_based on steps'!$B$1:$U$1,H$1)</f>
        <v>0</v>
      </c>
      <c r="I81" s="179">
        <f>SUMIFS('recurring2_based on steps'!$B81:$AY81,'recurring2_based on steps'!$B$1:$AY$1,I$1)+SUMIFS('changes2_based on steps'!$B81:$U81,'changes2_based on steps'!$B$1:$U$1,I$1)</f>
        <v>0</v>
      </c>
      <c r="J81" s="179">
        <f>SUMIFS('recurring2_based on steps'!$B81:$AY81,'recurring2_based on steps'!$B$1:$AY$1,J$1)+SUMIFS('changes2_based on steps'!$B81:$U81,'changes2_based on steps'!$B$1:$U$1,J$1)</f>
        <v>0</v>
      </c>
      <c r="K81" s="179">
        <f>SUMIFS('recurring2_based on steps'!$B81:$AY81,'recurring2_based on steps'!$B$1:$AY$1,K$1)+SUMIFS('changes2_based on steps'!$B81:$U81,'changes2_based on steps'!$B$1:$U$1,K$1)</f>
        <v>0</v>
      </c>
      <c r="L81" s="179">
        <f>SUMIFS('recurring2_based on steps'!$B81:$AY81,'recurring2_based on steps'!$B$1:$AY$1,L$1)+SUMIFS('changes2_based on steps'!$B81:$U81,'changes2_based on steps'!$B$1:$U$1,L$1)</f>
        <v>0</v>
      </c>
      <c r="M81" s="179">
        <f>SUMIFS('recurring2_based on steps'!$B81:$AY81,'recurring2_based on steps'!$B$1:$AY$1,M$1)+SUMIFS('changes2_based on steps'!$B81:$U81,'changes2_based on steps'!$B$1:$U$1,M$1)</f>
        <v>0</v>
      </c>
      <c r="N81" s="179">
        <f>SUMIFS('recurring2_based on steps'!$B81:$AY81,'recurring2_based on steps'!$B$1:$AY$1,N$1)+SUMIFS('changes2_based on steps'!$B81:$U81,'changes2_based on steps'!$B$1:$U$1,N$1)</f>
        <v>0</v>
      </c>
      <c r="O81" s="179">
        <f>SUMIFS('recurring2_based on steps'!$B81:$AY81,'recurring2_based on steps'!$B$1:$AY$1,O$1)+SUMIFS('changes2_based on steps'!$B81:$U81,'changes2_based on steps'!$B$1:$U$1,O$1)</f>
        <v>0</v>
      </c>
      <c r="P81" s="179">
        <f>SUMIFS('recurring2_based on steps'!$B81:$AY81,'recurring2_based on steps'!$B$1:$AY$1,P$1)+SUMIFS('changes2_based on steps'!$B81:$U81,'changes2_based on steps'!$B$1:$U$1,P$1)</f>
        <v>0</v>
      </c>
      <c r="Q81" s="179">
        <f>SUMIFS('recurring2_based on steps'!$B81:$AY81,'recurring2_based on steps'!$B$1:$AY$1,Q$1)+SUMIFS('changes2_based on steps'!$B81:$U81,'changes2_based on steps'!$B$1:$U$1,Q$1)</f>
        <v>0</v>
      </c>
      <c r="R81" s="179">
        <f>SUMIFS('recurring2_based on steps'!$B81:$AY81,'recurring2_based on steps'!$B$1:$AY$1,R$1)+SUMIFS('changes2_based on steps'!$B81:$U81,'changes2_based on steps'!$B$1:$U$1,R$1)</f>
        <v>0</v>
      </c>
      <c r="S81" s="179">
        <f>SUMIFS('recurring2_based on steps'!$B81:$AY81,'recurring2_based on steps'!$B$1:$AY$1,S$1)+SUMIFS('changes2_based on steps'!$B81:$U81,'changes2_based on steps'!$B$1:$U$1,S$1)</f>
        <v>0</v>
      </c>
      <c r="T81" s="179">
        <f>SUMIFS('recurring2_based on steps'!$B81:$AY81,'recurring2_based on steps'!$B$1:$AY$1,T$1)+SUMIFS('changes2_based on steps'!$B81:$U81,'changes2_based on steps'!$B$1:$U$1,T$1)</f>
        <v>0</v>
      </c>
      <c r="U81" s="179">
        <f>SUMIFS('recurring2_based on steps'!$B81:$AY81,'recurring2_based on steps'!$B$1:$AY$1,U$1)+SUMIFS('changes2_based on steps'!$B81:$U81,'changes2_based on steps'!$B$1:$U$1,U$1)</f>
        <v>0</v>
      </c>
      <c r="V81" s="179">
        <f>SUMIFS('recurring2_based on steps'!$B81:$AY81,'recurring2_based on steps'!$B$1:$AY$1,V$1)+SUMIFS('changes2_based on steps'!$B81:$U81,'changes2_based on steps'!$B$1:$U$1,V$1)</f>
        <v>0</v>
      </c>
      <c r="W81" s="179">
        <f>SUMIFS('recurring2_based on steps'!$B81:$AY81,'recurring2_based on steps'!$B$1:$AY$1,W$1)+SUMIFS('changes2_based on steps'!$B81:$U81,'changes2_based on steps'!$B$1:$U$1,W$1)</f>
        <v>0</v>
      </c>
      <c r="X81" s="179">
        <f>SUMIFS('recurring2_based on steps'!$B81:$AY81,'recurring2_based on steps'!$B$1:$AY$1,X$1)+SUMIFS('changes2_based on steps'!$B81:$U81,'changes2_based on steps'!$B$1:$U$1,X$1)</f>
        <v>0</v>
      </c>
      <c r="Y81" s="179">
        <f>SUMIFS('recurring2_based on steps'!$B81:$AY81,'recurring2_based on steps'!$B$1:$AY$1,Y$1)+SUMIFS('changes2_based on steps'!$B81:$U81,'changes2_based on steps'!$B$1:$U$1,Y$1)</f>
        <v>0</v>
      </c>
      <c r="Z81" s="179">
        <f>SUMIFS('recurring2_based on steps'!$B81:$AY81,'recurring2_based on steps'!$B$1:$AY$1,Z$1)+SUMIFS('changes2_based on steps'!$B81:$U81,'changes2_based on steps'!$B$1:$U$1,Z$1)</f>
        <v>0</v>
      </c>
      <c r="AA81" s="179">
        <f>SUMIFS('recurring2_based on steps'!$B81:$AY81,'recurring2_based on steps'!$B$1:$AY$1,AA$1)+SUMIFS('changes2_based on steps'!$B81:$U81,'changes2_based on steps'!$B$1:$U$1,AA$1)</f>
        <v>0</v>
      </c>
      <c r="AB81" s="179">
        <f>SUMIFS('recurring2_based on steps'!$B81:$AY81,'recurring2_based on steps'!$B$1:$AY$1,AB$1)+SUMIFS('changes2_based on steps'!$B81:$U81,'changes2_based on steps'!$B$1:$U$1,AB$1)</f>
        <v>0</v>
      </c>
      <c r="AC81" s="179">
        <f>SUMIFS('recurring2_based on steps'!$B81:$AY81,'recurring2_based on steps'!$B$1:$AY$1,AC$1)+SUMIFS('changes2_based on steps'!$B81:$U81,'changes2_based on steps'!$B$1:$U$1,AC$1)</f>
        <v>0</v>
      </c>
      <c r="AD81" s="179">
        <f>SUMIFS('recurring2_based on steps'!$B81:$AY81,'recurring2_based on steps'!$B$1:$AY$1,AD$1)+SUMIFS('changes2_based on steps'!$B81:$U81,'changes2_based on steps'!$B$1:$U$1,AD$1)</f>
        <v>0</v>
      </c>
      <c r="AE81" s="179">
        <f>SUMIFS('recurring2_based on steps'!$B81:$AY81,'recurring2_based on steps'!$B$1:$AY$1,AE$1)+SUMIFS('changes2_based on steps'!$B81:$U81,'changes2_based on steps'!$B$1:$U$1,AE$1)</f>
        <v>0</v>
      </c>
      <c r="AF81" s="179"/>
      <c r="AG81" s="179"/>
      <c r="AH81" s="179"/>
      <c r="AI81" s="179"/>
      <c r="AJ81" s="179"/>
      <c r="AK81" s="179"/>
      <c r="AL81" s="179"/>
      <c r="AM81" s="179"/>
    </row>
    <row r="82" spans="1:39" x14ac:dyDescent="0.2">
      <c r="A82" s="32">
        <f t="shared" ca="1" si="1"/>
        <v>45824</v>
      </c>
      <c r="B82" s="179">
        <f>SUMIFS('recurring2_based on steps'!$B82:$AY82,'recurring2_based on steps'!$B$1:$AY$1,B$1)+SUMIFS('changes2_based on steps'!$B82:$U82,'changes2_based on steps'!$B$1:$U$1,B$1)</f>
        <v>0</v>
      </c>
      <c r="C82" s="179">
        <f>SUMIFS('recurring2_based on steps'!$B82:$AY82,'recurring2_based on steps'!$B$1:$AY$1,C$1)+SUMIFS('changes2_based on steps'!$B82:$U82,'changes2_based on steps'!$B$1:$U$1,C$1)</f>
        <v>0</v>
      </c>
      <c r="D82" s="179">
        <f>SUMIFS('recurring2_based on steps'!$B82:$AY82,'recurring2_based on steps'!$B$1:$AY$1,D$1)+SUMIFS('changes2_based on steps'!$B82:$U82,'changes2_based on steps'!$B$1:$U$1,D$1)</f>
        <v>0</v>
      </c>
      <c r="E82" s="179">
        <f>SUMIFS('recurring2_based on steps'!$B82:$AY82,'recurring2_based on steps'!$B$1:$AY$1,E$1)+SUMIFS('changes2_based on steps'!$B82:$U82,'changes2_based on steps'!$B$1:$U$1,E$1)</f>
        <v>0</v>
      </c>
      <c r="F82" s="179">
        <f>SUMIFS('recurring2_based on steps'!$B82:$AY82,'recurring2_based on steps'!$B$1:$AY$1,F$1)+SUMIFS('changes2_based on steps'!$B82:$U82,'changes2_based on steps'!$B$1:$U$1,F$1)</f>
        <v>0</v>
      </c>
      <c r="G82" s="179">
        <f>SUMIFS('recurring2_based on steps'!$B82:$AY82,'recurring2_based on steps'!$B$1:$AY$1,G$1)+SUMIFS('changes2_based on steps'!$B82:$U82,'changes2_based on steps'!$B$1:$U$1,G$1)</f>
        <v>0</v>
      </c>
      <c r="H82" s="179">
        <f>SUMIFS('recurring2_based on steps'!$B82:$AY82,'recurring2_based on steps'!$B$1:$AY$1,H$1)+SUMIFS('changes2_based on steps'!$B82:$U82,'changes2_based on steps'!$B$1:$U$1,H$1)</f>
        <v>0</v>
      </c>
      <c r="I82" s="179">
        <f>SUMIFS('recurring2_based on steps'!$B82:$AY82,'recurring2_based on steps'!$B$1:$AY$1,I$1)+SUMIFS('changes2_based on steps'!$B82:$U82,'changes2_based on steps'!$B$1:$U$1,I$1)</f>
        <v>0</v>
      </c>
      <c r="J82" s="179">
        <f>SUMIFS('recurring2_based on steps'!$B82:$AY82,'recurring2_based on steps'!$B$1:$AY$1,J$1)+SUMIFS('changes2_based on steps'!$B82:$U82,'changes2_based on steps'!$B$1:$U$1,J$1)</f>
        <v>0</v>
      </c>
      <c r="K82" s="179">
        <f>SUMIFS('recurring2_based on steps'!$B82:$AY82,'recurring2_based on steps'!$B$1:$AY$1,K$1)+SUMIFS('changes2_based on steps'!$B82:$U82,'changes2_based on steps'!$B$1:$U$1,K$1)</f>
        <v>0</v>
      </c>
      <c r="L82" s="179">
        <f>SUMIFS('recurring2_based on steps'!$B82:$AY82,'recurring2_based on steps'!$B$1:$AY$1,L$1)+SUMIFS('changes2_based on steps'!$B82:$U82,'changes2_based on steps'!$B$1:$U$1,L$1)</f>
        <v>0</v>
      </c>
      <c r="M82" s="179">
        <f>SUMIFS('recurring2_based on steps'!$B82:$AY82,'recurring2_based on steps'!$B$1:$AY$1,M$1)+SUMIFS('changes2_based on steps'!$B82:$U82,'changes2_based on steps'!$B$1:$U$1,M$1)</f>
        <v>0</v>
      </c>
      <c r="N82" s="179">
        <f>SUMIFS('recurring2_based on steps'!$B82:$AY82,'recurring2_based on steps'!$B$1:$AY$1,N$1)+SUMIFS('changes2_based on steps'!$B82:$U82,'changes2_based on steps'!$B$1:$U$1,N$1)</f>
        <v>0</v>
      </c>
      <c r="O82" s="179">
        <f>SUMIFS('recurring2_based on steps'!$B82:$AY82,'recurring2_based on steps'!$B$1:$AY$1,O$1)+SUMIFS('changes2_based on steps'!$B82:$U82,'changes2_based on steps'!$B$1:$U$1,O$1)</f>
        <v>0</v>
      </c>
      <c r="P82" s="179">
        <f>SUMIFS('recurring2_based on steps'!$B82:$AY82,'recurring2_based on steps'!$B$1:$AY$1,P$1)+SUMIFS('changes2_based on steps'!$B82:$U82,'changes2_based on steps'!$B$1:$U$1,P$1)</f>
        <v>0</v>
      </c>
      <c r="Q82" s="179">
        <f>SUMIFS('recurring2_based on steps'!$B82:$AY82,'recurring2_based on steps'!$B$1:$AY$1,Q$1)+SUMIFS('changes2_based on steps'!$B82:$U82,'changes2_based on steps'!$B$1:$U$1,Q$1)</f>
        <v>0</v>
      </c>
      <c r="R82" s="179">
        <f>SUMIFS('recurring2_based on steps'!$B82:$AY82,'recurring2_based on steps'!$B$1:$AY$1,R$1)+SUMIFS('changes2_based on steps'!$B82:$U82,'changes2_based on steps'!$B$1:$U$1,R$1)</f>
        <v>0</v>
      </c>
      <c r="S82" s="179">
        <f>SUMIFS('recurring2_based on steps'!$B82:$AY82,'recurring2_based on steps'!$B$1:$AY$1,S$1)+SUMIFS('changes2_based on steps'!$B82:$U82,'changes2_based on steps'!$B$1:$U$1,S$1)</f>
        <v>0</v>
      </c>
      <c r="T82" s="179">
        <f>SUMIFS('recurring2_based on steps'!$B82:$AY82,'recurring2_based on steps'!$B$1:$AY$1,T$1)+SUMIFS('changes2_based on steps'!$B82:$U82,'changes2_based on steps'!$B$1:$U$1,T$1)</f>
        <v>0</v>
      </c>
      <c r="U82" s="179">
        <f>SUMIFS('recurring2_based on steps'!$B82:$AY82,'recurring2_based on steps'!$B$1:$AY$1,U$1)+SUMIFS('changes2_based on steps'!$B82:$U82,'changes2_based on steps'!$B$1:$U$1,U$1)</f>
        <v>0</v>
      </c>
      <c r="V82" s="179">
        <f>SUMIFS('recurring2_based on steps'!$B82:$AY82,'recurring2_based on steps'!$B$1:$AY$1,V$1)+SUMIFS('changes2_based on steps'!$B82:$U82,'changes2_based on steps'!$B$1:$U$1,V$1)</f>
        <v>0</v>
      </c>
      <c r="W82" s="179">
        <f>SUMIFS('recurring2_based on steps'!$B82:$AY82,'recurring2_based on steps'!$B$1:$AY$1,W$1)+SUMIFS('changes2_based on steps'!$B82:$U82,'changes2_based on steps'!$B$1:$U$1,W$1)</f>
        <v>0</v>
      </c>
      <c r="X82" s="179">
        <f>SUMIFS('recurring2_based on steps'!$B82:$AY82,'recurring2_based on steps'!$B$1:$AY$1,X$1)+SUMIFS('changes2_based on steps'!$B82:$U82,'changes2_based on steps'!$B$1:$U$1,X$1)</f>
        <v>0</v>
      </c>
      <c r="Y82" s="179">
        <f>SUMIFS('recurring2_based on steps'!$B82:$AY82,'recurring2_based on steps'!$B$1:$AY$1,Y$1)+SUMIFS('changes2_based on steps'!$B82:$U82,'changes2_based on steps'!$B$1:$U$1,Y$1)</f>
        <v>0</v>
      </c>
      <c r="Z82" s="179">
        <f>SUMIFS('recurring2_based on steps'!$B82:$AY82,'recurring2_based on steps'!$B$1:$AY$1,Z$1)+SUMIFS('changes2_based on steps'!$B82:$U82,'changes2_based on steps'!$B$1:$U$1,Z$1)</f>
        <v>0</v>
      </c>
      <c r="AA82" s="179">
        <f>SUMIFS('recurring2_based on steps'!$B82:$AY82,'recurring2_based on steps'!$B$1:$AY$1,AA$1)+SUMIFS('changes2_based on steps'!$B82:$U82,'changes2_based on steps'!$B$1:$U$1,AA$1)</f>
        <v>0</v>
      </c>
      <c r="AB82" s="179">
        <f>SUMIFS('recurring2_based on steps'!$B82:$AY82,'recurring2_based on steps'!$B$1:$AY$1,AB$1)+SUMIFS('changes2_based on steps'!$B82:$U82,'changes2_based on steps'!$B$1:$U$1,AB$1)</f>
        <v>0</v>
      </c>
      <c r="AC82" s="179">
        <f>SUMIFS('recurring2_based on steps'!$B82:$AY82,'recurring2_based on steps'!$B$1:$AY$1,AC$1)+SUMIFS('changes2_based on steps'!$B82:$U82,'changes2_based on steps'!$B$1:$U$1,AC$1)</f>
        <v>0</v>
      </c>
      <c r="AD82" s="179">
        <f>SUMIFS('recurring2_based on steps'!$B82:$AY82,'recurring2_based on steps'!$B$1:$AY$1,AD$1)+SUMIFS('changes2_based on steps'!$B82:$U82,'changes2_based on steps'!$B$1:$U$1,AD$1)</f>
        <v>0</v>
      </c>
      <c r="AE82" s="179">
        <f>SUMIFS('recurring2_based on steps'!$B82:$AY82,'recurring2_based on steps'!$B$1:$AY$1,AE$1)+SUMIFS('changes2_based on steps'!$B82:$U82,'changes2_based on steps'!$B$1:$U$1,AE$1)</f>
        <v>0</v>
      </c>
      <c r="AF82" s="179"/>
      <c r="AG82" s="179"/>
      <c r="AH82" s="179"/>
      <c r="AI82" s="179"/>
      <c r="AJ82" s="179"/>
      <c r="AK82" s="179"/>
      <c r="AL82" s="179"/>
      <c r="AM82" s="179"/>
    </row>
    <row r="83" spans="1:39" x14ac:dyDescent="0.2">
      <c r="A83" s="32">
        <f t="shared" ca="1" si="1"/>
        <v>45825</v>
      </c>
      <c r="B83" s="179">
        <f>SUMIFS('recurring2_based on steps'!$B83:$AY83,'recurring2_based on steps'!$B$1:$AY$1,B$1)+SUMIFS('changes2_based on steps'!$B83:$U83,'changes2_based on steps'!$B$1:$U$1,B$1)</f>
        <v>0</v>
      </c>
      <c r="C83" s="179">
        <f>SUMIFS('recurring2_based on steps'!$B83:$AY83,'recurring2_based on steps'!$B$1:$AY$1,C$1)+SUMIFS('changes2_based on steps'!$B83:$U83,'changes2_based on steps'!$B$1:$U$1,C$1)</f>
        <v>0</v>
      </c>
      <c r="D83" s="179">
        <f>SUMIFS('recurring2_based on steps'!$B83:$AY83,'recurring2_based on steps'!$B$1:$AY$1,D$1)+SUMIFS('changes2_based on steps'!$B83:$U83,'changes2_based on steps'!$B$1:$U$1,D$1)</f>
        <v>0</v>
      </c>
      <c r="E83" s="179">
        <f>SUMIFS('recurring2_based on steps'!$B83:$AY83,'recurring2_based on steps'!$B$1:$AY$1,E$1)+SUMIFS('changes2_based on steps'!$B83:$U83,'changes2_based on steps'!$B$1:$U$1,E$1)</f>
        <v>0</v>
      </c>
      <c r="F83" s="179">
        <f>SUMIFS('recurring2_based on steps'!$B83:$AY83,'recurring2_based on steps'!$B$1:$AY$1,F$1)+SUMIFS('changes2_based on steps'!$B83:$U83,'changes2_based on steps'!$B$1:$U$1,F$1)</f>
        <v>0</v>
      </c>
      <c r="G83" s="179">
        <f>SUMIFS('recurring2_based on steps'!$B83:$AY83,'recurring2_based on steps'!$B$1:$AY$1,G$1)+SUMIFS('changes2_based on steps'!$B83:$U83,'changes2_based on steps'!$B$1:$U$1,G$1)</f>
        <v>0</v>
      </c>
      <c r="H83" s="179">
        <f>SUMIFS('recurring2_based on steps'!$B83:$AY83,'recurring2_based on steps'!$B$1:$AY$1,H$1)+SUMIFS('changes2_based on steps'!$B83:$U83,'changes2_based on steps'!$B$1:$U$1,H$1)</f>
        <v>0</v>
      </c>
      <c r="I83" s="179">
        <f>SUMIFS('recurring2_based on steps'!$B83:$AY83,'recurring2_based on steps'!$B$1:$AY$1,I$1)+SUMIFS('changes2_based on steps'!$B83:$U83,'changes2_based on steps'!$B$1:$U$1,I$1)</f>
        <v>0</v>
      </c>
      <c r="J83" s="179">
        <f>SUMIFS('recurring2_based on steps'!$B83:$AY83,'recurring2_based on steps'!$B$1:$AY$1,J$1)+SUMIFS('changes2_based on steps'!$B83:$U83,'changes2_based on steps'!$B$1:$U$1,J$1)</f>
        <v>0</v>
      </c>
      <c r="K83" s="179">
        <f>SUMIFS('recurring2_based on steps'!$B83:$AY83,'recurring2_based on steps'!$B$1:$AY$1,K$1)+SUMIFS('changes2_based on steps'!$B83:$U83,'changes2_based on steps'!$B$1:$U$1,K$1)</f>
        <v>0</v>
      </c>
      <c r="L83" s="179">
        <f>SUMIFS('recurring2_based on steps'!$B83:$AY83,'recurring2_based on steps'!$B$1:$AY$1,L$1)+SUMIFS('changes2_based on steps'!$B83:$U83,'changes2_based on steps'!$B$1:$U$1,L$1)</f>
        <v>0</v>
      </c>
      <c r="M83" s="179">
        <f>SUMIFS('recurring2_based on steps'!$B83:$AY83,'recurring2_based on steps'!$B$1:$AY$1,M$1)+SUMIFS('changes2_based on steps'!$B83:$U83,'changes2_based on steps'!$B$1:$U$1,M$1)</f>
        <v>0</v>
      </c>
      <c r="N83" s="179">
        <f>SUMIFS('recurring2_based on steps'!$B83:$AY83,'recurring2_based on steps'!$B$1:$AY$1,N$1)+SUMIFS('changes2_based on steps'!$B83:$U83,'changes2_based on steps'!$B$1:$U$1,N$1)</f>
        <v>0</v>
      </c>
      <c r="O83" s="179">
        <f>SUMIFS('recurring2_based on steps'!$B83:$AY83,'recurring2_based on steps'!$B$1:$AY$1,O$1)+SUMIFS('changes2_based on steps'!$B83:$U83,'changes2_based on steps'!$B$1:$U$1,O$1)</f>
        <v>0</v>
      </c>
      <c r="P83" s="179">
        <f>SUMIFS('recurring2_based on steps'!$B83:$AY83,'recurring2_based on steps'!$B$1:$AY$1,P$1)+SUMIFS('changes2_based on steps'!$B83:$U83,'changes2_based on steps'!$B$1:$U$1,P$1)</f>
        <v>0</v>
      </c>
      <c r="Q83" s="179">
        <f>SUMIFS('recurring2_based on steps'!$B83:$AY83,'recurring2_based on steps'!$B$1:$AY$1,Q$1)+SUMIFS('changes2_based on steps'!$B83:$U83,'changes2_based on steps'!$B$1:$U$1,Q$1)</f>
        <v>0</v>
      </c>
      <c r="R83" s="179">
        <f>SUMIFS('recurring2_based on steps'!$B83:$AY83,'recurring2_based on steps'!$B$1:$AY$1,R$1)+SUMIFS('changes2_based on steps'!$B83:$U83,'changes2_based on steps'!$B$1:$U$1,R$1)</f>
        <v>0</v>
      </c>
      <c r="S83" s="179">
        <f>SUMIFS('recurring2_based on steps'!$B83:$AY83,'recurring2_based on steps'!$B$1:$AY$1,S$1)+SUMIFS('changes2_based on steps'!$B83:$U83,'changes2_based on steps'!$B$1:$U$1,S$1)</f>
        <v>0</v>
      </c>
      <c r="T83" s="179">
        <f>SUMIFS('recurring2_based on steps'!$B83:$AY83,'recurring2_based on steps'!$B$1:$AY$1,T$1)+SUMIFS('changes2_based on steps'!$B83:$U83,'changes2_based on steps'!$B$1:$U$1,T$1)</f>
        <v>0</v>
      </c>
      <c r="U83" s="179">
        <f>SUMIFS('recurring2_based on steps'!$B83:$AY83,'recurring2_based on steps'!$B$1:$AY$1,U$1)+SUMIFS('changes2_based on steps'!$B83:$U83,'changes2_based on steps'!$B$1:$U$1,U$1)</f>
        <v>0</v>
      </c>
      <c r="V83" s="179">
        <f>SUMIFS('recurring2_based on steps'!$B83:$AY83,'recurring2_based on steps'!$B$1:$AY$1,V$1)+SUMIFS('changes2_based on steps'!$B83:$U83,'changes2_based on steps'!$B$1:$U$1,V$1)</f>
        <v>0</v>
      </c>
      <c r="W83" s="179">
        <f>SUMIFS('recurring2_based on steps'!$B83:$AY83,'recurring2_based on steps'!$B$1:$AY$1,W$1)+SUMIFS('changes2_based on steps'!$B83:$U83,'changes2_based on steps'!$B$1:$U$1,W$1)</f>
        <v>0</v>
      </c>
      <c r="X83" s="179">
        <f>SUMIFS('recurring2_based on steps'!$B83:$AY83,'recurring2_based on steps'!$B$1:$AY$1,X$1)+SUMIFS('changes2_based on steps'!$B83:$U83,'changes2_based on steps'!$B$1:$U$1,X$1)</f>
        <v>0</v>
      </c>
      <c r="Y83" s="179">
        <f>SUMIFS('recurring2_based on steps'!$B83:$AY83,'recurring2_based on steps'!$B$1:$AY$1,Y$1)+SUMIFS('changes2_based on steps'!$B83:$U83,'changes2_based on steps'!$B$1:$U$1,Y$1)</f>
        <v>0</v>
      </c>
      <c r="Z83" s="179">
        <f>SUMIFS('recurring2_based on steps'!$B83:$AY83,'recurring2_based on steps'!$B$1:$AY$1,Z$1)+SUMIFS('changes2_based on steps'!$B83:$U83,'changes2_based on steps'!$B$1:$U$1,Z$1)</f>
        <v>0</v>
      </c>
      <c r="AA83" s="179">
        <f>SUMIFS('recurring2_based on steps'!$B83:$AY83,'recurring2_based on steps'!$B$1:$AY$1,AA$1)+SUMIFS('changes2_based on steps'!$B83:$U83,'changes2_based on steps'!$B$1:$U$1,AA$1)</f>
        <v>0</v>
      </c>
      <c r="AB83" s="179">
        <f>SUMIFS('recurring2_based on steps'!$B83:$AY83,'recurring2_based on steps'!$B$1:$AY$1,AB$1)+SUMIFS('changes2_based on steps'!$B83:$U83,'changes2_based on steps'!$B$1:$U$1,AB$1)</f>
        <v>0</v>
      </c>
      <c r="AC83" s="179">
        <f>SUMIFS('recurring2_based on steps'!$B83:$AY83,'recurring2_based on steps'!$B$1:$AY$1,AC$1)+SUMIFS('changes2_based on steps'!$B83:$U83,'changes2_based on steps'!$B$1:$U$1,AC$1)</f>
        <v>0</v>
      </c>
      <c r="AD83" s="179">
        <f>SUMIFS('recurring2_based on steps'!$B83:$AY83,'recurring2_based on steps'!$B$1:$AY$1,AD$1)+SUMIFS('changes2_based on steps'!$B83:$U83,'changes2_based on steps'!$B$1:$U$1,AD$1)</f>
        <v>0</v>
      </c>
      <c r="AE83" s="179">
        <f>SUMIFS('recurring2_based on steps'!$B83:$AY83,'recurring2_based on steps'!$B$1:$AY$1,AE$1)+SUMIFS('changes2_based on steps'!$B83:$U83,'changes2_based on steps'!$B$1:$U$1,AE$1)</f>
        <v>0</v>
      </c>
      <c r="AF83" s="179"/>
      <c r="AG83" s="179"/>
      <c r="AH83" s="179"/>
      <c r="AI83" s="179"/>
      <c r="AJ83" s="179"/>
      <c r="AK83" s="179"/>
      <c r="AL83" s="179"/>
      <c r="AM83" s="179"/>
    </row>
    <row r="84" spans="1:39" x14ac:dyDescent="0.2">
      <c r="A84" s="32">
        <f t="shared" ca="1" si="1"/>
        <v>45826</v>
      </c>
      <c r="B84" s="179">
        <f>SUMIFS('recurring2_based on steps'!$B84:$AY84,'recurring2_based on steps'!$B$1:$AY$1,B$1)+SUMIFS('changes2_based on steps'!$B84:$U84,'changes2_based on steps'!$B$1:$U$1,B$1)</f>
        <v>0</v>
      </c>
      <c r="C84" s="179">
        <f>SUMIFS('recurring2_based on steps'!$B84:$AY84,'recurring2_based on steps'!$B$1:$AY$1,C$1)+SUMIFS('changes2_based on steps'!$B84:$U84,'changes2_based on steps'!$B$1:$U$1,C$1)</f>
        <v>0</v>
      </c>
      <c r="D84" s="179">
        <f>SUMIFS('recurring2_based on steps'!$B84:$AY84,'recurring2_based on steps'!$B$1:$AY$1,D$1)+SUMIFS('changes2_based on steps'!$B84:$U84,'changes2_based on steps'!$B$1:$U$1,D$1)</f>
        <v>0</v>
      </c>
      <c r="E84" s="179">
        <f>SUMIFS('recurring2_based on steps'!$B84:$AY84,'recurring2_based on steps'!$B$1:$AY$1,E$1)+SUMIFS('changes2_based on steps'!$B84:$U84,'changes2_based on steps'!$B$1:$U$1,E$1)</f>
        <v>0</v>
      </c>
      <c r="F84" s="179">
        <f>SUMIFS('recurring2_based on steps'!$B84:$AY84,'recurring2_based on steps'!$B$1:$AY$1,F$1)+SUMIFS('changes2_based on steps'!$B84:$U84,'changes2_based on steps'!$B$1:$U$1,F$1)</f>
        <v>0</v>
      </c>
      <c r="G84" s="179">
        <f>SUMIFS('recurring2_based on steps'!$B84:$AY84,'recurring2_based on steps'!$B$1:$AY$1,G$1)+SUMIFS('changes2_based on steps'!$B84:$U84,'changes2_based on steps'!$B$1:$U$1,G$1)</f>
        <v>0</v>
      </c>
      <c r="H84" s="179">
        <f>SUMIFS('recurring2_based on steps'!$B84:$AY84,'recurring2_based on steps'!$B$1:$AY$1,H$1)+SUMIFS('changes2_based on steps'!$B84:$U84,'changes2_based on steps'!$B$1:$U$1,H$1)</f>
        <v>0</v>
      </c>
      <c r="I84" s="179">
        <f>SUMIFS('recurring2_based on steps'!$B84:$AY84,'recurring2_based on steps'!$B$1:$AY$1,I$1)+SUMIFS('changes2_based on steps'!$B84:$U84,'changes2_based on steps'!$B$1:$U$1,I$1)</f>
        <v>0</v>
      </c>
      <c r="J84" s="179">
        <f>SUMIFS('recurring2_based on steps'!$B84:$AY84,'recurring2_based on steps'!$B$1:$AY$1,J$1)+SUMIFS('changes2_based on steps'!$B84:$U84,'changes2_based on steps'!$B$1:$U$1,J$1)</f>
        <v>0</v>
      </c>
      <c r="K84" s="179">
        <f>SUMIFS('recurring2_based on steps'!$B84:$AY84,'recurring2_based on steps'!$B$1:$AY$1,K$1)+SUMIFS('changes2_based on steps'!$B84:$U84,'changes2_based on steps'!$B$1:$U$1,K$1)</f>
        <v>0</v>
      </c>
      <c r="L84" s="179">
        <f>SUMIFS('recurring2_based on steps'!$B84:$AY84,'recurring2_based on steps'!$B$1:$AY$1,L$1)+SUMIFS('changes2_based on steps'!$B84:$U84,'changes2_based on steps'!$B$1:$U$1,L$1)</f>
        <v>0</v>
      </c>
      <c r="M84" s="179">
        <f>SUMIFS('recurring2_based on steps'!$B84:$AY84,'recurring2_based on steps'!$B$1:$AY$1,M$1)+SUMIFS('changes2_based on steps'!$B84:$U84,'changes2_based on steps'!$B$1:$U$1,M$1)</f>
        <v>0</v>
      </c>
      <c r="N84" s="179">
        <f>SUMIFS('recurring2_based on steps'!$B84:$AY84,'recurring2_based on steps'!$B$1:$AY$1,N$1)+SUMIFS('changes2_based on steps'!$B84:$U84,'changes2_based on steps'!$B$1:$U$1,N$1)</f>
        <v>0</v>
      </c>
      <c r="O84" s="179">
        <f>SUMIFS('recurring2_based on steps'!$B84:$AY84,'recurring2_based on steps'!$B$1:$AY$1,O$1)+SUMIFS('changes2_based on steps'!$B84:$U84,'changes2_based on steps'!$B$1:$U$1,O$1)</f>
        <v>0</v>
      </c>
      <c r="P84" s="179">
        <f>SUMIFS('recurring2_based on steps'!$B84:$AY84,'recurring2_based on steps'!$B$1:$AY$1,P$1)+SUMIFS('changes2_based on steps'!$B84:$U84,'changes2_based on steps'!$B$1:$U$1,P$1)</f>
        <v>0</v>
      </c>
      <c r="Q84" s="179">
        <f>SUMIFS('recurring2_based on steps'!$B84:$AY84,'recurring2_based on steps'!$B$1:$AY$1,Q$1)+SUMIFS('changes2_based on steps'!$B84:$U84,'changes2_based on steps'!$B$1:$U$1,Q$1)</f>
        <v>0</v>
      </c>
      <c r="R84" s="179">
        <f>SUMIFS('recurring2_based on steps'!$B84:$AY84,'recurring2_based on steps'!$B$1:$AY$1,R$1)+SUMIFS('changes2_based on steps'!$B84:$U84,'changes2_based on steps'!$B$1:$U$1,R$1)</f>
        <v>0</v>
      </c>
      <c r="S84" s="179">
        <f>SUMIFS('recurring2_based on steps'!$B84:$AY84,'recurring2_based on steps'!$B$1:$AY$1,S$1)+SUMIFS('changes2_based on steps'!$B84:$U84,'changes2_based on steps'!$B$1:$U$1,S$1)</f>
        <v>0</v>
      </c>
      <c r="T84" s="179">
        <f>SUMIFS('recurring2_based on steps'!$B84:$AY84,'recurring2_based on steps'!$B$1:$AY$1,T$1)+SUMIFS('changes2_based on steps'!$B84:$U84,'changes2_based on steps'!$B$1:$U$1,T$1)</f>
        <v>0</v>
      </c>
      <c r="U84" s="179">
        <f>SUMIFS('recurring2_based on steps'!$B84:$AY84,'recurring2_based on steps'!$B$1:$AY$1,U$1)+SUMIFS('changes2_based on steps'!$B84:$U84,'changes2_based on steps'!$B$1:$U$1,U$1)</f>
        <v>0</v>
      </c>
      <c r="V84" s="179">
        <f>SUMIFS('recurring2_based on steps'!$B84:$AY84,'recurring2_based on steps'!$B$1:$AY$1,V$1)+SUMIFS('changes2_based on steps'!$B84:$U84,'changes2_based on steps'!$B$1:$U$1,V$1)</f>
        <v>0</v>
      </c>
      <c r="W84" s="179">
        <f>SUMIFS('recurring2_based on steps'!$B84:$AY84,'recurring2_based on steps'!$B$1:$AY$1,W$1)+SUMIFS('changes2_based on steps'!$B84:$U84,'changes2_based on steps'!$B$1:$U$1,W$1)</f>
        <v>0</v>
      </c>
      <c r="X84" s="179">
        <f>SUMIFS('recurring2_based on steps'!$B84:$AY84,'recurring2_based on steps'!$B$1:$AY$1,X$1)+SUMIFS('changes2_based on steps'!$B84:$U84,'changes2_based on steps'!$B$1:$U$1,X$1)</f>
        <v>0</v>
      </c>
      <c r="Y84" s="179">
        <f>SUMIFS('recurring2_based on steps'!$B84:$AY84,'recurring2_based on steps'!$B$1:$AY$1,Y$1)+SUMIFS('changes2_based on steps'!$B84:$U84,'changes2_based on steps'!$B$1:$U$1,Y$1)</f>
        <v>0</v>
      </c>
      <c r="Z84" s="179">
        <f>SUMIFS('recurring2_based on steps'!$B84:$AY84,'recurring2_based on steps'!$B$1:$AY$1,Z$1)+SUMIFS('changes2_based on steps'!$B84:$U84,'changes2_based on steps'!$B$1:$U$1,Z$1)</f>
        <v>0</v>
      </c>
      <c r="AA84" s="179">
        <f>SUMIFS('recurring2_based on steps'!$B84:$AY84,'recurring2_based on steps'!$B$1:$AY$1,AA$1)+SUMIFS('changes2_based on steps'!$B84:$U84,'changes2_based on steps'!$B$1:$U$1,AA$1)</f>
        <v>0</v>
      </c>
      <c r="AB84" s="179">
        <f>SUMIFS('recurring2_based on steps'!$B84:$AY84,'recurring2_based on steps'!$B$1:$AY$1,AB$1)+SUMIFS('changes2_based on steps'!$B84:$U84,'changes2_based on steps'!$B$1:$U$1,AB$1)</f>
        <v>0</v>
      </c>
      <c r="AC84" s="179">
        <f>SUMIFS('recurring2_based on steps'!$B84:$AY84,'recurring2_based on steps'!$B$1:$AY$1,AC$1)+SUMIFS('changes2_based on steps'!$B84:$U84,'changes2_based on steps'!$B$1:$U$1,AC$1)</f>
        <v>0</v>
      </c>
      <c r="AD84" s="179">
        <f>SUMIFS('recurring2_based on steps'!$B84:$AY84,'recurring2_based on steps'!$B$1:$AY$1,AD$1)+SUMIFS('changes2_based on steps'!$B84:$U84,'changes2_based on steps'!$B$1:$U$1,AD$1)</f>
        <v>0</v>
      </c>
      <c r="AE84" s="179">
        <f>SUMIFS('recurring2_based on steps'!$B84:$AY84,'recurring2_based on steps'!$B$1:$AY$1,AE$1)+SUMIFS('changes2_based on steps'!$B84:$U84,'changes2_based on steps'!$B$1:$U$1,AE$1)</f>
        <v>0</v>
      </c>
      <c r="AF84" s="179"/>
      <c r="AG84" s="179"/>
      <c r="AH84" s="179"/>
      <c r="AI84" s="179"/>
      <c r="AJ84" s="179"/>
      <c r="AK84" s="179"/>
      <c r="AL84" s="179"/>
      <c r="AM84" s="179"/>
    </row>
    <row r="85" spans="1:39" x14ac:dyDescent="0.2">
      <c r="A85" s="32">
        <f t="shared" ca="1" si="1"/>
        <v>45827</v>
      </c>
      <c r="B85" s="179">
        <f>SUMIFS('recurring2_based on steps'!$B85:$AY85,'recurring2_based on steps'!$B$1:$AY$1,B$1)+SUMIFS('changes2_based on steps'!$B85:$U85,'changes2_based on steps'!$B$1:$U$1,B$1)</f>
        <v>0</v>
      </c>
      <c r="C85" s="179">
        <f>SUMIFS('recurring2_based on steps'!$B85:$AY85,'recurring2_based on steps'!$B$1:$AY$1,C$1)+SUMIFS('changes2_based on steps'!$B85:$U85,'changes2_based on steps'!$B$1:$U$1,C$1)</f>
        <v>0</v>
      </c>
      <c r="D85" s="179">
        <f>SUMIFS('recurring2_based on steps'!$B85:$AY85,'recurring2_based on steps'!$B$1:$AY$1,D$1)+SUMIFS('changes2_based on steps'!$B85:$U85,'changes2_based on steps'!$B$1:$U$1,D$1)</f>
        <v>0</v>
      </c>
      <c r="E85" s="179">
        <f>SUMIFS('recurring2_based on steps'!$B85:$AY85,'recurring2_based on steps'!$B$1:$AY$1,E$1)+SUMIFS('changes2_based on steps'!$B85:$U85,'changes2_based on steps'!$B$1:$U$1,E$1)</f>
        <v>0</v>
      </c>
      <c r="F85" s="179">
        <f>SUMIFS('recurring2_based on steps'!$B85:$AY85,'recurring2_based on steps'!$B$1:$AY$1,F$1)+SUMIFS('changes2_based on steps'!$B85:$U85,'changes2_based on steps'!$B$1:$U$1,F$1)</f>
        <v>0</v>
      </c>
      <c r="G85" s="179">
        <f>SUMIFS('recurring2_based on steps'!$B85:$AY85,'recurring2_based on steps'!$B$1:$AY$1,G$1)+SUMIFS('changes2_based on steps'!$B85:$U85,'changes2_based on steps'!$B$1:$U$1,G$1)</f>
        <v>0</v>
      </c>
      <c r="H85" s="179">
        <f>SUMIFS('recurring2_based on steps'!$B85:$AY85,'recurring2_based on steps'!$B$1:$AY$1,H$1)+SUMIFS('changes2_based on steps'!$B85:$U85,'changes2_based on steps'!$B$1:$U$1,H$1)</f>
        <v>0</v>
      </c>
      <c r="I85" s="179">
        <f>SUMIFS('recurring2_based on steps'!$B85:$AY85,'recurring2_based on steps'!$B$1:$AY$1,I$1)+SUMIFS('changes2_based on steps'!$B85:$U85,'changes2_based on steps'!$B$1:$U$1,I$1)</f>
        <v>0</v>
      </c>
      <c r="J85" s="179">
        <f>SUMIFS('recurring2_based on steps'!$B85:$AY85,'recurring2_based on steps'!$B$1:$AY$1,J$1)+SUMIFS('changes2_based on steps'!$B85:$U85,'changes2_based on steps'!$B$1:$U$1,J$1)</f>
        <v>0</v>
      </c>
      <c r="K85" s="179">
        <f>SUMIFS('recurring2_based on steps'!$B85:$AY85,'recurring2_based on steps'!$B$1:$AY$1,K$1)+SUMIFS('changes2_based on steps'!$B85:$U85,'changes2_based on steps'!$B$1:$U$1,K$1)</f>
        <v>0</v>
      </c>
      <c r="L85" s="179">
        <f>SUMIFS('recurring2_based on steps'!$B85:$AY85,'recurring2_based on steps'!$B$1:$AY$1,L$1)+SUMIFS('changes2_based on steps'!$B85:$U85,'changes2_based on steps'!$B$1:$U$1,L$1)</f>
        <v>0</v>
      </c>
      <c r="M85" s="179">
        <f>SUMIFS('recurring2_based on steps'!$B85:$AY85,'recurring2_based on steps'!$B$1:$AY$1,M$1)+SUMIFS('changes2_based on steps'!$B85:$U85,'changes2_based on steps'!$B$1:$U$1,M$1)</f>
        <v>0</v>
      </c>
      <c r="N85" s="179">
        <f>SUMIFS('recurring2_based on steps'!$B85:$AY85,'recurring2_based on steps'!$B$1:$AY$1,N$1)+SUMIFS('changes2_based on steps'!$B85:$U85,'changes2_based on steps'!$B$1:$U$1,N$1)</f>
        <v>0</v>
      </c>
      <c r="O85" s="179">
        <f>SUMIFS('recurring2_based on steps'!$B85:$AY85,'recurring2_based on steps'!$B$1:$AY$1,O$1)+SUMIFS('changes2_based on steps'!$B85:$U85,'changes2_based on steps'!$B$1:$U$1,O$1)</f>
        <v>0</v>
      </c>
      <c r="P85" s="179">
        <f>SUMIFS('recurring2_based on steps'!$B85:$AY85,'recurring2_based on steps'!$B$1:$AY$1,P$1)+SUMIFS('changes2_based on steps'!$B85:$U85,'changes2_based on steps'!$B$1:$U$1,P$1)</f>
        <v>0</v>
      </c>
      <c r="Q85" s="179">
        <f>SUMIFS('recurring2_based on steps'!$B85:$AY85,'recurring2_based on steps'!$B$1:$AY$1,Q$1)+SUMIFS('changes2_based on steps'!$B85:$U85,'changes2_based on steps'!$B$1:$U$1,Q$1)</f>
        <v>0</v>
      </c>
      <c r="R85" s="179">
        <f>SUMIFS('recurring2_based on steps'!$B85:$AY85,'recurring2_based on steps'!$B$1:$AY$1,R$1)+SUMIFS('changes2_based on steps'!$B85:$U85,'changes2_based on steps'!$B$1:$U$1,R$1)</f>
        <v>0</v>
      </c>
      <c r="S85" s="179">
        <f>SUMIFS('recurring2_based on steps'!$B85:$AY85,'recurring2_based on steps'!$B$1:$AY$1,S$1)+SUMIFS('changes2_based on steps'!$B85:$U85,'changes2_based on steps'!$B$1:$U$1,S$1)</f>
        <v>0</v>
      </c>
      <c r="T85" s="179">
        <f>SUMIFS('recurring2_based on steps'!$B85:$AY85,'recurring2_based on steps'!$B$1:$AY$1,T$1)+SUMIFS('changes2_based on steps'!$B85:$U85,'changes2_based on steps'!$B$1:$U$1,T$1)</f>
        <v>0</v>
      </c>
      <c r="U85" s="179">
        <f>SUMIFS('recurring2_based on steps'!$B85:$AY85,'recurring2_based on steps'!$B$1:$AY$1,U$1)+SUMIFS('changes2_based on steps'!$B85:$U85,'changes2_based on steps'!$B$1:$U$1,U$1)</f>
        <v>0</v>
      </c>
      <c r="V85" s="179">
        <f>SUMIFS('recurring2_based on steps'!$B85:$AY85,'recurring2_based on steps'!$B$1:$AY$1,V$1)+SUMIFS('changes2_based on steps'!$B85:$U85,'changes2_based on steps'!$B$1:$U$1,V$1)</f>
        <v>0</v>
      </c>
      <c r="W85" s="179">
        <f>SUMIFS('recurring2_based on steps'!$B85:$AY85,'recurring2_based on steps'!$B$1:$AY$1,W$1)+SUMIFS('changes2_based on steps'!$B85:$U85,'changes2_based on steps'!$B$1:$U$1,W$1)</f>
        <v>0</v>
      </c>
      <c r="X85" s="179">
        <f>SUMIFS('recurring2_based on steps'!$B85:$AY85,'recurring2_based on steps'!$B$1:$AY$1,X$1)+SUMIFS('changes2_based on steps'!$B85:$U85,'changes2_based on steps'!$B$1:$U$1,X$1)</f>
        <v>0</v>
      </c>
      <c r="Y85" s="179">
        <f>SUMIFS('recurring2_based on steps'!$B85:$AY85,'recurring2_based on steps'!$B$1:$AY$1,Y$1)+SUMIFS('changes2_based on steps'!$B85:$U85,'changes2_based on steps'!$B$1:$U$1,Y$1)</f>
        <v>0</v>
      </c>
      <c r="Z85" s="179">
        <f>SUMIFS('recurring2_based on steps'!$B85:$AY85,'recurring2_based on steps'!$B$1:$AY$1,Z$1)+SUMIFS('changes2_based on steps'!$B85:$U85,'changes2_based on steps'!$B$1:$U$1,Z$1)</f>
        <v>0</v>
      </c>
      <c r="AA85" s="179">
        <f>SUMIFS('recurring2_based on steps'!$B85:$AY85,'recurring2_based on steps'!$B$1:$AY$1,AA$1)+SUMIFS('changes2_based on steps'!$B85:$U85,'changes2_based on steps'!$B$1:$U$1,AA$1)</f>
        <v>0</v>
      </c>
      <c r="AB85" s="179">
        <f>SUMIFS('recurring2_based on steps'!$B85:$AY85,'recurring2_based on steps'!$B$1:$AY$1,AB$1)+SUMIFS('changes2_based on steps'!$B85:$U85,'changes2_based on steps'!$B$1:$U$1,AB$1)</f>
        <v>0</v>
      </c>
      <c r="AC85" s="179">
        <f>SUMIFS('recurring2_based on steps'!$B85:$AY85,'recurring2_based on steps'!$B$1:$AY$1,AC$1)+SUMIFS('changes2_based on steps'!$B85:$U85,'changes2_based on steps'!$B$1:$U$1,AC$1)</f>
        <v>0</v>
      </c>
      <c r="AD85" s="179">
        <f>SUMIFS('recurring2_based on steps'!$B85:$AY85,'recurring2_based on steps'!$B$1:$AY$1,AD$1)+SUMIFS('changes2_based on steps'!$B85:$U85,'changes2_based on steps'!$B$1:$U$1,AD$1)</f>
        <v>0</v>
      </c>
      <c r="AE85" s="179">
        <f>SUMIFS('recurring2_based on steps'!$B85:$AY85,'recurring2_based on steps'!$B$1:$AY$1,AE$1)+SUMIFS('changes2_based on steps'!$B85:$U85,'changes2_based on steps'!$B$1:$U$1,AE$1)</f>
        <v>0</v>
      </c>
      <c r="AF85" s="179"/>
      <c r="AG85" s="179"/>
      <c r="AH85" s="179"/>
      <c r="AI85" s="179"/>
      <c r="AJ85" s="179"/>
      <c r="AK85" s="179"/>
      <c r="AL85" s="179"/>
      <c r="AM85" s="179"/>
    </row>
    <row r="86" spans="1:39" x14ac:dyDescent="0.2">
      <c r="A86" s="32">
        <f t="shared" ca="1" si="1"/>
        <v>45828</v>
      </c>
      <c r="B86" s="179">
        <f>SUMIFS('recurring2_based on steps'!$B86:$AY86,'recurring2_based on steps'!$B$1:$AY$1,B$1)+SUMIFS('changes2_based on steps'!$B86:$U86,'changes2_based on steps'!$B$1:$U$1,B$1)</f>
        <v>0</v>
      </c>
      <c r="C86" s="179">
        <f>SUMIFS('recurring2_based on steps'!$B86:$AY86,'recurring2_based on steps'!$B$1:$AY$1,C$1)+SUMIFS('changes2_based on steps'!$B86:$U86,'changes2_based on steps'!$B$1:$U$1,C$1)</f>
        <v>0</v>
      </c>
      <c r="D86" s="179">
        <f>SUMIFS('recurring2_based on steps'!$B86:$AY86,'recurring2_based on steps'!$B$1:$AY$1,D$1)+SUMIFS('changes2_based on steps'!$B86:$U86,'changes2_based on steps'!$B$1:$U$1,D$1)</f>
        <v>0</v>
      </c>
      <c r="E86" s="179">
        <f>SUMIFS('recurring2_based on steps'!$B86:$AY86,'recurring2_based on steps'!$B$1:$AY$1,E$1)+SUMIFS('changes2_based on steps'!$B86:$U86,'changes2_based on steps'!$B$1:$U$1,E$1)</f>
        <v>0</v>
      </c>
      <c r="F86" s="179">
        <f>SUMIFS('recurring2_based on steps'!$B86:$AY86,'recurring2_based on steps'!$B$1:$AY$1,F$1)+SUMIFS('changes2_based on steps'!$B86:$U86,'changes2_based on steps'!$B$1:$U$1,F$1)</f>
        <v>0</v>
      </c>
      <c r="G86" s="179">
        <f>SUMIFS('recurring2_based on steps'!$B86:$AY86,'recurring2_based on steps'!$B$1:$AY$1,G$1)+SUMIFS('changes2_based on steps'!$B86:$U86,'changes2_based on steps'!$B$1:$U$1,G$1)</f>
        <v>0</v>
      </c>
      <c r="H86" s="179">
        <f>SUMIFS('recurring2_based on steps'!$B86:$AY86,'recurring2_based on steps'!$B$1:$AY$1,H$1)+SUMIFS('changes2_based on steps'!$B86:$U86,'changes2_based on steps'!$B$1:$U$1,H$1)</f>
        <v>0</v>
      </c>
      <c r="I86" s="179">
        <f>SUMIFS('recurring2_based on steps'!$B86:$AY86,'recurring2_based on steps'!$B$1:$AY$1,I$1)+SUMIFS('changes2_based on steps'!$B86:$U86,'changes2_based on steps'!$B$1:$U$1,I$1)</f>
        <v>0</v>
      </c>
      <c r="J86" s="179">
        <f>SUMIFS('recurring2_based on steps'!$B86:$AY86,'recurring2_based on steps'!$B$1:$AY$1,J$1)+SUMIFS('changes2_based on steps'!$B86:$U86,'changes2_based on steps'!$B$1:$U$1,J$1)</f>
        <v>0</v>
      </c>
      <c r="K86" s="179">
        <f>SUMIFS('recurring2_based on steps'!$B86:$AY86,'recurring2_based on steps'!$B$1:$AY$1,K$1)+SUMIFS('changes2_based on steps'!$B86:$U86,'changes2_based on steps'!$B$1:$U$1,K$1)</f>
        <v>0</v>
      </c>
      <c r="L86" s="179">
        <f>SUMIFS('recurring2_based on steps'!$B86:$AY86,'recurring2_based on steps'!$B$1:$AY$1,L$1)+SUMIFS('changes2_based on steps'!$B86:$U86,'changes2_based on steps'!$B$1:$U$1,L$1)</f>
        <v>0</v>
      </c>
      <c r="M86" s="179">
        <f>SUMIFS('recurring2_based on steps'!$B86:$AY86,'recurring2_based on steps'!$B$1:$AY$1,M$1)+SUMIFS('changes2_based on steps'!$B86:$U86,'changes2_based on steps'!$B$1:$U$1,M$1)</f>
        <v>0</v>
      </c>
      <c r="N86" s="179">
        <f>SUMIFS('recurring2_based on steps'!$B86:$AY86,'recurring2_based on steps'!$B$1:$AY$1,N$1)+SUMIFS('changes2_based on steps'!$B86:$U86,'changes2_based on steps'!$B$1:$U$1,N$1)</f>
        <v>0</v>
      </c>
      <c r="O86" s="179">
        <f>SUMIFS('recurring2_based on steps'!$B86:$AY86,'recurring2_based on steps'!$B$1:$AY$1,O$1)+SUMIFS('changes2_based on steps'!$B86:$U86,'changes2_based on steps'!$B$1:$U$1,O$1)</f>
        <v>0</v>
      </c>
      <c r="P86" s="179">
        <f>SUMIFS('recurring2_based on steps'!$B86:$AY86,'recurring2_based on steps'!$B$1:$AY$1,P$1)+SUMIFS('changes2_based on steps'!$B86:$U86,'changes2_based on steps'!$B$1:$U$1,P$1)</f>
        <v>0</v>
      </c>
      <c r="Q86" s="179">
        <f>SUMIFS('recurring2_based on steps'!$B86:$AY86,'recurring2_based on steps'!$B$1:$AY$1,Q$1)+SUMIFS('changes2_based on steps'!$B86:$U86,'changes2_based on steps'!$B$1:$U$1,Q$1)</f>
        <v>0</v>
      </c>
      <c r="R86" s="179">
        <f>SUMIFS('recurring2_based on steps'!$B86:$AY86,'recurring2_based on steps'!$B$1:$AY$1,R$1)+SUMIFS('changes2_based on steps'!$B86:$U86,'changes2_based on steps'!$B$1:$U$1,R$1)</f>
        <v>0</v>
      </c>
      <c r="S86" s="179">
        <f>SUMIFS('recurring2_based on steps'!$B86:$AY86,'recurring2_based on steps'!$B$1:$AY$1,S$1)+SUMIFS('changes2_based on steps'!$B86:$U86,'changes2_based on steps'!$B$1:$U$1,S$1)</f>
        <v>0</v>
      </c>
      <c r="T86" s="179">
        <f>SUMIFS('recurring2_based on steps'!$B86:$AY86,'recurring2_based on steps'!$B$1:$AY$1,T$1)+SUMIFS('changes2_based on steps'!$B86:$U86,'changes2_based on steps'!$B$1:$U$1,T$1)</f>
        <v>0</v>
      </c>
      <c r="U86" s="179">
        <f>SUMIFS('recurring2_based on steps'!$B86:$AY86,'recurring2_based on steps'!$B$1:$AY$1,U$1)+SUMIFS('changes2_based on steps'!$B86:$U86,'changes2_based on steps'!$B$1:$U$1,U$1)</f>
        <v>0</v>
      </c>
      <c r="V86" s="179">
        <f>SUMIFS('recurring2_based on steps'!$B86:$AY86,'recurring2_based on steps'!$B$1:$AY$1,V$1)+SUMIFS('changes2_based on steps'!$B86:$U86,'changes2_based on steps'!$B$1:$U$1,V$1)</f>
        <v>0</v>
      </c>
      <c r="W86" s="179">
        <f>SUMIFS('recurring2_based on steps'!$B86:$AY86,'recurring2_based on steps'!$B$1:$AY$1,W$1)+SUMIFS('changes2_based on steps'!$B86:$U86,'changes2_based on steps'!$B$1:$U$1,W$1)</f>
        <v>0</v>
      </c>
      <c r="X86" s="179">
        <f>SUMIFS('recurring2_based on steps'!$B86:$AY86,'recurring2_based on steps'!$B$1:$AY$1,X$1)+SUMIFS('changes2_based on steps'!$B86:$U86,'changes2_based on steps'!$B$1:$U$1,X$1)</f>
        <v>0</v>
      </c>
      <c r="Y86" s="179">
        <f>SUMIFS('recurring2_based on steps'!$B86:$AY86,'recurring2_based on steps'!$B$1:$AY$1,Y$1)+SUMIFS('changes2_based on steps'!$B86:$U86,'changes2_based on steps'!$B$1:$U$1,Y$1)</f>
        <v>0</v>
      </c>
      <c r="Z86" s="179">
        <f>SUMIFS('recurring2_based on steps'!$B86:$AY86,'recurring2_based on steps'!$B$1:$AY$1,Z$1)+SUMIFS('changes2_based on steps'!$B86:$U86,'changes2_based on steps'!$B$1:$U$1,Z$1)</f>
        <v>0</v>
      </c>
      <c r="AA86" s="179">
        <f>SUMIFS('recurring2_based on steps'!$B86:$AY86,'recurring2_based on steps'!$B$1:$AY$1,AA$1)+SUMIFS('changes2_based on steps'!$B86:$U86,'changes2_based on steps'!$B$1:$U$1,AA$1)</f>
        <v>0</v>
      </c>
      <c r="AB86" s="179">
        <f>SUMIFS('recurring2_based on steps'!$B86:$AY86,'recurring2_based on steps'!$B$1:$AY$1,AB$1)+SUMIFS('changes2_based on steps'!$B86:$U86,'changes2_based on steps'!$B$1:$U$1,AB$1)</f>
        <v>0</v>
      </c>
      <c r="AC86" s="179">
        <f>SUMIFS('recurring2_based on steps'!$B86:$AY86,'recurring2_based on steps'!$B$1:$AY$1,AC$1)+SUMIFS('changes2_based on steps'!$B86:$U86,'changes2_based on steps'!$B$1:$U$1,AC$1)</f>
        <v>0</v>
      </c>
      <c r="AD86" s="179">
        <f>SUMIFS('recurring2_based on steps'!$B86:$AY86,'recurring2_based on steps'!$B$1:$AY$1,AD$1)+SUMIFS('changes2_based on steps'!$B86:$U86,'changes2_based on steps'!$B$1:$U$1,AD$1)</f>
        <v>0</v>
      </c>
      <c r="AE86" s="179">
        <f>SUMIFS('recurring2_based on steps'!$B86:$AY86,'recurring2_based on steps'!$B$1:$AY$1,AE$1)+SUMIFS('changes2_based on steps'!$B86:$U86,'changes2_based on steps'!$B$1:$U$1,AE$1)</f>
        <v>0</v>
      </c>
      <c r="AF86" s="179"/>
      <c r="AG86" s="179"/>
      <c r="AH86" s="179"/>
      <c r="AI86" s="179"/>
      <c r="AJ86" s="179"/>
      <c r="AK86" s="179"/>
      <c r="AL86" s="179"/>
      <c r="AM86" s="179"/>
    </row>
    <row r="87" spans="1:39" x14ac:dyDescent="0.2">
      <c r="A87" s="32">
        <f t="shared" ca="1" si="1"/>
        <v>45829</v>
      </c>
      <c r="B87" s="179">
        <f>SUMIFS('recurring2_based on steps'!$B87:$AY87,'recurring2_based on steps'!$B$1:$AY$1,B$1)+SUMIFS('changes2_based on steps'!$B87:$U87,'changes2_based on steps'!$B$1:$U$1,B$1)</f>
        <v>0</v>
      </c>
      <c r="C87" s="179">
        <f>SUMIFS('recurring2_based on steps'!$B87:$AY87,'recurring2_based on steps'!$B$1:$AY$1,C$1)+SUMIFS('changes2_based on steps'!$B87:$U87,'changes2_based on steps'!$B$1:$U$1,C$1)</f>
        <v>0</v>
      </c>
      <c r="D87" s="179">
        <f>SUMIFS('recurring2_based on steps'!$B87:$AY87,'recurring2_based on steps'!$B$1:$AY$1,D$1)+SUMIFS('changes2_based on steps'!$B87:$U87,'changes2_based on steps'!$B$1:$U$1,D$1)</f>
        <v>0</v>
      </c>
      <c r="E87" s="179">
        <f>SUMIFS('recurring2_based on steps'!$B87:$AY87,'recurring2_based on steps'!$B$1:$AY$1,E$1)+SUMIFS('changes2_based on steps'!$B87:$U87,'changes2_based on steps'!$B$1:$U$1,E$1)</f>
        <v>0</v>
      </c>
      <c r="F87" s="179">
        <f>SUMIFS('recurring2_based on steps'!$B87:$AY87,'recurring2_based on steps'!$B$1:$AY$1,F$1)+SUMIFS('changes2_based on steps'!$B87:$U87,'changes2_based on steps'!$B$1:$U$1,F$1)</f>
        <v>0</v>
      </c>
      <c r="G87" s="179">
        <f>SUMIFS('recurring2_based on steps'!$B87:$AY87,'recurring2_based on steps'!$B$1:$AY$1,G$1)+SUMIFS('changes2_based on steps'!$B87:$U87,'changes2_based on steps'!$B$1:$U$1,G$1)</f>
        <v>0</v>
      </c>
      <c r="H87" s="179">
        <f>SUMIFS('recurring2_based on steps'!$B87:$AY87,'recurring2_based on steps'!$B$1:$AY$1,H$1)+SUMIFS('changes2_based on steps'!$B87:$U87,'changes2_based on steps'!$B$1:$U$1,H$1)</f>
        <v>0</v>
      </c>
      <c r="I87" s="179">
        <f>SUMIFS('recurring2_based on steps'!$B87:$AY87,'recurring2_based on steps'!$B$1:$AY$1,I$1)+SUMIFS('changes2_based on steps'!$B87:$U87,'changes2_based on steps'!$B$1:$U$1,I$1)</f>
        <v>0</v>
      </c>
      <c r="J87" s="179">
        <f>SUMIFS('recurring2_based on steps'!$B87:$AY87,'recurring2_based on steps'!$B$1:$AY$1,J$1)+SUMIFS('changes2_based on steps'!$B87:$U87,'changes2_based on steps'!$B$1:$U$1,J$1)</f>
        <v>0</v>
      </c>
      <c r="K87" s="179">
        <f>SUMIFS('recurring2_based on steps'!$B87:$AY87,'recurring2_based on steps'!$B$1:$AY$1,K$1)+SUMIFS('changes2_based on steps'!$B87:$U87,'changes2_based on steps'!$B$1:$U$1,K$1)</f>
        <v>0</v>
      </c>
      <c r="L87" s="179">
        <f>SUMIFS('recurring2_based on steps'!$B87:$AY87,'recurring2_based on steps'!$B$1:$AY$1,L$1)+SUMIFS('changes2_based on steps'!$B87:$U87,'changes2_based on steps'!$B$1:$U$1,L$1)</f>
        <v>0</v>
      </c>
      <c r="M87" s="179">
        <f>SUMIFS('recurring2_based on steps'!$B87:$AY87,'recurring2_based on steps'!$B$1:$AY$1,M$1)+SUMIFS('changes2_based on steps'!$B87:$U87,'changes2_based on steps'!$B$1:$U$1,M$1)</f>
        <v>0</v>
      </c>
      <c r="N87" s="179">
        <f>SUMIFS('recurring2_based on steps'!$B87:$AY87,'recurring2_based on steps'!$B$1:$AY$1,N$1)+SUMIFS('changes2_based on steps'!$B87:$U87,'changes2_based on steps'!$B$1:$U$1,N$1)</f>
        <v>0</v>
      </c>
      <c r="O87" s="179">
        <f>SUMIFS('recurring2_based on steps'!$B87:$AY87,'recurring2_based on steps'!$B$1:$AY$1,O$1)+SUMIFS('changes2_based on steps'!$B87:$U87,'changes2_based on steps'!$B$1:$U$1,O$1)</f>
        <v>0</v>
      </c>
      <c r="P87" s="179">
        <f>SUMIFS('recurring2_based on steps'!$B87:$AY87,'recurring2_based on steps'!$B$1:$AY$1,P$1)+SUMIFS('changes2_based on steps'!$B87:$U87,'changes2_based on steps'!$B$1:$U$1,P$1)</f>
        <v>0</v>
      </c>
      <c r="Q87" s="179">
        <f>SUMIFS('recurring2_based on steps'!$B87:$AY87,'recurring2_based on steps'!$B$1:$AY$1,Q$1)+SUMIFS('changes2_based on steps'!$B87:$U87,'changes2_based on steps'!$B$1:$U$1,Q$1)</f>
        <v>0</v>
      </c>
      <c r="R87" s="179">
        <f>SUMIFS('recurring2_based on steps'!$B87:$AY87,'recurring2_based on steps'!$B$1:$AY$1,R$1)+SUMIFS('changes2_based on steps'!$B87:$U87,'changes2_based on steps'!$B$1:$U$1,R$1)</f>
        <v>0</v>
      </c>
      <c r="S87" s="179">
        <f>SUMIFS('recurring2_based on steps'!$B87:$AY87,'recurring2_based on steps'!$B$1:$AY$1,S$1)+SUMIFS('changes2_based on steps'!$B87:$U87,'changes2_based on steps'!$B$1:$U$1,S$1)</f>
        <v>0</v>
      </c>
      <c r="T87" s="179">
        <f>SUMIFS('recurring2_based on steps'!$B87:$AY87,'recurring2_based on steps'!$B$1:$AY$1,T$1)+SUMIFS('changes2_based on steps'!$B87:$U87,'changes2_based on steps'!$B$1:$U$1,T$1)</f>
        <v>0</v>
      </c>
      <c r="U87" s="179">
        <f>SUMIFS('recurring2_based on steps'!$B87:$AY87,'recurring2_based on steps'!$B$1:$AY$1,U$1)+SUMIFS('changes2_based on steps'!$B87:$U87,'changes2_based on steps'!$B$1:$U$1,U$1)</f>
        <v>0</v>
      </c>
      <c r="V87" s="179">
        <f>SUMIFS('recurring2_based on steps'!$B87:$AY87,'recurring2_based on steps'!$B$1:$AY$1,V$1)+SUMIFS('changes2_based on steps'!$B87:$U87,'changes2_based on steps'!$B$1:$U$1,V$1)</f>
        <v>0</v>
      </c>
      <c r="W87" s="179">
        <f>SUMIFS('recurring2_based on steps'!$B87:$AY87,'recurring2_based on steps'!$B$1:$AY$1,W$1)+SUMIFS('changes2_based on steps'!$B87:$U87,'changes2_based on steps'!$B$1:$U$1,W$1)</f>
        <v>0</v>
      </c>
      <c r="X87" s="179">
        <f>SUMIFS('recurring2_based on steps'!$B87:$AY87,'recurring2_based on steps'!$B$1:$AY$1,X$1)+SUMIFS('changes2_based on steps'!$B87:$U87,'changes2_based on steps'!$B$1:$U$1,X$1)</f>
        <v>0</v>
      </c>
      <c r="Y87" s="179">
        <f>SUMIFS('recurring2_based on steps'!$B87:$AY87,'recurring2_based on steps'!$B$1:$AY$1,Y$1)+SUMIFS('changes2_based on steps'!$B87:$U87,'changes2_based on steps'!$B$1:$U$1,Y$1)</f>
        <v>0</v>
      </c>
      <c r="Z87" s="179">
        <f>SUMIFS('recurring2_based on steps'!$B87:$AY87,'recurring2_based on steps'!$B$1:$AY$1,Z$1)+SUMIFS('changes2_based on steps'!$B87:$U87,'changes2_based on steps'!$B$1:$U$1,Z$1)</f>
        <v>0</v>
      </c>
      <c r="AA87" s="179">
        <f>SUMIFS('recurring2_based on steps'!$B87:$AY87,'recurring2_based on steps'!$B$1:$AY$1,AA$1)+SUMIFS('changes2_based on steps'!$B87:$U87,'changes2_based on steps'!$B$1:$U$1,AA$1)</f>
        <v>0</v>
      </c>
      <c r="AB87" s="179">
        <f>SUMIFS('recurring2_based on steps'!$B87:$AY87,'recurring2_based on steps'!$B$1:$AY$1,AB$1)+SUMIFS('changes2_based on steps'!$B87:$U87,'changes2_based on steps'!$B$1:$U$1,AB$1)</f>
        <v>0</v>
      </c>
      <c r="AC87" s="179">
        <f>SUMIFS('recurring2_based on steps'!$B87:$AY87,'recurring2_based on steps'!$B$1:$AY$1,AC$1)+SUMIFS('changes2_based on steps'!$B87:$U87,'changes2_based on steps'!$B$1:$U$1,AC$1)</f>
        <v>0</v>
      </c>
      <c r="AD87" s="179">
        <f>SUMIFS('recurring2_based on steps'!$B87:$AY87,'recurring2_based on steps'!$B$1:$AY$1,AD$1)+SUMIFS('changes2_based on steps'!$B87:$U87,'changes2_based on steps'!$B$1:$U$1,AD$1)</f>
        <v>0</v>
      </c>
      <c r="AE87" s="179">
        <f>SUMIFS('recurring2_based on steps'!$B87:$AY87,'recurring2_based on steps'!$B$1:$AY$1,AE$1)+SUMIFS('changes2_based on steps'!$B87:$U87,'changes2_based on steps'!$B$1:$U$1,AE$1)</f>
        <v>0</v>
      </c>
      <c r="AF87" s="179"/>
      <c r="AG87" s="179"/>
      <c r="AH87" s="179"/>
      <c r="AI87" s="179"/>
      <c r="AJ87" s="179"/>
      <c r="AK87" s="179"/>
      <c r="AL87" s="179"/>
      <c r="AM87" s="179"/>
    </row>
    <row r="88" spans="1:39" x14ac:dyDescent="0.2">
      <c r="A88" s="32">
        <f t="shared" ca="1" si="1"/>
        <v>45830</v>
      </c>
      <c r="B88" s="179">
        <f>SUMIFS('recurring2_based on steps'!$B88:$AY88,'recurring2_based on steps'!$B$1:$AY$1,B$1)+SUMIFS('changes2_based on steps'!$B88:$U88,'changes2_based on steps'!$B$1:$U$1,B$1)</f>
        <v>0</v>
      </c>
      <c r="C88" s="179">
        <f>SUMIFS('recurring2_based on steps'!$B88:$AY88,'recurring2_based on steps'!$B$1:$AY$1,C$1)+SUMIFS('changes2_based on steps'!$B88:$U88,'changes2_based on steps'!$B$1:$U$1,C$1)</f>
        <v>0</v>
      </c>
      <c r="D88" s="179">
        <f>SUMIFS('recurring2_based on steps'!$B88:$AY88,'recurring2_based on steps'!$B$1:$AY$1,D$1)+SUMIFS('changes2_based on steps'!$B88:$U88,'changes2_based on steps'!$B$1:$U$1,D$1)</f>
        <v>0</v>
      </c>
      <c r="E88" s="179">
        <f>SUMIFS('recurring2_based on steps'!$B88:$AY88,'recurring2_based on steps'!$B$1:$AY$1,E$1)+SUMIFS('changes2_based on steps'!$B88:$U88,'changes2_based on steps'!$B$1:$U$1,E$1)</f>
        <v>0</v>
      </c>
      <c r="F88" s="179">
        <f>SUMIFS('recurring2_based on steps'!$B88:$AY88,'recurring2_based on steps'!$B$1:$AY$1,F$1)+SUMIFS('changes2_based on steps'!$B88:$U88,'changes2_based on steps'!$B$1:$U$1,F$1)</f>
        <v>0</v>
      </c>
      <c r="G88" s="179">
        <f>SUMIFS('recurring2_based on steps'!$B88:$AY88,'recurring2_based on steps'!$B$1:$AY$1,G$1)+SUMIFS('changes2_based on steps'!$B88:$U88,'changes2_based on steps'!$B$1:$U$1,G$1)</f>
        <v>0</v>
      </c>
      <c r="H88" s="179">
        <f>SUMIFS('recurring2_based on steps'!$B88:$AY88,'recurring2_based on steps'!$B$1:$AY$1,H$1)+SUMIFS('changes2_based on steps'!$B88:$U88,'changes2_based on steps'!$B$1:$U$1,H$1)</f>
        <v>0</v>
      </c>
      <c r="I88" s="179">
        <f>SUMIFS('recurring2_based on steps'!$B88:$AY88,'recurring2_based on steps'!$B$1:$AY$1,I$1)+SUMIFS('changes2_based on steps'!$B88:$U88,'changes2_based on steps'!$B$1:$U$1,I$1)</f>
        <v>0</v>
      </c>
      <c r="J88" s="179">
        <f>SUMIFS('recurring2_based on steps'!$B88:$AY88,'recurring2_based on steps'!$B$1:$AY$1,J$1)+SUMIFS('changes2_based on steps'!$B88:$U88,'changes2_based on steps'!$B$1:$U$1,J$1)</f>
        <v>0</v>
      </c>
      <c r="K88" s="179">
        <f>SUMIFS('recurring2_based on steps'!$B88:$AY88,'recurring2_based on steps'!$B$1:$AY$1,K$1)+SUMIFS('changes2_based on steps'!$B88:$U88,'changes2_based on steps'!$B$1:$U$1,K$1)</f>
        <v>0</v>
      </c>
      <c r="L88" s="179">
        <f>SUMIFS('recurring2_based on steps'!$B88:$AY88,'recurring2_based on steps'!$B$1:$AY$1,L$1)+SUMIFS('changes2_based on steps'!$B88:$U88,'changes2_based on steps'!$B$1:$U$1,L$1)</f>
        <v>0</v>
      </c>
      <c r="M88" s="179">
        <f>SUMIFS('recurring2_based on steps'!$B88:$AY88,'recurring2_based on steps'!$B$1:$AY$1,M$1)+SUMIFS('changes2_based on steps'!$B88:$U88,'changes2_based on steps'!$B$1:$U$1,M$1)</f>
        <v>0</v>
      </c>
      <c r="N88" s="179">
        <f>SUMIFS('recurring2_based on steps'!$B88:$AY88,'recurring2_based on steps'!$B$1:$AY$1,N$1)+SUMIFS('changes2_based on steps'!$B88:$U88,'changes2_based on steps'!$B$1:$U$1,N$1)</f>
        <v>0</v>
      </c>
      <c r="O88" s="179">
        <f>SUMIFS('recurring2_based on steps'!$B88:$AY88,'recurring2_based on steps'!$B$1:$AY$1,O$1)+SUMIFS('changes2_based on steps'!$B88:$U88,'changes2_based on steps'!$B$1:$U$1,O$1)</f>
        <v>0</v>
      </c>
      <c r="P88" s="179">
        <f>SUMIFS('recurring2_based on steps'!$B88:$AY88,'recurring2_based on steps'!$B$1:$AY$1,P$1)+SUMIFS('changes2_based on steps'!$B88:$U88,'changes2_based on steps'!$B$1:$U$1,P$1)</f>
        <v>0</v>
      </c>
      <c r="Q88" s="179">
        <f>SUMIFS('recurring2_based on steps'!$B88:$AY88,'recurring2_based on steps'!$B$1:$AY$1,Q$1)+SUMIFS('changes2_based on steps'!$B88:$U88,'changes2_based on steps'!$B$1:$U$1,Q$1)</f>
        <v>0</v>
      </c>
      <c r="R88" s="179">
        <f>SUMIFS('recurring2_based on steps'!$B88:$AY88,'recurring2_based on steps'!$B$1:$AY$1,R$1)+SUMIFS('changes2_based on steps'!$B88:$U88,'changes2_based on steps'!$B$1:$U$1,R$1)</f>
        <v>0</v>
      </c>
      <c r="S88" s="179">
        <f>SUMIFS('recurring2_based on steps'!$B88:$AY88,'recurring2_based on steps'!$B$1:$AY$1,S$1)+SUMIFS('changes2_based on steps'!$B88:$U88,'changes2_based on steps'!$B$1:$U$1,S$1)</f>
        <v>0</v>
      </c>
      <c r="T88" s="179">
        <f>SUMIFS('recurring2_based on steps'!$B88:$AY88,'recurring2_based on steps'!$B$1:$AY$1,T$1)+SUMIFS('changes2_based on steps'!$B88:$U88,'changes2_based on steps'!$B$1:$U$1,T$1)</f>
        <v>0</v>
      </c>
      <c r="U88" s="179">
        <f>SUMIFS('recurring2_based on steps'!$B88:$AY88,'recurring2_based on steps'!$B$1:$AY$1,U$1)+SUMIFS('changes2_based on steps'!$B88:$U88,'changes2_based on steps'!$B$1:$U$1,U$1)</f>
        <v>0</v>
      </c>
      <c r="V88" s="179">
        <f>SUMIFS('recurring2_based on steps'!$B88:$AY88,'recurring2_based on steps'!$B$1:$AY$1,V$1)+SUMIFS('changes2_based on steps'!$B88:$U88,'changes2_based on steps'!$B$1:$U$1,V$1)</f>
        <v>0</v>
      </c>
      <c r="W88" s="179">
        <f>SUMIFS('recurring2_based on steps'!$B88:$AY88,'recurring2_based on steps'!$B$1:$AY$1,W$1)+SUMIFS('changes2_based on steps'!$B88:$U88,'changes2_based on steps'!$B$1:$U$1,W$1)</f>
        <v>0</v>
      </c>
      <c r="X88" s="179">
        <f>SUMIFS('recurring2_based on steps'!$B88:$AY88,'recurring2_based on steps'!$B$1:$AY$1,X$1)+SUMIFS('changes2_based on steps'!$B88:$U88,'changes2_based on steps'!$B$1:$U$1,X$1)</f>
        <v>0</v>
      </c>
      <c r="Y88" s="179">
        <f>SUMIFS('recurring2_based on steps'!$B88:$AY88,'recurring2_based on steps'!$B$1:$AY$1,Y$1)+SUMIFS('changes2_based on steps'!$B88:$U88,'changes2_based on steps'!$B$1:$U$1,Y$1)</f>
        <v>0</v>
      </c>
      <c r="Z88" s="179">
        <f>SUMIFS('recurring2_based on steps'!$B88:$AY88,'recurring2_based on steps'!$B$1:$AY$1,Z$1)+SUMIFS('changes2_based on steps'!$B88:$U88,'changes2_based on steps'!$B$1:$U$1,Z$1)</f>
        <v>0</v>
      </c>
      <c r="AA88" s="179">
        <f>SUMIFS('recurring2_based on steps'!$B88:$AY88,'recurring2_based on steps'!$B$1:$AY$1,AA$1)+SUMIFS('changes2_based on steps'!$B88:$U88,'changes2_based on steps'!$B$1:$U$1,AA$1)</f>
        <v>0</v>
      </c>
      <c r="AB88" s="179">
        <f>SUMIFS('recurring2_based on steps'!$B88:$AY88,'recurring2_based on steps'!$B$1:$AY$1,AB$1)+SUMIFS('changes2_based on steps'!$B88:$U88,'changes2_based on steps'!$B$1:$U$1,AB$1)</f>
        <v>0</v>
      </c>
      <c r="AC88" s="179">
        <f>SUMIFS('recurring2_based on steps'!$B88:$AY88,'recurring2_based on steps'!$B$1:$AY$1,AC$1)+SUMIFS('changes2_based on steps'!$B88:$U88,'changes2_based on steps'!$B$1:$U$1,AC$1)</f>
        <v>0</v>
      </c>
      <c r="AD88" s="179">
        <f>SUMIFS('recurring2_based on steps'!$B88:$AY88,'recurring2_based on steps'!$B$1:$AY$1,AD$1)+SUMIFS('changes2_based on steps'!$B88:$U88,'changes2_based on steps'!$B$1:$U$1,AD$1)</f>
        <v>0</v>
      </c>
      <c r="AE88" s="179">
        <f>SUMIFS('recurring2_based on steps'!$B88:$AY88,'recurring2_based on steps'!$B$1:$AY$1,AE$1)+SUMIFS('changes2_based on steps'!$B88:$U88,'changes2_based on steps'!$B$1:$U$1,AE$1)</f>
        <v>0</v>
      </c>
      <c r="AF88" s="179"/>
      <c r="AG88" s="179"/>
      <c r="AH88" s="179"/>
      <c r="AI88" s="179"/>
      <c r="AJ88" s="179"/>
      <c r="AK88" s="179"/>
      <c r="AL88" s="179"/>
      <c r="AM88" s="179"/>
    </row>
    <row r="89" spans="1:39" x14ac:dyDescent="0.2">
      <c r="A89" s="32">
        <f t="shared" ca="1" si="1"/>
        <v>45831</v>
      </c>
      <c r="B89" s="179">
        <f>SUMIFS('recurring2_based on steps'!$B89:$AY89,'recurring2_based on steps'!$B$1:$AY$1,B$1)+SUMIFS('changes2_based on steps'!$B89:$U89,'changes2_based on steps'!$B$1:$U$1,B$1)</f>
        <v>0</v>
      </c>
      <c r="C89" s="179">
        <f>SUMIFS('recurring2_based on steps'!$B89:$AY89,'recurring2_based on steps'!$B$1:$AY$1,C$1)+SUMIFS('changes2_based on steps'!$B89:$U89,'changes2_based on steps'!$B$1:$U$1,C$1)</f>
        <v>0</v>
      </c>
      <c r="D89" s="179">
        <f>SUMIFS('recurring2_based on steps'!$B89:$AY89,'recurring2_based on steps'!$B$1:$AY$1,D$1)+SUMIFS('changes2_based on steps'!$B89:$U89,'changes2_based on steps'!$B$1:$U$1,D$1)</f>
        <v>0</v>
      </c>
      <c r="E89" s="179">
        <f>SUMIFS('recurring2_based on steps'!$B89:$AY89,'recurring2_based on steps'!$B$1:$AY$1,E$1)+SUMIFS('changes2_based on steps'!$B89:$U89,'changes2_based on steps'!$B$1:$U$1,E$1)</f>
        <v>0</v>
      </c>
      <c r="F89" s="179">
        <f>SUMIFS('recurring2_based on steps'!$B89:$AY89,'recurring2_based on steps'!$B$1:$AY$1,F$1)+SUMIFS('changes2_based on steps'!$B89:$U89,'changes2_based on steps'!$B$1:$U$1,F$1)</f>
        <v>0</v>
      </c>
      <c r="G89" s="179">
        <f>SUMIFS('recurring2_based on steps'!$B89:$AY89,'recurring2_based on steps'!$B$1:$AY$1,G$1)+SUMIFS('changes2_based on steps'!$B89:$U89,'changes2_based on steps'!$B$1:$U$1,G$1)</f>
        <v>0</v>
      </c>
      <c r="H89" s="179">
        <f>SUMIFS('recurring2_based on steps'!$B89:$AY89,'recurring2_based on steps'!$B$1:$AY$1,H$1)+SUMIFS('changes2_based on steps'!$B89:$U89,'changes2_based on steps'!$B$1:$U$1,H$1)</f>
        <v>0</v>
      </c>
      <c r="I89" s="179">
        <f>SUMIFS('recurring2_based on steps'!$B89:$AY89,'recurring2_based on steps'!$B$1:$AY$1,I$1)+SUMIFS('changes2_based on steps'!$B89:$U89,'changes2_based on steps'!$B$1:$U$1,I$1)</f>
        <v>0</v>
      </c>
      <c r="J89" s="179">
        <f>SUMIFS('recurring2_based on steps'!$B89:$AY89,'recurring2_based on steps'!$B$1:$AY$1,J$1)+SUMIFS('changes2_based on steps'!$B89:$U89,'changes2_based on steps'!$B$1:$U$1,J$1)</f>
        <v>0</v>
      </c>
      <c r="K89" s="179">
        <f>SUMIFS('recurring2_based on steps'!$B89:$AY89,'recurring2_based on steps'!$B$1:$AY$1,K$1)+SUMIFS('changes2_based on steps'!$B89:$U89,'changes2_based on steps'!$B$1:$U$1,K$1)</f>
        <v>0</v>
      </c>
      <c r="L89" s="179">
        <f>SUMIFS('recurring2_based on steps'!$B89:$AY89,'recurring2_based on steps'!$B$1:$AY$1,L$1)+SUMIFS('changes2_based on steps'!$B89:$U89,'changes2_based on steps'!$B$1:$U$1,L$1)</f>
        <v>0</v>
      </c>
      <c r="M89" s="179">
        <f>SUMIFS('recurring2_based on steps'!$B89:$AY89,'recurring2_based on steps'!$B$1:$AY$1,M$1)+SUMIFS('changes2_based on steps'!$B89:$U89,'changes2_based on steps'!$B$1:$U$1,M$1)</f>
        <v>0</v>
      </c>
      <c r="N89" s="179">
        <f>SUMIFS('recurring2_based on steps'!$B89:$AY89,'recurring2_based on steps'!$B$1:$AY$1,N$1)+SUMIFS('changes2_based on steps'!$B89:$U89,'changes2_based on steps'!$B$1:$U$1,N$1)</f>
        <v>0</v>
      </c>
      <c r="O89" s="179">
        <f>SUMIFS('recurring2_based on steps'!$B89:$AY89,'recurring2_based on steps'!$B$1:$AY$1,O$1)+SUMIFS('changes2_based on steps'!$B89:$U89,'changes2_based on steps'!$B$1:$U$1,O$1)</f>
        <v>0</v>
      </c>
      <c r="P89" s="179">
        <f>SUMIFS('recurring2_based on steps'!$B89:$AY89,'recurring2_based on steps'!$B$1:$AY$1,P$1)+SUMIFS('changes2_based on steps'!$B89:$U89,'changes2_based on steps'!$B$1:$U$1,P$1)</f>
        <v>0</v>
      </c>
      <c r="Q89" s="179">
        <f>SUMIFS('recurring2_based on steps'!$B89:$AY89,'recurring2_based on steps'!$B$1:$AY$1,Q$1)+SUMIFS('changes2_based on steps'!$B89:$U89,'changes2_based on steps'!$B$1:$U$1,Q$1)</f>
        <v>0</v>
      </c>
      <c r="R89" s="179">
        <f>SUMIFS('recurring2_based on steps'!$B89:$AY89,'recurring2_based on steps'!$B$1:$AY$1,R$1)+SUMIFS('changes2_based on steps'!$B89:$U89,'changes2_based on steps'!$B$1:$U$1,R$1)</f>
        <v>0</v>
      </c>
      <c r="S89" s="179">
        <f>SUMIFS('recurring2_based on steps'!$B89:$AY89,'recurring2_based on steps'!$B$1:$AY$1,S$1)+SUMIFS('changes2_based on steps'!$B89:$U89,'changes2_based on steps'!$B$1:$U$1,S$1)</f>
        <v>0</v>
      </c>
      <c r="T89" s="179">
        <f>SUMIFS('recurring2_based on steps'!$B89:$AY89,'recurring2_based on steps'!$B$1:$AY$1,T$1)+SUMIFS('changes2_based on steps'!$B89:$U89,'changes2_based on steps'!$B$1:$U$1,T$1)</f>
        <v>0</v>
      </c>
      <c r="U89" s="179">
        <f>SUMIFS('recurring2_based on steps'!$B89:$AY89,'recurring2_based on steps'!$B$1:$AY$1,U$1)+SUMIFS('changes2_based on steps'!$B89:$U89,'changes2_based on steps'!$B$1:$U$1,U$1)</f>
        <v>0</v>
      </c>
      <c r="V89" s="179">
        <f>SUMIFS('recurring2_based on steps'!$B89:$AY89,'recurring2_based on steps'!$B$1:$AY$1,V$1)+SUMIFS('changes2_based on steps'!$B89:$U89,'changes2_based on steps'!$B$1:$U$1,V$1)</f>
        <v>0</v>
      </c>
      <c r="W89" s="179">
        <f>SUMIFS('recurring2_based on steps'!$B89:$AY89,'recurring2_based on steps'!$B$1:$AY$1,W$1)+SUMIFS('changes2_based on steps'!$B89:$U89,'changes2_based on steps'!$B$1:$U$1,W$1)</f>
        <v>0</v>
      </c>
      <c r="X89" s="179">
        <f>SUMIFS('recurring2_based on steps'!$B89:$AY89,'recurring2_based on steps'!$B$1:$AY$1,X$1)+SUMIFS('changes2_based on steps'!$B89:$U89,'changes2_based on steps'!$B$1:$U$1,X$1)</f>
        <v>0</v>
      </c>
      <c r="Y89" s="179">
        <f>SUMIFS('recurring2_based on steps'!$B89:$AY89,'recurring2_based on steps'!$B$1:$AY$1,Y$1)+SUMIFS('changes2_based on steps'!$B89:$U89,'changes2_based on steps'!$B$1:$U$1,Y$1)</f>
        <v>0</v>
      </c>
      <c r="Z89" s="179">
        <f>SUMIFS('recurring2_based on steps'!$B89:$AY89,'recurring2_based on steps'!$B$1:$AY$1,Z$1)+SUMIFS('changes2_based on steps'!$B89:$U89,'changes2_based on steps'!$B$1:$U$1,Z$1)</f>
        <v>0</v>
      </c>
      <c r="AA89" s="179">
        <f>SUMIFS('recurring2_based on steps'!$B89:$AY89,'recurring2_based on steps'!$B$1:$AY$1,AA$1)+SUMIFS('changes2_based on steps'!$B89:$U89,'changes2_based on steps'!$B$1:$U$1,AA$1)</f>
        <v>0</v>
      </c>
      <c r="AB89" s="179">
        <f>SUMIFS('recurring2_based on steps'!$B89:$AY89,'recurring2_based on steps'!$B$1:$AY$1,AB$1)+SUMIFS('changes2_based on steps'!$B89:$U89,'changes2_based on steps'!$B$1:$U$1,AB$1)</f>
        <v>0</v>
      </c>
      <c r="AC89" s="179">
        <f>SUMIFS('recurring2_based on steps'!$B89:$AY89,'recurring2_based on steps'!$B$1:$AY$1,AC$1)+SUMIFS('changes2_based on steps'!$B89:$U89,'changes2_based on steps'!$B$1:$U$1,AC$1)</f>
        <v>0</v>
      </c>
      <c r="AD89" s="179">
        <f>SUMIFS('recurring2_based on steps'!$B89:$AY89,'recurring2_based on steps'!$B$1:$AY$1,AD$1)+SUMIFS('changes2_based on steps'!$B89:$U89,'changes2_based on steps'!$B$1:$U$1,AD$1)</f>
        <v>0</v>
      </c>
      <c r="AE89" s="179">
        <f>SUMIFS('recurring2_based on steps'!$B89:$AY89,'recurring2_based on steps'!$B$1:$AY$1,AE$1)+SUMIFS('changes2_based on steps'!$B89:$U89,'changes2_based on steps'!$B$1:$U$1,AE$1)</f>
        <v>0</v>
      </c>
      <c r="AF89" s="179"/>
      <c r="AG89" s="179"/>
      <c r="AH89" s="179"/>
      <c r="AI89" s="179"/>
      <c r="AJ89" s="179"/>
      <c r="AK89" s="179"/>
      <c r="AL89" s="179"/>
      <c r="AM89" s="179"/>
    </row>
    <row r="90" spans="1:39" x14ac:dyDescent="0.2">
      <c r="A90" s="32">
        <f t="shared" ca="1" si="1"/>
        <v>45832</v>
      </c>
      <c r="B90" s="179">
        <f>SUMIFS('recurring2_based on steps'!$B90:$AY90,'recurring2_based on steps'!$B$1:$AY$1,B$1)+SUMIFS('changes2_based on steps'!$B90:$U90,'changes2_based on steps'!$B$1:$U$1,B$1)</f>
        <v>0</v>
      </c>
      <c r="C90" s="179">
        <f>SUMIFS('recurring2_based on steps'!$B90:$AY90,'recurring2_based on steps'!$B$1:$AY$1,C$1)+SUMIFS('changes2_based on steps'!$B90:$U90,'changes2_based on steps'!$B$1:$U$1,C$1)</f>
        <v>0</v>
      </c>
      <c r="D90" s="179">
        <f>SUMIFS('recurring2_based on steps'!$B90:$AY90,'recurring2_based on steps'!$B$1:$AY$1,D$1)+SUMIFS('changes2_based on steps'!$B90:$U90,'changes2_based on steps'!$B$1:$U$1,D$1)</f>
        <v>0</v>
      </c>
      <c r="E90" s="179">
        <f>SUMIFS('recurring2_based on steps'!$B90:$AY90,'recurring2_based on steps'!$B$1:$AY$1,E$1)+SUMIFS('changes2_based on steps'!$B90:$U90,'changes2_based on steps'!$B$1:$U$1,E$1)</f>
        <v>0</v>
      </c>
      <c r="F90" s="179">
        <f>SUMIFS('recurring2_based on steps'!$B90:$AY90,'recurring2_based on steps'!$B$1:$AY$1,F$1)+SUMIFS('changes2_based on steps'!$B90:$U90,'changes2_based on steps'!$B$1:$U$1,F$1)</f>
        <v>0</v>
      </c>
      <c r="G90" s="179">
        <f>SUMIFS('recurring2_based on steps'!$B90:$AY90,'recurring2_based on steps'!$B$1:$AY$1,G$1)+SUMIFS('changes2_based on steps'!$B90:$U90,'changes2_based on steps'!$B$1:$U$1,G$1)</f>
        <v>0</v>
      </c>
      <c r="H90" s="179">
        <f>SUMIFS('recurring2_based on steps'!$B90:$AY90,'recurring2_based on steps'!$B$1:$AY$1,H$1)+SUMIFS('changes2_based on steps'!$B90:$U90,'changes2_based on steps'!$B$1:$U$1,H$1)</f>
        <v>0</v>
      </c>
      <c r="I90" s="179">
        <f>SUMIFS('recurring2_based on steps'!$B90:$AY90,'recurring2_based on steps'!$B$1:$AY$1,I$1)+SUMIFS('changes2_based on steps'!$B90:$U90,'changes2_based on steps'!$B$1:$U$1,I$1)</f>
        <v>0</v>
      </c>
      <c r="J90" s="179">
        <f>SUMIFS('recurring2_based on steps'!$B90:$AY90,'recurring2_based on steps'!$B$1:$AY$1,J$1)+SUMIFS('changes2_based on steps'!$B90:$U90,'changes2_based on steps'!$B$1:$U$1,J$1)</f>
        <v>0</v>
      </c>
      <c r="K90" s="179">
        <f>SUMIFS('recurring2_based on steps'!$B90:$AY90,'recurring2_based on steps'!$B$1:$AY$1,K$1)+SUMIFS('changes2_based on steps'!$B90:$U90,'changes2_based on steps'!$B$1:$U$1,K$1)</f>
        <v>0</v>
      </c>
      <c r="L90" s="179">
        <f>SUMIFS('recurring2_based on steps'!$B90:$AY90,'recurring2_based on steps'!$B$1:$AY$1,L$1)+SUMIFS('changes2_based on steps'!$B90:$U90,'changes2_based on steps'!$B$1:$U$1,L$1)</f>
        <v>0</v>
      </c>
      <c r="M90" s="179">
        <f>SUMIFS('recurring2_based on steps'!$B90:$AY90,'recurring2_based on steps'!$B$1:$AY$1,M$1)+SUMIFS('changes2_based on steps'!$B90:$U90,'changes2_based on steps'!$B$1:$U$1,M$1)</f>
        <v>0</v>
      </c>
      <c r="N90" s="179">
        <f>SUMIFS('recurring2_based on steps'!$B90:$AY90,'recurring2_based on steps'!$B$1:$AY$1,N$1)+SUMIFS('changes2_based on steps'!$B90:$U90,'changes2_based on steps'!$B$1:$U$1,N$1)</f>
        <v>0</v>
      </c>
      <c r="O90" s="179">
        <f>SUMIFS('recurring2_based on steps'!$B90:$AY90,'recurring2_based on steps'!$B$1:$AY$1,O$1)+SUMIFS('changes2_based on steps'!$B90:$U90,'changes2_based on steps'!$B$1:$U$1,O$1)</f>
        <v>0</v>
      </c>
      <c r="P90" s="179">
        <f>SUMIFS('recurring2_based on steps'!$B90:$AY90,'recurring2_based on steps'!$B$1:$AY$1,P$1)+SUMIFS('changes2_based on steps'!$B90:$U90,'changes2_based on steps'!$B$1:$U$1,P$1)</f>
        <v>0</v>
      </c>
      <c r="Q90" s="179">
        <f>SUMIFS('recurring2_based on steps'!$B90:$AY90,'recurring2_based on steps'!$B$1:$AY$1,Q$1)+SUMIFS('changes2_based on steps'!$B90:$U90,'changes2_based on steps'!$B$1:$U$1,Q$1)</f>
        <v>0</v>
      </c>
      <c r="R90" s="179">
        <f>SUMIFS('recurring2_based on steps'!$B90:$AY90,'recurring2_based on steps'!$B$1:$AY$1,R$1)+SUMIFS('changes2_based on steps'!$B90:$U90,'changes2_based on steps'!$B$1:$U$1,R$1)</f>
        <v>0</v>
      </c>
      <c r="S90" s="179">
        <f>SUMIFS('recurring2_based on steps'!$B90:$AY90,'recurring2_based on steps'!$B$1:$AY$1,S$1)+SUMIFS('changes2_based on steps'!$B90:$U90,'changes2_based on steps'!$B$1:$U$1,S$1)</f>
        <v>0</v>
      </c>
      <c r="T90" s="179">
        <f>SUMIFS('recurring2_based on steps'!$B90:$AY90,'recurring2_based on steps'!$B$1:$AY$1,T$1)+SUMIFS('changes2_based on steps'!$B90:$U90,'changes2_based on steps'!$B$1:$U$1,T$1)</f>
        <v>0</v>
      </c>
      <c r="U90" s="179">
        <f>SUMIFS('recurring2_based on steps'!$B90:$AY90,'recurring2_based on steps'!$B$1:$AY$1,U$1)+SUMIFS('changes2_based on steps'!$B90:$U90,'changes2_based on steps'!$B$1:$U$1,U$1)</f>
        <v>0</v>
      </c>
      <c r="V90" s="179">
        <f>SUMIFS('recurring2_based on steps'!$B90:$AY90,'recurring2_based on steps'!$B$1:$AY$1,V$1)+SUMIFS('changes2_based on steps'!$B90:$U90,'changes2_based on steps'!$B$1:$U$1,V$1)</f>
        <v>0</v>
      </c>
      <c r="W90" s="179">
        <f>SUMIFS('recurring2_based on steps'!$B90:$AY90,'recurring2_based on steps'!$B$1:$AY$1,W$1)+SUMIFS('changes2_based on steps'!$B90:$U90,'changes2_based on steps'!$B$1:$U$1,W$1)</f>
        <v>0</v>
      </c>
      <c r="X90" s="179">
        <f>SUMIFS('recurring2_based on steps'!$B90:$AY90,'recurring2_based on steps'!$B$1:$AY$1,X$1)+SUMIFS('changes2_based on steps'!$B90:$U90,'changes2_based on steps'!$B$1:$U$1,X$1)</f>
        <v>0</v>
      </c>
      <c r="Y90" s="179">
        <f>SUMIFS('recurring2_based on steps'!$B90:$AY90,'recurring2_based on steps'!$B$1:$AY$1,Y$1)+SUMIFS('changes2_based on steps'!$B90:$U90,'changes2_based on steps'!$B$1:$U$1,Y$1)</f>
        <v>0</v>
      </c>
      <c r="Z90" s="179">
        <f>SUMIFS('recurring2_based on steps'!$B90:$AY90,'recurring2_based on steps'!$B$1:$AY$1,Z$1)+SUMIFS('changes2_based on steps'!$B90:$U90,'changes2_based on steps'!$B$1:$U$1,Z$1)</f>
        <v>0</v>
      </c>
      <c r="AA90" s="179">
        <f>SUMIFS('recurring2_based on steps'!$B90:$AY90,'recurring2_based on steps'!$B$1:$AY$1,AA$1)+SUMIFS('changes2_based on steps'!$B90:$U90,'changes2_based on steps'!$B$1:$U$1,AA$1)</f>
        <v>0</v>
      </c>
      <c r="AB90" s="179">
        <f>SUMIFS('recurring2_based on steps'!$B90:$AY90,'recurring2_based on steps'!$B$1:$AY$1,AB$1)+SUMIFS('changes2_based on steps'!$B90:$U90,'changes2_based on steps'!$B$1:$U$1,AB$1)</f>
        <v>0</v>
      </c>
      <c r="AC90" s="179">
        <f>SUMIFS('recurring2_based on steps'!$B90:$AY90,'recurring2_based on steps'!$B$1:$AY$1,AC$1)+SUMIFS('changes2_based on steps'!$B90:$U90,'changes2_based on steps'!$B$1:$U$1,AC$1)</f>
        <v>0</v>
      </c>
      <c r="AD90" s="179">
        <f>SUMIFS('recurring2_based on steps'!$B90:$AY90,'recurring2_based on steps'!$B$1:$AY$1,AD$1)+SUMIFS('changes2_based on steps'!$B90:$U90,'changes2_based on steps'!$B$1:$U$1,AD$1)</f>
        <v>0</v>
      </c>
      <c r="AE90" s="179">
        <f>SUMIFS('recurring2_based on steps'!$B90:$AY90,'recurring2_based on steps'!$B$1:$AY$1,AE$1)+SUMIFS('changes2_based on steps'!$B90:$U90,'changes2_based on steps'!$B$1:$U$1,AE$1)</f>
        <v>0</v>
      </c>
      <c r="AF90" s="179"/>
      <c r="AG90" s="179"/>
      <c r="AH90" s="179"/>
      <c r="AI90" s="179"/>
      <c r="AJ90" s="179"/>
      <c r="AK90" s="179"/>
      <c r="AL90" s="179"/>
      <c r="AM90" s="179"/>
    </row>
    <row r="91" spans="1:39" x14ac:dyDescent="0.2">
      <c r="A91" s="32">
        <f t="shared" ca="1" si="1"/>
        <v>45833</v>
      </c>
      <c r="B91" s="179">
        <f>SUMIFS('recurring2_based on steps'!$B91:$AY91,'recurring2_based on steps'!$B$1:$AY$1,B$1)+SUMIFS('changes2_based on steps'!$B91:$U91,'changes2_based on steps'!$B$1:$U$1,B$1)</f>
        <v>0</v>
      </c>
      <c r="C91" s="179">
        <f>SUMIFS('recurring2_based on steps'!$B91:$AY91,'recurring2_based on steps'!$B$1:$AY$1,C$1)+SUMIFS('changes2_based on steps'!$B91:$U91,'changes2_based on steps'!$B$1:$U$1,C$1)</f>
        <v>0</v>
      </c>
      <c r="D91" s="179">
        <f>SUMIFS('recurring2_based on steps'!$B91:$AY91,'recurring2_based on steps'!$B$1:$AY$1,D$1)+SUMIFS('changes2_based on steps'!$B91:$U91,'changes2_based on steps'!$B$1:$U$1,D$1)</f>
        <v>0</v>
      </c>
      <c r="E91" s="179">
        <f>SUMIFS('recurring2_based on steps'!$B91:$AY91,'recurring2_based on steps'!$B$1:$AY$1,E$1)+SUMIFS('changes2_based on steps'!$B91:$U91,'changes2_based on steps'!$B$1:$U$1,E$1)</f>
        <v>0</v>
      </c>
      <c r="F91" s="179">
        <f>SUMIFS('recurring2_based on steps'!$B91:$AY91,'recurring2_based on steps'!$B$1:$AY$1,F$1)+SUMIFS('changes2_based on steps'!$B91:$U91,'changes2_based on steps'!$B$1:$U$1,F$1)</f>
        <v>0</v>
      </c>
      <c r="G91" s="179">
        <f>SUMIFS('recurring2_based on steps'!$B91:$AY91,'recurring2_based on steps'!$B$1:$AY$1,G$1)+SUMIFS('changes2_based on steps'!$B91:$U91,'changes2_based on steps'!$B$1:$U$1,G$1)</f>
        <v>0</v>
      </c>
      <c r="H91" s="179">
        <f>SUMIFS('recurring2_based on steps'!$B91:$AY91,'recurring2_based on steps'!$B$1:$AY$1,H$1)+SUMIFS('changes2_based on steps'!$B91:$U91,'changes2_based on steps'!$B$1:$U$1,H$1)</f>
        <v>0</v>
      </c>
      <c r="I91" s="179">
        <f>SUMIFS('recurring2_based on steps'!$B91:$AY91,'recurring2_based on steps'!$B$1:$AY$1,I$1)+SUMIFS('changes2_based on steps'!$B91:$U91,'changes2_based on steps'!$B$1:$U$1,I$1)</f>
        <v>0</v>
      </c>
      <c r="J91" s="179">
        <f>SUMIFS('recurring2_based on steps'!$B91:$AY91,'recurring2_based on steps'!$B$1:$AY$1,J$1)+SUMIFS('changes2_based on steps'!$B91:$U91,'changes2_based on steps'!$B$1:$U$1,J$1)</f>
        <v>0</v>
      </c>
      <c r="K91" s="179">
        <f>SUMIFS('recurring2_based on steps'!$B91:$AY91,'recurring2_based on steps'!$B$1:$AY$1,K$1)+SUMIFS('changes2_based on steps'!$B91:$U91,'changes2_based on steps'!$B$1:$U$1,K$1)</f>
        <v>0</v>
      </c>
      <c r="L91" s="179">
        <f>SUMIFS('recurring2_based on steps'!$B91:$AY91,'recurring2_based on steps'!$B$1:$AY$1,L$1)+SUMIFS('changes2_based on steps'!$B91:$U91,'changes2_based on steps'!$B$1:$U$1,L$1)</f>
        <v>0</v>
      </c>
      <c r="M91" s="179">
        <f>SUMIFS('recurring2_based on steps'!$B91:$AY91,'recurring2_based on steps'!$B$1:$AY$1,M$1)+SUMIFS('changes2_based on steps'!$B91:$U91,'changes2_based on steps'!$B$1:$U$1,M$1)</f>
        <v>0</v>
      </c>
      <c r="N91" s="179">
        <f>SUMIFS('recurring2_based on steps'!$B91:$AY91,'recurring2_based on steps'!$B$1:$AY$1,N$1)+SUMIFS('changes2_based on steps'!$B91:$U91,'changes2_based on steps'!$B$1:$U$1,N$1)</f>
        <v>0</v>
      </c>
      <c r="O91" s="179">
        <f>SUMIFS('recurring2_based on steps'!$B91:$AY91,'recurring2_based on steps'!$B$1:$AY$1,O$1)+SUMIFS('changes2_based on steps'!$B91:$U91,'changes2_based on steps'!$B$1:$U$1,O$1)</f>
        <v>0</v>
      </c>
      <c r="P91" s="179">
        <f>SUMIFS('recurring2_based on steps'!$B91:$AY91,'recurring2_based on steps'!$B$1:$AY$1,P$1)+SUMIFS('changes2_based on steps'!$B91:$U91,'changes2_based on steps'!$B$1:$U$1,P$1)</f>
        <v>0</v>
      </c>
      <c r="Q91" s="179">
        <f>SUMIFS('recurring2_based on steps'!$B91:$AY91,'recurring2_based on steps'!$B$1:$AY$1,Q$1)+SUMIFS('changes2_based on steps'!$B91:$U91,'changes2_based on steps'!$B$1:$U$1,Q$1)</f>
        <v>0</v>
      </c>
      <c r="R91" s="179">
        <f>SUMIFS('recurring2_based on steps'!$B91:$AY91,'recurring2_based on steps'!$B$1:$AY$1,R$1)+SUMIFS('changes2_based on steps'!$B91:$U91,'changes2_based on steps'!$B$1:$U$1,R$1)</f>
        <v>0</v>
      </c>
      <c r="S91" s="179">
        <f>SUMIFS('recurring2_based on steps'!$B91:$AY91,'recurring2_based on steps'!$B$1:$AY$1,S$1)+SUMIFS('changes2_based on steps'!$B91:$U91,'changes2_based on steps'!$B$1:$U$1,S$1)</f>
        <v>0</v>
      </c>
      <c r="T91" s="179">
        <f>SUMIFS('recurring2_based on steps'!$B91:$AY91,'recurring2_based on steps'!$B$1:$AY$1,T$1)+SUMIFS('changes2_based on steps'!$B91:$U91,'changes2_based on steps'!$B$1:$U$1,T$1)</f>
        <v>0</v>
      </c>
      <c r="U91" s="179">
        <f>SUMIFS('recurring2_based on steps'!$B91:$AY91,'recurring2_based on steps'!$B$1:$AY$1,U$1)+SUMIFS('changes2_based on steps'!$B91:$U91,'changes2_based on steps'!$B$1:$U$1,U$1)</f>
        <v>0</v>
      </c>
      <c r="V91" s="179">
        <f>SUMIFS('recurring2_based on steps'!$B91:$AY91,'recurring2_based on steps'!$B$1:$AY$1,V$1)+SUMIFS('changes2_based on steps'!$B91:$U91,'changes2_based on steps'!$B$1:$U$1,V$1)</f>
        <v>0</v>
      </c>
      <c r="W91" s="179">
        <f>SUMIFS('recurring2_based on steps'!$B91:$AY91,'recurring2_based on steps'!$B$1:$AY$1,W$1)+SUMIFS('changes2_based on steps'!$B91:$U91,'changes2_based on steps'!$B$1:$U$1,W$1)</f>
        <v>0</v>
      </c>
      <c r="X91" s="179">
        <f>SUMIFS('recurring2_based on steps'!$B91:$AY91,'recurring2_based on steps'!$B$1:$AY$1,X$1)+SUMIFS('changes2_based on steps'!$B91:$U91,'changes2_based on steps'!$B$1:$U$1,X$1)</f>
        <v>0</v>
      </c>
      <c r="Y91" s="179">
        <f>SUMIFS('recurring2_based on steps'!$B91:$AY91,'recurring2_based on steps'!$B$1:$AY$1,Y$1)+SUMIFS('changes2_based on steps'!$B91:$U91,'changes2_based on steps'!$B$1:$U$1,Y$1)</f>
        <v>0</v>
      </c>
      <c r="Z91" s="179">
        <f>SUMIFS('recurring2_based on steps'!$B91:$AY91,'recurring2_based on steps'!$B$1:$AY$1,Z$1)+SUMIFS('changes2_based on steps'!$B91:$U91,'changes2_based on steps'!$B$1:$U$1,Z$1)</f>
        <v>0</v>
      </c>
      <c r="AA91" s="179">
        <f>SUMIFS('recurring2_based on steps'!$B91:$AY91,'recurring2_based on steps'!$B$1:$AY$1,AA$1)+SUMIFS('changes2_based on steps'!$B91:$U91,'changes2_based on steps'!$B$1:$U$1,AA$1)</f>
        <v>0</v>
      </c>
      <c r="AB91" s="179">
        <f>SUMIFS('recurring2_based on steps'!$B91:$AY91,'recurring2_based on steps'!$B$1:$AY$1,AB$1)+SUMIFS('changes2_based on steps'!$B91:$U91,'changes2_based on steps'!$B$1:$U$1,AB$1)</f>
        <v>0</v>
      </c>
      <c r="AC91" s="179">
        <f>SUMIFS('recurring2_based on steps'!$B91:$AY91,'recurring2_based on steps'!$B$1:$AY$1,AC$1)+SUMIFS('changes2_based on steps'!$B91:$U91,'changes2_based on steps'!$B$1:$U$1,AC$1)</f>
        <v>0</v>
      </c>
      <c r="AD91" s="179">
        <f>SUMIFS('recurring2_based on steps'!$B91:$AY91,'recurring2_based on steps'!$B$1:$AY$1,AD$1)+SUMIFS('changes2_based on steps'!$B91:$U91,'changes2_based on steps'!$B$1:$U$1,AD$1)</f>
        <v>0</v>
      </c>
      <c r="AE91" s="179">
        <f>SUMIFS('recurring2_based on steps'!$B91:$AY91,'recurring2_based on steps'!$B$1:$AY$1,AE$1)+SUMIFS('changes2_based on steps'!$B91:$U91,'changes2_based on steps'!$B$1:$U$1,AE$1)</f>
        <v>0</v>
      </c>
      <c r="AF91" s="179"/>
      <c r="AG91" s="179"/>
      <c r="AH91" s="179"/>
      <c r="AI91" s="179"/>
      <c r="AJ91" s="179"/>
      <c r="AK91" s="179"/>
      <c r="AL91" s="179"/>
      <c r="AM91" s="179"/>
    </row>
    <row r="92" spans="1:39" x14ac:dyDescent="0.2">
      <c r="A92" s="32">
        <f t="shared" ca="1" si="1"/>
        <v>45834</v>
      </c>
      <c r="B92" s="179">
        <f>SUMIFS('recurring2_based on steps'!$B92:$AY92,'recurring2_based on steps'!$B$1:$AY$1,B$1)+SUMIFS('changes2_based on steps'!$B92:$U92,'changes2_based on steps'!$B$1:$U$1,B$1)</f>
        <v>0</v>
      </c>
      <c r="C92" s="179">
        <f>SUMIFS('recurring2_based on steps'!$B92:$AY92,'recurring2_based on steps'!$B$1:$AY$1,C$1)+SUMIFS('changes2_based on steps'!$B92:$U92,'changes2_based on steps'!$B$1:$U$1,C$1)</f>
        <v>0</v>
      </c>
      <c r="D92" s="179">
        <f>SUMIFS('recurring2_based on steps'!$B92:$AY92,'recurring2_based on steps'!$B$1:$AY$1,D$1)+SUMIFS('changes2_based on steps'!$B92:$U92,'changes2_based on steps'!$B$1:$U$1,D$1)</f>
        <v>0</v>
      </c>
      <c r="E92" s="179">
        <f>SUMIFS('recurring2_based on steps'!$B92:$AY92,'recurring2_based on steps'!$B$1:$AY$1,E$1)+SUMIFS('changes2_based on steps'!$B92:$U92,'changes2_based on steps'!$B$1:$U$1,E$1)</f>
        <v>0</v>
      </c>
      <c r="F92" s="179">
        <f>SUMIFS('recurring2_based on steps'!$B92:$AY92,'recurring2_based on steps'!$B$1:$AY$1,F$1)+SUMIFS('changes2_based on steps'!$B92:$U92,'changes2_based on steps'!$B$1:$U$1,F$1)</f>
        <v>0</v>
      </c>
      <c r="G92" s="179">
        <f>SUMIFS('recurring2_based on steps'!$B92:$AY92,'recurring2_based on steps'!$B$1:$AY$1,G$1)+SUMIFS('changes2_based on steps'!$B92:$U92,'changes2_based on steps'!$B$1:$U$1,G$1)</f>
        <v>0</v>
      </c>
      <c r="H92" s="179">
        <f>SUMIFS('recurring2_based on steps'!$B92:$AY92,'recurring2_based on steps'!$B$1:$AY$1,H$1)+SUMIFS('changes2_based on steps'!$B92:$U92,'changes2_based on steps'!$B$1:$U$1,H$1)</f>
        <v>0</v>
      </c>
      <c r="I92" s="179">
        <f>SUMIFS('recurring2_based on steps'!$B92:$AY92,'recurring2_based on steps'!$B$1:$AY$1,I$1)+SUMIFS('changes2_based on steps'!$B92:$U92,'changes2_based on steps'!$B$1:$U$1,I$1)</f>
        <v>0</v>
      </c>
      <c r="J92" s="179">
        <f>SUMIFS('recurring2_based on steps'!$B92:$AY92,'recurring2_based on steps'!$B$1:$AY$1,J$1)+SUMIFS('changes2_based on steps'!$B92:$U92,'changes2_based on steps'!$B$1:$U$1,J$1)</f>
        <v>0</v>
      </c>
      <c r="K92" s="179">
        <f>SUMIFS('recurring2_based on steps'!$B92:$AY92,'recurring2_based on steps'!$B$1:$AY$1,K$1)+SUMIFS('changes2_based on steps'!$B92:$U92,'changes2_based on steps'!$B$1:$U$1,K$1)</f>
        <v>0</v>
      </c>
      <c r="L92" s="179">
        <f>SUMIFS('recurring2_based on steps'!$B92:$AY92,'recurring2_based on steps'!$B$1:$AY$1,L$1)+SUMIFS('changes2_based on steps'!$B92:$U92,'changes2_based on steps'!$B$1:$U$1,L$1)</f>
        <v>0</v>
      </c>
      <c r="M92" s="179">
        <f>SUMIFS('recurring2_based on steps'!$B92:$AY92,'recurring2_based on steps'!$B$1:$AY$1,M$1)+SUMIFS('changes2_based on steps'!$B92:$U92,'changes2_based on steps'!$B$1:$U$1,M$1)</f>
        <v>0</v>
      </c>
      <c r="N92" s="179">
        <f>SUMIFS('recurring2_based on steps'!$B92:$AY92,'recurring2_based on steps'!$B$1:$AY$1,N$1)+SUMIFS('changes2_based on steps'!$B92:$U92,'changes2_based on steps'!$B$1:$U$1,N$1)</f>
        <v>0</v>
      </c>
      <c r="O92" s="179">
        <f>SUMIFS('recurring2_based on steps'!$B92:$AY92,'recurring2_based on steps'!$B$1:$AY$1,O$1)+SUMIFS('changes2_based on steps'!$B92:$U92,'changes2_based on steps'!$B$1:$U$1,O$1)</f>
        <v>0</v>
      </c>
      <c r="P92" s="179">
        <f>SUMIFS('recurring2_based on steps'!$B92:$AY92,'recurring2_based on steps'!$B$1:$AY$1,P$1)+SUMIFS('changes2_based on steps'!$B92:$U92,'changes2_based on steps'!$B$1:$U$1,P$1)</f>
        <v>0</v>
      </c>
      <c r="Q92" s="179">
        <f>SUMIFS('recurring2_based on steps'!$B92:$AY92,'recurring2_based on steps'!$B$1:$AY$1,Q$1)+SUMIFS('changes2_based on steps'!$B92:$U92,'changes2_based on steps'!$B$1:$U$1,Q$1)</f>
        <v>0</v>
      </c>
      <c r="R92" s="179">
        <f>SUMIFS('recurring2_based on steps'!$B92:$AY92,'recurring2_based on steps'!$B$1:$AY$1,R$1)+SUMIFS('changes2_based on steps'!$B92:$U92,'changes2_based on steps'!$B$1:$U$1,R$1)</f>
        <v>0</v>
      </c>
      <c r="S92" s="179">
        <f>SUMIFS('recurring2_based on steps'!$B92:$AY92,'recurring2_based on steps'!$B$1:$AY$1,S$1)+SUMIFS('changes2_based on steps'!$B92:$U92,'changes2_based on steps'!$B$1:$U$1,S$1)</f>
        <v>0</v>
      </c>
      <c r="T92" s="179">
        <f>SUMIFS('recurring2_based on steps'!$B92:$AY92,'recurring2_based on steps'!$B$1:$AY$1,T$1)+SUMIFS('changes2_based on steps'!$B92:$U92,'changes2_based on steps'!$B$1:$U$1,T$1)</f>
        <v>0</v>
      </c>
      <c r="U92" s="179">
        <f>SUMIFS('recurring2_based on steps'!$B92:$AY92,'recurring2_based on steps'!$B$1:$AY$1,U$1)+SUMIFS('changes2_based on steps'!$B92:$U92,'changes2_based on steps'!$B$1:$U$1,U$1)</f>
        <v>0</v>
      </c>
      <c r="V92" s="179">
        <f>SUMIFS('recurring2_based on steps'!$B92:$AY92,'recurring2_based on steps'!$B$1:$AY$1,V$1)+SUMIFS('changes2_based on steps'!$B92:$U92,'changes2_based on steps'!$B$1:$U$1,V$1)</f>
        <v>0</v>
      </c>
      <c r="W92" s="179">
        <f>SUMIFS('recurring2_based on steps'!$B92:$AY92,'recurring2_based on steps'!$B$1:$AY$1,W$1)+SUMIFS('changes2_based on steps'!$B92:$U92,'changes2_based on steps'!$B$1:$U$1,W$1)</f>
        <v>0</v>
      </c>
      <c r="X92" s="179">
        <f>SUMIFS('recurring2_based on steps'!$B92:$AY92,'recurring2_based on steps'!$B$1:$AY$1,X$1)+SUMIFS('changes2_based on steps'!$B92:$U92,'changes2_based on steps'!$B$1:$U$1,X$1)</f>
        <v>0</v>
      </c>
      <c r="Y92" s="179">
        <f>SUMIFS('recurring2_based on steps'!$B92:$AY92,'recurring2_based on steps'!$B$1:$AY$1,Y$1)+SUMIFS('changes2_based on steps'!$B92:$U92,'changes2_based on steps'!$B$1:$U$1,Y$1)</f>
        <v>0</v>
      </c>
      <c r="Z92" s="179">
        <f>SUMIFS('recurring2_based on steps'!$B92:$AY92,'recurring2_based on steps'!$B$1:$AY$1,Z$1)+SUMIFS('changes2_based on steps'!$B92:$U92,'changes2_based on steps'!$B$1:$U$1,Z$1)</f>
        <v>0</v>
      </c>
      <c r="AA92" s="179">
        <f>SUMIFS('recurring2_based on steps'!$B92:$AY92,'recurring2_based on steps'!$B$1:$AY$1,AA$1)+SUMIFS('changes2_based on steps'!$B92:$U92,'changes2_based on steps'!$B$1:$U$1,AA$1)</f>
        <v>0</v>
      </c>
      <c r="AB92" s="179">
        <f>SUMIFS('recurring2_based on steps'!$B92:$AY92,'recurring2_based on steps'!$B$1:$AY$1,AB$1)+SUMIFS('changes2_based on steps'!$B92:$U92,'changes2_based on steps'!$B$1:$U$1,AB$1)</f>
        <v>0</v>
      </c>
      <c r="AC92" s="179">
        <f>SUMIFS('recurring2_based on steps'!$B92:$AY92,'recurring2_based on steps'!$B$1:$AY$1,AC$1)+SUMIFS('changes2_based on steps'!$B92:$U92,'changes2_based on steps'!$B$1:$U$1,AC$1)</f>
        <v>0</v>
      </c>
      <c r="AD92" s="179">
        <f>SUMIFS('recurring2_based on steps'!$B92:$AY92,'recurring2_based on steps'!$B$1:$AY$1,AD$1)+SUMIFS('changes2_based on steps'!$B92:$U92,'changes2_based on steps'!$B$1:$U$1,AD$1)</f>
        <v>0</v>
      </c>
      <c r="AE92" s="179">
        <f>SUMIFS('recurring2_based on steps'!$B92:$AY92,'recurring2_based on steps'!$B$1:$AY$1,AE$1)+SUMIFS('changes2_based on steps'!$B92:$U92,'changes2_based on steps'!$B$1:$U$1,AE$1)</f>
        <v>0</v>
      </c>
      <c r="AF92" s="179"/>
      <c r="AG92" s="179"/>
      <c r="AH92" s="179"/>
      <c r="AI92" s="179"/>
      <c r="AJ92" s="179"/>
      <c r="AK92" s="179"/>
      <c r="AL92" s="179"/>
      <c r="AM92" s="179"/>
    </row>
    <row r="93" spans="1:39" x14ac:dyDescent="0.2">
      <c r="A93" s="32">
        <f t="shared" ca="1" si="1"/>
        <v>45835</v>
      </c>
      <c r="B93" s="179">
        <f>SUMIFS('recurring2_based on steps'!$B93:$AY93,'recurring2_based on steps'!$B$1:$AY$1,B$1)+SUMIFS('changes2_based on steps'!$B93:$U93,'changes2_based on steps'!$B$1:$U$1,B$1)</f>
        <v>0</v>
      </c>
      <c r="C93" s="179">
        <f>SUMIFS('recurring2_based on steps'!$B93:$AY93,'recurring2_based on steps'!$B$1:$AY$1,C$1)+SUMIFS('changes2_based on steps'!$B93:$U93,'changes2_based on steps'!$B$1:$U$1,C$1)</f>
        <v>0</v>
      </c>
      <c r="D93" s="179">
        <f>SUMIFS('recurring2_based on steps'!$B93:$AY93,'recurring2_based on steps'!$B$1:$AY$1,D$1)+SUMIFS('changes2_based on steps'!$B93:$U93,'changes2_based on steps'!$B$1:$U$1,D$1)</f>
        <v>0</v>
      </c>
      <c r="E93" s="179">
        <f>SUMIFS('recurring2_based on steps'!$B93:$AY93,'recurring2_based on steps'!$B$1:$AY$1,E$1)+SUMIFS('changes2_based on steps'!$B93:$U93,'changes2_based on steps'!$B$1:$U$1,E$1)</f>
        <v>0</v>
      </c>
      <c r="F93" s="179">
        <f>SUMIFS('recurring2_based on steps'!$B93:$AY93,'recurring2_based on steps'!$B$1:$AY$1,F$1)+SUMIFS('changes2_based on steps'!$B93:$U93,'changes2_based on steps'!$B$1:$U$1,F$1)</f>
        <v>0</v>
      </c>
      <c r="G93" s="179">
        <f>SUMIFS('recurring2_based on steps'!$B93:$AY93,'recurring2_based on steps'!$B$1:$AY$1,G$1)+SUMIFS('changes2_based on steps'!$B93:$U93,'changes2_based on steps'!$B$1:$U$1,G$1)</f>
        <v>0</v>
      </c>
      <c r="H93" s="179">
        <f>SUMIFS('recurring2_based on steps'!$B93:$AY93,'recurring2_based on steps'!$B$1:$AY$1,H$1)+SUMIFS('changes2_based on steps'!$B93:$U93,'changes2_based on steps'!$B$1:$U$1,H$1)</f>
        <v>0</v>
      </c>
      <c r="I93" s="179">
        <f>SUMIFS('recurring2_based on steps'!$B93:$AY93,'recurring2_based on steps'!$B$1:$AY$1,I$1)+SUMIFS('changes2_based on steps'!$B93:$U93,'changes2_based on steps'!$B$1:$U$1,I$1)</f>
        <v>0</v>
      </c>
      <c r="J93" s="179">
        <f>SUMIFS('recurring2_based on steps'!$B93:$AY93,'recurring2_based on steps'!$B$1:$AY$1,J$1)+SUMIFS('changes2_based on steps'!$B93:$U93,'changes2_based on steps'!$B$1:$U$1,J$1)</f>
        <v>0</v>
      </c>
      <c r="K93" s="179">
        <f>SUMIFS('recurring2_based on steps'!$B93:$AY93,'recurring2_based on steps'!$B$1:$AY$1,K$1)+SUMIFS('changes2_based on steps'!$B93:$U93,'changes2_based on steps'!$B$1:$U$1,K$1)</f>
        <v>0</v>
      </c>
      <c r="L93" s="179">
        <f>SUMIFS('recurring2_based on steps'!$B93:$AY93,'recurring2_based on steps'!$B$1:$AY$1,L$1)+SUMIFS('changes2_based on steps'!$B93:$U93,'changes2_based on steps'!$B$1:$U$1,L$1)</f>
        <v>0</v>
      </c>
      <c r="M93" s="179">
        <f>SUMIFS('recurring2_based on steps'!$B93:$AY93,'recurring2_based on steps'!$B$1:$AY$1,M$1)+SUMIFS('changes2_based on steps'!$B93:$U93,'changes2_based on steps'!$B$1:$U$1,M$1)</f>
        <v>0</v>
      </c>
      <c r="N93" s="179">
        <f>SUMIFS('recurring2_based on steps'!$B93:$AY93,'recurring2_based on steps'!$B$1:$AY$1,N$1)+SUMIFS('changes2_based on steps'!$B93:$U93,'changes2_based on steps'!$B$1:$U$1,N$1)</f>
        <v>0</v>
      </c>
      <c r="O93" s="179">
        <f>SUMIFS('recurring2_based on steps'!$B93:$AY93,'recurring2_based on steps'!$B$1:$AY$1,O$1)+SUMIFS('changes2_based on steps'!$B93:$U93,'changes2_based on steps'!$B$1:$U$1,O$1)</f>
        <v>0</v>
      </c>
      <c r="P93" s="179">
        <f>SUMIFS('recurring2_based on steps'!$B93:$AY93,'recurring2_based on steps'!$B$1:$AY$1,P$1)+SUMIFS('changes2_based on steps'!$B93:$U93,'changes2_based on steps'!$B$1:$U$1,P$1)</f>
        <v>0</v>
      </c>
      <c r="Q93" s="179">
        <f>SUMIFS('recurring2_based on steps'!$B93:$AY93,'recurring2_based on steps'!$B$1:$AY$1,Q$1)+SUMIFS('changes2_based on steps'!$B93:$U93,'changes2_based on steps'!$B$1:$U$1,Q$1)</f>
        <v>0</v>
      </c>
      <c r="R93" s="179">
        <f>SUMIFS('recurring2_based on steps'!$B93:$AY93,'recurring2_based on steps'!$B$1:$AY$1,R$1)+SUMIFS('changes2_based on steps'!$B93:$U93,'changes2_based on steps'!$B$1:$U$1,R$1)</f>
        <v>0</v>
      </c>
      <c r="S93" s="179">
        <f>SUMIFS('recurring2_based on steps'!$B93:$AY93,'recurring2_based on steps'!$B$1:$AY$1,S$1)+SUMIFS('changes2_based on steps'!$B93:$U93,'changes2_based on steps'!$B$1:$U$1,S$1)</f>
        <v>0</v>
      </c>
      <c r="T93" s="179">
        <f>SUMIFS('recurring2_based on steps'!$B93:$AY93,'recurring2_based on steps'!$B$1:$AY$1,T$1)+SUMIFS('changes2_based on steps'!$B93:$U93,'changes2_based on steps'!$B$1:$U$1,T$1)</f>
        <v>0</v>
      </c>
      <c r="U93" s="179">
        <f>SUMIFS('recurring2_based on steps'!$B93:$AY93,'recurring2_based on steps'!$B$1:$AY$1,U$1)+SUMIFS('changes2_based on steps'!$B93:$U93,'changes2_based on steps'!$B$1:$U$1,U$1)</f>
        <v>0</v>
      </c>
      <c r="V93" s="179">
        <f>SUMIFS('recurring2_based on steps'!$B93:$AY93,'recurring2_based on steps'!$B$1:$AY$1,V$1)+SUMIFS('changes2_based on steps'!$B93:$U93,'changes2_based on steps'!$B$1:$U$1,V$1)</f>
        <v>0</v>
      </c>
      <c r="W93" s="179">
        <f>SUMIFS('recurring2_based on steps'!$B93:$AY93,'recurring2_based on steps'!$B$1:$AY$1,W$1)+SUMIFS('changes2_based on steps'!$B93:$U93,'changes2_based on steps'!$B$1:$U$1,W$1)</f>
        <v>0</v>
      </c>
      <c r="X93" s="179">
        <f>SUMIFS('recurring2_based on steps'!$B93:$AY93,'recurring2_based on steps'!$B$1:$AY$1,X$1)+SUMIFS('changes2_based on steps'!$B93:$U93,'changes2_based on steps'!$B$1:$U$1,X$1)</f>
        <v>0</v>
      </c>
      <c r="Y93" s="179">
        <f>SUMIFS('recurring2_based on steps'!$B93:$AY93,'recurring2_based on steps'!$B$1:$AY$1,Y$1)+SUMIFS('changes2_based on steps'!$B93:$U93,'changes2_based on steps'!$B$1:$U$1,Y$1)</f>
        <v>0</v>
      </c>
      <c r="Z93" s="179">
        <f>SUMIFS('recurring2_based on steps'!$B93:$AY93,'recurring2_based on steps'!$B$1:$AY$1,Z$1)+SUMIFS('changes2_based on steps'!$B93:$U93,'changes2_based on steps'!$B$1:$U$1,Z$1)</f>
        <v>0</v>
      </c>
      <c r="AA93" s="179">
        <f>SUMIFS('recurring2_based on steps'!$B93:$AY93,'recurring2_based on steps'!$B$1:$AY$1,AA$1)+SUMIFS('changes2_based on steps'!$B93:$U93,'changes2_based on steps'!$B$1:$U$1,AA$1)</f>
        <v>0</v>
      </c>
      <c r="AB93" s="179">
        <f>SUMIFS('recurring2_based on steps'!$B93:$AY93,'recurring2_based on steps'!$B$1:$AY$1,AB$1)+SUMIFS('changes2_based on steps'!$B93:$U93,'changes2_based on steps'!$B$1:$U$1,AB$1)</f>
        <v>0</v>
      </c>
      <c r="AC93" s="179">
        <f>SUMIFS('recurring2_based on steps'!$B93:$AY93,'recurring2_based on steps'!$B$1:$AY$1,AC$1)+SUMIFS('changes2_based on steps'!$B93:$U93,'changes2_based on steps'!$B$1:$U$1,AC$1)</f>
        <v>0</v>
      </c>
      <c r="AD93" s="179">
        <f>SUMIFS('recurring2_based on steps'!$B93:$AY93,'recurring2_based on steps'!$B$1:$AY$1,AD$1)+SUMIFS('changes2_based on steps'!$B93:$U93,'changes2_based on steps'!$B$1:$U$1,AD$1)</f>
        <v>0</v>
      </c>
      <c r="AE93" s="179">
        <f>SUMIFS('recurring2_based on steps'!$B93:$AY93,'recurring2_based on steps'!$B$1:$AY$1,AE$1)+SUMIFS('changes2_based on steps'!$B93:$U93,'changes2_based on steps'!$B$1:$U$1,AE$1)</f>
        <v>0</v>
      </c>
      <c r="AF93" s="179"/>
      <c r="AG93" s="179"/>
      <c r="AH93" s="179"/>
      <c r="AI93" s="179"/>
      <c r="AJ93" s="179"/>
      <c r="AK93" s="179"/>
      <c r="AL93" s="179"/>
      <c r="AM93" s="179"/>
    </row>
    <row r="94" spans="1:39" x14ac:dyDescent="0.2">
      <c r="A94" s="32">
        <f t="shared" ca="1" si="1"/>
        <v>45836</v>
      </c>
      <c r="B94" s="179">
        <f>SUMIFS('recurring2_based on steps'!$B94:$AY94,'recurring2_based on steps'!$B$1:$AY$1,B$1)+SUMIFS('changes2_based on steps'!$B94:$U94,'changes2_based on steps'!$B$1:$U$1,B$1)</f>
        <v>0</v>
      </c>
      <c r="C94" s="179">
        <f>SUMIFS('recurring2_based on steps'!$B94:$AY94,'recurring2_based on steps'!$B$1:$AY$1,C$1)+SUMIFS('changes2_based on steps'!$B94:$U94,'changes2_based on steps'!$B$1:$U$1,C$1)</f>
        <v>0</v>
      </c>
      <c r="D94" s="179">
        <f>SUMIFS('recurring2_based on steps'!$B94:$AY94,'recurring2_based on steps'!$B$1:$AY$1,D$1)+SUMIFS('changes2_based on steps'!$B94:$U94,'changes2_based on steps'!$B$1:$U$1,D$1)</f>
        <v>0</v>
      </c>
      <c r="E94" s="179">
        <f>SUMIFS('recurring2_based on steps'!$B94:$AY94,'recurring2_based on steps'!$B$1:$AY$1,E$1)+SUMIFS('changes2_based on steps'!$B94:$U94,'changes2_based on steps'!$B$1:$U$1,E$1)</f>
        <v>0</v>
      </c>
      <c r="F94" s="179">
        <f>SUMIFS('recurring2_based on steps'!$B94:$AY94,'recurring2_based on steps'!$B$1:$AY$1,F$1)+SUMIFS('changes2_based on steps'!$B94:$U94,'changes2_based on steps'!$B$1:$U$1,F$1)</f>
        <v>0</v>
      </c>
      <c r="G94" s="179">
        <f>SUMIFS('recurring2_based on steps'!$B94:$AY94,'recurring2_based on steps'!$B$1:$AY$1,G$1)+SUMIFS('changes2_based on steps'!$B94:$U94,'changes2_based on steps'!$B$1:$U$1,G$1)</f>
        <v>0</v>
      </c>
      <c r="H94" s="179">
        <f>SUMIFS('recurring2_based on steps'!$B94:$AY94,'recurring2_based on steps'!$B$1:$AY$1,H$1)+SUMIFS('changes2_based on steps'!$B94:$U94,'changes2_based on steps'!$B$1:$U$1,H$1)</f>
        <v>0</v>
      </c>
      <c r="I94" s="179">
        <f>SUMIFS('recurring2_based on steps'!$B94:$AY94,'recurring2_based on steps'!$B$1:$AY$1,I$1)+SUMIFS('changes2_based on steps'!$B94:$U94,'changes2_based on steps'!$B$1:$U$1,I$1)</f>
        <v>0</v>
      </c>
      <c r="J94" s="179">
        <f>SUMIFS('recurring2_based on steps'!$B94:$AY94,'recurring2_based on steps'!$B$1:$AY$1,J$1)+SUMIFS('changes2_based on steps'!$B94:$U94,'changes2_based on steps'!$B$1:$U$1,J$1)</f>
        <v>0</v>
      </c>
      <c r="K94" s="179">
        <f>SUMIFS('recurring2_based on steps'!$B94:$AY94,'recurring2_based on steps'!$B$1:$AY$1,K$1)+SUMIFS('changes2_based on steps'!$B94:$U94,'changes2_based on steps'!$B$1:$U$1,K$1)</f>
        <v>0</v>
      </c>
      <c r="L94" s="179">
        <f>SUMIFS('recurring2_based on steps'!$B94:$AY94,'recurring2_based on steps'!$B$1:$AY$1,L$1)+SUMIFS('changes2_based on steps'!$B94:$U94,'changes2_based on steps'!$B$1:$U$1,L$1)</f>
        <v>0</v>
      </c>
      <c r="M94" s="179">
        <f>SUMIFS('recurring2_based on steps'!$B94:$AY94,'recurring2_based on steps'!$B$1:$AY$1,M$1)+SUMIFS('changes2_based on steps'!$B94:$U94,'changes2_based on steps'!$B$1:$U$1,M$1)</f>
        <v>0</v>
      </c>
      <c r="N94" s="179">
        <f>SUMIFS('recurring2_based on steps'!$B94:$AY94,'recurring2_based on steps'!$B$1:$AY$1,N$1)+SUMIFS('changes2_based on steps'!$B94:$U94,'changes2_based on steps'!$B$1:$U$1,N$1)</f>
        <v>0</v>
      </c>
      <c r="O94" s="179">
        <f>SUMIFS('recurring2_based on steps'!$B94:$AY94,'recurring2_based on steps'!$B$1:$AY$1,O$1)+SUMIFS('changes2_based on steps'!$B94:$U94,'changes2_based on steps'!$B$1:$U$1,O$1)</f>
        <v>0</v>
      </c>
      <c r="P94" s="179">
        <f>SUMIFS('recurring2_based on steps'!$B94:$AY94,'recurring2_based on steps'!$B$1:$AY$1,P$1)+SUMIFS('changes2_based on steps'!$B94:$U94,'changes2_based on steps'!$B$1:$U$1,P$1)</f>
        <v>0</v>
      </c>
      <c r="Q94" s="179">
        <f>SUMIFS('recurring2_based on steps'!$B94:$AY94,'recurring2_based on steps'!$B$1:$AY$1,Q$1)+SUMIFS('changes2_based on steps'!$B94:$U94,'changes2_based on steps'!$B$1:$U$1,Q$1)</f>
        <v>0</v>
      </c>
      <c r="R94" s="179">
        <f>SUMIFS('recurring2_based on steps'!$B94:$AY94,'recurring2_based on steps'!$B$1:$AY$1,R$1)+SUMIFS('changes2_based on steps'!$B94:$U94,'changes2_based on steps'!$B$1:$U$1,R$1)</f>
        <v>0</v>
      </c>
      <c r="S94" s="179">
        <f>SUMIFS('recurring2_based on steps'!$B94:$AY94,'recurring2_based on steps'!$B$1:$AY$1,S$1)+SUMIFS('changes2_based on steps'!$B94:$U94,'changes2_based on steps'!$B$1:$U$1,S$1)</f>
        <v>0</v>
      </c>
      <c r="T94" s="179">
        <f>SUMIFS('recurring2_based on steps'!$B94:$AY94,'recurring2_based on steps'!$B$1:$AY$1,T$1)+SUMIFS('changes2_based on steps'!$B94:$U94,'changes2_based on steps'!$B$1:$U$1,T$1)</f>
        <v>0</v>
      </c>
      <c r="U94" s="179">
        <f>SUMIFS('recurring2_based on steps'!$B94:$AY94,'recurring2_based on steps'!$B$1:$AY$1,U$1)+SUMIFS('changes2_based on steps'!$B94:$U94,'changes2_based on steps'!$B$1:$U$1,U$1)</f>
        <v>0</v>
      </c>
      <c r="V94" s="179">
        <f>SUMIFS('recurring2_based on steps'!$B94:$AY94,'recurring2_based on steps'!$B$1:$AY$1,V$1)+SUMIFS('changes2_based on steps'!$B94:$U94,'changes2_based on steps'!$B$1:$U$1,V$1)</f>
        <v>0</v>
      </c>
      <c r="W94" s="179">
        <f>SUMIFS('recurring2_based on steps'!$B94:$AY94,'recurring2_based on steps'!$B$1:$AY$1,W$1)+SUMIFS('changes2_based on steps'!$B94:$U94,'changes2_based on steps'!$B$1:$U$1,W$1)</f>
        <v>0</v>
      </c>
      <c r="X94" s="179">
        <f>SUMIFS('recurring2_based on steps'!$B94:$AY94,'recurring2_based on steps'!$B$1:$AY$1,X$1)+SUMIFS('changes2_based on steps'!$B94:$U94,'changes2_based on steps'!$B$1:$U$1,X$1)</f>
        <v>0</v>
      </c>
      <c r="Y94" s="179">
        <f>SUMIFS('recurring2_based on steps'!$B94:$AY94,'recurring2_based on steps'!$B$1:$AY$1,Y$1)+SUMIFS('changes2_based on steps'!$B94:$U94,'changes2_based on steps'!$B$1:$U$1,Y$1)</f>
        <v>0</v>
      </c>
      <c r="Z94" s="179">
        <f>SUMIFS('recurring2_based on steps'!$B94:$AY94,'recurring2_based on steps'!$B$1:$AY$1,Z$1)+SUMIFS('changes2_based on steps'!$B94:$U94,'changes2_based on steps'!$B$1:$U$1,Z$1)</f>
        <v>0</v>
      </c>
      <c r="AA94" s="179">
        <f>SUMIFS('recurring2_based on steps'!$B94:$AY94,'recurring2_based on steps'!$B$1:$AY$1,AA$1)+SUMIFS('changes2_based on steps'!$B94:$U94,'changes2_based on steps'!$B$1:$U$1,AA$1)</f>
        <v>0</v>
      </c>
      <c r="AB94" s="179">
        <f>SUMIFS('recurring2_based on steps'!$B94:$AY94,'recurring2_based on steps'!$B$1:$AY$1,AB$1)+SUMIFS('changes2_based on steps'!$B94:$U94,'changes2_based on steps'!$B$1:$U$1,AB$1)</f>
        <v>0</v>
      </c>
      <c r="AC94" s="179">
        <f>SUMIFS('recurring2_based on steps'!$B94:$AY94,'recurring2_based on steps'!$B$1:$AY$1,AC$1)+SUMIFS('changes2_based on steps'!$B94:$U94,'changes2_based on steps'!$B$1:$U$1,AC$1)</f>
        <v>0</v>
      </c>
      <c r="AD94" s="179">
        <f>SUMIFS('recurring2_based on steps'!$B94:$AY94,'recurring2_based on steps'!$B$1:$AY$1,AD$1)+SUMIFS('changes2_based on steps'!$B94:$U94,'changes2_based on steps'!$B$1:$U$1,AD$1)</f>
        <v>0</v>
      </c>
      <c r="AE94" s="179">
        <f>SUMIFS('recurring2_based on steps'!$B94:$AY94,'recurring2_based on steps'!$B$1:$AY$1,AE$1)+SUMIFS('changes2_based on steps'!$B94:$U94,'changes2_based on steps'!$B$1:$U$1,AE$1)</f>
        <v>0</v>
      </c>
      <c r="AF94" s="179"/>
      <c r="AG94" s="179"/>
      <c r="AH94" s="179"/>
      <c r="AI94" s="179"/>
      <c r="AJ94" s="179"/>
      <c r="AK94" s="179"/>
      <c r="AL94" s="179"/>
      <c r="AM94" s="179"/>
    </row>
    <row r="95" spans="1:39" x14ac:dyDescent="0.2">
      <c r="A95" s="32">
        <f t="shared" ca="1" si="1"/>
        <v>45837</v>
      </c>
      <c r="B95" s="179">
        <f>SUMIFS('recurring2_based on steps'!$B95:$AY95,'recurring2_based on steps'!$B$1:$AY$1,B$1)+SUMIFS('changes2_based on steps'!$B95:$U95,'changes2_based on steps'!$B$1:$U$1,B$1)</f>
        <v>0</v>
      </c>
      <c r="C95" s="179">
        <f>SUMIFS('recurring2_based on steps'!$B95:$AY95,'recurring2_based on steps'!$B$1:$AY$1,C$1)+SUMIFS('changes2_based on steps'!$B95:$U95,'changes2_based on steps'!$B$1:$U$1,C$1)</f>
        <v>0</v>
      </c>
      <c r="D95" s="179">
        <f>SUMIFS('recurring2_based on steps'!$B95:$AY95,'recurring2_based on steps'!$B$1:$AY$1,D$1)+SUMIFS('changes2_based on steps'!$B95:$U95,'changes2_based on steps'!$B$1:$U$1,D$1)</f>
        <v>0</v>
      </c>
      <c r="E95" s="179">
        <f>SUMIFS('recurring2_based on steps'!$B95:$AY95,'recurring2_based on steps'!$B$1:$AY$1,E$1)+SUMIFS('changes2_based on steps'!$B95:$U95,'changes2_based on steps'!$B$1:$U$1,E$1)</f>
        <v>0</v>
      </c>
      <c r="F95" s="179">
        <f>SUMIFS('recurring2_based on steps'!$B95:$AY95,'recurring2_based on steps'!$B$1:$AY$1,F$1)+SUMIFS('changes2_based on steps'!$B95:$U95,'changes2_based on steps'!$B$1:$U$1,F$1)</f>
        <v>0</v>
      </c>
      <c r="G95" s="179">
        <f>SUMIFS('recurring2_based on steps'!$B95:$AY95,'recurring2_based on steps'!$B$1:$AY$1,G$1)+SUMIFS('changes2_based on steps'!$B95:$U95,'changes2_based on steps'!$B$1:$U$1,G$1)</f>
        <v>0</v>
      </c>
      <c r="H95" s="179">
        <f>SUMIFS('recurring2_based on steps'!$B95:$AY95,'recurring2_based on steps'!$B$1:$AY$1,H$1)+SUMIFS('changes2_based on steps'!$B95:$U95,'changes2_based on steps'!$B$1:$U$1,H$1)</f>
        <v>0</v>
      </c>
      <c r="I95" s="179">
        <f>SUMIFS('recurring2_based on steps'!$B95:$AY95,'recurring2_based on steps'!$B$1:$AY$1,I$1)+SUMIFS('changes2_based on steps'!$B95:$U95,'changes2_based on steps'!$B$1:$U$1,I$1)</f>
        <v>0</v>
      </c>
      <c r="J95" s="179">
        <f>SUMIFS('recurring2_based on steps'!$B95:$AY95,'recurring2_based on steps'!$B$1:$AY$1,J$1)+SUMIFS('changes2_based on steps'!$B95:$U95,'changes2_based on steps'!$B$1:$U$1,J$1)</f>
        <v>0</v>
      </c>
      <c r="K95" s="179">
        <f>SUMIFS('recurring2_based on steps'!$B95:$AY95,'recurring2_based on steps'!$B$1:$AY$1,K$1)+SUMIFS('changes2_based on steps'!$B95:$U95,'changes2_based on steps'!$B$1:$U$1,K$1)</f>
        <v>0</v>
      </c>
      <c r="L95" s="179">
        <f>SUMIFS('recurring2_based on steps'!$B95:$AY95,'recurring2_based on steps'!$B$1:$AY$1,L$1)+SUMIFS('changes2_based on steps'!$B95:$U95,'changes2_based on steps'!$B$1:$U$1,L$1)</f>
        <v>0</v>
      </c>
      <c r="M95" s="179">
        <f>SUMIFS('recurring2_based on steps'!$B95:$AY95,'recurring2_based on steps'!$B$1:$AY$1,M$1)+SUMIFS('changes2_based on steps'!$B95:$U95,'changes2_based on steps'!$B$1:$U$1,M$1)</f>
        <v>0</v>
      </c>
      <c r="N95" s="179">
        <f>SUMIFS('recurring2_based on steps'!$B95:$AY95,'recurring2_based on steps'!$B$1:$AY$1,N$1)+SUMIFS('changes2_based on steps'!$B95:$U95,'changes2_based on steps'!$B$1:$U$1,N$1)</f>
        <v>0</v>
      </c>
      <c r="O95" s="179">
        <f>SUMIFS('recurring2_based on steps'!$B95:$AY95,'recurring2_based on steps'!$B$1:$AY$1,O$1)+SUMIFS('changes2_based on steps'!$B95:$U95,'changes2_based on steps'!$B$1:$U$1,O$1)</f>
        <v>0</v>
      </c>
      <c r="P95" s="179">
        <f>SUMIFS('recurring2_based on steps'!$B95:$AY95,'recurring2_based on steps'!$B$1:$AY$1,P$1)+SUMIFS('changes2_based on steps'!$B95:$U95,'changes2_based on steps'!$B$1:$U$1,P$1)</f>
        <v>0</v>
      </c>
      <c r="Q95" s="179">
        <f>SUMIFS('recurring2_based on steps'!$B95:$AY95,'recurring2_based on steps'!$B$1:$AY$1,Q$1)+SUMIFS('changes2_based on steps'!$B95:$U95,'changes2_based on steps'!$B$1:$U$1,Q$1)</f>
        <v>0</v>
      </c>
      <c r="R95" s="179">
        <f>SUMIFS('recurring2_based on steps'!$B95:$AY95,'recurring2_based on steps'!$B$1:$AY$1,R$1)+SUMIFS('changes2_based on steps'!$B95:$U95,'changes2_based on steps'!$B$1:$U$1,R$1)</f>
        <v>0</v>
      </c>
      <c r="S95" s="179">
        <f>SUMIFS('recurring2_based on steps'!$B95:$AY95,'recurring2_based on steps'!$B$1:$AY$1,S$1)+SUMIFS('changes2_based on steps'!$B95:$U95,'changes2_based on steps'!$B$1:$U$1,S$1)</f>
        <v>0</v>
      </c>
      <c r="T95" s="179">
        <f>SUMIFS('recurring2_based on steps'!$B95:$AY95,'recurring2_based on steps'!$B$1:$AY$1,T$1)+SUMIFS('changes2_based on steps'!$B95:$U95,'changes2_based on steps'!$B$1:$U$1,T$1)</f>
        <v>0</v>
      </c>
      <c r="U95" s="179">
        <f>SUMIFS('recurring2_based on steps'!$B95:$AY95,'recurring2_based on steps'!$B$1:$AY$1,U$1)+SUMIFS('changes2_based on steps'!$B95:$U95,'changes2_based on steps'!$B$1:$U$1,U$1)</f>
        <v>0</v>
      </c>
      <c r="V95" s="179">
        <f>SUMIFS('recurring2_based on steps'!$B95:$AY95,'recurring2_based on steps'!$B$1:$AY$1,V$1)+SUMIFS('changes2_based on steps'!$B95:$U95,'changes2_based on steps'!$B$1:$U$1,V$1)</f>
        <v>0</v>
      </c>
      <c r="W95" s="179">
        <f>SUMIFS('recurring2_based on steps'!$B95:$AY95,'recurring2_based on steps'!$B$1:$AY$1,W$1)+SUMIFS('changes2_based on steps'!$B95:$U95,'changes2_based on steps'!$B$1:$U$1,W$1)</f>
        <v>0</v>
      </c>
      <c r="X95" s="179">
        <f>SUMIFS('recurring2_based on steps'!$B95:$AY95,'recurring2_based on steps'!$B$1:$AY$1,X$1)+SUMIFS('changes2_based on steps'!$B95:$U95,'changes2_based on steps'!$B$1:$U$1,X$1)</f>
        <v>0</v>
      </c>
      <c r="Y95" s="179">
        <f>SUMIFS('recurring2_based on steps'!$B95:$AY95,'recurring2_based on steps'!$B$1:$AY$1,Y$1)+SUMIFS('changes2_based on steps'!$B95:$U95,'changes2_based on steps'!$B$1:$U$1,Y$1)</f>
        <v>0</v>
      </c>
      <c r="Z95" s="179">
        <f>SUMIFS('recurring2_based on steps'!$B95:$AY95,'recurring2_based on steps'!$B$1:$AY$1,Z$1)+SUMIFS('changes2_based on steps'!$B95:$U95,'changes2_based on steps'!$B$1:$U$1,Z$1)</f>
        <v>0</v>
      </c>
      <c r="AA95" s="179">
        <f>SUMIFS('recurring2_based on steps'!$B95:$AY95,'recurring2_based on steps'!$B$1:$AY$1,AA$1)+SUMIFS('changes2_based on steps'!$B95:$U95,'changes2_based on steps'!$B$1:$U$1,AA$1)</f>
        <v>0</v>
      </c>
      <c r="AB95" s="179">
        <f>SUMIFS('recurring2_based on steps'!$B95:$AY95,'recurring2_based on steps'!$B$1:$AY$1,AB$1)+SUMIFS('changes2_based on steps'!$B95:$U95,'changes2_based on steps'!$B$1:$U$1,AB$1)</f>
        <v>0</v>
      </c>
      <c r="AC95" s="179">
        <f>SUMIFS('recurring2_based on steps'!$B95:$AY95,'recurring2_based on steps'!$B$1:$AY$1,AC$1)+SUMIFS('changes2_based on steps'!$B95:$U95,'changes2_based on steps'!$B$1:$U$1,AC$1)</f>
        <v>0</v>
      </c>
      <c r="AD95" s="179">
        <f>SUMIFS('recurring2_based on steps'!$B95:$AY95,'recurring2_based on steps'!$B$1:$AY$1,AD$1)+SUMIFS('changes2_based on steps'!$B95:$U95,'changes2_based on steps'!$B$1:$U$1,AD$1)</f>
        <v>0</v>
      </c>
      <c r="AE95" s="179">
        <f>SUMIFS('recurring2_based on steps'!$B95:$AY95,'recurring2_based on steps'!$B$1:$AY$1,AE$1)+SUMIFS('changes2_based on steps'!$B95:$U95,'changes2_based on steps'!$B$1:$U$1,AE$1)</f>
        <v>0</v>
      </c>
      <c r="AF95" s="179"/>
      <c r="AG95" s="179"/>
      <c r="AH95" s="179"/>
      <c r="AI95" s="179"/>
      <c r="AJ95" s="179"/>
      <c r="AK95" s="179"/>
      <c r="AL95" s="179"/>
      <c r="AM95" s="179"/>
    </row>
    <row r="96" spans="1:39" x14ac:dyDescent="0.2">
      <c r="A96" s="32">
        <f t="shared" ca="1" si="1"/>
        <v>45838</v>
      </c>
      <c r="B96" s="179">
        <f>SUMIFS('recurring2_based on steps'!$B96:$AY96,'recurring2_based on steps'!$B$1:$AY$1,B$1)+SUMIFS('changes2_based on steps'!$B96:$U96,'changes2_based on steps'!$B$1:$U$1,B$1)</f>
        <v>0</v>
      </c>
      <c r="C96" s="179">
        <f>SUMIFS('recurring2_based on steps'!$B96:$AY96,'recurring2_based on steps'!$B$1:$AY$1,C$1)+SUMIFS('changes2_based on steps'!$B96:$U96,'changes2_based on steps'!$B$1:$U$1,C$1)</f>
        <v>0</v>
      </c>
      <c r="D96" s="179">
        <f>SUMIFS('recurring2_based on steps'!$B96:$AY96,'recurring2_based on steps'!$B$1:$AY$1,D$1)+SUMIFS('changes2_based on steps'!$B96:$U96,'changes2_based on steps'!$B$1:$U$1,D$1)</f>
        <v>0</v>
      </c>
      <c r="E96" s="179">
        <f>SUMIFS('recurring2_based on steps'!$B96:$AY96,'recurring2_based on steps'!$B$1:$AY$1,E$1)+SUMIFS('changes2_based on steps'!$B96:$U96,'changes2_based on steps'!$B$1:$U$1,E$1)</f>
        <v>0</v>
      </c>
      <c r="F96" s="179">
        <f>SUMIFS('recurring2_based on steps'!$B96:$AY96,'recurring2_based on steps'!$B$1:$AY$1,F$1)+SUMIFS('changes2_based on steps'!$B96:$U96,'changes2_based on steps'!$B$1:$U$1,F$1)</f>
        <v>0</v>
      </c>
      <c r="G96" s="179">
        <f>SUMIFS('recurring2_based on steps'!$B96:$AY96,'recurring2_based on steps'!$B$1:$AY$1,G$1)+SUMIFS('changes2_based on steps'!$B96:$U96,'changes2_based on steps'!$B$1:$U$1,G$1)</f>
        <v>0</v>
      </c>
      <c r="H96" s="179">
        <f>SUMIFS('recurring2_based on steps'!$B96:$AY96,'recurring2_based on steps'!$B$1:$AY$1,H$1)+SUMIFS('changes2_based on steps'!$B96:$U96,'changes2_based on steps'!$B$1:$U$1,H$1)</f>
        <v>0</v>
      </c>
      <c r="I96" s="179">
        <f>SUMIFS('recurring2_based on steps'!$B96:$AY96,'recurring2_based on steps'!$B$1:$AY$1,I$1)+SUMIFS('changes2_based on steps'!$B96:$U96,'changes2_based on steps'!$B$1:$U$1,I$1)</f>
        <v>0</v>
      </c>
      <c r="J96" s="179">
        <f>SUMIFS('recurring2_based on steps'!$B96:$AY96,'recurring2_based on steps'!$B$1:$AY$1,J$1)+SUMIFS('changes2_based on steps'!$B96:$U96,'changes2_based on steps'!$B$1:$U$1,J$1)</f>
        <v>0</v>
      </c>
      <c r="K96" s="179">
        <f>SUMIFS('recurring2_based on steps'!$B96:$AY96,'recurring2_based on steps'!$B$1:$AY$1,K$1)+SUMIFS('changes2_based on steps'!$B96:$U96,'changes2_based on steps'!$B$1:$U$1,K$1)</f>
        <v>0</v>
      </c>
      <c r="L96" s="179">
        <f>SUMIFS('recurring2_based on steps'!$B96:$AY96,'recurring2_based on steps'!$B$1:$AY$1,L$1)+SUMIFS('changes2_based on steps'!$B96:$U96,'changes2_based on steps'!$B$1:$U$1,L$1)</f>
        <v>0</v>
      </c>
      <c r="M96" s="179">
        <f>SUMIFS('recurring2_based on steps'!$B96:$AY96,'recurring2_based on steps'!$B$1:$AY$1,M$1)+SUMIFS('changes2_based on steps'!$B96:$U96,'changes2_based on steps'!$B$1:$U$1,M$1)</f>
        <v>0</v>
      </c>
      <c r="N96" s="179">
        <f>SUMIFS('recurring2_based on steps'!$B96:$AY96,'recurring2_based on steps'!$B$1:$AY$1,N$1)+SUMIFS('changes2_based on steps'!$B96:$U96,'changes2_based on steps'!$B$1:$U$1,N$1)</f>
        <v>0</v>
      </c>
      <c r="O96" s="179">
        <f>SUMIFS('recurring2_based on steps'!$B96:$AY96,'recurring2_based on steps'!$B$1:$AY$1,O$1)+SUMIFS('changes2_based on steps'!$B96:$U96,'changes2_based on steps'!$B$1:$U$1,O$1)</f>
        <v>0</v>
      </c>
      <c r="P96" s="179">
        <f>SUMIFS('recurring2_based on steps'!$B96:$AY96,'recurring2_based on steps'!$B$1:$AY$1,P$1)+SUMIFS('changes2_based on steps'!$B96:$U96,'changes2_based on steps'!$B$1:$U$1,P$1)</f>
        <v>0</v>
      </c>
      <c r="Q96" s="179">
        <f>SUMIFS('recurring2_based on steps'!$B96:$AY96,'recurring2_based on steps'!$B$1:$AY$1,Q$1)+SUMIFS('changes2_based on steps'!$B96:$U96,'changes2_based on steps'!$B$1:$U$1,Q$1)</f>
        <v>0</v>
      </c>
      <c r="R96" s="179">
        <f>SUMIFS('recurring2_based on steps'!$B96:$AY96,'recurring2_based on steps'!$B$1:$AY$1,R$1)+SUMIFS('changes2_based on steps'!$B96:$U96,'changes2_based on steps'!$B$1:$U$1,R$1)</f>
        <v>0</v>
      </c>
      <c r="S96" s="179">
        <f>SUMIFS('recurring2_based on steps'!$B96:$AY96,'recurring2_based on steps'!$B$1:$AY$1,S$1)+SUMIFS('changes2_based on steps'!$B96:$U96,'changes2_based on steps'!$B$1:$U$1,S$1)</f>
        <v>0</v>
      </c>
      <c r="T96" s="179">
        <f>SUMIFS('recurring2_based on steps'!$B96:$AY96,'recurring2_based on steps'!$B$1:$AY$1,T$1)+SUMIFS('changes2_based on steps'!$B96:$U96,'changes2_based on steps'!$B$1:$U$1,T$1)</f>
        <v>0</v>
      </c>
      <c r="U96" s="179">
        <f>SUMIFS('recurring2_based on steps'!$B96:$AY96,'recurring2_based on steps'!$B$1:$AY$1,U$1)+SUMIFS('changes2_based on steps'!$B96:$U96,'changes2_based on steps'!$B$1:$U$1,U$1)</f>
        <v>0</v>
      </c>
      <c r="V96" s="179">
        <f>SUMIFS('recurring2_based on steps'!$B96:$AY96,'recurring2_based on steps'!$B$1:$AY$1,V$1)+SUMIFS('changes2_based on steps'!$B96:$U96,'changes2_based on steps'!$B$1:$U$1,V$1)</f>
        <v>0</v>
      </c>
      <c r="W96" s="179">
        <f>SUMIFS('recurring2_based on steps'!$B96:$AY96,'recurring2_based on steps'!$B$1:$AY$1,W$1)+SUMIFS('changes2_based on steps'!$B96:$U96,'changes2_based on steps'!$B$1:$U$1,W$1)</f>
        <v>0</v>
      </c>
      <c r="X96" s="179">
        <f>SUMIFS('recurring2_based on steps'!$B96:$AY96,'recurring2_based on steps'!$B$1:$AY$1,X$1)+SUMIFS('changes2_based on steps'!$B96:$U96,'changes2_based on steps'!$B$1:$U$1,X$1)</f>
        <v>0</v>
      </c>
      <c r="Y96" s="179">
        <f>SUMIFS('recurring2_based on steps'!$B96:$AY96,'recurring2_based on steps'!$B$1:$AY$1,Y$1)+SUMIFS('changes2_based on steps'!$B96:$U96,'changes2_based on steps'!$B$1:$U$1,Y$1)</f>
        <v>0</v>
      </c>
      <c r="Z96" s="179">
        <f>SUMIFS('recurring2_based on steps'!$B96:$AY96,'recurring2_based on steps'!$B$1:$AY$1,Z$1)+SUMIFS('changes2_based on steps'!$B96:$U96,'changes2_based on steps'!$B$1:$U$1,Z$1)</f>
        <v>0</v>
      </c>
      <c r="AA96" s="179">
        <f>SUMIFS('recurring2_based on steps'!$B96:$AY96,'recurring2_based on steps'!$B$1:$AY$1,AA$1)+SUMIFS('changes2_based on steps'!$B96:$U96,'changes2_based on steps'!$B$1:$U$1,AA$1)</f>
        <v>0</v>
      </c>
      <c r="AB96" s="179">
        <f>SUMIFS('recurring2_based on steps'!$B96:$AY96,'recurring2_based on steps'!$B$1:$AY$1,AB$1)+SUMIFS('changes2_based on steps'!$B96:$U96,'changes2_based on steps'!$B$1:$U$1,AB$1)</f>
        <v>0</v>
      </c>
      <c r="AC96" s="179">
        <f>SUMIFS('recurring2_based on steps'!$B96:$AY96,'recurring2_based on steps'!$B$1:$AY$1,AC$1)+SUMIFS('changes2_based on steps'!$B96:$U96,'changes2_based on steps'!$B$1:$U$1,AC$1)</f>
        <v>0</v>
      </c>
      <c r="AD96" s="179">
        <f>SUMIFS('recurring2_based on steps'!$B96:$AY96,'recurring2_based on steps'!$B$1:$AY$1,AD$1)+SUMIFS('changes2_based on steps'!$B96:$U96,'changes2_based on steps'!$B$1:$U$1,AD$1)</f>
        <v>0</v>
      </c>
      <c r="AE96" s="179">
        <f>SUMIFS('recurring2_based on steps'!$B96:$AY96,'recurring2_based on steps'!$B$1:$AY$1,AE$1)+SUMIFS('changes2_based on steps'!$B96:$U96,'changes2_based on steps'!$B$1:$U$1,AE$1)</f>
        <v>0</v>
      </c>
      <c r="AF96" s="179"/>
      <c r="AG96" s="179"/>
      <c r="AH96" s="179"/>
      <c r="AI96" s="179"/>
      <c r="AJ96" s="179"/>
      <c r="AK96" s="179"/>
      <c r="AL96" s="179"/>
      <c r="AM96" s="179"/>
    </row>
    <row r="97" spans="1:39" x14ac:dyDescent="0.2">
      <c r="A97" s="32">
        <f t="shared" ca="1" si="1"/>
        <v>45839</v>
      </c>
      <c r="B97" s="179">
        <f>SUMIFS('recurring2_based on steps'!$B97:$AY97,'recurring2_based on steps'!$B$1:$AY$1,B$1)+SUMIFS('changes2_based on steps'!$B97:$U97,'changes2_based on steps'!$B$1:$U$1,B$1)</f>
        <v>0</v>
      </c>
      <c r="C97" s="179">
        <f>SUMIFS('recurring2_based on steps'!$B97:$AY97,'recurring2_based on steps'!$B$1:$AY$1,C$1)+SUMIFS('changes2_based on steps'!$B97:$U97,'changes2_based on steps'!$B$1:$U$1,C$1)</f>
        <v>0</v>
      </c>
      <c r="D97" s="179">
        <f>SUMIFS('recurring2_based on steps'!$B97:$AY97,'recurring2_based on steps'!$B$1:$AY$1,D$1)+SUMIFS('changes2_based on steps'!$B97:$U97,'changes2_based on steps'!$B$1:$U$1,D$1)</f>
        <v>0</v>
      </c>
      <c r="E97" s="179">
        <f>SUMIFS('recurring2_based on steps'!$B97:$AY97,'recurring2_based on steps'!$B$1:$AY$1,E$1)+SUMIFS('changes2_based on steps'!$B97:$U97,'changes2_based on steps'!$B$1:$U$1,E$1)</f>
        <v>0</v>
      </c>
      <c r="F97" s="179">
        <f>SUMIFS('recurring2_based on steps'!$B97:$AY97,'recurring2_based on steps'!$B$1:$AY$1,F$1)+SUMIFS('changes2_based on steps'!$B97:$U97,'changes2_based on steps'!$B$1:$U$1,F$1)</f>
        <v>0</v>
      </c>
      <c r="G97" s="179">
        <f>SUMIFS('recurring2_based on steps'!$B97:$AY97,'recurring2_based on steps'!$B$1:$AY$1,G$1)+SUMIFS('changes2_based on steps'!$B97:$U97,'changes2_based on steps'!$B$1:$U$1,G$1)</f>
        <v>0</v>
      </c>
      <c r="H97" s="179">
        <f>SUMIFS('recurring2_based on steps'!$B97:$AY97,'recurring2_based on steps'!$B$1:$AY$1,H$1)+SUMIFS('changes2_based on steps'!$B97:$U97,'changes2_based on steps'!$B$1:$U$1,H$1)</f>
        <v>0</v>
      </c>
      <c r="I97" s="179">
        <f>SUMIFS('recurring2_based on steps'!$B97:$AY97,'recurring2_based on steps'!$B$1:$AY$1,I$1)+SUMIFS('changes2_based on steps'!$B97:$U97,'changes2_based on steps'!$B$1:$U$1,I$1)</f>
        <v>0</v>
      </c>
      <c r="J97" s="179">
        <f>SUMIFS('recurring2_based on steps'!$B97:$AY97,'recurring2_based on steps'!$B$1:$AY$1,J$1)+SUMIFS('changes2_based on steps'!$B97:$U97,'changes2_based on steps'!$B$1:$U$1,J$1)</f>
        <v>0</v>
      </c>
      <c r="K97" s="179">
        <f>SUMIFS('recurring2_based on steps'!$B97:$AY97,'recurring2_based on steps'!$B$1:$AY$1,K$1)+SUMIFS('changes2_based on steps'!$B97:$U97,'changes2_based on steps'!$B$1:$U$1,K$1)</f>
        <v>0</v>
      </c>
      <c r="L97" s="179">
        <f>SUMIFS('recurring2_based on steps'!$B97:$AY97,'recurring2_based on steps'!$B$1:$AY$1,L$1)+SUMIFS('changes2_based on steps'!$B97:$U97,'changes2_based on steps'!$B$1:$U$1,L$1)</f>
        <v>0</v>
      </c>
      <c r="M97" s="179">
        <f>SUMIFS('recurring2_based on steps'!$B97:$AY97,'recurring2_based on steps'!$B$1:$AY$1,M$1)+SUMIFS('changes2_based on steps'!$B97:$U97,'changes2_based on steps'!$B$1:$U$1,M$1)</f>
        <v>0</v>
      </c>
      <c r="N97" s="179">
        <f>SUMIFS('recurring2_based on steps'!$B97:$AY97,'recurring2_based on steps'!$B$1:$AY$1,N$1)+SUMIFS('changes2_based on steps'!$B97:$U97,'changes2_based on steps'!$B$1:$U$1,N$1)</f>
        <v>0</v>
      </c>
      <c r="O97" s="179">
        <f>SUMIFS('recurring2_based on steps'!$B97:$AY97,'recurring2_based on steps'!$B$1:$AY$1,O$1)+SUMIFS('changes2_based on steps'!$B97:$U97,'changes2_based on steps'!$B$1:$U$1,O$1)</f>
        <v>0</v>
      </c>
      <c r="P97" s="179">
        <f>SUMIFS('recurring2_based on steps'!$B97:$AY97,'recurring2_based on steps'!$B$1:$AY$1,P$1)+SUMIFS('changes2_based on steps'!$B97:$U97,'changes2_based on steps'!$B$1:$U$1,P$1)</f>
        <v>0</v>
      </c>
      <c r="Q97" s="179">
        <f>SUMIFS('recurring2_based on steps'!$B97:$AY97,'recurring2_based on steps'!$B$1:$AY$1,Q$1)+SUMIFS('changes2_based on steps'!$B97:$U97,'changes2_based on steps'!$B$1:$U$1,Q$1)</f>
        <v>0</v>
      </c>
      <c r="R97" s="179">
        <f>SUMIFS('recurring2_based on steps'!$B97:$AY97,'recurring2_based on steps'!$B$1:$AY$1,R$1)+SUMIFS('changes2_based on steps'!$B97:$U97,'changes2_based on steps'!$B$1:$U$1,R$1)</f>
        <v>0</v>
      </c>
      <c r="S97" s="179">
        <f>SUMIFS('recurring2_based on steps'!$B97:$AY97,'recurring2_based on steps'!$B$1:$AY$1,S$1)+SUMIFS('changes2_based on steps'!$B97:$U97,'changes2_based on steps'!$B$1:$U$1,S$1)</f>
        <v>0</v>
      </c>
      <c r="T97" s="179">
        <f>SUMIFS('recurring2_based on steps'!$B97:$AY97,'recurring2_based on steps'!$B$1:$AY$1,T$1)+SUMIFS('changes2_based on steps'!$B97:$U97,'changes2_based on steps'!$B$1:$U$1,T$1)</f>
        <v>0</v>
      </c>
      <c r="U97" s="179">
        <f>SUMIFS('recurring2_based on steps'!$B97:$AY97,'recurring2_based on steps'!$B$1:$AY$1,U$1)+SUMIFS('changes2_based on steps'!$B97:$U97,'changes2_based on steps'!$B$1:$U$1,U$1)</f>
        <v>0</v>
      </c>
      <c r="V97" s="179">
        <f>SUMIFS('recurring2_based on steps'!$B97:$AY97,'recurring2_based on steps'!$B$1:$AY$1,V$1)+SUMIFS('changes2_based on steps'!$B97:$U97,'changes2_based on steps'!$B$1:$U$1,V$1)</f>
        <v>0</v>
      </c>
      <c r="W97" s="179">
        <f>SUMIFS('recurring2_based on steps'!$B97:$AY97,'recurring2_based on steps'!$B$1:$AY$1,W$1)+SUMIFS('changes2_based on steps'!$B97:$U97,'changes2_based on steps'!$B$1:$U$1,W$1)</f>
        <v>0</v>
      </c>
      <c r="X97" s="179">
        <f>SUMIFS('recurring2_based on steps'!$B97:$AY97,'recurring2_based on steps'!$B$1:$AY$1,X$1)+SUMIFS('changes2_based on steps'!$B97:$U97,'changes2_based on steps'!$B$1:$U$1,X$1)</f>
        <v>0</v>
      </c>
      <c r="Y97" s="179">
        <f>SUMIFS('recurring2_based on steps'!$B97:$AY97,'recurring2_based on steps'!$B$1:$AY$1,Y$1)+SUMIFS('changes2_based on steps'!$B97:$U97,'changes2_based on steps'!$B$1:$U$1,Y$1)</f>
        <v>0</v>
      </c>
      <c r="Z97" s="179">
        <f>SUMIFS('recurring2_based on steps'!$B97:$AY97,'recurring2_based on steps'!$B$1:$AY$1,Z$1)+SUMIFS('changes2_based on steps'!$B97:$U97,'changes2_based on steps'!$B$1:$U$1,Z$1)</f>
        <v>0</v>
      </c>
      <c r="AA97" s="179">
        <f>SUMIFS('recurring2_based on steps'!$B97:$AY97,'recurring2_based on steps'!$B$1:$AY$1,AA$1)+SUMIFS('changes2_based on steps'!$B97:$U97,'changes2_based on steps'!$B$1:$U$1,AA$1)</f>
        <v>0</v>
      </c>
      <c r="AB97" s="179">
        <f>SUMIFS('recurring2_based on steps'!$B97:$AY97,'recurring2_based on steps'!$B$1:$AY$1,AB$1)+SUMIFS('changes2_based on steps'!$B97:$U97,'changes2_based on steps'!$B$1:$U$1,AB$1)</f>
        <v>0</v>
      </c>
      <c r="AC97" s="179">
        <f>SUMIFS('recurring2_based on steps'!$B97:$AY97,'recurring2_based on steps'!$B$1:$AY$1,AC$1)+SUMIFS('changes2_based on steps'!$B97:$U97,'changes2_based on steps'!$B$1:$U$1,AC$1)</f>
        <v>0</v>
      </c>
      <c r="AD97" s="179">
        <f>SUMIFS('recurring2_based on steps'!$B97:$AY97,'recurring2_based on steps'!$B$1:$AY$1,AD$1)+SUMIFS('changes2_based on steps'!$B97:$U97,'changes2_based on steps'!$B$1:$U$1,AD$1)</f>
        <v>0</v>
      </c>
      <c r="AE97" s="179">
        <f>SUMIFS('recurring2_based on steps'!$B97:$AY97,'recurring2_based on steps'!$B$1:$AY$1,AE$1)+SUMIFS('changes2_based on steps'!$B97:$U97,'changes2_based on steps'!$B$1:$U$1,AE$1)</f>
        <v>0</v>
      </c>
      <c r="AF97" s="179"/>
      <c r="AG97" s="179"/>
      <c r="AH97" s="179"/>
      <c r="AI97" s="179"/>
      <c r="AJ97" s="179"/>
      <c r="AK97" s="179"/>
      <c r="AL97" s="179"/>
      <c r="AM97" s="179"/>
    </row>
    <row r="98" spans="1:39" x14ac:dyDescent="0.2">
      <c r="A98" s="32">
        <f t="shared" ca="1" si="1"/>
        <v>45840</v>
      </c>
      <c r="B98" s="179">
        <f>SUMIFS('recurring2_based on steps'!$B98:$AY98,'recurring2_based on steps'!$B$1:$AY$1,B$1)+SUMIFS('changes2_based on steps'!$B98:$U98,'changes2_based on steps'!$B$1:$U$1,B$1)</f>
        <v>0</v>
      </c>
      <c r="C98" s="179">
        <f>SUMIFS('recurring2_based on steps'!$B98:$AY98,'recurring2_based on steps'!$B$1:$AY$1,C$1)+SUMIFS('changes2_based on steps'!$B98:$U98,'changes2_based on steps'!$B$1:$U$1,C$1)</f>
        <v>0</v>
      </c>
      <c r="D98" s="179">
        <f>SUMIFS('recurring2_based on steps'!$B98:$AY98,'recurring2_based on steps'!$B$1:$AY$1,D$1)+SUMIFS('changes2_based on steps'!$B98:$U98,'changes2_based on steps'!$B$1:$U$1,D$1)</f>
        <v>0</v>
      </c>
      <c r="E98" s="179">
        <f>SUMIFS('recurring2_based on steps'!$B98:$AY98,'recurring2_based on steps'!$B$1:$AY$1,E$1)+SUMIFS('changes2_based on steps'!$B98:$U98,'changes2_based on steps'!$B$1:$U$1,E$1)</f>
        <v>0</v>
      </c>
      <c r="F98" s="179">
        <f>SUMIFS('recurring2_based on steps'!$B98:$AY98,'recurring2_based on steps'!$B$1:$AY$1,F$1)+SUMIFS('changes2_based on steps'!$B98:$U98,'changes2_based on steps'!$B$1:$U$1,F$1)</f>
        <v>0</v>
      </c>
      <c r="G98" s="179">
        <f>SUMIFS('recurring2_based on steps'!$B98:$AY98,'recurring2_based on steps'!$B$1:$AY$1,G$1)+SUMIFS('changes2_based on steps'!$B98:$U98,'changes2_based on steps'!$B$1:$U$1,G$1)</f>
        <v>0</v>
      </c>
      <c r="H98" s="179">
        <f>SUMIFS('recurring2_based on steps'!$B98:$AY98,'recurring2_based on steps'!$B$1:$AY$1,H$1)+SUMIFS('changes2_based on steps'!$B98:$U98,'changes2_based on steps'!$B$1:$U$1,H$1)</f>
        <v>0</v>
      </c>
      <c r="I98" s="179">
        <f>SUMIFS('recurring2_based on steps'!$B98:$AY98,'recurring2_based on steps'!$B$1:$AY$1,I$1)+SUMIFS('changes2_based on steps'!$B98:$U98,'changes2_based on steps'!$B$1:$U$1,I$1)</f>
        <v>0</v>
      </c>
      <c r="J98" s="179">
        <f>SUMIFS('recurring2_based on steps'!$B98:$AY98,'recurring2_based on steps'!$B$1:$AY$1,J$1)+SUMIFS('changes2_based on steps'!$B98:$U98,'changes2_based on steps'!$B$1:$U$1,J$1)</f>
        <v>0</v>
      </c>
      <c r="K98" s="179">
        <f>SUMIFS('recurring2_based on steps'!$B98:$AY98,'recurring2_based on steps'!$B$1:$AY$1,K$1)+SUMIFS('changes2_based on steps'!$B98:$U98,'changes2_based on steps'!$B$1:$U$1,K$1)</f>
        <v>0</v>
      </c>
      <c r="L98" s="179">
        <f>SUMIFS('recurring2_based on steps'!$B98:$AY98,'recurring2_based on steps'!$B$1:$AY$1,L$1)+SUMIFS('changes2_based on steps'!$B98:$U98,'changes2_based on steps'!$B$1:$U$1,L$1)</f>
        <v>0</v>
      </c>
      <c r="M98" s="179">
        <f>SUMIFS('recurring2_based on steps'!$B98:$AY98,'recurring2_based on steps'!$B$1:$AY$1,M$1)+SUMIFS('changes2_based on steps'!$B98:$U98,'changes2_based on steps'!$B$1:$U$1,M$1)</f>
        <v>0</v>
      </c>
      <c r="N98" s="179">
        <f>SUMIFS('recurring2_based on steps'!$B98:$AY98,'recurring2_based on steps'!$B$1:$AY$1,N$1)+SUMIFS('changes2_based on steps'!$B98:$U98,'changes2_based on steps'!$B$1:$U$1,N$1)</f>
        <v>0</v>
      </c>
      <c r="O98" s="179">
        <f>SUMIFS('recurring2_based on steps'!$B98:$AY98,'recurring2_based on steps'!$B$1:$AY$1,O$1)+SUMIFS('changes2_based on steps'!$B98:$U98,'changes2_based on steps'!$B$1:$U$1,O$1)</f>
        <v>0</v>
      </c>
      <c r="P98" s="179">
        <f>SUMIFS('recurring2_based on steps'!$B98:$AY98,'recurring2_based on steps'!$B$1:$AY$1,P$1)+SUMIFS('changes2_based on steps'!$B98:$U98,'changes2_based on steps'!$B$1:$U$1,P$1)</f>
        <v>0</v>
      </c>
      <c r="Q98" s="179">
        <f>SUMIFS('recurring2_based on steps'!$B98:$AY98,'recurring2_based on steps'!$B$1:$AY$1,Q$1)+SUMIFS('changes2_based on steps'!$B98:$U98,'changes2_based on steps'!$B$1:$U$1,Q$1)</f>
        <v>0</v>
      </c>
      <c r="R98" s="179">
        <f>SUMIFS('recurring2_based on steps'!$B98:$AY98,'recurring2_based on steps'!$B$1:$AY$1,R$1)+SUMIFS('changes2_based on steps'!$B98:$U98,'changes2_based on steps'!$B$1:$U$1,R$1)</f>
        <v>0</v>
      </c>
      <c r="S98" s="179">
        <f>SUMIFS('recurring2_based on steps'!$B98:$AY98,'recurring2_based on steps'!$B$1:$AY$1,S$1)+SUMIFS('changes2_based on steps'!$B98:$U98,'changes2_based on steps'!$B$1:$U$1,S$1)</f>
        <v>0</v>
      </c>
      <c r="T98" s="179">
        <f>SUMIFS('recurring2_based on steps'!$B98:$AY98,'recurring2_based on steps'!$B$1:$AY$1,T$1)+SUMIFS('changes2_based on steps'!$B98:$U98,'changes2_based on steps'!$B$1:$U$1,T$1)</f>
        <v>0</v>
      </c>
      <c r="U98" s="179">
        <f>SUMIFS('recurring2_based on steps'!$B98:$AY98,'recurring2_based on steps'!$B$1:$AY$1,U$1)+SUMIFS('changes2_based on steps'!$B98:$U98,'changes2_based on steps'!$B$1:$U$1,U$1)</f>
        <v>0</v>
      </c>
      <c r="V98" s="179">
        <f>SUMIFS('recurring2_based on steps'!$B98:$AY98,'recurring2_based on steps'!$B$1:$AY$1,V$1)+SUMIFS('changes2_based on steps'!$B98:$U98,'changes2_based on steps'!$B$1:$U$1,V$1)</f>
        <v>0</v>
      </c>
      <c r="W98" s="179">
        <f>SUMIFS('recurring2_based on steps'!$B98:$AY98,'recurring2_based on steps'!$B$1:$AY$1,W$1)+SUMIFS('changes2_based on steps'!$B98:$U98,'changes2_based on steps'!$B$1:$U$1,W$1)</f>
        <v>0</v>
      </c>
      <c r="X98" s="179">
        <f>SUMIFS('recurring2_based on steps'!$B98:$AY98,'recurring2_based on steps'!$B$1:$AY$1,X$1)+SUMIFS('changes2_based on steps'!$B98:$U98,'changes2_based on steps'!$B$1:$U$1,X$1)</f>
        <v>0</v>
      </c>
      <c r="Y98" s="179">
        <f>SUMIFS('recurring2_based on steps'!$B98:$AY98,'recurring2_based on steps'!$B$1:$AY$1,Y$1)+SUMIFS('changes2_based on steps'!$B98:$U98,'changes2_based on steps'!$B$1:$U$1,Y$1)</f>
        <v>0</v>
      </c>
      <c r="Z98" s="179">
        <f>SUMIFS('recurring2_based on steps'!$B98:$AY98,'recurring2_based on steps'!$B$1:$AY$1,Z$1)+SUMIFS('changes2_based on steps'!$B98:$U98,'changes2_based on steps'!$B$1:$U$1,Z$1)</f>
        <v>0</v>
      </c>
      <c r="AA98" s="179">
        <f>SUMIFS('recurring2_based on steps'!$B98:$AY98,'recurring2_based on steps'!$B$1:$AY$1,AA$1)+SUMIFS('changes2_based on steps'!$B98:$U98,'changes2_based on steps'!$B$1:$U$1,AA$1)</f>
        <v>0</v>
      </c>
      <c r="AB98" s="179">
        <f>SUMIFS('recurring2_based on steps'!$B98:$AY98,'recurring2_based on steps'!$B$1:$AY$1,AB$1)+SUMIFS('changes2_based on steps'!$B98:$U98,'changes2_based on steps'!$B$1:$U$1,AB$1)</f>
        <v>0</v>
      </c>
      <c r="AC98" s="179">
        <f>SUMIFS('recurring2_based on steps'!$B98:$AY98,'recurring2_based on steps'!$B$1:$AY$1,AC$1)+SUMIFS('changes2_based on steps'!$B98:$U98,'changes2_based on steps'!$B$1:$U$1,AC$1)</f>
        <v>0</v>
      </c>
      <c r="AD98" s="179">
        <f>SUMIFS('recurring2_based on steps'!$B98:$AY98,'recurring2_based on steps'!$B$1:$AY$1,AD$1)+SUMIFS('changes2_based on steps'!$B98:$U98,'changes2_based on steps'!$B$1:$U$1,AD$1)</f>
        <v>0</v>
      </c>
      <c r="AE98" s="179">
        <f>SUMIFS('recurring2_based on steps'!$B98:$AY98,'recurring2_based on steps'!$B$1:$AY$1,AE$1)+SUMIFS('changes2_based on steps'!$B98:$U98,'changes2_based on steps'!$B$1:$U$1,AE$1)</f>
        <v>0</v>
      </c>
      <c r="AF98" s="179"/>
      <c r="AG98" s="179"/>
      <c r="AH98" s="179"/>
      <c r="AI98" s="179"/>
      <c r="AJ98" s="179"/>
      <c r="AK98" s="179"/>
      <c r="AL98" s="179"/>
      <c r="AM98" s="179"/>
    </row>
    <row r="99" spans="1:39" x14ac:dyDescent="0.2">
      <c r="A99" s="32">
        <f t="shared" ca="1" si="1"/>
        <v>45841</v>
      </c>
      <c r="B99" s="179">
        <f>SUMIFS('recurring2_based on steps'!$B99:$AY99,'recurring2_based on steps'!$B$1:$AY$1,B$1)+SUMIFS('changes2_based on steps'!$B99:$U99,'changes2_based on steps'!$B$1:$U$1,B$1)</f>
        <v>0</v>
      </c>
      <c r="C99" s="179">
        <f>SUMIFS('recurring2_based on steps'!$B99:$AY99,'recurring2_based on steps'!$B$1:$AY$1,C$1)+SUMIFS('changes2_based on steps'!$B99:$U99,'changes2_based on steps'!$B$1:$U$1,C$1)</f>
        <v>0</v>
      </c>
      <c r="D99" s="179">
        <f>SUMIFS('recurring2_based on steps'!$B99:$AY99,'recurring2_based on steps'!$B$1:$AY$1,D$1)+SUMIFS('changes2_based on steps'!$B99:$U99,'changes2_based on steps'!$B$1:$U$1,D$1)</f>
        <v>0</v>
      </c>
      <c r="E99" s="179">
        <f>SUMIFS('recurring2_based on steps'!$B99:$AY99,'recurring2_based on steps'!$B$1:$AY$1,E$1)+SUMIFS('changes2_based on steps'!$B99:$U99,'changes2_based on steps'!$B$1:$U$1,E$1)</f>
        <v>0</v>
      </c>
      <c r="F99" s="179">
        <f>SUMIFS('recurring2_based on steps'!$B99:$AY99,'recurring2_based on steps'!$B$1:$AY$1,F$1)+SUMIFS('changes2_based on steps'!$B99:$U99,'changes2_based on steps'!$B$1:$U$1,F$1)</f>
        <v>0</v>
      </c>
      <c r="G99" s="179">
        <f>SUMIFS('recurring2_based on steps'!$B99:$AY99,'recurring2_based on steps'!$B$1:$AY$1,G$1)+SUMIFS('changes2_based on steps'!$B99:$U99,'changes2_based on steps'!$B$1:$U$1,G$1)</f>
        <v>0</v>
      </c>
      <c r="H99" s="179">
        <f>SUMIFS('recurring2_based on steps'!$B99:$AY99,'recurring2_based on steps'!$B$1:$AY$1,H$1)+SUMIFS('changes2_based on steps'!$B99:$U99,'changes2_based on steps'!$B$1:$U$1,H$1)</f>
        <v>0</v>
      </c>
      <c r="I99" s="179">
        <f>SUMIFS('recurring2_based on steps'!$B99:$AY99,'recurring2_based on steps'!$B$1:$AY$1,I$1)+SUMIFS('changes2_based on steps'!$B99:$U99,'changes2_based on steps'!$B$1:$U$1,I$1)</f>
        <v>0</v>
      </c>
      <c r="J99" s="179">
        <f>SUMIFS('recurring2_based on steps'!$B99:$AY99,'recurring2_based on steps'!$B$1:$AY$1,J$1)+SUMIFS('changes2_based on steps'!$B99:$U99,'changes2_based on steps'!$B$1:$U$1,J$1)</f>
        <v>0</v>
      </c>
      <c r="K99" s="179">
        <f>SUMIFS('recurring2_based on steps'!$B99:$AY99,'recurring2_based on steps'!$B$1:$AY$1,K$1)+SUMIFS('changes2_based on steps'!$B99:$U99,'changes2_based on steps'!$B$1:$U$1,K$1)</f>
        <v>0</v>
      </c>
      <c r="L99" s="179">
        <f>SUMIFS('recurring2_based on steps'!$B99:$AY99,'recurring2_based on steps'!$B$1:$AY$1,L$1)+SUMIFS('changes2_based on steps'!$B99:$U99,'changes2_based on steps'!$B$1:$U$1,L$1)</f>
        <v>0</v>
      </c>
      <c r="M99" s="179">
        <f>SUMIFS('recurring2_based on steps'!$B99:$AY99,'recurring2_based on steps'!$B$1:$AY$1,M$1)+SUMIFS('changes2_based on steps'!$B99:$U99,'changes2_based on steps'!$B$1:$U$1,M$1)</f>
        <v>0</v>
      </c>
      <c r="N99" s="179">
        <f>SUMIFS('recurring2_based on steps'!$B99:$AY99,'recurring2_based on steps'!$B$1:$AY$1,N$1)+SUMIFS('changes2_based on steps'!$B99:$U99,'changes2_based on steps'!$B$1:$U$1,N$1)</f>
        <v>0</v>
      </c>
      <c r="O99" s="179">
        <f>SUMIFS('recurring2_based on steps'!$B99:$AY99,'recurring2_based on steps'!$B$1:$AY$1,O$1)+SUMIFS('changes2_based on steps'!$B99:$U99,'changes2_based on steps'!$B$1:$U$1,O$1)</f>
        <v>0</v>
      </c>
      <c r="P99" s="179">
        <f>SUMIFS('recurring2_based on steps'!$B99:$AY99,'recurring2_based on steps'!$B$1:$AY$1,P$1)+SUMIFS('changes2_based on steps'!$B99:$U99,'changes2_based on steps'!$B$1:$U$1,P$1)</f>
        <v>0</v>
      </c>
      <c r="Q99" s="179">
        <f>SUMIFS('recurring2_based on steps'!$B99:$AY99,'recurring2_based on steps'!$B$1:$AY$1,Q$1)+SUMIFS('changes2_based on steps'!$B99:$U99,'changes2_based on steps'!$B$1:$U$1,Q$1)</f>
        <v>0</v>
      </c>
      <c r="R99" s="179">
        <f>SUMIFS('recurring2_based on steps'!$B99:$AY99,'recurring2_based on steps'!$B$1:$AY$1,R$1)+SUMIFS('changes2_based on steps'!$B99:$U99,'changes2_based on steps'!$B$1:$U$1,R$1)</f>
        <v>0</v>
      </c>
      <c r="S99" s="179">
        <f>SUMIFS('recurring2_based on steps'!$B99:$AY99,'recurring2_based on steps'!$B$1:$AY$1,S$1)+SUMIFS('changes2_based on steps'!$B99:$U99,'changes2_based on steps'!$B$1:$U$1,S$1)</f>
        <v>0</v>
      </c>
      <c r="T99" s="179">
        <f>SUMIFS('recurring2_based on steps'!$B99:$AY99,'recurring2_based on steps'!$B$1:$AY$1,T$1)+SUMIFS('changes2_based on steps'!$B99:$U99,'changes2_based on steps'!$B$1:$U$1,T$1)</f>
        <v>0</v>
      </c>
      <c r="U99" s="179">
        <f>SUMIFS('recurring2_based on steps'!$B99:$AY99,'recurring2_based on steps'!$B$1:$AY$1,U$1)+SUMIFS('changes2_based on steps'!$B99:$U99,'changes2_based on steps'!$B$1:$U$1,U$1)</f>
        <v>0</v>
      </c>
      <c r="V99" s="179">
        <f>SUMIFS('recurring2_based on steps'!$B99:$AY99,'recurring2_based on steps'!$B$1:$AY$1,V$1)+SUMIFS('changes2_based on steps'!$B99:$U99,'changes2_based on steps'!$B$1:$U$1,V$1)</f>
        <v>0</v>
      </c>
      <c r="W99" s="179">
        <f>SUMIFS('recurring2_based on steps'!$B99:$AY99,'recurring2_based on steps'!$B$1:$AY$1,W$1)+SUMIFS('changes2_based on steps'!$B99:$U99,'changes2_based on steps'!$B$1:$U$1,W$1)</f>
        <v>0</v>
      </c>
      <c r="X99" s="179">
        <f>SUMIFS('recurring2_based on steps'!$B99:$AY99,'recurring2_based on steps'!$B$1:$AY$1,X$1)+SUMIFS('changes2_based on steps'!$B99:$U99,'changes2_based on steps'!$B$1:$U$1,X$1)</f>
        <v>0</v>
      </c>
      <c r="Y99" s="179">
        <f>SUMIFS('recurring2_based on steps'!$B99:$AY99,'recurring2_based on steps'!$B$1:$AY$1,Y$1)+SUMIFS('changes2_based on steps'!$B99:$U99,'changes2_based on steps'!$B$1:$U$1,Y$1)</f>
        <v>0</v>
      </c>
      <c r="Z99" s="179">
        <f>SUMIFS('recurring2_based on steps'!$B99:$AY99,'recurring2_based on steps'!$B$1:$AY$1,Z$1)+SUMIFS('changes2_based on steps'!$B99:$U99,'changes2_based on steps'!$B$1:$U$1,Z$1)</f>
        <v>0</v>
      </c>
      <c r="AA99" s="179">
        <f>SUMIFS('recurring2_based on steps'!$B99:$AY99,'recurring2_based on steps'!$B$1:$AY$1,AA$1)+SUMIFS('changes2_based on steps'!$B99:$U99,'changes2_based on steps'!$B$1:$U$1,AA$1)</f>
        <v>0</v>
      </c>
      <c r="AB99" s="179">
        <f>SUMIFS('recurring2_based on steps'!$B99:$AY99,'recurring2_based on steps'!$B$1:$AY$1,AB$1)+SUMIFS('changes2_based on steps'!$B99:$U99,'changes2_based on steps'!$B$1:$U$1,AB$1)</f>
        <v>0</v>
      </c>
      <c r="AC99" s="179">
        <f>SUMIFS('recurring2_based on steps'!$B99:$AY99,'recurring2_based on steps'!$B$1:$AY$1,AC$1)+SUMIFS('changes2_based on steps'!$B99:$U99,'changes2_based on steps'!$B$1:$U$1,AC$1)</f>
        <v>0</v>
      </c>
      <c r="AD99" s="179">
        <f>SUMIFS('recurring2_based on steps'!$B99:$AY99,'recurring2_based on steps'!$B$1:$AY$1,AD$1)+SUMIFS('changes2_based on steps'!$B99:$U99,'changes2_based on steps'!$B$1:$U$1,AD$1)</f>
        <v>0</v>
      </c>
      <c r="AE99" s="179">
        <f>SUMIFS('recurring2_based on steps'!$B99:$AY99,'recurring2_based on steps'!$B$1:$AY$1,AE$1)+SUMIFS('changes2_based on steps'!$B99:$U99,'changes2_based on steps'!$B$1:$U$1,AE$1)</f>
        <v>0</v>
      </c>
      <c r="AF99" s="179"/>
      <c r="AG99" s="179"/>
      <c r="AH99" s="179"/>
      <c r="AI99" s="179"/>
      <c r="AJ99" s="179"/>
      <c r="AK99" s="179"/>
      <c r="AL99" s="179"/>
      <c r="AM99" s="179"/>
    </row>
    <row r="100" spans="1:39" x14ac:dyDescent="0.2">
      <c r="A100" s="32">
        <f t="shared" ca="1" si="1"/>
        <v>45842</v>
      </c>
      <c r="B100" s="179">
        <f>SUMIFS('recurring2_based on steps'!$B100:$AY100,'recurring2_based on steps'!$B$1:$AY$1,B$1)+SUMIFS('changes2_based on steps'!$B100:$U100,'changes2_based on steps'!$B$1:$U$1,B$1)</f>
        <v>0</v>
      </c>
      <c r="C100" s="179">
        <f>SUMIFS('recurring2_based on steps'!$B100:$AY100,'recurring2_based on steps'!$B$1:$AY$1,C$1)+SUMIFS('changes2_based on steps'!$B100:$U100,'changes2_based on steps'!$B$1:$U$1,C$1)</f>
        <v>0</v>
      </c>
      <c r="D100" s="179">
        <f>SUMIFS('recurring2_based on steps'!$B100:$AY100,'recurring2_based on steps'!$B$1:$AY$1,D$1)+SUMIFS('changes2_based on steps'!$B100:$U100,'changes2_based on steps'!$B$1:$U$1,D$1)</f>
        <v>0</v>
      </c>
      <c r="E100" s="179">
        <f>SUMIFS('recurring2_based on steps'!$B100:$AY100,'recurring2_based on steps'!$B$1:$AY$1,E$1)+SUMIFS('changes2_based on steps'!$B100:$U100,'changes2_based on steps'!$B$1:$U$1,E$1)</f>
        <v>0</v>
      </c>
      <c r="F100" s="179">
        <f>SUMIFS('recurring2_based on steps'!$B100:$AY100,'recurring2_based on steps'!$B$1:$AY$1,F$1)+SUMIFS('changes2_based on steps'!$B100:$U100,'changes2_based on steps'!$B$1:$U$1,F$1)</f>
        <v>0</v>
      </c>
      <c r="G100" s="179">
        <f>SUMIFS('recurring2_based on steps'!$B100:$AY100,'recurring2_based on steps'!$B$1:$AY$1,G$1)+SUMIFS('changes2_based on steps'!$B100:$U100,'changes2_based on steps'!$B$1:$U$1,G$1)</f>
        <v>0</v>
      </c>
      <c r="H100" s="179">
        <f>SUMIFS('recurring2_based on steps'!$B100:$AY100,'recurring2_based on steps'!$B$1:$AY$1,H$1)+SUMIFS('changes2_based on steps'!$B100:$U100,'changes2_based on steps'!$B$1:$U$1,H$1)</f>
        <v>0</v>
      </c>
      <c r="I100" s="179">
        <f>SUMIFS('recurring2_based on steps'!$B100:$AY100,'recurring2_based on steps'!$B$1:$AY$1,I$1)+SUMIFS('changes2_based on steps'!$B100:$U100,'changes2_based on steps'!$B$1:$U$1,I$1)</f>
        <v>0</v>
      </c>
      <c r="J100" s="179">
        <f>SUMIFS('recurring2_based on steps'!$B100:$AY100,'recurring2_based on steps'!$B$1:$AY$1,J$1)+SUMIFS('changes2_based on steps'!$B100:$U100,'changes2_based on steps'!$B$1:$U$1,J$1)</f>
        <v>0</v>
      </c>
      <c r="K100" s="179">
        <f>SUMIFS('recurring2_based on steps'!$B100:$AY100,'recurring2_based on steps'!$B$1:$AY$1,K$1)+SUMIFS('changes2_based on steps'!$B100:$U100,'changes2_based on steps'!$B$1:$U$1,K$1)</f>
        <v>0</v>
      </c>
      <c r="L100" s="179">
        <f>SUMIFS('recurring2_based on steps'!$B100:$AY100,'recurring2_based on steps'!$B$1:$AY$1,L$1)+SUMIFS('changes2_based on steps'!$B100:$U100,'changes2_based on steps'!$B$1:$U$1,L$1)</f>
        <v>0</v>
      </c>
      <c r="M100" s="179">
        <f>SUMIFS('recurring2_based on steps'!$B100:$AY100,'recurring2_based on steps'!$B$1:$AY$1,M$1)+SUMIFS('changes2_based on steps'!$B100:$U100,'changes2_based on steps'!$B$1:$U$1,M$1)</f>
        <v>0</v>
      </c>
      <c r="N100" s="179">
        <f>SUMIFS('recurring2_based on steps'!$B100:$AY100,'recurring2_based on steps'!$B$1:$AY$1,N$1)+SUMIFS('changes2_based on steps'!$B100:$U100,'changes2_based on steps'!$B$1:$U$1,N$1)</f>
        <v>0</v>
      </c>
      <c r="O100" s="179">
        <f>SUMIFS('recurring2_based on steps'!$B100:$AY100,'recurring2_based on steps'!$B$1:$AY$1,O$1)+SUMIFS('changes2_based on steps'!$B100:$U100,'changes2_based on steps'!$B$1:$U$1,O$1)</f>
        <v>0</v>
      </c>
      <c r="P100" s="179">
        <f>SUMIFS('recurring2_based on steps'!$B100:$AY100,'recurring2_based on steps'!$B$1:$AY$1,P$1)+SUMIFS('changes2_based on steps'!$B100:$U100,'changes2_based on steps'!$B$1:$U$1,P$1)</f>
        <v>0</v>
      </c>
      <c r="Q100" s="179">
        <f>SUMIFS('recurring2_based on steps'!$B100:$AY100,'recurring2_based on steps'!$B$1:$AY$1,Q$1)+SUMIFS('changes2_based on steps'!$B100:$U100,'changes2_based on steps'!$B$1:$U$1,Q$1)</f>
        <v>0</v>
      </c>
      <c r="R100" s="179">
        <f>SUMIFS('recurring2_based on steps'!$B100:$AY100,'recurring2_based on steps'!$B$1:$AY$1,R$1)+SUMIFS('changes2_based on steps'!$B100:$U100,'changes2_based on steps'!$B$1:$U$1,R$1)</f>
        <v>0</v>
      </c>
      <c r="S100" s="179">
        <f>SUMIFS('recurring2_based on steps'!$B100:$AY100,'recurring2_based on steps'!$B$1:$AY$1,S$1)+SUMIFS('changes2_based on steps'!$B100:$U100,'changes2_based on steps'!$B$1:$U$1,S$1)</f>
        <v>0</v>
      </c>
      <c r="T100" s="179">
        <f>SUMIFS('recurring2_based on steps'!$B100:$AY100,'recurring2_based on steps'!$B$1:$AY$1,T$1)+SUMIFS('changes2_based on steps'!$B100:$U100,'changes2_based on steps'!$B$1:$U$1,T$1)</f>
        <v>0</v>
      </c>
      <c r="U100" s="179">
        <f>SUMIFS('recurring2_based on steps'!$B100:$AY100,'recurring2_based on steps'!$B$1:$AY$1,U$1)+SUMIFS('changes2_based on steps'!$B100:$U100,'changes2_based on steps'!$B$1:$U$1,U$1)</f>
        <v>0</v>
      </c>
      <c r="V100" s="179">
        <f>SUMIFS('recurring2_based on steps'!$B100:$AY100,'recurring2_based on steps'!$B$1:$AY$1,V$1)+SUMIFS('changes2_based on steps'!$B100:$U100,'changes2_based on steps'!$B$1:$U$1,V$1)</f>
        <v>0</v>
      </c>
      <c r="W100" s="179">
        <f>SUMIFS('recurring2_based on steps'!$B100:$AY100,'recurring2_based on steps'!$B$1:$AY$1,W$1)+SUMIFS('changes2_based on steps'!$B100:$U100,'changes2_based on steps'!$B$1:$U$1,W$1)</f>
        <v>0</v>
      </c>
      <c r="X100" s="179">
        <f>SUMIFS('recurring2_based on steps'!$B100:$AY100,'recurring2_based on steps'!$B$1:$AY$1,X$1)+SUMIFS('changes2_based on steps'!$B100:$U100,'changes2_based on steps'!$B$1:$U$1,X$1)</f>
        <v>0</v>
      </c>
      <c r="Y100" s="179">
        <f>SUMIFS('recurring2_based on steps'!$B100:$AY100,'recurring2_based on steps'!$B$1:$AY$1,Y$1)+SUMIFS('changes2_based on steps'!$B100:$U100,'changes2_based on steps'!$B$1:$U$1,Y$1)</f>
        <v>0</v>
      </c>
      <c r="Z100" s="179">
        <f>SUMIFS('recurring2_based on steps'!$B100:$AY100,'recurring2_based on steps'!$B$1:$AY$1,Z$1)+SUMIFS('changes2_based on steps'!$B100:$U100,'changes2_based on steps'!$B$1:$U$1,Z$1)</f>
        <v>0</v>
      </c>
      <c r="AA100" s="179">
        <f>SUMIFS('recurring2_based on steps'!$B100:$AY100,'recurring2_based on steps'!$B$1:$AY$1,AA$1)+SUMIFS('changes2_based on steps'!$B100:$U100,'changes2_based on steps'!$B$1:$U$1,AA$1)</f>
        <v>0</v>
      </c>
      <c r="AB100" s="179">
        <f>SUMIFS('recurring2_based on steps'!$B100:$AY100,'recurring2_based on steps'!$B$1:$AY$1,AB$1)+SUMIFS('changes2_based on steps'!$B100:$U100,'changes2_based on steps'!$B$1:$U$1,AB$1)</f>
        <v>0</v>
      </c>
      <c r="AC100" s="179">
        <f>SUMIFS('recurring2_based on steps'!$B100:$AY100,'recurring2_based on steps'!$B$1:$AY$1,AC$1)+SUMIFS('changes2_based on steps'!$B100:$U100,'changes2_based on steps'!$B$1:$U$1,AC$1)</f>
        <v>0</v>
      </c>
      <c r="AD100" s="179">
        <f>SUMIFS('recurring2_based on steps'!$B100:$AY100,'recurring2_based on steps'!$B$1:$AY$1,AD$1)+SUMIFS('changes2_based on steps'!$B100:$U100,'changes2_based on steps'!$B$1:$U$1,AD$1)</f>
        <v>0</v>
      </c>
      <c r="AE100" s="179">
        <f>SUMIFS('recurring2_based on steps'!$B100:$AY100,'recurring2_based on steps'!$B$1:$AY$1,AE$1)+SUMIFS('changes2_based on steps'!$B100:$U100,'changes2_based on steps'!$B$1:$U$1,AE$1)</f>
        <v>0</v>
      </c>
      <c r="AF100" s="179"/>
      <c r="AG100" s="179"/>
      <c r="AH100" s="179"/>
      <c r="AI100" s="179"/>
      <c r="AJ100" s="179"/>
      <c r="AK100" s="179"/>
      <c r="AL100" s="179"/>
      <c r="AM100" s="179"/>
    </row>
    <row r="101" spans="1:39" x14ac:dyDescent="0.2">
      <c r="A101" s="32">
        <f t="shared" ca="1" si="1"/>
        <v>45843</v>
      </c>
      <c r="B101" s="179">
        <f>SUMIFS('recurring2_based on steps'!$B101:$AY101,'recurring2_based on steps'!$B$1:$AY$1,B$1)+SUMIFS('changes2_based on steps'!$B101:$U101,'changes2_based on steps'!$B$1:$U$1,B$1)</f>
        <v>0</v>
      </c>
      <c r="C101" s="179">
        <f>SUMIFS('recurring2_based on steps'!$B101:$AY101,'recurring2_based on steps'!$B$1:$AY$1,C$1)+SUMIFS('changes2_based on steps'!$B101:$U101,'changes2_based on steps'!$B$1:$U$1,C$1)</f>
        <v>0</v>
      </c>
      <c r="D101" s="179">
        <f>SUMIFS('recurring2_based on steps'!$B101:$AY101,'recurring2_based on steps'!$B$1:$AY$1,D$1)+SUMIFS('changes2_based on steps'!$B101:$U101,'changes2_based on steps'!$B$1:$U$1,D$1)</f>
        <v>0</v>
      </c>
      <c r="E101" s="179">
        <f>SUMIFS('recurring2_based on steps'!$B101:$AY101,'recurring2_based on steps'!$B$1:$AY$1,E$1)+SUMIFS('changes2_based on steps'!$B101:$U101,'changes2_based on steps'!$B$1:$U$1,E$1)</f>
        <v>0</v>
      </c>
      <c r="F101" s="179">
        <f>SUMIFS('recurring2_based on steps'!$B101:$AY101,'recurring2_based on steps'!$B$1:$AY$1,F$1)+SUMIFS('changes2_based on steps'!$B101:$U101,'changes2_based on steps'!$B$1:$U$1,F$1)</f>
        <v>0</v>
      </c>
      <c r="G101" s="179">
        <f>SUMIFS('recurring2_based on steps'!$B101:$AY101,'recurring2_based on steps'!$B$1:$AY$1,G$1)+SUMIFS('changes2_based on steps'!$B101:$U101,'changes2_based on steps'!$B$1:$U$1,G$1)</f>
        <v>0</v>
      </c>
      <c r="H101" s="179">
        <f>SUMIFS('recurring2_based on steps'!$B101:$AY101,'recurring2_based on steps'!$B$1:$AY$1,H$1)+SUMIFS('changes2_based on steps'!$B101:$U101,'changes2_based on steps'!$B$1:$U$1,H$1)</f>
        <v>0</v>
      </c>
      <c r="I101" s="179">
        <f>SUMIFS('recurring2_based on steps'!$B101:$AY101,'recurring2_based on steps'!$B$1:$AY$1,I$1)+SUMIFS('changes2_based on steps'!$B101:$U101,'changes2_based on steps'!$B$1:$U$1,I$1)</f>
        <v>0</v>
      </c>
      <c r="J101" s="179">
        <f>SUMIFS('recurring2_based on steps'!$B101:$AY101,'recurring2_based on steps'!$B$1:$AY$1,J$1)+SUMIFS('changes2_based on steps'!$B101:$U101,'changes2_based on steps'!$B$1:$U$1,J$1)</f>
        <v>0</v>
      </c>
      <c r="K101" s="179">
        <f>SUMIFS('recurring2_based on steps'!$B101:$AY101,'recurring2_based on steps'!$B$1:$AY$1,K$1)+SUMIFS('changes2_based on steps'!$B101:$U101,'changes2_based on steps'!$B$1:$U$1,K$1)</f>
        <v>0</v>
      </c>
      <c r="L101" s="179">
        <f>SUMIFS('recurring2_based on steps'!$B101:$AY101,'recurring2_based on steps'!$B$1:$AY$1,L$1)+SUMIFS('changes2_based on steps'!$B101:$U101,'changes2_based on steps'!$B$1:$U$1,L$1)</f>
        <v>0</v>
      </c>
      <c r="M101" s="179">
        <f>SUMIFS('recurring2_based on steps'!$B101:$AY101,'recurring2_based on steps'!$B$1:$AY$1,M$1)+SUMIFS('changes2_based on steps'!$B101:$U101,'changes2_based on steps'!$B$1:$U$1,M$1)</f>
        <v>0</v>
      </c>
      <c r="N101" s="179">
        <f>SUMIFS('recurring2_based on steps'!$B101:$AY101,'recurring2_based on steps'!$B$1:$AY$1,N$1)+SUMIFS('changes2_based on steps'!$B101:$U101,'changes2_based on steps'!$B$1:$U$1,N$1)</f>
        <v>0</v>
      </c>
      <c r="O101" s="179">
        <f>SUMIFS('recurring2_based on steps'!$B101:$AY101,'recurring2_based on steps'!$B$1:$AY$1,O$1)+SUMIFS('changes2_based on steps'!$B101:$U101,'changes2_based on steps'!$B$1:$U$1,O$1)</f>
        <v>0</v>
      </c>
      <c r="P101" s="179">
        <f>SUMIFS('recurring2_based on steps'!$B101:$AY101,'recurring2_based on steps'!$B$1:$AY$1,P$1)+SUMIFS('changes2_based on steps'!$B101:$U101,'changes2_based on steps'!$B$1:$U$1,P$1)</f>
        <v>0</v>
      </c>
      <c r="Q101" s="179">
        <f>SUMIFS('recurring2_based on steps'!$B101:$AY101,'recurring2_based on steps'!$B$1:$AY$1,Q$1)+SUMIFS('changes2_based on steps'!$B101:$U101,'changes2_based on steps'!$B$1:$U$1,Q$1)</f>
        <v>0</v>
      </c>
      <c r="R101" s="179">
        <f>SUMIFS('recurring2_based on steps'!$B101:$AY101,'recurring2_based on steps'!$B$1:$AY$1,R$1)+SUMIFS('changes2_based on steps'!$B101:$U101,'changes2_based on steps'!$B$1:$U$1,R$1)</f>
        <v>0</v>
      </c>
      <c r="S101" s="179">
        <f>SUMIFS('recurring2_based on steps'!$B101:$AY101,'recurring2_based on steps'!$B$1:$AY$1,S$1)+SUMIFS('changes2_based on steps'!$B101:$U101,'changes2_based on steps'!$B$1:$U$1,S$1)</f>
        <v>0</v>
      </c>
      <c r="T101" s="179">
        <f>SUMIFS('recurring2_based on steps'!$B101:$AY101,'recurring2_based on steps'!$B$1:$AY$1,T$1)+SUMIFS('changes2_based on steps'!$B101:$U101,'changes2_based on steps'!$B$1:$U$1,T$1)</f>
        <v>0</v>
      </c>
      <c r="U101" s="179">
        <f>SUMIFS('recurring2_based on steps'!$B101:$AY101,'recurring2_based on steps'!$B$1:$AY$1,U$1)+SUMIFS('changes2_based on steps'!$B101:$U101,'changes2_based on steps'!$B$1:$U$1,U$1)</f>
        <v>0</v>
      </c>
      <c r="V101" s="179">
        <f>SUMIFS('recurring2_based on steps'!$B101:$AY101,'recurring2_based on steps'!$B$1:$AY$1,V$1)+SUMIFS('changes2_based on steps'!$B101:$U101,'changes2_based on steps'!$B$1:$U$1,V$1)</f>
        <v>0</v>
      </c>
      <c r="W101" s="179">
        <f>SUMIFS('recurring2_based on steps'!$B101:$AY101,'recurring2_based on steps'!$B$1:$AY$1,W$1)+SUMIFS('changes2_based on steps'!$B101:$U101,'changes2_based on steps'!$B$1:$U$1,W$1)</f>
        <v>0</v>
      </c>
      <c r="X101" s="179">
        <f>SUMIFS('recurring2_based on steps'!$B101:$AY101,'recurring2_based on steps'!$B$1:$AY$1,X$1)+SUMIFS('changes2_based on steps'!$B101:$U101,'changes2_based on steps'!$B$1:$U$1,X$1)</f>
        <v>0</v>
      </c>
      <c r="Y101" s="179">
        <f>SUMIFS('recurring2_based on steps'!$B101:$AY101,'recurring2_based on steps'!$B$1:$AY$1,Y$1)+SUMIFS('changes2_based on steps'!$B101:$U101,'changes2_based on steps'!$B$1:$U$1,Y$1)</f>
        <v>0</v>
      </c>
      <c r="Z101" s="179">
        <f>SUMIFS('recurring2_based on steps'!$B101:$AY101,'recurring2_based on steps'!$B$1:$AY$1,Z$1)+SUMIFS('changes2_based on steps'!$B101:$U101,'changes2_based on steps'!$B$1:$U$1,Z$1)</f>
        <v>0</v>
      </c>
      <c r="AA101" s="179">
        <f>SUMIFS('recurring2_based on steps'!$B101:$AY101,'recurring2_based on steps'!$B$1:$AY$1,AA$1)+SUMIFS('changes2_based on steps'!$B101:$U101,'changes2_based on steps'!$B$1:$U$1,AA$1)</f>
        <v>0</v>
      </c>
      <c r="AB101" s="179">
        <f>SUMIFS('recurring2_based on steps'!$B101:$AY101,'recurring2_based on steps'!$B$1:$AY$1,AB$1)+SUMIFS('changes2_based on steps'!$B101:$U101,'changes2_based on steps'!$B$1:$U$1,AB$1)</f>
        <v>0</v>
      </c>
      <c r="AC101" s="179">
        <f>SUMIFS('recurring2_based on steps'!$B101:$AY101,'recurring2_based on steps'!$B$1:$AY$1,AC$1)+SUMIFS('changes2_based on steps'!$B101:$U101,'changes2_based on steps'!$B$1:$U$1,AC$1)</f>
        <v>0</v>
      </c>
      <c r="AD101" s="179">
        <f>SUMIFS('recurring2_based on steps'!$B101:$AY101,'recurring2_based on steps'!$B$1:$AY$1,AD$1)+SUMIFS('changes2_based on steps'!$B101:$U101,'changes2_based on steps'!$B$1:$U$1,AD$1)</f>
        <v>0</v>
      </c>
      <c r="AE101" s="179">
        <f>SUMIFS('recurring2_based on steps'!$B101:$AY101,'recurring2_based on steps'!$B$1:$AY$1,AE$1)+SUMIFS('changes2_based on steps'!$B101:$U101,'changes2_based on steps'!$B$1:$U$1,AE$1)</f>
        <v>0</v>
      </c>
      <c r="AF101" s="179"/>
      <c r="AG101" s="179"/>
      <c r="AH101" s="179"/>
      <c r="AI101" s="179"/>
      <c r="AJ101" s="179"/>
      <c r="AK101" s="179"/>
      <c r="AL101" s="179"/>
      <c r="AM101" s="179"/>
    </row>
    <row r="102" spans="1:39" x14ac:dyDescent="0.2">
      <c r="A102" s="32">
        <f t="shared" ca="1" si="1"/>
        <v>45844</v>
      </c>
      <c r="B102" s="179">
        <f>SUMIFS('recurring2_based on steps'!$B102:$AY102,'recurring2_based on steps'!$B$1:$AY$1,B$1)+SUMIFS('changes2_based on steps'!$B102:$U102,'changes2_based on steps'!$B$1:$U$1,B$1)</f>
        <v>0</v>
      </c>
      <c r="C102" s="179">
        <f>SUMIFS('recurring2_based on steps'!$B102:$AY102,'recurring2_based on steps'!$B$1:$AY$1,C$1)+SUMIFS('changes2_based on steps'!$B102:$U102,'changes2_based on steps'!$B$1:$U$1,C$1)</f>
        <v>0</v>
      </c>
      <c r="D102" s="179">
        <f>SUMIFS('recurring2_based on steps'!$B102:$AY102,'recurring2_based on steps'!$B$1:$AY$1,D$1)+SUMIFS('changes2_based on steps'!$B102:$U102,'changes2_based on steps'!$B$1:$U$1,D$1)</f>
        <v>0</v>
      </c>
      <c r="E102" s="179">
        <f>SUMIFS('recurring2_based on steps'!$B102:$AY102,'recurring2_based on steps'!$B$1:$AY$1,E$1)+SUMIFS('changes2_based on steps'!$B102:$U102,'changes2_based on steps'!$B$1:$U$1,E$1)</f>
        <v>0</v>
      </c>
      <c r="F102" s="179">
        <f>SUMIFS('recurring2_based on steps'!$B102:$AY102,'recurring2_based on steps'!$B$1:$AY$1,F$1)+SUMIFS('changes2_based on steps'!$B102:$U102,'changes2_based on steps'!$B$1:$U$1,F$1)</f>
        <v>0</v>
      </c>
      <c r="G102" s="179">
        <f>SUMIFS('recurring2_based on steps'!$B102:$AY102,'recurring2_based on steps'!$B$1:$AY$1,G$1)+SUMIFS('changes2_based on steps'!$B102:$U102,'changes2_based on steps'!$B$1:$U$1,G$1)</f>
        <v>0</v>
      </c>
      <c r="H102" s="179">
        <f>SUMIFS('recurring2_based on steps'!$B102:$AY102,'recurring2_based on steps'!$B$1:$AY$1,H$1)+SUMIFS('changes2_based on steps'!$B102:$U102,'changes2_based on steps'!$B$1:$U$1,H$1)</f>
        <v>0</v>
      </c>
      <c r="I102" s="179">
        <f>SUMIFS('recurring2_based on steps'!$B102:$AY102,'recurring2_based on steps'!$B$1:$AY$1,I$1)+SUMIFS('changes2_based on steps'!$B102:$U102,'changes2_based on steps'!$B$1:$U$1,I$1)</f>
        <v>0</v>
      </c>
      <c r="J102" s="179">
        <f>SUMIFS('recurring2_based on steps'!$B102:$AY102,'recurring2_based on steps'!$B$1:$AY$1,J$1)+SUMIFS('changes2_based on steps'!$B102:$U102,'changes2_based on steps'!$B$1:$U$1,J$1)</f>
        <v>0</v>
      </c>
      <c r="K102" s="179">
        <f>SUMIFS('recurring2_based on steps'!$B102:$AY102,'recurring2_based on steps'!$B$1:$AY$1,K$1)+SUMIFS('changes2_based on steps'!$B102:$U102,'changes2_based on steps'!$B$1:$U$1,K$1)</f>
        <v>0</v>
      </c>
      <c r="L102" s="179">
        <f>SUMIFS('recurring2_based on steps'!$B102:$AY102,'recurring2_based on steps'!$B$1:$AY$1,L$1)+SUMIFS('changes2_based on steps'!$B102:$U102,'changes2_based on steps'!$B$1:$U$1,L$1)</f>
        <v>0</v>
      </c>
      <c r="M102" s="179">
        <f>SUMIFS('recurring2_based on steps'!$B102:$AY102,'recurring2_based on steps'!$B$1:$AY$1,M$1)+SUMIFS('changes2_based on steps'!$B102:$U102,'changes2_based on steps'!$B$1:$U$1,M$1)</f>
        <v>0</v>
      </c>
      <c r="N102" s="179">
        <f>SUMIFS('recurring2_based on steps'!$B102:$AY102,'recurring2_based on steps'!$B$1:$AY$1,N$1)+SUMIFS('changes2_based on steps'!$B102:$U102,'changes2_based on steps'!$B$1:$U$1,N$1)</f>
        <v>0</v>
      </c>
      <c r="O102" s="179">
        <f>SUMIFS('recurring2_based on steps'!$B102:$AY102,'recurring2_based on steps'!$B$1:$AY$1,O$1)+SUMIFS('changes2_based on steps'!$B102:$U102,'changes2_based on steps'!$B$1:$U$1,O$1)</f>
        <v>0</v>
      </c>
      <c r="P102" s="179">
        <f>SUMIFS('recurring2_based on steps'!$B102:$AY102,'recurring2_based on steps'!$B$1:$AY$1,P$1)+SUMIFS('changes2_based on steps'!$B102:$U102,'changes2_based on steps'!$B$1:$U$1,P$1)</f>
        <v>0</v>
      </c>
      <c r="Q102" s="179">
        <f>SUMIFS('recurring2_based on steps'!$B102:$AY102,'recurring2_based on steps'!$B$1:$AY$1,Q$1)+SUMIFS('changes2_based on steps'!$B102:$U102,'changes2_based on steps'!$B$1:$U$1,Q$1)</f>
        <v>0</v>
      </c>
      <c r="R102" s="179">
        <f>SUMIFS('recurring2_based on steps'!$B102:$AY102,'recurring2_based on steps'!$B$1:$AY$1,R$1)+SUMIFS('changes2_based on steps'!$B102:$U102,'changes2_based on steps'!$B$1:$U$1,R$1)</f>
        <v>0</v>
      </c>
      <c r="S102" s="179">
        <f>SUMIFS('recurring2_based on steps'!$B102:$AY102,'recurring2_based on steps'!$B$1:$AY$1,S$1)+SUMIFS('changes2_based on steps'!$B102:$U102,'changes2_based on steps'!$B$1:$U$1,S$1)</f>
        <v>0</v>
      </c>
      <c r="T102" s="179">
        <f>SUMIFS('recurring2_based on steps'!$B102:$AY102,'recurring2_based on steps'!$B$1:$AY$1,T$1)+SUMIFS('changes2_based on steps'!$B102:$U102,'changes2_based on steps'!$B$1:$U$1,T$1)</f>
        <v>0</v>
      </c>
      <c r="U102" s="179">
        <f>SUMIFS('recurring2_based on steps'!$B102:$AY102,'recurring2_based on steps'!$B$1:$AY$1,U$1)+SUMIFS('changes2_based on steps'!$B102:$U102,'changes2_based on steps'!$B$1:$U$1,U$1)</f>
        <v>0</v>
      </c>
      <c r="V102" s="179">
        <f>SUMIFS('recurring2_based on steps'!$B102:$AY102,'recurring2_based on steps'!$B$1:$AY$1,V$1)+SUMIFS('changes2_based on steps'!$B102:$U102,'changes2_based on steps'!$B$1:$U$1,V$1)</f>
        <v>0</v>
      </c>
      <c r="W102" s="179">
        <f>SUMIFS('recurring2_based on steps'!$B102:$AY102,'recurring2_based on steps'!$B$1:$AY$1,W$1)+SUMIFS('changes2_based on steps'!$B102:$U102,'changes2_based on steps'!$B$1:$U$1,W$1)</f>
        <v>0</v>
      </c>
      <c r="X102" s="179">
        <f>SUMIFS('recurring2_based on steps'!$B102:$AY102,'recurring2_based on steps'!$B$1:$AY$1,X$1)+SUMIFS('changes2_based on steps'!$B102:$U102,'changes2_based on steps'!$B$1:$U$1,X$1)</f>
        <v>0</v>
      </c>
      <c r="Y102" s="179">
        <f>SUMIFS('recurring2_based on steps'!$B102:$AY102,'recurring2_based on steps'!$B$1:$AY$1,Y$1)+SUMIFS('changes2_based on steps'!$B102:$U102,'changes2_based on steps'!$B$1:$U$1,Y$1)</f>
        <v>0</v>
      </c>
      <c r="Z102" s="179">
        <f>SUMIFS('recurring2_based on steps'!$B102:$AY102,'recurring2_based on steps'!$B$1:$AY$1,Z$1)+SUMIFS('changes2_based on steps'!$B102:$U102,'changes2_based on steps'!$B$1:$U$1,Z$1)</f>
        <v>0</v>
      </c>
      <c r="AA102" s="179">
        <f>SUMIFS('recurring2_based on steps'!$B102:$AY102,'recurring2_based on steps'!$B$1:$AY$1,AA$1)+SUMIFS('changes2_based on steps'!$B102:$U102,'changes2_based on steps'!$B$1:$U$1,AA$1)</f>
        <v>0</v>
      </c>
      <c r="AB102" s="179">
        <f>SUMIFS('recurring2_based on steps'!$B102:$AY102,'recurring2_based on steps'!$B$1:$AY$1,AB$1)+SUMIFS('changes2_based on steps'!$B102:$U102,'changes2_based on steps'!$B$1:$U$1,AB$1)</f>
        <v>0</v>
      </c>
      <c r="AC102" s="179">
        <f>SUMIFS('recurring2_based on steps'!$B102:$AY102,'recurring2_based on steps'!$B$1:$AY$1,AC$1)+SUMIFS('changes2_based on steps'!$B102:$U102,'changes2_based on steps'!$B$1:$U$1,AC$1)</f>
        <v>0</v>
      </c>
      <c r="AD102" s="179">
        <f>SUMIFS('recurring2_based on steps'!$B102:$AY102,'recurring2_based on steps'!$B$1:$AY$1,AD$1)+SUMIFS('changes2_based on steps'!$B102:$U102,'changes2_based on steps'!$B$1:$U$1,AD$1)</f>
        <v>0</v>
      </c>
      <c r="AE102" s="179">
        <f>SUMIFS('recurring2_based on steps'!$B102:$AY102,'recurring2_based on steps'!$B$1:$AY$1,AE$1)+SUMIFS('changes2_based on steps'!$B102:$U102,'changes2_based on steps'!$B$1:$U$1,AE$1)</f>
        <v>0</v>
      </c>
      <c r="AF102" s="179"/>
      <c r="AG102" s="179"/>
      <c r="AH102" s="179"/>
      <c r="AI102" s="179"/>
      <c r="AJ102" s="179"/>
      <c r="AK102" s="179"/>
      <c r="AL102" s="179"/>
      <c r="AM102" s="179"/>
    </row>
    <row r="103" spans="1:39" x14ac:dyDescent="0.2">
      <c r="A103" s="32">
        <f t="shared" ca="1" si="1"/>
        <v>45845</v>
      </c>
      <c r="B103" s="179">
        <f>SUMIFS('recurring2_based on steps'!$B103:$AY103,'recurring2_based on steps'!$B$1:$AY$1,B$1)+SUMIFS('changes2_based on steps'!$B103:$U103,'changes2_based on steps'!$B$1:$U$1,B$1)</f>
        <v>0</v>
      </c>
      <c r="C103" s="179">
        <f>SUMIFS('recurring2_based on steps'!$B103:$AY103,'recurring2_based on steps'!$B$1:$AY$1,C$1)+SUMIFS('changes2_based on steps'!$B103:$U103,'changes2_based on steps'!$B$1:$U$1,C$1)</f>
        <v>0</v>
      </c>
      <c r="D103" s="179">
        <f>SUMIFS('recurring2_based on steps'!$B103:$AY103,'recurring2_based on steps'!$B$1:$AY$1,D$1)+SUMIFS('changes2_based on steps'!$B103:$U103,'changes2_based on steps'!$B$1:$U$1,D$1)</f>
        <v>0</v>
      </c>
      <c r="E103" s="179">
        <f>SUMIFS('recurring2_based on steps'!$B103:$AY103,'recurring2_based on steps'!$B$1:$AY$1,E$1)+SUMIFS('changes2_based on steps'!$B103:$U103,'changes2_based on steps'!$B$1:$U$1,E$1)</f>
        <v>0</v>
      </c>
      <c r="F103" s="179">
        <f>SUMIFS('recurring2_based on steps'!$B103:$AY103,'recurring2_based on steps'!$B$1:$AY$1,F$1)+SUMIFS('changes2_based on steps'!$B103:$U103,'changes2_based on steps'!$B$1:$U$1,F$1)</f>
        <v>0</v>
      </c>
      <c r="G103" s="179">
        <f>SUMIFS('recurring2_based on steps'!$B103:$AY103,'recurring2_based on steps'!$B$1:$AY$1,G$1)+SUMIFS('changes2_based on steps'!$B103:$U103,'changes2_based on steps'!$B$1:$U$1,G$1)</f>
        <v>0</v>
      </c>
      <c r="H103" s="179">
        <f>SUMIFS('recurring2_based on steps'!$B103:$AY103,'recurring2_based on steps'!$B$1:$AY$1,H$1)+SUMIFS('changes2_based on steps'!$B103:$U103,'changes2_based on steps'!$B$1:$U$1,H$1)</f>
        <v>0</v>
      </c>
      <c r="I103" s="179">
        <f>SUMIFS('recurring2_based on steps'!$B103:$AY103,'recurring2_based on steps'!$B$1:$AY$1,I$1)+SUMIFS('changes2_based on steps'!$B103:$U103,'changes2_based on steps'!$B$1:$U$1,I$1)</f>
        <v>0</v>
      </c>
      <c r="J103" s="179">
        <f>SUMIFS('recurring2_based on steps'!$B103:$AY103,'recurring2_based on steps'!$B$1:$AY$1,J$1)+SUMIFS('changes2_based on steps'!$B103:$U103,'changes2_based on steps'!$B$1:$U$1,J$1)</f>
        <v>0</v>
      </c>
      <c r="K103" s="179">
        <f>SUMIFS('recurring2_based on steps'!$B103:$AY103,'recurring2_based on steps'!$B$1:$AY$1,K$1)+SUMIFS('changes2_based on steps'!$B103:$U103,'changes2_based on steps'!$B$1:$U$1,K$1)</f>
        <v>0</v>
      </c>
      <c r="L103" s="179">
        <f>SUMIFS('recurring2_based on steps'!$B103:$AY103,'recurring2_based on steps'!$B$1:$AY$1,L$1)+SUMIFS('changes2_based on steps'!$B103:$U103,'changes2_based on steps'!$B$1:$U$1,L$1)</f>
        <v>0</v>
      </c>
      <c r="M103" s="179">
        <f>SUMIFS('recurring2_based on steps'!$B103:$AY103,'recurring2_based on steps'!$B$1:$AY$1,M$1)+SUMIFS('changes2_based on steps'!$B103:$U103,'changes2_based on steps'!$B$1:$U$1,M$1)</f>
        <v>0</v>
      </c>
      <c r="N103" s="179">
        <f>SUMIFS('recurring2_based on steps'!$B103:$AY103,'recurring2_based on steps'!$B$1:$AY$1,N$1)+SUMIFS('changes2_based on steps'!$B103:$U103,'changes2_based on steps'!$B$1:$U$1,N$1)</f>
        <v>0</v>
      </c>
      <c r="O103" s="179">
        <f>SUMIFS('recurring2_based on steps'!$B103:$AY103,'recurring2_based on steps'!$B$1:$AY$1,O$1)+SUMIFS('changes2_based on steps'!$B103:$U103,'changes2_based on steps'!$B$1:$U$1,O$1)</f>
        <v>0</v>
      </c>
      <c r="P103" s="179">
        <f>SUMIFS('recurring2_based on steps'!$B103:$AY103,'recurring2_based on steps'!$B$1:$AY$1,P$1)+SUMIFS('changes2_based on steps'!$B103:$U103,'changes2_based on steps'!$B$1:$U$1,P$1)</f>
        <v>0</v>
      </c>
      <c r="Q103" s="179">
        <f>SUMIFS('recurring2_based on steps'!$B103:$AY103,'recurring2_based on steps'!$B$1:$AY$1,Q$1)+SUMIFS('changes2_based on steps'!$B103:$U103,'changes2_based on steps'!$B$1:$U$1,Q$1)</f>
        <v>0</v>
      </c>
      <c r="R103" s="179">
        <f>SUMIFS('recurring2_based on steps'!$B103:$AY103,'recurring2_based on steps'!$B$1:$AY$1,R$1)+SUMIFS('changes2_based on steps'!$B103:$U103,'changes2_based on steps'!$B$1:$U$1,R$1)</f>
        <v>0</v>
      </c>
      <c r="S103" s="179">
        <f>SUMIFS('recurring2_based on steps'!$B103:$AY103,'recurring2_based on steps'!$B$1:$AY$1,S$1)+SUMIFS('changes2_based on steps'!$B103:$U103,'changes2_based on steps'!$B$1:$U$1,S$1)</f>
        <v>0</v>
      </c>
      <c r="T103" s="179">
        <f>SUMIFS('recurring2_based on steps'!$B103:$AY103,'recurring2_based on steps'!$B$1:$AY$1,T$1)+SUMIFS('changes2_based on steps'!$B103:$U103,'changes2_based on steps'!$B$1:$U$1,T$1)</f>
        <v>0</v>
      </c>
      <c r="U103" s="179">
        <f>SUMIFS('recurring2_based on steps'!$B103:$AY103,'recurring2_based on steps'!$B$1:$AY$1,U$1)+SUMIFS('changes2_based on steps'!$B103:$U103,'changes2_based on steps'!$B$1:$U$1,U$1)</f>
        <v>0</v>
      </c>
      <c r="V103" s="179">
        <f>SUMIFS('recurring2_based on steps'!$B103:$AY103,'recurring2_based on steps'!$B$1:$AY$1,V$1)+SUMIFS('changes2_based on steps'!$B103:$U103,'changes2_based on steps'!$B$1:$U$1,V$1)</f>
        <v>0</v>
      </c>
      <c r="W103" s="179">
        <f>SUMIFS('recurring2_based on steps'!$B103:$AY103,'recurring2_based on steps'!$B$1:$AY$1,W$1)+SUMIFS('changes2_based on steps'!$B103:$U103,'changes2_based on steps'!$B$1:$U$1,W$1)</f>
        <v>0</v>
      </c>
      <c r="X103" s="179">
        <f>SUMIFS('recurring2_based on steps'!$B103:$AY103,'recurring2_based on steps'!$B$1:$AY$1,X$1)+SUMIFS('changes2_based on steps'!$B103:$U103,'changes2_based on steps'!$B$1:$U$1,X$1)</f>
        <v>0</v>
      </c>
      <c r="Y103" s="179">
        <f>SUMIFS('recurring2_based on steps'!$B103:$AY103,'recurring2_based on steps'!$B$1:$AY$1,Y$1)+SUMIFS('changes2_based on steps'!$B103:$U103,'changes2_based on steps'!$B$1:$U$1,Y$1)</f>
        <v>0</v>
      </c>
      <c r="Z103" s="179">
        <f>SUMIFS('recurring2_based on steps'!$B103:$AY103,'recurring2_based on steps'!$B$1:$AY$1,Z$1)+SUMIFS('changes2_based on steps'!$B103:$U103,'changes2_based on steps'!$B$1:$U$1,Z$1)</f>
        <v>0</v>
      </c>
      <c r="AA103" s="179">
        <f>SUMIFS('recurring2_based on steps'!$B103:$AY103,'recurring2_based on steps'!$B$1:$AY$1,AA$1)+SUMIFS('changes2_based on steps'!$B103:$U103,'changes2_based on steps'!$B$1:$U$1,AA$1)</f>
        <v>0</v>
      </c>
      <c r="AB103" s="179">
        <f>SUMIFS('recurring2_based on steps'!$B103:$AY103,'recurring2_based on steps'!$B$1:$AY$1,AB$1)+SUMIFS('changes2_based on steps'!$B103:$U103,'changes2_based on steps'!$B$1:$U$1,AB$1)</f>
        <v>0</v>
      </c>
      <c r="AC103" s="179">
        <f>SUMIFS('recurring2_based on steps'!$B103:$AY103,'recurring2_based on steps'!$B$1:$AY$1,AC$1)+SUMIFS('changes2_based on steps'!$B103:$U103,'changes2_based on steps'!$B$1:$U$1,AC$1)</f>
        <v>0</v>
      </c>
      <c r="AD103" s="179">
        <f>SUMIFS('recurring2_based on steps'!$B103:$AY103,'recurring2_based on steps'!$B$1:$AY$1,AD$1)+SUMIFS('changes2_based on steps'!$B103:$U103,'changes2_based on steps'!$B$1:$U$1,AD$1)</f>
        <v>0</v>
      </c>
      <c r="AE103" s="179">
        <f>SUMIFS('recurring2_based on steps'!$B103:$AY103,'recurring2_based on steps'!$B$1:$AY$1,AE$1)+SUMIFS('changes2_based on steps'!$B103:$U103,'changes2_based on steps'!$B$1:$U$1,AE$1)</f>
        <v>0</v>
      </c>
      <c r="AF103" s="179"/>
      <c r="AG103" s="179"/>
      <c r="AH103" s="179"/>
      <c r="AI103" s="179"/>
      <c r="AJ103" s="179"/>
      <c r="AK103" s="179"/>
      <c r="AL103" s="179"/>
      <c r="AM103" s="179"/>
    </row>
    <row r="104" spans="1:39" x14ac:dyDescent="0.2">
      <c r="A104" s="32">
        <f t="shared" ca="1" si="1"/>
        <v>45846</v>
      </c>
      <c r="B104" s="179">
        <f>SUMIFS('recurring2_based on steps'!$B104:$AY104,'recurring2_based on steps'!$B$1:$AY$1,B$1)+SUMIFS('changes2_based on steps'!$B104:$U104,'changes2_based on steps'!$B$1:$U$1,B$1)</f>
        <v>0</v>
      </c>
      <c r="C104" s="179">
        <f>SUMIFS('recurring2_based on steps'!$B104:$AY104,'recurring2_based on steps'!$B$1:$AY$1,C$1)+SUMIFS('changes2_based on steps'!$B104:$U104,'changes2_based on steps'!$B$1:$U$1,C$1)</f>
        <v>0</v>
      </c>
      <c r="D104" s="179">
        <f>SUMIFS('recurring2_based on steps'!$B104:$AY104,'recurring2_based on steps'!$B$1:$AY$1,D$1)+SUMIFS('changes2_based on steps'!$B104:$U104,'changes2_based on steps'!$B$1:$U$1,D$1)</f>
        <v>0</v>
      </c>
      <c r="E104" s="179">
        <f>SUMIFS('recurring2_based on steps'!$B104:$AY104,'recurring2_based on steps'!$B$1:$AY$1,E$1)+SUMIFS('changes2_based on steps'!$B104:$U104,'changes2_based on steps'!$B$1:$U$1,E$1)</f>
        <v>0</v>
      </c>
      <c r="F104" s="179">
        <f>SUMIFS('recurring2_based on steps'!$B104:$AY104,'recurring2_based on steps'!$B$1:$AY$1,F$1)+SUMIFS('changes2_based on steps'!$B104:$U104,'changes2_based on steps'!$B$1:$U$1,F$1)</f>
        <v>0</v>
      </c>
      <c r="G104" s="179">
        <f>SUMIFS('recurring2_based on steps'!$B104:$AY104,'recurring2_based on steps'!$B$1:$AY$1,G$1)+SUMIFS('changes2_based on steps'!$B104:$U104,'changes2_based on steps'!$B$1:$U$1,G$1)</f>
        <v>0</v>
      </c>
      <c r="H104" s="179">
        <f>SUMIFS('recurring2_based on steps'!$B104:$AY104,'recurring2_based on steps'!$B$1:$AY$1,H$1)+SUMIFS('changes2_based on steps'!$B104:$U104,'changes2_based on steps'!$B$1:$U$1,H$1)</f>
        <v>0</v>
      </c>
      <c r="I104" s="179">
        <f>SUMIFS('recurring2_based on steps'!$B104:$AY104,'recurring2_based on steps'!$B$1:$AY$1,I$1)+SUMIFS('changes2_based on steps'!$B104:$U104,'changes2_based on steps'!$B$1:$U$1,I$1)</f>
        <v>0</v>
      </c>
      <c r="J104" s="179">
        <f>SUMIFS('recurring2_based on steps'!$B104:$AY104,'recurring2_based on steps'!$B$1:$AY$1,J$1)+SUMIFS('changes2_based on steps'!$B104:$U104,'changes2_based on steps'!$B$1:$U$1,J$1)</f>
        <v>0</v>
      </c>
      <c r="K104" s="179">
        <f>SUMIFS('recurring2_based on steps'!$B104:$AY104,'recurring2_based on steps'!$B$1:$AY$1,K$1)+SUMIFS('changes2_based on steps'!$B104:$U104,'changes2_based on steps'!$B$1:$U$1,K$1)</f>
        <v>0</v>
      </c>
      <c r="L104" s="179">
        <f>SUMIFS('recurring2_based on steps'!$B104:$AY104,'recurring2_based on steps'!$B$1:$AY$1,L$1)+SUMIFS('changes2_based on steps'!$B104:$U104,'changes2_based on steps'!$B$1:$U$1,L$1)</f>
        <v>0</v>
      </c>
      <c r="M104" s="179">
        <f>SUMIFS('recurring2_based on steps'!$B104:$AY104,'recurring2_based on steps'!$B$1:$AY$1,M$1)+SUMIFS('changes2_based on steps'!$B104:$U104,'changes2_based on steps'!$B$1:$U$1,M$1)</f>
        <v>0</v>
      </c>
      <c r="N104" s="179">
        <f>SUMIFS('recurring2_based on steps'!$B104:$AY104,'recurring2_based on steps'!$B$1:$AY$1,N$1)+SUMIFS('changes2_based on steps'!$B104:$U104,'changes2_based on steps'!$B$1:$U$1,N$1)</f>
        <v>0</v>
      </c>
      <c r="O104" s="179">
        <f>SUMIFS('recurring2_based on steps'!$B104:$AY104,'recurring2_based on steps'!$B$1:$AY$1,O$1)+SUMIFS('changes2_based on steps'!$B104:$U104,'changes2_based on steps'!$B$1:$U$1,O$1)</f>
        <v>0</v>
      </c>
      <c r="P104" s="179">
        <f>SUMIFS('recurring2_based on steps'!$B104:$AY104,'recurring2_based on steps'!$B$1:$AY$1,P$1)+SUMIFS('changes2_based on steps'!$B104:$U104,'changes2_based on steps'!$B$1:$U$1,P$1)</f>
        <v>0</v>
      </c>
      <c r="Q104" s="179">
        <f>SUMIFS('recurring2_based on steps'!$B104:$AY104,'recurring2_based on steps'!$B$1:$AY$1,Q$1)+SUMIFS('changes2_based on steps'!$B104:$U104,'changes2_based on steps'!$B$1:$U$1,Q$1)</f>
        <v>0</v>
      </c>
      <c r="R104" s="179">
        <f>SUMIFS('recurring2_based on steps'!$B104:$AY104,'recurring2_based on steps'!$B$1:$AY$1,R$1)+SUMIFS('changes2_based on steps'!$B104:$U104,'changes2_based on steps'!$B$1:$U$1,R$1)</f>
        <v>0</v>
      </c>
      <c r="S104" s="179">
        <f>SUMIFS('recurring2_based on steps'!$B104:$AY104,'recurring2_based on steps'!$B$1:$AY$1,S$1)+SUMIFS('changes2_based on steps'!$B104:$U104,'changes2_based on steps'!$B$1:$U$1,S$1)</f>
        <v>0</v>
      </c>
      <c r="T104" s="179">
        <f>SUMIFS('recurring2_based on steps'!$B104:$AY104,'recurring2_based on steps'!$B$1:$AY$1,T$1)+SUMIFS('changes2_based on steps'!$B104:$U104,'changes2_based on steps'!$B$1:$U$1,T$1)</f>
        <v>0</v>
      </c>
      <c r="U104" s="179">
        <f>SUMIFS('recurring2_based on steps'!$B104:$AY104,'recurring2_based on steps'!$B$1:$AY$1,U$1)+SUMIFS('changes2_based on steps'!$B104:$U104,'changes2_based on steps'!$B$1:$U$1,U$1)</f>
        <v>0</v>
      </c>
      <c r="V104" s="179">
        <f>SUMIFS('recurring2_based on steps'!$B104:$AY104,'recurring2_based on steps'!$B$1:$AY$1,V$1)+SUMIFS('changes2_based on steps'!$B104:$U104,'changes2_based on steps'!$B$1:$U$1,V$1)</f>
        <v>0</v>
      </c>
      <c r="W104" s="179">
        <f>SUMIFS('recurring2_based on steps'!$B104:$AY104,'recurring2_based on steps'!$B$1:$AY$1,W$1)+SUMIFS('changes2_based on steps'!$B104:$U104,'changes2_based on steps'!$B$1:$U$1,W$1)</f>
        <v>0</v>
      </c>
      <c r="X104" s="179">
        <f>SUMIFS('recurring2_based on steps'!$B104:$AY104,'recurring2_based on steps'!$B$1:$AY$1,X$1)+SUMIFS('changes2_based on steps'!$B104:$U104,'changes2_based on steps'!$B$1:$U$1,X$1)</f>
        <v>0</v>
      </c>
      <c r="Y104" s="179">
        <f>SUMIFS('recurring2_based on steps'!$B104:$AY104,'recurring2_based on steps'!$B$1:$AY$1,Y$1)+SUMIFS('changes2_based on steps'!$B104:$U104,'changes2_based on steps'!$B$1:$U$1,Y$1)</f>
        <v>0</v>
      </c>
      <c r="Z104" s="179">
        <f>SUMIFS('recurring2_based on steps'!$B104:$AY104,'recurring2_based on steps'!$B$1:$AY$1,Z$1)+SUMIFS('changes2_based on steps'!$B104:$U104,'changes2_based on steps'!$B$1:$U$1,Z$1)</f>
        <v>0</v>
      </c>
      <c r="AA104" s="179">
        <f>SUMIFS('recurring2_based on steps'!$B104:$AY104,'recurring2_based on steps'!$B$1:$AY$1,AA$1)+SUMIFS('changes2_based on steps'!$B104:$U104,'changes2_based on steps'!$B$1:$U$1,AA$1)</f>
        <v>0</v>
      </c>
      <c r="AB104" s="179">
        <f>SUMIFS('recurring2_based on steps'!$B104:$AY104,'recurring2_based on steps'!$B$1:$AY$1,AB$1)+SUMIFS('changes2_based on steps'!$B104:$U104,'changes2_based on steps'!$B$1:$U$1,AB$1)</f>
        <v>0</v>
      </c>
      <c r="AC104" s="179">
        <f>SUMIFS('recurring2_based on steps'!$B104:$AY104,'recurring2_based on steps'!$B$1:$AY$1,AC$1)+SUMIFS('changes2_based on steps'!$B104:$U104,'changes2_based on steps'!$B$1:$U$1,AC$1)</f>
        <v>0</v>
      </c>
      <c r="AD104" s="179">
        <f>SUMIFS('recurring2_based on steps'!$B104:$AY104,'recurring2_based on steps'!$B$1:$AY$1,AD$1)+SUMIFS('changes2_based on steps'!$B104:$U104,'changes2_based on steps'!$B$1:$U$1,AD$1)</f>
        <v>0</v>
      </c>
      <c r="AE104" s="179">
        <f>SUMIFS('recurring2_based on steps'!$B104:$AY104,'recurring2_based on steps'!$B$1:$AY$1,AE$1)+SUMIFS('changes2_based on steps'!$B104:$U104,'changes2_based on steps'!$B$1:$U$1,AE$1)</f>
        <v>0</v>
      </c>
      <c r="AF104" s="179"/>
      <c r="AG104" s="179"/>
      <c r="AH104" s="179"/>
      <c r="AI104" s="179"/>
      <c r="AJ104" s="179"/>
      <c r="AK104" s="179"/>
      <c r="AL104" s="179"/>
      <c r="AM104" s="179"/>
    </row>
    <row r="105" spans="1:39" x14ac:dyDescent="0.2">
      <c r="A105" s="32">
        <f t="shared" ca="1" si="1"/>
        <v>45847</v>
      </c>
      <c r="B105" s="179">
        <f>SUMIFS('recurring2_based on steps'!$B105:$AY105,'recurring2_based on steps'!$B$1:$AY$1,B$1)+SUMIFS('changes2_based on steps'!$B105:$U105,'changes2_based on steps'!$B$1:$U$1,B$1)</f>
        <v>0</v>
      </c>
      <c r="C105" s="179">
        <f>SUMIFS('recurring2_based on steps'!$B105:$AY105,'recurring2_based on steps'!$B$1:$AY$1,C$1)+SUMIFS('changes2_based on steps'!$B105:$U105,'changes2_based on steps'!$B$1:$U$1,C$1)</f>
        <v>0</v>
      </c>
      <c r="D105" s="179">
        <f>SUMIFS('recurring2_based on steps'!$B105:$AY105,'recurring2_based on steps'!$B$1:$AY$1,D$1)+SUMIFS('changes2_based on steps'!$B105:$U105,'changes2_based on steps'!$B$1:$U$1,D$1)</f>
        <v>0</v>
      </c>
      <c r="E105" s="179">
        <f>SUMIFS('recurring2_based on steps'!$B105:$AY105,'recurring2_based on steps'!$B$1:$AY$1,E$1)+SUMIFS('changes2_based on steps'!$B105:$U105,'changes2_based on steps'!$B$1:$U$1,E$1)</f>
        <v>0</v>
      </c>
      <c r="F105" s="179">
        <f>SUMIFS('recurring2_based on steps'!$B105:$AY105,'recurring2_based on steps'!$B$1:$AY$1,F$1)+SUMIFS('changes2_based on steps'!$B105:$U105,'changes2_based on steps'!$B$1:$U$1,F$1)</f>
        <v>0</v>
      </c>
      <c r="G105" s="179">
        <f>SUMIFS('recurring2_based on steps'!$B105:$AY105,'recurring2_based on steps'!$B$1:$AY$1,G$1)+SUMIFS('changes2_based on steps'!$B105:$U105,'changes2_based on steps'!$B$1:$U$1,G$1)</f>
        <v>0</v>
      </c>
      <c r="H105" s="179">
        <f>SUMIFS('recurring2_based on steps'!$B105:$AY105,'recurring2_based on steps'!$B$1:$AY$1,H$1)+SUMIFS('changes2_based on steps'!$B105:$U105,'changes2_based on steps'!$B$1:$U$1,H$1)</f>
        <v>0</v>
      </c>
      <c r="I105" s="179">
        <f>SUMIFS('recurring2_based on steps'!$B105:$AY105,'recurring2_based on steps'!$B$1:$AY$1,I$1)+SUMIFS('changes2_based on steps'!$B105:$U105,'changes2_based on steps'!$B$1:$U$1,I$1)</f>
        <v>0</v>
      </c>
      <c r="J105" s="179">
        <f>SUMIFS('recurring2_based on steps'!$B105:$AY105,'recurring2_based on steps'!$B$1:$AY$1,J$1)+SUMIFS('changes2_based on steps'!$B105:$U105,'changes2_based on steps'!$B$1:$U$1,J$1)</f>
        <v>0</v>
      </c>
      <c r="K105" s="179">
        <f>SUMIFS('recurring2_based on steps'!$B105:$AY105,'recurring2_based on steps'!$B$1:$AY$1,K$1)+SUMIFS('changes2_based on steps'!$B105:$U105,'changes2_based on steps'!$B$1:$U$1,K$1)</f>
        <v>0</v>
      </c>
      <c r="L105" s="179">
        <f>SUMIFS('recurring2_based on steps'!$B105:$AY105,'recurring2_based on steps'!$B$1:$AY$1,L$1)+SUMIFS('changes2_based on steps'!$B105:$U105,'changes2_based on steps'!$B$1:$U$1,L$1)</f>
        <v>0</v>
      </c>
      <c r="M105" s="179">
        <f>SUMIFS('recurring2_based on steps'!$B105:$AY105,'recurring2_based on steps'!$B$1:$AY$1,M$1)+SUMIFS('changes2_based on steps'!$B105:$U105,'changes2_based on steps'!$B$1:$U$1,M$1)</f>
        <v>0</v>
      </c>
      <c r="N105" s="179">
        <f>SUMIFS('recurring2_based on steps'!$B105:$AY105,'recurring2_based on steps'!$B$1:$AY$1,N$1)+SUMIFS('changes2_based on steps'!$B105:$U105,'changes2_based on steps'!$B$1:$U$1,N$1)</f>
        <v>0</v>
      </c>
      <c r="O105" s="179">
        <f>SUMIFS('recurring2_based on steps'!$B105:$AY105,'recurring2_based on steps'!$B$1:$AY$1,O$1)+SUMIFS('changes2_based on steps'!$B105:$U105,'changes2_based on steps'!$B$1:$U$1,O$1)</f>
        <v>0</v>
      </c>
      <c r="P105" s="179">
        <f>SUMIFS('recurring2_based on steps'!$B105:$AY105,'recurring2_based on steps'!$B$1:$AY$1,P$1)+SUMIFS('changes2_based on steps'!$B105:$U105,'changes2_based on steps'!$B$1:$U$1,P$1)</f>
        <v>0</v>
      </c>
      <c r="Q105" s="179">
        <f>SUMIFS('recurring2_based on steps'!$B105:$AY105,'recurring2_based on steps'!$B$1:$AY$1,Q$1)+SUMIFS('changes2_based on steps'!$B105:$U105,'changes2_based on steps'!$B$1:$U$1,Q$1)</f>
        <v>0</v>
      </c>
      <c r="R105" s="179">
        <f>SUMIFS('recurring2_based on steps'!$B105:$AY105,'recurring2_based on steps'!$B$1:$AY$1,R$1)+SUMIFS('changes2_based on steps'!$B105:$U105,'changes2_based on steps'!$B$1:$U$1,R$1)</f>
        <v>0</v>
      </c>
      <c r="S105" s="179">
        <f>SUMIFS('recurring2_based on steps'!$B105:$AY105,'recurring2_based on steps'!$B$1:$AY$1,S$1)+SUMIFS('changes2_based on steps'!$B105:$U105,'changes2_based on steps'!$B$1:$U$1,S$1)</f>
        <v>0</v>
      </c>
      <c r="T105" s="179">
        <f>SUMIFS('recurring2_based on steps'!$B105:$AY105,'recurring2_based on steps'!$B$1:$AY$1,T$1)+SUMIFS('changes2_based on steps'!$B105:$U105,'changes2_based on steps'!$B$1:$U$1,T$1)</f>
        <v>0</v>
      </c>
      <c r="U105" s="179">
        <f>SUMIFS('recurring2_based on steps'!$B105:$AY105,'recurring2_based on steps'!$B$1:$AY$1,U$1)+SUMIFS('changes2_based on steps'!$B105:$U105,'changes2_based on steps'!$B$1:$U$1,U$1)</f>
        <v>0</v>
      </c>
      <c r="V105" s="179">
        <f>SUMIFS('recurring2_based on steps'!$B105:$AY105,'recurring2_based on steps'!$B$1:$AY$1,V$1)+SUMIFS('changes2_based on steps'!$B105:$U105,'changes2_based on steps'!$B$1:$U$1,V$1)</f>
        <v>0</v>
      </c>
      <c r="W105" s="179">
        <f>SUMIFS('recurring2_based on steps'!$B105:$AY105,'recurring2_based on steps'!$B$1:$AY$1,W$1)+SUMIFS('changes2_based on steps'!$B105:$U105,'changes2_based on steps'!$B$1:$U$1,W$1)</f>
        <v>0</v>
      </c>
      <c r="X105" s="179">
        <f>SUMIFS('recurring2_based on steps'!$B105:$AY105,'recurring2_based on steps'!$B$1:$AY$1,X$1)+SUMIFS('changes2_based on steps'!$B105:$U105,'changes2_based on steps'!$B$1:$U$1,X$1)</f>
        <v>0</v>
      </c>
      <c r="Y105" s="179">
        <f>SUMIFS('recurring2_based on steps'!$B105:$AY105,'recurring2_based on steps'!$B$1:$AY$1,Y$1)+SUMIFS('changes2_based on steps'!$B105:$U105,'changes2_based on steps'!$B$1:$U$1,Y$1)</f>
        <v>0</v>
      </c>
      <c r="Z105" s="179">
        <f>SUMIFS('recurring2_based on steps'!$B105:$AY105,'recurring2_based on steps'!$B$1:$AY$1,Z$1)+SUMIFS('changes2_based on steps'!$B105:$U105,'changes2_based on steps'!$B$1:$U$1,Z$1)</f>
        <v>0</v>
      </c>
      <c r="AA105" s="179">
        <f>SUMIFS('recurring2_based on steps'!$B105:$AY105,'recurring2_based on steps'!$B$1:$AY$1,AA$1)+SUMIFS('changes2_based on steps'!$B105:$U105,'changes2_based on steps'!$B$1:$U$1,AA$1)</f>
        <v>0</v>
      </c>
      <c r="AB105" s="179">
        <f>SUMIFS('recurring2_based on steps'!$B105:$AY105,'recurring2_based on steps'!$B$1:$AY$1,AB$1)+SUMIFS('changes2_based on steps'!$B105:$U105,'changes2_based on steps'!$B$1:$U$1,AB$1)</f>
        <v>0</v>
      </c>
      <c r="AC105" s="179">
        <f>SUMIFS('recurring2_based on steps'!$B105:$AY105,'recurring2_based on steps'!$B$1:$AY$1,AC$1)+SUMIFS('changes2_based on steps'!$B105:$U105,'changes2_based on steps'!$B$1:$U$1,AC$1)</f>
        <v>0</v>
      </c>
      <c r="AD105" s="179">
        <f>SUMIFS('recurring2_based on steps'!$B105:$AY105,'recurring2_based on steps'!$B$1:$AY$1,AD$1)+SUMIFS('changes2_based on steps'!$B105:$U105,'changes2_based on steps'!$B$1:$U$1,AD$1)</f>
        <v>0</v>
      </c>
      <c r="AE105" s="179">
        <f>SUMIFS('recurring2_based on steps'!$B105:$AY105,'recurring2_based on steps'!$B$1:$AY$1,AE$1)+SUMIFS('changes2_based on steps'!$B105:$U105,'changes2_based on steps'!$B$1:$U$1,AE$1)</f>
        <v>0</v>
      </c>
      <c r="AF105" s="179"/>
      <c r="AG105" s="179"/>
      <c r="AH105" s="179"/>
      <c r="AI105" s="179"/>
      <c r="AJ105" s="179"/>
      <c r="AK105" s="179"/>
      <c r="AL105" s="179"/>
      <c r="AM105" s="179"/>
    </row>
    <row r="106" spans="1:39" x14ac:dyDescent="0.2">
      <c r="A106" s="32">
        <f t="shared" ca="1" si="1"/>
        <v>45848</v>
      </c>
      <c r="B106" s="179">
        <f>SUMIFS('recurring2_based on steps'!$B106:$AY106,'recurring2_based on steps'!$B$1:$AY$1,B$1)+SUMIFS('changes2_based on steps'!$B106:$U106,'changes2_based on steps'!$B$1:$U$1,B$1)</f>
        <v>0</v>
      </c>
      <c r="C106" s="179">
        <f>SUMIFS('recurring2_based on steps'!$B106:$AY106,'recurring2_based on steps'!$B$1:$AY$1,C$1)+SUMIFS('changes2_based on steps'!$B106:$U106,'changes2_based on steps'!$B$1:$U$1,C$1)</f>
        <v>0</v>
      </c>
      <c r="D106" s="179">
        <f>SUMIFS('recurring2_based on steps'!$B106:$AY106,'recurring2_based on steps'!$B$1:$AY$1,D$1)+SUMIFS('changes2_based on steps'!$B106:$U106,'changes2_based on steps'!$B$1:$U$1,D$1)</f>
        <v>0</v>
      </c>
      <c r="E106" s="179">
        <f>SUMIFS('recurring2_based on steps'!$B106:$AY106,'recurring2_based on steps'!$B$1:$AY$1,E$1)+SUMIFS('changes2_based on steps'!$B106:$U106,'changes2_based on steps'!$B$1:$U$1,E$1)</f>
        <v>0</v>
      </c>
      <c r="F106" s="179">
        <f>SUMIFS('recurring2_based on steps'!$B106:$AY106,'recurring2_based on steps'!$B$1:$AY$1,F$1)+SUMIFS('changes2_based on steps'!$B106:$U106,'changes2_based on steps'!$B$1:$U$1,F$1)</f>
        <v>0</v>
      </c>
      <c r="G106" s="179">
        <f>SUMIFS('recurring2_based on steps'!$B106:$AY106,'recurring2_based on steps'!$B$1:$AY$1,G$1)+SUMIFS('changes2_based on steps'!$B106:$U106,'changes2_based on steps'!$B$1:$U$1,G$1)</f>
        <v>0</v>
      </c>
      <c r="H106" s="179">
        <f>SUMIFS('recurring2_based on steps'!$B106:$AY106,'recurring2_based on steps'!$B$1:$AY$1,H$1)+SUMIFS('changes2_based on steps'!$B106:$U106,'changes2_based on steps'!$B$1:$U$1,H$1)</f>
        <v>0</v>
      </c>
      <c r="I106" s="179">
        <f>SUMIFS('recurring2_based on steps'!$B106:$AY106,'recurring2_based on steps'!$B$1:$AY$1,I$1)+SUMIFS('changes2_based on steps'!$B106:$U106,'changes2_based on steps'!$B$1:$U$1,I$1)</f>
        <v>0</v>
      </c>
      <c r="J106" s="179">
        <f>SUMIFS('recurring2_based on steps'!$B106:$AY106,'recurring2_based on steps'!$B$1:$AY$1,J$1)+SUMIFS('changes2_based on steps'!$B106:$U106,'changes2_based on steps'!$B$1:$U$1,J$1)</f>
        <v>0</v>
      </c>
      <c r="K106" s="179">
        <f>SUMIFS('recurring2_based on steps'!$B106:$AY106,'recurring2_based on steps'!$B$1:$AY$1,K$1)+SUMIFS('changes2_based on steps'!$B106:$U106,'changes2_based on steps'!$B$1:$U$1,K$1)</f>
        <v>0</v>
      </c>
      <c r="L106" s="179">
        <f>SUMIFS('recurring2_based on steps'!$B106:$AY106,'recurring2_based on steps'!$B$1:$AY$1,L$1)+SUMIFS('changes2_based on steps'!$B106:$U106,'changes2_based on steps'!$B$1:$U$1,L$1)</f>
        <v>0</v>
      </c>
      <c r="M106" s="179">
        <f>SUMIFS('recurring2_based on steps'!$B106:$AY106,'recurring2_based on steps'!$B$1:$AY$1,M$1)+SUMIFS('changes2_based on steps'!$B106:$U106,'changes2_based on steps'!$B$1:$U$1,M$1)</f>
        <v>0</v>
      </c>
      <c r="N106" s="179">
        <f>SUMIFS('recurring2_based on steps'!$B106:$AY106,'recurring2_based on steps'!$B$1:$AY$1,N$1)+SUMIFS('changes2_based on steps'!$B106:$U106,'changes2_based on steps'!$B$1:$U$1,N$1)</f>
        <v>0</v>
      </c>
      <c r="O106" s="179">
        <f>SUMIFS('recurring2_based on steps'!$B106:$AY106,'recurring2_based on steps'!$B$1:$AY$1,O$1)+SUMIFS('changes2_based on steps'!$B106:$U106,'changes2_based on steps'!$B$1:$U$1,O$1)</f>
        <v>0</v>
      </c>
      <c r="P106" s="179">
        <f>SUMIFS('recurring2_based on steps'!$B106:$AY106,'recurring2_based on steps'!$B$1:$AY$1,P$1)+SUMIFS('changes2_based on steps'!$B106:$U106,'changes2_based on steps'!$B$1:$U$1,P$1)</f>
        <v>0</v>
      </c>
      <c r="Q106" s="179">
        <f>SUMIFS('recurring2_based on steps'!$B106:$AY106,'recurring2_based on steps'!$B$1:$AY$1,Q$1)+SUMIFS('changes2_based on steps'!$B106:$U106,'changes2_based on steps'!$B$1:$U$1,Q$1)</f>
        <v>0</v>
      </c>
      <c r="R106" s="179">
        <f>SUMIFS('recurring2_based on steps'!$B106:$AY106,'recurring2_based on steps'!$B$1:$AY$1,R$1)+SUMIFS('changes2_based on steps'!$B106:$U106,'changes2_based on steps'!$B$1:$U$1,R$1)</f>
        <v>0</v>
      </c>
      <c r="S106" s="179">
        <f>SUMIFS('recurring2_based on steps'!$B106:$AY106,'recurring2_based on steps'!$B$1:$AY$1,S$1)+SUMIFS('changes2_based on steps'!$B106:$U106,'changes2_based on steps'!$B$1:$U$1,S$1)</f>
        <v>0</v>
      </c>
      <c r="T106" s="179">
        <f>SUMIFS('recurring2_based on steps'!$B106:$AY106,'recurring2_based on steps'!$B$1:$AY$1,T$1)+SUMIFS('changes2_based on steps'!$B106:$U106,'changes2_based on steps'!$B$1:$U$1,T$1)</f>
        <v>0</v>
      </c>
      <c r="U106" s="179">
        <f>SUMIFS('recurring2_based on steps'!$B106:$AY106,'recurring2_based on steps'!$B$1:$AY$1,U$1)+SUMIFS('changes2_based on steps'!$B106:$U106,'changes2_based on steps'!$B$1:$U$1,U$1)</f>
        <v>0</v>
      </c>
      <c r="V106" s="179">
        <f>SUMIFS('recurring2_based on steps'!$B106:$AY106,'recurring2_based on steps'!$B$1:$AY$1,V$1)+SUMIFS('changes2_based on steps'!$B106:$U106,'changes2_based on steps'!$B$1:$U$1,V$1)</f>
        <v>0</v>
      </c>
      <c r="W106" s="179">
        <f>SUMIFS('recurring2_based on steps'!$B106:$AY106,'recurring2_based on steps'!$B$1:$AY$1,W$1)+SUMIFS('changes2_based on steps'!$B106:$U106,'changes2_based on steps'!$B$1:$U$1,W$1)</f>
        <v>0</v>
      </c>
      <c r="X106" s="179">
        <f>SUMIFS('recurring2_based on steps'!$B106:$AY106,'recurring2_based on steps'!$B$1:$AY$1,X$1)+SUMIFS('changes2_based on steps'!$B106:$U106,'changes2_based on steps'!$B$1:$U$1,X$1)</f>
        <v>0</v>
      </c>
      <c r="Y106" s="179">
        <f>SUMIFS('recurring2_based on steps'!$B106:$AY106,'recurring2_based on steps'!$B$1:$AY$1,Y$1)+SUMIFS('changes2_based on steps'!$B106:$U106,'changes2_based on steps'!$B$1:$U$1,Y$1)</f>
        <v>0</v>
      </c>
      <c r="Z106" s="179">
        <f>SUMIFS('recurring2_based on steps'!$B106:$AY106,'recurring2_based on steps'!$B$1:$AY$1,Z$1)+SUMIFS('changes2_based on steps'!$B106:$U106,'changes2_based on steps'!$B$1:$U$1,Z$1)</f>
        <v>0</v>
      </c>
      <c r="AA106" s="179">
        <f>SUMIFS('recurring2_based on steps'!$B106:$AY106,'recurring2_based on steps'!$B$1:$AY$1,AA$1)+SUMIFS('changes2_based on steps'!$B106:$U106,'changes2_based on steps'!$B$1:$U$1,AA$1)</f>
        <v>0</v>
      </c>
      <c r="AB106" s="179">
        <f>SUMIFS('recurring2_based on steps'!$B106:$AY106,'recurring2_based on steps'!$B$1:$AY$1,AB$1)+SUMIFS('changes2_based on steps'!$B106:$U106,'changes2_based on steps'!$B$1:$U$1,AB$1)</f>
        <v>0</v>
      </c>
      <c r="AC106" s="179">
        <f>SUMIFS('recurring2_based on steps'!$B106:$AY106,'recurring2_based on steps'!$B$1:$AY$1,AC$1)+SUMIFS('changes2_based on steps'!$B106:$U106,'changes2_based on steps'!$B$1:$U$1,AC$1)</f>
        <v>0</v>
      </c>
      <c r="AD106" s="179">
        <f>SUMIFS('recurring2_based on steps'!$B106:$AY106,'recurring2_based on steps'!$B$1:$AY$1,AD$1)+SUMIFS('changes2_based on steps'!$B106:$U106,'changes2_based on steps'!$B$1:$U$1,AD$1)</f>
        <v>0</v>
      </c>
      <c r="AE106" s="179">
        <f>SUMIFS('recurring2_based on steps'!$B106:$AY106,'recurring2_based on steps'!$B$1:$AY$1,AE$1)+SUMIFS('changes2_based on steps'!$B106:$U106,'changes2_based on steps'!$B$1:$U$1,AE$1)</f>
        <v>0</v>
      </c>
      <c r="AF106" s="179"/>
      <c r="AG106" s="179"/>
      <c r="AH106" s="179"/>
      <c r="AI106" s="179"/>
      <c r="AJ106" s="179"/>
      <c r="AK106" s="179"/>
      <c r="AL106" s="179"/>
      <c r="AM106" s="179"/>
    </row>
    <row r="107" spans="1:39" x14ac:dyDescent="0.2">
      <c r="A107" s="32">
        <f t="shared" ca="1" si="1"/>
        <v>45849</v>
      </c>
      <c r="B107" s="179">
        <f>SUMIFS('recurring2_based on steps'!$B107:$AY107,'recurring2_based on steps'!$B$1:$AY$1,B$1)+SUMIFS('changes2_based on steps'!$B107:$U107,'changes2_based on steps'!$B$1:$U$1,B$1)</f>
        <v>0</v>
      </c>
      <c r="C107" s="179">
        <f>SUMIFS('recurring2_based on steps'!$B107:$AY107,'recurring2_based on steps'!$B$1:$AY$1,C$1)+SUMIFS('changes2_based on steps'!$B107:$U107,'changes2_based on steps'!$B$1:$U$1,C$1)</f>
        <v>0</v>
      </c>
      <c r="D107" s="179">
        <f>SUMIFS('recurring2_based on steps'!$B107:$AY107,'recurring2_based on steps'!$B$1:$AY$1,D$1)+SUMIFS('changes2_based on steps'!$B107:$U107,'changes2_based on steps'!$B$1:$U$1,D$1)</f>
        <v>0</v>
      </c>
      <c r="E107" s="179">
        <f>SUMIFS('recurring2_based on steps'!$B107:$AY107,'recurring2_based on steps'!$B$1:$AY$1,E$1)+SUMIFS('changes2_based on steps'!$B107:$U107,'changes2_based on steps'!$B$1:$U$1,E$1)</f>
        <v>0</v>
      </c>
      <c r="F107" s="179">
        <f>SUMIFS('recurring2_based on steps'!$B107:$AY107,'recurring2_based on steps'!$B$1:$AY$1,F$1)+SUMIFS('changes2_based on steps'!$B107:$U107,'changes2_based on steps'!$B$1:$U$1,F$1)</f>
        <v>0</v>
      </c>
      <c r="G107" s="179">
        <f>SUMIFS('recurring2_based on steps'!$B107:$AY107,'recurring2_based on steps'!$B$1:$AY$1,G$1)+SUMIFS('changes2_based on steps'!$B107:$U107,'changes2_based on steps'!$B$1:$U$1,G$1)</f>
        <v>0</v>
      </c>
      <c r="H107" s="179">
        <f>SUMIFS('recurring2_based on steps'!$B107:$AY107,'recurring2_based on steps'!$B$1:$AY$1,H$1)+SUMIFS('changes2_based on steps'!$B107:$U107,'changes2_based on steps'!$B$1:$U$1,H$1)</f>
        <v>0</v>
      </c>
      <c r="I107" s="179">
        <f>SUMIFS('recurring2_based on steps'!$B107:$AY107,'recurring2_based on steps'!$B$1:$AY$1,I$1)+SUMIFS('changes2_based on steps'!$B107:$U107,'changes2_based on steps'!$B$1:$U$1,I$1)</f>
        <v>0</v>
      </c>
      <c r="J107" s="179">
        <f>SUMIFS('recurring2_based on steps'!$B107:$AY107,'recurring2_based on steps'!$B$1:$AY$1,J$1)+SUMIFS('changes2_based on steps'!$B107:$U107,'changes2_based on steps'!$B$1:$U$1,J$1)</f>
        <v>0</v>
      </c>
      <c r="K107" s="179">
        <f>SUMIFS('recurring2_based on steps'!$B107:$AY107,'recurring2_based on steps'!$B$1:$AY$1,K$1)+SUMIFS('changes2_based on steps'!$B107:$U107,'changes2_based on steps'!$B$1:$U$1,K$1)</f>
        <v>0</v>
      </c>
      <c r="L107" s="179">
        <f>SUMIFS('recurring2_based on steps'!$B107:$AY107,'recurring2_based on steps'!$B$1:$AY$1,L$1)+SUMIFS('changes2_based on steps'!$B107:$U107,'changes2_based on steps'!$B$1:$U$1,L$1)</f>
        <v>0</v>
      </c>
      <c r="M107" s="179">
        <f>SUMIFS('recurring2_based on steps'!$B107:$AY107,'recurring2_based on steps'!$B$1:$AY$1,M$1)+SUMIFS('changes2_based on steps'!$B107:$U107,'changes2_based on steps'!$B$1:$U$1,M$1)</f>
        <v>0</v>
      </c>
      <c r="N107" s="179">
        <f>SUMIFS('recurring2_based on steps'!$B107:$AY107,'recurring2_based on steps'!$B$1:$AY$1,N$1)+SUMIFS('changes2_based on steps'!$B107:$U107,'changes2_based on steps'!$B$1:$U$1,N$1)</f>
        <v>0</v>
      </c>
      <c r="O107" s="179">
        <f>SUMIFS('recurring2_based on steps'!$B107:$AY107,'recurring2_based on steps'!$B$1:$AY$1,O$1)+SUMIFS('changes2_based on steps'!$B107:$U107,'changes2_based on steps'!$B$1:$U$1,O$1)</f>
        <v>0</v>
      </c>
      <c r="P107" s="179">
        <f>SUMIFS('recurring2_based on steps'!$B107:$AY107,'recurring2_based on steps'!$B$1:$AY$1,P$1)+SUMIFS('changes2_based on steps'!$B107:$U107,'changes2_based on steps'!$B$1:$U$1,P$1)</f>
        <v>0</v>
      </c>
      <c r="Q107" s="179">
        <f>SUMIFS('recurring2_based on steps'!$B107:$AY107,'recurring2_based on steps'!$B$1:$AY$1,Q$1)+SUMIFS('changes2_based on steps'!$B107:$U107,'changes2_based on steps'!$B$1:$U$1,Q$1)</f>
        <v>0</v>
      </c>
      <c r="R107" s="179">
        <f>SUMIFS('recurring2_based on steps'!$B107:$AY107,'recurring2_based on steps'!$B$1:$AY$1,R$1)+SUMIFS('changes2_based on steps'!$B107:$U107,'changes2_based on steps'!$B$1:$U$1,R$1)</f>
        <v>0</v>
      </c>
      <c r="S107" s="179">
        <f>SUMIFS('recurring2_based on steps'!$B107:$AY107,'recurring2_based on steps'!$B$1:$AY$1,S$1)+SUMIFS('changes2_based on steps'!$B107:$U107,'changes2_based on steps'!$B$1:$U$1,S$1)</f>
        <v>0</v>
      </c>
      <c r="T107" s="179">
        <f>SUMIFS('recurring2_based on steps'!$B107:$AY107,'recurring2_based on steps'!$B$1:$AY$1,T$1)+SUMIFS('changes2_based on steps'!$B107:$U107,'changes2_based on steps'!$B$1:$U$1,T$1)</f>
        <v>0</v>
      </c>
      <c r="U107" s="179">
        <f>SUMIFS('recurring2_based on steps'!$B107:$AY107,'recurring2_based on steps'!$B$1:$AY$1,U$1)+SUMIFS('changes2_based on steps'!$B107:$U107,'changes2_based on steps'!$B$1:$U$1,U$1)</f>
        <v>0</v>
      </c>
      <c r="V107" s="179">
        <f>SUMIFS('recurring2_based on steps'!$B107:$AY107,'recurring2_based on steps'!$B$1:$AY$1,V$1)+SUMIFS('changes2_based on steps'!$B107:$U107,'changes2_based on steps'!$B$1:$U$1,V$1)</f>
        <v>0</v>
      </c>
      <c r="W107" s="179">
        <f>SUMIFS('recurring2_based on steps'!$B107:$AY107,'recurring2_based on steps'!$B$1:$AY$1,W$1)+SUMIFS('changes2_based on steps'!$B107:$U107,'changes2_based on steps'!$B$1:$U$1,W$1)</f>
        <v>0</v>
      </c>
      <c r="X107" s="179">
        <f>SUMIFS('recurring2_based on steps'!$B107:$AY107,'recurring2_based on steps'!$B$1:$AY$1,X$1)+SUMIFS('changes2_based on steps'!$B107:$U107,'changes2_based on steps'!$B$1:$U$1,X$1)</f>
        <v>0</v>
      </c>
      <c r="Y107" s="179">
        <f>SUMIFS('recurring2_based on steps'!$B107:$AY107,'recurring2_based on steps'!$B$1:$AY$1,Y$1)+SUMIFS('changes2_based on steps'!$B107:$U107,'changes2_based on steps'!$B$1:$U$1,Y$1)</f>
        <v>0</v>
      </c>
      <c r="Z107" s="179">
        <f>SUMIFS('recurring2_based on steps'!$B107:$AY107,'recurring2_based on steps'!$B$1:$AY$1,Z$1)+SUMIFS('changes2_based on steps'!$B107:$U107,'changes2_based on steps'!$B$1:$U$1,Z$1)</f>
        <v>0</v>
      </c>
      <c r="AA107" s="179">
        <f>SUMIFS('recurring2_based on steps'!$B107:$AY107,'recurring2_based on steps'!$B$1:$AY$1,AA$1)+SUMIFS('changes2_based on steps'!$B107:$U107,'changes2_based on steps'!$B$1:$U$1,AA$1)</f>
        <v>0</v>
      </c>
      <c r="AB107" s="179">
        <f>SUMIFS('recurring2_based on steps'!$B107:$AY107,'recurring2_based on steps'!$B$1:$AY$1,AB$1)+SUMIFS('changes2_based on steps'!$B107:$U107,'changes2_based on steps'!$B$1:$U$1,AB$1)</f>
        <v>0</v>
      </c>
      <c r="AC107" s="179">
        <f>SUMIFS('recurring2_based on steps'!$B107:$AY107,'recurring2_based on steps'!$B$1:$AY$1,AC$1)+SUMIFS('changes2_based on steps'!$B107:$U107,'changes2_based on steps'!$B$1:$U$1,AC$1)</f>
        <v>0</v>
      </c>
      <c r="AD107" s="179">
        <f>SUMIFS('recurring2_based on steps'!$B107:$AY107,'recurring2_based on steps'!$B$1:$AY$1,AD$1)+SUMIFS('changes2_based on steps'!$B107:$U107,'changes2_based on steps'!$B$1:$U$1,AD$1)</f>
        <v>0</v>
      </c>
      <c r="AE107" s="179">
        <f>SUMIFS('recurring2_based on steps'!$B107:$AY107,'recurring2_based on steps'!$B$1:$AY$1,AE$1)+SUMIFS('changes2_based on steps'!$B107:$U107,'changes2_based on steps'!$B$1:$U$1,AE$1)</f>
        <v>0</v>
      </c>
      <c r="AF107" s="179"/>
      <c r="AG107" s="179"/>
      <c r="AH107" s="179"/>
      <c r="AI107" s="179"/>
      <c r="AJ107" s="179"/>
      <c r="AK107" s="179"/>
      <c r="AL107" s="179"/>
      <c r="AM107" s="179"/>
    </row>
    <row r="108" spans="1:39" x14ac:dyDescent="0.2">
      <c r="A108" s="32">
        <f t="shared" ca="1" si="1"/>
        <v>45850</v>
      </c>
      <c r="B108" s="179">
        <f>SUMIFS('recurring2_based on steps'!$B108:$AY108,'recurring2_based on steps'!$B$1:$AY$1,B$1)+SUMIFS('changes2_based on steps'!$B108:$U108,'changes2_based on steps'!$B$1:$U$1,B$1)</f>
        <v>0</v>
      </c>
      <c r="C108" s="179">
        <f>SUMIFS('recurring2_based on steps'!$B108:$AY108,'recurring2_based on steps'!$B$1:$AY$1,C$1)+SUMIFS('changes2_based on steps'!$B108:$U108,'changes2_based on steps'!$B$1:$U$1,C$1)</f>
        <v>0</v>
      </c>
      <c r="D108" s="179">
        <f>SUMIFS('recurring2_based on steps'!$B108:$AY108,'recurring2_based on steps'!$B$1:$AY$1,D$1)+SUMIFS('changes2_based on steps'!$B108:$U108,'changes2_based on steps'!$B$1:$U$1,D$1)</f>
        <v>0</v>
      </c>
      <c r="E108" s="179">
        <f>SUMIFS('recurring2_based on steps'!$B108:$AY108,'recurring2_based on steps'!$B$1:$AY$1,E$1)+SUMIFS('changes2_based on steps'!$B108:$U108,'changes2_based on steps'!$B$1:$U$1,E$1)</f>
        <v>0</v>
      </c>
      <c r="F108" s="179">
        <f>SUMIFS('recurring2_based on steps'!$B108:$AY108,'recurring2_based on steps'!$B$1:$AY$1,F$1)+SUMIFS('changes2_based on steps'!$B108:$U108,'changes2_based on steps'!$B$1:$U$1,F$1)</f>
        <v>0</v>
      </c>
      <c r="G108" s="179">
        <f>SUMIFS('recurring2_based on steps'!$B108:$AY108,'recurring2_based on steps'!$B$1:$AY$1,G$1)+SUMIFS('changes2_based on steps'!$B108:$U108,'changes2_based on steps'!$B$1:$U$1,G$1)</f>
        <v>0</v>
      </c>
      <c r="H108" s="179">
        <f>SUMIFS('recurring2_based on steps'!$B108:$AY108,'recurring2_based on steps'!$B$1:$AY$1,H$1)+SUMIFS('changes2_based on steps'!$B108:$U108,'changes2_based on steps'!$B$1:$U$1,H$1)</f>
        <v>0</v>
      </c>
      <c r="I108" s="179">
        <f>SUMIFS('recurring2_based on steps'!$B108:$AY108,'recurring2_based on steps'!$B$1:$AY$1,I$1)+SUMIFS('changes2_based on steps'!$B108:$U108,'changes2_based on steps'!$B$1:$U$1,I$1)</f>
        <v>0</v>
      </c>
      <c r="J108" s="179">
        <f>SUMIFS('recurring2_based on steps'!$B108:$AY108,'recurring2_based on steps'!$B$1:$AY$1,J$1)+SUMIFS('changes2_based on steps'!$B108:$U108,'changes2_based on steps'!$B$1:$U$1,J$1)</f>
        <v>0</v>
      </c>
      <c r="K108" s="179">
        <f>SUMIFS('recurring2_based on steps'!$B108:$AY108,'recurring2_based on steps'!$B$1:$AY$1,K$1)+SUMIFS('changes2_based on steps'!$B108:$U108,'changes2_based on steps'!$B$1:$U$1,K$1)</f>
        <v>0</v>
      </c>
      <c r="L108" s="179">
        <f>SUMIFS('recurring2_based on steps'!$B108:$AY108,'recurring2_based on steps'!$B$1:$AY$1,L$1)+SUMIFS('changes2_based on steps'!$B108:$U108,'changes2_based on steps'!$B$1:$U$1,L$1)</f>
        <v>0</v>
      </c>
      <c r="M108" s="179">
        <f>SUMIFS('recurring2_based on steps'!$B108:$AY108,'recurring2_based on steps'!$B$1:$AY$1,M$1)+SUMIFS('changes2_based on steps'!$B108:$U108,'changes2_based on steps'!$B$1:$U$1,M$1)</f>
        <v>0</v>
      </c>
      <c r="N108" s="179">
        <f>SUMIFS('recurring2_based on steps'!$B108:$AY108,'recurring2_based on steps'!$B$1:$AY$1,N$1)+SUMIFS('changes2_based on steps'!$B108:$U108,'changes2_based on steps'!$B$1:$U$1,N$1)</f>
        <v>0</v>
      </c>
      <c r="O108" s="179">
        <f>SUMIFS('recurring2_based on steps'!$B108:$AY108,'recurring2_based on steps'!$B$1:$AY$1,O$1)+SUMIFS('changes2_based on steps'!$B108:$U108,'changes2_based on steps'!$B$1:$U$1,O$1)</f>
        <v>0</v>
      </c>
      <c r="P108" s="179">
        <f>SUMIFS('recurring2_based on steps'!$B108:$AY108,'recurring2_based on steps'!$B$1:$AY$1,P$1)+SUMIFS('changes2_based on steps'!$B108:$U108,'changes2_based on steps'!$B$1:$U$1,P$1)</f>
        <v>0</v>
      </c>
      <c r="Q108" s="179">
        <f>SUMIFS('recurring2_based on steps'!$B108:$AY108,'recurring2_based on steps'!$B$1:$AY$1,Q$1)+SUMIFS('changes2_based on steps'!$B108:$U108,'changes2_based on steps'!$B$1:$U$1,Q$1)</f>
        <v>0</v>
      </c>
      <c r="R108" s="179">
        <f>SUMIFS('recurring2_based on steps'!$B108:$AY108,'recurring2_based on steps'!$B$1:$AY$1,R$1)+SUMIFS('changes2_based on steps'!$B108:$U108,'changes2_based on steps'!$B$1:$U$1,R$1)</f>
        <v>0</v>
      </c>
      <c r="S108" s="179">
        <f>SUMIFS('recurring2_based on steps'!$B108:$AY108,'recurring2_based on steps'!$B$1:$AY$1,S$1)+SUMIFS('changes2_based on steps'!$B108:$U108,'changes2_based on steps'!$B$1:$U$1,S$1)</f>
        <v>0</v>
      </c>
      <c r="T108" s="179">
        <f>SUMIFS('recurring2_based on steps'!$B108:$AY108,'recurring2_based on steps'!$B$1:$AY$1,T$1)+SUMIFS('changes2_based on steps'!$B108:$U108,'changes2_based on steps'!$B$1:$U$1,T$1)</f>
        <v>0</v>
      </c>
      <c r="U108" s="179">
        <f>SUMIFS('recurring2_based on steps'!$B108:$AY108,'recurring2_based on steps'!$B$1:$AY$1,U$1)+SUMIFS('changes2_based on steps'!$B108:$U108,'changes2_based on steps'!$B$1:$U$1,U$1)</f>
        <v>0</v>
      </c>
      <c r="V108" s="179">
        <f>SUMIFS('recurring2_based on steps'!$B108:$AY108,'recurring2_based on steps'!$B$1:$AY$1,V$1)+SUMIFS('changes2_based on steps'!$B108:$U108,'changes2_based on steps'!$B$1:$U$1,V$1)</f>
        <v>0</v>
      </c>
      <c r="W108" s="179">
        <f>SUMIFS('recurring2_based on steps'!$B108:$AY108,'recurring2_based on steps'!$B$1:$AY$1,W$1)+SUMIFS('changes2_based on steps'!$B108:$U108,'changes2_based on steps'!$B$1:$U$1,W$1)</f>
        <v>0</v>
      </c>
      <c r="X108" s="179">
        <f>SUMIFS('recurring2_based on steps'!$B108:$AY108,'recurring2_based on steps'!$B$1:$AY$1,X$1)+SUMIFS('changes2_based on steps'!$B108:$U108,'changes2_based on steps'!$B$1:$U$1,X$1)</f>
        <v>0</v>
      </c>
      <c r="Y108" s="179">
        <f>SUMIFS('recurring2_based on steps'!$B108:$AY108,'recurring2_based on steps'!$B$1:$AY$1,Y$1)+SUMIFS('changes2_based on steps'!$B108:$U108,'changes2_based on steps'!$B$1:$U$1,Y$1)</f>
        <v>0</v>
      </c>
      <c r="Z108" s="179">
        <f>SUMIFS('recurring2_based on steps'!$B108:$AY108,'recurring2_based on steps'!$B$1:$AY$1,Z$1)+SUMIFS('changes2_based on steps'!$B108:$U108,'changes2_based on steps'!$B$1:$U$1,Z$1)</f>
        <v>0</v>
      </c>
      <c r="AA108" s="179">
        <f>SUMIFS('recurring2_based on steps'!$B108:$AY108,'recurring2_based on steps'!$B$1:$AY$1,AA$1)+SUMIFS('changes2_based on steps'!$B108:$U108,'changes2_based on steps'!$B$1:$U$1,AA$1)</f>
        <v>0</v>
      </c>
      <c r="AB108" s="179">
        <f>SUMIFS('recurring2_based on steps'!$B108:$AY108,'recurring2_based on steps'!$B$1:$AY$1,AB$1)+SUMIFS('changes2_based on steps'!$B108:$U108,'changes2_based on steps'!$B$1:$U$1,AB$1)</f>
        <v>0</v>
      </c>
      <c r="AC108" s="179">
        <f>SUMIFS('recurring2_based on steps'!$B108:$AY108,'recurring2_based on steps'!$B$1:$AY$1,AC$1)+SUMIFS('changes2_based on steps'!$B108:$U108,'changes2_based on steps'!$B$1:$U$1,AC$1)</f>
        <v>0</v>
      </c>
      <c r="AD108" s="179">
        <f>SUMIFS('recurring2_based on steps'!$B108:$AY108,'recurring2_based on steps'!$B$1:$AY$1,AD$1)+SUMIFS('changes2_based on steps'!$B108:$U108,'changes2_based on steps'!$B$1:$U$1,AD$1)</f>
        <v>0</v>
      </c>
      <c r="AE108" s="179">
        <f>SUMIFS('recurring2_based on steps'!$B108:$AY108,'recurring2_based on steps'!$B$1:$AY$1,AE$1)+SUMIFS('changes2_based on steps'!$B108:$U108,'changes2_based on steps'!$B$1:$U$1,AE$1)</f>
        <v>0</v>
      </c>
      <c r="AF108" s="179"/>
      <c r="AG108" s="179"/>
      <c r="AH108" s="179"/>
      <c r="AI108" s="179"/>
      <c r="AJ108" s="179"/>
      <c r="AK108" s="179"/>
      <c r="AL108" s="179"/>
      <c r="AM108" s="179"/>
    </row>
    <row r="109" spans="1:39" x14ac:dyDescent="0.2">
      <c r="A109" s="32">
        <f t="shared" ca="1" si="1"/>
        <v>45851</v>
      </c>
      <c r="B109" s="179">
        <f>SUMIFS('recurring2_based on steps'!$B109:$AY109,'recurring2_based on steps'!$B$1:$AY$1,B$1)+SUMIFS('changes2_based on steps'!$B109:$U109,'changes2_based on steps'!$B$1:$U$1,B$1)</f>
        <v>0</v>
      </c>
      <c r="C109" s="179">
        <f>SUMIFS('recurring2_based on steps'!$B109:$AY109,'recurring2_based on steps'!$B$1:$AY$1,C$1)+SUMIFS('changes2_based on steps'!$B109:$U109,'changes2_based on steps'!$B$1:$U$1,C$1)</f>
        <v>0</v>
      </c>
      <c r="D109" s="179">
        <f>SUMIFS('recurring2_based on steps'!$B109:$AY109,'recurring2_based on steps'!$B$1:$AY$1,D$1)+SUMIFS('changes2_based on steps'!$B109:$U109,'changes2_based on steps'!$B$1:$U$1,D$1)</f>
        <v>0</v>
      </c>
      <c r="E109" s="179">
        <f>SUMIFS('recurring2_based on steps'!$B109:$AY109,'recurring2_based on steps'!$B$1:$AY$1,E$1)+SUMIFS('changes2_based on steps'!$B109:$U109,'changes2_based on steps'!$B$1:$U$1,E$1)</f>
        <v>0</v>
      </c>
      <c r="F109" s="179">
        <f>SUMIFS('recurring2_based on steps'!$B109:$AY109,'recurring2_based on steps'!$B$1:$AY$1,F$1)+SUMIFS('changes2_based on steps'!$B109:$U109,'changes2_based on steps'!$B$1:$U$1,F$1)</f>
        <v>0</v>
      </c>
      <c r="G109" s="179">
        <f>SUMIFS('recurring2_based on steps'!$B109:$AY109,'recurring2_based on steps'!$B$1:$AY$1,G$1)+SUMIFS('changes2_based on steps'!$B109:$U109,'changes2_based on steps'!$B$1:$U$1,G$1)</f>
        <v>0</v>
      </c>
      <c r="H109" s="179">
        <f>SUMIFS('recurring2_based on steps'!$B109:$AY109,'recurring2_based on steps'!$B$1:$AY$1,H$1)+SUMIFS('changes2_based on steps'!$B109:$U109,'changes2_based on steps'!$B$1:$U$1,H$1)</f>
        <v>0</v>
      </c>
      <c r="I109" s="179">
        <f>SUMIFS('recurring2_based on steps'!$B109:$AY109,'recurring2_based on steps'!$B$1:$AY$1,I$1)+SUMIFS('changes2_based on steps'!$B109:$U109,'changes2_based on steps'!$B$1:$U$1,I$1)</f>
        <v>0</v>
      </c>
      <c r="J109" s="179">
        <f>SUMIFS('recurring2_based on steps'!$B109:$AY109,'recurring2_based on steps'!$B$1:$AY$1,J$1)+SUMIFS('changes2_based on steps'!$B109:$U109,'changes2_based on steps'!$B$1:$U$1,J$1)</f>
        <v>0</v>
      </c>
      <c r="K109" s="179">
        <f>SUMIFS('recurring2_based on steps'!$B109:$AY109,'recurring2_based on steps'!$B$1:$AY$1,K$1)+SUMIFS('changes2_based on steps'!$B109:$U109,'changes2_based on steps'!$B$1:$U$1,K$1)</f>
        <v>0</v>
      </c>
      <c r="L109" s="179">
        <f>SUMIFS('recurring2_based on steps'!$B109:$AY109,'recurring2_based on steps'!$B$1:$AY$1,L$1)+SUMIFS('changes2_based on steps'!$B109:$U109,'changes2_based on steps'!$B$1:$U$1,L$1)</f>
        <v>0</v>
      </c>
      <c r="M109" s="179">
        <f>SUMIFS('recurring2_based on steps'!$B109:$AY109,'recurring2_based on steps'!$B$1:$AY$1,M$1)+SUMIFS('changes2_based on steps'!$B109:$U109,'changes2_based on steps'!$B$1:$U$1,M$1)</f>
        <v>0</v>
      </c>
      <c r="N109" s="179">
        <f>SUMIFS('recurring2_based on steps'!$B109:$AY109,'recurring2_based on steps'!$B$1:$AY$1,N$1)+SUMIFS('changes2_based on steps'!$B109:$U109,'changes2_based on steps'!$B$1:$U$1,N$1)</f>
        <v>0</v>
      </c>
      <c r="O109" s="179">
        <f>SUMIFS('recurring2_based on steps'!$B109:$AY109,'recurring2_based on steps'!$B$1:$AY$1,O$1)+SUMIFS('changes2_based on steps'!$B109:$U109,'changes2_based on steps'!$B$1:$U$1,O$1)</f>
        <v>0</v>
      </c>
      <c r="P109" s="179">
        <f>SUMIFS('recurring2_based on steps'!$B109:$AY109,'recurring2_based on steps'!$B$1:$AY$1,P$1)+SUMIFS('changes2_based on steps'!$B109:$U109,'changes2_based on steps'!$B$1:$U$1,P$1)</f>
        <v>0</v>
      </c>
      <c r="Q109" s="179">
        <f>SUMIFS('recurring2_based on steps'!$B109:$AY109,'recurring2_based on steps'!$B$1:$AY$1,Q$1)+SUMIFS('changes2_based on steps'!$B109:$U109,'changes2_based on steps'!$B$1:$U$1,Q$1)</f>
        <v>0</v>
      </c>
      <c r="R109" s="179">
        <f>SUMIFS('recurring2_based on steps'!$B109:$AY109,'recurring2_based on steps'!$B$1:$AY$1,R$1)+SUMIFS('changes2_based on steps'!$B109:$U109,'changes2_based on steps'!$B$1:$U$1,R$1)</f>
        <v>0</v>
      </c>
      <c r="S109" s="179">
        <f>SUMIFS('recurring2_based on steps'!$B109:$AY109,'recurring2_based on steps'!$B$1:$AY$1,S$1)+SUMIFS('changes2_based on steps'!$B109:$U109,'changes2_based on steps'!$B$1:$U$1,S$1)</f>
        <v>0</v>
      </c>
      <c r="T109" s="179">
        <f>SUMIFS('recurring2_based on steps'!$B109:$AY109,'recurring2_based on steps'!$B$1:$AY$1,T$1)+SUMIFS('changes2_based on steps'!$B109:$U109,'changes2_based on steps'!$B$1:$U$1,T$1)</f>
        <v>0</v>
      </c>
      <c r="U109" s="179">
        <f>SUMIFS('recurring2_based on steps'!$B109:$AY109,'recurring2_based on steps'!$B$1:$AY$1,U$1)+SUMIFS('changes2_based on steps'!$B109:$U109,'changes2_based on steps'!$B$1:$U$1,U$1)</f>
        <v>0</v>
      </c>
      <c r="V109" s="179">
        <f>SUMIFS('recurring2_based on steps'!$B109:$AY109,'recurring2_based on steps'!$B$1:$AY$1,V$1)+SUMIFS('changes2_based on steps'!$B109:$U109,'changes2_based on steps'!$B$1:$U$1,V$1)</f>
        <v>0</v>
      </c>
      <c r="W109" s="179">
        <f>SUMIFS('recurring2_based on steps'!$B109:$AY109,'recurring2_based on steps'!$B$1:$AY$1,W$1)+SUMIFS('changes2_based on steps'!$B109:$U109,'changes2_based on steps'!$B$1:$U$1,W$1)</f>
        <v>0</v>
      </c>
      <c r="X109" s="179">
        <f>SUMIFS('recurring2_based on steps'!$B109:$AY109,'recurring2_based on steps'!$B$1:$AY$1,X$1)+SUMIFS('changes2_based on steps'!$B109:$U109,'changes2_based on steps'!$B$1:$U$1,X$1)</f>
        <v>0</v>
      </c>
      <c r="Y109" s="179">
        <f>SUMIFS('recurring2_based on steps'!$B109:$AY109,'recurring2_based on steps'!$B$1:$AY$1,Y$1)+SUMIFS('changes2_based on steps'!$B109:$U109,'changes2_based on steps'!$B$1:$U$1,Y$1)</f>
        <v>0</v>
      </c>
      <c r="Z109" s="179">
        <f>SUMIFS('recurring2_based on steps'!$B109:$AY109,'recurring2_based on steps'!$B$1:$AY$1,Z$1)+SUMIFS('changes2_based on steps'!$B109:$U109,'changes2_based on steps'!$B$1:$U$1,Z$1)</f>
        <v>0</v>
      </c>
      <c r="AA109" s="179">
        <f>SUMIFS('recurring2_based on steps'!$B109:$AY109,'recurring2_based on steps'!$B$1:$AY$1,AA$1)+SUMIFS('changes2_based on steps'!$B109:$U109,'changes2_based on steps'!$B$1:$U$1,AA$1)</f>
        <v>0</v>
      </c>
      <c r="AB109" s="179">
        <f>SUMIFS('recurring2_based on steps'!$B109:$AY109,'recurring2_based on steps'!$B$1:$AY$1,AB$1)+SUMIFS('changes2_based on steps'!$B109:$U109,'changes2_based on steps'!$B$1:$U$1,AB$1)</f>
        <v>0</v>
      </c>
      <c r="AC109" s="179">
        <f>SUMIFS('recurring2_based on steps'!$B109:$AY109,'recurring2_based on steps'!$B$1:$AY$1,AC$1)+SUMIFS('changes2_based on steps'!$B109:$U109,'changes2_based on steps'!$B$1:$U$1,AC$1)</f>
        <v>0</v>
      </c>
      <c r="AD109" s="179">
        <f>SUMIFS('recurring2_based on steps'!$B109:$AY109,'recurring2_based on steps'!$B$1:$AY$1,AD$1)+SUMIFS('changes2_based on steps'!$B109:$U109,'changes2_based on steps'!$B$1:$U$1,AD$1)</f>
        <v>0</v>
      </c>
      <c r="AE109" s="179">
        <f>SUMIFS('recurring2_based on steps'!$B109:$AY109,'recurring2_based on steps'!$B$1:$AY$1,AE$1)+SUMIFS('changes2_based on steps'!$B109:$U109,'changes2_based on steps'!$B$1:$U$1,AE$1)</f>
        <v>0</v>
      </c>
      <c r="AF109" s="179"/>
      <c r="AG109" s="179"/>
      <c r="AH109" s="179"/>
      <c r="AI109" s="179"/>
      <c r="AJ109" s="179"/>
      <c r="AK109" s="179"/>
      <c r="AL109" s="179"/>
      <c r="AM109" s="179"/>
    </row>
    <row r="110" spans="1:39" x14ac:dyDescent="0.2">
      <c r="A110" s="32">
        <f t="shared" ca="1" si="1"/>
        <v>45852</v>
      </c>
      <c r="B110" s="179">
        <f>SUMIFS('recurring2_based on steps'!$B110:$AY110,'recurring2_based on steps'!$B$1:$AY$1,B$1)+SUMIFS('changes2_based on steps'!$B110:$U110,'changes2_based on steps'!$B$1:$U$1,B$1)</f>
        <v>0</v>
      </c>
      <c r="C110" s="179">
        <f>SUMIFS('recurring2_based on steps'!$B110:$AY110,'recurring2_based on steps'!$B$1:$AY$1,C$1)+SUMIFS('changes2_based on steps'!$B110:$U110,'changes2_based on steps'!$B$1:$U$1,C$1)</f>
        <v>0</v>
      </c>
      <c r="D110" s="179">
        <f>SUMIFS('recurring2_based on steps'!$B110:$AY110,'recurring2_based on steps'!$B$1:$AY$1,D$1)+SUMIFS('changes2_based on steps'!$B110:$U110,'changes2_based on steps'!$B$1:$U$1,D$1)</f>
        <v>0</v>
      </c>
      <c r="E110" s="179">
        <f>SUMIFS('recurring2_based on steps'!$B110:$AY110,'recurring2_based on steps'!$B$1:$AY$1,E$1)+SUMIFS('changes2_based on steps'!$B110:$U110,'changes2_based on steps'!$B$1:$U$1,E$1)</f>
        <v>0</v>
      </c>
      <c r="F110" s="179">
        <f>SUMIFS('recurring2_based on steps'!$B110:$AY110,'recurring2_based on steps'!$B$1:$AY$1,F$1)+SUMIFS('changes2_based on steps'!$B110:$U110,'changes2_based on steps'!$B$1:$U$1,F$1)</f>
        <v>0</v>
      </c>
      <c r="G110" s="179">
        <f>SUMIFS('recurring2_based on steps'!$B110:$AY110,'recurring2_based on steps'!$B$1:$AY$1,G$1)+SUMIFS('changes2_based on steps'!$B110:$U110,'changes2_based on steps'!$B$1:$U$1,G$1)</f>
        <v>0</v>
      </c>
      <c r="H110" s="179">
        <f>SUMIFS('recurring2_based on steps'!$B110:$AY110,'recurring2_based on steps'!$B$1:$AY$1,H$1)+SUMIFS('changes2_based on steps'!$B110:$U110,'changes2_based on steps'!$B$1:$U$1,H$1)</f>
        <v>0</v>
      </c>
      <c r="I110" s="179">
        <f>SUMIFS('recurring2_based on steps'!$B110:$AY110,'recurring2_based on steps'!$B$1:$AY$1,I$1)+SUMIFS('changes2_based on steps'!$B110:$U110,'changes2_based on steps'!$B$1:$U$1,I$1)</f>
        <v>0</v>
      </c>
      <c r="J110" s="179">
        <f>SUMIFS('recurring2_based on steps'!$B110:$AY110,'recurring2_based on steps'!$B$1:$AY$1,J$1)+SUMIFS('changes2_based on steps'!$B110:$U110,'changes2_based on steps'!$B$1:$U$1,J$1)</f>
        <v>0</v>
      </c>
      <c r="K110" s="179">
        <f>SUMIFS('recurring2_based on steps'!$B110:$AY110,'recurring2_based on steps'!$B$1:$AY$1,K$1)+SUMIFS('changes2_based on steps'!$B110:$U110,'changes2_based on steps'!$B$1:$U$1,K$1)</f>
        <v>0</v>
      </c>
      <c r="L110" s="179">
        <f>SUMIFS('recurring2_based on steps'!$B110:$AY110,'recurring2_based on steps'!$B$1:$AY$1,L$1)+SUMIFS('changes2_based on steps'!$B110:$U110,'changes2_based on steps'!$B$1:$U$1,L$1)</f>
        <v>0</v>
      </c>
      <c r="M110" s="179">
        <f>SUMIFS('recurring2_based on steps'!$B110:$AY110,'recurring2_based on steps'!$B$1:$AY$1,M$1)+SUMIFS('changes2_based on steps'!$B110:$U110,'changes2_based on steps'!$B$1:$U$1,M$1)</f>
        <v>0</v>
      </c>
      <c r="N110" s="179">
        <f>SUMIFS('recurring2_based on steps'!$B110:$AY110,'recurring2_based on steps'!$B$1:$AY$1,N$1)+SUMIFS('changes2_based on steps'!$B110:$U110,'changes2_based on steps'!$B$1:$U$1,N$1)</f>
        <v>0</v>
      </c>
      <c r="O110" s="179">
        <f>SUMIFS('recurring2_based on steps'!$B110:$AY110,'recurring2_based on steps'!$B$1:$AY$1,O$1)+SUMIFS('changes2_based on steps'!$B110:$U110,'changes2_based on steps'!$B$1:$U$1,O$1)</f>
        <v>0</v>
      </c>
      <c r="P110" s="179">
        <f>SUMIFS('recurring2_based on steps'!$B110:$AY110,'recurring2_based on steps'!$B$1:$AY$1,P$1)+SUMIFS('changes2_based on steps'!$B110:$U110,'changes2_based on steps'!$B$1:$U$1,P$1)</f>
        <v>0</v>
      </c>
      <c r="Q110" s="179">
        <f>SUMIFS('recurring2_based on steps'!$B110:$AY110,'recurring2_based on steps'!$B$1:$AY$1,Q$1)+SUMIFS('changes2_based on steps'!$B110:$U110,'changes2_based on steps'!$B$1:$U$1,Q$1)</f>
        <v>0</v>
      </c>
      <c r="R110" s="179">
        <f>SUMIFS('recurring2_based on steps'!$B110:$AY110,'recurring2_based on steps'!$B$1:$AY$1,R$1)+SUMIFS('changes2_based on steps'!$B110:$U110,'changes2_based on steps'!$B$1:$U$1,R$1)</f>
        <v>0</v>
      </c>
      <c r="S110" s="179">
        <f>SUMIFS('recurring2_based on steps'!$B110:$AY110,'recurring2_based on steps'!$B$1:$AY$1,S$1)+SUMIFS('changes2_based on steps'!$B110:$U110,'changes2_based on steps'!$B$1:$U$1,S$1)</f>
        <v>0</v>
      </c>
      <c r="T110" s="179">
        <f>SUMIFS('recurring2_based on steps'!$B110:$AY110,'recurring2_based on steps'!$B$1:$AY$1,T$1)+SUMIFS('changes2_based on steps'!$B110:$U110,'changes2_based on steps'!$B$1:$U$1,T$1)</f>
        <v>0</v>
      </c>
      <c r="U110" s="179">
        <f>SUMIFS('recurring2_based on steps'!$B110:$AY110,'recurring2_based on steps'!$B$1:$AY$1,U$1)+SUMIFS('changes2_based on steps'!$B110:$U110,'changes2_based on steps'!$B$1:$U$1,U$1)</f>
        <v>0</v>
      </c>
      <c r="V110" s="179">
        <f>SUMIFS('recurring2_based on steps'!$B110:$AY110,'recurring2_based on steps'!$B$1:$AY$1,V$1)+SUMIFS('changes2_based on steps'!$B110:$U110,'changes2_based on steps'!$B$1:$U$1,V$1)</f>
        <v>0</v>
      </c>
      <c r="W110" s="179">
        <f>SUMIFS('recurring2_based on steps'!$B110:$AY110,'recurring2_based on steps'!$B$1:$AY$1,W$1)+SUMIFS('changes2_based on steps'!$B110:$U110,'changes2_based on steps'!$B$1:$U$1,W$1)</f>
        <v>0</v>
      </c>
      <c r="X110" s="179">
        <f>SUMIFS('recurring2_based on steps'!$B110:$AY110,'recurring2_based on steps'!$B$1:$AY$1,X$1)+SUMIFS('changes2_based on steps'!$B110:$U110,'changes2_based on steps'!$B$1:$U$1,X$1)</f>
        <v>0</v>
      </c>
      <c r="Y110" s="179">
        <f>SUMIFS('recurring2_based on steps'!$B110:$AY110,'recurring2_based on steps'!$B$1:$AY$1,Y$1)+SUMIFS('changes2_based on steps'!$B110:$U110,'changes2_based on steps'!$B$1:$U$1,Y$1)</f>
        <v>0</v>
      </c>
      <c r="Z110" s="179">
        <f>SUMIFS('recurring2_based on steps'!$B110:$AY110,'recurring2_based on steps'!$B$1:$AY$1,Z$1)+SUMIFS('changes2_based on steps'!$B110:$U110,'changes2_based on steps'!$B$1:$U$1,Z$1)</f>
        <v>0</v>
      </c>
      <c r="AA110" s="179">
        <f>SUMIFS('recurring2_based on steps'!$B110:$AY110,'recurring2_based on steps'!$B$1:$AY$1,AA$1)+SUMIFS('changes2_based on steps'!$B110:$U110,'changes2_based on steps'!$B$1:$U$1,AA$1)</f>
        <v>0</v>
      </c>
      <c r="AB110" s="179">
        <f>SUMIFS('recurring2_based on steps'!$B110:$AY110,'recurring2_based on steps'!$B$1:$AY$1,AB$1)+SUMIFS('changes2_based on steps'!$B110:$U110,'changes2_based on steps'!$B$1:$U$1,AB$1)</f>
        <v>0</v>
      </c>
      <c r="AC110" s="179">
        <f>SUMIFS('recurring2_based on steps'!$B110:$AY110,'recurring2_based on steps'!$B$1:$AY$1,AC$1)+SUMIFS('changes2_based on steps'!$B110:$U110,'changes2_based on steps'!$B$1:$U$1,AC$1)</f>
        <v>0</v>
      </c>
      <c r="AD110" s="179">
        <f>SUMIFS('recurring2_based on steps'!$B110:$AY110,'recurring2_based on steps'!$B$1:$AY$1,AD$1)+SUMIFS('changes2_based on steps'!$B110:$U110,'changes2_based on steps'!$B$1:$U$1,AD$1)</f>
        <v>0</v>
      </c>
      <c r="AE110" s="179">
        <f>SUMIFS('recurring2_based on steps'!$B110:$AY110,'recurring2_based on steps'!$B$1:$AY$1,AE$1)+SUMIFS('changes2_based on steps'!$B110:$U110,'changes2_based on steps'!$B$1:$U$1,AE$1)</f>
        <v>0</v>
      </c>
      <c r="AF110" s="179"/>
      <c r="AG110" s="179"/>
      <c r="AH110" s="179"/>
      <c r="AI110" s="179"/>
      <c r="AJ110" s="179"/>
      <c r="AK110" s="179"/>
      <c r="AL110" s="179"/>
      <c r="AM110" s="179"/>
    </row>
    <row r="111" spans="1:39" x14ac:dyDescent="0.2">
      <c r="A111" s="32">
        <f t="shared" ca="1" si="1"/>
        <v>45853</v>
      </c>
      <c r="B111" s="179">
        <f>SUMIFS('recurring2_based on steps'!$B111:$AY111,'recurring2_based on steps'!$B$1:$AY$1,B$1)+SUMIFS('changes2_based on steps'!$B111:$U111,'changes2_based on steps'!$B$1:$U$1,B$1)</f>
        <v>0</v>
      </c>
      <c r="C111" s="179">
        <f>SUMIFS('recurring2_based on steps'!$B111:$AY111,'recurring2_based on steps'!$B$1:$AY$1,C$1)+SUMIFS('changes2_based on steps'!$B111:$U111,'changes2_based on steps'!$B$1:$U$1,C$1)</f>
        <v>0</v>
      </c>
      <c r="D111" s="179">
        <f>SUMIFS('recurring2_based on steps'!$B111:$AY111,'recurring2_based on steps'!$B$1:$AY$1,D$1)+SUMIFS('changes2_based on steps'!$B111:$U111,'changes2_based on steps'!$B$1:$U$1,D$1)</f>
        <v>0</v>
      </c>
      <c r="E111" s="179">
        <f>SUMIFS('recurring2_based on steps'!$B111:$AY111,'recurring2_based on steps'!$B$1:$AY$1,E$1)+SUMIFS('changes2_based on steps'!$B111:$U111,'changes2_based on steps'!$B$1:$U$1,E$1)</f>
        <v>0</v>
      </c>
      <c r="F111" s="179">
        <f>SUMIFS('recurring2_based on steps'!$B111:$AY111,'recurring2_based on steps'!$B$1:$AY$1,F$1)+SUMIFS('changes2_based on steps'!$B111:$U111,'changes2_based on steps'!$B$1:$U$1,F$1)</f>
        <v>0</v>
      </c>
      <c r="G111" s="179">
        <f>SUMIFS('recurring2_based on steps'!$B111:$AY111,'recurring2_based on steps'!$B$1:$AY$1,G$1)+SUMIFS('changes2_based on steps'!$B111:$U111,'changes2_based on steps'!$B$1:$U$1,G$1)</f>
        <v>0</v>
      </c>
      <c r="H111" s="179">
        <f>SUMIFS('recurring2_based on steps'!$B111:$AY111,'recurring2_based on steps'!$B$1:$AY$1,H$1)+SUMIFS('changes2_based on steps'!$B111:$U111,'changes2_based on steps'!$B$1:$U$1,H$1)</f>
        <v>0</v>
      </c>
      <c r="I111" s="179">
        <f>SUMIFS('recurring2_based on steps'!$B111:$AY111,'recurring2_based on steps'!$B$1:$AY$1,I$1)+SUMIFS('changes2_based on steps'!$B111:$U111,'changes2_based on steps'!$B$1:$U$1,I$1)</f>
        <v>0</v>
      </c>
      <c r="J111" s="179">
        <f>SUMIFS('recurring2_based on steps'!$B111:$AY111,'recurring2_based on steps'!$B$1:$AY$1,J$1)+SUMIFS('changes2_based on steps'!$B111:$U111,'changes2_based on steps'!$B$1:$U$1,J$1)</f>
        <v>0</v>
      </c>
      <c r="K111" s="179">
        <f>SUMIFS('recurring2_based on steps'!$B111:$AY111,'recurring2_based on steps'!$B$1:$AY$1,K$1)+SUMIFS('changes2_based on steps'!$B111:$U111,'changes2_based on steps'!$B$1:$U$1,K$1)</f>
        <v>0</v>
      </c>
      <c r="L111" s="179">
        <f>SUMIFS('recurring2_based on steps'!$B111:$AY111,'recurring2_based on steps'!$B$1:$AY$1,L$1)+SUMIFS('changes2_based on steps'!$B111:$U111,'changes2_based on steps'!$B$1:$U$1,L$1)</f>
        <v>0</v>
      </c>
      <c r="M111" s="179">
        <f>SUMIFS('recurring2_based on steps'!$B111:$AY111,'recurring2_based on steps'!$B$1:$AY$1,M$1)+SUMIFS('changes2_based on steps'!$B111:$U111,'changes2_based on steps'!$B$1:$U$1,M$1)</f>
        <v>0</v>
      </c>
      <c r="N111" s="179">
        <f>SUMIFS('recurring2_based on steps'!$B111:$AY111,'recurring2_based on steps'!$B$1:$AY$1,N$1)+SUMIFS('changes2_based on steps'!$B111:$U111,'changes2_based on steps'!$B$1:$U$1,N$1)</f>
        <v>0</v>
      </c>
      <c r="O111" s="179">
        <f>SUMIFS('recurring2_based on steps'!$B111:$AY111,'recurring2_based on steps'!$B$1:$AY$1,O$1)+SUMIFS('changes2_based on steps'!$B111:$U111,'changes2_based on steps'!$B$1:$U$1,O$1)</f>
        <v>0</v>
      </c>
      <c r="P111" s="179">
        <f>SUMIFS('recurring2_based on steps'!$B111:$AY111,'recurring2_based on steps'!$B$1:$AY$1,P$1)+SUMIFS('changes2_based on steps'!$B111:$U111,'changes2_based on steps'!$B$1:$U$1,P$1)</f>
        <v>0</v>
      </c>
      <c r="Q111" s="179">
        <f>SUMIFS('recurring2_based on steps'!$B111:$AY111,'recurring2_based on steps'!$B$1:$AY$1,Q$1)+SUMIFS('changes2_based on steps'!$B111:$U111,'changes2_based on steps'!$B$1:$U$1,Q$1)</f>
        <v>0</v>
      </c>
      <c r="R111" s="179">
        <f>SUMIFS('recurring2_based on steps'!$B111:$AY111,'recurring2_based on steps'!$B$1:$AY$1,R$1)+SUMIFS('changes2_based on steps'!$B111:$U111,'changes2_based on steps'!$B$1:$U$1,R$1)</f>
        <v>0</v>
      </c>
      <c r="S111" s="179">
        <f>SUMIFS('recurring2_based on steps'!$B111:$AY111,'recurring2_based on steps'!$B$1:$AY$1,S$1)+SUMIFS('changes2_based on steps'!$B111:$U111,'changes2_based on steps'!$B$1:$U$1,S$1)</f>
        <v>0</v>
      </c>
      <c r="T111" s="179">
        <f>SUMIFS('recurring2_based on steps'!$B111:$AY111,'recurring2_based on steps'!$B$1:$AY$1,T$1)+SUMIFS('changes2_based on steps'!$B111:$U111,'changes2_based on steps'!$B$1:$U$1,T$1)</f>
        <v>0</v>
      </c>
      <c r="U111" s="179">
        <f>SUMIFS('recurring2_based on steps'!$B111:$AY111,'recurring2_based on steps'!$B$1:$AY$1,U$1)+SUMIFS('changes2_based on steps'!$B111:$U111,'changes2_based on steps'!$B$1:$U$1,U$1)</f>
        <v>0</v>
      </c>
      <c r="V111" s="179">
        <f>SUMIFS('recurring2_based on steps'!$B111:$AY111,'recurring2_based on steps'!$B$1:$AY$1,V$1)+SUMIFS('changes2_based on steps'!$B111:$U111,'changes2_based on steps'!$B$1:$U$1,V$1)</f>
        <v>0</v>
      </c>
      <c r="W111" s="179">
        <f>SUMIFS('recurring2_based on steps'!$B111:$AY111,'recurring2_based on steps'!$B$1:$AY$1,W$1)+SUMIFS('changes2_based on steps'!$B111:$U111,'changes2_based on steps'!$B$1:$U$1,W$1)</f>
        <v>0</v>
      </c>
      <c r="X111" s="179">
        <f>SUMIFS('recurring2_based on steps'!$B111:$AY111,'recurring2_based on steps'!$B$1:$AY$1,X$1)+SUMIFS('changes2_based on steps'!$B111:$U111,'changes2_based on steps'!$B$1:$U$1,X$1)</f>
        <v>0</v>
      </c>
      <c r="Y111" s="179">
        <f>SUMIFS('recurring2_based on steps'!$B111:$AY111,'recurring2_based on steps'!$B$1:$AY$1,Y$1)+SUMIFS('changes2_based on steps'!$B111:$U111,'changes2_based on steps'!$B$1:$U$1,Y$1)</f>
        <v>0</v>
      </c>
      <c r="Z111" s="179">
        <f>SUMIFS('recurring2_based on steps'!$B111:$AY111,'recurring2_based on steps'!$B$1:$AY$1,Z$1)+SUMIFS('changes2_based on steps'!$B111:$U111,'changes2_based on steps'!$B$1:$U$1,Z$1)</f>
        <v>0</v>
      </c>
      <c r="AA111" s="179">
        <f>SUMIFS('recurring2_based on steps'!$B111:$AY111,'recurring2_based on steps'!$B$1:$AY$1,AA$1)+SUMIFS('changes2_based on steps'!$B111:$U111,'changes2_based on steps'!$B$1:$U$1,AA$1)</f>
        <v>0</v>
      </c>
      <c r="AB111" s="179">
        <f>SUMIFS('recurring2_based on steps'!$B111:$AY111,'recurring2_based on steps'!$B$1:$AY$1,AB$1)+SUMIFS('changes2_based on steps'!$B111:$U111,'changes2_based on steps'!$B$1:$U$1,AB$1)</f>
        <v>0</v>
      </c>
      <c r="AC111" s="179">
        <f>SUMIFS('recurring2_based on steps'!$B111:$AY111,'recurring2_based on steps'!$B$1:$AY$1,AC$1)+SUMIFS('changes2_based on steps'!$B111:$U111,'changes2_based on steps'!$B$1:$U$1,AC$1)</f>
        <v>0</v>
      </c>
      <c r="AD111" s="179">
        <f>SUMIFS('recurring2_based on steps'!$B111:$AY111,'recurring2_based on steps'!$B$1:$AY$1,AD$1)+SUMIFS('changes2_based on steps'!$B111:$U111,'changes2_based on steps'!$B$1:$U$1,AD$1)</f>
        <v>0</v>
      </c>
      <c r="AE111" s="179">
        <f>SUMIFS('recurring2_based on steps'!$B111:$AY111,'recurring2_based on steps'!$B$1:$AY$1,AE$1)+SUMIFS('changes2_based on steps'!$B111:$U111,'changes2_based on steps'!$B$1:$U$1,AE$1)</f>
        <v>0</v>
      </c>
      <c r="AF111" s="179"/>
      <c r="AG111" s="179"/>
      <c r="AH111" s="179"/>
      <c r="AI111" s="179"/>
      <c r="AJ111" s="179"/>
      <c r="AK111" s="179"/>
      <c r="AL111" s="179"/>
      <c r="AM111" s="179"/>
    </row>
    <row r="112" spans="1:39" x14ac:dyDescent="0.2">
      <c r="A112" s="32">
        <f t="shared" ca="1" si="1"/>
        <v>45854</v>
      </c>
      <c r="B112" s="179">
        <f>SUMIFS('recurring2_based on steps'!$B112:$AY112,'recurring2_based on steps'!$B$1:$AY$1,B$1)+SUMIFS('changes2_based on steps'!$B112:$U112,'changes2_based on steps'!$B$1:$U$1,B$1)</f>
        <v>0</v>
      </c>
      <c r="C112" s="179">
        <f>SUMIFS('recurring2_based on steps'!$B112:$AY112,'recurring2_based on steps'!$B$1:$AY$1,C$1)+SUMIFS('changes2_based on steps'!$B112:$U112,'changes2_based on steps'!$B$1:$U$1,C$1)</f>
        <v>0</v>
      </c>
      <c r="D112" s="179">
        <f>SUMIFS('recurring2_based on steps'!$B112:$AY112,'recurring2_based on steps'!$B$1:$AY$1,D$1)+SUMIFS('changes2_based on steps'!$B112:$U112,'changes2_based on steps'!$B$1:$U$1,D$1)</f>
        <v>0</v>
      </c>
      <c r="E112" s="179">
        <f>SUMIFS('recurring2_based on steps'!$B112:$AY112,'recurring2_based on steps'!$B$1:$AY$1,E$1)+SUMIFS('changes2_based on steps'!$B112:$U112,'changes2_based on steps'!$B$1:$U$1,E$1)</f>
        <v>0</v>
      </c>
      <c r="F112" s="179">
        <f>SUMIFS('recurring2_based on steps'!$B112:$AY112,'recurring2_based on steps'!$B$1:$AY$1,F$1)+SUMIFS('changes2_based on steps'!$B112:$U112,'changes2_based on steps'!$B$1:$U$1,F$1)</f>
        <v>0</v>
      </c>
      <c r="G112" s="179">
        <f>SUMIFS('recurring2_based on steps'!$B112:$AY112,'recurring2_based on steps'!$B$1:$AY$1,G$1)+SUMIFS('changes2_based on steps'!$B112:$U112,'changes2_based on steps'!$B$1:$U$1,G$1)</f>
        <v>0</v>
      </c>
      <c r="H112" s="179">
        <f>SUMIFS('recurring2_based on steps'!$B112:$AY112,'recurring2_based on steps'!$B$1:$AY$1,H$1)+SUMIFS('changes2_based on steps'!$B112:$U112,'changes2_based on steps'!$B$1:$U$1,H$1)</f>
        <v>0</v>
      </c>
      <c r="I112" s="179">
        <f>SUMIFS('recurring2_based on steps'!$B112:$AY112,'recurring2_based on steps'!$B$1:$AY$1,I$1)+SUMIFS('changes2_based on steps'!$B112:$U112,'changes2_based on steps'!$B$1:$U$1,I$1)</f>
        <v>0</v>
      </c>
      <c r="J112" s="179">
        <f>SUMIFS('recurring2_based on steps'!$B112:$AY112,'recurring2_based on steps'!$B$1:$AY$1,J$1)+SUMIFS('changes2_based on steps'!$B112:$U112,'changes2_based on steps'!$B$1:$U$1,J$1)</f>
        <v>0</v>
      </c>
      <c r="K112" s="179">
        <f>SUMIFS('recurring2_based on steps'!$B112:$AY112,'recurring2_based on steps'!$B$1:$AY$1,K$1)+SUMIFS('changes2_based on steps'!$B112:$U112,'changes2_based on steps'!$B$1:$U$1,K$1)</f>
        <v>0</v>
      </c>
      <c r="L112" s="179">
        <f>SUMIFS('recurring2_based on steps'!$B112:$AY112,'recurring2_based on steps'!$B$1:$AY$1,L$1)+SUMIFS('changes2_based on steps'!$B112:$U112,'changes2_based on steps'!$B$1:$U$1,L$1)</f>
        <v>0</v>
      </c>
      <c r="M112" s="179">
        <f>SUMIFS('recurring2_based on steps'!$B112:$AY112,'recurring2_based on steps'!$B$1:$AY$1,M$1)+SUMIFS('changes2_based on steps'!$B112:$U112,'changes2_based on steps'!$B$1:$U$1,M$1)</f>
        <v>0</v>
      </c>
      <c r="N112" s="179">
        <f>SUMIFS('recurring2_based on steps'!$B112:$AY112,'recurring2_based on steps'!$B$1:$AY$1,N$1)+SUMIFS('changes2_based on steps'!$B112:$U112,'changes2_based on steps'!$B$1:$U$1,N$1)</f>
        <v>0</v>
      </c>
      <c r="O112" s="179">
        <f>SUMIFS('recurring2_based on steps'!$B112:$AY112,'recurring2_based on steps'!$B$1:$AY$1,O$1)+SUMIFS('changes2_based on steps'!$B112:$U112,'changes2_based on steps'!$B$1:$U$1,O$1)</f>
        <v>0</v>
      </c>
      <c r="P112" s="179">
        <f>SUMIFS('recurring2_based on steps'!$B112:$AY112,'recurring2_based on steps'!$B$1:$AY$1,P$1)+SUMIFS('changes2_based on steps'!$B112:$U112,'changes2_based on steps'!$B$1:$U$1,P$1)</f>
        <v>0</v>
      </c>
      <c r="Q112" s="179">
        <f>SUMIFS('recurring2_based on steps'!$B112:$AY112,'recurring2_based on steps'!$B$1:$AY$1,Q$1)+SUMIFS('changes2_based on steps'!$B112:$U112,'changes2_based on steps'!$B$1:$U$1,Q$1)</f>
        <v>0</v>
      </c>
      <c r="R112" s="179">
        <f>SUMIFS('recurring2_based on steps'!$B112:$AY112,'recurring2_based on steps'!$B$1:$AY$1,R$1)+SUMIFS('changes2_based on steps'!$B112:$U112,'changes2_based on steps'!$B$1:$U$1,R$1)</f>
        <v>0</v>
      </c>
      <c r="S112" s="179">
        <f>SUMIFS('recurring2_based on steps'!$B112:$AY112,'recurring2_based on steps'!$B$1:$AY$1,S$1)+SUMIFS('changes2_based on steps'!$B112:$U112,'changes2_based on steps'!$B$1:$U$1,S$1)</f>
        <v>0</v>
      </c>
      <c r="T112" s="179">
        <f>SUMIFS('recurring2_based on steps'!$B112:$AY112,'recurring2_based on steps'!$B$1:$AY$1,T$1)+SUMIFS('changes2_based on steps'!$B112:$U112,'changes2_based on steps'!$B$1:$U$1,T$1)</f>
        <v>0</v>
      </c>
      <c r="U112" s="179">
        <f>SUMIFS('recurring2_based on steps'!$B112:$AY112,'recurring2_based on steps'!$B$1:$AY$1,U$1)+SUMIFS('changes2_based on steps'!$B112:$U112,'changes2_based on steps'!$B$1:$U$1,U$1)</f>
        <v>0</v>
      </c>
      <c r="V112" s="179">
        <f>SUMIFS('recurring2_based on steps'!$B112:$AY112,'recurring2_based on steps'!$B$1:$AY$1,V$1)+SUMIFS('changes2_based on steps'!$B112:$U112,'changes2_based on steps'!$B$1:$U$1,V$1)</f>
        <v>0</v>
      </c>
      <c r="W112" s="179">
        <f>SUMIFS('recurring2_based on steps'!$B112:$AY112,'recurring2_based on steps'!$B$1:$AY$1,W$1)+SUMIFS('changes2_based on steps'!$B112:$U112,'changes2_based on steps'!$B$1:$U$1,W$1)</f>
        <v>0</v>
      </c>
      <c r="X112" s="179">
        <f>SUMIFS('recurring2_based on steps'!$B112:$AY112,'recurring2_based on steps'!$B$1:$AY$1,X$1)+SUMIFS('changes2_based on steps'!$B112:$U112,'changes2_based on steps'!$B$1:$U$1,X$1)</f>
        <v>0</v>
      </c>
      <c r="Y112" s="179">
        <f>SUMIFS('recurring2_based on steps'!$B112:$AY112,'recurring2_based on steps'!$B$1:$AY$1,Y$1)+SUMIFS('changes2_based on steps'!$B112:$U112,'changes2_based on steps'!$B$1:$U$1,Y$1)</f>
        <v>0</v>
      </c>
      <c r="Z112" s="179">
        <f>SUMIFS('recurring2_based on steps'!$B112:$AY112,'recurring2_based on steps'!$B$1:$AY$1,Z$1)+SUMIFS('changes2_based on steps'!$B112:$U112,'changes2_based on steps'!$B$1:$U$1,Z$1)</f>
        <v>0</v>
      </c>
      <c r="AA112" s="179">
        <f>SUMIFS('recurring2_based on steps'!$B112:$AY112,'recurring2_based on steps'!$B$1:$AY$1,AA$1)+SUMIFS('changes2_based on steps'!$B112:$U112,'changes2_based on steps'!$B$1:$U$1,AA$1)</f>
        <v>0</v>
      </c>
      <c r="AB112" s="179">
        <f>SUMIFS('recurring2_based on steps'!$B112:$AY112,'recurring2_based on steps'!$B$1:$AY$1,AB$1)+SUMIFS('changes2_based on steps'!$B112:$U112,'changes2_based on steps'!$B$1:$U$1,AB$1)</f>
        <v>0</v>
      </c>
      <c r="AC112" s="179">
        <f>SUMIFS('recurring2_based on steps'!$B112:$AY112,'recurring2_based on steps'!$B$1:$AY$1,AC$1)+SUMIFS('changes2_based on steps'!$B112:$U112,'changes2_based on steps'!$B$1:$U$1,AC$1)</f>
        <v>0</v>
      </c>
      <c r="AD112" s="179">
        <f>SUMIFS('recurring2_based on steps'!$B112:$AY112,'recurring2_based on steps'!$B$1:$AY$1,AD$1)+SUMIFS('changes2_based on steps'!$B112:$U112,'changes2_based on steps'!$B$1:$U$1,AD$1)</f>
        <v>0</v>
      </c>
      <c r="AE112" s="179">
        <f>SUMIFS('recurring2_based on steps'!$B112:$AY112,'recurring2_based on steps'!$B$1:$AY$1,AE$1)+SUMIFS('changes2_based on steps'!$B112:$U112,'changes2_based on steps'!$B$1:$U$1,AE$1)</f>
        <v>0</v>
      </c>
      <c r="AF112" s="179"/>
      <c r="AG112" s="179"/>
      <c r="AH112" s="179"/>
      <c r="AI112" s="179"/>
      <c r="AJ112" s="179"/>
      <c r="AK112" s="179"/>
      <c r="AL112" s="179"/>
      <c r="AM112" s="179"/>
    </row>
    <row r="113" spans="1:39" x14ac:dyDescent="0.2">
      <c r="A113" s="32">
        <f t="shared" ca="1" si="1"/>
        <v>45855</v>
      </c>
      <c r="B113" s="179">
        <f>SUMIFS('recurring2_based on steps'!$B113:$AY113,'recurring2_based on steps'!$B$1:$AY$1,B$1)+SUMIFS('changes2_based on steps'!$B113:$U113,'changes2_based on steps'!$B$1:$U$1,B$1)</f>
        <v>0</v>
      </c>
      <c r="C113" s="179">
        <f>SUMIFS('recurring2_based on steps'!$B113:$AY113,'recurring2_based on steps'!$B$1:$AY$1,C$1)+SUMIFS('changes2_based on steps'!$B113:$U113,'changes2_based on steps'!$B$1:$U$1,C$1)</f>
        <v>0</v>
      </c>
      <c r="D113" s="179">
        <f>SUMIFS('recurring2_based on steps'!$B113:$AY113,'recurring2_based on steps'!$B$1:$AY$1,D$1)+SUMIFS('changes2_based on steps'!$B113:$U113,'changes2_based on steps'!$B$1:$U$1,D$1)</f>
        <v>0</v>
      </c>
      <c r="E113" s="179">
        <f>SUMIFS('recurring2_based on steps'!$B113:$AY113,'recurring2_based on steps'!$B$1:$AY$1,E$1)+SUMIFS('changes2_based on steps'!$B113:$U113,'changes2_based on steps'!$B$1:$U$1,E$1)</f>
        <v>0</v>
      </c>
      <c r="F113" s="179">
        <f>SUMIFS('recurring2_based on steps'!$B113:$AY113,'recurring2_based on steps'!$B$1:$AY$1,F$1)+SUMIFS('changes2_based on steps'!$B113:$U113,'changes2_based on steps'!$B$1:$U$1,F$1)</f>
        <v>0</v>
      </c>
      <c r="G113" s="179">
        <f>SUMIFS('recurring2_based on steps'!$B113:$AY113,'recurring2_based on steps'!$B$1:$AY$1,G$1)+SUMIFS('changes2_based on steps'!$B113:$U113,'changes2_based on steps'!$B$1:$U$1,G$1)</f>
        <v>0</v>
      </c>
      <c r="H113" s="179">
        <f>SUMIFS('recurring2_based on steps'!$B113:$AY113,'recurring2_based on steps'!$B$1:$AY$1,H$1)+SUMIFS('changes2_based on steps'!$B113:$U113,'changes2_based on steps'!$B$1:$U$1,H$1)</f>
        <v>0</v>
      </c>
      <c r="I113" s="179">
        <f>SUMIFS('recurring2_based on steps'!$B113:$AY113,'recurring2_based on steps'!$B$1:$AY$1,I$1)+SUMIFS('changes2_based on steps'!$B113:$U113,'changes2_based on steps'!$B$1:$U$1,I$1)</f>
        <v>0</v>
      </c>
      <c r="J113" s="179">
        <f>SUMIFS('recurring2_based on steps'!$B113:$AY113,'recurring2_based on steps'!$B$1:$AY$1,J$1)+SUMIFS('changes2_based on steps'!$B113:$U113,'changes2_based on steps'!$B$1:$U$1,J$1)</f>
        <v>0</v>
      </c>
      <c r="K113" s="179">
        <f>SUMIFS('recurring2_based on steps'!$B113:$AY113,'recurring2_based on steps'!$B$1:$AY$1,K$1)+SUMIFS('changes2_based on steps'!$B113:$U113,'changes2_based on steps'!$B$1:$U$1,K$1)</f>
        <v>0</v>
      </c>
      <c r="L113" s="179">
        <f>SUMIFS('recurring2_based on steps'!$B113:$AY113,'recurring2_based on steps'!$B$1:$AY$1,L$1)+SUMIFS('changes2_based on steps'!$B113:$U113,'changes2_based on steps'!$B$1:$U$1,L$1)</f>
        <v>0</v>
      </c>
      <c r="M113" s="179">
        <f>SUMIFS('recurring2_based on steps'!$B113:$AY113,'recurring2_based on steps'!$B$1:$AY$1,M$1)+SUMIFS('changes2_based on steps'!$B113:$U113,'changes2_based on steps'!$B$1:$U$1,M$1)</f>
        <v>0</v>
      </c>
      <c r="N113" s="179">
        <f>SUMIFS('recurring2_based on steps'!$B113:$AY113,'recurring2_based on steps'!$B$1:$AY$1,N$1)+SUMIFS('changes2_based on steps'!$B113:$U113,'changes2_based on steps'!$B$1:$U$1,N$1)</f>
        <v>0</v>
      </c>
      <c r="O113" s="179">
        <f>SUMIFS('recurring2_based on steps'!$B113:$AY113,'recurring2_based on steps'!$B$1:$AY$1,O$1)+SUMIFS('changes2_based on steps'!$B113:$U113,'changes2_based on steps'!$B$1:$U$1,O$1)</f>
        <v>0</v>
      </c>
      <c r="P113" s="179">
        <f>SUMIFS('recurring2_based on steps'!$B113:$AY113,'recurring2_based on steps'!$B$1:$AY$1,P$1)+SUMIFS('changes2_based on steps'!$B113:$U113,'changes2_based on steps'!$B$1:$U$1,P$1)</f>
        <v>0</v>
      </c>
      <c r="Q113" s="179">
        <f>SUMIFS('recurring2_based on steps'!$B113:$AY113,'recurring2_based on steps'!$B$1:$AY$1,Q$1)+SUMIFS('changes2_based on steps'!$B113:$U113,'changes2_based on steps'!$B$1:$U$1,Q$1)</f>
        <v>0</v>
      </c>
      <c r="R113" s="179">
        <f>SUMIFS('recurring2_based on steps'!$B113:$AY113,'recurring2_based on steps'!$B$1:$AY$1,R$1)+SUMIFS('changes2_based on steps'!$B113:$U113,'changes2_based on steps'!$B$1:$U$1,R$1)</f>
        <v>0</v>
      </c>
      <c r="S113" s="179">
        <f>SUMIFS('recurring2_based on steps'!$B113:$AY113,'recurring2_based on steps'!$B$1:$AY$1,S$1)+SUMIFS('changes2_based on steps'!$B113:$U113,'changes2_based on steps'!$B$1:$U$1,S$1)</f>
        <v>0</v>
      </c>
      <c r="T113" s="179">
        <f>SUMIFS('recurring2_based on steps'!$B113:$AY113,'recurring2_based on steps'!$B$1:$AY$1,T$1)+SUMIFS('changes2_based on steps'!$B113:$U113,'changes2_based on steps'!$B$1:$U$1,T$1)</f>
        <v>0</v>
      </c>
      <c r="U113" s="179">
        <f>SUMIFS('recurring2_based on steps'!$B113:$AY113,'recurring2_based on steps'!$B$1:$AY$1,U$1)+SUMIFS('changes2_based on steps'!$B113:$U113,'changes2_based on steps'!$B$1:$U$1,U$1)</f>
        <v>0</v>
      </c>
      <c r="V113" s="179">
        <f>SUMIFS('recurring2_based on steps'!$B113:$AY113,'recurring2_based on steps'!$B$1:$AY$1,V$1)+SUMIFS('changes2_based on steps'!$B113:$U113,'changes2_based on steps'!$B$1:$U$1,V$1)</f>
        <v>0</v>
      </c>
      <c r="W113" s="179">
        <f>SUMIFS('recurring2_based on steps'!$B113:$AY113,'recurring2_based on steps'!$B$1:$AY$1,W$1)+SUMIFS('changes2_based on steps'!$B113:$U113,'changes2_based on steps'!$B$1:$U$1,W$1)</f>
        <v>0</v>
      </c>
      <c r="X113" s="179">
        <f>SUMIFS('recurring2_based on steps'!$B113:$AY113,'recurring2_based on steps'!$B$1:$AY$1,X$1)+SUMIFS('changes2_based on steps'!$B113:$U113,'changes2_based on steps'!$B$1:$U$1,X$1)</f>
        <v>0</v>
      </c>
      <c r="Y113" s="179">
        <f>SUMIFS('recurring2_based on steps'!$B113:$AY113,'recurring2_based on steps'!$B$1:$AY$1,Y$1)+SUMIFS('changes2_based on steps'!$B113:$U113,'changes2_based on steps'!$B$1:$U$1,Y$1)</f>
        <v>0</v>
      </c>
      <c r="Z113" s="179">
        <f>SUMIFS('recurring2_based on steps'!$B113:$AY113,'recurring2_based on steps'!$B$1:$AY$1,Z$1)+SUMIFS('changes2_based on steps'!$B113:$U113,'changes2_based on steps'!$B$1:$U$1,Z$1)</f>
        <v>0</v>
      </c>
      <c r="AA113" s="179">
        <f>SUMIFS('recurring2_based on steps'!$B113:$AY113,'recurring2_based on steps'!$B$1:$AY$1,AA$1)+SUMIFS('changes2_based on steps'!$B113:$U113,'changes2_based on steps'!$B$1:$U$1,AA$1)</f>
        <v>0</v>
      </c>
      <c r="AB113" s="179">
        <f>SUMIFS('recurring2_based on steps'!$B113:$AY113,'recurring2_based on steps'!$B$1:$AY$1,AB$1)+SUMIFS('changes2_based on steps'!$B113:$U113,'changes2_based on steps'!$B$1:$U$1,AB$1)</f>
        <v>0</v>
      </c>
      <c r="AC113" s="179">
        <f>SUMIFS('recurring2_based on steps'!$B113:$AY113,'recurring2_based on steps'!$B$1:$AY$1,AC$1)+SUMIFS('changes2_based on steps'!$B113:$U113,'changes2_based on steps'!$B$1:$U$1,AC$1)</f>
        <v>0</v>
      </c>
      <c r="AD113" s="179">
        <f>SUMIFS('recurring2_based on steps'!$B113:$AY113,'recurring2_based on steps'!$B$1:$AY$1,AD$1)+SUMIFS('changes2_based on steps'!$B113:$U113,'changes2_based on steps'!$B$1:$U$1,AD$1)</f>
        <v>0</v>
      </c>
      <c r="AE113" s="179">
        <f>SUMIFS('recurring2_based on steps'!$B113:$AY113,'recurring2_based on steps'!$B$1:$AY$1,AE$1)+SUMIFS('changes2_based on steps'!$B113:$U113,'changes2_based on steps'!$B$1:$U$1,AE$1)</f>
        <v>0</v>
      </c>
      <c r="AF113" s="179"/>
      <c r="AG113" s="179"/>
      <c r="AH113" s="179"/>
      <c r="AI113" s="179"/>
      <c r="AJ113" s="179"/>
      <c r="AK113" s="179"/>
      <c r="AL113" s="179"/>
      <c r="AM113" s="179"/>
    </row>
    <row r="114" spans="1:39" x14ac:dyDescent="0.2">
      <c r="A114" s="32">
        <f t="shared" ca="1" si="1"/>
        <v>45856</v>
      </c>
      <c r="B114" s="179">
        <f>SUMIFS('recurring2_based on steps'!$B114:$AY114,'recurring2_based on steps'!$B$1:$AY$1,B$1)+SUMIFS('changes2_based on steps'!$B114:$U114,'changes2_based on steps'!$B$1:$U$1,B$1)</f>
        <v>0</v>
      </c>
      <c r="C114" s="179">
        <f>SUMIFS('recurring2_based on steps'!$B114:$AY114,'recurring2_based on steps'!$B$1:$AY$1,C$1)+SUMIFS('changes2_based on steps'!$B114:$U114,'changes2_based on steps'!$B$1:$U$1,C$1)</f>
        <v>0</v>
      </c>
      <c r="D114" s="179">
        <f>SUMIFS('recurring2_based on steps'!$B114:$AY114,'recurring2_based on steps'!$B$1:$AY$1,D$1)+SUMIFS('changes2_based on steps'!$B114:$U114,'changes2_based on steps'!$B$1:$U$1,D$1)</f>
        <v>0</v>
      </c>
      <c r="E114" s="179">
        <f>SUMIFS('recurring2_based on steps'!$B114:$AY114,'recurring2_based on steps'!$B$1:$AY$1,E$1)+SUMIFS('changes2_based on steps'!$B114:$U114,'changes2_based on steps'!$B$1:$U$1,E$1)</f>
        <v>0</v>
      </c>
      <c r="F114" s="179">
        <f>SUMIFS('recurring2_based on steps'!$B114:$AY114,'recurring2_based on steps'!$B$1:$AY$1,F$1)+SUMIFS('changes2_based on steps'!$B114:$U114,'changes2_based on steps'!$B$1:$U$1,F$1)</f>
        <v>0</v>
      </c>
      <c r="G114" s="179">
        <f>SUMIFS('recurring2_based on steps'!$B114:$AY114,'recurring2_based on steps'!$B$1:$AY$1,G$1)+SUMIFS('changes2_based on steps'!$B114:$U114,'changes2_based on steps'!$B$1:$U$1,G$1)</f>
        <v>0</v>
      </c>
      <c r="H114" s="179">
        <f>SUMIFS('recurring2_based on steps'!$B114:$AY114,'recurring2_based on steps'!$B$1:$AY$1,H$1)+SUMIFS('changes2_based on steps'!$B114:$U114,'changes2_based on steps'!$B$1:$U$1,H$1)</f>
        <v>0</v>
      </c>
      <c r="I114" s="179">
        <f>SUMIFS('recurring2_based on steps'!$B114:$AY114,'recurring2_based on steps'!$B$1:$AY$1,I$1)+SUMIFS('changes2_based on steps'!$B114:$U114,'changes2_based on steps'!$B$1:$U$1,I$1)</f>
        <v>0</v>
      </c>
      <c r="J114" s="179">
        <f>SUMIFS('recurring2_based on steps'!$B114:$AY114,'recurring2_based on steps'!$B$1:$AY$1,J$1)+SUMIFS('changes2_based on steps'!$B114:$U114,'changes2_based on steps'!$B$1:$U$1,J$1)</f>
        <v>0</v>
      </c>
      <c r="K114" s="179">
        <f>SUMIFS('recurring2_based on steps'!$B114:$AY114,'recurring2_based on steps'!$B$1:$AY$1,K$1)+SUMIFS('changes2_based on steps'!$B114:$U114,'changes2_based on steps'!$B$1:$U$1,K$1)</f>
        <v>0</v>
      </c>
      <c r="L114" s="179">
        <f>SUMIFS('recurring2_based on steps'!$B114:$AY114,'recurring2_based on steps'!$B$1:$AY$1,L$1)+SUMIFS('changes2_based on steps'!$B114:$U114,'changes2_based on steps'!$B$1:$U$1,L$1)</f>
        <v>0</v>
      </c>
      <c r="M114" s="179">
        <f>SUMIFS('recurring2_based on steps'!$B114:$AY114,'recurring2_based on steps'!$B$1:$AY$1,M$1)+SUMIFS('changes2_based on steps'!$B114:$U114,'changes2_based on steps'!$B$1:$U$1,M$1)</f>
        <v>0</v>
      </c>
      <c r="N114" s="179">
        <f>SUMIFS('recurring2_based on steps'!$B114:$AY114,'recurring2_based on steps'!$B$1:$AY$1,N$1)+SUMIFS('changes2_based on steps'!$B114:$U114,'changes2_based on steps'!$B$1:$U$1,N$1)</f>
        <v>0</v>
      </c>
      <c r="O114" s="179">
        <f>SUMIFS('recurring2_based on steps'!$B114:$AY114,'recurring2_based on steps'!$B$1:$AY$1,O$1)+SUMIFS('changes2_based on steps'!$B114:$U114,'changes2_based on steps'!$B$1:$U$1,O$1)</f>
        <v>0</v>
      </c>
      <c r="P114" s="179">
        <f>SUMIFS('recurring2_based on steps'!$B114:$AY114,'recurring2_based on steps'!$B$1:$AY$1,P$1)+SUMIFS('changes2_based on steps'!$B114:$U114,'changes2_based on steps'!$B$1:$U$1,P$1)</f>
        <v>0</v>
      </c>
      <c r="Q114" s="179">
        <f>SUMIFS('recurring2_based on steps'!$B114:$AY114,'recurring2_based on steps'!$B$1:$AY$1,Q$1)+SUMIFS('changes2_based on steps'!$B114:$U114,'changes2_based on steps'!$B$1:$U$1,Q$1)</f>
        <v>0</v>
      </c>
      <c r="R114" s="179">
        <f>SUMIFS('recurring2_based on steps'!$B114:$AY114,'recurring2_based on steps'!$B$1:$AY$1,R$1)+SUMIFS('changes2_based on steps'!$B114:$U114,'changes2_based on steps'!$B$1:$U$1,R$1)</f>
        <v>0</v>
      </c>
      <c r="S114" s="179">
        <f>SUMIFS('recurring2_based on steps'!$B114:$AY114,'recurring2_based on steps'!$B$1:$AY$1,S$1)+SUMIFS('changes2_based on steps'!$B114:$U114,'changes2_based on steps'!$B$1:$U$1,S$1)</f>
        <v>0</v>
      </c>
      <c r="T114" s="179">
        <f>SUMIFS('recurring2_based on steps'!$B114:$AY114,'recurring2_based on steps'!$B$1:$AY$1,T$1)+SUMIFS('changes2_based on steps'!$B114:$U114,'changes2_based on steps'!$B$1:$U$1,T$1)</f>
        <v>0</v>
      </c>
      <c r="U114" s="179">
        <f>SUMIFS('recurring2_based on steps'!$B114:$AY114,'recurring2_based on steps'!$B$1:$AY$1,U$1)+SUMIFS('changes2_based on steps'!$B114:$U114,'changes2_based on steps'!$B$1:$U$1,U$1)</f>
        <v>0</v>
      </c>
      <c r="V114" s="179">
        <f>SUMIFS('recurring2_based on steps'!$B114:$AY114,'recurring2_based on steps'!$B$1:$AY$1,V$1)+SUMIFS('changes2_based on steps'!$B114:$U114,'changes2_based on steps'!$B$1:$U$1,V$1)</f>
        <v>0</v>
      </c>
      <c r="W114" s="179">
        <f>SUMIFS('recurring2_based on steps'!$B114:$AY114,'recurring2_based on steps'!$B$1:$AY$1,W$1)+SUMIFS('changes2_based on steps'!$B114:$U114,'changes2_based on steps'!$B$1:$U$1,W$1)</f>
        <v>0</v>
      </c>
      <c r="X114" s="179">
        <f>SUMIFS('recurring2_based on steps'!$B114:$AY114,'recurring2_based on steps'!$B$1:$AY$1,X$1)+SUMIFS('changes2_based on steps'!$B114:$U114,'changes2_based on steps'!$B$1:$U$1,X$1)</f>
        <v>0</v>
      </c>
      <c r="Y114" s="179">
        <f>SUMIFS('recurring2_based on steps'!$B114:$AY114,'recurring2_based on steps'!$B$1:$AY$1,Y$1)+SUMIFS('changes2_based on steps'!$B114:$U114,'changes2_based on steps'!$B$1:$U$1,Y$1)</f>
        <v>0</v>
      </c>
      <c r="Z114" s="179">
        <f>SUMIFS('recurring2_based on steps'!$B114:$AY114,'recurring2_based on steps'!$B$1:$AY$1,Z$1)+SUMIFS('changes2_based on steps'!$B114:$U114,'changes2_based on steps'!$B$1:$U$1,Z$1)</f>
        <v>0</v>
      </c>
      <c r="AA114" s="179">
        <f>SUMIFS('recurring2_based on steps'!$B114:$AY114,'recurring2_based on steps'!$B$1:$AY$1,AA$1)+SUMIFS('changes2_based on steps'!$B114:$U114,'changes2_based on steps'!$B$1:$U$1,AA$1)</f>
        <v>0</v>
      </c>
      <c r="AB114" s="179">
        <f>SUMIFS('recurring2_based on steps'!$B114:$AY114,'recurring2_based on steps'!$B$1:$AY$1,AB$1)+SUMIFS('changes2_based on steps'!$B114:$U114,'changes2_based on steps'!$B$1:$U$1,AB$1)</f>
        <v>0</v>
      </c>
      <c r="AC114" s="179">
        <f>SUMIFS('recurring2_based on steps'!$B114:$AY114,'recurring2_based on steps'!$B$1:$AY$1,AC$1)+SUMIFS('changes2_based on steps'!$B114:$U114,'changes2_based on steps'!$B$1:$U$1,AC$1)</f>
        <v>0</v>
      </c>
      <c r="AD114" s="179">
        <f>SUMIFS('recurring2_based on steps'!$B114:$AY114,'recurring2_based on steps'!$B$1:$AY$1,AD$1)+SUMIFS('changes2_based on steps'!$B114:$U114,'changes2_based on steps'!$B$1:$U$1,AD$1)</f>
        <v>0</v>
      </c>
      <c r="AE114" s="179">
        <f>SUMIFS('recurring2_based on steps'!$B114:$AY114,'recurring2_based on steps'!$B$1:$AY$1,AE$1)+SUMIFS('changes2_based on steps'!$B114:$U114,'changes2_based on steps'!$B$1:$U$1,AE$1)</f>
        <v>0</v>
      </c>
      <c r="AF114" s="179"/>
      <c r="AG114" s="179"/>
      <c r="AH114" s="179"/>
      <c r="AI114" s="179"/>
      <c r="AJ114" s="179"/>
      <c r="AK114" s="179"/>
      <c r="AL114" s="179"/>
      <c r="AM114" s="179"/>
    </row>
    <row r="115" spans="1:39" x14ac:dyDescent="0.2">
      <c r="A115" s="32">
        <f t="shared" ca="1" si="1"/>
        <v>45857</v>
      </c>
      <c r="B115" s="179">
        <f>SUMIFS('recurring2_based on steps'!$B115:$AY115,'recurring2_based on steps'!$B$1:$AY$1,B$1)+SUMIFS('changes2_based on steps'!$B115:$U115,'changes2_based on steps'!$B$1:$U$1,B$1)</f>
        <v>0</v>
      </c>
      <c r="C115" s="179">
        <f>SUMIFS('recurring2_based on steps'!$B115:$AY115,'recurring2_based on steps'!$B$1:$AY$1,C$1)+SUMIFS('changes2_based on steps'!$B115:$U115,'changes2_based on steps'!$B$1:$U$1,C$1)</f>
        <v>0</v>
      </c>
      <c r="D115" s="179">
        <f>SUMIFS('recurring2_based on steps'!$B115:$AY115,'recurring2_based on steps'!$B$1:$AY$1,D$1)+SUMIFS('changes2_based on steps'!$B115:$U115,'changes2_based on steps'!$B$1:$U$1,D$1)</f>
        <v>0</v>
      </c>
      <c r="E115" s="179">
        <f>SUMIFS('recurring2_based on steps'!$B115:$AY115,'recurring2_based on steps'!$B$1:$AY$1,E$1)+SUMIFS('changes2_based on steps'!$B115:$U115,'changes2_based on steps'!$B$1:$U$1,E$1)</f>
        <v>0</v>
      </c>
      <c r="F115" s="179">
        <f>SUMIFS('recurring2_based on steps'!$B115:$AY115,'recurring2_based on steps'!$B$1:$AY$1,F$1)+SUMIFS('changes2_based on steps'!$B115:$U115,'changes2_based on steps'!$B$1:$U$1,F$1)</f>
        <v>0</v>
      </c>
      <c r="G115" s="179">
        <f>SUMIFS('recurring2_based on steps'!$B115:$AY115,'recurring2_based on steps'!$B$1:$AY$1,G$1)+SUMIFS('changes2_based on steps'!$B115:$U115,'changes2_based on steps'!$B$1:$U$1,G$1)</f>
        <v>0</v>
      </c>
      <c r="H115" s="179">
        <f>SUMIFS('recurring2_based on steps'!$B115:$AY115,'recurring2_based on steps'!$B$1:$AY$1,H$1)+SUMIFS('changes2_based on steps'!$B115:$U115,'changes2_based on steps'!$B$1:$U$1,H$1)</f>
        <v>0</v>
      </c>
      <c r="I115" s="179">
        <f>SUMIFS('recurring2_based on steps'!$B115:$AY115,'recurring2_based on steps'!$B$1:$AY$1,I$1)+SUMIFS('changes2_based on steps'!$B115:$U115,'changes2_based on steps'!$B$1:$U$1,I$1)</f>
        <v>0</v>
      </c>
      <c r="J115" s="179">
        <f>SUMIFS('recurring2_based on steps'!$B115:$AY115,'recurring2_based on steps'!$B$1:$AY$1,J$1)+SUMIFS('changes2_based on steps'!$B115:$U115,'changes2_based on steps'!$B$1:$U$1,J$1)</f>
        <v>0</v>
      </c>
      <c r="K115" s="179">
        <f>SUMIFS('recurring2_based on steps'!$B115:$AY115,'recurring2_based on steps'!$B$1:$AY$1,K$1)+SUMIFS('changes2_based on steps'!$B115:$U115,'changes2_based on steps'!$B$1:$U$1,K$1)</f>
        <v>0</v>
      </c>
      <c r="L115" s="179">
        <f>SUMIFS('recurring2_based on steps'!$B115:$AY115,'recurring2_based on steps'!$B$1:$AY$1,L$1)+SUMIFS('changes2_based on steps'!$B115:$U115,'changes2_based on steps'!$B$1:$U$1,L$1)</f>
        <v>0</v>
      </c>
      <c r="M115" s="179">
        <f>SUMIFS('recurring2_based on steps'!$B115:$AY115,'recurring2_based on steps'!$B$1:$AY$1,M$1)+SUMIFS('changes2_based on steps'!$B115:$U115,'changes2_based on steps'!$B$1:$U$1,M$1)</f>
        <v>0</v>
      </c>
      <c r="N115" s="179">
        <f>SUMIFS('recurring2_based on steps'!$B115:$AY115,'recurring2_based on steps'!$B$1:$AY$1,N$1)+SUMIFS('changes2_based on steps'!$B115:$U115,'changes2_based on steps'!$B$1:$U$1,N$1)</f>
        <v>0</v>
      </c>
      <c r="O115" s="179">
        <f>SUMIFS('recurring2_based on steps'!$B115:$AY115,'recurring2_based on steps'!$B$1:$AY$1,O$1)+SUMIFS('changes2_based on steps'!$B115:$U115,'changes2_based on steps'!$B$1:$U$1,O$1)</f>
        <v>0</v>
      </c>
      <c r="P115" s="179">
        <f>SUMIFS('recurring2_based on steps'!$B115:$AY115,'recurring2_based on steps'!$B$1:$AY$1,P$1)+SUMIFS('changes2_based on steps'!$B115:$U115,'changes2_based on steps'!$B$1:$U$1,P$1)</f>
        <v>0</v>
      </c>
      <c r="Q115" s="179">
        <f>SUMIFS('recurring2_based on steps'!$B115:$AY115,'recurring2_based on steps'!$B$1:$AY$1,Q$1)+SUMIFS('changes2_based on steps'!$B115:$U115,'changes2_based on steps'!$B$1:$U$1,Q$1)</f>
        <v>0</v>
      </c>
      <c r="R115" s="179">
        <f>SUMIFS('recurring2_based on steps'!$B115:$AY115,'recurring2_based on steps'!$B$1:$AY$1,R$1)+SUMIFS('changes2_based on steps'!$B115:$U115,'changes2_based on steps'!$B$1:$U$1,R$1)</f>
        <v>0</v>
      </c>
      <c r="S115" s="179">
        <f>SUMIFS('recurring2_based on steps'!$B115:$AY115,'recurring2_based on steps'!$B$1:$AY$1,S$1)+SUMIFS('changes2_based on steps'!$B115:$U115,'changes2_based on steps'!$B$1:$U$1,S$1)</f>
        <v>0</v>
      </c>
      <c r="T115" s="179">
        <f>SUMIFS('recurring2_based on steps'!$B115:$AY115,'recurring2_based on steps'!$B$1:$AY$1,T$1)+SUMIFS('changes2_based on steps'!$B115:$U115,'changes2_based on steps'!$B$1:$U$1,T$1)</f>
        <v>0</v>
      </c>
      <c r="U115" s="179">
        <f>SUMIFS('recurring2_based on steps'!$B115:$AY115,'recurring2_based on steps'!$B$1:$AY$1,U$1)+SUMIFS('changes2_based on steps'!$B115:$U115,'changes2_based on steps'!$B$1:$U$1,U$1)</f>
        <v>0</v>
      </c>
      <c r="V115" s="179">
        <f>SUMIFS('recurring2_based on steps'!$B115:$AY115,'recurring2_based on steps'!$B$1:$AY$1,V$1)+SUMIFS('changes2_based on steps'!$B115:$U115,'changes2_based on steps'!$B$1:$U$1,V$1)</f>
        <v>0</v>
      </c>
      <c r="W115" s="179">
        <f>SUMIFS('recurring2_based on steps'!$B115:$AY115,'recurring2_based on steps'!$B$1:$AY$1,W$1)+SUMIFS('changes2_based on steps'!$B115:$U115,'changes2_based on steps'!$B$1:$U$1,W$1)</f>
        <v>0</v>
      </c>
      <c r="X115" s="179">
        <f>SUMIFS('recurring2_based on steps'!$B115:$AY115,'recurring2_based on steps'!$B$1:$AY$1,X$1)+SUMIFS('changes2_based on steps'!$B115:$U115,'changes2_based on steps'!$B$1:$U$1,X$1)</f>
        <v>0</v>
      </c>
      <c r="Y115" s="179">
        <f>SUMIFS('recurring2_based on steps'!$B115:$AY115,'recurring2_based on steps'!$B$1:$AY$1,Y$1)+SUMIFS('changes2_based on steps'!$B115:$U115,'changes2_based on steps'!$B$1:$U$1,Y$1)</f>
        <v>0</v>
      </c>
      <c r="Z115" s="179">
        <f>SUMIFS('recurring2_based on steps'!$B115:$AY115,'recurring2_based on steps'!$B$1:$AY$1,Z$1)+SUMIFS('changes2_based on steps'!$B115:$U115,'changes2_based on steps'!$B$1:$U$1,Z$1)</f>
        <v>0</v>
      </c>
      <c r="AA115" s="179">
        <f>SUMIFS('recurring2_based on steps'!$B115:$AY115,'recurring2_based on steps'!$B$1:$AY$1,AA$1)+SUMIFS('changes2_based on steps'!$B115:$U115,'changes2_based on steps'!$B$1:$U$1,AA$1)</f>
        <v>0</v>
      </c>
      <c r="AB115" s="179">
        <f>SUMIFS('recurring2_based on steps'!$B115:$AY115,'recurring2_based on steps'!$B$1:$AY$1,AB$1)+SUMIFS('changes2_based on steps'!$B115:$U115,'changes2_based on steps'!$B$1:$U$1,AB$1)</f>
        <v>0</v>
      </c>
      <c r="AC115" s="179">
        <f>SUMIFS('recurring2_based on steps'!$B115:$AY115,'recurring2_based on steps'!$B$1:$AY$1,AC$1)+SUMIFS('changes2_based on steps'!$B115:$U115,'changes2_based on steps'!$B$1:$U$1,AC$1)</f>
        <v>0</v>
      </c>
      <c r="AD115" s="179">
        <f>SUMIFS('recurring2_based on steps'!$B115:$AY115,'recurring2_based on steps'!$B$1:$AY$1,AD$1)+SUMIFS('changes2_based on steps'!$B115:$U115,'changes2_based on steps'!$B$1:$U$1,AD$1)</f>
        <v>0</v>
      </c>
      <c r="AE115" s="179">
        <f>SUMIFS('recurring2_based on steps'!$B115:$AY115,'recurring2_based on steps'!$B$1:$AY$1,AE$1)+SUMIFS('changes2_based on steps'!$B115:$U115,'changes2_based on steps'!$B$1:$U$1,AE$1)</f>
        <v>0</v>
      </c>
      <c r="AF115" s="179"/>
      <c r="AG115" s="179"/>
      <c r="AH115" s="179"/>
      <c r="AI115" s="179"/>
      <c r="AJ115" s="179"/>
      <c r="AK115" s="179"/>
      <c r="AL115" s="179"/>
      <c r="AM115" s="179"/>
    </row>
    <row r="116" spans="1:39" x14ac:dyDescent="0.2">
      <c r="A116" s="32">
        <f t="shared" ca="1" si="1"/>
        <v>45858</v>
      </c>
      <c r="B116" s="179">
        <f>SUMIFS('recurring2_based on steps'!$B116:$AY116,'recurring2_based on steps'!$B$1:$AY$1,B$1)+SUMIFS('changes2_based on steps'!$B116:$U116,'changes2_based on steps'!$B$1:$U$1,B$1)</f>
        <v>0</v>
      </c>
      <c r="C116" s="179">
        <f>SUMIFS('recurring2_based on steps'!$B116:$AY116,'recurring2_based on steps'!$B$1:$AY$1,C$1)+SUMIFS('changes2_based on steps'!$B116:$U116,'changes2_based on steps'!$B$1:$U$1,C$1)</f>
        <v>0</v>
      </c>
      <c r="D116" s="179">
        <f>SUMIFS('recurring2_based on steps'!$B116:$AY116,'recurring2_based on steps'!$B$1:$AY$1,D$1)+SUMIFS('changes2_based on steps'!$B116:$U116,'changes2_based on steps'!$B$1:$U$1,D$1)</f>
        <v>0</v>
      </c>
      <c r="E116" s="179">
        <f>SUMIFS('recurring2_based on steps'!$B116:$AY116,'recurring2_based on steps'!$B$1:$AY$1,E$1)+SUMIFS('changes2_based on steps'!$B116:$U116,'changes2_based on steps'!$B$1:$U$1,E$1)</f>
        <v>0</v>
      </c>
      <c r="F116" s="179">
        <f>SUMIFS('recurring2_based on steps'!$B116:$AY116,'recurring2_based on steps'!$B$1:$AY$1,F$1)+SUMIFS('changes2_based on steps'!$B116:$U116,'changes2_based on steps'!$B$1:$U$1,F$1)</f>
        <v>0</v>
      </c>
      <c r="G116" s="179">
        <f>SUMIFS('recurring2_based on steps'!$B116:$AY116,'recurring2_based on steps'!$B$1:$AY$1,G$1)+SUMIFS('changes2_based on steps'!$B116:$U116,'changes2_based on steps'!$B$1:$U$1,G$1)</f>
        <v>0</v>
      </c>
      <c r="H116" s="179">
        <f>SUMIFS('recurring2_based on steps'!$B116:$AY116,'recurring2_based on steps'!$B$1:$AY$1,H$1)+SUMIFS('changes2_based on steps'!$B116:$U116,'changes2_based on steps'!$B$1:$U$1,H$1)</f>
        <v>0</v>
      </c>
      <c r="I116" s="179">
        <f>SUMIFS('recurring2_based on steps'!$B116:$AY116,'recurring2_based on steps'!$B$1:$AY$1,I$1)+SUMIFS('changes2_based on steps'!$B116:$U116,'changes2_based on steps'!$B$1:$U$1,I$1)</f>
        <v>0</v>
      </c>
      <c r="J116" s="179">
        <f>SUMIFS('recurring2_based on steps'!$B116:$AY116,'recurring2_based on steps'!$B$1:$AY$1,J$1)+SUMIFS('changes2_based on steps'!$B116:$U116,'changes2_based on steps'!$B$1:$U$1,J$1)</f>
        <v>0</v>
      </c>
      <c r="K116" s="179">
        <f>SUMIFS('recurring2_based on steps'!$B116:$AY116,'recurring2_based on steps'!$B$1:$AY$1,K$1)+SUMIFS('changes2_based on steps'!$B116:$U116,'changes2_based on steps'!$B$1:$U$1,K$1)</f>
        <v>0</v>
      </c>
      <c r="L116" s="179">
        <f>SUMIFS('recurring2_based on steps'!$B116:$AY116,'recurring2_based on steps'!$B$1:$AY$1,L$1)+SUMIFS('changes2_based on steps'!$B116:$U116,'changes2_based on steps'!$B$1:$U$1,L$1)</f>
        <v>0</v>
      </c>
      <c r="M116" s="179">
        <f>SUMIFS('recurring2_based on steps'!$B116:$AY116,'recurring2_based on steps'!$B$1:$AY$1,M$1)+SUMIFS('changes2_based on steps'!$B116:$U116,'changes2_based on steps'!$B$1:$U$1,M$1)</f>
        <v>0</v>
      </c>
      <c r="N116" s="179">
        <f>SUMIFS('recurring2_based on steps'!$B116:$AY116,'recurring2_based on steps'!$B$1:$AY$1,N$1)+SUMIFS('changes2_based on steps'!$B116:$U116,'changes2_based on steps'!$B$1:$U$1,N$1)</f>
        <v>0</v>
      </c>
      <c r="O116" s="179">
        <f>SUMIFS('recurring2_based on steps'!$B116:$AY116,'recurring2_based on steps'!$B$1:$AY$1,O$1)+SUMIFS('changes2_based on steps'!$B116:$U116,'changes2_based on steps'!$B$1:$U$1,O$1)</f>
        <v>0</v>
      </c>
      <c r="P116" s="179">
        <f>SUMIFS('recurring2_based on steps'!$B116:$AY116,'recurring2_based on steps'!$B$1:$AY$1,P$1)+SUMIFS('changes2_based on steps'!$B116:$U116,'changes2_based on steps'!$B$1:$U$1,P$1)</f>
        <v>0</v>
      </c>
      <c r="Q116" s="179">
        <f>SUMIFS('recurring2_based on steps'!$B116:$AY116,'recurring2_based on steps'!$B$1:$AY$1,Q$1)+SUMIFS('changes2_based on steps'!$B116:$U116,'changes2_based on steps'!$B$1:$U$1,Q$1)</f>
        <v>0</v>
      </c>
      <c r="R116" s="179">
        <f>SUMIFS('recurring2_based on steps'!$B116:$AY116,'recurring2_based on steps'!$B$1:$AY$1,R$1)+SUMIFS('changes2_based on steps'!$B116:$U116,'changes2_based on steps'!$B$1:$U$1,R$1)</f>
        <v>0</v>
      </c>
      <c r="S116" s="179">
        <f>SUMIFS('recurring2_based on steps'!$B116:$AY116,'recurring2_based on steps'!$B$1:$AY$1,S$1)+SUMIFS('changes2_based on steps'!$B116:$U116,'changes2_based on steps'!$B$1:$U$1,S$1)</f>
        <v>0</v>
      </c>
      <c r="T116" s="179">
        <f>SUMIFS('recurring2_based on steps'!$B116:$AY116,'recurring2_based on steps'!$B$1:$AY$1,T$1)+SUMIFS('changes2_based on steps'!$B116:$U116,'changes2_based on steps'!$B$1:$U$1,T$1)</f>
        <v>0</v>
      </c>
      <c r="U116" s="179">
        <f>SUMIFS('recurring2_based on steps'!$B116:$AY116,'recurring2_based on steps'!$B$1:$AY$1,U$1)+SUMIFS('changes2_based on steps'!$B116:$U116,'changes2_based on steps'!$B$1:$U$1,U$1)</f>
        <v>0</v>
      </c>
      <c r="V116" s="179">
        <f>SUMIFS('recurring2_based on steps'!$B116:$AY116,'recurring2_based on steps'!$B$1:$AY$1,V$1)+SUMIFS('changes2_based on steps'!$B116:$U116,'changes2_based on steps'!$B$1:$U$1,V$1)</f>
        <v>0</v>
      </c>
      <c r="W116" s="179">
        <f>SUMIFS('recurring2_based on steps'!$B116:$AY116,'recurring2_based on steps'!$B$1:$AY$1,W$1)+SUMIFS('changes2_based on steps'!$B116:$U116,'changes2_based on steps'!$B$1:$U$1,W$1)</f>
        <v>0</v>
      </c>
      <c r="X116" s="179">
        <f>SUMIFS('recurring2_based on steps'!$B116:$AY116,'recurring2_based on steps'!$B$1:$AY$1,X$1)+SUMIFS('changes2_based on steps'!$B116:$U116,'changes2_based on steps'!$B$1:$U$1,X$1)</f>
        <v>0</v>
      </c>
      <c r="Y116" s="179">
        <f>SUMIFS('recurring2_based on steps'!$B116:$AY116,'recurring2_based on steps'!$B$1:$AY$1,Y$1)+SUMIFS('changes2_based on steps'!$B116:$U116,'changes2_based on steps'!$B$1:$U$1,Y$1)</f>
        <v>0</v>
      </c>
      <c r="Z116" s="179">
        <f>SUMIFS('recurring2_based on steps'!$B116:$AY116,'recurring2_based on steps'!$B$1:$AY$1,Z$1)+SUMIFS('changes2_based on steps'!$B116:$U116,'changes2_based on steps'!$B$1:$U$1,Z$1)</f>
        <v>0</v>
      </c>
      <c r="AA116" s="179">
        <f>SUMIFS('recurring2_based on steps'!$B116:$AY116,'recurring2_based on steps'!$B$1:$AY$1,AA$1)+SUMIFS('changes2_based on steps'!$B116:$U116,'changes2_based on steps'!$B$1:$U$1,AA$1)</f>
        <v>0</v>
      </c>
      <c r="AB116" s="179">
        <f>SUMIFS('recurring2_based on steps'!$B116:$AY116,'recurring2_based on steps'!$B$1:$AY$1,AB$1)+SUMIFS('changes2_based on steps'!$B116:$U116,'changes2_based on steps'!$B$1:$U$1,AB$1)</f>
        <v>0</v>
      </c>
      <c r="AC116" s="179">
        <f>SUMIFS('recurring2_based on steps'!$B116:$AY116,'recurring2_based on steps'!$B$1:$AY$1,AC$1)+SUMIFS('changes2_based on steps'!$B116:$U116,'changes2_based on steps'!$B$1:$U$1,AC$1)</f>
        <v>0</v>
      </c>
      <c r="AD116" s="179">
        <f>SUMIFS('recurring2_based on steps'!$B116:$AY116,'recurring2_based on steps'!$B$1:$AY$1,AD$1)+SUMIFS('changes2_based on steps'!$B116:$U116,'changes2_based on steps'!$B$1:$U$1,AD$1)</f>
        <v>0</v>
      </c>
      <c r="AE116" s="179">
        <f>SUMIFS('recurring2_based on steps'!$B116:$AY116,'recurring2_based on steps'!$B$1:$AY$1,AE$1)+SUMIFS('changes2_based on steps'!$B116:$U116,'changes2_based on steps'!$B$1:$U$1,AE$1)</f>
        <v>0</v>
      </c>
      <c r="AF116" s="179"/>
      <c r="AG116" s="179"/>
      <c r="AH116" s="179"/>
      <c r="AI116" s="179"/>
      <c r="AJ116" s="179"/>
      <c r="AK116" s="179"/>
      <c r="AL116" s="179"/>
      <c r="AM116" s="179"/>
    </row>
    <row r="117" spans="1:39" x14ac:dyDescent="0.2">
      <c r="A117" s="32">
        <f t="shared" ca="1" si="1"/>
        <v>45859</v>
      </c>
      <c r="B117" s="179">
        <f>SUMIFS('recurring2_based on steps'!$B117:$AY117,'recurring2_based on steps'!$B$1:$AY$1,B$1)+SUMIFS('changes2_based on steps'!$B117:$U117,'changes2_based on steps'!$B$1:$U$1,B$1)</f>
        <v>0</v>
      </c>
      <c r="C117" s="179">
        <f>SUMIFS('recurring2_based on steps'!$B117:$AY117,'recurring2_based on steps'!$B$1:$AY$1,C$1)+SUMIFS('changes2_based on steps'!$B117:$U117,'changes2_based on steps'!$B$1:$U$1,C$1)</f>
        <v>0</v>
      </c>
      <c r="D117" s="179">
        <f>SUMIFS('recurring2_based on steps'!$B117:$AY117,'recurring2_based on steps'!$B$1:$AY$1,D$1)+SUMIFS('changes2_based on steps'!$B117:$U117,'changes2_based on steps'!$B$1:$U$1,D$1)</f>
        <v>0</v>
      </c>
      <c r="E117" s="179">
        <f>SUMIFS('recurring2_based on steps'!$B117:$AY117,'recurring2_based on steps'!$B$1:$AY$1,E$1)+SUMIFS('changes2_based on steps'!$B117:$U117,'changes2_based on steps'!$B$1:$U$1,E$1)</f>
        <v>0</v>
      </c>
      <c r="F117" s="179">
        <f>SUMIFS('recurring2_based on steps'!$B117:$AY117,'recurring2_based on steps'!$B$1:$AY$1,F$1)+SUMIFS('changes2_based on steps'!$B117:$U117,'changes2_based on steps'!$B$1:$U$1,F$1)</f>
        <v>0</v>
      </c>
      <c r="G117" s="179">
        <f>SUMIFS('recurring2_based on steps'!$B117:$AY117,'recurring2_based on steps'!$B$1:$AY$1,G$1)+SUMIFS('changes2_based on steps'!$B117:$U117,'changes2_based on steps'!$B$1:$U$1,G$1)</f>
        <v>0</v>
      </c>
      <c r="H117" s="179">
        <f>SUMIFS('recurring2_based on steps'!$B117:$AY117,'recurring2_based on steps'!$B$1:$AY$1,H$1)+SUMIFS('changes2_based on steps'!$B117:$U117,'changes2_based on steps'!$B$1:$U$1,H$1)</f>
        <v>0</v>
      </c>
      <c r="I117" s="179">
        <f>SUMIFS('recurring2_based on steps'!$B117:$AY117,'recurring2_based on steps'!$B$1:$AY$1,I$1)+SUMIFS('changes2_based on steps'!$B117:$U117,'changes2_based on steps'!$B$1:$U$1,I$1)</f>
        <v>0</v>
      </c>
      <c r="J117" s="179">
        <f>SUMIFS('recurring2_based on steps'!$B117:$AY117,'recurring2_based on steps'!$B$1:$AY$1,J$1)+SUMIFS('changes2_based on steps'!$B117:$U117,'changes2_based on steps'!$B$1:$U$1,J$1)</f>
        <v>0</v>
      </c>
      <c r="K117" s="179">
        <f>SUMIFS('recurring2_based on steps'!$B117:$AY117,'recurring2_based on steps'!$B$1:$AY$1,K$1)+SUMIFS('changes2_based on steps'!$B117:$U117,'changes2_based on steps'!$B$1:$U$1,K$1)</f>
        <v>0</v>
      </c>
      <c r="L117" s="179">
        <f>SUMIFS('recurring2_based on steps'!$B117:$AY117,'recurring2_based on steps'!$B$1:$AY$1,L$1)+SUMIFS('changes2_based on steps'!$B117:$U117,'changes2_based on steps'!$B$1:$U$1,L$1)</f>
        <v>0</v>
      </c>
      <c r="M117" s="179">
        <f>SUMIFS('recurring2_based on steps'!$B117:$AY117,'recurring2_based on steps'!$B$1:$AY$1,M$1)+SUMIFS('changes2_based on steps'!$B117:$U117,'changes2_based on steps'!$B$1:$U$1,M$1)</f>
        <v>0</v>
      </c>
      <c r="N117" s="179">
        <f>SUMIFS('recurring2_based on steps'!$B117:$AY117,'recurring2_based on steps'!$B$1:$AY$1,N$1)+SUMIFS('changes2_based on steps'!$B117:$U117,'changes2_based on steps'!$B$1:$U$1,N$1)</f>
        <v>0</v>
      </c>
      <c r="O117" s="179">
        <f>SUMIFS('recurring2_based on steps'!$B117:$AY117,'recurring2_based on steps'!$B$1:$AY$1,O$1)+SUMIFS('changes2_based on steps'!$B117:$U117,'changes2_based on steps'!$B$1:$U$1,O$1)</f>
        <v>0</v>
      </c>
      <c r="P117" s="179">
        <f>SUMIFS('recurring2_based on steps'!$B117:$AY117,'recurring2_based on steps'!$B$1:$AY$1,P$1)+SUMIFS('changes2_based on steps'!$B117:$U117,'changes2_based on steps'!$B$1:$U$1,P$1)</f>
        <v>0</v>
      </c>
      <c r="Q117" s="179">
        <f>SUMIFS('recurring2_based on steps'!$B117:$AY117,'recurring2_based on steps'!$B$1:$AY$1,Q$1)+SUMIFS('changes2_based on steps'!$B117:$U117,'changes2_based on steps'!$B$1:$U$1,Q$1)</f>
        <v>0</v>
      </c>
      <c r="R117" s="179">
        <f>SUMIFS('recurring2_based on steps'!$B117:$AY117,'recurring2_based on steps'!$B$1:$AY$1,R$1)+SUMIFS('changes2_based on steps'!$B117:$U117,'changes2_based on steps'!$B$1:$U$1,R$1)</f>
        <v>0</v>
      </c>
      <c r="S117" s="179">
        <f>SUMIFS('recurring2_based on steps'!$B117:$AY117,'recurring2_based on steps'!$B$1:$AY$1,S$1)+SUMIFS('changes2_based on steps'!$B117:$U117,'changes2_based on steps'!$B$1:$U$1,S$1)</f>
        <v>0</v>
      </c>
      <c r="T117" s="179">
        <f>SUMIFS('recurring2_based on steps'!$B117:$AY117,'recurring2_based on steps'!$B$1:$AY$1,T$1)+SUMIFS('changes2_based on steps'!$B117:$U117,'changes2_based on steps'!$B$1:$U$1,T$1)</f>
        <v>0</v>
      </c>
      <c r="U117" s="179">
        <f>SUMIFS('recurring2_based on steps'!$B117:$AY117,'recurring2_based on steps'!$B$1:$AY$1,U$1)+SUMIFS('changes2_based on steps'!$B117:$U117,'changes2_based on steps'!$B$1:$U$1,U$1)</f>
        <v>0</v>
      </c>
      <c r="V117" s="179">
        <f>SUMIFS('recurring2_based on steps'!$B117:$AY117,'recurring2_based on steps'!$B$1:$AY$1,V$1)+SUMIFS('changes2_based on steps'!$B117:$U117,'changes2_based on steps'!$B$1:$U$1,V$1)</f>
        <v>0</v>
      </c>
      <c r="W117" s="179">
        <f>SUMIFS('recurring2_based on steps'!$B117:$AY117,'recurring2_based on steps'!$B$1:$AY$1,W$1)+SUMIFS('changes2_based on steps'!$B117:$U117,'changes2_based on steps'!$B$1:$U$1,W$1)</f>
        <v>0</v>
      </c>
      <c r="X117" s="179">
        <f>SUMIFS('recurring2_based on steps'!$B117:$AY117,'recurring2_based on steps'!$B$1:$AY$1,X$1)+SUMIFS('changes2_based on steps'!$B117:$U117,'changes2_based on steps'!$B$1:$U$1,X$1)</f>
        <v>0</v>
      </c>
      <c r="Y117" s="179">
        <f>SUMIFS('recurring2_based on steps'!$B117:$AY117,'recurring2_based on steps'!$B$1:$AY$1,Y$1)+SUMIFS('changes2_based on steps'!$B117:$U117,'changes2_based on steps'!$B$1:$U$1,Y$1)</f>
        <v>0</v>
      </c>
      <c r="Z117" s="179">
        <f>SUMIFS('recurring2_based on steps'!$B117:$AY117,'recurring2_based on steps'!$B$1:$AY$1,Z$1)+SUMIFS('changes2_based on steps'!$B117:$U117,'changes2_based on steps'!$B$1:$U$1,Z$1)</f>
        <v>0</v>
      </c>
      <c r="AA117" s="179">
        <f>SUMIFS('recurring2_based on steps'!$B117:$AY117,'recurring2_based on steps'!$B$1:$AY$1,AA$1)+SUMIFS('changes2_based on steps'!$B117:$U117,'changes2_based on steps'!$B$1:$U$1,AA$1)</f>
        <v>0</v>
      </c>
      <c r="AB117" s="179">
        <f>SUMIFS('recurring2_based on steps'!$B117:$AY117,'recurring2_based on steps'!$B$1:$AY$1,AB$1)+SUMIFS('changes2_based on steps'!$B117:$U117,'changes2_based on steps'!$B$1:$U$1,AB$1)</f>
        <v>0</v>
      </c>
      <c r="AC117" s="179">
        <f>SUMIFS('recurring2_based on steps'!$B117:$AY117,'recurring2_based on steps'!$B$1:$AY$1,AC$1)+SUMIFS('changes2_based on steps'!$B117:$U117,'changes2_based on steps'!$B$1:$U$1,AC$1)</f>
        <v>0</v>
      </c>
      <c r="AD117" s="179">
        <f>SUMIFS('recurring2_based on steps'!$B117:$AY117,'recurring2_based on steps'!$B$1:$AY$1,AD$1)+SUMIFS('changes2_based on steps'!$B117:$U117,'changes2_based on steps'!$B$1:$U$1,AD$1)</f>
        <v>0</v>
      </c>
      <c r="AE117" s="179">
        <f>SUMIFS('recurring2_based on steps'!$B117:$AY117,'recurring2_based on steps'!$B$1:$AY$1,AE$1)+SUMIFS('changes2_based on steps'!$B117:$U117,'changes2_based on steps'!$B$1:$U$1,AE$1)</f>
        <v>0</v>
      </c>
      <c r="AF117" s="179"/>
      <c r="AG117" s="179"/>
      <c r="AH117" s="179"/>
      <c r="AI117" s="179"/>
      <c r="AJ117" s="179"/>
      <c r="AK117" s="179"/>
      <c r="AL117" s="179"/>
      <c r="AM117" s="179"/>
    </row>
    <row r="118" spans="1:39" x14ac:dyDescent="0.2">
      <c r="A118" s="32">
        <f t="shared" ca="1" si="1"/>
        <v>45860</v>
      </c>
      <c r="B118" s="179">
        <f>SUMIFS('recurring2_based on steps'!$B118:$AY118,'recurring2_based on steps'!$B$1:$AY$1,B$1)+SUMIFS('changes2_based on steps'!$B118:$U118,'changes2_based on steps'!$B$1:$U$1,B$1)</f>
        <v>0</v>
      </c>
      <c r="C118" s="179">
        <f>SUMIFS('recurring2_based on steps'!$B118:$AY118,'recurring2_based on steps'!$B$1:$AY$1,C$1)+SUMIFS('changes2_based on steps'!$B118:$U118,'changes2_based on steps'!$B$1:$U$1,C$1)</f>
        <v>0</v>
      </c>
      <c r="D118" s="179">
        <f>SUMIFS('recurring2_based on steps'!$B118:$AY118,'recurring2_based on steps'!$B$1:$AY$1,D$1)+SUMIFS('changes2_based on steps'!$B118:$U118,'changes2_based on steps'!$B$1:$U$1,D$1)</f>
        <v>0</v>
      </c>
      <c r="E118" s="179">
        <f>SUMIFS('recurring2_based on steps'!$B118:$AY118,'recurring2_based on steps'!$B$1:$AY$1,E$1)+SUMIFS('changes2_based on steps'!$B118:$U118,'changes2_based on steps'!$B$1:$U$1,E$1)</f>
        <v>0</v>
      </c>
      <c r="F118" s="179">
        <f>SUMIFS('recurring2_based on steps'!$B118:$AY118,'recurring2_based on steps'!$B$1:$AY$1,F$1)+SUMIFS('changes2_based on steps'!$B118:$U118,'changes2_based on steps'!$B$1:$U$1,F$1)</f>
        <v>0</v>
      </c>
      <c r="G118" s="179">
        <f>SUMIFS('recurring2_based on steps'!$B118:$AY118,'recurring2_based on steps'!$B$1:$AY$1,G$1)+SUMIFS('changes2_based on steps'!$B118:$U118,'changes2_based on steps'!$B$1:$U$1,G$1)</f>
        <v>0</v>
      </c>
      <c r="H118" s="179">
        <f>SUMIFS('recurring2_based on steps'!$B118:$AY118,'recurring2_based on steps'!$B$1:$AY$1,H$1)+SUMIFS('changes2_based on steps'!$B118:$U118,'changes2_based on steps'!$B$1:$U$1,H$1)</f>
        <v>0</v>
      </c>
      <c r="I118" s="179">
        <f>SUMIFS('recurring2_based on steps'!$B118:$AY118,'recurring2_based on steps'!$B$1:$AY$1,I$1)+SUMIFS('changes2_based on steps'!$B118:$U118,'changes2_based on steps'!$B$1:$U$1,I$1)</f>
        <v>0</v>
      </c>
      <c r="J118" s="179">
        <f>SUMIFS('recurring2_based on steps'!$B118:$AY118,'recurring2_based on steps'!$B$1:$AY$1,J$1)+SUMIFS('changes2_based on steps'!$B118:$U118,'changes2_based on steps'!$B$1:$U$1,J$1)</f>
        <v>0</v>
      </c>
      <c r="K118" s="179">
        <f>SUMIFS('recurring2_based on steps'!$B118:$AY118,'recurring2_based on steps'!$B$1:$AY$1,K$1)+SUMIFS('changes2_based on steps'!$B118:$U118,'changes2_based on steps'!$B$1:$U$1,K$1)</f>
        <v>0</v>
      </c>
      <c r="L118" s="179">
        <f>SUMIFS('recurring2_based on steps'!$B118:$AY118,'recurring2_based on steps'!$B$1:$AY$1,L$1)+SUMIFS('changes2_based on steps'!$B118:$U118,'changes2_based on steps'!$B$1:$U$1,L$1)</f>
        <v>0</v>
      </c>
      <c r="M118" s="179">
        <f>SUMIFS('recurring2_based on steps'!$B118:$AY118,'recurring2_based on steps'!$B$1:$AY$1,M$1)+SUMIFS('changes2_based on steps'!$B118:$U118,'changes2_based on steps'!$B$1:$U$1,M$1)</f>
        <v>0</v>
      </c>
      <c r="N118" s="179">
        <f>SUMIFS('recurring2_based on steps'!$B118:$AY118,'recurring2_based on steps'!$B$1:$AY$1,N$1)+SUMIFS('changes2_based on steps'!$B118:$U118,'changes2_based on steps'!$B$1:$U$1,N$1)</f>
        <v>0</v>
      </c>
      <c r="O118" s="179">
        <f>SUMIFS('recurring2_based on steps'!$B118:$AY118,'recurring2_based on steps'!$B$1:$AY$1,O$1)+SUMIFS('changes2_based on steps'!$B118:$U118,'changes2_based on steps'!$B$1:$U$1,O$1)</f>
        <v>0</v>
      </c>
      <c r="P118" s="179">
        <f>SUMIFS('recurring2_based on steps'!$B118:$AY118,'recurring2_based on steps'!$B$1:$AY$1,P$1)+SUMIFS('changes2_based on steps'!$B118:$U118,'changes2_based on steps'!$B$1:$U$1,P$1)</f>
        <v>0</v>
      </c>
      <c r="Q118" s="179">
        <f>SUMIFS('recurring2_based on steps'!$B118:$AY118,'recurring2_based on steps'!$B$1:$AY$1,Q$1)+SUMIFS('changes2_based on steps'!$B118:$U118,'changes2_based on steps'!$B$1:$U$1,Q$1)</f>
        <v>0</v>
      </c>
      <c r="R118" s="179">
        <f>SUMIFS('recurring2_based on steps'!$B118:$AY118,'recurring2_based on steps'!$B$1:$AY$1,R$1)+SUMIFS('changes2_based on steps'!$B118:$U118,'changes2_based on steps'!$B$1:$U$1,R$1)</f>
        <v>0</v>
      </c>
      <c r="S118" s="179">
        <f>SUMIFS('recurring2_based on steps'!$B118:$AY118,'recurring2_based on steps'!$B$1:$AY$1,S$1)+SUMIFS('changes2_based on steps'!$B118:$U118,'changes2_based on steps'!$B$1:$U$1,S$1)</f>
        <v>0</v>
      </c>
      <c r="T118" s="179">
        <f>SUMIFS('recurring2_based on steps'!$B118:$AY118,'recurring2_based on steps'!$B$1:$AY$1,T$1)+SUMIFS('changes2_based on steps'!$B118:$U118,'changes2_based on steps'!$B$1:$U$1,T$1)</f>
        <v>0</v>
      </c>
      <c r="U118" s="179">
        <f>SUMIFS('recurring2_based on steps'!$B118:$AY118,'recurring2_based on steps'!$B$1:$AY$1,U$1)+SUMIFS('changes2_based on steps'!$B118:$U118,'changes2_based on steps'!$B$1:$U$1,U$1)</f>
        <v>0</v>
      </c>
      <c r="V118" s="179">
        <f>SUMIFS('recurring2_based on steps'!$B118:$AY118,'recurring2_based on steps'!$B$1:$AY$1,V$1)+SUMIFS('changes2_based on steps'!$B118:$U118,'changes2_based on steps'!$B$1:$U$1,V$1)</f>
        <v>0</v>
      </c>
      <c r="W118" s="179">
        <f>SUMIFS('recurring2_based on steps'!$B118:$AY118,'recurring2_based on steps'!$B$1:$AY$1,W$1)+SUMIFS('changes2_based on steps'!$B118:$U118,'changes2_based on steps'!$B$1:$U$1,W$1)</f>
        <v>0</v>
      </c>
      <c r="X118" s="179">
        <f>SUMIFS('recurring2_based on steps'!$B118:$AY118,'recurring2_based on steps'!$B$1:$AY$1,X$1)+SUMIFS('changes2_based on steps'!$B118:$U118,'changes2_based on steps'!$B$1:$U$1,X$1)</f>
        <v>0</v>
      </c>
      <c r="Y118" s="179">
        <f>SUMIFS('recurring2_based on steps'!$B118:$AY118,'recurring2_based on steps'!$B$1:$AY$1,Y$1)+SUMIFS('changes2_based on steps'!$B118:$U118,'changes2_based on steps'!$B$1:$U$1,Y$1)</f>
        <v>0</v>
      </c>
      <c r="Z118" s="179">
        <f>SUMIFS('recurring2_based on steps'!$B118:$AY118,'recurring2_based on steps'!$B$1:$AY$1,Z$1)+SUMIFS('changes2_based on steps'!$B118:$U118,'changes2_based on steps'!$B$1:$U$1,Z$1)</f>
        <v>0</v>
      </c>
      <c r="AA118" s="179">
        <f>SUMIFS('recurring2_based on steps'!$B118:$AY118,'recurring2_based on steps'!$B$1:$AY$1,AA$1)+SUMIFS('changes2_based on steps'!$B118:$U118,'changes2_based on steps'!$B$1:$U$1,AA$1)</f>
        <v>0</v>
      </c>
      <c r="AB118" s="179">
        <f>SUMIFS('recurring2_based on steps'!$B118:$AY118,'recurring2_based on steps'!$B$1:$AY$1,AB$1)+SUMIFS('changes2_based on steps'!$B118:$U118,'changes2_based on steps'!$B$1:$U$1,AB$1)</f>
        <v>0</v>
      </c>
      <c r="AC118" s="179">
        <f>SUMIFS('recurring2_based on steps'!$B118:$AY118,'recurring2_based on steps'!$B$1:$AY$1,AC$1)+SUMIFS('changes2_based on steps'!$B118:$U118,'changes2_based on steps'!$B$1:$U$1,AC$1)</f>
        <v>0</v>
      </c>
      <c r="AD118" s="179">
        <f>SUMIFS('recurring2_based on steps'!$B118:$AY118,'recurring2_based on steps'!$B$1:$AY$1,AD$1)+SUMIFS('changes2_based on steps'!$B118:$U118,'changes2_based on steps'!$B$1:$U$1,AD$1)</f>
        <v>0</v>
      </c>
      <c r="AE118" s="179">
        <f>SUMIFS('recurring2_based on steps'!$B118:$AY118,'recurring2_based on steps'!$B$1:$AY$1,AE$1)+SUMIFS('changes2_based on steps'!$B118:$U118,'changes2_based on steps'!$B$1:$U$1,AE$1)</f>
        <v>0</v>
      </c>
      <c r="AF118" s="179"/>
      <c r="AG118" s="179"/>
      <c r="AH118" s="179"/>
      <c r="AI118" s="179"/>
      <c r="AJ118" s="179"/>
      <c r="AK118" s="179"/>
      <c r="AL118" s="179"/>
      <c r="AM118" s="179"/>
    </row>
    <row r="119" spans="1:39" x14ac:dyDescent="0.2">
      <c r="A119" s="32">
        <f t="shared" ca="1" si="1"/>
        <v>45861</v>
      </c>
      <c r="B119" s="179">
        <f>SUMIFS('recurring2_based on steps'!$B119:$AY119,'recurring2_based on steps'!$B$1:$AY$1,B$1)+SUMIFS('changes2_based on steps'!$B119:$U119,'changes2_based on steps'!$B$1:$U$1,B$1)</f>
        <v>0</v>
      </c>
      <c r="C119" s="179">
        <f>SUMIFS('recurring2_based on steps'!$B119:$AY119,'recurring2_based on steps'!$B$1:$AY$1,C$1)+SUMIFS('changes2_based on steps'!$B119:$U119,'changes2_based on steps'!$B$1:$U$1,C$1)</f>
        <v>0</v>
      </c>
      <c r="D119" s="179">
        <f>SUMIFS('recurring2_based on steps'!$B119:$AY119,'recurring2_based on steps'!$B$1:$AY$1,D$1)+SUMIFS('changes2_based on steps'!$B119:$U119,'changes2_based on steps'!$B$1:$U$1,D$1)</f>
        <v>0</v>
      </c>
      <c r="E119" s="179">
        <f>SUMIFS('recurring2_based on steps'!$B119:$AY119,'recurring2_based on steps'!$B$1:$AY$1,E$1)+SUMIFS('changes2_based on steps'!$B119:$U119,'changes2_based on steps'!$B$1:$U$1,E$1)</f>
        <v>0</v>
      </c>
      <c r="F119" s="179">
        <f>SUMIFS('recurring2_based on steps'!$B119:$AY119,'recurring2_based on steps'!$B$1:$AY$1,F$1)+SUMIFS('changes2_based on steps'!$B119:$U119,'changes2_based on steps'!$B$1:$U$1,F$1)</f>
        <v>0</v>
      </c>
      <c r="G119" s="179">
        <f>SUMIFS('recurring2_based on steps'!$B119:$AY119,'recurring2_based on steps'!$B$1:$AY$1,G$1)+SUMIFS('changes2_based on steps'!$B119:$U119,'changes2_based on steps'!$B$1:$U$1,G$1)</f>
        <v>0</v>
      </c>
      <c r="H119" s="179">
        <f>SUMIFS('recurring2_based on steps'!$B119:$AY119,'recurring2_based on steps'!$B$1:$AY$1,H$1)+SUMIFS('changes2_based on steps'!$B119:$U119,'changes2_based on steps'!$B$1:$U$1,H$1)</f>
        <v>0</v>
      </c>
      <c r="I119" s="179">
        <f>SUMIFS('recurring2_based on steps'!$B119:$AY119,'recurring2_based on steps'!$B$1:$AY$1,I$1)+SUMIFS('changes2_based on steps'!$B119:$U119,'changes2_based on steps'!$B$1:$U$1,I$1)</f>
        <v>0</v>
      </c>
      <c r="J119" s="179">
        <f>SUMIFS('recurring2_based on steps'!$B119:$AY119,'recurring2_based on steps'!$B$1:$AY$1,J$1)+SUMIFS('changes2_based on steps'!$B119:$U119,'changes2_based on steps'!$B$1:$U$1,J$1)</f>
        <v>0</v>
      </c>
      <c r="K119" s="179">
        <f>SUMIFS('recurring2_based on steps'!$B119:$AY119,'recurring2_based on steps'!$B$1:$AY$1,K$1)+SUMIFS('changes2_based on steps'!$B119:$U119,'changes2_based on steps'!$B$1:$U$1,K$1)</f>
        <v>0</v>
      </c>
      <c r="L119" s="179">
        <f>SUMIFS('recurring2_based on steps'!$B119:$AY119,'recurring2_based on steps'!$B$1:$AY$1,L$1)+SUMIFS('changes2_based on steps'!$B119:$U119,'changes2_based on steps'!$B$1:$U$1,L$1)</f>
        <v>0</v>
      </c>
      <c r="M119" s="179">
        <f>SUMIFS('recurring2_based on steps'!$B119:$AY119,'recurring2_based on steps'!$B$1:$AY$1,M$1)+SUMIFS('changes2_based on steps'!$B119:$U119,'changes2_based on steps'!$B$1:$U$1,M$1)</f>
        <v>0</v>
      </c>
      <c r="N119" s="179">
        <f>SUMIFS('recurring2_based on steps'!$B119:$AY119,'recurring2_based on steps'!$B$1:$AY$1,N$1)+SUMIFS('changes2_based on steps'!$B119:$U119,'changes2_based on steps'!$B$1:$U$1,N$1)</f>
        <v>0</v>
      </c>
      <c r="O119" s="179">
        <f>SUMIFS('recurring2_based on steps'!$B119:$AY119,'recurring2_based on steps'!$B$1:$AY$1,O$1)+SUMIFS('changes2_based on steps'!$B119:$U119,'changes2_based on steps'!$B$1:$U$1,O$1)</f>
        <v>0</v>
      </c>
      <c r="P119" s="179">
        <f>SUMIFS('recurring2_based on steps'!$B119:$AY119,'recurring2_based on steps'!$B$1:$AY$1,P$1)+SUMIFS('changes2_based on steps'!$B119:$U119,'changes2_based on steps'!$B$1:$U$1,P$1)</f>
        <v>0</v>
      </c>
      <c r="Q119" s="179">
        <f>SUMIFS('recurring2_based on steps'!$B119:$AY119,'recurring2_based on steps'!$B$1:$AY$1,Q$1)+SUMIFS('changes2_based on steps'!$B119:$U119,'changes2_based on steps'!$B$1:$U$1,Q$1)</f>
        <v>0</v>
      </c>
      <c r="R119" s="179">
        <f>SUMIFS('recurring2_based on steps'!$B119:$AY119,'recurring2_based on steps'!$B$1:$AY$1,R$1)+SUMIFS('changes2_based on steps'!$B119:$U119,'changes2_based on steps'!$B$1:$U$1,R$1)</f>
        <v>0</v>
      </c>
      <c r="S119" s="179">
        <f>SUMIFS('recurring2_based on steps'!$B119:$AY119,'recurring2_based on steps'!$B$1:$AY$1,S$1)+SUMIFS('changes2_based on steps'!$B119:$U119,'changes2_based on steps'!$B$1:$U$1,S$1)</f>
        <v>0</v>
      </c>
      <c r="T119" s="179">
        <f>SUMIFS('recurring2_based on steps'!$B119:$AY119,'recurring2_based on steps'!$B$1:$AY$1,T$1)+SUMIFS('changes2_based on steps'!$B119:$U119,'changes2_based on steps'!$B$1:$U$1,T$1)</f>
        <v>0</v>
      </c>
      <c r="U119" s="179">
        <f>SUMIFS('recurring2_based on steps'!$B119:$AY119,'recurring2_based on steps'!$B$1:$AY$1,U$1)+SUMIFS('changes2_based on steps'!$B119:$U119,'changes2_based on steps'!$B$1:$U$1,U$1)</f>
        <v>0</v>
      </c>
      <c r="V119" s="179">
        <f>SUMIFS('recurring2_based on steps'!$B119:$AY119,'recurring2_based on steps'!$B$1:$AY$1,V$1)+SUMIFS('changes2_based on steps'!$B119:$U119,'changes2_based on steps'!$B$1:$U$1,V$1)</f>
        <v>0</v>
      </c>
      <c r="W119" s="179">
        <f>SUMIFS('recurring2_based on steps'!$B119:$AY119,'recurring2_based on steps'!$B$1:$AY$1,W$1)+SUMIFS('changes2_based on steps'!$B119:$U119,'changes2_based on steps'!$B$1:$U$1,W$1)</f>
        <v>0</v>
      </c>
      <c r="X119" s="179">
        <f>SUMIFS('recurring2_based on steps'!$B119:$AY119,'recurring2_based on steps'!$B$1:$AY$1,X$1)+SUMIFS('changes2_based on steps'!$B119:$U119,'changes2_based on steps'!$B$1:$U$1,X$1)</f>
        <v>0</v>
      </c>
      <c r="Y119" s="179">
        <f>SUMIFS('recurring2_based on steps'!$B119:$AY119,'recurring2_based on steps'!$B$1:$AY$1,Y$1)+SUMIFS('changes2_based on steps'!$B119:$U119,'changes2_based on steps'!$B$1:$U$1,Y$1)</f>
        <v>0</v>
      </c>
      <c r="Z119" s="179">
        <f>SUMIFS('recurring2_based on steps'!$B119:$AY119,'recurring2_based on steps'!$B$1:$AY$1,Z$1)+SUMIFS('changes2_based on steps'!$B119:$U119,'changes2_based on steps'!$B$1:$U$1,Z$1)</f>
        <v>0</v>
      </c>
      <c r="AA119" s="179">
        <f>SUMIFS('recurring2_based on steps'!$B119:$AY119,'recurring2_based on steps'!$B$1:$AY$1,AA$1)+SUMIFS('changes2_based on steps'!$B119:$U119,'changes2_based on steps'!$B$1:$U$1,AA$1)</f>
        <v>0</v>
      </c>
      <c r="AB119" s="179">
        <f>SUMIFS('recurring2_based on steps'!$B119:$AY119,'recurring2_based on steps'!$B$1:$AY$1,AB$1)+SUMIFS('changes2_based on steps'!$B119:$U119,'changes2_based on steps'!$B$1:$U$1,AB$1)</f>
        <v>0</v>
      </c>
      <c r="AC119" s="179">
        <f>SUMIFS('recurring2_based on steps'!$B119:$AY119,'recurring2_based on steps'!$B$1:$AY$1,AC$1)+SUMIFS('changes2_based on steps'!$B119:$U119,'changes2_based on steps'!$B$1:$U$1,AC$1)</f>
        <v>0</v>
      </c>
      <c r="AD119" s="179">
        <f>SUMIFS('recurring2_based on steps'!$B119:$AY119,'recurring2_based on steps'!$B$1:$AY$1,AD$1)+SUMIFS('changes2_based on steps'!$B119:$U119,'changes2_based on steps'!$B$1:$U$1,AD$1)</f>
        <v>0</v>
      </c>
      <c r="AE119" s="179">
        <f>SUMIFS('recurring2_based on steps'!$B119:$AY119,'recurring2_based on steps'!$B$1:$AY$1,AE$1)+SUMIFS('changes2_based on steps'!$B119:$U119,'changes2_based on steps'!$B$1:$U$1,AE$1)</f>
        <v>0</v>
      </c>
      <c r="AF119" s="179"/>
      <c r="AG119" s="179"/>
      <c r="AH119" s="179"/>
      <c r="AI119" s="179"/>
      <c r="AJ119" s="179"/>
      <c r="AK119" s="179"/>
      <c r="AL119" s="179"/>
      <c r="AM119" s="179"/>
    </row>
    <row r="120" spans="1:39" x14ac:dyDescent="0.2">
      <c r="A120" s="32">
        <f t="shared" ca="1" si="1"/>
        <v>45862</v>
      </c>
      <c r="B120" s="179">
        <f>SUMIFS('recurring2_based on steps'!$B120:$AY120,'recurring2_based on steps'!$B$1:$AY$1,B$1)+SUMIFS('changes2_based on steps'!$B120:$U120,'changes2_based on steps'!$B$1:$U$1,B$1)</f>
        <v>0</v>
      </c>
      <c r="C120" s="179">
        <f>SUMIFS('recurring2_based on steps'!$B120:$AY120,'recurring2_based on steps'!$B$1:$AY$1,C$1)+SUMIFS('changes2_based on steps'!$B120:$U120,'changes2_based on steps'!$B$1:$U$1,C$1)</f>
        <v>0</v>
      </c>
      <c r="D120" s="179">
        <f>SUMIFS('recurring2_based on steps'!$B120:$AY120,'recurring2_based on steps'!$B$1:$AY$1,D$1)+SUMIFS('changes2_based on steps'!$B120:$U120,'changes2_based on steps'!$B$1:$U$1,D$1)</f>
        <v>0</v>
      </c>
      <c r="E120" s="179">
        <f>SUMIFS('recurring2_based on steps'!$B120:$AY120,'recurring2_based on steps'!$B$1:$AY$1,E$1)+SUMIFS('changes2_based on steps'!$B120:$U120,'changes2_based on steps'!$B$1:$U$1,E$1)</f>
        <v>0</v>
      </c>
      <c r="F120" s="179">
        <f>SUMIFS('recurring2_based on steps'!$B120:$AY120,'recurring2_based on steps'!$B$1:$AY$1,F$1)+SUMIFS('changes2_based on steps'!$B120:$U120,'changes2_based on steps'!$B$1:$U$1,F$1)</f>
        <v>0</v>
      </c>
      <c r="G120" s="179">
        <f>SUMIFS('recurring2_based on steps'!$B120:$AY120,'recurring2_based on steps'!$B$1:$AY$1,G$1)+SUMIFS('changes2_based on steps'!$B120:$U120,'changes2_based on steps'!$B$1:$U$1,G$1)</f>
        <v>0</v>
      </c>
      <c r="H120" s="179">
        <f>SUMIFS('recurring2_based on steps'!$B120:$AY120,'recurring2_based on steps'!$B$1:$AY$1,H$1)+SUMIFS('changes2_based on steps'!$B120:$U120,'changes2_based on steps'!$B$1:$U$1,H$1)</f>
        <v>0</v>
      </c>
      <c r="I120" s="179">
        <f>SUMIFS('recurring2_based on steps'!$B120:$AY120,'recurring2_based on steps'!$B$1:$AY$1,I$1)+SUMIFS('changes2_based on steps'!$B120:$U120,'changes2_based on steps'!$B$1:$U$1,I$1)</f>
        <v>0</v>
      </c>
      <c r="J120" s="179">
        <f>SUMIFS('recurring2_based on steps'!$B120:$AY120,'recurring2_based on steps'!$B$1:$AY$1,J$1)+SUMIFS('changes2_based on steps'!$B120:$U120,'changes2_based on steps'!$B$1:$U$1,J$1)</f>
        <v>0</v>
      </c>
      <c r="K120" s="179">
        <f>SUMIFS('recurring2_based on steps'!$B120:$AY120,'recurring2_based on steps'!$B$1:$AY$1,K$1)+SUMIFS('changes2_based on steps'!$B120:$U120,'changes2_based on steps'!$B$1:$U$1,K$1)</f>
        <v>0</v>
      </c>
      <c r="L120" s="179">
        <f>SUMIFS('recurring2_based on steps'!$B120:$AY120,'recurring2_based on steps'!$B$1:$AY$1,L$1)+SUMIFS('changes2_based on steps'!$B120:$U120,'changes2_based on steps'!$B$1:$U$1,L$1)</f>
        <v>0</v>
      </c>
      <c r="M120" s="179">
        <f>SUMIFS('recurring2_based on steps'!$B120:$AY120,'recurring2_based on steps'!$B$1:$AY$1,M$1)+SUMIFS('changes2_based on steps'!$B120:$U120,'changes2_based on steps'!$B$1:$U$1,M$1)</f>
        <v>0</v>
      </c>
      <c r="N120" s="179">
        <f>SUMIFS('recurring2_based on steps'!$B120:$AY120,'recurring2_based on steps'!$B$1:$AY$1,N$1)+SUMIFS('changes2_based on steps'!$B120:$U120,'changes2_based on steps'!$B$1:$U$1,N$1)</f>
        <v>0</v>
      </c>
      <c r="O120" s="179">
        <f>SUMIFS('recurring2_based on steps'!$B120:$AY120,'recurring2_based on steps'!$B$1:$AY$1,O$1)+SUMIFS('changes2_based on steps'!$B120:$U120,'changes2_based on steps'!$B$1:$U$1,O$1)</f>
        <v>0</v>
      </c>
      <c r="P120" s="179">
        <f>SUMIFS('recurring2_based on steps'!$B120:$AY120,'recurring2_based on steps'!$B$1:$AY$1,P$1)+SUMIFS('changes2_based on steps'!$B120:$U120,'changes2_based on steps'!$B$1:$U$1,P$1)</f>
        <v>0</v>
      </c>
      <c r="Q120" s="179">
        <f>SUMIFS('recurring2_based on steps'!$B120:$AY120,'recurring2_based on steps'!$B$1:$AY$1,Q$1)+SUMIFS('changes2_based on steps'!$B120:$U120,'changes2_based on steps'!$B$1:$U$1,Q$1)</f>
        <v>0</v>
      </c>
      <c r="R120" s="179">
        <f>SUMIFS('recurring2_based on steps'!$B120:$AY120,'recurring2_based on steps'!$B$1:$AY$1,R$1)+SUMIFS('changes2_based on steps'!$B120:$U120,'changes2_based on steps'!$B$1:$U$1,R$1)</f>
        <v>0</v>
      </c>
      <c r="S120" s="179">
        <f>SUMIFS('recurring2_based on steps'!$B120:$AY120,'recurring2_based on steps'!$B$1:$AY$1,S$1)+SUMIFS('changes2_based on steps'!$B120:$U120,'changes2_based on steps'!$B$1:$U$1,S$1)</f>
        <v>0</v>
      </c>
      <c r="T120" s="179">
        <f>SUMIFS('recurring2_based on steps'!$B120:$AY120,'recurring2_based on steps'!$B$1:$AY$1,T$1)+SUMIFS('changes2_based on steps'!$B120:$U120,'changes2_based on steps'!$B$1:$U$1,T$1)</f>
        <v>0</v>
      </c>
      <c r="U120" s="179">
        <f>SUMIFS('recurring2_based on steps'!$B120:$AY120,'recurring2_based on steps'!$B$1:$AY$1,U$1)+SUMIFS('changes2_based on steps'!$B120:$U120,'changes2_based on steps'!$B$1:$U$1,U$1)</f>
        <v>0</v>
      </c>
      <c r="V120" s="179">
        <f>SUMIFS('recurring2_based on steps'!$B120:$AY120,'recurring2_based on steps'!$B$1:$AY$1,V$1)+SUMIFS('changes2_based on steps'!$B120:$U120,'changes2_based on steps'!$B$1:$U$1,V$1)</f>
        <v>0</v>
      </c>
      <c r="W120" s="179">
        <f>SUMIFS('recurring2_based on steps'!$B120:$AY120,'recurring2_based on steps'!$B$1:$AY$1,W$1)+SUMIFS('changes2_based on steps'!$B120:$U120,'changes2_based on steps'!$B$1:$U$1,W$1)</f>
        <v>0</v>
      </c>
      <c r="X120" s="179">
        <f>SUMIFS('recurring2_based on steps'!$B120:$AY120,'recurring2_based on steps'!$B$1:$AY$1,X$1)+SUMIFS('changes2_based on steps'!$B120:$U120,'changes2_based on steps'!$B$1:$U$1,X$1)</f>
        <v>0</v>
      </c>
      <c r="Y120" s="179">
        <f>SUMIFS('recurring2_based on steps'!$B120:$AY120,'recurring2_based on steps'!$B$1:$AY$1,Y$1)+SUMIFS('changes2_based on steps'!$B120:$U120,'changes2_based on steps'!$B$1:$U$1,Y$1)</f>
        <v>0</v>
      </c>
      <c r="Z120" s="179">
        <f>SUMIFS('recurring2_based on steps'!$B120:$AY120,'recurring2_based on steps'!$B$1:$AY$1,Z$1)+SUMIFS('changes2_based on steps'!$B120:$U120,'changes2_based on steps'!$B$1:$U$1,Z$1)</f>
        <v>0</v>
      </c>
      <c r="AA120" s="179">
        <f>SUMIFS('recurring2_based on steps'!$B120:$AY120,'recurring2_based on steps'!$B$1:$AY$1,AA$1)+SUMIFS('changes2_based on steps'!$B120:$U120,'changes2_based on steps'!$B$1:$U$1,AA$1)</f>
        <v>0</v>
      </c>
      <c r="AB120" s="179">
        <f>SUMIFS('recurring2_based on steps'!$B120:$AY120,'recurring2_based on steps'!$B$1:$AY$1,AB$1)+SUMIFS('changes2_based on steps'!$B120:$U120,'changes2_based on steps'!$B$1:$U$1,AB$1)</f>
        <v>0</v>
      </c>
      <c r="AC120" s="179">
        <f>SUMIFS('recurring2_based on steps'!$B120:$AY120,'recurring2_based on steps'!$B$1:$AY$1,AC$1)+SUMIFS('changes2_based on steps'!$B120:$U120,'changes2_based on steps'!$B$1:$U$1,AC$1)</f>
        <v>0</v>
      </c>
      <c r="AD120" s="179">
        <f>SUMIFS('recurring2_based on steps'!$B120:$AY120,'recurring2_based on steps'!$B$1:$AY$1,AD$1)+SUMIFS('changes2_based on steps'!$B120:$U120,'changes2_based on steps'!$B$1:$U$1,AD$1)</f>
        <v>0</v>
      </c>
      <c r="AE120" s="179">
        <f>SUMIFS('recurring2_based on steps'!$B120:$AY120,'recurring2_based on steps'!$B$1:$AY$1,AE$1)+SUMIFS('changes2_based on steps'!$B120:$U120,'changes2_based on steps'!$B$1:$U$1,AE$1)</f>
        <v>0</v>
      </c>
      <c r="AF120" s="179"/>
      <c r="AG120" s="179"/>
      <c r="AH120" s="179"/>
      <c r="AI120" s="179"/>
      <c r="AJ120" s="179"/>
      <c r="AK120" s="179"/>
      <c r="AL120" s="179"/>
      <c r="AM120" s="179"/>
    </row>
    <row r="121" spans="1:39" x14ac:dyDescent="0.2">
      <c r="A121" s="32">
        <f t="shared" ca="1" si="1"/>
        <v>45863</v>
      </c>
      <c r="B121" s="179">
        <f>SUMIFS('recurring2_based on steps'!$B121:$AY121,'recurring2_based on steps'!$B$1:$AY$1,B$1)+SUMIFS('changes2_based on steps'!$B121:$U121,'changes2_based on steps'!$B$1:$U$1,B$1)</f>
        <v>0</v>
      </c>
      <c r="C121" s="179">
        <f>SUMIFS('recurring2_based on steps'!$B121:$AY121,'recurring2_based on steps'!$B$1:$AY$1,C$1)+SUMIFS('changes2_based on steps'!$B121:$U121,'changes2_based on steps'!$B$1:$U$1,C$1)</f>
        <v>0</v>
      </c>
      <c r="D121" s="179">
        <f>SUMIFS('recurring2_based on steps'!$B121:$AY121,'recurring2_based on steps'!$B$1:$AY$1,D$1)+SUMIFS('changes2_based on steps'!$B121:$U121,'changes2_based on steps'!$B$1:$U$1,D$1)</f>
        <v>0</v>
      </c>
      <c r="E121" s="179">
        <f>SUMIFS('recurring2_based on steps'!$B121:$AY121,'recurring2_based on steps'!$B$1:$AY$1,E$1)+SUMIFS('changes2_based on steps'!$B121:$U121,'changes2_based on steps'!$B$1:$U$1,E$1)</f>
        <v>0</v>
      </c>
      <c r="F121" s="179">
        <f>SUMIFS('recurring2_based on steps'!$B121:$AY121,'recurring2_based on steps'!$B$1:$AY$1,F$1)+SUMIFS('changes2_based on steps'!$B121:$U121,'changes2_based on steps'!$B$1:$U$1,F$1)</f>
        <v>0</v>
      </c>
      <c r="G121" s="179">
        <f>SUMIFS('recurring2_based on steps'!$B121:$AY121,'recurring2_based on steps'!$B$1:$AY$1,G$1)+SUMIFS('changes2_based on steps'!$B121:$U121,'changes2_based on steps'!$B$1:$U$1,G$1)</f>
        <v>0</v>
      </c>
      <c r="H121" s="179">
        <f>SUMIFS('recurring2_based on steps'!$B121:$AY121,'recurring2_based on steps'!$B$1:$AY$1,H$1)+SUMIFS('changes2_based on steps'!$B121:$U121,'changes2_based on steps'!$B$1:$U$1,H$1)</f>
        <v>0</v>
      </c>
      <c r="I121" s="179">
        <f>SUMIFS('recurring2_based on steps'!$B121:$AY121,'recurring2_based on steps'!$B$1:$AY$1,I$1)+SUMIFS('changes2_based on steps'!$B121:$U121,'changes2_based on steps'!$B$1:$U$1,I$1)</f>
        <v>0</v>
      </c>
      <c r="J121" s="179">
        <f>SUMIFS('recurring2_based on steps'!$B121:$AY121,'recurring2_based on steps'!$B$1:$AY$1,J$1)+SUMIFS('changes2_based on steps'!$B121:$U121,'changes2_based on steps'!$B$1:$U$1,J$1)</f>
        <v>0</v>
      </c>
      <c r="K121" s="179">
        <f>SUMIFS('recurring2_based on steps'!$B121:$AY121,'recurring2_based on steps'!$B$1:$AY$1,K$1)+SUMIFS('changes2_based on steps'!$B121:$U121,'changes2_based on steps'!$B$1:$U$1,K$1)</f>
        <v>0</v>
      </c>
      <c r="L121" s="179">
        <f>SUMIFS('recurring2_based on steps'!$B121:$AY121,'recurring2_based on steps'!$B$1:$AY$1,L$1)+SUMIFS('changes2_based on steps'!$B121:$U121,'changes2_based on steps'!$B$1:$U$1,L$1)</f>
        <v>0</v>
      </c>
      <c r="M121" s="179">
        <f>SUMIFS('recurring2_based on steps'!$B121:$AY121,'recurring2_based on steps'!$B$1:$AY$1,M$1)+SUMIFS('changes2_based on steps'!$B121:$U121,'changes2_based on steps'!$B$1:$U$1,M$1)</f>
        <v>0</v>
      </c>
      <c r="N121" s="179">
        <f>SUMIFS('recurring2_based on steps'!$B121:$AY121,'recurring2_based on steps'!$B$1:$AY$1,N$1)+SUMIFS('changes2_based on steps'!$B121:$U121,'changes2_based on steps'!$B$1:$U$1,N$1)</f>
        <v>0</v>
      </c>
      <c r="O121" s="179">
        <f>SUMIFS('recurring2_based on steps'!$B121:$AY121,'recurring2_based on steps'!$B$1:$AY$1,O$1)+SUMIFS('changes2_based on steps'!$B121:$U121,'changes2_based on steps'!$B$1:$U$1,O$1)</f>
        <v>0</v>
      </c>
      <c r="P121" s="179">
        <f>SUMIFS('recurring2_based on steps'!$B121:$AY121,'recurring2_based on steps'!$B$1:$AY$1,P$1)+SUMIFS('changes2_based on steps'!$B121:$U121,'changes2_based on steps'!$B$1:$U$1,P$1)</f>
        <v>0</v>
      </c>
      <c r="Q121" s="179">
        <f>SUMIFS('recurring2_based on steps'!$B121:$AY121,'recurring2_based on steps'!$B$1:$AY$1,Q$1)+SUMIFS('changes2_based on steps'!$B121:$U121,'changes2_based on steps'!$B$1:$U$1,Q$1)</f>
        <v>0</v>
      </c>
      <c r="R121" s="179">
        <f>SUMIFS('recurring2_based on steps'!$B121:$AY121,'recurring2_based on steps'!$B$1:$AY$1,R$1)+SUMIFS('changes2_based on steps'!$B121:$U121,'changes2_based on steps'!$B$1:$U$1,R$1)</f>
        <v>0</v>
      </c>
      <c r="S121" s="179">
        <f>SUMIFS('recurring2_based on steps'!$B121:$AY121,'recurring2_based on steps'!$B$1:$AY$1,S$1)+SUMIFS('changes2_based on steps'!$B121:$U121,'changes2_based on steps'!$B$1:$U$1,S$1)</f>
        <v>0</v>
      </c>
      <c r="T121" s="179">
        <f>SUMIFS('recurring2_based on steps'!$B121:$AY121,'recurring2_based on steps'!$B$1:$AY$1,T$1)+SUMIFS('changes2_based on steps'!$B121:$U121,'changes2_based on steps'!$B$1:$U$1,T$1)</f>
        <v>0</v>
      </c>
      <c r="U121" s="179">
        <f>SUMIFS('recurring2_based on steps'!$B121:$AY121,'recurring2_based on steps'!$B$1:$AY$1,U$1)+SUMIFS('changes2_based on steps'!$B121:$U121,'changes2_based on steps'!$B$1:$U$1,U$1)</f>
        <v>0</v>
      </c>
      <c r="V121" s="179">
        <f>SUMIFS('recurring2_based on steps'!$B121:$AY121,'recurring2_based on steps'!$B$1:$AY$1,V$1)+SUMIFS('changes2_based on steps'!$B121:$U121,'changes2_based on steps'!$B$1:$U$1,V$1)</f>
        <v>0</v>
      </c>
      <c r="W121" s="179">
        <f>SUMIFS('recurring2_based on steps'!$B121:$AY121,'recurring2_based on steps'!$B$1:$AY$1,W$1)+SUMIFS('changes2_based on steps'!$B121:$U121,'changes2_based on steps'!$B$1:$U$1,W$1)</f>
        <v>0</v>
      </c>
      <c r="X121" s="179">
        <f>SUMIFS('recurring2_based on steps'!$B121:$AY121,'recurring2_based on steps'!$B$1:$AY$1,X$1)+SUMIFS('changes2_based on steps'!$B121:$U121,'changes2_based on steps'!$B$1:$U$1,X$1)</f>
        <v>0</v>
      </c>
      <c r="Y121" s="179">
        <f>SUMIFS('recurring2_based on steps'!$B121:$AY121,'recurring2_based on steps'!$B$1:$AY$1,Y$1)+SUMIFS('changes2_based on steps'!$B121:$U121,'changes2_based on steps'!$B$1:$U$1,Y$1)</f>
        <v>0</v>
      </c>
      <c r="Z121" s="179">
        <f>SUMIFS('recurring2_based on steps'!$B121:$AY121,'recurring2_based on steps'!$B$1:$AY$1,Z$1)+SUMIFS('changes2_based on steps'!$B121:$U121,'changes2_based on steps'!$B$1:$U$1,Z$1)</f>
        <v>0</v>
      </c>
      <c r="AA121" s="179">
        <f>SUMIFS('recurring2_based on steps'!$B121:$AY121,'recurring2_based on steps'!$B$1:$AY$1,AA$1)+SUMIFS('changes2_based on steps'!$B121:$U121,'changes2_based on steps'!$B$1:$U$1,AA$1)</f>
        <v>0</v>
      </c>
      <c r="AB121" s="179">
        <f>SUMIFS('recurring2_based on steps'!$B121:$AY121,'recurring2_based on steps'!$B$1:$AY$1,AB$1)+SUMIFS('changes2_based on steps'!$B121:$U121,'changes2_based on steps'!$B$1:$U$1,AB$1)</f>
        <v>0</v>
      </c>
      <c r="AC121" s="179">
        <f>SUMIFS('recurring2_based on steps'!$B121:$AY121,'recurring2_based on steps'!$B$1:$AY$1,AC$1)+SUMIFS('changes2_based on steps'!$B121:$U121,'changes2_based on steps'!$B$1:$U$1,AC$1)</f>
        <v>0</v>
      </c>
      <c r="AD121" s="179">
        <f>SUMIFS('recurring2_based on steps'!$B121:$AY121,'recurring2_based on steps'!$B$1:$AY$1,AD$1)+SUMIFS('changes2_based on steps'!$B121:$U121,'changes2_based on steps'!$B$1:$U$1,AD$1)</f>
        <v>0</v>
      </c>
      <c r="AE121" s="179">
        <f>SUMIFS('recurring2_based on steps'!$B121:$AY121,'recurring2_based on steps'!$B$1:$AY$1,AE$1)+SUMIFS('changes2_based on steps'!$B121:$U121,'changes2_based on steps'!$B$1:$U$1,AE$1)</f>
        <v>0</v>
      </c>
      <c r="AF121" s="179"/>
      <c r="AG121" s="179"/>
      <c r="AH121" s="179"/>
      <c r="AI121" s="179"/>
      <c r="AJ121" s="179"/>
      <c r="AK121" s="179"/>
      <c r="AL121" s="179"/>
      <c r="AM121" s="179"/>
    </row>
    <row r="122" spans="1:39" x14ac:dyDescent="0.2">
      <c r="A122" s="32">
        <f t="shared" ca="1" si="1"/>
        <v>45864</v>
      </c>
      <c r="B122" s="179">
        <f>SUMIFS('recurring2_based on steps'!$B122:$AY122,'recurring2_based on steps'!$B$1:$AY$1,B$1)+SUMIFS('changes2_based on steps'!$B122:$U122,'changes2_based on steps'!$B$1:$U$1,B$1)</f>
        <v>0</v>
      </c>
      <c r="C122" s="179">
        <f>SUMIFS('recurring2_based on steps'!$B122:$AY122,'recurring2_based on steps'!$B$1:$AY$1,C$1)+SUMIFS('changes2_based on steps'!$B122:$U122,'changes2_based on steps'!$B$1:$U$1,C$1)</f>
        <v>0</v>
      </c>
      <c r="D122" s="179">
        <f>SUMIFS('recurring2_based on steps'!$B122:$AY122,'recurring2_based on steps'!$B$1:$AY$1,D$1)+SUMIFS('changes2_based on steps'!$B122:$U122,'changes2_based on steps'!$B$1:$U$1,D$1)</f>
        <v>0</v>
      </c>
      <c r="E122" s="179">
        <f>SUMIFS('recurring2_based on steps'!$B122:$AY122,'recurring2_based on steps'!$B$1:$AY$1,E$1)+SUMIFS('changes2_based on steps'!$B122:$U122,'changes2_based on steps'!$B$1:$U$1,E$1)</f>
        <v>0</v>
      </c>
      <c r="F122" s="179">
        <f>SUMIFS('recurring2_based on steps'!$B122:$AY122,'recurring2_based on steps'!$B$1:$AY$1,F$1)+SUMIFS('changes2_based on steps'!$B122:$U122,'changes2_based on steps'!$B$1:$U$1,F$1)</f>
        <v>0</v>
      </c>
      <c r="G122" s="179">
        <f>SUMIFS('recurring2_based on steps'!$B122:$AY122,'recurring2_based on steps'!$B$1:$AY$1,G$1)+SUMIFS('changes2_based on steps'!$B122:$U122,'changes2_based on steps'!$B$1:$U$1,G$1)</f>
        <v>0</v>
      </c>
      <c r="H122" s="179">
        <f>SUMIFS('recurring2_based on steps'!$B122:$AY122,'recurring2_based on steps'!$B$1:$AY$1,H$1)+SUMIFS('changes2_based on steps'!$B122:$U122,'changes2_based on steps'!$B$1:$U$1,H$1)</f>
        <v>0</v>
      </c>
      <c r="I122" s="179">
        <f>SUMIFS('recurring2_based on steps'!$B122:$AY122,'recurring2_based on steps'!$B$1:$AY$1,I$1)+SUMIFS('changes2_based on steps'!$B122:$U122,'changes2_based on steps'!$B$1:$U$1,I$1)</f>
        <v>0</v>
      </c>
      <c r="J122" s="179">
        <f>SUMIFS('recurring2_based on steps'!$B122:$AY122,'recurring2_based on steps'!$B$1:$AY$1,J$1)+SUMIFS('changes2_based on steps'!$B122:$U122,'changes2_based on steps'!$B$1:$U$1,J$1)</f>
        <v>0</v>
      </c>
      <c r="K122" s="179">
        <f>SUMIFS('recurring2_based on steps'!$B122:$AY122,'recurring2_based on steps'!$B$1:$AY$1,K$1)+SUMIFS('changes2_based on steps'!$B122:$U122,'changes2_based on steps'!$B$1:$U$1,K$1)</f>
        <v>0</v>
      </c>
      <c r="L122" s="179">
        <f>SUMIFS('recurring2_based on steps'!$B122:$AY122,'recurring2_based on steps'!$B$1:$AY$1,L$1)+SUMIFS('changes2_based on steps'!$B122:$U122,'changes2_based on steps'!$B$1:$U$1,L$1)</f>
        <v>0</v>
      </c>
      <c r="M122" s="179">
        <f>SUMIFS('recurring2_based on steps'!$B122:$AY122,'recurring2_based on steps'!$B$1:$AY$1,M$1)+SUMIFS('changes2_based on steps'!$B122:$U122,'changes2_based on steps'!$B$1:$U$1,M$1)</f>
        <v>0</v>
      </c>
      <c r="N122" s="179">
        <f>SUMIFS('recurring2_based on steps'!$B122:$AY122,'recurring2_based on steps'!$B$1:$AY$1,N$1)+SUMIFS('changes2_based on steps'!$B122:$U122,'changes2_based on steps'!$B$1:$U$1,N$1)</f>
        <v>0</v>
      </c>
      <c r="O122" s="179">
        <f>SUMIFS('recurring2_based on steps'!$B122:$AY122,'recurring2_based on steps'!$B$1:$AY$1,O$1)+SUMIFS('changes2_based on steps'!$B122:$U122,'changes2_based on steps'!$B$1:$U$1,O$1)</f>
        <v>0</v>
      </c>
      <c r="P122" s="179">
        <f>SUMIFS('recurring2_based on steps'!$B122:$AY122,'recurring2_based on steps'!$B$1:$AY$1,P$1)+SUMIFS('changes2_based on steps'!$B122:$U122,'changes2_based on steps'!$B$1:$U$1,P$1)</f>
        <v>0</v>
      </c>
      <c r="Q122" s="179">
        <f>SUMIFS('recurring2_based on steps'!$B122:$AY122,'recurring2_based on steps'!$B$1:$AY$1,Q$1)+SUMIFS('changes2_based on steps'!$B122:$U122,'changes2_based on steps'!$B$1:$U$1,Q$1)</f>
        <v>0</v>
      </c>
      <c r="R122" s="179">
        <f>SUMIFS('recurring2_based on steps'!$B122:$AY122,'recurring2_based on steps'!$B$1:$AY$1,R$1)+SUMIFS('changes2_based on steps'!$B122:$U122,'changes2_based on steps'!$B$1:$U$1,R$1)</f>
        <v>0</v>
      </c>
      <c r="S122" s="179">
        <f>SUMIFS('recurring2_based on steps'!$B122:$AY122,'recurring2_based on steps'!$B$1:$AY$1,S$1)+SUMIFS('changes2_based on steps'!$B122:$U122,'changes2_based on steps'!$B$1:$U$1,S$1)</f>
        <v>0</v>
      </c>
      <c r="T122" s="179">
        <f>SUMIFS('recurring2_based on steps'!$B122:$AY122,'recurring2_based on steps'!$B$1:$AY$1,T$1)+SUMIFS('changes2_based on steps'!$B122:$U122,'changes2_based on steps'!$B$1:$U$1,T$1)</f>
        <v>0</v>
      </c>
      <c r="U122" s="179">
        <f>SUMIFS('recurring2_based on steps'!$B122:$AY122,'recurring2_based on steps'!$B$1:$AY$1,U$1)+SUMIFS('changes2_based on steps'!$B122:$U122,'changes2_based on steps'!$B$1:$U$1,U$1)</f>
        <v>0</v>
      </c>
      <c r="V122" s="179">
        <f>SUMIFS('recurring2_based on steps'!$B122:$AY122,'recurring2_based on steps'!$B$1:$AY$1,V$1)+SUMIFS('changes2_based on steps'!$B122:$U122,'changes2_based on steps'!$B$1:$U$1,V$1)</f>
        <v>0</v>
      </c>
      <c r="W122" s="179">
        <f>SUMIFS('recurring2_based on steps'!$B122:$AY122,'recurring2_based on steps'!$B$1:$AY$1,W$1)+SUMIFS('changes2_based on steps'!$B122:$U122,'changes2_based on steps'!$B$1:$U$1,W$1)</f>
        <v>0</v>
      </c>
      <c r="X122" s="179">
        <f>SUMIFS('recurring2_based on steps'!$B122:$AY122,'recurring2_based on steps'!$B$1:$AY$1,X$1)+SUMIFS('changes2_based on steps'!$B122:$U122,'changes2_based on steps'!$B$1:$U$1,X$1)</f>
        <v>0</v>
      </c>
      <c r="Y122" s="179">
        <f>SUMIFS('recurring2_based on steps'!$B122:$AY122,'recurring2_based on steps'!$B$1:$AY$1,Y$1)+SUMIFS('changes2_based on steps'!$B122:$U122,'changes2_based on steps'!$B$1:$U$1,Y$1)</f>
        <v>0</v>
      </c>
      <c r="Z122" s="179">
        <f>SUMIFS('recurring2_based on steps'!$B122:$AY122,'recurring2_based on steps'!$B$1:$AY$1,Z$1)+SUMIFS('changes2_based on steps'!$B122:$U122,'changes2_based on steps'!$B$1:$U$1,Z$1)</f>
        <v>0</v>
      </c>
      <c r="AA122" s="179">
        <f>SUMIFS('recurring2_based on steps'!$B122:$AY122,'recurring2_based on steps'!$B$1:$AY$1,AA$1)+SUMIFS('changes2_based on steps'!$B122:$U122,'changes2_based on steps'!$B$1:$U$1,AA$1)</f>
        <v>0</v>
      </c>
      <c r="AB122" s="179">
        <f>SUMIFS('recurring2_based on steps'!$B122:$AY122,'recurring2_based on steps'!$B$1:$AY$1,AB$1)+SUMIFS('changes2_based on steps'!$B122:$U122,'changes2_based on steps'!$B$1:$U$1,AB$1)</f>
        <v>0</v>
      </c>
      <c r="AC122" s="179">
        <f>SUMIFS('recurring2_based on steps'!$B122:$AY122,'recurring2_based on steps'!$B$1:$AY$1,AC$1)+SUMIFS('changes2_based on steps'!$B122:$U122,'changes2_based on steps'!$B$1:$U$1,AC$1)</f>
        <v>0</v>
      </c>
      <c r="AD122" s="179">
        <f>SUMIFS('recurring2_based on steps'!$B122:$AY122,'recurring2_based on steps'!$B$1:$AY$1,AD$1)+SUMIFS('changes2_based on steps'!$B122:$U122,'changes2_based on steps'!$B$1:$U$1,AD$1)</f>
        <v>0</v>
      </c>
      <c r="AE122" s="179">
        <f>SUMIFS('recurring2_based on steps'!$B122:$AY122,'recurring2_based on steps'!$B$1:$AY$1,AE$1)+SUMIFS('changes2_based on steps'!$B122:$U122,'changes2_based on steps'!$B$1:$U$1,AE$1)</f>
        <v>0</v>
      </c>
      <c r="AF122" s="179"/>
      <c r="AG122" s="179"/>
      <c r="AH122" s="179"/>
      <c r="AI122" s="179"/>
      <c r="AJ122" s="179"/>
      <c r="AK122" s="179"/>
      <c r="AL122" s="179"/>
      <c r="AM122" s="179"/>
    </row>
    <row r="123" spans="1:39" x14ac:dyDescent="0.2">
      <c r="A123" s="32">
        <f t="shared" ca="1" si="1"/>
        <v>45865</v>
      </c>
      <c r="B123" s="179">
        <f>SUMIFS('recurring2_based on steps'!$B123:$AY123,'recurring2_based on steps'!$B$1:$AY$1,B$1)+SUMIFS('changes2_based on steps'!$B123:$U123,'changes2_based on steps'!$B$1:$U$1,B$1)</f>
        <v>0</v>
      </c>
      <c r="C123" s="179">
        <f>SUMIFS('recurring2_based on steps'!$B123:$AY123,'recurring2_based on steps'!$B$1:$AY$1,C$1)+SUMIFS('changes2_based on steps'!$B123:$U123,'changes2_based on steps'!$B$1:$U$1,C$1)</f>
        <v>0</v>
      </c>
      <c r="D123" s="179">
        <f>SUMIFS('recurring2_based on steps'!$B123:$AY123,'recurring2_based on steps'!$B$1:$AY$1,D$1)+SUMIFS('changes2_based on steps'!$B123:$U123,'changes2_based on steps'!$B$1:$U$1,D$1)</f>
        <v>0</v>
      </c>
      <c r="E123" s="179">
        <f>SUMIFS('recurring2_based on steps'!$B123:$AY123,'recurring2_based on steps'!$B$1:$AY$1,E$1)+SUMIFS('changes2_based on steps'!$B123:$U123,'changes2_based on steps'!$B$1:$U$1,E$1)</f>
        <v>0</v>
      </c>
      <c r="F123" s="179">
        <f>SUMIFS('recurring2_based on steps'!$B123:$AY123,'recurring2_based on steps'!$B$1:$AY$1,F$1)+SUMIFS('changes2_based on steps'!$B123:$U123,'changes2_based on steps'!$B$1:$U$1,F$1)</f>
        <v>0</v>
      </c>
      <c r="G123" s="179">
        <f>SUMIFS('recurring2_based on steps'!$B123:$AY123,'recurring2_based on steps'!$B$1:$AY$1,G$1)+SUMIFS('changes2_based on steps'!$B123:$U123,'changes2_based on steps'!$B$1:$U$1,G$1)</f>
        <v>0</v>
      </c>
      <c r="H123" s="179">
        <f>SUMIFS('recurring2_based on steps'!$B123:$AY123,'recurring2_based on steps'!$B$1:$AY$1,H$1)+SUMIFS('changes2_based on steps'!$B123:$U123,'changes2_based on steps'!$B$1:$U$1,H$1)</f>
        <v>0</v>
      </c>
      <c r="I123" s="179">
        <f>SUMIFS('recurring2_based on steps'!$B123:$AY123,'recurring2_based on steps'!$B$1:$AY$1,I$1)+SUMIFS('changes2_based on steps'!$B123:$U123,'changes2_based on steps'!$B$1:$U$1,I$1)</f>
        <v>0</v>
      </c>
      <c r="J123" s="179">
        <f>SUMIFS('recurring2_based on steps'!$B123:$AY123,'recurring2_based on steps'!$B$1:$AY$1,J$1)+SUMIFS('changes2_based on steps'!$B123:$U123,'changes2_based on steps'!$B$1:$U$1,J$1)</f>
        <v>0</v>
      </c>
      <c r="K123" s="179">
        <f>SUMIFS('recurring2_based on steps'!$B123:$AY123,'recurring2_based on steps'!$B$1:$AY$1,K$1)+SUMIFS('changes2_based on steps'!$B123:$U123,'changes2_based on steps'!$B$1:$U$1,K$1)</f>
        <v>0</v>
      </c>
      <c r="L123" s="179">
        <f>SUMIFS('recurring2_based on steps'!$B123:$AY123,'recurring2_based on steps'!$B$1:$AY$1,L$1)+SUMIFS('changes2_based on steps'!$B123:$U123,'changes2_based on steps'!$B$1:$U$1,L$1)</f>
        <v>0</v>
      </c>
      <c r="M123" s="179">
        <f>SUMIFS('recurring2_based on steps'!$B123:$AY123,'recurring2_based on steps'!$B$1:$AY$1,M$1)+SUMIFS('changes2_based on steps'!$B123:$U123,'changes2_based on steps'!$B$1:$U$1,M$1)</f>
        <v>0</v>
      </c>
      <c r="N123" s="179">
        <f>SUMIFS('recurring2_based on steps'!$B123:$AY123,'recurring2_based on steps'!$B$1:$AY$1,N$1)+SUMIFS('changes2_based on steps'!$B123:$U123,'changes2_based on steps'!$B$1:$U$1,N$1)</f>
        <v>0</v>
      </c>
      <c r="O123" s="179">
        <f>SUMIFS('recurring2_based on steps'!$B123:$AY123,'recurring2_based on steps'!$B$1:$AY$1,O$1)+SUMIFS('changes2_based on steps'!$B123:$U123,'changes2_based on steps'!$B$1:$U$1,O$1)</f>
        <v>0</v>
      </c>
      <c r="P123" s="179">
        <f>SUMIFS('recurring2_based on steps'!$B123:$AY123,'recurring2_based on steps'!$B$1:$AY$1,P$1)+SUMIFS('changes2_based on steps'!$B123:$U123,'changes2_based on steps'!$B$1:$U$1,P$1)</f>
        <v>0</v>
      </c>
      <c r="Q123" s="179">
        <f>SUMIFS('recurring2_based on steps'!$B123:$AY123,'recurring2_based on steps'!$B$1:$AY$1,Q$1)+SUMIFS('changes2_based on steps'!$B123:$U123,'changes2_based on steps'!$B$1:$U$1,Q$1)</f>
        <v>0</v>
      </c>
      <c r="R123" s="179">
        <f>SUMIFS('recurring2_based on steps'!$B123:$AY123,'recurring2_based on steps'!$B$1:$AY$1,R$1)+SUMIFS('changes2_based on steps'!$B123:$U123,'changes2_based on steps'!$B$1:$U$1,R$1)</f>
        <v>0</v>
      </c>
      <c r="S123" s="179">
        <f>SUMIFS('recurring2_based on steps'!$B123:$AY123,'recurring2_based on steps'!$B$1:$AY$1,S$1)+SUMIFS('changes2_based on steps'!$B123:$U123,'changes2_based on steps'!$B$1:$U$1,S$1)</f>
        <v>0</v>
      </c>
      <c r="T123" s="179">
        <f>SUMIFS('recurring2_based on steps'!$B123:$AY123,'recurring2_based on steps'!$B$1:$AY$1,T$1)+SUMIFS('changes2_based on steps'!$B123:$U123,'changes2_based on steps'!$B$1:$U$1,T$1)</f>
        <v>0</v>
      </c>
      <c r="U123" s="179">
        <f>SUMIFS('recurring2_based on steps'!$B123:$AY123,'recurring2_based on steps'!$B$1:$AY$1,U$1)+SUMIFS('changes2_based on steps'!$B123:$U123,'changes2_based on steps'!$B$1:$U$1,U$1)</f>
        <v>0</v>
      </c>
      <c r="V123" s="179">
        <f>SUMIFS('recurring2_based on steps'!$B123:$AY123,'recurring2_based on steps'!$B$1:$AY$1,V$1)+SUMIFS('changes2_based on steps'!$B123:$U123,'changes2_based on steps'!$B$1:$U$1,V$1)</f>
        <v>0</v>
      </c>
      <c r="W123" s="179">
        <f>SUMIFS('recurring2_based on steps'!$B123:$AY123,'recurring2_based on steps'!$B$1:$AY$1,W$1)+SUMIFS('changes2_based on steps'!$B123:$U123,'changes2_based on steps'!$B$1:$U$1,W$1)</f>
        <v>0</v>
      </c>
      <c r="X123" s="179">
        <f>SUMIFS('recurring2_based on steps'!$B123:$AY123,'recurring2_based on steps'!$B$1:$AY$1,X$1)+SUMIFS('changes2_based on steps'!$B123:$U123,'changes2_based on steps'!$B$1:$U$1,X$1)</f>
        <v>0</v>
      </c>
      <c r="Y123" s="179">
        <f>SUMIFS('recurring2_based on steps'!$B123:$AY123,'recurring2_based on steps'!$B$1:$AY$1,Y$1)+SUMIFS('changes2_based on steps'!$B123:$U123,'changes2_based on steps'!$B$1:$U$1,Y$1)</f>
        <v>0</v>
      </c>
      <c r="Z123" s="179">
        <f>SUMIFS('recurring2_based on steps'!$B123:$AY123,'recurring2_based on steps'!$B$1:$AY$1,Z$1)+SUMIFS('changes2_based on steps'!$B123:$U123,'changes2_based on steps'!$B$1:$U$1,Z$1)</f>
        <v>0</v>
      </c>
      <c r="AA123" s="179">
        <f>SUMIFS('recurring2_based on steps'!$B123:$AY123,'recurring2_based on steps'!$B$1:$AY$1,AA$1)+SUMIFS('changes2_based on steps'!$B123:$U123,'changes2_based on steps'!$B$1:$U$1,AA$1)</f>
        <v>0</v>
      </c>
      <c r="AB123" s="179">
        <f>SUMIFS('recurring2_based on steps'!$B123:$AY123,'recurring2_based on steps'!$B$1:$AY$1,AB$1)+SUMIFS('changes2_based on steps'!$B123:$U123,'changes2_based on steps'!$B$1:$U$1,AB$1)</f>
        <v>0</v>
      </c>
      <c r="AC123" s="179">
        <f>SUMIFS('recurring2_based on steps'!$B123:$AY123,'recurring2_based on steps'!$B$1:$AY$1,AC$1)+SUMIFS('changes2_based on steps'!$B123:$U123,'changes2_based on steps'!$B$1:$U$1,AC$1)</f>
        <v>0</v>
      </c>
      <c r="AD123" s="179">
        <f>SUMIFS('recurring2_based on steps'!$B123:$AY123,'recurring2_based on steps'!$B$1:$AY$1,AD$1)+SUMIFS('changes2_based on steps'!$B123:$U123,'changes2_based on steps'!$B$1:$U$1,AD$1)</f>
        <v>0</v>
      </c>
      <c r="AE123" s="179">
        <f>SUMIFS('recurring2_based on steps'!$B123:$AY123,'recurring2_based on steps'!$B$1:$AY$1,AE$1)+SUMIFS('changes2_based on steps'!$B123:$U123,'changes2_based on steps'!$B$1:$U$1,AE$1)</f>
        <v>0</v>
      </c>
      <c r="AF123" s="179"/>
      <c r="AG123" s="179"/>
      <c r="AH123" s="179"/>
      <c r="AI123" s="179"/>
      <c r="AJ123" s="179"/>
      <c r="AK123" s="179"/>
      <c r="AL123" s="179"/>
      <c r="AM123" s="179"/>
    </row>
    <row r="124" spans="1:39" x14ac:dyDescent="0.2">
      <c r="A124" s="32">
        <f t="shared" ca="1" si="1"/>
        <v>45866</v>
      </c>
      <c r="B124" s="179">
        <f>SUMIFS('recurring2_based on steps'!$B124:$AY124,'recurring2_based on steps'!$B$1:$AY$1,B$1)+SUMIFS('changes2_based on steps'!$B124:$U124,'changes2_based on steps'!$B$1:$U$1,B$1)</f>
        <v>0</v>
      </c>
      <c r="C124" s="179">
        <f>SUMIFS('recurring2_based on steps'!$B124:$AY124,'recurring2_based on steps'!$B$1:$AY$1,C$1)+SUMIFS('changes2_based on steps'!$B124:$U124,'changes2_based on steps'!$B$1:$U$1,C$1)</f>
        <v>0</v>
      </c>
      <c r="D124" s="179">
        <f>SUMIFS('recurring2_based on steps'!$B124:$AY124,'recurring2_based on steps'!$B$1:$AY$1,D$1)+SUMIFS('changes2_based on steps'!$B124:$U124,'changes2_based on steps'!$B$1:$U$1,D$1)</f>
        <v>0</v>
      </c>
      <c r="E124" s="179">
        <f>SUMIFS('recurring2_based on steps'!$B124:$AY124,'recurring2_based on steps'!$B$1:$AY$1,E$1)+SUMIFS('changes2_based on steps'!$B124:$U124,'changes2_based on steps'!$B$1:$U$1,E$1)</f>
        <v>0</v>
      </c>
      <c r="F124" s="179">
        <f>SUMIFS('recurring2_based on steps'!$B124:$AY124,'recurring2_based on steps'!$B$1:$AY$1,F$1)+SUMIFS('changes2_based on steps'!$B124:$U124,'changes2_based on steps'!$B$1:$U$1,F$1)</f>
        <v>0</v>
      </c>
      <c r="G124" s="179">
        <f>SUMIFS('recurring2_based on steps'!$B124:$AY124,'recurring2_based on steps'!$B$1:$AY$1,G$1)+SUMIFS('changes2_based on steps'!$B124:$U124,'changes2_based on steps'!$B$1:$U$1,G$1)</f>
        <v>0</v>
      </c>
      <c r="H124" s="179">
        <f>SUMIFS('recurring2_based on steps'!$B124:$AY124,'recurring2_based on steps'!$B$1:$AY$1,H$1)+SUMIFS('changes2_based on steps'!$B124:$U124,'changes2_based on steps'!$B$1:$U$1,H$1)</f>
        <v>0</v>
      </c>
      <c r="I124" s="179">
        <f>SUMIFS('recurring2_based on steps'!$B124:$AY124,'recurring2_based on steps'!$B$1:$AY$1,I$1)+SUMIFS('changes2_based on steps'!$B124:$U124,'changes2_based on steps'!$B$1:$U$1,I$1)</f>
        <v>0</v>
      </c>
      <c r="J124" s="179">
        <f>SUMIFS('recurring2_based on steps'!$B124:$AY124,'recurring2_based on steps'!$B$1:$AY$1,J$1)+SUMIFS('changes2_based on steps'!$B124:$U124,'changes2_based on steps'!$B$1:$U$1,J$1)</f>
        <v>0</v>
      </c>
      <c r="K124" s="179">
        <f>SUMIFS('recurring2_based on steps'!$B124:$AY124,'recurring2_based on steps'!$B$1:$AY$1,K$1)+SUMIFS('changes2_based on steps'!$B124:$U124,'changes2_based on steps'!$B$1:$U$1,K$1)</f>
        <v>0</v>
      </c>
      <c r="L124" s="179">
        <f>SUMIFS('recurring2_based on steps'!$B124:$AY124,'recurring2_based on steps'!$B$1:$AY$1,L$1)+SUMIFS('changes2_based on steps'!$B124:$U124,'changes2_based on steps'!$B$1:$U$1,L$1)</f>
        <v>0</v>
      </c>
      <c r="M124" s="179">
        <f>SUMIFS('recurring2_based on steps'!$B124:$AY124,'recurring2_based on steps'!$B$1:$AY$1,M$1)+SUMIFS('changes2_based on steps'!$B124:$U124,'changes2_based on steps'!$B$1:$U$1,M$1)</f>
        <v>0</v>
      </c>
      <c r="N124" s="179">
        <f>SUMIFS('recurring2_based on steps'!$B124:$AY124,'recurring2_based on steps'!$B$1:$AY$1,N$1)+SUMIFS('changes2_based on steps'!$B124:$U124,'changes2_based on steps'!$B$1:$U$1,N$1)</f>
        <v>0</v>
      </c>
      <c r="O124" s="179">
        <f>SUMIFS('recurring2_based on steps'!$B124:$AY124,'recurring2_based on steps'!$B$1:$AY$1,O$1)+SUMIFS('changes2_based on steps'!$B124:$U124,'changes2_based on steps'!$B$1:$U$1,O$1)</f>
        <v>0</v>
      </c>
      <c r="P124" s="179">
        <f>SUMIFS('recurring2_based on steps'!$B124:$AY124,'recurring2_based on steps'!$B$1:$AY$1,P$1)+SUMIFS('changes2_based on steps'!$B124:$U124,'changes2_based on steps'!$B$1:$U$1,P$1)</f>
        <v>0</v>
      </c>
      <c r="Q124" s="179">
        <f>SUMIFS('recurring2_based on steps'!$B124:$AY124,'recurring2_based on steps'!$B$1:$AY$1,Q$1)+SUMIFS('changes2_based on steps'!$B124:$U124,'changes2_based on steps'!$B$1:$U$1,Q$1)</f>
        <v>0</v>
      </c>
      <c r="R124" s="179">
        <f>SUMIFS('recurring2_based on steps'!$B124:$AY124,'recurring2_based on steps'!$B$1:$AY$1,R$1)+SUMIFS('changes2_based on steps'!$B124:$U124,'changes2_based on steps'!$B$1:$U$1,R$1)</f>
        <v>0</v>
      </c>
      <c r="S124" s="179">
        <f>SUMIFS('recurring2_based on steps'!$B124:$AY124,'recurring2_based on steps'!$B$1:$AY$1,S$1)+SUMIFS('changes2_based on steps'!$B124:$U124,'changes2_based on steps'!$B$1:$U$1,S$1)</f>
        <v>0</v>
      </c>
      <c r="T124" s="179">
        <f>SUMIFS('recurring2_based on steps'!$B124:$AY124,'recurring2_based on steps'!$B$1:$AY$1,T$1)+SUMIFS('changes2_based on steps'!$B124:$U124,'changes2_based on steps'!$B$1:$U$1,T$1)</f>
        <v>0</v>
      </c>
      <c r="U124" s="179">
        <f>SUMIFS('recurring2_based on steps'!$B124:$AY124,'recurring2_based on steps'!$B$1:$AY$1,U$1)+SUMIFS('changes2_based on steps'!$B124:$U124,'changes2_based on steps'!$B$1:$U$1,U$1)</f>
        <v>0</v>
      </c>
      <c r="V124" s="179">
        <f>SUMIFS('recurring2_based on steps'!$B124:$AY124,'recurring2_based on steps'!$B$1:$AY$1,V$1)+SUMIFS('changes2_based on steps'!$B124:$U124,'changes2_based on steps'!$B$1:$U$1,V$1)</f>
        <v>0</v>
      </c>
      <c r="W124" s="179">
        <f>SUMIFS('recurring2_based on steps'!$B124:$AY124,'recurring2_based on steps'!$B$1:$AY$1,W$1)+SUMIFS('changes2_based on steps'!$B124:$U124,'changes2_based on steps'!$B$1:$U$1,W$1)</f>
        <v>0</v>
      </c>
      <c r="X124" s="179">
        <f>SUMIFS('recurring2_based on steps'!$B124:$AY124,'recurring2_based on steps'!$B$1:$AY$1,X$1)+SUMIFS('changes2_based on steps'!$B124:$U124,'changes2_based on steps'!$B$1:$U$1,X$1)</f>
        <v>0</v>
      </c>
      <c r="Y124" s="179">
        <f>SUMIFS('recurring2_based on steps'!$B124:$AY124,'recurring2_based on steps'!$B$1:$AY$1,Y$1)+SUMIFS('changes2_based on steps'!$B124:$U124,'changes2_based on steps'!$B$1:$U$1,Y$1)</f>
        <v>0</v>
      </c>
      <c r="Z124" s="179">
        <f>SUMIFS('recurring2_based on steps'!$B124:$AY124,'recurring2_based on steps'!$B$1:$AY$1,Z$1)+SUMIFS('changes2_based on steps'!$B124:$U124,'changes2_based on steps'!$B$1:$U$1,Z$1)</f>
        <v>0</v>
      </c>
      <c r="AA124" s="179">
        <f>SUMIFS('recurring2_based on steps'!$B124:$AY124,'recurring2_based on steps'!$B$1:$AY$1,AA$1)+SUMIFS('changes2_based on steps'!$B124:$U124,'changes2_based on steps'!$B$1:$U$1,AA$1)</f>
        <v>0</v>
      </c>
      <c r="AB124" s="179">
        <f>SUMIFS('recurring2_based on steps'!$B124:$AY124,'recurring2_based on steps'!$B$1:$AY$1,AB$1)+SUMIFS('changes2_based on steps'!$B124:$U124,'changes2_based on steps'!$B$1:$U$1,AB$1)</f>
        <v>0</v>
      </c>
      <c r="AC124" s="179">
        <f>SUMIFS('recurring2_based on steps'!$B124:$AY124,'recurring2_based on steps'!$B$1:$AY$1,AC$1)+SUMIFS('changes2_based on steps'!$B124:$U124,'changes2_based on steps'!$B$1:$U$1,AC$1)</f>
        <v>0</v>
      </c>
      <c r="AD124" s="179">
        <f>SUMIFS('recurring2_based on steps'!$B124:$AY124,'recurring2_based on steps'!$B$1:$AY$1,AD$1)+SUMIFS('changes2_based on steps'!$B124:$U124,'changes2_based on steps'!$B$1:$U$1,AD$1)</f>
        <v>0</v>
      </c>
      <c r="AE124" s="179">
        <f>SUMIFS('recurring2_based on steps'!$B124:$AY124,'recurring2_based on steps'!$B$1:$AY$1,AE$1)+SUMIFS('changes2_based on steps'!$B124:$U124,'changes2_based on steps'!$B$1:$U$1,AE$1)</f>
        <v>0</v>
      </c>
      <c r="AF124" s="179"/>
      <c r="AG124" s="179"/>
      <c r="AH124" s="179"/>
      <c r="AI124" s="179"/>
      <c r="AJ124" s="179"/>
      <c r="AK124" s="179"/>
      <c r="AL124" s="179"/>
      <c r="AM124" s="179"/>
    </row>
    <row r="125" spans="1:39" x14ac:dyDescent="0.2">
      <c r="A125" s="32">
        <f t="shared" ca="1" si="1"/>
        <v>45867</v>
      </c>
      <c r="B125" s="179">
        <f>SUMIFS('recurring2_based on steps'!$B125:$AY125,'recurring2_based on steps'!$B$1:$AY$1,B$1)+SUMIFS('changes2_based on steps'!$B125:$U125,'changes2_based on steps'!$B$1:$U$1,B$1)</f>
        <v>0</v>
      </c>
      <c r="C125" s="179">
        <f>SUMIFS('recurring2_based on steps'!$B125:$AY125,'recurring2_based on steps'!$B$1:$AY$1,C$1)+SUMIFS('changes2_based on steps'!$B125:$U125,'changes2_based on steps'!$B$1:$U$1,C$1)</f>
        <v>0</v>
      </c>
      <c r="D125" s="179">
        <f>SUMIFS('recurring2_based on steps'!$B125:$AY125,'recurring2_based on steps'!$B$1:$AY$1,D$1)+SUMIFS('changes2_based on steps'!$B125:$U125,'changes2_based on steps'!$B$1:$U$1,D$1)</f>
        <v>0</v>
      </c>
      <c r="E125" s="179">
        <f>SUMIFS('recurring2_based on steps'!$B125:$AY125,'recurring2_based on steps'!$B$1:$AY$1,E$1)+SUMIFS('changes2_based on steps'!$B125:$U125,'changes2_based on steps'!$B$1:$U$1,E$1)</f>
        <v>0</v>
      </c>
      <c r="F125" s="179">
        <f>SUMIFS('recurring2_based on steps'!$B125:$AY125,'recurring2_based on steps'!$B$1:$AY$1,F$1)+SUMIFS('changes2_based on steps'!$B125:$U125,'changes2_based on steps'!$B$1:$U$1,F$1)</f>
        <v>0</v>
      </c>
      <c r="G125" s="179">
        <f>SUMIFS('recurring2_based on steps'!$B125:$AY125,'recurring2_based on steps'!$B$1:$AY$1,G$1)+SUMIFS('changes2_based on steps'!$B125:$U125,'changes2_based on steps'!$B$1:$U$1,G$1)</f>
        <v>0</v>
      </c>
      <c r="H125" s="179">
        <f>SUMIFS('recurring2_based on steps'!$B125:$AY125,'recurring2_based on steps'!$B$1:$AY$1,H$1)+SUMIFS('changes2_based on steps'!$B125:$U125,'changes2_based on steps'!$B$1:$U$1,H$1)</f>
        <v>0</v>
      </c>
      <c r="I125" s="179">
        <f>SUMIFS('recurring2_based on steps'!$B125:$AY125,'recurring2_based on steps'!$B$1:$AY$1,I$1)+SUMIFS('changes2_based on steps'!$B125:$U125,'changes2_based on steps'!$B$1:$U$1,I$1)</f>
        <v>0</v>
      </c>
      <c r="J125" s="179">
        <f>SUMIFS('recurring2_based on steps'!$B125:$AY125,'recurring2_based on steps'!$B$1:$AY$1,J$1)+SUMIFS('changes2_based on steps'!$B125:$U125,'changes2_based on steps'!$B$1:$U$1,J$1)</f>
        <v>0</v>
      </c>
      <c r="K125" s="179">
        <f>SUMIFS('recurring2_based on steps'!$B125:$AY125,'recurring2_based on steps'!$B$1:$AY$1,K$1)+SUMIFS('changes2_based on steps'!$B125:$U125,'changes2_based on steps'!$B$1:$U$1,K$1)</f>
        <v>0</v>
      </c>
      <c r="L125" s="179">
        <f>SUMIFS('recurring2_based on steps'!$B125:$AY125,'recurring2_based on steps'!$B$1:$AY$1,L$1)+SUMIFS('changes2_based on steps'!$B125:$U125,'changes2_based on steps'!$B$1:$U$1,L$1)</f>
        <v>0</v>
      </c>
      <c r="M125" s="179">
        <f>SUMIFS('recurring2_based on steps'!$B125:$AY125,'recurring2_based on steps'!$B$1:$AY$1,M$1)+SUMIFS('changes2_based on steps'!$B125:$U125,'changes2_based on steps'!$B$1:$U$1,M$1)</f>
        <v>0</v>
      </c>
      <c r="N125" s="179">
        <f>SUMIFS('recurring2_based on steps'!$B125:$AY125,'recurring2_based on steps'!$B$1:$AY$1,N$1)+SUMIFS('changes2_based on steps'!$B125:$U125,'changes2_based on steps'!$B$1:$U$1,N$1)</f>
        <v>0</v>
      </c>
      <c r="O125" s="179">
        <f>SUMIFS('recurring2_based on steps'!$B125:$AY125,'recurring2_based on steps'!$B$1:$AY$1,O$1)+SUMIFS('changes2_based on steps'!$B125:$U125,'changes2_based on steps'!$B$1:$U$1,O$1)</f>
        <v>0</v>
      </c>
      <c r="P125" s="179">
        <f>SUMIFS('recurring2_based on steps'!$B125:$AY125,'recurring2_based on steps'!$B$1:$AY$1,P$1)+SUMIFS('changes2_based on steps'!$B125:$U125,'changes2_based on steps'!$B$1:$U$1,P$1)</f>
        <v>0</v>
      </c>
      <c r="Q125" s="179">
        <f>SUMIFS('recurring2_based on steps'!$B125:$AY125,'recurring2_based on steps'!$B$1:$AY$1,Q$1)+SUMIFS('changes2_based on steps'!$B125:$U125,'changes2_based on steps'!$B$1:$U$1,Q$1)</f>
        <v>0</v>
      </c>
      <c r="R125" s="179">
        <f>SUMIFS('recurring2_based on steps'!$B125:$AY125,'recurring2_based on steps'!$B$1:$AY$1,R$1)+SUMIFS('changes2_based on steps'!$B125:$U125,'changes2_based on steps'!$B$1:$U$1,R$1)</f>
        <v>0</v>
      </c>
      <c r="S125" s="179">
        <f>SUMIFS('recurring2_based on steps'!$B125:$AY125,'recurring2_based on steps'!$B$1:$AY$1,S$1)+SUMIFS('changes2_based on steps'!$B125:$U125,'changes2_based on steps'!$B$1:$U$1,S$1)</f>
        <v>0</v>
      </c>
      <c r="T125" s="179">
        <f>SUMIFS('recurring2_based on steps'!$B125:$AY125,'recurring2_based on steps'!$B$1:$AY$1,T$1)+SUMIFS('changes2_based on steps'!$B125:$U125,'changes2_based on steps'!$B$1:$U$1,T$1)</f>
        <v>0</v>
      </c>
      <c r="U125" s="179">
        <f>SUMIFS('recurring2_based on steps'!$B125:$AY125,'recurring2_based on steps'!$B$1:$AY$1,U$1)+SUMIFS('changes2_based on steps'!$B125:$U125,'changes2_based on steps'!$B$1:$U$1,U$1)</f>
        <v>0</v>
      </c>
      <c r="V125" s="179">
        <f>SUMIFS('recurring2_based on steps'!$B125:$AY125,'recurring2_based on steps'!$B$1:$AY$1,V$1)+SUMIFS('changes2_based on steps'!$B125:$U125,'changes2_based on steps'!$B$1:$U$1,V$1)</f>
        <v>0</v>
      </c>
      <c r="W125" s="179">
        <f>SUMIFS('recurring2_based on steps'!$B125:$AY125,'recurring2_based on steps'!$B$1:$AY$1,W$1)+SUMIFS('changes2_based on steps'!$B125:$U125,'changes2_based on steps'!$B$1:$U$1,W$1)</f>
        <v>0</v>
      </c>
      <c r="X125" s="179">
        <f>SUMIFS('recurring2_based on steps'!$B125:$AY125,'recurring2_based on steps'!$B$1:$AY$1,X$1)+SUMIFS('changes2_based on steps'!$B125:$U125,'changes2_based on steps'!$B$1:$U$1,X$1)</f>
        <v>0</v>
      </c>
      <c r="Y125" s="179">
        <f>SUMIFS('recurring2_based on steps'!$B125:$AY125,'recurring2_based on steps'!$B$1:$AY$1,Y$1)+SUMIFS('changes2_based on steps'!$B125:$U125,'changes2_based on steps'!$B$1:$U$1,Y$1)</f>
        <v>0</v>
      </c>
      <c r="Z125" s="179">
        <f>SUMIFS('recurring2_based on steps'!$B125:$AY125,'recurring2_based on steps'!$B$1:$AY$1,Z$1)+SUMIFS('changes2_based on steps'!$B125:$U125,'changes2_based on steps'!$B$1:$U$1,Z$1)</f>
        <v>0</v>
      </c>
      <c r="AA125" s="179">
        <f>SUMIFS('recurring2_based on steps'!$B125:$AY125,'recurring2_based on steps'!$B$1:$AY$1,AA$1)+SUMIFS('changes2_based on steps'!$B125:$U125,'changes2_based on steps'!$B$1:$U$1,AA$1)</f>
        <v>0</v>
      </c>
      <c r="AB125" s="179">
        <f>SUMIFS('recurring2_based on steps'!$B125:$AY125,'recurring2_based on steps'!$B$1:$AY$1,AB$1)+SUMIFS('changes2_based on steps'!$B125:$U125,'changes2_based on steps'!$B$1:$U$1,AB$1)</f>
        <v>0</v>
      </c>
      <c r="AC125" s="179">
        <f>SUMIFS('recurring2_based on steps'!$B125:$AY125,'recurring2_based on steps'!$B$1:$AY$1,AC$1)+SUMIFS('changes2_based on steps'!$B125:$U125,'changes2_based on steps'!$B$1:$U$1,AC$1)</f>
        <v>0</v>
      </c>
      <c r="AD125" s="179">
        <f>SUMIFS('recurring2_based on steps'!$B125:$AY125,'recurring2_based on steps'!$B$1:$AY$1,AD$1)+SUMIFS('changes2_based on steps'!$B125:$U125,'changes2_based on steps'!$B$1:$U$1,AD$1)</f>
        <v>0</v>
      </c>
      <c r="AE125" s="179">
        <f>SUMIFS('recurring2_based on steps'!$B125:$AY125,'recurring2_based on steps'!$B$1:$AY$1,AE$1)+SUMIFS('changes2_based on steps'!$B125:$U125,'changes2_based on steps'!$B$1:$U$1,AE$1)</f>
        <v>0</v>
      </c>
      <c r="AF125" s="179"/>
      <c r="AG125" s="179"/>
      <c r="AH125" s="179"/>
      <c r="AI125" s="179"/>
      <c r="AJ125" s="179"/>
      <c r="AK125" s="179"/>
      <c r="AL125" s="179"/>
      <c r="AM125" s="179"/>
    </row>
    <row r="126" spans="1:39" x14ac:dyDescent="0.2">
      <c r="A126" s="32">
        <f t="shared" ca="1" si="1"/>
        <v>45868</v>
      </c>
      <c r="B126" s="179">
        <f>SUMIFS('recurring2_based on steps'!$B126:$AY126,'recurring2_based on steps'!$B$1:$AY$1,B$1)+SUMIFS('changes2_based on steps'!$B126:$U126,'changes2_based on steps'!$B$1:$U$1,B$1)</f>
        <v>0</v>
      </c>
      <c r="C126" s="179">
        <f>SUMIFS('recurring2_based on steps'!$B126:$AY126,'recurring2_based on steps'!$B$1:$AY$1,C$1)+SUMIFS('changes2_based on steps'!$B126:$U126,'changes2_based on steps'!$B$1:$U$1,C$1)</f>
        <v>0</v>
      </c>
      <c r="D126" s="179">
        <f>SUMIFS('recurring2_based on steps'!$B126:$AY126,'recurring2_based on steps'!$B$1:$AY$1,D$1)+SUMIFS('changes2_based on steps'!$B126:$U126,'changes2_based on steps'!$B$1:$U$1,D$1)</f>
        <v>0</v>
      </c>
      <c r="E126" s="179">
        <f>SUMIFS('recurring2_based on steps'!$B126:$AY126,'recurring2_based on steps'!$B$1:$AY$1,E$1)+SUMIFS('changes2_based on steps'!$B126:$U126,'changes2_based on steps'!$B$1:$U$1,E$1)</f>
        <v>0</v>
      </c>
      <c r="F126" s="179">
        <f>SUMIFS('recurring2_based on steps'!$B126:$AY126,'recurring2_based on steps'!$B$1:$AY$1,F$1)+SUMIFS('changes2_based on steps'!$B126:$U126,'changes2_based on steps'!$B$1:$U$1,F$1)</f>
        <v>0</v>
      </c>
      <c r="G126" s="179">
        <f>SUMIFS('recurring2_based on steps'!$B126:$AY126,'recurring2_based on steps'!$B$1:$AY$1,G$1)+SUMIFS('changes2_based on steps'!$B126:$U126,'changes2_based on steps'!$B$1:$U$1,G$1)</f>
        <v>0</v>
      </c>
      <c r="H126" s="179">
        <f>SUMIFS('recurring2_based on steps'!$B126:$AY126,'recurring2_based on steps'!$B$1:$AY$1,H$1)+SUMIFS('changes2_based on steps'!$B126:$U126,'changes2_based on steps'!$B$1:$U$1,H$1)</f>
        <v>0</v>
      </c>
      <c r="I126" s="179">
        <f>SUMIFS('recurring2_based on steps'!$B126:$AY126,'recurring2_based on steps'!$B$1:$AY$1,I$1)+SUMIFS('changes2_based on steps'!$B126:$U126,'changes2_based on steps'!$B$1:$U$1,I$1)</f>
        <v>0</v>
      </c>
      <c r="J126" s="179">
        <f>SUMIFS('recurring2_based on steps'!$B126:$AY126,'recurring2_based on steps'!$B$1:$AY$1,J$1)+SUMIFS('changes2_based on steps'!$B126:$U126,'changes2_based on steps'!$B$1:$U$1,J$1)</f>
        <v>0</v>
      </c>
      <c r="K126" s="179">
        <f>SUMIFS('recurring2_based on steps'!$B126:$AY126,'recurring2_based on steps'!$B$1:$AY$1,K$1)+SUMIFS('changes2_based on steps'!$B126:$U126,'changes2_based on steps'!$B$1:$U$1,K$1)</f>
        <v>0</v>
      </c>
      <c r="L126" s="179">
        <f>SUMIFS('recurring2_based on steps'!$B126:$AY126,'recurring2_based on steps'!$B$1:$AY$1,L$1)+SUMIFS('changes2_based on steps'!$B126:$U126,'changes2_based on steps'!$B$1:$U$1,L$1)</f>
        <v>0</v>
      </c>
      <c r="M126" s="179">
        <f>SUMIFS('recurring2_based on steps'!$B126:$AY126,'recurring2_based on steps'!$B$1:$AY$1,M$1)+SUMIFS('changes2_based on steps'!$B126:$U126,'changes2_based on steps'!$B$1:$U$1,M$1)</f>
        <v>0</v>
      </c>
      <c r="N126" s="179">
        <f>SUMIFS('recurring2_based on steps'!$B126:$AY126,'recurring2_based on steps'!$B$1:$AY$1,N$1)+SUMIFS('changes2_based on steps'!$B126:$U126,'changes2_based on steps'!$B$1:$U$1,N$1)</f>
        <v>0</v>
      </c>
      <c r="O126" s="179">
        <f>SUMIFS('recurring2_based on steps'!$B126:$AY126,'recurring2_based on steps'!$B$1:$AY$1,O$1)+SUMIFS('changes2_based on steps'!$B126:$U126,'changes2_based on steps'!$B$1:$U$1,O$1)</f>
        <v>0</v>
      </c>
      <c r="P126" s="179">
        <f>SUMIFS('recurring2_based on steps'!$B126:$AY126,'recurring2_based on steps'!$B$1:$AY$1,P$1)+SUMIFS('changes2_based on steps'!$B126:$U126,'changes2_based on steps'!$B$1:$U$1,P$1)</f>
        <v>0</v>
      </c>
      <c r="Q126" s="179">
        <f>SUMIFS('recurring2_based on steps'!$B126:$AY126,'recurring2_based on steps'!$B$1:$AY$1,Q$1)+SUMIFS('changes2_based on steps'!$B126:$U126,'changes2_based on steps'!$B$1:$U$1,Q$1)</f>
        <v>0</v>
      </c>
      <c r="R126" s="179">
        <f>SUMIFS('recurring2_based on steps'!$B126:$AY126,'recurring2_based on steps'!$B$1:$AY$1,R$1)+SUMIFS('changes2_based on steps'!$B126:$U126,'changes2_based on steps'!$B$1:$U$1,R$1)</f>
        <v>0</v>
      </c>
      <c r="S126" s="179">
        <f>SUMIFS('recurring2_based on steps'!$B126:$AY126,'recurring2_based on steps'!$B$1:$AY$1,S$1)+SUMIFS('changes2_based on steps'!$B126:$U126,'changes2_based on steps'!$B$1:$U$1,S$1)</f>
        <v>0</v>
      </c>
      <c r="T126" s="179">
        <f>SUMIFS('recurring2_based on steps'!$B126:$AY126,'recurring2_based on steps'!$B$1:$AY$1,T$1)+SUMIFS('changes2_based on steps'!$B126:$U126,'changes2_based on steps'!$B$1:$U$1,T$1)</f>
        <v>0</v>
      </c>
      <c r="U126" s="179">
        <f>SUMIFS('recurring2_based on steps'!$B126:$AY126,'recurring2_based on steps'!$B$1:$AY$1,U$1)+SUMIFS('changes2_based on steps'!$B126:$U126,'changes2_based on steps'!$B$1:$U$1,U$1)</f>
        <v>0</v>
      </c>
      <c r="V126" s="179">
        <f>SUMIFS('recurring2_based on steps'!$B126:$AY126,'recurring2_based on steps'!$B$1:$AY$1,V$1)+SUMIFS('changes2_based on steps'!$B126:$U126,'changes2_based on steps'!$B$1:$U$1,V$1)</f>
        <v>0</v>
      </c>
      <c r="W126" s="179">
        <f>SUMIFS('recurring2_based on steps'!$B126:$AY126,'recurring2_based on steps'!$B$1:$AY$1,W$1)+SUMIFS('changes2_based on steps'!$B126:$U126,'changes2_based on steps'!$B$1:$U$1,W$1)</f>
        <v>0</v>
      </c>
      <c r="X126" s="179">
        <f>SUMIFS('recurring2_based on steps'!$B126:$AY126,'recurring2_based on steps'!$B$1:$AY$1,X$1)+SUMIFS('changes2_based on steps'!$B126:$U126,'changes2_based on steps'!$B$1:$U$1,X$1)</f>
        <v>0</v>
      </c>
      <c r="Y126" s="179">
        <f>SUMIFS('recurring2_based on steps'!$B126:$AY126,'recurring2_based on steps'!$B$1:$AY$1,Y$1)+SUMIFS('changes2_based on steps'!$B126:$U126,'changes2_based on steps'!$B$1:$U$1,Y$1)</f>
        <v>0</v>
      </c>
      <c r="Z126" s="179">
        <f>SUMIFS('recurring2_based on steps'!$B126:$AY126,'recurring2_based on steps'!$B$1:$AY$1,Z$1)+SUMIFS('changes2_based on steps'!$B126:$U126,'changes2_based on steps'!$B$1:$U$1,Z$1)</f>
        <v>0</v>
      </c>
      <c r="AA126" s="179">
        <f>SUMIFS('recurring2_based on steps'!$B126:$AY126,'recurring2_based on steps'!$B$1:$AY$1,AA$1)+SUMIFS('changes2_based on steps'!$B126:$U126,'changes2_based on steps'!$B$1:$U$1,AA$1)</f>
        <v>0</v>
      </c>
      <c r="AB126" s="179">
        <f>SUMIFS('recurring2_based on steps'!$B126:$AY126,'recurring2_based on steps'!$B$1:$AY$1,AB$1)+SUMIFS('changes2_based on steps'!$B126:$U126,'changes2_based on steps'!$B$1:$U$1,AB$1)</f>
        <v>0</v>
      </c>
      <c r="AC126" s="179">
        <f>SUMIFS('recurring2_based on steps'!$B126:$AY126,'recurring2_based on steps'!$B$1:$AY$1,AC$1)+SUMIFS('changes2_based on steps'!$B126:$U126,'changes2_based on steps'!$B$1:$U$1,AC$1)</f>
        <v>0</v>
      </c>
      <c r="AD126" s="179">
        <f>SUMIFS('recurring2_based on steps'!$B126:$AY126,'recurring2_based on steps'!$B$1:$AY$1,AD$1)+SUMIFS('changes2_based on steps'!$B126:$U126,'changes2_based on steps'!$B$1:$U$1,AD$1)</f>
        <v>0</v>
      </c>
      <c r="AE126" s="179">
        <f>SUMIFS('recurring2_based on steps'!$B126:$AY126,'recurring2_based on steps'!$B$1:$AY$1,AE$1)+SUMIFS('changes2_based on steps'!$B126:$U126,'changes2_based on steps'!$B$1:$U$1,AE$1)</f>
        <v>0</v>
      </c>
      <c r="AF126" s="179"/>
      <c r="AG126" s="179"/>
      <c r="AH126" s="179"/>
      <c r="AI126" s="179"/>
      <c r="AJ126" s="179"/>
      <c r="AK126" s="179"/>
      <c r="AL126" s="179"/>
      <c r="AM126" s="179"/>
    </row>
    <row r="127" spans="1:39" x14ac:dyDescent="0.2">
      <c r="A127" s="32">
        <f t="shared" ca="1" si="1"/>
        <v>45869</v>
      </c>
      <c r="B127" s="179">
        <f>SUMIFS('recurring2_based on steps'!$B127:$AY127,'recurring2_based on steps'!$B$1:$AY$1,B$1)+SUMIFS('changes2_based on steps'!$B127:$U127,'changes2_based on steps'!$B$1:$U$1,B$1)</f>
        <v>0</v>
      </c>
      <c r="C127" s="179">
        <f>SUMIFS('recurring2_based on steps'!$B127:$AY127,'recurring2_based on steps'!$B$1:$AY$1,C$1)+SUMIFS('changes2_based on steps'!$B127:$U127,'changes2_based on steps'!$B$1:$U$1,C$1)</f>
        <v>0</v>
      </c>
      <c r="D127" s="179">
        <f>SUMIFS('recurring2_based on steps'!$B127:$AY127,'recurring2_based on steps'!$B$1:$AY$1,D$1)+SUMIFS('changes2_based on steps'!$B127:$U127,'changes2_based on steps'!$B$1:$U$1,D$1)</f>
        <v>0</v>
      </c>
      <c r="E127" s="179">
        <f>SUMIFS('recurring2_based on steps'!$B127:$AY127,'recurring2_based on steps'!$B$1:$AY$1,E$1)+SUMIFS('changes2_based on steps'!$B127:$U127,'changes2_based on steps'!$B$1:$U$1,E$1)</f>
        <v>0</v>
      </c>
      <c r="F127" s="179">
        <f>SUMIFS('recurring2_based on steps'!$B127:$AY127,'recurring2_based on steps'!$B$1:$AY$1,F$1)+SUMIFS('changes2_based on steps'!$B127:$U127,'changes2_based on steps'!$B$1:$U$1,F$1)</f>
        <v>0</v>
      </c>
      <c r="G127" s="179">
        <f>SUMIFS('recurring2_based on steps'!$B127:$AY127,'recurring2_based on steps'!$B$1:$AY$1,G$1)+SUMIFS('changes2_based on steps'!$B127:$U127,'changes2_based on steps'!$B$1:$U$1,G$1)</f>
        <v>0</v>
      </c>
      <c r="H127" s="179">
        <f>SUMIFS('recurring2_based on steps'!$B127:$AY127,'recurring2_based on steps'!$B$1:$AY$1,H$1)+SUMIFS('changes2_based on steps'!$B127:$U127,'changes2_based on steps'!$B$1:$U$1,H$1)</f>
        <v>0</v>
      </c>
      <c r="I127" s="179">
        <f>SUMIFS('recurring2_based on steps'!$B127:$AY127,'recurring2_based on steps'!$B$1:$AY$1,I$1)+SUMIFS('changes2_based on steps'!$B127:$U127,'changes2_based on steps'!$B$1:$U$1,I$1)</f>
        <v>0</v>
      </c>
      <c r="J127" s="179">
        <f>SUMIFS('recurring2_based on steps'!$B127:$AY127,'recurring2_based on steps'!$B$1:$AY$1,J$1)+SUMIFS('changes2_based on steps'!$B127:$U127,'changes2_based on steps'!$B$1:$U$1,J$1)</f>
        <v>0</v>
      </c>
      <c r="K127" s="179">
        <f>SUMIFS('recurring2_based on steps'!$B127:$AY127,'recurring2_based on steps'!$B$1:$AY$1,K$1)+SUMIFS('changes2_based on steps'!$B127:$U127,'changes2_based on steps'!$B$1:$U$1,K$1)</f>
        <v>0</v>
      </c>
      <c r="L127" s="179">
        <f>SUMIFS('recurring2_based on steps'!$B127:$AY127,'recurring2_based on steps'!$B$1:$AY$1,L$1)+SUMIFS('changes2_based on steps'!$B127:$U127,'changes2_based on steps'!$B$1:$U$1,L$1)</f>
        <v>0</v>
      </c>
      <c r="M127" s="179">
        <f>SUMIFS('recurring2_based on steps'!$B127:$AY127,'recurring2_based on steps'!$B$1:$AY$1,M$1)+SUMIFS('changes2_based on steps'!$B127:$U127,'changes2_based on steps'!$B$1:$U$1,M$1)</f>
        <v>0</v>
      </c>
      <c r="N127" s="179">
        <f>SUMIFS('recurring2_based on steps'!$B127:$AY127,'recurring2_based on steps'!$B$1:$AY$1,N$1)+SUMIFS('changes2_based on steps'!$B127:$U127,'changes2_based on steps'!$B$1:$U$1,N$1)</f>
        <v>0</v>
      </c>
      <c r="O127" s="179">
        <f>SUMIFS('recurring2_based on steps'!$B127:$AY127,'recurring2_based on steps'!$B$1:$AY$1,O$1)+SUMIFS('changes2_based on steps'!$B127:$U127,'changes2_based on steps'!$B$1:$U$1,O$1)</f>
        <v>0</v>
      </c>
      <c r="P127" s="179">
        <f>SUMIFS('recurring2_based on steps'!$B127:$AY127,'recurring2_based on steps'!$B$1:$AY$1,P$1)+SUMIFS('changes2_based on steps'!$B127:$U127,'changes2_based on steps'!$B$1:$U$1,P$1)</f>
        <v>0</v>
      </c>
      <c r="Q127" s="179">
        <f>SUMIFS('recurring2_based on steps'!$B127:$AY127,'recurring2_based on steps'!$B$1:$AY$1,Q$1)+SUMIFS('changes2_based on steps'!$B127:$U127,'changes2_based on steps'!$B$1:$U$1,Q$1)</f>
        <v>0</v>
      </c>
      <c r="R127" s="179">
        <f>SUMIFS('recurring2_based on steps'!$B127:$AY127,'recurring2_based on steps'!$B$1:$AY$1,R$1)+SUMIFS('changes2_based on steps'!$B127:$U127,'changes2_based on steps'!$B$1:$U$1,R$1)</f>
        <v>0</v>
      </c>
      <c r="S127" s="179">
        <f>SUMIFS('recurring2_based on steps'!$B127:$AY127,'recurring2_based on steps'!$B$1:$AY$1,S$1)+SUMIFS('changes2_based on steps'!$B127:$U127,'changes2_based on steps'!$B$1:$U$1,S$1)</f>
        <v>0</v>
      </c>
      <c r="T127" s="179">
        <f>SUMIFS('recurring2_based on steps'!$B127:$AY127,'recurring2_based on steps'!$B$1:$AY$1,T$1)+SUMIFS('changes2_based on steps'!$B127:$U127,'changes2_based on steps'!$B$1:$U$1,T$1)</f>
        <v>0</v>
      </c>
      <c r="U127" s="179">
        <f>SUMIFS('recurring2_based on steps'!$B127:$AY127,'recurring2_based on steps'!$B$1:$AY$1,U$1)+SUMIFS('changes2_based on steps'!$B127:$U127,'changes2_based on steps'!$B$1:$U$1,U$1)</f>
        <v>0</v>
      </c>
      <c r="V127" s="179">
        <f>SUMIFS('recurring2_based on steps'!$B127:$AY127,'recurring2_based on steps'!$B$1:$AY$1,V$1)+SUMIFS('changes2_based on steps'!$B127:$U127,'changes2_based on steps'!$B$1:$U$1,V$1)</f>
        <v>0</v>
      </c>
      <c r="W127" s="179">
        <f>SUMIFS('recurring2_based on steps'!$B127:$AY127,'recurring2_based on steps'!$B$1:$AY$1,W$1)+SUMIFS('changes2_based on steps'!$B127:$U127,'changes2_based on steps'!$B$1:$U$1,W$1)</f>
        <v>0</v>
      </c>
      <c r="X127" s="179">
        <f>SUMIFS('recurring2_based on steps'!$B127:$AY127,'recurring2_based on steps'!$B$1:$AY$1,X$1)+SUMIFS('changes2_based on steps'!$B127:$U127,'changes2_based on steps'!$B$1:$U$1,X$1)</f>
        <v>0</v>
      </c>
      <c r="Y127" s="179">
        <f>SUMIFS('recurring2_based on steps'!$B127:$AY127,'recurring2_based on steps'!$B$1:$AY$1,Y$1)+SUMIFS('changes2_based on steps'!$B127:$U127,'changes2_based on steps'!$B$1:$U$1,Y$1)</f>
        <v>0</v>
      </c>
      <c r="Z127" s="179">
        <f>SUMIFS('recurring2_based on steps'!$B127:$AY127,'recurring2_based on steps'!$B$1:$AY$1,Z$1)+SUMIFS('changes2_based on steps'!$B127:$U127,'changes2_based on steps'!$B$1:$U$1,Z$1)</f>
        <v>0</v>
      </c>
      <c r="AA127" s="179">
        <f>SUMIFS('recurring2_based on steps'!$B127:$AY127,'recurring2_based on steps'!$B$1:$AY$1,AA$1)+SUMIFS('changes2_based on steps'!$B127:$U127,'changes2_based on steps'!$B$1:$U$1,AA$1)</f>
        <v>0</v>
      </c>
      <c r="AB127" s="179">
        <f>SUMIFS('recurring2_based on steps'!$B127:$AY127,'recurring2_based on steps'!$B$1:$AY$1,AB$1)+SUMIFS('changes2_based on steps'!$B127:$U127,'changes2_based on steps'!$B$1:$U$1,AB$1)</f>
        <v>0</v>
      </c>
      <c r="AC127" s="179">
        <f>SUMIFS('recurring2_based on steps'!$B127:$AY127,'recurring2_based on steps'!$B$1:$AY$1,AC$1)+SUMIFS('changes2_based on steps'!$B127:$U127,'changes2_based on steps'!$B$1:$U$1,AC$1)</f>
        <v>0</v>
      </c>
      <c r="AD127" s="179">
        <f>SUMIFS('recurring2_based on steps'!$B127:$AY127,'recurring2_based on steps'!$B$1:$AY$1,AD$1)+SUMIFS('changes2_based on steps'!$B127:$U127,'changes2_based on steps'!$B$1:$U$1,AD$1)</f>
        <v>0</v>
      </c>
      <c r="AE127" s="179">
        <f>SUMIFS('recurring2_based on steps'!$B127:$AY127,'recurring2_based on steps'!$B$1:$AY$1,AE$1)+SUMIFS('changes2_based on steps'!$B127:$U127,'changes2_based on steps'!$B$1:$U$1,AE$1)</f>
        <v>0</v>
      </c>
      <c r="AF127" s="179"/>
      <c r="AG127" s="179"/>
      <c r="AH127" s="179"/>
      <c r="AI127" s="179"/>
      <c r="AJ127" s="179"/>
      <c r="AK127" s="179"/>
      <c r="AL127" s="179"/>
      <c r="AM127" s="179"/>
    </row>
    <row r="128" spans="1:39" x14ac:dyDescent="0.2">
      <c r="A128" s="32">
        <f t="shared" ca="1" si="1"/>
        <v>45870</v>
      </c>
      <c r="B128" s="179">
        <f>SUMIFS('recurring2_based on steps'!$B128:$AY128,'recurring2_based on steps'!$B$1:$AY$1,B$1)+SUMIFS('changes2_based on steps'!$B128:$U128,'changes2_based on steps'!$B$1:$U$1,B$1)</f>
        <v>0</v>
      </c>
      <c r="C128" s="179">
        <f>SUMIFS('recurring2_based on steps'!$B128:$AY128,'recurring2_based on steps'!$B$1:$AY$1,C$1)+SUMIFS('changes2_based on steps'!$B128:$U128,'changes2_based on steps'!$B$1:$U$1,C$1)</f>
        <v>0</v>
      </c>
      <c r="D128" s="179">
        <f>SUMIFS('recurring2_based on steps'!$B128:$AY128,'recurring2_based on steps'!$B$1:$AY$1,D$1)+SUMIFS('changes2_based on steps'!$B128:$U128,'changes2_based on steps'!$B$1:$U$1,D$1)</f>
        <v>0</v>
      </c>
      <c r="E128" s="179">
        <f>SUMIFS('recurring2_based on steps'!$B128:$AY128,'recurring2_based on steps'!$B$1:$AY$1,E$1)+SUMIFS('changes2_based on steps'!$B128:$U128,'changes2_based on steps'!$B$1:$U$1,E$1)</f>
        <v>0</v>
      </c>
      <c r="F128" s="179">
        <f>SUMIFS('recurring2_based on steps'!$B128:$AY128,'recurring2_based on steps'!$B$1:$AY$1,F$1)+SUMIFS('changes2_based on steps'!$B128:$U128,'changes2_based on steps'!$B$1:$U$1,F$1)</f>
        <v>0</v>
      </c>
      <c r="G128" s="179">
        <f>SUMIFS('recurring2_based on steps'!$B128:$AY128,'recurring2_based on steps'!$B$1:$AY$1,G$1)+SUMIFS('changes2_based on steps'!$B128:$U128,'changes2_based on steps'!$B$1:$U$1,G$1)</f>
        <v>0</v>
      </c>
      <c r="H128" s="179">
        <f>SUMIFS('recurring2_based on steps'!$B128:$AY128,'recurring2_based on steps'!$B$1:$AY$1,H$1)+SUMIFS('changes2_based on steps'!$B128:$U128,'changes2_based on steps'!$B$1:$U$1,H$1)</f>
        <v>0</v>
      </c>
      <c r="I128" s="179">
        <f>SUMIFS('recurring2_based on steps'!$B128:$AY128,'recurring2_based on steps'!$B$1:$AY$1,I$1)+SUMIFS('changes2_based on steps'!$B128:$U128,'changes2_based on steps'!$B$1:$U$1,I$1)</f>
        <v>0</v>
      </c>
      <c r="J128" s="179">
        <f>SUMIFS('recurring2_based on steps'!$B128:$AY128,'recurring2_based on steps'!$B$1:$AY$1,J$1)+SUMIFS('changes2_based on steps'!$B128:$U128,'changes2_based on steps'!$B$1:$U$1,J$1)</f>
        <v>0</v>
      </c>
      <c r="K128" s="179">
        <f>SUMIFS('recurring2_based on steps'!$B128:$AY128,'recurring2_based on steps'!$B$1:$AY$1,K$1)+SUMIFS('changes2_based on steps'!$B128:$U128,'changes2_based on steps'!$B$1:$U$1,K$1)</f>
        <v>0</v>
      </c>
      <c r="L128" s="179">
        <f>SUMIFS('recurring2_based on steps'!$B128:$AY128,'recurring2_based on steps'!$B$1:$AY$1,L$1)+SUMIFS('changes2_based on steps'!$B128:$U128,'changes2_based on steps'!$B$1:$U$1,L$1)</f>
        <v>0</v>
      </c>
      <c r="M128" s="179">
        <f>SUMIFS('recurring2_based on steps'!$B128:$AY128,'recurring2_based on steps'!$B$1:$AY$1,M$1)+SUMIFS('changes2_based on steps'!$B128:$U128,'changes2_based on steps'!$B$1:$U$1,M$1)</f>
        <v>0</v>
      </c>
      <c r="N128" s="179">
        <f>SUMIFS('recurring2_based on steps'!$B128:$AY128,'recurring2_based on steps'!$B$1:$AY$1,N$1)+SUMIFS('changes2_based on steps'!$B128:$U128,'changes2_based on steps'!$B$1:$U$1,N$1)</f>
        <v>0</v>
      </c>
      <c r="O128" s="179">
        <f>SUMIFS('recurring2_based on steps'!$B128:$AY128,'recurring2_based on steps'!$B$1:$AY$1,O$1)+SUMIFS('changes2_based on steps'!$B128:$U128,'changes2_based on steps'!$B$1:$U$1,O$1)</f>
        <v>0</v>
      </c>
      <c r="P128" s="179">
        <f>SUMIFS('recurring2_based on steps'!$B128:$AY128,'recurring2_based on steps'!$B$1:$AY$1,P$1)+SUMIFS('changes2_based on steps'!$B128:$U128,'changes2_based on steps'!$B$1:$U$1,P$1)</f>
        <v>0</v>
      </c>
      <c r="Q128" s="179">
        <f>SUMIFS('recurring2_based on steps'!$B128:$AY128,'recurring2_based on steps'!$B$1:$AY$1,Q$1)+SUMIFS('changes2_based on steps'!$B128:$U128,'changes2_based on steps'!$B$1:$U$1,Q$1)</f>
        <v>0</v>
      </c>
      <c r="R128" s="179">
        <f>SUMIFS('recurring2_based on steps'!$B128:$AY128,'recurring2_based on steps'!$B$1:$AY$1,R$1)+SUMIFS('changes2_based on steps'!$B128:$U128,'changes2_based on steps'!$B$1:$U$1,R$1)</f>
        <v>0</v>
      </c>
      <c r="S128" s="179">
        <f>SUMIFS('recurring2_based on steps'!$B128:$AY128,'recurring2_based on steps'!$B$1:$AY$1,S$1)+SUMIFS('changes2_based on steps'!$B128:$U128,'changes2_based on steps'!$B$1:$U$1,S$1)</f>
        <v>0</v>
      </c>
      <c r="T128" s="179">
        <f>SUMIFS('recurring2_based on steps'!$B128:$AY128,'recurring2_based on steps'!$B$1:$AY$1,T$1)+SUMIFS('changes2_based on steps'!$B128:$U128,'changes2_based on steps'!$B$1:$U$1,T$1)</f>
        <v>0</v>
      </c>
      <c r="U128" s="179">
        <f>SUMIFS('recurring2_based on steps'!$B128:$AY128,'recurring2_based on steps'!$B$1:$AY$1,U$1)+SUMIFS('changes2_based on steps'!$B128:$U128,'changes2_based on steps'!$B$1:$U$1,U$1)</f>
        <v>0</v>
      </c>
      <c r="V128" s="179">
        <f>SUMIFS('recurring2_based on steps'!$B128:$AY128,'recurring2_based on steps'!$B$1:$AY$1,V$1)+SUMIFS('changes2_based on steps'!$B128:$U128,'changes2_based on steps'!$B$1:$U$1,V$1)</f>
        <v>0</v>
      </c>
      <c r="W128" s="179">
        <f>SUMIFS('recurring2_based on steps'!$B128:$AY128,'recurring2_based on steps'!$B$1:$AY$1,W$1)+SUMIFS('changes2_based on steps'!$B128:$U128,'changes2_based on steps'!$B$1:$U$1,W$1)</f>
        <v>0</v>
      </c>
      <c r="X128" s="179">
        <f>SUMIFS('recurring2_based on steps'!$B128:$AY128,'recurring2_based on steps'!$B$1:$AY$1,X$1)+SUMIFS('changes2_based on steps'!$B128:$U128,'changes2_based on steps'!$B$1:$U$1,X$1)</f>
        <v>0</v>
      </c>
      <c r="Y128" s="179">
        <f>SUMIFS('recurring2_based on steps'!$B128:$AY128,'recurring2_based on steps'!$B$1:$AY$1,Y$1)+SUMIFS('changes2_based on steps'!$B128:$U128,'changes2_based on steps'!$B$1:$U$1,Y$1)</f>
        <v>0</v>
      </c>
      <c r="Z128" s="179">
        <f>SUMIFS('recurring2_based on steps'!$B128:$AY128,'recurring2_based on steps'!$B$1:$AY$1,Z$1)+SUMIFS('changes2_based on steps'!$B128:$U128,'changes2_based on steps'!$B$1:$U$1,Z$1)</f>
        <v>0</v>
      </c>
      <c r="AA128" s="179">
        <f>SUMIFS('recurring2_based on steps'!$B128:$AY128,'recurring2_based on steps'!$B$1:$AY$1,AA$1)+SUMIFS('changes2_based on steps'!$B128:$U128,'changes2_based on steps'!$B$1:$U$1,AA$1)</f>
        <v>0</v>
      </c>
      <c r="AB128" s="179">
        <f>SUMIFS('recurring2_based on steps'!$B128:$AY128,'recurring2_based on steps'!$B$1:$AY$1,AB$1)+SUMIFS('changes2_based on steps'!$B128:$U128,'changes2_based on steps'!$B$1:$U$1,AB$1)</f>
        <v>0</v>
      </c>
      <c r="AC128" s="179">
        <f>SUMIFS('recurring2_based on steps'!$B128:$AY128,'recurring2_based on steps'!$B$1:$AY$1,AC$1)+SUMIFS('changes2_based on steps'!$B128:$U128,'changes2_based on steps'!$B$1:$U$1,AC$1)</f>
        <v>0</v>
      </c>
      <c r="AD128" s="179">
        <f>SUMIFS('recurring2_based on steps'!$B128:$AY128,'recurring2_based on steps'!$B$1:$AY$1,AD$1)+SUMIFS('changes2_based on steps'!$B128:$U128,'changes2_based on steps'!$B$1:$U$1,AD$1)</f>
        <v>0</v>
      </c>
      <c r="AE128" s="179">
        <f>SUMIFS('recurring2_based on steps'!$B128:$AY128,'recurring2_based on steps'!$B$1:$AY$1,AE$1)+SUMIFS('changes2_based on steps'!$B128:$U128,'changes2_based on steps'!$B$1:$U$1,AE$1)</f>
        <v>0</v>
      </c>
      <c r="AF128" s="179"/>
      <c r="AG128" s="179"/>
      <c r="AH128" s="179"/>
      <c r="AI128" s="179"/>
      <c r="AJ128" s="179"/>
      <c r="AK128" s="179"/>
      <c r="AL128" s="179"/>
      <c r="AM128" s="179"/>
    </row>
    <row r="129" spans="1:39" x14ac:dyDescent="0.2">
      <c r="A129" s="32">
        <f t="shared" ca="1" si="1"/>
        <v>45871</v>
      </c>
      <c r="B129" s="179">
        <f>SUMIFS('recurring2_based on steps'!$B129:$AY129,'recurring2_based on steps'!$B$1:$AY$1,B$1)+SUMIFS('changes2_based on steps'!$B129:$U129,'changes2_based on steps'!$B$1:$U$1,B$1)</f>
        <v>0</v>
      </c>
      <c r="C129" s="179">
        <f>SUMIFS('recurring2_based on steps'!$B129:$AY129,'recurring2_based on steps'!$B$1:$AY$1,C$1)+SUMIFS('changes2_based on steps'!$B129:$U129,'changes2_based on steps'!$B$1:$U$1,C$1)</f>
        <v>0</v>
      </c>
      <c r="D129" s="179">
        <f>SUMIFS('recurring2_based on steps'!$B129:$AY129,'recurring2_based on steps'!$B$1:$AY$1,D$1)+SUMIFS('changes2_based on steps'!$B129:$U129,'changes2_based on steps'!$B$1:$U$1,D$1)</f>
        <v>0</v>
      </c>
      <c r="E129" s="179">
        <f>SUMIFS('recurring2_based on steps'!$B129:$AY129,'recurring2_based on steps'!$B$1:$AY$1,E$1)+SUMIFS('changes2_based on steps'!$B129:$U129,'changes2_based on steps'!$B$1:$U$1,E$1)</f>
        <v>0</v>
      </c>
      <c r="F129" s="179">
        <f>SUMIFS('recurring2_based on steps'!$B129:$AY129,'recurring2_based on steps'!$B$1:$AY$1,F$1)+SUMIFS('changes2_based on steps'!$B129:$U129,'changes2_based on steps'!$B$1:$U$1,F$1)</f>
        <v>0</v>
      </c>
      <c r="G129" s="179">
        <f>SUMIFS('recurring2_based on steps'!$B129:$AY129,'recurring2_based on steps'!$B$1:$AY$1,G$1)+SUMIFS('changes2_based on steps'!$B129:$U129,'changes2_based on steps'!$B$1:$U$1,G$1)</f>
        <v>0</v>
      </c>
      <c r="H129" s="179">
        <f>SUMIFS('recurring2_based on steps'!$B129:$AY129,'recurring2_based on steps'!$B$1:$AY$1,H$1)+SUMIFS('changes2_based on steps'!$B129:$U129,'changes2_based on steps'!$B$1:$U$1,H$1)</f>
        <v>0</v>
      </c>
      <c r="I129" s="179">
        <f>SUMIFS('recurring2_based on steps'!$B129:$AY129,'recurring2_based on steps'!$B$1:$AY$1,I$1)+SUMIFS('changes2_based on steps'!$B129:$U129,'changes2_based on steps'!$B$1:$U$1,I$1)</f>
        <v>0</v>
      </c>
      <c r="J129" s="179">
        <f>SUMIFS('recurring2_based on steps'!$B129:$AY129,'recurring2_based on steps'!$B$1:$AY$1,J$1)+SUMIFS('changes2_based on steps'!$B129:$U129,'changes2_based on steps'!$B$1:$U$1,J$1)</f>
        <v>0</v>
      </c>
      <c r="K129" s="179">
        <f>SUMIFS('recurring2_based on steps'!$B129:$AY129,'recurring2_based on steps'!$B$1:$AY$1,K$1)+SUMIFS('changes2_based on steps'!$B129:$U129,'changes2_based on steps'!$B$1:$U$1,K$1)</f>
        <v>0</v>
      </c>
      <c r="L129" s="179">
        <f>SUMIFS('recurring2_based on steps'!$B129:$AY129,'recurring2_based on steps'!$B$1:$AY$1,L$1)+SUMIFS('changes2_based on steps'!$B129:$U129,'changes2_based on steps'!$B$1:$U$1,L$1)</f>
        <v>0</v>
      </c>
      <c r="M129" s="179">
        <f>SUMIFS('recurring2_based on steps'!$B129:$AY129,'recurring2_based on steps'!$B$1:$AY$1,M$1)+SUMIFS('changes2_based on steps'!$B129:$U129,'changes2_based on steps'!$B$1:$U$1,M$1)</f>
        <v>0</v>
      </c>
      <c r="N129" s="179">
        <f>SUMIFS('recurring2_based on steps'!$B129:$AY129,'recurring2_based on steps'!$B$1:$AY$1,N$1)+SUMIFS('changes2_based on steps'!$B129:$U129,'changes2_based on steps'!$B$1:$U$1,N$1)</f>
        <v>0</v>
      </c>
      <c r="O129" s="179">
        <f>SUMIFS('recurring2_based on steps'!$B129:$AY129,'recurring2_based on steps'!$B$1:$AY$1,O$1)+SUMIFS('changes2_based on steps'!$B129:$U129,'changes2_based on steps'!$B$1:$U$1,O$1)</f>
        <v>0</v>
      </c>
      <c r="P129" s="179">
        <f>SUMIFS('recurring2_based on steps'!$B129:$AY129,'recurring2_based on steps'!$B$1:$AY$1,P$1)+SUMIFS('changes2_based on steps'!$B129:$U129,'changes2_based on steps'!$B$1:$U$1,P$1)</f>
        <v>0</v>
      </c>
      <c r="Q129" s="179">
        <f>SUMIFS('recurring2_based on steps'!$B129:$AY129,'recurring2_based on steps'!$B$1:$AY$1,Q$1)+SUMIFS('changes2_based on steps'!$B129:$U129,'changes2_based on steps'!$B$1:$U$1,Q$1)</f>
        <v>0</v>
      </c>
      <c r="R129" s="179">
        <f>SUMIFS('recurring2_based on steps'!$B129:$AY129,'recurring2_based on steps'!$B$1:$AY$1,R$1)+SUMIFS('changes2_based on steps'!$B129:$U129,'changes2_based on steps'!$B$1:$U$1,R$1)</f>
        <v>0</v>
      </c>
      <c r="S129" s="179">
        <f>SUMIFS('recurring2_based on steps'!$B129:$AY129,'recurring2_based on steps'!$B$1:$AY$1,S$1)+SUMIFS('changes2_based on steps'!$B129:$U129,'changes2_based on steps'!$B$1:$U$1,S$1)</f>
        <v>0</v>
      </c>
      <c r="T129" s="179">
        <f>SUMIFS('recurring2_based on steps'!$B129:$AY129,'recurring2_based on steps'!$B$1:$AY$1,T$1)+SUMIFS('changes2_based on steps'!$B129:$U129,'changes2_based on steps'!$B$1:$U$1,T$1)</f>
        <v>0</v>
      </c>
      <c r="U129" s="179">
        <f>SUMIFS('recurring2_based on steps'!$B129:$AY129,'recurring2_based on steps'!$B$1:$AY$1,U$1)+SUMIFS('changes2_based on steps'!$B129:$U129,'changes2_based on steps'!$B$1:$U$1,U$1)</f>
        <v>0</v>
      </c>
      <c r="V129" s="179">
        <f>SUMIFS('recurring2_based on steps'!$B129:$AY129,'recurring2_based on steps'!$B$1:$AY$1,V$1)+SUMIFS('changes2_based on steps'!$B129:$U129,'changes2_based on steps'!$B$1:$U$1,V$1)</f>
        <v>0</v>
      </c>
      <c r="W129" s="179">
        <f>SUMIFS('recurring2_based on steps'!$B129:$AY129,'recurring2_based on steps'!$B$1:$AY$1,W$1)+SUMIFS('changes2_based on steps'!$B129:$U129,'changes2_based on steps'!$B$1:$U$1,W$1)</f>
        <v>0</v>
      </c>
      <c r="X129" s="179">
        <f>SUMIFS('recurring2_based on steps'!$B129:$AY129,'recurring2_based on steps'!$B$1:$AY$1,X$1)+SUMIFS('changes2_based on steps'!$B129:$U129,'changes2_based on steps'!$B$1:$U$1,X$1)</f>
        <v>0</v>
      </c>
      <c r="Y129" s="179">
        <f>SUMIFS('recurring2_based on steps'!$B129:$AY129,'recurring2_based on steps'!$B$1:$AY$1,Y$1)+SUMIFS('changes2_based on steps'!$B129:$U129,'changes2_based on steps'!$B$1:$U$1,Y$1)</f>
        <v>0</v>
      </c>
      <c r="Z129" s="179">
        <f>SUMIFS('recurring2_based on steps'!$B129:$AY129,'recurring2_based on steps'!$B$1:$AY$1,Z$1)+SUMIFS('changes2_based on steps'!$B129:$U129,'changes2_based on steps'!$B$1:$U$1,Z$1)</f>
        <v>0</v>
      </c>
      <c r="AA129" s="179">
        <f>SUMIFS('recurring2_based on steps'!$B129:$AY129,'recurring2_based on steps'!$B$1:$AY$1,AA$1)+SUMIFS('changes2_based on steps'!$B129:$U129,'changes2_based on steps'!$B$1:$U$1,AA$1)</f>
        <v>0</v>
      </c>
      <c r="AB129" s="179">
        <f>SUMIFS('recurring2_based on steps'!$B129:$AY129,'recurring2_based on steps'!$B$1:$AY$1,AB$1)+SUMIFS('changes2_based on steps'!$B129:$U129,'changes2_based on steps'!$B$1:$U$1,AB$1)</f>
        <v>0</v>
      </c>
      <c r="AC129" s="179">
        <f>SUMIFS('recurring2_based on steps'!$B129:$AY129,'recurring2_based on steps'!$B$1:$AY$1,AC$1)+SUMIFS('changes2_based on steps'!$B129:$U129,'changes2_based on steps'!$B$1:$U$1,AC$1)</f>
        <v>0</v>
      </c>
      <c r="AD129" s="179">
        <f>SUMIFS('recurring2_based on steps'!$B129:$AY129,'recurring2_based on steps'!$B$1:$AY$1,AD$1)+SUMIFS('changes2_based on steps'!$B129:$U129,'changes2_based on steps'!$B$1:$U$1,AD$1)</f>
        <v>0</v>
      </c>
      <c r="AE129" s="179">
        <f>SUMIFS('recurring2_based on steps'!$B129:$AY129,'recurring2_based on steps'!$B$1:$AY$1,AE$1)+SUMIFS('changes2_based on steps'!$B129:$U129,'changes2_based on steps'!$B$1:$U$1,AE$1)</f>
        <v>0</v>
      </c>
      <c r="AF129" s="179"/>
      <c r="AG129" s="179"/>
      <c r="AH129" s="179"/>
      <c r="AI129" s="179"/>
      <c r="AJ129" s="179"/>
      <c r="AK129" s="179"/>
      <c r="AL129" s="179"/>
      <c r="AM129" s="179"/>
    </row>
    <row r="130" spans="1:39" x14ac:dyDescent="0.2">
      <c r="A130" s="32">
        <f t="shared" ca="1" si="1"/>
        <v>45872</v>
      </c>
      <c r="B130" s="179">
        <f>SUMIFS('recurring2_based on steps'!$B130:$AY130,'recurring2_based on steps'!$B$1:$AY$1,B$1)+SUMIFS('changes2_based on steps'!$B130:$U130,'changes2_based on steps'!$B$1:$U$1,B$1)</f>
        <v>0</v>
      </c>
      <c r="C130" s="179">
        <f>SUMIFS('recurring2_based on steps'!$B130:$AY130,'recurring2_based on steps'!$B$1:$AY$1,C$1)+SUMIFS('changes2_based on steps'!$B130:$U130,'changes2_based on steps'!$B$1:$U$1,C$1)</f>
        <v>0</v>
      </c>
      <c r="D130" s="179">
        <f>SUMIFS('recurring2_based on steps'!$B130:$AY130,'recurring2_based on steps'!$B$1:$AY$1,D$1)+SUMIFS('changes2_based on steps'!$B130:$U130,'changes2_based on steps'!$B$1:$U$1,D$1)</f>
        <v>0</v>
      </c>
      <c r="E130" s="179">
        <f>SUMIFS('recurring2_based on steps'!$B130:$AY130,'recurring2_based on steps'!$B$1:$AY$1,E$1)+SUMIFS('changes2_based on steps'!$B130:$U130,'changes2_based on steps'!$B$1:$U$1,E$1)</f>
        <v>0</v>
      </c>
      <c r="F130" s="179">
        <f>SUMIFS('recurring2_based on steps'!$B130:$AY130,'recurring2_based on steps'!$B$1:$AY$1,F$1)+SUMIFS('changes2_based on steps'!$B130:$U130,'changes2_based on steps'!$B$1:$U$1,F$1)</f>
        <v>0</v>
      </c>
      <c r="G130" s="179">
        <f>SUMIFS('recurring2_based on steps'!$B130:$AY130,'recurring2_based on steps'!$B$1:$AY$1,G$1)+SUMIFS('changes2_based on steps'!$B130:$U130,'changes2_based on steps'!$B$1:$U$1,G$1)</f>
        <v>0</v>
      </c>
      <c r="H130" s="179">
        <f>SUMIFS('recurring2_based on steps'!$B130:$AY130,'recurring2_based on steps'!$B$1:$AY$1,H$1)+SUMIFS('changes2_based on steps'!$B130:$U130,'changes2_based on steps'!$B$1:$U$1,H$1)</f>
        <v>0</v>
      </c>
      <c r="I130" s="179">
        <f>SUMIFS('recurring2_based on steps'!$B130:$AY130,'recurring2_based on steps'!$B$1:$AY$1,I$1)+SUMIFS('changes2_based on steps'!$B130:$U130,'changes2_based on steps'!$B$1:$U$1,I$1)</f>
        <v>0</v>
      </c>
      <c r="J130" s="179">
        <f>SUMIFS('recurring2_based on steps'!$B130:$AY130,'recurring2_based on steps'!$B$1:$AY$1,J$1)+SUMIFS('changes2_based on steps'!$B130:$U130,'changes2_based on steps'!$B$1:$U$1,J$1)</f>
        <v>0</v>
      </c>
      <c r="K130" s="179">
        <f>SUMIFS('recurring2_based on steps'!$B130:$AY130,'recurring2_based on steps'!$B$1:$AY$1,K$1)+SUMIFS('changes2_based on steps'!$B130:$U130,'changes2_based on steps'!$B$1:$U$1,K$1)</f>
        <v>0</v>
      </c>
      <c r="L130" s="179">
        <f>SUMIFS('recurring2_based on steps'!$B130:$AY130,'recurring2_based on steps'!$B$1:$AY$1,L$1)+SUMIFS('changes2_based on steps'!$B130:$U130,'changes2_based on steps'!$B$1:$U$1,L$1)</f>
        <v>0</v>
      </c>
      <c r="M130" s="179">
        <f>SUMIFS('recurring2_based on steps'!$B130:$AY130,'recurring2_based on steps'!$B$1:$AY$1,M$1)+SUMIFS('changes2_based on steps'!$B130:$U130,'changes2_based on steps'!$B$1:$U$1,M$1)</f>
        <v>0</v>
      </c>
      <c r="N130" s="179">
        <f>SUMIFS('recurring2_based on steps'!$B130:$AY130,'recurring2_based on steps'!$B$1:$AY$1,N$1)+SUMIFS('changes2_based on steps'!$B130:$U130,'changes2_based on steps'!$B$1:$U$1,N$1)</f>
        <v>0</v>
      </c>
      <c r="O130" s="179">
        <f>SUMIFS('recurring2_based on steps'!$B130:$AY130,'recurring2_based on steps'!$B$1:$AY$1,O$1)+SUMIFS('changes2_based on steps'!$B130:$U130,'changes2_based on steps'!$B$1:$U$1,O$1)</f>
        <v>0</v>
      </c>
      <c r="P130" s="179">
        <f>SUMIFS('recurring2_based on steps'!$B130:$AY130,'recurring2_based on steps'!$B$1:$AY$1,P$1)+SUMIFS('changes2_based on steps'!$B130:$U130,'changes2_based on steps'!$B$1:$U$1,P$1)</f>
        <v>0</v>
      </c>
      <c r="Q130" s="179">
        <f>SUMIFS('recurring2_based on steps'!$B130:$AY130,'recurring2_based on steps'!$B$1:$AY$1,Q$1)+SUMIFS('changes2_based on steps'!$B130:$U130,'changes2_based on steps'!$B$1:$U$1,Q$1)</f>
        <v>0</v>
      </c>
      <c r="R130" s="179">
        <f>SUMIFS('recurring2_based on steps'!$B130:$AY130,'recurring2_based on steps'!$B$1:$AY$1,R$1)+SUMIFS('changes2_based on steps'!$B130:$U130,'changes2_based on steps'!$B$1:$U$1,R$1)</f>
        <v>0</v>
      </c>
      <c r="S130" s="179">
        <f>SUMIFS('recurring2_based on steps'!$B130:$AY130,'recurring2_based on steps'!$B$1:$AY$1,S$1)+SUMIFS('changes2_based on steps'!$B130:$U130,'changes2_based on steps'!$B$1:$U$1,S$1)</f>
        <v>0</v>
      </c>
      <c r="T130" s="179">
        <f>SUMIFS('recurring2_based on steps'!$B130:$AY130,'recurring2_based on steps'!$B$1:$AY$1,T$1)+SUMIFS('changes2_based on steps'!$B130:$U130,'changes2_based on steps'!$B$1:$U$1,T$1)</f>
        <v>0</v>
      </c>
      <c r="U130" s="179">
        <f>SUMIFS('recurring2_based on steps'!$B130:$AY130,'recurring2_based on steps'!$B$1:$AY$1,U$1)+SUMIFS('changes2_based on steps'!$B130:$U130,'changes2_based on steps'!$B$1:$U$1,U$1)</f>
        <v>0</v>
      </c>
      <c r="V130" s="179">
        <f>SUMIFS('recurring2_based on steps'!$B130:$AY130,'recurring2_based on steps'!$B$1:$AY$1,V$1)+SUMIFS('changes2_based on steps'!$B130:$U130,'changes2_based on steps'!$B$1:$U$1,V$1)</f>
        <v>0</v>
      </c>
      <c r="W130" s="179">
        <f>SUMIFS('recurring2_based on steps'!$B130:$AY130,'recurring2_based on steps'!$B$1:$AY$1,W$1)+SUMIFS('changes2_based on steps'!$B130:$U130,'changes2_based on steps'!$B$1:$U$1,W$1)</f>
        <v>0</v>
      </c>
      <c r="X130" s="179">
        <f>SUMIFS('recurring2_based on steps'!$B130:$AY130,'recurring2_based on steps'!$B$1:$AY$1,X$1)+SUMIFS('changes2_based on steps'!$B130:$U130,'changes2_based on steps'!$B$1:$U$1,X$1)</f>
        <v>0</v>
      </c>
      <c r="Y130" s="179">
        <f>SUMIFS('recurring2_based on steps'!$B130:$AY130,'recurring2_based on steps'!$B$1:$AY$1,Y$1)+SUMIFS('changes2_based on steps'!$B130:$U130,'changes2_based on steps'!$B$1:$U$1,Y$1)</f>
        <v>0</v>
      </c>
      <c r="Z130" s="179">
        <f>SUMIFS('recurring2_based on steps'!$B130:$AY130,'recurring2_based on steps'!$B$1:$AY$1,Z$1)+SUMIFS('changes2_based on steps'!$B130:$U130,'changes2_based on steps'!$B$1:$U$1,Z$1)</f>
        <v>0</v>
      </c>
      <c r="AA130" s="179">
        <f>SUMIFS('recurring2_based on steps'!$B130:$AY130,'recurring2_based on steps'!$B$1:$AY$1,AA$1)+SUMIFS('changes2_based on steps'!$B130:$U130,'changes2_based on steps'!$B$1:$U$1,AA$1)</f>
        <v>0</v>
      </c>
      <c r="AB130" s="179">
        <f>SUMIFS('recurring2_based on steps'!$B130:$AY130,'recurring2_based on steps'!$B$1:$AY$1,AB$1)+SUMIFS('changes2_based on steps'!$B130:$U130,'changes2_based on steps'!$B$1:$U$1,AB$1)</f>
        <v>0</v>
      </c>
      <c r="AC130" s="179">
        <f>SUMIFS('recurring2_based on steps'!$B130:$AY130,'recurring2_based on steps'!$B$1:$AY$1,AC$1)+SUMIFS('changes2_based on steps'!$B130:$U130,'changes2_based on steps'!$B$1:$U$1,AC$1)</f>
        <v>0</v>
      </c>
      <c r="AD130" s="179">
        <f>SUMIFS('recurring2_based on steps'!$B130:$AY130,'recurring2_based on steps'!$B$1:$AY$1,AD$1)+SUMIFS('changes2_based on steps'!$B130:$U130,'changes2_based on steps'!$B$1:$U$1,AD$1)</f>
        <v>0</v>
      </c>
      <c r="AE130" s="179">
        <f>SUMIFS('recurring2_based on steps'!$B130:$AY130,'recurring2_based on steps'!$B$1:$AY$1,AE$1)+SUMIFS('changes2_based on steps'!$B130:$U130,'changes2_based on steps'!$B$1:$U$1,AE$1)</f>
        <v>0</v>
      </c>
      <c r="AF130" s="179"/>
      <c r="AG130" s="179"/>
      <c r="AH130" s="179"/>
      <c r="AI130" s="179"/>
      <c r="AJ130" s="179"/>
      <c r="AK130" s="179"/>
      <c r="AL130" s="179"/>
      <c r="AM130" s="179"/>
    </row>
    <row r="131" spans="1:39" x14ac:dyDescent="0.2">
      <c r="A131" s="32">
        <f t="shared" ca="1" si="1"/>
        <v>45873</v>
      </c>
      <c r="B131" s="179">
        <f>SUMIFS('recurring2_based on steps'!$B131:$AY131,'recurring2_based on steps'!$B$1:$AY$1,B$1)+SUMIFS('changes2_based on steps'!$B131:$U131,'changes2_based on steps'!$B$1:$U$1,B$1)</f>
        <v>0</v>
      </c>
      <c r="C131" s="179">
        <f>SUMIFS('recurring2_based on steps'!$B131:$AY131,'recurring2_based on steps'!$B$1:$AY$1,C$1)+SUMIFS('changes2_based on steps'!$B131:$U131,'changes2_based on steps'!$B$1:$U$1,C$1)</f>
        <v>0</v>
      </c>
      <c r="D131" s="179">
        <f>SUMIFS('recurring2_based on steps'!$B131:$AY131,'recurring2_based on steps'!$B$1:$AY$1,D$1)+SUMIFS('changes2_based on steps'!$B131:$U131,'changes2_based on steps'!$B$1:$U$1,D$1)</f>
        <v>0</v>
      </c>
      <c r="E131" s="179">
        <f>SUMIFS('recurring2_based on steps'!$B131:$AY131,'recurring2_based on steps'!$B$1:$AY$1,E$1)+SUMIFS('changes2_based on steps'!$B131:$U131,'changes2_based on steps'!$B$1:$U$1,E$1)</f>
        <v>0</v>
      </c>
      <c r="F131" s="179">
        <f>SUMIFS('recurring2_based on steps'!$B131:$AY131,'recurring2_based on steps'!$B$1:$AY$1,F$1)+SUMIFS('changes2_based on steps'!$B131:$U131,'changes2_based on steps'!$B$1:$U$1,F$1)</f>
        <v>0</v>
      </c>
      <c r="G131" s="179">
        <f>SUMIFS('recurring2_based on steps'!$B131:$AY131,'recurring2_based on steps'!$B$1:$AY$1,G$1)+SUMIFS('changes2_based on steps'!$B131:$U131,'changes2_based on steps'!$B$1:$U$1,G$1)</f>
        <v>0</v>
      </c>
      <c r="H131" s="179">
        <f>SUMIFS('recurring2_based on steps'!$B131:$AY131,'recurring2_based on steps'!$B$1:$AY$1,H$1)+SUMIFS('changes2_based on steps'!$B131:$U131,'changes2_based on steps'!$B$1:$U$1,H$1)</f>
        <v>0</v>
      </c>
      <c r="I131" s="179">
        <f>SUMIFS('recurring2_based on steps'!$B131:$AY131,'recurring2_based on steps'!$B$1:$AY$1,I$1)+SUMIFS('changes2_based on steps'!$B131:$U131,'changes2_based on steps'!$B$1:$U$1,I$1)</f>
        <v>0</v>
      </c>
      <c r="J131" s="179">
        <f>SUMIFS('recurring2_based on steps'!$B131:$AY131,'recurring2_based on steps'!$B$1:$AY$1,J$1)+SUMIFS('changes2_based on steps'!$B131:$U131,'changes2_based on steps'!$B$1:$U$1,J$1)</f>
        <v>0</v>
      </c>
      <c r="K131" s="179">
        <f>SUMIFS('recurring2_based on steps'!$B131:$AY131,'recurring2_based on steps'!$B$1:$AY$1,K$1)+SUMIFS('changes2_based on steps'!$B131:$U131,'changes2_based on steps'!$B$1:$U$1,K$1)</f>
        <v>0</v>
      </c>
      <c r="L131" s="179">
        <f>SUMIFS('recurring2_based on steps'!$B131:$AY131,'recurring2_based on steps'!$B$1:$AY$1,L$1)+SUMIFS('changes2_based on steps'!$B131:$U131,'changes2_based on steps'!$B$1:$U$1,L$1)</f>
        <v>0</v>
      </c>
      <c r="M131" s="179">
        <f>SUMIFS('recurring2_based on steps'!$B131:$AY131,'recurring2_based on steps'!$B$1:$AY$1,M$1)+SUMIFS('changes2_based on steps'!$B131:$U131,'changes2_based on steps'!$B$1:$U$1,M$1)</f>
        <v>0</v>
      </c>
      <c r="N131" s="179">
        <f>SUMIFS('recurring2_based on steps'!$B131:$AY131,'recurring2_based on steps'!$B$1:$AY$1,N$1)+SUMIFS('changes2_based on steps'!$B131:$U131,'changes2_based on steps'!$B$1:$U$1,N$1)</f>
        <v>0</v>
      </c>
      <c r="O131" s="179">
        <f>SUMIFS('recurring2_based on steps'!$B131:$AY131,'recurring2_based on steps'!$B$1:$AY$1,O$1)+SUMIFS('changes2_based on steps'!$B131:$U131,'changes2_based on steps'!$B$1:$U$1,O$1)</f>
        <v>0</v>
      </c>
      <c r="P131" s="179">
        <f>SUMIFS('recurring2_based on steps'!$B131:$AY131,'recurring2_based on steps'!$B$1:$AY$1,P$1)+SUMIFS('changes2_based on steps'!$B131:$U131,'changes2_based on steps'!$B$1:$U$1,P$1)</f>
        <v>0</v>
      </c>
      <c r="Q131" s="179">
        <f>SUMIFS('recurring2_based on steps'!$B131:$AY131,'recurring2_based on steps'!$B$1:$AY$1,Q$1)+SUMIFS('changes2_based on steps'!$B131:$U131,'changes2_based on steps'!$B$1:$U$1,Q$1)</f>
        <v>0</v>
      </c>
      <c r="R131" s="179">
        <f>SUMIFS('recurring2_based on steps'!$B131:$AY131,'recurring2_based on steps'!$B$1:$AY$1,R$1)+SUMIFS('changes2_based on steps'!$B131:$U131,'changes2_based on steps'!$B$1:$U$1,R$1)</f>
        <v>0</v>
      </c>
      <c r="S131" s="179">
        <f>SUMIFS('recurring2_based on steps'!$B131:$AY131,'recurring2_based on steps'!$B$1:$AY$1,S$1)+SUMIFS('changes2_based on steps'!$B131:$U131,'changes2_based on steps'!$B$1:$U$1,S$1)</f>
        <v>0</v>
      </c>
      <c r="T131" s="179">
        <f>SUMIFS('recurring2_based on steps'!$B131:$AY131,'recurring2_based on steps'!$B$1:$AY$1,T$1)+SUMIFS('changes2_based on steps'!$B131:$U131,'changes2_based on steps'!$B$1:$U$1,T$1)</f>
        <v>0</v>
      </c>
      <c r="U131" s="179">
        <f>SUMIFS('recurring2_based on steps'!$B131:$AY131,'recurring2_based on steps'!$B$1:$AY$1,U$1)+SUMIFS('changes2_based on steps'!$B131:$U131,'changes2_based on steps'!$B$1:$U$1,U$1)</f>
        <v>0</v>
      </c>
      <c r="V131" s="179">
        <f>SUMIFS('recurring2_based on steps'!$B131:$AY131,'recurring2_based on steps'!$B$1:$AY$1,V$1)+SUMIFS('changes2_based on steps'!$B131:$U131,'changes2_based on steps'!$B$1:$U$1,V$1)</f>
        <v>0</v>
      </c>
      <c r="W131" s="179">
        <f>SUMIFS('recurring2_based on steps'!$B131:$AY131,'recurring2_based on steps'!$B$1:$AY$1,W$1)+SUMIFS('changes2_based on steps'!$B131:$U131,'changes2_based on steps'!$B$1:$U$1,W$1)</f>
        <v>0</v>
      </c>
      <c r="X131" s="179">
        <f>SUMIFS('recurring2_based on steps'!$B131:$AY131,'recurring2_based on steps'!$B$1:$AY$1,X$1)+SUMIFS('changes2_based on steps'!$B131:$U131,'changes2_based on steps'!$B$1:$U$1,X$1)</f>
        <v>0</v>
      </c>
      <c r="Y131" s="179">
        <f>SUMIFS('recurring2_based on steps'!$B131:$AY131,'recurring2_based on steps'!$B$1:$AY$1,Y$1)+SUMIFS('changes2_based on steps'!$B131:$U131,'changes2_based on steps'!$B$1:$U$1,Y$1)</f>
        <v>0</v>
      </c>
      <c r="Z131" s="179">
        <f>SUMIFS('recurring2_based on steps'!$B131:$AY131,'recurring2_based on steps'!$B$1:$AY$1,Z$1)+SUMIFS('changes2_based on steps'!$B131:$U131,'changes2_based on steps'!$B$1:$U$1,Z$1)</f>
        <v>0</v>
      </c>
      <c r="AA131" s="179">
        <f>SUMIFS('recurring2_based on steps'!$B131:$AY131,'recurring2_based on steps'!$B$1:$AY$1,AA$1)+SUMIFS('changes2_based on steps'!$B131:$U131,'changes2_based on steps'!$B$1:$U$1,AA$1)</f>
        <v>0</v>
      </c>
      <c r="AB131" s="179">
        <f>SUMIFS('recurring2_based on steps'!$B131:$AY131,'recurring2_based on steps'!$B$1:$AY$1,AB$1)+SUMIFS('changes2_based on steps'!$B131:$U131,'changes2_based on steps'!$B$1:$U$1,AB$1)</f>
        <v>0</v>
      </c>
      <c r="AC131" s="179">
        <f>SUMIFS('recurring2_based on steps'!$B131:$AY131,'recurring2_based on steps'!$B$1:$AY$1,AC$1)+SUMIFS('changes2_based on steps'!$B131:$U131,'changes2_based on steps'!$B$1:$U$1,AC$1)</f>
        <v>0</v>
      </c>
      <c r="AD131" s="179">
        <f>SUMIFS('recurring2_based on steps'!$B131:$AY131,'recurring2_based on steps'!$B$1:$AY$1,AD$1)+SUMIFS('changes2_based on steps'!$B131:$U131,'changes2_based on steps'!$B$1:$U$1,AD$1)</f>
        <v>0</v>
      </c>
      <c r="AE131" s="179">
        <f>SUMIFS('recurring2_based on steps'!$B131:$AY131,'recurring2_based on steps'!$B$1:$AY$1,AE$1)+SUMIFS('changes2_based on steps'!$B131:$U131,'changes2_based on steps'!$B$1:$U$1,AE$1)</f>
        <v>0</v>
      </c>
      <c r="AF131" s="179"/>
      <c r="AG131" s="179"/>
      <c r="AH131" s="179"/>
      <c r="AI131" s="179"/>
      <c r="AJ131" s="179"/>
      <c r="AK131" s="179"/>
      <c r="AL131" s="179"/>
      <c r="AM131" s="179"/>
    </row>
    <row r="132" spans="1:39" x14ac:dyDescent="0.2">
      <c r="A132" s="32">
        <f t="shared" ca="1" si="1"/>
        <v>45874</v>
      </c>
      <c r="B132" s="179">
        <f>SUMIFS('recurring2_based on steps'!$B132:$AY132,'recurring2_based on steps'!$B$1:$AY$1,B$1)+SUMIFS('changes2_based on steps'!$B132:$U132,'changes2_based on steps'!$B$1:$U$1,B$1)</f>
        <v>0</v>
      </c>
      <c r="C132" s="179">
        <f>SUMIFS('recurring2_based on steps'!$B132:$AY132,'recurring2_based on steps'!$B$1:$AY$1,C$1)+SUMIFS('changes2_based on steps'!$B132:$U132,'changes2_based on steps'!$B$1:$U$1,C$1)</f>
        <v>0</v>
      </c>
      <c r="D132" s="179">
        <f>SUMIFS('recurring2_based on steps'!$B132:$AY132,'recurring2_based on steps'!$B$1:$AY$1,D$1)+SUMIFS('changes2_based on steps'!$B132:$U132,'changes2_based on steps'!$B$1:$U$1,D$1)</f>
        <v>0</v>
      </c>
      <c r="E132" s="179">
        <f>SUMIFS('recurring2_based on steps'!$B132:$AY132,'recurring2_based on steps'!$B$1:$AY$1,E$1)+SUMIFS('changes2_based on steps'!$B132:$U132,'changes2_based on steps'!$B$1:$U$1,E$1)</f>
        <v>0</v>
      </c>
      <c r="F132" s="179">
        <f>SUMIFS('recurring2_based on steps'!$B132:$AY132,'recurring2_based on steps'!$B$1:$AY$1,F$1)+SUMIFS('changes2_based on steps'!$B132:$U132,'changes2_based on steps'!$B$1:$U$1,F$1)</f>
        <v>0</v>
      </c>
      <c r="G132" s="179">
        <f>SUMIFS('recurring2_based on steps'!$B132:$AY132,'recurring2_based on steps'!$B$1:$AY$1,G$1)+SUMIFS('changes2_based on steps'!$B132:$U132,'changes2_based on steps'!$B$1:$U$1,G$1)</f>
        <v>0</v>
      </c>
      <c r="H132" s="179">
        <f>SUMIFS('recurring2_based on steps'!$B132:$AY132,'recurring2_based on steps'!$B$1:$AY$1,H$1)+SUMIFS('changes2_based on steps'!$B132:$U132,'changes2_based on steps'!$B$1:$U$1,H$1)</f>
        <v>0</v>
      </c>
      <c r="I132" s="179">
        <f>SUMIFS('recurring2_based on steps'!$B132:$AY132,'recurring2_based on steps'!$B$1:$AY$1,I$1)+SUMIFS('changes2_based on steps'!$B132:$U132,'changes2_based on steps'!$B$1:$U$1,I$1)</f>
        <v>0</v>
      </c>
      <c r="J132" s="179">
        <f>SUMIFS('recurring2_based on steps'!$B132:$AY132,'recurring2_based on steps'!$B$1:$AY$1,J$1)+SUMIFS('changes2_based on steps'!$B132:$U132,'changes2_based on steps'!$B$1:$U$1,J$1)</f>
        <v>0</v>
      </c>
      <c r="K132" s="179">
        <f>SUMIFS('recurring2_based on steps'!$B132:$AY132,'recurring2_based on steps'!$B$1:$AY$1,K$1)+SUMIFS('changes2_based on steps'!$B132:$U132,'changes2_based on steps'!$B$1:$U$1,K$1)</f>
        <v>0</v>
      </c>
      <c r="L132" s="179">
        <f>SUMIFS('recurring2_based on steps'!$B132:$AY132,'recurring2_based on steps'!$B$1:$AY$1,L$1)+SUMIFS('changes2_based on steps'!$B132:$U132,'changes2_based on steps'!$B$1:$U$1,L$1)</f>
        <v>0</v>
      </c>
      <c r="M132" s="179">
        <f>SUMIFS('recurring2_based on steps'!$B132:$AY132,'recurring2_based on steps'!$B$1:$AY$1,M$1)+SUMIFS('changes2_based on steps'!$B132:$U132,'changes2_based on steps'!$B$1:$U$1,M$1)</f>
        <v>0</v>
      </c>
      <c r="N132" s="179">
        <f>SUMIFS('recurring2_based on steps'!$B132:$AY132,'recurring2_based on steps'!$B$1:$AY$1,N$1)+SUMIFS('changes2_based on steps'!$B132:$U132,'changes2_based on steps'!$B$1:$U$1,N$1)</f>
        <v>0</v>
      </c>
      <c r="O132" s="179">
        <f>SUMIFS('recurring2_based on steps'!$B132:$AY132,'recurring2_based on steps'!$B$1:$AY$1,O$1)+SUMIFS('changes2_based on steps'!$B132:$U132,'changes2_based on steps'!$B$1:$U$1,O$1)</f>
        <v>0</v>
      </c>
      <c r="P132" s="179">
        <f>SUMIFS('recurring2_based on steps'!$B132:$AY132,'recurring2_based on steps'!$B$1:$AY$1,P$1)+SUMIFS('changes2_based on steps'!$B132:$U132,'changes2_based on steps'!$B$1:$U$1,P$1)</f>
        <v>0</v>
      </c>
      <c r="Q132" s="179">
        <f>SUMIFS('recurring2_based on steps'!$B132:$AY132,'recurring2_based on steps'!$B$1:$AY$1,Q$1)+SUMIFS('changes2_based on steps'!$B132:$U132,'changes2_based on steps'!$B$1:$U$1,Q$1)</f>
        <v>0</v>
      </c>
      <c r="R132" s="179">
        <f>SUMIFS('recurring2_based on steps'!$B132:$AY132,'recurring2_based on steps'!$B$1:$AY$1,R$1)+SUMIFS('changes2_based on steps'!$B132:$U132,'changes2_based on steps'!$B$1:$U$1,R$1)</f>
        <v>0</v>
      </c>
      <c r="S132" s="179">
        <f>SUMIFS('recurring2_based on steps'!$B132:$AY132,'recurring2_based on steps'!$B$1:$AY$1,S$1)+SUMIFS('changes2_based on steps'!$B132:$U132,'changes2_based on steps'!$B$1:$U$1,S$1)</f>
        <v>0</v>
      </c>
      <c r="T132" s="179">
        <f>SUMIFS('recurring2_based on steps'!$B132:$AY132,'recurring2_based on steps'!$B$1:$AY$1,T$1)+SUMIFS('changes2_based on steps'!$B132:$U132,'changes2_based on steps'!$B$1:$U$1,T$1)</f>
        <v>0</v>
      </c>
      <c r="U132" s="179">
        <f>SUMIFS('recurring2_based on steps'!$B132:$AY132,'recurring2_based on steps'!$B$1:$AY$1,U$1)+SUMIFS('changes2_based on steps'!$B132:$U132,'changes2_based on steps'!$B$1:$U$1,U$1)</f>
        <v>0</v>
      </c>
      <c r="V132" s="179">
        <f>SUMIFS('recurring2_based on steps'!$B132:$AY132,'recurring2_based on steps'!$B$1:$AY$1,V$1)+SUMIFS('changes2_based on steps'!$B132:$U132,'changes2_based on steps'!$B$1:$U$1,V$1)</f>
        <v>0</v>
      </c>
      <c r="W132" s="179">
        <f>SUMIFS('recurring2_based on steps'!$B132:$AY132,'recurring2_based on steps'!$B$1:$AY$1,W$1)+SUMIFS('changes2_based on steps'!$B132:$U132,'changes2_based on steps'!$B$1:$U$1,W$1)</f>
        <v>0</v>
      </c>
      <c r="X132" s="179">
        <f>SUMIFS('recurring2_based on steps'!$B132:$AY132,'recurring2_based on steps'!$B$1:$AY$1,X$1)+SUMIFS('changes2_based on steps'!$B132:$U132,'changes2_based on steps'!$B$1:$U$1,X$1)</f>
        <v>0</v>
      </c>
      <c r="Y132" s="179">
        <f>SUMIFS('recurring2_based on steps'!$B132:$AY132,'recurring2_based on steps'!$B$1:$AY$1,Y$1)+SUMIFS('changes2_based on steps'!$B132:$U132,'changes2_based on steps'!$B$1:$U$1,Y$1)</f>
        <v>0</v>
      </c>
      <c r="Z132" s="179">
        <f>SUMIFS('recurring2_based on steps'!$B132:$AY132,'recurring2_based on steps'!$B$1:$AY$1,Z$1)+SUMIFS('changes2_based on steps'!$B132:$U132,'changes2_based on steps'!$B$1:$U$1,Z$1)</f>
        <v>0</v>
      </c>
      <c r="AA132" s="179">
        <f>SUMIFS('recurring2_based on steps'!$B132:$AY132,'recurring2_based on steps'!$B$1:$AY$1,AA$1)+SUMIFS('changes2_based on steps'!$B132:$U132,'changes2_based on steps'!$B$1:$U$1,AA$1)</f>
        <v>0</v>
      </c>
      <c r="AB132" s="179">
        <f>SUMIFS('recurring2_based on steps'!$B132:$AY132,'recurring2_based on steps'!$B$1:$AY$1,AB$1)+SUMIFS('changes2_based on steps'!$B132:$U132,'changes2_based on steps'!$B$1:$U$1,AB$1)</f>
        <v>0</v>
      </c>
      <c r="AC132" s="179">
        <f>SUMIFS('recurring2_based on steps'!$B132:$AY132,'recurring2_based on steps'!$B$1:$AY$1,AC$1)+SUMIFS('changes2_based on steps'!$B132:$U132,'changes2_based on steps'!$B$1:$U$1,AC$1)</f>
        <v>0</v>
      </c>
      <c r="AD132" s="179">
        <f>SUMIFS('recurring2_based on steps'!$B132:$AY132,'recurring2_based on steps'!$B$1:$AY$1,AD$1)+SUMIFS('changes2_based on steps'!$B132:$U132,'changes2_based on steps'!$B$1:$U$1,AD$1)</f>
        <v>0</v>
      </c>
      <c r="AE132" s="179">
        <f>SUMIFS('recurring2_based on steps'!$B132:$AY132,'recurring2_based on steps'!$B$1:$AY$1,AE$1)+SUMIFS('changes2_based on steps'!$B132:$U132,'changes2_based on steps'!$B$1:$U$1,AE$1)</f>
        <v>0</v>
      </c>
      <c r="AF132" s="179"/>
      <c r="AG132" s="179"/>
      <c r="AH132" s="179"/>
      <c r="AI132" s="179"/>
      <c r="AJ132" s="179"/>
      <c r="AK132" s="179"/>
      <c r="AL132" s="179"/>
      <c r="AM132" s="179"/>
    </row>
    <row r="133" spans="1:39" x14ac:dyDescent="0.2">
      <c r="A133" s="32">
        <f t="shared" ref="A133:A196" ca="1" si="2">A132+1</f>
        <v>45875</v>
      </c>
      <c r="B133" s="179">
        <f>SUMIFS('recurring2_based on steps'!$B133:$AY133,'recurring2_based on steps'!$B$1:$AY$1,B$1)+SUMIFS('changes2_based on steps'!$B133:$U133,'changes2_based on steps'!$B$1:$U$1,B$1)</f>
        <v>0</v>
      </c>
      <c r="C133" s="179">
        <f>SUMIFS('recurring2_based on steps'!$B133:$AY133,'recurring2_based on steps'!$B$1:$AY$1,C$1)+SUMIFS('changes2_based on steps'!$B133:$U133,'changes2_based on steps'!$B$1:$U$1,C$1)</f>
        <v>0</v>
      </c>
      <c r="D133" s="179">
        <f>SUMIFS('recurring2_based on steps'!$B133:$AY133,'recurring2_based on steps'!$B$1:$AY$1,D$1)+SUMIFS('changes2_based on steps'!$B133:$U133,'changes2_based on steps'!$B$1:$U$1,D$1)</f>
        <v>0</v>
      </c>
      <c r="E133" s="179">
        <f>SUMIFS('recurring2_based on steps'!$B133:$AY133,'recurring2_based on steps'!$B$1:$AY$1,E$1)+SUMIFS('changes2_based on steps'!$B133:$U133,'changes2_based on steps'!$B$1:$U$1,E$1)</f>
        <v>0</v>
      </c>
      <c r="F133" s="179">
        <f>SUMIFS('recurring2_based on steps'!$B133:$AY133,'recurring2_based on steps'!$B$1:$AY$1,F$1)+SUMIFS('changes2_based on steps'!$B133:$U133,'changes2_based on steps'!$B$1:$U$1,F$1)</f>
        <v>0</v>
      </c>
      <c r="G133" s="179">
        <f>SUMIFS('recurring2_based on steps'!$B133:$AY133,'recurring2_based on steps'!$B$1:$AY$1,G$1)+SUMIFS('changes2_based on steps'!$B133:$U133,'changes2_based on steps'!$B$1:$U$1,G$1)</f>
        <v>0</v>
      </c>
      <c r="H133" s="179">
        <f>SUMIFS('recurring2_based on steps'!$B133:$AY133,'recurring2_based on steps'!$B$1:$AY$1,H$1)+SUMIFS('changes2_based on steps'!$B133:$U133,'changes2_based on steps'!$B$1:$U$1,H$1)</f>
        <v>0</v>
      </c>
      <c r="I133" s="179">
        <f>SUMIFS('recurring2_based on steps'!$B133:$AY133,'recurring2_based on steps'!$B$1:$AY$1,I$1)+SUMIFS('changes2_based on steps'!$B133:$U133,'changes2_based on steps'!$B$1:$U$1,I$1)</f>
        <v>0</v>
      </c>
      <c r="J133" s="179">
        <f>SUMIFS('recurring2_based on steps'!$B133:$AY133,'recurring2_based on steps'!$B$1:$AY$1,J$1)+SUMIFS('changes2_based on steps'!$B133:$U133,'changes2_based on steps'!$B$1:$U$1,J$1)</f>
        <v>0</v>
      </c>
      <c r="K133" s="179">
        <f>SUMIFS('recurring2_based on steps'!$B133:$AY133,'recurring2_based on steps'!$B$1:$AY$1,K$1)+SUMIFS('changes2_based on steps'!$B133:$U133,'changes2_based on steps'!$B$1:$U$1,K$1)</f>
        <v>0</v>
      </c>
      <c r="L133" s="179">
        <f>SUMIFS('recurring2_based on steps'!$B133:$AY133,'recurring2_based on steps'!$B$1:$AY$1,L$1)+SUMIFS('changes2_based on steps'!$B133:$U133,'changes2_based on steps'!$B$1:$U$1,L$1)</f>
        <v>0</v>
      </c>
      <c r="M133" s="179">
        <f>SUMIFS('recurring2_based on steps'!$B133:$AY133,'recurring2_based on steps'!$B$1:$AY$1,M$1)+SUMIFS('changes2_based on steps'!$B133:$U133,'changes2_based on steps'!$B$1:$U$1,M$1)</f>
        <v>0</v>
      </c>
      <c r="N133" s="179">
        <f>SUMIFS('recurring2_based on steps'!$B133:$AY133,'recurring2_based on steps'!$B$1:$AY$1,N$1)+SUMIFS('changes2_based on steps'!$B133:$U133,'changes2_based on steps'!$B$1:$U$1,N$1)</f>
        <v>0</v>
      </c>
      <c r="O133" s="179">
        <f>SUMIFS('recurring2_based on steps'!$B133:$AY133,'recurring2_based on steps'!$B$1:$AY$1,O$1)+SUMIFS('changes2_based on steps'!$B133:$U133,'changes2_based on steps'!$B$1:$U$1,O$1)</f>
        <v>0</v>
      </c>
      <c r="P133" s="179">
        <f>SUMIFS('recurring2_based on steps'!$B133:$AY133,'recurring2_based on steps'!$B$1:$AY$1,P$1)+SUMIFS('changes2_based on steps'!$B133:$U133,'changes2_based on steps'!$B$1:$U$1,P$1)</f>
        <v>0</v>
      </c>
      <c r="Q133" s="179">
        <f>SUMIFS('recurring2_based on steps'!$B133:$AY133,'recurring2_based on steps'!$B$1:$AY$1,Q$1)+SUMIFS('changes2_based on steps'!$B133:$U133,'changes2_based on steps'!$B$1:$U$1,Q$1)</f>
        <v>0</v>
      </c>
      <c r="R133" s="179">
        <f>SUMIFS('recurring2_based on steps'!$B133:$AY133,'recurring2_based on steps'!$B$1:$AY$1,R$1)+SUMIFS('changes2_based on steps'!$B133:$U133,'changes2_based on steps'!$B$1:$U$1,R$1)</f>
        <v>0</v>
      </c>
      <c r="S133" s="179">
        <f>SUMIFS('recurring2_based on steps'!$B133:$AY133,'recurring2_based on steps'!$B$1:$AY$1,S$1)+SUMIFS('changes2_based on steps'!$B133:$U133,'changes2_based on steps'!$B$1:$U$1,S$1)</f>
        <v>0</v>
      </c>
      <c r="T133" s="179">
        <f>SUMIFS('recurring2_based on steps'!$B133:$AY133,'recurring2_based on steps'!$B$1:$AY$1,T$1)+SUMIFS('changes2_based on steps'!$B133:$U133,'changes2_based on steps'!$B$1:$U$1,T$1)</f>
        <v>0</v>
      </c>
      <c r="U133" s="179">
        <f>SUMIFS('recurring2_based on steps'!$B133:$AY133,'recurring2_based on steps'!$B$1:$AY$1,U$1)+SUMIFS('changes2_based on steps'!$B133:$U133,'changes2_based on steps'!$B$1:$U$1,U$1)</f>
        <v>0</v>
      </c>
      <c r="V133" s="179">
        <f>SUMIFS('recurring2_based on steps'!$B133:$AY133,'recurring2_based on steps'!$B$1:$AY$1,V$1)+SUMIFS('changes2_based on steps'!$B133:$U133,'changes2_based on steps'!$B$1:$U$1,V$1)</f>
        <v>0</v>
      </c>
      <c r="W133" s="179">
        <f>SUMIFS('recurring2_based on steps'!$B133:$AY133,'recurring2_based on steps'!$B$1:$AY$1,W$1)+SUMIFS('changes2_based on steps'!$B133:$U133,'changes2_based on steps'!$B$1:$U$1,W$1)</f>
        <v>0</v>
      </c>
      <c r="X133" s="179">
        <f>SUMIFS('recurring2_based on steps'!$B133:$AY133,'recurring2_based on steps'!$B$1:$AY$1,X$1)+SUMIFS('changes2_based on steps'!$B133:$U133,'changes2_based on steps'!$B$1:$U$1,X$1)</f>
        <v>0</v>
      </c>
      <c r="Y133" s="179">
        <f>SUMIFS('recurring2_based on steps'!$B133:$AY133,'recurring2_based on steps'!$B$1:$AY$1,Y$1)+SUMIFS('changes2_based on steps'!$B133:$U133,'changes2_based on steps'!$B$1:$U$1,Y$1)</f>
        <v>0</v>
      </c>
      <c r="Z133" s="179">
        <f>SUMIFS('recurring2_based on steps'!$B133:$AY133,'recurring2_based on steps'!$B$1:$AY$1,Z$1)+SUMIFS('changes2_based on steps'!$B133:$U133,'changes2_based on steps'!$B$1:$U$1,Z$1)</f>
        <v>0</v>
      </c>
      <c r="AA133" s="179">
        <f>SUMIFS('recurring2_based on steps'!$B133:$AY133,'recurring2_based on steps'!$B$1:$AY$1,AA$1)+SUMIFS('changes2_based on steps'!$B133:$U133,'changes2_based on steps'!$B$1:$U$1,AA$1)</f>
        <v>0</v>
      </c>
      <c r="AB133" s="179">
        <f>SUMIFS('recurring2_based on steps'!$B133:$AY133,'recurring2_based on steps'!$B$1:$AY$1,AB$1)+SUMIFS('changes2_based on steps'!$B133:$U133,'changes2_based on steps'!$B$1:$U$1,AB$1)</f>
        <v>0</v>
      </c>
      <c r="AC133" s="179">
        <f>SUMIFS('recurring2_based on steps'!$B133:$AY133,'recurring2_based on steps'!$B$1:$AY$1,AC$1)+SUMIFS('changes2_based on steps'!$B133:$U133,'changes2_based on steps'!$B$1:$U$1,AC$1)</f>
        <v>0</v>
      </c>
      <c r="AD133" s="179">
        <f>SUMIFS('recurring2_based on steps'!$B133:$AY133,'recurring2_based on steps'!$B$1:$AY$1,AD$1)+SUMIFS('changes2_based on steps'!$B133:$U133,'changes2_based on steps'!$B$1:$U$1,AD$1)</f>
        <v>0</v>
      </c>
      <c r="AE133" s="179">
        <f>SUMIFS('recurring2_based on steps'!$B133:$AY133,'recurring2_based on steps'!$B$1:$AY$1,AE$1)+SUMIFS('changes2_based on steps'!$B133:$U133,'changes2_based on steps'!$B$1:$U$1,AE$1)</f>
        <v>0</v>
      </c>
      <c r="AF133" s="179"/>
      <c r="AG133" s="179"/>
      <c r="AH133" s="179"/>
      <c r="AI133" s="179"/>
      <c r="AJ133" s="179"/>
      <c r="AK133" s="179"/>
      <c r="AL133" s="179"/>
      <c r="AM133" s="179"/>
    </row>
    <row r="134" spans="1:39" x14ac:dyDescent="0.2">
      <c r="A134" s="32">
        <f t="shared" ca="1" si="2"/>
        <v>45876</v>
      </c>
      <c r="B134" s="179">
        <f>SUMIFS('recurring2_based on steps'!$B134:$AY134,'recurring2_based on steps'!$B$1:$AY$1,B$1)+SUMIFS('changes2_based on steps'!$B134:$U134,'changes2_based on steps'!$B$1:$U$1,B$1)</f>
        <v>0</v>
      </c>
      <c r="C134" s="179">
        <f>SUMIFS('recurring2_based on steps'!$B134:$AY134,'recurring2_based on steps'!$B$1:$AY$1,C$1)+SUMIFS('changes2_based on steps'!$B134:$U134,'changes2_based on steps'!$B$1:$U$1,C$1)</f>
        <v>0</v>
      </c>
      <c r="D134" s="179">
        <f>SUMIFS('recurring2_based on steps'!$B134:$AY134,'recurring2_based on steps'!$B$1:$AY$1,D$1)+SUMIFS('changes2_based on steps'!$B134:$U134,'changes2_based on steps'!$B$1:$U$1,D$1)</f>
        <v>0</v>
      </c>
      <c r="E134" s="179">
        <f>SUMIFS('recurring2_based on steps'!$B134:$AY134,'recurring2_based on steps'!$B$1:$AY$1,E$1)+SUMIFS('changes2_based on steps'!$B134:$U134,'changes2_based on steps'!$B$1:$U$1,E$1)</f>
        <v>0</v>
      </c>
      <c r="F134" s="179">
        <f>SUMIFS('recurring2_based on steps'!$B134:$AY134,'recurring2_based on steps'!$B$1:$AY$1,F$1)+SUMIFS('changes2_based on steps'!$B134:$U134,'changes2_based on steps'!$B$1:$U$1,F$1)</f>
        <v>0</v>
      </c>
      <c r="G134" s="179">
        <f>SUMIFS('recurring2_based on steps'!$B134:$AY134,'recurring2_based on steps'!$B$1:$AY$1,G$1)+SUMIFS('changes2_based on steps'!$B134:$U134,'changes2_based on steps'!$B$1:$U$1,G$1)</f>
        <v>0</v>
      </c>
      <c r="H134" s="179">
        <f>SUMIFS('recurring2_based on steps'!$B134:$AY134,'recurring2_based on steps'!$B$1:$AY$1,H$1)+SUMIFS('changes2_based on steps'!$B134:$U134,'changes2_based on steps'!$B$1:$U$1,H$1)</f>
        <v>0</v>
      </c>
      <c r="I134" s="179">
        <f>SUMIFS('recurring2_based on steps'!$B134:$AY134,'recurring2_based on steps'!$B$1:$AY$1,I$1)+SUMIFS('changes2_based on steps'!$B134:$U134,'changes2_based on steps'!$B$1:$U$1,I$1)</f>
        <v>0</v>
      </c>
      <c r="J134" s="179">
        <f>SUMIFS('recurring2_based on steps'!$B134:$AY134,'recurring2_based on steps'!$B$1:$AY$1,J$1)+SUMIFS('changes2_based on steps'!$B134:$U134,'changes2_based on steps'!$B$1:$U$1,J$1)</f>
        <v>0</v>
      </c>
      <c r="K134" s="179">
        <f>SUMIFS('recurring2_based on steps'!$B134:$AY134,'recurring2_based on steps'!$B$1:$AY$1,K$1)+SUMIFS('changes2_based on steps'!$B134:$U134,'changes2_based on steps'!$B$1:$U$1,K$1)</f>
        <v>0</v>
      </c>
      <c r="L134" s="179">
        <f>SUMIFS('recurring2_based on steps'!$B134:$AY134,'recurring2_based on steps'!$B$1:$AY$1,L$1)+SUMIFS('changes2_based on steps'!$B134:$U134,'changes2_based on steps'!$B$1:$U$1,L$1)</f>
        <v>0</v>
      </c>
      <c r="M134" s="179">
        <f>SUMIFS('recurring2_based on steps'!$B134:$AY134,'recurring2_based on steps'!$B$1:$AY$1,M$1)+SUMIFS('changes2_based on steps'!$B134:$U134,'changes2_based on steps'!$B$1:$U$1,M$1)</f>
        <v>0</v>
      </c>
      <c r="N134" s="179">
        <f>SUMIFS('recurring2_based on steps'!$B134:$AY134,'recurring2_based on steps'!$B$1:$AY$1,N$1)+SUMIFS('changes2_based on steps'!$B134:$U134,'changes2_based on steps'!$B$1:$U$1,N$1)</f>
        <v>0</v>
      </c>
      <c r="O134" s="179">
        <f>SUMIFS('recurring2_based on steps'!$B134:$AY134,'recurring2_based on steps'!$B$1:$AY$1,O$1)+SUMIFS('changes2_based on steps'!$B134:$U134,'changes2_based on steps'!$B$1:$U$1,O$1)</f>
        <v>0</v>
      </c>
      <c r="P134" s="179">
        <f>SUMIFS('recurring2_based on steps'!$B134:$AY134,'recurring2_based on steps'!$B$1:$AY$1,P$1)+SUMIFS('changes2_based on steps'!$B134:$U134,'changes2_based on steps'!$B$1:$U$1,P$1)</f>
        <v>0</v>
      </c>
      <c r="Q134" s="179">
        <f>SUMIFS('recurring2_based on steps'!$B134:$AY134,'recurring2_based on steps'!$B$1:$AY$1,Q$1)+SUMIFS('changes2_based on steps'!$B134:$U134,'changes2_based on steps'!$B$1:$U$1,Q$1)</f>
        <v>0</v>
      </c>
      <c r="R134" s="179">
        <f>SUMIFS('recurring2_based on steps'!$B134:$AY134,'recurring2_based on steps'!$B$1:$AY$1,R$1)+SUMIFS('changes2_based on steps'!$B134:$U134,'changes2_based on steps'!$B$1:$U$1,R$1)</f>
        <v>0</v>
      </c>
      <c r="S134" s="179">
        <f>SUMIFS('recurring2_based on steps'!$B134:$AY134,'recurring2_based on steps'!$B$1:$AY$1,S$1)+SUMIFS('changes2_based on steps'!$B134:$U134,'changes2_based on steps'!$B$1:$U$1,S$1)</f>
        <v>0</v>
      </c>
      <c r="T134" s="179">
        <f>SUMIFS('recurring2_based on steps'!$B134:$AY134,'recurring2_based on steps'!$B$1:$AY$1,T$1)+SUMIFS('changes2_based on steps'!$B134:$U134,'changes2_based on steps'!$B$1:$U$1,T$1)</f>
        <v>0</v>
      </c>
      <c r="U134" s="179">
        <f>SUMIFS('recurring2_based on steps'!$B134:$AY134,'recurring2_based on steps'!$B$1:$AY$1,U$1)+SUMIFS('changes2_based on steps'!$B134:$U134,'changes2_based on steps'!$B$1:$U$1,U$1)</f>
        <v>0</v>
      </c>
      <c r="V134" s="179">
        <f>SUMIFS('recurring2_based on steps'!$B134:$AY134,'recurring2_based on steps'!$B$1:$AY$1,V$1)+SUMIFS('changes2_based on steps'!$B134:$U134,'changes2_based on steps'!$B$1:$U$1,V$1)</f>
        <v>0</v>
      </c>
      <c r="W134" s="179">
        <f>SUMIFS('recurring2_based on steps'!$B134:$AY134,'recurring2_based on steps'!$B$1:$AY$1,W$1)+SUMIFS('changes2_based on steps'!$B134:$U134,'changes2_based on steps'!$B$1:$U$1,W$1)</f>
        <v>0</v>
      </c>
      <c r="X134" s="179">
        <f>SUMIFS('recurring2_based on steps'!$B134:$AY134,'recurring2_based on steps'!$B$1:$AY$1,X$1)+SUMIFS('changes2_based on steps'!$B134:$U134,'changes2_based on steps'!$B$1:$U$1,X$1)</f>
        <v>0</v>
      </c>
      <c r="Y134" s="179">
        <f>SUMIFS('recurring2_based on steps'!$B134:$AY134,'recurring2_based on steps'!$B$1:$AY$1,Y$1)+SUMIFS('changes2_based on steps'!$B134:$U134,'changes2_based on steps'!$B$1:$U$1,Y$1)</f>
        <v>0</v>
      </c>
      <c r="Z134" s="179">
        <f>SUMIFS('recurring2_based on steps'!$B134:$AY134,'recurring2_based on steps'!$B$1:$AY$1,Z$1)+SUMIFS('changes2_based on steps'!$B134:$U134,'changes2_based on steps'!$B$1:$U$1,Z$1)</f>
        <v>0</v>
      </c>
      <c r="AA134" s="179">
        <f>SUMIFS('recurring2_based on steps'!$B134:$AY134,'recurring2_based on steps'!$B$1:$AY$1,AA$1)+SUMIFS('changes2_based on steps'!$B134:$U134,'changes2_based on steps'!$B$1:$U$1,AA$1)</f>
        <v>0</v>
      </c>
      <c r="AB134" s="179">
        <f>SUMIFS('recurring2_based on steps'!$B134:$AY134,'recurring2_based on steps'!$B$1:$AY$1,AB$1)+SUMIFS('changes2_based on steps'!$B134:$U134,'changes2_based on steps'!$B$1:$U$1,AB$1)</f>
        <v>0</v>
      </c>
      <c r="AC134" s="179">
        <f>SUMIFS('recurring2_based on steps'!$B134:$AY134,'recurring2_based on steps'!$B$1:$AY$1,AC$1)+SUMIFS('changes2_based on steps'!$B134:$U134,'changes2_based on steps'!$B$1:$U$1,AC$1)</f>
        <v>0</v>
      </c>
      <c r="AD134" s="179">
        <f>SUMIFS('recurring2_based on steps'!$B134:$AY134,'recurring2_based on steps'!$B$1:$AY$1,AD$1)+SUMIFS('changes2_based on steps'!$B134:$U134,'changes2_based on steps'!$B$1:$U$1,AD$1)</f>
        <v>0</v>
      </c>
      <c r="AE134" s="179">
        <f>SUMIFS('recurring2_based on steps'!$B134:$AY134,'recurring2_based on steps'!$B$1:$AY$1,AE$1)+SUMIFS('changes2_based on steps'!$B134:$U134,'changes2_based on steps'!$B$1:$U$1,AE$1)</f>
        <v>0</v>
      </c>
      <c r="AF134" s="179"/>
      <c r="AG134" s="179"/>
      <c r="AH134" s="179"/>
      <c r="AI134" s="179"/>
      <c r="AJ134" s="179"/>
      <c r="AK134" s="179"/>
      <c r="AL134" s="179"/>
      <c r="AM134" s="179"/>
    </row>
    <row r="135" spans="1:39" x14ac:dyDescent="0.2">
      <c r="A135" s="32">
        <f t="shared" ca="1" si="2"/>
        <v>45877</v>
      </c>
      <c r="B135" s="179">
        <f>SUMIFS('recurring2_based on steps'!$B135:$AY135,'recurring2_based on steps'!$B$1:$AY$1,B$1)+SUMIFS('changes2_based on steps'!$B135:$U135,'changes2_based on steps'!$B$1:$U$1,B$1)</f>
        <v>0</v>
      </c>
      <c r="C135" s="179">
        <f>SUMIFS('recurring2_based on steps'!$B135:$AY135,'recurring2_based on steps'!$B$1:$AY$1,C$1)+SUMIFS('changes2_based on steps'!$B135:$U135,'changes2_based on steps'!$B$1:$U$1,C$1)</f>
        <v>0</v>
      </c>
      <c r="D135" s="179">
        <f>SUMIFS('recurring2_based on steps'!$B135:$AY135,'recurring2_based on steps'!$B$1:$AY$1,D$1)+SUMIFS('changes2_based on steps'!$B135:$U135,'changes2_based on steps'!$B$1:$U$1,D$1)</f>
        <v>0</v>
      </c>
      <c r="E135" s="179">
        <f>SUMIFS('recurring2_based on steps'!$B135:$AY135,'recurring2_based on steps'!$B$1:$AY$1,E$1)+SUMIFS('changes2_based on steps'!$B135:$U135,'changes2_based on steps'!$B$1:$U$1,E$1)</f>
        <v>0</v>
      </c>
      <c r="F135" s="179">
        <f>SUMIFS('recurring2_based on steps'!$B135:$AY135,'recurring2_based on steps'!$B$1:$AY$1,F$1)+SUMIFS('changes2_based on steps'!$B135:$U135,'changes2_based on steps'!$B$1:$U$1,F$1)</f>
        <v>0</v>
      </c>
      <c r="G135" s="179">
        <f>SUMIFS('recurring2_based on steps'!$B135:$AY135,'recurring2_based on steps'!$B$1:$AY$1,G$1)+SUMIFS('changes2_based on steps'!$B135:$U135,'changes2_based on steps'!$B$1:$U$1,G$1)</f>
        <v>0</v>
      </c>
      <c r="H135" s="179">
        <f>SUMIFS('recurring2_based on steps'!$B135:$AY135,'recurring2_based on steps'!$B$1:$AY$1,H$1)+SUMIFS('changes2_based on steps'!$B135:$U135,'changes2_based on steps'!$B$1:$U$1,H$1)</f>
        <v>0</v>
      </c>
      <c r="I135" s="179">
        <f>SUMIFS('recurring2_based on steps'!$B135:$AY135,'recurring2_based on steps'!$B$1:$AY$1,I$1)+SUMIFS('changes2_based on steps'!$B135:$U135,'changes2_based on steps'!$B$1:$U$1,I$1)</f>
        <v>0</v>
      </c>
      <c r="J135" s="179">
        <f>SUMIFS('recurring2_based on steps'!$B135:$AY135,'recurring2_based on steps'!$B$1:$AY$1,J$1)+SUMIFS('changes2_based on steps'!$B135:$U135,'changes2_based on steps'!$B$1:$U$1,J$1)</f>
        <v>0</v>
      </c>
      <c r="K135" s="179">
        <f>SUMIFS('recurring2_based on steps'!$B135:$AY135,'recurring2_based on steps'!$B$1:$AY$1,K$1)+SUMIFS('changes2_based on steps'!$B135:$U135,'changes2_based on steps'!$B$1:$U$1,K$1)</f>
        <v>0</v>
      </c>
      <c r="L135" s="179">
        <f>SUMIFS('recurring2_based on steps'!$B135:$AY135,'recurring2_based on steps'!$B$1:$AY$1,L$1)+SUMIFS('changes2_based on steps'!$B135:$U135,'changes2_based on steps'!$B$1:$U$1,L$1)</f>
        <v>0</v>
      </c>
      <c r="M135" s="179">
        <f>SUMIFS('recurring2_based on steps'!$B135:$AY135,'recurring2_based on steps'!$B$1:$AY$1,M$1)+SUMIFS('changes2_based on steps'!$B135:$U135,'changes2_based on steps'!$B$1:$U$1,M$1)</f>
        <v>0</v>
      </c>
      <c r="N135" s="179">
        <f>SUMIFS('recurring2_based on steps'!$B135:$AY135,'recurring2_based on steps'!$B$1:$AY$1,N$1)+SUMIFS('changes2_based on steps'!$B135:$U135,'changes2_based on steps'!$B$1:$U$1,N$1)</f>
        <v>0</v>
      </c>
      <c r="O135" s="179">
        <f>SUMIFS('recurring2_based on steps'!$B135:$AY135,'recurring2_based on steps'!$B$1:$AY$1,O$1)+SUMIFS('changes2_based on steps'!$B135:$U135,'changes2_based on steps'!$B$1:$U$1,O$1)</f>
        <v>0</v>
      </c>
      <c r="P135" s="179">
        <f>SUMIFS('recurring2_based on steps'!$B135:$AY135,'recurring2_based on steps'!$B$1:$AY$1,P$1)+SUMIFS('changes2_based on steps'!$B135:$U135,'changes2_based on steps'!$B$1:$U$1,P$1)</f>
        <v>0</v>
      </c>
      <c r="Q135" s="179">
        <f>SUMIFS('recurring2_based on steps'!$B135:$AY135,'recurring2_based on steps'!$B$1:$AY$1,Q$1)+SUMIFS('changes2_based on steps'!$B135:$U135,'changes2_based on steps'!$B$1:$U$1,Q$1)</f>
        <v>0</v>
      </c>
      <c r="R135" s="179">
        <f>SUMIFS('recurring2_based on steps'!$B135:$AY135,'recurring2_based on steps'!$B$1:$AY$1,R$1)+SUMIFS('changes2_based on steps'!$B135:$U135,'changes2_based on steps'!$B$1:$U$1,R$1)</f>
        <v>0</v>
      </c>
      <c r="S135" s="179">
        <f>SUMIFS('recurring2_based on steps'!$B135:$AY135,'recurring2_based on steps'!$B$1:$AY$1,S$1)+SUMIFS('changes2_based on steps'!$B135:$U135,'changes2_based on steps'!$B$1:$U$1,S$1)</f>
        <v>0</v>
      </c>
      <c r="T135" s="179">
        <f>SUMIFS('recurring2_based on steps'!$B135:$AY135,'recurring2_based on steps'!$B$1:$AY$1,T$1)+SUMIFS('changes2_based on steps'!$B135:$U135,'changes2_based on steps'!$B$1:$U$1,T$1)</f>
        <v>0</v>
      </c>
      <c r="U135" s="179">
        <f>SUMIFS('recurring2_based on steps'!$B135:$AY135,'recurring2_based on steps'!$B$1:$AY$1,U$1)+SUMIFS('changes2_based on steps'!$B135:$U135,'changes2_based on steps'!$B$1:$U$1,U$1)</f>
        <v>0</v>
      </c>
      <c r="V135" s="179">
        <f>SUMIFS('recurring2_based on steps'!$B135:$AY135,'recurring2_based on steps'!$B$1:$AY$1,V$1)+SUMIFS('changes2_based on steps'!$B135:$U135,'changes2_based on steps'!$B$1:$U$1,V$1)</f>
        <v>0</v>
      </c>
      <c r="W135" s="179">
        <f>SUMIFS('recurring2_based on steps'!$B135:$AY135,'recurring2_based on steps'!$B$1:$AY$1,W$1)+SUMIFS('changes2_based on steps'!$B135:$U135,'changes2_based on steps'!$B$1:$U$1,W$1)</f>
        <v>0</v>
      </c>
      <c r="X135" s="179">
        <f>SUMIFS('recurring2_based on steps'!$B135:$AY135,'recurring2_based on steps'!$B$1:$AY$1,X$1)+SUMIFS('changes2_based on steps'!$B135:$U135,'changes2_based on steps'!$B$1:$U$1,X$1)</f>
        <v>0</v>
      </c>
      <c r="Y135" s="179">
        <f>SUMIFS('recurring2_based on steps'!$B135:$AY135,'recurring2_based on steps'!$B$1:$AY$1,Y$1)+SUMIFS('changes2_based on steps'!$B135:$U135,'changes2_based on steps'!$B$1:$U$1,Y$1)</f>
        <v>0</v>
      </c>
      <c r="Z135" s="179">
        <f>SUMIFS('recurring2_based on steps'!$B135:$AY135,'recurring2_based on steps'!$B$1:$AY$1,Z$1)+SUMIFS('changes2_based on steps'!$B135:$U135,'changes2_based on steps'!$B$1:$U$1,Z$1)</f>
        <v>0</v>
      </c>
      <c r="AA135" s="179">
        <f>SUMIFS('recurring2_based on steps'!$B135:$AY135,'recurring2_based on steps'!$B$1:$AY$1,AA$1)+SUMIFS('changes2_based on steps'!$B135:$U135,'changes2_based on steps'!$B$1:$U$1,AA$1)</f>
        <v>0</v>
      </c>
      <c r="AB135" s="179">
        <f>SUMIFS('recurring2_based on steps'!$B135:$AY135,'recurring2_based on steps'!$B$1:$AY$1,AB$1)+SUMIFS('changes2_based on steps'!$B135:$U135,'changes2_based on steps'!$B$1:$U$1,AB$1)</f>
        <v>0</v>
      </c>
      <c r="AC135" s="179">
        <f>SUMIFS('recurring2_based on steps'!$B135:$AY135,'recurring2_based on steps'!$B$1:$AY$1,AC$1)+SUMIFS('changes2_based on steps'!$B135:$U135,'changes2_based on steps'!$B$1:$U$1,AC$1)</f>
        <v>0</v>
      </c>
      <c r="AD135" s="179">
        <f>SUMIFS('recurring2_based on steps'!$B135:$AY135,'recurring2_based on steps'!$B$1:$AY$1,AD$1)+SUMIFS('changes2_based on steps'!$B135:$U135,'changes2_based on steps'!$B$1:$U$1,AD$1)</f>
        <v>0</v>
      </c>
      <c r="AE135" s="179">
        <f>SUMIFS('recurring2_based on steps'!$B135:$AY135,'recurring2_based on steps'!$B$1:$AY$1,AE$1)+SUMIFS('changes2_based on steps'!$B135:$U135,'changes2_based on steps'!$B$1:$U$1,AE$1)</f>
        <v>0</v>
      </c>
      <c r="AF135" s="179"/>
      <c r="AG135" s="179"/>
      <c r="AH135" s="179"/>
      <c r="AI135" s="179"/>
      <c r="AJ135" s="179"/>
      <c r="AK135" s="179"/>
      <c r="AL135" s="179"/>
      <c r="AM135" s="179"/>
    </row>
    <row r="136" spans="1:39" x14ac:dyDescent="0.2">
      <c r="A136" s="32">
        <f t="shared" ca="1" si="2"/>
        <v>45878</v>
      </c>
      <c r="B136" s="179">
        <f>SUMIFS('recurring2_based on steps'!$B136:$AY136,'recurring2_based on steps'!$B$1:$AY$1,B$1)+SUMIFS('changes2_based on steps'!$B136:$U136,'changes2_based on steps'!$B$1:$U$1,B$1)</f>
        <v>0</v>
      </c>
      <c r="C136" s="179">
        <f>SUMIFS('recurring2_based on steps'!$B136:$AY136,'recurring2_based on steps'!$B$1:$AY$1,C$1)+SUMIFS('changes2_based on steps'!$B136:$U136,'changes2_based on steps'!$B$1:$U$1,C$1)</f>
        <v>0</v>
      </c>
      <c r="D136" s="179">
        <f>SUMIFS('recurring2_based on steps'!$B136:$AY136,'recurring2_based on steps'!$B$1:$AY$1,D$1)+SUMIFS('changes2_based on steps'!$B136:$U136,'changes2_based on steps'!$B$1:$U$1,D$1)</f>
        <v>0</v>
      </c>
      <c r="E136" s="179">
        <f>SUMIFS('recurring2_based on steps'!$B136:$AY136,'recurring2_based on steps'!$B$1:$AY$1,E$1)+SUMIFS('changes2_based on steps'!$B136:$U136,'changes2_based on steps'!$B$1:$U$1,E$1)</f>
        <v>0</v>
      </c>
      <c r="F136" s="179">
        <f>SUMIFS('recurring2_based on steps'!$B136:$AY136,'recurring2_based on steps'!$B$1:$AY$1,F$1)+SUMIFS('changes2_based on steps'!$B136:$U136,'changes2_based on steps'!$B$1:$U$1,F$1)</f>
        <v>0</v>
      </c>
      <c r="G136" s="179">
        <f>SUMIFS('recurring2_based on steps'!$B136:$AY136,'recurring2_based on steps'!$B$1:$AY$1,G$1)+SUMIFS('changes2_based on steps'!$B136:$U136,'changes2_based on steps'!$B$1:$U$1,G$1)</f>
        <v>0</v>
      </c>
      <c r="H136" s="179">
        <f>SUMIFS('recurring2_based on steps'!$B136:$AY136,'recurring2_based on steps'!$B$1:$AY$1,H$1)+SUMIFS('changes2_based on steps'!$B136:$U136,'changes2_based on steps'!$B$1:$U$1,H$1)</f>
        <v>0</v>
      </c>
      <c r="I136" s="179">
        <f>SUMIFS('recurring2_based on steps'!$B136:$AY136,'recurring2_based on steps'!$B$1:$AY$1,I$1)+SUMIFS('changes2_based on steps'!$B136:$U136,'changes2_based on steps'!$B$1:$U$1,I$1)</f>
        <v>0</v>
      </c>
      <c r="J136" s="179">
        <f>SUMIFS('recurring2_based on steps'!$B136:$AY136,'recurring2_based on steps'!$B$1:$AY$1,J$1)+SUMIFS('changes2_based on steps'!$B136:$U136,'changes2_based on steps'!$B$1:$U$1,J$1)</f>
        <v>0</v>
      </c>
      <c r="K136" s="179">
        <f>SUMIFS('recurring2_based on steps'!$B136:$AY136,'recurring2_based on steps'!$B$1:$AY$1,K$1)+SUMIFS('changes2_based on steps'!$B136:$U136,'changes2_based on steps'!$B$1:$U$1,K$1)</f>
        <v>0</v>
      </c>
      <c r="L136" s="179">
        <f>SUMIFS('recurring2_based on steps'!$B136:$AY136,'recurring2_based on steps'!$B$1:$AY$1,L$1)+SUMIFS('changes2_based on steps'!$B136:$U136,'changes2_based on steps'!$B$1:$U$1,L$1)</f>
        <v>0</v>
      </c>
      <c r="M136" s="179">
        <f>SUMIFS('recurring2_based on steps'!$B136:$AY136,'recurring2_based on steps'!$B$1:$AY$1,M$1)+SUMIFS('changes2_based on steps'!$B136:$U136,'changes2_based on steps'!$B$1:$U$1,M$1)</f>
        <v>0</v>
      </c>
      <c r="N136" s="179">
        <f>SUMIFS('recurring2_based on steps'!$B136:$AY136,'recurring2_based on steps'!$B$1:$AY$1,N$1)+SUMIFS('changes2_based on steps'!$B136:$U136,'changes2_based on steps'!$B$1:$U$1,N$1)</f>
        <v>0</v>
      </c>
      <c r="O136" s="179">
        <f>SUMIFS('recurring2_based on steps'!$B136:$AY136,'recurring2_based on steps'!$B$1:$AY$1,O$1)+SUMIFS('changes2_based on steps'!$B136:$U136,'changes2_based on steps'!$B$1:$U$1,O$1)</f>
        <v>0</v>
      </c>
      <c r="P136" s="179">
        <f>SUMIFS('recurring2_based on steps'!$B136:$AY136,'recurring2_based on steps'!$B$1:$AY$1,P$1)+SUMIFS('changes2_based on steps'!$B136:$U136,'changes2_based on steps'!$B$1:$U$1,P$1)</f>
        <v>0</v>
      </c>
      <c r="Q136" s="179">
        <f>SUMIFS('recurring2_based on steps'!$B136:$AY136,'recurring2_based on steps'!$B$1:$AY$1,Q$1)+SUMIFS('changes2_based on steps'!$B136:$U136,'changes2_based on steps'!$B$1:$U$1,Q$1)</f>
        <v>0</v>
      </c>
      <c r="R136" s="179">
        <f>SUMIFS('recurring2_based on steps'!$B136:$AY136,'recurring2_based on steps'!$B$1:$AY$1,R$1)+SUMIFS('changes2_based on steps'!$B136:$U136,'changes2_based on steps'!$B$1:$U$1,R$1)</f>
        <v>0</v>
      </c>
      <c r="S136" s="179">
        <f>SUMIFS('recurring2_based on steps'!$B136:$AY136,'recurring2_based on steps'!$B$1:$AY$1,S$1)+SUMIFS('changes2_based on steps'!$B136:$U136,'changes2_based on steps'!$B$1:$U$1,S$1)</f>
        <v>0</v>
      </c>
      <c r="T136" s="179">
        <f>SUMIFS('recurring2_based on steps'!$B136:$AY136,'recurring2_based on steps'!$B$1:$AY$1,T$1)+SUMIFS('changes2_based on steps'!$B136:$U136,'changes2_based on steps'!$B$1:$U$1,T$1)</f>
        <v>0</v>
      </c>
      <c r="U136" s="179">
        <f>SUMIFS('recurring2_based on steps'!$B136:$AY136,'recurring2_based on steps'!$B$1:$AY$1,U$1)+SUMIFS('changes2_based on steps'!$B136:$U136,'changes2_based on steps'!$B$1:$U$1,U$1)</f>
        <v>0</v>
      </c>
      <c r="V136" s="179">
        <f>SUMIFS('recurring2_based on steps'!$B136:$AY136,'recurring2_based on steps'!$B$1:$AY$1,V$1)+SUMIFS('changes2_based on steps'!$B136:$U136,'changes2_based on steps'!$B$1:$U$1,V$1)</f>
        <v>0</v>
      </c>
      <c r="W136" s="179">
        <f>SUMIFS('recurring2_based on steps'!$B136:$AY136,'recurring2_based on steps'!$B$1:$AY$1,W$1)+SUMIFS('changes2_based on steps'!$B136:$U136,'changes2_based on steps'!$B$1:$U$1,W$1)</f>
        <v>0</v>
      </c>
      <c r="X136" s="179">
        <f>SUMIFS('recurring2_based on steps'!$B136:$AY136,'recurring2_based on steps'!$B$1:$AY$1,X$1)+SUMIFS('changes2_based on steps'!$B136:$U136,'changes2_based on steps'!$B$1:$U$1,X$1)</f>
        <v>0</v>
      </c>
      <c r="Y136" s="179">
        <f>SUMIFS('recurring2_based on steps'!$B136:$AY136,'recurring2_based on steps'!$B$1:$AY$1,Y$1)+SUMIFS('changes2_based on steps'!$B136:$U136,'changes2_based on steps'!$B$1:$U$1,Y$1)</f>
        <v>0</v>
      </c>
      <c r="Z136" s="179">
        <f>SUMIFS('recurring2_based on steps'!$B136:$AY136,'recurring2_based on steps'!$B$1:$AY$1,Z$1)+SUMIFS('changes2_based on steps'!$B136:$U136,'changes2_based on steps'!$B$1:$U$1,Z$1)</f>
        <v>0</v>
      </c>
      <c r="AA136" s="179">
        <f>SUMIFS('recurring2_based on steps'!$B136:$AY136,'recurring2_based on steps'!$B$1:$AY$1,AA$1)+SUMIFS('changes2_based on steps'!$B136:$U136,'changes2_based on steps'!$B$1:$U$1,AA$1)</f>
        <v>0</v>
      </c>
      <c r="AB136" s="179">
        <f>SUMIFS('recurring2_based on steps'!$B136:$AY136,'recurring2_based on steps'!$B$1:$AY$1,AB$1)+SUMIFS('changes2_based on steps'!$B136:$U136,'changes2_based on steps'!$B$1:$U$1,AB$1)</f>
        <v>0</v>
      </c>
      <c r="AC136" s="179">
        <f>SUMIFS('recurring2_based on steps'!$B136:$AY136,'recurring2_based on steps'!$B$1:$AY$1,AC$1)+SUMIFS('changes2_based on steps'!$B136:$U136,'changes2_based on steps'!$B$1:$U$1,AC$1)</f>
        <v>0</v>
      </c>
      <c r="AD136" s="179">
        <f>SUMIFS('recurring2_based on steps'!$B136:$AY136,'recurring2_based on steps'!$B$1:$AY$1,AD$1)+SUMIFS('changes2_based on steps'!$B136:$U136,'changes2_based on steps'!$B$1:$U$1,AD$1)</f>
        <v>0</v>
      </c>
      <c r="AE136" s="179">
        <f>SUMIFS('recurring2_based on steps'!$B136:$AY136,'recurring2_based on steps'!$B$1:$AY$1,AE$1)+SUMIFS('changes2_based on steps'!$B136:$U136,'changes2_based on steps'!$B$1:$U$1,AE$1)</f>
        <v>0</v>
      </c>
      <c r="AF136" s="179"/>
      <c r="AG136" s="179"/>
      <c r="AH136" s="179"/>
      <c r="AI136" s="179"/>
      <c r="AJ136" s="179"/>
      <c r="AK136" s="179"/>
      <c r="AL136" s="179"/>
      <c r="AM136" s="179"/>
    </row>
    <row r="137" spans="1:39" x14ac:dyDescent="0.2">
      <c r="A137" s="32">
        <f t="shared" ca="1" si="2"/>
        <v>45879</v>
      </c>
      <c r="B137" s="179">
        <f>SUMIFS('recurring2_based on steps'!$B137:$AY137,'recurring2_based on steps'!$B$1:$AY$1,B$1)+SUMIFS('changes2_based on steps'!$B137:$U137,'changes2_based on steps'!$B$1:$U$1,B$1)</f>
        <v>0</v>
      </c>
      <c r="C137" s="179">
        <f>SUMIFS('recurring2_based on steps'!$B137:$AY137,'recurring2_based on steps'!$B$1:$AY$1,C$1)+SUMIFS('changes2_based on steps'!$B137:$U137,'changes2_based on steps'!$B$1:$U$1,C$1)</f>
        <v>0</v>
      </c>
      <c r="D137" s="179">
        <f>SUMIFS('recurring2_based on steps'!$B137:$AY137,'recurring2_based on steps'!$B$1:$AY$1,D$1)+SUMIFS('changes2_based on steps'!$B137:$U137,'changes2_based on steps'!$B$1:$U$1,D$1)</f>
        <v>0</v>
      </c>
      <c r="E137" s="179">
        <f>SUMIFS('recurring2_based on steps'!$B137:$AY137,'recurring2_based on steps'!$B$1:$AY$1,E$1)+SUMIFS('changes2_based on steps'!$B137:$U137,'changes2_based on steps'!$B$1:$U$1,E$1)</f>
        <v>0</v>
      </c>
      <c r="F137" s="179">
        <f>SUMIFS('recurring2_based on steps'!$B137:$AY137,'recurring2_based on steps'!$B$1:$AY$1,F$1)+SUMIFS('changes2_based on steps'!$B137:$U137,'changes2_based on steps'!$B$1:$U$1,F$1)</f>
        <v>0</v>
      </c>
      <c r="G137" s="179">
        <f>SUMIFS('recurring2_based on steps'!$B137:$AY137,'recurring2_based on steps'!$B$1:$AY$1,G$1)+SUMIFS('changes2_based on steps'!$B137:$U137,'changes2_based on steps'!$B$1:$U$1,G$1)</f>
        <v>0</v>
      </c>
      <c r="H137" s="179">
        <f>SUMIFS('recurring2_based on steps'!$B137:$AY137,'recurring2_based on steps'!$B$1:$AY$1,H$1)+SUMIFS('changes2_based on steps'!$B137:$U137,'changes2_based on steps'!$B$1:$U$1,H$1)</f>
        <v>0</v>
      </c>
      <c r="I137" s="179">
        <f>SUMIFS('recurring2_based on steps'!$B137:$AY137,'recurring2_based on steps'!$B$1:$AY$1,I$1)+SUMIFS('changes2_based on steps'!$B137:$U137,'changes2_based on steps'!$B$1:$U$1,I$1)</f>
        <v>0</v>
      </c>
      <c r="J137" s="179">
        <f>SUMIFS('recurring2_based on steps'!$B137:$AY137,'recurring2_based on steps'!$B$1:$AY$1,J$1)+SUMIFS('changes2_based on steps'!$B137:$U137,'changes2_based on steps'!$B$1:$U$1,J$1)</f>
        <v>0</v>
      </c>
      <c r="K137" s="179">
        <f>SUMIFS('recurring2_based on steps'!$B137:$AY137,'recurring2_based on steps'!$B$1:$AY$1,K$1)+SUMIFS('changes2_based on steps'!$B137:$U137,'changes2_based on steps'!$B$1:$U$1,K$1)</f>
        <v>0</v>
      </c>
      <c r="L137" s="179">
        <f>SUMIFS('recurring2_based on steps'!$B137:$AY137,'recurring2_based on steps'!$B$1:$AY$1,L$1)+SUMIFS('changes2_based on steps'!$B137:$U137,'changes2_based on steps'!$B$1:$U$1,L$1)</f>
        <v>0</v>
      </c>
      <c r="M137" s="179">
        <f>SUMIFS('recurring2_based on steps'!$B137:$AY137,'recurring2_based on steps'!$B$1:$AY$1,M$1)+SUMIFS('changes2_based on steps'!$B137:$U137,'changes2_based on steps'!$B$1:$U$1,M$1)</f>
        <v>0</v>
      </c>
      <c r="N137" s="179">
        <f>SUMIFS('recurring2_based on steps'!$B137:$AY137,'recurring2_based on steps'!$B$1:$AY$1,N$1)+SUMIFS('changes2_based on steps'!$B137:$U137,'changes2_based on steps'!$B$1:$U$1,N$1)</f>
        <v>0</v>
      </c>
      <c r="O137" s="179">
        <f>SUMIFS('recurring2_based on steps'!$B137:$AY137,'recurring2_based on steps'!$B$1:$AY$1,O$1)+SUMIFS('changes2_based on steps'!$B137:$U137,'changes2_based on steps'!$B$1:$U$1,O$1)</f>
        <v>0</v>
      </c>
      <c r="P137" s="179">
        <f>SUMIFS('recurring2_based on steps'!$B137:$AY137,'recurring2_based on steps'!$B$1:$AY$1,P$1)+SUMIFS('changes2_based on steps'!$B137:$U137,'changes2_based on steps'!$B$1:$U$1,P$1)</f>
        <v>0</v>
      </c>
      <c r="Q137" s="179">
        <f>SUMIFS('recurring2_based on steps'!$B137:$AY137,'recurring2_based on steps'!$B$1:$AY$1,Q$1)+SUMIFS('changes2_based on steps'!$B137:$U137,'changes2_based on steps'!$B$1:$U$1,Q$1)</f>
        <v>0</v>
      </c>
      <c r="R137" s="179">
        <f>SUMIFS('recurring2_based on steps'!$B137:$AY137,'recurring2_based on steps'!$B$1:$AY$1,R$1)+SUMIFS('changes2_based on steps'!$B137:$U137,'changes2_based on steps'!$B$1:$U$1,R$1)</f>
        <v>0</v>
      </c>
      <c r="S137" s="179">
        <f>SUMIFS('recurring2_based on steps'!$B137:$AY137,'recurring2_based on steps'!$B$1:$AY$1,S$1)+SUMIFS('changes2_based on steps'!$B137:$U137,'changes2_based on steps'!$B$1:$U$1,S$1)</f>
        <v>0</v>
      </c>
      <c r="T137" s="179">
        <f>SUMIFS('recurring2_based on steps'!$B137:$AY137,'recurring2_based on steps'!$B$1:$AY$1,T$1)+SUMIFS('changes2_based on steps'!$B137:$U137,'changes2_based on steps'!$B$1:$U$1,T$1)</f>
        <v>0</v>
      </c>
      <c r="U137" s="179">
        <f>SUMIFS('recurring2_based on steps'!$B137:$AY137,'recurring2_based on steps'!$B$1:$AY$1,U$1)+SUMIFS('changes2_based on steps'!$B137:$U137,'changes2_based on steps'!$B$1:$U$1,U$1)</f>
        <v>0</v>
      </c>
      <c r="V137" s="179">
        <f>SUMIFS('recurring2_based on steps'!$B137:$AY137,'recurring2_based on steps'!$B$1:$AY$1,V$1)+SUMIFS('changes2_based on steps'!$B137:$U137,'changes2_based on steps'!$B$1:$U$1,V$1)</f>
        <v>0</v>
      </c>
      <c r="W137" s="179">
        <f>SUMIFS('recurring2_based on steps'!$B137:$AY137,'recurring2_based on steps'!$B$1:$AY$1,W$1)+SUMIFS('changes2_based on steps'!$B137:$U137,'changes2_based on steps'!$B$1:$U$1,W$1)</f>
        <v>0</v>
      </c>
      <c r="X137" s="179">
        <f>SUMIFS('recurring2_based on steps'!$B137:$AY137,'recurring2_based on steps'!$B$1:$AY$1,X$1)+SUMIFS('changes2_based on steps'!$B137:$U137,'changes2_based on steps'!$B$1:$U$1,X$1)</f>
        <v>0</v>
      </c>
      <c r="Y137" s="179">
        <f>SUMIFS('recurring2_based on steps'!$B137:$AY137,'recurring2_based on steps'!$B$1:$AY$1,Y$1)+SUMIFS('changes2_based on steps'!$B137:$U137,'changes2_based on steps'!$B$1:$U$1,Y$1)</f>
        <v>0</v>
      </c>
      <c r="Z137" s="179">
        <f>SUMIFS('recurring2_based on steps'!$B137:$AY137,'recurring2_based on steps'!$B$1:$AY$1,Z$1)+SUMIFS('changes2_based on steps'!$B137:$U137,'changes2_based on steps'!$B$1:$U$1,Z$1)</f>
        <v>0</v>
      </c>
      <c r="AA137" s="179">
        <f>SUMIFS('recurring2_based on steps'!$B137:$AY137,'recurring2_based on steps'!$B$1:$AY$1,AA$1)+SUMIFS('changes2_based on steps'!$B137:$U137,'changes2_based on steps'!$B$1:$U$1,AA$1)</f>
        <v>0</v>
      </c>
      <c r="AB137" s="179">
        <f>SUMIFS('recurring2_based on steps'!$B137:$AY137,'recurring2_based on steps'!$B$1:$AY$1,AB$1)+SUMIFS('changes2_based on steps'!$B137:$U137,'changes2_based on steps'!$B$1:$U$1,AB$1)</f>
        <v>0</v>
      </c>
      <c r="AC137" s="179">
        <f>SUMIFS('recurring2_based on steps'!$B137:$AY137,'recurring2_based on steps'!$B$1:$AY$1,AC$1)+SUMIFS('changes2_based on steps'!$B137:$U137,'changes2_based on steps'!$B$1:$U$1,AC$1)</f>
        <v>0</v>
      </c>
      <c r="AD137" s="179">
        <f>SUMIFS('recurring2_based on steps'!$B137:$AY137,'recurring2_based on steps'!$B$1:$AY$1,AD$1)+SUMIFS('changes2_based on steps'!$B137:$U137,'changes2_based on steps'!$B$1:$U$1,AD$1)</f>
        <v>0</v>
      </c>
      <c r="AE137" s="179">
        <f>SUMIFS('recurring2_based on steps'!$B137:$AY137,'recurring2_based on steps'!$B$1:$AY$1,AE$1)+SUMIFS('changes2_based on steps'!$B137:$U137,'changes2_based on steps'!$B$1:$U$1,AE$1)</f>
        <v>0</v>
      </c>
      <c r="AF137" s="179"/>
      <c r="AG137" s="179"/>
      <c r="AH137" s="179"/>
      <c r="AI137" s="179"/>
      <c r="AJ137" s="179"/>
      <c r="AK137" s="179"/>
      <c r="AL137" s="179"/>
      <c r="AM137" s="179"/>
    </row>
    <row r="138" spans="1:39" x14ac:dyDescent="0.2">
      <c r="A138" s="32">
        <f t="shared" ca="1" si="2"/>
        <v>45880</v>
      </c>
      <c r="B138" s="179">
        <f>SUMIFS('recurring2_based on steps'!$B138:$AY138,'recurring2_based on steps'!$B$1:$AY$1,B$1)+SUMIFS('changes2_based on steps'!$B138:$U138,'changes2_based on steps'!$B$1:$U$1,B$1)</f>
        <v>0</v>
      </c>
      <c r="C138" s="179">
        <f>SUMIFS('recurring2_based on steps'!$B138:$AY138,'recurring2_based on steps'!$B$1:$AY$1,C$1)+SUMIFS('changes2_based on steps'!$B138:$U138,'changes2_based on steps'!$B$1:$U$1,C$1)</f>
        <v>0</v>
      </c>
      <c r="D138" s="179">
        <f>SUMIFS('recurring2_based on steps'!$B138:$AY138,'recurring2_based on steps'!$B$1:$AY$1,D$1)+SUMIFS('changes2_based on steps'!$B138:$U138,'changes2_based on steps'!$B$1:$U$1,D$1)</f>
        <v>0</v>
      </c>
      <c r="E138" s="179">
        <f>SUMIFS('recurring2_based on steps'!$B138:$AY138,'recurring2_based on steps'!$B$1:$AY$1,E$1)+SUMIFS('changes2_based on steps'!$B138:$U138,'changes2_based on steps'!$B$1:$U$1,E$1)</f>
        <v>0</v>
      </c>
      <c r="F138" s="179">
        <f>SUMIFS('recurring2_based on steps'!$B138:$AY138,'recurring2_based on steps'!$B$1:$AY$1,F$1)+SUMIFS('changes2_based on steps'!$B138:$U138,'changes2_based on steps'!$B$1:$U$1,F$1)</f>
        <v>0</v>
      </c>
      <c r="G138" s="179">
        <f>SUMIFS('recurring2_based on steps'!$B138:$AY138,'recurring2_based on steps'!$B$1:$AY$1,G$1)+SUMIFS('changes2_based on steps'!$B138:$U138,'changes2_based on steps'!$B$1:$U$1,G$1)</f>
        <v>0</v>
      </c>
      <c r="H138" s="179">
        <f>SUMIFS('recurring2_based on steps'!$B138:$AY138,'recurring2_based on steps'!$B$1:$AY$1,H$1)+SUMIFS('changes2_based on steps'!$B138:$U138,'changes2_based on steps'!$B$1:$U$1,H$1)</f>
        <v>0</v>
      </c>
      <c r="I138" s="179">
        <f>SUMIFS('recurring2_based on steps'!$B138:$AY138,'recurring2_based on steps'!$B$1:$AY$1,I$1)+SUMIFS('changes2_based on steps'!$B138:$U138,'changes2_based on steps'!$B$1:$U$1,I$1)</f>
        <v>0</v>
      </c>
      <c r="J138" s="179">
        <f>SUMIFS('recurring2_based on steps'!$B138:$AY138,'recurring2_based on steps'!$B$1:$AY$1,J$1)+SUMIFS('changes2_based on steps'!$B138:$U138,'changes2_based on steps'!$B$1:$U$1,J$1)</f>
        <v>0</v>
      </c>
      <c r="K138" s="179">
        <f>SUMIFS('recurring2_based on steps'!$B138:$AY138,'recurring2_based on steps'!$B$1:$AY$1,K$1)+SUMIFS('changes2_based on steps'!$B138:$U138,'changes2_based on steps'!$B$1:$U$1,K$1)</f>
        <v>0</v>
      </c>
      <c r="L138" s="179">
        <f>SUMIFS('recurring2_based on steps'!$B138:$AY138,'recurring2_based on steps'!$B$1:$AY$1,L$1)+SUMIFS('changes2_based on steps'!$B138:$U138,'changes2_based on steps'!$B$1:$U$1,L$1)</f>
        <v>0</v>
      </c>
      <c r="M138" s="179">
        <f>SUMIFS('recurring2_based on steps'!$B138:$AY138,'recurring2_based on steps'!$B$1:$AY$1,M$1)+SUMIFS('changes2_based on steps'!$B138:$U138,'changes2_based on steps'!$B$1:$U$1,M$1)</f>
        <v>0</v>
      </c>
      <c r="N138" s="179">
        <f>SUMIFS('recurring2_based on steps'!$B138:$AY138,'recurring2_based on steps'!$B$1:$AY$1,N$1)+SUMIFS('changes2_based on steps'!$B138:$U138,'changes2_based on steps'!$B$1:$U$1,N$1)</f>
        <v>0</v>
      </c>
      <c r="O138" s="179">
        <f>SUMIFS('recurring2_based on steps'!$B138:$AY138,'recurring2_based on steps'!$B$1:$AY$1,O$1)+SUMIFS('changes2_based on steps'!$B138:$U138,'changes2_based on steps'!$B$1:$U$1,O$1)</f>
        <v>0</v>
      </c>
      <c r="P138" s="179">
        <f>SUMIFS('recurring2_based on steps'!$B138:$AY138,'recurring2_based on steps'!$B$1:$AY$1,P$1)+SUMIFS('changes2_based on steps'!$B138:$U138,'changes2_based on steps'!$B$1:$U$1,P$1)</f>
        <v>0</v>
      </c>
      <c r="Q138" s="179">
        <f>SUMIFS('recurring2_based on steps'!$B138:$AY138,'recurring2_based on steps'!$B$1:$AY$1,Q$1)+SUMIFS('changes2_based on steps'!$B138:$U138,'changes2_based on steps'!$B$1:$U$1,Q$1)</f>
        <v>0</v>
      </c>
      <c r="R138" s="179">
        <f>SUMIFS('recurring2_based on steps'!$B138:$AY138,'recurring2_based on steps'!$B$1:$AY$1,R$1)+SUMIFS('changes2_based on steps'!$B138:$U138,'changes2_based on steps'!$B$1:$U$1,R$1)</f>
        <v>0</v>
      </c>
      <c r="S138" s="179">
        <f>SUMIFS('recurring2_based on steps'!$B138:$AY138,'recurring2_based on steps'!$B$1:$AY$1,S$1)+SUMIFS('changes2_based on steps'!$B138:$U138,'changes2_based on steps'!$B$1:$U$1,S$1)</f>
        <v>0</v>
      </c>
      <c r="T138" s="179">
        <f>SUMIFS('recurring2_based on steps'!$B138:$AY138,'recurring2_based on steps'!$B$1:$AY$1,T$1)+SUMIFS('changes2_based on steps'!$B138:$U138,'changes2_based on steps'!$B$1:$U$1,T$1)</f>
        <v>0</v>
      </c>
      <c r="U138" s="179">
        <f>SUMIFS('recurring2_based on steps'!$B138:$AY138,'recurring2_based on steps'!$B$1:$AY$1,U$1)+SUMIFS('changes2_based on steps'!$B138:$U138,'changes2_based on steps'!$B$1:$U$1,U$1)</f>
        <v>0</v>
      </c>
      <c r="V138" s="179">
        <f>SUMIFS('recurring2_based on steps'!$B138:$AY138,'recurring2_based on steps'!$B$1:$AY$1,V$1)+SUMIFS('changes2_based on steps'!$B138:$U138,'changes2_based on steps'!$B$1:$U$1,V$1)</f>
        <v>0</v>
      </c>
      <c r="W138" s="179">
        <f>SUMIFS('recurring2_based on steps'!$B138:$AY138,'recurring2_based on steps'!$B$1:$AY$1,W$1)+SUMIFS('changes2_based on steps'!$B138:$U138,'changes2_based on steps'!$B$1:$U$1,W$1)</f>
        <v>0</v>
      </c>
      <c r="X138" s="179">
        <f>SUMIFS('recurring2_based on steps'!$B138:$AY138,'recurring2_based on steps'!$B$1:$AY$1,X$1)+SUMIFS('changes2_based on steps'!$B138:$U138,'changes2_based on steps'!$B$1:$U$1,X$1)</f>
        <v>0</v>
      </c>
      <c r="Y138" s="179">
        <f>SUMIFS('recurring2_based on steps'!$B138:$AY138,'recurring2_based on steps'!$B$1:$AY$1,Y$1)+SUMIFS('changes2_based on steps'!$B138:$U138,'changes2_based on steps'!$B$1:$U$1,Y$1)</f>
        <v>0</v>
      </c>
      <c r="Z138" s="179">
        <f>SUMIFS('recurring2_based on steps'!$B138:$AY138,'recurring2_based on steps'!$B$1:$AY$1,Z$1)+SUMIFS('changes2_based on steps'!$B138:$U138,'changes2_based on steps'!$B$1:$U$1,Z$1)</f>
        <v>0</v>
      </c>
      <c r="AA138" s="179">
        <f>SUMIFS('recurring2_based on steps'!$B138:$AY138,'recurring2_based on steps'!$B$1:$AY$1,AA$1)+SUMIFS('changes2_based on steps'!$B138:$U138,'changes2_based on steps'!$B$1:$U$1,AA$1)</f>
        <v>0</v>
      </c>
      <c r="AB138" s="179">
        <f>SUMIFS('recurring2_based on steps'!$B138:$AY138,'recurring2_based on steps'!$B$1:$AY$1,AB$1)+SUMIFS('changes2_based on steps'!$B138:$U138,'changes2_based on steps'!$B$1:$U$1,AB$1)</f>
        <v>0</v>
      </c>
      <c r="AC138" s="179">
        <f>SUMIFS('recurring2_based on steps'!$B138:$AY138,'recurring2_based on steps'!$B$1:$AY$1,AC$1)+SUMIFS('changes2_based on steps'!$B138:$U138,'changes2_based on steps'!$B$1:$U$1,AC$1)</f>
        <v>0</v>
      </c>
      <c r="AD138" s="179">
        <f>SUMIFS('recurring2_based on steps'!$B138:$AY138,'recurring2_based on steps'!$B$1:$AY$1,AD$1)+SUMIFS('changes2_based on steps'!$B138:$U138,'changes2_based on steps'!$B$1:$U$1,AD$1)</f>
        <v>0</v>
      </c>
      <c r="AE138" s="179">
        <f>SUMIFS('recurring2_based on steps'!$B138:$AY138,'recurring2_based on steps'!$B$1:$AY$1,AE$1)+SUMIFS('changes2_based on steps'!$B138:$U138,'changes2_based on steps'!$B$1:$U$1,AE$1)</f>
        <v>0</v>
      </c>
      <c r="AF138" s="179"/>
      <c r="AG138" s="179"/>
      <c r="AH138" s="179"/>
      <c r="AI138" s="179"/>
      <c r="AJ138" s="179"/>
      <c r="AK138" s="179"/>
      <c r="AL138" s="179"/>
      <c r="AM138" s="179"/>
    </row>
    <row r="139" spans="1:39" x14ac:dyDescent="0.2">
      <c r="A139" s="32">
        <f t="shared" ca="1" si="2"/>
        <v>45881</v>
      </c>
      <c r="B139" s="179">
        <f>SUMIFS('recurring2_based on steps'!$B139:$AY139,'recurring2_based on steps'!$B$1:$AY$1,B$1)+SUMIFS('changes2_based on steps'!$B139:$U139,'changes2_based on steps'!$B$1:$U$1,B$1)</f>
        <v>0</v>
      </c>
      <c r="C139" s="179">
        <f>SUMIFS('recurring2_based on steps'!$B139:$AY139,'recurring2_based on steps'!$B$1:$AY$1,C$1)+SUMIFS('changes2_based on steps'!$B139:$U139,'changes2_based on steps'!$B$1:$U$1,C$1)</f>
        <v>0</v>
      </c>
      <c r="D139" s="179">
        <f>SUMIFS('recurring2_based on steps'!$B139:$AY139,'recurring2_based on steps'!$B$1:$AY$1,D$1)+SUMIFS('changes2_based on steps'!$B139:$U139,'changes2_based on steps'!$B$1:$U$1,D$1)</f>
        <v>0</v>
      </c>
      <c r="E139" s="179">
        <f>SUMIFS('recurring2_based on steps'!$B139:$AY139,'recurring2_based on steps'!$B$1:$AY$1,E$1)+SUMIFS('changes2_based on steps'!$B139:$U139,'changes2_based on steps'!$B$1:$U$1,E$1)</f>
        <v>0</v>
      </c>
      <c r="F139" s="179">
        <f>SUMIFS('recurring2_based on steps'!$B139:$AY139,'recurring2_based on steps'!$B$1:$AY$1,F$1)+SUMIFS('changes2_based on steps'!$B139:$U139,'changes2_based on steps'!$B$1:$U$1,F$1)</f>
        <v>0</v>
      </c>
      <c r="G139" s="179">
        <f>SUMIFS('recurring2_based on steps'!$B139:$AY139,'recurring2_based on steps'!$B$1:$AY$1,G$1)+SUMIFS('changes2_based on steps'!$B139:$U139,'changes2_based on steps'!$B$1:$U$1,G$1)</f>
        <v>0</v>
      </c>
      <c r="H139" s="179">
        <f>SUMIFS('recurring2_based on steps'!$B139:$AY139,'recurring2_based on steps'!$B$1:$AY$1,H$1)+SUMIFS('changes2_based on steps'!$B139:$U139,'changes2_based on steps'!$B$1:$U$1,H$1)</f>
        <v>0</v>
      </c>
      <c r="I139" s="179">
        <f>SUMIFS('recurring2_based on steps'!$B139:$AY139,'recurring2_based on steps'!$B$1:$AY$1,I$1)+SUMIFS('changes2_based on steps'!$B139:$U139,'changes2_based on steps'!$B$1:$U$1,I$1)</f>
        <v>0</v>
      </c>
      <c r="J139" s="179">
        <f>SUMIFS('recurring2_based on steps'!$B139:$AY139,'recurring2_based on steps'!$B$1:$AY$1,J$1)+SUMIFS('changes2_based on steps'!$B139:$U139,'changes2_based on steps'!$B$1:$U$1,J$1)</f>
        <v>0</v>
      </c>
      <c r="K139" s="179">
        <f>SUMIFS('recurring2_based on steps'!$B139:$AY139,'recurring2_based on steps'!$B$1:$AY$1,K$1)+SUMIFS('changes2_based on steps'!$B139:$U139,'changes2_based on steps'!$B$1:$U$1,K$1)</f>
        <v>0</v>
      </c>
      <c r="L139" s="179">
        <f>SUMIFS('recurring2_based on steps'!$B139:$AY139,'recurring2_based on steps'!$B$1:$AY$1,L$1)+SUMIFS('changes2_based on steps'!$B139:$U139,'changes2_based on steps'!$B$1:$U$1,L$1)</f>
        <v>0</v>
      </c>
      <c r="M139" s="179">
        <f>SUMIFS('recurring2_based on steps'!$B139:$AY139,'recurring2_based on steps'!$B$1:$AY$1,M$1)+SUMIFS('changes2_based on steps'!$B139:$U139,'changes2_based on steps'!$B$1:$U$1,M$1)</f>
        <v>0</v>
      </c>
      <c r="N139" s="179">
        <f>SUMIFS('recurring2_based on steps'!$B139:$AY139,'recurring2_based on steps'!$B$1:$AY$1,N$1)+SUMIFS('changes2_based on steps'!$B139:$U139,'changes2_based on steps'!$B$1:$U$1,N$1)</f>
        <v>0</v>
      </c>
      <c r="O139" s="179">
        <f>SUMIFS('recurring2_based on steps'!$B139:$AY139,'recurring2_based on steps'!$B$1:$AY$1,O$1)+SUMIFS('changes2_based on steps'!$B139:$U139,'changes2_based on steps'!$B$1:$U$1,O$1)</f>
        <v>0</v>
      </c>
      <c r="P139" s="179">
        <f>SUMIFS('recurring2_based on steps'!$B139:$AY139,'recurring2_based on steps'!$B$1:$AY$1,P$1)+SUMIFS('changes2_based on steps'!$B139:$U139,'changes2_based on steps'!$B$1:$U$1,P$1)</f>
        <v>0</v>
      </c>
      <c r="Q139" s="179">
        <f>SUMIFS('recurring2_based on steps'!$B139:$AY139,'recurring2_based on steps'!$B$1:$AY$1,Q$1)+SUMIFS('changes2_based on steps'!$B139:$U139,'changes2_based on steps'!$B$1:$U$1,Q$1)</f>
        <v>0</v>
      </c>
      <c r="R139" s="179">
        <f>SUMIFS('recurring2_based on steps'!$B139:$AY139,'recurring2_based on steps'!$B$1:$AY$1,R$1)+SUMIFS('changes2_based on steps'!$B139:$U139,'changes2_based on steps'!$B$1:$U$1,R$1)</f>
        <v>0</v>
      </c>
      <c r="S139" s="179">
        <f>SUMIFS('recurring2_based on steps'!$B139:$AY139,'recurring2_based on steps'!$B$1:$AY$1,S$1)+SUMIFS('changes2_based on steps'!$B139:$U139,'changes2_based on steps'!$B$1:$U$1,S$1)</f>
        <v>0</v>
      </c>
      <c r="T139" s="179">
        <f>SUMIFS('recurring2_based on steps'!$B139:$AY139,'recurring2_based on steps'!$B$1:$AY$1,T$1)+SUMIFS('changes2_based on steps'!$B139:$U139,'changes2_based on steps'!$B$1:$U$1,T$1)</f>
        <v>0</v>
      </c>
      <c r="U139" s="179">
        <f>SUMIFS('recurring2_based on steps'!$B139:$AY139,'recurring2_based on steps'!$B$1:$AY$1,U$1)+SUMIFS('changes2_based on steps'!$B139:$U139,'changes2_based on steps'!$B$1:$U$1,U$1)</f>
        <v>0</v>
      </c>
      <c r="V139" s="179">
        <f>SUMIFS('recurring2_based on steps'!$B139:$AY139,'recurring2_based on steps'!$B$1:$AY$1,V$1)+SUMIFS('changes2_based on steps'!$B139:$U139,'changes2_based on steps'!$B$1:$U$1,V$1)</f>
        <v>0</v>
      </c>
      <c r="W139" s="179">
        <f>SUMIFS('recurring2_based on steps'!$B139:$AY139,'recurring2_based on steps'!$B$1:$AY$1,W$1)+SUMIFS('changes2_based on steps'!$B139:$U139,'changes2_based on steps'!$B$1:$U$1,W$1)</f>
        <v>0</v>
      </c>
      <c r="X139" s="179">
        <f>SUMIFS('recurring2_based on steps'!$B139:$AY139,'recurring2_based on steps'!$B$1:$AY$1,X$1)+SUMIFS('changes2_based on steps'!$B139:$U139,'changes2_based on steps'!$B$1:$U$1,X$1)</f>
        <v>0</v>
      </c>
      <c r="Y139" s="179">
        <f>SUMIFS('recurring2_based on steps'!$B139:$AY139,'recurring2_based on steps'!$B$1:$AY$1,Y$1)+SUMIFS('changes2_based on steps'!$B139:$U139,'changes2_based on steps'!$B$1:$U$1,Y$1)</f>
        <v>0</v>
      </c>
      <c r="Z139" s="179">
        <f>SUMIFS('recurring2_based on steps'!$B139:$AY139,'recurring2_based on steps'!$B$1:$AY$1,Z$1)+SUMIFS('changes2_based on steps'!$B139:$U139,'changes2_based on steps'!$B$1:$U$1,Z$1)</f>
        <v>0</v>
      </c>
      <c r="AA139" s="179">
        <f>SUMIFS('recurring2_based on steps'!$B139:$AY139,'recurring2_based on steps'!$B$1:$AY$1,AA$1)+SUMIFS('changes2_based on steps'!$B139:$U139,'changes2_based on steps'!$B$1:$U$1,AA$1)</f>
        <v>0</v>
      </c>
      <c r="AB139" s="179">
        <f>SUMIFS('recurring2_based on steps'!$B139:$AY139,'recurring2_based on steps'!$B$1:$AY$1,AB$1)+SUMIFS('changes2_based on steps'!$B139:$U139,'changes2_based on steps'!$B$1:$U$1,AB$1)</f>
        <v>0</v>
      </c>
      <c r="AC139" s="179">
        <f>SUMIFS('recurring2_based on steps'!$B139:$AY139,'recurring2_based on steps'!$B$1:$AY$1,AC$1)+SUMIFS('changes2_based on steps'!$B139:$U139,'changes2_based on steps'!$B$1:$U$1,AC$1)</f>
        <v>0</v>
      </c>
      <c r="AD139" s="179">
        <f>SUMIFS('recurring2_based on steps'!$B139:$AY139,'recurring2_based on steps'!$B$1:$AY$1,AD$1)+SUMIFS('changes2_based on steps'!$B139:$U139,'changes2_based on steps'!$B$1:$U$1,AD$1)</f>
        <v>0</v>
      </c>
      <c r="AE139" s="179">
        <f>SUMIFS('recurring2_based on steps'!$B139:$AY139,'recurring2_based on steps'!$B$1:$AY$1,AE$1)+SUMIFS('changes2_based on steps'!$B139:$U139,'changes2_based on steps'!$B$1:$U$1,AE$1)</f>
        <v>0</v>
      </c>
      <c r="AF139" s="179"/>
      <c r="AG139" s="179"/>
      <c r="AH139" s="179"/>
      <c r="AI139" s="179"/>
      <c r="AJ139" s="179"/>
      <c r="AK139" s="179"/>
      <c r="AL139" s="179"/>
      <c r="AM139" s="179"/>
    </row>
    <row r="140" spans="1:39" x14ac:dyDescent="0.2">
      <c r="A140" s="32">
        <f t="shared" ca="1" si="2"/>
        <v>45882</v>
      </c>
      <c r="B140" s="179">
        <f>SUMIFS('recurring2_based on steps'!$B140:$AY140,'recurring2_based on steps'!$B$1:$AY$1,B$1)+SUMIFS('changes2_based on steps'!$B140:$U140,'changes2_based on steps'!$B$1:$U$1,B$1)</f>
        <v>0</v>
      </c>
      <c r="C140" s="179">
        <f>SUMIFS('recurring2_based on steps'!$B140:$AY140,'recurring2_based on steps'!$B$1:$AY$1,C$1)+SUMIFS('changes2_based on steps'!$B140:$U140,'changes2_based on steps'!$B$1:$U$1,C$1)</f>
        <v>0</v>
      </c>
      <c r="D140" s="179">
        <f>SUMIFS('recurring2_based on steps'!$B140:$AY140,'recurring2_based on steps'!$B$1:$AY$1,D$1)+SUMIFS('changes2_based on steps'!$B140:$U140,'changes2_based on steps'!$B$1:$U$1,D$1)</f>
        <v>0</v>
      </c>
      <c r="E140" s="179">
        <f>SUMIFS('recurring2_based on steps'!$B140:$AY140,'recurring2_based on steps'!$B$1:$AY$1,E$1)+SUMIFS('changes2_based on steps'!$B140:$U140,'changes2_based on steps'!$B$1:$U$1,E$1)</f>
        <v>0</v>
      </c>
      <c r="F140" s="179">
        <f>SUMIFS('recurring2_based on steps'!$B140:$AY140,'recurring2_based on steps'!$B$1:$AY$1,F$1)+SUMIFS('changes2_based on steps'!$B140:$U140,'changes2_based on steps'!$B$1:$U$1,F$1)</f>
        <v>0</v>
      </c>
      <c r="G140" s="179">
        <f>SUMIFS('recurring2_based on steps'!$B140:$AY140,'recurring2_based on steps'!$B$1:$AY$1,G$1)+SUMIFS('changes2_based on steps'!$B140:$U140,'changes2_based on steps'!$B$1:$U$1,G$1)</f>
        <v>0</v>
      </c>
      <c r="H140" s="179">
        <f>SUMIFS('recurring2_based on steps'!$B140:$AY140,'recurring2_based on steps'!$B$1:$AY$1,H$1)+SUMIFS('changes2_based on steps'!$B140:$U140,'changes2_based on steps'!$B$1:$U$1,H$1)</f>
        <v>0</v>
      </c>
      <c r="I140" s="179">
        <f>SUMIFS('recurring2_based on steps'!$B140:$AY140,'recurring2_based on steps'!$B$1:$AY$1,I$1)+SUMIFS('changes2_based on steps'!$B140:$U140,'changes2_based on steps'!$B$1:$U$1,I$1)</f>
        <v>0</v>
      </c>
      <c r="J140" s="179">
        <f>SUMIFS('recurring2_based on steps'!$B140:$AY140,'recurring2_based on steps'!$B$1:$AY$1,J$1)+SUMIFS('changes2_based on steps'!$B140:$U140,'changes2_based on steps'!$B$1:$U$1,J$1)</f>
        <v>0</v>
      </c>
      <c r="K140" s="179">
        <f>SUMIFS('recurring2_based on steps'!$B140:$AY140,'recurring2_based on steps'!$B$1:$AY$1,K$1)+SUMIFS('changes2_based on steps'!$B140:$U140,'changes2_based on steps'!$B$1:$U$1,K$1)</f>
        <v>0</v>
      </c>
      <c r="L140" s="179">
        <f>SUMIFS('recurring2_based on steps'!$B140:$AY140,'recurring2_based on steps'!$B$1:$AY$1,L$1)+SUMIFS('changes2_based on steps'!$B140:$U140,'changes2_based on steps'!$B$1:$U$1,L$1)</f>
        <v>0</v>
      </c>
      <c r="M140" s="179">
        <f>SUMIFS('recurring2_based on steps'!$B140:$AY140,'recurring2_based on steps'!$B$1:$AY$1,M$1)+SUMIFS('changes2_based on steps'!$B140:$U140,'changes2_based on steps'!$B$1:$U$1,M$1)</f>
        <v>0</v>
      </c>
      <c r="N140" s="179">
        <f>SUMIFS('recurring2_based on steps'!$B140:$AY140,'recurring2_based on steps'!$B$1:$AY$1,N$1)+SUMIFS('changes2_based on steps'!$B140:$U140,'changes2_based on steps'!$B$1:$U$1,N$1)</f>
        <v>0</v>
      </c>
      <c r="O140" s="179">
        <f>SUMIFS('recurring2_based on steps'!$B140:$AY140,'recurring2_based on steps'!$B$1:$AY$1,O$1)+SUMIFS('changes2_based on steps'!$B140:$U140,'changes2_based on steps'!$B$1:$U$1,O$1)</f>
        <v>0</v>
      </c>
      <c r="P140" s="179">
        <f>SUMIFS('recurring2_based on steps'!$B140:$AY140,'recurring2_based on steps'!$B$1:$AY$1,P$1)+SUMIFS('changes2_based on steps'!$B140:$U140,'changes2_based on steps'!$B$1:$U$1,P$1)</f>
        <v>0</v>
      </c>
      <c r="Q140" s="179">
        <f>SUMIFS('recurring2_based on steps'!$B140:$AY140,'recurring2_based on steps'!$B$1:$AY$1,Q$1)+SUMIFS('changes2_based on steps'!$B140:$U140,'changes2_based on steps'!$B$1:$U$1,Q$1)</f>
        <v>0</v>
      </c>
      <c r="R140" s="179">
        <f>SUMIFS('recurring2_based on steps'!$B140:$AY140,'recurring2_based on steps'!$B$1:$AY$1,R$1)+SUMIFS('changes2_based on steps'!$B140:$U140,'changes2_based on steps'!$B$1:$U$1,R$1)</f>
        <v>0</v>
      </c>
      <c r="S140" s="179">
        <f>SUMIFS('recurring2_based on steps'!$B140:$AY140,'recurring2_based on steps'!$B$1:$AY$1,S$1)+SUMIFS('changes2_based on steps'!$B140:$U140,'changes2_based on steps'!$B$1:$U$1,S$1)</f>
        <v>0</v>
      </c>
      <c r="T140" s="179">
        <f>SUMIFS('recurring2_based on steps'!$B140:$AY140,'recurring2_based on steps'!$B$1:$AY$1,T$1)+SUMIFS('changes2_based on steps'!$B140:$U140,'changes2_based on steps'!$B$1:$U$1,T$1)</f>
        <v>0</v>
      </c>
      <c r="U140" s="179">
        <f>SUMIFS('recurring2_based on steps'!$B140:$AY140,'recurring2_based on steps'!$B$1:$AY$1,U$1)+SUMIFS('changes2_based on steps'!$B140:$U140,'changes2_based on steps'!$B$1:$U$1,U$1)</f>
        <v>0</v>
      </c>
      <c r="V140" s="179">
        <f>SUMIFS('recurring2_based on steps'!$B140:$AY140,'recurring2_based on steps'!$B$1:$AY$1,V$1)+SUMIFS('changes2_based on steps'!$B140:$U140,'changes2_based on steps'!$B$1:$U$1,V$1)</f>
        <v>0</v>
      </c>
      <c r="W140" s="179">
        <f>SUMIFS('recurring2_based on steps'!$B140:$AY140,'recurring2_based on steps'!$B$1:$AY$1,W$1)+SUMIFS('changes2_based on steps'!$B140:$U140,'changes2_based on steps'!$B$1:$U$1,W$1)</f>
        <v>0</v>
      </c>
      <c r="X140" s="179">
        <f>SUMIFS('recurring2_based on steps'!$B140:$AY140,'recurring2_based on steps'!$B$1:$AY$1,X$1)+SUMIFS('changes2_based on steps'!$B140:$U140,'changes2_based on steps'!$B$1:$U$1,X$1)</f>
        <v>0</v>
      </c>
      <c r="Y140" s="179">
        <f>SUMIFS('recurring2_based on steps'!$B140:$AY140,'recurring2_based on steps'!$B$1:$AY$1,Y$1)+SUMIFS('changes2_based on steps'!$B140:$U140,'changes2_based on steps'!$B$1:$U$1,Y$1)</f>
        <v>0</v>
      </c>
      <c r="Z140" s="179">
        <f>SUMIFS('recurring2_based on steps'!$B140:$AY140,'recurring2_based on steps'!$B$1:$AY$1,Z$1)+SUMIFS('changes2_based on steps'!$B140:$U140,'changes2_based on steps'!$B$1:$U$1,Z$1)</f>
        <v>0</v>
      </c>
      <c r="AA140" s="179">
        <f>SUMIFS('recurring2_based on steps'!$B140:$AY140,'recurring2_based on steps'!$B$1:$AY$1,AA$1)+SUMIFS('changes2_based on steps'!$B140:$U140,'changes2_based on steps'!$B$1:$U$1,AA$1)</f>
        <v>0</v>
      </c>
      <c r="AB140" s="179">
        <f>SUMIFS('recurring2_based on steps'!$B140:$AY140,'recurring2_based on steps'!$B$1:$AY$1,AB$1)+SUMIFS('changes2_based on steps'!$B140:$U140,'changes2_based on steps'!$B$1:$U$1,AB$1)</f>
        <v>0</v>
      </c>
      <c r="AC140" s="179">
        <f>SUMIFS('recurring2_based on steps'!$B140:$AY140,'recurring2_based on steps'!$B$1:$AY$1,AC$1)+SUMIFS('changes2_based on steps'!$B140:$U140,'changes2_based on steps'!$B$1:$U$1,AC$1)</f>
        <v>0</v>
      </c>
      <c r="AD140" s="179">
        <f>SUMIFS('recurring2_based on steps'!$B140:$AY140,'recurring2_based on steps'!$B$1:$AY$1,AD$1)+SUMIFS('changes2_based on steps'!$B140:$U140,'changes2_based on steps'!$B$1:$U$1,AD$1)</f>
        <v>0</v>
      </c>
      <c r="AE140" s="179">
        <f>SUMIFS('recurring2_based on steps'!$B140:$AY140,'recurring2_based on steps'!$B$1:$AY$1,AE$1)+SUMIFS('changes2_based on steps'!$B140:$U140,'changes2_based on steps'!$B$1:$U$1,AE$1)</f>
        <v>0</v>
      </c>
      <c r="AF140" s="179"/>
      <c r="AG140" s="179"/>
      <c r="AH140" s="179"/>
      <c r="AI140" s="179"/>
      <c r="AJ140" s="179"/>
      <c r="AK140" s="179"/>
      <c r="AL140" s="179"/>
      <c r="AM140" s="179"/>
    </row>
    <row r="141" spans="1:39" x14ac:dyDescent="0.2">
      <c r="A141" s="32">
        <f t="shared" ca="1" si="2"/>
        <v>45883</v>
      </c>
      <c r="B141" s="179">
        <f>SUMIFS('recurring2_based on steps'!$B141:$AY141,'recurring2_based on steps'!$B$1:$AY$1,B$1)+SUMIFS('changes2_based on steps'!$B141:$U141,'changes2_based on steps'!$B$1:$U$1,B$1)</f>
        <v>0</v>
      </c>
      <c r="C141" s="179">
        <f>SUMIFS('recurring2_based on steps'!$B141:$AY141,'recurring2_based on steps'!$B$1:$AY$1,C$1)+SUMIFS('changes2_based on steps'!$B141:$U141,'changes2_based on steps'!$B$1:$U$1,C$1)</f>
        <v>0</v>
      </c>
      <c r="D141" s="179">
        <f>SUMIFS('recurring2_based on steps'!$B141:$AY141,'recurring2_based on steps'!$B$1:$AY$1,D$1)+SUMIFS('changes2_based on steps'!$B141:$U141,'changes2_based on steps'!$B$1:$U$1,D$1)</f>
        <v>0</v>
      </c>
      <c r="E141" s="179">
        <f>SUMIFS('recurring2_based on steps'!$B141:$AY141,'recurring2_based on steps'!$B$1:$AY$1,E$1)+SUMIFS('changes2_based on steps'!$B141:$U141,'changes2_based on steps'!$B$1:$U$1,E$1)</f>
        <v>0</v>
      </c>
      <c r="F141" s="179">
        <f>SUMIFS('recurring2_based on steps'!$B141:$AY141,'recurring2_based on steps'!$B$1:$AY$1,F$1)+SUMIFS('changes2_based on steps'!$B141:$U141,'changes2_based on steps'!$B$1:$U$1,F$1)</f>
        <v>0</v>
      </c>
      <c r="G141" s="179">
        <f>SUMIFS('recurring2_based on steps'!$B141:$AY141,'recurring2_based on steps'!$B$1:$AY$1,G$1)+SUMIFS('changes2_based on steps'!$B141:$U141,'changes2_based on steps'!$B$1:$U$1,G$1)</f>
        <v>0</v>
      </c>
      <c r="H141" s="179">
        <f>SUMIFS('recurring2_based on steps'!$B141:$AY141,'recurring2_based on steps'!$B$1:$AY$1,H$1)+SUMIFS('changes2_based on steps'!$B141:$U141,'changes2_based on steps'!$B$1:$U$1,H$1)</f>
        <v>0</v>
      </c>
      <c r="I141" s="179">
        <f>SUMIFS('recurring2_based on steps'!$B141:$AY141,'recurring2_based on steps'!$B$1:$AY$1,I$1)+SUMIFS('changes2_based on steps'!$B141:$U141,'changes2_based on steps'!$B$1:$U$1,I$1)</f>
        <v>0</v>
      </c>
      <c r="J141" s="179">
        <f>SUMIFS('recurring2_based on steps'!$B141:$AY141,'recurring2_based on steps'!$B$1:$AY$1,J$1)+SUMIFS('changes2_based on steps'!$B141:$U141,'changes2_based on steps'!$B$1:$U$1,J$1)</f>
        <v>0</v>
      </c>
      <c r="K141" s="179">
        <f>SUMIFS('recurring2_based on steps'!$B141:$AY141,'recurring2_based on steps'!$B$1:$AY$1,K$1)+SUMIFS('changes2_based on steps'!$B141:$U141,'changes2_based on steps'!$B$1:$U$1,K$1)</f>
        <v>0</v>
      </c>
      <c r="L141" s="179">
        <f>SUMIFS('recurring2_based on steps'!$B141:$AY141,'recurring2_based on steps'!$B$1:$AY$1,L$1)+SUMIFS('changes2_based on steps'!$B141:$U141,'changes2_based on steps'!$B$1:$U$1,L$1)</f>
        <v>0</v>
      </c>
      <c r="M141" s="179">
        <f>SUMIFS('recurring2_based on steps'!$B141:$AY141,'recurring2_based on steps'!$B$1:$AY$1,M$1)+SUMIFS('changes2_based on steps'!$B141:$U141,'changes2_based on steps'!$B$1:$U$1,M$1)</f>
        <v>0</v>
      </c>
      <c r="N141" s="179">
        <f>SUMIFS('recurring2_based on steps'!$B141:$AY141,'recurring2_based on steps'!$B$1:$AY$1,N$1)+SUMIFS('changes2_based on steps'!$B141:$U141,'changes2_based on steps'!$B$1:$U$1,N$1)</f>
        <v>0</v>
      </c>
      <c r="O141" s="179">
        <f>SUMIFS('recurring2_based on steps'!$B141:$AY141,'recurring2_based on steps'!$B$1:$AY$1,O$1)+SUMIFS('changes2_based on steps'!$B141:$U141,'changes2_based on steps'!$B$1:$U$1,O$1)</f>
        <v>0</v>
      </c>
      <c r="P141" s="179">
        <f>SUMIFS('recurring2_based on steps'!$B141:$AY141,'recurring2_based on steps'!$B$1:$AY$1,P$1)+SUMIFS('changes2_based on steps'!$B141:$U141,'changes2_based on steps'!$B$1:$U$1,P$1)</f>
        <v>0</v>
      </c>
      <c r="Q141" s="179">
        <f>SUMIFS('recurring2_based on steps'!$B141:$AY141,'recurring2_based on steps'!$B$1:$AY$1,Q$1)+SUMIFS('changes2_based on steps'!$B141:$U141,'changes2_based on steps'!$B$1:$U$1,Q$1)</f>
        <v>0</v>
      </c>
      <c r="R141" s="179">
        <f>SUMIFS('recurring2_based on steps'!$B141:$AY141,'recurring2_based on steps'!$B$1:$AY$1,R$1)+SUMIFS('changes2_based on steps'!$B141:$U141,'changes2_based on steps'!$B$1:$U$1,R$1)</f>
        <v>0</v>
      </c>
      <c r="S141" s="179">
        <f>SUMIFS('recurring2_based on steps'!$B141:$AY141,'recurring2_based on steps'!$B$1:$AY$1,S$1)+SUMIFS('changes2_based on steps'!$B141:$U141,'changes2_based on steps'!$B$1:$U$1,S$1)</f>
        <v>0</v>
      </c>
      <c r="T141" s="179">
        <f>SUMIFS('recurring2_based on steps'!$B141:$AY141,'recurring2_based on steps'!$B$1:$AY$1,T$1)+SUMIFS('changes2_based on steps'!$B141:$U141,'changes2_based on steps'!$B$1:$U$1,T$1)</f>
        <v>0</v>
      </c>
      <c r="U141" s="179">
        <f>SUMIFS('recurring2_based on steps'!$B141:$AY141,'recurring2_based on steps'!$B$1:$AY$1,U$1)+SUMIFS('changes2_based on steps'!$B141:$U141,'changes2_based on steps'!$B$1:$U$1,U$1)</f>
        <v>0</v>
      </c>
      <c r="V141" s="179">
        <f>SUMIFS('recurring2_based on steps'!$B141:$AY141,'recurring2_based on steps'!$B$1:$AY$1,V$1)+SUMIFS('changes2_based on steps'!$B141:$U141,'changes2_based on steps'!$B$1:$U$1,V$1)</f>
        <v>0</v>
      </c>
      <c r="W141" s="179">
        <f>SUMIFS('recurring2_based on steps'!$B141:$AY141,'recurring2_based on steps'!$B$1:$AY$1,W$1)+SUMIFS('changes2_based on steps'!$B141:$U141,'changes2_based on steps'!$B$1:$U$1,W$1)</f>
        <v>0</v>
      </c>
      <c r="X141" s="179">
        <f>SUMIFS('recurring2_based on steps'!$B141:$AY141,'recurring2_based on steps'!$B$1:$AY$1,X$1)+SUMIFS('changes2_based on steps'!$B141:$U141,'changes2_based on steps'!$B$1:$U$1,X$1)</f>
        <v>0</v>
      </c>
      <c r="Y141" s="179">
        <f>SUMIFS('recurring2_based on steps'!$B141:$AY141,'recurring2_based on steps'!$B$1:$AY$1,Y$1)+SUMIFS('changes2_based on steps'!$B141:$U141,'changes2_based on steps'!$B$1:$U$1,Y$1)</f>
        <v>0</v>
      </c>
      <c r="Z141" s="179">
        <f>SUMIFS('recurring2_based on steps'!$B141:$AY141,'recurring2_based on steps'!$B$1:$AY$1,Z$1)+SUMIFS('changes2_based on steps'!$B141:$U141,'changes2_based on steps'!$B$1:$U$1,Z$1)</f>
        <v>0</v>
      </c>
      <c r="AA141" s="179">
        <f>SUMIFS('recurring2_based on steps'!$B141:$AY141,'recurring2_based on steps'!$B$1:$AY$1,AA$1)+SUMIFS('changes2_based on steps'!$B141:$U141,'changes2_based on steps'!$B$1:$U$1,AA$1)</f>
        <v>0</v>
      </c>
      <c r="AB141" s="179">
        <f>SUMIFS('recurring2_based on steps'!$B141:$AY141,'recurring2_based on steps'!$B$1:$AY$1,AB$1)+SUMIFS('changes2_based on steps'!$B141:$U141,'changes2_based on steps'!$B$1:$U$1,AB$1)</f>
        <v>0</v>
      </c>
      <c r="AC141" s="179">
        <f>SUMIFS('recurring2_based on steps'!$B141:$AY141,'recurring2_based on steps'!$B$1:$AY$1,AC$1)+SUMIFS('changes2_based on steps'!$B141:$U141,'changes2_based on steps'!$B$1:$U$1,AC$1)</f>
        <v>0</v>
      </c>
      <c r="AD141" s="179">
        <f>SUMIFS('recurring2_based on steps'!$B141:$AY141,'recurring2_based on steps'!$B$1:$AY$1,AD$1)+SUMIFS('changes2_based on steps'!$B141:$U141,'changes2_based on steps'!$B$1:$U$1,AD$1)</f>
        <v>0</v>
      </c>
      <c r="AE141" s="179">
        <f>SUMIFS('recurring2_based on steps'!$B141:$AY141,'recurring2_based on steps'!$B$1:$AY$1,AE$1)+SUMIFS('changes2_based on steps'!$B141:$U141,'changes2_based on steps'!$B$1:$U$1,AE$1)</f>
        <v>0</v>
      </c>
      <c r="AF141" s="179"/>
      <c r="AG141" s="179"/>
      <c r="AH141" s="179"/>
      <c r="AI141" s="179"/>
      <c r="AJ141" s="179"/>
      <c r="AK141" s="179"/>
      <c r="AL141" s="179"/>
      <c r="AM141" s="179"/>
    </row>
    <row r="142" spans="1:39" x14ac:dyDescent="0.2">
      <c r="A142" s="32">
        <f t="shared" ca="1" si="2"/>
        <v>45884</v>
      </c>
      <c r="B142" s="179">
        <f>SUMIFS('recurring2_based on steps'!$B142:$AY142,'recurring2_based on steps'!$B$1:$AY$1,B$1)+SUMIFS('changes2_based on steps'!$B142:$U142,'changes2_based on steps'!$B$1:$U$1,B$1)</f>
        <v>0</v>
      </c>
      <c r="C142" s="179">
        <f>SUMIFS('recurring2_based on steps'!$B142:$AY142,'recurring2_based on steps'!$B$1:$AY$1,C$1)+SUMIFS('changes2_based on steps'!$B142:$U142,'changes2_based on steps'!$B$1:$U$1,C$1)</f>
        <v>0</v>
      </c>
      <c r="D142" s="179">
        <f>SUMIFS('recurring2_based on steps'!$B142:$AY142,'recurring2_based on steps'!$B$1:$AY$1,D$1)+SUMIFS('changes2_based on steps'!$B142:$U142,'changes2_based on steps'!$B$1:$U$1,D$1)</f>
        <v>0</v>
      </c>
      <c r="E142" s="179">
        <f>SUMIFS('recurring2_based on steps'!$B142:$AY142,'recurring2_based on steps'!$B$1:$AY$1,E$1)+SUMIFS('changes2_based on steps'!$B142:$U142,'changes2_based on steps'!$B$1:$U$1,E$1)</f>
        <v>0</v>
      </c>
      <c r="F142" s="179">
        <f>SUMIFS('recurring2_based on steps'!$B142:$AY142,'recurring2_based on steps'!$B$1:$AY$1,F$1)+SUMIFS('changes2_based on steps'!$B142:$U142,'changes2_based on steps'!$B$1:$U$1,F$1)</f>
        <v>0</v>
      </c>
      <c r="G142" s="179">
        <f>SUMIFS('recurring2_based on steps'!$B142:$AY142,'recurring2_based on steps'!$B$1:$AY$1,G$1)+SUMIFS('changes2_based on steps'!$B142:$U142,'changes2_based on steps'!$B$1:$U$1,G$1)</f>
        <v>0</v>
      </c>
      <c r="H142" s="179">
        <f>SUMIFS('recurring2_based on steps'!$B142:$AY142,'recurring2_based on steps'!$B$1:$AY$1,H$1)+SUMIFS('changes2_based on steps'!$B142:$U142,'changes2_based on steps'!$B$1:$U$1,H$1)</f>
        <v>0</v>
      </c>
      <c r="I142" s="179">
        <f>SUMIFS('recurring2_based on steps'!$B142:$AY142,'recurring2_based on steps'!$B$1:$AY$1,I$1)+SUMIFS('changes2_based on steps'!$B142:$U142,'changes2_based on steps'!$B$1:$U$1,I$1)</f>
        <v>0</v>
      </c>
      <c r="J142" s="179">
        <f>SUMIFS('recurring2_based on steps'!$B142:$AY142,'recurring2_based on steps'!$B$1:$AY$1,J$1)+SUMIFS('changes2_based on steps'!$B142:$U142,'changes2_based on steps'!$B$1:$U$1,J$1)</f>
        <v>0</v>
      </c>
      <c r="K142" s="179">
        <f>SUMIFS('recurring2_based on steps'!$B142:$AY142,'recurring2_based on steps'!$B$1:$AY$1,K$1)+SUMIFS('changes2_based on steps'!$B142:$U142,'changes2_based on steps'!$B$1:$U$1,K$1)</f>
        <v>0</v>
      </c>
      <c r="L142" s="179">
        <f>SUMIFS('recurring2_based on steps'!$B142:$AY142,'recurring2_based on steps'!$B$1:$AY$1,L$1)+SUMIFS('changes2_based on steps'!$B142:$U142,'changes2_based on steps'!$B$1:$U$1,L$1)</f>
        <v>0</v>
      </c>
      <c r="M142" s="179">
        <f>SUMIFS('recurring2_based on steps'!$B142:$AY142,'recurring2_based on steps'!$B$1:$AY$1,M$1)+SUMIFS('changes2_based on steps'!$B142:$U142,'changes2_based on steps'!$B$1:$U$1,M$1)</f>
        <v>0</v>
      </c>
      <c r="N142" s="179">
        <f>SUMIFS('recurring2_based on steps'!$B142:$AY142,'recurring2_based on steps'!$B$1:$AY$1,N$1)+SUMIFS('changes2_based on steps'!$B142:$U142,'changes2_based on steps'!$B$1:$U$1,N$1)</f>
        <v>0</v>
      </c>
      <c r="O142" s="179">
        <f>SUMIFS('recurring2_based on steps'!$B142:$AY142,'recurring2_based on steps'!$B$1:$AY$1,O$1)+SUMIFS('changes2_based on steps'!$B142:$U142,'changes2_based on steps'!$B$1:$U$1,O$1)</f>
        <v>0</v>
      </c>
      <c r="P142" s="179">
        <f>SUMIFS('recurring2_based on steps'!$B142:$AY142,'recurring2_based on steps'!$B$1:$AY$1,P$1)+SUMIFS('changes2_based on steps'!$B142:$U142,'changes2_based on steps'!$B$1:$U$1,P$1)</f>
        <v>0</v>
      </c>
      <c r="Q142" s="179">
        <f>SUMIFS('recurring2_based on steps'!$B142:$AY142,'recurring2_based on steps'!$B$1:$AY$1,Q$1)+SUMIFS('changes2_based on steps'!$B142:$U142,'changes2_based on steps'!$B$1:$U$1,Q$1)</f>
        <v>0</v>
      </c>
      <c r="R142" s="179">
        <f>SUMIFS('recurring2_based on steps'!$B142:$AY142,'recurring2_based on steps'!$B$1:$AY$1,R$1)+SUMIFS('changes2_based on steps'!$B142:$U142,'changes2_based on steps'!$B$1:$U$1,R$1)</f>
        <v>0</v>
      </c>
      <c r="S142" s="179">
        <f>SUMIFS('recurring2_based on steps'!$B142:$AY142,'recurring2_based on steps'!$B$1:$AY$1,S$1)+SUMIFS('changes2_based on steps'!$B142:$U142,'changes2_based on steps'!$B$1:$U$1,S$1)</f>
        <v>0</v>
      </c>
      <c r="T142" s="179">
        <f>SUMIFS('recurring2_based on steps'!$B142:$AY142,'recurring2_based on steps'!$B$1:$AY$1,T$1)+SUMIFS('changes2_based on steps'!$B142:$U142,'changes2_based on steps'!$B$1:$U$1,T$1)</f>
        <v>0</v>
      </c>
      <c r="U142" s="179">
        <f>SUMIFS('recurring2_based on steps'!$B142:$AY142,'recurring2_based on steps'!$B$1:$AY$1,U$1)+SUMIFS('changes2_based on steps'!$B142:$U142,'changes2_based on steps'!$B$1:$U$1,U$1)</f>
        <v>0</v>
      </c>
      <c r="V142" s="179">
        <f>SUMIFS('recurring2_based on steps'!$B142:$AY142,'recurring2_based on steps'!$B$1:$AY$1,V$1)+SUMIFS('changes2_based on steps'!$B142:$U142,'changes2_based on steps'!$B$1:$U$1,V$1)</f>
        <v>0</v>
      </c>
      <c r="W142" s="179">
        <f>SUMIFS('recurring2_based on steps'!$B142:$AY142,'recurring2_based on steps'!$B$1:$AY$1,W$1)+SUMIFS('changes2_based on steps'!$B142:$U142,'changes2_based on steps'!$B$1:$U$1,W$1)</f>
        <v>0</v>
      </c>
      <c r="X142" s="179">
        <f>SUMIFS('recurring2_based on steps'!$B142:$AY142,'recurring2_based on steps'!$B$1:$AY$1,X$1)+SUMIFS('changes2_based on steps'!$B142:$U142,'changes2_based on steps'!$B$1:$U$1,X$1)</f>
        <v>0</v>
      </c>
      <c r="Y142" s="179">
        <f>SUMIFS('recurring2_based on steps'!$B142:$AY142,'recurring2_based on steps'!$B$1:$AY$1,Y$1)+SUMIFS('changes2_based on steps'!$B142:$U142,'changes2_based on steps'!$B$1:$U$1,Y$1)</f>
        <v>0</v>
      </c>
      <c r="Z142" s="179">
        <f>SUMIFS('recurring2_based on steps'!$B142:$AY142,'recurring2_based on steps'!$B$1:$AY$1,Z$1)+SUMIFS('changes2_based on steps'!$B142:$U142,'changes2_based on steps'!$B$1:$U$1,Z$1)</f>
        <v>0</v>
      </c>
      <c r="AA142" s="179">
        <f>SUMIFS('recurring2_based on steps'!$B142:$AY142,'recurring2_based on steps'!$B$1:$AY$1,AA$1)+SUMIFS('changes2_based on steps'!$B142:$U142,'changes2_based on steps'!$B$1:$U$1,AA$1)</f>
        <v>0</v>
      </c>
      <c r="AB142" s="179">
        <f>SUMIFS('recurring2_based on steps'!$B142:$AY142,'recurring2_based on steps'!$B$1:$AY$1,AB$1)+SUMIFS('changes2_based on steps'!$B142:$U142,'changes2_based on steps'!$B$1:$U$1,AB$1)</f>
        <v>0</v>
      </c>
      <c r="AC142" s="179">
        <f>SUMIFS('recurring2_based on steps'!$B142:$AY142,'recurring2_based on steps'!$B$1:$AY$1,AC$1)+SUMIFS('changes2_based on steps'!$B142:$U142,'changes2_based on steps'!$B$1:$U$1,AC$1)</f>
        <v>0</v>
      </c>
      <c r="AD142" s="179">
        <f>SUMIFS('recurring2_based on steps'!$B142:$AY142,'recurring2_based on steps'!$B$1:$AY$1,AD$1)+SUMIFS('changes2_based on steps'!$B142:$U142,'changes2_based on steps'!$B$1:$U$1,AD$1)</f>
        <v>0</v>
      </c>
      <c r="AE142" s="179">
        <f>SUMIFS('recurring2_based on steps'!$B142:$AY142,'recurring2_based on steps'!$B$1:$AY$1,AE$1)+SUMIFS('changes2_based on steps'!$B142:$U142,'changes2_based on steps'!$B$1:$U$1,AE$1)</f>
        <v>0</v>
      </c>
      <c r="AF142" s="179"/>
      <c r="AG142" s="179"/>
      <c r="AH142" s="179"/>
      <c r="AI142" s="179"/>
      <c r="AJ142" s="179"/>
      <c r="AK142" s="179"/>
      <c r="AL142" s="179"/>
      <c r="AM142" s="179"/>
    </row>
    <row r="143" spans="1:39" x14ac:dyDescent="0.2">
      <c r="A143" s="32">
        <f t="shared" ca="1" si="2"/>
        <v>45885</v>
      </c>
      <c r="B143" s="179">
        <f>SUMIFS('recurring2_based on steps'!$B143:$AY143,'recurring2_based on steps'!$B$1:$AY$1,B$1)+SUMIFS('changes2_based on steps'!$B143:$U143,'changes2_based on steps'!$B$1:$U$1,B$1)</f>
        <v>0</v>
      </c>
      <c r="C143" s="179">
        <f>SUMIFS('recurring2_based on steps'!$B143:$AY143,'recurring2_based on steps'!$B$1:$AY$1,C$1)+SUMIFS('changes2_based on steps'!$B143:$U143,'changes2_based on steps'!$B$1:$U$1,C$1)</f>
        <v>0</v>
      </c>
      <c r="D143" s="179">
        <f>SUMIFS('recurring2_based on steps'!$B143:$AY143,'recurring2_based on steps'!$B$1:$AY$1,D$1)+SUMIFS('changes2_based on steps'!$B143:$U143,'changes2_based on steps'!$B$1:$U$1,D$1)</f>
        <v>0</v>
      </c>
      <c r="E143" s="179">
        <f>SUMIFS('recurring2_based on steps'!$B143:$AY143,'recurring2_based on steps'!$B$1:$AY$1,E$1)+SUMIFS('changes2_based on steps'!$B143:$U143,'changes2_based on steps'!$B$1:$U$1,E$1)</f>
        <v>0</v>
      </c>
      <c r="F143" s="179">
        <f>SUMIFS('recurring2_based on steps'!$B143:$AY143,'recurring2_based on steps'!$B$1:$AY$1,F$1)+SUMIFS('changes2_based on steps'!$B143:$U143,'changes2_based on steps'!$B$1:$U$1,F$1)</f>
        <v>0</v>
      </c>
      <c r="G143" s="179">
        <f>SUMIFS('recurring2_based on steps'!$B143:$AY143,'recurring2_based on steps'!$B$1:$AY$1,G$1)+SUMIFS('changes2_based on steps'!$B143:$U143,'changes2_based on steps'!$B$1:$U$1,G$1)</f>
        <v>0</v>
      </c>
      <c r="H143" s="179">
        <f>SUMIFS('recurring2_based on steps'!$B143:$AY143,'recurring2_based on steps'!$B$1:$AY$1,H$1)+SUMIFS('changes2_based on steps'!$B143:$U143,'changes2_based on steps'!$B$1:$U$1,H$1)</f>
        <v>0</v>
      </c>
      <c r="I143" s="179">
        <f>SUMIFS('recurring2_based on steps'!$B143:$AY143,'recurring2_based on steps'!$B$1:$AY$1,I$1)+SUMIFS('changes2_based on steps'!$B143:$U143,'changes2_based on steps'!$B$1:$U$1,I$1)</f>
        <v>0</v>
      </c>
      <c r="J143" s="179">
        <f>SUMIFS('recurring2_based on steps'!$B143:$AY143,'recurring2_based on steps'!$B$1:$AY$1,J$1)+SUMIFS('changes2_based on steps'!$B143:$U143,'changes2_based on steps'!$B$1:$U$1,J$1)</f>
        <v>0</v>
      </c>
      <c r="K143" s="179">
        <f>SUMIFS('recurring2_based on steps'!$B143:$AY143,'recurring2_based on steps'!$B$1:$AY$1,K$1)+SUMIFS('changes2_based on steps'!$B143:$U143,'changes2_based on steps'!$B$1:$U$1,K$1)</f>
        <v>0</v>
      </c>
      <c r="L143" s="179">
        <f>SUMIFS('recurring2_based on steps'!$B143:$AY143,'recurring2_based on steps'!$B$1:$AY$1,L$1)+SUMIFS('changes2_based on steps'!$B143:$U143,'changes2_based on steps'!$B$1:$U$1,L$1)</f>
        <v>0</v>
      </c>
      <c r="M143" s="179">
        <f>SUMIFS('recurring2_based on steps'!$B143:$AY143,'recurring2_based on steps'!$B$1:$AY$1,M$1)+SUMIFS('changes2_based on steps'!$B143:$U143,'changes2_based on steps'!$B$1:$U$1,M$1)</f>
        <v>0</v>
      </c>
      <c r="N143" s="179">
        <f>SUMIFS('recurring2_based on steps'!$B143:$AY143,'recurring2_based on steps'!$B$1:$AY$1,N$1)+SUMIFS('changes2_based on steps'!$B143:$U143,'changes2_based on steps'!$B$1:$U$1,N$1)</f>
        <v>0</v>
      </c>
      <c r="O143" s="179">
        <f>SUMIFS('recurring2_based on steps'!$B143:$AY143,'recurring2_based on steps'!$B$1:$AY$1,O$1)+SUMIFS('changes2_based on steps'!$B143:$U143,'changes2_based on steps'!$B$1:$U$1,O$1)</f>
        <v>0</v>
      </c>
      <c r="P143" s="179">
        <f>SUMIFS('recurring2_based on steps'!$B143:$AY143,'recurring2_based on steps'!$B$1:$AY$1,P$1)+SUMIFS('changes2_based on steps'!$B143:$U143,'changes2_based on steps'!$B$1:$U$1,P$1)</f>
        <v>0</v>
      </c>
      <c r="Q143" s="179">
        <f>SUMIFS('recurring2_based on steps'!$B143:$AY143,'recurring2_based on steps'!$B$1:$AY$1,Q$1)+SUMIFS('changes2_based on steps'!$B143:$U143,'changes2_based on steps'!$B$1:$U$1,Q$1)</f>
        <v>0</v>
      </c>
      <c r="R143" s="179">
        <f>SUMIFS('recurring2_based on steps'!$B143:$AY143,'recurring2_based on steps'!$B$1:$AY$1,R$1)+SUMIFS('changes2_based on steps'!$B143:$U143,'changes2_based on steps'!$B$1:$U$1,R$1)</f>
        <v>0</v>
      </c>
      <c r="S143" s="179">
        <f>SUMIFS('recurring2_based on steps'!$B143:$AY143,'recurring2_based on steps'!$B$1:$AY$1,S$1)+SUMIFS('changes2_based on steps'!$B143:$U143,'changes2_based on steps'!$B$1:$U$1,S$1)</f>
        <v>0</v>
      </c>
      <c r="T143" s="179">
        <f>SUMIFS('recurring2_based on steps'!$B143:$AY143,'recurring2_based on steps'!$B$1:$AY$1,T$1)+SUMIFS('changes2_based on steps'!$B143:$U143,'changes2_based on steps'!$B$1:$U$1,T$1)</f>
        <v>0</v>
      </c>
      <c r="U143" s="179">
        <f>SUMIFS('recurring2_based on steps'!$B143:$AY143,'recurring2_based on steps'!$B$1:$AY$1,U$1)+SUMIFS('changes2_based on steps'!$B143:$U143,'changes2_based on steps'!$B$1:$U$1,U$1)</f>
        <v>0</v>
      </c>
      <c r="V143" s="179">
        <f>SUMIFS('recurring2_based on steps'!$B143:$AY143,'recurring2_based on steps'!$B$1:$AY$1,V$1)+SUMIFS('changes2_based on steps'!$B143:$U143,'changes2_based on steps'!$B$1:$U$1,V$1)</f>
        <v>0</v>
      </c>
      <c r="W143" s="179">
        <f>SUMIFS('recurring2_based on steps'!$B143:$AY143,'recurring2_based on steps'!$B$1:$AY$1,W$1)+SUMIFS('changes2_based on steps'!$B143:$U143,'changes2_based on steps'!$B$1:$U$1,W$1)</f>
        <v>0</v>
      </c>
      <c r="X143" s="179">
        <f>SUMIFS('recurring2_based on steps'!$B143:$AY143,'recurring2_based on steps'!$B$1:$AY$1,X$1)+SUMIFS('changes2_based on steps'!$B143:$U143,'changes2_based on steps'!$B$1:$U$1,X$1)</f>
        <v>0</v>
      </c>
      <c r="Y143" s="179">
        <f>SUMIFS('recurring2_based on steps'!$B143:$AY143,'recurring2_based on steps'!$B$1:$AY$1,Y$1)+SUMIFS('changes2_based on steps'!$B143:$U143,'changes2_based on steps'!$B$1:$U$1,Y$1)</f>
        <v>0</v>
      </c>
      <c r="Z143" s="179">
        <f>SUMIFS('recurring2_based on steps'!$B143:$AY143,'recurring2_based on steps'!$B$1:$AY$1,Z$1)+SUMIFS('changes2_based on steps'!$B143:$U143,'changes2_based on steps'!$B$1:$U$1,Z$1)</f>
        <v>0</v>
      </c>
      <c r="AA143" s="179">
        <f>SUMIFS('recurring2_based on steps'!$B143:$AY143,'recurring2_based on steps'!$B$1:$AY$1,AA$1)+SUMIFS('changes2_based on steps'!$B143:$U143,'changes2_based on steps'!$B$1:$U$1,AA$1)</f>
        <v>0</v>
      </c>
      <c r="AB143" s="179">
        <f>SUMIFS('recurring2_based on steps'!$B143:$AY143,'recurring2_based on steps'!$B$1:$AY$1,AB$1)+SUMIFS('changes2_based on steps'!$B143:$U143,'changes2_based on steps'!$B$1:$U$1,AB$1)</f>
        <v>0</v>
      </c>
      <c r="AC143" s="179">
        <f>SUMIFS('recurring2_based on steps'!$B143:$AY143,'recurring2_based on steps'!$B$1:$AY$1,AC$1)+SUMIFS('changes2_based on steps'!$B143:$U143,'changes2_based on steps'!$B$1:$U$1,AC$1)</f>
        <v>0</v>
      </c>
      <c r="AD143" s="179">
        <f>SUMIFS('recurring2_based on steps'!$B143:$AY143,'recurring2_based on steps'!$B$1:$AY$1,AD$1)+SUMIFS('changes2_based on steps'!$B143:$U143,'changes2_based on steps'!$B$1:$U$1,AD$1)</f>
        <v>0</v>
      </c>
      <c r="AE143" s="179">
        <f>SUMIFS('recurring2_based on steps'!$B143:$AY143,'recurring2_based on steps'!$B$1:$AY$1,AE$1)+SUMIFS('changes2_based on steps'!$B143:$U143,'changes2_based on steps'!$B$1:$U$1,AE$1)</f>
        <v>0</v>
      </c>
      <c r="AF143" s="179"/>
      <c r="AG143" s="179"/>
      <c r="AH143" s="179"/>
      <c r="AI143" s="179"/>
      <c r="AJ143" s="179"/>
      <c r="AK143" s="179"/>
      <c r="AL143" s="179"/>
      <c r="AM143" s="179"/>
    </row>
    <row r="144" spans="1:39" x14ac:dyDescent="0.2">
      <c r="A144" s="32">
        <f t="shared" ca="1" si="2"/>
        <v>45886</v>
      </c>
      <c r="B144" s="179">
        <f>SUMIFS('recurring2_based on steps'!$B144:$AY144,'recurring2_based on steps'!$B$1:$AY$1,B$1)+SUMIFS('changes2_based on steps'!$B144:$U144,'changes2_based on steps'!$B$1:$U$1,B$1)</f>
        <v>0</v>
      </c>
      <c r="C144" s="179">
        <f>SUMIFS('recurring2_based on steps'!$B144:$AY144,'recurring2_based on steps'!$B$1:$AY$1,C$1)+SUMIFS('changes2_based on steps'!$B144:$U144,'changes2_based on steps'!$B$1:$U$1,C$1)</f>
        <v>0</v>
      </c>
      <c r="D144" s="179">
        <f>SUMIFS('recurring2_based on steps'!$B144:$AY144,'recurring2_based on steps'!$B$1:$AY$1,D$1)+SUMIFS('changes2_based on steps'!$B144:$U144,'changes2_based on steps'!$B$1:$U$1,D$1)</f>
        <v>0</v>
      </c>
      <c r="E144" s="179">
        <f>SUMIFS('recurring2_based on steps'!$B144:$AY144,'recurring2_based on steps'!$B$1:$AY$1,E$1)+SUMIFS('changes2_based on steps'!$B144:$U144,'changes2_based on steps'!$B$1:$U$1,E$1)</f>
        <v>0</v>
      </c>
      <c r="F144" s="179">
        <f>SUMIFS('recurring2_based on steps'!$B144:$AY144,'recurring2_based on steps'!$B$1:$AY$1,F$1)+SUMIFS('changes2_based on steps'!$B144:$U144,'changes2_based on steps'!$B$1:$U$1,F$1)</f>
        <v>0</v>
      </c>
      <c r="G144" s="179">
        <f>SUMIFS('recurring2_based on steps'!$B144:$AY144,'recurring2_based on steps'!$B$1:$AY$1,G$1)+SUMIFS('changes2_based on steps'!$B144:$U144,'changes2_based on steps'!$B$1:$U$1,G$1)</f>
        <v>0</v>
      </c>
      <c r="H144" s="179">
        <f>SUMIFS('recurring2_based on steps'!$B144:$AY144,'recurring2_based on steps'!$B$1:$AY$1,H$1)+SUMIFS('changes2_based on steps'!$B144:$U144,'changes2_based on steps'!$B$1:$U$1,H$1)</f>
        <v>0</v>
      </c>
      <c r="I144" s="179">
        <f>SUMIFS('recurring2_based on steps'!$B144:$AY144,'recurring2_based on steps'!$B$1:$AY$1,I$1)+SUMIFS('changes2_based on steps'!$B144:$U144,'changes2_based on steps'!$B$1:$U$1,I$1)</f>
        <v>0</v>
      </c>
      <c r="J144" s="179">
        <f>SUMIFS('recurring2_based on steps'!$B144:$AY144,'recurring2_based on steps'!$B$1:$AY$1,J$1)+SUMIFS('changes2_based on steps'!$B144:$U144,'changes2_based on steps'!$B$1:$U$1,J$1)</f>
        <v>0</v>
      </c>
      <c r="K144" s="179">
        <f>SUMIFS('recurring2_based on steps'!$B144:$AY144,'recurring2_based on steps'!$B$1:$AY$1,K$1)+SUMIFS('changes2_based on steps'!$B144:$U144,'changes2_based on steps'!$B$1:$U$1,K$1)</f>
        <v>0</v>
      </c>
      <c r="L144" s="179">
        <f>SUMIFS('recurring2_based on steps'!$B144:$AY144,'recurring2_based on steps'!$B$1:$AY$1,L$1)+SUMIFS('changes2_based on steps'!$B144:$U144,'changes2_based on steps'!$B$1:$U$1,L$1)</f>
        <v>0</v>
      </c>
      <c r="M144" s="179">
        <f>SUMIFS('recurring2_based on steps'!$B144:$AY144,'recurring2_based on steps'!$B$1:$AY$1,M$1)+SUMIFS('changes2_based on steps'!$B144:$U144,'changes2_based on steps'!$B$1:$U$1,M$1)</f>
        <v>0</v>
      </c>
      <c r="N144" s="179">
        <f>SUMIFS('recurring2_based on steps'!$B144:$AY144,'recurring2_based on steps'!$B$1:$AY$1,N$1)+SUMIFS('changes2_based on steps'!$B144:$U144,'changes2_based on steps'!$B$1:$U$1,N$1)</f>
        <v>0</v>
      </c>
      <c r="O144" s="179">
        <f>SUMIFS('recurring2_based on steps'!$B144:$AY144,'recurring2_based on steps'!$B$1:$AY$1,O$1)+SUMIFS('changes2_based on steps'!$B144:$U144,'changes2_based on steps'!$B$1:$U$1,O$1)</f>
        <v>0</v>
      </c>
      <c r="P144" s="179">
        <f>SUMIFS('recurring2_based on steps'!$B144:$AY144,'recurring2_based on steps'!$B$1:$AY$1,P$1)+SUMIFS('changes2_based on steps'!$B144:$U144,'changes2_based on steps'!$B$1:$U$1,P$1)</f>
        <v>0</v>
      </c>
      <c r="Q144" s="179">
        <f>SUMIFS('recurring2_based on steps'!$B144:$AY144,'recurring2_based on steps'!$B$1:$AY$1,Q$1)+SUMIFS('changes2_based on steps'!$B144:$U144,'changes2_based on steps'!$B$1:$U$1,Q$1)</f>
        <v>0</v>
      </c>
      <c r="R144" s="179">
        <f>SUMIFS('recurring2_based on steps'!$B144:$AY144,'recurring2_based on steps'!$B$1:$AY$1,R$1)+SUMIFS('changes2_based on steps'!$B144:$U144,'changes2_based on steps'!$B$1:$U$1,R$1)</f>
        <v>0</v>
      </c>
      <c r="S144" s="179">
        <f>SUMIFS('recurring2_based on steps'!$B144:$AY144,'recurring2_based on steps'!$B$1:$AY$1,S$1)+SUMIFS('changes2_based on steps'!$B144:$U144,'changes2_based on steps'!$B$1:$U$1,S$1)</f>
        <v>0</v>
      </c>
      <c r="T144" s="179">
        <f>SUMIFS('recurring2_based on steps'!$B144:$AY144,'recurring2_based on steps'!$B$1:$AY$1,T$1)+SUMIFS('changes2_based on steps'!$B144:$U144,'changes2_based on steps'!$B$1:$U$1,T$1)</f>
        <v>0</v>
      </c>
      <c r="U144" s="179">
        <f>SUMIFS('recurring2_based on steps'!$B144:$AY144,'recurring2_based on steps'!$B$1:$AY$1,U$1)+SUMIFS('changes2_based on steps'!$B144:$U144,'changes2_based on steps'!$B$1:$U$1,U$1)</f>
        <v>0</v>
      </c>
      <c r="V144" s="179">
        <f>SUMIFS('recurring2_based on steps'!$B144:$AY144,'recurring2_based on steps'!$B$1:$AY$1,V$1)+SUMIFS('changes2_based on steps'!$B144:$U144,'changes2_based on steps'!$B$1:$U$1,V$1)</f>
        <v>0</v>
      </c>
      <c r="W144" s="179">
        <f>SUMIFS('recurring2_based on steps'!$B144:$AY144,'recurring2_based on steps'!$B$1:$AY$1,W$1)+SUMIFS('changes2_based on steps'!$B144:$U144,'changes2_based on steps'!$B$1:$U$1,W$1)</f>
        <v>0</v>
      </c>
      <c r="X144" s="179">
        <f>SUMIFS('recurring2_based on steps'!$B144:$AY144,'recurring2_based on steps'!$B$1:$AY$1,X$1)+SUMIFS('changes2_based on steps'!$B144:$U144,'changes2_based on steps'!$B$1:$U$1,X$1)</f>
        <v>0</v>
      </c>
      <c r="Y144" s="179">
        <f>SUMIFS('recurring2_based on steps'!$B144:$AY144,'recurring2_based on steps'!$B$1:$AY$1,Y$1)+SUMIFS('changes2_based on steps'!$B144:$U144,'changes2_based on steps'!$B$1:$U$1,Y$1)</f>
        <v>0</v>
      </c>
      <c r="Z144" s="179">
        <f>SUMIFS('recurring2_based on steps'!$B144:$AY144,'recurring2_based on steps'!$B$1:$AY$1,Z$1)+SUMIFS('changes2_based on steps'!$B144:$U144,'changes2_based on steps'!$B$1:$U$1,Z$1)</f>
        <v>0</v>
      </c>
      <c r="AA144" s="179">
        <f>SUMIFS('recurring2_based on steps'!$B144:$AY144,'recurring2_based on steps'!$B$1:$AY$1,AA$1)+SUMIFS('changes2_based on steps'!$B144:$U144,'changes2_based on steps'!$B$1:$U$1,AA$1)</f>
        <v>0</v>
      </c>
      <c r="AB144" s="179">
        <f>SUMIFS('recurring2_based on steps'!$B144:$AY144,'recurring2_based on steps'!$B$1:$AY$1,AB$1)+SUMIFS('changes2_based on steps'!$B144:$U144,'changes2_based on steps'!$B$1:$U$1,AB$1)</f>
        <v>0</v>
      </c>
      <c r="AC144" s="179">
        <f>SUMIFS('recurring2_based on steps'!$B144:$AY144,'recurring2_based on steps'!$B$1:$AY$1,AC$1)+SUMIFS('changes2_based on steps'!$B144:$U144,'changes2_based on steps'!$B$1:$U$1,AC$1)</f>
        <v>0</v>
      </c>
      <c r="AD144" s="179">
        <f>SUMIFS('recurring2_based on steps'!$B144:$AY144,'recurring2_based on steps'!$B$1:$AY$1,AD$1)+SUMIFS('changes2_based on steps'!$B144:$U144,'changes2_based on steps'!$B$1:$U$1,AD$1)</f>
        <v>0</v>
      </c>
      <c r="AE144" s="179">
        <f>SUMIFS('recurring2_based on steps'!$B144:$AY144,'recurring2_based on steps'!$B$1:$AY$1,AE$1)+SUMIFS('changes2_based on steps'!$B144:$U144,'changes2_based on steps'!$B$1:$U$1,AE$1)</f>
        <v>0</v>
      </c>
      <c r="AF144" s="179"/>
      <c r="AG144" s="179"/>
      <c r="AH144" s="179"/>
      <c r="AI144" s="179"/>
      <c r="AJ144" s="179"/>
      <c r="AK144" s="179"/>
      <c r="AL144" s="179"/>
      <c r="AM144" s="179"/>
    </row>
    <row r="145" spans="1:39" x14ac:dyDescent="0.2">
      <c r="A145" s="32">
        <f t="shared" ca="1" si="2"/>
        <v>45887</v>
      </c>
      <c r="B145" s="179">
        <f>SUMIFS('recurring2_based on steps'!$B145:$AY145,'recurring2_based on steps'!$B$1:$AY$1,B$1)+SUMIFS('changes2_based on steps'!$B145:$U145,'changes2_based on steps'!$B$1:$U$1,B$1)</f>
        <v>0</v>
      </c>
      <c r="C145" s="179">
        <f>SUMIFS('recurring2_based on steps'!$B145:$AY145,'recurring2_based on steps'!$B$1:$AY$1,C$1)+SUMIFS('changes2_based on steps'!$B145:$U145,'changes2_based on steps'!$B$1:$U$1,C$1)</f>
        <v>0</v>
      </c>
      <c r="D145" s="179">
        <f>SUMIFS('recurring2_based on steps'!$B145:$AY145,'recurring2_based on steps'!$B$1:$AY$1,D$1)+SUMIFS('changes2_based on steps'!$B145:$U145,'changes2_based on steps'!$B$1:$U$1,D$1)</f>
        <v>0</v>
      </c>
      <c r="E145" s="179">
        <f>SUMIFS('recurring2_based on steps'!$B145:$AY145,'recurring2_based on steps'!$B$1:$AY$1,E$1)+SUMIFS('changes2_based on steps'!$B145:$U145,'changes2_based on steps'!$B$1:$U$1,E$1)</f>
        <v>0</v>
      </c>
      <c r="F145" s="179">
        <f>SUMIFS('recurring2_based on steps'!$B145:$AY145,'recurring2_based on steps'!$B$1:$AY$1,F$1)+SUMIFS('changes2_based on steps'!$B145:$U145,'changes2_based on steps'!$B$1:$U$1,F$1)</f>
        <v>0</v>
      </c>
      <c r="G145" s="179">
        <f>SUMIFS('recurring2_based on steps'!$B145:$AY145,'recurring2_based on steps'!$B$1:$AY$1,G$1)+SUMIFS('changes2_based on steps'!$B145:$U145,'changes2_based on steps'!$B$1:$U$1,G$1)</f>
        <v>0</v>
      </c>
      <c r="H145" s="179">
        <f>SUMIFS('recurring2_based on steps'!$B145:$AY145,'recurring2_based on steps'!$B$1:$AY$1,H$1)+SUMIFS('changes2_based on steps'!$B145:$U145,'changes2_based on steps'!$B$1:$U$1,H$1)</f>
        <v>0</v>
      </c>
      <c r="I145" s="179">
        <f>SUMIFS('recurring2_based on steps'!$B145:$AY145,'recurring2_based on steps'!$B$1:$AY$1,I$1)+SUMIFS('changes2_based on steps'!$B145:$U145,'changes2_based on steps'!$B$1:$U$1,I$1)</f>
        <v>0</v>
      </c>
      <c r="J145" s="179">
        <f>SUMIFS('recurring2_based on steps'!$B145:$AY145,'recurring2_based on steps'!$B$1:$AY$1,J$1)+SUMIFS('changes2_based on steps'!$B145:$U145,'changes2_based on steps'!$B$1:$U$1,J$1)</f>
        <v>0</v>
      </c>
      <c r="K145" s="179">
        <f>SUMIFS('recurring2_based on steps'!$B145:$AY145,'recurring2_based on steps'!$B$1:$AY$1,K$1)+SUMIFS('changes2_based on steps'!$B145:$U145,'changes2_based on steps'!$B$1:$U$1,K$1)</f>
        <v>0</v>
      </c>
      <c r="L145" s="179">
        <f>SUMIFS('recurring2_based on steps'!$B145:$AY145,'recurring2_based on steps'!$B$1:$AY$1,L$1)+SUMIFS('changes2_based on steps'!$B145:$U145,'changes2_based on steps'!$B$1:$U$1,L$1)</f>
        <v>0</v>
      </c>
      <c r="M145" s="179">
        <f>SUMIFS('recurring2_based on steps'!$B145:$AY145,'recurring2_based on steps'!$B$1:$AY$1,M$1)+SUMIFS('changes2_based on steps'!$B145:$U145,'changes2_based on steps'!$B$1:$U$1,M$1)</f>
        <v>0</v>
      </c>
      <c r="N145" s="179">
        <f>SUMIFS('recurring2_based on steps'!$B145:$AY145,'recurring2_based on steps'!$B$1:$AY$1,N$1)+SUMIFS('changes2_based on steps'!$B145:$U145,'changes2_based on steps'!$B$1:$U$1,N$1)</f>
        <v>0</v>
      </c>
      <c r="O145" s="179">
        <f>SUMIFS('recurring2_based on steps'!$B145:$AY145,'recurring2_based on steps'!$B$1:$AY$1,O$1)+SUMIFS('changes2_based on steps'!$B145:$U145,'changes2_based on steps'!$B$1:$U$1,O$1)</f>
        <v>0</v>
      </c>
      <c r="P145" s="179">
        <f>SUMIFS('recurring2_based on steps'!$B145:$AY145,'recurring2_based on steps'!$B$1:$AY$1,P$1)+SUMIFS('changes2_based on steps'!$B145:$U145,'changes2_based on steps'!$B$1:$U$1,P$1)</f>
        <v>0</v>
      </c>
      <c r="Q145" s="179">
        <f>SUMIFS('recurring2_based on steps'!$B145:$AY145,'recurring2_based on steps'!$B$1:$AY$1,Q$1)+SUMIFS('changes2_based on steps'!$B145:$U145,'changes2_based on steps'!$B$1:$U$1,Q$1)</f>
        <v>0</v>
      </c>
      <c r="R145" s="179">
        <f>SUMIFS('recurring2_based on steps'!$B145:$AY145,'recurring2_based on steps'!$B$1:$AY$1,R$1)+SUMIFS('changes2_based on steps'!$B145:$U145,'changes2_based on steps'!$B$1:$U$1,R$1)</f>
        <v>0</v>
      </c>
      <c r="S145" s="179">
        <f>SUMIFS('recurring2_based on steps'!$B145:$AY145,'recurring2_based on steps'!$B$1:$AY$1,S$1)+SUMIFS('changes2_based on steps'!$B145:$U145,'changes2_based on steps'!$B$1:$U$1,S$1)</f>
        <v>0</v>
      </c>
      <c r="T145" s="179">
        <f>SUMIFS('recurring2_based on steps'!$B145:$AY145,'recurring2_based on steps'!$B$1:$AY$1,T$1)+SUMIFS('changes2_based on steps'!$B145:$U145,'changes2_based on steps'!$B$1:$U$1,T$1)</f>
        <v>0</v>
      </c>
      <c r="U145" s="179">
        <f>SUMIFS('recurring2_based on steps'!$B145:$AY145,'recurring2_based on steps'!$B$1:$AY$1,U$1)+SUMIFS('changes2_based on steps'!$B145:$U145,'changes2_based on steps'!$B$1:$U$1,U$1)</f>
        <v>0</v>
      </c>
      <c r="V145" s="179">
        <f>SUMIFS('recurring2_based on steps'!$B145:$AY145,'recurring2_based on steps'!$B$1:$AY$1,V$1)+SUMIFS('changes2_based on steps'!$B145:$U145,'changes2_based on steps'!$B$1:$U$1,V$1)</f>
        <v>0</v>
      </c>
      <c r="W145" s="179">
        <f>SUMIFS('recurring2_based on steps'!$B145:$AY145,'recurring2_based on steps'!$B$1:$AY$1,W$1)+SUMIFS('changes2_based on steps'!$B145:$U145,'changes2_based on steps'!$B$1:$U$1,W$1)</f>
        <v>0</v>
      </c>
      <c r="X145" s="179">
        <f>SUMIFS('recurring2_based on steps'!$B145:$AY145,'recurring2_based on steps'!$B$1:$AY$1,X$1)+SUMIFS('changes2_based on steps'!$B145:$U145,'changes2_based on steps'!$B$1:$U$1,X$1)</f>
        <v>0</v>
      </c>
      <c r="Y145" s="179">
        <f>SUMIFS('recurring2_based on steps'!$B145:$AY145,'recurring2_based on steps'!$B$1:$AY$1,Y$1)+SUMIFS('changes2_based on steps'!$B145:$U145,'changes2_based on steps'!$B$1:$U$1,Y$1)</f>
        <v>0</v>
      </c>
      <c r="Z145" s="179">
        <f>SUMIFS('recurring2_based on steps'!$B145:$AY145,'recurring2_based on steps'!$B$1:$AY$1,Z$1)+SUMIFS('changes2_based on steps'!$B145:$U145,'changes2_based on steps'!$B$1:$U$1,Z$1)</f>
        <v>0</v>
      </c>
      <c r="AA145" s="179">
        <f>SUMIFS('recurring2_based on steps'!$B145:$AY145,'recurring2_based on steps'!$B$1:$AY$1,AA$1)+SUMIFS('changes2_based on steps'!$B145:$U145,'changes2_based on steps'!$B$1:$U$1,AA$1)</f>
        <v>0</v>
      </c>
      <c r="AB145" s="179">
        <f>SUMIFS('recurring2_based on steps'!$B145:$AY145,'recurring2_based on steps'!$B$1:$AY$1,AB$1)+SUMIFS('changes2_based on steps'!$B145:$U145,'changes2_based on steps'!$B$1:$U$1,AB$1)</f>
        <v>0</v>
      </c>
      <c r="AC145" s="179">
        <f>SUMIFS('recurring2_based on steps'!$B145:$AY145,'recurring2_based on steps'!$B$1:$AY$1,AC$1)+SUMIFS('changes2_based on steps'!$B145:$U145,'changes2_based on steps'!$B$1:$U$1,AC$1)</f>
        <v>0</v>
      </c>
      <c r="AD145" s="179">
        <f>SUMIFS('recurring2_based on steps'!$B145:$AY145,'recurring2_based on steps'!$B$1:$AY$1,AD$1)+SUMIFS('changes2_based on steps'!$B145:$U145,'changes2_based on steps'!$B$1:$U$1,AD$1)</f>
        <v>0</v>
      </c>
      <c r="AE145" s="179">
        <f>SUMIFS('recurring2_based on steps'!$B145:$AY145,'recurring2_based on steps'!$B$1:$AY$1,AE$1)+SUMIFS('changes2_based on steps'!$B145:$U145,'changes2_based on steps'!$B$1:$U$1,AE$1)</f>
        <v>0</v>
      </c>
      <c r="AF145" s="179"/>
      <c r="AG145" s="179"/>
      <c r="AH145" s="179"/>
      <c r="AI145" s="179"/>
      <c r="AJ145" s="179"/>
      <c r="AK145" s="179"/>
      <c r="AL145" s="179"/>
      <c r="AM145" s="179"/>
    </row>
    <row r="146" spans="1:39" x14ac:dyDescent="0.2">
      <c r="A146" s="32">
        <f t="shared" ca="1" si="2"/>
        <v>45888</v>
      </c>
      <c r="B146" s="179">
        <f>SUMIFS('recurring2_based on steps'!$B146:$AY146,'recurring2_based on steps'!$B$1:$AY$1,B$1)+SUMIFS('changes2_based on steps'!$B146:$U146,'changes2_based on steps'!$B$1:$U$1,B$1)</f>
        <v>0</v>
      </c>
      <c r="C146" s="179">
        <f>SUMIFS('recurring2_based on steps'!$B146:$AY146,'recurring2_based on steps'!$B$1:$AY$1,C$1)+SUMIFS('changes2_based on steps'!$B146:$U146,'changes2_based on steps'!$B$1:$U$1,C$1)</f>
        <v>0</v>
      </c>
      <c r="D146" s="179">
        <f>SUMIFS('recurring2_based on steps'!$B146:$AY146,'recurring2_based on steps'!$B$1:$AY$1,D$1)+SUMIFS('changes2_based on steps'!$B146:$U146,'changes2_based on steps'!$B$1:$U$1,D$1)</f>
        <v>0</v>
      </c>
      <c r="E146" s="179">
        <f>SUMIFS('recurring2_based on steps'!$B146:$AY146,'recurring2_based on steps'!$B$1:$AY$1,E$1)+SUMIFS('changes2_based on steps'!$B146:$U146,'changes2_based on steps'!$B$1:$U$1,E$1)</f>
        <v>0</v>
      </c>
      <c r="F146" s="179">
        <f>SUMIFS('recurring2_based on steps'!$B146:$AY146,'recurring2_based on steps'!$B$1:$AY$1,F$1)+SUMIFS('changes2_based on steps'!$B146:$U146,'changes2_based on steps'!$B$1:$U$1,F$1)</f>
        <v>0</v>
      </c>
      <c r="G146" s="179">
        <f>SUMIFS('recurring2_based on steps'!$B146:$AY146,'recurring2_based on steps'!$B$1:$AY$1,G$1)+SUMIFS('changes2_based on steps'!$B146:$U146,'changes2_based on steps'!$B$1:$U$1,G$1)</f>
        <v>0</v>
      </c>
      <c r="H146" s="179">
        <f>SUMIFS('recurring2_based on steps'!$B146:$AY146,'recurring2_based on steps'!$B$1:$AY$1,H$1)+SUMIFS('changes2_based on steps'!$B146:$U146,'changes2_based on steps'!$B$1:$U$1,H$1)</f>
        <v>0</v>
      </c>
      <c r="I146" s="179">
        <f>SUMIFS('recurring2_based on steps'!$B146:$AY146,'recurring2_based on steps'!$B$1:$AY$1,I$1)+SUMIFS('changes2_based on steps'!$B146:$U146,'changes2_based on steps'!$B$1:$U$1,I$1)</f>
        <v>0</v>
      </c>
      <c r="J146" s="179">
        <f>SUMIFS('recurring2_based on steps'!$B146:$AY146,'recurring2_based on steps'!$B$1:$AY$1,J$1)+SUMIFS('changes2_based on steps'!$B146:$U146,'changes2_based on steps'!$B$1:$U$1,J$1)</f>
        <v>0</v>
      </c>
      <c r="K146" s="179">
        <f>SUMIFS('recurring2_based on steps'!$B146:$AY146,'recurring2_based on steps'!$B$1:$AY$1,K$1)+SUMIFS('changes2_based on steps'!$B146:$U146,'changes2_based on steps'!$B$1:$U$1,K$1)</f>
        <v>0</v>
      </c>
      <c r="L146" s="179">
        <f>SUMIFS('recurring2_based on steps'!$B146:$AY146,'recurring2_based on steps'!$B$1:$AY$1,L$1)+SUMIFS('changes2_based on steps'!$B146:$U146,'changes2_based on steps'!$B$1:$U$1,L$1)</f>
        <v>0</v>
      </c>
      <c r="M146" s="179">
        <f>SUMIFS('recurring2_based on steps'!$B146:$AY146,'recurring2_based on steps'!$B$1:$AY$1,M$1)+SUMIFS('changes2_based on steps'!$B146:$U146,'changes2_based on steps'!$B$1:$U$1,M$1)</f>
        <v>0</v>
      </c>
      <c r="N146" s="179">
        <f>SUMIFS('recurring2_based on steps'!$B146:$AY146,'recurring2_based on steps'!$B$1:$AY$1,N$1)+SUMIFS('changes2_based on steps'!$B146:$U146,'changes2_based on steps'!$B$1:$U$1,N$1)</f>
        <v>0</v>
      </c>
      <c r="O146" s="179">
        <f>SUMIFS('recurring2_based on steps'!$B146:$AY146,'recurring2_based on steps'!$B$1:$AY$1,O$1)+SUMIFS('changes2_based on steps'!$B146:$U146,'changes2_based on steps'!$B$1:$U$1,O$1)</f>
        <v>0</v>
      </c>
      <c r="P146" s="179">
        <f>SUMIFS('recurring2_based on steps'!$B146:$AY146,'recurring2_based on steps'!$B$1:$AY$1,P$1)+SUMIFS('changes2_based on steps'!$B146:$U146,'changes2_based on steps'!$B$1:$U$1,P$1)</f>
        <v>0</v>
      </c>
      <c r="Q146" s="179">
        <f>SUMIFS('recurring2_based on steps'!$B146:$AY146,'recurring2_based on steps'!$B$1:$AY$1,Q$1)+SUMIFS('changes2_based on steps'!$B146:$U146,'changes2_based on steps'!$B$1:$U$1,Q$1)</f>
        <v>0</v>
      </c>
      <c r="R146" s="179">
        <f>SUMIFS('recurring2_based on steps'!$B146:$AY146,'recurring2_based on steps'!$B$1:$AY$1,R$1)+SUMIFS('changes2_based on steps'!$B146:$U146,'changes2_based on steps'!$B$1:$U$1,R$1)</f>
        <v>0</v>
      </c>
      <c r="S146" s="179">
        <f>SUMIFS('recurring2_based on steps'!$B146:$AY146,'recurring2_based on steps'!$B$1:$AY$1,S$1)+SUMIFS('changes2_based on steps'!$B146:$U146,'changes2_based on steps'!$B$1:$U$1,S$1)</f>
        <v>0</v>
      </c>
      <c r="T146" s="179">
        <f>SUMIFS('recurring2_based on steps'!$B146:$AY146,'recurring2_based on steps'!$B$1:$AY$1,T$1)+SUMIFS('changes2_based on steps'!$B146:$U146,'changes2_based on steps'!$B$1:$U$1,T$1)</f>
        <v>0</v>
      </c>
      <c r="U146" s="179">
        <f>SUMIFS('recurring2_based on steps'!$B146:$AY146,'recurring2_based on steps'!$B$1:$AY$1,U$1)+SUMIFS('changes2_based on steps'!$B146:$U146,'changes2_based on steps'!$B$1:$U$1,U$1)</f>
        <v>0</v>
      </c>
      <c r="V146" s="179">
        <f>SUMIFS('recurring2_based on steps'!$B146:$AY146,'recurring2_based on steps'!$B$1:$AY$1,V$1)+SUMIFS('changes2_based on steps'!$B146:$U146,'changes2_based on steps'!$B$1:$U$1,V$1)</f>
        <v>0</v>
      </c>
      <c r="W146" s="179">
        <f>SUMIFS('recurring2_based on steps'!$B146:$AY146,'recurring2_based on steps'!$B$1:$AY$1,W$1)+SUMIFS('changes2_based on steps'!$B146:$U146,'changes2_based on steps'!$B$1:$U$1,W$1)</f>
        <v>0</v>
      </c>
      <c r="X146" s="179">
        <f>SUMIFS('recurring2_based on steps'!$B146:$AY146,'recurring2_based on steps'!$B$1:$AY$1,X$1)+SUMIFS('changes2_based on steps'!$B146:$U146,'changes2_based on steps'!$B$1:$U$1,X$1)</f>
        <v>0</v>
      </c>
      <c r="Y146" s="179">
        <f>SUMIFS('recurring2_based on steps'!$B146:$AY146,'recurring2_based on steps'!$B$1:$AY$1,Y$1)+SUMIFS('changes2_based on steps'!$B146:$U146,'changes2_based on steps'!$B$1:$U$1,Y$1)</f>
        <v>0</v>
      </c>
      <c r="Z146" s="179">
        <f>SUMIFS('recurring2_based on steps'!$B146:$AY146,'recurring2_based on steps'!$B$1:$AY$1,Z$1)+SUMIFS('changes2_based on steps'!$B146:$U146,'changes2_based on steps'!$B$1:$U$1,Z$1)</f>
        <v>0</v>
      </c>
      <c r="AA146" s="179">
        <f>SUMIFS('recurring2_based on steps'!$B146:$AY146,'recurring2_based on steps'!$B$1:$AY$1,AA$1)+SUMIFS('changes2_based on steps'!$B146:$U146,'changes2_based on steps'!$B$1:$U$1,AA$1)</f>
        <v>0</v>
      </c>
      <c r="AB146" s="179">
        <f>SUMIFS('recurring2_based on steps'!$B146:$AY146,'recurring2_based on steps'!$B$1:$AY$1,AB$1)+SUMIFS('changes2_based on steps'!$B146:$U146,'changes2_based on steps'!$B$1:$U$1,AB$1)</f>
        <v>0</v>
      </c>
      <c r="AC146" s="179">
        <f>SUMIFS('recurring2_based on steps'!$B146:$AY146,'recurring2_based on steps'!$B$1:$AY$1,AC$1)+SUMIFS('changes2_based on steps'!$B146:$U146,'changes2_based on steps'!$B$1:$U$1,AC$1)</f>
        <v>0</v>
      </c>
      <c r="AD146" s="179">
        <f>SUMIFS('recurring2_based on steps'!$B146:$AY146,'recurring2_based on steps'!$B$1:$AY$1,AD$1)+SUMIFS('changes2_based on steps'!$B146:$U146,'changes2_based on steps'!$B$1:$U$1,AD$1)</f>
        <v>0</v>
      </c>
      <c r="AE146" s="179">
        <f>SUMIFS('recurring2_based on steps'!$B146:$AY146,'recurring2_based on steps'!$B$1:$AY$1,AE$1)+SUMIFS('changes2_based on steps'!$B146:$U146,'changes2_based on steps'!$B$1:$U$1,AE$1)</f>
        <v>0</v>
      </c>
      <c r="AF146" s="179"/>
      <c r="AG146" s="179"/>
      <c r="AH146" s="179"/>
      <c r="AI146" s="179"/>
      <c r="AJ146" s="179"/>
      <c r="AK146" s="179"/>
      <c r="AL146" s="179"/>
      <c r="AM146" s="179"/>
    </row>
    <row r="147" spans="1:39" x14ac:dyDescent="0.2">
      <c r="A147" s="32">
        <f t="shared" ca="1" si="2"/>
        <v>45889</v>
      </c>
      <c r="B147" s="179">
        <f>SUMIFS('recurring2_based on steps'!$B147:$AY147,'recurring2_based on steps'!$B$1:$AY$1,B$1)+SUMIFS('changes2_based on steps'!$B147:$U147,'changes2_based on steps'!$B$1:$U$1,B$1)</f>
        <v>0</v>
      </c>
      <c r="C147" s="179">
        <f>SUMIFS('recurring2_based on steps'!$B147:$AY147,'recurring2_based on steps'!$B$1:$AY$1,C$1)+SUMIFS('changes2_based on steps'!$B147:$U147,'changes2_based on steps'!$B$1:$U$1,C$1)</f>
        <v>0</v>
      </c>
      <c r="D147" s="179">
        <f>SUMIFS('recurring2_based on steps'!$B147:$AY147,'recurring2_based on steps'!$B$1:$AY$1,D$1)+SUMIFS('changes2_based on steps'!$B147:$U147,'changes2_based on steps'!$B$1:$U$1,D$1)</f>
        <v>0</v>
      </c>
      <c r="E147" s="179">
        <f>SUMIFS('recurring2_based on steps'!$B147:$AY147,'recurring2_based on steps'!$B$1:$AY$1,E$1)+SUMIFS('changes2_based on steps'!$B147:$U147,'changes2_based on steps'!$B$1:$U$1,E$1)</f>
        <v>0</v>
      </c>
      <c r="F147" s="179">
        <f>SUMIFS('recurring2_based on steps'!$B147:$AY147,'recurring2_based on steps'!$B$1:$AY$1,F$1)+SUMIFS('changes2_based on steps'!$B147:$U147,'changes2_based on steps'!$B$1:$U$1,F$1)</f>
        <v>0</v>
      </c>
      <c r="G147" s="179">
        <f>SUMIFS('recurring2_based on steps'!$B147:$AY147,'recurring2_based on steps'!$B$1:$AY$1,G$1)+SUMIFS('changes2_based on steps'!$B147:$U147,'changes2_based on steps'!$B$1:$U$1,G$1)</f>
        <v>0</v>
      </c>
      <c r="H147" s="179">
        <f>SUMIFS('recurring2_based on steps'!$B147:$AY147,'recurring2_based on steps'!$B$1:$AY$1,H$1)+SUMIFS('changes2_based on steps'!$B147:$U147,'changes2_based on steps'!$B$1:$U$1,H$1)</f>
        <v>0</v>
      </c>
      <c r="I147" s="179">
        <f>SUMIFS('recurring2_based on steps'!$B147:$AY147,'recurring2_based on steps'!$B$1:$AY$1,I$1)+SUMIFS('changes2_based on steps'!$B147:$U147,'changes2_based on steps'!$B$1:$U$1,I$1)</f>
        <v>0</v>
      </c>
      <c r="J147" s="179">
        <f>SUMIFS('recurring2_based on steps'!$B147:$AY147,'recurring2_based on steps'!$B$1:$AY$1,J$1)+SUMIFS('changes2_based on steps'!$B147:$U147,'changes2_based on steps'!$B$1:$U$1,J$1)</f>
        <v>0</v>
      </c>
      <c r="K147" s="179">
        <f>SUMIFS('recurring2_based on steps'!$B147:$AY147,'recurring2_based on steps'!$B$1:$AY$1,K$1)+SUMIFS('changes2_based on steps'!$B147:$U147,'changes2_based on steps'!$B$1:$U$1,K$1)</f>
        <v>0</v>
      </c>
      <c r="L147" s="179">
        <f>SUMIFS('recurring2_based on steps'!$B147:$AY147,'recurring2_based on steps'!$B$1:$AY$1,L$1)+SUMIFS('changes2_based on steps'!$B147:$U147,'changes2_based on steps'!$B$1:$U$1,L$1)</f>
        <v>0</v>
      </c>
      <c r="M147" s="179">
        <f>SUMIFS('recurring2_based on steps'!$B147:$AY147,'recurring2_based on steps'!$B$1:$AY$1,M$1)+SUMIFS('changes2_based on steps'!$B147:$U147,'changes2_based on steps'!$B$1:$U$1,M$1)</f>
        <v>0</v>
      </c>
      <c r="N147" s="179">
        <f>SUMIFS('recurring2_based on steps'!$B147:$AY147,'recurring2_based on steps'!$B$1:$AY$1,N$1)+SUMIFS('changes2_based on steps'!$B147:$U147,'changes2_based on steps'!$B$1:$U$1,N$1)</f>
        <v>0</v>
      </c>
      <c r="O147" s="179">
        <f>SUMIFS('recurring2_based on steps'!$B147:$AY147,'recurring2_based on steps'!$B$1:$AY$1,O$1)+SUMIFS('changes2_based on steps'!$B147:$U147,'changes2_based on steps'!$B$1:$U$1,O$1)</f>
        <v>0</v>
      </c>
      <c r="P147" s="179">
        <f>SUMIFS('recurring2_based on steps'!$B147:$AY147,'recurring2_based on steps'!$B$1:$AY$1,P$1)+SUMIFS('changes2_based on steps'!$B147:$U147,'changes2_based on steps'!$B$1:$U$1,P$1)</f>
        <v>0</v>
      </c>
      <c r="Q147" s="179">
        <f>SUMIFS('recurring2_based on steps'!$B147:$AY147,'recurring2_based on steps'!$B$1:$AY$1,Q$1)+SUMIFS('changes2_based on steps'!$B147:$U147,'changes2_based on steps'!$B$1:$U$1,Q$1)</f>
        <v>0</v>
      </c>
      <c r="R147" s="179">
        <f>SUMIFS('recurring2_based on steps'!$B147:$AY147,'recurring2_based on steps'!$B$1:$AY$1,R$1)+SUMIFS('changes2_based on steps'!$B147:$U147,'changes2_based on steps'!$B$1:$U$1,R$1)</f>
        <v>0</v>
      </c>
      <c r="S147" s="179">
        <f>SUMIFS('recurring2_based on steps'!$B147:$AY147,'recurring2_based on steps'!$B$1:$AY$1,S$1)+SUMIFS('changes2_based on steps'!$B147:$U147,'changes2_based on steps'!$B$1:$U$1,S$1)</f>
        <v>0</v>
      </c>
      <c r="T147" s="179">
        <f>SUMIFS('recurring2_based on steps'!$B147:$AY147,'recurring2_based on steps'!$B$1:$AY$1,T$1)+SUMIFS('changes2_based on steps'!$B147:$U147,'changes2_based on steps'!$B$1:$U$1,T$1)</f>
        <v>0</v>
      </c>
      <c r="U147" s="179">
        <f>SUMIFS('recurring2_based on steps'!$B147:$AY147,'recurring2_based on steps'!$B$1:$AY$1,U$1)+SUMIFS('changes2_based on steps'!$B147:$U147,'changes2_based on steps'!$B$1:$U$1,U$1)</f>
        <v>0</v>
      </c>
      <c r="V147" s="179">
        <f>SUMIFS('recurring2_based on steps'!$B147:$AY147,'recurring2_based on steps'!$B$1:$AY$1,V$1)+SUMIFS('changes2_based on steps'!$B147:$U147,'changes2_based on steps'!$B$1:$U$1,V$1)</f>
        <v>0</v>
      </c>
      <c r="W147" s="179">
        <f>SUMIFS('recurring2_based on steps'!$B147:$AY147,'recurring2_based on steps'!$B$1:$AY$1,W$1)+SUMIFS('changes2_based on steps'!$B147:$U147,'changes2_based on steps'!$B$1:$U$1,W$1)</f>
        <v>0</v>
      </c>
      <c r="X147" s="179">
        <f>SUMIFS('recurring2_based on steps'!$B147:$AY147,'recurring2_based on steps'!$B$1:$AY$1,X$1)+SUMIFS('changes2_based on steps'!$B147:$U147,'changes2_based on steps'!$B$1:$U$1,X$1)</f>
        <v>0</v>
      </c>
      <c r="Y147" s="179">
        <f>SUMIFS('recurring2_based on steps'!$B147:$AY147,'recurring2_based on steps'!$B$1:$AY$1,Y$1)+SUMIFS('changes2_based on steps'!$B147:$U147,'changes2_based on steps'!$B$1:$U$1,Y$1)</f>
        <v>0</v>
      </c>
      <c r="Z147" s="179">
        <f>SUMIFS('recurring2_based on steps'!$B147:$AY147,'recurring2_based on steps'!$B$1:$AY$1,Z$1)+SUMIFS('changes2_based on steps'!$B147:$U147,'changes2_based on steps'!$B$1:$U$1,Z$1)</f>
        <v>0</v>
      </c>
      <c r="AA147" s="179">
        <f>SUMIFS('recurring2_based on steps'!$B147:$AY147,'recurring2_based on steps'!$B$1:$AY$1,AA$1)+SUMIFS('changes2_based on steps'!$B147:$U147,'changes2_based on steps'!$B$1:$U$1,AA$1)</f>
        <v>0</v>
      </c>
      <c r="AB147" s="179">
        <f>SUMIFS('recurring2_based on steps'!$B147:$AY147,'recurring2_based on steps'!$B$1:$AY$1,AB$1)+SUMIFS('changes2_based on steps'!$B147:$U147,'changes2_based on steps'!$B$1:$U$1,AB$1)</f>
        <v>0</v>
      </c>
      <c r="AC147" s="179">
        <f>SUMIFS('recurring2_based on steps'!$B147:$AY147,'recurring2_based on steps'!$B$1:$AY$1,AC$1)+SUMIFS('changes2_based on steps'!$B147:$U147,'changes2_based on steps'!$B$1:$U$1,AC$1)</f>
        <v>0</v>
      </c>
      <c r="AD147" s="179">
        <f>SUMIFS('recurring2_based on steps'!$B147:$AY147,'recurring2_based on steps'!$B$1:$AY$1,AD$1)+SUMIFS('changes2_based on steps'!$B147:$U147,'changes2_based on steps'!$B$1:$U$1,AD$1)</f>
        <v>0</v>
      </c>
      <c r="AE147" s="179">
        <f>SUMIFS('recurring2_based on steps'!$B147:$AY147,'recurring2_based on steps'!$B$1:$AY$1,AE$1)+SUMIFS('changes2_based on steps'!$B147:$U147,'changes2_based on steps'!$B$1:$U$1,AE$1)</f>
        <v>0</v>
      </c>
      <c r="AF147" s="179"/>
      <c r="AG147" s="179"/>
      <c r="AH147" s="179"/>
      <c r="AI147" s="179"/>
      <c r="AJ147" s="179"/>
      <c r="AK147" s="179"/>
      <c r="AL147" s="179"/>
      <c r="AM147" s="179"/>
    </row>
    <row r="148" spans="1:39" x14ac:dyDescent="0.2">
      <c r="A148" s="32">
        <f t="shared" ca="1" si="2"/>
        <v>45890</v>
      </c>
      <c r="B148" s="179">
        <f>SUMIFS('recurring2_based on steps'!$B148:$AY148,'recurring2_based on steps'!$B$1:$AY$1,B$1)+SUMIFS('changes2_based on steps'!$B148:$U148,'changes2_based on steps'!$B$1:$U$1,B$1)</f>
        <v>0</v>
      </c>
      <c r="C148" s="179">
        <f>SUMIFS('recurring2_based on steps'!$B148:$AY148,'recurring2_based on steps'!$B$1:$AY$1,C$1)+SUMIFS('changes2_based on steps'!$B148:$U148,'changes2_based on steps'!$B$1:$U$1,C$1)</f>
        <v>0</v>
      </c>
      <c r="D148" s="179">
        <f>SUMIFS('recurring2_based on steps'!$B148:$AY148,'recurring2_based on steps'!$B$1:$AY$1,D$1)+SUMIFS('changes2_based on steps'!$B148:$U148,'changes2_based on steps'!$B$1:$U$1,D$1)</f>
        <v>0</v>
      </c>
      <c r="E148" s="179">
        <f>SUMIFS('recurring2_based on steps'!$B148:$AY148,'recurring2_based on steps'!$B$1:$AY$1,E$1)+SUMIFS('changes2_based on steps'!$B148:$U148,'changes2_based on steps'!$B$1:$U$1,E$1)</f>
        <v>0</v>
      </c>
      <c r="F148" s="179">
        <f>SUMIFS('recurring2_based on steps'!$B148:$AY148,'recurring2_based on steps'!$B$1:$AY$1,F$1)+SUMIFS('changes2_based on steps'!$B148:$U148,'changes2_based on steps'!$B$1:$U$1,F$1)</f>
        <v>0</v>
      </c>
      <c r="G148" s="179">
        <f>SUMIFS('recurring2_based on steps'!$B148:$AY148,'recurring2_based on steps'!$B$1:$AY$1,G$1)+SUMIFS('changes2_based on steps'!$B148:$U148,'changes2_based on steps'!$B$1:$U$1,G$1)</f>
        <v>0</v>
      </c>
      <c r="H148" s="179">
        <f>SUMIFS('recurring2_based on steps'!$B148:$AY148,'recurring2_based on steps'!$B$1:$AY$1,H$1)+SUMIFS('changes2_based on steps'!$B148:$U148,'changes2_based on steps'!$B$1:$U$1,H$1)</f>
        <v>0</v>
      </c>
      <c r="I148" s="179">
        <f>SUMIFS('recurring2_based on steps'!$B148:$AY148,'recurring2_based on steps'!$B$1:$AY$1,I$1)+SUMIFS('changes2_based on steps'!$B148:$U148,'changes2_based on steps'!$B$1:$U$1,I$1)</f>
        <v>0</v>
      </c>
      <c r="J148" s="179">
        <f>SUMIFS('recurring2_based on steps'!$B148:$AY148,'recurring2_based on steps'!$B$1:$AY$1,J$1)+SUMIFS('changes2_based on steps'!$B148:$U148,'changes2_based on steps'!$B$1:$U$1,J$1)</f>
        <v>0</v>
      </c>
      <c r="K148" s="179">
        <f>SUMIFS('recurring2_based on steps'!$B148:$AY148,'recurring2_based on steps'!$B$1:$AY$1,K$1)+SUMIFS('changes2_based on steps'!$B148:$U148,'changes2_based on steps'!$B$1:$U$1,K$1)</f>
        <v>0</v>
      </c>
      <c r="L148" s="179">
        <f>SUMIFS('recurring2_based on steps'!$B148:$AY148,'recurring2_based on steps'!$B$1:$AY$1,L$1)+SUMIFS('changes2_based on steps'!$B148:$U148,'changes2_based on steps'!$B$1:$U$1,L$1)</f>
        <v>0</v>
      </c>
      <c r="M148" s="179">
        <f>SUMIFS('recurring2_based on steps'!$B148:$AY148,'recurring2_based on steps'!$B$1:$AY$1,M$1)+SUMIFS('changes2_based on steps'!$B148:$U148,'changes2_based on steps'!$B$1:$U$1,M$1)</f>
        <v>0</v>
      </c>
      <c r="N148" s="179">
        <f>SUMIFS('recurring2_based on steps'!$B148:$AY148,'recurring2_based on steps'!$B$1:$AY$1,N$1)+SUMIFS('changes2_based on steps'!$B148:$U148,'changes2_based on steps'!$B$1:$U$1,N$1)</f>
        <v>0</v>
      </c>
      <c r="O148" s="179">
        <f>SUMIFS('recurring2_based on steps'!$B148:$AY148,'recurring2_based on steps'!$B$1:$AY$1,O$1)+SUMIFS('changes2_based on steps'!$B148:$U148,'changes2_based on steps'!$B$1:$U$1,O$1)</f>
        <v>0</v>
      </c>
      <c r="P148" s="179">
        <f>SUMIFS('recurring2_based on steps'!$B148:$AY148,'recurring2_based on steps'!$B$1:$AY$1,P$1)+SUMIFS('changes2_based on steps'!$B148:$U148,'changes2_based on steps'!$B$1:$U$1,P$1)</f>
        <v>0</v>
      </c>
      <c r="Q148" s="179">
        <f>SUMIFS('recurring2_based on steps'!$B148:$AY148,'recurring2_based on steps'!$B$1:$AY$1,Q$1)+SUMIFS('changes2_based on steps'!$B148:$U148,'changes2_based on steps'!$B$1:$U$1,Q$1)</f>
        <v>0</v>
      </c>
      <c r="R148" s="179">
        <f>SUMIFS('recurring2_based on steps'!$B148:$AY148,'recurring2_based on steps'!$B$1:$AY$1,R$1)+SUMIFS('changes2_based on steps'!$B148:$U148,'changes2_based on steps'!$B$1:$U$1,R$1)</f>
        <v>0</v>
      </c>
      <c r="S148" s="179">
        <f>SUMIFS('recurring2_based on steps'!$B148:$AY148,'recurring2_based on steps'!$B$1:$AY$1,S$1)+SUMIFS('changes2_based on steps'!$B148:$U148,'changes2_based on steps'!$B$1:$U$1,S$1)</f>
        <v>0</v>
      </c>
      <c r="T148" s="179">
        <f>SUMIFS('recurring2_based on steps'!$B148:$AY148,'recurring2_based on steps'!$B$1:$AY$1,T$1)+SUMIFS('changes2_based on steps'!$B148:$U148,'changes2_based on steps'!$B$1:$U$1,T$1)</f>
        <v>0</v>
      </c>
      <c r="U148" s="179">
        <f>SUMIFS('recurring2_based on steps'!$B148:$AY148,'recurring2_based on steps'!$B$1:$AY$1,U$1)+SUMIFS('changes2_based on steps'!$B148:$U148,'changes2_based on steps'!$B$1:$U$1,U$1)</f>
        <v>0</v>
      </c>
      <c r="V148" s="179">
        <f>SUMIFS('recurring2_based on steps'!$B148:$AY148,'recurring2_based on steps'!$B$1:$AY$1,V$1)+SUMIFS('changes2_based on steps'!$B148:$U148,'changes2_based on steps'!$B$1:$U$1,V$1)</f>
        <v>0</v>
      </c>
      <c r="W148" s="179">
        <f>SUMIFS('recurring2_based on steps'!$B148:$AY148,'recurring2_based on steps'!$B$1:$AY$1,W$1)+SUMIFS('changes2_based on steps'!$B148:$U148,'changes2_based on steps'!$B$1:$U$1,W$1)</f>
        <v>0</v>
      </c>
      <c r="X148" s="179">
        <f>SUMIFS('recurring2_based on steps'!$B148:$AY148,'recurring2_based on steps'!$B$1:$AY$1,X$1)+SUMIFS('changes2_based on steps'!$B148:$U148,'changes2_based on steps'!$B$1:$U$1,X$1)</f>
        <v>0</v>
      </c>
      <c r="Y148" s="179">
        <f>SUMIFS('recurring2_based on steps'!$B148:$AY148,'recurring2_based on steps'!$B$1:$AY$1,Y$1)+SUMIFS('changes2_based on steps'!$B148:$U148,'changes2_based on steps'!$B$1:$U$1,Y$1)</f>
        <v>0</v>
      </c>
      <c r="Z148" s="179">
        <f>SUMIFS('recurring2_based on steps'!$B148:$AY148,'recurring2_based on steps'!$B$1:$AY$1,Z$1)+SUMIFS('changes2_based on steps'!$B148:$U148,'changes2_based on steps'!$B$1:$U$1,Z$1)</f>
        <v>0</v>
      </c>
      <c r="AA148" s="179">
        <f>SUMIFS('recurring2_based on steps'!$B148:$AY148,'recurring2_based on steps'!$B$1:$AY$1,AA$1)+SUMIFS('changes2_based on steps'!$B148:$U148,'changes2_based on steps'!$B$1:$U$1,AA$1)</f>
        <v>0</v>
      </c>
      <c r="AB148" s="179">
        <f>SUMIFS('recurring2_based on steps'!$B148:$AY148,'recurring2_based on steps'!$B$1:$AY$1,AB$1)+SUMIFS('changes2_based on steps'!$B148:$U148,'changes2_based on steps'!$B$1:$U$1,AB$1)</f>
        <v>0</v>
      </c>
      <c r="AC148" s="179">
        <f>SUMIFS('recurring2_based on steps'!$B148:$AY148,'recurring2_based on steps'!$B$1:$AY$1,AC$1)+SUMIFS('changes2_based on steps'!$B148:$U148,'changes2_based on steps'!$B$1:$U$1,AC$1)</f>
        <v>0</v>
      </c>
      <c r="AD148" s="179">
        <f>SUMIFS('recurring2_based on steps'!$B148:$AY148,'recurring2_based on steps'!$B$1:$AY$1,AD$1)+SUMIFS('changes2_based on steps'!$B148:$U148,'changes2_based on steps'!$B$1:$U$1,AD$1)</f>
        <v>0</v>
      </c>
      <c r="AE148" s="179">
        <f>SUMIFS('recurring2_based on steps'!$B148:$AY148,'recurring2_based on steps'!$B$1:$AY$1,AE$1)+SUMIFS('changes2_based on steps'!$B148:$U148,'changes2_based on steps'!$B$1:$U$1,AE$1)</f>
        <v>0</v>
      </c>
      <c r="AF148" s="179"/>
      <c r="AG148" s="179"/>
      <c r="AH148" s="179"/>
      <c r="AI148" s="179"/>
      <c r="AJ148" s="179"/>
      <c r="AK148" s="179"/>
      <c r="AL148" s="179"/>
      <c r="AM148" s="179"/>
    </row>
    <row r="149" spans="1:39" x14ac:dyDescent="0.2">
      <c r="A149" s="32">
        <f t="shared" ca="1" si="2"/>
        <v>45891</v>
      </c>
      <c r="B149" s="179">
        <f>SUMIFS('recurring2_based on steps'!$B149:$AY149,'recurring2_based on steps'!$B$1:$AY$1,B$1)+SUMIFS('changes2_based on steps'!$B149:$U149,'changes2_based on steps'!$B$1:$U$1,B$1)</f>
        <v>0</v>
      </c>
      <c r="C149" s="179">
        <f>SUMIFS('recurring2_based on steps'!$B149:$AY149,'recurring2_based on steps'!$B$1:$AY$1,C$1)+SUMIFS('changes2_based on steps'!$B149:$U149,'changes2_based on steps'!$B$1:$U$1,C$1)</f>
        <v>0</v>
      </c>
      <c r="D149" s="179">
        <f>SUMIFS('recurring2_based on steps'!$B149:$AY149,'recurring2_based on steps'!$B$1:$AY$1,D$1)+SUMIFS('changes2_based on steps'!$B149:$U149,'changes2_based on steps'!$B$1:$U$1,D$1)</f>
        <v>0</v>
      </c>
      <c r="E149" s="179">
        <f>SUMIFS('recurring2_based on steps'!$B149:$AY149,'recurring2_based on steps'!$B$1:$AY$1,E$1)+SUMIFS('changes2_based on steps'!$B149:$U149,'changes2_based on steps'!$B$1:$U$1,E$1)</f>
        <v>0</v>
      </c>
      <c r="F149" s="179">
        <f>SUMIFS('recurring2_based on steps'!$B149:$AY149,'recurring2_based on steps'!$B$1:$AY$1,F$1)+SUMIFS('changes2_based on steps'!$B149:$U149,'changes2_based on steps'!$B$1:$U$1,F$1)</f>
        <v>0</v>
      </c>
      <c r="G149" s="179">
        <f>SUMIFS('recurring2_based on steps'!$B149:$AY149,'recurring2_based on steps'!$B$1:$AY$1,G$1)+SUMIFS('changes2_based on steps'!$B149:$U149,'changes2_based on steps'!$B$1:$U$1,G$1)</f>
        <v>0</v>
      </c>
      <c r="H149" s="179">
        <f>SUMIFS('recurring2_based on steps'!$B149:$AY149,'recurring2_based on steps'!$B$1:$AY$1,H$1)+SUMIFS('changes2_based on steps'!$B149:$U149,'changes2_based on steps'!$B$1:$U$1,H$1)</f>
        <v>0</v>
      </c>
      <c r="I149" s="179">
        <f>SUMIFS('recurring2_based on steps'!$B149:$AY149,'recurring2_based on steps'!$B$1:$AY$1,I$1)+SUMIFS('changes2_based on steps'!$B149:$U149,'changes2_based on steps'!$B$1:$U$1,I$1)</f>
        <v>0</v>
      </c>
      <c r="J149" s="179">
        <f>SUMIFS('recurring2_based on steps'!$B149:$AY149,'recurring2_based on steps'!$B$1:$AY$1,J$1)+SUMIFS('changes2_based on steps'!$B149:$U149,'changes2_based on steps'!$B$1:$U$1,J$1)</f>
        <v>0</v>
      </c>
      <c r="K149" s="179">
        <f>SUMIFS('recurring2_based on steps'!$B149:$AY149,'recurring2_based on steps'!$B$1:$AY$1,K$1)+SUMIFS('changes2_based on steps'!$B149:$U149,'changes2_based on steps'!$B$1:$U$1,K$1)</f>
        <v>0</v>
      </c>
      <c r="L149" s="179">
        <f>SUMIFS('recurring2_based on steps'!$B149:$AY149,'recurring2_based on steps'!$B$1:$AY$1,L$1)+SUMIFS('changes2_based on steps'!$B149:$U149,'changes2_based on steps'!$B$1:$U$1,L$1)</f>
        <v>0</v>
      </c>
      <c r="M149" s="179">
        <f>SUMIFS('recurring2_based on steps'!$B149:$AY149,'recurring2_based on steps'!$B$1:$AY$1,M$1)+SUMIFS('changes2_based on steps'!$B149:$U149,'changes2_based on steps'!$B$1:$U$1,M$1)</f>
        <v>0</v>
      </c>
      <c r="N149" s="179">
        <f>SUMIFS('recurring2_based on steps'!$B149:$AY149,'recurring2_based on steps'!$B$1:$AY$1,N$1)+SUMIFS('changes2_based on steps'!$B149:$U149,'changes2_based on steps'!$B$1:$U$1,N$1)</f>
        <v>0</v>
      </c>
      <c r="O149" s="179">
        <f>SUMIFS('recurring2_based on steps'!$B149:$AY149,'recurring2_based on steps'!$B$1:$AY$1,O$1)+SUMIFS('changes2_based on steps'!$B149:$U149,'changes2_based on steps'!$B$1:$U$1,O$1)</f>
        <v>0</v>
      </c>
      <c r="P149" s="179">
        <f>SUMIFS('recurring2_based on steps'!$B149:$AY149,'recurring2_based on steps'!$B$1:$AY$1,P$1)+SUMIFS('changes2_based on steps'!$B149:$U149,'changes2_based on steps'!$B$1:$U$1,P$1)</f>
        <v>0</v>
      </c>
      <c r="Q149" s="179">
        <f>SUMIFS('recurring2_based on steps'!$B149:$AY149,'recurring2_based on steps'!$B$1:$AY$1,Q$1)+SUMIFS('changes2_based on steps'!$B149:$U149,'changes2_based on steps'!$B$1:$U$1,Q$1)</f>
        <v>0</v>
      </c>
      <c r="R149" s="179">
        <f>SUMIFS('recurring2_based on steps'!$B149:$AY149,'recurring2_based on steps'!$B$1:$AY$1,R$1)+SUMIFS('changes2_based on steps'!$B149:$U149,'changes2_based on steps'!$B$1:$U$1,R$1)</f>
        <v>0</v>
      </c>
      <c r="S149" s="179">
        <f>SUMIFS('recurring2_based on steps'!$B149:$AY149,'recurring2_based on steps'!$B$1:$AY$1,S$1)+SUMIFS('changes2_based on steps'!$B149:$U149,'changes2_based on steps'!$B$1:$U$1,S$1)</f>
        <v>0</v>
      </c>
      <c r="T149" s="179">
        <f>SUMIFS('recurring2_based on steps'!$B149:$AY149,'recurring2_based on steps'!$B$1:$AY$1,T$1)+SUMIFS('changes2_based on steps'!$B149:$U149,'changes2_based on steps'!$B$1:$U$1,T$1)</f>
        <v>0</v>
      </c>
      <c r="U149" s="179">
        <f>SUMIFS('recurring2_based on steps'!$B149:$AY149,'recurring2_based on steps'!$B$1:$AY$1,U$1)+SUMIFS('changes2_based on steps'!$B149:$U149,'changes2_based on steps'!$B$1:$U$1,U$1)</f>
        <v>0</v>
      </c>
      <c r="V149" s="179">
        <f>SUMIFS('recurring2_based on steps'!$B149:$AY149,'recurring2_based on steps'!$B$1:$AY$1,V$1)+SUMIFS('changes2_based on steps'!$B149:$U149,'changes2_based on steps'!$B$1:$U$1,V$1)</f>
        <v>0</v>
      </c>
      <c r="W149" s="179">
        <f>SUMIFS('recurring2_based on steps'!$B149:$AY149,'recurring2_based on steps'!$B$1:$AY$1,W$1)+SUMIFS('changes2_based on steps'!$B149:$U149,'changes2_based on steps'!$B$1:$U$1,W$1)</f>
        <v>0</v>
      </c>
      <c r="X149" s="179">
        <f>SUMIFS('recurring2_based on steps'!$B149:$AY149,'recurring2_based on steps'!$B$1:$AY$1,X$1)+SUMIFS('changes2_based on steps'!$B149:$U149,'changes2_based on steps'!$B$1:$U$1,X$1)</f>
        <v>0</v>
      </c>
      <c r="Y149" s="179">
        <f>SUMIFS('recurring2_based on steps'!$B149:$AY149,'recurring2_based on steps'!$B$1:$AY$1,Y$1)+SUMIFS('changes2_based on steps'!$B149:$U149,'changes2_based on steps'!$B$1:$U$1,Y$1)</f>
        <v>0</v>
      </c>
      <c r="Z149" s="179">
        <f>SUMIFS('recurring2_based on steps'!$B149:$AY149,'recurring2_based on steps'!$B$1:$AY$1,Z$1)+SUMIFS('changes2_based on steps'!$B149:$U149,'changes2_based on steps'!$B$1:$U$1,Z$1)</f>
        <v>0</v>
      </c>
      <c r="AA149" s="179">
        <f>SUMIFS('recurring2_based on steps'!$B149:$AY149,'recurring2_based on steps'!$B$1:$AY$1,AA$1)+SUMIFS('changes2_based on steps'!$B149:$U149,'changes2_based on steps'!$B$1:$U$1,AA$1)</f>
        <v>0</v>
      </c>
      <c r="AB149" s="179">
        <f>SUMIFS('recurring2_based on steps'!$B149:$AY149,'recurring2_based on steps'!$B$1:$AY$1,AB$1)+SUMIFS('changes2_based on steps'!$B149:$U149,'changes2_based on steps'!$B$1:$U$1,AB$1)</f>
        <v>0</v>
      </c>
      <c r="AC149" s="179">
        <f>SUMIFS('recurring2_based on steps'!$B149:$AY149,'recurring2_based on steps'!$B$1:$AY$1,AC$1)+SUMIFS('changes2_based on steps'!$B149:$U149,'changes2_based on steps'!$B$1:$U$1,AC$1)</f>
        <v>0</v>
      </c>
      <c r="AD149" s="179">
        <f>SUMIFS('recurring2_based on steps'!$B149:$AY149,'recurring2_based on steps'!$B$1:$AY$1,AD$1)+SUMIFS('changes2_based on steps'!$B149:$U149,'changes2_based on steps'!$B$1:$U$1,AD$1)</f>
        <v>0</v>
      </c>
      <c r="AE149" s="179">
        <f>SUMIFS('recurring2_based on steps'!$B149:$AY149,'recurring2_based on steps'!$B$1:$AY$1,AE$1)+SUMIFS('changes2_based on steps'!$B149:$U149,'changes2_based on steps'!$B$1:$U$1,AE$1)</f>
        <v>0</v>
      </c>
      <c r="AF149" s="179"/>
      <c r="AG149" s="179"/>
      <c r="AH149" s="179"/>
      <c r="AI149" s="179"/>
      <c r="AJ149" s="179"/>
      <c r="AK149" s="179"/>
      <c r="AL149" s="179"/>
      <c r="AM149" s="179"/>
    </row>
    <row r="150" spans="1:39" x14ac:dyDescent="0.2">
      <c r="A150" s="32">
        <f t="shared" ca="1" si="2"/>
        <v>45892</v>
      </c>
      <c r="B150" s="179">
        <f>SUMIFS('recurring2_based on steps'!$B150:$AY150,'recurring2_based on steps'!$B$1:$AY$1,B$1)+SUMIFS('changes2_based on steps'!$B150:$U150,'changes2_based on steps'!$B$1:$U$1,B$1)</f>
        <v>0</v>
      </c>
      <c r="C150" s="179">
        <f>SUMIFS('recurring2_based on steps'!$B150:$AY150,'recurring2_based on steps'!$B$1:$AY$1,C$1)+SUMIFS('changes2_based on steps'!$B150:$U150,'changes2_based on steps'!$B$1:$U$1,C$1)</f>
        <v>0</v>
      </c>
      <c r="D150" s="179">
        <f>SUMIFS('recurring2_based on steps'!$B150:$AY150,'recurring2_based on steps'!$B$1:$AY$1,D$1)+SUMIFS('changes2_based on steps'!$B150:$U150,'changes2_based on steps'!$B$1:$U$1,D$1)</f>
        <v>0</v>
      </c>
      <c r="E150" s="179">
        <f>SUMIFS('recurring2_based on steps'!$B150:$AY150,'recurring2_based on steps'!$B$1:$AY$1,E$1)+SUMIFS('changes2_based on steps'!$B150:$U150,'changes2_based on steps'!$B$1:$U$1,E$1)</f>
        <v>0</v>
      </c>
      <c r="F150" s="179">
        <f>SUMIFS('recurring2_based on steps'!$B150:$AY150,'recurring2_based on steps'!$B$1:$AY$1,F$1)+SUMIFS('changes2_based on steps'!$B150:$U150,'changes2_based on steps'!$B$1:$U$1,F$1)</f>
        <v>0</v>
      </c>
      <c r="G150" s="179">
        <f>SUMIFS('recurring2_based on steps'!$B150:$AY150,'recurring2_based on steps'!$B$1:$AY$1,G$1)+SUMIFS('changes2_based on steps'!$B150:$U150,'changes2_based on steps'!$B$1:$U$1,G$1)</f>
        <v>0</v>
      </c>
      <c r="H150" s="179">
        <f>SUMIFS('recurring2_based on steps'!$B150:$AY150,'recurring2_based on steps'!$B$1:$AY$1,H$1)+SUMIFS('changes2_based on steps'!$B150:$U150,'changes2_based on steps'!$B$1:$U$1,H$1)</f>
        <v>0</v>
      </c>
      <c r="I150" s="179">
        <f>SUMIFS('recurring2_based on steps'!$B150:$AY150,'recurring2_based on steps'!$B$1:$AY$1,I$1)+SUMIFS('changes2_based on steps'!$B150:$U150,'changes2_based on steps'!$B$1:$U$1,I$1)</f>
        <v>0</v>
      </c>
      <c r="J150" s="179">
        <f>SUMIFS('recurring2_based on steps'!$B150:$AY150,'recurring2_based on steps'!$B$1:$AY$1,J$1)+SUMIFS('changes2_based on steps'!$B150:$U150,'changes2_based on steps'!$B$1:$U$1,J$1)</f>
        <v>0</v>
      </c>
      <c r="K150" s="179">
        <f>SUMIFS('recurring2_based on steps'!$B150:$AY150,'recurring2_based on steps'!$B$1:$AY$1,K$1)+SUMIFS('changes2_based on steps'!$B150:$U150,'changes2_based on steps'!$B$1:$U$1,K$1)</f>
        <v>0</v>
      </c>
      <c r="L150" s="179">
        <f>SUMIFS('recurring2_based on steps'!$B150:$AY150,'recurring2_based on steps'!$B$1:$AY$1,L$1)+SUMIFS('changes2_based on steps'!$B150:$U150,'changes2_based on steps'!$B$1:$U$1,L$1)</f>
        <v>0</v>
      </c>
      <c r="M150" s="179">
        <f>SUMIFS('recurring2_based on steps'!$B150:$AY150,'recurring2_based on steps'!$B$1:$AY$1,M$1)+SUMIFS('changes2_based on steps'!$B150:$U150,'changes2_based on steps'!$B$1:$U$1,M$1)</f>
        <v>0</v>
      </c>
      <c r="N150" s="179">
        <f>SUMIFS('recurring2_based on steps'!$B150:$AY150,'recurring2_based on steps'!$B$1:$AY$1,N$1)+SUMIFS('changes2_based on steps'!$B150:$U150,'changes2_based on steps'!$B$1:$U$1,N$1)</f>
        <v>0</v>
      </c>
      <c r="O150" s="179">
        <f>SUMIFS('recurring2_based on steps'!$B150:$AY150,'recurring2_based on steps'!$B$1:$AY$1,O$1)+SUMIFS('changes2_based on steps'!$B150:$U150,'changes2_based on steps'!$B$1:$U$1,O$1)</f>
        <v>0</v>
      </c>
      <c r="P150" s="179">
        <f>SUMIFS('recurring2_based on steps'!$B150:$AY150,'recurring2_based on steps'!$B$1:$AY$1,P$1)+SUMIFS('changes2_based on steps'!$B150:$U150,'changes2_based on steps'!$B$1:$U$1,P$1)</f>
        <v>0</v>
      </c>
      <c r="Q150" s="179">
        <f>SUMIFS('recurring2_based on steps'!$B150:$AY150,'recurring2_based on steps'!$B$1:$AY$1,Q$1)+SUMIFS('changes2_based on steps'!$B150:$U150,'changes2_based on steps'!$B$1:$U$1,Q$1)</f>
        <v>0</v>
      </c>
      <c r="R150" s="179">
        <f>SUMIFS('recurring2_based on steps'!$B150:$AY150,'recurring2_based on steps'!$B$1:$AY$1,R$1)+SUMIFS('changes2_based on steps'!$B150:$U150,'changes2_based on steps'!$B$1:$U$1,R$1)</f>
        <v>0</v>
      </c>
      <c r="S150" s="179">
        <f>SUMIFS('recurring2_based on steps'!$B150:$AY150,'recurring2_based on steps'!$B$1:$AY$1,S$1)+SUMIFS('changes2_based on steps'!$B150:$U150,'changes2_based on steps'!$B$1:$U$1,S$1)</f>
        <v>0</v>
      </c>
      <c r="T150" s="179">
        <f>SUMIFS('recurring2_based on steps'!$B150:$AY150,'recurring2_based on steps'!$B$1:$AY$1,T$1)+SUMIFS('changes2_based on steps'!$B150:$U150,'changes2_based on steps'!$B$1:$U$1,T$1)</f>
        <v>0</v>
      </c>
      <c r="U150" s="179">
        <f>SUMIFS('recurring2_based on steps'!$B150:$AY150,'recurring2_based on steps'!$B$1:$AY$1,U$1)+SUMIFS('changes2_based on steps'!$B150:$U150,'changes2_based on steps'!$B$1:$U$1,U$1)</f>
        <v>0</v>
      </c>
      <c r="V150" s="179">
        <f>SUMIFS('recurring2_based on steps'!$B150:$AY150,'recurring2_based on steps'!$B$1:$AY$1,V$1)+SUMIFS('changes2_based on steps'!$B150:$U150,'changes2_based on steps'!$B$1:$U$1,V$1)</f>
        <v>0</v>
      </c>
      <c r="W150" s="179">
        <f>SUMIFS('recurring2_based on steps'!$B150:$AY150,'recurring2_based on steps'!$B$1:$AY$1,W$1)+SUMIFS('changes2_based on steps'!$B150:$U150,'changes2_based on steps'!$B$1:$U$1,W$1)</f>
        <v>0</v>
      </c>
      <c r="X150" s="179">
        <f>SUMIFS('recurring2_based on steps'!$B150:$AY150,'recurring2_based on steps'!$B$1:$AY$1,X$1)+SUMIFS('changes2_based on steps'!$B150:$U150,'changes2_based on steps'!$B$1:$U$1,X$1)</f>
        <v>0</v>
      </c>
      <c r="Y150" s="179">
        <f>SUMIFS('recurring2_based on steps'!$B150:$AY150,'recurring2_based on steps'!$B$1:$AY$1,Y$1)+SUMIFS('changes2_based on steps'!$B150:$U150,'changes2_based on steps'!$B$1:$U$1,Y$1)</f>
        <v>0</v>
      </c>
      <c r="Z150" s="179">
        <f>SUMIFS('recurring2_based on steps'!$B150:$AY150,'recurring2_based on steps'!$B$1:$AY$1,Z$1)+SUMIFS('changes2_based on steps'!$B150:$U150,'changes2_based on steps'!$B$1:$U$1,Z$1)</f>
        <v>0</v>
      </c>
      <c r="AA150" s="179">
        <f>SUMIFS('recurring2_based on steps'!$B150:$AY150,'recurring2_based on steps'!$B$1:$AY$1,AA$1)+SUMIFS('changes2_based on steps'!$B150:$U150,'changes2_based on steps'!$B$1:$U$1,AA$1)</f>
        <v>0</v>
      </c>
      <c r="AB150" s="179">
        <f>SUMIFS('recurring2_based on steps'!$B150:$AY150,'recurring2_based on steps'!$B$1:$AY$1,AB$1)+SUMIFS('changes2_based on steps'!$B150:$U150,'changes2_based on steps'!$B$1:$U$1,AB$1)</f>
        <v>0</v>
      </c>
      <c r="AC150" s="179">
        <f>SUMIFS('recurring2_based on steps'!$B150:$AY150,'recurring2_based on steps'!$B$1:$AY$1,AC$1)+SUMIFS('changes2_based on steps'!$B150:$U150,'changes2_based on steps'!$B$1:$U$1,AC$1)</f>
        <v>0</v>
      </c>
      <c r="AD150" s="179">
        <f>SUMIFS('recurring2_based on steps'!$B150:$AY150,'recurring2_based on steps'!$B$1:$AY$1,AD$1)+SUMIFS('changes2_based on steps'!$B150:$U150,'changes2_based on steps'!$B$1:$U$1,AD$1)</f>
        <v>0</v>
      </c>
      <c r="AE150" s="179">
        <f>SUMIFS('recurring2_based on steps'!$B150:$AY150,'recurring2_based on steps'!$B$1:$AY$1,AE$1)+SUMIFS('changes2_based on steps'!$B150:$U150,'changes2_based on steps'!$B$1:$U$1,AE$1)</f>
        <v>0</v>
      </c>
      <c r="AF150" s="179"/>
      <c r="AG150" s="179"/>
      <c r="AH150" s="179"/>
      <c r="AI150" s="179"/>
      <c r="AJ150" s="179"/>
      <c r="AK150" s="179"/>
      <c r="AL150" s="179"/>
      <c r="AM150" s="179"/>
    </row>
    <row r="151" spans="1:39" x14ac:dyDescent="0.2">
      <c r="A151" s="32">
        <f t="shared" ca="1" si="2"/>
        <v>45893</v>
      </c>
      <c r="B151" s="179">
        <f>SUMIFS('recurring2_based on steps'!$B151:$AY151,'recurring2_based on steps'!$B$1:$AY$1,B$1)+SUMIFS('changes2_based on steps'!$B151:$U151,'changes2_based on steps'!$B$1:$U$1,B$1)</f>
        <v>0</v>
      </c>
      <c r="C151" s="179">
        <f>SUMIFS('recurring2_based on steps'!$B151:$AY151,'recurring2_based on steps'!$B$1:$AY$1,C$1)+SUMIFS('changes2_based on steps'!$B151:$U151,'changes2_based on steps'!$B$1:$U$1,C$1)</f>
        <v>0</v>
      </c>
      <c r="D151" s="179">
        <f>SUMIFS('recurring2_based on steps'!$B151:$AY151,'recurring2_based on steps'!$B$1:$AY$1,D$1)+SUMIFS('changes2_based on steps'!$B151:$U151,'changes2_based on steps'!$B$1:$U$1,D$1)</f>
        <v>0</v>
      </c>
      <c r="E151" s="179">
        <f>SUMIFS('recurring2_based on steps'!$B151:$AY151,'recurring2_based on steps'!$B$1:$AY$1,E$1)+SUMIFS('changes2_based on steps'!$B151:$U151,'changes2_based on steps'!$B$1:$U$1,E$1)</f>
        <v>0</v>
      </c>
      <c r="F151" s="179">
        <f>SUMIFS('recurring2_based on steps'!$B151:$AY151,'recurring2_based on steps'!$B$1:$AY$1,F$1)+SUMIFS('changes2_based on steps'!$B151:$U151,'changes2_based on steps'!$B$1:$U$1,F$1)</f>
        <v>0</v>
      </c>
      <c r="G151" s="179">
        <f>SUMIFS('recurring2_based on steps'!$B151:$AY151,'recurring2_based on steps'!$B$1:$AY$1,G$1)+SUMIFS('changes2_based on steps'!$B151:$U151,'changes2_based on steps'!$B$1:$U$1,G$1)</f>
        <v>0</v>
      </c>
      <c r="H151" s="179">
        <f>SUMIFS('recurring2_based on steps'!$B151:$AY151,'recurring2_based on steps'!$B$1:$AY$1,H$1)+SUMIFS('changes2_based on steps'!$B151:$U151,'changes2_based on steps'!$B$1:$U$1,H$1)</f>
        <v>0</v>
      </c>
      <c r="I151" s="179">
        <f>SUMIFS('recurring2_based on steps'!$B151:$AY151,'recurring2_based on steps'!$B$1:$AY$1,I$1)+SUMIFS('changes2_based on steps'!$B151:$U151,'changes2_based on steps'!$B$1:$U$1,I$1)</f>
        <v>0</v>
      </c>
      <c r="J151" s="179">
        <f>SUMIFS('recurring2_based on steps'!$B151:$AY151,'recurring2_based on steps'!$B$1:$AY$1,J$1)+SUMIFS('changes2_based on steps'!$B151:$U151,'changes2_based on steps'!$B$1:$U$1,J$1)</f>
        <v>0</v>
      </c>
      <c r="K151" s="179">
        <f>SUMIFS('recurring2_based on steps'!$B151:$AY151,'recurring2_based on steps'!$B$1:$AY$1,K$1)+SUMIFS('changes2_based on steps'!$B151:$U151,'changes2_based on steps'!$B$1:$U$1,K$1)</f>
        <v>0</v>
      </c>
      <c r="L151" s="179">
        <f>SUMIFS('recurring2_based on steps'!$B151:$AY151,'recurring2_based on steps'!$B$1:$AY$1,L$1)+SUMIFS('changes2_based on steps'!$B151:$U151,'changes2_based on steps'!$B$1:$U$1,L$1)</f>
        <v>0</v>
      </c>
      <c r="M151" s="179">
        <f>SUMIFS('recurring2_based on steps'!$B151:$AY151,'recurring2_based on steps'!$B$1:$AY$1,M$1)+SUMIFS('changes2_based on steps'!$B151:$U151,'changes2_based on steps'!$B$1:$U$1,M$1)</f>
        <v>0</v>
      </c>
      <c r="N151" s="179">
        <f>SUMIFS('recurring2_based on steps'!$B151:$AY151,'recurring2_based on steps'!$B$1:$AY$1,N$1)+SUMIFS('changes2_based on steps'!$B151:$U151,'changes2_based on steps'!$B$1:$U$1,N$1)</f>
        <v>0</v>
      </c>
      <c r="O151" s="179">
        <f>SUMIFS('recurring2_based on steps'!$B151:$AY151,'recurring2_based on steps'!$B$1:$AY$1,O$1)+SUMIFS('changes2_based on steps'!$B151:$U151,'changes2_based on steps'!$B$1:$U$1,O$1)</f>
        <v>0</v>
      </c>
      <c r="P151" s="179">
        <f>SUMIFS('recurring2_based on steps'!$B151:$AY151,'recurring2_based on steps'!$B$1:$AY$1,P$1)+SUMIFS('changes2_based on steps'!$B151:$U151,'changes2_based on steps'!$B$1:$U$1,P$1)</f>
        <v>0</v>
      </c>
      <c r="Q151" s="179">
        <f>SUMIFS('recurring2_based on steps'!$B151:$AY151,'recurring2_based on steps'!$B$1:$AY$1,Q$1)+SUMIFS('changes2_based on steps'!$B151:$U151,'changes2_based on steps'!$B$1:$U$1,Q$1)</f>
        <v>0</v>
      </c>
      <c r="R151" s="179">
        <f>SUMIFS('recurring2_based on steps'!$B151:$AY151,'recurring2_based on steps'!$B$1:$AY$1,R$1)+SUMIFS('changes2_based on steps'!$B151:$U151,'changes2_based on steps'!$B$1:$U$1,R$1)</f>
        <v>0</v>
      </c>
      <c r="S151" s="179">
        <f>SUMIFS('recurring2_based on steps'!$B151:$AY151,'recurring2_based on steps'!$B$1:$AY$1,S$1)+SUMIFS('changes2_based on steps'!$B151:$U151,'changes2_based on steps'!$B$1:$U$1,S$1)</f>
        <v>0</v>
      </c>
      <c r="T151" s="179">
        <f>SUMIFS('recurring2_based on steps'!$B151:$AY151,'recurring2_based on steps'!$B$1:$AY$1,T$1)+SUMIFS('changes2_based on steps'!$B151:$U151,'changes2_based on steps'!$B$1:$U$1,T$1)</f>
        <v>0</v>
      </c>
      <c r="U151" s="179">
        <f>SUMIFS('recurring2_based on steps'!$B151:$AY151,'recurring2_based on steps'!$B$1:$AY$1,U$1)+SUMIFS('changes2_based on steps'!$B151:$U151,'changes2_based on steps'!$B$1:$U$1,U$1)</f>
        <v>0</v>
      </c>
      <c r="V151" s="179">
        <f>SUMIFS('recurring2_based on steps'!$B151:$AY151,'recurring2_based on steps'!$B$1:$AY$1,V$1)+SUMIFS('changes2_based on steps'!$B151:$U151,'changes2_based on steps'!$B$1:$U$1,V$1)</f>
        <v>0</v>
      </c>
      <c r="W151" s="179">
        <f>SUMIFS('recurring2_based on steps'!$B151:$AY151,'recurring2_based on steps'!$B$1:$AY$1,W$1)+SUMIFS('changes2_based on steps'!$B151:$U151,'changes2_based on steps'!$B$1:$U$1,W$1)</f>
        <v>0</v>
      </c>
      <c r="X151" s="179">
        <f>SUMIFS('recurring2_based on steps'!$B151:$AY151,'recurring2_based on steps'!$B$1:$AY$1,X$1)+SUMIFS('changes2_based on steps'!$B151:$U151,'changes2_based on steps'!$B$1:$U$1,X$1)</f>
        <v>0</v>
      </c>
      <c r="Y151" s="179">
        <f>SUMIFS('recurring2_based on steps'!$B151:$AY151,'recurring2_based on steps'!$B$1:$AY$1,Y$1)+SUMIFS('changes2_based on steps'!$B151:$U151,'changes2_based on steps'!$B$1:$U$1,Y$1)</f>
        <v>0</v>
      </c>
      <c r="Z151" s="179">
        <f>SUMIFS('recurring2_based on steps'!$B151:$AY151,'recurring2_based on steps'!$B$1:$AY$1,Z$1)+SUMIFS('changes2_based on steps'!$B151:$U151,'changes2_based on steps'!$B$1:$U$1,Z$1)</f>
        <v>0</v>
      </c>
      <c r="AA151" s="179">
        <f>SUMIFS('recurring2_based on steps'!$B151:$AY151,'recurring2_based on steps'!$B$1:$AY$1,AA$1)+SUMIFS('changes2_based on steps'!$B151:$U151,'changes2_based on steps'!$B$1:$U$1,AA$1)</f>
        <v>0</v>
      </c>
      <c r="AB151" s="179">
        <f>SUMIFS('recurring2_based on steps'!$B151:$AY151,'recurring2_based on steps'!$B$1:$AY$1,AB$1)+SUMIFS('changes2_based on steps'!$B151:$U151,'changes2_based on steps'!$B$1:$U$1,AB$1)</f>
        <v>0</v>
      </c>
      <c r="AC151" s="179">
        <f>SUMIFS('recurring2_based on steps'!$B151:$AY151,'recurring2_based on steps'!$B$1:$AY$1,AC$1)+SUMIFS('changes2_based on steps'!$B151:$U151,'changes2_based on steps'!$B$1:$U$1,AC$1)</f>
        <v>0</v>
      </c>
      <c r="AD151" s="179">
        <f>SUMIFS('recurring2_based on steps'!$B151:$AY151,'recurring2_based on steps'!$B$1:$AY$1,AD$1)+SUMIFS('changes2_based on steps'!$B151:$U151,'changes2_based on steps'!$B$1:$U$1,AD$1)</f>
        <v>0</v>
      </c>
      <c r="AE151" s="179">
        <f>SUMIFS('recurring2_based on steps'!$B151:$AY151,'recurring2_based on steps'!$B$1:$AY$1,AE$1)+SUMIFS('changes2_based on steps'!$B151:$U151,'changes2_based on steps'!$B$1:$U$1,AE$1)</f>
        <v>0</v>
      </c>
      <c r="AF151" s="179"/>
      <c r="AG151" s="179"/>
      <c r="AH151" s="179"/>
      <c r="AI151" s="179"/>
      <c r="AJ151" s="179"/>
      <c r="AK151" s="179"/>
      <c r="AL151" s="179"/>
      <c r="AM151" s="179"/>
    </row>
    <row r="152" spans="1:39" x14ac:dyDescent="0.2">
      <c r="A152" s="32">
        <f t="shared" ca="1" si="2"/>
        <v>45894</v>
      </c>
      <c r="B152" s="179">
        <f>SUMIFS('recurring2_based on steps'!$B152:$AY152,'recurring2_based on steps'!$B$1:$AY$1,B$1)+SUMIFS('changes2_based on steps'!$B152:$U152,'changes2_based on steps'!$B$1:$U$1,B$1)</f>
        <v>0</v>
      </c>
      <c r="C152" s="179">
        <f>SUMIFS('recurring2_based on steps'!$B152:$AY152,'recurring2_based on steps'!$B$1:$AY$1,C$1)+SUMIFS('changes2_based on steps'!$B152:$U152,'changes2_based on steps'!$B$1:$U$1,C$1)</f>
        <v>0</v>
      </c>
      <c r="D152" s="179">
        <f>SUMIFS('recurring2_based on steps'!$B152:$AY152,'recurring2_based on steps'!$B$1:$AY$1,D$1)+SUMIFS('changes2_based on steps'!$B152:$U152,'changes2_based on steps'!$B$1:$U$1,D$1)</f>
        <v>0</v>
      </c>
      <c r="E152" s="179">
        <f>SUMIFS('recurring2_based on steps'!$B152:$AY152,'recurring2_based on steps'!$B$1:$AY$1,E$1)+SUMIFS('changes2_based on steps'!$B152:$U152,'changes2_based on steps'!$B$1:$U$1,E$1)</f>
        <v>0</v>
      </c>
      <c r="F152" s="179">
        <f>SUMIFS('recurring2_based on steps'!$B152:$AY152,'recurring2_based on steps'!$B$1:$AY$1,F$1)+SUMIFS('changes2_based on steps'!$B152:$U152,'changes2_based on steps'!$B$1:$U$1,F$1)</f>
        <v>0</v>
      </c>
      <c r="G152" s="179">
        <f>SUMIFS('recurring2_based on steps'!$B152:$AY152,'recurring2_based on steps'!$B$1:$AY$1,G$1)+SUMIFS('changes2_based on steps'!$B152:$U152,'changes2_based on steps'!$B$1:$U$1,G$1)</f>
        <v>0</v>
      </c>
      <c r="H152" s="179">
        <f>SUMIFS('recurring2_based on steps'!$B152:$AY152,'recurring2_based on steps'!$B$1:$AY$1,H$1)+SUMIFS('changes2_based on steps'!$B152:$U152,'changes2_based on steps'!$B$1:$U$1,H$1)</f>
        <v>0</v>
      </c>
      <c r="I152" s="179">
        <f>SUMIFS('recurring2_based on steps'!$B152:$AY152,'recurring2_based on steps'!$B$1:$AY$1,I$1)+SUMIFS('changes2_based on steps'!$B152:$U152,'changes2_based on steps'!$B$1:$U$1,I$1)</f>
        <v>0</v>
      </c>
      <c r="J152" s="179">
        <f>SUMIFS('recurring2_based on steps'!$B152:$AY152,'recurring2_based on steps'!$B$1:$AY$1,J$1)+SUMIFS('changes2_based on steps'!$B152:$U152,'changes2_based on steps'!$B$1:$U$1,J$1)</f>
        <v>0</v>
      </c>
      <c r="K152" s="179">
        <f>SUMIFS('recurring2_based on steps'!$B152:$AY152,'recurring2_based on steps'!$B$1:$AY$1,K$1)+SUMIFS('changes2_based on steps'!$B152:$U152,'changes2_based on steps'!$B$1:$U$1,K$1)</f>
        <v>0</v>
      </c>
      <c r="L152" s="179">
        <f>SUMIFS('recurring2_based on steps'!$B152:$AY152,'recurring2_based on steps'!$B$1:$AY$1,L$1)+SUMIFS('changes2_based on steps'!$B152:$U152,'changes2_based on steps'!$B$1:$U$1,L$1)</f>
        <v>0</v>
      </c>
      <c r="M152" s="179">
        <f>SUMIFS('recurring2_based on steps'!$B152:$AY152,'recurring2_based on steps'!$B$1:$AY$1,M$1)+SUMIFS('changes2_based on steps'!$B152:$U152,'changes2_based on steps'!$B$1:$U$1,M$1)</f>
        <v>0</v>
      </c>
      <c r="N152" s="179">
        <f>SUMIFS('recurring2_based on steps'!$B152:$AY152,'recurring2_based on steps'!$B$1:$AY$1,N$1)+SUMIFS('changes2_based on steps'!$B152:$U152,'changes2_based on steps'!$B$1:$U$1,N$1)</f>
        <v>0</v>
      </c>
      <c r="O152" s="179">
        <f>SUMIFS('recurring2_based on steps'!$B152:$AY152,'recurring2_based on steps'!$B$1:$AY$1,O$1)+SUMIFS('changes2_based on steps'!$B152:$U152,'changes2_based on steps'!$B$1:$U$1,O$1)</f>
        <v>0</v>
      </c>
      <c r="P152" s="179">
        <f>SUMIFS('recurring2_based on steps'!$B152:$AY152,'recurring2_based on steps'!$B$1:$AY$1,P$1)+SUMIFS('changes2_based on steps'!$B152:$U152,'changes2_based on steps'!$B$1:$U$1,P$1)</f>
        <v>0</v>
      </c>
      <c r="Q152" s="179">
        <f>SUMIFS('recurring2_based on steps'!$B152:$AY152,'recurring2_based on steps'!$B$1:$AY$1,Q$1)+SUMIFS('changes2_based on steps'!$B152:$U152,'changes2_based on steps'!$B$1:$U$1,Q$1)</f>
        <v>0</v>
      </c>
      <c r="R152" s="179">
        <f>SUMIFS('recurring2_based on steps'!$B152:$AY152,'recurring2_based on steps'!$B$1:$AY$1,R$1)+SUMIFS('changes2_based on steps'!$B152:$U152,'changes2_based on steps'!$B$1:$U$1,R$1)</f>
        <v>0</v>
      </c>
      <c r="S152" s="179">
        <f>SUMIFS('recurring2_based on steps'!$B152:$AY152,'recurring2_based on steps'!$B$1:$AY$1,S$1)+SUMIFS('changes2_based on steps'!$B152:$U152,'changes2_based on steps'!$B$1:$U$1,S$1)</f>
        <v>0</v>
      </c>
      <c r="T152" s="179">
        <f>SUMIFS('recurring2_based on steps'!$B152:$AY152,'recurring2_based on steps'!$B$1:$AY$1,T$1)+SUMIFS('changes2_based on steps'!$B152:$U152,'changes2_based on steps'!$B$1:$U$1,T$1)</f>
        <v>0</v>
      </c>
      <c r="U152" s="179">
        <f>SUMIFS('recurring2_based on steps'!$B152:$AY152,'recurring2_based on steps'!$B$1:$AY$1,U$1)+SUMIFS('changes2_based on steps'!$B152:$U152,'changes2_based on steps'!$B$1:$U$1,U$1)</f>
        <v>0</v>
      </c>
      <c r="V152" s="179">
        <f>SUMIFS('recurring2_based on steps'!$B152:$AY152,'recurring2_based on steps'!$B$1:$AY$1,V$1)+SUMIFS('changes2_based on steps'!$B152:$U152,'changes2_based on steps'!$B$1:$U$1,V$1)</f>
        <v>0</v>
      </c>
      <c r="W152" s="179">
        <f>SUMIFS('recurring2_based on steps'!$B152:$AY152,'recurring2_based on steps'!$B$1:$AY$1,W$1)+SUMIFS('changes2_based on steps'!$B152:$U152,'changes2_based on steps'!$B$1:$U$1,W$1)</f>
        <v>0</v>
      </c>
      <c r="X152" s="179">
        <f>SUMIFS('recurring2_based on steps'!$B152:$AY152,'recurring2_based on steps'!$B$1:$AY$1,X$1)+SUMIFS('changes2_based on steps'!$B152:$U152,'changes2_based on steps'!$B$1:$U$1,X$1)</f>
        <v>0</v>
      </c>
      <c r="Y152" s="179">
        <f>SUMIFS('recurring2_based on steps'!$B152:$AY152,'recurring2_based on steps'!$B$1:$AY$1,Y$1)+SUMIFS('changes2_based on steps'!$B152:$U152,'changes2_based on steps'!$B$1:$U$1,Y$1)</f>
        <v>0</v>
      </c>
      <c r="Z152" s="179">
        <f>SUMIFS('recurring2_based on steps'!$B152:$AY152,'recurring2_based on steps'!$B$1:$AY$1,Z$1)+SUMIFS('changes2_based on steps'!$B152:$U152,'changes2_based on steps'!$B$1:$U$1,Z$1)</f>
        <v>0</v>
      </c>
      <c r="AA152" s="179">
        <f>SUMIFS('recurring2_based on steps'!$B152:$AY152,'recurring2_based on steps'!$B$1:$AY$1,AA$1)+SUMIFS('changes2_based on steps'!$B152:$U152,'changes2_based on steps'!$B$1:$U$1,AA$1)</f>
        <v>0</v>
      </c>
      <c r="AB152" s="179">
        <f>SUMIFS('recurring2_based on steps'!$B152:$AY152,'recurring2_based on steps'!$B$1:$AY$1,AB$1)+SUMIFS('changes2_based on steps'!$B152:$U152,'changes2_based on steps'!$B$1:$U$1,AB$1)</f>
        <v>0</v>
      </c>
      <c r="AC152" s="179">
        <f>SUMIFS('recurring2_based on steps'!$B152:$AY152,'recurring2_based on steps'!$B$1:$AY$1,AC$1)+SUMIFS('changes2_based on steps'!$B152:$U152,'changes2_based on steps'!$B$1:$U$1,AC$1)</f>
        <v>0</v>
      </c>
      <c r="AD152" s="179">
        <f>SUMIFS('recurring2_based on steps'!$B152:$AY152,'recurring2_based on steps'!$B$1:$AY$1,AD$1)+SUMIFS('changes2_based on steps'!$B152:$U152,'changes2_based on steps'!$B$1:$U$1,AD$1)</f>
        <v>0</v>
      </c>
      <c r="AE152" s="179">
        <f>SUMIFS('recurring2_based on steps'!$B152:$AY152,'recurring2_based on steps'!$B$1:$AY$1,AE$1)+SUMIFS('changes2_based on steps'!$B152:$U152,'changes2_based on steps'!$B$1:$U$1,AE$1)</f>
        <v>0</v>
      </c>
      <c r="AF152" s="179"/>
      <c r="AG152" s="179"/>
      <c r="AH152" s="179"/>
      <c r="AI152" s="179"/>
      <c r="AJ152" s="179"/>
      <c r="AK152" s="179"/>
      <c r="AL152" s="179"/>
      <c r="AM152" s="179"/>
    </row>
    <row r="153" spans="1:39" x14ac:dyDescent="0.2">
      <c r="A153" s="32">
        <f t="shared" ca="1" si="2"/>
        <v>45895</v>
      </c>
      <c r="B153" s="179">
        <f>SUMIFS('recurring2_based on steps'!$B153:$AY153,'recurring2_based on steps'!$B$1:$AY$1,B$1)+SUMIFS('changes2_based on steps'!$B153:$U153,'changes2_based on steps'!$B$1:$U$1,B$1)</f>
        <v>0</v>
      </c>
      <c r="C153" s="179">
        <f>SUMIFS('recurring2_based on steps'!$B153:$AY153,'recurring2_based on steps'!$B$1:$AY$1,C$1)+SUMIFS('changes2_based on steps'!$B153:$U153,'changes2_based on steps'!$B$1:$U$1,C$1)</f>
        <v>0</v>
      </c>
      <c r="D153" s="179">
        <f>SUMIFS('recurring2_based on steps'!$B153:$AY153,'recurring2_based on steps'!$B$1:$AY$1,D$1)+SUMIFS('changes2_based on steps'!$B153:$U153,'changes2_based on steps'!$B$1:$U$1,D$1)</f>
        <v>0</v>
      </c>
      <c r="E153" s="179">
        <f>SUMIFS('recurring2_based on steps'!$B153:$AY153,'recurring2_based on steps'!$B$1:$AY$1,E$1)+SUMIFS('changes2_based on steps'!$B153:$U153,'changes2_based on steps'!$B$1:$U$1,E$1)</f>
        <v>0</v>
      </c>
      <c r="F153" s="179">
        <f>SUMIFS('recurring2_based on steps'!$B153:$AY153,'recurring2_based on steps'!$B$1:$AY$1,F$1)+SUMIFS('changes2_based on steps'!$B153:$U153,'changes2_based on steps'!$B$1:$U$1,F$1)</f>
        <v>0</v>
      </c>
      <c r="G153" s="179">
        <f>SUMIFS('recurring2_based on steps'!$B153:$AY153,'recurring2_based on steps'!$B$1:$AY$1,G$1)+SUMIFS('changes2_based on steps'!$B153:$U153,'changes2_based on steps'!$B$1:$U$1,G$1)</f>
        <v>0</v>
      </c>
      <c r="H153" s="179">
        <f>SUMIFS('recurring2_based on steps'!$B153:$AY153,'recurring2_based on steps'!$B$1:$AY$1,H$1)+SUMIFS('changes2_based on steps'!$B153:$U153,'changes2_based on steps'!$B$1:$U$1,H$1)</f>
        <v>0</v>
      </c>
      <c r="I153" s="179">
        <f>SUMIFS('recurring2_based on steps'!$B153:$AY153,'recurring2_based on steps'!$B$1:$AY$1,I$1)+SUMIFS('changes2_based on steps'!$B153:$U153,'changes2_based on steps'!$B$1:$U$1,I$1)</f>
        <v>0</v>
      </c>
      <c r="J153" s="179">
        <f>SUMIFS('recurring2_based on steps'!$B153:$AY153,'recurring2_based on steps'!$B$1:$AY$1,J$1)+SUMIFS('changes2_based on steps'!$B153:$U153,'changes2_based on steps'!$B$1:$U$1,J$1)</f>
        <v>0</v>
      </c>
      <c r="K153" s="179">
        <f>SUMIFS('recurring2_based on steps'!$B153:$AY153,'recurring2_based on steps'!$B$1:$AY$1,K$1)+SUMIFS('changes2_based on steps'!$B153:$U153,'changes2_based on steps'!$B$1:$U$1,K$1)</f>
        <v>0</v>
      </c>
      <c r="L153" s="179">
        <f>SUMIFS('recurring2_based on steps'!$B153:$AY153,'recurring2_based on steps'!$B$1:$AY$1,L$1)+SUMIFS('changes2_based on steps'!$B153:$U153,'changes2_based on steps'!$B$1:$U$1,L$1)</f>
        <v>0</v>
      </c>
      <c r="M153" s="179">
        <f>SUMIFS('recurring2_based on steps'!$B153:$AY153,'recurring2_based on steps'!$B$1:$AY$1,M$1)+SUMIFS('changes2_based on steps'!$B153:$U153,'changes2_based on steps'!$B$1:$U$1,M$1)</f>
        <v>0</v>
      </c>
      <c r="N153" s="179">
        <f>SUMIFS('recurring2_based on steps'!$B153:$AY153,'recurring2_based on steps'!$B$1:$AY$1,N$1)+SUMIFS('changes2_based on steps'!$B153:$U153,'changes2_based on steps'!$B$1:$U$1,N$1)</f>
        <v>0</v>
      </c>
      <c r="O153" s="179">
        <f>SUMIFS('recurring2_based on steps'!$B153:$AY153,'recurring2_based on steps'!$B$1:$AY$1,O$1)+SUMIFS('changes2_based on steps'!$B153:$U153,'changes2_based on steps'!$B$1:$U$1,O$1)</f>
        <v>0</v>
      </c>
      <c r="P153" s="179">
        <f>SUMIFS('recurring2_based on steps'!$B153:$AY153,'recurring2_based on steps'!$B$1:$AY$1,P$1)+SUMIFS('changes2_based on steps'!$B153:$U153,'changes2_based on steps'!$B$1:$U$1,P$1)</f>
        <v>0</v>
      </c>
      <c r="Q153" s="179">
        <f>SUMIFS('recurring2_based on steps'!$B153:$AY153,'recurring2_based on steps'!$B$1:$AY$1,Q$1)+SUMIFS('changes2_based on steps'!$B153:$U153,'changes2_based on steps'!$B$1:$U$1,Q$1)</f>
        <v>0</v>
      </c>
      <c r="R153" s="179">
        <f>SUMIFS('recurring2_based on steps'!$B153:$AY153,'recurring2_based on steps'!$B$1:$AY$1,R$1)+SUMIFS('changes2_based on steps'!$B153:$U153,'changes2_based on steps'!$B$1:$U$1,R$1)</f>
        <v>0</v>
      </c>
      <c r="S153" s="179">
        <f>SUMIFS('recurring2_based on steps'!$B153:$AY153,'recurring2_based on steps'!$B$1:$AY$1,S$1)+SUMIFS('changes2_based on steps'!$B153:$U153,'changes2_based on steps'!$B$1:$U$1,S$1)</f>
        <v>0</v>
      </c>
      <c r="T153" s="179">
        <f>SUMIFS('recurring2_based on steps'!$B153:$AY153,'recurring2_based on steps'!$B$1:$AY$1,T$1)+SUMIFS('changes2_based on steps'!$B153:$U153,'changes2_based on steps'!$B$1:$U$1,T$1)</f>
        <v>0</v>
      </c>
      <c r="U153" s="179">
        <f>SUMIFS('recurring2_based on steps'!$B153:$AY153,'recurring2_based on steps'!$B$1:$AY$1,U$1)+SUMIFS('changes2_based on steps'!$B153:$U153,'changes2_based on steps'!$B$1:$U$1,U$1)</f>
        <v>0</v>
      </c>
      <c r="V153" s="179">
        <f>SUMIFS('recurring2_based on steps'!$B153:$AY153,'recurring2_based on steps'!$B$1:$AY$1,V$1)+SUMIFS('changes2_based on steps'!$B153:$U153,'changes2_based on steps'!$B$1:$U$1,V$1)</f>
        <v>0</v>
      </c>
      <c r="W153" s="179">
        <f>SUMIFS('recurring2_based on steps'!$B153:$AY153,'recurring2_based on steps'!$B$1:$AY$1,W$1)+SUMIFS('changes2_based on steps'!$B153:$U153,'changes2_based on steps'!$B$1:$U$1,W$1)</f>
        <v>0</v>
      </c>
      <c r="X153" s="179">
        <f>SUMIFS('recurring2_based on steps'!$B153:$AY153,'recurring2_based on steps'!$B$1:$AY$1,X$1)+SUMIFS('changes2_based on steps'!$B153:$U153,'changes2_based on steps'!$B$1:$U$1,X$1)</f>
        <v>0</v>
      </c>
      <c r="Y153" s="179">
        <f>SUMIFS('recurring2_based on steps'!$B153:$AY153,'recurring2_based on steps'!$B$1:$AY$1,Y$1)+SUMIFS('changes2_based on steps'!$B153:$U153,'changes2_based on steps'!$B$1:$U$1,Y$1)</f>
        <v>0</v>
      </c>
      <c r="Z153" s="179">
        <f>SUMIFS('recurring2_based on steps'!$B153:$AY153,'recurring2_based on steps'!$B$1:$AY$1,Z$1)+SUMIFS('changes2_based on steps'!$B153:$U153,'changes2_based on steps'!$B$1:$U$1,Z$1)</f>
        <v>0</v>
      </c>
      <c r="AA153" s="179">
        <f>SUMIFS('recurring2_based on steps'!$B153:$AY153,'recurring2_based on steps'!$B$1:$AY$1,AA$1)+SUMIFS('changes2_based on steps'!$B153:$U153,'changes2_based on steps'!$B$1:$U$1,AA$1)</f>
        <v>0</v>
      </c>
      <c r="AB153" s="179">
        <f>SUMIFS('recurring2_based on steps'!$B153:$AY153,'recurring2_based on steps'!$B$1:$AY$1,AB$1)+SUMIFS('changes2_based on steps'!$B153:$U153,'changes2_based on steps'!$B$1:$U$1,AB$1)</f>
        <v>0</v>
      </c>
      <c r="AC153" s="179">
        <f>SUMIFS('recurring2_based on steps'!$B153:$AY153,'recurring2_based on steps'!$B$1:$AY$1,AC$1)+SUMIFS('changes2_based on steps'!$B153:$U153,'changes2_based on steps'!$B$1:$U$1,AC$1)</f>
        <v>0</v>
      </c>
      <c r="AD153" s="179">
        <f>SUMIFS('recurring2_based on steps'!$B153:$AY153,'recurring2_based on steps'!$B$1:$AY$1,AD$1)+SUMIFS('changes2_based on steps'!$B153:$U153,'changes2_based on steps'!$B$1:$U$1,AD$1)</f>
        <v>0</v>
      </c>
      <c r="AE153" s="179">
        <f>SUMIFS('recurring2_based on steps'!$B153:$AY153,'recurring2_based on steps'!$B$1:$AY$1,AE$1)+SUMIFS('changes2_based on steps'!$B153:$U153,'changes2_based on steps'!$B$1:$U$1,AE$1)</f>
        <v>0</v>
      </c>
      <c r="AF153" s="179"/>
      <c r="AG153" s="179"/>
      <c r="AH153" s="179"/>
      <c r="AI153" s="179"/>
      <c r="AJ153" s="179"/>
      <c r="AK153" s="179"/>
      <c r="AL153" s="179"/>
      <c r="AM153" s="179"/>
    </row>
    <row r="154" spans="1:39" x14ac:dyDescent="0.2">
      <c r="A154" s="32">
        <f t="shared" ca="1" si="2"/>
        <v>45896</v>
      </c>
      <c r="B154" s="179">
        <f>SUMIFS('recurring2_based on steps'!$B154:$AY154,'recurring2_based on steps'!$B$1:$AY$1,B$1)+SUMIFS('changes2_based on steps'!$B154:$U154,'changes2_based on steps'!$B$1:$U$1,B$1)</f>
        <v>0</v>
      </c>
      <c r="C154" s="179">
        <f>SUMIFS('recurring2_based on steps'!$B154:$AY154,'recurring2_based on steps'!$B$1:$AY$1,C$1)+SUMIFS('changes2_based on steps'!$B154:$U154,'changes2_based on steps'!$B$1:$U$1,C$1)</f>
        <v>0</v>
      </c>
      <c r="D154" s="179">
        <f>SUMIFS('recurring2_based on steps'!$B154:$AY154,'recurring2_based on steps'!$B$1:$AY$1,D$1)+SUMIFS('changes2_based on steps'!$B154:$U154,'changes2_based on steps'!$B$1:$U$1,D$1)</f>
        <v>0</v>
      </c>
      <c r="E154" s="179">
        <f>SUMIFS('recurring2_based on steps'!$B154:$AY154,'recurring2_based on steps'!$B$1:$AY$1,E$1)+SUMIFS('changes2_based on steps'!$B154:$U154,'changes2_based on steps'!$B$1:$U$1,E$1)</f>
        <v>0</v>
      </c>
      <c r="F154" s="179">
        <f>SUMIFS('recurring2_based on steps'!$B154:$AY154,'recurring2_based on steps'!$B$1:$AY$1,F$1)+SUMIFS('changes2_based on steps'!$B154:$U154,'changes2_based on steps'!$B$1:$U$1,F$1)</f>
        <v>0</v>
      </c>
      <c r="G154" s="179">
        <f>SUMIFS('recurring2_based on steps'!$B154:$AY154,'recurring2_based on steps'!$B$1:$AY$1,G$1)+SUMIFS('changes2_based on steps'!$B154:$U154,'changes2_based on steps'!$B$1:$U$1,G$1)</f>
        <v>0</v>
      </c>
      <c r="H154" s="179">
        <f>SUMIFS('recurring2_based on steps'!$B154:$AY154,'recurring2_based on steps'!$B$1:$AY$1,H$1)+SUMIFS('changes2_based on steps'!$B154:$U154,'changes2_based on steps'!$B$1:$U$1,H$1)</f>
        <v>0</v>
      </c>
      <c r="I154" s="179">
        <f>SUMIFS('recurring2_based on steps'!$B154:$AY154,'recurring2_based on steps'!$B$1:$AY$1,I$1)+SUMIFS('changes2_based on steps'!$B154:$U154,'changes2_based on steps'!$B$1:$U$1,I$1)</f>
        <v>0</v>
      </c>
      <c r="J154" s="179">
        <f>SUMIFS('recurring2_based on steps'!$B154:$AY154,'recurring2_based on steps'!$B$1:$AY$1,J$1)+SUMIFS('changes2_based on steps'!$B154:$U154,'changes2_based on steps'!$B$1:$U$1,J$1)</f>
        <v>0</v>
      </c>
      <c r="K154" s="179">
        <f>SUMIFS('recurring2_based on steps'!$B154:$AY154,'recurring2_based on steps'!$B$1:$AY$1,K$1)+SUMIFS('changes2_based on steps'!$B154:$U154,'changes2_based on steps'!$B$1:$U$1,K$1)</f>
        <v>0</v>
      </c>
      <c r="L154" s="179">
        <f>SUMIFS('recurring2_based on steps'!$B154:$AY154,'recurring2_based on steps'!$B$1:$AY$1,L$1)+SUMIFS('changes2_based on steps'!$B154:$U154,'changes2_based on steps'!$B$1:$U$1,L$1)</f>
        <v>0</v>
      </c>
      <c r="M154" s="179">
        <f>SUMIFS('recurring2_based on steps'!$B154:$AY154,'recurring2_based on steps'!$B$1:$AY$1,M$1)+SUMIFS('changes2_based on steps'!$B154:$U154,'changes2_based on steps'!$B$1:$U$1,M$1)</f>
        <v>0</v>
      </c>
      <c r="N154" s="179">
        <f>SUMIFS('recurring2_based on steps'!$B154:$AY154,'recurring2_based on steps'!$B$1:$AY$1,N$1)+SUMIFS('changes2_based on steps'!$B154:$U154,'changes2_based on steps'!$B$1:$U$1,N$1)</f>
        <v>0</v>
      </c>
      <c r="O154" s="179">
        <f>SUMIFS('recurring2_based on steps'!$B154:$AY154,'recurring2_based on steps'!$B$1:$AY$1,O$1)+SUMIFS('changes2_based on steps'!$B154:$U154,'changes2_based on steps'!$B$1:$U$1,O$1)</f>
        <v>0</v>
      </c>
      <c r="P154" s="179">
        <f>SUMIFS('recurring2_based on steps'!$B154:$AY154,'recurring2_based on steps'!$B$1:$AY$1,P$1)+SUMIFS('changes2_based on steps'!$B154:$U154,'changes2_based on steps'!$B$1:$U$1,P$1)</f>
        <v>0</v>
      </c>
      <c r="Q154" s="179">
        <f>SUMIFS('recurring2_based on steps'!$B154:$AY154,'recurring2_based on steps'!$B$1:$AY$1,Q$1)+SUMIFS('changes2_based on steps'!$B154:$U154,'changes2_based on steps'!$B$1:$U$1,Q$1)</f>
        <v>0</v>
      </c>
      <c r="R154" s="179">
        <f>SUMIFS('recurring2_based on steps'!$B154:$AY154,'recurring2_based on steps'!$B$1:$AY$1,R$1)+SUMIFS('changes2_based on steps'!$B154:$U154,'changes2_based on steps'!$B$1:$U$1,R$1)</f>
        <v>0</v>
      </c>
      <c r="S154" s="179">
        <f>SUMIFS('recurring2_based on steps'!$B154:$AY154,'recurring2_based on steps'!$B$1:$AY$1,S$1)+SUMIFS('changes2_based on steps'!$B154:$U154,'changes2_based on steps'!$B$1:$U$1,S$1)</f>
        <v>0</v>
      </c>
      <c r="T154" s="179">
        <f>SUMIFS('recurring2_based on steps'!$B154:$AY154,'recurring2_based on steps'!$B$1:$AY$1,T$1)+SUMIFS('changes2_based on steps'!$B154:$U154,'changes2_based on steps'!$B$1:$U$1,T$1)</f>
        <v>0</v>
      </c>
      <c r="U154" s="179">
        <f>SUMIFS('recurring2_based on steps'!$B154:$AY154,'recurring2_based on steps'!$B$1:$AY$1,U$1)+SUMIFS('changes2_based on steps'!$B154:$U154,'changes2_based on steps'!$B$1:$U$1,U$1)</f>
        <v>0</v>
      </c>
      <c r="V154" s="179">
        <f>SUMIFS('recurring2_based on steps'!$B154:$AY154,'recurring2_based on steps'!$B$1:$AY$1,V$1)+SUMIFS('changes2_based on steps'!$B154:$U154,'changes2_based on steps'!$B$1:$U$1,V$1)</f>
        <v>0</v>
      </c>
      <c r="W154" s="179">
        <f>SUMIFS('recurring2_based on steps'!$B154:$AY154,'recurring2_based on steps'!$B$1:$AY$1,W$1)+SUMIFS('changes2_based on steps'!$B154:$U154,'changes2_based on steps'!$B$1:$U$1,W$1)</f>
        <v>0</v>
      </c>
      <c r="X154" s="179">
        <f>SUMIFS('recurring2_based on steps'!$B154:$AY154,'recurring2_based on steps'!$B$1:$AY$1,X$1)+SUMIFS('changes2_based on steps'!$B154:$U154,'changes2_based on steps'!$B$1:$U$1,X$1)</f>
        <v>0</v>
      </c>
      <c r="Y154" s="179">
        <f>SUMIFS('recurring2_based on steps'!$B154:$AY154,'recurring2_based on steps'!$B$1:$AY$1,Y$1)+SUMIFS('changes2_based on steps'!$B154:$U154,'changes2_based on steps'!$B$1:$U$1,Y$1)</f>
        <v>0</v>
      </c>
      <c r="Z154" s="179">
        <f>SUMIFS('recurring2_based on steps'!$B154:$AY154,'recurring2_based on steps'!$B$1:$AY$1,Z$1)+SUMIFS('changes2_based on steps'!$B154:$U154,'changes2_based on steps'!$B$1:$U$1,Z$1)</f>
        <v>0</v>
      </c>
      <c r="AA154" s="179">
        <f>SUMIFS('recurring2_based on steps'!$B154:$AY154,'recurring2_based on steps'!$B$1:$AY$1,AA$1)+SUMIFS('changes2_based on steps'!$B154:$U154,'changes2_based on steps'!$B$1:$U$1,AA$1)</f>
        <v>0</v>
      </c>
      <c r="AB154" s="179">
        <f>SUMIFS('recurring2_based on steps'!$B154:$AY154,'recurring2_based on steps'!$B$1:$AY$1,AB$1)+SUMIFS('changes2_based on steps'!$B154:$U154,'changes2_based on steps'!$B$1:$U$1,AB$1)</f>
        <v>0</v>
      </c>
      <c r="AC154" s="179">
        <f>SUMIFS('recurring2_based on steps'!$B154:$AY154,'recurring2_based on steps'!$B$1:$AY$1,AC$1)+SUMIFS('changes2_based on steps'!$B154:$U154,'changes2_based on steps'!$B$1:$U$1,AC$1)</f>
        <v>0</v>
      </c>
      <c r="AD154" s="179">
        <f>SUMIFS('recurring2_based on steps'!$B154:$AY154,'recurring2_based on steps'!$B$1:$AY$1,AD$1)+SUMIFS('changes2_based on steps'!$B154:$U154,'changes2_based on steps'!$B$1:$U$1,AD$1)</f>
        <v>0</v>
      </c>
      <c r="AE154" s="179">
        <f>SUMIFS('recurring2_based on steps'!$B154:$AY154,'recurring2_based on steps'!$B$1:$AY$1,AE$1)+SUMIFS('changes2_based on steps'!$B154:$U154,'changes2_based on steps'!$B$1:$U$1,AE$1)</f>
        <v>0</v>
      </c>
      <c r="AF154" s="179"/>
      <c r="AG154" s="179"/>
      <c r="AH154" s="179"/>
      <c r="AI154" s="179"/>
      <c r="AJ154" s="179"/>
      <c r="AK154" s="179"/>
      <c r="AL154" s="179"/>
      <c r="AM154" s="179"/>
    </row>
    <row r="155" spans="1:39" x14ac:dyDescent="0.2">
      <c r="A155" s="32">
        <f t="shared" ca="1" si="2"/>
        <v>45897</v>
      </c>
      <c r="B155" s="179">
        <f>SUMIFS('recurring2_based on steps'!$B155:$AY155,'recurring2_based on steps'!$B$1:$AY$1,B$1)+SUMIFS('changes2_based on steps'!$B155:$U155,'changes2_based on steps'!$B$1:$U$1,B$1)</f>
        <v>0</v>
      </c>
      <c r="C155" s="179">
        <f>SUMIFS('recurring2_based on steps'!$B155:$AY155,'recurring2_based on steps'!$B$1:$AY$1,C$1)+SUMIFS('changes2_based on steps'!$B155:$U155,'changes2_based on steps'!$B$1:$U$1,C$1)</f>
        <v>0</v>
      </c>
      <c r="D155" s="179">
        <f>SUMIFS('recurring2_based on steps'!$B155:$AY155,'recurring2_based on steps'!$B$1:$AY$1,D$1)+SUMIFS('changes2_based on steps'!$B155:$U155,'changes2_based on steps'!$B$1:$U$1,D$1)</f>
        <v>0</v>
      </c>
      <c r="E155" s="179">
        <f>SUMIFS('recurring2_based on steps'!$B155:$AY155,'recurring2_based on steps'!$B$1:$AY$1,E$1)+SUMIFS('changes2_based on steps'!$B155:$U155,'changes2_based on steps'!$B$1:$U$1,E$1)</f>
        <v>0</v>
      </c>
      <c r="F155" s="179">
        <f>SUMIFS('recurring2_based on steps'!$B155:$AY155,'recurring2_based on steps'!$B$1:$AY$1,F$1)+SUMIFS('changes2_based on steps'!$B155:$U155,'changes2_based on steps'!$B$1:$U$1,F$1)</f>
        <v>0</v>
      </c>
      <c r="G155" s="179">
        <f>SUMIFS('recurring2_based on steps'!$B155:$AY155,'recurring2_based on steps'!$B$1:$AY$1,G$1)+SUMIFS('changes2_based on steps'!$B155:$U155,'changes2_based on steps'!$B$1:$U$1,G$1)</f>
        <v>0</v>
      </c>
      <c r="H155" s="179">
        <f>SUMIFS('recurring2_based on steps'!$B155:$AY155,'recurring2_based on steps'!$B$1:$AY$1,H$1)+SUMIFS('changes2_based on steps'!$B155:$U155,'changes2_based on steps'!$B$1:$U$1,H$1)</f>
        <v>0</v>
      </c>
      <c r="I155" s="179">
        <f>SUMIFS('recurring2_based on steps'!$B155:$AY155,'recurring2_based on steps'!$B$1:$AY$1,I$1)+SUMIFS('changes2_based on steps'!$B155:$U155,'changes2_based on steps'!$B$1:$U$1,I$1)</f>
        <v>0</v>
      </c>
      <c r="J155" s="179">
        <f>SUMIFS('recurring2_based on steps'!$B155:$AY155,'recurring2_based on steps'!$B$1:$AY$1,J$1)+SUMIFS('changes2_based on steps'!$B155:$U155,'changes2_based on steps'!$B$1:$U$1,J$1)</f>
        <v>0</v>
      </c>
      <c r="K155" s="179">
        <f>SUMIFS('recurring2_based on steps'!$B155:$AY155,'recurring2_based on steps'!$B$1:$AY$1,K$1)+SUMIFS('changes2_based on steps'!$B155:$U155,'changes2_based on steps'!$B$1:$U$1,K$1)</f>
        <v>0</v>
      </c>
      <c r="L155" s="179">
        <f>SUMIFS('recurring2_based on steps'!$B155:$AY155,'recurring2_based on steps'!$B$1:$AY$1,L$1)+SUMIFS('changes2_based on steps'!$B155:$U155,'changes2_based on steps'!$B$1:$U$1,L$1)</f>
        <v>0</v>
      </c>
      <c r="M155" s="179">
        <f>SUMIFS('recurring2_based on steps'!$B155:$AY155,'recurring2_based on steps'!$B$1:$AY$1,M$1)+SUMIFS('changes2_based on steps'!$B155:$U155,'changes2_based on steps'!$B$1:$U$1,M$1)</f>
        <v>0</v>
      </c>
      <c r="N155" s="179">
        <f>SUMIFS('recurring2_based on steps'!$B155:$AY155,'recurring2_based on steps'!$B$1:$AY$1,N$1)+SUMIFS('changes2_based on steps'!$B155:$U155,'changes2_based on steps'!$B$1:$U$1,N$1)</f>
        <v>0</v>
      </c>
      <c r="O155" s="179">
        <f>SUMIFS('recurring2_based on steps'!$B155:$AY155,'recurring2_based on steps'!$B$1:$AY$1,O$1)+SUMIFS('changes2_based on steps'!$B155:$U155,'changes2_based on steps'!$B$1:$U$1,O$1)</f>
        <v>0</v>
      </c>
      <c r="P155" s="179">
        <f>SUMIFS('recurring2_based on steps'!$B155:$AY155,'recurring2_based on steps'!$B$1:$AY$1,P$1)+SUMIFS('changes2_based on steps'!$B155:$U155,'changes2_based on steps'!$B$1:$U$1,P$1)</f>
        <v>0</v>
      </c>
      <c r="Q155" s="179">
        <f>SUMIFS('recurring2_based on steps'!$B155:$AY155,'recurring2_based on steps'!$B$1:$AY$1,Q$1)+SUMIFS('changes2_based on steps'!$B155:$U155,'changes2_based on steps'!$B$1:$U$1,Q$1)</f>
        <v>0</v>
      </c>
      <c r="R155" s="179">
        <f>SUMIFS('recurring2_based on steps'!$B155:$AY155,'recurring2_based on steps'!$B$1:$AY$1,R$1)+SUMIFS('changes2_based on steps'!$B155:$U155,'changes2_based on steps'!$B$1:$U$1,R$1)</f>
        <v>0</v>
      </c>
      <c r="S155" s="179">
        <f>SUMIFS('recurring2_based on steps'!$B155:$AY155,'recurring2_based on steps'!$B$1:$AY$1,S$1)+SUMIFS('changes2_based on steps'!$B155:$U155,'changes2_based on steps'!$B$1:$U$1,S$1)</f>
        <v>0</v>
      </c>
      <c r="T155" s="179">
        <f>SUMIFS('recurring2_based on steps'!$B155:$AY155,'recurring2_based on steps'!$B$1:$AY$1,T$1)+SUMIFS('changes2_based on steps'!$B155:$U155,'changes2_based on steps'!$B$1:$U$1,T$1)</f>
        <v>0</v>
      </c>
      <c r="U155" s="179">
        <f>SUMIFS('recurring2_based on steps'!$B155:$AY155,'recurring2_based on steps'!$B$1:$AY$1,U$1)+SUMIFS('changes2_based on steps'!$B155:$U155,'changes2_based on steps'!$B$1:$U$1,U$1)</f>
        <v>0</v>
      </c>
      <c r="V155" s="179">
        <f>SUMIFS('recurring2_based on steps'!$B155:$AY155,'recurring2_based on steps'!$B$1:$AY$1,V$1)+SUMIFS('changes2_based on steps'!$B155:$U155,'changes2_based on steps'!$B$1:$U$1,V$1)</f>
        <v>0</v>
      </c>
      <c r="W155" s="179">
        <f>SUMIFS('recurring2_based on steps'!$B155:$AY155,'recurring2_based on steps'!$B$1:$AY$1,W$1)+SUMIFS('changes2_based on steps'!$B155:$U155,'changes2_based on steps'!$B$1:$U$1,W$1)</f>
        <v>0</v>
      </c>
      <c r="X155" s="179">
        <f>SUMIFS('recurring2_based on steps'!$B155:$AY155,'recurring2_based on steps'!$B$1:$AY$1,X$1)+SUMIFS('changes2_based on steps'!$B155:$U155,'changes2_based on steps'!$B$1:$U$1,X$1)</f>
        <v>0</v>
      </c>
      <c r="Y155" s="179">
        <f>SUMIFS('recurring2_based on steps'!$B155:$AY155,'recurring2_based on steps'!$B$1:$AY$1,Y$1)+SUMIFS('changes2_based on steps'!$B155:$U155,'changes2_based on steps'!$B$1:$U$1,Y$1)</f>
        <v>0</v>
      </c>
      <c r="Z155" s="179">
        <f>SUMIFS('recurring2_based on steps'!$B155:$AY155,'recurring2_based on steps'!$B$1:$AY$1,Z$1)+SUMIFS('changes2_based on steps'!$B155:$U155,'changes2_based on steps'!$B$1:$U$1,Z$1)</f>
        <v>0</v>
      </c>
      <c r="AA155" s="179">
        <f>SUMIFS('recurring2_based on steps'!$B155:$AY155,'recurring2_based on steps'!$B$1:$AY$1,AA$1)+SUMIFS('changes2_based on steps'!$B155:$U155,'changes2_based on steps'!$B$1:$U$1,AA$1)</f>
        <v>0</v>
      </c>
      <c r="AB155" s="179">
        <f>SUMIFS('recurring2_based on steps'!$B155:$AY155,'recurring2_based on steps'!$B$1:$AY$1,AB$1)+SUMIFS('changes2_based on steps'!$B155:$U155,'changes2_based on steps'!$B$1:$U$1,AB$1)</f>
        <v>0</v>
      </c>
      <c r="AC155" s="179">
        <f>SUMIFS('recurring2_based on steps'!$B155:$AY155,'recurring2_based on steps'!$B$1:$AY$1,AC$1)+SUMIFS('changes2_based on steps'!$B155:$U155,'changes2_based on steps'!$B$1:$U$1,AC$1)</f>
        <v>0</v>
      </c>
      <c r="AD155" s="179">
        <f>SUMIFS('recurring2_based on steps'!$B155:$AY155,'recurring2_based on steps'!$B$1:$AY$1,AD$1)+SUMIFS('changes2_based on steps'!$B155:$U155,'changes2_based on steps'!$B$1:$U$1,AD$1)</f>
        <v>0</v>
      </c>
      <c r="AE155" s="179">
        <f>SUMIFS('recurring2_based on steps'!$B155:$AY155,'recurring2_based on steps'!$B$1:$AY$1,AE$1)+SUMIFS('changes2_based on steps'!$B155:$U155,'changes2_based on steps'!$B$1:$U$1,AE$1)</f>
        <v>0</v>
      </c>
      <c r="AF155" s="179"/>
      <c r="AG155" s="179"/>
      <c r="AH155" s="179"/>
      <c r="AI155" s="179"/>
      <c r="AJ155" s="179"/>
      <c r="AK155" s="179"/>
      <c r="AL155" s="179"/>
      <c r="AM155" s="179"/>
    </row>
    <row r="156" spans="1:39" x14ac:dyDescent="0.2">
      <c r="A156" s="32">
        <f t="shared" ca="1" si="2"/>
        <v>45898</v>
      </c>
      <c r="B156" s="179">
        <f>SUMIFS('recurring2_based on steps'!$B156:$AY156,'recurring2_based on steps'!$B$1:$AY$1,B$1)+SUMIFS('changes2_based on steps'!$B156:$U156,'changes2_based on steps'!$B$1:$U$1,B$1)</f>
        <v>0</v>
      </c>
      <c r="C156" s="179">
        <f>SUMIFS('recurring2_based on steps'!$B156:$AY156,'recurring2_based on steps'!$B$1:$AY$1,C$1)+SUMIFS('changes2_based on steps'!$B156:$U156,'changes2_based on steps'!$B$1:$U$1,C$1)</f>
        <v>0</v>
      </c>
      <c r="D156" s="179">
        <f>SUMIFS('recurring2_based on steps'!$B156:$AY156,'recurring2_based on steps'!$B$1:$AY$1,D$1)+SUMIFS('changes2_based on steps'!$B156:$U156,'changes2_based on steps'!$B$1:$U$1,D$1)</f>
        <v>0</v>
      </c>
      <c r="E156" s="179">
        <f>SUMIFS('recurring2_based on steps'!$B156:$AY156,'recurring2_based on steps'!$B$1:$AY$1,E$1)+SUMIFS('changes2_based on steps'!$B156:$U156,'changes2_based on steps'!$B$1:$U$1,E$1)</f>
        <v>0</v>
      </c>
      <c r="F156" s="179">
        <f>SUMIFS('recurring2_based on steps'!$B156:$AY156,'recurring2_based on steps'!$B$1:$AY$1,F$1)+SUMIFS('changes2_based on steps'!$B156:$U156,'changes2_based on steps'!$B$1:$U$1,F$1)</f>
        <v>0</v>
      </c>
      <c r="G156" s="179">
        <f>SUMIFS('recurring2_based on steps'!$B156:$AY156,'recurring2_based on steps'!$B$1:$AY$1,G$1)+SUMIFS('changes2_based on steps'!$B156:$U156,'changes2_based on steps'!$B$1:$U$1,G$1)</f>
        <v>0</v>
      </c>
      <c r="H156" s="179">
        <f>SUMIFS('recurring2_based on steps'!$B156:$AY156,'recurring2_based on steps'!$B$1:$AY$1,H$1)+SUMIFS('changes2_based on steps'!$B156:$U156,'changes2_based on steps'!$B$1:$U$1,H$1)</f>
        <v>0</v>
      </c>
      <c r="I156" s="179">
        <f>SUMIFS('recurring2_based on steps'!$B156:$AY156,'recurring2_based on steps'!$B$1:$AY$1,I$1)+SUMIFS('changes2_based on steps'!$B156:$U156,'changes2_based on steps'!$B$1:$U$1,I$1)</f>
        <v>0</v>
      </c>
      <c r="J156" s="179">
        <f>SUMIFS('recurring2_based on steps'!$B156:$AY156,'recurring2_based on steps'!$B$1:$AY$1,J$1)+SUMIFS('changes2_based on steps'!$B156:$U156,'changes2_based on steps'!$B$1:$U$1,J$1)</f>
        <v>0</v>
      </c>
      <c r="K156" s="179">
        <f>SUMIFS('recurring2_based on steps'!$B156:$AY156,'recurring2_based on steps'!$B$1:$AY$1,K$1)+SUMIFS('changes2_based on steps'!$B156:$U156,'changes2_based on steps'!$B$1:$U$1,K$1)</f>
        <v>0</v>
      </c>
      <c r="L156" s="179">
        <f>SUMIFS('recurring2_based on steps'!$B156:$AY156,'recurring2_based on steps'!$B$1:$AY$1,L$1)+SUMIFS('changes2_based on steps'!$B156:$U156,'changes2_based on steps'!$B$1:$U$1,L$1)</f>
        <v>0</v>
      </c>
      <c r="M156" s="179">
        <f>SUMIFS('recurring2_based on steps'!$B156:$AY156,'recurring2_based on steps'!$B$1:$AY$1,M$1)+SUMIFS('changes2_based on steps'!$B156:$U156,'changes2_based on steps'!$B$1:$U$1,M$1)</f>
        <v>0</v>
      </c>
      <c r="N156" s="179">
        <f>SUMIFS('recurring2_based on steps'!$B156:$AY156,'recurring2_based on steps'!$B$1:$AY$1,N$1)+SUMIFS('changes2_based on steps'!$B156:$U156,'changes2_based on steps'!$B$1:$U$1,N$1)</f>
        <v>0</v>
      </c>
      <c r="O156" s="179">
        <f>SUMIFS('recurring2_based on steps'!$B156:$AY156,'recurring2_based on steps'!$B$1:$AY$1,O$1)+SUMIFS('changes2_based on steps'!$B156:$U156,'changes2_based on steps'!$B$1:$U$1,O$1)</f>
        <v>0</v>
      </c>
      <c r="P156" s="179">
        <f>SUMIFS('recurring2_based on steps'!$B156:$AY156,'recurring2_based on steps'!$B$1:$AY$1,P$1)+SUMIFS('changes2_based on steps'!$B156:$U156,'changes2_based on steps'!$B$1:$U$1,P$1)</f>
        <v>0</v>
      </c>
      <c r="Q156" s="179">
        <f>SUMIFS('recurring2_based on steps'!$B156:$AY156,'recurring2_based on steps'!$B$1:$AY$1,Q$1)+SUMIFS('changes2_based on steps'!$B156:$U156,'changes2_based on steps'!$B$1:$U$1,Q$1)</f>
        <v>0</v>
      </c>
      <c r="R156" s="179">
        <f>SUMIFS('recurring2_based on steps'!$B156:$AY156,'recurring2_based on steps'!$B$1:$AY$1,R$1)+SUMIFS('changes2_based on steps'!$B156:$U156,'changes2_based on steps'!$B$1:$U$1,R$1)</f>
        <v>0</v>
      </c>
      <c r="S156" s="179">
        <f>SUMIFS('recurring2_based on steps'!$B156:$AY156,'recurring2_based on steps'!$B$1:$AY$1,S$1)+SUMIFS('changes2_based on steps'!$B156:$U156,'changes2_based on steps'!$B$1:$U$1,S$1)</f>
        <v>0</v>
      </c>
      <c r="T156" s="179">
        <f>SUMIFS('recurring2_based on steps'!$B156:$AY156,'recurring2_based on steps'!$B$1:$AY$1,T$1)+SUMIFS('changes2_based on steps'!$B156:$U156,'changes2_based on steps'!$B$1:$U$1,T$1)</f>
        <v>0</v>
      </c>
      <c r="U156" s="179">
        <f>SUMIFS('recurring2_based on steps'!$B156:$AY156,'recurring2_based on steps'!$B$1:$AY$1,U$1)+SUMIFS('changes2_based on steps'!$B156:$U156,'changes2_based on steps'!$B$1:$U$1,U$1)</f>
        <v>0</v>
      </c>
      <c r="V156" s="179">
        <f>SUMIFS('recurring2_based on steps'!$B156:$AY156,'recurring2_based on steps'!$B$1:$AY$1,V$1)+SUMIFS('changes2_based on steps'!$B156:$U156,'changes2_based on steps'!$B$1:$U$1,V$1)</f>
        <v>0</v>
      </c>
      <c r="W156" s="179">
        <f>SUMIFS('recurring2_based on steps'!$B156:$AY156,'recurring2_based on steps'!$B$1:$AY$1,W$1)+SUMIFS('changes2_based on steps'!$B156:$U156,'changes2_based on steps'!$B$1:$U$1,W$1)</f>
        <v>0</v>
      </c>
      <c r="X156" s="179">
        <f>SUMIFS('recurring2_based on steps'!$B156:$AY156,'recurring2_based on steps'!$B$1:$AY$1,X$1)+SUMIFS('changes2_based on steps'!$B156:$U156,'changes2_based on steps'!$B$1:$U$1,X$1)</f>
        <v>0</v>
      </c>
      <c r="Y156" s="179">
        <f>SUMIFS('recurring2_based on steps'!$B156:$AY156,'recurring2_based on steps'!$B$1:$AY$1,Y$1)+SUMIFS('changes2_based on steps'!$B156:$U156,'changes2_based on steps'!$B$1:$U$1,Y$1)</f>
        <v>0</v>
      </c>
      <c r="Z156" s="179">
        <f>SUMIFS('recurring2_based on steps'!$B156:$AY156,'recurring2_based on steps'!$B$1:$AY$1,Z$1)+SUMIFS('changes2_based on steps'!$B156:$U156,'changes2_based on steps'!$B$1:$U$1,Z$1)</f>
        <v>0</v>
      </c>
      <c r="AA156" s="179">
        <f>SUMIFS('recurring2_based on steps'!$B156:$AY156,'recurring2_based on steps'!$B$1:$AY$1,AA$1)+SUMIFS('changes2_based on steps'!$B156:$U156,'changes2_based on steps'!$B$1:$U$1,AA$1)</f>
        <v>0</v>
      </c>
      <c r="AB156" s="179">
        <f>SUMIFS('recurring2_based on steps'!$B156:$AY156,'recurring2_based on steps'!$B$1:$AY$1,AB$1)+SUMIFS('changes2_based on steps'!$B156:$U156,'changes2_based on steps'!$B$1:$U$1,AB$1)</f>
        <v>0</v>
      </c>
      <c r="AC156" s="179">
        <f>SUMIFS('recurring2_based on steps'!$B156:$AY156,'recurring2_based on steps'!$B$1:$AY$1,AC$1)+SUMIFS('changes2_based on steps'!$B156:$U156,'changes2_based on steps'!$B$1:$U$1,AC$1)</f>
        <v>0</v>
      </c>
      <c r="AD156" s="179">
        <f>SUMIFS('recurring2_based on steps'!$B156:$AY156,'recurring2_based on steps'!$B$1:$AY$1,AD$1)+SUMIFS('changes2_based on steps'!$B156:$U156,'changes2_based on steps'!$B$1:$U$1,AD$1)</f>
        <v>0</v>
      </c>
      <c r="AE156" s="179">
        <f>SUMIFS('recurring2_based on steps'!$B156:$AY156,'recurring2_based on steps'!$B$1:$AY$1,AE$1)+SUMIFS('changes2_based on steps'!$B156:$U156,'changes2_based on steps'!$B$1:$U$1,AE$1)</f>
        <v>0</v>
      </c>
      <c r="AF156" s="179"/>
      <c r="AG156" s="179"/>
      <c r="AH156" s="179"/>
      <c r="AI156" s="179"/>
      <c r="AJ156" s="179"/>
      <c r="AK156" s="179"/>
      <c r="AL156" s="179"/>
      <c r="AM156" s="179"/>
    </row>
    <row r="157" spans="1:39" x14ac:dyDescent="0.2">
      <c r="A157" s="32">
        <f t="shared" ca="1" si="2"/>
        <v>45899</v>
      </c>
      <c r="B157" s="179">
        <f>SUMIFS('recurring2_based on steps'!$B157:$AY157,'recurring2_based on steps'!$B$1:$AY$1,B$1)+SUMIFS('changes2_based on steps'!$B157:$U157,'changes2_based on steps'!$B$1:$U$1,B$1)</f>
        <v>0</v>
      </c>
      <c r="C157" s="179">
        <f>SUMIFS('recurring2_based on steps'!$B157:$AY157,'recurring2_based on steps'!$B$1:$AY$1,C$1)+SUMIFS('changes2_based on steps'!$B157:$U157,'changes2_based on steps'!$B$1:$U$1,C$1)</f>
        <v>0</v>
      </c>
      <c r="D157" s="179">
        <f>SUMIFS('recurring2_based on steps'!$B157:$AY157,'recurring2_based on steps'!$B$1:$AY$1,D$1)+SUMIFS('changes2_based on steps'!$B157:$U157,'changes2_based on steps'!$B$1:$U$1,D$1)</f>
        <v>0</v>
      </c>
      <c r="E157" s="179">
        <f>SUMIFS('recurring2_based on steps'!$B157:$AY157,'recurring2_based on steps'!$B$1:$AY$1,E$1)+SUMIFS('changes2_based on steps'!$B157:$U157,'changes2_based on steps'!$B$1:$U$1,E$1)</f>
        <v>0</v>
      </c>
      <c r="F157" s="179">
        <f>SUMIFS('recurring2_based on steps'!$B157:$AY157,'recurring2_based on steps'!$B$1:$AY$1,F$1)+SUMIFS('changes2_based on steps'!$B157:$U157,'changes2_based on steps'!$B$1:$U$1,F$1)</f>
        <v>0</v>
      </c>
      <c r="G157" s="179">
        <f>SUMIFS('recurring2_based on steps'!$B157:$AY157,'recurring2_based on steps'!$B$1:$AY$1,G$1)+SUMIFS('changes2_based on steps'!$B157:$U157,'changes2_based on steps'!$B$1:$U$1,G$1)</f>
        <v>0</v>
      </c>
      <c r="H157" s="179">
        <f>SUMIFS('recurring2_based on steps'!$B157:$AY157,'recurring2_based on steps'!$B$1:$AY$1,H$1)+SUMIFS('changes2_based on steps'!$B157:$U157,'changes2_based on steps'!$B$1:$U$1,H$1)</f>
        <v>0</v>
      </c>
      <c r="I157" s="179">
        <f>SUMIFS('recurring2_based on steps'!$B157:$AY157,'recurring2_based on steps'!$B$1:$AY$1,I$1)+SUMIFS('changes2_based on steps'!$B157:$U157,'changes2_based on steps'!$B$1:$U$1,I$1)</f>
        <v>0</v>
      </c>
      <c r="J157" s="179">
        <f>SUMIFS('recurring2_based on steps'!$B157:$AY157,'recurring2_based on steps'!$B$1:$AY$1,J$1)+SUMIFS('changes2_based on steps'!$B157:$U157,'changes2_based on steps'!$B$1:$U$1,J$1)</f>
        <v>0</v>
      </c>
      <c r="K157" s="179">
        <f>SUMIFS('recurring2_based on steps'!$B157:$AY157,'recurring2_based on steps'!$B$1:$AY$1,K$1)+SUMIFS('changes2_based on steps'!$B157:$U157,'changes2_based on steps'!$B$1:$U$1,K$1)</f>
        <v>0</v>
      </c>
      <c r="L157" s="179">
        <f>SUMIFS('recurring2_based on steps'!$B157:$AY157,'recurring2_based on steps'!$B$1:$AY$1,L$1)+SUMIFS('changes2_based on steps'!$B157:$U157,'changes2_based on steps'!$B$1:$U$1,L$1)</f>
        <v>0</v>
      </c>
      <c r="M157" s="179">
        <f>SUMIFS('recurring2_based on steps'!$B157:$AY157,'recurring2_based on steps'!$B$1:$AY$1,M$1)+SUMIFS('changes2_based on steps'!$B157:$U157,'changes2_based on steps'!$B$1:$U$1,M$1)</f>
        <v>0</v>
      </c>
      <c r="N157" s="179">
        <f>SUMIFS('recurring2_based on steps'!$B157:$AY157,'recurring2_based on steps'!$B$1:$AY$1,N$1)+SUMIFS('changes2_based on steps'!$B157:$U157,'changes2_based on steps'!$B$1:$U$1,N$1)</f>
        <v>0</v>
      </c>
      <c r="O157" s="179">
        <f>SUMIFS('recurring2_based on steps'!$B157:$AY157,'recurring2_based on steps'!$B$1:$AY$1,O$1)+SUMIFS('changes2_based on steps'!$B157:$U157,'changes2_based on steps'!$B$1:$U$1,O$1)</f>
        <v>0</v>
      </c>
      <c r="P157" s="179">
        <f>SUMIFS('recurring2_based on steps'!$B157:$AY157,'recurring2_based on steps'!$B$1:$AY$1,P$1)+SUMIFS('changes2_based on steps'!$B157:$U157,'changes2_based on steps'!$B$1:$U$1,P$1)</f>
        <v>0</v>
      </c>
      <c r="Q157" s="179">
        <f>SUMIFS('recurring2_based on steps'!$B157:$AY157,'recurring2_based on steps'!$B$1:$AY$1,Q$1)+SUMIFS('changes2_based on steps'!$B157:$U157,'changes2_based on steps'!$B$1:$U$1,Q$1)</f>
        <v>0</v>
      </c>
      <c r="R157" s="179">
        <f>SUMIFS('recurring2_based on steps'!$B157:$AY157,'recurring2_based on steps'!$B$1:$AY$1,R$1)+SUMIFS('changes2_based on steps'!$B157:$U157,'changes2_based on steps'!$B$1:$U$1,R$1)</f>
        <v>0</v>
      </c>
      <c r="S157" s="179">
        <f>SUMIFS('recurring2_based on steps'!$B157:$AY157,'recurring2_based on steps'!$B$1:$AY$1,S$1)+SUMIFS('changes2_based on steps'!$B157:$U157,'changes2_based on steps'!$B$1:$U$1,S$1)</f>
        <v>0</v>
      </c>
      <c r="T157" s="179">
        <f>SUMIFS('recurring2_based on steps'!$B157:$AY157,'recurring2_based on steps'!$B$1:$AY$1,T$1)+SUMIFS('changes2_based on steps'!$B157:$U157,'changes2_based on steps'!$B$1:$U$1,T$1)</f>
        <v>0</v>
      </c>
      <c r="U157" s="179">
        <f>SUMIFS('recurring2_based on steps'!$B157:$AY157,'recurring2_based on steps'!$B$1:$AY$1,U$1)+SUMIFS('changes2_based on steps'!$B157:$U157,'changes2_based on steps'!$B$1:$U$1,U$1)</f>
        <v>0</v>
      </c>
      <c r="V157" s="179">
        <f>SUMIFS('recurring2_based on steps'!$B157:$AY157,'recurring2_based on steps'!$B$1:$AY$1,V$1)+SUMIFS('changes2_based on steps'!$B157:$U157,'changes2_based on steps'!$B$1:$U$1,V$1)</f>
        <v>0</v>
      </c>
      <c r="W157" s="179">
        <f>SUMIFS('recurring2_based on steps'!$B157:$AY157,'recurring2_based on steps'!$B$1:$AY$1,W$1)+SUMIFS('changes2_based on steps'!$B157:$U157,'changes2_based on steps'!$B$1:$U$1,W$1)</f>
        <v>0</v>
      </c>
      <c r="X157" s="179">
        <f>SUMIFS('recurring2_based on steps'!$B157:$AY157,'recurring2_based on steps'!$B$1:$AY$1,X$1)+SUMIFS('changes2_based on steps'!$B157:$U157,'changes2_based on steps'!$B$1:$U$1,X$1)</f>
        <v>0</v>
      </c>
      <c r="Y157" s="179">
        <f>SUMIFS('recurring2_based on steps'!$B157:$AY157,'recurring2_based on steps'!$B$1:$AY$1,Y$1)+SUMIFS('changes2_based on steps'!$B157:$U157,'changes2_based on steps'!$B$1:$U$1,Y$1)</f>
        <v>0</v>
      </c>
      <c r="Z157" s="179">
        <f>SUMIFS('recurring2_based on steps'!$B157:$AY157,'recurring2_based on steps'!$B$1:$AY$1,Z$1)+SUMIFS('changes2_based on steps'!$B157:$U157,'changes2_based on steps'!$B$1:$U$1,Z$1)</f>
        <v>0</v>
      </c>
      <c r="AA157" s="179">
        <f>SUMIFS('recurring2_based on steps'!$B157:$AY157,'recurring2_based on steps'!$B$1:$AY$1,AA$1)+SUMIFS('changes2_based on steps'!$B157:$U157,'changes2_based on steps'!$B$1:$U$1,AA$1)</f>
        <v>0</v>
      </c>
      <c r="AB157" s="179">
        <f>SUMIFS('recurring2_based on steps'!$B157:$AY157,'recurring2_based on steps'!$B$1:$AY$1,AB$1)+SUMIFS('changes2_based on steps'!$B157:$U157,'changes2_based on steps'!$B$1:$U$1,AB$1)</f>
        <v>0</v>
      </c>
      <c r="AC157" s="179">
        <f>SUMIFS('recurring2_based on steps'!$B157:$AY157,'recurring2_based on steps'!$B$1:$AY$1,AC$1)+SUMIFS('changes2_based on steps'!$B157:$U157,'changes2_based on steps'!$B$1:$U$1,AC$1)</f>
        <v>0</v>
      </c>
      <c r="AD157" s="179">
        <f>SUMIFS('recurring2_based on steps'!$B157:$AY157,'recurring2_based on steps'!$B$1:$AY$1,AD$1)+SUMIFS('changes2_based on steps'!$B157:$U157,'changes2_based on steps'!$B$1:$U$1,AD$1)</f>
        <v>0</v>
      </c>
      <c r="AE157" s="179">
        <f>SUMIFS('recurring2_based on steps'!$B157:$AY157,'recurring2_based on steps'!$B$1:$AY$1,AE$1)+SUMIFS('changes2_based on steps'!$B157:$U157,'changes2_based on steps'!$B$1:$U$1,AE$1)</f>
        <v>0</v>
      </c>
      <c r="AF157" s="179"/>
      <c r="AG157" s="179"/>
      <c r="AH157" s="179"/>
      <c r="AI157" s="179"/>
      <c r="AJ157" s="179"/>
      <c r="AK157" s="179"/>
      <c r="AL157" s="179"/>
      <c r="AM157" s="179"/>
    </row>
    <row r="158" spans="1:39" x14ac:dyDescent="0.2">
      <c r="A158" s="32">
        <f t="shared" ca="1" si="2"/>
        <v>45900</v>
      </c>
      <c r="B158" s="179">
        <f>SUMIFS('recurring2_based on steps'!$B158:$AY158,'recurring2_based on steps'!$B$1:$AY$1,B$1)+SUMIFS('changes2_based on steps'!$B158:$U158,'changes2_based on steps'!$B$1:$U$1,B$1)</f>
        <v>0</v>
      </c>
      <c r="C158" s="179">
        <f>SUMIFS('recurring2_based on steps'!$B158:$AY158,'recurring2_based on steps'!$B$1:$AY$1,C$1)+SUMIFS('changes2_based on steps'!$B158:$U158,'changes2_based on steps'!$B$1:$U$1,C$1)</f>
        <v>0</v>
      </c>
      <c r="D158" s="179">
        <f>SUMIFS('recurring2_based on steps'!$B158:$AY158,'recurring2_based on steps'!$B$1:$AY$1,D$1)+SUMIFS('changes2_based on steps'!$B158:$U158,'changes2_based on steps'!$B$1:$U$1,D$1)</f>
        <v>0</v>
      </c>
      <c r="E158" s="179">
        <f>SUMIFS('recurring2_based on steps'!$B158:$AY158,'recurring2_based on steps'!$B$1:$AY$1,E$1)+SUMIFS('changes2_based on steps'!$B158:$U158,'changes2_based on steps'!$B$1:$U$1,E$1)</f>
        <v>0</v>
      </c>
      <c r="F158" s="179">
        <f>SUMIFS('recurring2_based on steps'!$B158:$AY158,'recurring2_based on steps'!$B$1:$AY$1,F$1)+SUMIFS('changes2_based on steps'!$B158:$U158,'changes2_based on steps'!$B$1:$U$1,F$1)</f>
        <v>0</v>
      </c>
      <c r="G158" s="179">
        <f>SUMIFS('recurring2_based on steps'!$B158:$AY158,'recurring2_based on steps'!$B$1:$AY$1,G$1)+SUMIFS('changes2_based on steps'!$B158:$U158,'changes2_based on steps'!$B$1:$U$1,G$1)</f>
        <v>0</v>
      </c>
      <c r="H158" s="179">
        <f>SUMIFS('recurring2_based on steps'!$B158:$AY158,'recurring2_based on steps'!$B$1:$AY$1,H$1)+SUMIFS('changes2_based on steps'!$B158:$U158,'changes2_based on steps'!$B$1:$U$1,H$1)</f>
        <v>0</v>
      </c>
      <c r="I158" s="179">
        <f>SUMIFS('recurring2_based on steps'!$B158:$AY158,'recurring2_based on steps'!$B$1:$AY$1,I$1)+SUMIFS('changes2_based on steps'!$B158:$U158,'changes2_based on steps'!$B$1:$U$1,I$1)</f>
        <v>0</v>
      </c>
      <c r="J158" s="179">
        <f>SUMIFS('recurring2_based on steps'!$B158:$AY158,'recurring2_based on steps'!$B$1:$AY$1,J$1)+SUMIFS('changes2_based on steps'!$B158:$U158,'changes2_based on steps'!$B$1:$U$1,J$1)</f>
        <v>0</v>
      </c>
      <c r="K158" s="179">
        <f>SUMIFS('recurring2_based on steps'!$B158:$AY158,'recurring2_based on steps'!$B$1:$AY$1,K$1)+SUMIFS('changes2_based on steps'!$B158:$U158,'changes2_based on steps'!$B$1:$U$1,K$1)</f>
        <v>0</v>
      </c>
      <c r="L158" s="179">
        <f>SUMIFS('recurring2_based on steps'!$B158:$AY158,'recurring2_based on steps'!$B$1:$AY$1,L$1)+SUMIFS('changes2_based on steps'!$B158:$U158,'changes2_based on steps'!$B$1:$U$1,L$1)</f>
        <v>0</v>
      </c>
      <c r="M158" s="179">
        <f>SUMIFS('recurring2_based on steps'!$B158:$AY158,'recurring2_based on steps'!$B$1:$AY$1,M$1)+SUMIFS('changes2_based on steps'!$B158:$U158,'changes2_based on steps'!$B$1:$U$1,M$1)</f>
        <v>0</v>
      </c>
      <c r="N158" s="179">
        <f>SUMIFS('recurring2_based on steps'!$B158:$AY158,'recurring2_based on steps'!$B$1:$AY$1,N$1)+SUMIFS('changes2_based on steps'!$B158:$U158,'changes2_based on steps'!$B$1:$U$1,N$1)</f>
        <v>0</v>
      </c>
      <c r="O158" s="179">
        <f>SUMIFS('recurring2_based on steps'!$B158:$AY158,'recurring2_based on steps'!$B$1:$AY$1,O$1)+SUMIFS('changes2_based on steps'!$B158:$U158,'changes2_based on steps'!$B$1:$U$1,O$1)</f>
        <v>0</v>
      </c>
      <c r="P158" s="179">
        <f>SUMIFS('recurring2_based on steps'!$B158:$AY158,'recurring2_based on steps'!$B$1:$AY$1,P$1)+SUMIFS('changes2_based on steps'!$B158:$U158,'changes2_based on steps'!$B$1:$U$1,P$1)</f>
        <v>0</v>
      </c>
      <c r="Q158" s="179">
        <f>SUMIFS('recurring2_based on steps'!$B158:$AY158,'recurring2_based on steps'!$B$1:$AY$1,Q$1)+SUMIFS('changes2_based on steps'!$B158:$U158,'changes2_based on steps'!$B$1:$U$1,Q$1)</f>
        <v>0</v>
      </c>
      <c r="R158" s="179">
        <f>SUMIFS('recurring2_based on steps'!$B158:$AY158,'recurring2_based on steps'!$B$1:$AY$1,R$1)+SUMIFS('changes2_based on steps'!$B158:$U158,'changes2_based on steps'!$B$1:$U$1,R$1)</f>
        <v>0</v>
      </c>
      <c r="S158" s="179">
        <f>SUMIFS('recurring2_based on steps'!$B158:$AY158,'recurring2_based on steps'!$B$1:$AY$1,S$1)+SUMIFS('changes2_based on steps'!$B158:$U158,'changes2_based on steps'!$B$1:$U$1,S$1)</f>
        <v>0</v>
      </c>
      <c r="T158" s="179">
        <f>SUMIFS('recurring2_based on steps'!$B158:$AY158,'recurring2_based on steps'!$B$1:$AY$1,T$1)+SUMIFS('changes2_based on steps'!$B158:$U158,'changes2_based on steps'!$B$1:$U$1,T$1)</f>
        <v>0</v>
      </c>
      <c r="U158" s="179">
        <f>SUMIFS('recurring2_based on steps'!$B158:$AY158,'recurring2_based on steps'!$B$1:$AY$1,U$1)+SUMIFS('changes2_based on steps'!$B158:$U158,'changes2_based on steps'!$B$1:$U$1,U$1)</f>
        <v>0</v>
      </c>
      <c r="V158" s="179">
        <f>SUMIFS('recurring2_based on steps'!$B158:$AY158,'recurring2_based on steps'!$B$1:$AY$1,V$1)+SUMIFS('changes2_based on steps'!$B158:$U158,'changes2_based on steps'!$B$1:$U$1,V$1)</f>
        <v>0</v>
      </c>
      <c r="W158" s="179">
        <f>SUMIFS('recurring2_based on steps'!$B158:$AY158,'recurring2_based on steps'!$B$1:$AY$1,W$1)+SUMIFS('changes2_based on steps'!$B158:$U158,'changes2_based on steps'!$B$1:$U$1,W$1)</f>
        <v>0</v>
      </c>
      <c r="X158" s="179">
        <f>SUMIFS('recurring2_based on steps'!$B158:$AY158,'recurring2_based on steps'!$B$1:$AY$1,X$1)+SUMIFS('changes2_based on steps'!$B158:$U158,'changes2_based on steps'!$B$1:$U$1,X$1)</f>
        <v>0</v>
      </c>
      <c r="Y158" s="179">
        <f>SUMIFS('recurring2_based on steps'!$B158:$AY158,'recurring2_based on steps'!$B$1:$AY$1,Y$1)+SUMIFS('changes2_based on steps'!$B158:$U158,'changes2_based on steps'!$B$1:$U$1,Y$1)</f>
        <v>0</v>
      </c>
      <c r="Z158" s="179">
        <f>SUMIFS('recurring2_based on steps'!$B158:$AY158,'recurring2_based on steps'!$B$1:$AY$1,Z$1)+SUMIFS('changes2_based on steps'!$B158:$U158,'changes2_based on steps'!$B$1:$U$1,Z$1)</f>
        <v>0</v>
      </c>
      <c r="AA158" s="179">
        <f>SUMIFS('recurring2_based on steps'!$B158:$AY158,'recurring2_based on steps'!$B$1:$AY$1,AA$1)+SUMIFS('changes2_based on steps'!$B158:$U158,'changes2_based on steps'!$B$1:$U$1,AA$1)</f>
        <v>0</v>
      </c>
      <c r="AB158" s="179">
        <f>SUMIFS('recurring2_based on steps'!$B158:$AY158,'recurring2_based on steps'!$B$1:$AY$1,AB$1)+SUMIFS('changes2_based on steps'!$B158:$U158,'changes2_based on steps'!$B$1:$U$1,AB$1)</f>
        <v>0</v>
      </c>
      <c r="AC158" s="179">
        <f>SUMIFS('recurring2_based on steps'!$B158:$AY158,'recurring2_based on steps'!$B$1:$AY$1,AC$1)+SUMIFS('changes2_based on steps'!$B158:$U158,'changes2_based on steps'!$B$1:$U$1,AC$1)</f>
        <v>0</v>
      </c>
      <c r="AD158" s="179">
        <f>SUMIFS('recurring2_based on steps'!$B158:$AY158,'recurring2_based on steps'!$B$1:$AY$1,AD$1)+SUMIFS('changes2_based on steps'!$B158:$U158,'changes2_based on steps'!$B$1:$U$1,AD$1)</f>
        <v>0</v>
      </c>
      <c r="AE158" s="179">
        <f>SUMIFS('recurring2_based on steps'!$B158:$AY158,'recurring2_based on steps'!$B$1:$AY$1,AE$1)+SUMIFS('changes2_based on steps'!$B158:$U158,'changes2_based on steps'!$B$1:$U$1,AE$1)</f>
        <v>0</v>
      </c>
      <c r="AF158" s="179"/>
      <c r="AG158" s="179"/>
      <c r="AH158" s="179"/>
      <c r="AI158" s="179"/>
      <c r="AJ158" s="179"/>
      <c r="AK158" s="179"/>
      <c r="AL158" s="179"/>
      <c r="AM158" s="179"/>
    </row>
    <row r="159" spans="1:39" x14ac:dyDescent="0.2">
      <c r="A159" s="32">
        <f t="shared" ca="1" si="2"/>
        <v>45901</v>
      </c>
      <c r="B159" s="179">
        <f>SUMIFS('recurring2_based on steps'!$B159:$AY159,'recurring2_based on steps'!$B$1:$AY$1,B$1)+SUMIFS('changes2_based on steps'!$B159:$U159,'changes2_based on steps'!$B$1:$U$1,B$1)</f>
        <v>0</v>
      </c>
      <c r="C159" s="179">
        <f>SUMIFS('recurring2_based on steps'!$B159:$AY159,'recurring2_based on steps'!$B$1:$AY$1,C$1)+SUMIFS('changes2_based on steps'!$B159:$U159,'changes2_based on steps'!$B$1:$U$1,C$1)</f>
        <v>0</v>
      </c>
      <c r="D159" s="179">
        <f>SUMIFS('recurring2_based on steps'!$B159:$AY159,'recurring2_based on steps'!$B$1:$AY$1,D$1)+SUMIFS('changes2_based on steps'!$B159:$U159,'changes2_based on steps'!$B$1:$U$1,D$1)</f>
        <v>0</v>
      </c>
      <c r="E159" s="179">
        <f>SUMIFS('recurring2_based on steps'!$B159:$AY159,'recurring2_based on steps'!$B$1:$AY$1,E$1)+SUMIFS('changes2_based on steps'!$B159:$U159,'changes2_based on steps'!$B$1:$U$1,E$1)</f>
        <v>0</v>
      </c>
      <c r="F159" s="179">
        <f>SUMIFS('recurring2_based on steps'!$B159:$AY159,'recurring2_based on steps'!$B$1:$AY$1,F$1)+SUMIFS('changes2_based on steps'!$B159:$U159,'changes2_based on steps'!$B$1:$U$1,F$1)</f>
        <v>0</v>
      </c>
      <c r="G159" s="179">
        <f>SUMIFS('recurring2_based on steps'!$B159:$AY159,'recurring2_based on steps'!$B$1:$AY$1,G$1)+SUMIFS('changes2_based on steps'!$B159:$U159,'changes2_based on steps'!$B$1:$U$1,G$1)</f>
        <v>0</v>
      </c>
      <c r="H159" s="179">
        <f>SUMIFS('recurring2_based on steps'!$B159:$AY159,'recurring2_based on steps'!$B$1:$AY$1,H$1)+SUMIFS('changes2_based on steps'!$B159:$U159,'changes2_based on steps'!$B$1:$U$1,H$1)</f>
        <v>0</v>
      </c>
      <c r="I159" s="179">
        <f>SUMIFS('recurring2_based on steps'!$B159:$AY159,'recurring2_based on steps'!$B$1:$AY$1,I$1)+SUMIFS('changes2_based on steps'!$B159:$U159,'changes2_based on steps'!$B$1:$U$1,I$1)</f>
        <v>0</v>
      </c>
      <c r="J159" s="179">
        <f>SUMIFS('recurring2_based on steps'!$B159:$AY159,'recurring2_based on steps'!$B$1:$AY$1,J$1)+SUMIFS('changes2_based on steps'!$B159:$U159,'changes2_based on steps'!$B$1:$U$1,J$1)</f>
        <v>0</v>
      </c>
      <c r="K159" s="179">
        <f>SUMIFS('recurring2_based on steps'!$B159:$AY159,'recurring2_based on steps'!$B$1:$AY$1,K$1)+SUMIFS('changes2_based on steps'!$B159:$U159,'changes2_based on steps'!$B$1:$U$1,K$1)</f>
        <v>0</v>
      </c>
      <c r="L159" s="179">
        <f>SUMIFS('recurring2_based on steps'!$B159:$AY159,'recurring2_based on steps'!$B$1:$AY$1,L$1)+SUMIFS('changes2_based on steps'!$B159:$U159,'changes2_based on steps'!$B$1:$U$1,L$1)</f>
        <v>0</v>
      </c>
      <c r="M159" s="179">
        <f>SUMIFS('recurring2_based on steps'!$B159:$AY159,'recurring2_based on steps'!$B$1:$AY$1,M$1)+SUMIFS('changes2_based on steps'!$B159:$U159,'changes2_based on steps'!$B$1:$U$1,M$1)</f>
        <v>0</v>
      </c>
      <c r="N159" s="179">
        <f>SUMIFS('recurring2_based on steps'!$B159:$AY159,'recurring2_based on steps'!$B$1:$AY$1,N$1)+SUMIFS('changes2_based on steps'!$B159:$U159,'changes2_based on steps'!$B$1:$U$1,N$1)</f>
        <v>0</v>
      </c>
      <c r="O159" s="179">
        <f>SUMIFS('recurring2_based on steps'!$B159:$AY159,'recurring2_based on steps'!$B$1:$AY$1,O$1)+SUMIFS('changes2_based on steps'!$B159:$U159,'changes2_based on steps'!$B$1:$U$1,O$1)</f>
        <v>0</v>
      </c>
      <c r="P159" s="179">
        <f>SUMIFS('recurring2_based on steps'!$B159:$AY159,'recurring2_based on steps'!$B$1:$AY$1,P$1)+SUMIFS('changes2_based on steps'!$B159:$U159,'changes2_based on steps'!$B$1:$U$1,P$1)</f>
        <v>0</v>
      </c>
      <c r="Q159" s="179">
        <f>SUMIFS('recurring2_based on steps'!$B159:$AY159,'recurring2_based on steps'!$B$1:$AY$1,Q$1)+SUMIFS('changes2_based on steps'!$B159:$U159,'changes2_based on steps'!$B$1:$U$1,Q$1)</f>
        <v>0</v>
      </c>
      <c r="R159" s="179">
        <f>SUMIFS('recurring2_based on steps'!$B159:$AY159,'recurring2_based on steps'!$B$1:$AY$1,R$1)+SUMIFS('changes2_based on steps'!$B159:$U159,'changes2_based on steps'!$B$1:$U$1,R$1)</f>
        <v>0</v>
      </c>
      <c r="S159" s="179">
        <f>SUMIFS('recurring2_based on steps'!$B159:$AY159,'recurring2_based on steps'!$B$1:$AY$1,S$1)+SUMIFS('changes2_based on steps'!$B159:$U159,'changes2_based on steps'!$B$1:$U$1,S$1)</f>
        <v>0</v>
      </c>
      <c r="T159" s="179">
        <f>SUMIFS('recurring2_based on steps'!$B159:$AY159,'recurring2_based on steps'!$B$1:$AY$1,T$1)+SUMIFS('changes2_based on steps'!$B159:$U159,'changes2_based on steps'!$B$1:$U$1,T$1)</f>
        <v>0</v>
      </c>
      <c r="U159" s="179">
        <f>SUMIFS('recurring2_based on steps'!$B159:$AY159,'recurring2_based on steps'!$B$1:$AY$1,U$1)+SUMIFS('changes2_based on steps'!$B159:$U159,'changes2_based on steps'!$B$1:$U$1,U$1)</f>
        <v>0</v>
      </c>
      <c r="V159" s="179">
        <f>SUMIFS('recurring2_based on steps'!$B159:$AY159,'recurring2_based on steps'!$B$1:$AY$1,V$1)+SUMIFS('changes2_based on steps'!$B159:$U159,'changes2_based on steps'!$B$1:$U$1,V$1)</f>
        <v>0</v>
      </c>
      <c r="W159" s="179">
        <f>SUMIFS('recurring2_based on steps'!$B159:$AY159,'recurring2_based on steps'!$B$1:$AY$1,W$1)+SUMIFS('changes2_based on steps'!$B159:$U159,'changes2_based on steps'!$B$1:$U$1,W$1)</f>
        <v>0</v>
      </c>
      <c r="X159" s="179">
        <f>SUMIFS('recurring2_based on steps'!$B159:$AY159,'recurring2_based on steps'!$B$1:$AY$1,X$1)+SUMIFS('changes2_based on steps'!$B159:$U159,'changes2_based on steps'!$B$1:$U$1,X$1)</f>
        <v>0</v>
      </c>
      <c r="Y159" s="179">
        <f>SUMIFS('recurring2_based on steps'!$B159:$AY159,'recurring2_based on steps'!$B$1:$AY$1,Y$1)+SUMIFS('changes2_based on steps'!$B159:$U159,'changes2_based on steps'!$B$1:$U$1,Y$1)</f>
        <v>0</v>
      </c>
      <c r="Z159" s="179">
        <f>SUMIFS('recurring2_based on steps'!$B159:$AY159,'recurring2_based on steps'!$B$1:$AY$1,Z$1)+SUMIFS('changes2_based on steps'!$B159:$U159,'changes2_based on steps'!$B$1:$U$1,Z$1)</f>
        <v>0</v>
      </c>
      <c r="AA159" s="179">
        <f>SUMIFS('recurring2_based on steps'!$B159:$AY159,'recurring2_based on steps'!$B$1:$AY$1,AA$1)+SUMIFS('changes2_based on steps'!$B159:$U159,'changes2_based on steps'!$B$1:$U$1,AA$1)</f>
        <v>0</v>
      </c>
      <c r="AB159" s="179">
        <f>SUMIFS('recurring2_based on steps'!$B159:$AY159,'recurring2_based on steps'!$B$1:$AY$1,AB$1)+SUMIFS('changes2_based on steps'!$B159:$U159,'changes2_based on steps'!$B$1:$U$1,AB$1)</f>
        <v>0</v>
      </c>
      <c r="AC159" s="179">
        <f>SUMIFS('recurring2_based on steps'!$B159:$AY159,'recurring2_based on steps'!$B$1:$AY$1,AC$1)+SUMIFS('changes2_based on steps'!$B159:$U159,'changes2_based on steps'!$B$1:$U$1,AC$1)</f>
        <v>0</v>
      </c>
      <c r="AD159" s="179">
        <f>SUMIFS('recurring2_based on steps'!$B159:$AY159,'recurring2_based on steps'!$B$1:$AY$1,AD$1)+SUMIFS('changes2_based on steps'!$B159:$U159,'changes2_based on steps'!$B$1:$U$1,AD$1)</f>
        <v>0</v>
      </c>
      <c r="AE159" s="179">
        <f>SUMIFS('recurring2_based on steps'!$B159:$AY159,'recurring2_based on steps'!$B$1:$AY$1,AE$1)+SUMIFS('changes2_based on steps'!$B159:$U159,'changes2_based on steps'!$B$1:$U$1,AE$1)</f>
        <v>0</v>
      </c>
      <c r="AF159" s="179"/>
      <c r="AG159" s="179"/>
      <c r="AH159" s="179"/>
      <c r="AI159" s="179"/>
      <c r="AJ159" s="179"/>
      <c r="AK159" s="179"/>
      <c r="AL159" s="179"/>
      <c r="AM159" s="179"/>
    </row>
    <row r="160" spans="1:39" x14ac:dyDescent="0.2">
      <c r="A160" s="32">
        <f t="shared" ca="1" si="2"/>
        <v>45902</v>
      </c>
      <c r="B160" s="179">
        <f>SUMIFS('recurring2_based on steps'!$B160:$AY160,'recurring2_based on steps'!$B$1:$AY$1,B$1)+SUMIFS('changes2_based on steps'!$B160:$U160,'changes2_based on steps'!$B$1:$U$1,B$1)</f>
        <v>0</v>
      </c>
      <c r="C160" s="179">
        <f>SUMIFS('recurring2_based on steps'!$B160:$AY160,'recurring2_based on steps'!$B$1:$AY$1,C$1)+SUMIFS('changes2_based on steps'!$B160:$U160,'changes2_based on steps'!$B$1:$U$1,C$1)</f>
        <v>0</v>
      </c>
      <c r="D160" s="179">
        <f>SUMIFS('recurring2_based on steps'!$B160:$AY160,'recurring2_based on steps'!$B$1:$AY$1,D$1)+SUMIFS('changes2_based on steps'!$B160:$U160,'changes2_based on steps'!$B$1:$U$1,D$1)</f>
        <v>0</v>
      </c>
      <c r="E160" s="179">
        <f>SUMIFS('recurring2_based on steps'!$B160:$AY160,'recurring2_based on steps'!$B$1:$AY$1,E$1)+SUMIFS('changes2_based on steps'!$B160:$U160,'changes2_based on steps'!$B$1:$U$1,E$1)</f>
        <v>0</v>
      </c>
      <c r="F160" s="179">
        <f>SUMIFS('recurring2_based on steps'!$B160:$AY160,'recurring2_based on steps'!$B$1:$AY$1,F$1)+SUMIFS('changes2_based on steps'!$B160:$U160,'changes2_based on steps'!$B$1:$U$1,F$1)</f>
        <v>0</v>
      </c>
      <c r="G160" s="179">
        <f>SUMIFS('recurring2_based on steps'!$B160:$AY160,'recurring2_based on steps'!$B$1:$AY$1,G$1)+SUMIFS('changes2_based on steps'!$B160:$U160,'changes2_based on steps'!$B$1:$U$1,G$1)</f>
        <v>0</v>
      </c>
      <c r="H160" s="179">
        <f>SUMIFS('recurring2_based on steps'!$B160:$AY160,'recurring2_based on steps'!$B$1:$AY$1,H$1)+SUMIFS('changes2_based on steps'!$B160:$U160,'changes2_based on steps'!$B$1:$U$1,H$1)</f>
        <v>0</v>
      </c>
      <c r="I160" s="179">
        <f>SUMIFS('recurring2_based on steps'!$B160:$AY160,'recurring2_based on steps'!$B$1:$AY$1,I$1)+SUMIFS('changes2_based on steps'!$B160:$U160,'changes2_based on steps'!$B$1:$U$1,I$1)</f>
        <v>0</v>
      </c>
      <c r="J160" s="179">
        <f>SUMIFS('recurring2_based on steps'!$B160:$AY160,'recurring2_based on steps'!$B$1:$AY$1,J$1)+SUMIFS('changes2_based on steps'!$B160:$U160,'changes2_based on steps'!$B$1:$U$1,J$1)</f>
        <v>0</v>
      </c>
      <c r="K160" s="179">
        <f>SUMIFS('recurring2_based on steps'!$B160:$AY160,'recurring2_based on steps'!$B$1:$AY$1,K$1)+SUMIFS('changes2_based on steps'!$B160:$U160,'changes2_based on steps'!$B$1:$U$1,K$1)</f>
        <v>0</v>
      </c>
      <c r="L160" s="179">
        <f>SUMIFS('recurring2_based on steps'!$B160:$AY160,'recurring2_based on steps'!$B$1:$AY$1,L$1)+SUMIFS('changes2_based on steps'!$B160:$U160,'changes2_based on steps'!$B$1:$U$1,L$1)</f>
        <v>0</v>
      </c>
      <c r="M160" s="179">
        <f>SUMIFS('recurring2_based on steps'!$B160:$AY160,'recurring2_based on steps'!$B$1:$AY$1,M$1)+SUMIFS('changes2_based on steps'!$B160:$U160,'changes2_based on steps'!$B$1:$U$1,M$1)</f>
        <v>0</v>
      </c>
      <c r="N160" s="179">
        <f>SUMIFS('recurring2_based on steps'!$B160:$AY160,'recurring2_based on steps'!$B$1:$AY$1,N$1)+SUMIFS('changes2_based on steps'!$B160:$U160,'changes2_based on steps'!$B$1:$U$1,N$1)</f>
        <v>0</v>
      </c>
      <c r="O160" s="179">
        <f>SUMIFS('recurring2_based on steps'!$B160:$AY160,'recurring2_based on steps'!$B$1:$AY$1,O$1)+SUMIFS('changes2_based on steps'!$B160:$U160,'changes2_based on steps'!$B$1:$U$1,O$1)</f>
        <v>0</v>
      </c>
      <c r="P160" s="179">
        <f>SUMIFS('recurring2_based on steps'!$B160:$AY160,'recurring2_based on steps'!$B$1:$AY$1,P$1)+SUMIFS('changes2_based on steps'!$B160:$U160,'changes2_based on steps'!$B$1:$U$1,P$1)</f>
        <v>0</v>
      </c>
      <c r="Q160" s="179">
        <f>SUMIFS('recurring2_based on steps'!$B160:$AY160,'recurring2_based on steps'!$B$1:$AY$1,Q$1)+SUMIFS('changes2_based on steps'!$B160:$U160,'changes2_based on steps'!$B$1:$U$1,Q$1)</f>
        <v>0</v>
      </c>
      <c r="R160" s="179">
        <f>SUMIFS('recurring2_based on steps'!$B160:$AY160,'recurring2_based on steps'!$B$1:$AY$1,R$1)+SUMIFS('changes2_based on steps'!$B160:$U160,'changes2_based on steps'!$B$1:$U$1,R$1)</f>
        <v>0</v>
      </c>
      <c r="S160" s="179">
        <f>SUMIFS('recurring2_based on steps'!$B160:$AY160,'recurring2_based on steps'!$B$1:$AY$1,S$1)+SUMIFS('changes2_based on steps'!$B160:$U160,'changes2_based on steps'!$B$1:$U$1,S$1)</f>
        <v>0</v>
      </c>
      <c r="T160" s="179">
        <f>SUMIFS('recurring2_based on steps'!$B160:$AY160,'recurring2_based on steps'!$B$1:$AY$1,T$1)+SUMIFS('changes2_based on steps'!$B160:$U160,'changes2_based on steps'!$B$1:$U$1,T$1)</f>
        <v>0</v>
      </c>
      <c r="U160" s="179">
        <f>SUMIFS('recurring2_based on steps'!$B160:$AY160,'recurring2_based on steps'!$B$1:$AY$1,U$1)+SUMIFS('changes2_based on steps'!$B160:$U160,'changes2_based on steps'!$B$1:$U$1,U$1)</f>
        <v>0</v>
      </c>
      <c r="V160" s="179">
        <f>SUMIFS('recurring2_based on steps'!$B160:$AY160,'recurring2_based on steps'!$B$1:$AY$1,V$1)+SUMIFS('changes2_based on steps'!$B160:$U160,'changes2_based on steps'!$B$1:$U$1,V$1)</f>
        <v>0</v>
      </c>
      <c r="W160" s="179">
        <f>SUMIFS('recurring2_based on steps'!$B160:$AY160,'recurring2_based on steps'!$B$1:$AY$1,W$1)+SUMIFS('changes2_based on steps'!$B160:$U160,'changes2_based on steps'!$B$1:$U$1,W$1)</f>
        <v>0</v>
      </c>
      <c r="X160" s="179">
        <f>SUMIFS('recurring2_based on steps'!$B160:$AY160,'recurring2_based on steps'!$B$1:$AY$1,X$1)+SUMIFS('changes2_based on steps'!$B160:$U160,'changes2_based on steps'!$B$1:$U$1,X$1)</f>
        <v>0</v>
      </c>
      <c r="Y160" s="179">
        <f>SUMIFS('recurring2_based on steps'!$B160:$AY160,'recurring2_based on steps'!$B$1:$AY$1,Y$1)+SUMIFS('changes2_based on steps'!$B160:$U160,'changes2_based on steps'!$B$1:$U$1,Y$1)</f>
        <v>0</v>
      </c>
      <c r="Z160" s="179">
        <f>SUMIFS('recurring2_based on steps'!$B160:$AY160,'recurring2_based on steps'!$B$1:$AY$1,Z$1)+SUMIFS('changes2_based on steps'!$B160:$U160,'changes2_based on steps'!$B$1:$U$1,Z$1)</f>
        <v>0</v>
      </c>
      <c r="AA160" s="179">
        <f>SUMIFS('recurring2_based on steps'!$B160:$AY160,'recurring2_based on steps'!$B$1:$AY$1,AA$1)+SUMIFS('changes2_based on steps'!$B160:$U160,'changes2_based on steps'!$B$1:$U$1,AA$1)</f>
        <v>0</v>
      </c>
      <c r="AB160" s="179">
        <f>SUMIFS('recurring2_based on steps'!$B160:$AY160,'recurring2_based on steps'!$B$1:$AY$1,AB$1)+SUMIFS('changes2_based on steps'!$B160:$U160,'changes2_based on steps'!$B$1:$U$1,AB$1)</f>
        <v>0</v>
      </c>
      <c r="AC160" s="179">
        <f>SUMIFS('recurring2_based on steps'!$B160:$AY160,'recurring2_based on steps'!$B$1:$AY$1,AC$1)+SUMIFS('changes2_based on steps'!$B160:$U160,'changes2_based on steps'!$B$1:$U$1,AC$1)</f>
        <v>0</v>
      </c>
      <c r="AD160" s="179">
        <f>SUMIFS('recurring2_based on steps'!$B160:$AY160,'recurring2_based on steps'!$B$1:$AY$1,AD$1)+SUMIFS('changes2_based on steps'!$B160:$U160,'changes2_based on steps'!$B$1:$U$1,AD$1)</f>
        <v>0</v>
      </c>
      <c r="AE160" s="179">
        <f>SUMIFS('recurring2_based on steps'!$B160:$AY160,'recurring2_based on steps'!$B$1:$AY$1,AE$1)+SUMIFS('changes2_based on steps'!$B160:$U160,'changes2_based on steps'!$B$1:$U$1,AE$1)</f>
        <v>0</v>
      </c>
      <c r="AF160" s="179"/>
      <c r="AG160" s="179"/>
      <c r="AH160" s="179"/>
      <c r="AI160" s="179"/>
      <c r="AJ160" s="179"/>
      <c r="AK160" s="179"/>
      <c r="AL160" s="179"/>
      <c r="AM160" s="179"/>
    </row>
    <row r="161" spans="1:39" x14ac:dyDescent="0.2">
      <c r="A161" s="32">
        <f t="shared" ca="1" si="2"/>
        <v>45903</v>
      </c>
      <c r="B161" s="179">
        <f>SUMIFS('recurring2_based on steps'!$B161:$AY161,'recurring2_based on steps'!$B$1:$AY$1,B$1)+SUMIFS('changes2_based on steps'!$B161:$U161,'changes2_based on steps'!$B$1:$U$1,B$1)</f>
        <v>0</v>
      </c>
      <c r="C161" s="179">
        <f>SUMIFS('recurring2_based on steps'!$B161:$AY161,'recurring2_based on steps'!$B$1:$AY$1,C$1)+SUMIFS('changes2_based on steps'!$B161:$U161,'changes2_based on steps'!$B$1:$U$1,C$1)</f>
        <v>0</v>
      </c>
      <c r="D161" s="179">
        <f>SUMIFS('recurring2_based on steps'!$B161:$AY161,'recurring2_based on steps'!$B$1:$AY$1,D$1)+SUMIFS('changes2_based on steps'!$B161:$U161,'changes2_based on steps'!$B$1:$U$1,D$1)</f>
        <v>0</v>
      </c>
      <c r="E161" s="179">
        <f>SUMIFS('recurring2_based on steps'!$B161:$AY161,'recurring2_based on steps'!$B$1:$AY$1,E$1)+SUMIFS('changes2_based on steps'!$B161:$U161,'changes2_based on steps'!$B$1:$U$1,E$1)</f>
        <v>0</v>
      </c>
      <c r="F161" s="179">
        <f>SUMIFS('recurring2_based on steps'!$B161:$AY161,'recurring2_based on steps'!$B$1:$AY$1,F$1)+SUMIFS('changes2_based on steps'!$B161:$U161,'changes2_based on steps'!$B$1:$U$1,F$1)</f>
        <v>0</v>
      </c>
      <c r="G161" s="179">
        <f>SUMIFS('recurring2_based on steps'!$B161:$AY161,'recurring2_based on steps'!$B$1:$AY$1,G$1)+SUMIFS('changes2_based on steps'!$B161:$U161,'changes2_based on steps'!$B$1:$U$1,G$1)</f>
        <v>0</v>
      </c>
      <c r="H161" s="179">
        <f>SUMIFS('recurring2_based on steps'!$B161:$AY161,'recurring2_based on steps'!$B$1:$AY$1,H$1)+SUMIFS('changes2_based on steps'!$B161:$U161,'changes2_based on steps'!$B$1:$U$1,H$1)</f>
        <v>0</v>
      </c>
      <c r="I161" s="179">
        <f>SUMIFS('recurring2_based on steps'!$B161:$AY161,'recurring2_based on steps'!$B$1:$AY$1,I$1)+SUMIFS('changes2_based on steps'!$B161:$U161,'changes2_based on steps'!$B$1:$U$1,I$1)</f>
        <v>0</v>
      </c>
      <c r="J161" s="179">
        <f>SUMIFS('recurring2_based on steps'!$B161:$AY161,'recurring2_based on steps'!$B$1:$AY$1,J$1)+SUMIFS('changes2_based on steps'!$B161:$U161,'changes2_based on steps'!$B$1:$U$1,J$1)</f>
        <v>0</v>
      </c>
      <c r="K161" s="179">
        <f>SUMIFS('recurring2_based on steps'!$B161:$AY161,'recurring2_based on steps'!$B$1:$AY$1,K$1)+SUMIFS('changes2_based on steps'!$B161:$U161,'changes2_based on steps'!$B$1:$U$1,K$1)</f>
        <v>0</v>
      </c>
      <c r="L161" s="179">
        <f>SUMIFS('recurring2_based on steps'!$B161:$AY161,'recurring2_based on steps'!$B$1:$AY$1,L$1)+SUMIFS('changes2_based on steps'!$B161:$U161,'changes2_based on steps'!$B$1:$U$1,L$1)</f>
        <v>0</v>
      </c>
      <c r="M161" s="179">
        <f>SUMIFS('recurring2_based on steps'!$B161:$AY161,'recurring2_based on steps'!$B$1:$AY$1,M$1)+SUMIFS('changes2_based on steps'!$B161:$U161,'changes2_based on steps'!$B$1:$U$1,M$1)</f>
        <v>0</v>
      </c>
      <c r="N161" s="179">
        <f>SUMIFS('recurring2_based on steps'!$B161:$AY161,'recurring2_based on steps'!$B$1:$AY$1,N$1)+SUMIFS('changes2_based on steps'!$B161:$U161,'changes2_based on steps'!$B$1:$U$1,N$1)</f>
        <v>0</v>
      </c>
      <c r="O161" s="179">
        <f>SUMIFS('recurring2_based on steps'!$B161:$AY161,'recurring2_based on steps'!$B$1:$AY$1,O$1)+SUMIFS('changes2_based on steps'!$B161:$U161,'changes2_based on steps'!$B$1:$U$1,O$1)</f>
        <v>0</v>
      </c>
      <c r="P161" s="179">
        <f>SUMIFS('recurring2_based on steps'!$B161:$AY161,'recurring2_based on steps'!$B$1:$AY$1,P$1)+SUMIFS('changes2_based on steps'!$B161:$U161,'changes2_based on steps'!$B$1:$U$1,P$1)</f>
        <v>0</v>
      </c>
      <c r="Q161" s="179">
        <f>SUMIFS('recurring2_based on steps'!$B161:$AY161,'recurring2_based on steps'!$B$1:$AY$1,Q$1)+SUMIFS('changes2_based on steps'!$B161:$U161,'changes2_based on steps'!$B$1:$U$1,Q$1)</f>
        <v>0</v>
      </c>
      <c r="R161" s="179">
        <f>SUMIFS('recurring2_based on steps'!$B161:$AY161,'recurring2_based on steps'!$B$1:$AY$1,R$1)+SUMIFS('changes2_based on steps'!$B161:$U161,'changes2_based on steps'!$B$1:$U$1,R$1)</f>
        <v>0</v>
      </c>
      <c r="S161" s="179">
        <f>SUMIFS('recurring2_based on steps'!$B161:$AY161,'recurring2_based on steps'!$B$1:$AY$1,S$1)+SUMIFS('changes2_based on steps'!$B161:$U161,'changes2_based on steps'!$B$1:$U$1,S$1)</f>
        <v>0</v>
      </c>
      <c r="T161" s="179">
        <f>SUMIFS('recurring2_based on steps'!$B161:$AY161,'recurring2_based on steps'!$B$1:$AY$1,T$1)+SUMIFS('changes2_based on steps'!$B161:$U161,'changes2_based on steps'!$B$1:$U$1,T$1)</f>
        <v>0</v>
      </c>
      <c r="U161" s="179">
        <f>SUMIFS('recurring2_based on steps'!$B161:$AY161,'recurring2_based on steps'!$B$1:$AY$1,U$1)+SUMIFS('changes2_based on steps'!$B161:$U161,'changes2_based on steps'!$B$1:$U$1,U$1)</f>
        <v>0</v>
      </c>
      <c r="V161" s="179">
        <f>SUMIFS('recurring2_based on steps'!$B161:$AY161,'recurring2_based on steps'!$B$1:$AY$1,V$1)+SUMIFS('changes2_based on steps'!$B161:$U161,'changes2_based on steps'!$B$1:$U$1,V$1)</f>
        <v>0</v>
      </c>
      <c r="W161" s="179">
        <f>SUMIFS('recurring2_based on steps'!$B161:$AY161,'recurring2_based on steps'!$B$1:$AY$1,W$1)+SUMIFS('changes2_based on steps'!$B161:$U161,'changes2_based on steps'!$B$1:$U$1,W$1)</f>
        <v>0</v>
      </c>
      <c r="X161" s="179">
        <f>SUMIFS('recurring2_based on steps'!$B161:$AY161,'recurring2_based on steps'!$B$1:$AY$1,X$1)+SUMIFS('changes2_based on steps'!$B161:$U161,'changes2_based on steps'!$B$1:$U$1,X$1)</f>
        <v>0</v>
      </c>
      <c r="Y161" s="179">
        <f>SUMIFS('recurring2_based on steps'!$B161:$AY161,'recurring2_based on steps'!$B$1:$AY$1,Y$1)+SUMIFS('changes2_based on steps'!$B161:$U161,'changes2_based on steps'!$B$1:$U$1,Y$1)</f>
        <v>0</v>
      </c>
      <c r="Z161" s="179">
        <f>SUMIFS('recurring2_based on steps'!$B161:$AY161,'recurring2_based on steps'!$B$1:$AY$1,Z$1)+SUMIFS('changes2_based on steps'!$B161:$U161,'changes2_based on steps'!$B$1:$U$1,Z$1)</f>
        <v>0</v>
      </c>
      <c r="AA161" s="179">
        <f>SUMIFS('recurring2_based on steps'!$B161:$AY161,'recurring2_based on steps'!$B$1:$AY$1,AA$1)+SUMIFS('changes2_based on steps'!$B161:$U161,'changes2_based on steps'!$B$1:$U$1,AA$1)</f>
        <v>0</v>
      </c>
      <c r="AB161" s="179">
        <f>SUMIFS('recurring2_based on steps'!$B161:$AY161,'recurring2_based on steps'!$B$1:$AY$1,AB$1)+SUMIFS('changes2_based on steps'!$B161:$U161,'changes2_based on steps'!$B$1:$U$1,AB$1)</f>
        <v>0</v>
      </c>
      <c r="AC161" s="179">
        <f>SUMIFS('recurring2_based on steps'!$B161:$AY161,'recurring2_based on steps'!$B$1:$AY$1,AC$1)+SUMIFS('changes2_based on steps'!$B161:$U161,'changes2_based on steps'!$B$1:$U$1,AC$1)</f>
        <v>0</v>
      </c>
      <c r="AD161" s="179">
        <f>SUMIFS('recurring2_based on steps'!$B161:$AY161,'recurring2_based on steps'!$B$1:$AY$1,AD$1)+SUMIFS('changes2_based on steps'!$B161:$U161,'changes2_based on steps'!$B$1:$U$1,AD$1)</f>
        <v>0</v>
      </c>
      <c r="AE161" s="179">
        <f>SUMIFS('recurring2_based on steps'!$B161:$AY161,'recurring2_based on steps'!$B$1:$AY$1,AE$1)+SUMIFS('changes2_based on steps'!$B161:$U161,'changes2_based on steps'!$B$1:$U$1,AE$1)</f>
        <v>0</v>
      </c>
      <c r="AF161" s="179"/>
      <c r="AG161" s="179"/>
      <c r="AH161" s="179"/>
      <c r="AI161" s="179"/>
      <c r="AJ161" s="179"/>
      <c r="AK161" s="179"/>
      <c r="AL161" s="179"/>
      <c r="AM161" s="179"/>
    </row>
    <row r="162" spans="1:39" x14ac:dyDescent="0.2">
      <c r="A162" s="32">
        <f t="shared" ca="1" si="2"/>
        <v>45904</v>
      </c>
      <c r="B162" s="179">
        <f>SUMIFS('recurring2_based on steps'!$B162:$AY162,'recurring2_based on steps'!$B$1:$AY$1,B$1)+SUMIFS('changes2_based on steps'!$B162:$U162,'changes2_based on steps'!$B$1:$U$1,B$1)</f>
        <v>0</v>
      </c>
      <c r="C162" s="179">
        <f>SUMIFS('recurring2_based on steps'!$B162:$AY162,'recurring2_based on steps'!$B$1:$AY$1,C$1)+SUMIFS('changes2_based on steps'!$B162:$U162,'changes2_based on steps'!$B$1:$U$1,C$1)</f>
        <v>0</v>
      </c>
      <c r="D162" s="179">
        <f>SUMIFS('recurring2_based on steps'!$B162:$AY162,'recurring2_based on steps'!$B$1:$AY$1,D$1)+SUMIFS('changes2_based on steps'!$B162:$U162,'changes2_based on steps'!$B$1:$U$1,D$1)</f>
        <v>0</v>
      </c>
      <c r="E162" s="179">
        <f>SUMIFS('recurring2_based on steps'!$B162:$AY162,'recurring2_based on steps'!$B$1:$AY$1,E$1)+SUMIFS('changes2_based on steps'!$B162:$U162,'changes2_based on steps'!$B$1:$U$1,E$1)</f>
        <v>0</v>
      </c>
      <c r="F162" s="179">
        <f>SUMIFS('recurring2_based on steps'!$B162:$AY162,'recurring2_based on steps'!$B$1:$AY$1,F$1)+SUMIFS('changes2_based on steps'!$B162:$U162,'changes2_based on steps'!$B$1:$U$1,F$1)</f>
        <v>0</v>
      </c>
      <c r="G162" s="179">
        <f>SUMIFS('recurring2_based on steps'!$B162:$AY162,'recurring2_based on steps'!$B$1:$AY$1,G$1)+SUMIFS('changes2_based on steps'!$B162:$U162,'changes2_based on steps'!$B$1:$U$1,G$1)</f>
        <v>0</v>
      </c>
      <c r="H162" s="179">
        <f>SUMIFS('recurring2_based on steps'!$B162:$AY162,'recurring2_based on steps'!$B$1:$AY$1,H$1)+SUMIFS('changes2_based on steps'!$B162:$U162,'changes2_based on steps'!$B$1:$U$1,H$1)</f>
        <v>0</v>
      </c>
      <c r="I162" s="179">
        <f>SUMIFS('recurring2_based on steps'!$B162:$AY162,'recurring2_based on steps'!$B$1:$AY$1,I$1)+SUMIFS('changes2_based on steps'!$B162:$U162,'changes2_based on steps'!$B$1:$U$1,I$1)</f>
        <v>0</v>
      </c>
      <c r="J162" s="179">
        <f>SUMIFS('recurring2_based on steps'!$B162:$AY162,'recurring2_based on steps'!$B$1:$AY$1,J$1)+SUMIFS('changes2_based on steps'!$B162:$U162,'changes2_based on steps'!$B$1:$U$1,J$1)</f>
        <v>0</v>
      </c>
      <c r="K162" s="179">
        <f>SUMIFS('recurring2_based on steps'!$B162:$AY162,'recurring2_based on steps'!$B$1:$AY$1,K$1)+SUMIFS('changes2_based on steps'!$B162:$U162,'changes2_based on steps'!$B$1:$U$1,K$1)</f>
        <v>0</v>
      </c>
      <c r="L162" s="179">
        <f>SUMIFS('recurring2_based on steps'!$B162:$AY162,'recurring2_based on steps'!$B$1:$AY$1,L$1)+SUMIFS('changes2_based on steps'!$B162:$U162,'changes2_based on steps'!$B$1:$U$1,L$1)</f>
        <v>0</v>
      </c>
      <c r="M162" s="179">
        <f>SUMIFS('recurring2_based on steps'!$B162:$AY162,'recurring2_based on steps'!$B$1:$AY$1,M$1)+SUMIFS('changes2_based on steps'!$B162:$U162,'changes2_based on steps'!$B$1:$U$1,M$1)</f>
        <v>0</v>
      </c>
      <c r="N162" s="179">
        <f>SUMIFS('recurring2_based on steps'!$B162:$AY162,'recurring2_based on steps'!$B$1:$AY$1,N$1)+SUMIFS('changes2_based on steps'!$B162:$U162,'changes2_based on steps'!$B$1:$U$1,N$1)</f>
        <v>0</v>
      </c>
      <c r="O162" s="179">
        <f>SUMIFS('recurring2_based on steps'!$B162:$AY162,'recurring2_based on steps'!$B$1:$AY$1,O$1)+SUMIFS('changes2_based on steps'!$B162:$U162,'changes2_based on steps'!$B$1:$U$1,O$1)</f>
        <v>0</v>
      </c>
      <c r="P162" s="179">
        <f>SUMIFS('recurring2_based on steps'!$B162:$AY162,'recurring2_based on steps'!$B$1:$AY$1,P$1)+SUMIFS('changes2_based on steps'!$B162:$U162,'changes2_based on steps'!$B$1:$U$1,P$1)</f>
        <v>0</v>
      </c>
      <c r="Q162" s="179">
        <f>SUMIFS('recurring2_based on steps'!$B162:$AY162,'recurring2_based on steps'!$B$1:$AY$1,Q$1)+SUMIFS('changes2_based on steps'!$B162:$U162,'changes2_based on steps'!$B$1:$U$1,Q$1)</f>
        <v>0</v>
      </c>
      <c r="R162" s="179">
        <f>SUMIFS('recurring2_based on steps'!$B162:$AY162,'recurring2_based on steps'!$B$1:$AY$1,R$1)+SUMIFS('changes2_based on steps'!$B162:$U162,'changes2_based on steps'!$B$1:$U$1,R$1)</f>
        <v>0</v>
      </c>
      <c r="S162" s="179">
        <f>SUMIFS('recurring2_based on steps'!$B162:$AY162,'recurring2_based on steps'!$B$1:$AY$1,S$1)+SUMIFS('changes2_based on steps'!$B162:$U162,'changes2_based on steps'!$B$1:$U$1,S$1)</f>
        <v>0</v>
      </c>
      <c r="T162" s="179">
        <f>SUMIFS('recurring2_based on steps'!$B162:$AY162,'recurring2_based on steps'!$B$1:$AY$1,T$1)+SUMIFS('changes2_based on steps'!$B162:$U162,'changes2_based on steps'!$B$1:$U$1,T$1)</f>
        <v>0</v>
      </c>
      <c r="U162" s="179">
        <f>SUMIFS('recurring2_based on steps'!$B162:$AY162,'recurring2_based on steps'!$B$1:$AY$1,U$1)+SUMIFS('changes2_based on steps'!$B162:$U162,'changes2_based on steps'!$B$1:$U$1,U$1)</f>
        <v>0</v>
      </c>
      <c r="V162" s="179">
        <f>SUMIFS('recurring2_based on steps'!$B162:$AY162,'recurring2_based on steps'!$B$1:$AY$1,V$1)+SUMIFS('changes2_based on steps'!$B162:$U162,'changes2_based on steps'!$B$1:$U$1,V$1)</f>
        <v>0</v>
      </c>
      <c r="W162" s="179">
        <f>SUMIFS('recurring2_based on steps'!$B162:$AY162,'recurring2_based on steps'!$B$1:$AY$1,W$1)+SUMIFS('changes2_based on steps'!$B162:$U162,'changes2_based on steps'!$B$1:$U$1,W$1)</f>
        <v>0</v>
      </c>
      <c r="X162" s="179">
        <f>SUMIFS('recurring2_based on steps'!$B162:$AY162,'recurring2_based on steps'!$B$1:$AY$1,X$1)+SUMIFS('changes2_based on steps'!$B162:$U162,'changes2_based on steps'!$B$1:$U$1,X$1)</f>
        <v>0</v>
      </c>
      <c r="Y162" s="179">
        <f>SUMIFS('recurring2_based on steps'!$B162:$AY162,'recurring2_based on steps'!$B$1:$AY$1,Y$1)+SUMIFS('changes2_based on steps'!$B162:$U162,'changes2_based on steps'!$B$1:$U$1,Y$1)</f>
        <v>0</v>
      </c>
      <c r="Z162" s="179">
        <f>SUMIFS('recurring2_based on steps'!$B162:$AY162,'recurring2_based on steps'!$B$1:$AY$1,Z$1)+SUMIFS('changes2_based on steps'!$B162:$U162,'changes2_based on steps'!$B$1:$U$1,Z$1)</f>
        <v>0</v>
      </c>
      <c r="AA162" s="179">
        <f>SUMIFS('recurring2_based on steps'!$B162:$AY162,'recurring2_based on steps'!$B$1:$AY$1,AA$1)+SUMIFS('changes2_based on steps'!$B162:$U162,'changes2_based on steps'!$B$1:$U$1,AA$1)</f>
        <v>0</v>
      </c>
      <c r="AB162" s="179">
        <f>SUMIFS('recurring2_based on steps'!$B162:$AY162,'recurring2_based on steps'!$B$1:$AY$1,AB$1)+SUMIFS('changes2_based on steps'!$B162:$U162,'changes2_based on steps'!$B$1:$U$1,AB$1)</f>
        <v>0</v>
      </c>
      <c r="AC162" s="179">
        <f>SUMIFS('recurring2_based on steps'!$B162:$AY162,'recurring2_based on steps'!$B$1:$AY$1,AC$1)+SUMIFS('changes2_based on steps'!$B162:$U162,'changes2_based on steps'!$B$1:$U$1,AC$1)</f>
        <v>0</v>
      </c>
      <c r="AD162" s="179">
        <f>SUMIFS('recurring2_based on steps'!$B162:$AY162,'recurring2_based on steps'!$B$1:$AY$1,AD$1)+SUMIFS('changes2_based on steps'!$B162:$U162,'changes2_based on steps'!$B$1:$U$1,AD$1)</f>
        <v>0</v>
      </c>
      <c r="AE162" s="179">
        <f>SUMIFS('recurring2_based on steps'!$B162:$AY162,'recurring2_based on steps'!$B$1:$AY$1,AE$1)+SUMIFS('changes2_based on steps'!$B162:$U162,'changes2_based on steps'!$B$1:$U$1,AE$1)</f>
        <v>0</v>
      </c>
      <c r="AF162" s="179"/>
      <c r="AG162" s="179"/>
      <c r="AH162" s="179"/>
      <c r="AI162" s="179"/>
      <c r="AJ162" s="179"/>
      <c r="AK162" s="179"/>
      <c r="AL162" s="179"/>
      <c r="AM162" s="179"/>
    </row>
    <row r="163" spans="1:39" x14ac:dyDescent="0.2">
      <c r="A163" s="32">
        <f t="shared" ca="1" si="2"/>
        <v>45905</v>
      </c>
      <c r="B163" s="179">
        <f>SUMIFS('recurring2_based on steps'!$B163:$AY163,'recurring2_based on steps'!$B$1:$AY$1,B$1)+SUMIFS('changes2_based on steps'!$B163:$U163,'changes2_based on steps'!$B$1:$U$1,B$1)</f>
        <v>0</v>
      </c>
      <c r="C163" s="179">
        <f>SUMIFS('recurring2_based on steps'!$B163:$AY163,'recurring2_based on steps'!$B$1:$AY$1,C$1)+SUMIFS('changes2_based on steps'!$B163:$U163,'changes2_based on steps'!$B$1:$U$1,C$1)</f>
        <v>0</v>
      </c>
      <c r="D163" s="179">
        <f>SUMIFS('recurring2_based on steps'!$B163:$AY163,'recurring2_based on steps'!$B$1:$AY$1,D$1)+SUMIFS('changes2_based on steps'!$B163:$U163,'changes2_based on steps'!$B$1:$U$1,D$1)</f>
        <v>0</v>
      </c>
      <c r="E163" s="179">
        <f>SUMIFS('recurring2_based on steps'!$B163:$AY163,'recurring2_based on steps'!$B$1:$AY$1,E$1)+SUMIFS('changes2_based on steps'!$B163:$U163,'changes2_based on steps'!$B$1:$U$1,E$1)</f>
        <v>0</v>
      </c>
      <c r="F163" s="179">
        <f>SUMIFS('recurring2_based on steps'!$B163:$AY163,'recurring2_based on steps'!$B$1:$AY$1,F$1)+SUMIFS('changes2_based on steps'!$B163:$U163,'changes2_based on steps'!$B$1:$U$1,F$1)</f>
        <v>0</v>
      </c>
      <c r="G163" s="179">
        <f>SUMIFS('recurring2_based on steps'!$B163:$AY163,'recurring2_based on steps'!$B$1:$AY$1,G$1)+SUMIFS('changes2_based on steps'!$B163:$U163,'changes2_based on steps'!$B$1:$U$1,G$1)</f>
        <v>0</v>
      </c>
      <c r="H163" s="179">
        <f>SUMIFS('recurring2_based on steps'!$B163:$AY163,'recurring2_based on steps'!$B$1:$AY$1,H$1)+SUMIFS('changes2_based on steps'!$B163:$U163,'changes2_based on steps'!$B$1:$U$1,H$1)</f>
        <v>0</v>
      </c>
      <c r="I163" s="179">
        <f>SUMIFS('recurring2_based on steps'!$B163:$AY163,'recurring2_based on steps'!$B$1:$AY$1,I$1)+SUMIFS('changes2_based on steps'!$B163:$U163,'changes2_based on steps'!$B$1:$U$1,I$1)</f>
        <v>0</v>
      </c>
      <c r="J163" s="179">
        <f>SUMIFS('recurring2_based on steps'!$B163:$AY163,'recurring2_based on steps'!$B$1:$AY$1,J$1)+SUMIFS('changes2_based on steps'!$B163:$U163,'changes2_based on steps'!$B$1:$U$1,J$1)</f>
        <v>0</v>
      </c>
      <c r="K163" s="179">
        <f>SUMIFS('recurring2_based on steps'!$B163:$AY163,'recurring2_based on steps'!$B$1:$AY$1,K$1)+SUMIFS('changes2_based on steps'!$B163:$U163,'changes2_based on steps'!$B$1:$U$1,K$1)</f>
        <v>0</v>
      </c>
      <c r="L163" s="179">
        <f>SUMIFS('recurring2_based on steps'!$B163:$AY163,'recurring2_based on steps'!$B$1:$AY$1,L$1)+SUMIFS('changes2_based on steps'!$B163:$U163,'changes2_based on steps'!$B$1:$U$1,L$1)</f>
        <v>0</v>
      </c>
      <c r="M163" s="179">
        <f>SUMIFS('recurring2_based on steps'!$B163:$AY163,'recurring2_based on steps'!$B$1:$AY$1,M$1)+SUMIFS('changes2_based on steps'!$B163:$U163,'changes2_based on steps'!$B$1:$U$1,M$1)</f>
        <v>0</v>
      </c>
      <c r="N163" s="179">
        <f>SUMIFS('recurring2_based on steps'!$B163:$AY163,'recurring2_based on steps'!$B$1:$AY$1,N$1)+SUMIFS('changes2_based on steps'!$B163:$U163,'changes2_based on steps'!$B$1:$U$1,N$1)</f>
        <v>0</v>
      </c>
      <c r="O163" s="179">
        <f>SUMIFS('recurring2_based on steps'!$B163:$AY163,'recurring2_based on steps'!$B$1:$AY$1,O$1)+SUMIFS('changes2_based on steps'!$B163:$U163,'changes2_based on steps'!$B$1:$U$1,O$1)</f>
        <v>0</v>
      </c>
      <c r="P163" s="179">
        <f>SUMIFS('recurring2_based on steps'!$B163:$AY163,'recurring2_based on steps'!$B$1:$AY$1,P$1)+SUMIFS('changes2_based on steps'!$B163:$U163,'changes2_based on steps'!$B$1:$U$1,P$1)</f>
        <v>0</v>
      </c>
      <c r="Q163" s="179">
        <f>SUMIFS('recurring2_based on steps'!$B163:$AY163,'recurring2_based on steps'!$B$1:$AY$1,Q$1)+SUMIFS('changes2_based on steps'!$B163:$U163,'changes2_based on steps'!$B$1:$U$1,Q$1)</f>
        <v>0</v>
      </c>
      <c r="R163" s="179">
        <f>SUMIFS('recurring2_based on steps'!$B163:$AY163,'recurring2_based on steps'!$B$1:$AY$1,R$1)+SUMIFS('changes2_based on steps'!$B163:$U163,'changes2_based on steps'!$B$1:$U$1,R$1)</f>
        <v>0</v>
      </c>
      <c r="S163" s="179">
        <f>SUMIFS('recurring2_based on steps'!$B163:$AY163,'recurring2_based on steps'!$B$1:$AY$1,S$1)+SUMIFS('changes2_based on steps'!$B163:$U163,'changes2_based on steps'!$B$1:$U$1,S$1)</f>
        <v>0</v>
      </c>
      <c r="T163" s="179">
        <f>SUMIFS('recurring2_based on steps'!$B163:$AY163,'recurring2_based on steps'!$B$1:$AY$1,T$1)+SUMIFS('changes2_based on steps'!$B163:$U163,'changes2_based on steps'!$B$1:$U$1,T$1)</f>
        <v>0</v>
      </c>
      <c r="U163" s="179">
        <f>SUMIFS('recurring2_based on steps'!$B163:$AY163,'recurring2_based on steps'!$B$1:$AY$1,U$1)+SUMIFS('changes2_based on steps'!$B163:$U163,'changes2_based on steps'!$B$1:$U$1,U$1)</f>
        <v>0</v>
      </c>
      <c r="V163" s="179">
        <f>SUMIFS('recurring2_based on steps'!$B163:$AY163,'recurring2_based on steps'!$B$1:$AY$1,V$1)+SUMIFS('changes2_based on steps'!$B163:$U163,'changes2_based on steps'!$B$1:$U$1,V$1)</f>
        <v>0</v>
      </c>
      <c r="W163" s="179">
        <f>SUMIFS('recurring2_based on steps'!$B163:$AY163,'recurring2_based on steps'!$B$1:$AY$1,W$1)+SUMIFS('changes2_based on steps'!$B163:$U163,'changes2_based on steps'!$B$1:$U$1,W$1)</f>
        <v>0</v>
      </c>
      <c r="X163" s="179">
        <f>SUMIFS('recurring2_based on steps'!$B163:$AY163,'recurring2_based on steps'!$B$1:$AY$1,X$1)+SUMIFS('changes2_based on steps'!$B163:$U163,'changes2_based on steps'!$B$1:$U$1,X$1)</f>
        <v>0</v>
      </c>
      <c r="Y163" s="179">
        <f>SUMIFS('recurring2_based on steps'!$B163:$AY163,'recurring2_based on steps'!$B$1:$AY$1,Y$1)+SUMIFS('changes2_based on steps'!$B163:$U163,'changes2_based on steps'!$B$1:$U$1,Y$1)</f>
        <v>0</v>
      </c>
      <c r="Z163" s="179">
        <f>SUMIFS('recurring2_based on steps'!$B163:$AY163,'recurring2_based on steps'!$B$1:$AY$1,Z$1)+SUMIFS('changes2_based on steps'!$B163:$U163,'changes2_based on steps'!$B$1:$U$1,Z$1)</f>
        <v>0</v>
      </c>
      <c r="AA163" s="179">
        <f>SUMIFS('recurring2_based on steps'!$B163:$AY163,'recurring2_based on steps'!$B$1:$AY$1,AA$1)+SUMIFS('changes2_based on steps'!$B163:$U163,'changes2_based on steps'!$B$1:$U$1,AA$1)</f>
        <v>0</v>
      </c>
      <c r="AB163" s="179">
        <f>SUMIFS('recurring2_based on steps'!$B163:$AY163,'recurring2_based on steps'!$B$1:$AY$1,AB$1)+SUMIFS('changes2_based on steps'!$B163:$U163,'changes2_based on steps'!$B$1:$U$1,AB$1)</f>
        <v>0</v>
      </c>
      <c r="AC163" s="179">
        <f>SUMIFS('recurring2_based on steps'!$B163:$AY163,'recurring2_based on steps'!$B$1:$AY$1,AC$1)+SUMIFS('changes2_based on steps'!$B163:$U163,'changes2_based on steps'!$B$1:$U$1,AC$1)</f>
        <v>0</v>
      </c>
      <c r="AD163" s="179">
        <f>SUMIFS('recurring2_based on steps'!$B163:$AY163,'recurring2_based on steps'!$B$1:$AY$1,AD$1)+SUMIFS('changes2_based on steps'!$B163:$U163,'changes2_based on steps'!$B$1:$U$1,AD$1)</f>
        <v>0</v>
      </c>
      <c r="AE163" s="179">
        <f>SUMIFS('recurring2_based on steps'!$B163:$AY163,'recurring2_based on steps'!$B$1:$AY$1,AE$1)+SUMIFS('changes2_based on steps'!$B163:$U163,'changes2_based on steps'!$B$1:$U$1,AE$1)</f>
        <v>0</v>
      </c>
      <c r="AF163" s="179"/>
      <c r="AG163" s="179"/>
      <c r="AH163" s="179"/>
      <c r="AI163" s="179"/>
      <c r="AJ163" s="179"/>
      <c r="AK163" s="179"/>
      <c r="AL163" s="179"/>
      <c r="AM163" s="179"/>
    </row>
    <row r="164" spans="1:39" x14ac:dyDescent="0.2">
      <c r="A164" s="32">
        <f t="shared" ca="1" si="2"/>
        <v>45906</v>
      </c>
      <c r="B164" s="179">
        <f>SUMIFS('recurring2_based on steps'!$B164:$AY164,'recurring2_based on steps'!$B$1:$AY$1,B$1)+SUMIFS('changes2_based on steps'!$B164:$U164,'changes2_based on steps'!$B$1:$U$1,B$1)</f>
        <v>0</v>
      </c>
      <c r="C164" s="179">
        <f>SUMIFS('recurring2_based on steps'!$B164:$AY164,'recurring2_based on steps'!$B$1:$AY$1,C$1)+SUMIFS('changes2_based on steps'!$B164:$U164,'changes2_based on steps'!$B$1:$U$1,C$1)</f>
        <v>0</v>
      </c>
      <c r="D164" s="179">
        <f>SUMIFS('recurring2_based on steps'!$B164:$AY164,'recurring2_based on steps'!$B$1:$AY$1,D$1)+SUMIFS('changes2_based on steps'!$B164:$U164,'changes2_based on steps'!$B$1:$U$1,D$1)</f>
        <v>0</v>
      </c>
      <c r="E164" s="179">
        <f>SUMIFS('recurring2_based on steps'!$B164:$AY164,'recurring2_based on steps'!$B$1:$AY$1,E$1)+SUMIFS('changes2_based on steps'!$B164:$U164,'changes2_based on steps'!$B$1:$U$1,E$1)</f>
        <v>0</v>
      </c>
      <c r="F164" s="179">
        <f>SUMIFS('recurring2_based on steps'!$B164:$AY164,'recurring2_based on steps'!$B$1:$AY$1,F$1)+SUMIFS('changes2_based on steps'!$B164:$U164,'changes2_based on steps'!$B$1:$U$1,F$1)</f>
        <v>0</v>
      </c>
      <c r="G164" s="179">
        <f>SUMIFS('recurring2_based on steps'!$B164:$AY164,'recurring2_based on steps'!$B$1:$AY$1,G$1)+SUMIFS('changes2_based on steps'!$B164:$U164,'changes2_based on steps'!$B$1:$U$1,G$1)</f>
        <v>0</v>
      </c>
      <c r="H164" s="179">
        <f>SUMIFS('recurring2_based on steps'!$B164:$AY164,'recurring2_based on steps'!$B$1:$AY$1,H$1)+SUMIFS('changes2_based on steps'!$B164:$U164,'changes2_based on steps'!$B$1:$U$1,H$1)</f>
        <v>0</v>
      </c>
      <c r="I164" s="179">
        <f>SUMIFS('recurring2_based on steps'!$B164:$AY164,'recurring2_based on steps'!$B$1:$AY$1,I$1)+SUMIFS('changes2_based on steps'!$B164:$U164,'changes2_based on steps'!$B$1:$U$1,I$1)</f>
        <v>0</v>
      </c>
      <c r="J164" s="179">
        <f>SUMIFS('recurring2_based on steps'!$B164:$AY164,'recurring2_based on steps'!$B$1:$AY$1,J$1)+SUMIFS('changes2_based on steps'!$B164:$U164,'changes2_based on steps'!$B$1:$U$1,J$1)</f>
        <v>0</v>
      </c>
      <c r="K164" s="179">
        <f>SUMIFS('recurring2_based on steps'!$B164:$AY164,'recurring2_based on steps'!$B$1:$AY$1,K$1)+SUMIFS('changes2_based on steps'!$B164:$U164,'changes2_based on steps'!$B$1:$U$1,K$1)</f>
        <v>0</v>
      </c>
      <c r="L164" s="179">
        <f>SUMIFS('recurring2_based on steps'!$B164:$AY164,'recurring2_based on steps'!$B$1:$AY$1,L$1)+SUMIFS('changes2_based on steps'!$B164:$U164,'changes2_based on steps'!$B$1:$U$1,L$1)</f>
        <v>0</v>
      </c>
      <c r="M164" s="179">
        <f>SUMIFS('recurring2_based on steps'!$B164:$AY164,'recurring2_based on steps'!$B$1:$AY$1,M$1)+SUMIFS('changes2_based on steps'!$B164:$U164,'changes2_based on steps'!$B$1:$U$1,M$1)</f>
        <v>0</v>
      </c>
      <c r="N164" s="179">
        <f>SUMIFS('recurring2_based on steps'!$B164:$AY164,'recurring2_based on steps'!$B$1:$AY$1,N$1)+SUMIFS('changes2_based on steps'!$B164:$U164,'changes2_based on steps'!$B$1:$U$1,N$1)</f>
        <v>0</v>
      </c>
      <c r="O164" s="179">
        <f>SUMIFS('recurring2_based on steps'!$B164:$AY164,'recurring2_based on steps'!$B$1:$AY$1,O$1)+SUMIFS('changes2_based on steps'!$B164:$U164,'changes2_based on steps'!$B$1:$U$1,O$1)</f>
        <v>0</v>
      </c>
      <c r="P164" s="179">
        <f>SUMIFS('recurring2_based on steps'!$B164:$AY164,'recurring2_based on steps'!$B$1:$AY$1,P$1)+SUMIFS('changes2_based on steps'!$B164:$U164,'changes2_based on steps'!$B$1:$U$1,P$1)</f>
        <v>0</v>
      </c>
      <c r="Q164" s="179">
        <f>SUMIFS('recurring2_based on steps'!$B164:$AY164,'recurring2_based on steps'!$B$1:$AY$1,Q$1)+SUMIFS('changes2_based on steps'!$B164:$U164,'changes2_based on steps'!$B$1:$U$1,Q$1)</f>
        <v>0</v>
      </c>
      <c r="R164" s="179">
        <f>SUMIFS('recurring2_based on steps'!$B164:$AY164,'recurring2_based on steps'!$B$1:$AY$1,R$1)+SUMIFS('changes2_based on steps'!$B164:$U164,'changes2_based on steps'!$B$1:$U$1,R$1)</f>
        <v>0</v>
      </c>
      <c r="S164" s="179">
        <f>SUMIFS('recurring2_based on steps'!$B164:$AY164,'recurring2_based on steps'!$B$1:$AY$1,S$1)+SUMIFS('changes2_based on steps'!$B164:$U164,'changes2_based on steps'!$B$1:$U$1,S$1)</f>
        <v>0</v>
      </c>
      <c r="T164" s="179">
        <f>SUMIFS('recurring2_based on steps'!$B164:$AY164,'recurring2_based on steps'!$B$1:$AY$1,T$1)+SUMIFS('changes2_based on steps'!$B164:$U164,'changes2_based on steps'!$B$1:$U$1,T$1)</f>
        <v>0</v>
      </c>
      <c r="U164" s="179">
        <f>SUMIFS('recurring2_based on steps'!$B164:$AY164,'recurring2_based on steps'!$B$1:$AY$1,U$1)+SUMIFS('changes2_based on steps'!$B164:$U164,'changes2_based on steps'!$B$1:$U$1,U$1)</f>
        <v>0</v>
      </c>
      <c r="V164" s="179">
        <f>SUMIFS('recurring2_based on steps'!$B164:$AY164,'recurring2_based on steps'!$B$1:$AY$1,V$1)+SUMIFS('changes2_based on steps'!$B164:$U164,'changes2_based on steps'!$B$1:$U$1,V$1)</f>
        <v>0</v>
      </c>
      <c r="W164" s="179">
        <f>SUMIFS('recurring2_based on steps'!$B164:$AY164,'recurring2_based on steps'!$B$1:$AY$1,W$1)+SUMIFS('changes2_based on steps'!$B164:$U164,'changes2_based on steps'!$B$1:$U$1,W$1)</f>
        <v>0</v>
      </c>
      <c r="X164" s="179">
        <f>SUMIFS('recurring2_based on steps'!$B164:$AY164,'recurring2_based on steps'!$B$1:$AY$1,X$1)+SUMIFS('changes2_based on steps'!$B164:$U164,'changes2_based on steps'!$B$1:$U$1,X$1)</f>
        <v>0</v>
      </c>
      <c r="Y164" s="179">
        <f>SUMIFS('recurring2_based on steps'!$B164:$AY164,'recurring2_based on steps'!$B$1:$AY$1,Y$1)+SUMIFS('changes2_based on steps'!$B164:$U164,'changes2_based on steps'!$B$1:$U$1,Y$1)</f>
        <v>0</v>
      </c>
      <c r="Z164" s="179">
        <f>SUMIFS('recurring2_based on steps'!$B164:$AY164,'recurring2_based on steps'!$B$1:$AY$1,Z$1)+SUMIFS('changes2_based on steps'!$B164:$U164,'changes2_based on steps'!$B$1:$U$1,Z$1)</f>
        <v>0</v>
      </c>
      <c r="AA164" s="179">
        <f>SUMIFS('recurring2_based on steps'!$B164:$AY164,'recurring2_based on steps'!$B$1:$AY$1,AA$1)+SUMIFS('changes2_based on steps'!$B164:$U164,'changes2_based on steps'!$B$1:$U$1,AA$1)</f>
        <v>0</v>
      </c>
      <c r="AB164" s="179">
        <f>SUMIFS('recurring2_based on steps'!$B164:$AY164,'recurring2_based on steps'!$B$1:$AY$1,AB$1)+SUMIFS('changes2_based on steps'!$B164:$U164,'changes2_based on steps'!$B$1:$U$1,AB$1)</f>
        <v>0</v>
      </c>
      <c r="AC164" s="179">
        <f>SUMIFS('recurring2_based on steps'!$B164:$AY164,'recurring2_based on steps'!$B$1:$AY$1,AC$1)+SUMIFS('changes2_based on steps'!$B164:$U164,'changes2_based on steps'!$B$1:$U$1,AC$1)</f>
        <v>0</v>
      </c>
      <c r="AD164" s="179">
        <f>SUMIFS('recurring2_based on steps'!$B164:$AY164,'recurring2_based on steps'!$B$1:$AY$1,AD$1)+SUMIFS('changes2_based on steps'!$B164:$U164,'changes2_based on steps'!$B$1:$U$1,AD$1)</f>
        <v>0</v>
      </c>
      <c r="AE164" s="179">
        <f>SUMIFS('recurring2_based on steps'!$B164:$AY164,'recurring2_based on steps'!$B$1:$AY$1,AE$1)+SUMIFS('changes2_based on steps'!$B164:$U164,'changes2_based on steps'!$B$1:$U$1,AE$1)</f>
        <v>0</v>
      </c>
      <c r="AF164" s="179"/>
      <c r="AG164" s="179"/>
      <c r="AH164" s="179"/>
      <c r="AI164" s="179"/>
      <c r="AJ164" s="179"/>
      <c r="AK164" s="179"/>
      <c r="AL164" s="179"/>
      <c r="AM164" s="179"/>
    </row>
    <row r="165" spans="1:39" x14ac:dyDescent="0.2">
      <c r="A165" s="32">
        <f t="shared" ca="1" si="2"/>
        <v>45907</v>
      </c>
      <c r="B165" s="179">
        <f>SUMIFS('recurring2_based on steps'!$B165:$AY165,'recurring2_based on steps'!$B$1:$AY$1,B$1)+SUMIFS('changes2_based on steps'!$B165:$U165,'changes2_based on steps'!$B$1:$U$1,B$1)</f>
        <v>0</v>
      </c>
      <c r="C165" s="179">
        <f>SUMIFS('recurring2_based on steps'!$B165:$AY165,'recurring2_based on steps'!$B$1:$AY$1,C$1)+SUMIFS('changes2_based on steps'!$B165:$U165,'changes2_based on steps'!$B$1:$U$1,C$1)</f>
        <v>0</v>
      </c>
      <c r="D165" s="179">
        <f>SUMIFS('recurring2_based on steps'!$B165:$AY165,'recurring2_based on steps'!$B$1:$AY$1,D$1)+SUMIFS('changes2_based on steps'!$B165:$U165,'changes2_based on steps'!$B$1:$U$1,D$1)</f>
        <v>0</v>
      </c>
      <c r="E165" s="179">
        <f>SUMIFS('recurring2_based on steps'!$B165:$AY165,'recurring2_based on steps'!$B$1:$AY$1,E$1)+SUMIFS('changes2_based on steps'!$B165:$U165,'changes2_based on steps'!$B$1:$U$1,E$1)</f>
        <v>0</v>
      </c>
      <c r="F165" s="179">
        <f>SUMIFS('recurring2_based on steps'!$B165:$AY165,'recurring2_based on steps'!$B$1:$AY$1,F$1)+SUMIFS('changes2_based on steps'!$B165:$U165,'changes2_based on steps'!$B$1:$U$1,F$1)</f>
        <v>0</v>
      </c>
      <c r="G165" s="179">
        <f>SUMIFS('recurring2_based on steps'!$B165:$AY165,'recurring2_based on steps'!$B$1:$AY$1,G$1)+SUMIFS('changes2_based on steps'!$B165:$U165,'changes2_based on steps'!$B$1:$U$1,G$1)</f>
        <v>0</v>
      </c>
      <c r="H165" s="179">
        <f>SUMIFS('recurring2_based on steps'!$B165:$AY165,'recurring2_based on steps'!$B$1:$AY$1,H$1)+SUMIFS('changes2_based on steps'!$B165:$U165,'changes2_based on steps'!$B$1:$U$1,H$1)</f>
        <v>0</v>
      </c>
      <c r="I165" s="179">
        <f>SUMIFS('recurring2_based on steps'!$B165:$AY165,'recurring2_based on steps'!$B$1:$AY$1,I$1)+SUMIFS('changes2_based on steps'!$B165:$U165,'changes2_based on steps'!$B$1:$U$1,I$1)</f>
        <v>0</v>
      </c>
      <c r="J165" s="179">
        <f>SUMIFS('recurring2_based on steps'!$B165:$AY165,'recurring2_based on steps'!$B$1:$AY$1,J$1)+SUMIFS('changes2_based on steps'!$B165:$U165,'changes2_based on steps'!$B$1:$U$1,J$1)</f>
        <v>0</v>
      </c>
      <c r="K165" s="179">
        <f>SUMIFS('recurring2_based on steps'!$B165:$AY165,'recurring2_based on steps'!$B$1:$AY$1,K$1)+SUMIFS('changes2_based on steps'!$B165:$U165,'changes2_based on steps'!$B$1:$U$1,K$1)</f>
        <v>0</v>
      </c>
      <c r="L165" s="179">
        <f>SUMIFS('recurring2_based on steps'!$B165:$AY165,'recurring2_based on steps'!$B$1:$AY$1,L$1)+SUMIFS('changes2_based on steps'!$B165:$U165,'changes2_based on steps'!$B$1:$U$1,L$1)</f>
        <v>0</v>
      </c>
      <c r="M165" s="179">
        <f>SUMIFS('recurring2_based on steps'!$B165:$AY165,'recurring2_based on steps'!$B$1:$AY$1,M$1)+SUMIFS('changes2_based on steps'!$B165:$U165,'changes2_based on steps'!$B$1:$U$1,M$1)</f>
        <v>0</v>
      </c>
      <c r="N165" s="179">
        <f>SUMIFS('recurring2_based on steps'!$B165:$AY165,'recurring2_based on steps'!$B$1:$AY$1,N$1)+SUMIFS('changes2_based on steps'!$B165:$U165,'changes2_based on steps'!$B$1:$U$1,N$1)</f>
        <v>0</v>
      </c>
      <c r="O165" s="179">
        <f>SUMIFS('recurring2_based on steps'!$B165:$AY165,'recurring2_based on steps'!$B$1:$AY$1,O$1)+SUMIFS('changes2_based on steps'!$B165:$U165,'changes2_based on steps'!$B$1:$U$1,O$1)</f>
        <v>0</v>
      </c>
      <c r="P165" s="179">
        <f>SUMIFS('recurring2_based on steps'!$B165:$AY165,'recurring2_based on steps'!$B$1:$AY$1,P$1)+SUMIFS('changes2_based on steps'!$B165:$U165,'changes2_based on steps'!$B$1:$U$1,P$1)</f>
        <v>0</v>
      </c>
      <c r="Q165" s="179">
        <f>SUMIFS('recurring2_based on steps'!$B165:$AY165,'recurring2_based on steps'!$B$1:$AY$1,Q$1)+SUMIFS('changes2_based on steps'!$B165:$U165,'changes2_based on steps'!$B$1:$U$1,Q$1)</f>
        <v>0</v>
      </c>
      <c r="R165" s="179">
        <f>SUMIFS('recurring2_based on steps'!$B165:$AY165,'recurring2_based on steps'!$B$1:$AY$1,R$1)+SUMIFS('changes2_based on steps'!$B165:$U165,'changes2_based on steps'!$B$1:$U$1,R$1)</f>
        <v>0</v>
      </c>
      <c r="S165" s="179">
        <f>SUMIFS('recurring2_based on steps'!$B165:$AY165,'recurring2_based on steps'!$B$1:$AY$1,S$1)+SUMIFS('changes2_based on steps'!$B165:$U165,'changes2_based on steps'!$B$1:$U$1,S$1)</f>
        <v>0</v>
      </c>
      <c r="T165" s="179">
        <f>SUMIFS('recurring2_based on steps'!$B165:$AY165,'recurring2_based on steps'!$B$1:$AY$1,T$1)+SUMIFS('changes2_based on steps'!$B165:$U165,'changes2_based on steps'!$B$1:$U$1,T$1)</f>
        <v>0</v>
      </c>
      <c r="U165" s="179">
        <f>SUMIFS('recurring2_based on steps'!$B165:$AY165,'recurring2_based on steps'!$B$1:$AY$1,U$1)+SUMIFS('changes2_based on steps'!$B165:$U165,'changes2_based on steps'!$B$1:$U$1,U$1)</f>
        <v>0</v>
      </c>
      <c r="V165" s="179">
        <f>SUMIFS('recurring2_based on steps'!$B165:$AY165,'recurring2_based on steps'!$B$1:$AY$1,V$1)+SUMIFS('changes2_based on steps'!$B165:$U165,'changes2_based on steps'!$B$1:$U$1,V$1)</f>
        <v>0</v>
      </c>
      <c r="W165" s="179">
        <f>SUMIFS('recurring2_based on steps'!$B165:$AY165,'recurring2_based on steps'!$B$1:$AY$1,W$1)+SUMIFS('changes2_based on steps'!$B165:$U165,'changes2_based on steps'!$B$1:$U$1,W$1)</f>
        <v>0</v>
      </c>
      <c r="X165" s="179">
        <f>SUMIFS('recurring2_based on steps'!$B165:$AY165,'recurring2_based on steps'!$B$1:$AY$1,X$1)+SUMIFS('changes2_based on steps'!$B165:$U165,'changes2_based on steps'!$B$1:$U$1,X$1)</f>
        <v>0</v>
      </c>
      <c r="Y165" s="179">
        <f>SUMIFS('recurring2_based on steps'!$B165:$AY165,'recurring2_based on steps'!$B$1:$AY$1,Y$1)+SUMIFS('changes2_based on steps'!$B165:$U165,'changes2_based on steps'!$B$1:$U$1,Y$1)</f>
        <v>0</v>
      </c>
      <c r="Z165" s="179">
        <f>SUMIFS('recurring2_based on steps'!$B165:$AY165,'recurring2_based on steps'!$B$1:$AY$1,Z$1)+SUMIFS('changes2_based on steps'!$B165:$U165,'changes2_based on steps'!$B$1:$U$1,Z$1)</f>
        <v>0</v>
      </c>
      <c r="AA165" s="179">
        <f>SUMIFS('recurring2_based on steps'!$B165:$AY165,'recurring2_based on steps'!$B$1:$AY$1,AA$1)+SUMIFS('changes2_based on steps'!$B165:$U165,'changes2_based on steps'!$B$1:$U$1,AA$1)</f>
        <v>0</v>
      </c>
      <c r="AB165" s="179">
        <f>SUMIFS('recurring2_based on steps'!$B165:$AY165,'recurring2_based on steps'!$B$1:$AY$1,AB$1)+SUMIFS('changes2_based on steps'!$B165:$U165,'changes2_based on steps'!$B$1:$U$1,AB$1)</f>
        <v>0</v>
      </c>
      <c r="AC165" s="179">
        <f>SUMIFS('recurring2_based on steps'!$B165:$AY165,'recurring2_based on steps'!$B$1:$AY$1,AC$1)+SUMIFS('changes2_based on steps'!$B165:$U165,'changes2_based on steps'!$B$1:$U$1,AC$1)</f>
        <v>0</v>
      </c>
      <c r="AD165" s="179">
        <f>SUMIFS('recurring2_based on steps'!$B165:$AY165,'recurring2_based on steps'!$B$1:$AY$1,AD$1)+SUMIFS('changes2_based on steps'!$B165:$U165,'changes2_based on steps'!$B$1:$U$1,AD$1)</f>
        <v>0</v>
      </c>
      <c r="AE165" s="179">
        <f>SUMIFS('recurring2_based on steps'!$B165:$AY165,'recurring2_based on steps'!$B$1:$AY$1,AE$1)+SUMIFS('changes2_based on steps'!$B165:$U165,'changes2_based on steps'!$B$1:$U$1,AE$1)</f>
        <v>0</v>
      </c>
      <c r="AF165" s="179"/>
      <c r="AG165" s="179"/>
      <c r="AH165" s="179"/>
      <c r="AI165" s="179"/>
      <c r="AJ165" s="179"/>
      <c r="AK165" s="179"/>
      <c r="AL165" s="179"/>
      <c r="AM165" s="179"/>
    </row>
    <row r="166" spans="1:39" x14ac:dyDescent="0.2">
      <c r="A166" s="32">
        <f t="shared" ca="1" si="2"/>
        <v>45908</v>
      </c>
      <c r="B166" s="179">
        <f>SUMIFS('recurring2_based on steps'!$B166:$AY166,'recurring2_based on steps'!$B$1:$AY$1,B$1)+SUMIFS('changes2_based on steps'!$B166:$U166,'changes2_based on steps'!$B$1:$U$1,B$1)</f>
        <v>0</v>
      </c>
      <c r="C166" s="179">
        <f>SUMIFS('recurring2_based on steps'!$B166:$AY166,'recurring2_based on steps'!$B$1:$AY$1,C$1)+SUMIFS('changes2_based on steps'!$B166:$U166,'changes2_based on steps'!$B$1:$U$1,C$1)</f>
        <v>0</v>
      </c>
      <c r="D166" s="179">
        <f>SUMIFS('recurring2_based on steps'!$B166:$AY166,'recurring2_based on steps'!$B$1:$AY$1,D$1)+SUMIFS('changes2_based on steps'!$B166:$U166,'changes2_based on steps'!$B$1:$U$1,D$1)</f>
        <v>0</v>
      </c>
      <c r="E166" s="179">
        <f>SUMIFS('recurring2_based on steps'!$B166:$AY166,'recurring2_based on steps'!$B$1:$AY$1,E$1)+SUMIFS('changes2_based on steps'!$B166:$U166,'changes2_based on steps'!$B$1:$U$1,E$1)</f>
        <v>0</v>
      </c>
      <c r="F166" s="179">
        <f>SUMIFS('recurring2_based on steps'!$B166:$AY166,'recurring2_based on steps'!$B$1:$AY$1,F$1)+SUMIFS('changes2_based on steps'!$B166:$U166,'changes2_based on steps'!$B$1:$U$1,F$1)</f>
        <v>0</v>
      </c>
      <c r="G166" s="179">
        <f>SUMIFS('recurring2_based on steps'!$B166:$AY166,'recurring2_based on steps'!$B$1:$AY$1,G$1)+SUMIFS('changes2_based on steps'!$B166:$U166,'changes2_based on steps'!$B$1:$U$1,G$1)</f>
        <v>0</v>
      </c>
      <c r="H166" s="179">
        <f>SUMIFS('recurring2_based on steps'!$B166:$AY166,'recurring2_based on steps'!$B$1:$AY$1,H$1)+SUMIFS('changes2_based on steps'!$B166:$U166,'changes2_based on steps'!$B$1:$U$1,H$1)</f>
        <v>0</v>
      </c>
      <c r="I166" s="179">
        <f>SUMIFS('recurring2_based on steps'!$B166:$AY166,'recurring2_based on steps'!$B$1:$AY$1,I$1)+SUMIFS('changes2_based on steps'!$B166:$U166,'changes2_based on steps'!$B$1:$U$1,I$1)</f>
        <v>0</v>
      </c>
      <c r="J166" s="179">
        <f>SUMIFS('recurring2_based on steps'!$B166:$AY166,'recurring2_based on steps'!$B$1:$AY$1,J$1)+SUMIFS('changes2_based on steps'!$B166:$U166,'changes2_based on steps'!$B$1:$U$1,J$1)</f>
        <v>0</v>
      </c>
      <c r="K166" s="179">
        <f>SUMIFS('recurring2_based on steps'!$B166:$AY166,'recurring2_based on steps'!$B$1:$AY$1,K$1)+SUMIFS('changes2_based on steps'!$B166:$U166,'changes2_based on steps'!$B$1:$U$1,K$1)</f>
        <v>0</v>
      </c>
      <c r="L166" s="179">
        <f>SUMIFS('recurring2_based on steps'!$B166:$AY166,'recurring2_based on steps'!$B$1:$AY$1,L$1)+SUMIFS('changes2_based on steps'!$B166:$U166,'changes2_based on steps'!$B$1:$U$1,L$1)</f>
        <v>0</v>
      </c>
      <c r="M166" s="179">
        <f>SUMIFS('recurring2_based on steps'!$B166:$AY166,'recurring2_based on steps'!$B$1:$AY$1,M$1)+SUMIFS('changes2_based on steps'!$B166:$U166,'changes2_based on steps'!$B$1:$U$1,M$1)</f>
        <v>0</v>
      </c>
      <c r="N166" s="179">
        <f>SUMIFS('recurring2_based on steps'!$B166:$AY166,'recurring2_based on steps'!$B$1:$AY$1,N$1)+SUMIFS('changes2_based on steps'!$B166:$U166,'changes2_based on steps'!$B$1:$U$1,N$1)</f>
        <v>0</v>
      </c>
      <c r="O166" s="179">
        <f>SUMIFS('recurring2_based on steps'!$B166:$AY166,'recurring2_based on steps'!$B$1:$AY$1,O$1)+SUMIFS('changes2_based on steps'!$B166:$U166,'changes2_based on steps'!$B$1:$U$1,O$1)</f>
        <v>0</v>
      </c>
      <c r="P166" s="179">
        <f>SUMIFS('recurring2_based on steps'!$B166:$AY166,'recurring2_based on steps'!$B$1:$AY$1,P$1)+SUMIFS('changes2_based on steps'!$B166:$U166,'changes2_based on steps'!$B$1:$U$1,P$1)</f>
        <v>0</v>
      </c>
      <c r="Q166" s="179">
        <f>SUMIFS('recurring2_based on steps'!$B166:$AY166,'recurring2_based on steps'!$B$1:$AY$1,Q$1)+SUMIFS('changes2_based on steps'!$B166:$U166,'changes2_based on steps'!$B$1:$U$1,Q$1)</f>
        <v>0</v>
      </c>
      <c r="R166" s="179">
        <f>SUMIFS('recurring2_based on steps'!$B166:$AY166,'recurring2_based on steps'!$B$1:$AY$1,R$1)+SUMIFS('changes2_based on steps'!$B166:$U166,'changes2_based on steps'!$B$1:$U$1,R$1)</f>
        <v>0</v>
      </c>
      <c r="S166" s="179">
        <f>SUMIFS('recurring2_based on steps'!$B166:$AY166,'recurring2_based on steps'!$B$1:$AY$1,S$1)+SUMIFS('changes2_based on steps'!$B166:$U166,'changes2_based on steps'!$B$1:$U$1,S$1)</f>
        <v>0</v>
      </c>
      <c r="T166" s="179">
        <f>SUMIFS('recurring2_based on steps'!$B166:$AY166,'recurring2_based on steps'!$B$1:$AY$1,T$1)+SUMIFS('changes2_based on steps'!$B166:$U166,'changes2_based on steps'!$B$1:$U$1,T$1)</f>
        <v>0</v>
      </c>
      <c r="U166" s="179">
        <f>SUMIFS('recurring2_based on steps'!$B166:$AY166,'recurring2_based on steps'!$B$1:$AY$1,U$1)+SUMIFS('changes2_based on steps'!$B166:$U166,'changes2_based on steps'!$B$1:$U$1,U$1)</f>
        <v>0</v>
      </c>
      <c r="V166" s="179">
        <f>SUMIFS('recurring2_based on steps'!$B166:$AY166,'recurring2_based on steps'!$B$1:$AY$1,V$1)+SUMIFS('changes2_based on steps'!$B166:$U166,'changes2_based on steps'!$B$1:$U$1,V$1)</f>
        <v>0</v>
      </c>
      <c r="W166" s="179">
        <f>SUMIFS('recurring2_based on steps'!$B166:$AY166,'recurring2_based on steps'!$B$1:$AY$1,W$1)+SUMIFS('changes2_based on steps'!$B166:$U166,'changes2_based on steps'!$B$1:$U$1,W$1)</f>
        <v>0</v>
      </c>
      <c r="X166" s="179">
        <f>SUMIFS('recurring2_based on steps'!$B166:$AY166,'recurring2_based on steps'!$B$1:$AY$1,X$1)+SUMIFS('changes2_based on steps'!$B166:$U166,'changes2_based on steps'!$B$1:$U$1,X$1)</f>
        <v>0</v>
      </c>
      <c r="Y166" s="179">
        <f>SUMIFS('recurring2_based on steps'!$B166:$AY166,'recurring2_based on steps'!$B$1:$AY$1,Y$1)+SUMIFS('changes2_based on steps'!$B166:$U166,'changes2_based on steps'!$B$1:$U$1,Y$1)</f>
        <v>0</v>
      </c>
      <c r="Z166" s="179">
        <f>SUMIFS('recurring2_based on steps'!$B166:$AY166,'recurring2_based on steps'!$B$1:$AY$1,Z$1)+SUMIFS('changes2_based on steps'!$B166:$U166,'changes2_based on steps'!$B$1:$U$1,Z$1)</f>
        <v>0</v>
      </c>
      <c r="AA166" s="179">
        <f>SUMIFS('recurring2_based on steps'!$B166:$AY166,'recurring2_based on steps'!$B$1:$AY$1,AA$1)+SUMIFS('changes2_based on steps'!$B166:$U166,'changes2_based on steps'!$B$1:$U$1,AA$1)</f>
        <v>0</v>
      </c>
      <c r="AB166" s="179">
        <f>SUMIFS('recurring2_based on steps'!$B166:$AY166,'recurring2_based on steps'!$B$1:$AY$1,AB$1)+SUMIFS('changes2_based on steps'!$B166:$U166,'changes2_based on steps'!$B$1:$U$1,AB$1)</f>
        <v>0</v>
      </c>
      <c r="AC166" s="179">
        <f>SUMIFS('recurring2_based on steps'!$B166:$AY166,'recurring2_based on steps'!$B$1:$AY$1,AC$1)+SUMIFS('changes2_based on steps'!$B166:$U166,'changes2_based on steps'!$B$1:$U$1,AC$1)</f>
        <v>0</v>
      </c>
      <c r="AD166" s="179">
        <f>SUMIFS('recurring2_based on steps'!$B166:$AY166,'recurring2_based on steps'!$B$1:$AY$1,AD$1)+SUMIFS('changes2_based on steps'!$B166:$U166,'changes2_based on steps'!$B$1:$U$1,AD$1)</f>
        <v>0</v>
      </c>
      <c r="AE166" s="179">
        <f>SUMIFS('recurring2_based on steps'!$B166:$AY166,'recurring2_based on steps'!$B$1:$AY$1,AE$1)+SUMIFS('changes2_based on steps'!$B166:$U166,'changes2_based on steps'!$B$1:$U$1,AE$1)</f>
        <v>0</v>
      </c>
      <c r="AF166" s="179"/>
      <c r="AG166" s="179"/>
      <c r="AH166" s="179"/>
      <c r="AI166" s="179"/>
      <c r="AJ166" s="179"/>
      <c r="AK166" s="179"/>
      <c r="AL166" s="179"/>
      <c r="AM166" s="179"/>
    </row>
    <row r="167" spans="1:39" x14ac:dyDescent="0.2">
      <c r="A167" s="32">
        <f t="shared" ca="1" si="2"/>
        <v>45909</v>
      </c>
      <c r="B167" s="179">
        <f>SUMIFS('recurring2_based on steps'!$B167:$AY167,'recurring2_based on steps'!$B$1:$AY$1,B$1)+SUMIFS('changes2_based on steps'!$B167:$U167,'changes2_based on steps'!$B$1:$U$1,B$1)</f>
        <v>0</v>
      </c>
      <c r="C167" s="179">
        <f>SUMIFS('recurring2_based on steps'!$B167:$AY167,'recurring2_based on steps'!$B$1:$AY$1,C$1)+SUMIFS('changes2_based on steps'!$B167:$U167,'changes2_based on steps'!$B$1:$U$1,C$1)</f>
        <v>0</v>
      </c>
      <c r="D167" s="179">
        <f>SUMIFS('recurring2_based on steps'!$B167:$AY167,'recurring2_based on steps'!$B$1:$AY$1,D$1)+SUMIFS('changes2_based on steps'!$B167:$U167,'changes2_based on steps'!$B$1:$U$1,D$1)</f>
        <v>0</v>
      </c>
      <c r="E167" s="179">
        <f>SUMIFS('recurring2_based on steps'!$B167:$AY167,'recurring2_based on steps'!$B$1:$AY$1,E$1)+SUMIFS('changes2_based on steps'!$B167:$U167,'changes2_based on steps'!$B$1:$U$1,E$1)</f>
        <v>0</v>
      </c>
      <c r="F167" s="179">
        <f>SUMIFS('recurring2_based on steps'!$B167:$AY167,'recurring2_based on steps'!$B$1:$AY$1,F$1)+SUMIFS('changes2_based on steps'!$B167:$U167,'changes2_based on steps'!$B$1:$U$1,F$1)</f>
        <v>0</v>
      </c>
      <c r="G167" s="179">
        <f>SUMIFS('recurring2_based on steps'!$B167:$AY167,'recurring2_based on steps'!$B$1:$AY$1,G$1)+SUMIFS('changes2_based on steps'!$B167:$U167,'changes2_based on steps'!$B$1:$U$1,G$1)</f>
        <v>0</v>
      </c>
      <c r="H167" s="179">
        <f>SUMIFS('recurring2_based on steps'!$B167:$AY167,'recurring2_based on steps'!$B$1:$AY$1,H$1)+SUMIFS('changes2_based on steps'!$B167:$U167,'changes2_based on steps'!$B$1:$U$1,H$1)</f>
        <v>0</v>
      </c>
      <c r="I167" s="179">
        <f>SUMIFS('recurring2_based on steps'!$B167:$AY167,'recurring2_based on steps'!$B$1:$AY$1,I$1)+SUMIFS('changes2_based on steps'!$B167:$U167,'changes2_based on steps'!$B$1:$U$1,I$1)</f>
        <v>0</v>
      </c>
      <c r="J167" s="179">
        <f>SUMIFS('recurring2_based on steps'!$B167:$AY167,'recurring2_based on steps'!$B$1:$AY$1,J$1)+SUMIFS('changes2_based on steps'!$B167:$U167,'changes2_based on steps'!$B$1:$U$1,J$1)</f>
        <v>0</v>
      </c>
      <c r="K167" s="179">
        <f>SUMIFS('recurring2_based on steps'!$B167:$AY167,'recurring2_based on steps'!$B$1:$AY$1,K$1)+SUMIFS('changes2_based on steps'!$B167:$U167,'changes2_based on steps'!$B$1:$U$1,K$1)</f>
        <v>0</v>
      </c>
      <c r="L167" s="179">
        <f>SUMIFS('recurring2_based on steps'!$B167:$AY167,'recurring2_based on steps'!$B$1:$AY$1,L$1)+SUMIFS('changes2_based on steps'!$B167:$U167,'changes2_based on steps'!$B$1:$U$1,L$1)</f>
        <v>0</v>
      </c>
      <c r="M167" s="179">
        <f>SUMIFS('recurring2_based on steps'!$B167:$AY167,'recurring2_based on steps'!$B$1:$AY$1,M$1)+SUMIFS('changes2_based on steps'!$B167:$U167,'changes2_based on steps'!$B$1:$U$1,M$1)</f>
        <v>0</v>
      </c>
      <c r="N167" s="179">
        <f>SUMIFS('recurring2_based on steps'!$B167:$AY167,'recurring2_based on steps'!$B$1:$AY$1,N$1)+SUMIFS('changes2_based on steps'!$B167:$U167,'changes2_based on steps'!$B$1:$U$1,N$1)</f>
        <v>0</v>
      </c>
      <c r="O167" s="179">
        <f>SUMIFS('recurring2_based on steps'!$B167:$AY167,'recurring2_based on steps'!$B$1:$AY$1,O$1)+SUMIFS('changes2_based on steps'!$B167:$U167,'changes2_based on steps'!$B$1:$U$1,O$1)</f>
        <v>0</v>
      </c>
      <c r="P167" s="179">
        <f>SUMIFS('recurring2_based on steps'!$B167:$AY167,'recurring2_based on steps'!$B$1:$AY$1,P$1)+SUMIFS('changes2_based on steps'!$B167:$U167,'changes2_based on steps'!$B$1:$U$1,P$1)</f>
        <v>0</v>
      </c>
      <c r="Q167" s="179">
        <f>SUMIFS('recurring2_based on steps'!$B167:$AY167,'recurring2_based on steps'!$B$1:$AY$1,Q$1)+SUMIFS('changes2_based on steps'!$B167:$U167,'changes2_based on steps'!$B$1:$U$1,Q$1)</f>
        <v>0</v>
      </c>
      <c r="R167" s="179">
        <f>SUMIFS('recurring2_based on steps'!$B167:$AY167,'recurring2_based on steps'!$B$1:$AY$1,R$1)+SUMIFS('changes2_based on steps'!$B167:$U167,'changes2_based on steps'!$B$1:$U$1,R$1)</f>
        <v>0</v>
      </c>
      <c r="S167" s="179">
        <f>SUMIFS('recurring2_based on steps'!$B167:$AY167,'recurring2_based on steps'!$B$1:$AY$1,S$1)+SUMIFS('changes2_based on steps'!$B167:$U167,'changes2_based on steps'!$B$1:$U$1,S$1)</f>
        <v>0</v>
      </c>
      <c r="T167" s="179">
        <f>SUMIFS('recurring2_based on steps'!$B167:$AY167,'recurring2_based on steps'!$B$1:$AY$1,T$1)+SUMIFS('changes2_based on steps'!$B167:$U167,'changes2_based on steps'!$B$1:$U$1,T$1)</f>
        <v>0</v>
      </c>
      <c r="U167" s="179">
        <f>SUMIFS('recurring2_based on steps'!$B167:$AY167,'recurring2_based on steps'!$B$1:$AY$1,U$1)+SUMIFS('changes2_based on steps'!$B167:$U167,'changes2_based on steps'!$B$1:$U$1,U$1)</f>
        <v>0</v>
      </c>
      <c r="V167" s="179">
        <f>SUMIFS('recurring2_based on steps'!$B167:$AY167,'recurring2_based on steps'!$B$1:$AY$1,V$1)+SUMIFS('changes2_based on steps'!$B167:$U167,'changes2_based on steps'!$B$1:$U$1,V$1)</f>
        <v>0</v>
      </c>
      <c r="W167" s="179">
        <f>SUMIFS('recurring2_based on steps'!$B167:$AY167,'recurring2_based on steps'!$B$1:$AY$1,W$1)+SUMIFS('changes2_based on steps'!$B167:$U167,'changes2_based on steps'!$B$1:$U$1,W$1)</f>
        <v>0</v>
      </c>
      <c r="X167" s="179">
        <f>SUMIFS('recurring2_based on steps'!$B167:$AY167,'recurring2_based on steps'!$B$1:$AY$1,X$1)+SUMIFS('changes2_based on steps'!$B167:$U167,'changes2_based on steps'!$B$1:$U$1,X$1)</f>
        <v>0</v>
      </c>
      <c r="Y167" s="179">
        <f>SUMIFS('recurring2_based on steps'!$B167:$AY167,'recurring2_based on steps'!$B$1:$AY$1,Y$1)+SUMIFS('changes2_based on steps'!$B167:$U167,'changes2_based on steps'!$B$1:$U$1,Y$1)</f>
        <v>0</v>
      </c>
      <c r="Z167" s="179">
        <f>SUMIFS('recurring2_based on steps'!$B167:$AY167,'recurring2_based on steps'!$B$1:$AY$1,Z$1)+SUMIFS('changes2_based on steps'!$B167:$U167,'changes2_based on steps'!$B$1:$U$1,Z$1)</f>
        <v>0</v>
      </c>
      <c r="AA167" s="179">
        <f>SUMIFS('recurring2_based on steps'!$B167:$AY167,'recurring2_based on steps'!$B$1:$AY$1,AA$1)+SUMIFS('changes2_based on steps'!$B167:$U167,'changes2_based on steps'!$B$1:$U$1,AA$1)</f>
        <v>0</v>
      </c>
      <c r="AB167" s="179">
        <f>SUMIFS('recurring2_based on steps'!$B167:$AY167,'recurring2_based on steps'!$B$1:$AY$1,AB$1)+SUMIFS('changes2_based on steps'!$B167:$U167,'changes2_based on steps'!$B$1:$U$1,AB$1)</f>
        <v>0</v>
      </c>
      <c r="AC167" s="179">
        <f>SUMIFS('recurring2_based on steps'!$B167:$AY167,'recurring2_based on steps'!$B$1:$AY$1,AC$1)+SUMIFS('changes2_based on steps'!$B167:$U167,'changes2_based on steps'!$B$1:$U$1,AC$1)</f>
        <v>0</v>
      </c>
      <c r="AD167" s="179">
        <f>SUMIFS('recurring2_based on steps'!$B167:$AY167,'recurring2_based on steps'!$B$1:$AY$1,AD$1)+SUMIFS('changes2_based on steps'!$B167:$U167,'changes2_based on steps'!$B$1:$U$1,AD$1)</f>
        <v>0</v>
      </c>
      <c r="AE167" s="179">
        <f>SUMIFS('recurring2_based on steps'!$B167:$AY167,'recurring2_based on steps'!$B$1:$AY$1,AE$1)+SUMIFS('changes2_based on steps'!$B167:$U167,'changes2_based on steps'!$B$1:$U$1,AE$1)</f>
        <v>0</v>
      </c>
      <c r="AF167" s="179"/>
      <c r="AG167" s="179"/>
      <c r="AH167" s="179"/>
      <c r="AI167" s="179"/>
      <c r="AJ167" s="179"/>
      <c r="AK167" s="179"/>
      <c r="AL167" s="179"/>
      <c r="AM167" s="179"/>
    </row>
    <row r="168" spans="1:39" x14ac:dyDescent="0.2">
      <c r="A168" s="32">
        <f t="shared" ca="1" si="2"/>
        <v>45910</v>
      </c>
      <c r="B168" s="179">
        <f>SUMIFS('recurring2_based on steps'!$B168:$AY168,'recurring2_based on steps'!$B$1:$AY$1,B$1)+SUMIFS('changes2_based on steps'!$B168:$U168,'changes2_based on steps'!$B$1:$U$1,B$1)</f>
        <v>0</v>
      </c>
      <c r="C168" s="179">
        <f>SUMIFS('recurring2_based on steps'!$B168:$AY168,'recurring2_based on steps'!$B$1:$AY$1,C$1)+SUMIFS('changes2_based on steps'!$B168:$U168,'changes2_based on steps'!$B$1:$U$1,C$1)</f>
        <v>0</v>
      </c>
      <c r="D168" s="179">
        <f>SUMIFS('recurring2_based on steps'!$B168:$AY168,'recurring2_based on steps'!$B$1:$AY$1,D$1)+SUMIFS('changes2_based on steps'!$B168:$U168,'changes2_based on steps'!$B$1:$U$1,D$1)</f>
        <v>0</v>
      </c>
      <c r="E168" s="179">
        <f>SUMIFS('recurring2_based on steps'!$B168:$AY168,'recurring2_based on steps'!$B$1:$AY$1,E$1)+SUMIFS('changes2_based on steps'!$B168:$U168,'changes2_based on steps'!$B$1:$U$1,E$1)</f>
        <v>0</v>
      </c>
      <c r="F168" s="179">
        <f>SUMIFS('recurring2_based on steps'!$B168:$AY168,'recurring2_based on steps'!$B$1:$AY$1,F$1)+SUMIFS('changes2_based on steps'!$B168:$U168,'changes2_based on steps'!$B$1:$U$1,F$1)</f>
        <v>0</v>
      </c>
      <c r="G168" s="179">
        <f>SUMIFS('recurring2_based on steps'!$B168:$AY168,'recurring2_based on steps'!$B$1:$AY$1,G$1)+SUMIFS('changes2_based on steps'!$B168:$U168,'changes2_based on steps'!$B$1:$U$1,G$1)</f>
        <v>0</v>
      </c>
      <c r="H168" s="179">
        <f>SUMIFS('recurring2_based on steps'!$B168:$AY168,'recurring2_based on steps'!$B$1:$AY$1,H$1)+SUMIFS('changes2_based on steps'!$B168:$U168,'changes2_based on steps'!$B$1:$U$1,H$1)</f>
        <v>0</v>
      </c>
      <c r="I168" s="179">
        <f>SUMIFS('recurring2_based on steps'!$B168:$AY168,'recurring2_based on steps'!$B$1:$AY$1,I$1)+SUMIFS('changes2_based on steps'!$B168:$U168,'changes2_based on steps'!$B$1:$U$1,I$1)</f>
        <v>0</v>
      </c>
      <c r="J168" s="179">
        <f>SUMIFS('recurring2_based on steps'!$B168:$AY168,'recurring2_based on steps'!$B$1:$AY$1,J$1)+SUMIFS('changes2_based on steps'!$B168:$U168,'changes2_based on steps'!$B$1:$U$1,J$1)</f>
        <v>0</v>
      </c>
      <c r="K168" s="179">
        <f>SUMIFS('recurring2_based on steps'!$B168:$AY168,'recurring2_based on steps'!$B$1:$AY$1,K$1)+SUMIFS('changes2_based on steps'!$B168:$U168,'changes2_based on steps'!$B$1:$U$1,K$1)</f>
        <v>0</v>
      </c>
      <c r="L168" s="179">
        <f>SUMIFS('recurring2_based on steps'!$B168:$AY168,'recurring2_based on steps'!$B$1:$AY$1,L$1)+SUMIFS('changes2_based on steps'!$B168:$U168,'changes2_based on steps'!$B$1:$U$1,L$1)</f>
        <v>0</v>
      </c>
      <c r="M168" s="179">
        <f>SUMIFS('recurring2_based on steps'!$B168:$AY168,'recurring2_based on steps'!$B$1:$AY$1,M$1)+SUMIFS('changes2_based on steps'!$B168:$U168,'changes2_based on steps'!$B$1:$U$1,M$1)</f>
        <v>0</v>
      </c>
      <c r="N168" s="179">
        <f>SUMIFS('recurring2_based on steps'!$B168:$AY168,'recurring2_based on steps'!$B$1:$AY$1,N$1)+SUMIFS('changes2_based on steps'!$B168:$U168,'changes2_based on steps'!$B$1:$U$1,N$1)</f>
        <v>0</v>
      </c>
      <c r="O168" s="179">
        <f>SUMIFS('recurring2_based on steps'!$B168:$AY168,'recurring2_based on steps'!$B$1:$AY$1,O$1)+SUMIFS('changes2_based on steps'!$B168:$U168,'changes2_based on steps'!$B$1:$U$1,O$1)</f>
        <v>0</v>
      </c>
      <c r="P168" s="179">
        <f>SUMIFS('recurring2_based on steps'!$B168:$AY168,'recurring2_based on steps'!$B$1:$AY$1,P$1)+SUMIFS('changes2_based on steps'!$B168:$U168,'changes2_based on steps'!$B$1:$U$1,P$1)</f>
        <v>0</v>
      </c>
      <c r="Q168" s="179">
        <f>SUMIFS('recurring2_based on steps'!$B168:$AY168,'recurring2_based on steps'!$B$1:$AY$1,Q$1)+SUMIFS('changes2_based on steps'!$B168:$U168,'changes2_based on steps'!$B$1:$U$1,Q$1)</f>
        <v>0</v>
      </c>
      <c r="R168" s="179">
        <f>SUMIFS('recurring2_based on steps'!$B168:$AY168,'recurring2_based on steps'!$B$1:$AY$1,R$1)+SUMIFS('changes2_based on steps'!$B168:$U168,'changes2_based on steps'!$B$1:$U$1,R$1)</f>
        <v>0</v>
      </c>
      <c r="S168" s="179">
        <f>SUMIFS('recurring2_based on steps'!$B168:$AY168,'recurring2_based on steps'!$B$1:$AY$1,S$1)+SUMIFS('changes2_based on steps'!$B168:$U168,'changes2_based on steps'!$B$1:$U$1,S$1)</f>
        <v>0</v>
      </c>
      <c r="T168" s="179">
        <f>SUMIFS('recurring2_based on steps'!$B168:$AY168,'recurring2_based on steps'!$B$1:$AY$1,T$1)+SUMIFS('changes2_based on steps'!$B168:$U168,'changes2_based on steps'!$B$1:$U$1,T$1)</f>
        <v>0</v>
      </c>
      <c r="U168" s="179">
        <f>SUMIFS('recurring2_based on steps'!$B168:$AY168,'recurring2_based on steps'!$B$1:$AY$1,U$1)+SUMIFS('changes2_based on steps'!$B168:$U168,'changes2_based on steps'!$B$1:$U$1,U$1)</f>
        <v>0</v>
      </c>
      <c r="V168" s="179">
        <f>SUMIFS('recurring2_based on steps'!$B168:$AY168,'recurring2_based on steps'!$B$1:$AY$1,V$1)+SUMIFS('changes2_based on steps'!$B168:$U168,'changes2_based on steps'!$B$1:$U$1,V$1)</f>
        <v>0</v>
      </c>
      <c r="W168" s="179">
        <f>SUMIFS('recurring2_based on steps'!$B168:$AY168,'recurring2_based on steps'!$B$1:$AY$1,W$1)+SUMIFS('changes2_based on steps'!$B168:$U168,'changes2_based on steps'!$B$1:$U$1,W$1)</f>
        <v>0</v>
      </c>
      <c r="X168" s="179">
        <f>SUMIFS('recurring2_based on steps'!$B168:$AY168,'recurring2_based on steps'!$B$1:$AY$1,X$1)+SUMIFS('changes2_based on steps'!$B168:$U168,'changes2_based on steps'!$B$1:$U$1,X$1)</f>
        <v>0</v>
      </c>
      <c r="Y168" s="179">
        <f>SUMIFS('recurring2_based on steps'!$B168:$AY168,'recurring2_based on steps'!$B$1:$AY$1,Y$1)+SUMIFS('changes2_based on steps'!$B168:$U168,'changes2_based on steps'!$B$1:$U$1,Y$1)</f>
        <v>0</v>
      </c>
      <c r="Z168" s="179">
        <f>SUMIFS('recurring2_based on steps'!$B168:$AY168,'recurring2_based on steps'!$B$1:$AY$1,Z$1)+SUMIFS('changes2_based on steps'!$B168:$U168,'changes2_based on steps'!$B$1:$U$1,Z$1)</f>
        <v>0</v>
      </c>
      <c r="AA168" s="179">
        <f>SUMIFS('recurring2_based on steps'!$B168:$AY168,'recurring2_based on steps'!$B$1:$AY$1,AA$1)+SUMIFS('changes2_based on steps'!$B168:$U168,'changes2_based on steps'!$B$1:$U$1,AA$1)</f>
        <v>0</v>
      </c>
      <c r="AB168" s="179">
        <f>SUMIFS('recurring2_based on steps'!$B168:$AY168,'recurring2_based on steps'!$B$1:$AY$1,AB$1)+SUMIFS('changes2_based on steps'!$B168:$U168,'changes2_based on steps'!$B$1:$U$1,AB$1)</f>
        <v>0</v>
      </c>
      <c r="AC168" s="179">
        <f>SUMIFS('recurring2_based on steps'!$B168:$AY168,'recurring2_based on steps'!$B$1:$AY$1,AC$1)+SUMIFS('changes2_based on steps'!$B168:$U168,'changes2_based on steps'!$B$1:$U$1,AC$1)</f>
        <v>0</v>
      </c>
      <c r="AD168" s="179">
        <f>SUMIFS('recurring2_based on steps'!$B168:$AY168,'recurring2_based on steps'!$B$1:$AY$1,AD$1)+SUMIFS('changes2_based on steps'!$B168:$U168,'changes2_based on steps'!$B$1:$U$1,AD$1)</f>
        <v>0</v>
      </c>
      <c r="AE168" s="179">
        <f>SUMIFS('recurring2_based on steps'!$B168:$AY168,'recurring2_based on steps'!$B$1:$AY$1,AE$1)+SUMIFS('changes2_based on steps'!$B168:$U168,'changes2_based on steps'!$B$1:$U$1,AE$1)</f>
        <v>0</v>
      </c>
      <c r="AF168" s="179"/>
      <c r="AG168" s="179"/>
      <c r="AH168" s="179"/>
      <c r="AI168" s="179"/>
      <c r="AJ168" s="179"/>
      <c r="AK168" s="179"/>
      <c r="AL168" s="179"/>
      <c r="AM168" s="179"/>
    </row>
    <row r="169" spans="1:39" x14ac:dyDescent="0.2">
      <c r="A169" s="32">
        <f t="shared" ca="1" si="2"/>
        <v>45911</v>
      </c>
      <c r="B169" s="179">
        <f>SUMIFS('recurring2_based on steps'!$B169:$AY169,'recurring2_based on steps'!$B$1:$AY$1,B$1)+SUMIFS('changes2_based on steps'!$B169:$U169,'changes2_based on steps'!$B$1:$U$1,B$1)</f>
        <v>0</v>
      </c>
      <c r="C169" s="179">
        <f>SUMIFS('recurring2_based on steps'!$B169:$AY169,'recurring2_based on steps'!$B$1:$AY$1,C$1)+SUMIFS('changes2_based on steps'!$B169:$U169,'changes2_based on steps'!$B$1:$U$1,C$1)</f>
        <v>0</v>
      </c>
      <c r="D169" s="179">
        <f>SUMIFS('recurring2_based on steps'!$B169:$AY169,'recurring2_based on steps'!$B$1:$AY$1,D$1)+SUMIFS('changes2_based on steps'!$B169:$U169,'changes2_based on steps'!$B$1:$U$1,D$1)</f>
        <v>0</v>
      </c>
      <c r="E169" s="179">
        <f>SUMIFS('recurring2_based on steps'!$B169:$AY169,'recurring2_based on steps'!$B$1:$AY$1,E$1)+SUMIFS('changes2_based on steps'!$B169:$U169,'changes2_based on steps'!$B$1:$U$1,E$1)</f>
        <v>0</v>
      </c>
      <c r="F169" s="179">
        <f>SUMIFS('recurring2_based on steps'!$B169:$AY169,'recurring2_based on steps'!$B$1:$AY$1,F$1)+SUMIFS('changes2_based on steps'!$B169:$U169,'changes2_based on steps'!$B$1:$U$1,F$1)</f>
        <v>0</v>
      </c>
      <c r="G169" s="179">
        <f>SUMIFS('recurring2_based on steps'!$B169:$AY169,'recurring2_based on steps'!$B$1:$AY$1,G$1)+SUMIFS('changes2_based on steps'!$B169:$U169,'changes2_based on steps'!$B$1:$U$1,G$1)</f>
        <v>0</v>
      </c>
      <c r="H169" s="179">
        <f>SUMIFS('recurring2_based on steps'!$B169:$AY169,'recurring2_based on steps'!$B$1:$AY$1,H$1)+SUMIFS('changes2_based on steps'!$B169:$U169,'changes2_based on steps'!$B$1:$U$1,H$1)</f>
        <v>0</v>
      </c>
      <c r="I169" s="179">
        <f>SUMIFS('recurring2_based on steps'!$B169:$AY169,'recurring2_based on steps'!$B$1:$AY$1,I$1)+SUMIFS('changes2_based on steps'!$B169:$U169,'changes2_based on steps'!$B$1:$U$1,I$1)</f>
        <v>0</v>
      </c>
      <c r="J169" s="179">
        <f>SUMIFS('recurring2_based on steps'!$B169:$AY169,'recurring2_based on steps'!$B$1:$AY$1,J$1)+SUMIFS('changes2_based on steps'!$B169:$U169,'changes2_based on steps'!$B$1:$U$1,J$1)</f>
        <v>0</v>
      </c>
      <c r="K169" s="179">
        <f>SUMIFS('recurring2_based on steps'!$B169:$AY169,'recurring2_based on steps'!$B$1:$AY$1,K$1)+SUMIFS('changes2_based on steps'!$B169:$U169,'changes2_based on steps'!$B$1:$U$1,K$1)</f>
        <v>0</v>
      </c>
      <c r="L169" s="179">
        <f>SUMIFS('recurring2_based on steps'!$B169:$AY169,'recurring2_based on steps'!$B$1:$AY$1,L$1)+SUMIFS('changes2_based on steps'!$B169:$U169,'changes2_based on steps'!$B$1:$U$1,L$1)</f>
        <v>0</v>
      </c>
      <c r="M169" s="179">
        <f>SUMIFS('recurring2_based on steps'!$B169:$AY169,'recurring2_based on steps'!$B$1:$AY$1,M$1)+SUMIFS('changes2_based on steps'!$B169:$U169,'changes2_based on steps'!$B$1:$U$1,M$1)</f>
        <v>0</v>
      </c>
      <c r="N169" s="179">
        <f>SUMIFS('recurring2_based on steps'!$B169:$AY169,'recurring2_based on steps'!$B$1:$AY$1,N$1)+SUMIFS('changes2_based on steps'!$B169:$U169,'changes2_based on steps'!$B$1:$U$1,N$1)</f>
        <v>0</v>
      </c>
      <c r="O169" s="179">
        <f>SUMIFS('recurring2_based on steps'!$B169:$AY169,'recurring2_based on steps'!$B$1:$AY$1,O$1)+SUMIFS('changes2_based on steps'!$B169:$U169,'changes2_based on steps'!$B$1:$U$1,O$1)</f>
        <v>0</v>
      </c>
      <c r="P169" s="179">
        <f>SUMIFS('recurring2_based on steps'!$B169:$AY169,'recurring2_based on steps'!$B$1:$AY$1,P$1)+SUMIFS('changes2_based on steps'!$B169:$U169,'changes2_based on steps'!$B$1:$U$1,P$1)</f>
        <v>0</v>
      </c>
      <c r="Q169" s="179">
        <f>SUMIFS('recurring2_based on steps'!$B169:$AY169,'recurring2_based on steps'!$B$1:$AY$1,Q$1)+SUMIFS('changes2_based on steps'!$B169:$U169,'changes2_based on steps'!$B$1:$U$1,Q$1)</f>
        <v>0</v>
      </c>
      <c r="R169" s="179">
        <f>SUMIFS('recurring2_based on steps'!$B169:$AY169,'recurring2_based on steps'!$B$1:$AY$1,R$1)+SUMIFS('changes2_based on steps'!$B169:$U169,'changes2_based on steps'!$B$1:$U$1,R$1)</f>
        <v>0</v>
      </c>
      <c r="S169" s="179">
        <f>SUMIFS('recurring2_based on steps'!$B169:$AY169,'recurring2_based on steps'!$B$1:$AY$1,S$1)+SUMIFS('changes2_based on steps'!$B169:$U169,'changes2_based on steps'!$B$1:$U$1,S$1)</f>
        <v>0</v>
      </c>
      <c r="T169" s="179">
        <f>SUMIFS('recurring2_based on steps'!$B169:$AY169,'recurring2_based on steps'!$B$1:$AY$1,T$1)+SUMIFS('changes2_based on steps'!$B169:$U169,'changes2_based on steps'!$B$1:$U$1,T$1)</f>
        <v>0</v>
      </c>
      <c r="U169" s="179">
        <f>SUMIFS('recurring2_based on steps'!$B169:$AY169,'recurring2_based on steps'!$B$1:$AY$1,U$1)+SUMIFS('changes2_based on steps'!$B169:$U169,'changes2_based on steps'!$B$1:$U$1,U$1)</f>
        <v>0</v>
      </c>
      <c r="V169" s="179">
        <f>SUMIFS('recurring2_based on steps'!$B169:$AY169,'recurring2_based on steps'!$B$1:$AY$1,V$1)+SUMIFS('changes2_based on steps'!$B169:$U169,'changes2_based on steps'!$B$1:$U$1,V$1)</f>
        <v>0</v>
      </c>
      <c r="W169" s="179">
        <f>SUMIFS('recurring2_based on steps'!$B169:$AY169,'recurring2_based on steps'!$B$1:$AY$1,W$1)+SUMIFS('changes2_based on steps'!$B169:$U169,'changes2_based on steps'!$B$1:$U$1,W$1)</f>
        <v>0</v>
      </c>
      <c r="X169" s="179">
        <f>SUMIFS('recurring2_based on steps'!$B169:$AY169,'recurring2_based on steps'!$B$1:$AY$1,X$1)+SUMIFS('changes2_based on steps'!$B169:$U169,'changes2_based on steps'!$B$1:$U$1,X$1)</f>
        <v>0</v>
      </c>
      <c r="Y169" s="179">
        <f>SUMIFS('recurring2_based on steps'!$B169:$AY169,'recurring2_based on steps'!$B$1:$AY$1,Y$1)+SUMIFS('changes2_based on steps'!$B169:$U169,'changes2_based on steps'!$B$1:$U$1,Y$1)</f>
        <v>0</v>
      </c>
      <c r="Z169" s="179">
        <f>SUMIFS('recurring2_based on steps'!$B169:$AY169,'recurring2_based on steps'!$B$1:$AY$1,Z$1)+SUMIFS('changes2_based on steps'!$B169:$U169,'changes2_based on steps'!$B$1:$U$1,Z$1)</f>
        <v>0</v>
      </c>
      <c r="AA169" s="179">
        <f>SUMIFS('recurring2_based on steps'!$B169:$AY169,'recurring2_based on steps'!$B$1:$AY$1,AA$1)+SUMIFS('changes2_based on steps'!$B169:$U169,'changes2_based on steps'!$B$1:$U$1,AA$1)</f>
        <v>0</v>
      </c>
      <c r="AB169" s="179">
        <f>SUMIFS('recurring2_based on steps'!$B169:$AY169,'recurring2_based on steps'!$B$1:$AY$1,AB$1)+SUMIFS('changes2_based on steps'!$B169:$U169,'changes2_based on steps'!$B$1:$U$1,AB$1)</f>
        <v>0</v>
      </c>
      <c r="AC169" s="179">
        <f>SUMIFS('recurring2_based on steps'!$B169:$AY169,'recurring2_based on steps'!$B$1:$AY$1,AC$1)+SUMIFS('changes2_based on steps'!$B169:$U169,'changes2_based on steps'!$B$1:$U$1,AC$1)</f>
        <v>0</v>
      </c>
      <c r="AD169" s="179">
        <f>SUMIFS('recurring2_based on steps'!$B169:$AY169,'recurring2_based on steps'!$B$1:$AY$1,AD$1)+SUMIFS('changes2_based on steps'!$B169:$U169,'changes2_based on steps'!$B$1:$U$1,AD$1)</f>
        <v>0</v>
      </c>
      <c r="AE169" s="179">
        <f>SUMIFS('recurring2_based on steps'!$B169:$AY169,'recurring2_based on steps'!$B$1:$AY$1,AE$1)+SUMIFS('changes2_based on steps'!$B169:$U169,'changes2_based on steps'!$B$1:$U$1,AE$1)</f>
        <v>0</v>
      </c>
      <c r="AF169" s="179"/>
      <c r="AG169" s="179"/>
      <c r="AH169" s="179"/>
      <c r="AI169" s="179"/>
      <c r="AJ169" s="179"/>
      <c r="AK169" s="179"/>
      <c r="AL169" s="179"/>
      <c r="AM169" s="179"/>
    </row>
    <row r="170" spans="1:39" x14ac:dyDescent="0.2">
      <c r="A170" s="32">
        <f t="shared" ca="1" si="2"/>
        <v>45912</v>
      </c>
      <c r="B170" s="179">
        <f>SUMIFS('recurring2_based on steps'!$B170:$AY170,'recurring2_based on steps'!$B$1:$AY$1,B$1)+SUMIFS('changes2_based on steps'!$B170:$U170,'changes2_based on steps'!$B$1:$U$1,B$1)</f>
        <v>0</v>
      </c>
      <c r="C170" s="179">
        <f>SUMIFS('recurring2_based on steps'!$B170:$AY170,'recurring2_based on steps'!$B$1:$AY$1,C$1)+SUMIFS('changes2_based on steps'!$B170:$U170,'changes2_based on steps'!$B$1:$U$1,C$1)</f>
        <v>0</v>
      </c>
      <c r="D170" s="179">
        <f>SUMIFS('recurring2_based on steps'!$B170:$AY170,'recurring2_based on steps'!$B$1:$AY$1,D$1)+SUMIFS('changes2_based on steps'!$B170:$U170,'changes2_based on steps'!$B$1:$U$1,D$1)</f>
        <v>0</v>
      </c>
      <c r="E170" s="179">
        <f>SUMIFS('recurring2_based on steps'!$B170:$AY170,'recurring2_based on steps'!$B$1:$AY$1,E$1)+SUMIFS('changes2_based on steps'!$B170:$U170,'changes2_based on steps'!$B$1:$U$1,E$1)</f>
        <v>0</v>
      </c>
      <c r="F170" s="179">
        <f>SUMIFS('recurring2_based on steps'!$B170:$AY170,'recurring2_based on steps'!$B$1:$AY$1,F$1)+SUMIFS('changes2_based on steps'!$B170:$U170,'changes2_based on steps'!$B$1:$U$1,F$1)</f>
        <v>0</v>
      </c>
      <c r="G170" s="179">
        <f>SUMIFS('recurring2_based on steps'!$B170:$AY170,'recurring2_based on steps'!$B$1:$AY$1,G$1)+SUMIFS('changes2_based on steps'!$B170:$U170,'changes2_based on steps'!$B$1:$U$1,G$1)</f>
        <v>0</v>
      </c>
      <c r="H170" s="179">
        <f>SUMIFS('recurring2_based on steps'!$B170:$AY170,'recurring2_based on steps'!$B$1:$AY$1,H$1)+SUMIFS('changes2_based on steps'!$B170:$U170,'changes2_based on steps'!$B$1:$U$1,H$1)</f>
        <v>0</v>
      </c>
      <c r="I170" s="179">
        <f>SUMIFS('recurring2_based on steps'!$B170:$AY170,'recurring2_based on steps'!$B$1:$AY$1,I$1)+SUMIFS('changes2_based on steps'!$B170:$U170,'changes2_based on steps'!$B$1:$U$1,I$1)</f>
        <v>0</v>
      </c>
      <c r="J170" s="179">
        <f>SUMIFS('recurring2_based on steps'!$B170:$AY170,'recurring2_based on steps'!$B$1:$AY$1,J$1)+SUMIFS('changes2_based on steps'!$B170:$U170,'changes2_based on steps'!$B$1:$U$1,J$1)</f>
        <v>0</v>
      </c>
      <c r="K170" s="179">
        <f>SUMIFS('recurring2_based on steps'!$B170:$AY170,'recurring2_based on steps'!$B$1:$AY$1,K$1)+SUMIFS('changes2_based on steps'!$B170:$U170,'changes2_based on steps'!$B$1:$U$1,K$1)</f>
        <v>0</v>
      </c>
      <c r="L170" s="179">
        <f>SUMIFS('recurring2_based on steps'!$B170:$AY170,'recurring2_based on steps'!$B$1:$AY$1,L$1)+SUMIFS('changes2_based on steps'!$B170:$U170,'changes2_based on steps'!$B$1:$U$1,L$1)</f>
        <v>0</v>
      </c>
      <c r="M170" s="179">
        <f>SUMIFS('recurring2_based on steps'!$B170:$AY170,'recurring2_based on steps'!$B$1:$AY$1,M$1)+SUMIFS('changes2_based on steps'!$B170:$U170,'changes2_based on steps'!$B$1:$U$1,M$1)</f>
        <v>0</v>
      </c>
      <c r="N170" s="179">
        <f>SUMIFS('recurring2_based on steps'!$B170:$AY170,'recurring2_based on steps'!$B$1:$AY$1,N$1)+SUMIFS('changes2_based on steps'!$B170:$U170,'changes2_based on steps'!$B$1:$U$1,N$1)</f>
        <v>0</v>
      </c>
      <c r="O170" s="179">
        <f>SUMIFS('recurring2_based on steps'!$B170:$AY170,'recurring2_based on steps'!$B$1:$AY$1,O$1)+SUMIFS('changes2_based on steps'!$B170:$U170,'changes2_based on steps'!$B$1:$U$1,O$1)</f>
        <v>0</v>
      </c>
      <c r="P170" s="179">
        <f>SUMIFS('recurring2_based on steps'!$B170:$AY170,'recurring2_based on steps'!$B$1:$AY$1,P$1)+SUMIFS('changes2_based on steps'!$B170:$U170,'changes2_based on steps'!$B$1:$U$1,P$1)</f>
        <v>0</v>
      </c>
      <c r="Q170" s="179">
        <f>SUMIFS('recurring2_based on steps'!$B170:$AY170,'recurring2_based on steps'!$B$1:$AY$1,Q$1)+SUMIFS('changes2_based on steps'!$B170:$U170,'changes2_based on steps'!$B$1:$U$1,Q$1)</f>
        <v>0</v>
      </c>
      <c r="R170" s="179">
        <f>SUMIFS('recurring2_based on steps'!$B170:$AY170,'recurring2_based on steps'!$B$1:$AY$1,R$1)+SUMIFS('changes2_based on steps'!$B170:$U170,'changes2_based on steps'!$B$1:$U$1,R$1)</f>
        <v>0</v>
      </c>
      <c r="S170" s="179">
        <f>SUMIFS('recurring2_based on steps'!$B170:$AY170,'recurring2_based on steps'!$B$1:$AY$1,S$1)+SUMIFS('changes2_based on steps'!$B170:$U170,'changes2_based on steps'!$B$1:$U$1,S$1)</f>
        <v>0</v>
      </c>
      <c r="T170" s="179">
        <f>SUMIFS('recurring2_based on steps'!$B170:$AY170,'recurring2_based on steps'!$B$1:$AY$1,T$1)+SUMIFS('changes2_based on steps'!$B170:$U170,'changes2_based on steps'!$B$1:$U$1,T$1)</f>
        <v>0</v>
      </c>
      <c r="U170" s="179">
        <f>SUMIFS('recurring2_based on steps'!$B170:$AY170,'recurring2_based on steps'!$B$1:$AY$1,U$1)+SUMIFS('changes2_based on steps'!$B170:$U170,'changes2_based on steps'!$B$1:$U$1,U$1)</f>
        <v>0</v>
      </c>
      <c r="V170" s="179">
        <f>SUMIFS('recurring2_based on steps'!$B170:$AY170,'recurring2_based on steps'!$B$1:$AY$1,V$1)+SUMIFS('changes2_based on steps'!$B170:$U170,'changes2_based on steps'!$B$1:$U$1,V$1)</f>
        <v>0</v>
      </c>
      <c r="W170" s="179">
        <f>SUMIFS('recurring2_based on steps'!$B170:$AY170,'recurring2_based on steps'!$B$1:$AY$1,W$1)+SUMIFS('changes2_based on steps'!$B170:$U170,'changes2_based on steps'!$B$1:$U$1,W$1)</f>
        <v>0</v>
      </c>
      <c r="X170" s="179">
        <f>SUMIFS('recurring2_based on steps'!$B170:$AY170,'recurring2_based on steps'!$B$1:$AY$1,X$1)+SUMIFS('changes2_based on steps'!$B170:$U170,'changes2_based on steps'!$B$1:$U$1,X$1)</f>
        <v>0</v>
      </c>
      <c r="Y170" s="179">
        <f>SUMIFS('recurring2_based on steps'!$B170:$AY170,'recurring2_based on steps'!$B$1:$AY$1,Y$1)+SUMIFS('changes2_based on steps'!$B170:$U170,'changes2_based on steps'!$B$1:$U$1,Y$1)</f>
        <v>0</v>
      </c>
      <c r="Z170" s="179">
        <f>SUMIFS('recurring2_based on steps'!$B170:$AY170,'recurring2_based on steps'!$B$1:$AY$1,Z$1)+SUMIFS('changes2_based on steps'!$B170:$U170,'changes2_based on steps'!$B$1:$U$1,Z$1)</f>
        <v>0</v>
      </c>
      <c r="AA170" s="179">
        <f>SUMIFS('recurring2_based on steps'!$B170:$AY170,'recurring2_based on steps'!$B$1:$AY$1,AA$1)+SUMIFS('changes2_based on steps'!$B170:$U170,'changes2_based on steps'!$B$1:$U$1,AA$1)</f>
        <v>0</v>
      </c>
      <c r="AB170" s="179">
        <f>SUMIFS('recurring2_based on steps'!$B170:$AY170,'recurring2_based on steps'!$B$1:$AY$1,AB$1)+SUMIFS('changes2_based on steps'!$B170:$U170,'changes2_based on steps'!$B$1:$U$1,AB$1)</f>
        <v>0</v>
      </c>
      <c r="AC170" s="179">
        <f>SUMIFS('recurring2_based on steps'!$B170:$AY170,'recurring2_based on steps'!$B$1:$AY$1,AC$1)+SUMIFS('changes2_based on steps'!$B170:$U170,'changes2_based on steps'!$B$1:$U$1,AC$1)</f>
        <v>0</v>
      </c>
      <c r="AD170" s="179">
        <f>SUMIFS('recurring2_based on steps'!$B170:$AY170,'recurring2_based on steps'!$B$1:$AY$1,AD$1)+SUMIFS('changes2_based on steps'!$B170:$U170,'changes2_based on steps'!$B$1:$U$1,AD$1)</f>
        <v>0</v>
      </c>
      <c r="AE170" s="179">
        <f>SUMIFS('recurring2_based on steps'!$B170:$AY170,'recurring2_based on steps'!$B$1:$AY$1,AE$1)+SUMIFS('changes2_based on steps'!$B170:$U170,'changes2_based on steps'!$B$1:$U$1,AE$1)</f>
        <v>0</v>
      </c>
      <c r="AF170" s="179"/>
      <c r="AG170" s="179"/>
      <c r="AH170" s="179"/>
      <c r="AI170" s="179"/>
      <c r="AJ170" s="179"/>
      <c r="AK170" s="179"/>
      <c r="AL170" s="179"/>
      <c r="AM170" s="179"/>
    </row>
    <row r="171" spans="1:39" x14ac:dyDescent="0.2">
      <c r="A171" s="32">
        <f t="shared" ca="1" si="2"/>
        <v>45913</v>
      </c>
      <c r="B171" s="179">
        <f>SUMIFS('recurring2_based on steps'!$B171:$AY171,'recurring2_based on steps'!$B$1:$AY$1,B$1)+SUMIFS('changes2_based on steps'!$B171:$U171,'changes2_based on steps'!$B$1:$U$1,B$1)</f>
        <v>0</v>
      </c>
      <c r="C171" s="179">
        <f>SUMIFS('recurring2_based on steps'!$B171:$AY171,'recurring2_based on steps'!$B$1:$AY$1,C$1)+SUMIFS('changes2_based on steps'!$B171:$U171,'changes2_based on steps'!$B$1:$U$1,C$1)</f>
        <v>0</v>
      </c>
      <c r="D171" s="179">
        <f>SUMIFS('recurring2_based on steps'!$B171:$AY171,'recurring2_based on steps'!$B$1:$AY$1,D$1)+SUMIFS('changes2_based on steps'!$B171:$U171,'changes2_based on steps'!$B$1:$U$1,D$1)</f>
        <v>0</v>
      </c>
      <c r="E171" s="179">
        <f>SUMIFS('recurring2_based on steps'!$B171:$AY171,'recurring2_based on steps'!$B$1:$AY$1,E$1)+SUMIFS('changes2_based on steps'!$B171:$U171,'changes2_based on steps'!$B$1:$U$1,E$1)</f>
        <v>0</v>
      </c>
      <c r="F171" s="179">
        <f>SUMIFS('recurring2_based on steps'!$B171:$AY171,'recurring2_based on steps'!$B$1:$AY$1,F$1)+SUMIFS('changes2_based on steps'!$B171:$U171,'changes2_based on steps'!$B$1:$U$1,F$1)</f>
        <v>0</v>
      </c>
      <c r="G171" s="179">
        <f>SUMIFS('recurring2_based on steps'!$B171:$AY171,'recurring2_based on steps'!$B$1:$AY$1,G$1)+SUMIFS('changes2_based on steps'!$B171:$U171,'changes2_based on steps'!$B$1:$U$1,G$1)</f>
        <v>0</v>
      </c>
      <c r="H171" s="179">
        <f>SUMIFS('recurring2_based on steps'!$B171:$AY171,'recurring2_based on steps'!$B$1:$AY$1,H$1)+SUMIFS('changes2_based on steps'!$B171:$U171,'changes2_based on steps'!$B$1:$U$1,H$1)</f>
        <v>0</v>
      </c>
      <c r="I171" s="179">
        <f>SUMIFS('recurring2_based on steps'!$B171:$AY171,'recurring2_based on steps'!$B$1:$AY$1,I$1)+SUMIFS('changes2_based on steps'!$B171:$U171,'changes2_based on steps'!$B$1:$U$1,I$1)</f>
        <v>0</v>
      </c>
      <c r="J171" s="179">
        <f>SUMIFS('recurring2_based on steps'!$B171:$AY171,'recurring2_based on steps'!$B$1:$AY$1,J$1)+SUMIFS('changes2_based on steps'!$B171:$U171,'changes2_based on steps'!$B$1:$U$1,J$1)</f>
        <v>0</v>
      </c>
      <c r="K171" s="179">
        <f>SUMIFS('recurring2_based on steps'!$B171:$AY171,'recurring2_based on steps'!$B$1:$AY$1,K$1)+SUMIFS('changes2_based on steps'!$B171:$U171,'changes2_based on steps'!$B$1:$U$1,K$1)</f>
        <v>0</v>
      </c>
      <c r="L171" s="179">
        <f>SUMIFS('recurring2_based on steps'!$B171:$AY171,'recurring2_based on steps'!$B$1:$AY$1,L$1)+SUMIFS('changes2_based on steps'!$B171:$U171,'changes2_based on steps'!$B$1:$U$1,L$1)</f>
        <v>0</v>
      </c>
      <c r="M171" s="179">
        <f>SUMIFS('recurring2_based on steps'!$B171:$AY171,'recurring2_based on steps'!$B$1:$AY$1,M$1)+SUMIFS('changes2_based on steps'!$B171:$U171,'changes2_based on steps'!$B$1:$U$1,M$1)</f>
        <v>0</v>
      </c>
      <c r="N171" s="179">
        <f>SUMIFS('recurring2_based on steps'!$B171:$AY171,'recurring2_based on steps'!$B$1:$AY$1,N$1)+SUMIFS('changes2_based on steps'!$B171:$U171,'changes2_based on steps'!$B$1:$U$1,N$1)</f>
        <v>0</v>
      </c>
      <c r="O171" s="179">
        <f>SUMIFS('recurring2_based on steps'!$B171:$AY171,'recurring2_based on steps'!$B$1:$AY$1,O$1)+SUMIFS('changes2_based on steps'!$B171:$U171,'changes2_based on steps'!$B$1:$U$1,O$1)</f>
        <v>0</v>
      </c>
      <c r="P171" s="179">
        <f>SUMIFS('recurring2_based on steps'!$B171:$AY171,'recurring2_based on steps'!$B$1:$AY$1,P$1)+SUMIFS('changes2_based on steps'!$B171:$U171,'changes2_based on steps'!$B$1:$U$1,P$1)</f>
        <v>0</v>
      </c>
      <c r="Q171" s="179">
        <f>SUMIFS('recurring2_based on steps'!$B171:$AY171,'recurring2_based on steps'!$B$1:$AY$1,Q$1)+SUMIFS('changes2_based on steps'!$B171:$U171,'changes2_based on steps'!$B$1:$U$1,Q$1)</f>
        <v>0</v>
      </c>
      <c r="R171" s="179">
        <f>SUMIFS('recurring2_based on steps'!$B171:$AY171,'recurring2_based on steps'!$B$1:$AY$1,R$1)+SUMIFS('changes2_based on steps'!$B171:$U171,'changes2_based on steps'!$B$1:$U$1,R$1)</f>
        <v>0</v>
      </c>
      <c r="S171" s="179">
        <f>SUMIFS('recurring2_based on steps'!$B171:$AY171,'recurring2_based on steps'!$B$1:$AY$1,S$1)+SUMIFS('changes2_based on steps'!$B171:$U171,'changes2_based on steps'!$B$1:$U$1,S$1)</f>
        <v>0</v>
      </c>
      <c r="T171" s="179">
        <f>SUMIFS('recurring2_based on steps'!$B171:$AY171,'recurring2_based on steps'!$B$1:$AY$1,T$1)+SUMIFS('changes2_based on steps'!$B171:$U171,'changes2_based on steps'!$B$1:$U$1,T$1)</f>
        <v>0</v>
      </c>
      <c r="U171" s="179">
        <f>SUMIFS('recurring2_based on steps'!$B171:$AY171,'recurring2_based on steps'!$B$1:$AY$1,U$1)+SUMIFS('changes2_based on steps'!$B171:$U171,'changes2_based on steps'!$B$1:$U$1,U$1)</f>
        <v>0</v>
      </c>
      <c r="V171" s="179">
        <f>SUMIFS('recurring2_based on steps'!$B171:$AY171,'recurring2_based on steps'!$B$1:$AY$1,V$1)+SUMIFS('changes2_based on steps'!$B171:$U171,'changes2_based on steps'!$B$1:$U$1,V$1)</f>
        <v>0</v>
      </c>
      <c r="W171" s="179">
        <f>SUMIFS('recurring2_based on steps'!$B171:$AY171,'recurring2_based on steps'!$B$1:$AY$1,W$1)+SUMIFS('changes2_based on steps'!$B171:$U171,'changes2_based on steps'!$B$1:$U$1,W$1)</f>
        <v>0</v>
      </c>
      <c r="X171" s="179">
        <f>SUMIFS('recurring2_based on steps'!$B171:$AY171,'recurring2_based on steps'!$B$1:$AY$1,X$1)+SUMIFS('changes2_based on steps'!$B171:$U171,'changes2_based on steps'!$B$1:$U$1,X$1)</f>
        <v>0</v>
      </c>
      <c r="Y171" s="179">
        <f>SUMIFS('recurring2_based on steps'!$B171:$AY171,'recurring2_based on steps'!$B$1:$AY$1,Y$1)+SUMIFS('changes2_based on steps'!$B171:$U171,'changes2_based on steps'!$B$1:$U$1,Y$1)</f>
        <v>0</v>
      </c>
      <c r="Z171" s="179">
        <f>SUMIFS('recurring2_based on steps'!$B171:$AY171,'recurring2_based on steps'!$B$1:$AY$1,Z$1)+SUMIFS('changes2_based on steps'!$B171:$U171,'changes2_based on steps'!$B$1:$U$1,Z$1)</f>
        <v>0</v>
      </c>
      <c r="AA171" s="179">
        <f>SUMIFS('recurring2_based on steps'!$B171:$AY171,'recurring2_based on steps'!$B$1:$AY$1,AA$1)+SUMIFS('changes2_based on steps'!$B171:$U171,'changes2_based on steps'!$B$1:$U$1,AA$1)</f>
        <v>0</v>
      </c>
      <c r="AB171" s="179">
        <f>SUMIFS('recurring2_based on steps'!$B171:$AY171,'recurring2_based on steps'!$B$1:$AY$1,AB$1)+SUMIFS('changes2_based on steps'!$B171:$U171,'changes2_based on steps'!$B$1:$U$1,AB$1)</f>
        <v>0</v>
      </c>
      <c r="AC171" s="179">
        <f>SUMIFS('recurring2_based on steps'!$B171:$AY171,'recurring2_based on steps'!$B$1:$AY$1,AC$1)+SUMIFS('changes2_based on steps'!$B171:$U171,'changes2_based on steps'!$B$1:$U$1,AC$1)</f>
        <v>0</v>
      </c>
      <c r="AD171" s="179">
        <f>SUMIFS('recurring2_based on steps'!$B171:$AY171,'recurring2_based on steps'!$B$1:$AY$1,AD$1)+SUMIFS('changes2_based on steps'!$B171:$U171,'changes2_based on steps'!$B$1:$U$1,AD$1)</f>
        <v>0</v>
      </c>
      <c r="AE171" s="179">
        <f>SUMIFS('recurring2_based on steps'!$B171:$AY171,'recurring2_based on steps'!$B$1:$AY$1,AE$1)+SUMIFS('changes2_based on steps'!$B171:$U171,'changes2_based on steps'!$B$1:$U$1,AE$1)</f>
        <v>0</v>
      </c>
      <c r="AF171" s="179"/>
      <c r="AG171" s="179"/>
      <c r="AH171" s="179"/>
      <c r="AI171" s="179"/>
      <c r="AJ171" s="179"/>
      <c r="AK171" s="179"/>
      <c r="AL171" s="179"/>
      <c r="AM171" s="179"/>
    </row>
    <row r="172" spans="1:39" x14ac:dyDescent="0.2">
      <c r="A172" s="32">
        <f t="shared" ca="1" si="2"/>
        <v>45914</v>
      </c>
      <c r="B172" s="179">
        <f>SUMIFS('recurring2_based on steps'!$B172:$AY172,'recurring2_based on steps'!$B$1:$AY$1,B$1)+SUMIFS('changes2_based on steps'!$B172:$U172,'changes2_based on steps'!$B$1:$U$1,B$1)</f>
        <v>0</v>
      </c>
      <c r="C172" s="179">
        <f>SUMIFS('recurring2_based on steps'!$B172:$AY172,'recurring2_based on steps'!$B$1:$AY$1,C$1)+SUMIFS('changes2_based on steps'!$B172:$U172,'changes2_based on steps'!$B$1:$U$1,C$1)</f>
        <v>0</v>
      </c>
      <c r="D172" s="179">
        <f>SUMIFS('recurring2_based on steps'!$B172:$AY172,'recurring2_based on steps'!$B$1:$AY$1,D$1)+SUMIFS('changes2_based on steps'!$B172:$U172,'changes2_based on steps'!$B$1:$U$1,D$1)</f>
        <v>0</v>
      </c>
      <c r="E172" s="179">
        <f>SUMIFS('recurring2_based on steps'!$B172:$AY172,'recurring2_based on steps'!$B$1:$AY$1,E$1)+SUMIFS('changes2_based on steps'!$B172:$U172,'changes2_based on steps'!$B$1:$U$1,E$1)</f>
        <v>0</v>
      </c>
      <c r="F172" s="179">
        <f>SUMIFS('recurring2_based on steps'!$B172:$AY172,'recurring2_based on steps'!$B$1:$AY$1,F$1)+SUMIFS('changes2_based on steps'!$B172:$U172,'changes2_based on steps'!$B$1:$U$1,F$1)</f>
        <v>0</v>
      </c>
      <c r="G172" s="179">
        <f>SUMIFS('recurring2_based on steps'!$B172:$AY172,'recurring2_based on steps'!$B$1:$AY$1,G$1)+SUMIFS('changes2_based on steps'!$B172:$U172,'changes2_based on steps'!$B$1:$U$1,G$1)</f>
        <v>0</v>
      </c>
      <c r="H172" s="179">
        <f>SUMIFS('recurring2_based on steps'!$B172:$AY172,'recurring2_based on steps'!$B$1:$AY$1,H$1)+SUMIFS('changes2_based on steps'!$B172:$U172,'changes2_based on steps'!$B$1:$U$1,H$1)</f>
        <v>0</v>
      </c>
      <c r="I172" s="179">
        <f>SUMIFS('recurring2_based on steps'!$B172:$AY172,'recurring2_based on steps'!$B$1:$AY$1,I$1)+SUMIFS('changes2_based on steps'!$B172:$U172,'changes2_based on steps'!$B$1:$U$1,I$1)</f>
        <v>0</v>
      </c>
      <c r="J172" s="179">
        <f>SUMIFS('recurring2_based on steps'!$B172:$AY172,'recurring2_based on steps'!$B$1:$AY$1,J$1)+SUMIFS('changes2_based on steps'!$B172:$U172,'changes2_based on steps'!$B$1:$U$1,J$1)</f>
        <v>0</v>
      </c>
      <c r="K172" s="179">
        <f>SUMIFS('recurring2_based on steps'!$B172:$AY172,'recurring2_based on steps'!$B$1:$AY$1,K$1)+SUMIFS('changes2_based on steps'!$B172:$U172,'changes2_based on steps'!$B$1:$U$1,K$1)</f>
        <v>0</v>
      </c>
      <c r="L172" s="179">
        <f>SUMIFS('recurring2_based on steps'!$B172:$AY172,'recurring2_based on steps'!$B$1:$AY$1,L$1)+SUMIFS('changes2_based on steps'!$B172:$U172,'changes2_based on steps'!$B$1:$U$1,L$1)</f>
        <v>0</v>
      </c>
      <c r="M172" s="179">
        <f>SUMIFS('recurring2_based on steps'!$B172:$AY172,'recurring2_based on steps'!$B$1:$AY$1,M$1)+SUMIFS('changes2_based on steps'!$B172:$U172,'changes2_based on steps'!$B$1:$U$1,M$1)</f>
        <v>0</v>
      </c>
      <c r="N172" s="179">
        <f>SUMIFS('recurring2_based on steps'!$B172:$AY172,'recurring2_based on steps'!$B$1:$AY$1,N$1)+SUMIFS('changes2_based on steps'!$B172:$U172,'changes2_based on steps'!$B$1:$U$1,N$1)</f>
        <v>0</v>
      </c>
      <c r="O172" s="179">
        <f>SUMIFS('recurring2_based on steps'!$B172:$AY172,'recurring2_based on steps'!$B$1:$AY$1,O$1)+SUMIFS('changes2_based on steps'!$B172:$U172,'changes2_based on steps'!$B$1:$U$1,O$1)</f>
        <v>0</v>
      </c>
      <c r="P172" s="179">
        <f>SUMIFS('recurring2_based on steps'!$B172:$AY172,'recurring2_based on steps'!$B$1:$AY$1,P$1)+SUMIFS('changes2_based on steps'!$B172:$U172,'changes2_based on steps'!$B$1:$U$1,P$1)</f>
        <v>0</v>
      </c>
      <c r="Q172" s="179">
        <f>SUMIFS('recurring2_based on steps'!$B172:$AY172,'recurring2_based on steps'!$B$1:$AY$1,Q$1)+SUMIFS('changes2_based on steps'!$B172:$U172,'changes2_based on steps'!$B$1:$U$1,Q$1)</f>
        <v>0</v>
      </c>
      <c r="R172" s="179">
        <f>SUMIFS('recurring2_based on steps'!$B172:$AY172,'recurring2_based on steps'!$B$1:$AY$1,R$1)+SUMIFS('changes2_based on steps'!$B172:$U172,'changes2_based on steps'!$B$1:$U$1,R$1)</f>
        <v>0</v>
      </c>
      <c r="S172" s="179">
        <f>SUMIFS('recurring2_based on steps'!$B172:$AY172,'recurring2_based on steps'!$B$1:$AY$1,S$1)+SUMIFS('changes2_based on steps'!$B172:$U172,'changes2_based on steps'!$B$1:$U$1,S$1)</f>
        <v>0</v>
      </c>
      <c r="T172" s="179">
        <f>SUMIFS('recurring2_based on steps'!$B172:$AY172,'recurring2_based on steps'!$B$1:$AY$1,T$1)+SUMIFS('changes2_based on steps'!$B172:$U172,'changes2_based on steps'!$B$1:$U$1,T$1)</f>
        <v>0</v>
      </c>
      <c r="U172" s="179">
        <f>SUMIFS('recurring2_based on steps'!$B172:$AY172,'recurring2_based on steps'!$B$1:$AY$1,U$1)+SUMIFS('changes2_based on steps'!$B172:$U172,'changes2_based on steps'!$B$1:$U$1,U$1)</f>
        <v>0</v>
      </c>
      <c r="V172" s="179">
        <f>SUMIFS('recurring2_based on steps'!$B172:$AY172,'recurring2_based on steps'!$B$1:$AY$1,V$1)+SUMIFS('changes2_based on steps'!$B172:$U172,'changes2_based on steps'!$B$1:$U$1,V$1)</f>
        <v>0</v>
      </c>
      <c r="W172" s="179">
        <f>SUMIFS('recurring2_based on steps'!$B172:$AY172,'recurring2_based on steps'!$B$1:$AY$1,W$1)+SUMIFS('changes2_based on steps'!$B172:$U172,'changes2_based on steps'!$B$1:$U$1,W$1)</f>
        <v>0</v>
      </c>
      <c r="X172" s="179">
        <f>SUMIFS('recurring2_based on steps'!$B172:$AY172,'recurring2_based on steps'!$B$1:$AY$1,X$1)+SUMIFS('changes2_based on steps'!$B172:$U172,'changes2_based on steps'!$B$1:$U$1,X$1)</f>
        <v>0</v>
      </c>
      <c r="Y172" s="179">
        <f>SUMIFS('recurring2_based on steps'!$B172:$AY172,'recurring2_based on steps'!$B$1:$AY$1,Y$1)+SUMIFS('changes2_based on steps'!$B172:$U172,'changes2_based on steps'!$B$1:$U$1,Y$1)</f>
        <v>0</v>
      </c>
      <c r="Z172" s="179">
        <f>SUMIFS('recurring2_based on steps'!$B172:$AY172,'recurring2_based on steps'!$B$1:$AY$1,Z$1)+SUMIFS('changes2_based on steps'!$B172:$U172,'changes2_based on steps'!$B$1:$U$1,Z$1)</f>
        <v>0</v>
      </c>
      <c r="AA172" s="179">
        <f>SUMIFS('recurring2_based on steps'!$B172:$AY172,'recurring2_based on steps'!$B$1:$AY$1,AA$1)+SUMIFS('changes2_based on steps'!$B172:$U172,'changes2_based on steps'!$B$1:$U$1,AA$1)</f>
        <v>0</v>
      </c>
      <c r="AB172" s="179">
        <f>SUMIFS('recurring2_based on steps'!$B172:$AY172,'recurring2_based on steps'!$B$1:$AY$1,AB$1)+SUMIFS('changes2_based on steps'!$B172:$U172,'changes2_based on steps'!$B$1:$U$1,AB$1)</f>
        <v>0</v>
      </c>
      <c r="AC172" s="179">
        <f>SUMIFS('recurring2_based on steps'!$B172:$AY172,'recurring2_based on steps'!$B$1:$AY$1,AC$1)+SUMIFS('changes2_based on steps'!$B172:$U172,'changes2_based on steps'!$B$1:$U$1,AC$1)</f>
        <v>0</v>
      </c>
      <c r="AD172" s="179">
        <f>SUMIFS('recurring2_based on steps'!$B172:$AY172,'recurring2_based on steps'!$B$1:$AY$1,AD$1)+SUMIFS('changes2_based on steps'!$B172:$U172,'changes2_based on steps'!$B$1:$U$1,AD$1)</f>
        <v>0</v>
      </c>
      <c r="AE172" s="179">
        <f>SUMIFS('recurring2_based on steps'!$B172:$AY172,'recurring2_based on steps'!$B$1:$AY$1,AE$1)+SUMIFS('changes2_based on steps'!$B172:$U172,'changes2_based on steps'!$B$1:$U$1,AE$1)</f>
        <v>0</v>
      </c>
      <c r="AF172" s="179"/>
      <c r="AG172" s="179"/>
      <c r="AH172" s="179"/>
      <c r="AI172" s="179"/>
      <c r="AJ172" s="179"/>
      <c r="AK172" s="179"/>
      <c r="AL172" s="179"/>
      <c r="AM172" s="179"/>
    </row>
    <row r="173" spans="1:39" x14ac:dyDescent="0.2">
      <c r="A173" s="32">
        <f t="shared" ca="1" si="2"/>
        <v>45915</v>
      </c>
      <c r="B173" s="179">
        <f>SUMIFS('recurring2_based on steps'!$B173:$AY173,'recurring2_based on steps'!$B$1:$AY$1,B$1)+SUMIFS('changes2_based on steps'!$B173:$U173,'changes2_based on steps'!$B$1:$U$1,B$1)</f>
        <v>0</v>
      </c>
      <c r="C173" s="179">
        <f>SUMIFS('recurring2_based on steps'!$B173:$AY173,'recurring2_based on steps'!$B$1:$AY$1,C$1)+SUMIFS('changes2_based on steps'!$B173:$U173,'changes2_based on steps'!$B$1:$U$1,C$1)</f>
        <v>0</v>
      </c>
      <c r="D173" s="179">
        <f>SUMIFS('recurring2_based on steps'!$B173:$AY173,'recurring2_based on steps'!$B$1:$AY$1,D$1)+SUMIFS('changes2_based on steps'!$B173:$U173,'changes2_based on steps'!$B$1:$U$1,D$1)</f>
        <v>0</v>
      </c>
      <c r="E173" s="179">
        <f>SUMIFS('recurring2_based on steps'!$B173:$AY173,'recurring2_based on steps'!$B$1:$AY$1,E$1)+SUMIFS('changes2_based on steps'!$B173:$U173,'changes2_based on steps'!$B$1:$U$1,E$1)</f>
        <v>0</v>
      </c>
      <c r="F173" s="179">
        <f>SUMIFS('recurring2_based on steps'!$B173:$AY173,'recurring2_based on steps'!$B$1:$AY$1,F$1)+SUMIFS('changes2_based on steps'!$B173:$U173,'changes2_based on steps'!$B$1:$U$1,F$1)</f>
        <v>0</v>
      </c>
      <c r="G173" s="179">
        <f>SUMIFS('recurring2_based on steps'!$B173:$AY173,'recurring2_based on steps'!$B$1:$AY$1,G$1)+SUMIFS('changes2_based on steps'!$B173:$U173,'changes2_based on steps'!$B$1:$U$1,G$1)</f>
        <v>0</v>
      </c>
      <c r="H173" s="179">
        <f>SUMIFS('recurring2_based on steps'!$B173:$AY173,'recurring2_based on steps'!$B$1:$AY$1,H$1)+SUMIFS('changes2_based on steps'!$B173:$U173,'changes2_based on steps'!$B$1:$U$1,H$1)</f>
        <v>0</v>
      </c>
      <c r="I173" s="179">
        <f>SUMIFS('recurring2_based on steps'!$B173:$AY173,'recurring2_based on steps'!$B$1:$AY$1,I$1)+SUMIFS('changes2_based on steps'!$B173:$U173,'changes2_based on steps'!$B$1:$U$1,I$1)</f>
        <v>0</v>
      </c>
      <c r="J173" s="179">
        <f>SUMIFS('recurring2_based on steps'!$B173:$AY173,'recurring2_based on steps'!$B$1:$AY$1,J$1)+SUMIFS('changes2_based on steps'!$B173:$U173,'changes2_based on steps'!$B$1:$U$1,J$1)</f>
        <v>0</v>
      </c>
      <c r="K173" s="179">
        <f>SUMIFS('recurring2_based on steps'!$B173:$AY173,'recurring2_based on steps'!$B$1:$AY$1,K$1)+SUMIFS('changes2_based on steps'!$B173:$U173,'changes2_based on steps'!$B$1:$U$1,K$1)</f>
        <v>0</v>
      </c>
      <c r="L173" s="179">
        <f>SUMIFS('recurring2_based on steps'!$B173:$AY173,'recurring2_based on steps'!$B$1:$AY$1,L$1)+SUMIFS('changes2_based on steps'!$B173:$U173,'changes2_based on steps'!$B$1:$U$1,L$1)</f>
        <v>0</v>
      </c>
      <c r="M173" s="179">
        <f>SUMIFS('recurring2_based on steps'!$B173:$AY173,'recurring2_based on steps'!$B$1:$AY$1,M$1)+SUMIFS('changes2_based on steps'!$B173:$U173,'changes2_based on steps'!$B$1:$U$1,M$1)</f>
        <v>0</v>
      </c>
      <c r="N173" s="179">
        <f>SUMIFS('recurring2_based on steps'!$B173:$AY173,'recurring2_based on steps'!$B$1:$AY$1,N$1)+SUMIFS('changes2_based on steps'!$B173:$U173,'changes2_based on steps'!$B$1:$U$1,N$1)</f>
        <v>0</v>
      </c>
      <c r="O173" s="179">
        <f>SUMIFS('recurring2_based on steps'!$B173:$AY173,'recurring2_based on steps'!$B$1:$AY$1,O$1)+SUMIFS('changes2_based on steps'!$B173:$U173,'changes2_based on steps'!$B$1:$U$1,O$1)</f>
        <v>0</v>
      </c>
      <c r="P173" s="179">
        <f>SUMIFS('recurring2_based on steps'!$B173:$AY173,'recurring2_based on steps'!$B$1:$AY$1,P$1)+SUMIFS('changes2_based on steps'!$B173:$U173,'changes2_based on steps'!$B$1:$U$1,P$1)</f>
        <v>0</v>
      </c>
      <c r="Q173" s="179">
        <f>SUMIFS('recurring2_based on steps'!$B173:$AY173,'recurring2_based on steps'!$B$1:$AY$1,Q$1)+SUMIFS('changes2_based on steps'!$B173:$U173,'changes2_based on steps'!$B$1:$U$1,Q$1)</f>
        <v>0</v>
      </c>
      <c r="R173" s="179">
        <f>SUMIFS('recurring2_based on steps'!$B173:$AY173,'recurring2_based on steps'!$B$1:$AY$1,R$1)+SUMIFS('changes2_based on steps'!$B173:$U173,'changes2_based on steps'!$B$1:$U$1,R$1)</f>
        <v>0</v>
      </c>
      <c r="S173" s="179">
        <f>SUMIFS('recurring2_based on steps'!$B173:$AY173,'recurring2_based on steps'!$B$1:$AY$1,S$1)+SUMIFS('changes2_based on steps'!$B173:$U173,'changes2_based on steps'!$B$1:$U$1,S$1)</f>
        <v>0</v>
      </c>
      <c r="T173" s="179">
        <f>SUMIFS('recurring2_based on steps'!$B173:$AY173,'recurring2_based on steps'!$B$1:$AY$1,T$1)+SUMIFS('changes2_based on steps'!$B173:$U173,'changes2_based on steps'!$B$1:$U$1,T$1)</f>
        <v>0</v>
      </c>
      <c r="U173" s="179">
        <f>SUMIFS('recurring2_based on steps'!$B173:$AY173,'recurring2_based on steps'!$B$1:$AY$1,U$1)+SUMIFS('changes2_based on steps'!$B173:$U173,'changes2_based on steps'!$B$1:$U$1,U$1)</f>
        <v>0</v>
      </c>
      <c r="V173" s="179">
        <f>SUMIFS('recurring2_based on steps'!$B173:$AY173,'recurring2_based on steps'!$B$1:$AY$1,V$1)+SUMIFS('changes2_based on steps'!$B173:$U173,'changes2_based on steps'!$B$1:$U$1,V$1)</f>
        <v>0</v>
      </c>
      <c r="W173" s="179">
        <f>SUMIFS('recurring2_based on steps'!$B173:$AY173,'recurring2_based on steps'!$B$1:$AY$1,W$1)+SUMIFS('changes2_based on steps'!$B173:$U173,'changes2_based on steps'!$B$1:$U$1,W$1)</f>
        <v>0</v>
      </c>
      <c r="X173" s="179">
        <f>SUMIFS('recurring2_based on steps'!$B173:$AY173,'recurring2_based on steps'!$B$1:$AY$1,X$1)+SUMIFS('changes2_based on steps'!$B173:$U173,'changes2_based on steps'!$B$1:$U$1,X$1)</f>
        <v>0</v>
      </c>
      <c r="Y173" s="179">
        <f>SUMIFS('recurring2_based on steps'!$B173:$AY173,'recurring2_based on steps'!$B$1:$AY$1,Y$1)+SUMIFS('changes2_based on steps'!$B173:$U173,'changes2_based on steps'!$B$1:$U$1,Y$1)</f>
        <v>0</v>
      </c>
      <c r="Z173" s="179">
        <f>SUMIFS('recurring2_based on steps'!$B173:$AY173,'recurring2_based on steps'!$B$1:$AY$1,Z$1)+SUMIFS('changes2_based on steps'!$B173:$U173,'changes2_based on steps'!$B$1:$U$1,Z$1)</f>
        <v>0</v>
      </c>
      <c r="AA173" s="179">
        <f>SUMIFS('recurring2_based on steps'!$B173:$AY173,'recurring2_based on steps'!$B$1:$AY$1,AA$1)+SUMIFS('changes2_based on steps'!$B173:$U173,'changes2_based on steps'!$B$1:$U$1,AA$1)</f>
        <v>0</v>
      </c>
      <c r="AB173" s="179">
        <f>SUMIFS('recurring2_based on steps'!$B173:$AY173,'recurring2_based on steps'!$B$1:$AY$1,AB$1)+SUMIFS('changes2_based on steps'!$B173:$U173,'changes2_based on steps'!$B$1:$U$1,AB$1)</f>
        <v>0</v>
      </c>
      <c r="AC173" s="179">
        <f>SUMIFS('recurring2_based on steps'!$B173:$AY173,'recurring2_based on steps'!$B$1:$AY$1,AC$1)+SUMIFS('changes2_based on steps'!$B173:$U173,'changes2_based on steps'!$B$1:$U$1,AC$1)</f>
        <v>0</v>
      </c>
      <c r="AD173" s="179">
        <f>SUMIFS('recurring2_based on steps'!$B173:$AY173,'recurring2_based on steps'!$B$1:$AY$1,AD$1)+SUMIFS('changes2_based on steps'!$B173:$U173,'changes2_based on steps'!$B$1:$U$1,AD$1)</f>
        <v>0</v>
      </c>
      <c r="AE173" s="179">
        <f>SUMIFS('recurring2_based on steps'!$B173:$AY173,'recurring2_based on steps'!$B$1:$AY$1,AE$1)+SUMIFS('changes2_based on steps'!$B173:$U173,'changes2_based on steps'!$B$1:$U$1,AE$1)</f>
        <v>0</v>
      </c>
      <c r="AF173" s="179"/>
      <c r="AG173" s="179"/>
      <c r="AH173" s="179"/>
      <c r="AI173" s="179"/>
      <c r="AJ173" s="179"/>
      <c r="AK173" s="179"/>
      <c r="AL173" s="179"/>
      <c r="AM173" s="179"/>
    </row>
    <row r="174" spans="1:39" x14ac:dyDescent="0.2">
      <c r="A174" s="32">
        <f t="shared" ca="1" si="2"/>
        <v>45916</v>
      </c>
      <c r="B174" s="179">
        <f>SUMIFS('recurring2_based on steps'!$B174:$AY174,'recurring2_based on steps'!$B$1:$AY$1,B$1)+SUMIFS('changes2_based on steps'!$B174:$U174,'changes2_based on steps'!$B$1:$U$1,B$1)</f>
        <v>0</v>
      </c>
      <c r="C174" s="179">
        <f>SUMIFS('recurring2_based on steps'!$B174:$AY174,'recurring2_based on steps'!$B$1:$AY$1,C$1)+SUMIFS('changes2_based on steps'!$B174:$U174,'changes2_based on steps'!$B$1:$U$1,C$1)</f>
        <v>0</v>
      </c>
      <c r="D174" s="179">
        <f>SUMIFS('recurring2_based on steps'!$B174:$AY174,'recurring2_based on steps'!$B$1:$AY$1,D$1)+SUMIFS('changes2_based on steps'!$B174:$U174,'changes2_based on steps'!$B$1:$U$1,D$1)</f>
        <v>0</v>
      </c>
      <c r="E174" s="179">
        <f>SUMIFS('recurring2_based on steps'!$B174:$AY174,'recurring2_based on steps'!$B$1:$AY$1,E$1)+SUMIFS('changes2_based on steps'!$B174:$U174,'changes2_based on steps'!$B$1:$U$1,E$1)</f>
        <v>0</v>
      </c>
      <c r="F174" s="179">
        <f>SUMIFS('recurring2_based on steps'!$B174:$AY174,'recurring2_based on steps'!$B$1:$AY$1,F$1)+SUMIFS('changes2_based on steps'!$B174:$U174,'changes2_based on steps'!$B$1:$U$1,F$1)</f>
        <v>0</v>
      </c>
      <c r="G174" s="179">
        <f>SUMIFS('recurring2_based on steps'!$B174:$AY174,'recurring2_based on steps'!$B$1:$AY$1,G$1)+SUMIFS('changes2_based on steps'!$B174:$U174,'changes2_based on steps'!$B$1:$U$1,G$1)</f>
        <v>0</v>
      </c>
      <c r="H174" s="179">
        <f>SUMIFS('recurring2_based on steps'!$B174:$AY174,'recurring2_based on steps'!$B$1:$AY$1,H$1)+SUMIFS('changes2_based on steps'!$B174:$U174,'changes2_based on steps'!$B$1:$U$1,H$1)</f>
        <v>0</v>
      </c>
      <c r="I174" s="179">
        <f>SUMIFS('recurring2_based on steps'!$B174:$AY174,'recurring2_based on steps'!$B$1:$AY$1,I$1)+SUMIFS('changes2_based on steps'!$B174:$U174,'changes2_based on steps'!$B$1:$U$1,I$1)</f>
        <v>0</v>
      </c>
      <c r="J174" s="179">
        <f>SUMIFS('recurring2_based on steps'!$B174:$AY174,'recurring2_based on steps'!$B$1:$AY$1,J$1)+SUMIFS('changes2_based on steps'!$B174:$U174,'changes2_based on steps'!$B$1:$U$1,J$1)</f>
        <v>0</v>
      </c>
      <c r="K174" s="179">
        <f>SUMIFS('recurring2_based on steps'!$B174:$AY174,'recurring2_based on steps'!$B$1:$AY$1,K$1)+SUMIFS('changes2_based on steps'!$B174:$U174,'changes2_based on steps'!$B$1:$U$1,K$1)</f>
        <v>0</v>
      </c>
      <c r="L174" s="179">
        <f>SUMIFS('recurring2_based on steps'!$B174:$AY174,'recurring2_based on steps'!$B$1:$AY$1,L$1)+SUMIFS('changes2_based on steps'!$B174:$U174,'changes2_based on steps'!$B$1:$U$1,L$1)</f>
        <v>0</v>
      </c>
      <c r="M174" s="179">
        <f>SUMIFS('recurring2_based on steps'!$B174:$AY174,'recurring2_based on steps'!$B$1:$AY$1,M$1)+SUMIFS('changes2_based on steps'!$B174:$U174,'changes2_based on steps'!$B$1:$U$1,M$1)</f>
        <v>0</v>
      </c>
      <c r="N174" s="179">
        <f>SUMIFS('recurring2_based on steps'!$B174:$AY174,'recurring2_based on steps'!$B$1:$AY$1,N$1)+SUMIFS('changes2_based on steps'!$B174:$U174,'changes2_based on steps'!$B$1:$U$1,N$1)</f>
        <v>0</v>
      </c>
      <c r="O174" s="179">
        <f>SUMIFS('recurring2_based on steps'!$B174:$AY174,'recurring2_based on steps'!$B$1:$AY$1,O$1)+SUMIFS('changes2_based on steps'!$B174:$U174,'changes2_based on steps'!$B$1:$U$1,O$1)</f>
        <v>0</v>
      </c>
      <c r="P174" s="179">
        <f>SUMIFS('recurring2_based on steps'!$B174:$AY174,'recurring2_based on steps'!$B$1:$AY$1,P$1)+SUMIFS('changes2_based on steps'!$B174:$U174,'changes2_based on steps'!$B$1:$U$1,P$1)</f>
        <v>0</v>
      </c>
      <c r="Q174" s="179">
        <f>SUMIFS('recurring2_based on steps'!$B174:$AY174,'recurring2_based on steps'!$B$1:$AY$1,Q$1)+SUMIFS('changes2_based on steps'!$B174:$U174,'changes2_based on steps'!$B$1:$U$1,Q$1)</f>
        <v>0</v>
      </c>
      <c r="R174" s="179">
        <f>SUMIFS('recurring2_based on steps'!$B174:$AY174,'recurring2_based on steps'!$B$1:$AY$1,R$1)+SUMIFS('changes2_based on steps'!$B174:$U174,'changes2_based on steps'!$B$1:$U$1,R$1)</f>
        <v>0</v>
      </c>
      <c r="S174" s="179">
        <f>SUMIFS('recurring2_based on steps'!$B174:$AY174,'recurring2_based on steps'!$B$1:$AY$1,S$1)+SUMIFS('changes2_based on steps'!$B174:$U174,'changes2_based on steps'!$B$1:$U$1,S$1)</f>
        <v>0</v>
      </c>
      <c r="T174" s="179">
        <f>SUMIFS('recurring2_based on steps'!$B174:$AY174,'recurring2_based on steps'!$B$1:$AY$1,T$1)+SUMIFS('changes2_based on steps'!$B174:$U174,'changes2_based on steps'!$B$1:$U$1,T$1)</f>
        <v>0</v>
      </c>
      <c r="U174" s="179">
        <f>SUMIFS('recurring2_based on steps'!$B174:$AY174,'recurring2_based on steps'!$B$1:$AY$1,U$1)+SUMIFS('changes2_based on steps'!$B174:$U174,'changes2_based on steps'!$B$1:$U$1,U$1)</f>
        <v>0</v>
      </c>
      <c r="V174" s="179">
        <f>SUMIFS('recurring2_based on steps'!$B174:$AY174,'recurring2_based on steps'!$B$1:$AY$1,V$1)+SUMIFS('changes2_based on steps'!$B174:$U174,'changes2_based on steps'!$B$1:$U$1,V$1)</f>
        <v>0</v>
      </c>
      <c r="W174" s="179">
        <f>SUMIFS('recurring2_based on steps'!$B174:$AY174,'recurring2_based on steps'!$B$1:$AY$1,W$1)+SUMIFS('changes2_based on steps'!$B174:$U174,'changes2_based on steps'!$B$1:$U$1,W$1)</f>
        <v>0</v>
      </c>
      <c r="X174" s="179">
        <f>SUMIFS('recurring2_based on steps'!$B174:$AY174,'recurring2_based on steps'!$B$1:$AY$1,X$1)+SUMIFS('changes2_based on steps'!$B174:$U174,'changes2_based on steps'!$B$1:$U$1,X$1)</f>
        <v>0</v>
      </c>
      <c r="Y174" s="179">
        <f>SUMIFS('recurring2_based on steps'!$B174:$AY174,'recurring2_based on steps'!$B$1:$AY$1,Y$1)+SUMIFS('changes2_based on steps'!$B174:$U174,'changes2_based on steps'!$B$1:$U$1,Y$1)</f>
        <v>0</v>
      </c>
      <c r="Z174" s="179">
        <f>SUMIFS('recurring2_based on steps'!$B174:$AY174,'recurring2_based on steps'!$B$1:$AY$1,Z$1)+SUMIFS('changes2_based on steps'!$B174:$U174,'changes2_based on steps'!$B$1:$U$1,Z$1)</f>
        <v>0</v>
      </c>
      <c r="AA174" s="179">
        <f>SUMIFS('recurring2_based on steps'!$B174:$AY174,'recurring2_based on steps'!$B$1:$AY$1,AA$1)+SUMIFS('changes2_based on steps'!$B174:$U174,'changes2_based on steps'!$B$1:$U$1,AA$1)</f>
        <v>0</v>
      </c>
      <c r="AB174" s="179">
        <f>SUMIFS('recurring2_based on steps'!$B174:$AY174,'recurring2_based on steps'!$B$1:$AY$1,AB$1)+SUMIFS('changes2_based on steps'!$B174:$U174,'changes2_based on steps'!$B$1:$U$1,AB$1)</f>
        <v>0</v>
      </c>
      <c r="AC174" s="179">
        <f>SUMIFS('recurring2_based on steps'!$B174:$AY174,'recurring2_based on steps'!$B$1:$AY$1,AC$1)+SUMIFS('changes2_based on steps'!$B174:$U174,'changes2_based on steps'!$B$1:$U$1,AC$1)</f>
        <v>0</v>
      </c>
      <c r="AD174" s="179">
        <f>SUMIFS('recurring2_based on steps'!$B174:$AY174,'recurring2_based on steps'!$B$1:$AY$1,AD$1)+SUMIFS('changes2_based on steps'!$B174:$U174,'changes2_based on steps'!$B$1:$U$1,AD$1)</f>
        <v>0</v>
      </c>
      <c r="AE174" s="179">
        <f>SUMIFS('recurring2_based on steps'!$B174:$AY174,'recurring2_based on steps'!$B$1:$AY$1,AE$1)+SUMIFS('changes2_based on steps'!$B174:$U174,'changes2_based on steps'!$B$1:$U$1,AE$1)</f>
        <v>0</v>
      </c>
      <c r="AF174" s="179"/>
      <c r="AG174" s="179"/>
      <c r="AH174" s="179"/>
      <c r="AI174" s="179"/>
      <c r="AJ174" s="179"/>
      <c r="AK174" s="179"/>
      <c r="AL174" s="179"/>
      <c r="AM174" s="179"/>
    </row>
    <row r="175" spans="1:39" x14ac:dyDescent="0.2">
      <c r="A175" s="32">
        <f t="shared" ca="1" si="2"/>
        <v>45917</v>
      </c>
      <c r="B175" s="179">
        <f>SUMIFS('recurring2_based on steps'!$B175:$AY175,'recurring2_based on steps'!$B$1:$AY$1,B$1)+SUMIFS('changes2_based on steps'!$B175:$U175,'changes2_based on steps'!$B$1:$U$1,B$1)</f>
        <v>0</v>
      </c>
      <c r="C175" s="179">
        <f>SUMIFS('recurring2_based on steps'!$B175:$AY175,'recurring2_based on steps'!$B$1:$AY$1,C$1)+SUMIFS('changes2_based on steps'!$B175:$U175,'changes2_based on steps'!$B$1:$U$1,C$1)</f>
        <v>0</v>
      </c>
      <c r="D175" s="179">
        <f>SUMIFS('recurring2_based on steps'!$B175:$AY175,'recurring2_based on steps'!$B$1:$AY$1,D$1)+SUMIFS('changes2_based on steps'!$B175:$U175,'changes2_based on steps'!$B$1:$U$1,D$1)</f>
        <v>0</v>
      </c>
      <c r="E175" s="179">
        <f>SUMIFS('recurring2_based on steps'!$B175:$AY175,'recurring2_based on steps'!$B$1:$AY$1,E$1)+SUMIFS('changes2_based on steps'!$B175:$U175,'changes2_based on steps'!$B$1:$U$1,E$1)</f>
        <v>0</v>
      </c>
      <c r="F175" s="179">
        <f>SUMIFS('recurring2_based on steps'!$B175:$AY175,'recurring2_based on steps'!$B$1:$AY$1,F$1)+SUMIFS('changes2_based on steps'!$B175:$U175,'changes2_based on steps'!$B$1:$U$1,F$1)</f>
        <v>0</v>
      </c>
      <c r="G175" s="179">
        <f>SUMIFS('recurring2_based on steps'!$B175:$AY175,'recurring2_based on steps'!$B$1:$AY$1,G$1)+SUMIFS('changes2_based on steps'!$B175:$U175,'changes2_based on steps'!$B$1:$U$1,G$1)</f>
        <v>0</v>
      </c>
      <c r="H175" s="179">
        <f>SUMIFS('recurring2_based on steps'!$B175:$AY175,'recurring2_based on steps'!$B$1:$AY$1,H$1)+SUMIFS('changes2_based on steps'!$B175:$U175,'changes2_based on steps'!$B$1:$U$1,H$1)</f>
        <v>0</v>
      </c>
      <c r="I175" s="179">
        <f>SUMIFS('recurring2_based on steps'!$B175:$AY175,'recurring2_based on steps'!$B$1:$AY$1,I$1)+SUMIFS('changes2_based on steps'!$B175:$U175,'changes2_based on steps'!$B$1:$U$1,I$1)</f>
        <v>0</v>
      </c>
      <c r="J175" s="179">
        <f>SUMIFS('recurring2_based on steps'!$B175:$AY175,'recurring2_based on steps'!$B$1:$AY$1,J$1)+SUMIFS('changes2_based on steps'!$B175:$U175,'changes2_based on steps'!$B$1:$U$1,J$1)</f>
        <v>0</v>
      </c>
      <c r="K175" s="179">
        <f>SUMIFS('recurring2_based on steps'!$B175:$AY175,'recurring2_based on steps'!$B$1:$AY$1,K$1)+SUMIFS('changes2_based on steps'!$B175:$U175,'changes2_based on steps'!$B$1:$U$1,K$1)</f>
        <v>0</v>
      </c>
      <c r="L175" s="179">
        <f>SUMIFS('recurring2_based on steps'!$B175:$AY175,'recurring2_based on steps'!$B$1:$AY$1,L$1)+SUMIFS('changes2_based on steps'!$B175:$U175,'changes2_based on steps'!$B$1:$U$1,L$1)</f>
        <v>0</v>
      </c>
      <c r="M175" s="179">
        <f>SUMIFS('recurring2_based on steps'!$B175:$AY175,'recurring2_based on steps'!$B$1:$AY$1,M$1)+SUMIFS('changes2_based on steps'!$B175:$U175,'changes2_based on steps'!$B$1:$U$1,M$1)</f>
        <v>0</v>
      </c>
      <c r="N175" s="179">
        <f>SUMIFS('recurring2_based on steps'!$B175:$AY175,'recurring2_based on steps'!$B$1:$AY$1,N$1)+SUMIFS('changes2_based on steps'!$B175:$U175,'changes2_based on steps'!$B$1:$U$1,N$1)</f>
        <v>0</v>
      </c>
      <c r="O175" s="179">
        <f>SUMIFS('recurring2_based on steps'!$B175:$AY175,'recurring2_based on steps'!$B$1:$AY$1,O$1)+SUMIFS('changes2_based on steps'!$B175:$U175,'changes2_based on steps'!$B$1:$U$1,O$1)</f>
        <v>0</v>
      </c>
      <c r="P175" s="179">
        <f>SUMIFS('recurring2_based on steps'!$B175:$AY175,'recurring2_based on steps'!$B$1:$AY$1,P$1)+SUMIFS('changes2_based on steps'!$B175:$U175,'changes2_based on steps'!$B$1:$U$1,P$1)</f>
        <v>0</v>
      </c>
      <c r="Q175" s="179">
        <f>SUMIFS('recurring2_based on steps'!$B175:$AY175,'recurring2_based on steps'!$B$1:$AY$1,Q$1)+SUMIFS('changes2_based on steps'!$B175:$U175,'changes2_based on steps'!$B$1:$U$1,Q$1)</f>
        <v>0</v>
      </c>
      <c r="R175" s="179">
        <f>SUMIFS('recurring2_based on steps'!$B175:$AY175,'recurring2_based on steps'!$B$1:$AY$1,R$1)+SUMIFS('changes2_based on steps'!$B175:$U175,'changes2_based on steps'!$B$1:$U$1,R$1)</f>
        <v>0</v>
      </c>
      <c r="S175" s="179">
        <f>SUMIFS('recurring2_based on steps'!$B175:$AY175,'recurring2_based on steps'!$B$1:$AY$1,S$1)+SUMIFS('changes2_based on steps'!$B175:$U175,'changes2_based on steps'!$B$1:$U$1,S$1)</f>
        <v>0</v>
      </c>
      <c r="T175" s="179">
        <f>SUMIFS('recurring2_based on steps'!$B175:$AY175,'recurring2_based on steps'!$B$1:$AY$1,T$1)+SUMIFS('changes2_based on steps'!$B175:$U175,'changes2_based on steps'!$B$1:$U$1,T$1)</f>
        <v>0</v>
      </c>
      <c r="U175" s="179">
        <f>SUMIFS('recurring2_based on steps'!$B175:$AY175,'recurring2_based on steps'!$B$1:$AY$1,U$1)+SUMIFS('changes2_based on steps'!$B175:$U175,'changes2_based on steps'!$B$1:$U$1,U$1)</f>
        <v>0</v>
      </c>
      <c r="V175" s="179">
        <f>SUMIFS('recurring2_based on steps'!$B175:$AY175,'recurring2_based on steps'!$B$1:$AY$1,V$1)+SUMIFS('changes2_based on steps'!$B175:$U175,'changes2_based on steps'!$B$1:$U$1,V$1)</f>
        <v>0</v>
      </c>
      <c r="W175" s="179">
        <f>SUMIFS('recurring2_based on steps'!$B175:$AY175,'recurring2_based on steps'!$B$1:$AY$1,W$1)+SUMIFS('changes2_based on steps'!$B175:$U175,'changes2_based on steps'!$B$1:$U$1,W$1)</f>
        <v>0</v>
      </c>
      <c r="X175" s="179">
        <f>SUMIFS('recurring2_based on steps'!$B175:$AY175,'recurring2_based on steps'!$B$1:$AY$1,X$1)+SUMIFS('changes2_based on steps'!$B175:$U175,'changes2_based on steps'!$B$1:$U$1,X$1)</f>
        <v>0</v>
      </c>
      <c r="Y175" s="179">
        <f>SUMIFS('recurring2_based on steps'!$B175:$AY175,'recurring2_based on steps'!$B$1:$AY$1,Y$1)+SUMIFS('changes2_based on steps'!$B175:$U175,'changes2_based on steps'!$B$1:$U$1,Y$1)</f>
        <v>0</v>
      </c>
      <c r="Z175" s="179">
        <f>SUMIFS('recurring2_based on steps'!$B175:$AY175,'recurring2_based on steps'!$B$1:$AY$1,Z$1)+SUMIFS('changes2_based on steps'!$B175:$U175,'changes2_based on steps'!$B$1:$U$1,Z$1)</f>
        <v>0</v>
      </c>
      <c r="AA175" s="179">
        <f>SUMIFS('recurring2_based on steps'!$B175:$AY175,'recurring2_based on steps'!$B$1:$AY$1,AA$1)+SUMIFS('changes2_based on steps'!$B175:$U175,'changes2_based on steps'!$B$1:$U$1,AA$1)</f>
        <v>0</v>
      </c>
      <c r="AB175" s="179">
        <f>SUMIFS('recurring2_based on steps'!$B175:$AY175,'recurring2_based on steps'!$B$1:$AY$1,AB$1)+SUMIFS('changes2_based on steps'!$B175:$U175,'changes2_based on steps'!$B$1:$U$1,AB$1)</f>
        <v>0</v>
      </c>
      <c r="AC175" s="179">
        <f>SUMIFS('recurring2_based on steps'!$B175:$AY175,'recurring2_based on steps'!$B$1:$AY$1,AC$1)+SUMIFS('changes2_based on steps'!$B175:$U175,'changes2_based on steps'!$B$1:$U$1,AC$1)</f>
        <v>0</v>
      </c>
      <c r="AD175" s="179">
        <f>SUMIFS('recurring2_based on steps'!$B175:$AY175,'recurring2_based on steps'!$B$1:$AY$1,AD$1)+SUMIFS('changes2_based on steps'!$B175:$U175,'changes2_based on steps'!$B$1:$U$1,AD$1)</f>
        <v>0</v>
      </c>
      <c r="AE175" s="179">
        <f>SUMIFS('recurring2_based on steps'!$B175:$AY175,'recurring2_based on steps'!$B$1:$AY$1,AE$1)+SUMIFS('changes2_based on steps'!$B175:$U175,'changes2_based on steps'!$B$1:$U$1,AE$1)</f>
        <v>0</v>
      </c>
      <c r="AF175" s="179"/>
      <c r="AG175" s="179"/>
      <c r="AH175" s="179"/>
      <c r="AI175" s="179"/>
      <c r="AJ175" s="179"/>
      <c r="AK175" s="179"/>
      <c r="AL175" s="179"/>
      <c r="AM175" s="179"/>
    </row>
    <row r="176" spans="1:39" x14ac:dyDescent="0.2">
      <c r="A176" s="32">
        <f t="shared" ca="1" si="2"/>
        <v>45918</v>
      </c>
      <c r="B176" s="179">
        <f>SUMIFS('recurring2_based on steps'!$B176:$AY176,'recurring2_based on steps'!$B$1:$AY$1,B$1)+SUMIFS('changes2_based on steps'!$B176:$U176,'changes2_based on steps'!$B$1:$U$1,B$1)</f>
        <v>0</v>
      </c>
      <c r="C176" s="179">
        <f>SUMIFS('recurring2_based on steps'!$B176:$AY176,'recurring2_based on steps'!$B$1:$AY$1,C$1)+SUMIFS('changes2_based on steps'!$B176:$U176,'changes2_based on steps'!$B$1:$U$1,C$1)</f>
        <v>0</v>
      </c>
      <c r="D176" s="179">
        <f>SUMIFS('recurring2_based on steps'!$B176:$AY176,'recurring2_based on steps'!$B$1:$AY$1,D$1)+SUMIFS('changes2_based on steps'!$B176:$U176,'changes2_based on steps'!$B$1:$U$1,D$1)</f>
        <v>0</v>
      </c>
      <c r="E176" s="179">
        <f>SUMIFS('recurring2_based on steps'!$B176:$AY176,'recurring2_based on steps'!$B$1:$AY$1,E$1)+SUMIFS('changes2_based on steps'!$B176:$U176,'changes2_based on steps'!$B$1:$U$1,E$1)</f>
        <v>0</v>
      </c>
      <c r="F176" s="179">
        <f>SUMIFS('recurring2_based on steps'!$B176:$AY176,'recurring2_based on steps'!$B$1:$AY$1,F$1)+SUMIFS('changes2_based on steps'!$B176:$U176,'changes2_based on steps'!$B$1:$U$1,F$1)</f>
        <v>0</v>
      </c>
      <c r="G176" s="179">
        <f>SUMIFS('recurring2_based on steps'!$B176:$AY176,'recurring2_based on steps'!$B$1:$AY$1,G$1)+SUMIFS('changes2_based on steps'!$B176:$U176,'changes2_based on steps'!$B$1:$U$1,G$1)</f>
        <v>0</v>
      </c>
      <c r="H176" s="179">
        <f>SUMIFS('recurring2_based on steps'!$B176:$AY176,'recurring2_based on steps'!$B$1:$AY$1,H$1)+SUMIFS('changes2_based on steps'!$B176:$U176,'changes2_based on steps'!$B$1:$U$1,H$1)</f>
        <v>0</v>
      </c>
      <c r="I176" s="179">
        <f>SUMIFS('recurring2_based on steps'!$B176:$AY176,'recurring2_based on steps'!$B$1:$AY$1,I$1)+SUMIFS('changes2_based on steps'!$B176:$U176,'changes2_based on steps'!$B$1:$U$1,I$1)</f>
        <v>0</v>
      </c>
      <c r="J176" s="179">
        <f>SUMIFS('recurring2_based on steps'!$B176:$AY176,'recurring2_based on steps'!$B$1:$AY$1,J$1)+SUMIFS('changes2_based on steps'!$B176:$U176,'changes2_based on steps'!$B$1:$U$1,J$1)</f>
        <v>0</v>
      </c>
      <c r="K176" s="179">
        <f>SUMIFS('recurring2_based on steps'!$B176:$AY176,'recurring2_based on steps'!$B$1:$AY$1,K$1)+SUMIFS('changes2_based on steps'!$B176:$U176,'changes2_based on steps'!$B$1:$U$1,K$1)</f>
        <v>0</v>
      </c>
      <c r="L176" s="179">
        <f>SUMIFS('recurring2_based on steps'!$B176:$AY176,'recurring2_based on steps'!$B$1:$AY$1,L$1)+SUMIFS('changes2_based on steps'!$B176:$U176,'changes2_based on steps'!$B$1:$U$1,L$1)</f>
        <v>0</v>
      </c>
      <c r="M176" s="179">
        <f>SUMIFS('recurring2_based on steps'!$B176:$AY176,'recurring2_based on steps'!$B$1:$AY$1,M$1)+SUMIFS('changes2_based on steps'!$B176:$U176,'changes2_based on steps'!$B$1:$U$1,M$1)</f>
        <v>0</v>
      </c>
      <c r="N176" s="179">
        <f>SUMIFS('recurring2_based on steps'!$B176:$AY176,'recurring2_based on steps'!$B$1:$AY$1,N$1)+SUMIFS('changes2_based on steps'!$B176:$U176,'changes2_based on steps'!$B$1:$U$1,N$1)</f>
        <v>0</v>
      </c>
      <c r="O176" s="179">
        <f>SUMIFS('recurring2_based on steps'!$B176:$AY176,'recurring2_based on steps'!$B$1:$AY$1,O$1)+SUMIFS('changes2_based on steps'!$B176:$U176,'changes2_based on steps'!$B$1:$U$1,O$1)</f>
        <v>0</v>
      </c>
      <c r="P176" s="179">
        <f>SUMIFS('recurring2_based on steps'!$B176:$AY176,'recurring2_based on steps'!$B$1:$AY$1,P$1)+SUMIFS('changes2_based on steps'!$B176:$U176,'changes2_based on steps'!$B$1:$U$1,P$1)</f>
        <v>0</v>
      </c>
      <c r="Q176" s="179">
        <f>SUMIFS('recurring2_based on steps'!$B176:$AY176,'recurring2_based on steps'!$B$1:$AY$1,Q$1)+SUMIFS('changes2_based on steps'!$B176:$U176,'changes2_based on steps'!$B$1:$U$1,Q$1)</f>
        <v>0</v>
      </c>
      <c r="R176" s="179">
        <f>SUMIFS('recurring2_based on steps'!$B176:$AY176,'recurring2_based on steps'!$B$1:$AY$1,R$1)+SUMIFS('changes2_based on steps'!$B176:$U176,'changes2_based on steps'!$B$1:$U$1,R$1)</f>
        <v>0</v>
      </c>
      <c r="S176" s="179">
        <f>SUMIFS('recurring2_based on steps'!$B176:$AY176,'recurring2_based on steps'!$B$1:$AY$1,S$1)+SUMIFS('changes2_based on steps'!$B176:$U176,'changes2_based on steps'!$B$1:$U$1,S$1)</f>
        <v>0</v>
      </c>
      <c r="T176" s="179">
        <f>SUMIFS('recurring2_based on steps'!$B176:$AY176,'recurring2_based on steps'!$B$1:$AY$1,T$1)+SUMIFS('changes2_based on steps'!$B176:$U176,'changes2_based on steps'!$B$1:$U$1,T$1)</f>
        <v>0</v>
      </c>
      <c r="U176" s="179">
        <f>SUMIFS('recurring2_based on steps'!$B176:$AY176,'recurring2_based on steps'!$B$1:$AY$1,U$1)+SUMIFS('changes2_based on steps'!$B176:$U176,'changes2_based on steps'!$B$1:$U$1,U$1)</f>
        <v>0</v>
      </c>
      <c r="V176" s="179">
        <f>SUMIFS('recurring2_based on steps'!$B176:$AY176,'recurring2_based on steps'!$B$1:$AY$1,V$1)+SUMIFS('changes2_based on steps'!$B176:$U176,'changes2_based on steps'!$B$1:$U$1,V$1)</f>
        <v>0</v>
      </c>
      <c r="W176" s="179">
        <f>SUMIFS('recurring2_based on steps'!$B176:$AY176,'recurring2_based on steps'!$B$1:$AY$1,W$1)+SUMIFS('changes2_based on steps'!$B176:$U176,'changes2_based on steps'!$B$1:$U$1,W$1)</f>
        <v>0</v>
      </c>
      <c r="X176" s="179">
        <f>SUMIFS('recurring2_based on steps'!$B176:$AY176,'recurring2_based on steps'!$B$1:$AY$1,X$1)+SUMIFS('changes2_based on steps'!$B176:$U176,'changes2_based on steps'!$B$1:$U$1,X$1)</f>
        <v>0</v>
      </c>
      <c r="Y176" s="179">
        <f>SUMIFS('recurring2_based on steps'!$B176:$AY176,'recurring2_based on steps'!$B$1:$AY$1,Y$1)+SUMIFS('changes2_based on steps'!$B176:$U176,'changes2_based on steps'!$B$1:$U$1,Y$1)</f>
        <v>0</v>
      </c>
      <c r="Z176" s="179">
        <f>SUMIFS('recurring2_based on steps'!$B176:$AY176,'recurring2_based on steps'!$B$1:$AY$1,Z$1)+SUMIFS('changes2_based on steps'!$B176:$U176,'changes2_based on steps'!$B$1:$U$1,Z$1)</f>
        <v>0</v>
      </c>
      <c r="AA176" s="179">
        <f>SUMIFS('recurring2_based on steps'!$B176:$AY176,'recurring2_based on steps'!$B$1:$AY$1,AA$1)+SUMIFS('changes2_based on steps'!$B176:$U176,'changes2_based on steps'!$B$1:$U$1,AA$1)</f>
        <v>0</v>
      </c>
      <c r="AB176" s="179">
        <f>SUMIFS('recurring2_based on steps'!$B176:$AY176,'recurring2_based on steps'!$B$1:$AY$1,AB$1)+SUMIFS('changes2_based on steps'!$B176:$U176,'changes2_based on steps'!$B$1:$U$1,AB$1)</f>
        <v>0</v>
      </c>
      <c r="AC176" s="179">
        <f>SUMIFS('recurring2_based on steps'!$B176:$AY176,'recurring2_based on steps'!$B$1:$AY$1,AC$1)+SUMIFS('changes2_based on steps'!$B176:$U176,'changes2_based on steps'!$B$1:$U$1,AC$1)</f>
        <v>0</v>
      </c>
      <c r="AD176" s="179">
        <f>SUMIFS('recurring2_based on steps'!$B176:$AY176,'recurring2_based on steps'!$B$1:$AY$1,AD$1)+SUMIFS('changes2_based on steps'!$B176:$U176,'changes2_based on steps'!$B$1:$U$1,AD$1)</f>
        <v>0</v>
      </c>
      <c r="AE176" s="179">
        <f>SUMIFS('recurring2_based on steps'!$B176:$AY176,'recurring2_based on steps'!$B$1:$AY$1,AE$1)+SUMIFS('changes2_based on steps'!$B176:$U176,'changes2_based on steps'!$B$1:$U$1,AE$1)</f>
        <v>0</v>
      </c>
      <c r="AF176" s="179"/>
      <c r="AG176" s="179"/>
      <c r="AH176" s="179"/>
      <c r="AI176" s="179"/>
      <c r="AJ176" s="179"/>
      <c r="AK176" s="179"/>
      <c r="AL176" s="179"/>
      <c r="AM176" s="179"/>
    </row>
    <row r="177" spans="1:39" x14ac:dyDescent="0.2">
      <c r="A177" s="32">
        <f t="shared" ca="1" si="2"/>
        <v>45919</v>
      </c>
      <c r="B177" s="179">
        <f>SUMIFS('recurring2_based on steps'!$B177:$AY177,'recurring2_based on steps'!$B$1:$AY$1,B$1)+SUMIFS('changes2_based on steps'!$B177:$U177,'changes2_based on steps'!$B$1:$U$1,B$1)</f>
        <v>0</v>
      </c>
      <c r="C177" s="179">
        <f>SUMIFS('recurring2_based on steps'!$B177:$AY177,'recurring2_based on steps'!$B$1:$AY$1,C$1)+SUMIFS('changes2_based on steps'!$B177:$U177,'changes2_based on steps'!$B$1:$U$1,C$1)</f>
        <v>0</v>
      </c>
      <c r="D177" s="179">
        <f>SUMIFS('recurring2_based on steps'!$B177:$AY177,'recurring2_based on steps'!$B$1:$AY$1,D$1)+SUMIFS('changes2_based on steps'!$B177:$U177,'changes2_based on steps'!$B$1:$U$1,D$1)</f>
        <v>0</v>
      </c>
      <c r="E177" s="179">
        <f>SUMIFS('recurring2_based on steps'!$B177:$AY177,'recurring2_based on steps'!$B$1:$AY$1,E$1)+SUMIFS('changes2_based on steps'!$B177:$U177,'changes2_based on steps'!$B$1:$U$1,E$1)</f>
        <v>0</v>
      </c>
      <c r="F177" s="179">
        <f>SUMIFS('recurring2_based on steps'!$B177:$AY177,'recurring2_based on steps'!$B$1:$AY$1,F$1)+SUMIFS('changes2_based on steps'!$B177:$U177,'changes2_based on steps'!$B$1:$U$1,F$1)</f>
        <v>0</v>
      </c>
      <c r="G177" s="179">
        <f>SUMIFS('recurring2_based on steps'!$B177:$AY177,'recurring2_based on steps'!$B$1:$AY$1,G$1)+SUMIFS('changes2_based on steps'!$B177:$U177,'changes2_based on steps'!$B$1:$U$1,G$1)</f>
        <v>0</v>
      </c>
      <c r="H177" s="179">
        <f>SUMIFS('recurring2_based on steps'!$B177:$AY177,'recurring2_based on steps'!$B$1:$AY$1,H$1)+SUMIFS('changes2_based on steps'!$B177:$U177,'changes2_based on steps'!$B$1:$U$1,H$1)</f>
        <v>0</v>
      </c>
      <c r="I177" s="179">
        <f>SUMIFS('recurring2_based on steps'!$B177:$AY177,'recurring2_based on steps'!$B$1:$AY$1,I$1)+SUMIFS('changes2_based on steps'!$B177:$U177,'changes2_based on steps'!$B$1:$U$1,I$1)</f>
        <v>0</v>
      </c>
      <c r="J177" s="179">
        <f>SUMIFS('recurring2_based on steps'!$B177:$AY177,'recurring2_based on steps'!$B$1:$AY$1,J$1)+SUMIFS('changes2_based on steps'!$B177:$U177,'changes2_based on steps'!$B$1:$U$1,J$1)</f>
        <v>0</v>
      </c>
      <c r="K177" s="179">
        <f>SUMIFS('recurring2_based on steps'!$B177:$AY177,'recurring2_based on steps'!$B$1:$AY$1,K$1)+SUMIFS('changes2_based on steps'!$B177:$U177,'changes2_based on steps'!$B$1:$U$1,K$1)</f>
        <v>0</v>
      </c>
      <c r="L177" s="179">
        <f>SUMIFS('recurring2_based on steps'!$B177:$AY177,'recurring2_based on steps'!$B$1:$AY$1,L$1)+SUMIFS('changes2_based on steps'!$B177:$U177,'changes2_based on steps'!$B$1:$U$1,L$1)</f>
        <v>0</v>
      </c>
      <c r="M177" s="179">
        <f>SUMIFS('recurring2_based on steps'!$B177:$AY177,'recurring2_based on steps'!$B$1:$AY$1,M$1)+SUMIFS('changes2_based on steps'!$B177:$U177,'changes2_based on steps'!$B$1:$U$1,M$1)</f>
        <v>0</v>
      </c>
      <c r="N177" s="179">
        <f>SUMIFS('recurring2_based on steps'!$B177:$AY177,'recurring2_based on steps'!$B$1:$AY$1,N$1)+SUMIFS('changes2_based on steps'!$B177:$U177,'changes2_based on steps'!$B$1:$U$1,N$1)</f>
        <v>0</v>
      </c>
      <c r="O177" s="179">
        <f>SUMIFS('recurring2_based on steps'!$B177:$AY177,'recurring2_based on steps'!$B$1:$AY$1,O$1)+SUMIFS('changes2_based on steps'!$B177:$U177,'changes2_based on steps'!$B$1:$U$1,O$1)</f>
        <v>0</v>
      </c>
      <c r="P177" s="179">
        <f>SUMIFS('recurring2_based on steps'!$B177:$AY177,'recurring2_based on steps'!$B$1:$AY$1,P$1)+SUMIFS('changes2_based on steps'!$B177:$U177,'changes2_based on steps'!$B$1:$U$1,P$1)</f>
        <v>0</v>
      </c>
      <c r="Q177" s="179">
        <f>SUMIFS('recurring2_based on steps'!$B177:$AY177,'recurring2_based on steps'!$B$1:$AY$1,Q$1)+SUMIFS('changes2_based on steps'!$B177:$U177,'changes2_based on steps'!$B$1:$U$1,Q$1)</f>
        <v>0</v>
      </c>
      <c r="R177" s="179">
        <f>SUMIFS('recurring2_based on steps'!$B177:$AY177,'recurring2_based on steps'!$B$1:$AY$1,R$1)+SUMIFS('changes2_based on steps'!$B177:$U177,'changes2_based on steps'!$B$1:$U$1,R$1)</f>
        <v>0</v>
      </c>
      <c r="S177" s="179">
        <f>SUMIFS('recurring2_based on steps'!$B177:$AY177,'recurring2_based on steps'!$B$1:$AY$1,S$1)+SUMIFS('changes2_based on steps'!$B177:$U177,'changes2_based on steps'!$B$1:$U$1,S$1)</f>
        <v>0</v>
      </c>
      <c r="T177" s="179">
        <f>SUMIFS('recurring2_based on steps'!$B177:$AY177,'recurring2_based on steps'!$B$1:$AY$1,T$1)+SUMIFS('changes2_based on steps'!$B177:$U177,'changes2_based on steps'!$B$1:$U$1,T$1)</f>
        <v>0</v>
      </c>
      <c r="U177" s="179">
        <f>SUMIFS('recurring2_based on steps'!$B177:$AY177,'recurring2_based on steps'!$B$1:$AY$1,U$1)+SUMIFS('changes2_based on steps'!$B177:$U177,'changes2_based on steps'!$B$1:$U$1,U$1)</f>
        <v>0</v>
      </c>
      <c r="V177" s="179">
        <f>SUMIFS('recurring2_based on steps'!$B177:$AY177,'recurring2_based on steps'!$B$1:$AY$1,V$1)+SUMIFS('changes2_based on steps'!$B177:$U177,'changes2_based on steps'!$B$1:$U$1,V$1)</f>
        <v>0</v>
      </c>
      <c r="W177" s="179">
        <f>SUMIFS('recurring2_based on steps'!$B177:$AY177,'recurring2_based on steps'!$B$1:$AY$1,W$1)+SUMIFS('changes2_based on steps'!$B177:$U177,'changes2_based on steps'!$B$1:$U$1,W$1)</f>
        <v>0</v>
      </c>
      <c r="X177" s="179">
        <f>SUMIFS('recurring2_based on steps'!$B177:$AY177,'recurring2_based on steps'!$B$1:$AY$1,X$1)+SUMIFS('changes2_based on steps'!$B177:$U177,'changes2_based on steps'!$B$1:$U$1,X$1)</f>
        <v>0</v>
      </c>
      <c r="Y177" s="179">
        <f>SUMIFS('recurring2_based on steps'!$B177:$AY177,'recurring2_based on steps'!$B$1:$AY$1,Y$1)+SUMIFS('changes2_based on steps'!$B177:$U177,'changes2_based on steps'!$B$1:$U$1,Y$1)</f>
        <v>0</v>
      </c>
      <c r="Z177" s="179">
        <f>SUMIFS('recurring2_based on steps'!$B177:$AY177,'recurring2_based on steps'!$B$1:$AY$1,Z$1)+SUMIFS('changes2_based on steps'!$B177:$U177,'changes2_based on steps'!$B$1:$U$1,Z$1)</f>
        <v>0</v>
      </c>
      <c r="AA177" s="179">
        <f>SUMIFS('recurring2_based on steps'!$B177:$AY177,'recurring2_based on steps'!$B$1:$AY$1,AA$1)+SUMIFS('changes2_based on steps'!$B177:$U177,'changes2_based on steps'!$B$1:$U$1,AA$1)</f>
        <v>0</v>
      </c>
      <c r="AB177" s="179">
        <f>SUMIFS('recurring2_based on steps'!$B177:$AY177,'recurring2_based on steps'!$B$1:$AY$1,AB$1)+SUMIFS('changes2_based on steps'!$B177:$U177,'changes2_based on steps'!$B$1:$U$1,AB$1)</f>
        <v>0</v>
      </c>
      <c r="AC177" s="179">
        <f>SUMIFS('recurring2_based on steps'!$B177:$AY177,'recurring2_based on steps'!$B$1:$AY$1,AC$1)+SUMIFS('changes2_based on steps'!$B177:$U177,'changes2_based on steps'!$B$1:$U$1,AC$1)</f>
        <v>0</v>
      </c>
      <c r="AD177" s="179">
        <f>SUMIFS('recurring2_based on steps'!$B177:$AY177,'recurring2_based on steps'!$B$1:$AY$1,AD$1)+SUMIFS('changes2_based on steps'!$B177:$U177,'changes2_based on steps'!$B$1:$U$1,AD$1)</f>
        <v>0</v>
      </c>
      <c r="AE177" s="179">
        <f>SUMIFS('recurring2_based on steps'!$B177:$AY177,'recurring2_based on steps'!$B$1:$AY$1,AE$1)+SUMIFS('changes2_based on steps'!$B177:$U177,'changes2_based on steps'!$B$1:$U$1,AE$1)</f>
        <v>0</v>
      </c>
      <c r="AF177" s="179"/>
      <c r="AG177" s="179"/>
      <c r="AH177" s="179"/>
      <c r="AI177" s="179"/>
      <c r="AJ177" s="179"/>
      <c r="AK177" s="179"/>
      <c r="AL177" s="179"/>
      <c r="AM177" s="179"/>
    </row>
    <row r="178" spans="1:39" x14ac:dyDescent="0.2">
      <c r="A178" s="32">
        <f t="shared" ca="1" si="2"/>
        <v>45920</v>
      </c>
      <c r="B178" s="179">
        <f>SUMIFS('recurring2_based on steps'!$B178:$AY178,'recurring2_based on steps'!$B$1:$AY$1,B$1)+SUMIFS('changes2_based on steps'!$B178:$U178,'changes2_based on steps'!$B$1:$U$1,B$1)</f>
        <v>0</v>
      </c>
      <c r="C178" s="179">
        <f>SUMIFS('recurring2_based on steps'!$B178:$AY178,'recurring2_based on steps'!$B$1:$AY$1,C$1)+SUMIFS('changes2_based on steps'!$B178:$U178,'changes2_based on steps'!$B$1:$U$1,C$1)</f>
        <v>0</v>
      </c>
      <c r="D178" s="179">
        <f>SUMIFS('recurring2_based on steps'!$B178:$AY178,'recurring2_based on steps'!$B$1:$AY$1,D$1)+SUMIFS('changes2_based on steps'!$B178:$U178,'changes2_based on steps'!$B$1:$U$1,D$1)</f>
        <v>0</v>
      </c>
      <c r="E178" s="179">
        <f>SUMIFS('recurring2_based on steps'!$B178:$AY178,'recurring2_based on steps'!$B$1:$AY$1,E$1)+SUMIFS('changes2_based on steps'!$B178:$U178,'changes2_based on steps'!$B$1:$U$1,E$1)</f>
        <v>0</v>
      </c>
      <c r="F178" s="179">
        <f>SUMIFS('recurring2_based on steps'!$B178:$AY178,'recurring2_based on steps'!$B$1:$AY$1,F$1)+SUMIFS('changes2_based on steps'!$B178:$U178,'changes2_based on steps'!$B$1:$U$1,F$1)</f>
        <v>0</v>
      </c>
      <c r="G178" s="179">
        <f>SUMIFS('recurring2_based on steps'!$B178:$AY178,'recurring2_based on steps'!$B$1:$AY$1,G$1)+SUMIFS('changes2_based on steps'!$B178:$U178,'changes2_based on steps'!$B$1:$U$1,G$1)</f>
        <v>0</v>
      </c>
      <c r="H178" s="179">
        <f>SUMIFS('recurring2_based on steps'!$B178:$AY178,'recurring2_based on steps'!$B$1:$AY$1,H$1)+SUMIFS('changes2_based on steps'!$B178:$U178,'changes2_based on steps'!$B$1:$U$1,H$1)</f>
        <v>0</v>
      </c>
      <c r="I178" s="179">
        <f>SUMIFS('recurring2_based on steps'!$B178:$AY178,'recurring2_based on steps'!$B$1:$AY$1,I$1)+SUMIFS('changes2_based on steps'!$B178:$U178,'changes2_based on steps'!$B$1:$U$1,I$1)</f>
        <v>0</v>
      </c>
      <c r="J178" s="179">
        <f>SUMIFS('recurring2_based on steps'!$B178:$AY178,'recurring2_based on steps'!$B$1:$AY$1,J$1)+SUMIFS('changes2_based on steps'!$B178:$U178,'changes2_based on steps'!$B$1:$U$1,J$1)</f>
        <v>0</v>
      </c>
      <c r="K178" s="179">
        <f>SUMIFS('recurring2_based on steps'!$B178:$AY178,'recurring2_based on steps'!$B$1:$AY$1,K$1)+SUMIFS('changes2_based on steps'!$B178:$U178,'changes2_based on steps'!$B$1:$U$1,K$1)</f>
        <v>0</v>
      </c>
      <c r="L178" s="179">
        <f>SUMIFS('recurring2_based on steps'!$B178:$AY178,'recurring2_based on steps'!$B$1:$AY$1,L$1)+SUMIFS('changes2_based on steps'!$B178:$U178,'changes2_based on steps'!$B$1:$U$1,L$1)</f>
        <v>0</v>
      </c>
      <c r="M178" s="179">
        <f>SUMIFS('recurring2_based on steps'!$B178:$AY178,'recurring2_based on steps'!$B$1:$AY$1,M$1)+SUMIFS('changes2_based on steps'!$B178:$U178,'changes2_based on steps'!$B$1:$U$1,M$1)</f>
        <v>0</v>
      </c>
      <c r="N178" s="179">
        <f>SUMIFS('recurring2_based on steps'!$B178:$AY178,'recurring2_based on steps'!$B$1:$AY$1,N$1)+SUMIFS('changes2_based on steps'!$B178:$U178,'changes2_based on steps'!$B$1:$U$1,N$1)</f>
        <v>0</v>
      </c>
      <c r="O178" s="179">
        <f>SUMIFS('recurring2_based on steps'!$B178:$AY178,'recurring2_based on steps'!$B$1:$AY$1,O$1)+SUMIFS('changes2_based on steps'!$B178:$U178,'changes2_based on steps'!$B$1:$U$1,O$1)</f>
        <v>0</v>
      </c>
      <c r="P178" s="179">
        <f>SUMIFS('recurring2_based on steps'!$B178:$AY178,'recurring2_based on steps'!$B$1:$AY$1,P$1)+SUMIFS('changes2_based on steps'!$B178:$U178,'changes2_based on steps'!$B$1:$U$1,P$1)</f>
        <v>0</v>
      </c>
      <c r="Q178" s="179">
        <f>SUMIFS('recurring2_based on steps'!$B178:$AY178,'recurring2_based on steps'!$B$1:$AY$1,Q$1)+SUMIFS('changes2_based on steps'!$B178:$U178,'changes2_based on steps'!$B$1:$U$1,Q$1)</f>
        <v>0</v>
      </c>
      <c r="R178" s="179">
        <f>SUMIFS('recurring2_based on steps'!$B178:$AY178,'recurring2_based on steps'!$B$1:$AY$1,R$1)+SUMIFS('changes2_based on steps'!$B178:$U178,'changes2_based on steps'!$B$1:$U$1,R$1)</f>
        <v>0</v>
      </c>
      <c r="S178" s="179">
        <f>SUMIFS('recurring2_based on steps'!$B178:$AY178,'recurring2_based on steps'!$B$1:$AY$1,S$1)+SUMIFS('changes2_based on steps'!$B178:$U178,'changes2_based on steps'!$B$1:$U$1,S$1)</f>
        <v>0</v>
      </c>
      <c r="T178" s="179">
        <f>SUMIFS('recurring2_based on steps'!$B178:$AY178,'recurring2_based on steps'!$B$1:$AY$1,T$1)+SUMIFS('changes2_based on steps'!$B178:$U178,'changes2_based on steps'!$B$1:$U$1,T$1)</f>
        <v>0</v>
      </c>
      <c r="U178" s="179">
        <f>SUMIFS('recurring2_based on steps'!$B178:$AY178,'recurring2_based on steps'!$B$1:$AY$1,U$1)+SUMIFS('changes2_based on steps'!$B178:$U178,'changes2_based on steps'!$B$1:$U$1,U$1)</f>
        <v>0</v>
      </c>
      <c r="V178" s="179">
        <f>SUMIFS('recurring2_based on steps'!$B178:$AY178,'recurring2_based on steps'!$B$1:$AY$1,V$1)+SUMIFS('changes2_based on steps'!$B178:$U178,'changes2_based on steps'!$B$1:$U$1,V$1)</f>
        <v>0</v>
      </c>
      <c r="W178" s="179">
        <f>SUMIFS('recurring2_based on steps'!$B178:$AY178,'recurring2_based on steps'!$B$1:$AY$1,W$1)+SUMIFS('changes2_based on steps'!$B178:$U178,'changes2_based on steps'!$B$1:$U$1,W$1)</f>
        <v>0</v>
      </c>
      <c r="X178" s="179">
        <f>SUMIFS('recurring2_based on steps'!$B178:$AY178,'recurring2_based on steps'!$B$1:$AY$1,X$1)+SUMIFS('changes2_based on steps'!$B178:$U178,'changes2_based on steps'!$B$1:$U$1,X$1)</f>
        <v>0</v>
      </c>
      <c r="Y178" s="179">
        <f>SUMIFS('recurring2_based on steps'!$B178:$AY178,'recurring2_based on steps'!$B$1:$AY$1,Y$1)+SUMIFS('changes2_based on steps'!$B178:$U178,'changes2_based on steps'!$B$1:$U$1,Y$1)</f>
        <v>0</v>
      </c>
      <c r="Z178" s="179">
        <f>SUMIFS('recurring2_based on steps'!$B178:$AY178,'recurring2_based on steps'!$B$1:$AY$1,Z$1)+SUMIFS('changes2_based on steps'!$B178:$U178,'changes2_based on steps'!$B$1:$U$1,Z$1)</f>
        <v>0</v>
      </c>
      <c r="AA178" s="179">
        <f>SUMIFS('recurring2_based on steps'!$B178:$AY178,'recurring2_based on steps'!$B$1:$AY$1,AA$1)+SUMIFS('changes2_based on steps'!$B178:$U178,'changes2_based on steps'!$B$1:$U$1,AA$1)</f>
        <v>0</v>
      </c>
      <c r="AB178" s="179">
        <f>SUMIFS('recurring2_based on steps'!$B178:$AY178,'recurring2_based on steps'!$B$1:$AY$1,AB$1)+SUMIFS('changes2_based on steps'!$B178:$U178,'changes2_based on steps'!$B$1:$U$1,AB$1)</f>
        <v>0</v>
      </c>
      <c r="AC178" s="179">
        <f>SUMIFS('recurring2_based on steps'!$B178:$AY178,'recurring2_based on steps'!$B$1:$AY$1,AC$1)+SUMIFS('changes2_based on steps'!$B178:$U178,'changes2_based on steps'!$B$1:$U$1,AC$1)</f>
        <v>0</v>
      </c>
      <c r="AD178" s="179">
        <f>SUMIFS('recurring2_based on steps'!$B178:$AY178,'recurring2_based on steps'!$B$1:$AY$1,AD$1)+SUMIFS('changes2_based on steps'!$B178:$U178,'changes2_based on steps'!$B$1:$U$1,AD$1)</f>
        <v>0</v>
      </c>
      <c r="AE178" s="179">
        <f>SUMIFS('recurring2_based on steps'!$B178:$AY178,'recurring2_based on steps'!$B$1:$AY$1,AE$1)+SUMIFS('changes2_based on steps'!$B178:$U178,'changes2_based on steps'!$B$1:$U$1,AE$1)</f>
        <v>0</v>
      </c>
      <c r="AF178" s="179"/>
      <c r="AG178" s="179"/>
      <c r="AH178" s="179"/>
      <c r="AI178" s="179"/>
      <c r="AJ178" s="179"/>
      <c r="AK178" s="179"/>
      <c r="AL178" s="179"/>
      <c r="AM178" s="179"/>
    </row>
    <row r="179" spans="1:39" x14ac:dyDescent="0.2">
      <c r="A179" s="32">
        <f t="shared" ca="1" si="2"/>
        <v>45921</v>
      </c>
      <c r="B179" s="179">
        <f>SUMIFS('recurring2_based on steps'!$B179:$AY179,'recurring2_based on steps'!$B$1:$AY$1,B$1)+SUMIFS('changes2_based on steps'!$B179:$U179,'changes2_based on steps'!$B$1:$U$1,B$1)</f>
        <v>0</v>
      </c>
      <c r="C179" s="179">
        <f>SUMIFS('recurring2_based on steps'!$B179:$AY179,'recurring2_based on steps'!$B$1:$AY$1,C$1)+SUMIFS('changes2_based on steps'!$B179:$U179,'changes2_based on steps'!$B$1:$U$1,C$1)</f>
        <v>0</v>
      </c>
      <c r="D179" s="179">
        <f>SUMIFS('recurring2_based on steps'!$B179:$AY179,'recurring2_based on steps'!$B$1:$AY$1,D$1)+SUMIFS('changes2_based on steps'!$B179:$U179,'changes2_based on steps'!$B$1:$U$1,D$1)</f>
        <v>0</v>
      </c>
      <c r="E179" s="179">
        <f>SUMIFS('recurring2_based on steps'!$B179:$AY179,'recurring2_based on steps'!$B$1:$AY$1,E$1)+SUMIFS('changes2_based on steps'!$B179:$U179,'changes2_based on steps'!$B$1:$U$1,E$1)</f>
        <v>0</v>
      </c>
      <c r="F179" s="179">
        <f>SUMIFS('recurring2_based on steps'!$B179:$AY179,'recurring2_based on steps'!$B$1:$AY$1,F$1)+SUMIFS('changes2_based on steps'!$B179:$U179,'changes2_based on steps'!$B$1:$U$1,F$1)</f>
        <v>0</v>
      </c>
      <c r="G179" s="179">
        <f>SUMIFS('recurring2_based on steps'!$B179:$AY179,'recurring2_based on steps'!$B$1:$AY$1,G$1)+SUMIFS('changes2_based on steps'!$B179:$U179,'changes2_based on steps'!$B$1:$U$1,G$1)</f>
        <v>0</v>
      </c>
      <c r="H179" s="179">
        <f>SUMIFS('recurring2_based on steps'!$B179:$AY179,'recurring2_based on steps'!$B$1:$AY$1,H$1)+SUMIFS('changes2_based on steps'!$B179:$U179,'changes2_based on steps'!$B$1:$U$1,H$1)</f>
        <v>0</v>
      </c>
      <c r="I179" s="179">
        <f>SUMIFS('recurring2_based on steps'!$B179:$AY179,'recurring2_based on steps'!$B$1:$AY$1,I$1)+SUMIFS('changes2_based on steps'!$B179:$U179,'changes2_based on steps'!$B$1:$U$1,I$1)</f>
        <v>0</v>
      </c>
      <c r="J179" s="179">
        <f>SUMIFS('recurring2_based on steps'!$B179:$AY179,'recurring2_based on steps'!$B$1:$AY$1,J$1)+SUMIFS('changes2_based on steps'!$B179:$U179,'changes2_based on steps'!$B$1:$U$1,J$1)</f>
        <v>0</v>
      </c>
      <c r="K179" s="179">
        <f>SUMIFS('recurring2_based on steps'!$B179:$AY179,'recurring2_based on steps'!$B$1:$AY$1,K$1)+SUMIFS('changes2_based on steps'!$B179:$U179,'changes2_based on steps'!$B$1:$U$1,K$1)</f>
        <v>0</v>
      </c>
      <c r="L179" s="179">
        <f>SUMIFS('recurring2_based on steps'!$B179:$AY179,'recurring2_based on steps'!$B$1:$AY$1,L$1)+SUMIFS('changes2_based on steps'!$B179:$U179,'changes2_based on steps'!$B$1:$U$1,L$1)</f>
        <v>0</v>
      </c>
      <c r="M179" s="179">
        <f>SUMIFS('recurring2_based on steps'!$B179:$AY179,'recurring2_based on steps'!$B$1:$AY$1,M$1)+SUMIFS('changes2_based on steps'!$B179:$U179,'changes2_based on steps'!$B$1:$U$1,M$1)</f>
        <v>0</v>
      </c>
      <c r="N179" s="179">
        <f>SUMIFS('recurring2_based on steps'!$B179:$AY179,'recurring2_based on steps'!$B$1:$AY$1,N$1)+SUMIFS('changes2_based on steps'!$B179:$U179,'changes2_based on steps'!$B$1:$U$1,N$1)</f>
        <v>0</v>
      </c>
      <c r="O179" s="179">
        <f>SUMIFS('recurring2_based on steps'!$B179:$AY179,'recurring2_based on steps'!$B$1:$AY$1,O$1)+SUMIFS('changes2_based on steps'!$B179:$U179,'changes2_based on steps'!$B$1:$U$1,O$1)</f>
        <v>0</v>
      </c>
      <c r="P179" s="179">
        <f>SUMIFS('recurring2_based on steps'!$B179:$AY179,'recurring2_based on steps'!$B$1:$AY$1,P$1)+SUMIFS('changes2_based on steps'!$B179:$U179,'changes2_based on steps'!$B$1:$U$1,P$1)</f>
        <v>0</v>
      </c>
      <c r="Q179" s="179">
        <f>SUMIFS('recurring2_based on steps'!$B179:$AY179,'recurring2_based on steps'!$B$1:$AY$1,Q$1)+SUMIFS('changes2_based on steps'!$B179:$U179,'changes2_based on steps'!$B$1:$U$1,Q$1)</f>
        <v>0</v>
      </c>
      <c r="R179" s="179">
        <f>SUMIFS('recurring2_based on steps'!$B179:$AY179,'recurring2_based on steps'!$B$1:$AY$1,R$1)+SUMIFS('changes2_based on steps'!$B179:$U179,'changes2_based on steps'!$B$1:$U$1,R$1)</f>
        <v>0</v>
      </c>
      <c r="S179" s="179">
        <f>SUMIFS('recurring2_based on steps'!$B179:$AY179,'recurring2_based on steps'!$B$1:$AY$1,S$1)+SUMIFS('changes2_based on steps'!$B179:$U179,'changes2_based on steps'!$B$1:$U$1,S$1)</f>
        <v>0</v>
      </c>
      <c r="T179" s="179">
        <f>SUMIFS('recurring2_based on steps'!$B179:$AY179,'recurring2_based on steps'!$B$1:$AY$1,T$1)+SUMIFS('changes2_based on steps'!$B179:$U179,'changes2_based on steps'!$B$1:$U$1,T$1)</f>
        <v>0</v>
      </c>
      <c r="U179" s="179">
        <f>SUMIFS('recurring2_based on steps'!$B179:$AY179,'recurring2_based on steps'!$B$1:$AY$1,U$1)+SUMIFS('changes2_based on steps'!$B179:$U179,'changes2_based on steps'!$B$1:$U$1,U$1)</f>
        <v>0</v>
      </c>
      <c r="V179" s="179">
        <f>SUMIFS('recurring2_based on steps'!$B179:$AY179,'recurring2_based on steps'!$B$1:$AY$1,V$1)+SUMIFS('changes2_based on steps'!$B179:$U179,'changes2_based on steps'!$B$1:$U$1,V$1)</f>
        <v>0</v>
      </c>
      <c r="W179" s="179">
        <f>SUMIFS('recurring2_based on steps'!$B179:$AY179,'recurring2_based on steps'!$B$1:$AY$1,W$1)+SUMIFS('changes2_based on steps'!$B179:$U179,'changes2_based on steps'!$B$1:$U$1,W$1)</f>
        <v>0</v>
      </c>
      <c r="X179" s="179">
        <f>SUMIFS('recurring2_based on steps'!$B179:$AY179,'recurring2_based on steps'!$B$1:$AY$1,X$1)+SUMIFS('changes2_based on steps'!$B179:$U179,'changes2_based on steps'!$B$1:$U$1,X$1)</f>
        <v>0</v>
      </c>
      <c r="Y179" s="179">
        <f>SUMIFS('recurring2_based on steps'!$B179:$AY179,'recurring2_based on steps'!$B$1:$AY$1,Y$1)+SUMIFS('changes2_based on steps'!$B179:$U179,'changes2_based on steps'!$B$1:$U$1,Y$1)</f>
        <v>0</v>
      </c>
      <c r="Z179" s="179">
        <f>SUMIFS('recurring2_based on steps'!$B179:$AY179,'recurring2_based on steps'!$B$1:$AY$1,Z$1)+SUMIFS('changes2_based on steps'!$B179:$U179,'changes2_based on steps'!$B$1:$U$1,Z$1)</f>
        <v>0</v>
      </c>
      <c r="AA179" s="179">
        <f>SUMIFS('recurring2_based on steps'!$B179:$AY179,'recurring2_based on steps'!$B$1:$AY$1,AA$1)+SUMIFS('changes2_based on steps'!$B179:$U179,'changes2_based on steps'!$B$1:$U$1,AA$1)</f>
        <v>0</v>
      </c>
      <c r="AB179" s="179">
        <f>SUMIFS('recurring2_based on steps'!$B179:$AY179,'recurring2_based on steps'!$B$1:$AY$1,AB$1)+SUMIFS('changes2_based on steps'!$B179:$U179,'changes2_based on steps'!$B$1:$U$1,AB$1)</f>
        <v>0</v>
      </c>
      <c r="AC179" s="179">
        <f>SUMIFS('recurring2_based on steps'!$B179:$AY179,'recurring2_based on steps'!$B$1:$AY$1,AC$1)+SUMIFS('changes2_based on steps'!$B179:$U179,'changes2_based on steps'!$B$1:$U$1,AC$1)</f>
        <v>0</v>
      </c>
      <c r="AD179" s="179">
        <f>SUMIFS('recurring2_based on steps'!$B179:$AY179,'recurring2_based on steps'!$B$1:$AY$1,AD$1)+SUMIFS('changes2_based on steps'!$B179:$U179,'changes2_based on steps'!$B$1:$U$1,AD$1)</f>
        <v>0</v>
      </c>
      <c r="AE179" s="179">
        <f>SUMIFS('recurring2_based on steps'!$B179:$AY179,'recurring2_based on steps'!$B$1:$AY$1,AE$1)+SUMIFS('changes2_based on steps'!$B179:$U179,'changes2_based on steps'!$B$1:$U$1,AE$1)</f>
        <v>0</v>
      </c>
      <c r="AF179" s="179"/>
      <c r="AG179" s="179"/>
      <c r="AH179" s="179"/>
      <c r="AI179" s="179"/>
      <c r="AJ179" s="179"/>
      <c r="AK179" s="179"/>
      <c r="AL179" s="179"/>
      <c r="AM179" s="179"/>
    </row>
    <row r="180" spans="1:39" x14ac:dyDescent="0.2">
      <c r="A180" s="32">
        <f t="shared" ca="1" si="2"/>
        <v>45922</v>
      </c>
      <c r="B180" s="179">
        <f>SUMIFS('recurring2_based on steps'!$B180:$AY180,'recurring2_based on steps'!$B$1:$AY$1,B$1)+SUMIFS('changes2_based on steps'!$B180:$U180,'changes2_based on steps'!$B$1:$U$1,B$1)</f>
        <v>0</v>
      </c>
      <c r="C180" s="179">
        <f>SUMIFS('recurring2_based on steps'!$B180:$AY180,'recurring2_based on steps'!$B$1:$AY$1,C$1)+SUMIFS('changes2_based on steps'!$B180:$U180,'changes2_based on steps'!$B$1:$U$1,C$1)</f>
        <v>0</v>
      </c>
      <c r="D180" s="179">
        <f>SUMIFS('recurring2_based on steps'!$B180:$AY180,'recurring2_based on steps'!$B$1:$AY$1,D$1)+SUMIFS('changes2_based on steps'!$B180:$U180,'changes2_based on steps'!$B$1:$U$1,D$1)</f>
        <v>0</v>
      </c>
      <c r="E180" s="179">
        <f>SUMIFS('recurring2_based on steps'!$B180:$AY180,'recurring2_based on steps'!$B$1:$AY$1,E$1)+SUMIFS('changes2_based on steps'!$B180:$U180,'changes2_based on steps'!$B$1:$U$1,E$1)</f>
        <v>0</v>
      </c>
      <c r="F180" s="179">
        <f>SUMIFS('recurring2_based on steps'!$B180:$AY180,'recurring2_based on steps'!$B$1:$AY$1,F$1)+SUMIFS('changes2_based on steps'!$B180:$U180,'changes2_based on steps'!$B$1:$U$1,F$1)</f>
        <v>0</v>
      </c>
      <c r="G180" s="179">
        <f>SUMIFS('recurring2_based on steps'!$B180:$AY180,'recurring2_based on steps'!$B$1:$AY$1,G$1)+SUMIFS('changes2_based on steps'!$B180:$U180,'changes2_based on steps'!$B$1:$U$1,G$1)</f>
        <v>0</v>
      </c>
      <c r="H180" s="179">
        <f>SUMIFS('recurring2_based on steps'!$B180:$AY180,'recurring2_based on steps'!$B$1:$AY$1,H$1)+SUMIFS('changes2_based on steps'!$B180:$U180,'changes2_based on steps'!$B$1:$U$1,H$1)</f>
        <v>0</v>
      </c>
      <c r="I180" s="179">
        <f>SUMIFS('recurring2_based on steps'!$B180:$AY180,'recurring2_based on steps'!$B$1:$AY$1,I$1)+SUMIFS('changes2_based on steps'!$B180:$U180,'changes2_based on steps'!$B$1:$U$1,I$1)</f>
        <v>0</v>
      </c>
      <c r="J180" s="179">
        <f>SUMIFS('recurring2_based on steps'!$B180:$AY180,'recurring2_based on steps'!$B$1:$AY$1,J$1)+SUMIFS('changes2_based on steps'!$B180:$U180,'changes2_based on steps'!$B$1:$U$1,J$1)</f>
        <v>0</v>
      </c>
      <c r="K180" s="179">
        <f>SUMIFS('recurring2_based on steps'!$B180:$AY180,'recurring2_based on steps'!$B$1:$AY$1,K$1)+SUMIFS('changes2_based on steps'!$B180:$U180,'changes2_based on steps'!$B$1:$U$1,K$1)</f>
        <v>0</v>
      </c>
      <c r="L180" s="179">
        <f>SUMIFS('recurring2_based on steps'!$B180:$AY180,'recurring2_based on steps'!$B$1:$AY$1,L$1)+SUMIFS('changes2_based on steps'!$B180:$U180,'changes2_based on steps'!$B$1:$U$1,L$1)</f>
        <v>0</v>
      </c>
      <c r="M180" s="179">
        <f>SUMIFS('recurring2_based on steps'!$B180:$AY180,'recurring2_based on steps'!$B$1:$AY$1,M$1)+SUMIFS('changes2_based on steps'!$B180:$U180,'changes2_based on steps'!$B$1:$U$1,M$1)</f>
        <v>0</v>
      </c>
      <c r="N180" s="179">
        <f>SUMIFS('recurring2_based on steps'!$B180:$AY180,'recurring2_based on steps'!$B$1:$AY$1,N$1)+SUMIFS('changes2_based on steps'!$B180:$U180,'changes2_based on steps'!$B$1:$U$1,N$1)</f>
        <v>0</v>
      </c>
      <c r="O180" s="179">
        <f>SUMIFS('recurring2_based on steps'!$B180:$AY180,'recurring2_based on steps'!$B$1:$AY$1,O$1)+SUMIFS('changes2_based on steps'!$B180:$U180,'changes2_based on steps'!$B$1:$U$1,O$1)</f>
        <v>0</v>
      </c>
      <c r="P180" s="179">
        <f>SUMIFS('recurring2_based on steps'!$B180:$AY180,'recurring2_based on steps'!$B$1:$AY$1,P$1)+SUMIFS('changes2_based on steps'!$B180:$U180,'changes2_based on steps'!$B$1:$U$1,P$1)</f>
        <v>0</v>
      </c>
      <c r="Q180" s="179">
        <f>SUMIFS('recurring2_based on steps'!$B180:$AY180,'recurring2_based on steps'!$B$1:$AY$1,Q$1)+SUMIFS('changes2_based on steps'!$B180:$U180,'changes2_based on steps'!$B$1:$U$1,Q$1)</f>
        <v>0</v>
      </c>
      <c r="R180" s="179">
        <f>SUMIFS('recurring2_based on steps'!$B180:$AY180,'recurring2_based on steps'!$B$1:$AY$1,R$1)+SUMIFS('changes2_based on steps'!$B180:$U180,'changes2_based on steps'!$B$1:$U$1,R$1)</f>
        <v>0</v>
      </c>
      <c r="S180" s="179">
        <f>SUMIFS('recurring2_based on steps'!$B180:$AY180,'recurring2_based on steps'!$B$1:$AY$1,S$1)+SUMIFS('changes2_based on steps'!$B180:$U180,'changes2_based on steps'!$B$1:$U$1,S$1)</f>
        <v>0</v>
      </c>
      <c r="T180" s="179">
        <f>SUMIFS('recurring2_based on steps'!$B180:$AY180,'recurring2_based on steps'!$B$1:$AY$1,T$1)+SUMIFS('changes2_based on steps'!$B180:$U180,'changes2_based on steps'!$B$1:$U$1,T$1)</f>
        <v>0</v>
      </c>
      <c r="U180" s="179">
        <f>SUMIFS('recurring2_based on steps'!$B180:$AY180,'recurring2_based on steps'!$B$1:$AY$1,U$1)+SUMIFS('changes2_based on steps'!$B180:$U180,'changes2_based on steps'!$B$1:$U$1,U$1)</f>
        <v>0</v>
      </c>
      <c r="V180" s="179">
        <f>SUMIFS('recurring2_based on steps'!$B180:$AY180,'recurring2_based on steps'!$B$1:$AY$1,V$1)+SUMIFS('changes2_based on steps'!$B180:$U180,'changes2_based on steps'!$B$1:$U$1,V$1)</f>
        <v>0</v>
      </c>
      <c r="W180" s="179">
        <f>SUMIFS('recurring2_based on steps'!$B180:$AY180,'recurring2_based on steps'!$B$1:$AY$1,W$1)+SUMIFS('changes2_based on steps'!$B180:$U180,'changes2_based on steps'!$B$1:$U$1,W$1)</f>
        <v>0</v>
      </c>
      <c r="X180" s="179">
        <f>SUMIFS('recurring2_based on steps'!$B180:$AY180,'recurring2_based on steps'!$B$1:$AY$1,X$1)+SUMIFS('changes2_based on steps'!$B180:$U180,'changes2_based on steps'!$B$1:$U$1,X$1)</f>
        <v>0</v>
      </c>
      <c r="Y180" s="179">
        <f>SUMIFS('recurring2_based on steps'!$B180:$AY180,'recurring2_based on steps'!$B$1:$AY$1,Y$1)+SUMIFS('changes2_based on steps'!$B180:$U180,'changes2_based on steps'!$B$1:$U$1,Y$1)</f>
        <v>0</v>
      </c>
      <c r="Z180" s="179">
        <f>SUMIFS('recurring2_based on steps'!$B180:$AY180,'recurring2_based on steps'!$B$1:$AY$1,Z$1)+SUMIFS('changes2_based on steps'!$B180:$U180,'changes2_based on steps'!$B$1:$U$1,Z$1)</f>
        <v>0</v>
      </c>
      <c r="AA180" s="179">
        <f>SUMIFS('recurring2_based on steps'!$B180:$AY180,'recurring2_based on steps'!$B$1:$AY$1,AA$1)+SUMIFS('changes2_based on steps'!$B180:$U180,'changes2_based on steps'!$B$1:$U$1,AA$1)</f>
        <v>0</v>
      </c>
      <c r="AB180" s="179">
        <f>SUMIFS('recurring2_based on steps'!$B180:$AY180,'recurring2_based on steps'!$B$1:$AY$1,AB$1)+SUMIFS('changes2_based on steps'!$B180:$U180,'changes2_based on steps'!$B$1:$U$1,AB$1)</f>
        <v>0</v>
      </c>
      <c r="AC180" s="179">
        <f>SUMIFS('recurring2_based on steps'!$B180:$AY180,'recurring2_based on steps'!$B$1:$AY$1,AC$1)+SUMIFS('changes2_based on steps'!$B180:$U180,'changes2_based on steps'!$B$1:$U$1,AC$1)</f>
        <v>0</v>
      </c>
      <c r="AD180" s="179">
        <f>SUMIFS('recurring2_based on steps'!$B180:$AY180,'recurring2_based on steps'!$B$1:$AY$1,AD$1)+SUMIFS('changes2_based on steps'!$B180:$U180,'changes2_based on steps'!$B$1:$U$1,AD$1)</f>
        <v>0</v>
      </c>
      <c r="AE180" s="179">
        <f>SUMIFS('recurring2_based on steps'!$B180:$AY180,'recurring2_based on steps'!$B$1:$AY$1,AE$1)+SUMIFS('changes2_based on steps'!$B180:$U180,'changes2_based on steps'!$B$1:$U$1,AE$1)</f>
        <v>0</v>
      </c>
      <c r="AF180" s="179"/>
      <c r="AG180" s="179"/>
      <c r="AH180" s="179"/>
      <c r="AI180" s="179"/>
      <c r="AJ180" s="179"/>
      <c r="AK180" s="179"/>
      <c r="AL180" s="179"/>
      <c r="AM180" s="179"/>
    </row>
    <row r="181" spans="1:39" x14ac:dyDescent="0.2">
      <c r="A181" s="32">
        <f t="shared" ca="1" si="2"/>
        <v>45923</v>
      </c>
      <c r="B181" s="179">
        <f>SUMIFS('recurring2_based on steps'!$B181:$AY181,'recurring2_based on steps'!$B$1:$AY$1,B$1)+SUMIFS('changes2_based on steps'!$B181:$U181,'changes2_based on steps'!$B$1:$U$1,B$1)</f>
        <v>0</v>
      </c>
      <c r="C181" s="179">
        <f>SUMIFS('recurring2_based on steps'!$B181:$AY181,'recurring2_based on steps'!$B$1:$AY$1,C$1)+SUMIFS('changes2_based on steps'!$B181:$U181,'changes2_based on steps'!$B$1:$U$1,C$1)</f>
        <v>0</v>
      </c>
      <c r="D181" s="179">
        <f>SUMIFS('recurring2_based on steps'!$B181:$AY181,'recurring2_based on steps'!$B$1:$AY$1,D$1)+SUMIFS('changes2_based on steps'!$B181:$U181,'changes2_based on steps'!$B$1:$U$1,D$1)</f>
        <v>0</v>
      </c>
      <c r="E181" s="179">
        <f>SUMIFS('recurring2_based on steps'!$B181:$AY181,'recurring2_based on steps'!$B$1:$AY$1,E$1)+SUMIFS('changes2_based on steps'!$B181:$U181,'changes2_based on steps'!$B$1:$U$1,E$1)</f>
        <v>0</v>
      </c>
      <c r="F181" s="179">
        <f>SUMIFS('recurring2_based on steps'!$B181:$AY181,'recurring2_based on steps'!$B$1:$AY$1,F$1)+SUMIFS('changes2_based on steps'!$B181:$U181,'changes2_based on steps'!$B$1:$U$1,F$1)</f>
        <v>0</v>
      </c>
      <c r="G181" s="179">
        <f>SUMIFS('recurring2_based on steps'!$B181:$AY181,'recurring2_based on steps'!$B$1:$AY$1,G$1)+SUMIFS('changes2_based on steps'!$B181:$U181,'changes2_based on steps'!$B$1:$U$1,G$1)</f>
        <v>0</v>
      </c>
      <c r="H181" s="179">
        <f>SUMIFS('recurring2_based on steps'!$B181:$AY181,'recurring2_based on steps'!$B$1:$AY$1,H$1)+SUMIFS('changes2_based on steps'!$B181:$U181,'changes2_based on steps'!$B$1:$U$1,H$1)</f>
        <v>0</v>
      </c>
      <c r="I181" s="179">
        <f>SUMIFS('recurring2_based on steps'!$B181:$AY181,'recurring2_based on steps'!$B$1:$AY$1,I$1)+SUMIFS('changes2_based on steps'!$B181:$U181,'changes2_based on steps'!$B$1:$U$1,I$1)</f>
        <v>0</v>
      </c>
      <c r="J181" s="179">
        <f>SUMIFS('recurring2_based on steps'!$B181:$AY181,'recurring2_based on steps'!$B$1:$AY$1,J$1)+SUMIFS('changes2_based on steps'!$B181:$U181,'changes2_based on steps'!$B$1:$U$1,J$1)</f>
        <v>0</v>
      </c>
      <c r="K181" s="179">
        <f>SUMIFS('recurring2_based on steps'!$B181:$AY181,'recurring2_based on steps'!$B$1:$AY$1,K$1)+SUMIFS('changes2_based on steps'!$B181:$U181,'changes2_based on steps'!$B$1:$U$1,K$1)</f>
        <v>0</v>
      </c>
      <c r="L181" s="179">
        <f>SUMIFS('recurring2_based on steps'!$B181:$AY181,'recurring2_based on steps'!$B$1:$AY$1,L$1)+SUMIFS('changes2_based on steps'!$B181:$U181,'changes2_based on steps'!$B$1:$U$1,L$1)</f>
        <v>0</v>
      </c>
      <c r="M181" s="179">
        <f>SUMIFS('recurring2_based on steps'!$B181:$AY181,'recurring2_based on steps'!$B$1:$AY$1,M$1)+SUMIFS('changes2_based on steps'!$B181:$U181,'changes2_based on steps'!$B$1:$U$1,M$1)</f>
        <v>0</v>
      </c>
      <c r="N181" s="179">
        <f>SUMIFS('recurring2_based on steps'!$B181:$AY181,'recurring2_based on steps'!$B$1:$AY$1,N$1)+SUMIFS('changes2_based on steps'!$B181:$U181,'changes2_based on steps'!$B$1:$U$1,N$1)</f>
        <v>0</v>
      </c>
      <c r="O181" s="179">
        <f>SUMIFS('recurring2_based on steps'!$B181:$AY181,'recurring2_based on steps'!$B$1:$AY$1,O$1)+SUMIFS('changes2_based on steps'!$B181:$U181,'changes2_based on steps'!$B$1:$U$1,O$1)</f>
        <v>0</v>
      </c>
      <c r="P181" s="179">
        <f>SUMIFS('recurring2_based on steps'!$B181:$AY181,'recurring2_based on steps'!$B$1:$AY$1,P$1)+SUMIFS('changes2_based on steps'!$B181:$U181,'changes2_based on steps'!$B$1:$U$1,P$1)</f>
        <v>0</v>
      </c>
      <c r="Q181" s="179">
        <f>SUMIFS('recurring2_based on steps'!$B181:$AY181,'recurring2_based on steps'!$B$1:$AY$1,Q$1)+SUMIFS('changes2_based on steps'!$B181:$U181,'changes2_based on steps'!$B$1:$U$1,Q$1)</f>
        <v>0</v>
      </c>
      <c r="R181" s="179">
        <f>SUMIFS('recurring2_based on steps'!$B181:$AY181,'recurring2_based on steps'!$B$1:$AY$1,R$1)+SUMIFS('changes2_based on steps'!$B181:$U181,'changes2_based on steps'!$B$1:$U$1,R$1)</f>
        <v>0</v>
      </c>
      <c r="S181" s="179">
        <f>SUMIFS('recurring2_based on steps'!$B181:$AY181,'recurring2_based on steps'!$B$1:$AY$1,S$1)+SUMIFS('changes2_based on steps'!$B181:$U181,'changes2_based on steps'!$B$1:$U$1,S$1)</f>
        <v>0</v>
      </c>
      <c r="T181" s="179">
        <f>SUMIFS('recurring2_based on steps'!$B181:$AY181,'recurring2_based on steps'!$B$1:$AY$1,T$1)+SUMIFS('changes2_based on steps'!$B181:$U181,'changes2_based on steps'!$B$1:$U$1,T$1)</f>
        <v>0</v>
      </c>
      <c r="U181" s="179">
        <f>SUMIFS('recurring2_based on steps'!$B181:$AY181,'recurring2_based on steps'!$B$1:$AY$1,U$1)+SUMIFS('changes2_based on steps'!$B181:$U181,'changes2_based on steps'!$B$1:$U$1,U$1)</f>
        <v>0</v>
      </c>
      <c r="V181" s="179">
        <f>SUMIFS('recurring2_based on steps'!$B181:$AY181,'recurring2_based on steps'!$B$1:$AY$1,V$1)+SUMIFS('changes2_based on steps'!$B181:$U181,'changes2_based on steps'!$B$1:$U$1,V$1)</f>
        <v>0</v>
      </c>
      <c r="W181" s="179">
        <f>SUMIFS('recurring2_based on steps'!$B181:$AY181,'recurring2_based on steps'!$B$1:$AY$1,W$1)+SUMIFS('changes2_based on steps'!$B181:$U181,'changes2_based on steps'!$B$1:$U$1,W$1)</f>
        <v>0</v>
      </c>
      <c r="X181" s="179">
        <f>SUMIFS('recurring2_based on steps'!$B181:$AY181,'recurring2_based on steps'!$B$1:$AY$1,X$1)+SUMIFS('changes2_based on steps'!$B181:$U181,'changes2_based on steps'!$B$1:$U$1,X$1)</f>
        <v>0</v>
      </c>
      <c r="Y181" s="179">
        <f>SUMIFS('recurring2_based on steps'!$B181:$AY181,'recurring2_based on steps'!$B$1:$AY$1,Y$1)+SUMIFS('changes2_based on steps'!$B181:$U181,'changes2_based on steps'!$B$1:$U$1,Y$1)</f>
        <v>0</v>
      </c>
      <c r="Z181" s="179">
        <f>SUMIFS('recurring2_based on steps'!$B181:$AY181,'recurring2_based on steps'!$B$1:$AY$1,Z$1)+SUMIFS('changes2_based on steps'!$B181:$U181,'changes2_based on steps'!$B$1:$U$1,Z$1)</f>
        <v>0</v>
      </c>
      <c r="AA181" s="179">
        <f>SUMIFS('recurring2_based on steps'!$B181:$AY181,'recurring2_based on steps'!$B$1:$AY$1,AA$1)+SUMIFS('changes2_based on steps'!$B181:$U181,'changes2_based on steps'!$B$1:$U$1,AA$1)</f>
        <v>0</v>
      </c>
      <c r="AB181" s="179">
        <f>SUMIFS('recurring2_based on steps'!$B181:$AY181,'recurring2_based on steps'!$B$1:$AY$1,AB$1)+SUMIFS('changes2_based on steps'!$B181:$U181,'changes2_based on steps'!$B$1:$U$1,AB$1)</f>
        <v>0</v>
      </c>
      <c r="AC181" s="179">
        <f>SUMIFS('recurring2_based on steps'!$B181:$AY181,'recurring2_based on steps'!$B$1:$AY$1,AC$1)+SUMIFS('changes2_based on steps'!$B181:$U181,'changes2_based on steps'!$B$1:$U$1,AC$1)</f>
        <v>0</v>
      </c>
      <c r="AD181" s="179">
        <f>SUMIFS('recurring2_based on steps'!$B181:$AY181,'recurring2_based on steps'!$B$1:$AY$1,AD$1)+SUMIFS('changes2_based on steps'!$B181:$U181,'changes2_based on steps'!$B$1:$U$1,AD$1)</f>
        <v>0</v>
      </c>
      <c r="AE181" s="179">
        <f>SUMIFS('recurring2_based on steps'!$B181:$AY181,'recurring2_based on steps'!$B$1:$AY$1,AE$1)+SUMIFS('changes2_based on steps'!$B181:$U181,'changes2_based on steps'!$B$1:$U$1,AE$1)</f>
        <v>0</v>
      </c>
      <c r="AF181" s="179"/>
      <c r="AG181" s="179"/>
      <c r="AH181" s="179"/>
      <c r="AI181" s="179"/>
      <c r="AJ181" s="179"/>
      <c r="AK181" s="179"/>
      <c r="AL181" s="179"/>
      <c r="AM181" s="179"/>
    </row>
    <row r="182" spans="1:39" x14ac:dyDescent="0.2">
      <c r="A182" s="32">
        <f t="shared" ca="1" si="2"/>
        <v>45924</v>
      </c>
      <c r="B182" s="179">
        <f>SUMIFS('recurring2_based on steps'!$B182:$AY182,'recurring2_based on steps'!$B$1:$AY$1,B$1)+SUMIFS('changes2_based on steps'!$B182:$U182,'changes2_based on steps'!$B$1:$U$1,B$1)</f>
        <v>0</v>
      </c>
      <c r="C182" s="179">
        <f>SUMIFS('recurring2_based on steps'!$B182:$AY182,'recurring2_based on steps'!$B$1:$AY$1,C$1)+SUMIFS('changes2_based on steps'!$B182:$U182,'changes2_based on steps'!$B$1:$U$1,C$1)</f>
        <v>0</v>
      </c>
      <c r="D182" s="179">
        <f>SUMIFS('recurring2_based on steps'!$B182:$AY182,'recurring2_based on steps'!$B$1:$AY$1,D$1)+SUMIFS('changes2_based on steps'!$B182:$U182,'changes2_based on steps'!$B$1:$U$1,D$1)</f>
        <v>0</v>
      </c>
      <c r="E182" s="179">
        <f>SUMIFS('recurring2_based on steps'!$B182:$AY182,'recurring2_based on steps'!$B$1:$AY$1,E$1)+SUMIFS('changes2_based on steps'!$B182:$U182,'changes2_based on steps'!$B$1:$U$1,E$1)</f>
        <v>0</v>
      </c>
      <c r="F182" s="179">
        <f>SUMIFS('recurring2_based on steps'!$B182:$AY182,'recurring2_based on steps'!$B$1:$AY$1,F$1)+SUMIFS('changes2_based on steps'!$B182:$U182,'changes2_based on steps'!$B$1:$U$1,F$1)</f>
        <v>0</v>
      </c>
      <c r="G182" s="179">
        <f>SUMIFS('recurring2_based on steps'!$B182:$AY182,'recurring2_based on steps'!$B$1:$AY$1,G$1)+SUMIFS('changes2_based on steps'!$B182:$U182,'changes2_based on steps'!$B$1:$U$1,G$1)</f>
        <v>0</v>
      </c>
      <c r="H182" s="179">
        <f>SUMIFS('recurring2_based on steps'!$B182:$AY182,'recurring2_based on steps'!$B$1:$AY$1,H$1)+SUMIFS('changes2_based on steps'!$B182:$U182,'changes2_based on steps'!$B$1:$U$1,H$1)</f>
        <v>0</v>
      </c>
      <c r="I182" s="179">
        <f>SUMIFS('recurring2_based on steps'!$B182:$AY182,'recurring2_based on steps'!$B$1:$AY$1,I$1)+SUMIFS('changes2_based on steps'!$B182:$U182,'changes2_based on steps'!$B$1:$U$1,I$1)</f>
        <v>0</v>
      </c>
      <c r="J182" s="179">
        <f>SUMIFS('recurring2_based on steps'!$B182:$AY182,'recurring2_based on steps'!$B$1:$AY$1,J$1)+SUMIFS('changes2_based on steps'!$B182:$U182,'changes2_based on steps'!$B$1:$U$1,J$1)</f>
        <v>0</v>
      </c>
      <c r="K182" s="179">
        <f>SUMIFS('recurring2_based on steps'!$B182:$AY182,'recurring2_based on steps'!$B$1:$AY$1,K$1)+SUMIFS('changes2_based on steps'!$B182:$U182,'changes2_based on steps'!$B$1:$U$1,K$1)</f>
        <v>0</v>
      </c>
      <c r="L182" s="179">
        <f>SUMIFS('recurring2_based on steps'!$B182:$AY182,'recurring2_based on steps'!$B$1:$AY$1,L$1)+SUMIFS('changes2_based on steps'!$B182:$U182,'changes2_based on steps'!$B$1:$U$1,L$1)</f>
        <v>0</v>
      </c>
      <c r="M182" s="179">
        <f>SUMIFS('recurring2_based on steps'!$B182:$AY182,'recurring2_based on steps'!$B$1:$AY$1,M$1)+SUMIFS('changes2_based on steps'!$B182:$U182,'changes2_based on steps'!$B$1:$U$1,M$1)</f>
        <v>0</v>
      </c>
      <c r="N182" s="179">
        <f>SUMIFS('recurring2_based on steps'!$B182:$AY182,'recurring2_based on steps'!$B$1:$AY$1,N$1)+SUMIFS('changes2_based on steps'!$B182:$U182,'changes2_based on steps'!$B$1:$U$1,N$1)</f>
        <v>0</v>
      </c>
      <c r="O182" s="179">
        <f>SUMIFS('recurring2_based on steps'!$B182:$AY182,'recurring2_based on steps'!$B$1:$AY$1,O$1)+SUMIFS('changes2_based on steps'!$B182:$U182,'changes2_based on steps'!$B$1:$U$1,O$1)</f>
        <v>0</v>
      </c>
      <c r="P182" s="179">
        <f>SUMIFS('recurring2_based on steps'!$B182:$AY182,'recurring2_based on steps'!$B$1:$AY$1,P$1)+SUMIFS('changes2_based on steps'!$B182:$U182,'changes2_based on steps'!$B$1:$U$1,P$1)</f>
        <v>0</v>
      </c>
      <c r="Q182" s="179">
        <f>SUMIFS('recurring2_based on steps'!$B182:$AY182,'recurring2_based on steps'!$B$1:$AY$1,Q$1)+SUMIFS('changes2_based on steps'!$B182:$U182,'changes2_based on steps'!$B$1:$U$1,Q$1)</f>
        <v>0</v>
      </c>
      <c r="R182" s="179">
        <f>SUMIFS('recurring2_based on steps'!$B182:$AY182,'recurring2_based on steps'!$B$1:$AY$1,R$1)+SUMIFS('changes2_based on steps'!$B182:$U182,'changes2_based on steps'!$B$1:$U$1,R$1)</f>
        <v>0</v>
      </c>
      <c r="S182" s="179">
        <f>SUMIFS('recurring2_based on steps'!$B182:$AY182,'recurring2_based on steps'!$B$1:$AY$1,S$1)+SUMIFS('changes2_based on steps'!$B182:$U182,'changes2_based on steps'!$B$1:$U$1,S$1)</f>
        <v>0</v>
      </c>
      <c r="T182" s="179">
        <f>SUMIFS('recurring2_based on steps'!$B182:$AY182,'recurring2_based on steps'!$B$1:$AY$1,T$1)+SUMIFS('changes2_based on steps'!$B182:$U182,'changes2_based on steps'!$B$1:$U$1,T$1)</f>
        <v>0</v>
      </c>
      <c r="U182" s="179">
        <f>SUMIFS('recurring2_based on steps'!$B182:$AY182,'recurring2_based on steps'!$B$1:$AY$1,U$1)+SUMIFS('changes2_based on steps'!$B182:$U182,'changes2_based on steps'!$B$1:$U$1,U$1)</f>
        <v>0</v>
      </c>
      <c r="V182" s="179">
        <f>SUMIFS('recurring2_based on steps'!$B182:$AY182,'recurring2_based on steps'!$B$1:$AY$1,V$1)+SUMIFS('changes2_based on steps'!$B182:$U182,'changes2_based on steps'!$B$1:$U$1,V$1)</f>
        <v>0</v>
      </c>
      <c r="W182" s="179">
        <f>SUMIFS('recurring2_based on steps'!$B182:$AY182,'recurring2_based on steps'!$B$1:$AY$1,W$1)+SUMIFS('changes2_based on steps'!$B182:$U182,'changes2_based on steps'!$B$1:$U$1,W$1)</f>
        <v>0</v>
      </c>
      <c r="X182" s="179">
        <f>SUMIFS('recurring2_based on steps'!$B182:$AY182,'recurring2_based on steps'!$B$1:$AY$1,X$1)+SUMIFS('changes2_based on steps'!$B182:$U182,'changes2_based on steps'!$B$1:$U$1,X$1)</f>
        <v>0</v>
      </c>
      <c r="Y182" s="179">
        <f>SUMIFS('recurring2_based on steps'!$B182:$AY182,'recurring2_based on steps'!$B$1:$AY$1,Y$1)+SUMIFS('changes2_based on steps'!$B182:$U182,'changes2_based on steps'!$B$1:$U$1,Y$1)</f>
        <v>0</v>
      </c>
      <c r="Z182" s="179">
        <f>SUMIFS('recurring2_based on steps'!$B182:$AY182,'recurring2_based on steps'!$B$1:$AY$1,Z$1)+SUMIFS('changes2_based on steps'!$B182:$U182,'changes2_based on steps'!$B$1:$U$1,Z$1)</f>
        <v>0</v>
      </c>
      <c r="AA182" s="179">
        <f>SUMIFS('recurring2_based on steps'!$B182:$AY182,'recurring2_based on steps'!$B$1:$AY$1,AA$1)+SUMIFS('changes2_based on steps'!$B182:$U182,'changes2_based on steps'!$B$1:$U$1,AA$1)</f>
        <v>0</v>
      </c>
      <c r="AB182" s="179">
        <f>SUMIFS('recurring2_based on steps'!$B182:$AY182,'recurring2_based on steps'!$B$1:$AY$1,AB$1)+SUMIFS('changes2_based on steps'!$B182:$U182,'changes2_based on steps'!$B$1:$U$1,AB$1)</f>
        <v>0</v>
      </c>
      <c r="AC182" s="179">
        <f>SUMIFS('recurring2_based on steps'!$B182:$AY182,'recurring2_based on steps'!$B$1:$AY$1,AC$1)+SUMIFS('changes2_based on steps'!$B182:$U182,'changes2_based on steps'!$B$1:$U$1,AC$1)</f>
        <v>0</v>
      </c>
      <c r="AD182" s="179">
        <f>SUMIFS('recurring2_based on steps'!$B182:$AY182,'recurring2_based on steps'!$B$1:$AY$1,AD$1)+SUMIFS('changes2_based on steps'!$B182:$U182,'changes2_based on steps'!$B$1:$U$1,AD$1)</f>
        <v>0</v>
      </c>
      <c r="AE182" s="179">
        <f>SUMIFS('recurring2_based on steps'!$B182:$AY182,'recurring2_based on steps'!$B$1:$AY$1,AE$1)+SUMIFS('changes2_based on steps'!$B182:$U182,'changes2_based on steps'!$B$1:$U$1,AE$1)</f>
        <v>0</v>
      </c>
      <c r="AF182" s="179"/>
      <c r="AG182" s="179"/>
      <c r="AH182" s="179"/>
      <c r="AI182" s="179"/>
      <c r="AJ182" s="179"/>
      <c r="AK182" s="179"/>
      <c r="AL182" s="179"/>
      <c r="AM182" s="179"/>
    </row>
    <row r="183" spans="1:39" x14ac:dyDescent="0.2">
      <c r="A183" s="32">
        <f t="shared" ca="1" si="2"/>
        <v>45925</v>
      </c>
      <c r="B183" s="179">
        <f>SUMIFS('recurring2_based on steps'!$B183:$AY183,'recurring2_based on steps'!$B$1:$AY$1,B$1)+SUMIFS('changes2_based on steps'!$B183:$U183,'changes2_based on steps'!$B$1:$U$1,B$1)</f>
        <v>0</v>
      </c>
      <c r="C183" s="179">
        <f>SUMIFS('recurring2_based on steps'!$B183:$AY183,'recurring2_based on steps'!$B$1:$AY$1,C$1)+SUMIFS('changes2_based on steps'!$B183:$U183,'changes2_based on steps'!$B$1:$U$1,C$1)</f>
        <v>0</v>
      </c>
      <c r="D183" s="179">
        <f>SUMIFS('recurring2_based on steps'!$B183:$AY183,'recurring2_based on steps'!$B$1:$AY$1,D$1)+SUMIFS('changes2_based on steps'!$B183:$U183,'changes2_based on steps'!$B$1:$U$1,D$1)</f>
        <v>0</v>
      </c>
      <c r="E183" s="179">
        <f>SUMIFS('recurring2_based on steps'!$B183:$AY183,'recurring2_based on steps'!$B$1:$AY$1,E$1)+SUMIFS('changes2_based on steps'!$B183:$U183,'changes2_based on steps'!$B$1:$U$1,E$1)</f>
        <v>0</v>
      </c>
      <c r="F183" s="179">
        <f>SUMIFS('recurring2_based on steps'!$B183:$AY183,'recurring2_based on steps'!$B$1:$AY$1,F$1)+SUMIFS('changes2_based on steps'!$B183:$U183,'changes2_based on steps'!$B$1:$U$1,F$1)</f>
        <v>0</v>
      </c>
      <c r="G183" s="179">
        <f>SUMIFS('recurring2_based on steps'!$B183:$AY183,'recurring2_based on steps'!$B$1:$AY$1,G$1)+SUMIFS('changes2_based on steps'!$B183:$U183,'changes2_based on steps'!$B$1:$U$1,G$1)</f>
        <v>0</v>
      </c>
      <c r="H183" s="179">
        <f>SUMIFS('recurring2_based on steps'!$B183:$AY183,'recurring2_based on steps'!$B$1:$AY$1,H$1)+SUMIFS('changes2_based on steps'!$B183:$U183,'changes2_based on steps'!$B$1:$U$1,H$1)</f>
        <v>0</v>
      </c>
      <c r="I183" s="179">
        <f>SUMIFS('recurring2_based on steps'!$B183:$AY183,'recurring2_based on steps'!$B$1:$AY$1,I$1)+SUMIFS('changes2_based on steps'!$B183:$U183,'changes2_based on steps'!$B$1:$U$1,I$1)</f>
        <v>0</v>
      </c>
      <c r="J183" s="179">
        <f>SUMIFS('recurring2_based on steps'!$B183:$AY183,'recurring2_based on steps'!$B$1:$AY$1,J$1)+SUMIFS('changes2_based on steps'!$B183:$U183,'changes2_based on steps'!$B$1:$U$1,J$1)</f>
        <v>0</v>
      </c>
      <c r="K183" s="179">
        <f>SUMIFS('recurring2_based on steps'!$B183:$AY183,'recurring2_based on steps'!$B$1:$AY$1,K$1)+SUMIFS('changes2_based on steps'!$B183:$U183,'changes2_based on steps'!$B$1:$U$1,K$1)</f>
        <v>0</v>
      </c>
      <c r="L183" s="179">
        <f>SUMIFS('recurring2_based on steps'!$B183:$AY183,'recurring2_based on steps'!$B$1:$AY$1,L$1)+SUMIFS('changes2_based on steps'!$B183:$U183,'changes2_based on steps'!$B$1:$U$1,L$1)</f>
        <v>0</v>
      </c>
      <c r="M183" s="179">
        <f>SUMIFS('recurring2_based on steps'!$B183:$AY183,'recurring2_based on steps'!$B$1:$AY$1,M$1)+SUMIFS('changes2_based on steps'!$B183:$U183,'changes2_based on steps'!$B$1:$U$1,M$1)</f>
        <v>0</v>
      </c>
      <c r="N183" s="179">
        <f>SUMIFS('recurring2_based on steps'!$B183:$AY183,'recurring2_based on steps'!$B$1:$AY$1,N$1)+SUMIFS('changes2_based on steps'!$B183:$U183,'changes2_based on steps'!$B$1:$U$1,N$1)</f>
        <v>0</v>
      </c>
      <c r="O183" s="179">
        <f>SUMIFS('recurring2_based on steps'!$B183:$AY183,'recurring2_based on steps'!$B$1:$AY$1,O$1)+SUMIFS('changes2_based on steps'!$B183:$U183,'changes2_based on steps'!$B$1:$U$1,O$1)</f>
        <v>0</v>
      </c>
      <c r="P183" s="179">
        <f>SUMIFS('recurring2_based on steps'!$B183:$AY183,'recurring2_based on steps'!$B$1:$AY$1,P$1)+SUMIFS('changes2_based on steps'!$B183:$U183,'changes2_based on steps'!$B$1:$U$1,P$1)</f>
        <v>0</v>
      </c>
      <c r="Q183" s="179">
        <f>SUMIFS('recurring2_based on steps'!$B183:$AY183,'recurring2_based on steps'!$B$1:$AY$1,Q$1)+SUMIFS('changes2_based on steps'!$B183:$U183,'changes2_based on steps'!$B$1:$U$1,Q$1)</f>
        <v>0</v>
      </c>
      <c r="R183" s="179">
        <f>SUMIFS('recurring2_based on steps'!$B183:$AY183,'recurring2_based on steps'!$B$1:$AY$1,R$1)+SUMIFS('changes2_based on steps'!$B183:$U183,'changes2_based on steps'!$B$1:$U$1,R$1)</f>
        <v>0</v>
      </c>
      <c r="S183" s="179">
        <f>SUMIFS('recurring2_based on steps'!$B183:$AY183,'recurring2_based on steps'!$B$1:$AY$1,S$1)+SUMIFS('changes2_based on steps'!$B183:$U183,'changes2_based on steps'!$B$1:$U$1,S$1)</f>
        <v>0</v>
      </c>
      <c r="T183" s="179">
        <f>SUMIFS('recurring2_based on steps'!$B183:$AY183,'recurring2_based on steps'!$B$1:$AY$1,T$1)+SUMIFS('changes2_based on steps'!$B183:$U183,'changes2_based on steps'!$B$1:$U$1,T$1)</f>
        <v>0</v>
      </c>
      <c r="U183" s="179">
        <f>SUMIFS('recurring2_based on steps'!$B183:$AY183,'recurring2_based on steps'!$B$1:$AY$1,U$1)+SUMIFS('changes2_based on steps'!$B183:$U183,'changes2_based on steps'!$B$1:$U$1,U$1)</f>
        <v>0</v>
      </c>
      <c r="V183" s="179">
        <f>SUMIFS('recurring2_based on steps'!$B183:$AY183,'recurring2_based on steps'!$B$1:$AY$1,V$1)+SUMIFS('changes2_based on steps'!$B183:$U183,'changes2_based on steps'!$B$1:$U$1,V$1)</f>
        <v>0</v>
      </c>
      <c r="W183" s="179">
        <f>SUMIFS('recurring2_based on steps'!$B183:$AY183,'recurring2_based on steps'!$B$1:$AY$1,W$1)+SUMIFS('changes2_based on steps'!$B183:$U183,'changes2_based on steps'!$B$1:$U$1,W$1)</f>
        <v>0</v>
      </c>
      <c r="X183" s="179">
        <f>SUMIFS('recurring2_based on steps'!$B183:$AY183,'recurring2_based on steps'!$B$1:$AY$1,X$1)+SUMIFS('changes2_based on steps'!$B183:$U183,'changes2_based on steps'!$B$1:$U$1,X$1)</f>
        <v>0</v>
      </c>
      <c r="Y183" s="179">
        <f>SUMIFS('recurring2_based on steps'!$B183:$AY183,'recurring2_based on steps'!$B$1:$AY$1,Y$1)+SUMIFS('changes2_based on steps'!$B183:$U183,'changes2_based on steps'!$B$1:$U$1,Y$1)</f>
        <v>0</v>
      </c>
      <c r="Z183" s="179">
        <f>SUMIFS('recurring2_based on steps'!$B183:$AY183,'recurring2_based on steps'!$B$1:$AY$1,Z$1)+SUMIFS('changes2_based on steps'!$B183:$U183,'changes2_based on steps'!$B$1:$U$1,Z$1)</f>
        <v>0</v>
      </c>
      <c r="AA183" s="179">
        <f>SUMIFS('recurring2_based on steps'!$B183:$AY183,'recurring2_based on steps'!$B$1:$AY$1,AA$1)+SUMIFS('changes2_based on steps'!$B183:$U183,'changes2_based on steps'!$B$1:$U$1,AA$1)</f>
        <v>0</v>
      </c>
      <c r="AB183" s="179">
        <f>SUMIFS('recurring2_based on steps'!$B183:$AY183,'recurring2_based on steps'!$B$1:$AY$1,AB$1)+SUMIFS('changes2_based on steps'!$B183:$U183,'changes2_based on steps'!$B$1:$U$1,AB$1)</f>
        <v>0</v>
      </c>
      <c r="AC183" s="179">
        <f>SUMIFS('recurring2_based on steps'!$B183:$AY183,'recurring2_based on steps'!$B$1:$AY$1,AC$1)+SUMIFS('changes2_based on steps'!$B183:$U183,'changes2_based on steps'!$B$1:$U$1,AC$1)</f>
        <v>0</v>
      </c>
      <c r="AD183" s="179">
        <f>SUMIFS('recurring2_based on steps'!$B183:$AY183,'recurring2_based on steps'!$B$1:$AY$1,AD$1)+SUMIFS('changes2_based on steps'!$B183:$U183,'changes2_based on steps'!$B$1:$U$1,AD$1)</f>
        <v>0</v>
      </c>
      <c r="AE183" s="179">
        <f>SUMIFS('recurring2_based on steps'!$B183:$AY183,'recurring2_based on steps'!$B$1:$AY$1,AE$1)+SUMIFS('changes2_based on steps'!$B183:$U183,'changes2_based on steps'!$B$1:$U$1,AE$1)</f>
        <v>0</v>
      </c>
      <c r="AF183" s="179"/>
      <c r="AG183" s="179"/>
      <c r="AH183" s="179"/>
      <c r="AI183" s="179"/>
      <c r="AJ183" s="179"/>
      <c r="AK183" s="179"/>
      <c r="AL183" s="179"/>
      <c r="AM183" s="179"/>
    </row>
    <row r="184" spans="1:39" x14ac:dyDescent="0.2">
      <c r="A184" s="32">
        <f t="shared" ca="1" si="2"/>
        <v>45926</v>
      </c>
      <c r="B184" s="179">
        <f>SUMIFS('recurring2_based on steps'!$B184:$AY184,'recurring2_based on steps'!$B$1:$AY$1,B$1)+SUMIFS('changes2_based on steps'!$B184:$U184,'changes2_based on steps'!$B$1:$U$1,B$1)</f>
        <v>0</v>
      </c>
      <c r="C184" s="179">
        <f>SUMIFS('recurring2_based on steps'!$B184:$AY184,'recurring2_based on steps'!$B$1:$AY$1,C$1)+SUMIFS('changes2_based on steps'!$B184:$U184,'changes2_based on steps'!$B$1:$U$1,C$1)</f>
        <v>0</v>
      </c>
      <c r="D184" s="179">
        <f>SUMIFS('recurring2_based on steps'!$B184:$AY184,'recurring2_based on steps'!$B$1:$AY$1,D$1)+SUMIFS('changes2_based on steps'!$B184:$U184,'changes2_based on steps'!$B$1:$U$1,D$1)</f>
        <v>0</v>
      </c>
      <c r="E184" s="179">
        <f>SUMIFS('recurring2_based on steps'!$B184:$AY184,'recurring2_based on steps'!$B$1:$AY$1,E$1)+SUMIFS('changes2_based on steps'!$B184:$U184,'changes2_based on steps'!$B$1:$U$1,E$1)</f>
        <v>0</v>
      </c>
      <c r="F184" s="179">
        <f>SUMIFS('recurring2_based on steps'!$B184:$AY184,'recurring2_based on steps'!$B$1:$AY$1,F$1)+SUMIFS('changes2_based on steps'!$B184:$U184,'changes2_based on steps'!$B$1:$U$1,F$1)</f>
        <v>0</v>
      </c>
      <c r="G184" s="179">
        <f>SUMIFS('recurring2_based on steps'!$B184:$AY184,'recurring2_based on steps'!$B$1:$AY$1,G$1)+SUMIFS('changes2_based on steps'!$B184:$U184,'changes2_based on steps'!$B$1:$U$1,G$1)</f>
        <v>0</v>
      </c>
      <c r="H184" s="179">
        <f>SUMIFS('recurring2_based on steps'!$B184:$AY184,'recurring2_based on steps'!$B$1:$AY$1,H$1)+SUMIFS('changes2_based on steps'!$B184:$U184,'changes2_based on steps'!$B$1:$U$1,H$1)</f>
        <v>0</v>
      </c>
      <c r="I184" s="179">
        <f>SUMIFS('recurring2_based on steps'!$B184:$AY184,'recurring2_based on steps'!$B$1:$AY$1,I$1)+SUMIFS('changes2_based on steps'!$B184:$U184,'changes2_based on steps'!$B$1:$U$1,I$1)</f>
        <v>0</v>
      </c>
      <c r="J184" s="179">
        <f>SUMIFS('recurring2_based on steps'!$B184:$AY184,'recurring2_based on steps'!$B$1:$AY$1,J$1)+SUMIFS('changes2_based on steps'!$B184:$U184,'changes2_based on steps'!$B$1:$U$1,J$1)</f>
        <v>0</v>
      </c>
      <c r="K184" s="179">
        <f>SUMIFS('recurring2_based on steps'!$B184:$AY184,'recurring2_based on steps'!$B$1:$AY$1,K$1)+SUMIFS('changes2_based on steps'!$B184:$U184,'changes2_based on steps'!$B$1:$U$1,K$1)</f>
        <v>0</v>
      </c>
      <c r="L184" s="179">
        <f>SUMIFS('recurring2_based on steps'!$B184:$AY184,'recurring2_based on steps'!$B$1:$AY$1,L$1)+SUMIFS('changes2_based on steps'!$B184:$U184,'changes2_based on steps'!$B$1:$U$1,L$1)</f>
        <v>0</v>
      </c>
      <c r="M184" s="179">
        <f>SUMIFS('recurring2_based on steps'!$B184:$AY184,'recurring2_based on steps'!$B$1:$AY$1,M$1)+SUMIFS('changes2_based on steps'!$B184:$U184,'changes2_based on steps'!$B$1:$U$1,M$1)</f>
        <v>0</v>
      </c>
      <c r="N184" s="179">
        <f>SUMIFS('recurring2_based on steps'!$B184:$AY184,'recurring2_based on steps'!$B$1:$AY$1,N$1)+SUMIFS('changes2_based on steps'!$B184:$U184,'changes2_based on steps'!$B$1:$U$1,N$1)</f>
        <v>0</v>
      </c>
      <c r="O184" s="179">
        <f>SUMIFS('recurring2_based on steps'!$B184:$AY184,'recurring2_based on steps'!$B$1:$AY$1,O$1)+SUMIFS('changes2_based on steps'!$B184:$U184,'changes2_based on steps'!$B$1:$U$1,O$1)</f>
        <v>0</v>
      </c>
      <c r="P184" s="179">
        <f>SUMIFS('recurring2_based on steps'!$B184:$AY184,'recurring2_based on steps'!$B$1:$AY$1,P$1)+SUMIFS('changes2_based on steps'!$B184:$U184,'changes2_based on steps'!$B$1:$U$1,P$1)</f>
        <v>0</v>
      </c>
      <c r="Q184" s="179">
        <f>SUMIFS('recurring2_based on steps'!$B184:$AY184,'recurring2_based on steps'!$B$1:$AY$1,Q$1)+SUMIFS('changes2_based on steps'!$B184:$U184,'changes2_based on steps'!$B$1:$U$1,Q$1)</f>
        <v>0</v>
      </c>
      <c r="R184" s="179">
        <f>SUMIFS('recurring2_based on steps'!$B184:$AY184,'recurring2_based on steps'!$B$1:$AY$1,R$1)+SUMIFS('changes2_based on steps'!$B184:$U184,'changes2_based on steps'!$B$1:$U$1,R$1)</f>
        <v>0</v>
      </c>
      <c r="S184" s="179">
        <f>SUMIFS('recurring2_based on steps'!$B184:$AY184,'recurring2_based on steps'!$B$1:$AY$1,S$1)+SUMIFS('changes2_based on steps'!$B184:$U184,'changes2_based on steps'!$B$1:$U$1,S$1)</f>
        <v>0</v>
      </c>
      <c r="T184" s="179">
        <f>SUMIFS('recurring2_based on steps'!$B184:$AY184,'recurring2_based on steps'!$B$1:$AY$1,T$1)+SUMIFS('changes2_based on steps'!$B184:$U184,'changes2_based on steps'!$B$1:$U$1,T$1)</f>
        <v>0</v>
      </c>
      <c r="U184" s="179">
        <f>SUMIFS('recurring2_based on steps'!$B184:$AY184,'recurring2_based on steps'!$B$1:$AY$1,U$1)+SUMIFS('changes2_based on steps'!$B184:$U184,'changes2_based on steps'!$B$1:$U$1,U$1)</f>
        <v>0</v>
      </c>
      <c r="V184" s="179">
        <f>SUMIFS('recurring2_based on steps'!$B184:$AY184,'recurring2_based on steps'!$B$1:$AY$1,V$1)+SUMIFS('changes2_based on steps'!$B184:$U184,'changes2_based on steps'!$B$1:$U$1,V$1)</f>
        <v>0</v>
      </c>
      <c r="W184" s="179">
        <f>SUMIFS('recurring2_based on steps'!$B184:$AY184,'recurring2_based on steps'!$B$1:$AY$1,W$1)+SUMIFS('changes2_based on steps'!$B184:$U184,'changes2_based on steps'!$B$1:$U$1,W$1)</f>
        <v>0</v>
      </c>
      <c r="X184" s="179">
        <f>SUMIFS('recurring2_based on steps'!$B184:$AY184,'recurring2_based on steps'!$B$1:$AY$1,X$1)+SUMIFS('changes2_based on steps'!$B184:$U184,'changes2_based on steps'!$B$1:$U$1,X$1)</f>
        <v>0</v>
      </c>
      <c r="Y184" s="179">
        <f>SUMIFS('recurring2_based on steps'!$B184:$AY184,'recurring2_based on steps'!$B$1:$AY$1,Y$1)+SUMIFS('changes2_based on steps'!$B184:$U184,'changes2_based on steps'!$B$1:$U$1,Y$1)</f>
        <v>0</v>
      </c>
      <c r="Z184" s="179">
        <f>SUMIFS('recurring2_based on steps'!$B184:$AY184,'recurring2_based on steps'!$B$1:$AY$1,Z$1)+SUMIFS('changes2_based on steps'!$B184:$U184,'changes2_based on steps'!$B$1:$U$1,Z$1)</f>
        <v>0</v>
      </c>
      <c r="AA184" s="179">
        <f>SUMIFS('recurring2_based on steps'!$B184:$AY184,'recurring2_based on steps'!$B$1:$AY$1,AA$1)+SUMIFS('changes2_based on steps'!$B184:$U184,'changes2_based on steps'!$B$1:$U$1,AA$1)</f>
        <v>0</v>
      </c>
      <c r="AB184" s="179">
        <f>SUMIFS('recurring2_based on steps'!$B184:$AY184,'recurring2_based on steps'!$B$1:$AY$1,AB$1)+SUMIFS('changes2_based on steps'!$B184:$U184,'changes2_based on steps'!$B$1:$U$1,AB$1)</f>
        <v>0</v>
      </c>
      <c r="AC184" s="179">
        <f>SUMIFS('recurring2_based on steps'!$B184:$AY184,'recurring2_based on steps'!$B$1:$AY$1,AC$1)+SUMIFS('changes2_based on steps'!$B184:$U184,'changes2_based on steps'!$B$1:$U$1,AC$1)</f>
        <v>0</v>
      </c>
      <c r="AD184" s="179">
        <f>SUMIFS('recurring2_based on steps'!$B184:$AY184,'recurring2_based on steps'!$B$1:$AY$1,AD$1)+SUMIFS('changes2_based on steps'!$B184:$U184,'changes2_based on steps'!$B$1:$U$1,AD$1)</f>
        <v>0</v>
      </c>
      <c r="AE184" s="179">
        <f>SUMIFS('recurring2_based on steps'!$B184:$AY184,'recurring2_based on steps'!$B$1:$AY$1,AE$1)+SUMIFS('changes2_based on steps'!$B184:$U184,'changes2_based on steps'!$B$1:$U$1,AE$1)</f>
        <v>0</v>
      </c>
      <c r="AF184" s="179"/>
      <c r="AG184" s="179"/>
      <c r="AH184" s="179"/>
      <c r="AI184" s="179"/>
      <c r="AJ184" s="179"/>
      <c r="AK184" s="179"/>
      <c r="AL184" s="179"/>
      <c r="AM184" s="179"/>
    </row>
    <row r="185" spans="1:39" x14ac:dyDescent="0.2">
      <c r="A185" s="32">
        <f t="shared" ca="1" si="2"/>
        <v>45927</v>
      </c>
      <c r="B185" s="179">
        <f>SUMIFS('recurring2_based on steps'!$B185:$AY185,'recurring2_based on steps'!$B$1:$AY$1,B$1)+SUMIFS('changes2_based on steps'!$B185:$U185,'changes2_based on steps'!$B$1:$U$1,B$1)</f>
        <v>0</v>
      </c>
      <c r="C185" s="179">
        <f>SUMIFS('recurring2_based on steps'!$B185:$AY185,'recurring2_based on steps'!$B$1:$AY$1,C$1)+SUMIFS('changes2_based on steps'!$B185:$U185,'changes2_based on steps'!$B$1:$U$1,C$1)</f>
        <v>0</v>
      </c>
      <c r="D185" s="179">
        <f>SUMIFS('recurring2_based on steps'!$B185:$AY185,'recurring2_based on steps'!$B$1:$AY$1,D$1)+SUMIFS('changes2_based on steps'!$B185:$U185,'changes2_based on steps'!$B$1:$U$1,D$1)</f>
        <v>0</v>
      </c>
      <c r="E185" s="179">
        <f>SUMIFS('recurring2_based on steps'!$B185:$AY185,'recurring2_based on steps'!$B$1:$AY$1,E$1)+SUMIFS('changes2_based on steps'!$B185:$U185,'changes2_based on steps'!$B$1:$U$1,E$1)</f>
        <v>0</v>
      </c>
      <c r="F185" s="179">
        <f>SUMIFS('recurring2_based on steps'!$B185:$AY185,'recurring2_based on steps'!$B$1:$AY$1,F$1)+SUMIFS('changes2_based on steps'!$B185:$U185,'changes2_based on steps'!$B$1:$U$1,F$1)</f>
        <v>0</v>
      </c>
      <c r="G185" s="179">
        <f>SUMIFS('recurring2_based on steps'!$B185:$AY185,'recurring2_based on steps'!$B$1:$AY$1,G$1)+SUMIFS('changes2_based on steps'!$B185:$U185,'changes2_based on steps'!$B$1:$U$1,G$1)</f>
        <v>0</v>
      </c>
      <c r="H185" s="179">
        <f>SUMIFS('recurring2_based on steps'!$B185:$AY185,'recurring2_based on steps'!$B$1:$AY$1,H$1)+SUMIFS('changes2_based on steps'!$B185:$U185,'changes2_based on steps'!$B$1:$U$1,H$1)</f>
        <v>0</v>
      </c>
      <c r="I185" s="179">
        <f>SUMIFS('recurring2_based on steps'!$B185:$AY185,'recurring2_based on steps'!$B$1:$AY$1,I$1)+SUMIFS('changes2_based on steps'!$B185:$U185,'changes2_based on steps'!$B$1:$U$1,I$1)</f>
        <v>0</v>
      </c>
      <c r="J185" s="179">
        <f>SUMIFS('recurring2_based on steps'!$B185:$AY185,'recurring2_based on steps'!$B$1:$AY$1,J$1)+SUMIFS('changes2_based on steps'!$B185:$U185,'changes2_based on steps'!$B$1:$U$1,J$1)</f>
        <v>0</v>
      </c>
      <c r="K185" s="179">
        <f>SUMIFS('recurring2_based on steps'!$B185:$AY185,'recurring2_based on steps'!$B$1:$AY$1,K$1)+SUMIFS('changes2_based on steps'!$B185:$U185,'changes2_based on steps'!$B$1:$U$1,K$1)</f>
        <v>0</v>
      </c>
      <c r="L185" s="179">
        <f>SUMIFS('recurring2_based on steps'!$B185:$AY185,'recurring2_based on steps'!$B$1:$AY$1,L$1)+SUMIFS('changes2_based on steps'!$B185:$U185,'changes2_based on steps'!$B$1:$U$1,L$1)</f>
        <v>0</v>
      </c>
      <c r="M185" s="179">
        <f>SUMIFS('recurring2_based on steps'!$B185:$AY185,'recurring2_based on steps'!$B$1:$AY$1,M$1)+SUMIFS('changes2_based on steps'!$B185:$U185,'changes2_based on steps'!$B$1:$U$1,M$1)</f>
        <v>0</v>
      </c>
      <c r="N185" s="179">
        <f>SUMIFS('recurring2_based on steps'!$B185:$AY185,'recurring2_based on steps'!$B$1:$AY$1,N$1)+SUMIFS('changes2_based on steps'!$B185:$U185,'changes2_based on steps'!$B$1:$U$1,N$1)</f>
        <v>0</v>
      </c>
      <c r="O185" s="179">
        <f>SUMIFS('recurring2_based on steps'!$B185:$AY185,'recurring2_based on steps'!$B$1:$AY$1,O$1)+SUMIFS('changes2_based on steps'!$B185:$U185,'changes2_based on steps'!$B$1:$U$1,O$1)</f>
        <v>0</v>
      </c>
      <c r="P185" s="179">
        <f>SUMIFS('recurring2_based on steps'!$B185:$AY185,'recurring2_based on steps'!$B$1:$AY$1,P$1)+SUMIFS('changes2_based on steps'!$B185:$U185,'changes2_based on steps'!$B$1:$U$1,P$1)</f>
        <v>0</v>
      </c>
      <c r="Q185" s="179">
        <f>SUMIFS('recurring2_based on steps'!$B185:$AY185,'recurring2_based on steps'!$B$1:$AY$1,Q$1)+SUMIFS('changes2_based on steps'!$B185:$U185,'changes2_based on steps'!$B$1:$U$1,Q$1)</f>
        <v>0</v>
      </c>
      <c r="R185" s="179">
        <f>SUMIFS('recurring2_based on steps'!$B185:$AY185,'recurring2_based on steps'!$B$1:$AY$1,R$1)+SUMIFS('changes2_based on steps'!$B185:$U185,'changes2_based on steps'!$B$1:$U$1,R$1)</f>
        <v>0</v>
      </c>
      <c r="S185" s="179">
        <f>SUMIFS('recurring2_based on steps'!$B185:$AY185,'recurring2_based on steps'!$B$1:$AY$1,S$1)+SUMIFS('changes2_based on steps'!$B185:$U185,'changes2_based on steps'!$B$1:$U$1,S$1)</f>
        <v>0</v>
      </c>
      <c r="T185" s="179">
        <f>SUMIFS('recurring2_based on steps'!$B185:$AY185,'recurring2_based on steps'!$B$1:$AY$1,T$1)+SUMIFS('changes2_based on steps'!$B185:$U185,'changes2_based on steps'!$B$1:$U$1,T$1)</f>
        <v>0</v>
      </c>
      <c r="U185" s="179">
        <f>SUMIFS('recurring2_based on steps'!$B185:$AY185,'recurring2_based on steps'!$B$1:$AY$1,U$1)+SUMIFS('changes2_based on steps'!$B185:$U185,'changes2_based on steps'!$B$1:$U$1,U$1)</f>
        <v>0</v>
      </c>
      <c r="V185" s="179">
        <f>SUMIFS('recurring2_based on steps'!$B185:$AY185,'recurring2_based on steps'!$B$1:$AY$1,V$1)+SUMIFS('changes2_based on steps'!$B185:$U185,'changes2_based on steps'!$B$1:$U$1,V$1)</f>
        <v>0</v>
      </c>
      <c r="W185" s="179">
        <f>SUMIFS('recurring2_based on steps'!$B185:$AY185,'recurring2_based on steps'!$B$1:$AY$1,W$1)+SUMIFS('changes2_based on steps'!$B185:$U185,'changes2_based on steps'!$B$1:$U$1,W$1)</f>
        <v>0</v>
      </c>
      <c r="X185" s="179">
        <f>SUMIFS('recurring2_based on steps'!$B185:$AY185,'recurring2_based on steps'!$B$1:$AY$1,X$1)+SUMIFS('changes2_based on steps'!$B185:$U185,'changes2_based on steps'!$B$1:$U$1,X$1)</f>
        <v>0</v>
      </c>
      <c r="Y185" s="179">
        <f>SUMIFS('recurring2_based on steps'!$B185:$AY185,'recurring2_based on steps'!$B$1:$AY$1,Y$1)+SUMIFS('changes2_based on steps'!$B185:$U185,'changes2_based on steps'!$B$1:$U$1,Y$1)</f>
        <v>0</v>
      </c>
      <c r="Z185" s="179">
        <f>SUMIFS('recurring2_based on steps'!$B185:$AY185,'recurring2_based on steps'!$B$1:$AY$1,Z$1)+SUMIFS('changes2_based on steps'!$B185:$U185,'changes2_based on steps'!$B$1:$U$1,Z$1)</f>
        <v>0</v>
      </c>
      <c r="AA185" s="179">
        <f>SUMIFS('recurring2_based on steps'!$B185:$AY185,'recurring2_based on steps'!$B$1:$AY$1,AA$1)+SUMIFS('changes2_based on steps'!$B185:$U185,'changes2_based on steps'!$B$1:$U$1,AA$1)</f>
        <v>0</v>
      </c>
      <c r="AB185" s="179">
        <f>SUMIFS('recurring2_based on steps'!$B185:$AY185,'recurring2_based on steps'!$B$1:$AY$1,AB$1)+SUMIFS('changes2_based on steps'!$B185:$U185,'changes2_based on steps'!$B$1:$U$1,AB$1)</f>
        <v>0</v>
      </c>
      <c r="AC185" s="179">
        <f>SUMIFS('recurring2_based on steps'!$B185:$AY185,'recurring2_based on steps'!$B$1:$AY$1,AC$1)+SUMIFS('changes2_based on steps'!$B185:$U185,'changes2_based on steps'!$B$1:$U$1,AC$1)</f>
        <v>0</v>
      </c>
      <c r="AD185" s="179">
        <f>SUMIFS('recurring2_based on steps'!$B185:$AY185,'recurring2_based on steps'!$B$1:$AY$1,AD$1)+SUMIFS('changes2_based on steps'!$B185:$U185,'changes2_based on steps'!$B$1:$U$1,AD$1)</f>
        <v>0</v>
      </c>
      <c r="AE185" s="179">
        <f>SUMIFS('recurring2_based on steps'!$B185:$AY185,'recurring2_based on steps'!$B$1:$AY$1,AE$1)+SUMIFS('changes2_based on steps'!$B185:$U185,'changes2_based on steps'!$B$1:$U$1,AE$1)</f>
        <v>0</v>
      </c>
      <c r="AF185" s="179"/>
      <c r="AG185" s="179"/>
      <c r="AH185" s="179"/>
      <c r="AI185" s="179"/>
      <c r="AJ185" s="179"/>
      <c r="AK185" s="179"/>
      <c r="AL185" s="179"/>
      <c r="AM185" s="179"/>
    </row>
    <row r="186" spans="1:39" x14ac:dyDescent="0.2">
      <c r="A186" s="32">
        <f t="shared" ca="1" si="2"/>
        <v>45928</v>
      </c>
      <c r="B186" s="179">
        <f>SUMIFS('recurring2_based on steps'!$B186:$AY186,'recurring2_based on steps'!$B$1:$AY$1,B$1)+SUMIFS('changes2_based on steps'!$B186:$U186,'changes2_based on steps'!$B$1:$U$1,B$1)</f>
        <v>0</v>
      </c>
      <c r="C186" s="179">
        <f>SUMIFS('recurring2_based on steps'!$B186:$AY186,'recurring2_based on steps'!$B$1:$AY$1,C$1)+SUMIFS('changes2_based on steps'!$B186:$U186,'changes2_based on steps'!$B$1:$U$1,C$1)</f>
        <v>0</v>
      </c>
      <c r="D186" s="179">
        <f>SUMIFS('recurring2_based on steps'!$B186:$AY186,'recurring2_based on steps'!$B$1:$AY$1,D$1)+SUMIFS('changes2_based on steps'!$B186:$U186,'changes2_based on steps'!$B$1:$U$1,D$1)</f>
        <v>0</v>
      </c>
      <c r="E186" s="179">
        <f>SUMIFS('recurring2_based on steps'!$B186:$AY186,'recurring2_based on steps'!$B$1:$AY$1,E$1)+SUMIFS('changes2_based on steps'!$B186:$U186,'changes2_based on steps'!$B$1:$U$1,E$1)</f>
        <v>0</v>
      </c>
      <c r="F186" s="179">
        <f>SUMIFS('recurring2_based on steps'!$B186:$AY186,'recurring2_based on steps'!$B$1:$AY$1,F$1)+SUMIFS('changes2_based on steps'!$B186:$U186,'changes2_based on steps'!$B$1:$U$1,F$1)</f>
        <v>0</v>
      </c>
      <c r="G186" s="179">
        <f>SUMIFS('recurring2_based on steps'!$B186:$AY186,'recurring2_based on steps'!$B$1:$AY$1,G$1)+SUMIFS('changes2_based on steps'!$B186:$U186,'changes2_based on steps'!$B$1:$U$1,G$1)</f>
        <v>0</v>
      </c>
      <c r="H186" s="179">
        <f>SUMIFS('recurring2_based on steps'!$B186:$AY186,'recurring2_based on steps'!$B$1:$AY$1,H$1)+SUMIFS('changes2_based on steps'!$B186:$U186,'changes2_based on steps'!$B$1:$U$1,H$1)</f>
        <v>0</v>
      </c>
      <c r="I186" s="179">
        <f>SUMIFS('recurring2_based on steps'!$B186:$AY186,'recurring2_based on steps'!$B$1:$AY$1,I$1)+SUMIFS('changes2_based on steps'!$B186:$U186,'changes2_based on steps'!$B$1:$U$1,I$1)</f>
        <v>0</v>
      </c>
      <c r="J186" s="179">
        <f>SUMIFS('recurring2_based on steps'!$B186:$AY186,'recurring2_based on steps'!$B$1:$AY$1,J$1)+SUMIFS('changes2_based on steps'!$B186:$U186,'changes2_based on steps'!$B$1:$U$1,J$1)</f>
        <v>0</v>
      </c>
      <c r="K186" s="179">
        <f>SUMIFS('recurring2_based on steps'!$B186:$AY186,'recurring2_based on steps'!$B$1:$AY$1,K$1)+SUMIFS('changes2_based on steps'!$B186:$U186,'changes2_based on steps'!$B$1:$U$1,K$1)</f>
        <v>0</v>
      </c>
      <c r="L186" s="179">
        <f>SUMIFS('recurring2_based on steps'!$B186:$AY186,'recurring2_based on steps'!$B$1:$AY$1,L$1)+SUMIFS('changes2_based on steps'!$B186:$U186,'changes2_based on steps'!$B$1:$U$1,L$1)</f>
        <v>0</v>
      </c>
      <c r="M186" s="179">
        <f>SUMIFS('recurring2_based on steps'!$B186:$AY186,'recurring2_based on steps'!$B$1:$AY$1,M$1)+SUMIFS('changes2_based on steps'!$B186:$U186,'changes2_based on steps'!$B$1:$U$1,M$1)</f>
        <v>0</v>
      </c>
      <c r="N186" s="179">
        <f>SUMIFS('recurring2_based on steps'!$B186:$AY186,'recurring2_based on steps'!$B$1:$AY$1,N$1)+SUMIFS('changes2_based on steps'!$B186:$U186,'changes2_based on steps'!$B$1:$U$1,N$1)</f>
        <v>0</v>
      </c>
      <c r="O186" s="179">
        <f>SUMIFS('recurring2_based on steps'!$B186:$AY186,'recurring2_based on steps'!$B$1:$AY$1,O$1)+SUMIFS('changes2_based on steps'!$B186:$U186,'changes2_based on steps'!$B$1:$U$1,O$1)</f>
        <v>0</v>
      </c>
      <c r="P186" s="179">
        <f>SUMIFS('recurring2_based on steps'!$B186:$AY186,'recurring2_based on steps'!$B$1:$AY$1,P$1)+SUMIFS('changes2_based on steps'!$B186:$U186,'changes2_based on steps'!$B$1:$U$1,P$1)</f>
        <v>0</v>
      </c>
      <c r="Q186" s="179">
        <f>SUMIFS('recurring2_based on steps'!$B186:$AY186,'recurring2_based on steps'!$B$1:$AY$1,Q$1)+SUMIFS('changes2_based on steps'!$B186:$U186,'changes2_based on steps'!$B$1:$U$1,Q$1)</f>
        <v>0</v>
      </c>
      <c r="R186" s="179">
        <f>SUMIFS('recurring2_based on steps'!$B186:$AY186,'recurring2_based on steps'!$B$1:$AY$1,R$1)+SUMIFS('changes2_based on steps'!$B186:$U186,'changes2_based on steps'!$B$1:$U$1,R$1)</f>
        <v>0</v>
      </c>
      <c r="S186" s="179">
        <f>SUMIFS('recurring2_based on steps'!$B186:$AY186,'recurring2_based on steps'!$B$1:$AY$1,S$1)+SUMIFS('changes2_based on steps'!$B186:$U186,'changes2_based on steps'!$B$1:$U$1,S$1)</f>
        <v>0</v>
      </c>
      <c r="T186" s="179">
        <f>SUMIFS('recurring2_based on steps'!$B186:$AY186,'recurring2_based on steps'!$B$1:$AY$1,T$1)+SUMIFS('changes2_based on steps'!$B186:$U186,'changes2_based on steps'!$B$1:$U$1,T$1)</f>
        <v>0</v>
      </c>
      <c r="U186" s="179">
        <f>SUMIFS('recurring2_based on steps'!$B186:$AY186,'recurring2_based on steps'!$B$1:$AY$1,U$1)+SUMIFS('changes2_based on steps'!$B186:$U186,'changes2_based on steps'!$B$1:$U$1,U$1)</f>
        <v>0</v>
      </c>
      <c r="V186" s="179">
        <f>SUMIFS('recurring2_based on steps'!$B186:$AY186,'recurring2_based on steps'!$B$1:$AY$1,V$1)+SUMIFS('changes2_based on steps'!$B186:$U186,'changes2_based on steps'!$B$1:$U$1,V$1)</f>
        <v>0</v>
      </c>
      <c r="W186" s="179">
        <f>SUMIFS('recurring2_based on steps'!$B186:$AY186,'recurring2_based on steps'!$B$1:$AY$1,W$1)+SUMIFS('changes2_based on steps'!$B186:$U186,'changes2_based on steps'!$B$1:$U$1,W$1)</f>
        <v>0</v>
      </c>
      <c r="X186" s="179">
        <f>SUMIFS('recurring2_based on steps'!$B186:$AY186,'recurring2_based on steps'!$B$1:$AY$1,X$1)+SUMIFS('changes2_based on steps'!$B186:$U186,'changes2_based on steps'!$B$1:$U$1,X$1)</f>
        <v>0</v>
      </c>
      <c r="Y186" s="179">
        <f>SUMIFS('recurring2_based on steps'!$B186:$AY186,'recurring2_based on steps'!$B$1:$AY$1,Y$1)+SUMIFS('changes2_based on steps'!$B186:$U186,'changes2_based on steps'!$B$1:$U$1,Y$1)</f>
        <v>0</v>
      </c>
      <c r="Z186" s="179">
        <f>SUMIFS('recurring2_based on steps'!$B186:$AY186,'recurring2_based on steps'!$B$1:$AY$1,Z$1)+SUMIFS('changes2_based on steps'!$B186:$U186,'changes2_based on steps'!$B$1:$U$1,Z$1)</f>
        <v>0</v>
      </c>
      <c r="AA186" s="179">
        <f>SUMIFS('recurring2_based on steps'!$B186:$AY186,'recurring2_based on steps'!$B$1:$AY$1,AA$1)+SUMIFS('changes2_based on steps'!$B186:$U186,'changes2_based on steps'!$B$1:$U$1,AA$1)</f>
        <v>0</v>
      </c>
      <c r="AB186" s="179">
        <f>SUMIFS('recurring2_based on steps'!$B186:$AY186,'recurring2_based on steps'!$B$1:$AY$1,AB$1)+SUMIFS('changes2_based on steps'!$B186:$U186,'changes2_based on steps'!$B$1:$U$1,AB$1)</f>
        <v>0</v>
      </c>
      <c r="AC186" s="179">
        <f>SUMIFS('recurring2_based on steps'!$B186:$AY186,'recurring2_based on steps'!$B$1:$AY$1,AC$1)+SUMIFS('changes2_based on steps'!$B186:$U186,'changes2_based on steps'!$B$1:$U$1,AC$1)</f>
        <v>0</v>
      </c>
      <c r="AD186" s="179">
        <f>SUMIFS('recurring2_based on steps'!$B186:$AY186,'recurring2_based on steps'!$B$1:$AY$1,AD$1)+SUMIFS('changes2_based on steps'!$B186:$U186,'changes2_based on steps'!$B$1:$U$1,AD$1)</f>
        <v>0</v>
      </c>
      <c r="AE186" s="179">
        <f>SUMIFS('recurring2_based on steps'!$B186:$AY186,'recurring2_based on steps'!$B$1:$AY$1,AE$1)+SUMIFS('changes2_based on steps'!$B186:$U186,'changes2_based on steps'!$B$1:$U$1,AE$1)</f>
        <v>0</v>
      </c>
      <c r="AF186" s="179"/>
      <c r="AG186" s="179"/>
      <c r="AH186" s="179"/>
      <c r="AI186" s="179"/>
      <c r="AJ186" s="179"/>
      <c r="AK186" s="179"/>
      <c r="AL186" s="179"/>
      <c r="AM186" s="179"/>
    </row>
    <row r="187" spans="1:39" x14ac:dyDescent="0.2">
      <c r="A187" s="32">
        <f t="shared" ca="1" si="2"/>
        <v>45929</v>
      </c>
      <c r="B187" s="179">
        <f>SUMIFS('recurring2_based on steps'!$B187:$AY187,'recurring2_based on steps'!$B$1:$AY$1,B$1)+SUMIFS('changes2_based on steps'!$B187:$U187,'changes2_based on steps'!$B$1:$U$1,B$1)</f>
        <v>0</v>
      </c>
      <c r="C187" s="179">
        <f>SUMIFS('recurring2_based on steps'!$B187:$AY187,'recurring2_based on steps'!$B$1:$AY$1,C$1)+SUMIFS('changes2_based on steps'!$B187:$U187,'changes2_based on steps'!$B$1:$U$1,C$1)</f>
        <v>0</v>
      </c>
      <c r="D187" s="179">
        <f>SUMIFS('recurring2_based on steps'!$B187:$AY187,'recurring2_based on steps'!$B$1:$AY$1,D$1)+SUMIFS('changes2_based on steps'!$B187:$U187,'changes2_based on steps'!$B$1:$U$1,D$1)</f>
        <v>0</v>
      </c>
      <c r="E187" s="179">
        <f>SUMIFS('recurring2_based on steps'!$B187:$AY187,'recurring2_based on steps'!$B$1:$AY$1,E$1)+SUMIFS('changes2_based on steps'!$B187:$U187,'changes2_based on steps'!$B$1:$U$1,E$1)</f>
        <v>0</v>
      </c>
      <c r="F187" s="179">
        <f>SUMIFS('recurring2_based on steps'!$B187:$AY187,'recurring2_based on steps'!$B$1:$AY$1,F$1)+SUMIFS('changes2_based on steps'!$B187:$U187,'changes2_based on steps'!$B$1:$U$1,F$1)</f>
        <v>0</v>
      </c>
      <c r="G187" s="179">
        <f>SUMIFS('recurring2_based on steps'!$B187:$AY187,'recurring2_based on steps'!$B$1:$AY$1,G$1)+SUMIFS('changes2_based on steps'!$B187:$U187,'changes2_based on steps'!$B$1:$U$1,G$1)</f>
        <v>0</v>
      </c>
      <c r="H187" s="179">
        <f>SUMIFS('recurring2_based on steps'!$B187:$AY187,'recurring2_based on steps'!$B$1:$AY$1,H$1)+SUMIFS('changes2_based on steps'!$B187:$U187,'changes2_based on steps'!$B$1:$U$1,H$1)</f>
        <v>0</v>
      </c>
      <c r="I187" s="179">
        <f>SUMIFS('recurring2_based on steps'!$B187:$AY187,'recurring2_based on steps'!$B$1:$AY$1,I$1)+SUMIFS('changes2_based on steps'!$B187:$U187,'changes2_based on steps'!$B$1:$U$1,I$1)</f>
        <v>0</v>
      </c>
      <c r="J187" s="179">
        <f>SUMIFS('recurring2_based on steps'!$B187:$AY187,'recurring2_based on steps'!$B$1:$AY$1,J$1)+SUMIFS('changes2_based on steps'!$B187:$U187,'changes2_based on steps'!$B$1:$U$1,J$1)</f>
        <v>0</v>
      </c>
      <c r="K187" s="179">
        <f>SUMIFS('recurring2_based on steps'!$B187:$AY187,'recurring2_based on steps'!$B$1:$AY$1,K$1)+SUMIFS('changes2_based on steps'!$B187:$U187,'changes2_based on steps'!$B$1:$U$1,K$1)</f>
        <v>0</v>
      </c>
      <c r="L187" s="179">
        <f>SUMIFS('recurring2_based on steps'!$B187:$AY187,'recurring2_based on steps'!$B$1:$AY$1,L$1)+SUMIFS('changes2_based on steps'!$B187:$U187,'changes2_based on steps'!$B$1:$U$1,L$1)</f>
        <v>0</v>
      </c>
      <c r="M187" s="179">
        <f>SUMIFS('recurring2_based on steps'!$B187:$AY187,'recurring2_based on steps'!$B$1:$AY$1,M$1)+SUMIFS('changes2_based on steps'!$B187:$U187,'changes2_based on steps'!$B$1:$U$1,M$1)</f>
        <v>0</v>
      </c>
      <c r="N187" s="179">
        <f>SUMIFS('recurring2_based on steps'!$B187:$AY187,'recurring2_based on steps'!$B$1:$AY$1,N$1)+SUMIFS('changes2_based on steps'!$B187:$U187,'changes2_based on steps'!$B$1:$U$1,N$1)</f>
        <v>0</v>
      </c>
      <c r="O187" s="179">
        <f>SUMIFS('recurring2_based on steps'!$B187:$AY187,'recurring2_based on steps'!$B$1:$AY$1,O$1)+SUMIFS('changes2_based on steps'!$B187:$U187,'changes2_based on steps'!$B$1:$U$1,O$1)</f>
        <v>0</v>
      </c>
      <c r="P187" s="179">
        <f>SUMIFS('recurring2_based on steps'!$B187:$AY187,'recurring2_based on steps'!$B$1:$AY$1,P$1)+SUMIFS('changes2_based on steps'!$B187:$U187,'changes2_based on steps'!$B$1:$U$1,P$1)</f>
        <v>0</v>
      </c>
      <c r="Q187" s="179">
        <f>SUMIFS('recurring2_based on steps'!$B187:$AY187,'recurring2_based on steps'!$B$1:$AY$1,Q$1)+SUMIFS('changes2_based on steps'!$B187:$U187,'changes2_based on steps'!$B$1:$U$1,Q$1)</f>
        <v>0</v>
      </c>
      <c r="R187" s="179">
        <f>SUMIFS('recurring2_based on steps'!$B187:$AY187,'recurring2_based on steps'!$B$1:$AY$1,R$1)+SUMIFS('changes2_based on steps'!$B187:$U187,'changes2_based on steps'!$B$1:$U$1,R$1)</f>
        <v>0</v>
      </c>
      <c r="S187" s="179">
        <f>SUMIFS('recurring2_based on steps'!$B187:$AY187,'recurring2_based on steps'!$B$1:$AY$1,S$1)+SUMIFS('changes2_based on steps'!$B187:$U187,'changes2_based on steps'!$B$1:$U$1,S$1)</f>
        <v>0</v>
      </c>
      <c r="T187" s="179">
        <f>SUMIFS('recurring2_based on steps'!$B187:$AY187,'recurring2_based on steps'!$B$1:$AY$1,T$1)+SUMIFS('changes2_based on steps'!$B187:$U187,'changes2_based on steps'!$B$1:$U$1,T$1)</f>
        <v>0</v>
      </c>
      <c r="U187" s="179">
        <f>SUMIFS('recurring2_based on steps'!$B187:$AY187,'recurring2_based on steps'!$B$1:$AY$1,U$1)+SUMIFS('changes2_based on steps'!$B187:$U187,'changes2_based on steps'!$B$1:$U$1,U$1)</f>
        <v>0</v>
      </c>
      <c r="V187" s="179">
        <f>SUMIFS('recurring2_based on steps'!$B187:$AY187,'recurring2_based on steps'!$B$1:$AY$1,V$1)+SUMIFS('changes2_based on steps'!$B187:$U187,'changes2_based on steps'!$B$1:$U$1,V$1)</f>
        <v>0</v>
      </c>
      <c r="W187" s="179">
        <f>SUMIFS('recurring2_based on steps'!$B187:$AY187,'recurring2_based on steps'!$B$1:$AY$1,W$1)+SUMIFS('changes2_based on steps'!$B187:$U187,'changes2_based on steps'!$B$1:$U$1,W$1)</f>
        <v>0</v>
      </c>
      <c r="X187" s="179">
        <f>SUMIFS('recurring2_based on steps'!$B187:$AY187,'recurring2_based on steps'!$B$1:$AY$1,X$1)+SUMIFS('changes2_based on steps'!$B187:$U187,'changes2_based on steps'!$B$1:$U$1,X$1)</f>
        <v>0</v>
      </c>
      <c r="Y187" s="179">
        <f>SUMIFS('recurring2_based on steps'!$B187:$AY187,'recurring2_based on steps'!$B$1:$AY$1,Y$1)+SUMIFS('changes2_based on steps'!$B187:$U187,'changes2_based on steps'!$B$1:$U$1,Y$1)</f>
        <v>0</v>
      </c>
      <c r="Z187" s="179">
        <f>SUMIFS('recurring2_based on steps'!$B187:$AY187,'recurring2_based on steps'!$B$1:$AY$1,Z$1)+SUMIFS('changes2_based on steps'!$B187:$U187,'changes2_based on steps'!$B$1:$U$1,Z$1)</f>
        <v>0</v>
      </c>
      <c r="AA187" s="179">
        <f>SUMIFS('recurring2_based on steps'!$B187:$AY187,'recurring2_based on steps'!$B$1:$AY$1,AA$1)+SUMIFS('changes2_based on steps'!$B187:$U187,'changes2_based on steps'!$B$1:$U$1,AA$1)</f>
        <v>0</v>
      </c>
      <c r="AB187" s="179">
        <f>SUMIFS('recurring2_based on steps'!$B187:$AY187,'recurring2_based on steps'!$B$1:$AY$1,AB$1)+SUMIFS('changes2_based on steps'!$B187:$U187,'changes2_based on steps'!$B$1:$U$1,AB$1)</f>
        <v>0</v>
      </c>
      <c r="AC187" s="179">
        <f>SUMIFS('recurring2_based on steps'!$B187:$AY187,'recurring2_based on steps'!$B$1:$AY$1,AC$1)+SUMIFS('changes2_based on steps'!$B187:$U187,'changes2_based on steps'!$B$1:$U$1,AC$1)</f>
        <v>0</v>
      </c>
      <c r="AD187" s="179">
        <f>SUMIFS('recurring2_based on steps'!$B187:$AY187,'recurring2_based on steps'!$B$1:$AY$1,AD$1)+SUMIFS('changes2_based on steps'!$B187:$U187,'changes2_based on steps'!$B$1:$U$1,AD$1)</f>
        <v>0</v>
      </c>
      <c r="AE187" s="179">
        <f>SUMIFS('recurring2_based on steps'!$B187:$AY187,'recurring2_based on steps'!$B$1:$AY$1,AE$1)+SUMIFS('changes2_based on steps'!$B187:$U187,'changes2_based on steps'!$B$1:$U$1,AE$1)</f>
        <v>0</v>
      </c>
      <c r="AF187" s="179"/>
      <c r="AG187" s="179"/>
      <c r="AH187" s="179"/>
      <c r="AI187" s="179"/>
      <c r="AJ187" s="179"/>
      <c r="AK187" s="179"/>
      <c r="AL187" s="179"/>
      <c r="AM187" s="179"/>
    </row>
    <row r="188" spans="1:39" x14ac:dyDescent="0.2">
      <c r="A188" s="32">
        <f t="shared" ca="1" si="2"/>
        <v>45930</v>
      </c>
      <c r="B188" s="179">
        <f>SUMIFS('recurring2_based on steps'!$B188:$AY188,'recurring2_based on steps'!$B$1:$AY$1,B$1)+SUMIFS('changes2_based on steps'!$B188:$U188,'changes2_based on steps'!$B$1:$U$1,B$1)</f>
        <v>0</v>
      </c>
      <c r="C188" s="179">
        <f>SUMIFS('recurring2_based on steps'!$B188:$AY188,'recurring2_based on steps'!$B$1:$AY$1,C$1)+SUMIFS('changes2_based on steps'!$B188:$U188,'changes2_based on steps'!$B$1:$U$1,C$1)</f>
        <v>0</v>
      </c>
      <c r="D188" s="179">
        <f>SUMIFS('recurring2_based on steps'!$B188:$AY188,'recurring2_based on steps'!$B$1:$AY$1,D$1)+SUMIFS('changes2_based on steps'!$B188:$U188,'changes2_based on steps'!$B$1:$U$1,D$1)</f>
        <v>0</v>
      </c>
      <c r="E188" s="179">
        <f>SUMIFS('recurring2_based on steps'!$B188:$AY188,'recurring2_based on steps'!$B$1:$AY$1,E$1)+SUMIFS('changes2_based on steps'!$B188:$U188,'changes2_based on steps'!$B$1:$U$1,E$1)</f>
        <v>0</v>
      </c>
      <c r="F188" s="179">
        <f>SUMIFS('recurring2_based on steps'!$B188:$AY188,'recurring2_based on steps'!$B$1:$AY$1,F$1)+SUMIFS('changes2_based on steps'!$B188:$U188,'changes2_based on steps'!$B$1:$U$1,F$1)</f>
        <v>0</v>
      </c>
      <c r="G188" s="179">
        <f>SUMIFS('recurring2_based on steps'!$B188:$AY188,'recurring2_based on steps'!$B$1:$AY$1,G$1)+SUMIFS('changes2_based on steps'!$B188:$U188,'changes2_based on steps'!$B$1:$U$1,G$1)</f>
        <v>0</v>
      </c>
      <c r="H188" s="179">
        <f>SUMIFS('recurring2_based on steps'!$B188:$AY188,'recurring2_based on steps'!$B$1:$AY$1,H$1)+SUMIFS('changes2_based on steps'!$B188:$U188,'changes2_based on steps'!$B$1:$U$1,H$1)</f>
        <v>0</v>
      </c>
      <c r="I188" s="179">
        <f>SUMIFS('recurring2_based on steps'!$B188:$AY188,'recurring2_based on steps'!$B$1:$AY$1,I$1)+SUMIFS('changes2_based on steps'!$B188:$U188,'changes2_based on steps'!$B$1:$U$1,I$1)</f>
        <v>0</v>
      </c>
      <c r="J188" s="179">
        <f>SUMIFS('recurring2_based on steps'!$B188:$AY188,'recurring2_based on steps'!$B$1:$AY$1,J$1)+SUMIFS('changes2_based on steps'!$B188:$U188,'changes2_based on steps'!$B$1:$U$1,J$1)</f>
        <v>0</v>
      </c>
      <c r="K188" s="179">
        <f>SUMIFS('recurring2_based on steps'!$B188:$AY188,'recurring2_based on steps'!$B$1:$AY$1,K$1)+SUMIFS('changes2_based on steps'!$B188:$U188,'changes2_based on steps'!$B$1:$U$1,K$1)</f>
        <v>0</v>
      </c>
      <c r="L188" s="179">
        <f>SUMIFS('recurring2_based on steps'!$B188:$AY188,'recurring2_based on steps'!$B$1:$AY$1,L$1)+SUMIFS('changes2_based on steps'!$B188:$U188,'changes2_based on steps'!$B$1:$U$1,L$1)</f>
        <v>0</v>
      </c>
      <c r="M188" s="179">
        <f>SUMIFS('recurring2_based on steps'!$B188:$AY188,'recurring2_based on steps'!$B$1:$AY$1,M$1)+SUMIFS('changes2_based on steps'!$B188:$U188,'changes2_based on steps'!$B$1:$U$1,M$1)</f>
        <v>0</v>
      </c>
      <c r="N188" s="179">
        <f>SUMIFS('recurring2_based on steps'!$B188:$AY188,'recurring2_based on steps'!$B$1:$AY$1,N$1)+SUMIFS('changes2_based on steps'!$B188:$U188,'changes2_based on steps'!$B$1:$U$1,N$1)</f>
        <v>0</v>
      </c>
      <c r="O188" s="179">
        <f>SUMIFS('recurring2_based on steps'!$B188:$AY188,'recurring2_based on steps'!$B$1:$AY$1,O$1)+SUMIFS('changes2_based on steps'!$B188:$U188,'changes2_based on steps'!$B$1:$U$1,O$1)</f>
        <v>0</v>
      </c>
      <c r="P188" s="179">
        <f>SUMIFS('recurring2_based on steps'!$B188:$AY188,'recurring2_based on steps'!$B$1:$AY$1,P$1)+SUMIFS('changes2_based on steps'!$B188:$U188,'changes2_based on steps'!$B$1:$U$1,P$1)</f>
        <v>0</v>
      </c>
      <c r="Q188" s="179">
        <f>SUMIFS('recurring2_based on steps'!$B188:$AY188,'recurring2_based on steps'!$B$1:$AY$1,Q$1)+SUMIFS('changes2_based on steps'!$B188:$U188,'changes2_based on steps'!$B$1:$U$1,Q$1)</f>
        <v>0</v>
      </c>
      <c r="R188" s="179">
        <f>SUMIFS('recurring2_based on steps'!$B188:$AY188,'recurring2_based on steps'!$B$1:$AY$1,R$1)+SUMIFS('changes2_based on steps'!$B188:$U188,'changes2_based on steps'!$B$1:$U$1,R$1)</f>
        <v>0</v>
      </c>
      <c r="S188" s="179">
        <f>SUMIFS('recurring2_based on steps'!$B188:$AY188,'recurring2_based on steps'!$B$1:$AY$1,S$1)+SUMIFS('changes2_based on steps'!$B188:$U188,'changes2_based on steps'!$B$1:$U$1,S$1)</f>
        <v>0</v>
      </c>
      <c r="T188" s="179">
        <f>SUMIFS('recurring2_based on steps'!$B188:$AY188,'recurring2_based on steps'!$B$1:$AY$1,T$1)+SUMIFS('changes2_based on steps'!$B188:$U188,'changes2_based on steps'!$B$1:$U$1,T$1)</f>
        <v>0</v>
      </c>
      <c r="U188" s="179">
        <f>SUMIFS('recurring2_based on steps'!$B188:$AY188,'recurring2_based on steps'!$B$1:$AY$1,U$1)+SUMIFS('changes2_based on steps'!$B188:$U188,'changes2_based on steps'!$B$1:$U$1,U$1)</f>
        <v>0</v>
      </c>
      <c r="V188" s="179">
        <f>SUMIFS('recurring2_based on steps'!$B188:$AY188,'recurring2_based on steps'!$B$1:$AY$1,V$1)+SUMIFS('changes2_based on steps'!$B188:$U188,'changes2_based on steps'!$B$1:$U$1,V$1)</f>
        <v>0</v>
      </c>
      <c r="W188" s="179">
        <f>SUMIFS('recurring2_based on steps'!$B188:$AY188,'recurring2_based on steps'!$B$1:$AY$1,W$1)+SUMIFS('changes2_based on steps'!$B188:$U188,'changes2_based on steps'!$B$1:$U$1,W$1)</f>
        <v>0</v>
      </c>
      <c r="X188" s="179">
        <f>SUMIFS('recurring2_based on steps'!$B188:$AY188,'recurring2_based on steps'!$B$1:$AY$1,X$1)+SUMIFS('changes2_based on steps'!$B188:$U188,'changes2_based on steps'!$B$1:$U$1,X$1)</f>
        <v>0</v>
      </c>
      <c r="Y188" s="179">
        <f>SUMIFS('recurring2_based on steps'!$B188:$AY188,'recurring2_based on steps'!$B$1:$AY$1,Y$1)+SUMIFS('changes2_based on steps'!$B188:$U188,'changes2_based on steps'!$B$1:$U$1,Y$1)</f>
        <v>0</v>
      </c>
      <c r="Z188" s="179">
        <f>SUMIFS('recurring2_based on steps'!$B188:$AY188,'recurring2_based on steps'!$B$1:$AY$1,Z$1)+SUMIFS('changes2_based on steps'!$B188:$U188,'changes2_based on steps'!$B$1:$U$1,Z$1)</f>
        <v>0</v>
      </c>
      <c r="AA188" s="179">
        <f>SUMIFS('recurring2_based on steps'!$B188:$AY188,'recurring2_based on steps'!$B$1:$AY$1,AA$1)+SUMIFS('changes2_based on steps'!$B188:$U188,'changes2_based on steps'!$B$1:$U$1,AA$1)</f>
        <v>0</v>
      </c>
      <c r="AB188" s="179">
        <f>SUMIFS('recurring2_based on steps'!$B188:$AY188,'recurring2_based on steps'!$B$1:$AY$1,AB$1)+SUMIFS('changes2_based on steps'!$B188:$U188,'changes2_based on steps'!$B$1:$U$1,AB$1)</f>
        <v>0</v>
      </c>
      <c r="AC188" s="179">
        <f>SUMIFS('recurring2_based on steps'!$B188:$AY188,'recurring2_based on steps'!$B$1:$AY$1,AC$1)+SUMIFS('changes2_based on steps'!$B188:$U188,'changes2_based on steps'!$B$1:$U$1,AC$1)</f>
        <v>0</v>
      </c>
      <c r="AD188" s="179">
        <f>SUMIFS('recurring2_based on steps'!$B188:$AY188,'recurring2_based on steps'!$B$1:$AY$1,AD$1)+SUMIFS('changes2_based on steps'!$B188:$U188,'changes2_based on steps'!$B$1:$U$1,AD$1)</f>
        <v>0</v>
      </c>
      <c r="AE188" s="179">
        <f>SUMIFS('recurring2_based on steps'!$B188:$AY188,'recurring2_based on steps'!$B$1:$AY$1,AE$1)+SUMIFS('changes2_based on steps'!$B188:$U188,'changes2_based on steps'!$B$1:$U$1,AE$1)</f>
        <v>0</v>
      </c>
      <c r="AF188" s="179"/>
      <c r="AG188" s="179"/>
      <c r="AH188" s="179"/>
      <c r="AI188" s="179"/>
      <c r="AJ188" s="179"/>
      <c r="AK188" s="179"/>
      <c r="AL188" s="179"/>
      <c r="AM188" s="179"/>
    </row>
    <row r="189" spans="1:39" x14ac:dyDescent="0.2">
      <c r="A189" s="32">
        <f t="shared" ca="1" si="2"/>
        <v>45931</v>
      </c>
      <c r="B189" s="179">
        <f>SUMIFS('recurring2_based on steps'!$B189:$AY189,'recurring2_based on steps'!$B$1:$AY$1,B$1)+SUMIFS('changes2_based on steps'!$B189:$U189,'changes2_based on steps'!$B$1:$U$1,B$1)</f>
        <v>0</v>
      </c>
      <c r="C189" s="179">
        <f>SUMIFS('recurring2_based on steps'!$B189:$AY189,'recurring2_based on steps'!$B$1:$AY$1,C$1)+SUMIFS('changes2_based on steps'!$B189:$U189,'changes2_based on steps'!$B$1:$U$1,C$1)</f>
        <v>0</v>
      </c>
      <c r="D189" s="179">
        <f>SUMIFS('recurring2_based on steps'!$B189:$AY189,'recurring2_based on steps'!$B$1:$AY$1,D$1)+SUMIFS('changes2_based on steps'!$B189:$U189,'changes2_based on steps'!$B$1:$U$1,D$1)</f>
        <v>0</v>
      </c>
      <c r="E189" s="179">
        <f>SUMIFS('recurring2_based on steps'!$B189:$AY189,'recurring2_based on steps'!$B$1:$AY$1,E$1)+SUMIFS('changes2_based on steps'!$B189:$U189,'changes2_based on steps'!$B$1:$U$1,E$1)</f>
        <v>0</v>
      </c>
      <c r="F189" s="179">
        <f>SUMIFS('recurring2_based on steps'!$B189:$AY189,'recurring2_based on steps'!$B$1:$AY$1,F$1)+SUMIFS('changes2_based on steps'!$B189:$U189,'changes2_based on steps'!$B$1:$U$1,F$1)</f>
        <v>0</v>
      </c>
      <c r="G189" s="179">
        <f>SUMIFS('recurring2_based on steps'!$B189:$AY189,'recurring2_based on steps'!$B$1:$AY$1,G$1)+SUMIFS('changes2_based on steps'!$B189:$U189,'changes2_based on steps'!$B$1:$U$1,G$1)</f>
        <v>0</v>
      </c>
      <c r="H189" s="179">
        <f>SUMIFS('recurring2_based on steps'!$B189:$AY189,'recurring2_based on steps'!$B$1:$AY$1,H$1)+SUMIFS('changes2_based on steps'!$B189:$U189,'changes2_based on steps'!$B$1:$U$1,H$1)</f>
        <v>0</v>
      </c>
      <c r="I189" s="179">
        <f>SUMIFS('recurring2_based on steps'!$B189:$AY189,'recurring2_based on steps'!$B$1:$AY$1,I$1)+SUMIFS('changes2_based on steps'!$B189:$U189,'changes2_based on steps'!$B$1:$U$1,I$1)</f>
        <v>0</v>
      </c>
      <c r="J189" s="179">
        <f>SUMIFS('recurring2_based on steps'!$B189:$AY189,'recurring2_based on steps'!$B$1:$AY$1,J$1)+SUMIFS('changes2_based on steps'!$B189:$U189,'changes2_based on steps'!$B$1:$U$1,J$1)</f>
        <v>0</v>
      </c>
      <c r="K189" s="179">
        <f>SUMIFS('recurring2_based on steps'!$B189:$AY189,'recurring2_based on steps'!$B$1:$AY$1,K$1)+SUMIFS('changes2_based on steps'!$B189:$U189,'changes2_based on steps'!$B$1:$U$1,K$1)</f>
        <v>0</v>
      </c>
      <c r="L189" s="179">
        <f>SUMIFS('recurring2_based on steps'!$B189:$AY189,'recurring2_based on steps'!$B$1:$AY$1,L$1)+SUMIFS('changes2_based on steps'!$B189:$U189,'changes2_based on steps'!$B$1:$U$1,L$1)</f>
        <v>0</v>
      </c>
      <c r="M189" s="179">
        <f>SUMIFS('recurring2_based on steps'!$B189:$AY189,'recurring2_based on steps'!$B$1:$AY$1,M$1)+SUMIFS('changes2_based on steps'!$B189:$U189,'changes2_based on steps'!$B$1:$U$1,M$1)</f>
        <v>0</v>
      </c>
      <c r="N189" s="179">
        <f>SUMIFS('recurring2_based on steps'!$B189:$AY189,'recurring2_based on steps'!$B$1:$AY$1,N$1)+SUMIFS('changes2_based on steps'!$B189:$U189,'changes2_based on steps'!$B$1:$U$1,N$1)</f>
        <v>0</v>
      </c>
      <c r="O189" s="179">
        <f>SUMIFS('recurring2_based on steps'!$B189:$AY189,'recurring2_based on steps'!$B$1:$AY$1,O$1)+SUMIFS('changes2_based on steps'!$B189:$U189,'changes2_based on steps'!$B$1:$U$1,O$1)</f>
        <v>0</v>
      </c>
      <c r="P189" s="179">
        <f>SUMIFS('recurring2_based on steps'!$B189:$AY189,'recurring2_based on steps'!$B$1:$AY$1,P$1)+SUMIFS('changes2_based on steps'!$B189:$U189,'changes2_based on steps'!$B$1:$U$1,P$1)</f>
        <v>0</v>
      </c>
      <c r="Q189" s="179">
        <f>SUMIFS('recurring2_based on steps'!$B189:$AY189,'recurring2_based on steps'!$B$1:$AY$1,Q$1)+SUMIFS('changes2_based on steps'!$B189:$U189,'changes2_based on steps'!$B$1:$U$1,Q$1)</f>
        <v>0</v>
      </c>
      <c r="R189" s="179">
        <f>SUMIFS('recurring2_based on steps'!$B189:$AY189,'recurring2_based on steps'!$B$1:$AY$1,R$1)+SUMIFS('changes2_based on steps'!$B189:$U189,'changes2_based on steps'!$B$1:$U$1,R$1)</f>
        <v>0</v>
      </c>
      <c r="S189" s="179">
        <f>SUMIFS('recurring2_based on steps'!$B189:$AY189,'recurring2_based on steps'!$B$1:$AY$1,S$1)+SUMIFS('changes2_based on steps'!$B189:$U189,'changes2_based on steps'!$B$1:$U$1,S$1)</f>
        <v>0</v>
      </c>
      <c r="T189" s="179">
        <f>SUMIFS('recurring2_based on steps'!$B189:$AY189,'recurring2_based on steps'!$B$1:$AY$1,T$1)+SUMIFS('changes2_based on steps'!$B189:$U189,'changes2_based on steps'!$B$1:$U$1,T$1)</f>
        <v>0</v>
      </c>
      <c r="U189" s="179">
        <f>SUMIFS('recurring2_based on steps'!$B189:$AY189,'recurring2_based on steps'!$B$1:$AY$1,U$1)+SUMIFS('changes2_based on steps'!$B189:$U189,'changes2_based on steps'!$B$1:$U$1,U$1)</f>
        <v>0</v>
      </c>
      <c r="V189" s="179">
        <f>SUMIFS('recurring2_based on steps'!$B189:$AY189,'recurring2_based on steps'!$B$1:$AY$1,V$1)+SUMIFS('changes2_based on steps'!$B189:$U189,'changes2_based on steps'!$B$1:$U$1,V$1)</f>
        <v>0</v>
      </c>
      <c r="W189" s="179">
        <f>SUMIFS('recurring2_based on steps'!$B189:$AY189,'recurring2_based on steps'!$B$1:$AY$1,W$1)+SUMIFS('changes2_based on steps'!$B189:$U189,'changes2_based on steps'!$B$1:$U$1,W$1)</f>
        <v>0</v>
      </c>
      <c r="X189" s="179">
        <f>SUMIFS('recurring2_based on steps'!$B189:$AY189,'recurring2_based on steps'!$B$1:$AY$1,X$1)+SUMIFS('changes2_based on steps'!$B189:$U189,'changes2_based on steps'!$B$1:$U$1,X$1)</f>
        <v>0</v>
      </c>
      <c r="Y189" s="179">
        <f>SUMIFS('recurring2_based on steps'!$B189:$AY189,'recurring2_based on steps'!$B$1:$AY$1,Y$1)+SUMIFS('changes2_based on steps'!$B189:$U189,'changes2_based on steps'!$B$1:$U$1,Y$1)</f>
        <v>0</v>
      </c>
      <c r="Z189" s="179">
        <f>SUMIFS('recurring2_based on steps'!$B189:$AY189,'recurring2_based on steps'!$B$1:$AY$1,Z$1)+SUMIFS('changes2_based on steps'!$B189:$U189,'changes2_based on steps'!$B$1:$U$1,Z$1)</f>
        <v>0</v>
      </c>
      <c r="AA189" s="179">
        <f>SUMIFS('recurring2_based on steps'!$B189:$AY189,'recurring2_based on steps'!$B$1:$AY$1,AA$1)+SUMIFS('changes2_based on steps'!$B189:$U189,'changes2_based on steps'!$B$1:$U$1,AA$1)</f>
        <v>0</v>
      </c>
      <c r="AB189" s="179">
        <f>SUMIFS('recurring2_based on steps'!$B189:$AY189,'recurring2_based on steps'!$B$1:$AY$1,AB$1)+SUMIFS('changes2_based on steps'!$B189:$U189,'changes2_based on steps'!$B$1:$U$1,AB$1)</f>
        <v>0</v>
      </c>
      <c r="AC189" s="179">
        <f>SUMIFS('recurring2_based on steps'!$B189:$AY189,'recurring2_based on steps'!$B$1:$AY$1,AC$1)+SUMIFS('changes2_based on steps'!$B189:$U189,'changes2_based on steps'!$B$1:$U$1,AC$1)</f>
        <v>0</v>
      </c>
      <c r="AD189" s="179">
        <f>SUMIFS('recurring2_based on steps'!$B189:$AY189,'recurring2_based on steps'!$B$1:$AY$1,AD$1)+SUMIFS('changes2_based on steps'!$B189:$U189,'changes2_based on steps'!$B$1:$U$1,AD$1)</f>
        <v>0</v>
      </c>
      <c r="AE189" s="179">
        <f>SUMIFS('recurring2_based on steps'!$B189:$AY189,'recurring2_based on steps'!$B$1:$AY$1,AE$1)+SUMIFS('changes2_based on steps'!$B189:$U189,'changes2_based on steps'!$B$1:$U$1,AE$1)</f>
        <v>0</v>
      </c>
      <c r="AF189" s="179"/>
      <c r="AG189" s="179"/>
      <c r="AH189" s="179"/>
      <c r="AI189" s="179"/>
      <c r="AJ189" s="179"/>
      <c r="AK189" s="179"/>
      <c r="AL189" s="179"/>
      <c r="AM189" s="179"/>
    </row>
    <row r="190" spans="1:39" x14ac:dyDescent="0.2">
      <c r="A190" s="32">
        <f t="shared" ca="1" si="2"/>
        <v>45932</v>
      </c>
      <c r="B190" s="179">
        <f>SUMIFS('recurring2_based on steps'!$B190:$AY190,'recurring2_based on steps'!$B$1:$AY$1,B$1)+SUMIFS('changes2_based on steps'!$B190:$U190,'changes2_based on steps'!$B$1:$U$1,B$1)</f>
        <v>0</v>
      </c>
      <c r="C190" s="179">
        <f>SUMIFS('recurring2_based on steps'!$B190:$AY190,'recurring2_based on steps'!$B$1:$AY$1,C$1)+SUMIFS('changes2_based on steps'!$B190:$U190,'changes2_based on steps'!$B$1:$U$1,C$1)</f>
        <v>0</v>
      </c>
      <c r="D190" s="179">
        <f>SUMIFS('recurring2_based on steps'!$B190:$AY190,'recurring2_based on steps'!$B$1:$AY$1,D$1)+SUMIFS('changes2_based on steps'!$B190:$U190,'changes2_based on steps'!$B$1:$U$1,D$1)</f>
        <v>0</v>
      </c>
      <c r="E190" s="179">
        <f>SUMIFS('recurring2_based on steps'!$B190:$AY190,'recurring2_based on steps'!$B$1:$AY$1,E$1)+SUMIFS('changes2_based on steps'!$B190:$U190,'changes2_based on steps'!$B$1:$U$1,E$1)</f>
        <v>0</v>
      </c>
      <c r="F190" s="179">
        <f>SUMIFS('recurring2_based on steps'!$B190:$AY190,'recurring2_based on steps'!$B$1:$AY$1,F$1)+SUMIFS('changes2_based on steps'!$B190:$U190,'changes2_based on steps'!$B$1:$U$1,F$1)</f>
        <v>0</v>
      </c>
      <c r="G190" s="179">
        <f>SUMIFS('recurring2_based on steps'!$B190:$AY190,'recurring2_based on steps'!$B$1:$AY$1,G$1)+SUMIFS('changes2_based on steps'!$B190:$U190,'changes2_based on steps'!$B$1:$U$1,G$1)</f>
        <v>0</v>
      </c>
      <c r="H190" s="179">
        <f>SUMIFS('recurring2_based on steps'!$B190:$AY190,'recurring2_based on steps'!$B$1:$AY$1,H$1)+SUMIFS('changes2_based on steps'!$B190:$U190,'changes2_based on steps'!$B$1:$U$1,H$1)</f>
        <v>0</v>
      </c>
      <c r="I190" s="179">
        <f>SUMIFS('recurring2_based on steps'!$B190:$AY190,'recurring2_based on steps'!$B$1:$AY$1,I$1)+SUMIFS('changes2_based on steps'!$B190:$U190,'changes2_based on steps'!$B$1:$U$1,I$1)</f>
        <v>0</v>
      </c>
      <c r="J190" s="179">
        <f>SUMIFS('recurring2_based on steps'!$B190:$AY190,'recurring2_based on steps'!$B$1:$AY$1,J$1)+SUMIFS('changes2_based on steps'!$B190:$U190,'changes2_based on steps'!$B$1:$U$1,J$1)</f>
        <v>0</v>
      </c>
      <c r="K190" s="179">
        <f>SUMIFS('recurring2_based on steps'!$B190:$AY190,'recurring2_based on steps'!$B$1:$AY$1,K$1)+SUMIFS('changes2_based on steps'!$B190:$U190,'changes2_based on steps'!$B$1:$U$1,K$1)</f>
        <v>0</v>
      </c>
      <c r="L190" s="179">
        <f>SUMIFS('recurring2_based on steps'!$B190:$AY190,'recurring2_based on steps'!$B$1:$AY$1,L$1)+SUMIFS('changes2_based on steps'!$B190:$U190,'changes2_based on steps'!$B$1:$U$1,L$1)</f>
        <v>0</v>
      </c>
      <c r="M190" s="179">
        <f>SUMIFS('recurring2_based on steps'!$B190:$AY190,'recurring2_based on steps'!$B$1:$AY$1,M$1)+SUMIFS('changes2_based on steps'!$B190:$U190,'changes2_based on steps'!$B$1:$U$1,M$1)</f>
        <v>0</v>
      </c>
      <c r="N190" s="179">
        <f>SUMIFS('recurring2_based on steps'!$B190:$AY190,'recurring2_based on steps'!$B$1:$AY$1,N$1)+SUMIFS('changes2_based on steps'!$B190:$U190,'changes2_based on steps'!$B$1:$U$1,N$1)</f>
        <v>0</v>
      </c>
      <c r="O190" s="179">
        <f>SUMIFS('recurring2_based on steps'!$B190:$AY190,'recurring2_based on steps'!$B$1:$AY$1,O$1)+SUMIFS('changes2_based on steps'!$B190:$U190,'changes2_based on steps'!$B$1:$U$1,O$1)</f>
        <v>0</v>
      </c>
      <c r="P190" s="179">
        <f>SUMIFS('recurring2_based on steps'!$B190:$AY190,'recurring2_based on steps'!$B$1:$AY$1,P$1)+SUMIFS('changes2_based on steps'!$B190:$U190,'changes2_based on steps'!$B$1:$U$1,P$1)</f>
        <v>0</v>
      </c>
      <c r="Q190" s="179">
        <f>SUMIFS('recurring2_based on steps'!$B190:$AY190,'recurring2_based on steps'!$B$1:$AY$1,Q$1)+SUMIFS('changes2_based on steps'!$B190:$U190,'changes2_based on steps'!$B$1:$U$1,Q$1)</f>
        <v>0</v>
      </c>
      <c r="R190" s="179">
        <f>SUMIFS('recurring2_based on steps'!$B190:$AY190,'recurring2_based on steps'!$B$1:$AY$1,R$1)+SUMIFS('changes2_based on steps'!$B190:$U190,'changes2_based on steps'!$B$1:$U$1,R$1)</f>
        <v>0</v>
      </c>
      <c r="S190" s="179">
        <f>SUMIFS('recurring2_based on steps'!$B190:$AY190,'recurring2_based on steps'!$B$1:$AY$1,S$1)+SUMIFS('changes2_based on steps'!$B190:$U190,'changes2_based on steps'!$B$1:$U$1,S$1)</f>
        <v>0</v>
      </c>
      <c r="T190" s="179">
        <f>SUMIFS('recurring2_based on steps'!$B190:$AY190,'recurring2_based on steps'!$B$1:$AY$1,T$1)+SUMIFS('changes2_based on steps'!$B190:$U190,'changes2_based on steps'!$B$1:$U$1,T$1)</f>
        <v>0</v>
      </c>
      <c r="U190" s="179">
        <f>SUMIFS('recurring2_based on steps'!$B190:$AY190,'recurring2_based on steps'!$B$1:$AY$1,U$1)+SUMIFS('changes2_based on steps'!$B190:$U190,'changes2_based on steps'!$B$1:$U$1,U$1)</f>
        <v>0</v>
      </c>
      <c r="V190" s="179">
        <f>SUMIFS('recurring2_based on steps'!$B190:$AY190,'recurring2_based on steps'!$B$1:$AY$1,V$1)+SUMIFS('changes2_based on steps'!$B190:$U190,'changes2_based on steps'!$B$1:$U$1,V$1)</f>
        <v>0</v>
      </c>
      <c r="W190" s="179">
        <f>SUMIFS('recurring2_based on steps'!$B190:$AY190,'recurring2_based on steps'!$B$1:$AY$1,W$1)+SUMIFS('changes2_based on steps'!$B190:$U190,'changes2_based on steps'!$B$1:$U$1,W$1)</f>
        <v>0</v>
      </c>
      <c r="X190" s="179">
        <f>SUMIFS('recurring2_based on steps'!$B190:$AY190,'recurring2_based on steps'!$B$1:$AY$1,X$1)+SUMIFS('changes2_based on steps'!$B190:$U190,'changes2_based on steps'!$B$1:$U$1,X$1)</f>
        <v>0</v>
      </c>
      <c r="Y190" s="179">
        <f>SUMIFS('recurring2_based on steps'!$B190:$AY190,'recurring2_based on steps'!$B$1:$AY$1,Y$1)+SUMIFS('changes2_based on steps'!$B190:$U190,'changes2_based on steps'!$B$1:$U$1,Y$1)</f>
        <v>0</v>
      </c>
      <c r="Z190" s="179">
        <f>SUMIFS('recurring2_based on steps'!$B190:$AY190,'recurring2_based on steps'!$B$1:$AY$1,Z$1)+SUMIFS('changes2_based on steps'!$B190:$U190,'changes2_based on steps'!$B$1:$U$1,Z$1)</f>
        <v>0</v>
      </c>
      <c r="AA190" s="179">
        <f>SUMIFS('recurring2_based on steps'!$B190:$AY190,'recurring2_based on steps'!$B$1:$AY$1,AA$1)+SUMIFS('changes2_based on steps'!$B190:$U190,'changes2_based on steps'!$B$1:$U$1,AA$1)</f>
        <v>0</v>
      </c>
      <c r="AB190" s="179">
        <f>SUMIFS('recurring2_based on steps'!$B190:$AY190,'recurring2_based on steps'!$B$1:$AY$1,AB$1)+SUMIFS('changes2_based on steps'!$B190:$U190,'changes2_based on steps'!$B$1:$U$1,AB$1)</f>
        <v>0</v>
      </c>
      <c r="AC190" s="179">
        <f>SUMIFS('recurring2_based on steps'!$B190:$AY190,'recurring2_based on steps'!$B$1:$AY$1,AC$1)+SUMIFS('changes2_based on steps'!$B190:$U190,'changes2_based on steps'!$B$1:$U$1,AC$1)</f>
        <v>0</v>
      </c>
      <c r="AD190" s="179">
        <f>SUMIFS('recurring2_based on steps'!$B190:$AY190,'recurring2_based on steps'!$B$1:$AY$1,AD$1)+SUMIFS('changes2_based on steps'!$B190:$U190,'changes2_based on steps'!$B$1:$U$1,AD$1)</f>
        <v>0</v>
      </c>
      <c r="AE190" s="179">
        <f>SUMIFS('recurring2_based on steps'!$B190:$AY190,'recurring2_based on steps'!$B$1:$AY$1,AE$1)+SUMIFS('changes2_based on steps'!$B190:$U190,'changes2_based on steps'!$B$1:$U$1,AE$1)</f>
        <v>0</v>
      </c>
      <c r="AF190" s="179"/>
      <c r="AG190" s="179"/>
      <c r="AH190" s="179"/>
      <c r="AI190" s="179"/>
      <c r="AJ190" s="179"/>
      <c r="AK190" s="179"/>
      <c r="AL190" s="179"/>
      <c r="AM190" s="179"/>
    </row>
    <row r="191" spans="1:39" x14ac:dyDescent="0.2">
      <c r="A191" s="32">
        <f t="shared" ca="1" si="2"/>
        <v>45933</v>
      </c>
      <c r="B191" s="179">
        <f>SUMIFS('recurring2_based on steps'!$B191:$AY191,'recurring2_based on steps'!$B$1:$AY$1,B$1)+SUMIFS('changes2_based on steps'!$B191:$U191,'changes2_based on steps'!$B$1:$U$1,B$1)</f>
        <v>0</v>
      </c>
      <c r="C191" s="179">
        <f>SUMIFS('recurring2_based on steps'!$B191:$AY191,'recurring2_based on steps'!$B$1:$AY$1,C$1)+SUMIFS('changes2_based on steps'!$B191:$U191,'changes2_based on steps'!$B$1:$U$1,C$1)</f>
        <v>0</v>
      </c>
      <c r="D191" s="179">
        <f>SUMIFS('recurring2_based on steps'!$B191:$AY191,'recurring2_based on steps'!$B$1:$AY$1,D$1)+SUMIFS('changes2_based on steps'!$B191:$U191,'changes2_based on steps'!$B$1:$U$1,D$1)</f>
        <v>0</v>
      </c>
      <c r="E191" s="179">
        <f>SUMIFS('recurring2_based on steps'!$B191:$AY191,'recurring2_based on steps'!$B$1:$AY$1,E$1)+SUMIFS('changes2_based on steps'!$B191:$U191,'changes2_based on steps'!$B$1:$U$1,E$1)</f>
        <v>0</v>
      </c>
      <c r="F191" s="179">
        <f>SUMIFS('recurring2_based on steps'!$B191:$AY191,'recurring2_based on steps'!$B$1:$AY$1,F$1)+SUMIFS('changes2_based on steps'!$B191:$U191,'changes2_based on steps'!$B$1:$U$1,F$1)</f>
        <v>0</v>
      </c>
      <c r="G191" s="179">
        <f>SUMIFS('recurring2_based on steps'!$B191:$AY191,'recurring2_based on steps'!$B$1:$AY$1,G$1)+SUMIFS('changes2_based on steps'!$B191:$U191,'changes2_based on steps'!$B$1:$U$1,G$1)</f>
        <v>0</v>
      </c>
      <c r="H191" s="179">
        <f>SUMIFS('recurring2_based on steps'!$B191:$AY191,'recurring2_based on steps'!$B$1:$AY$1,H$1)+SUMIFS('changes2_based on steps'!$B191:$U191,'changes2_based on steps'!$B$1:$U$1,H$1)</f>
        <v>0</v>
      </c>
      <c r="I191" s="179">
        <f>SUMIFS('recurring2_based on steps'!$B191:$AY191,'recurring2_based on steps'!$B$1:$AY$1,I$1)+SUMIFS('changes2_based on steps'!$B191:$U191,'changes2_based on steps'!$B$1:$U$1,I$1)</f>
        <v>0</v>
      </c>
      <c r="J191" s="179">
        <f>SUMIFS('recurring2_based on steps'!$B191:$AY191,'recurring2_based on steps'!$B$1:$AY$1,J$1)+SUMIFS('changes2_based on steps'!$B191:$U191,'changes2_based on steps'!$B$1:$U$1,J$1)</f>
        <v>0</v>
      </c>
      <c r="K191" s="179">
        <f>SUMIFS('recurring2_based on steps'!$B191:$AY191,'recurring2_based on steps'!$B$1:$AY$1,K$1)+SUMIFS('changes2_based on steps'!$B191:$U191,'changes2_based on steps'!$B$1:$U$1,K$1)</f>
        <v>0</v>
      </c>
      <c r="L191" s="179">
        <f>SUMIFS('recurring2_based on steps'!$B191:$AY191,'recurring2_based on steps'!$B$1:$AY$1,L$1)+SUMIFS('changes2_based on steps'!$B191:$U191,'changes2_based on steps'!$B$1:$U$1,L$1)</f>
        <v>0</v>
      </c>
      <c r="M191" s="179">
        <f>SUMIFS('recurring2_based on steps'!$B191:$AY191,'recurring2_based on steps'!$B$1:$AY$1,M$1)+SUMIFS('changes2_based on steps'!$B191:$U191,'changes2_based on steps'!$B$1:$U$1,M$1)</f>
        <v>0</v>
      </c>
      <c r="N191" s="179">
        <f>SUMIFS('recurring2_based on steps'!$B191:$AY191,'recurring2_based on steps'!$B$1:$AY$1,N$1)+SUMIFS('changes2_based on steps'!$B191:$U191,'changes2_based on steps'!$B$1:$U$1,N$1)</f>
        <v>0</v>
      </c>
      <c r="O191" s="179">
        <f>SUMIFS('recurring2_based on steps'!$B191:$AY191,'recurring2_based on steps'!$B$1:$AY$1,O$1)+SUMIFS('changes2_based on steps'!$B191:$U191,'changes2_based on steps'!$B$1:$U$1,O$1)</f>
        <v>0</v>
      </c>
      <c r="P191" s="179">
        <f>SUMIFS('recurring2_based on steps'!$B191:$AY191,'recurring2_based on steps'!$B$1:$AY$1,P$1)+SUMIFS('changes2_based on steps'!$B191:$U191,'changes2_based on steps'!$B$1:$U$1,P$1)</f>
        <v>0</v>
      </c>
      <c r="Q191" s="179">
        <f>SUMIFS('recurring2_based on steps'!$B191:$AY191,'recurring2_based on steps'!$B$1:$AY$1,Q$1)+SUMIFS('changes2_based on steps'!$B191:$U191,'changes2_based on steps'!$B$1:$U$1,Q$1)</f>
        <v>0</v>
      </c>
      <c r="R191" s="179">
        <f>SUMIFS('recurring2_based on steps'!$B191:$AY191,'recurring2_based on steps'!$B$1:$AY$1,R$1)+SUMIFS('changes2_based on steps'!$B191:$U191,'changes2_based on steps'!$B$1:$U$1,R$1)</f>
        <v>0</v>
      </c>
      <c r="S191" s="179">
        <f>SUMIFS('recurring2_based on steps'!$B191:$AY191,'recurring2_based on steps'!$B$1:$AY$1,S$1)+SUMIFS('changes2_based on steps'!$B191:$U191,'changes2_based on steps'!$B$1:$U$1,S$1)</f>
        <v>0</v>
      </c>
      <c r="T191" s="179">
        <f>SUMIFS('recurring2_based on steps'!$B191:$AY191,'recurring2_based on steps'!$B$1:$AY$1,T$1)+SUMIFS('changes2_based on steps'!$B191:$U191,'changes2_based on steps'!$B$1:$U$1,T$1)</f>
        <v>0</v>
      </c>
      <c r="U191" s="179">
        <f>SUMIFS('recurring2_based on steps'!$B191:$AY191,'recurring2_based on steps'!$B$1:$AY$1,U$1)+SUMIFS('changes2_based on steps'!$B191:$U191,'changes2_based on steps'!$B$1:$U$1,U$1)</f>
        <v>0</v>
      </c>
      <c r="V191" s="179">
        <f>SUMIFS('recurring2_based on steps'!$B191:$AY191,'recurring2_based on steps'!$B$1:$AY$1,V$1)+SUMIFS('changes2_based on steps'!$B191:$U191,'changes2_based on steps'!$B$1:$U$1,V$1)</f>
        <v>0</v>
      </c>
      <c r="W191" s="179">
        <f>SUMIFS('recurring2_based on steps'!$B191:$AY191,'recurring2_based on steps'!$B$1:$AY$1,W$1)+SUMIFS('changes2_based on steps'!$B191:$U191,'changes2_based on steps'!$B$1:$U$1,W$1)</f>
        <v>0</v>
      </c>
      <c r="X191" s="179">
        <f>SUMIFS('recurring2_based on steps'!$B191:$AY191,'recurring2_based on steps'!$B$1:$AY$1,X$1)+SUMIFS('changes2_based on steps'!$B191:$U191,'changes2_based on steps'!$B$1:$U$1,X$1)</f>
        <v>0</v>
      </c>
      <c r="Y191" s="179">
        <f>SUMIFS('recurring2_based on steps'!$B191:$AY191,'recurring2_based on steps'!$B$1:$AY$1,Y$1)+SUMIFS('changes2_based on steps'!$B191:$U191,'changes2_based on steps'!$B$1:$U$1,Y$1)</f>
        <v>0</v>
      </c>
      <c r="Z191" s="179">
        <f>SUMIFS('recurring2_based on steps'!$B191:$AY191,'recurring2_based on steps'!$B$1:$AY$1,Z$1)+SUMIFS('changes2_based on steps'!$B191:$U191,'changes2_based on steps'!$B$1:$U$1,Z$1)</f>
        <v>0</v>
      </c>
      <c r="AA191" s="179">
        <f>SUMIFS('recurring2_based on steps'!$B191:$AY191,'recurring2_based on steps'!$B$1:$AY$1,AA$1)+SUMIFS('changes2_based on steps'!$B191:$U191,'changes2_based on steps'!$B$1:$U$1,AA$1)</f>
        <v>0</v>
      </c>
      <c r="AB191" s="179">
        <f>SUMIFS('recurring2_based on steps'!$B191:$AY191,'recurring2_based on steps'!$B$1:$AY$1,AB$1)+SUMIFS('changes2_based on steps'!$B191:$U191,'changes2_based on steps'!$B$1:$U$1,AB$1)</f>
        <v>0</v>
      </c>
      <c r="AC191" s="179">
        <f>SUMIFS('recurring2_based on steps'!$B191:$AY191,'recurring2_based on steps'!$B$1:$AY$1,AC$1)+SUMIFS('changes2_based on steps'!$B191:$U191,'changes2_based on steps'!$B$1:$U$1,AC$1)</f>
        <v>0</v>
      </c>
      <c r="AD191" s="179">
        <f>SUMIFS('recurring2_based on steps'!$B191:$AY191,'recurring2_based on steps'!$B$1:$AY$1,AD$1)+SUMIFS('changes2_based on steps'!$B191:$U191,'changes2_based on steps'!$B$1:$U$1,AD$1)</f>
        <v>0</v>
      </c>
      <c r="AE191" s="179">
        <f>SUMIFS('recurring2_based on steps'!$B191:$AY191,'recurring2_based on steps'!$B$1:$AY$1,AE$1)+SUMIFS('changes2_based on steps'!$B191:$U191,'changes2_based on steps'!$B$1:$U$1,AE$1)</f>
        <v>0</v>
      </c>
      <c r="AF191" s="179"/>
      <c r="AG191" s="179"/>
      <c r="AH191" s="179"/>
      <c r="AI191" s="179"/>
      <c r="AJ191" s="179"/>
      <c r="AK191" s="179"/>
      <c r="AL191" s="179"/>
      <c r="AM191" s="179"/>
    </row>
    <row r="192" spans="1:39" x14ac:dyDescent="0.2">
      <c r="A192" s="32">
        <f t="shared" ca="1" si="2"/>
        <v>45934</v>
      </c>
      <c r="B192" s="179">
        <f>SUMIFS('recurring2_based on steps'!$B192:$AY192,'recurring2_based on steps'!$B$1:$AY$1,B$1)+SUMIFS('changes2_based on steps'!$B192:$U192,'changes2_based on steps'!$B$1:$U$1,B$1)</f>
        <v>0</v>
      </c>
      <c r="C192" s="179">
        <f>SUMIFS('recurring2_based on steps'!$B192:$AY192,'recurring2_based on steps'!$B$1:$AY$1,C$1)+SUMIFS('changes2_based on steps'!$B192:$U192,'changes2_based on steps'!$B$1:$U$1,C$1)</f>
        <v>0</v>
      </c>
      <c r="D192" s="179">
        <f>SUMIFS('recurring2_based on steps'!$B192:$AY192,'recurring2_based on steps'!$B$1:$AY$1,D$1)+SUMIFS('changes2_based on steps'!$B192:$U192,'changes2_based on steps'!$B$1:$U$1,D$1)</f>
        <v>0</v>
      </c>
      <c r="E192" s="179">
        <f>SUMIFS('recurring2_based on steps'!$B192:$AY192,'recurring2_based on steps'!$B$1:$AY$1,E$1)+SUMIFS('changes2_based on steps'!$B192:$U192,'changes2_based on steps'!$B$1:$U$1,E$1)</f>
        <v>0</v>
      </c>
      <c r="F192" s="179">
        <f>SUMIFS('recurring2_based on steps'!$B192:$AY192,'recurring2_based on steps'!$B$1:$AY$1,F$1)+SUMIFS('changes2_based on steps'!$B192:$U192,'changes2_based on steps'!$B$1:$U$1,F$1)</f>
        <v>0</v>
      </c>
      <c r="G192" s="179">
        <f>SUMIFS('recurring2_based on steps'!$B192:$AY192,'recurring2_based on steps'!$B$1:$AY$1,G$1)+SUMIFS('changes2_based on steps'!$B192:$U192,'changes2_based on steps'!$B$1:$U$1,G$1)</f>
        <v>0</v>
      </c>
      <c r="H192" s="179">
        <f>SUMIFS('recurring2_based on steps'!$B192:$AY192,'recurring2_based on steps'!$B$1:$AY$1,H$1)+SUMIFS('changes2_based on steps'!$B192:$U192,'changes2_based on steps'!$B$1:$U$1,H$1)</f>
        <v>0</v>
      </c>
      <c r="I192" s="179">
        <f>SUMIFS('recurring2_based on steps'!$B192:$AY192,'recurring2_based on steps'!$B$1:$AY$1,I$1)+SUMIFS('changes2_based on steps'!$B192:$U192,'changes2_based on steps'!$B$1:$U$1,I$1)</f>
        <v>0</v>
      </c>
      <c r="J192" s="179">
        <f>SUMIFS('recurring2_based on steps'!$B192:$AY192,'recurring2_based on steps'!$B$1:$AY$1,J$1)+SUMIFS('changes2_based on steps'!$B192:$U192,'changes2_based on steps'!$B$1:$U$1,J$1)</f>
        <v>0</v>
      </c>
      <c r="K192" s="179">
        <f>SUMIFS('recurring2_based on steps'!$B192:$AY192,'recurring2_based on steps'!$B$1:$AY$1,K$1)+SUMIFS('changes2_based on steps'!$B192:$U192,'changes2_based on steps'!$B$1:$U$1,K$1)</f>
        <v>0</v>
      </c>
      <c r="L192" s="179">
        <f>SUMIFS('recurring2_based on steps'!$B192:$AY192,'recurring2_based on steps'!$B$1:$AY$1,L$1)+SUMIFS('changes2_based on steps'!$B192:$U192,'changes2_based on steps'!$B$1:$U$1,L$1)</f>
        <v>0</v>
      </c>
      <c r="M192" s="179">
        <f>SUMIFS('recurring2_based on steps'!$B192:$AY192,'recurring2_based on steps'!$B$1:$AY$1,M$1)+SUMIFS('changes2_based on steps'!$B192:$U192,'changes2_based on steps'!$B$1:$U$1,M$1)</f>
        <v>0</v>
      </c>
      <c r="N192" s="179">
        <f>SUMIFS('recurring2_based on steps'!$B192:$AY192,'recurring2_based on steps'!$B$1:$AY$1,N$1)+SUMIFS('changes2_based on steps'!$B192:$U192,'changes2_based on steps'!$B$1:$U$1,N$1)</f>
        <v>0</v>
      </c>
      <c r="O192" s="179">
        <f>SUMIFS('recurring2_based on steps'!$B192:$AY192,'recurring2_based on steps'!$B$1:$AY$1,O$1)+SUMIFS('changes2_based on steps'!$B192:$U192,'changes2_based on steps'!$B$1:$U$1,O$1)</f>
        <v>0</v>
      </c>
      <c r="P192" s="179">
        <f>SUMIFS('recurring2_based on steps'!$B192:$AY192,'recurring2_based on steps'!$B$1:$AY$1,P$1)+SUMIFS('changes2_based on steps'!$B192:$U192,'changes2_based on steps'!$B$1:$U$1,P$1)</f>
        <v>0</v>
      </c>
      <c r="Q192" s="179">
        <f>SUMIFS('recurring2_based on steps'!$B192:$AY192,'recurring2_based on steps'!$B$1:$AY$1,Q$1)+SUMIFS('changes2_based on steps'!$B192:$U192,'changes2_based on steps'!$B$1:$U$1,Q$1)</f>
        <v>0</v>
      </c>
      <c r="R192" s="179">
        <f>SUMIFS('recurring2_based on steps'!$B192:$AY192,'recurring2_based on steps'!$B$1:$AY$1,R$1)+SUMIFS('changes2_based on steps'!$B192:$U192,'changes2_based on steps'!$B$1:$U$1,R$1)</f>
        <v>0</v>
      </c>
      <c r="S192" s="179">
        <f>SUMIFS('recurring2_based on steps'!$B192:$AY192,'recurring2_based on steps'!$B$1:$AY$1,S$1)+SUMIFS('changes2_based on steps'!$B192:$U192,'changes2_based on steps'!$B$1:$U$1,S$1)</f>
        <v>0</v>
      </c>
      <c r="T192" s="179">
        <f>SUMIFS('recurring2_based on steps'!$B192:$AY192,'recurring2_based on steps'!$B$1:$AY$1,T$1)+SUMIFS('changes2_based on steps'!$B192:$U192,'changes2_based on steps'!$B$1:$U$1,T$1)</f>
        <v>0</v>
      </c>
      <c r="U192" s="179">
        <f>SUMIFS('recurring2_based on steps'!$B192:$AY192,'recurring2_based on steps'!$B$1:$AY$1,U$1)+SUMIFS('changes2_based on steps'!$B192:$U192,'changes2_based on steps'!$B$1:$U$1,U$1)</f>
        <v>0</v>
      </c>
      <c r="V192" s="179">
        <f>SUMIFS('recurring2_based on steps'!$B192:$AY192,'recurring2_based on steps'!$B$1:$AY$1,V$1)+SUMIFS('changes2_based on steps'!$B192:$U192,'changes2_based on steps'!$B$1:$U$1,V$1)</f>
        <v>0</v>
      </c>
      <c r="W192" s="179">
        <f>SUMIFS('recurring2_based on steps'!$B192:$AY192,'recurring2_based on steps'!$B$1:$AY$1,W$1)+SUMIFS('changes2_based on steps'!$B192:$U192,'changes2_based on steps'!$B$1:$U$1,W$1)</f>
        <v>0</v>
      </c>
      <c r="X192" s="179">
        <f>SUMIFS('recurring2_based on steps'!$B192:$AY192,'recurring2_based on steps'!$B$1:$AY$1,X$1)+SUMIFS('changes2_based on steps'!$B192:$U192,'changes2_based on steps'!$B$1:$U$1,X$1)</f>
        <v>0</v>
      </c>
      <c r="Y192" s="179">
        <f>SUMIFS('recurring2_based on steps'!$B192:$AY192,'recurring2_based on steps'!$B$1:$AY$1,Y$1)+SUMIFS('changes2_based on steps'!$B192:$U192,'changes2_based on steps'!$B$1:$U$1,Y$1)</f>
        <v>0</v>
      </c>
      <c r="Z192" s="179">
        <f>SUMIFS('recurring2_based on steps'!$B192:$AY192,'recurring2_based on steps'!$B$1:$AY$1,Z$1)+SUMIFS('changes2_based on steps'!$B192:$U192,'changes2_based on steps'!$B$1:$U$1,Z$1)</f>
        <v>0</v>
      </c>
      <c r="AA192" s="179">
        <f>SUMIFS('recurring2_based on steps'!$B192:$AY192,'recurring2_based on steps'!$B$1:$AY$1,AA$1)+SUMIFS('changes2_based on steps'!$B192:$U192,'changes2_based on steps'!$B$1:$U$1,AA$1)</f>
        <v>0</v>
      </c>
      <c r="AB192" s="179">
        <f>SUMIFS('recurring2_based on steps'!$B192:$AY192,'recurring2_based on steps'!$B$1:$AY$1,AB$1)+SUMIFS('changes2_based on steps'!$B192:$U192,'changes2_based on steps'!$B$1:$U$1,AB$1)</f>
        <v>0</v>
      </c>
      <c r="AC192" s="179">
        <f>SUMIFS('recurring2_based on steps'!$B192:$AY192,'recurring2_based on steps'!$B$1:$AY$1,AC$1)+SUMIFS('changes2_based on steps'!$B192:$U192,'changes2_based on steps'!$B$1:$U$1,AC$1)</f>
        <v>0</v>
      </c>
      <c r="AD192" s="179">
        <f>SUMIFS('recurring2_based on steps'!$B192:$AY192,'recurring2_based on steps'!$B$1:$AY$1,AD$1)+SUMIFS('changes2_based on steps'!$B192:$U192,'changes2_based on steps'!$B$1:$U$1,AD$1)</f>
        <v>0</v>
      </c>
      <c r="AE192" s="179">
        <f>SUMIFS('recurring2_based on steps'!$B192:$AY192,'recurring2_based on steps'!$B$1:$AY$1,AE$1)+SUMIFS('changes2_based on steps'!$B192:$U192,'changes2_based on steps'!$B$1:$U$1,AE$1)</f>
        <v>0</v>
      </c>
      <c r="AF192" s="179"/>
      <c r="AG192" s="179"/>
      <c r="AH192" s="179"/>
      <c r="AI192" s="179"/>
      <c r="AJ192" s="179"/>
      <c r="AK192" s="179"/>
      <c r="AL192" s="179"/>
      <c r="AM192" s="179"/>
    </row>
    <row r="193" spans="1:39" x14ac:dyDescent="0.2">
      <c r="A193" s="32">
        <f t="shared" ca="1" si="2"/>
        <v>45935</v>
      </c>
      <c r="B193" s="179">
        <f>SUMIFS('recurring2_based on steps'!$B193:$AY193,'recurring2_based on steps'!$B$1:$AY$1,B$1)+SUMIFS('changes2_based on steps'!$B193:$U193,'changes2_based on steps'!$B$1:$U$1,B$1)</f>
        <v>0</v>
      </c>
      <c r="C193" s="179">
        <f>SUMIFS('recurring2_based on steps'!$B193:$AY193,'recurring2_based on steps'!$B$1:$AY$1,C$1)+SUMIFS('changes2_based on steps'!$B193:$U193,'changes2_based on steps'!$B$1:$U$1,C$1)</f>
        <v>0</v>
      </c>
      <c r="D193" s="179">
        <f>SUMIFS('recurring2_based on steps'!$B193:$AY193,'recurring2_based on steps'!$B$1:$AY$1,D$1)+SUMIFS('changes2_based on steps'!$B193:$U193,'changes2_based on steps'!$B$1:$U$1,D$1)</f>
        <v>0</v>
      </c>
      <c r="E193" s="179">
        <f>SUMIFS('recurring2_based on steps'!$B193:$AY193,'recurring2_based on steps'!$B$1:$AY$1,E$1)+SUMIFS('changes2_based on steps'!$B193:$U193,'changes2_based on steps'!$B$1:$U$1,E$1)</f>
        <v>0</v>
      </c>
      <c r="F193" s="179">
        <f>SUMIFS('recurring2_based on steps'!$B193:$AY193,'recurring2_based on steps'!$B$1:$AY$1,F$1)+SUMIFS('changes2_based on steps'!$B193:$U193,'changes2_based on steps'!$B$1:$U$1,F$1)</f>
        <v>0</v>
      </c>
      <c r="G193" s="179">
        <f>SUMIFS('recurring2_based on steps'!$B193:$AY193,'recurring2_based on steps'!$B$1:$AY$1,G$1)+SUMIFS('changes2_based on steps'!$B193:$U193,'changes2_based on steps'!$B$1:$U$1,G$1)</f>
        <v>0</v>
      </c>
      <c r="H193" s="179">
        <f>SUMIFS('recurring2_based on steps'!$B193:$AY193,'recurring2_based on steps'!$B$1:$AY$1,H$1)+SUMIFS('changes2_based on steps'!$B193:$U193,'changes2_based on steps'!$B$1:$U$1,H$1)</f>
        <v>0</v>
      </c>
      <c r="I193" s="179">
        <f>SUMIFS('recurring2_based on steps'!$B193:$AY193,'recurring2_based on steps'!$B$1:$AY$1,I$1)+SUMIFS('changes2_based on steps'!$B193:$U193,'changes2_based on steps'!$B$1:$U$1,I$1)</f>
        <v>0</v>
      </c>
      <c r="J193" s="179">
        <f>SUMIFS('recurring2_based on steps'!$B193:$AY193,'recurring2_based on steps'!$B$1:$AY$1,J$1)+SUMIFS('changes2_based on steps'!$B193:$U193,'changes2_based on steps'!$B$1:$U$1,J$1)</f>
        <v>0</v>
      </c>
      <c r="K193" s="179">
        <f>SUMIFS('recurring2_based on steps'!$B193:$AY193,'recurring2_based on steps'!$B$1:$AY$1,K$1)+SUMIFS('changes2_based on steps'!$B193:$U193,'changes2_based on steps'!$B$1:$U$1,K$1)</f>
        <v>0</v>
      </c>
      <c r="L193" s="179">
        <f>SUMIFS('recurring2_based on steps'!$B193:$AY193,'recurring2_based on steps'!$B$1:$AY$1,L$1)+SUMIFS('changes2_based on steps'!$B193:$U193,'changes2_based on steps'!$B$1:$U$1,L$1)</f>
        <v>0</v>
      </c>
      <c r="M193" s="179">
        <f>SUMIFS('recurring2_based on steps'!$B193:$AY193,'recurring2_based on steps'!$B$1:$AY$1,M$1)+SUMIFS('changes2_based on steps'!$B193:$U193,'changes2_based on steps'!$B$1:$U$1,M$1)</f>
        <v>0</v>
      </c>
      <c r="N193" s="179">
        <f>SUMIFS('recurring2_based on steps'!$B193:$AY193,'recurring2_based on steps'!$B$1:$AY$1,N$1)+SUMIFS('changes2_based on steps'!$B193:$U193,'changes2_based on steps'!$B$1:$U$1,N$1)</f>
        <v>0</v>
      </c>
      <c r="O193" s="179">
        <f>SUMIFS('recurring2_based on steps'!$B193:$AY193,'recurring2_based on steps'!$B$1:$AY$1,O$1)+SUMIFS('changes2_based on steps'!$B193:$U193,'changes2_based on steps'!$B$1:$U$1,O$1)</f>
        <v>0</v>
      </c>
      <c r="P193" s="179">
        <f>SUMIFS('recurring2_based on steps'!$B193:$AY193,'recurring2_based on steps'!$B$1:$AY$1,P$1)+SUMIFS('changes2_based on steps'!$B193:$U193,'changes2_based on steps'!$B$1:$U$1,P$1)</f>
        <v>0</v>
      </c>
      <c r="Q193" s="179">
        <f>SUMIFS('recurring2_based on steps'!$B193:$AY193,'recurring2_based on steps'!$B$1:$AY$1,Q$1)+SUMIFS('changes2_based on steps'!$B193:$U193,'changes2_based on steps'!$B$1:$U$1,Q$1)</f>
        <v>0</v>
      </c>
      <c r="R193" s="179">
        <f>SUMIFS('recurring2_based on steps'!$B193:$AY193,'recurring2_based on steps'!$B$1:$AY$1,R$1)+SUMIFS('changes2_based on steps'!$B193:$U193,'changes2_based on steps'!$B$1:$U$1,R$1)</f>
        <v>0</v>
      </c>
      <c r="S193" s="179">
        <f>SUMIFS('recurring2_based on steps'!$B193:$AY193,'recurring2_based on steps'!$B$1:$AY$1,S$1)+SUMIFS('changes2_based on steps'!$B193:$U193,'changes2_based on steps'!$B$1:$U$1,S$1)</f>
        <v>0</v>
      </c>
      <c r="T193" s="179">
        <f>SUMIFS('recurring2_based on steps'!$B193:$AY193,'recurring2_based on steps'!$B$1:$AY$1,T$1)+SUMIFS('changes2_based on steps'!$B193:$U193,'changes2_based on steps'!$B$1:$U$1,T$1)</f>
        <v>0</v>
      </c>
      <c r="U193" s="179">
        <f>SUMIFS('recurring2_based on steps'!$B193:$AY193,'recurring2_based on steps'!$B$1:$AY$1,U$1)+SUMIFS('changes2_based on steps'!$B193:$U193,'changes2_based on steps'!$B$1:$U$1,U$1)</f>
        <v>0</v>
      </c>
      <c r="V193" s="179">
        <f>SUMIFS('recurring2_based on steps'!$B193:$AY193,'recurring2_based on steps'!$B$1:$AY$1,V$1)+SUMIFS('changes2_based on steps'!$B193:$U193,'changes2_based on steps'!$B$1:$U$1,V$1)</f>
        <v>0</v>
      </c>
      <c r="W193" s="179">
        <f>SUMIFS('recurring2_based on steps'!$B193:$AY193,'recurring2_based on steps'!$B$1:$AY$1,W$1)+SUMIFS('changes2_based on steps'!$B193:$U193,'changes2_based on steps'!$B$1:$U$1,W$1)</f>
        <v>0</v>
      </c>
      <c r="X193" s="179">
        <f>SUMIFS('recurring2_based on steps'!$B193:$AY193,'recurring2_based on steps'!$B$1:$AY$1,X$1)+SUMIFS('changes2_based on steps'!$B193:$U193,'changes2_based on steps'!$B$1:$U$1,X$1)</f>
        <v>0</v>
      </c>
      <c r="Y193" s="179">
        <f>SUMIFS('recurring2_based on steps'!$B193:$AY193,'recurring2_based on steps'!$B$1:$AY$1,Y$1)+SUMIFS('changes2_based on steps'!$B193:$U193,'changes2_based on steps'!$B$1:$U$1,Y$1)</f>
        <v>0</v>
      </c>
      <c r="Z193" s="179">
        <f>SUMIFS('recurring2_based on steps'!$B193:$AY193,'recurring2_based on steps'!$B$1:$AY$1,Z$1)+SUMIFS('changes2_based on steps'!$B193:$U193,'changes2_based on steps'!$B$1:$U$1,Z$1)</f>
        <v>0</v>
      </c>
      <c r="AA193" s="179">
        <f>SUMIFS('recurring2_based on steps'!$B193:$AY193,'recurring2_based on steps'!$B$1:$AY$1,AA$1)+SUMIFS('changes2_based on steps'!$B193:$U193,'changes2_based on steps'!$B$1:$U$1,AA$1)</f>
        <v>0</v>
      </c>
      <c r="AB193" s="179">
        <f>SUMIFS('recurring2_based on steps'!$B193:$AY193,'recurring2_based on steps'!$B$1:$AY$1,AB$1)+SUMIFS('changes2_based on steps'!$B193:$U193,'changes2_based on steps'!$B$1:$U$1,AB$1)</f>
        <v>0</v>
      </c>
      <c r="AC193" s="179">
        <f>SUMIFS('recurring2_based on steps'!$B193:$AY193,'recurring2_based on steps'!$B$1:$AY$1,AC$1)+SUMIFS('changes2_based on steps'!$B193:$U193,'changes2_based on steps'!$B$1:$U$1,AC$1)</f>
        <v>0</v>
      </c>
      <c r="AD193" s="179">
        <f>SUMIFS('recurring2_based on steps'!$B193:$AY193,'recurring2_based on steps'!$B$1:$AY$1,AD$1)+SUMIFS('changes2_based on steps'!$B193:$U193,'changes2_based on steps'!$B$1:$U$1,AD$1)</f>
        <v>0</v>
      </c>
      <c r="AE193" s="179">
        <f>SUMIFS('recurring2_based on steps'!$B193:$AY193,'recurring2_based on steps'!$B$1:$AY$1,AE$1)+SUMIFS('changes2_based on steps'!$B193:$U193,'changes2_based on steps'!$B$1:$U$1,AE$1)</f>
        <v>0</v>
      </c>
      <c r="AF193" s="179"/>
      <c r="AG193" s="179"/>
      <c r="AH193" s="179"/>
      <c r="AI193" s="179"/>
      <c r="AJ193" s="179"/>
      <c r="AK193" s="179"/>
      <c r="AL193" s="179"/>
      <c r="AM193" s="179"/>
    </row>
    <row r="194" spans="1:39" x14ac:dyDescent="0.2">
      <c r="A194" s="32">
        <f t="shared" ca="1" si="2"/>
        <v>45936</v>
      </c>
      <c r="B194" s="179">
        <f>SUMIFS('recurring2_based on steps'!$B194:$AY194,'recurring2_based on steps'!$B$1:$AY$1,B$1)+SUMIFS('changes2_based on steps'!$B194:$U194,'changes2_based on steps'!$B$1:$U$1,B$1)</f>
        <v>0</v>
      </c>
      <c r="C194" s="179">
        <f>SUMIFS('recurring2_based on steps'!$B194:$AY194,'recurring2_based on steps'!$B$1:$AY$1,C$1)+SUMIFS('changes2_based on steps'!$B194:$U194,'changes2_based on steps'!$B$1:$U$1,C$1)</f>
        <v>0</v>
      </c>
      <c r="D194" s="179">
        <f>SUMIFS('recurring2_based on steps'!$B194:$AY194,'recurring2_based on steps'!$B$1:$AY$1,D$1)+SUMIFS('changes2_based on steps'!$B194:$U194,'changes2_based on steps'!$B$1:$U$1,D$1)</f>
        <v>0</v>
      </c>
      <c r="E194" s="179">
        <f>SUMIFS('recurring2_based on steps'!$B194:$AY194,'recurring2_based on steps'!$B$1:$AY$1,E$1)+SUMIFS('changes2_based on steps'!$B194:$U194,'changes2_based on steps'!$B$1:$U$1,E$1)</f>
        <v>0</v>
      </c>
      <c r="F194" s="179">
        <f>SUMIFS('recurring2_based on steps'!$B194:$AY194,'recurring2_based on steps'!$B$1:$AY$1,F$1)+SUMIFS('changes2_based on steps'!$B194:$U194,'changes2_based on steps'!$B$1:$U$1,F$1)</f>
        <v>0</v>
      </c>
      <c r="G194" s="179">
        <f>SUMIFS('recurring2_based on steps'!$B194:$AY194,'recurring2_based on steps'!$B$1:$AY$1,G$1)+SUMIFS('changes2_based on steps'!$B194:$U194,'changes2_based on steps'!$B$1:$U$1,G$1)</f>
        <v>0</v>
      </c>
      <c r="H194" s="179">
        <f>SUMIFS('recurring2_based on steps'!$B194:$AY194,'recurring2_based on steps'!$B$1:$AY$1,H$1)+SUMIFS('changes2_based on steps'!$B194:$U194,'changes2_based on steps'!$B$1:$U$1,H$1)</f>
        <v>0</v>
      </c>
      <c r="I194" s="179">
        <f>SUMIFS('recurring2_based on steps'!$B194:$AY194,'recurring2_based on steps'!$B$1:$AY$1,I$1)+SUMIFS('changes2_based on steps'!$B194:$U194,'changes2_based on steps'!$B$1:$U$1,I$1)</f>
        <v>0</v>
      </c>
      <c r="J194" s="179">
        <f>SUMIFS('recurring2_based on steps'!$B194:$AY194,'recurring2_based on steps'!$B$1:$AY$1,J$1)+SUMIFS('changes2_based on steps'!$B194:$U194,'changes2_based on steps'!$B$1:$U$1,J$1)</f>
        <v>0</v>
      </c>
      <c r="K194" s="179">
        <f>SUMIFS('recurring2_based on steps'!$B194:$AY194,'recurring2_based on steps'!$B$1:$AY$1,K$1)+SUMIFS('changes2_based on steps'!$B194:$U194,'changes2_based on steps'!$B$1:$U$1,K$1)</f>
        <v>0</v>
      </c>
      <c r="L194" s="179">
        <f>SUMIFS('recurring2_based on steps'!$B194:$AY194,'recurring2_based on steps'!$B$1:$AY$1,L$1)+SUMIFS('changes2_based on steps'!$B194:$U194,'changes2_based on steps'!$B$1:$U$1,L$1)</f>
        <v>0</v>
      </c>
      <c r="M194" s="179">
        <f>SUMIFS('recurring2_based on steps'!$B194:$AY194,'recurring2_based on steps'!$B$1:$AY$1,M$1)+SUMIFS('changes2_based on steps'!$B194:$U194,'changes2_based on steps'!$B$1:$U$1,M$1)</f>
        <v>0</v>
      </c>
      <c r="N194" s="179">
        <f>SUMIFS('recurring2_based on steps'!$B194:$AY194,'recurring2_based on steps'!$B$1:$AY$1,N$1)+SUMIFS('changes2_based on steps'!$B194:$U194,'changes2_based on steps'!$B$1:$U$1,N$1)</f>
        <v>0</v>
      </c>
      <c r="O194" s="179">
        <f>SUMIFS('recurring2_based on steps'!$B194:$AY194,'recurring2_based on steps'!$B$1:$AY$1,O$1)+SUMIFS('changes2_based on steps'!$B194:$U194,'changes2_based on steps'!$B$1:$U$1,O$1)</f>
        <v>0</v>
      </c>
      <c r="P194" s="179">
        <f>SUMIFS('recurring2_based on steps'!$B194:$AY194,'recurring2_based on steps'!$B$1:$AY$1,P$1)+SUMIFS('changes2_based on steps'!$B194:$U194,'changes2_based on steps'!$B$1:$U$1,P$1)</f>
        <v>0</v>
      </c>
      <c r="Q194" s="179">
        <f>SUMIFS('recurring2_based on steps'!$B194:$AY194,'recurring2_based on steps'!$B$1:$AY$1,Q$1)+SUMIFS('changes2_based on steps'!$B194:$U194,'changes2_based on steps'!$B$1:$U$1,Q$1)</f>
        <v>0</v>
      </c>
      <c r="R194" s="179">
        <f>SUMIFS('recurring2_based on steps'!$B194:$AY194,'recurring2_based on steps'!$B$1:$AY$1,R$1)+SUMIFS('changes2_based on steps'!$B194:$U194,'changes2_based on steps'!$B$1:$U$1,R$1)</f>
        <v>0</v>
      </c>
      <c r="S194" s="179">
        <f>SUMIFS('recurring2_based on steps'!$B194:$AY194,'recurring2_based on steps'!$B$1:$AY$1,S$1)+SUMIFS('changes2_based on steps'!$B194:$U194,'changes2_based on steps'!$B$1:$U$1,S$1)</f>
        <v>0</v>
      </c>
      <c r="T194" s="179">
        <f>SUMIFS('recurring2_based on steps'!$B194:$AY194,'recurring2_based on steps'!$B$1:$AY$1,T$1)+SUMIFS('changes2_based on steps'!$B194:$U194,'changes2_based on steps'!$B$1:$U$1,T$1)</f>
        <v>0</v>
      </c>
      <c r="U194" s="179">
        <f>SUMIFS('recurring2_based on steps'!$B194:$AY194,'recurring2_based on steps'!$B$1:$AY$1,U$1)+SUMIFS('changes2_based on steps'!$B194:$U194,'changes2_based on steps'!$B$1:$U$1,U$1)</f>
        <v>0</v>
      </c>
      <c r="V194" s="179">
        <f>SUMIFS('recurring2_based on steps'!$B194:$AY194,'recurring2_based on steps'!$B$1:$AY$1,V$1)+SUMIFS('changes2_based on steps'!$B194:$U194,'changes2_based on steps'!$B$1:$U$1,V$1)</f>
        <v>0</v>
      </c>
      <c r="W194" s="179">
        <f>SUMIFS('recurring2_based on steps'!$B194:$AY194,'recurring2_based on steps'!$B$1:$AY$1,W$1)+SUMIFS('changes2_based on steps'!$B194:$U194,'changes2_based on steps'!$B$1:$U$1,W$1)</f>
        <v>0</v>
      </c>
      <c r="X194" s="179">
        <f>SUMIFS('recurring2_based on steps'!$B194:$AY194,'recurring2_based on steps'!$B$1:$AY$1,X$1)+SUMIFS('changes2_based on steps'!$B194:$U194,'changes2_based on steps'!$B$1:$U$1,X$1)</f>
        <v>0</v>
      </c>
      <c r="Y194" s="179">
        <f>SUMIFS('recurring2_based on steps'!$B194:$AY194,'recurring2_based on steps'!$B$1:$AY$1,Y$1)+SUMIFS('changes2_based on steps'!$B194:$U194,'changes2_based on steps'!$B$1:$U$1,Y$1)</f>
        <v>0</v>
      </c>
      <c r="Z194" s="179">
        <f>SUMIFS('recurring2_based on steps'!$B194:$AY194,'recurring2_based on steps'!$B$1:$AY$1,Z$1)+SUMIFS('changes2_based on steps'!$B194:$U194,'changes2_based on steps'!$B$1:$U$1,Z$1)</f>
        <v>0</v>
      </c>
      <c r="AA194" s="179">
        <f>SUMIFS('recurring2_based on steps'!$B194:$AY194,'recurring2_based on steps'!$B$1:$AY$1,AA$1)+SUMIFS('changes2_based on steps'!$B194:$U194,'changes2_based on steps'!$B$1:$U$1,AA$1)</f>
        <v>0</v>
      </c>
      <c r="AB194" s="179">
        <f>SUMIFS('recurring2_based on steps'!$B194:$AY194,'recurring2_based on steps'!$B$1:$AY$1,AB$1)+SUMIFS('changes2_based on steps'!$B194:$U194,'changes2_based on steps'!$B$1:$U$1,AB$1)</f>
        <v>0</v>
      </c>
      <c r="AC194" s="179">
        <f>SUMIFS('recurring2_based on steps'!$B194:$AY194,'recurring2_based on steps'!$B$1:$AY$1,AC$1)+SUMIFS('changes2_based on steps'!$B194:$U194,'changes2_based on steps'!$B$1:$U$1,AC$1)</f>
        <v>0</v>
      </c>
      <c r="AD194" s="179">
        <f>SUMIFS('recurring2_based on steps'!$B194:$AY194,'recurring2_based on steps'!$B$1:$AY$1,AD$1)+SUMIFS('changes2_based on steps'!$B194:$U194,'changes2_based on steps'!$B$1:$U$1,AD$1)</f>
        <v>0</v>
      </c>
      <c r="AE194" s="179">
        <f>SUMIFS('recurring2_based on steps'!$B194:$AY194,'recurring2_based on steps'!$B$1:$AY$1,AE$1)+SUMIFS('changes2_based on steps'!$B194:$U194,'changes2_based on steps'!$B$1:$U$1,AE$1)</f>
        <v>0</v>
      </c>
      <c r="AF194" s="179"/>
      <c r="AG194" s="179"/>
      <c r="AH194" s="179"/>
      <c r="AI194" s="179"/>
      <c r="AJ194" s="179"/>
      <c r="AK194" s="179"/>
      <c r="AL194" s="179"/>
      <c r="AM194" s="179"/>
    </row>
    <row r="195" spans="1:39" x14ac:dyDescent="0.2">
      <c r="A195" s="32">
        <f t="shared" ca="1" si="2"/>
        <v>45937</v>
      </c>
      <c r="B195" s="179">
        <f>SUMIFS('recurring2_based on steps'!$B195:$AY195,'recurring2_based on steps'!$B$1:$AY$1,B$1)+SUMIFS('changes2_based on steps'!$B195:$U195,'changes2_based on steps'!$B$1:$U$1,B$1)</f>
        <v>0</v>
      </c>
      <c r="C195" s="179">
        <f>SUMIFS('recurring2_based on steps'!$B195:$AY195,'recurring2_based on steps'!$B$1:$AY$1,C$1)+SUMIFS('changes2_based on steps'!$B195:$U195,'changes2_based on steps'!$B$1:$U$1,C$1)</f>
        <v>0</v>
      </c>
      <c r="D195" s="179">
        <f>SUMIFS('recurring2_based on steps'!$B195:$AY195,'recurring2_based on steps'!$B$1:$AY$1,D$1)+SUMIFS('changes2_based on steps'!$B195:$U195,'changes2_based on steps'!$B$1:$U$1,D$1)</f>
        <v>0</v>
      </c>
      <c r="E195" s="179">
        <f>SUMIFS('recurring2_based on steps'!$B195:$AY195,'recurring2_based on steps'!$B$1:$AY$1,E$1)+SUMIFS('changes2_based on steps'!$B195:$U195,'changes2_based on steps'!$B$1:$U$1,E$1)</f>
        <v>0</v>
      </c>
      <c r="F195" s="179">
        <f>SUMIFS('recurring2_based on steps'!$B195:$AY195,'recurring2_based on steps'!$B$1:$AY$1,F$1)+SUMIFS('changes2_based on steps'!$B195:$U195,'changes2_based on steps'!$B$1:$U$1,F$1)</f>
        <v>0</v>
      </c>
      <c r="G195" s="179">
        <f>SUMIFS('recurring2_based on steps'!$B195:$AY195,'recurring2_based on steps'!$B$1:$AY$1,G$1)+SUMIFS('changes2_based on steps'!$B195:$U195,'changes2_based on steps'!$B$1:$U$1,G$1)</f>
        <v>0</v>
      </c>
      <c r="H195" s="179">
        <f>SUMIFS('recurring2_based on steps'!$B195:$AY195,'recurring2_based on steps'!$B$1:$AY$1,H$1)+SUMIFS('changes2_based on steps'!$B195:$U195,'changes2_based on steps'!$B$1:$U$1,H$1)</f>
        <v>0</v>
      </c>
      <c r="I195" s="179">
        <f>SUMIFS('recurring2_based on steps'!$B195:$AY195,'recurring2_based on steps'!$B$1:$AY$1,I$1)+SUMIFS('changes2_based on steps'!$B195:$U195,'changes2_based on steps'!$B$1:$U$1,I$1)</f>
        <v>0</v>
      </c>
      <c r="J195" s="179">
        <f>SUMIFS('recurring2_based on steps'!$B195:$AY195,'recurring2_based on steps'!$B$1:$AY$1,J$1)+SUMIFS('changes2_based on steps'!$B195:$U195,'changes2_based on steps'!$B$1:$U$1,J$1)</f>
        <v>0</v>
      </c>
      <c r="K195" s="179">
        <f>SUMIFS('recurring2_based on steps'!$B195:$AY195,'recurring2_based on steps'!$B$1:$AY$1,K$1)+SUMIFS('changes2_based on steps'!$B195:$U195,'changes2_based on steps'!$B$1:$U$1,K$1)</f>
        <v>0</v>
      </c>
      <c r="L195" s="179">
        <f>SUMIFS('recurring2_based on steps'!$B195:$AY195,'recurring2_based on steps'!$B$1:$AY$1,L$1)+SUMIFS('changes2_based on steps'!$B195:$U195,'changes2_based on steps'!$B$1:$U$1,L$1)</f>
        <v>0</v>
      </c>
      <c r="M195" s="179">
        <f>SUMIFS('recurring2_based on steps'!$B195:$AY195,'recurring2_based on steps'!$B$1:$AY$1,M$1)+SUMIFS('changes2_based on steps'!$B195:$U195,'changes2_based on steps'!$B$1:$U$1,M$1)</f>
        <v>0</v>
      </c>
      <c r="N195" s="179">
        <f>SUMIFS('recurring2_based on steps'!$B195:$AY195,'recurring2_based on steps'!$B$1:$AY$1,N$1)+SUMIFS('changes2_based on steps'!$B195:$U195,'changes2_based on steps'!$B$1:$U$1,N$1)</f>
        <v>0</v>
      </c>
      <c r="O195" s="179">
        <f>SUMIFS('recurring2_based on steps'!$B195:$AY195,'recurring2_based on steps'!$B$1:$AY$1,O$1)+SUMIFS('changes2_based on steps'!$B195:$U195,'changes2_based on steps'!$B$1:$U$1,O$1)</f>
        <v>0</v>
      </c>
      <c r="P195" s="179">
        <f>SUMIFS('recurring2_based on steps'!$B195:$AY195,'recurring2_based on steps'!$B$1:$AY$1,P$1)+SUMIFS('changes2_based on steps'!$B195:$U195,'changes2_based on steps'!$B$1:$U$1,P$1)</f>
        <v>0</v>
      </c>
      <c r="Q195" s="179">
        <f>SUMIFS('recurring2_based on steps'!$B195:$AY195,'recurring2_based on steps'!$B$1:$AY$1,Q$1)+SUMIFS('changes2_based on steps'!$B195:$U195,'changes2_based on steps'!$B$1:$U$1,Q$1)</f>
        <v>0</v>
      </c>
      <c r="R195" s="179">
        <f>SUMIFS('recurring2_based on steps'!$B195:$AY195,'recurring2_based on steps'!$B$1:$AY$1,R$1)+SUMIFS('changes2_based on steps'!$B195:$U195,'changes2_based on steps'!$B$1:$U$1,R$1)</f>
        <v>0</v>
      </c>
      <c r="S195" s="179">
        <f>SUMIFS('recurring2_based on steps'!$B195:$AY195,'recurring2_based on steps'!$B$1:$AY$1,S$1)+SUMIFS('changes2_based on steps'!$B195:$U195,'changes2_based on steps'!$B$1:$U$1,S$1)</f>
        <v>0</v>
      </c>
      <c r="T195" s="179">
        <f>SUMIFS('recurring2_based on steps'!$B195:$AY195,'recurring2_based on steps'!$B$1:$AY$1,T$1)+SUMIFS('changes2_based on steps'!$B195:$U195,'changes2_based on steps'!$B$1:$U$1,T$1)</f>
        <v>0</v>
      </c>
      <c r="U195" s="179">
        <f>SUMIFS('recurring2_based on steps'!$B195:$AY195,'recurring2_based on steps'!$B$1:$AY$1,U$1)+SUMIFS('changes2_based on steps'!$B195:$U195,'changes2_based on steps'!$B$1:$U$1,U$1)</f>
        <v>0</v>
      </c>
      <c r="V195" s="179">
        <f>SUMIFS('recurring2_based on steps'!$B195:$AY195,'recurring2_based on steps'!$B$1:$AY$1,V$1)+SUMIFS('changes2_based on steps'!$B195:$U195,'changes2_based on steps'!$B$1:$U$1,V$1)</f>
        <v>0</v>
      </c>
      <c r="W195" s="179">
        <f>SUMIFS('recurring2_based on steps'!$B195:$AY195,'recurring2_based on steps'!$B$1:$AY$1,W$1)+SUMIFS('changes2_based on steps'!$B195:$U195,'changes2_based on steps'!$B$1:$U$1,W$1)</f>
        <v>0</v>
      </c>
      <c r="X195" s="179">
        <f>SUMIFS('recurring2_based on steps'!$B195:$AY195,'recurring2_based on steps'!$B$1:$AY$1,X$1)+SUMIFS('changes2_based on steps'!$B195:$U195,'changes2_based on steps'!$B$1:$U$1,X$1)</f>
        <v>0</v>
      </c>
      <c r="Y195" s="179">
        <f>SUMIFS('recurring2_based on steps'!$B195:$AY195,'recurring2_based on steps'!$B$1:$AY$1,Y$1)+SUMIFS('changes2_based on steps'!$B195:$U195,'changes2_based on steps'!$B$1:$U$1,Y$1)</f>
        <v>0</v>
      </c>
      <c r="Z195" s="179">
        <f>SUMIFS('recurring2_based on steps'!$B195:$AY195,'recurring2_based on steps'!$B$1:$AY$1,Z$1)+SUMIFS('changes2_based on steps'!$B195:$U195,'changes2_based on steps'!$B$1:$U$1,Z$1)</f>
        <v>0</v>
      </c>
      <c r="AA195" s="179">
        <f>SUMIFS('recurring2_based on steps'!$B195:$AY195,'recurring2_based on steps'!$B$1:$AY$1,AA$1)+SUMIFS('changes2_based on steps'!$B195:$U195,'changes2_based on steps'!$B$1:$U$1,AA$1)</f>
        <v>0</v>
      </c>
      <c r="AB195" s="179">
        <f>SUMIFS('recurring2_based on steps'!$B195:$AY195,'recurring2_based on steps'!$B$1:$AY$1,AB$1)+SUMIFS('changes2_based on steps'!$B195:$U195,'changes2_based on steps'!$B$1:$U$1,AB$1)</f>
        <v>0</v>
      </c>
      <c r="AC195" s="179">
        <f>SUMIFS('recurring2_based on steps'!$B195:$AY195,'recurring2_based on steps'!$B$1:$AY$1,AC$1)+SUMIFS('changes2_based on steps'!$B195:$U195,'changes2_based on steps'!$B$1:$U$1,AC$1)</f>
        <v>0</v>
      </c>
      <c r="AD195" s="179">
        <f>SUMIFS('recurring2_based on steps'!$B195:$AY195,'recurring2_based on steps'!$B$1:$AY$1,AD$1)+SUMIFS('changes2_based on steps'!$B195:$U195,'changes2_based on steps'!$B$1:$U$1,AD$1)</f>
        <v>0</v>
      </c>
      <c r="AE195" s="179">
        <f>SUMIFS('recurring2_based on steps'!$B195:$AY195,'recurring2_based on steps'!$B$1:$AY$1,AE$1)+SUMIFS('changes2_based on steps'!$B195:$U195,'changes2_based on steps'!$B$1:$U$1,AE$1)</f>
        <v>0</v>
      </c>
      <c r="AF195" s="179"/>
      <c r="AG195" s="179"/>
      <c r="AH195" s="179"/>
      <c r="AI195" s="179"/>
      <c r="AJ195" s="179"/>
      <c r="AK195" s="179"/>
      <c r="AL195" s="179"/>
      <c r="AM195" s="179"/>
    </row>
    <row r="196" spans="1:39" x14ac:dyDescent="0.2">
      <c r="A196" s="32">
        <f t="shared" ca="1" si="2"/>
        <v>45938</v>
      </c>
      <c r="B196" s="179">
        <f>SUMIFS('recurring2_based on steps'!$B196:$AY196,'recurring2_based on steps'!$B$1:$AY$1,B$1)+SUMIFS('changes2_based on steps'!$B196:$U196,'changes2_based on steps'!$B$1:$U$1,B$1)</f>
        <v>0</v>
      </c>
      <c r="C196" s="179">
        <f>SUMIFS('recurring2_based on steps'!$B196:$AY196,'recurring2_based on steps'!$B$1:$AY$1,C$1)+SUMIFS('changes2_based on steps'!$B196:$U196,'changes2_based on steps'!$B$1:$U$1,C$1)</f>
        <v>0</v>
      </c>
      <c r="D196" s="179">
        <f>SUMIFS('recurring2_based on steps'!$B196:$AY196,'recurring2_based on steps'!$B$1:$AY$1,D$1)+SUMIFS('changes2_based on steps'!$B196:$U196,'changes2_based on steps'!$B$1:$U$1,D$1)</f>
        <v>0</v>
      </c>
      <c r="E196" s="179">
        <f>SUMIFS('recurring2_based on steps'!$B196:$AY196,'recurring2_based on steps'!$B$1:$AY$1,E$1)+SUMIFS('changes2_based on steps'!$B196:$U196,'changes2_based on steps'!$B$1:$U$1,E$1)</f>
        <v>0</v>
      </c>
      <c r="F196" s="179">
        <f>SUMIFS('recurring2_based on steps'!$B196:$AY196,'recurring2_based on steps'!$B$1:$AY$1,F$1)+SUMIFS('changes2_based on steps'!$B196:$U196,'changes2_based on steps'!$B$1:$U$1,F$1)</f>
        <v>0</v>
      </c>
      <c r="G196" s="179">
        <f>SUMIFS('recurring2_based on steps'!$B196:$AY196,'recurring2_based on steps'!$B$1:$AY$1,G$1)+SUMIFS('changes2_based on steps'!$B196:$U196,'changes2_based on steps'!$B$1:$U$1,G$1)</f>
        <v>0</v>
      </c>
      <c r="H196" s="179">
        <f>SUMIFS('recurring2_based on steps'!$B196:$AY196,'recurring2_based on steps'!$B$1:$AY$1,H$1)+SUMIFS('changes2_based on steps'!$B196:$U196,'changes2_based on steps'!$B$1:$U$1,H$1)</f>
        <v>0</v>
      </c>
      <c r="I196" s="179">
        <f>SUMIFS('recurring2_based on steps'!$B196:$AY196,'recurring2_based on steps'!$B$1:$AY$1,I$1)+SUMIFS('changes2_based on steps'!$B196:$U196,'changes2_based on steps'!$B$1:$U$1,I$1)</f>
        <v>0</v>
      </c>
      <c r="J196" s="179">
        <f>SUMIFS('recurring2_based on steps'!$B196:$AY196,'recurring2_based on steps'!$B$1:$AY$1,J$1)+SUMIFS('changes2_based on steps'!$B196:$U196,'changes2_based on steps'!$B$1:$U$1,J$1)</f>
        <v>0</v>
      </c>
      <c r="K196" s="179">
        <f>SUMIFS('recurring2_based on steps'!$B196:$AY196,'recurring2_based on steps'!$B$1:$AY$1,K$1)+SUMIFS('changes2_based on steps'!$B196:$U196,'changes2_based on steps'!$B$1:$U$1,K$1)</f>
        <v>0</v>
      </c>
      <c r="L196" s="179">
        <f>SUMIFS('recurring2_based on steps'!$B196:$AY196,'recurring2_based on steps'!$B$1:$AY$1,L$1)+SUMIFS('changes2_based on steps'!$B196:$U196,'changes2_based on steps'!$B$1:$U$1,L$1)</f>
        <v>0</v>
      </c>
      <c r="M196" s="179">
        <f>SUMIFS('recurring2_based on steps'!$B196:$AY196,'recurring2_based on steps'!$B$1:$AY$1,M$1)+SUMIFS('changes2_based on steps'!$B196:$U196,'changes2_based on steps'!$B$1:$U$1,M$1)</f>
        <v>0</v>
      </c>
      <c r="N196" s="179">
        <f>SUMIFS('recurring2_based on steps'!$B196:$AY196,'recurring2_based on steps'!$B$1:$AY$1,N$1)+SUMIFS('changes2_based on steps'!$B196:$U196,'changes2_based on steps'!$B$1:$U$1,N$1)</f>
        <v>0</v>
      </c>
      <c r="O196" s="179">
        <f>SUMIFS('recurring2_based on steps'!$B196:$AY196,'recurring2_based on steps'!$B$1:$AY$1,O$1)+SUMIFS('changes2_based on steps'!$B196:$U196,'changes2_based on steps'!$B$1:$U$1,O$1)</f>
        <v>0</v>
      </c>
      <c r="P196" s="179">
        <f>SUMIFS('recurring2_based on steps'!$B196:$AY196,'recurring2_based on steps'!$B$1:$AY$1,P$1)+SUMIFS('changes2_based on steps'!$B196:$U196,'changes2_based on steps'!$B$1:$U$1,P$1)</f>
        <v>0</v>
      </c>
      <c r="Q196" s="179">
        <f>SUMIFS('recurring2_based on steps'!$B196:$AY196,'recurring2_based on steps'!$B$1:$AY$1,Q$1)+SUMIFS('changes2_based on steps'!$B196:$U196,'changes2_based on steps'!$B$1:$U$1,Q$1)</f>
        <v>0</v>
      </c>
      <c r="R196" s="179">
        <f>SUMIFS('recurring2_based on steps'!$B196:$AY196,'recurring2_based on steps'!$B$1:$AY$1,R$1)+SUMIFS('changes2_based on steps'!$B196:$U196,'changes2_based on steps'!$B$1:$U$1,R$1)</f>
        <v>0</v>
      </c>
      <c r="S196" s="179">
        <f>SUMIFS('recurring2_based on steps'!$B196:$AY196,'recurring2_based on steps'!$B$1:$AY$1,S$1)+SUMIFS('changes2_based on steps'!$B196:$U196,'changes2_based on steps'!$B$1:$U$1,S$1)</f>
        <v>0</v>
      </c>
      <c r="T196" s="179">
        <f>SUMIFS('recurring2_based on steps'!$B196:$AY196,'recurring2_based on steps'!$B$1:$AY$1,T$1)+SUMIFS('changes2_based on steps'!$B196:$U196,'changes2_based on steps'!$B$1:$U$1,T$1)</f>
        <v>0</v>
      </c>
      <c r="U196" s="179">
        <f>SUMIFS('recurring2_based on steps'!$B196:$AY196,'recurring2_based on steps'!$B$1:$AY$1,U$1)+SUMIFS('changes2_based on steps'!$B196:$U196,'changes2_based on steps'!$B$1:$U$1,U$1)</f>
        <v>0</v>
      </c>
      <c r="V196" s="179">
        <f>SUMIFS('recurring2_based on steps'!$B196:$AY196,'recurring2_based on steps'!$B$1:$AY$1,V$1)+SUMIFS('changes2_based on steps'!$B196:$U196,'changes2_based on steps'!$B$1:$U$1,V$1)</f>
        <v>0</v>
      </c>
      <c r="W196" s="179">
        <f>SUMIFS('recurring2_based on steps'!$B196:$AY196,'recurring2_based on steps'!$B$1:$AY$1,W$1)+SUMIFS('changes2_based on steps'!$B196:$U196,'changes2_based on steps'!$B$1:$U$1,W$1)</f>
        <v>0</v>
      </c>
      <c r="X196" s="179">
        <f>SUMIFS('recurring2_based on steps'!$B196:$AY196,'recurring2_based on steps'!$B$1:$AY$1,X$1)+SUMIFS('changes2_based on steps'!$B196:$U196,'changes2_based on steps'!$B$1:$U$1,X$1)</f>
        <v>0</v>
      </c>
      <c r="Y196" s="179">
        <f>SUMIFS('recurring2_based on steps'!$B196:$AY196,'recurring2_based on steps'!$B$1:$AY$1,Y$1)+SUMIFS('changes2_based on steps'!$B196:$U196,'changes2_based on steps'!$B$1:$U$1,Y$1)</f>
        <v>0</v>
      </c>
      <c r="Z196" s="179">
        <f>SUMIFS('recurring2_based on steps'!$B196:$AY196,'recurring2_based on steps'!$B$1:$AY$1,Z$1)+SUMIFS('changes2_based on steps'!$B196:$U196,'changes2_based on steps'!$B$1:$U$1,Z$1)</f>
        <v>0</v>
      </c>
      <c r="AA196" s="179">
        <f>SUMIFS('recurring2_based on steps'!$B196:$AY196,'recurring2_based on steps'!$B$1:$AY$1,AA$1)+SUMIFS('changes2_based on steps'!$B196:$U196,'changes2_based on steps'!$B$1:$U$1,AA$1)</f>
        <v>0</v>
      </c>
      <c r="AB196" s="179">
        <f>SUMIFS('recurring2_based on steps'!$B196:$AY196,'recurring2_based on steps'!$B$1:$AY$1,AB$1)+SUMIFS('changes2_based on steps'!$B196:$U196,'changes2_based on steps'!$B$1:$U$1,AB$1)</f>
        <v>0</v>
      </c>
      <c r="AC196" s="179">
        <f>SUMIFS('recurring2_based on steps'!$B196:$AY196,'recurring2_based on steps'!$B$1:$AY$1,AC$1)+SUMIFS('changes2_based on steps'!$B196:$U196,'changes2_based on steps'!$B$1:$U$1,AC$1)</f>
        <v>0</v>
      </c>
      <c r="AD196" s="179">
        <f>SUMIFS('recurring2_based on steps'!$B196:$AY196,'recurring2_based on steps'!$B$1:$AY$1,AD$1)+SUMIFS('changes2_based on steps'!$B196:$U196,'changes2_based on steps'!$B$1:$U$1,AD$1)</f>
        <v>0</v>
      </c>
      <c r="AE196" s="179">
        <f>SUMIFS('recurring2_based on steps'!$B196:$AY196,'recurring2_based on steps'!$B$1:$AY$1,AE$1)+SUMIFS('changes2_based on steps'!$B196:$U196,'changes2_based on steps'!$B$1:$U$1,AE$1)</f>
        <v>0</v>
      </c>
      <c r="AF196" s="179"/>
      <c r="AG196" s="179"/>
      <c r="AH196" s="179"/>
      <c r="AI196" s="179"/>
      <c r="AJ196" s="179"/>
      <c r="AK196" s="179"/>
      <c r="AL196" s="179"/>
      <c r="AM196" s="179"/>
    </row>
    <row r="197" spans="1:39" x14ac:dyDescent="0.2">
      <c r="A197" s="32">
        <f t="shared" ref="A197:A260" ca="1" si="3">A196+1</f>
        <v>45939</v>
      </c>
      <c r="B197" s="179">
        <f>SUMIFS('recurring2_based on steps'!$B197:$AY197,'recurring2_based on steps'!$B$1:$AY$1,B$1)+SUMIFS('changes2_based on steps'!$B197:$U197,'changes2_based on steps'!$B$1:$U$1,B$1)</f>
        <v>0</v>
      </c>
      <c r="C197" s="179">
        <f>SUMIFS('recurring2_based on steps'!$B197:$AY197,'recurring2_based on steps'!$B$1:$AY$1,C$1)+SUMIFS('changes2_based on steps'!$B197:$U197,'changes2_based on steps'!$B$1:$U$1,C$1)</f>
        <v>0</v>
      </c>
      <c r="D197" s="179">
        <f>SUMIFS('recurring2_based on steps'!$B197:$AY197,'recurring2_based on steps'!$B$1:$AY$1,D$1)+SUMIFS('changes2_based on steps'!$B197:$U197,'changes2_based on steps'!$B$1:$U$1,D$1)</f>
        <v>0</v>
      </c>
      <c r="E197" s="179">
        <f>SUMIFS('recurring2_based on steps'!$B197:$AY197,'recurring2_based on steps'!$B$1:$AY$1,E$1)+SUMIFS('changes2_based on steps'!$B197:$U197,'changes2_based on steps'!$B$1:$U$1,E$1)</f>
        <v>0</v>
      </c>
      <c r="F197" s="179">
        <f>SUMIFS('recurring2_based on steps'!$B197:$AY197,'recurring2_based on steps'!$B$1:$AY$1,F$1)+SUMIFS('changes2_based on steps'!$B197:$U197,'changes2_based on steps'!$B$1:$U$1,F$1)</f>
        <v>0</v>
      </c>
      <c r="G197" s="179">
        <f>SUMIFS('recurring2_based on steps'!$B197:$AY197,'recurring2_based on steps'!$B$1:$AY$1,G$1)+SUMIFS('changes2_based on steps'!$B197:$U197,'changes2_based on steps'!$B$1:$U$1,G$1)</f>
        <v>0</v>
      </c>
      <c r="H197" s="179">
        <f>SUMIFS('recurring2_based on steps'!$B197:$AY197,'recurring2_based on steps'!$B$1:$AY$1,H$1)+SUMIFS('changes2_based on steps'!$B197:$U197,'changes2_based on steps'!$B$1:$U$1,H$1)</f>
        <v>0</v>
      </c>
      <c r="I197" s="179">
        <f>SUMIFS('recurring2_based on steps'!$B197:$AY197,'recurring2_based on steps'!$B$1:$AY$1,I$1)+SUMIFS('changes2_based on steps'!$B197:$U197,'changes2_based on steps'!$B$1:$U$1,I$1)</f>
        <v>0</v>
      </c>
      <c r="J197" s="179">
        <f>SUMIFS('recurring2_based on steps'!$B197:$AY197,'recurring2_based on steps'!$B$1:$AY$1,J$1)+SUMIFS('changes2_based on steps'!$B197:$U197,'changes2_based on steps'!$B$1:$U$1,J$1)</f>
        <v>0</v>
      </c>
      <c r="K197" s="179">
        <f>SUMIFS('recurring2_based on steps'!$B197:$AY197,'recurring2_based on steps'!$B$1:$AY$1,K$1)+SUMIFS('changes2_based on steps'!$B197:$U197,'changes2_based on steps'!$B$1:$U$1,K$1)</f>
        <v>0</v>
      </c>
      <c r="L197" s="179">
        <f>SUMIFS('recurring2_based on steps'!$B197:$AY197,'recurring2_based on steps'!$B$1:$AY$1,L$1)+SUMIFS('changes2_based on steps'!$B197:$U197,'changes2_based on steps'!$B$1:$U$1,L$1)</f>
        <v>0</v>
      </c>
      <c r="M197" s="179">
        <f>SUMIFS('recurring2_based on steps'!$B197:$AY197,'recurring2_based on steps'!$B$1:$AY$1,M$1)+SUMIFS('changes2_based on steps'!$B197:$U197,'changes2_based on steps'!$B$1:$U$1,M$1)</f>
        <v>0</v>
      </c>
      <c r="N197" s="179">
        <f>SUMIFS('recurring2_based on steps'!$B197:$AY197,'recurring2_based on steps'!$B$1:$AY$1,N$1)+SUMIFS('changes2_based on steps'!$B197:$U197,'changes2_based on steps'!$B$1:$U$1,N$1)</f>
        <v>0</v>
      </c>
      <c r="O197" s="179">
        <f>SUMIFS('recurring2_based on steps'!$B197:$AY197,'recurring2_based on steps'!$B$1:$AY$1,O$1)+SUMIFS('changes2_based on steps'!$B197:$U197,'changes2_based on steps'!$B$1:$U$1,O$1)</f>
        <v>0</v>
      </c>
      <c r="P197" s="179">
        <f>SUMIFS('recurring2_based on steps'!$B197:$AY197,'recurring2_based on steps'!$B$1:$AY$1,P$1)+SUMIFS('changes2_based on steps'!$B197:$U197,'changes2_based on steps'!$B$1:$U$1,P$1)</f>
        <v>0</v>
      </c>
      <c r="Q197" s="179">
        <f>SUMIFS('recurring2_based on steps'!$B197:$AY197,'recurring2_based on steps'!$B$1:$AY$1,Q$1)+SUMIFS('changes2_based on steps'!$B197:$U197,'changes2_based on steps'!$B$1:$U$1,Q$1)</f>
        <v>0</v>
      </c>
      <c r="R197" s="179">
        <f>SUMIFS('recurring2_based on steps'!$B197:$AY197,'recurring2_based on steps'!$B$1:$AY$1,R$1)+SUMIFS('changes2_based on steps'!$B197:$U197,'changes2_based on steps'!$B$1:$U$1,R$1)</f>
        <v>0</v>
      </c>
      <c r="S197" s="179">
        <f>SUMIFS('recurring2_based on steps'!$B197:$AY197,'recurring2_based on steps'!$B$1:$AY$1,S$1)+SUMIFS('changes2_based on steps'!$B197:$U197,'changes2_based on steps'!$B$1:$U$1,S$1)</f>
        <v>0</v>
      </c>
      <c r="T197" s="179">
        <f>SUMIFS('recurring2_based on steps'!$B197:$AY197,'recurring2_based on steps'!$B$1:$AY$1,T$1)+SUMIFS('changes2_based on steps'!$B197:$U197,'changes2_based on steps'!$B$1:$U$1,T$1)</f>
        <v>0</v>
      </c>
      <c r="U197" s="179">
        <f>SUMIFS('recurring2_based on steps'!$B197:$AY197,'recurring2_based on steps'!$B$1:$AY$1,U$1)+SUMIFS('changes2_based on steps'!$B197:$U197,'changes2_based on steps'!$B$1:$U$1,U$1)</f>
        <v>0</v>
      </c>
      <c r="V197" s="179">
        <f>SUMIFS('recurring2_based on steps'!$B197:$AY197,'recurring2_based on steps'!$B$1:$AY$1,V$1)+SUMIFS('changes2_based on steps'!$B197:$U197,'changes2_based on steps'!$B$1:$U$1,V$1)</f>
        <v>0</v>
      </c>
      <c r="W197" s="179">
        <f>SUMIFS('recurring2_based on steps'!$B197:$AY197,'recurring2_based on steps'!$B$1:$AY$1,W$1)+SUMIFS('changes2_based on steps'!$B197:$U197,'changes2_based on steps'!$B$1:$U$1,W$1)</f>
        <v>0</v>
      </c>
      <c r="X197" s="179">
        <f>SUMIFS('recurring2_based on steps'!$B197:$AY197,'recurring2_based on steps'!$B$1:$AY$1,X$1)+SUMIFS('changes2_based on steps'!$B197:$U197,'changes2_based on steps'!$B$1:$U$1,X$1)</f>
        <v>0</v>
      </c>
      <c r="Y197" s="179">
        <f>SUMIFS('recurring2_based on steps'!$B197:$AY197,'recurring2_based on steps'!$B$1:$AY$1,Y$1)+SUMIFS('changes2_based on steps'!$B197:$U197,'changes2_based on steps'!$B$1:$U$1,Y$1)</f>
        <v>0</v>
      </c>
      <c r="Z197" s="179">
        <f>SUMIFS('recurring2_based on steps'!$B197:$AY197,'recurring2_based on steps'!$B$1:$AY$1,Z$1)+SUMIFS('changes2_based on steps'!$B197:$U197,'changes2_based on steps'!$B$1:$U$1,Z$1)</f>
        <v>0</v>
      </c>
      <c r="AA197" s="179">
        <f>SUMIFS('recurring2_based on steps'!$B197:$AY197,'recurring2_based on steps'!$B$1:$AY$1,AA$1)+SUMIFS('changes2_based on steps'!$B197:$U197,'changes2_based on steps'!$B$1:$U$1,AA$1)</f>
        <v>0</v>
      </c>
      <c r="AB197" s="179">
        <f>SUMIFS('recurring2_based on steps'!$B197:$AY197,'recurring2_based on steps'!$B$1:$AY$1,AB$1)+SUMIFS('changes2_based on steps'!$B197:$U197,'changes2_based on steps'!$B$1:$U$1,AB$1)</f>
        <v>0</v>
      </c>
      <c r="AC197" s="179">
        <f>SUMIFS('recurring2_based on steps'!$B197:$AY197,'recurring2_based on steps'!$B$1:$AY$1,AC$1)+SUMIFS('changes2_based on steps'!$B197:$U197,'changes2_based on steps'!$B$1:$U$1,AC$1)</f>
        <v>0</v>
      </c>
      <c r="AD197" s="179">
        <f>SUMIFS('recurring2_based on steps'!$B197:$AY197,'recurring2_based on steps'!$B$1:$AY$1,AD$1)+SUMIFS('changes2_based on steps'!$B197:$U197,'changes2_based on steps'!$B$1:$U$1,AD$1)</f>
        <v>0</v>
      </c>
      <c r="AE197" s="179">
        <f>SUMIFS('recurring2_based on steps'!$B197:$AY197,'recurring2_based on steps'!$B$1:$AY$1,AE$1)+SUMIFS('changes2_based on steps'!$B197:$U197,'changes2_based on steps'!$B$1:$U$1,AE$1)</f>
        <v>0</v>
      </c>
      <c r="AF197" s="179"/>
      <c r="AG197" s="179"/>
      <c r="AH197" s="179"/>
      <c r="AI197" s="179"/>
      <c r="AJ197" s="179"/>
      <c r="AK197" s="179"/>
      <c r="AL197" s="179"/>
      <c r="AM197" s="179"/>
    </row>
    <row r="198" spans="1:39" x14ac:dyDescent="0.2">
      <c r="A198" s="32">
        <f t="shared" ca="1" si="3"/>
        <v>45940</v>
      </c>
      <c r="B198" s="179">
        <f>SUMIFS('recurring2_based on steps'!$B198:$AY198,'recurring2_based on steps'!$B$1:$AY$1,B$1)+SUMIFS('changes2_based on steps'!$B198:$U198,'changes2_based on steps'!$B$1:$U$1,B$1)</f>
        <v>0</v>
      </c>
      <c r="C198" s="179">
        <f>SUMIFS('recurring2_based on steps'!$B198:$AY198,'recurring2_based on steps'!$B$1:$AY$1,C$1)+SUMIFS('changes2_based on steps'!$B198:$U198,'changes2_based on steps'!$B$1:$U$1,C$1)</f>
        <v>0</v>
      </c>
      <c r="D198" s="179">
        <f>SUMIFS('recurring2_based on steps'!$B198:$AY198,'recurring2_based on steps'!$B$1:$AY$1,D$1)+SUMIFS('changes2_based on steps'!$B198:$U198,'changes2_based on steps'!$B$1:$U$1,D$1)</f>
        <v>0</v>
      </c>
      <c r="E198" s="179">
        <f>SUMIFS('recurring2_based on steps'!$B198:$AY198,'recurring2_based on steps'!$B$1:$AY$1,E$1)+SUMIFS('changes2_based on steps'!$B198:$U198,'changes2_based on steps'!$B$1:$U$1,E$1)</f>
        <v>0</v>
      </c>
      <c r="F198" s="179">
        <f>SUMIFS('recurring2_based on steps'!$B198:$AY198,'recurring2_based on steps'!$B$1:$AY$1,F$1)+SUMIFS('changes2_based on steps'!$B198:$U198,'changes2_based on steps'!$B$1:$U$1,F$1)</f>
        <v>0</v>
      </c>
      <c r="G198" s="179">
        <f>SUMIFS('recurring2_based on steps'!$B198:$AY198,'recurring2_based on steps'!$B$1:$AY$1,G$1)+SUMIFS('changes2_based on steps'!$B198:$U198,'changes2_based on steps'!$B$1:$U$1,G$1)</f>
        <v>0</v>
      </c>
      <c r="H198" s="179">
        <f>SUMIFS('recurring2_based on steps'!$B198:$AY198,'recurring2_based on steps'!$B$1:$AY$1,H$1)+SUMIFS('changes2_based on steps'!$B198:$U198,'changes2_based on steps'!$B$1:$U$1,H$1)</f>
        <v>0</v>
      </c>
      <c r="I198" s="179">
        <f>SUMIFS('recurring2_based on steps'!$B198:$AY198,'recurring2_based on steps'!$B$1:$AY$1,I$1)+SUMIFS('changes2_based on steps'!$B198:$U198,'changes2_based on steps'!$B$1:$U$1,I$1)</f>
        <v>0</v>
      </c>
      <c r="J198" s="179">
        <f>SUMIFS('recurring2_based on steps'!$B198:$AY198,'recurring2_based on steps'!$B$1:$AY$1,J$1)+SUMIFS('changes2_based on steps'!$B198:$U198,'changes2_based on steps'!$B$1:$U$1,J$1)</f>
        <v>0</v>
      </c>
      <c r="K198" s="179">
        <f>SUMIFS('recurring2_based on steps'!$B198:$AY198,'recurring2_based on steps'!$B$1:$AY$1,K$1)+SUMIFS('changes2_based on steps'!$B198:$U198,'changes2_based on steps'!$B$1:$U$1,K$1)</f>
        <v>0</v>
      </c>
      <c r="L198" s="179">
        <f>SUMIFS('recurring2_based on steps'!$B198:$AY198,'recurring2_based on steps'!$B$1:$AY$1,L$1)+SUMIFS('changes2_based on steps'!$B198:$U198,'changes2_based on steps'!$B$1:$U$1,L$1)</f>
        <v>0</v>
      </c>
      <c r="M198" s="179">
        <f>SUMIFS('recurring2_based on steps'!$B198:$AY198,'recurring2_based on steps'!$B$1:$AY$1,M$1)+SUMIFS('changes2_based on steps'!$B198:$U198,'changes2_based on steps'!$B$1:$U$1,M$1)</f>
        <v>0</v>
      </c>
      <c r="N198" s="179">
        <f>SUMIFS('recurring2_based on steps'!$B198:$AY198,'recurring2_based on steps'!$B$1:$AY$1,N$1)+SUMIFS('changes2_based on steps'!$B198:$U198,'changes2_based on steps'!$B$1:$U$1,N$1)</f>
        <v>0</v>
      </c>
      <c r="O198" s="179">
        <f>SUMIFS('recurring2_based on steps'!$B198:$AY198,'recurring2_based on steps'!$B$1:$AY$1,O$1)+SUMIFS('changes2_based on steps'!$B198:$U198,'changes2_based on steps'!$B$1:$U$1,O$1)</f>
        <v>0</v>
      </c>
      <c r="P198" s="179">
        <f>SUMIFS('recurring2_based on steps'!$B198:$AY198,'recurring2_based on steps'!$B$1:$AY$1,P$1)+SUMIFS('changes2_based on steps'!$B198:$U198,'changes2_based on steps'!$B$1:$U$1,P$1)</f>
        <v>0</v>
      </c>
      <c r="Q198" s="179">
        <f>SUMIFS('recurring2_based on steps'!$B198:$AY198,'recurring2_based on steps'!$B$1:$AY$1,Q$1)+SUMIFS('changes2_based on steps'!$B198:$U198,'changes2_based on steps'!$B$1:$U$1,Q$1)</f>
        <v>0</v>
      </c>
      <c r="R198" s="179">
        <f>SUMIFS('recurring2_based on steps'!$B198:$AY198,'recurring2_based on steps'!$B$1:$AY$1,R$1)+SUMIFS('changes2_based on steps'!$B198:$U198,'changes2_based on steps'!$B$1:$U$1,R$1)</f>
        <v>0</v>
      </c>
      <c r="S198" s="179">
        <f>SUMIFS('recurring2_based on steps'!$B198:$AY198,'recurring2_based on steps'!$B$1:$AY$1,S$1)+SUMIFS('changes2_based on steps'!$B198:$U198,'changes2_based on steps'!$B$1:$U$1,S$1)</f>
        <v>0</v>
      </c>
      <c r="T198" s="179">
        <f>SUMIFS('recurring2_based on steps'!$B198:$AY198,'recurring2_based on steps'!$B$1:$AY$1,T$1)+SUMIFS('changes2_based on steps'!$B198:$U198,'changes2_based on steps'!$B$1:$U$1,T$1)</f>
        <v>0</v>
      </c>
      <c r="U198" s="179">
        <f>SUMIFS('recurring2_based on steps'!$B198:$AY198,'recurring2_based on steps'!$B$1:$AY$1,U$1)+SUMIFS('changes2_based on steps'!$B198:$U198,'changes2_based on steps'!$B$1:$U$1,U$1)</f>
        <v>0</v>
      </c>
      <c r="V198" s="179">
        <f>SUMIFS('recurring2_based on steps'!$B198:$AY198,'recurring2_based on steps'!$B$1:$AY$1,V$1)+SUMIFS('changes2_based on steps'!$B198:$U198,'changes2_based on steps'!$B$1:$U$1,V$1)</f>
        <v>0</v>
      </c>
      <c r="W198" s="179">
        <f>SUMIFS('recurring2_based on steps'!$B198:$AY198,'recurring2_based on steps'!$B$1:$AY$1,W$1)+SUMIFS('changes2_based on steps'!$B198:$U198,'changes2_based on steps'!$B$1:$U$1,W$1)</f>
        <v>0</v>
      </c>
      <c r="X198" s="179">
        <f>SUMIFS('recurring2_based on steps'!$B198:$AY198,'recurring2_based on steps'!$B$1:$AY$1,X$1)+SUMIFS('changes2_based on steps'!$B198:$U198,'changes2_based on steps'!$B$1:$U$1,X$1)</f>
        <v>0</v>
      </c>
      <c r="Y198" s="179">
        <f>SUMIFS('recurring2_based on steps'!$B198:$AY198,'recurring2_based on steps'!$B$1:$AY$1,Y$1)+SUMIFS('changes2_based on steps'!$B198:$U198,'changes2_based on steps'!$B$1:$U$1,Y$1)</f>
        <v>0</v>
      </c>
      <c r="Z198" s="179">
        <f>SUMIFS('recurring2_based on steps'!$B198:$AY198,'recurring2_based on steps'!$B$1:$AY$1,Z$1)+SUMIFS('changes2_based on steps'!$B198:$U198,'changes2_based on steps'!$B$1:$U$1,Z$1)</f>
        <v>0</v>
      </c>
      <c r="AA198" s="179">
        <f>SUMIFS('recurring2_based on steps'!$B198:$AY198,'recurring2_based on steps'!$B$1:$AY$1,AA$1)+SUMIFS('changes2_based on steps'!$B198:$U198,'changes2_based on steps'!$B$1:$U$1,AA$1)</f>
        <v>0</v>
      </c>
      <c r="AB198" s="179">
        <f>SUMIFS('recurring2_based on steps'!$B198:$AY198,'recurring2_based on steps'!$B$1:$AY$1,AB$1)+SUMIFS('changes2_based on steps'!$B198:$U198,'changes2_based on steps'!$B$1:$U$1,AB$1)</f>
        <v>0</v>
      </c>
      <c r="AC198" s="179">
        <f>SUMIFS('recurring2_based on steps'!$B198:$AY198,'recurring2_based on steps'!$B$1:$AY$1,AC$1)+SUMIFS('changes2_based on steps'!$B198:$U198,'changes2_based on steps'!$B$1:$U$1,AC$1)</f>
        <v>0</v>
      </c>
      <c r="AD198" s="179">
        <f>SUMIFS('recurring2_based on steps'!$B198:$AY198,'recurring2_based on steps'!$B$1:$AY$1,AD$1)+SUMIFS('changes2_based on steps'!$B198:$U198,'changes2_based on steps'!$B$1:$U$1,AD$1)</f>
        <v>0</v>
      </c>
      <c r="AE198" s="179">
        <f>SUMIFS('recurring2_based on steps'!$B198:$AY198,'recurring2_based on steps'!$B$1:$AY$1,AE$1)+SUMIFS('changes2_based on steps'!$B198:$U198,'changes2_based on steps'!$B$1:$U$1,AE$1)</f>
        <v>0</v>
      </c>
      <c r="AF198" s="179"/>
      <c r="AG198" s="179"/>
      <c r="AH198" s="179"/>
      <c r="AI198" s="179"/>
      <c r="AJ198" s="179"/>
      <c r="AK198" s="179"/>
      <c r="AL198" s="179"/>
      <c r="AM198" s="179"/>
    </row>
    <row r="199" spans="1:39" x14ac:dyDescent="0.2">
      <c r="A199" s="32">
        <f t="shared" ca="1" si="3"/>
        <v>45941</v>
      </c>
      <c r="B199" s="179">
        <f>SUMIFS('recurring2_based on steps'!$B199:$AY199,'recurring2_based on steps'!$B$1:$AY$1,B$1)+SUMIFS('changes2_based on steps'!$B199:$U199,'changes2_based on steps'!$B$1:$U$1,B$1)</f>
        <v>0</v>
      </c>
      <c r="C199" s="179">
        <f>SUMIFS('recurring2_based on steps'!$B199:$AY199,'recurring2_based on steps'!$B$1:$AY$1,C$1)+SUMIFS('changes2_based on steps'!$B199:$U199,'changes2_based on steps'!$B$1:$U$1,C$1)</f>
        <v>0</v>
      </c>
      <c r="D199" s="179">
        <f>SUMIFS('recurring2_based on steps'!$B199:$AY199,'recurring2_based on steps'!$B$1:$AY$1,D$1)+SUMIFS('changes2_based on steps'!$B199:$U199,'changes2_based on steps'!$B$1:$U$1,D$1)</f>
        <v>0</v>
      </c>
      <c r="E199" s="179">
        <f>SUMIFS('recurring2_based on steps'!$B199:$AY199,'recurring2_based on steps'!$B$1:$AY$1,E$1)+SUMIFS('changes2_based on steps'!$B199:$U199,'changes2_based on steps'!$B$1:$U$1,E$1)</f>
        <v>0</v>
      </c>
      <c r="F199" s="179">
        <f>SUMIFS('recurring2_based on steps'!$B199:$AY199,'recurring2_based on steps'!$B$1:$AY$1,F$1)+SUMIFS('changes2_based on steps'!$B199:$U199,'changes2_based on steps'!$B$1:$U$1,F$1)</f>
        <v>0</v>
      </c>
      <c r="G199" s="179">
        <f>SUMIFS('recurring2_based on steps'!$B199:$AY199,'recurring2_based on steps'!$B$1:$AY$1,G$1)+SUMIFS('changes2_based on steps'!$B199:$U199,'changes2_based on steps'!$B$1:$U$1,G$1)</f>
        <v>0</v>
      </c>
      <c r="H199" s="179">
        <f>SUMIFS('recurring2_based on steps'!$B199:$AY199,'recurring2_based on steps'!$B$1:$AY$1,H$1)+SUMIFS('changes2_based on steps'!$B199:$U199,'changes2_based on steps'!$B$1:$U$1,H$1)</f>
        <v>0</v>
      </c>
      <c r="I199" s="179">
        <f>SUMIFS('recurring2_based on steps'!$B199:$AY199,'recurring2_based on steps'!$B$1:$AY$1,I$1)+SUMIFS('changes2_based on steps'!$B199:$U199,'changes2_based on steps'!$B$1:$U$1,I$1)</f>
        <v>0</v>
      </c>
      <c r="J199" s="179">
        <f>SUMIFS('recurring2_based on steps'!$B199:$AY199,'recurring2_based on steps'!$B$1:$AY$1,J$1)+SUMIFS('changes2_based on steps'!$B199:$U199,'changes2_based on steps'!$B$1:$U$1,J$1)</f>
        <v>0</v>
      </c>
      <c r="K199" s="179">
        <f>SUMIFS('recurring2_based on steps'!$B199:$AY199,'recurring2_based on steps'!$B$1:$AY$1,K$1)+SUMIFS('changes2_based on steps'!$B199:$U199,'changes2_based on steps'!$B$1:$U$1,K$1)</f>
        <v>0</v>
      </c>
      <c r="L199" s="179">
        <f>SUMIFS('recurring2_based on steps'!$B199:$AY199,'recurring2_based on steps'!$B$1:$AY$1,L$1)+SUMIFS('changes2_based on steps'!$B199:$U199,'changes2_based on steps'!$B$1:$U$1,L$1)</f>
        <v>0</v>
      </c>
      <c r="M199" s="179">
        <f>SUMIFS('recurring2_based on steps'!$B199:$AY199,'recurring2_based on steps'!$B$1:$AY$1,M$1)+SUMIFS('changes2_based on steps'!$B199:$U199,'changes2_based on steps'!$B$1:$U$1,M$1)</f>
        <v>0</v>
      </c>
      <c r="N199" s="179">
        <f>SUMIFS('recurring2_based on steps'!$B199:$AY199,'recurring2_based on steps'!$B$1:$AY$1,N$1)+SUMIFS('changes2_based on steps'!$B199:$U199,'changes2_based on steps'!$B$1:$U$1,N$1)</f>
        <v>0</v>
      </c>
      <c r="O199" s="179">
        <f>SUMIFS('recurring2_based on steps'!$B199:$AY199,'recurring2_based on steps'!$B$1:$AY$1,O$1)+SUMIFS('changes2_based on steps'!$B199:$U199,'changes2_based on steps'!$B$1:$U$1,O$1)</f>
        <v>0</v>
      </c>
      <c r="P199" s="179">
        <f>SUMIFS('recurring2_based on steps'!$B199:$AY199,'recurring2_based on steps'!$B$1:$AY$1,P$1)+SUMIFS('changes2_based on steps'!$B199:$U199,'changes2_based on steps'!$B$1:$U$1,P$1)</f>
        <v>0</v>
      </c>
      <c r="Q199" s="179">
        <f>SUMIFS('recurring2_based on steps'!$B199:$AY199,'recurring2_based on steps'!$B$1:$AY$1,Q$1)+SUMIFS('changes2_based on steps'!$B199:$U199,'changes2_based on steps'!$B$1:$U$1,Q$1)</f>
        <v>0</v>
      </c>
      <c r="R199" s="179">
        <f>SUMIFS('recurring2_based on steps'!$B199:$AY199,'recurring2_based on steps'!$B$1:$AY$1,R$1)+SUMIFS('changes2_based on steps'!$B199:$U199,'changes2_based on steps'!$B$1:$U$1,R$1)</f>
        <v>0</v>
      </c>
      <c r="S199" s="179">
        <f>SUMIFS('recurring2_based on steps'!$B199:$AY199,'recurring2_based on steps'!$B$1:$AY$1,S$1)+SUMIFS('changes2_based on steps'!$B199:$U199,'changes2_based on steps'!$B$1:$U$1,S$1)</f>
        <v>0</v>
      </c>
      <c r="T199" s="179">
        <f>SUMIFS('recurring2_based on steps'!$B199:$AY199,'recurring2_based on steps'!$B$1:$AY$1,T$1)+SUMIFS('changes2_based on steps'!$B199:$U199,'changes2_based on steps'!$B$1:$U$1,T$1)</f>
        <v>0</v>
      </c>
      <c r="U199" s="179">
        <f>SUMIFS('recurring2_based on steps'!$B199:$AY199,'recurring2_based on steps'!$B$1:$AY$1,U$1)+SUMIFS('changes2_based on steps'!$B199:$U199,'changes2_based on steps'!$B$1:$U$1,U$1)</f>
        <v>0</v>
      </c>
      <c r="V199" s="179">
        <f>SUMIFS('recurring2_based on steps'!$B199:$AY199,'recurring2_based on steps'!$B$1:$AY$1,V$1)+SUMIFS('changes2_based on steps'!$B199:$U199,'changes2_based on steps'!$B$1:$U$1,V$1)</f>
        <v>0</v>
      </c>
      <c r="W199" s="179">
        <f>SUMIFS('recurring2_based on steps'!$B199:$AY199,'recurring2_based on steps'!$B$1:$AY$1,W$1)+SUMIFS('changes2_based on steps'!$B199:$U199,'changes2_based on steps'!$B$1:$U$1,W$1)</f>
        <v>0</v>
      </c>
      <c r="X199" s="179">
        <f>SUMIFS('recurring2_based on steps'!$B199:$AY199,'recurring2_based on steps'!$B$1:$AY$1,X$1)+SUMIFS('changes2_based on steps'!$B199:$U199,'changes2_based on steps'!$B$1:$U$1,X$1)</f>
        <v>0</v>
      </c>
      <c r="Y199" s="179">
        <f>SUMIFS('recurring2_based on steps'!$B199:$AY199,'recurring2_based on steps'!$B$1:$AY$1,Y$1)+SUMIFS('changes2_based on steps'!$B199:$U199,'changes2_based on steps'!$B$1:$U$1,Y$1)</f>
        <v>0</v>
      </c>
      <c r="Z199" s="179">
        <f>SUMIFS('recurring2_based on steps'!$B199:$AY199,'recurring2_based on steps'!$B$1:$AY$1,Z$1)+SUMIFS('changes2_based on steps'!$B199:$U199,'changes2_based on steps'!$B$1:$U$1,Z$1)</f>
        <v>0</v>
      </c>
      <c r="AA199" s="179">
        <f>SUMIFS('recurring2_based on steps'!$B199:$AY199,'recurring2_based on steps'!$B$1:$AY$1,AA$1)+SUMIFS('changes2_based on steps'!$B199:$U199,'changes2_based on steps'!$B$1:$U$1,AA$1)</f>
        <v>0</v>
      </c>
      <c r="AB199" s="179">
        <f>SUMIFS('recurring2_based on steps'!$B199:$AY199,'recurring2_based on steps'!$B$1:$AY$1,AB$1)+SUMIFS('changes2_based on steps'!$B199:$U199,'changes2_based on steps'!$B$1:$U$1,AB$1)</f>
        <v>0</v>
      </c>
      <c r="AC199" s="179">
        <f>SUMIFS('recurring2_based on steps'!$B199:$AY199,'recurring2_based on steps'!$B$1:$AY$1,AC$1)+SUMIFS('changes2_based on steps'!$B199:$U199,'changes2_based on steps'!$B$1:$U$1,AC$1)</f>
        <v>0</v>
      </c>
      <c r="AD199" s="179">
        <f>SUMIFS('recurring2_based on steps'!$B199:$AY199,'recurring2_based on steps'!$B$1:$AY$1,AD$1)+SUMIFS('changes2_based on steps'!$B199:$U199,'changes2_based on steps'!$B$1:$U$1,AD$1)</f>
        <v>0</v>
      </c>
      <c r="AE199" s="179">
        <f>SUMIFS('recurring2_based on steps'!$B199:$AY199,'recurring2_based on steps'!$B$1:$AY$1,AE$1)+SUMIFS('changes2_based on steps'!$B199:$U199,'changes2_based on steps'!$B$1:$U$1,AE$1)</f>
        <v>0</v>
      </c>
      <c r="AF199" s="179"/>
      <c r="AG199" s="179"/>
      <c r="AH199" s="179"/>
      <c r="AI199" s="179"/>
      <c r="AJ199" s="179"/>
      <c r="AK199" s="179"/>
      <c r="AL199" s="179"/>
      <c r="AM199" s="179"/>
    </row>
    <row r="200" spans="1:39" x14ac:dyDescent="0.2">
      <c r="A200" s="32">
        <f t="shared" ca="1" si="3"/>
        <v>45942</v>
      </c>
      <c r="B200" s="179">
        <f>SUMIFS('recurring2_based on steps'!$B200:$AY200,'recurring2_based on steps'!$B$1:$AY$1,B$1)+SUMIFS('changes2_based on steps'!$B200:$U200,'changes2_based on steps'!$B$1:$U$1,B$1)</f>
        <v>0</v>
      </c>
      <c r="C200" s="179">
        <f>SUMIFS('recurring2_based on steps'!$B200:$AY200,'recurring2_based on steps'!$B$1:$AY$1,C$1)+SUMIFS('changes2_based on steps'!$B200:$U200,'changes2_based on steps'!$B$1:$U$1,C$1)</f>
        <v>0</v>
      </c>
      <c r="D200" s="179">
        <f>SUMIFS('recurring2_based on steps'!$B200:$AY200,'recurring2_based on steps'!$B$1:$AY$1,D$1)+SUMIFS('changes2_based on steps'!$B200:$U200,'changes2_based on steps'!$B$1:$U$1,D$1)</f>
        <v>0</v>
      </c>
      <c r="E200" s="179">
        <f>SUMIFS('recurring2_based on steps'!$B200:$AY200,'recurring2_based on steps'!$B$1:$AY$1,E$1)+SUMIFS('changes2_based on steps'!$B200:$U200,'changes2_based on steps'!$B$1:$U$1,E$1)</f>
        <v>0</v>
      </c>
      <c r="F200" s="179">
        <f>SUMIFS('recurring2_based on steps'!$B200:$AY200,'recurring2_based on steps'!$B$1:$AY$1,F$1)+SUMIFS('changes2_based on steps'!$B200:$U200,'changes2_based on steps'!$B$1:$U$1,F$1)</f>
        <v>0</v>
      </c>
      <c r="G200" s="179">
        <f>SUMIFS('recurring2_based on steps'!$B200:$AY200,'recurring2_based on steps'!$B$1:$AY$1,G$1)+SUMIFS('changes2_based on steps'!$B200:$U200,'changes2_based on steps'!$B$1:$U$1,G$1)</f>
        <v>0</v>
      </c>
      <c r="H200" s="179">
        <f>SUMIFS('recurring2_based on steps'!$B200:$AY200,'recurring2_based on steps'!$B$1:$AY$1,H$1)+SUMIFS('changes2_based on steps'!$B200:$U200,'changes2_based on steps'!$B$1:$U$1,H$1)</f>
        <v>0</v>
      </c>
      <c r="I200" s="179">
        <f>SUMIFS('recurring2_based on steps'!$B200:$AY200,'recurring2_based on steps'!$B$1:$AY$1,I$1)+SUMIFS('changes2_based on steps'!$B200:$U200,'changes2_based on steps'!$B$1:$U$1,I$1)</f>
        <v>0</v>
      </c>
      <c r="J200" s="179">
        <f>SUMIFS('recurring2_based on steps'!$B200:$AY200,'recurring2_based on steps'!$B$1:$AY$1,J$1)+SUMIFS('changes2_based on steps'!$B200:$U200,'changes2_based on steps'!$B$1:$U$1,J$1)</f>
        <v>0</v>
      </c>
      <c r="K200" s="179">
        <f>SUMIFS('recurring2_based on steps'!$B200:$AY200,'recurring2_based on steps'!$B$1:$AY$1,K$1)+SUMIFS('changes2_based on steps'!$B200:$U200,'changes2_based on steps'!$B$1:$U$1,K$1)</f>
        <v>0</v>
      </c>
      <c r="L200" s="179">
        <f>SUMIFS('recurring2_based on steps'!$B200:$AY200,'recurring2_based on steps'!$B$1:$AY$1,L$1)+SUMIFS('changes2_based on steps'!$B200:$U200,'changes2_based on steps'!$B$1:$U$1,L$1)</f>
        <v>0</v>
      </c>
      <c r="M200" s="179">
        <f>SUMIFS('recurring2_based on steps'!$B200:$AY200,'recurring2_based on steps'!$B$1:$AY$1,M$1)+SUMIFS('changes2_based on steps'!$B200:$U200,'changes2_based on steps'!$B$1:$U$1,M$1)</f>
        <v>0</v>
      </c>
      <c r="N200" s="179">
        <f>SUMIFS('recurring2_based on steps'!$B200:$AY200,'recurring2_based on steps'!$B$1:$AY$1,N$1)+SUMIFS('changes2_based on steps'!$B200:$U200,'changes2_based on steps'!$B$1:$U$1,N$1)</f>
        <v>0</v>
      </c>
      <c r="O200" s="179">
        <f>SUMIFS('recurring2_based on steps'!$B200:$AY200,'recurring2_based on steps'!$B$1:$AY$1,O$1)+SUMIFS('changes2_based on steps'!$B200:$U200,'changes2_based on steps'!$B$1:$U$1,O$1)</f>
        <v>0</v>
      </c>
      <c r="P200" s="179">
        <f>SUMIFS('recurring2_based on steps'!$B200:$AY200,'recurring2_based on steps'!$B$1:$AY$1,P$1)+SUMIFS('changes2_based on steps'!$B200:$U200,'changes2_based on steps'!$B$1:$U$1,P$1)</f>
        <v>0</v>
      </c>
      <c r="Q200" s="179">
        <f>SUMIFS('recurring2_based on steps'!$B200:$AY200,'recurring2_based on steps'!$B$1:$AY$1,Q$1)+SUMIFS('changes2_based on steps'!$B200:$U200,'changes2_based on steps'!$B$1:$U$1,Q$1)</f>
        <v>0</v>
      </c>
      <c r="R200" s="179">
        <f>SUMIFS('recurring2_based on steps'!$B200:$AY200,'recurring2_based on steps'!$B$1:$AY$1,R$1)+SUMIFS('changes2_based on steps'!$B200:$U200,'changes2_based on steps'!$B$1:$U$1,R$1)</f>
        <v>0</v>
      </c>
      <c r="S200" s="179">
        <f>SUMIFS('recurring2_based on steps'!$B200:$AY200,'recurring2_based on steps'!$B$1:$AY$1,S$1)+SUMIFS('changes2_based on steps'!$B200:$U200,'changes2_based on steps'!$B$1:$U$1,S$1)</f>
        <v>0</v>
      </c>
      <c r="T200" s="179">
        <f>SUMIFS('recurring2_based on steps'!$B200:$AY200,'recurring2_based on steps'!$B$1:$AY$1,T$1)+SUMIFS('changes2_based on steps'!$B200:$U200,'changes2_based on steps'!$B$1:$U$1,T$1)</f>
        <v>0</v>
      </c>
      <c r="U200" s="179">
        <f>SUMIFS('recurring2_based on steps'!$B200:$AY200,'recurring2_based on steps'!$B$1:$AY$1,U$1)+SUMIFS('changes2_based on steps'!$B200:$U200,'changes2_based on steps'!$B$1:$U$1,U$1)</f>
        <v>0</v>
      </c>
      <c r="V200" s="179">
        <f>SUMIFS('recurring2_based on steps'!$B200:$AY200,'recurring2_based on steps'!$B$1:$AY$1,V$1)+SUMIFS('changes2_based on steps'!$B200:$U200,'changes2_based on steps'!$B$1:$U$1,V$1)</f>
        <v>0</v>
      </c>
      <c r="W200" s="179">
        <f>SUMIFS('recurring2_based on steps'!$B200:$AY200,'recurring2_based on steps'!$B$1:$AY$1,W$1)+SUMIFS('changes2_based on steps'!$B200:$U200,'changes2_based on steps'!$B$1:$U$1,W$1)</f>
        <v>0</v>
      </c>
      <c r="X200" s="179">
        <f>SUMIFS('recurring2_based on steps'!$B200:$AY200,'recurring2_based on steps'!$B$1:$AY$1,X$1)+SUMIFS('changes2_based on steps'!$B200:$U200,'changes2_based on steps'!$B$1:$U$1,X$1)</f>
        <v>0</v>
      </c>
      <c r="Y200" s="179">
        <f>SUMIFS('recurring2_based on steps'!$B200:$AY200,'recurring2_based on steps'!$B$1:$AY$1,Y$1)+SUMIFS('changes2_based on steps'!$B200:$U200,'changes2_based on steps'!$B$1:$U$1,Y$1)</f>
        <v>0</v>
      </c>
      <c r="Z200" s="179">
        <f>SUMIFS('recurring2_based on steps'!$B200:$AY200,'recurring2_based on steps'!$B$1:$AY$1,Z$1)+SUMIFS('changes2_based on steps'!$B200:$U200,'changes2_based on steps'!$B$1:$U$1,Z$1)</f>
        <v>0</v>
      </c>
      <c r="AA200" s="179">
        <f>SUMIFS('recurring2_based on steps'!$B200:$AY200,'recurring2_based on steps'!$B$1:$AY$1,AA$1)+SUMIFS('changes2_based on steps'!$B200:$U200,'changes2_based on steps'!$B$1:$U$1,AA$1)</f>
        <v>0</v>
      </c>
      <c r="AB200" s="179">
        <f>SUMIFS('recurring2_based on steps'!$B200:$AY200,'recurring2_based on steps'!$B$1:$AY$1,AB$1)+SUMIFS('changes2_based on steps'!$B200:$U200,'changes2_based on steps'!$B$1:$U$1,AB$1)</f>
        <v>0</v>
      </c>
      <c r="AC200" s="179">
        <f>SUMIFS('recurring2_based on steps'!$B200:$AY200,'recurring2_based on steps'!$B$1:$AY$1,AC$1)+SUMIFS('changes2_based on steps'!$B200:$U200,'changes2_based on steps'!$B$1:$U$1,AC$1)</f>
        <v>0</v>
      </c>
      <c r="AD200" s="179">
        <f>SUMIFS('recurring2_based on steps'!$B200:$AY200,'recurring2_based on steps'!$B$1:$AY$1,AD$1)+SUMIFS('changes2_based on steps'!$B200:$U200,'changes2_based on steps'!$B$1:$U$1,AD$1)</f>
        <v>0</v>
      </c>
      <c r="AE200" s="179">
        <f>SUMIFS('recurring2_based on steps'!$B200:$AY200,'recurring2_based on steps'!$B$1:$AY$1,AE$1)+SUMIFS('changes2_based on steps'!$B200:$U200,'changes2_based on steps'!$B$1:$U$1,AE$1)</f>
        <v>0</v>
      </c>
      <c r="AF200" s="179"/>
      <c r="AG200" s="179"/>
      <c r="AH200" s="179"/>
      <c r="AI200" s="179"/>
      <c r="AJ200" s="179"/>
      <c r="AK200" s="179"/>
      <c r="AL200" s="179"/>
      <c r="AM200" s="179"/>
    </row>
    <row r="201" spans="1:39" x14ac:dyDescent="0.2">
      <c r="A201" s="32">
        <f t="shared" ca="1" si="3"/>
        <v>45943</v>
      </c>
      <c r="B201" s="179">
        <f>SUMIFS('recurring2_based on steps'!$B201:$AY201,'recurring2_based on steps'!$B$1:$AY$1,B$1)+SUMIFS('changes2_based on steps'!$B201:$U201,'changes2_based on steps'!$B$1:$U$1,B$1)</f>
        <v>0</v>
      </c>
      <c r="C201" s="179">
        <f>SUMIFS('recurring2_based on steps'!$B201:$AY201,'recurring2_based on steps'!$B$1:$AY$1,C$1)+SUMIFS('changes2_based on steps'!$B201:$U201,'changes2_based on steps'!$B$1:$U$1,C$1)</f>
        <v>0</v>
      </c>
      <c r="D201" s="179">
        <f>SUMIFS('recurring2_based on steps'!$B201:$AY201,'recurring2_based on steps'!$B$1:$AY$1,D$1)+SUMIFS('changes2_based on steps'!$B201:$U201,'changes2_based on steps'!$B$1:$U$1,D$1)</f>
        <v>0</v>
      </c>
      <c r="E201" s="179">
        <f>SUMIFS('recurring2_based on steps'!$B201:$AY201,'recurring2_based on steps'!$B$1:$AY$1,E$1)+SUMIFS('changes2_based on steps'!$B201:$U201,'changes2_based on steps'!$B$1:$U$1,E$1)</f>
        <v>0</v>
      </c>
      <c r="F201" s="179">
        <f>SUMIFS('recurring2_based on steps'!$B201:$AY201,'recurring2_based on steps'!$B$1:$AY$1,F$1)+SUMIFS('changes2_based on steps'!$B201:$U201,'changes2_based on steps'!$B$1:$U$1,F$1)</f>
        <v>0</v>
      </c>
      <c r="G201" s="179">
        <f>SUMIFS('recurring2_based on steps'!$B201:$AY201,'recurring2_based on steps'!$B$1:$AY$1,G$1)+SUMIFS('changes2_based on steps'!$B201:$U201,'changes2_based on steps'!$B$1:$U$1,G$1)</f>
        <v>0</v>
      </c>
      <c r="H201" s="179">
        <f>SUMIFS('recurring2_based on steps'!$B201:$AY201,'recurring2_based on steps'!$B$1:$AY$1,H$1)+SUMIFS('changes2_based on steps'!$B201:$U201,'changes2_based on steps'!$B$1:$U$1,H$1)</f>
        <v>0</v>
      </c>
      <c r="I201" s="179">
        <f>SUMIFS('recurring2_based on steps'!$B201:$AY201,'recurring2_based on steps'!$B$1:$AY$1,I$1)+SUMIFS('changes2_based on steps'!$B201:$U201,'changes2_based on steps'!$B$1:$U$1,I$1)</f>
        <v>0</v>
      </c>
      <c r="J201" s="179">
        <f>SUMIFS('recurring2_based on steps'!$B201:$AY201,'recurring2_based on steps'!$B$1:$AY$1,J$1)+SUMIFS('changes2_based on steps'!$B201:$U201,'changes2_based on steps'!$B$1:$U$1,J$1)</f>
        <v>0</v>
      </c>
      <c r="K201" s="179">
        <f>SUMIFS('recurring2_based on steps'!$B201:$AY201,'recurring2_based on steps'!$B$1:$AY$1,K$1)+SUMIFS('changes2_based on steps'!$B201:$U201,'changes2_based on steps'!$B$1:$U$1,K$1)</f>
        <v>0</v>
      </c>
      <c r="L201" s="179">
        <f>SUMIFS('recurring2_based on steps'!$B201:$AY201,'recurring2_based on steps'!$B$1:$AY$1,L$1)+SUMIFS('changes2_based on steps'!$B201:$U201,'changes2_based on steps'!$B$1:$U$1,L$1)</f>
        <v>0</v>
      </c>
      <c r="M201" s="179">
        <f>SUMIFS('recurring2_based on steps'!$B201:$AY201,'recurring2_based on steps'!$B$1:$AY$1,M$1)+SUMIFS('changes2_based on steps'!$B201:$U201,'changes2_based on steps'!$B$1:$U$1,M$1)</f>
        <v>0</v>
      </c>
      <c r="N201" s="179">
        <f>SUMIFS('recurring2_based on steps'!$B201:$AY201,'recurring2_based on steps'!$B$1:$AY$1,N$1)+SUMIFS('changes2_based on steps'!$B201:$U201,'changes2_based on steps'!$B$1:$U$1,N$1)</f>
        <v>0</v>
      </c>
      <c r="O201" s="179">
        <f>SUMIFS('recurring2_based on steps'!$B201:$AY201,'recurring2_based on steps'!$B$1:$AY$1,O$1)+SUMIFS('changes2_based on steps'!$B201:$U201,'changes2_based on steps'!$B$1:$U$1,O$1)</f>
        <v>0</v>
      </c>
      <c r="P201" s="179">
        <f>SUMIFS('recurring2_based on steps'!$B201:$AY201,'recurring2_based on steps'!$B$1:$AY$1,P$1)+SUMIFS('changes2_based on steps'!$B201:$U201,'changes2_based on steps'!$B$1:$U$1,P$1)</f>
        <v>0</v>
      </c>
      <c r="Q201" s="179">
        <f>SUMIFS('recurring2_based on steps'!$B201:$AY201,'recurring2_based on steps'!$B$1:$AY$1,Q$1)+SUMIFS('changes2_based on steps'!$B201:$U201,'changes2_based on steps'!$B$1:$U$1,Q$1)</f>
        <v>0</v>
      </c>
      <c r="R201" s="179">
        <f>SUMIFS('recurring2_based on steps'!$B201:$AY201,'recurring2_based on steps'!$B$1:$AY$1,R$1)+SUMIFS('changes2_based on steps'!$B201:$U201,'changes2_based on steps'!$B$1:$U$1,R$1)</f>
        <v>0</v>
      </c>
      <c r="S201" s="179">
        <f>SUMIFS('recurring2_based on steps'!$B201:$AY201,'recurring2_based on steps'!$B$1:$AY$1,S$1)+SUMIFS('changes2_based on steps'!$B201:$U201,'changes2_based on steps'!$B$1:$U$1,S$1)</f>
        <v>0</v>
      </c>
      <c r="T201" s="179">
        <f>SUMIFS('recurring2_based on steps'!$B201:$AY201,'recurring2_based on steps'!$B$1:$AY$1,T$1)+SUMIFS('changes2_based on steps'!$B201:$U201,'changes2_based on steps'!$B$1:$U$1,T$1)</f>
        <v>0</v>
      </c>
      <c r="U201" s="179">
        <f>SUMIFS('recurring2_based on steps'!$B201:$AY201,'recurring2_based on steps'!$B$1:$AY$1,U$1)+SUMIFS('changes2_based on steps'!$B201:$U201,'changes2_based on steps'!$B$1:$U$1,U$1)</f>
        <v>0</v>
      </c>
      <c r="V201" s="179">
        <f>SUMIFS('recurring2_based on steps'!$B201:$AY201,'recurring2_based on steps'!$B$1:$AY$1,V$1)+SUMIFS('changes2_based on steps'!$B201:$U201,'changes2_based on steps'!$B$1:$U$1,V$1)</f>
        <v>0</v>
      </c>
      <c r="W201" s="179">
        <f>SUMIFS('recurring2_based on steps'!$B201:$AY201,'recurring2_based on steps'!$B$1:$AY$1,W$1)+SUMIFS('changes2_based on steps'!$B201:$U201,'changes2_based on steps'!$B$1:$U$1,W$1)</f>
        <v>0</v>
      </c>
      <c r="X201" s="179">
        <f>SUMIFS('recurring2_based on steps'!$B201:$AY201,'recurring2_based on steps'!$B$1:$AY$1,X$1)+SUMIFS('changes2_based on steps'!$B201:$U201,'changes2_based on steps'!$B$1:$U$1,X$1)</f>
        <v>0</v>
      </c>
      <c r="Y201" s="179">
        <f>SUMIFS('recurring2_based on steps'!$B201:$AY201,'recurring2_based on steps'!$B$1:$AY$1,Y$1)+SUMIFS('changes2_based on steps'!$B201:$U201,'changes2_based on steps'!$B$1:$U$1,Y$1)</f>
        <v>0</v>
      </c>
      <c r="Z201" s="179">
        <f>SUMIFS('recurring2_based on steps'!$B201:$AY201,'recurring2_based on steps'!$B$1:$AY$1,Z$1)+SUMIFS('changes2_based on steps'!$B201:$U201,'changes2_based on steps'!$B$1:$U$1,Z$1)</f>
        <v>0</v>
      </c>
      <c r="AA201" s="179">
        <f>SUMIFS('recurring2_based on steps'!$B201:$AY201,'recurring2_based on steps'!$B$1:$AY$1,AA$1)+SUMIFS('changes2_based on steps'!$B201:$U201,'changes2_based on steps'!$B$1:$U$1,AA$1)</f>
        <v>0</v>
      </c>
      <c r="AB201" s="179">
        <f>SUMIFS('recurring2_based on steps'!$B201:$AY201,'recurring2_based on steps'!$B$1:$AY$1,AB$1)+SUMIFS('changes2_based on steps'!$B201:$U201,'changes2_based on steps'!$B$1:$U$1,AB$1)</f>
        <v>0</v>
      </c>
      <c r="AC201" s="179">
        <f>SUMIFS('recurring2_based on steps'!$B201:$AY201,'recurring2_based on steps'!$B$1:$AY$1,AC$1)+SUMIFS('changes2_based on steps'!$B201:$U201,'changes2_based on steps'!$B$1:$U$1,AC$1)</f>
        <v>0</v>
      </c>
      <c r="AD201" s="179">
        <f>SUMIFS('recurring2_based on steps'!$B201:$AY201,'recurring2_based on steps'!$B$1:$AY$1,AD$1)+SUMIFS('changes2_based on steps'!$B201:$U201,'changes2_based on steps'!$B$1:$U$1,AD$1)</f>
        <v>0</v>
      </c>
      <c r="AE201" s="179">
        <f>SUMIFS('recurring2_based on steps'!$B201:$AY201,'recurring2_based on steps'!$B$1:$AY$1,AE$1)+SUMIFS('changes2_based on steps'!$B201:$U201,'changes2_based on steps'!$B$1:$U$1,AE$1)</f>
        <v>0</v>
      </c>
      <c r="AF201" s="179"/>
      <c r="AG201" s="179"/>
      <c r="AH201" s="179"/>
      <c r="AI201" s="179"/>
      <c r="AJ201" s="179"/>
      <c r="AK201" s="179"/>
      <c r="AL201" s="179"/>
      <c r="AM201" s="179"/>
    </row>
    <row r="202" spans="1:39" x14ac:dyDescent="0.2">
      <c r="A202" s="32">
        <f t="shared" ca="1" si="3"/>
        <v>45944</v>
      </c>
      <c r="B202" s="179">
        <f>SUMIFS('recurring2_based on steps'!$B202:$AY202,'recurring2_based on steps'!$B$1:$AY$1,B$1)+SUMIFS('changes2_based on steps'!$B202:$U202,'changes2_based on steps'!$B$1:$U$1,B$1)</f>
        <v>0</v>
      </c>
      <c r="C202" s="179">
        <f>SUMIFS('recurring2_based on steps'!$B202:$AY202,'recurring2_based on steps'!$B$1:$AY$1,C$1)+SUMIFS('changes2_based on steps'!$B202:$U202,'changes2_based on steps'!$B$1:$U$1,C$1)</f>
        <v>0</v>
      </c>
      <c r="D202" s="179">
        <f>SUMIFS('recurring2_based on steps'!$B202:$AY202,'recurring2_based on steps'!$B$1:$AY$1,D$1)+SUMIFS('changes2_based on steps'!$B202:$U202,'changes2_based on steps'!$B$1:$U$1,D$1)</f>
        <v>0</v>
      </c>
      <c r="E202" s="179">
        <f>SUMIFS('recurring2_based on steps'!$B202:$AY202,'recurring2_based on steps'!$B$1:$AY$1,E$1)+SUMIFS('changes2_based on steps'!$B202:$U202,'changes2_based on steps'!$B$1:$U$1,E$1)</f>
        <v>0</v>
      </c>
      <c r="F202" s="179">
        <f>SUMIFS('recurring2_based on steps'!$B202:$AY202,'recurring2_based on steps'!$B$1:$AY$1,F$1)+SUMIFS('changes2_based on steps'!$B202:$U202,'changes2_based on steps'!$B$1:$U$1,F$1)</f>
        <v>0</v>
      </c>
      <c r="G202" s="179">
        <f>SUMIFS('recurring2_based on steps'!$B202:$AY202,'recurring2_based on steps'!$B$1:$AY$1,G$1)+SUMIFS('changes2_based on steps'!$B202:$U202,'changes2_based on steps'!$B$1:$U$1,G$1)</f>
        <v>0</v>
      </c>
      <c r="H202" s="179">
        <f>SUMIFS('recurring2_based on steps'!$B202:$AY202,'recurring2_based on steps'!$B$1:$AY$1,H$1)+SUMIFS('changes2_based on steps'!$B202:$U202,'changes2_based on steps'!$B$1:$U$1,H$1)</f>
        <v>0</v>
      </c>
      <c r="I202" s="179">
        <f>SUMIFS('recurring2_based on steps'!$B202:$AY202,'recurring2_based on steps'!$B$1:$AY$1,I$1)+SUMIFS('changes2_based on steps'!$B202:$U202,'changes2_based on steps'!$B$1:$U$1,I$1)</f>
        <v>0</v>
      </c>
      <c r="J202" s="179">
        <f>SUMIFS('recurring2_based on steps'!$B202:$AY202,'recurring2_based on steps'!$B$1:$AY$1,J$1)+SUMIFS('changes2_based on steps'!$B202:$U202,'changes2_based on steps'!$B$1:$U$1,J$1)</f>
        <v>0</v>
      </c>
      <c r="K202" s="179">
        <f>SUMIFS('recurring2_based on steps'!$B202:$AY202,'recurring2_based on steps'!$B$1:$AY$1,K$1)+SUMIFS('changes2_based on steps'!$B202:$U202,'changes2_based on steps'!$B$1:$U$1,K$1)</f>
        <v>0</v>
      </c>
      <c r="L202" s="179">
        <f>SUMIFS('recurring2_based on steps'!$B202:$AY202,'recurring2_based on steps'!$B$1:$AY$1,L$1)+SUMIFS('changes2_based on steps'!$B202:$U202,'changes2_based on steps'!$B$1:$U$1,L$1)</f>
        <v>0</v>
      </c>
      <c r="M202" s="179">
        <f>SUMIFS('recurring2_based on steps'!$B202:$AY202,'recurring2_based on steps'!$B$1:$AY$1,M$1)+SUMIFS('changes2_based on steps'!$B202:$U202,'changes2_based on steps'!$B$1:$U$1,M$1)</f>
        <v>0</v>
      </c>
      <c r="N202" s="179">
        <f>SUMIFS('recurring2_based on steps'!$B202:$AY202,'recurring2_based on steps'!$B$1:$AY$1,N$1)+SUMIFS('changes2_based on steps'!$B202:$U202,'changes2_based on steps'!$B$1:$U$1,N$1)</f>
        <v>0</v>
      </c>
      <c r="O202" s="179">
        <f>SUMIFS('recurring2_based on steps'!$B202:$AY202,'recurring2_based on steps'!$B$1:$AY$1,O$1)+SUMIFS('changes2_based on steps'!$B202:$U202,'changes2_based on steps'!$B$1:$U$1,O$1)</f>
        <v>0</v>
      </c>
      <c r="P202" s="179">
        <f>SUMIFS('recurring2_based on steps'!$B202:$AY202,'recurring2_based on steps'!$B$1:$AY$1,P$1)+SUMIFS('changes2_based on steps'!$B202:$U202,'changes2_based on steps'!$B$1:$U$1,P$1)</f>
        <v>0</v>
      </c>
      <c r="Q202" s="179">
        <f>SUMIFS('recurring2_based on steps'!$B202:$AY202,'recurring2_based on steps'!$B$1:$AY$1,Q$1)+SUMIFS('changes2_based on steps'!$B202:$U202,'changes2_based on steps'!$B$1:$U$1,Q$1)</f>
        <v>0</v>
      </c>
      <c r="R202" s="179">
        <f>SUMIFS('recurring2_based on steps'!$B202:$AY202,'recurring2_based on steps'!$B$1:$AY$1,R$1)+SUMIFS('changes2_based on steps'!$B202:$U202,'changes2_based on steps'!$B$1:$U$1,R$1)</f>
        <v>0</v>
      </c>
      <c r="S202" s="179">
        <f>SUMIFS('recurring2_based on steps'!$B202:$AY202,'recurring2_based on steps'!$B$1:$AY$1,S$1)+SUMIFS('changes2_based on steps'!$B202:$U202,'changes2_based on steps'!$B$1:$U$1,S$1)</f>
        <v>0</v>
      </c>
      <c r="T202" s="179">
        <f>SUMIFS('recurring2_based on steps'!$B202:$AY202,'recurring2_based on steps'!$B$1:$AY$1,T$1)+SUMIFS('changes2_based on steps'!$B202:$U202,'changes2_based on steps'!$B$1:$U$1,T$1)</f>
        <v>0</v>
      </c>
      <c r="U202" s="179">
        <f>SUMIFS('recurring2_based on steps'!$B202:$AY202,'recurring2_based on steps'!$B$1:$AY$1,U$1)+SUMIFS('changes2_based on steps'!$B202:$U202,'changes2_based on steps'!$B$1:$U$1,U$1)</f>
        <v>0</v>
      </c>
      <c r="V202" s="179">
        <f>SUMIFS('recurring2_based on steps'!$B202:$AY202,'recurring2_based on steps'!$B$1:$AY$1,V$1)+SUMIFS('changes2_based on steps'!$B202:$U202,'changes2_based on steps'!$B$1:$U$1,V$1)</f>
        <v>0</v>
      </c>
      <c r="W202" s="179">
        <f>SUMIFS('recurring2_based on steps'!$B202:$AY202,'recurring2_based on steps'!$B$1:$AY$1,W$1)+SUMIFS('changes2_based on steps'!$B202:$U202,'changes2_based on steps'!$B$1:$U$1,W$1)</f>
        <v>0</v>
      </c>
      <c r="X202" s="179">
        <f>SUMIFS('recurring2_based on steps'!$B202:$AY202,'recurring2_based on steps'!$B$1:$AY$1,X$1)+SUMIFS('changes2_based on steps'!$B202:$U202,'changes2_based on steps'!$B$1:$U$1,X$1)</f>
        <v>0</v>
      </c>
      <c r="Y202" s="179">
        <f>SUMIFS('recurring2_based on steps'!$B202:$AY202,'recurring2_based on steps'!$B$1:$AY$1,Y$1)+SUMIFS('changes2_based on steps'!$B202:$U202,'changes2_based on steps'!$B$1:$U$1,Y$1)</f>
        <v>0</v>
      </c>
      <c r="Z202" s="179">
        <f>SUMIFS('recurring2_based on steps'!$B202:$AY202,'recurring2_based on steps'!$B$1:$AY$1,Z$1)+SUMIFS('changes2_based on steps'!$B202:$U202,'changes2_based on steps'!$B$1:$U$1,Z$1)</f>
        <v>0</v>
      </c>
      <c r="AA202" s="179">
        <f>SUMIFS('recurring2_based on steps'!$B202:$AY202,'recurring2_based on steps'!$B$1:$AY$1,AA$1)+SUMIFS('changes2_based on steps'!$B202:$U202,'changes2_based on steps'!$B$1:$U$1,AA$1)</f>
        <v>0</v>
      </c>
      <c r="AB202" s="179">
        <f>SUMIFS('recurring2_based on steps'!$B202:$AY202,'recurring2_based on steps'!$B$1:$AY$1,AB$1)+SUMIFS('changes2_based on steps'!$B202:$U202,'changes2_based on steps'!$B$1:$U$1,AB$1)</f>
        <v>0</v>
      </c>
      <c r="AC202" s="179">
        <f>SUMIFS('recurring2_based on steps'!$B202:$AY202,'recurring2_based on steps'!$B$1:$AY$1,AC$1)+SUMIFS('changes2_based on steps'!$B202:$U202,'changes2_based on steps'!$B$1:$U$1,AC$1)</f>
        <v>0</v>
      </c>
      <c r="AD202" s="179">
        <f>SUMIFS('recurring2_based on steps'!$B202:$AY202,'recurring2_based on steps'!$B$1:$AY$1,AD$1)+SUMIFS('changes2_based on steps'!$B202:$U202,'changes2_based on steps'!$B$1:$U$1,AD$1)</f>
        <v>0</v>
      </c>
      <c r="AE202" s="179">
        <f>SUMIFS('recurring2_based on steps'!$B202:$AY202,'recurring2_based on steps'!$B$1:$AY$1,AE$1)+SUMIFS('changes2_based on steps'!$B202:$U202,'changes2_based on steps'!$B$1:$U$1,AE$1)</f>
        <v>0</v>
      </c>
      <c r="AF202" s="179"/>
      <c r="AG202" s="179"/>
      <c r="AH202" s="179"/>
      <c r="AI202" s="179"/>
      <c r="AJ202" s="179"/>
      <c r="AK202" s="179"/>
      <c r="AL202" s="179"/>
      <c r="AM202" s="179"/>
    </row>
    <row r="203" spans="1:39" x14ac:dyDescent="0.2">
      <c r="A203" s="32">
        <f t="shared" ca="1" si="3"/>
        <v>45945</v>
      </c>
      <c r="B203" s="179">
        <f>SUMIFS('recurring2_based on steps'!$B203:$AY203,'recurring2_based on steps'!$B$1:$AY$1,B$1)+SUMIFS('changes2_based on steps'!$B203:$U203,'changes2_based on steps'!$B$1:$U$1,B$1)</f>
        <v>0</v>
      </c>
      <c r="C203" s="179">
        <f>SUMIFS('recurring2_based on steps'!$B203:$AY203,'recurring2_based on steps'!$B$1:$AY$1,C$1)+SUMIFS('changes2_based on steps'!$B203:$U203,'changes2_based on steps'!$B$1:$U$1,C$1)</f>
        <v>0</v>
      </c>
      <c r="D203" s="179">
        <f>SUMIFS('recurring2_based on steps'!$B203:$AY203,'recurring2_based on steps'!$B$1:$AY$1,D$1)+SUMIFS('changes2_based on steps'!$B203:$U203,'changes2_based on steps'!$B$1:$U$1,D$1)</f>
        <v>0</v>
      </c>
      <c r="E203" s="179">
        <f>SUMIFS('recurring2_based on steps'!$B203:$AY203,'recurring2_based on steps'!$B$1:$AY$1,E$1)+SUMIFS('changes2_based on steps'!$B203:$U203,'changes2_based on steps'!$B$1:$U$1,E$1)</f>
        <v>0</v>
      </c>
      <c r="F203" s="179">
        <f>SUMIFS('recurring2_based on steps'!$B203:$AY203,'recurring2_based on steps'!$B$1:$AY$1,F$1)+SUMIFS('changes2_based on steps'!$B203:$U203,'changes2_based on steps'!$B$1:$U$1,F$1)</f>
        <v>0</v>
      </c>
      <c r="G203" s="179">
        <f>SUMIFS('recurring2_based on steps'!$B203:$AY203,'recurring2_based on steps'!$B$1:$AY$1,G$1)+SUMIFS('changes2_based on steps'!$B203:$U203,'changes2_based on steps'!$B$1:$U$1,G$1)</f>
        <v>0</v>
      </c>
      <c r="H203" s="179">
        <f>SUMIFS('recurring2_based on steps'!$B203:$AY203,'recurring2_based on steps'!$B$1:$AY$1,H$1)+SUMIFS('changes2_based on steps'!$B203:$U203,'changes2_based on steps'!$B$1:$U$1,H$1)</f>
        <v>0</v>
      </c>
      <c r="I203" s="179">
        <f>SUMIFS('recurring2_based on steps'!$B203:$AY203,'recurring2_based on steps'!$B$1:$AY$1,I$1)+SUMIFS('changes2_based on steps'!$B203:$U203,'changes2_based on steps'!$B$1:$U$1,I$1)</f>
        <v>0</v>
      </c>
      <c r="J203" s="179">
        <f>SUMIFS('recurring2_based on steps'!$B203:$AY203,'recurring2_based on steps'!$B$1:$AY$1,J$1)+SUMIFS('changes2_based on steps'!$B203:$U203,'changes2_based on steps'!$B$1:$U$1,J$1)</f>
        <v>0</v>
      </c>
      <c r="K203" s="179">
        <f>SUMIFS('recurring2_based on steps'!$B203:$AY203,'recurring2_based on steps'!$B$1:$AY$1,K$1)+SUMIFS('changes2_based on steps'!$B203:$U203,'changes2_based on steps'!$B$1:$U$1,K$1)</f>
        <v>0</v>
      </c>
      <c r="L203" s="179">
        <f>SUMIFS('recurring2_based on steps'!$B203:$AY203,'recurring2_based on steps'!$B$1:$AY$1,L$1)+SUMIFS('changes2_based on steps'!$B203:$U203,'changes2_based on steps'!$B$1:$U$1,L$1)</f>
        <v>0</v>
      </c>
      <c r="M203" s="179">
        <f>SUMIFS('recurring2_based on steps'!$B203:$AY203,'recurring2_based on steps'!$B$1:$AY$1,M$1)+SUMIFS('changes2_based on steps'!$B203:$U203,'changes2_based on steps'!$B$1:$U$1,M$1)</f>
        <v>0</v>
      </c>
      <c r="N203" s="179">
        <f>SUMIFS('recurring2_based on steps'!$B203:$AY203,'recurring2_based on steps'!$B$1:$AY$1,N$1)+SUMIFS('changes2_based on steps'!$B203:$U203,'changes2_based on steps'!$B$1:$U$1,N$1)</f>
        <v>0</v>
      </c>
      <c r="O203" s="179">
        <f>SUMIFS('recurring2_based on steps'!$B203:$AY203,'recurring2_based on steps'!$B$1:$AY$1,O$1)+SUMIFS('changes2_based on steps'!$B203:$U203,'changes2_based on steps'!$B$1:$U$1,O$1)</f>
        <v>0</v>
      </c>
      <c r="P203" s="179">
        <f>SUMIFS('recurring2_based on steps'!$B203:$AY203,'recurring2_based on steps'!$B$1:$AY$1,P$1)+SUMIFS('changes2_based on steps'!$B203:$U203,'changes2_based on steps'!$B$1:$U$1,P$1)</f>
        <v>0</v>
      </c>
      <c r="Q203" s="179">
        <f>SUMIFS('recurring2_based on steps'!$B203:$AY203,'recurring2_based on steps'!$B$1:$AY$1,Q$1)+SUMIFS('changes2_based on steps'!$B203:$U203,'changes2_based on steps'!$B$1:$U$1,Q$1)</f>
        <v>0</v>
      </c>
      <c r="R203" s="179">
        <f>SUMIFS('recurring2_based on steps'!$B203:$AY203,'recurring2_based on steps'!$B$1:$AY$1,R$1)+SUMIFS('changes2_based on steps'!$B203:$U203,'changes2_based on steps'!$B$1:$U$1,R$1)</f>
        <v>0</v>
      </c>
      <c r="S203" s="179">
        <f>SUMIFS('recurring2_based on steps'!$B203:$AY203,'recurring2_based on steps'!$B$1:$AY$1,S$1)+SUMIFS('changes2_based on steps'!$B203:$U203,'changes2_based on steps'!$B$1:$U$1,S$1)</f>
        <v>0</v>
      </c>
      <c r="T203" s="179">
        <f>SUMIFS('recurring2_based on steps'!$B203:$AY203,'recurring2_based on steps'!$B$1:$AY$1,T$1)+SUMIFS('changes2_based on steps'!$B203:$U203,'changes2_based on steps'!$B$1:$U$1,T$1)</f>
        <v>0</v>
      </c>
      <c r="U203" s="179">
        <f>SUMIFS('recurring2_based on steps'!$B203:$AY203,'recurring2_based on steps'!$B$1:$AY$1,U$1)+SUMIFS('changes2_based on steps'!$B203:$U203,'changes2_based on steps'!$B$1:$U$1,U$1)</f>
        <v>0</v>
      </c>
      <c r="V203" s="179">
        <f>SUMIFS('recurring2_based on steps'!$B203:$AY203,'recurring2_based on steps'!$B$1:$AY$1,V$1)+SUMIFS('changes2_based on steps'!$B203:$U203,'changes2_based on steps'!$B$1:$U$1,V$1)</f>
        <v>0</v>
      </c>
      <c r="W203" s="179">
        <f>SUMIFS('recurring2_based on steps'!$B203:$AY203,'recurring2_based on steps'!$B$1:$AY$1,W$1)+SUMIFS('changes2_based on steps'!$B203:$U203,'changes2_based on steps'!$B$1:$U$1,W$1)</f>
        <v>0</v>
      </c>
      <c r="X203" s="179">
        <f>SUMIFS('recurring2_based on steps'!$B203:$AY203,'recurring2_based on steps'!$B$1:$AY$1,X$1)+SUMIFS('changes2_based on steps'!$B203:$U203,'changes2_based on steps'!$B$1:$U$1,X$1)</f>
        <v>0</v>
      </c>
      <c r="Y203" s="179">
        <f>SUMIFS('recurring2_based on steps'!$B203:$AY203,'recurring2_based on steps'!$B$1:$AY$1,Y$1)+SUMIFS('changes2_based on steps'!$B203:$U203,'changes2_based on steps'!$B$1:$U$1,Y$1)</f>
        <v>0</v>
      </c>
      <c r="Z203" s="179">
        <f>SUMIFS('recurring2_based on steps'!$B203:$AY203,'recurring2_based on steps'!$B$1:$AY$1,Z$1)+SUMIFS('changes2_based on steps'!$B203:$U203,'changes2_based on steps'!$B$1:$U$1,Z$1)</f>
        <v>0</v>
      </c>
      <c r="AA203" s="179">
        <f>SUMIFS('recurring2_based on steps'!$B203:$AY203,'recurring2_based on steps'!$B$1:$AY$1,AA$1)+SUMIFS('changes2_based on steps'!$B203:$U203,'changes2_based on steps'!$B$1:$U$1,AA$1)</f>
        <v>0</v>
      </c>
      <c r="AB203" s="179">
        <f>SUMIFS('recurring2_based on steps'!$B203:$AY203,'recurring2_based on steps'!$B$1:$AY$1,AB$1)+SUMIFS('changes2_based on steps'!$B203:$U203,'changes2_based on steps'!$B$1:$U$1,AB$1)</f>
        <v>0</v>
      </c>
      <c r="AC203" s="179">
        <f>SUMIFS('recurring2_based on steps'!$B203:$AY203,'recurring2_based on steps'!$B$1:$AY$1,AC$1)+SUMIFS('changes2_based on steps'!$B203:$U203,'changes2_based on steps'!$B$1:$U$1,AC$1)</f>
        <v>0</v>
      </c>
      <c r="AD203" s="179">
        <f>SUMIFS('recurring2_based on steps'!$B203:$AY203,'recurring2_based on steps'!$B$1:$AY$1,AD$1)+SUMIFS('changes2_based on steps'!$B203:$U203,'changes2_based on steps'!$B$1:$U$1,AD$1)</f>
        <v>0</v>
      </c>
      <c r="AE203" s="179">
        <f>SUMIFS('recurring2_based on steps'!$B203:$AY203,'recurring2_based on steps'!$B$1:$AY$1,AE$1)+SUMIFS('changes2_based on steps'!$B203:$U203,'changes2_based on steps'!$B$1:$U$1,AE$1)</f>
        <v>0</v>
      </c>
      <c r="AF203" s="179"/>
      <c r="AG203" s="179"/>
      <c r="AH203" s="179"/>
      <c r="AI203" s="179"/>
      <c r="AJ203" s="179"/>
      <c r="AK203" s="179"/>
      <c r="AL203" s="179"/>
      <c r="AM203" s="179"/>
    </row>
    <row r="204" spans="1:39" x14ac:dyDescent="0.2">
      <c r="A204" s="32">
        <f t="shared" ca="1" si="3"/>
        <v>45946</v>
      </c>
      <c r="B204" s="179">
        <f>SUMIFS('recurring2_based on steps'!$B204:$AY204,'recurring2_based on steps'!$B$1:$AY$1,B$1)+SUMIFS('changes2_based on steps'!$B204:$U204,'changes2_based on steps'!$B$1:$U$1,B$1)</f>
        <v>0</v>
      </c>
      <c r="C204" s="179">
        <f>SUMIFS('recurring2_based on steps'!$B204:$AY204,'recurring2_based on steps'!$B$1:$AY$1,C$1)+SUMIFS('changes2_based on steps'!$B204:$U204,'changes2_based on steps'!$B$1:$U$1,C$1)</f>
        <v>0</v>
      </c>
      <c r="D204" s="179">
        <f>SUMIFS('recurring2_based on steps'!$B204:$AY204,'recurring2_based on steps'!$B$1:$AY$1,D$1)+SUMIFS('changes2_based on steps'!$B204:$U204,'changes2_based on steps'!$B$1:$U$1,D$1)</f>
        <v>0</v>
      </c>
      <c r="E204" s="179">
        <f>SUMIFS('recurring2_based on steps'!$B204:$AY204,'recurring2_based on steps'!$B$1:$AY$1,E$1)+SUMIFS('changes2_based on steps'!$B204:$U204,'changes2_based on steps'!$B$1:$U$1,E$1)</f>
        <v>0</v>
      </c>
      <c r="F204" s="179">
        <f>SUMIFS('recurring2_based on steps'!$B204:$AY204,'recurring2_based on steps'!$B$1:$AY$1,F$1)+SUMIFS('changes2_based on steps'!$B204:$U204,'changes2_based on steps'!$B$1:$U$1,F$1)</f>
        <v>0</v>
      </c>
      <c r="G204" s="179">
        <f>SUMIFS('recurring2_based on steps'!$B204:$AY204,'recurring2_based on steps'!$B$1:$AY$1,G$1)+SUMIFS('changes2_based on steps'!$B204:$U204,'changes2_based on steps'!$B$1:$U$1,G$1)</f>
        <v>0</v>
      </c>
      <c r="H204" s="179">
        <f>SUMIFS('recurring2_based on steps'!$B204:$AY204,'recurring2_based on steps'!$B$1:$AY$1,H$1)+SUMIFS('changes2_based on steps'!$B204:$U204,'changes2_based on steps'!$B$1:$U$1,H$1)</f>
        <v>0</v>
      </c>
      <c r="I204" s="179">
        <f>SUMIFS('recurring2_based on steps'!$B204:$AY204,'recurring2_based on steps'!$B$1:$AY$1,I$1)+SUMIFS('changes2_based on steps'!$B204:$U204,'changes2_based on steps'!$B$1:$U$1,I$1)</f>
        <v>0</v>
      </c>
      <c r="J204" s="179">
        <f>SUMIFS('recurring2_based on steps'!$B204:$AY204,'recurring2_based on steps'!$B$1:$AY$1,J$1)+SUMIFS('changes2_based on steps'!$B204:$U204,'changes2_based on steps'!$B$1:$U$1,J$1)</f>
        <v>0</v>
      </c>
      <c r="K204" s="179">
        <f>SUMIFS('recurring2_based on steps'!$B204:$AY204,'recurring2_based on steps'!$B$1:$AY$1,K$1)+SUMIFS('changes2_based on steps'!$B204:$U204,'changes2_based on steps'!$B$1:$U$1,K$1)</f>
        <v>0</v>
      </c>
      <c r="L204" s="179">
        <f>SUMIFS('recurring2_based on steps'!$B204:$AY204,'recurring2_based on steps'!$B$1:$AY$1,L$1)+SUMIFS('changes2_based on steps'!$B204:$U204,'changes2_based on steps'!$B$1:$U$1,L$1)</f>
        <v>0</v>
      </c>
      <c r="M204" s="179">
        <f>SUMIFS('recurring2_based on steps'!$B204:$AY204,'recurring2_based on steps'!$B$1:$AY$1,M$1)+SUMIFS('changes2_based on steps'!$B204:$U204,'changes2_based on steps'!$B$1:$U$1,M$1)</f>
        <v>0</v>
      </c>
      <c r="N204" s="179">
        <f>SUMIFS('recurring2_based on steps'!$B204:$AY204,'recurring2_based on steps'!$B$1:$AY$1,N$1)+SUMIFS('changes2_based on steps'!$B204:$U204,'changes2_based on steps'!$B$1:$U$1,N$1)</f>
        <v>0</v>
      </c>
      <c r="O204" s="179">
        <f>SUMIFS('recurring2_based on steps'!$B204:$AY204,'recurring2_based on steps'!$B$1:$AY$1,O$1)+SUMIFS('changes2_based on steps'!$B204:$U204,'changes2_based on steps'!$B$1:$U$1,O$1)</f>
        <v>0</v>
      </c>
      <c r="P204" s="179">
        <f>SUMIFS('recurring2_based on steps'!$B204:$AY204,'recurring2_based on steps'!$B$1:$AY$1,P$1)+SUMIFS('changes2_based on steps'!$B204:$U204,'changes2_based on steps'!$B$1:$U$1,P$1)</f>
        <v>0</v>
      </c>
      <c r="Q204" s="179">
        <f>SUMIFS('recurring2_based on steps'!$B204:$AY204,'recurring2_based on steps'!$B$1:$AY$1,Q$1)+SUMIFS('changes2_based on steps'!$B204:$U204,'changes2_based on steps'!$B$1:$U$1,Q$1)</f>
        <v>0</v>
      </c>
      <c r="R204" s="179">
        <f>SUMIFS('recurring2_based on steps'!$B204:$AY204,'recurring2_based on steps'!$B$1:$AY$1,R$1)+SUMIFS('changes2_based on steps'!$B204:$U204,'changes2_based on steps'!$B$1:$U$1,R$1)</f>
        <v>0</v>
      </c>
      <c r="S204" s="179">
        <f>SUMIFS('recurring2_based on steps'!$B204:$AY204,'recurring2_based on steps'!$B$1:$AY$1,S$1)+SUMIFS('changes2_based on steps'!$B204:$U204,'changes2_based on steps'!$B$1:$U$1,S$1)</f>
        <v>0</v>
      </c>
      <c r="T204" s="179">
        <f>SUMIFS('recurring2_based on steps'!$B204:$AY204,'recurring2_based on steps'!$B$1:$AY$1,T$1)+SUMIFS('changes2_based on steps'!$B204:$U204,'changes2_based on steps'!$B$1:$U$1,T$1)</f>
        <v>0</v>
      </c>
      <c r="U204" s="179">
        <f>SUMIFS('recurring2_based on steps'!$B204:$AY204,'recurring2_based on steps'!$B$1:$AY$1,U$1)+SUMIFS('changes2_based on steps'!$B204:$U204,'changes2_based on steps'!$B$1:$U$1,U$1)</f>
        <v>0</v>
      </c>
      <c r="V204" s="179">
        <f>SUMIFS('recurring2_based on steps'!$B204:$AY204,'recurring2_based on steps'!$B$1:$AY$1,V$1)+SUMIFS('changes2_based on steps'!$B204:$U204,'changes2_based on steps'!$B$1:$U$1,V$1)</f>
        <v>0</v>
      </c>
      <c r="W204" s="179">
        <f>SUMIFS('recurring2_based on steps'!$B204:$AY204,'recurring2_based on steps'!$B$1:$AY$1,W$1)+SUMIFS('changes2_based on steps'!$B204:$U204,'changes2_based on steps'!$B$1:$U$1,W$1)</f>
        <v>0</v>
      </c>
      <c r="X204" s="179">
        <f>SUMIFS('recurring2_based on steps'!$B204:$AY204,'recurring2_based on steps'!$B$1:$AY$1,X$1)+SUMIFS('changes2_based on steps'!$B204:$U204,'changes2_based on steps'!$B$1:$U$1,X$1)</f>
        <v>0</v>
      </c>
      <c r="Y204" s="179">
        <f>SUMIFS('recurring2_based on steps'!$B204:$AY204,'recurring2_based on steps'!$B$1:$AY$1,Y$1)+SUMIFS('changes2_based on steps'!$B204:$U204,'changes2_based on steps'!$B$1:$U$1,Y$1)</f>
        <v>0</v>
      </c>
      <c r="Z204" s="179">
        <f>SUMIFS('recurring2_based on steps'!$B204:$AY204,'recurring2_based on steps'!$B$1:$AY$1,Z$1)+SUMIFS('changes2_based on steps'!$B204:$U204,'changes2_based on steps'!$B$1:$U$1,Z$1)</f>
        <v>0</v>
      </c>
      <c r="AA204" s="179">
        <f>SUMIFS('recurring2_based on steps'!$B204:$AY204,'recurring2_based on steps'!$B$1:$AY$1,AA$1)+SUMIFS('changes2_based on steps'!$B204:$U204,'changes2_based on steps'!$B$1:$U$1,AA$1)</f>
        <v>0</v>
      </c>
      <c r="AB204" s="179">
        <f>SUMIFS('recurring2_based on steps'!$B204:$AY204,'recurring2_based on steps'!$B$1:$AY$1,AB$1)+SUMIFS('changes2_based on steps'!$B204:$U204,'changes2_based on steps'!$B$1:$U$1,AB$1)</f>
        <v>0</v>
      </c>
      <c r="AC204" s="179">
        <f>SUMIFS('recurring2_based on steps'!$B204:$AY204,'recurring2_based on steps'!$B$1:$AY$1,AC$1)+SUMIFS('changes2_based on steps'!$B204:$U204,'changes2_based on steps'!$B$1:$U$1,AC$1)</f>
        <v>0</v>
      </c>
      <c r="AD204" s="179">
        <f>SUMIFS('recurring2_based on steps'!$B204:$AY204,'recurring2_based on steps'!$B$1:$AY$1,AD$1)+SUMIFS('changes2_based on steps'!$B204:$U204,'changes2_based on steps'!$B$1:$U$1,AD$1)</f>
        <v>0</v>
      </c>
      <c r="AE204" s="179">
        <f>SUMIFS('recurring2_based on steps'!$B204:$AY204,'recurring2_based on steps'!$B$1:$AY$1,AE$1)+SUMIFS('changes2_based on steps'!$B204:$U204,'changes2_based on steps'!$B$1:$U$1,AE$1)</f>
        <v>0</v>
      </c>
      <c r="AF204" s="179"/>
      <c r="AG204" s="179"/>
      <c r="AH204" s="179"/>
      <c r="AI204" s="179"/>
      <c r="AJ204" s="179"/>
      <c r="AK204" s="179"/>
      <c r="AL204" s="179"/>
      <c r="AM204" s="179"/>
    </row>
    <row r="205" spans="1:39" x14ac:dyDescent="0.2">
      <c r="A205" s="32">
        <f t="shared" ca="1" si="3"/>
        <v>45947</v>
      </c>
      <c r="B205" s="179">
        <f>SUMIFS('recurring2_based on steps'!$B205:$AY205,'recurring2_based on steps'!$B$1:$AY$1,B$1)+SUMIFS('changes2_based on steps'!$B205:$U205,'changes2_based on steps'!$B$1:$U$1,B$1)</f>
        <v>0</v>
      </c>
      <c r="C205" s="179">
        <f>SUMIFS('recurring2_based on steps'!$B205:$AY205,'recurring2_based on steps'!$B$1:$AY$1,C$1)+SUMIFS('changes2_based on steps'!$B205:$U205,'changes2_based on steps'!$B$1:$U$1,C$1)</f>
        <v>0</v>
      </c>
      <c r="D205" s="179">
        <f>SUMIFS('recurring2_based on steps'!$B205:$AY205,'recurring2_based on steps'!$B$1:$AY$1,D$1)+SUMIFS('changes2_based on steps'!$B205:$U205,'changes2_based on steps'!$B$1:$U$1,D$1)</f>
        <v>0</v>
      </c>
      <c r="E205" s="179">
        <f>SUMIFS('recurring2_based on steps'!$B205:$AY205,'recurring2_based on steps'!$B$1:$AY$1,E$1)+SUMIFS('changes2_based on steps'!$B205:$U205,'changes2_based on steps'!$B$1:$U$1,E$1)</f>
        <v>0</v>
      </c>
      <c r="F205" s="179">
        <f>SUMIFS('recurring2_based on steps'!$B205:$AY205,'recurring2_based on steps'!$B$1:$AY$1,F$1)+SUMIFS('changes2_based on steps'!$B205:$U205,'changes2_based on steps'!$B$1:$U$1,F$1)</f>
        <v>0</v>
      </c>
      <c r="G205" s="179">
        <f>SUMIFS('recurring2_based on steps'!$B205:$AY205,'recurring2_based on steps'!$B$1:$AY$1,G$1)+SUMIFS('changes2_based on steps'!$B205:$U205,'changes2_based on steps'!$B$1:$U$1,G$1)</f>
        <v>0</v>
      </c>
      <c r="H205" s="179">
        <f>SUMIFS('recurring2_based on steps'!$B205:$AY205,'recurring2_based on steps'!$B$1:$AY$1,H$1)+SUMIFS('changes2_based on steps'!$B205:$U205,'changes2_based on steps'!$B$1:$U$1,H$1)</f>
        <v>0</v>
      </c>
      <c r="I205" s="179">
        <f>SUMIFS('recurring2_based on steps'!$B205:$AY205,'recurring2_based on steps'!$B$1:$AY$1,I$1)+SUMIFS('changes2_based on steps'!$B205:$U205,'changes2_based on steps'!$B$1:$U$1,I$1)</f>
        <v>0</v>
      </c>
      <c r="J205" s="179">
        <f>SUMIFS('recurring2_based on steps'!$B205:$AY205,'recurring2_based on steps'!$B$1:$AY$1,J$1)+SUMIFS('changes2_based on steps'!$B205:$U205,'changes2_based on steps'!$B$1:$U$1,J$1)</f>
        <v>0</v>
      </c>
      <c r="K205" s="179">
        <f>SUMIFS('recurring2_based on steps'!$B205:$AY205,'recurring2_based on steps'!$B$1:$AY$1,K$1)+SUMIFS('changes2_based on steps'!$B205:$U205,'changes2_based on steps'!$B$1:$U$1,K$1)</f>
        <v>0</v>
      </c>
      <c r="L205" s="179">
        <f>SUMIFS('recurring2_based on steps'!$B205:$AY205,'recurring2_based on steps'!$B$1:$AY$1,L$1)+SUMIFS('changes2_based on steps'!$B205:$U205,'changes2_based on steps'!$B$1:$U$1,L$1)</f>
        <v>0</v>
      </c>
      <c r="M205" s="179">
        <f>SUMIFS('recurring2_based on steps'!$B205:$AY205,'recurring2_based on steps'!$B$1:$AY$1,M$1)+SUMIFS('changes2_based on steps'!$B205:$U205,'changes2_based on steps'!$B$1:$U$1,M$1)</f>
        <v>0</v>
      </c>
      <c r="N205" s="179">
        <f>SUMIFS('recurring2_based on steps'!$B205:$AY205,'recurring2_based on steps'!$B$1:$AY$1,N$1)+SUMIFS('changes2_based on steps'!$B205:$U205,'changes2_based on steps'!$B$1:$U$1,N$1)</f>
        <v>0</v>
      </c>
      <c r="O205" s="179">
        <f>SUMIFS('recurring2_based on steps'!$B205:$AY205,'recurring2_based on steps'!$B$1:$AY$1,O$1)+SUMIFS('changes2_based on steps'!$B205:$U205,'changes2_based on steps'!$B$1:$U$1,O$1)</f>
        <v>0</v>
      </c>
      <c r="P205" s="179">
        <f>SUMIFS('recurring2_based on steps'!$B205:$AY205,'recurring2_based on steps'!$B$1:$AY$1,P$1)+SUMIFS('changes2_based on steps'!$B205:$U205,'changes2_based on steps'!$B$1:$U$1,P$1)</f>
        <v>0</v>
      </c>
      <c r="Q205" s="179">
        <f>SUMIFS('recurring2_based on steps'!$B205:$AY205,'recurring2_based on steps'!$B$1:$AY$1,Q$1)+SUMIFS('changes2_based on steps'!$B205:$U205,'changes2_based on steps'!$B$1:$U$1,Q$1)</f>
        <v>0</v>
      </c>
      <c r="R205" s="179">
        <f>SUMIFS('recurring2_based on steps'!$B205:$AY205,'recurring2_based on steps'!$B$1:$AY$1,R$1)+SUMIFS('changes2_based on steps'!$B205:$U205,'changes2_based on steps'!$B$1:$U$1,R$1)</f>
        <v>0</v>
      </c>
      <c r="S205" s="179">
        <f>SUMIFS('recurring2_based on steps'!$B205:$AY205,'recurring2_based on steps'!$B$1:$AY$1,S$1)+SUMIFS('changes2_based on steps'!$B205:$U205,'changes2_based on steps'!$B$1:$U$1,S$1)</f>
        <v>0</v>
      </c>
      <c r="T205" s="179">
        <f>SUMIFS('recurring2_based on steps'!$B205:$AY205,'recurring2_based on steps'!$B$1:$AY$1,T$1)+SUMIFS('changes2_based on steps'!$B205:$U205,'changes2_based on steps'!$B$1:$U$1,T$1)</f>
        <v>0</v>
      </c>
      <c r="U205" s="179">
        <f>SUMIFS('recurring2_based on steps'!$B205:$AY205,'recurring2_based on steps'!$B$1:$AY$1,U$1)+SUMIFS('changes2_based on steps'!$B205:$U205,'changes2_based on steps'!$B$1:$U$1,U$1)</f>
        <v>0</v>
      </c>
      <c r="V205" s="179">
        <f>SUMIFS('recurring2_based on steps'!$B205:$AY205,'recurring2_based on steps'!$B$1:$AY$1,V$1)+SUMIFS('changes2_based on steps'!$B205:$U205,'changes2_based on steps'!$B$1:$U$1,V$1)</f>
        <v>0</v>
      </c>
      <c r="W205" s="179">
        <f>SUMIFS('recurring2_based on steps'!$B205:$AY205,'recurring2_based on steps'!$B$1:$AY$1,W$1)+SUMIFS('changes2_based on steps'!$B205:$U205,'changes2_based on steps'!$B$1:$U$1,W$1)</f>
        <v>0</v>
      </c>
      <c r="X205" s="179">
        <f>SUMIFS('recurring2_based on steps'!$B205:$AY205,'recurring2_based on steps'!$B$1:$AY$1,X$1)+SUMIFS('changes2_based on steps'!$B205:$U205,'changes2_based on steps'!$B$1:$U$1,X$1)</f>
        <v>0</v>
      </c>
      <c r="Y205" s="179">
        <f>SUMIFS('recurring2_based on steps'!$B205:$AY205,'recurring2_based on steps'!$B$1:$AY$1,Y$1)+SUMIFS('changes2_based on steps'!$B205:$U205,'changes2_based on steps'!$B$1:$U$1,Y$1)</f>
        <v>0</v>
      </c>
      <c r="Z205" s="179">
        <f>SUMIFS('recurring2_based on steps'!$B205:$AY205,'recurring2_based on steps'!$B$1:$AY$1,Z$1)+SUMIFS('changes2_based on steps'!$B205:$U205,'changes2_based on steps'!$B$1:$U$1,Z$1)</f>
        <v>0</v>
      </c>
      <c r="AA205" s="179">
        <f>SUMIFS('recurring2_based on steps'!$B205:$AY205,'recurring2_based on steps'!$B$1:$AY$1,AA$1)+SUMIFS('changes2_based on steps'!$B205:$U205,'changes2_based on steps'!$B$1:$U$1,AA$1)</f>
        <v>0</v>
      </c>
      <c r="AB205" s="179">
        <f>SUMIFS('recurring2_based on steps'!$B205:$AY205,'recurring2_based on steps'!$B$1:$AY$1,AB$1)+SUMIFS('changes2_based on steps'!$B205:$U205,'changes2_based on steps'!$B$1:$U$1,AB$1)</f>
        <v>0</v>
      </c>
      <c r="AC205" s="179">
        <f>SUMIFS('recurring2_based on steps'!$B205:$AY205,'recurring2_based on steps'!$B$1:$AY$1,AC$1)+SUMIFS('changes2_based on steps'!$B205:$U205,'changes2_based on steps'!$B$1:$U$1,AC$1)</f>
        <v>0</v>
      </c>
      <c r="AD205" s="179">
        <f>SUMIFS('recurring2_based on steps'!$B205:$AY205,'recurring2_based on steps'!$B$1:$AY$1,AD$1)+SUMIFS('changes2_based on steps'!$B205:$U205,'changes2_based on steps'!$B$1:$U$1,AD$1)</f>
        <v>0</v>
      </c>
      <c r="AE205" s="179">
        <f>SUMIFS('recurring2_based on steps'!$B205:$AY205,'recurring2_based on steps'!$B$1:$AY$1,AE$1)+SUMIFS('changes2_based on steps'!$B205:$U205,'changes2_based on steps'!$B$1:$U$1,AE$1)</f>
        <v>0</v>
      </c>
      <c r="AF205" s="179"/>
      <c r="AG205" s="179"/>
      <c r="AH205" s="179"/>
      <c r="AI205" s="179"/>
      <c r="AJ205" s="179"/>
      <c r="AK205" s="179"/>
      <c r="AL205" s="179"/>
      <c r="AM205" s="179"/>
    </row>
    <row r="206" spans="1:39" x14ac:dyDescent="0.2">
      <c r="A206" s="32">
        <f t="shared" ca="1" si="3"/>
        <v>45948</v>
      </c>
      <c r="B206" s="179">
        <f>SUMIFS('recurring2_based on steps'!$B206:$AY206,'recurring2_based on steps'!$B$1:$AY$1,B$1)+SUMIFS('changes2_based on steps'!$B206:$U206,'changes2_based on steps'!$B$1:$U$1,B$1)</f>
        <v>0</v>
      </c>
      <c r="C206" s="179">
        <f>SUMIFS('recurring2_based on steps'!$B206:$AY206,'recurring2_based on steps'!$B$1:$AY$1,C$1)+SUMIFS('changes2_based on steps'!$B206:$U206,'changes2_based on steps'!$B$1:$U$1,C$1)</f>
        <v>0</v>
      </c>
      <c r="D206" s="179">
        <f>SUMIFS('recurring2_based on steps'!$B206:$AY206,'recurring2_based on steps'!$B$1:$AY$1,D$1)+SUMIFS('changes2_based on steps'!$B206:$U206,'changes2_based on steps'!$B$1:$U$1,D$1)</f>
        <v>0</v>
      </c>
      <c r="E206" s="179">
        <f>SUMIFS('recurring2_based on steps'!$B206:$AY206,'recurring2_based on steps'!$B$1:$AY$1,E$1)+SUMIFS('changes2_based on steps'!$B206:$U206,'changes2_based on steps'!$B$1:$U$1,E$1)</f>
        <v>0</v>
      </c>
      <c r="F206" s="179">
        <f>SUMIFS('recurring2_based on steps'!$B206:$AY206,'recurring2_based on steps'!$B$1:$AY$1,F$1)+SUMIFS('changes2_based on steps'!$B206:$U206,'changes2_based on steps'!$B$1:$U$1,F$1)</f>
        <v>0</v>
      </c>
      <c r="G206" s="179">
        <f>SUMIFS('recurring2_based on steps'!$B206:$AY206,'recurring2_based on steps'!$B$1:$AY$1,G$1)+SUMIFS('changes2_based on steps'!$B206:$U206,'changes2_based on steps'!$B$1:$U$1,G$1)</f>
        <v>0</v>
      </c>
      <c r="H206" s="179">
        <f>SUMIFS('recurring2_based on steps'!$B206:$AY206,'recurring2_based on steps'!$B$1:$AY$1,H$1)+SUMIFS('changes2_based on steps'!$B206:$U206,'changes2_based on steps'!$B$1:$U$1,H$1)</f>
        <v>0</v>
      </c>
      <c r="I206" s="179">
        <f>SUMIFS('recurring2_based on steps'!$B206:$AY206,'recurring2_based on steps'!$B$1:$AY$1,I$1)+SUMIFS('changes2_based on steps'!$B206:$U206,'changes2_based on steps'!$B$1:$U$1,I$1)</f>
        <v>0</v>
      </c>
      <c r="J206" s="179">
        <f>SUMIFS('recurring2_based on steps'!$B206:$AY206,'recurring2_based on steps'!$B$1:$AY$1,J$1)+SUMIFS('changes2_based on steps'!$B206:$U206,'changes2_based on steps'!$B$1:$U$1,J$1)</f>
        <v>0</v>
      </c>
      <c r="K206" s="179">
        <f>SUMIFS('recurring2_based on steps'!$B206:$AY206,'recurring2_based on steps'!$B$1:$AY$1,K$1)+SUMIFS('changes2_based on steps'!$B206:$U206,'changes2_based on steps'!$B$1:$U$1,K$1)</f>
        <v>0</v>
      </c>
      <c r="L206" s="179">
        <f>SUMIFS('recurring2_based on steps'!$B206:$AY206,'recurring2_based on steps'!$B$1:$AY$1,L$1)+SUMIFS('changes2_based on steps'!$B206:$U206,'changes2_based on steps'!$B$1:$U$1,L$1)</f>
        <v>0</v>
      </c>
      <c r="M206" s="179">
        <f>SUMIFS('recurring2_based on steps'!$B206:$AY206,'recurring2_based on steps'!$B$1:$AY$1,M$1)+SUMIFS('changes2_based on steps'!$B206:$U206,'changes2_based on steps'!$B$1:$U$1,M$1)</f>
        <v>0</v>
      </c>
      <c r="N206" s="179">
        <f>SUMIFS('recurring2_based on steps'!$B206:$AY206,'recurring2_based on steps'!$B$1:$AY$1,N$1)+SUMIFS('changes2_based on steps'!$B206:$U206,'changes2_based on steps'!$B$1:$U$1,N$1)</f>
        <v>0</v>
      </c>
      <c r="O206" s="179">
        <f>SUMIFS('recurring2_based on steps'!$B206:$AY206,'recurring2_based on steps'!$B$1:$AY$1,O$1)+SUMIFS('changes2_based on steps'!$B206:$U206,'changes2_based on steps'!$B$1:$U$1,O$1)</f>
        <v>0</v>
      </c>
      <c r="P206" s="179">
        <f>SUMIFS('recurring2_based on steps'!$B206:$AY206,'recurring2_based on steps'!$B$1:$AY$1,P$1)+SUMIFS('changes2_based on steps'!$B206:$U206,'changes2_based on steps'!$B$1:$U$1,P$1)</f>
        <v>0</v>
      </c>
      <c r="Q206" s="179">
        <f>SUMIFS('recurring2_based on steps'!$B206:$AY206,'recurring2_based on steps'!$B$1:$AY$1,Q$1)+SUMIFS('changes2_based on steps'!$B206:$U206,'changes2_based on steps'!$B$1:$U$1,Q$1)</f>
        <v>0</v>
      </c>
      <c r="R206" s="179">
        <f>SUMIFS('recurring2_based on steps'!$B206:$AY206,'recurring2_based on steps'!$B$1:$AY$1,R$1)+SUMIFS('changes2_based on steps'!$B206:$U206,'changes2_based on steps'!$B$1:$U$1,R$1)</f>
        <v>0</v>
      </c>
      <c r="S206" s="179">
        <f>SUMIFS('recurring2_based on steps'!$B206:$AY206,'recurring2_based on steps'!$B$1:$AY$1,S$1)+SUMIFS('changes2_based on steps'!$B206:$U206,'changes2_based on steps'!$B$1:$U$1,S$1)</f>
        <v>0</v>
      </c>
      <c r="T206" s="179">
        <f>SUMIFS('recurring2_based on steps'!$B206:$AY206,'recurring2_based on steps'!$B$1:$AY$1,T$1)+SUMIFS('changes2_based on steps'!$B206:$U206,'changes2_based on steps'!$B$1:$U$1,T$1)</f>
        <v>0</v>
      </c>
      <c r="U206" s="179">
        <f>SUMIFS('recurring2_based on steps'!$B206:$AY206,'recurring2_based on steps'!$B$1:$AY$1,U$1)+SUMIFS('changes2_based on steps'!$B206:$U206,'changes2_based on steps'!$B$1:$U$1,U$1)</f>
        <v>0</v>
      </c>
      <c r="V206" s="179">
        <f>SUMIFS('recurring2_based on steps'!$B206:$AY206,'recurring2_based on steps'!$B$1:$AY$1,V$1)+SUMIFS('changes2_based on steps'!$B206:$U206,'changes2_based on steps'!$B$1:$U$1,V$1)</f>
        <v>0</v>
      </c>
      <c r="W206" s="179">
        <f>SUMIFS('recurring2_based on steps'!$B206:$AY206,'recurring2_based on steps'!$B$1:$AY$1,W$1)+SUMIFS('changes2_based on steps'!$B206:$U206,'changes2_based on steps'!$B$1:$U$1,W$1)</f>
        <v>0</v>
      </c>
      <c r="X206" s="179">
        <f>SUMIFS('recurring2_based on steps'!$B206:$AY206,'recurring2_based on steps'!$B$1:$AY$1,X$1)+SUMIFS('changes2_based on steps'!$B206:$U206,'changes2_based on steps'!$B$1:$U$1,X$1)</f>
        <v>0</v>
      </c>
      <c r="Y206" s="179">
        <f>SUMIFS('recurring2_based on steps'!$B206:$AY206,'recurring2_based on steps'!$B$1:$AY$1,Y$1)+SUMIFS('changes2_based on steps'!$B206:$U206,'changes2_based on steps'!$B$1:$U$1,Y$1)</f>
        <v>0</v>
      </c>
      <c r="Z206" s="179">
        <f>SUMIFS('recurring2_based on steps'!$B206:$AY206,'recurring2_based on steps'!$B$1:$AY$1,Z$1)+SUMIFS('changes2_based on steps'!$B206:$U206,'changes2_based on steps'!$B$1:$U$1,Z$1)</f>
        <v>0</v>
      </c>
      <c r="AA206" s="179">
        <f>SUMIFS('recurring2_based on steps'!$B206:$AY206,'recurring2_based on steps'!$B$1:$AY$1,AA$1)+SUMIFS('changes2_based on steps'!$B206:$U206,'changes2_based on steps'!$B$1:$U$1,AA$1)</f>
        <v>0</v>
      </c>
      <c r="AB206" s="179">
        <f>SUMIFS('recurring2_based on steps'!$B206:$AY206,'recurring2_based on steps'!$B$1:$AY$1,AB$1)+SUMIFS('changes2_based on steps'!$B206:$U206,'changes2_based on steps'!$B$1:$U$1,AB$1)</f>
        <v>0</v>
      </c>
      <c r="AC206" s="179">
        <f>SUMIFS('recurring2_based on steps'!$B206:$AY206,'recurring2_based on steps'!$B$1:$AY$1,AC$1)+SUMIFS('changes2_based on steps'!$B206:$U206,'changes2_based on steps'!$B$1:$U$1,AC$1)</f>
        <v>0</v>
      </c>
      <c r="AD206" s="179">
        <f>SUMIFS('recurring2_based on steps'!$B206:$AY206,'recurring2_based on steps'!$B$1:$AY$1,AD$1)+SUMIFS('changes2_based on steps'!$B206:$U206,'changes2_based on steps'!$B$1:$U$1,AD$1)</f>
        <v>0</v>
      </c>
      <c r="AE206" s="179">
        <f>SUMIFS('recurring2_based on steps'!$B206:$AY206,'recurring2_based on steps'!$B$1:$AY$1,AE$1)+SUMIFS('changes2_based on steps'!$B206:$U206,'changes2_based on steps'!$B$1:$U$1,AE$1)</f>
        <v>0</v>
      </c>
      <c r="AF206" s="179"/>
      <c r="AG206" s="179"/>
      <c r="AH206" s="179"/>
      <c r="AI206" s="179"/>
      <c r="AJ206" s="179"/>
      <c r="AK206" s="179"/>
      <c r="AL206" s="179"/>
      <c r="AM206" s="179"/>
    </row>
    <row r="207" spans="1:39" x14ac:dyDescent="0.2">
      <c r="A207" s="32">
        <f t="shared" ca="1" si="3"/>
        <v>45949</v>
      </c>
      <c r="B207" s="179">
        <f>SUMIFS('recurring2_based on steps'!$B207:$AY207,'recurring2_based on steps'!$B$1:$AY$1,B$1)+SUMIFS('changes2_based on steps'!$B207:$U207,'changes2_based on steps'!$B$1:$U$1,B$1)</f>
        <v>0</v>
      </c>
      <c r="C207" s="179">
        <f>SUMIFS('recurring2_based on steps'!$B207:$AY207,'recurring2_based on steps'!$B$1:$AY$1,C$1)+SUMIFS('changes2_based on steps'!$B207:$U207,'changes2_based on steps'!$B$1:$U$1,C$1)</f>
        <v>0</v>
      </c>
      <c r="D207" s="179">
        <f>SUMIFS('recurring2_based on steps'!$B207:$AY207,'recurring2_based on steps'!$B$1:$AY$1,D$1)+SUMIFS('changes2_based on steps'!$B207:$U207,'changes2_based on steps'!$B$1:$U$1,D$1)</f>
        <v>0</v>
      </c>
      <c r="E207" s="179">
        <f>SUMIFS('recurring2_based on steps'!$B207:$AY207,'recurring2_based on steps'!$B$1:$AY$1,E$1)+SUMIFS('changes2_based on steps'!$B207:$U207,'changes2_based on steps'!$B$1:$U$1,E$1)</f>
        <v>0</v>
      </c>
      <c r="F207" s="179">
        <f>SUMIFS('recurring2_based on steps'!$B207:$AY207,'recurring2_based on steps'!$B$1:$AY$1,F$1)+SUMIFS('changes2_based on steps'!$B207:$U207,'changes2_based on steps'!$B$1:$U$1,F$1)</f>
        <v>0</v>
      </c>
      <c r="G207" s="179">
        <f>SUMIFS('recurring2_based on steps'!$B207:$AY207,'recurring2_based on steps'!$B$1:$AY$1,G$1)+SUMIFS('changes2_based on steps'!$B207:$U207,'changes2_based on steps'!$B$1:$U$1,G$1)</f>
        <v>0</v>
      </c>
      <c r="H207" s="179">
        <f>SUMIFS('recurring2_based on steps'!$B207:$AY207,'recurring2_based on steps'!$B$1:$AY$1,H$1)+SUMIFS('changes2_based on steps'!$B207:$U207,'changes2_based on steps'!$B$1:$U$1,H$1)</f>
        <v>0</v>
      </c>
      <c r="I207" s="179">
        <f>SUMIFS('recurring2_based on steps'!$B207:$AY207,'recurring2_based on steps'!$B$1:$AY$1,I$1)+SUMIFS('changes2_based on steps'!$B207:$U207,'changes2_based on steps'!$B$1:$U$1,I$1)</f>
        <v>0</v>
      </c>
      <c r="J207" s="179">
        <f>SUMIFS('recurring2_based on steps'!$B207:$AY207,'recurring2_based on steps'!$B$1:$AY$1,J$1)+SUMIFS('changes2_based on steps'!$B207:$U207,'changes2_based on steps'!$B$1:$U$1,J$1)</f>
        <v>0</v>
      </c>
      <c r="K207" s="179">
        <f>SUMIFS('recurring2_based on steps'!$B207:$AY207,'recurring2_based on steps'!$B$1:$AY$1,K$1)+SUMIFS('changes2_based on steps'!$B207:$U207,'changes2_based on steps'!$B$1:$U$1,K$1)</f>
        <v>0</v>
      </c>
      <c r="L207" s="179">
        <f>SUMIFS('recurring2_based on steps'!$B207:$AY207,'recurring2_based on steps'!$B$1:$AY$1,L$1)+SUMIFS('changes2_based on steps'!$B207:$U207,'changes2_based on steps'!$B$1:$U$1,L$1)</f>
        <v>0</v>
      </c>
      <c r="M207" s="179">
        <f>SUMIFS('recurring2_based on steps'!$B207:$AY207,'recurring2_based on steps'!$B$1:$AY$1,M$1)+SUMIFS('changes2_based on steps'!$B207:$U207,'changes2_based on steps'!$B$1:$U$1,M$1)</f>
        <v>0</v>
      </c>
      <c r="N207" s="179">
        <f>SUMIFS('recurring2_based on steps'!$B207:$AY207,'recurring2_based on steps'!$B$1:$AY$1,N$1)+SUMIFS('changes2_based on steps'!$B207:$U207,'changes2_based on steps'!$B$1:$U$1,N$1)</f>
        <v>0</v>
      </c>
      <c r="O207" s="179">
        <f>SUMIFS('recurring2_based on steps'!$B207:$AY207,'recurring2_based on steps'!$B$1:$AY$1,O$1)+SUMIFS('changes2_based on steps'!$B207:$U207,'changes2_based on steps'!$B$1:$U$1,O$1)</f>
        <v>0</v>
      </c>
      <c r="P207" s="179">
        <f>SUMIFS('recurring2_based on steps'!$B207:$AY207,'recurring2_based on steps'!$B$1:$AY$1,P$1)+SUMIFS('changes2_based on steps'!$B207:$U207,'changes2_based on steps'!$B$1:$U$1,P$1)</f>
        <v>0</v>
      </c>
      <c r="Q207" s="179">
        <f>SUMIFS('recurring2_based on steps'!$B207:$AY207,'recurring2_based on steps'!$B$1:$AY$1,Q$1)+SUMIFS('changes2_based on steps'!$B207:$U207,'changes2_based on steps'!$B$1:$U$1,Q$1)</f>
        <v>0</v>
      </c>
      <c r="R207" s="179">
        <f>SUMIFS('recurring2_based on steps'!$B207:$AY207,'recurring2_based on steps'!$B$1:$AY$1,R$1)+SUMIFS('changes2_based on steps'!$B207:$U207,'changes2_based on steps'!$B$1:$U$1,R$1)</f>
        <v>0</v>
      </c>
      <c r="S207" s="179">
        <f>SUMIFS('recurring2_based on steps'!$B207:$AY207,'recurring2_based on steps'!$B$1:$AY$1,S$1)+SUMIFS('changes2_based on steps'!$B207:$U207,'changes2_based on steps'!$B$1:$U$1,S$1)</f>
        <v>0</v>
      </c>
      <c r="T207" s="179">
        <f>SUMIFS('recurring2_based on steps'!$B207:$AY207,'recurring2_based on steps'!$B$1:$AY$1,T$1)+SUMIFS('changes2_based on steps'!$B207:$U207,'changes2_based on steps'!$B$1:$U$1,T$1)</f>
        <v>0</v>
      </c>
      <c r="U207" s="179">
        <f>SUMIFS('recurring2_based on steps'!$B207:$AY207,'recurring2_based on steps'!$B$1:$AY$1,U$1)+SUMIFS('changes2_based on steps'!$B207:$U207,'changes2_based on steps'!$B$1:$U$1,U$1)</f>
        <v>0</v>
      </c>
      <c r="V207" s="179">
        <f>SUMIFS('recurring2_based on steps'!$B207:$AY207,'recurring2_based on steps'!$B$1:$AY$1,V$1)+SUMIFS('changes2_based on steps'!$B207:$U207,'changes2_based on steps'!$B$1:$U$1,V$1)</f>
        <v>0</v>
      </c>
      <c r="W207" s="179">
        <f>SUMIFS('recurring2_based on steps'!$B207:$AY207,'recurring2_based on steps'!$B$1:$AY$1,W$1)+SUMIFS('changes2_based on steps'!$B207:$U207,'changes2_based on steps'!$B$1:$U$1,W$1)</f>
        <v>0</v>
      </c>
      <c r="X207" s="179">
        <f>SUMIFS('recurring2_based on steps'!$B207:$AY207,'recurring2_based on steps'!$B$1:$AY$1,X$1)+SUMIFS('changes2_based on steps'!$B207:$U207,'changes2_based on steps'!$B$1:$U$1,X$1)</f>
        <v>0</v>
      </c>
      <c r="Y207" s="179">
        <f>SUMIFS('recurring2_based on steps'!$B207:$AY207,'recurring2_based on steps'!$B$1:$AY$1,Y$1)+SUMIFS('changes2_based on steps'!$B207:$U207,'changes2_based on steps'!$B$1:$U$1,Y$1)</f>
        <v>0</v>
      </c>
      <c r="Z207" s="179">
        <f>SUMIFS('recurring2_based on steps'!$B207:$AY207,'recurring2_based on steps'!$B$1:$AY$1,Z$1)+SUMIFS('changes2_based on steps'!$B207:$U207,'changes2_based on steps'!$B$1:$U$1,Z$1)</f>
        <v>0</v>
      </c>
      <c r="AA207" s="179">
        <f>SUMIFS('recurring2_based on steps'!$B207:$AY207,'recurring2_based on steps'!$B$1:$AY$1,AA$1)+SUMIFS('changes2_based on steps'!$B207:$U207,'changes2_based on steps'!$B$1:$U$1,AA$1)</f>
        <v>0</v>
      </c>
      <c r="AB207" s="179">
        <f>SUMIFS('recurring2_based on steps'!$B207:$AY207,'recurring2_based on steps'!$B$1:$AY$1,AB$1)+SUMIFS('changes2_based on steps'!$B207:$U207,'changes2_based on steps'!$B$1:$U$1,AB$1)</f>
        <v>0</v>
      </c>
      <c r="AC207" s="179">
        <f>SUMIFS('recurring2_based on steps'!$B207:$AY207,'recurring2_based on steps'!$B$1:$AY$1,AC$1)+SUMIFS('changes2_based on steps'!$B207:$U207,'changes2_based on steps'!$B$1:$U$1,AC$1)</f>
        <v>0</v>
      </c>
      <c r="AD207" s="179">
        <f>SUMIFS('recurring2_based on steps'!$B207:$AY207,'recurring2_based on steps'!$B$1:$AY$1,AD$1)+SUMIFS('changes2_based on steps'!$B207:$U207,'changes2_based on steps'!$B$1:$U$1,AD$1)</f>
        <v>0</v>
      </c>
      <c r="AE207" s="179">
        <f>SUMIFS('recurring2_based on steps'!$B207:$AY207,'recurring2_based on steps'!$B$1:$AY$1,AE$1)+SUMIFS('changes2_based on steps'!$B207:$U207,'changes2_based on steps'!$B$1:$U$1,AE$1)</f>
        <v>0</v>
      </c>
      <c r="AF207" s="179"/>
      <c r="AG207" s="179"/>
      <c r="AH207" s="179"/>
      <c r="AI207" s="179"/>
      <c r="AJ207" s="179"/>
      <c r="AK207" s="179"/>
      <c r="AL207" s="179"/>
      <c r="AM207" s="179"/>
    </row>
    <row r="208" spans="1:39" x14ac:dyDescent="0.2">
      <c r="A208" s="32">
        <f t="shared" ca="1" si="3"/>
        <v>45950</v>
      </c>
      <c r="B208" s="179">
        <f>SUMIFS('recurring2_based on steps'!$B208:$AY208,'recurring2_based on steps'!$B$1:$AY$1,B$1)+SUMIFS('changes2_based on steps'!$B208:$U208,'changes2_based on steps'!$B$1:$U$1,B$1)</f>
        <v>0</v>
      </c>
      <c r="C208" s="179">
        <f>SUMIFS('recurring2_based on steps'!$B208:$AY208,'recurring2_based on steps'!$B$1:$AY$1,C$1)+SUMIFS('changes2_based on steps'!$B208:$U208,'changes2_based on steps'!$B$1:$U$1,C$1)</f>
        <v>0</v>
      </c>
      <c r="D208" s="179">
        <f>SUMIFS('recurring2_based on steps'!$B208:$AY208,'recurring2_based on steps'!$B$1:$AY$1,D$1)+SUMIFS('changes2_based on steps'!$B208:$U208,'changes2_based on steps'!$B$1:$U$1,D$1)</f>
        <v>0</v>
      </c>
      <c r="E208" s="179">
        <f>SUMIFS('recurring2_based on steps'!$B208:$AY208,'recurring2_based on steps'!$B$1:$AY$1,E$1)+SUMIFS('changes2_based on steps'!$B208:$U208,'changes2_based on steps'!$B$1:$U$1,E$1)</f>
        <v>0</v>
      </c>
      <c r="F208" s="179">
        <f>SUMIFS('recurring2_based on steps'!$B208:$AY208,'recurring2_based on steps'!$B$1:$AY$1,F$1)+SUMIFS('changes2_based on steps'!$B208:$U208,'changes2_based on steps'!$B$1:$U$1,F$1)</f>
        <v>0</v>
      </c>
      <c r="G208" s="179">
        <f>SUMIFS('recurring2_based on steps'!$B208:$AY208,'recurring2_based on steps'!$B$1:$AY$1,G$1)+SUMIFS('changes2_based on steps'!$B208:$U208,'changes2_based on steps'!$B$1:$U$1,G$1)</f>
        <v>0</v>
      </c>
      <c r="H208" s="179">
        <f>SUMIFS('recurring2_based on steps'!$B208:$AY208,'recurring2_based on steps'!$B$1:$AY$1,H$1)+SUMIFS('changes2_based on steps'!$B208:$U208,'changes2_based on steps'!$B$1:$U$1,H$1)</f>
        <v>0</v>
      </c>
      <c r="I208" s="179">
        <f>SUMIFS('recurring2_based on steps'!$B208:$AY208,'recurring2_based on steps'!$B$1:$AY$1,I$1)+SUMIFS('changes2_based on steps'!$B208:$U208,'changes2_based on steps'!$B$1:$U$1,I$1)</f>
        <v>0</v>
      </c>
      <c r="J208" s="179">
        <f>SUMIFS('recurring2_based on steps'!$B208:$AY208,'recurring2_based on steps'!$B$1:$AY$1,J$1)+SUMIFS('changes2_based on steps'!$B208:$U208,'changes2_based on steps'!$B$1:$U$1,J$1)</f>
        <v>0</v>
      </c>
      <c r="K208" s="179">
        <f>SUMIFS('recurring2_based on steps'!$B208:$AY208,'recurring2_based on steps'!$B$1:$AY$1,K$1)+SUMIFS('changes2_based on steps'!$B208:$U208,'changes2_based on steps'!$B$1:$U$1,K$1)</f>
        <v>0</v>
      </c>
      <c r="L208" s="179">
        <f>SUMIFS('recurring2_based on steps'!$B208:$AY208,'recurring2_based on steps'!$B$1:$AY$1,L$1)+SUMIFS('changes2_based on steps'!$B208:$U208,'changes2_based on steps'!$B$1:$U$1,L$1)</f>
        <v>0</v>
      </c>
      <c r="M208" s="179">
        <f>SUMIFS('recurring2_based on steps'!$B208:$AY208,'recurring2_based on steps'!$B$1:$AY$1,M$1)+SUMIFS('changes2_based on steps'!$B208:$U208,'changes2_based on steps'!$B$1:$U$1,M$1)</f>
        <v>0</v>
      </c>
      <c r="N208" s="179">
        <f>SUMIFS('recurring2_based on steps'!$B208:$AY208,'recurring2_based on steps'!$B$1:$AY$1,N$1)+SUMIFS('changes2_based on steps'!$B208:$U208,'changes2_based on steps'!$B$1:$U$1,N$1)</f>
        <v>0</v>
      </c>
      <c r="O208" s="179">
        <f>SUMIFS('recurring2_based on steps'!$B208:$AY208,'recurring2_based on steps'!$B$1:$AY$1,O$1)+SUMIFS('changes2_based on steps'!$B208:$U208,'changes2_based on steps'!$B$1:$U$1,O$1)</f>
        <v>0</v>
      </c>
      <c r="P208" s="179">
        <f>SUMIFS('recurring2_based on steps'!$B208:$AY208,'recurring2_based on steps'!$B$1:$AY$1,P$1)+SUMIFS('changes2_based on steps'!$B208:$U208,'changes2_based on steps'!$B$1:$U$1,P$1)</f>
        <v>0</v>
      </c>
      <c r="Q208" s="179">
        <f>SUMIFS('recurring2_based on steps'!$B208:$AY208,'recurring2_based on steps'!$B$1:$AY$1,Q$1)+SUMIFS('changes2_based on steps'!$B208:$U208,'changes2_based on steps'!$B$1:$U$1,Q$1)</f>
        <v>0</v>
      </c>
      <c r="R208" s="179">
        <f>SUMIFS('recurring2_based on steps'!$B208:$AY208,'recurring2_based on steps'!$B$1:$AY$1,R$1)+SUMIFS('changes2_based on steps'!$B208:$U208,'changes2_based on steps'!$B$1:$U$1,R$1)</f>
        <v>0</v>
      </c>
      <c r="S208" s="179">
        <f>SUMIFS('recurring2_based on steps'!$B208:$AY208,'recurring2_based on steps'!$B$1:$AY$1,S$1)+SUMIFS('changes2_based on steps'!$B208:$U208,'changes2_based on steps'!$B$1:$U$1,S$1)</f>
        <v>0</v>
      </c>
      <c r="T208" s="179">
        <f>SUMIFS('recurring2_based on steps'!$B208:$AY208,'recurring2_based on steps'!$B$1:$AY$1,T$1)+SUMIFS('changes2_based on steps'!$B208:$U208,'changes2_based on steps'!$B$1:$U$1,T$1)</f>
        <v>0</v>
      </c>
      <c r="U208" s="179">
        <f>SUMIFS('recurring2_based on steps'!$B208:$AY208,'recurring2_based on steps'!$B$1:$AY$1,U$1)+SUMIFS('changes2_based on steps'!$B208:$U208,'changes2_based on steps'!$B$1:$U$1,U$1)</f>
        <v>0</v>
      </c>
      <c r="V208" s="179">
        <f>SUMIFS('recurring2_based on steps'!$B208:$AY208,'recurring2_based on steps'!$B$1:$AY$1,V$1)+SUMIFS('changes2_based on steps'!$B208:$U208,'changes2_based on steps'!$B$1:$U$1,V$1)</f>
        <v>0</v>
      </c>
      <c r="W208" s="179">
        <f>SUMIFS('recurring2_based on steps'!$B208:$AY208,'recurring2_based on steps'!$B$1:$AY$1,W$1)+SUMIFS('changes2_based on steps'!$B208:$U208,'changes2_based on steps'!$B$1:$U$1,W$1)</f>
        <v>0</v>
      </c>
      <c r="X208" s="179">
        <f>SUMIFS('recurring2_based on steps'!$B208:$AY208,'recurring2_based on steps'!$B$1:$AY$1,X$1)+SUMIFS('changes2_based on steps'!$B208:$U208,'changes2_based on steps'!$B$1:$U$1,X$1)</f>
        <v>0</v>
      </c>
      <c r="Y208" s="179">
        <f>SUMIFS('recurring2_based on steps'!$B208:$AY208,'recurring2_based on steps'!$B$1:$AY$1,Y$1)+SUMIFS('changes2_based on steps'!$B208:$U208,'changes2_based on steps'!$B$1:$U$1,Y$1)</f>
        <v>0</v>
      </c>
      <c r="Z208" s="179">
        <f>SUMIFS('recurring2_based on steps'!$B208:$AY208,'recurring2_based on steps'!$B$1:$AY$1,Z$1)+SUMIFS('changes2_based on steps'!$B208:$U208,'changes2_based on steps'!$B$1:$U$1,Z$1)</f>
        <v>0</v>
      </c>
      <c r="AA208" s="179">
        <f>SUMIFS('recurring2_based on steps'!$B208:$AY208,'recurring2_based on steps'!$B$1:$AY$1,AA$1)+SUMIFS('changes2_based on steps'!$B208:$U208,'changes2_based on steps'!$B$1:$U$1,AA$1)</f>
        <v>0</v>
      </c>
      <c r="AB208" s="179">
        <f>SUMIFS('recurring2_based on steps'!$B208:$AY208,'recurring2_based on steps'!$B$1:$AY$1,AB$1)+SUMIFS('changes2_based on steps'!$B208:$U208,'changes2_based on steps'!$B$1:$U$1,AB$1)</f>
        <v>0</v>
      </c>
      <c r="AC208" s="179">
        <f>SUMIFS('recurring2_based on steps'!$B208:$AY208,'recurring2_based on steps'!$B$1:$AY$1,AC$1)+SUMIFS('changes2_based on steps'!$B208:$U208,'changes2_based on steps'!$B$1:$U$1,AC$1)</f>
        <v>0</v>
      </c>
      <c r="AD208" s="179">
        <f>SUMIFS('recurring2_based on steps'!$B208:$AY208,'recurring2_based on steps'!$B$1:$AY$1,AD$1)+SUMIFS('changes2_based on steps'!$B208:$U208,'changes2_based on steps'!$B$1:$U$1,AD$1)</f>
        <v>0</v>
      </c>
      <c r="AE208" s="179">
        <f>SUMIFS('recurring2_based on steps'!$B208:$AY208,'recurring2_based on steps'!$B$1:$AY$1,AE$1)+SUMIFS('changes2_based on steps'!$B208:$U208,'changes2_based on steps'!$B$1:$U$1,AE$1)</f>
        <v>0</v>
      </c>
      <c r="AF208" s="179"/>
      <c r="AG208" s="179"/>
      <c r="AH208" s="179"/>
      <c r="AI208" s="179"/>
      <c r="AJ208" s="179"/>
      <c r="AK208" s="179"/>
      <c r="AL208" s="179"/>
      <c r="AM208" s="179"/>
    </row>
    <row r="209" spans="1:39" x14ac:dyDescent="0.2">
      <c r="A209" s="32">
        <f t="shared" ca="1" si="3"/>
        <v>45951</v>
      </c>
      <c r="B209" s="179">
        <f>SUMIFS('recurring2_based on steps'!$B209:$AY209,'recurring2_based on steps'!$B$1:$AY$1,B$1)+SUMIFS('changes2_based on steps'!$B209:$U209,'changes2_based on steps'!$B$1:$U$1,B$1)</f>
        <v>0</v>
      </c>
      <c r="C209" s="179">
        <f>SUMIFS('recurring2_based on steps'!$B209:$AY209,'recurring2_based on steps'!$B$1:$AY$1,C$1)+SUMIFS('changes2_based on steps'!$B209:$U209,'changes2_based on steps'!$B$1:$U$1,C$1)</f>
        <v>0</v>
      </c>
      <c r="D209" s="179">
        <f>SUMIFS('recurring2_based on steps'!$B209:$AY209,'recurring2_based on steps'!$B$1:$AY$1,D$1)+SUMIFS('changes2_based on steps'!$B209:$U209,'changes2_based on steps'!$B$1:$U$1,D$1)</f>
        <v>0</v>
      </c>
      <c r="E209" s="179">
        <f>SUMIFS('recurring2_based on steps'!$B209:$AY209,'recurring2_based on steps'!$B$1:$AY$1,E$1)+SUMIFS('changes2_based on steps'!$B209:$U209,'changes2_based on steps'!$B$1:$U$1,E$1)</f>
        <v>0</v>
      </c>
      <c r="F209" s="179">
        <f>SUMIFS('recurring2_based on steps'!$B209:$AY209,'recurring2_based on steps'!$B$1:$AY$1,F$1)+SUMIFS('changes2_based on steps'!$B209:$U209,'changes2_based on steps'!$B$1:$U$1,F$1)</f>
        <v>0</v>
      </c>
      <c r="G209" s="179">
        <f>SUMIFS('recurring2_based on steps'!$B209:$AY209,'recurring2_based on steps'!$B$1:$AY$1,G$1)+SUMIFS('changes2_based on steps'!$B209:$U209,'changes2_based on steps'!$B$1:$U$1,G$1)</f>
        <v>0</v>
      </c>
      <c r="H209" s="179">
        <f>SUMIFS('recurring2_based on steps'!$B209:$AY209,'recurring2_based on steps'!$B$1:$AY$1,H$1)+SUMIFS('changes2_based on steps'!$B209:$U209,'changes2_based on steps'!$B$1:$U$1,H$1)</f>
        <v>0</v>
      </c>
      <c r="I209" s="179">
        <f>SUMIFS('recurring2_based on steps'!$B209:$AY209,'recurring2_based on steps'!$B$1:$AY$1,I$1)+SUMIFS('changes2_based on steps'!$B209:$U209,'changes2_based on steps'!$B$1:$U$1,I$1)</f>
        <v>0</v>
      </c>
      <c r="J209" s="179">
        <f>SUMIFS('recurring2_based on steps'!$B209:$AY209,'recurring2_based on steps'!$B$1:$AY$1,J$1)+SUMIFS('changes2_based on steps'!$B209:$U209,'changes2_based on steps'!$B$1:$U$1,J$1)</f>
        <v>0</v>
      </c>
      <c r="K209" s="179">
        <f>SUMIFS('recurring2_based on steps'!$B209:$AY209,'recurring2_based on steps'!$B$1:$AY$1,K$1)+SUMIFS('changes2_based on steps'!$B209:$U209,'changes2_based on steps'!$B$1:$U$1,K$1)</f>
        <v>0</v>
      </c>
      <c r="L209" s="179">
        <f>SUMIFS('recurring2_based on steps'!$B209:$AY209,'recurring2_based on steps'!$B$1:$AY$1,L$1)+SUMIFS('changes2_based on steps'!$B209:$U209,'changes2_based on steps'!$B$1:$U$1,L$1)</f>
        <v>0</v>
      </c>
      <c r="M209" s="179">
        <f>SUMIFS('recurring2_based on steps'!$B209:$AY209,'recurring2_based on steps'!$B$1:$AY$1,M$1)+SUMIFS('changes2_based on steps'!$B209:$U209,'changes2_based on steps'!$B$1:$U$1,M$1)</f>
        <v>0</v>
      </c>
      <c r="N209" s="179">
        <f>SUMIFS('recurring2_based on steps'!$B209:$AY209,'recurring2_based on steps'!$B$1:$AY$1,N$1)+SUMIFS('changes2_based on steps'!$B209:$U209,'changes2_based on steps'!$B$1:$U$1,N$1)</f>
        <v>0</v>
      </c>
      <c r="O209" s="179">
        <f>SUMIFS('recurring2_based on steps'!$B209:$AY209,'recurring2_based on steps'!$B$1:$AY$1,O$1)+SUMIFS('changes2_based on steps'!$B209:$U209,'changes2_based on steps'!$B$1:$U$1,O$1)</f>
        <v>0</v>
      </c>
      <c r="P209" s="179">
        <f>SUMIFS('recurring2_based on steps'!$B209:$AY209,'recurring2_based on steps'!$B$1:$AY$1,P$1)+SUMIFS('changes2_based on steps'!$B209:$U209,'changes2_based on steps'!$B$1:$U$1,P$1)</f>
        <v>0</v>
      </c>
      <c r="Q209" s="179">
        <f>SUMIFS('recurring2_based on steps'!$B209:$AY209,'recurring2_based on steps'!$B$1:$AY$1,Q$1)+SUMIFS('changes2_based on steps'!$B209:$U209,'changes2_based on steps'!$B$1:$U$1,Q$1)</f>
        <v>0</v>
      </c>
      <c r="R209" s="179">
        <f>SUMIFS('recurring2_based on steps'!$B209:$AY209,'recurring2_based on steps'!$B$1:$AY$1,R$1)+SUMIFS('changes2_based on steps'!$B209:$U209,'changes2_based on steps'!$B$1:$U$1,R$1)</f>
        <v>0</v>
      </c>
      <c r="S209" s="179">
        <f>SUMIFS('recurring2_based on steps'!$B209:$AY209,'recurring2_based on steps'!$B$1:$AY$1,S$1)+SUMIFS('changes2_based on steps'!$B209:$U209,'changes2_based on steps'!$B$1:$U$1,S$1)</f>
        <v>0</v>
      </c>
      <c r="T209" s="179">
        <f>SUMIFS('recurring2_based on steps'!$B209:$AY209,'recurring2_based on steps'!$B$1:$AY$1,T$1)+SUMIFS('changes2_based on steps'!$B209:$U209,'changes2_based on steps'!$B$1:$U$1,T$1)</f>
        <v>0</v>
      </c>
      <c r="U209" s="179">
        <f>SUMIFS('recurring2_based on steps'!$B209:$AY209,'recurring2_based on steps'!$B$1:$AY$1,U$1)+SUMIFS('changes2_based on steps'!$B209:$U209,'changes2_based on steps'!$B$1:$U$1,U$1)</f>
        <v>0</v>
      </c>
      <c r="V209" s="179">
        <f>SUMIFS('recurring2_based on steps'!$B209:$AY209,'recurring2_based on steps'!$B$1:$AY$1,V$1)+SUMIFS('changes2_based on steps'!$B209:$U209,'changes2_based on steps'!$B$1:$U$1,V$1)</f>
        <v>0</v>
      </c>
      <c r="W209" s="179">
        <f>SUMIFS('recurring2_based on steps'!$B209:$AY209,'recurring2_based on steps'!$B$1:$AY$1,W$1)+SUMIFS('changes2_based on steps'!$B209:$U209,'changes2_based on steps'!$B$1:$U$1,W$1)</f>
        <v>0</v>
      </c>
      <c r="X209" s="179">
        <f>SUMIFS('recurring2_based on steps'!$B209:$AY209,'recurring2_based on steps'!$B$1:$AY$1,X$1)+SUMIFS('changes2_based on steps'!$B209:$U209,'changes2_based on steps'!$B$1:$U$1,X$1)</f>
        <v>0</v>
      </c>
      <c r="Y209" s="179">
        <f>SUMIFS('recurring2_based on steps'!$B209:$AY209,'recurring2_based on steps'!$B$1:$AY$1,Y$1)+SUMIFS('changes2_based on steps'!$B209:$U209,'changes2_based on steps'!$B$1:$U$1,Y$1)</f>
        <v>0</v>
      </c>
      <c r="Z209" s="179">
        <f>SUMIFS('recurring2_based on steps'!$B209:$AY209,'recurring2_based on steps'!$B$1:$AY$1,Z$1)+SUMIFS('changes2_based on steps'!$B209:$U209,'changes2_based on steps'!$B$1:$U$1,Z$1)</f>
        <v>0</v>
      </c>
      <c r="AA209" s="179">
        <f>SUMIFS('recurring2_based on steps'!$B209:$AY209,'recurring2_based on steps'!$B$1:$AY$1,AA$1)+SUMIFS('changes2_based on steps'!$B209:$U209,'changes2_based on steps'!$B$1:$U$1,AA$1)</f>
        <v>0</v>
      </c>
      <c r="AB209" s="179">
        <f>SUMIFS('recurring2_based on steps'!$B209:$AY209,'recurring2_based on steps'!$B$1:$AY$1,AB$1)+SUMIFS('changes2_based on steps'!$B209:$U209,'changes2_based on steps'!$B$1:$U$1,AB$1)</f>
        <v>0</v>
      </c>
      <c r="AC209" s="179">
        <f>SUMIFS('recurring2_based on steps'!$B209:$AY209,'recurring2_based on steps'!$B$1:$AY$1,AC$1)+SUMIFS('changes2_based on steps'!$B209:$U209,'changes2_based on steps'!$B$1:$U$1,AC$1)</f>
        <v>0</v>
      </c>
      <c r="AD209" s="179">
        <f>SUMIFS('recurring2_based on steps'!$B209:$AY209,'recurring2_based on steps'!$B$1:$AY$1,AD$1)+SUMIFS('changes2_based on steps'!$B209:$U209,'changes2_based on steps'!$B$1:$U$1,AD$1)</f>
        <v>0</v>
      </c>
      <c r="AE209" s="179">
        <f>SUMIFS('recurring2_based on steps'!$B209:$AY209,'recurring2_based on steps'!$B$1:$AY$1,AE$1)+SUMIFS('changes2_based on steps'!$B209:$U209,'changes2_based on steps'!$B$1:$U$1,AE$1)</f>
        <v>0</v>
      </c>
      <c r="AF209" s="179"/>
      <c r="AG209" s="179"/>
      <c r="AH209" s="179"/>
      <c r="AI209" s="179"/>
      <c r="AJ209" s="179"/>
      <c r="AK209" s="179"/>
      <c r="AL209" s="179"/>
      <c r="AM209" s="179"/>
    </row>
    <row r="210" spans="1:39" x14ac:dyDescent="0.2">
      <c r="A210" s="32">
        <f t="shared" ca="1" si="3"/>
        <v>45952</v>
      </c>
      <c r="B210" s="179">
        <f>SUMIFS('recurring2_based on steps'!$B210:$AY210,'recurring2_based on steps'!$B$1:$AY$1,B$1)+SUMIFS('changes2_based on steps'!$B210:$U210,'changes2_based on steps'!$B$1:$U$1,B$1)</f>
        <v>0</v>
      </c>
      <c r="C210" s="179">
        <f>SUMIFS('recurring2_based on steps'!$B210:$AY210,'recurring2_based on steps'!$B$1:$AY$1,C$1)+SUMIFS('changes2_based on steps'!$B210:$U210,'changes2_based on steps'!$B$1:$U$1,C$1)</f>
        <v>0</v>
      </c>
      <c r="D210" s="179">
        <f>SUMIFS('recurring2_based on steps'!$B210:$AY210,'recurring2_based on steps'!$B$1:$AY$1,D$1)+SUMIFS('changes2_based on steps'!$B210:$U210,'changes2_based on steps'!$B$1:$U$1,D$1)</f>
        <v>0</v>
      </c>
      <c r="E210" s="179">
        <f>SUMIFS('recurring2_based on steps'!$B210:$AY210,'recurring2_based on steps'!$B$1:$AY$1,E$1)+SUMIFS('changes2_based on steps'!$B210:$U210,'changes2_based on steps'!$B$1:$U$1,E$1)</f>
        <v>0</v>
      </c>
      <c r="F210" s="179">
        <f>SUMIFS('recurring2_based on steps'!$B210:$AY210,'recurring2_based on steps'!$B$1:$AY$1,F$1)+SUMIFS('changes2_based on steps'!$B210:$U210,'changes2_based on steps'!$B$1:$U$1,F$1)</f>
        <v>0</v>
      </c>
      <c r="G210" s="179">
        <f>SUMIFS('recurring2_based on steps'!$B210:$AY210,'recurring2_based on steps'!$B$1:$AY$1,G$1)+SUMIFS('changes2_based on steps'!$B210:$U210,'changes2_based on steps'!$B$1:$U$1,G$1)</f>
        <v>0</v>
      </c>
      <c r="H210" s="179">
        <f>SUMIFS('recurring2_based on steps'!$B210:$AY210,'recurring2_based on steps'!$B$1:$AY$1,H$1)+SUMIFS('changes2_based on steps'!$B210:$U210,'changes2_based on steps'!$B$1:$U$1,H$1)</f>
        <v>0</v>
      </c>
      <c r="I210" s="179">
        <f>SUMIFS('recurring2_based on steps'!$B210:$AY210,'recurring2_based on steps'!$B$1:$AY$1,I$1)+SUMIFS('changes2_based on steps'!$B210:$U210,'changes2_based on steps'!$B$1:$U$1,I$1)</f>
        <v>0</v>
      </c>
      <c r="J210" s="179">
        <f>SUMIFS('recurring2_based on steps'!$B210:$AY210,'recurring2_based on steps'!$B$1:$AY$1,J$1)+SUMIFS('changes2_based on steps'!$B210:$U210,'changes2_based on steps'!$B$1:$U$1,J$1)</f>
        <v>0</v>
      </c>
      <c r="K210" s="179">
        <f>SUMIFS('recurring2_based on steps'!$B210:$AY210,'recurring2_based on steps'!$B$1:$AY$1,K$1)+SUMIFS('changes2_based on steps'!$B210:$U210,'changes2_based on steps'!$B$1:$U$1,K$1)</f>
        <v>0</v>
      </c>
      <c r="L210" s="179">
        <f>SUMIFS('recurring2_based on steps'!$B210:$AY210,'recurring2_based on steps'!$B$1:$AY$1,L$1)+SUMIFS('changes2_based on steps'!$B210:$U210,'changes2_based on steps'!$B$1:$U$1,L$1)</f>
        <v>0</v>
      </c>
      <c r="M210" s="179">
        <f>SUMIFS('recurring2_based on steps'!$B210:$AY210,'recurring2_based on steps'!$B$1:$AY$1,M$1)+SUMIFS('changes2_based on steps'!$B210:$U210,'changes2_based on steps'!$B$1:$U$1,M$1)</f>
        <v>0</v>
      </c>
      <c r="N210" s="179">
        <f>SUMIFS('recurring2_based on steps'!$B210:$AY210,'recurring2_based on steps'!$B$1:$AY$1,N$1)+SUMIFS('changes2_based on steps'!$B210:$U210,'changes2_based on steps'!$B$1:$U$1,N$1)</f>
        <v>0</v>
      </c>
      <c r="O210" s="179">
        <f>SUMIFS('recurring2_based on steps'!$B210:$AY210,'recurring2_based on steps'!$B$1:$AY$1,O$1)+SUMIFS('changes2_based on steps'!$B210:$U210,'changes2_based on steps'!$B$1:$U$1,O$1)</f>
        <v>0</v>
      </c>
      <c r="P210" s="179">
        <f>SUMIFS('recurring2_based on steps'!$B210:$AY210,'recurring2_based on steps'!$B$1:$AY$1,P$1)+SUMIFS('changes2_based on steps'!$B210:$U210,'changes2_based on steps'!$B$1:$U$1,P$1)</f>
        <v>0</v>
      </c>
      <c r="Q210" s="179">
        <f>SUMIFS('recurring2_based on steps'!$B210:$AY210,'recurring2_based on steps'!$B$1:$AY$1,Q$1)+SUMIFS('changes2_based on steps'!$B210:$U210,'changes2_based on steps'!$B$1:$U$1,Q$1)</f>
        <v>0</v>
      </c>
      <c r="R210" s="179">
        <f>SUMIFS('recurring2_based on steps'!$B210:$AY210,'recurring2_based on steps'!$B$1:$AY$1,R$1)+SUMIFS('changes2_based on steps'!$B210:$U210,'changes2_based on steps'!$B$1:$U$1,R$1)</f>
        <v>0</v>
      </c>
      <c r="S210" s="179">
        <f>SUMIFS('recurring2_based on steps'!$B210:$AY210,'recurring2_based on steps'!$B$1:$AY$1,S$1)+SUMIFS('changes2_based on steps'!$B210:$U210,'changes2_based on steps'!$B$1:$U$1,S$1)</f>
        <v>0</v>
      </c>
      <c r="T210" s="179">
        <f>SUMIFS('recurring2_based on steps'!$B210:$AY210,'recurring2_based on steps'!$B$1:$AY$1,T$1)+SUMIFS('changes2_based on steps'!$B210:$U210,'changes2_based on steps'!$B$1:$U$1,T$1)</f>
        <v>0</v>
      </c>
      <c r="U210" s="179">
        <f>SUMIFS('recurring2_based on steps'!$B210:$AY210,'recurring2_based on steps'!$B$1:$AY$1,U$1)+SUMIFS('changes2_based on steps'!$B210:$U210,'changes2_based on steps'!$B$1:$U$1,U$1)</f>
        <v>0</v>
      </c>
      <c r="V210" s="179">
        <f>SUMIFS('recurring2_based on steps'!$B210:$AY210,'recurring2_based on steps'!$B$1:$AY$1,V$1)+SUMIFS('changes2_based on steps'!$B210:$U210,'changes2_based on steps'!$B$1:$U$1,V$1)</f>
        <v>0</v>
      </c>
      <c r="W210" s="179">
        <f>SUMIFS('recurring2_based on steps'!$B210:$AY210,'recurring2_based on steps'!$B$1:$AY$1,W$1)+SUMIFS('changes2_based on steps'!$B210:$U210,'changes2_based on steps'!$B$1:$U$1,W$1)</f>
        <v>0</v>
      </c>
      <c r="X210" s="179">
        <f>SUMIFS('recurring2_based on steps'!$B210:$AY210,'recurring2_based on steps'!$B$1:$AY$1,X$1)+SUMIFS('changes2_based on steps'!$B210:$U210,'changes2_based on steps'!$B$1:$U$1,X$1)</f>
        <v>0</v>
      </c>
      <c r="Y210" s="179">
        <f>SUMIFS('recurring2_based on steps'!$B210:$AY210,'recurring2_based on steps'!$B$1:$AY$1,Y$1)+SUMIFS('changes2_based on steps'!$B210:$U210,'changes2_based on steps'!$B$1:$U$1,Y$1)</f>
        <v>0</v>
      </c>
      <c r="Z210" s="179">
        <f>SUMIFS('recurring2_based on steps'!$B210:$AY210,'recurring2_based on steps'!$B$1:$AY$1,Z$1)+SUMIFS('changes2_based on steps'!$B210:$U210,'changes2_based on steps'!$B$1:$U$1,Z$1)</f>
        <v>0</v>
      </c>
      <c r="AA210" s="179">
        <f>SUMIFS('recurring2_based on steps'!$B210:$AY210,'recurring2_based on steps'!$B$1:$AY$1,AA$1)+SUMIFS('changes2_based on steps'!$B210:$U210,'changes2_based on steps'!$B$1:$U$1,AA$1)</f>
        <v>0</v>
      </c>
      <c r="AB210" s="179">
        <f>SUMIFS('recurring2_based on steps'!$B210:$AY210,'recurring2_based on steps'!$B$1:$AY$1,AB$1)+SUMIFS('changes2_based on steps'!$B210:$U210,'changes2_based on steps'!$B$1:$U$1,AB$1)</f>
        <v>0</v>
      </c>
      <c r="AC210" s="179">
        <f>SUMIFS('recurring2_based on steps'!$B210:$AY210,'recurring2_based on steps'!$B$1:$AY$1,AC$1)+SUMIFS('changes2_based on steps'!$B210:$U210,'changes2_based on steps'!$B$1:$U$1,AC$1)</f>
        <v>0</v>
      </c>
      <c r="AD210" s="179">
        <f>SUMIFS('recurring2_based on steps'!$B210:$AY210,'recurring2_based on steps'!$B$1:$AY$1,AD$1)+SUMIFS('changes2_based on steps'!$B210:$U210,'changes2_based on steps'!$B$1:$U$1,AD$1)</f>
        <v>0</v>
      </c>
      <c r="AE210" s="179">
        <f>SUMIFS('recurring2_based on steps'!$B210:$AY210,'recurring2_based on steps'!$B$1:$AY$1,AE$1)+SUMIFS('changes2_based on steps'!$B210:$U210,'changes2_based on steps'!$B$1:$U$1,AE$1)</f>
        <v>0</v>
      </c>
      <c r="AF210" s="179"/>
      <c r="AG210" s="179"/>
      <c r="AH210" s="179"/>
      <c r="AI210" s="179"/>
      <c r="AJ210" s="179"/>
      <c r="AK210" s="179"/>
      <c r="AL210" s="179"/>
      <c r="AM210" s="179"/>
    </row>
    <row r="211" spans="1:39" x14ac:dyDescent="0.2">
      <c r="A211" s="32">
        <f t="shared" ca="1" si="3"/>
        <v>45953</v>
      </c>
      <c r="B211" s="179">
        <f>SUMIFS('recurring2_based on steps'!$B211:$AY211,'recurring2_based on steps'!$B$1:$AY$1,B$1)+SUMIFS('changes2_based on steps'!$B211:$U211,'changes2_based on steps'!$B$1:$U$1,B$1)</f>
        <v>0</v>
      </c>
      <c r="C211" s="179">
        <f>SUMIFS('recurring2_based on steps'!$B211:$AY211,'recurring2_based on steps'!$B$1:$AY$1,C$1)+SUMIFS('changes2_based on steps'!$B211:$U211,'changes2_based on steps'!$B$1:$U$1,C$1)</f>
        <v>0</v>
      </c>
      <c r="D211" s="179">
        <f>SUMIFS('recurring2_based on steps'!$B211:$AY211,'recurring2_based on steps'!$B$1:$AY$1,D$1)+SUMIFS('changes2_based on steps'!$B211:$U211,'changes2_based on steps'!$B$1:$U$1,D$1)</f>
        <v>0</v>
      </c>
      <c r="E211" s="179">
        <f>SUMIFS('recurring2_based on steps'!$B211:$AY211,'recurring2_based on steps'!$B$1:$AY$1,E$1)+SUMIFS('changes2_based on steps'!$B211:$U211,'changes2_based on steps'!$B$1:$U$1,E$1)</f>
        <v>0</v>
      </c>
      <c r="F211" s="179">
        <f>SUMIFS('recurring2_based on steps'!$B211:$AY211,'recurring2_based on steps'!$B$1:$AY$1,F$1)+SUMIFS('changes2_based on steps'!$B211:$U211,'changes2_based on steps'!$B$1:$U$1,F$1)</f>
        <v>0</v>
      </c>
      <c r="G211" s="179">
        <f>SUMIFS('recurring2_based on steps'!$B211:$AY211,'recurring2_based on steps'!$B$1:$AY$1,G$1)+SUMIFS('changes2_based on steps'!$B211:$U211,'changes2_based on steps'!$B$1:$U$1,G$1)</f>
        <v>0</v>
      </c>
      <c r="H211" s="179">
        <f>SUMIFS('recurring2_based on steps'!$B211:$AY211,'recurring2_based on steps'!$B$1:$AY$1,H$1)+SUMIFS('changes2_based on steps'!$B211:$U211,'changes2_based on steps'!$B$1:$U$1,H$1)</f>
        <v>0</v>
      </c>
      <c r="I211" s="179">
        <f>SUMIFS('recurring2_based on steps'!$B211:$AY211,'recurring2_based on steps'!$B$1:$AY$1,I$1)+SUMIFS('changes2_based on steps'!$B211:$U211,'changes2_based on steps'!$B$1:$U$1,I$1)</f>
        <v>0</v>
      </c>
      <c r="J211" s="179">
        <f>SUMIFS('recurring2_based on steps'!$B211:$AY211,'recurring2_based on steps'!$B$1:$AY$1,J$1)+SUMIFS('changes2_based on steps'!$B211:$U211,'changes2_based on steps'!$B$1:$U$1,J$1)</f>
        <v>0</v>
      </c>
      <c r="K211" s="179">
        <f>SUMIFS('recurring2_based on steps'!$B211:$AY211,'recurring2_based on steps'!$B$1:$AY$1,K$1)+SUMIFS('changes2_based on steps'!$B211:$U211,'changes2_based on steps'!$B$1:$U$1,K$1)</f>
        <v>0</v>
      </c>
      <c r="L211" s="179">
        <f>SUMIFS('recurring2_based on steps'!$B211:$AY211,'recurring2_based on steps'!$B$1:$AY$1,L$1)+SUMIFS('changes2_based on steps'!$B211:$U211,'changes2_based on steps'!$B$1:$U$1,L$1)</f>
        <v>0</v>
      </c>
      <c r="M211" s="179">
        <f>SUMIFS('recurring2_based on steps'!$B211:$AY211,'recurring2_based on steps'!$B$1:$AY$1,M$1)+SUMIFS('changes2_based on steps'!$B211:$U211,'changes2_based on steps'!$B$1:$U$1,M$1)</f>
        <v>0</v>
      </c>
      <c r="N211" s="179">
        <f>SUMIFS('recurring2_based on steps'!$B211:$AY211,'recurring2_based on steps'!$B$1:$AY$1,N$1)+SUMIFS('changes2_based on steps'!$B211:$U211,'changes2_based on steps'!$B$1:$U$1,N$1)</f>
        <v>0</v>
      </c>
      <c r="O211" s="179">
        <f>SUMIFS('recurring2_based on steps'!$B211:$AY211,'recurring2_based on steps'!$B$1:$AY$1,O$1)+SUMIFS('changes2_based on steps'!$B211:$U211,'changes2_based on steps'!$B$1:$U$1,O$1)</f>
        <v>0</v>
      </c>
      <c r="P211" s="179">
        <f>SUMIFS('recurring2_based on steps'!$B211:$AY211,'recurring2_based on steps'!$B$1:$AY$1,P$1)+SUMIFS('changes2_based on steps'!$B211:$U211,'changes2_based on steps'!$B$1:$U$1,P$1)</f>
        <v>0</v>
      </c>
      <c r="Q211" s="179">
        <f>SUMIFS('recurring2_based on steps'!$B211:$AY211,'recurring2_based on steps'!$B$1:$AY$1,Q$1)+SUMIFS('changes2_based on steps'!$B211:$U211,'changes2_based on steps'!$B$1:$U$1,Q$1)</f>
        <v>0</v>
      </c>
      <c r="R211" s="179">
        <f>SUMIFS('recurring2_based on steps'!$B211:$AY211,'recurring2_based on steps'!$B$1:$AY$1,R$1)+SUMIFS('changes2_based on steps'!$B211:$U211,'changes2_based on steps'!$B$1:$U$1,R$1)</f>
        <v>0</v>
      </c>
      <c r="S211" s="179">
        <f>SUMIFS('recurring2_based on steps'!$B211:$AY211,'recurring2_based on steps'!$B$1:$AY$1,S$1)+SUMIFS('changes2_based on steps'!$B211:$U211,'changes2_based on steps'!$B$1:$U$1,S$1)</f>
        <v>0</v>
      </c>
      <c r="T211" s="179">
        <f>SUMIFS('recurring2_based on steps'!$B211:$AY211,'recurring2_based on steps'!$B$1:$AY$1,T$1)+SUMIFS('changes2_based on steps'!$B211:$U211,'changes2_based on steps'!$B$1:$U$1,T$1)</f>
        <v>0</v>
      </c>
      <c r="U211" s="179">
        <f>SUMIFS('recurring2_based on steps'!$B211:$AY211,'recurring2_based on steps'!$B$1:$AY$1,U$1)+SUMIFS('changes2_based on steps'!$B211:$U211,'changes2_based on steps'!$B$1:$U$1,U$1)</f>
        <v>0</v>
      </c>
      <c r="V211" s="179">
        <f>SUMIFS('recurring2_based on steps'!$B211:$AY211,'recurring2_based on steps'!$B$1:$AY$1,V$1)+SUMIFS('changes2_based on steps'!$B211:$U211,'changes2_based on steps'!$B$1:$U$1,V$1)</f>
        <v>0</v>
      </c>
      <c r="W211" s="179">
        <f>SUMIFS('recurring2_based on steps'!$B211:$AY211,'recurring2_based on steps'!$B$1:$AY$1,W$1)+SUMIFS('changes2_based on steps'!$B211:$U211,'changes2_based on steps'!$B$1:$U$1,W$1)</f>
        <v>0</v>
      </c>
      <c r="X211" s="179">
        <f>SUMIFS('recurring2_based on steps'!$B211:$AY211,'recurring2_based on steps'!$B$1:$AY$1,X$1)+SUMIFS('changes2_based on steps'!$B211:$U211,'changes2_based on steps'!$B$1:$U$1,X$1)</f>
        <v>0</v>
      </c>
      <c r="Y211" s="179">
        <f>SUMIFS('recurring2_based on steps'!$B211:$AY211,'recurring2_based on steps'!$B$1:$AY$1,Y$1)+SUMIFS('changes2_based on steps'!$B211:$U211,'changes2_based on steps'!$B$1:$U$1,Y$1)</f>
        <v>0</v>
      </c>
      <c r="Z211" s="179">
        <f>SUMIFS('recurring2_based on steps'!$B211:$AY211,'recurring2_based on steps'!$B$1:$AY$1,Z$1)+SUMIFS('changes2_based on steps'!$B211:$U211,'changes2_based on steps'!$B$1:$U$1,Z$1)</f>
        <v>0</v>
      </c>
      <c r="AA211" s="179">
        <f>SUMIFS('recurring2_based on steps'!$B211:$AY211,'recurring2_based on steps'!$B$1:$AY$1,AA$1)+SUMIFS('changes2_based on steps'!$B211:$U211,'changes2_based on steps'!$B$1:$U$1,AA$1)</f>
        <v>0</v>
      </c>
      <c r="AB211" s="179">
        <f>SUMIFS('recurring2_based on steps'!$B211:$AY211,'recurring2_based on steps'!$B$1:$AY$1,AB$1)+SUMIFS('changes2_based on steps'!$B211:$U211,'changes2_based on steps'!$B$1:$U$1,AB$1)</f>
        <v>0</v>
      </c>
      <c r="AC211" s="179">
        <f>SUMIFS('recurring2_based on steps'!$B211:$AY211,'recurring2_based on steps'!$B$1:$AY$1,AC$1)+SUMIFS('changes2_based on steps'!$B211:$U211,'changes2_based on steps'!$B$1:$U$1,AC$1)</f>
        <v>0</v>
      </c>
      <c r="AD211" s="179">
        <f>SUMIFS('recurring2_based on steps'!$B211:$AY211,'recurring2_based on steps'!$B$1:$AY$1,AD$1)+SUMIFS('changes2_based on steps'!$B211:$U211,'changes2_based on steps'!$B$1:$U$1,AD$1)</f>
        <v>0</v>
      </c>
      <c r="AE211" s="179">
        <f>SUMIFS('recurring2_based on steps'!$B211:$AY211,'recurring2_based on steps'!$B$1:$AY$1,AE$1)+SUMIFS('changes2_based on steps'!$B211:$U211,'changes2_based on steps'!$B$1:$U$1,AE$1)</f>
        <v>0</v>
      </c>
      <c r="AF211" s="179"/>
      <c r="AG211" s="179"/>
      <c r="AH211" s="179"/>
      <c r="AI211" s="179"/>
      <c r="AJ211" s="179"/>
      <c r="AK211" s="179"/>
      <c r="AL211" s="179"/>
      <c r="AM211" s="179"/>
    </row>
    <row r="212" spans="1:39" x14ac:dyDescent="0.2">
      <c r="A212" s="32">
        <f t="shared" ca="1" si="3"/>
        <v>45954</v>
      </c>
      <c r="B212" s="179">
        <f>SUMIFS('recurring2_based on steps'!$B212:$AY212,'recurring2_based on steps'!$B$1:$AY$1,B$1)+SUMIFS('changes2_based on steps'!$B212:$U212,'changes2_based on steps'!$B$1:$U$1,B$1)</f>
        <v>0</v>
      </c>
      <c r="C212" s="179">
        <f>SUMIFS('recurring2_based on steps'!$B212:$AY212,'recurring2_based on steps'!$B$1:$AY$1,C$1)+SUMIFS('changes2_based on steps'!$B212:$U212,'changes2_based on steps'!$B$1:$U$1,C$1)</f>
        <v>0</v>
      </c>
      <c r="D212" s="179">
        <f>SUMIFS('recurring2_based on steps'!$B212:$AY212,'recurring2_based on steps'!$B$1:$AY$1,D$1)+SUMIFS('changes2_based on steps'!$B212:$U212,'changes2_based on steps'!$B$1:$U$1,D$1)</f>
        <v>0</v>
      </c>
      <c r="E212" s="179">
        <f>SUMIFS('recurring2_based on steps'!$B212:$AY212,'recurring2_based on steps'!$B$1:$AY$1,E$1)+SUMIFS('changes2_based on steps'!$B212:$U212,'changes2_based on steps'!$B$1:$U$1,E$1)</f>
        <v>0</v>
      </c>
      <c r="F212" s="179">
        <f>SUMIFS('recurring2_based on steps'!$B212:$AY212,'recurring2_based on steps'!$B$1:$AY$1,F$1)+SUMIFS('changes2_based on steps'!$B212:$U212,'changes2_based on steps'!$B$1:$U$1,F$1)</f>
        <v>0</v>
      </c>
      <c r="G212" s="179">
        <f>SUMIFS('recurring2_based on steps'!$B212:$AY212,'recurring2_based on steps'!$B$1:$AY$1,G$1)+SUMIFS('changes2_based on steps'!$B212:$U212,'changes2_based on steps'!$B$1:$U$1,G$1)</f>
        <v>0</v>
      </c>
      <c r="H212" s="179">
        <f>SUMIFS('recurring2_based on steps'!$B212:$AY212,'recurring2_based on steps'!$B$1:$AY$1,H$1)+SUMIFS('changes2_based on steps'!$B212:$U212,'changes2_based on steps'!$B$1:$U$1,H$1)</f>
        <v>0</v>
      </c>
      <c r="I212" s="179">
        <f>SUMIFS('recurring2_based on steps'!$B212:$AY212,'recurring2_based on steps'!$B$1:$AY$1,I$1)+SUMIFS('changes2_based on steps'!$B212:$U212,'changes2_based on steps'!$B$1:$U$1,I$1)</f>
        <v>0</v>
      </c>
      <c r="J212" s="179">
        <f>SUMIFS('recurring2_based on steps'!$B212:$AY212,'recurring2_based on steps'!$B$1:$AY$1,J$1)+SUMIFS('changes2_based on steps'!$B212:$U212,'changes2_based on steps'!$B$1:$U$1,J$1)</f>
        <v>0</v>
      </c>
      <c r="K212" s="179">
        <f>SUMIFS('recurring2_based on steps'!$B212:$AY212,'recurring2_based on steps'!$B$1:$AY$1,K$1)+SUMIFS('changes2_based on steps'!$B212:$U212,'changes2_based on steps'!$B$1:$U$1,K$1)</f>
        <v>0</v>
      </c>
      <c r="L212" s="179">
        <f>SUMIFS('recurring2_based on steps'!$B212:$AY212,'recurring2_based on steps'!$B$1:$AY$1,L$1)+SUMIFS('changes2_based on steps'!$B212:$U212,'changes2_based on steps'!$B$1:$U$1,L$1)</f>
        <v>0</v>
      </c>
      <c r="M212" s="179">
        <f>SUMIFS('recurring2_based on steps'!$B212:$AY212,'recurring2_based on steps'!$B$1:$AY$1,M$1)+SUMIFS('changes2_based on steps'!$B212:$U212,'changes2_based on steps'!$B$1:$U$1,M$1)</f>
        <v>0</v>
      </c>
      <c r="N212" s="179">
        <f>SUMIFS('recurring2_based on steps'!$B212:$AY212,'recurring2_based on steps'!$B$1:$AY$1,N$1)+SUMIFS('changes2_based on steps'!$B212:$U212,'changes2_based on steps'!$B$1:$U$1,N$1)</f>
        <v>0</v>
      </c>
      <c r="O212" s="179">
        <f>SUMIFS('recurring2_based on steps'!$B212:$AY212,'recurring2_based on steps'!$B$1:$AY$1,O$1)+SUMIFS('changes2_based on steps'!$B212:$U212,'changes2_based on steps'!$B$1:$U$1,O$1)</f>
        <v>0</v>
      </c>
      <c r="P212" s="179">
        <f>SUMIFS('recurring2_based on steps'!$B212:$AY212,'recurring2_based on steps'!$B$1:$AY$1,P$1)+SUMIFS('changes2_based on steps'!$B212:$U212,'changes2_based on steps'!$B$1:$U$1,P$1)</f>
        <v>0</v>
      </c>
      <c r="Q212" s="179">
        <f>SUMIFS('recurring2_based on steps'!$B212:$AY212,'recurring2_based on steps'!$B$1:$AY$1,Q$1)+SUMIFS('changes2_based on steps'!$B212:$U212,'changes2_based on steps'!$B$1:$U$1,Q$1)</f>
        <v>0</v>
      </c>
      <c r="R212" s="179">
        <f>SUMIFS('recurring2_based on steps'!$B212:$AY212,'recurring2_based on steps'!$B$1:$AY$1,R$1)+SUMIFS('changes2_based on steps'!$B212:$U212,'changes2_based on steps'!$B$1:$U$1,R$1)</f>
        <v>0</v>
      </c>
      <c r="S212" s="179">
        <f>SUMIFS('recurring2_based on steps'!$B212:$AY212,'recurring2_based on steps'!$B$1:$AY$1,S$1)+SUMIFS('changes2_based on steps'!$B212:$U212,'changes2_based on steps'!$B$1:$U$1,S$1)</f>
        <v>0</v>
      </c>
      <c r="T212" s="179">
        <f>SUMIFS('recurring2_based on steps'!$B212:$AY212,'recurring2_based on steps'!$B$1:$AY$1,T$1)+SUMIFS('changes2_based on steps'!$B212:$U212,'changes2_based on steps'!$B$1:$U$1,T$1)</f>
        <v>0</v>
      </c>
      <c r="U212" s="179">
        <f>SUMIFS('recurring2_based on steps'!$B212:$AY212,'recurring2_based on steps'!$B$1:$AY$1,U$1)+SUMIFS('changes2_based on steps'!$B212:$U212,'changes2_based on steps'!$B$1:$U$1,U$1)</f>
        <v>0</v>
      </c>
      <c r="V212" s="179">
        <f>SUMIFS('recurring2_based on steps'!$B212:$AY212,'recurring2_based on steps'!$B$1:$AY$1,V$1)+SUMIFS('changes2_based on steps'!$B212:$U212,'changes2_based on steps'!$B$1:$U$1,V$1)</f>
        <v>0</v>
      </c>
      <c r="W212" s="179">
        <f>SUMIFS('recurring2_based on steps'!$B212:$AY212,'recurring2_based on steps'!$B$1:$AY$1,W$1)+SUMIFS('changes2_based on steps'!$B212:$U212,'changes2_based on steps'!$B$1:$U$1,W$1)</f>
        <v>0</v>
      </c>
      <c r="X212" s="179">
        <f>SUMIFS('recurring2_based on steps'!$B212:$AY212,'recurring2_based on steps'!$B$1:$AY$1,X$1)+SUMIFS('changes2_based on steps'!$B212:$U212,'changes2_based on steps'!$B$1:$U$1,X$1)</f>
        <v>0</v>
      </c>
      <c r="Y212" s="179">
        <f>SUMIFS('recurring2_based on steps'!$B212:$AY212,'recurring2_based on steps'!$B$1:$AY$1,Y$1)+SUMIFS('changes2_based on steps'!$B212:$U212,'changes2_based on steps'!$B$1:$U$1,Y$1)</f>
        <v>0</v>
      </c>
      <c r="Z212" s="179">
        <f>SUMIFS('recurring2_based on steps'!$B212:$AY212,'recurring2_based on steps'!$B$1:$AY$1,Z$1)+SUMIFS('changes2_based on steps'!$B212:$U212,'changes2_based on steps'!$B$1:$U$1,Z$1)</f>
        <v>0</v>
      </c>
      <c r="AA212" s="179">
        <f>SUMIFS('recurring2_based on steps'!$B212:$AY212,'recurring2_based on steps'!$B$1:$AY$1,AA$1)+SUMIFS('changes2_based on steps'!$B212:$U212,'changes2_based on steps'!$B$1:$U$1,AA$1)</f>
        <v>0</v>
      </c>
      <c r="AB212" s="179">
        <f>SUMIFS('recurring2_based on steps'!$B212:$AY212,'recurring2_based on steps'!$B$1:$AY$1,AB$1)+SUMIFS('changes2_based on steps'!$B212:$U212,'changes2_based on steps'!$B$1:$U$1,AB$1)</f>
        <v>0</v>
      </c>
      <c r="AC212" s="179">
        <f>SUMIFS('recurring2_based on steps'!$B212:$AY212,'recurring2_based on steps'!$B$1:$AY$1,AC$1)+SUMIFS('changes2_based on steps'!$B212:$U212,'changes2_based on steps'!$B$1:$U$1,AC$1)</f>
        <v>0</v>
      </c>
      <c r="AD212" s="179">
        <f>SUMIFS('recurring2_based on steps'!$B212:$AY212,'recurring2_based on steps'!$B$1:$AY$1,AD$1)+SUMIFS('changes2_based on steps'!$B212:$U212,'changes2_based on steps'!$B$1:$U$1,AD$1)</f>
        <v>0</v>
      </c>
      <c r="AE212" s="179">
        <f>SUMIFS('recurring2_based on steps'!$B212:$AY212,'recurring2_based on steps'!$B$1:$AY$1,AE$1)+SUMIFS('changes2_based on steps'!$B212:$U212,'changes2_based on steps'!$B$1:$U$1,AE$1)</f>
        <v>0</v>
      </c>
      <c r="AF212" s="179"/>
      <c r="AG212" s="179"/>
      <c r="AH212" s="179"/>
      <c r="AI212" s="179"/>
      <c r="AJ212" s="179"/>
      <c r="AK212" s="179"/>
      <c r="AL212" s="179"/>
      <c r="AM212" s="179"/>
    </row>
    <row r="213" spans="1:39" x14ac:dyDescent="0.2">
      <c r="A213" s="32">
        <f t="shared" ca="1" si="3"/>
        <v>45955</v>
      </c>
      <c r="B213" s="179">
        <f>SUMIFS('recurring2_based on steps'!$B213:$AY213,'recurring2_based on steps'!$B$1:$AY$1,B$1)+SUMIFS('changes2_based on steps'!$B213:$U213,'changes2_based on steps'!$B$1:$U$1,B$1)</f>
        <v>0</v>
      </c>
      <c r="C213" s="179">
        <f>SUMIFS('recurring2_based on steps'!$B213:$AY213,'recurring2_based on steps'!$B$1:$AY$1,C$1)+SUMIFS('changes2_based on steps'!$B213:$U213,'changes2_based on steps'!$B$1:$U$1,C$1)</f>
        <v>0</v>
      </c>
      <c r="D213" s="179">
        <f>SUMIFS('recurring2_based on steps'!$B213:$AY213,'recurring2_based on steps'!$B$1:$AY$1,D$1)+SUMIFS('changes2_based on steps'!$B213:$U213,'changes2_based on steps'!$B$1:$U$1,D$1)</f>
        <v>0</v>
      </c>
      <c r="E213" s="179">
        <f>SUMIFS('recurring2_based on steps'!$B213:$AY213,'recurring2_based on steps'!$B$1:$AY$1,E$1)+SUMIFS('changes2_based on steps'!$B213:$U213,'changes2_based on steps'!$B$1:$U$1,E$1)</f>
        <v>0</v>
      </c>
      <c r="F213" s="179">
        <f>SUMIFS('recurring2_based on steps'!$B213:$AY213,'recurring2_based on steps'!$B$1:$AY$1,F$1)+SUMIFS('changes2_based on steps'!$B213:$U213,'changes2_based on steps'!$B$1:$U$1,F$1)</f>
        <v>0</v>
      </c>
      <c r="G213" s="179">
        <f>SUMIFS('recurring2_based on steps'!$B213:$AY213,'recurring2_based on steps'!$B$1:$AY$1,G$1)+SUMIFS('changes2_based on steps'!$B213:$U213,'changes2_based on steps'!$B$1:$U$1,G$1)</f>
        <v>0</v>
      </c>
      <c r="H213" s="179">
        <f>SUMIFS('recurring2_based on steps'!$B213:$AY213,'recurring2_based on steps'!$B$1:$AY$1,H$1)+SUMIFS('changes2_based on steps'!$B213:$U213,'changes2_based on steps'!$B$1:$U$1,H$1)</f>
        <v>0</v>
      </c>
      <c r="I213" s="179">
        <f>SUMIFS('recurring2_based on steps'!$B213:$AY213,'recurring2_based on steps'!$B$1:$AY$1,I$1)+SUMIFS('changes2_based on steps'!$B213:$U213,'changes2_based on steps'!$B$1:$U$1,I$1)</f>
        <v>0</v>
      </c>
      <c r="J213" s="179">
        <f>SUMIFS('recurring2_based on steps'!$B213:$AY213,'recurring2_based on steps'!$B$1:$AY$1,J$1)+SUMIFS('changes2_based on steps'!$B213:$U213,'changes2_based on steps'!$B$1:$U$1,J$1)</f>
        <v>0</v>
      </c>
      <c r="K213" s="179">
        <f>SUMIFS('recurring2_based on steps'!$B213:$AY213,'recurring2_based on steps'!$B$1:$AY$1,K$1)+SUMIFS('changes2_based on steps'!$B213:$U213,'changes2_based on steps'!$B$1:$U$1,K$1)</f>
        <v>0</v>
      </c>
      <c r="L213" s="179">
        <f>SUMIFS('recurring2_based on steps'!$B213:$AY213,'recurring2_based on steps'!$B$1:$AY$1,L$1)+SUMIFS('changes2_based on steps'!$B213:$U213,'changes2_based on steps'!$B$1:$U$1,L$1)</f>
        <v>0</v>
      </c>
      <c r="M213" s="179">
        <f>SUMIFS('recurring2_based on steps'!$B213:$AY213,'recurring2_based on steps'!$B$1:$AY$1,M$1)+SUMIFS('changes2_based on steps'!$B213:$U213,'changes2_based on steps'!$B$1:$U$1,M$1)</f>
        <v>0</v>
      </c>
      <c r="N213" s="179">
        <f>SUMIFS('recurring2_based on steps'!$B213:$AY213,'recurring2_based on steps'!$B$1:$AY$1,N$1)+SUMIFS('changes2_based on steps'!$B213:$U213,'changes2_based on steps'!$B$1:$U$1,N$1)</f>
        <v>0</v>
      </c>
      <c r="O213" s="179">
        <f>SUMIFS('recurring2_based on steps'!$B213:$AY213,'recurring2_based on steps'!$B$1:$AY$1,O$1)+SUMIFS('changes2_based on steps'!$B213:$U213,'changes2_based on steps'!$B$1:$U$1,O$1)</f>
        <v>0</v>
      </c>
      <c r="P213" s="179">
        <f>SUMIFS('recurring2_based on steps'!$B213:$AY213,'recurring2_based on steps'!$B$1:$AY$1,P$1)+SUMIFS('changes2_based on steps'!$B213:$U213,'changes2_based on steps'!$B$1:$U$1,P$1)</f>
        <v>0</v>
      </c>
      <c r="Q213" s="179">
        <f>SUMIFS('recurring2_based on steps'!$B213:$AY213,'recurring2_based on steps'!$B$1:$AY$1,Q$1)+SUMIFS('changes2_based on steps'!$B213:$U213,'changes2_based on steps'!$B$1:$U$1,Q$1)</f>
        <v>0</v>
      </c>
      <c r="R213" s="179">
        <f>SUMIFS('recurring2_based on steps'!$B213:$AY213,'recurring2_based on steps'!$B$1:$AY$1,R$1)+SUMIFS('changes2_based on steps'!$B213:$U213,'changes2_based on steps'!$B$1:$U$1,R$1)</f>
        <v>0</v>
      </c>
      <c r="S213" s="179">
        <f>SUMIFS('recurring2_based on steps'!$B213:$AY213,'recurring2_based on steps'!$B$1:$AY$1,S$1)+SUMIFS('changes2_based on steps'!$B213:$U213,'changes2_based on steps'!$B$1:$U$1,S$1)</f>
        <v>0</v>
      </c>
      <c r="T213" s="179">
        <f>SUMIFS('recurring2_based on steps'!$B213:$AY213,'recurring2_based on steps'!$B$1:$AY$1,T$1)+SUMIFS('changes2_based on steps'!$B213:$U213,'changes2_based on steps'!$B$1:$U$1,T$1)</f>
        <v>0</v>
      </c>
      <c r="U213" s="179">
        <f>SUMIFS('recurring2_based on steps'!$B213:$AY213,'recurring2_based on steps'!$B$1:$AY$1,U$1)+SUMIFS('changes2_based on steps'!$B213:$U213,'changes2_based on steps'!$B$1:$U$1,U$1)</f>
        <v>0</v>
      </c>
      <c r="V213" s="179">
        <f>SUMIFS('recurring2_based on steps'!$B213:$AY213,'recurring2_based on steps'!$B$1:$AY$1,V$1)+SUMIFS('changes2_based on steps'!$B213:$U213,'changes2_based on steps'!$B$1:$U$1,V$1)</f>
        <v>0</v>
      </c>
      <c r="W213" s="179">
        <f>SUMIFS('recurring2_based on steps'!$B213:$AY213,'recurring2_based on steps'!$B$1:$AY$1,W$1)+SUMIFS('changes2_based on steps'!$B213:$U213,'changes2_based on steps'!$B$1:$U$1,W$1)</f>
        <v>0</v>
      </c>
      <c r="X213" s="179">
        <f>SUMIFS('recurring2_based on steps'!$B213:$AY213,'recurring2_based on steps'!$B$1:$AY$1,X$1)+SUMIFS('changes2_based on steps'!$B213:$U213,'changes2_based on steps'!$B$1:$U$1,X$1)</f>
        <v>0</v>
      </c>
      <c r="Y213" s="179">
        <f>SUMIFS('recurring2_based on steps'!$B213:$AY213,'recurring2_based on steps'!$B$1:$AY$1,Y$1)+SUMIFS('changes2_based on steps'!$B213:$U213,'changes2_based on steps'!$B$1:$U$1,Y$1)</f>
        <v>0</v>
      </c>
      <c r="Z213" s="179">
        <f>SUMIFS('recurring2_based on steps'!$B213:$AY213,'recurring2_based on steps'!$B$1:$AY$1,Z$1)+SUMIFS('changes2_based on steps'!$B213:$U213,'changes2_based on steps'!$B$1:$U$1,Z$1)</f>
        <v>0</v>
      </c>
      <c r="AA213" s="179">
        <f>SUMIFS('recurring2_based on steps'!$B213:$AY213,'recurring2_based on steps'!$B$1:$AY$1,AA$1)+SUMIFS('changes2_based on steps'!$B213:$U213,'changes2_based on steps'!$B$1:$U$1,AA$1)</f>
        <v>0</v>
      </c>
      <c r="AB213" s="179">
        <f>SUMIFS('recurring2_based on steps'!$B213:$AY213,'recurring2_based on steps'!$B$1:$AY$1,AB$1)+SUMIFS('changes2_based on steps'!$B213:$U213,'changes2_based on steps'!$B$1:$U$1,AB$1)</f>
        <v>0</v>
      </c>
      <c r="AC213" s="179">
        <f>SUMIFS('recurring2_based on steps'!$B213:$AY213,'recurring2_based on steps'!$B$1:$AY$1,AC$1)+SUMIFS('changes2_based on steps'!$B213:$U213,'changes2_based on steps'!$B$1:$U$1,AC$1)</f>
        <v>0</v>
      </c>
      <c r="AD213" s="179">
        <f>SUMIFS('recurring2_based on steps'!$B213:$AY213,'recurring2_based on steps'!$B$1:$AY$1,AD$1)+SUMIFS('changes2_based on steps'!$B213:$U213,'changes2_based on steps'!$B$1:$U$1,AD$1)</f>
        <v>0</v>
      </c>
      <c r="AE213" s="179">
        <f>SUMIFS('recurring2_based on steps'!$B213:$AY213,'recurring2_based on steps'!$B$1:$AY$1,AE$1)+SUMIFS('changes2_based on steps'!$B213:$U213,'changes2_based on steps'!$B$1:$U$1,AE$1)</f>
        <v>0</v>
      </c>
      <c r="AF213" s="179"/>
      <c r="AG213" s="179"/>
      <c r="AH213" s="179"/>
      <c r="AI213" s="179"/>
      <c r="AJ213" s="179"/>
      <c r="AK213" s="179"/>
      <c r="AL213" s="179"/>
      <c r="AM213" s="179"/>
    </row>
    <row r="214" spans="1:39" x14ac:dyDescent="0.2">
      <c r="A214" s="32">
        <f t="shared" ca="1" si="3"/>
        <v>45956</v>
      </c>
      <c r="B214" s="179">
        <f>SUMIFS('recurring2_based on steps'!$B214:$AY214,'recurring2_based on steps'!$B$1:$AY$1,B$1)+SUMIFS('changes2_based on steps'!$B214:$U214,'changes2_based on steps'!$B$1:$U$1,B$1)</f>
        <v>0</v>
      </c>
      <c r="C214" s="179">
        <f>SUMIFS('recurring2_based on steps'!$B214:$AY214,'recurring2_based on steps'!$B$1:$AY$1,C$1)+SUMIFS('changes2_based on steps'!$B214:$U214,'changes2_based on steps'!$B$1:$U$1,C$1)</f>
        <v>0</v>
      </c>
      <c r="D214" s="179">
        <f>SUMIFS('recurring2_based on steps'!$B214:$AY214,'recurring2_based on steps'!$B$1:$AY$1,D$1)+SUMIFS('changes2_based on steps'!$B214:$U214,'changes2_based on steps'!$B$1:$U$1,D$1)</f>
        <v>0</v>
      </c>
      <c r="E214" s="179">
        <f>SUMIFS('recurring2_based on steps'!$B214:$AY214,'recurring2_based on steps'!$B$1:$AY$1,E$1)+SUMIFS('changes2_based on steps'!$B214:$U214,'changes2_based on steps'!$B$1:$U$1,E$1)</f>
        <v>0</v>
      </c>
      <c r="F214" s="179">
        <f>SUMIFS('recurring2_based on steps'!$B214:$AY214,'recurring2_based on steps'!$B$1:$AY$1,F$1)+SUMIFS('changes2_based on steps'!$B214:$U214,'changes2_based on steps'!$B$1:$U$1,F$1)</f>
        <v>0</v>
      </c>
      <c r="G214" s="179">
        <f>SUMIFS('recurring2_based on steps'!$B214:$AY214,'recurring2_based on steps'!$B$1:$AY$1,G$1)+SUMIFS('changes2_based on steps'!$B214:$U214,'changes2_based on steps'!$B$1:$U$1,G$1)</f>
        <v>0</v>
      </c>
      <c r="H214" s="179">
        <f>SUMIFS('recurring2_based on steps'!$B214:$AY214,'recurring2_based on steps'!$B$1:$AY$1,H$1)+SUMIFS('changes2_based on steps'!$B214:$U214,'changes2_based on steps'!$B$1:$U$1,H$1)</f>
        <v>0</v>
      </c>
      <c r="I214" s="179">
        <f>SUMIFS('recurring2_based on steps'!$B214:$AY214,'recurring2_based on steps'!$B$1:$AY$1,I$1)+SUMIFS('changes2_based on steps'!$B214:$U214,'changes2_based on steps'!$B$1:$U$1,I$1)</f>
        <v>0</v>
      </c>
      <c r="J214" s="179">
        <f>SUMIFS('recurring2_based on steps'!$B214:$AY214,'recurring2_based on steps'!$B$1:$AY$1,J$1)+SUMIFS('changes2_based on steps'!$B214:$U214,'changes2_based on steps'!$B$1:$U$1,J$1)</f>
        <v>0</v>
      </c>
      <c r="K214" s="179">
        <f>SUMIFS('recurring2_based on steps'!$B214:$AY214,'recurring2_based on steps'!$B$1:$AY$1,K$1)+SUMIFS('changes2_based on steps'!$B214:$U214,'changes2_based on steps'!$B$1:$U$1,K$1)</f>
        <v>0</v>
      </c>
      <c r="L214" s="179">
        <f>SUMIFS('recurring2_based on steps'!$B214:$AY214,'recurring2_based on steps'!$B$1:$AY$1,L$1)+SUMIFS('changes2_based on steps'!$B214:$U214,'changes2_based on steps'!$B$1:$U$1,L$1)</f>
        <v>0</v>
      </c>
      <c r="M214" s="179">
        <f>SUMIFS('recurring2_based on steps'!$B214:$AY214,'recurring2_based on steps'!$B$1:$AY$1,M$1)+SUMIFS('changes2_based on steps'!$B214:$U214,'changes2_based on steps'!$B$1:$U$1,M$1)</f>
        <v>0</v>
      </c>
      <c r="N214" s="179">
        <f>SUMIFS('recurring2_based on steps'!$B214:$AY214,'recurring2_based on steps'!$B$1:$AY$1,N$1)+SUMIFS('changes2_based on steps'!$B214:$U214,'changes2_based on steps'!$B$1:$U$1,N$1)</f>
        <v>0</v>
      </c>
      <c r="O214" s="179">
        <f>SUMIFS('recurring2_based on steps'!$B214:$AY214,'recurring2_based on steps'!$B$1:$AY$1,O$1)+SUMIFS('changes2_based on steps'!$B214:$U214,'changes2_based on steps'!$B$1:$U$1,O$1)</f>
        <v>0</v>
      </c>
      <c r="P214" s="179">
        <f>SUMIFS('recurring2_based on steps'!$B214:$AY214,'recurring2_based on steps'!$B$1:$AY$1,P$1)+SUMIFS('changes2_based on steps'!$B214:$U214,'changes2_based on steps'!$B$1:$U$1,P$1)</f>
        <v>0</v>
      </c>
      <c r="Q214" s="179">
        <f>SUMIFS('recurring2_based on steps'!$B214:$AY214,'recurring2_based on steps'!$B$1:$AY$1,Q$1)+SUMIFS('changes2_based on steps'!$B214:$U214,'changes2_based on steps'!$B$1:$U$1,Q$1)</f>
        <v>0</v>
      </c>
      <c r="R214" s="179">
        <f>SUMIFS('recurring2_based on steps'!$B214:$AY214,'recurring2_based on steps'!$B$1:$AY$1,R$1)+SUMIFS('changes2_based on steps'!$B214:$U214,'changes2_based on steps'!$B$1:$U$1,R$1)</f>
        <v>0</v>
      </c>
      <c r="S214" s="179">
        <f>SUMIFS('recurring2_based on steps'!$B214:$AY214,'recurring2_based on steps'!$B$1:$AY$1,S$1)+SUMIFS('changes2_based on steps'!$B214:$U214,'changes2_based on steps'!$B$1:$U$1,S$1)</f>
        <v>0</v>
      </c>
      <c r="T214" s="179">
        <f>SUMIFS('recurring2_based on steps'!$B214:$AY214,'recurring2_based on steps'!$B$1:$AY$1,T$1)+SUMIFS('changes2_based on steps'!$B214:$U214,'changes2_based on steps'!$B$1:$U$1,T$1)</f>
        <v>0</v>
      </c>
      <c r="U214" s="179">
        <f>SUMIFS('recurring2_based on steps'!$B214:$AY214,'recurring2_based on steps'!$B$1:$AY$1,U$1)+SUMIFS('changes2_based on steps'!$B214:$U214,'changes2_based on steps'!$B$1:$U$1,U$1)</f>
        <v>0</v>
      </c>
      <c r="V214" s="179">
        <f>SUMIFS('recurring2_based on steps'!$B214:$AY214,'recurring2_based on steps'!$B$1:$AY$1,V$1)+SUMIFS('changes2_based on steps'!$B214:$U214,'changes2_based on steps'!$B$1:$U$1,V$1)</f>
        <v>0</v>
      </c>
      <c r="W214" s="179">
        <f>SUMIFS('recurring2_based on steps'!$B214:$AY214,'recurring2_based on steps'!$B$1:$AY$1,W$1)+SUMIFS('changes2_based on steps'!$B214:$U214,'changes2_based on steps'!$B$1:$U$1,W$1)</f>
        <v>0</v>
      </c>
      <c r="X214" s="179">
        <f>SUMIFS('recurring2_based on steps'!$B214:$AY214,'recurring2_based on steps'!$B$1:$AY$1,X$1)+SUMIFS('changes2_based on steps'!$B214:$U214,'changes2_based on steps'!$B$1:$U$1,X$1)</f>
        <v>0</v>
      </c>
      <c r="Y214" s="179">
        <f>SUMIFS('recurring2_based on steps'!$B214:$AY214,'recurring2_based on steps'!$B$1:$AY$1,Y$1)+SUMIFS('changes2_based on steps'!$B214:$U214,'changes2_based on steps'!$B$1:$U$1,Y$1)</f>
        <v>0</v>
      </c>
      <c r="Z214" s="179">
        <f>SUMIFS('recurring2_based on steps'!$B214:$AY214,'recurring2_based on steps'!$B$1:$AY$1,Z$1)+SUMIFS('changes2_based on steps'!$B214:$U214,'changes2_based on steps'!$B$1:$U$1,Z$1)</f>
        <v>0</v>
      </c>
      <c r="AA214" s="179">
        <f>SUMIFS('recurring2_based on steps'!$B214:$AY214,'recurring2_based on steps'!$B$1:$AY$1,AA$1)+SUMIFS('changes2_based on steps'!$B214:$U214,'changes2_based on steps'!$B$1:$U$1,AA$1)</f>
        <v>0</v>
      </c>
      <c r="AB214" s="179">
        <f>SUMIFS('recurring2_based on steps'!$B214:$AY214,'recurring2_based on steps'!$B$1:$AY$1,AB$1)+SUMIFS('changes2_based on steps'!$B214:$U214,'changes2_based on steps'!$B$1:$U$1,AB$1)</f>
        <v>0</v>
      </c>
      <c r="AC214" s="179">
        <f>SUMIFS('recurring2_based on steps'!$B214:$AY214,'recurring2_based on steps'!$B$1:$AY$1,AC$1)+SUMIFS('changes2_based on steps'!$B214:$U214,'changes2_based on steps'!$B$1:$U$1,AC$1)</f>
        <v>0</v>
      </c>
      <c r="AD214" s="179">
        <f>SUMIFS('recurring2_based on steps'!$B214:$AY214,'recurring2_based on steps'!$B$1:$AY$1,AD$1)+SUMIFS('changes2_based on steps'!$B214:$U214,'changes2_based on steps'!$B$1:$U$1,AD$1)</f>
        <v>0</v>
      </c>
      <c r="AE214" s="179">
        <f>SUMIFS('recurring2_based on steps'!$B214:$AY214,'recurring2_based on steps'!$B$1:$AY$1,AE$1)+SUMIFS('changes2_based on steps'!$B214:$U214,'changes2_based on steps'!$B$1:$U$1,AE$1)</f>
        <v>0</v>
      </c>
      <c r="AF214" s="179"/>
      <c r="AG214" s="179"/>
      <c r="AH214" s="179"/>
      <c r="AI214" s="179"/>
      <c r="AJ214" s="179"/>
      <c r="AK214" s="179"/>
      <c r="AL214" s="179"/>
      <c r="AM214" s="179"/>
    </row>
    <row r="215" spans="1:39" x14ac:dyDescent="0.2">
      <c r="A215" s="32">
        <f t="shared" ca="1" si="3"/>
        <v>45957</v>
      </c>
      <c r="B215" s="179">
        <f>SUMIFS('recurring2_based on steps'!$B215:$AY215,'recurring2_based on steps'!$B$1:$AY$1,B$1)+SUMIFS('changes2_based on steps'!$B215:$U215,'changes2_based on steps'!$B$1:$U$1,B$1)</f>
        <v>0</v>
      </c>
      <c r="C215" s="179">
        <f>SUMIFS('recurring2_based on steps'!$B215:$AY215,'recurring2_based on steps'!$B$1:$AY$1,C$1)+SUMIFS('changes2_based on steps'!$B215:$U215,'changes2_based on steps'!$B$1:$U$1,C$1)</f>
        <v>0</v>
      </c>
      <c r="D215" s="179">
        <f>SUMIFS('recurring2_based on steps'!$B215:$AY215,'recurring2_based on steps'!$B$1:$AY$1,D$1)+SUMIFS('changes2_based on steps'!$B215:$U215,'changes2_based on steps'!$B$1:$U$1,D$1)</f>
        <v>0</v>
      </c>
      <c r="E215" s="179">
        <f>SUMIFS('recurring2_based on steps'!$B215:$AY215,'recurring2_based on steps'!$B$1:$AY$1,E$1)+SUMIFS('changes2_based on steps'!$B215:$U215,'changes2_based on steps'!$B$1:$U$1,E$1)</f>
        <v>0</v>
      </c>
      <c r="F215" s="179">
        <f>SUMIFS('recurring2_based on steps'!$B215:$AY215,'recurring2_based on steps'!$B$1:$AY$1,F$1)+SUMIFS('changes2_based on steps'!$B215:$U215,'changes2_based on steps'!$B$1:$U$1,F$1)</f>
        <v>0</v>
      </c>
      <c r="G215" s="179">
        <f>SUMIFS('recurring2_based on steps'!$B215:$AY215,'recurring2_based on steps'!$B$1:$AY$1,G$1)+SUMIFS('changes2_based on steps'!$B215:$U215,'changes2_based on steps'!$B$1:$U$1,G$1)</f>
        <v>0</v>
      </c>
      <c r="H215" s="179">
        <f>SUMIFS('recurring2_based on steps'!$B215:$AY215,'recurring2_based on steps'!$B$1:$AY$1,H$1)+SUMIFS('changes2_based on steps'!$B215:$U215,'changes2_based on steps'!$B$1:$U$1,H$1)</f>
        <v>0</v>
      </c>
      <c r="I215" s="179">
        <f>SUMIFS('recurring2_based on steps'!$B215:$AY215,'recurring2_based on steps'!$B$1:$AY$1,I$1)+SUMIFS('changes2_based on steps'!$B215:$U215,'changes2_based on steps'!$B$1:$U$1,I$1)</f>
        <v>0</v>
      </c>
      <c r="J215" s="179">
        <f>SUMIFS('recurring2_based on steps'!$B215:$AY215,'recurring2_based on steps'!$B$1:$AY$1,J$1)+SUMIFS('changes2_based on steps'!$B215:$U215,'changes2_based on steps'!$B$1:$U$1,J$1)</f>
        <v>0</v>
      </c>
      <c r="K215" s="179">
        <f>SUMIFS('recurring2_based on steps'!$B215:$AY215,'recurring2_based on steps'!$B$1:$AY$1,K$1)+SUMIFS('changes2_based on steps'!$B215:$U215,'changes2_based on steps'!$B$1:$U$1,K$1)</f>
        <v>0</v>
      </c>
      <c r="L215" s="179">
        <f>SUMIFS('recurring2_based on steps'!$B215:$AY215,'recurring2_based on steps'!$B$1:$AY$1,L$1)+SUMIFS('changes2_based on steps'!$B215:$U215,'changes2_based on steps'!$B$1:$U$1,L$1)</f>
        <v>0</v>
      </c>
      <c r="M215" s="179">
        <f>SUMIFS('recurring2_based on steps'!$B215:$AY215,'recurring2_based on steps'!$B$1:$AY$1,M$1)+SUMIFS('changes2_based on steps'!$B215:$U215,'changes2_based on steps'!$B$1:$U$1,M$1)</f>
        <v>0</v>
      </c>
      <c r="N215" s="179">
        <f>SUMIFS('recurring2_based on steps'!$B215:$AY215,'recurring2_based on steps'!$B$1:$AY$1,N$1)+SUMIFS('changes2_based on steps'!$B215:$U215,'changes2_based on steps'!$B$1:$U$1,N$1)</f>
        <v>0</v>
      </c>
      <c r="O215" s="179">
        <f>SUMIFS('recurring2_based on steps'!$B215:$AY215,'recurring2_based on steps'!$B$1:$AY$1,O$1)+SUMIFS('changes2_based on steps'!$B215:$U215,'changes2_based on steps'!$B$1:$U$1,O$1)</f>
        <v>0</v>
      </c>
      <c r="P215" s="179">
        <f>SUMIFS('recurring2_based on steps'!$B215:$AY215,'recurring2_based on steps'!$B$1:$AY$1,P$1)+SUMIFS('changes2_based on steps'!$B215:$U215,'changes2_based on steps'!$B$1:$U$1,P$1)</f>
        <v>0</v>
      </c>
      <c r="Q215" s="179">
        <f>SUMIFS('recurring2_based on steps'!$B215:$AY215,'recurring2_based on steps'!$B$1:$AY$1,Q$1)+SUMIFS('changes2_based on steps'!$B215:$U215,'changes2_based on steps'!$B$1:$U$1,Q$1)</f>
        <v>0</v>
      </c>
      <c r="R215" s="179">
        <f>SUMIFS('recurring2_based on steps'!$B215:$AY215,'recurring2_based on steps'!$B$1:$AY$1,R$1)+SUMIFS('changes2_based on steps'!$B215:$U215,'changes2_based on steps'!$B$1:$U$1,R$1)</f>
        <v>0</v>
      </c>
      <c r="S215" s="179">
        <f>SUMIFS('recurring2_based on steps'!$B215:$AY215,'recurring2_based on steps'!$B$1:$AY$1,S$1)+SUMIFS('changes2_based on steps'!$B215:$U215,'changes2_based on steps'!$B$1:$U$1,S$1)</f>
        <v>0</v>
      </c>
      <c r="T215" s="179">
        <f>SUMIFS('recurring2_based on steps'!$B215:$AY215,'recurring2_based on steps'!$B$1:$AY$1,T$1)+SUMIFS('changes2_based on steps'!$B215:$U215,'changes2_based on steps'!$B$1:$U$1,T$1)</f>
        <v>0</v>
      </c>
      <c r="U215" s="179">
        <f>SUMIFS('recurring2_based on steps'!$B215:$AY215,'recurring2_based on steps'!$B$1:$AY$1,U$1)+SUMIFS('changes2_based on steps'!$B215:$U215,'changes2_based on steps'!$B$1:$U$1,U$1)</f>
        <v>0</v>
      </c>
      <c r="V215" s="179">
        <f>SUMIFS('recurring2_based on steps'!$B215:$AY215,'recurring2_based on steps'!$B$1:$AY$1,V$1)+SUMIFS('changes2_based on steps'!$B215:$U215,'changes2_based on steps'!$B$1:$U$1,V$1)</f>
        <v>0</v>
      </c>
      <c r="W215" s="179">
        <f>SUMIFS('recurring2_based on steps'!$B215:$AY215,'recurring2_based on steps'!$B$1:$AY$1,W$1)+SUMIFS('changes2_based on steps'!$B215:$U215,'changes2_based on steps'!$B$1:$U$1,W$1)</f>
        <v>0</v>
      </c>
      <c r="X215" s="179">
        <f>SUMIFS('recurring2_based on steps'!$B215:$AY215,'recurring2_based on steps'!$B$1:$AY$1,X$1)+SUMIFS('changes2_based on steps'!$B215:$U215,'changes2_based on steps'!$B$1:$U$1,X$1)</f>
        <v>0</v>
      </c>
      <c r="Y215" s="179">
        <f>SUMIFS('recurring2_based on steps'!$B215:$AY215,'recurring2_based on steps'!$B$1:$AY$1,Y$1)+SUMIFS('changes2_based on steps'!$B215:$U215,'changes2_based on steps'!$B$1:$U$1,Y$1)</f>
        <v>0</v>
      </c>
      <c r="Z215" s="179">
        <f>SUMIFS('recurring2_based on steps'!$B215:$AY215,'recurring2_based on steps'!$B$1:$AY$1,Z$1)+SUMIFS('changes2_based on steps'!$B215:$U215,'changes2_based on steps'!$B$1:$U$1,Z$1)</f>
        <v>0</v>
      </c>
      <c r="AA215" s="179">
        <f>SUMIFS('recurring2_based on steps'!$B215:$AY215,'recurring2_based on steps'!$B$1:$AY$1,AA$1)+SUMIFS('changes2_based on steps'!$B215:$U215,'changes2_based on steps'!$B$1:$U$1,AA$1)</f>
        <v>0</v>
      </c>
      <c r="AB215" s="179">
        <f>SUMIFS('recurring2_based on steps'!$B215:$AY215,'recurring2_based on steps'!$B$1:$AY$1,AB$1)+SUMIFS('changes2_based on steps'!$B215:$U215,'changes2_based on steps'!$B$1:$U$1,AB$1)</f>
        <v>0</v>
      </c>
      <c r="AC215" s="179">
        <f>SUMIFS('recurring2_based on steps'!$B215:$AY215,'recurring2_based on steps'!$B$1:$AY$1,AC$1)+SUMIFS('changes2_based on steps'!$B215:$U215,'changes2_based on steps'!$B$1:$U$1,AC$1)</f>
        <v>0</v>
      </c>
      <c r="AD215" s="179">
        <f>SUMIFS('recurring2_based on steps'!$B215:$AY215,'recurring2_based on steps'!$B$1:$AY$1,AD$1)+SUMIFS('changes2_based on steps'!$B215:$U215,'changes2_based on steps'!$B$1:$U$1,AD$1)</f>
        <v>0</v>
      </c>
      <c r="AE215" s="179">
        <f>SUMIFS('recurring2_based on steps'!$B215:$AY215,'recurring2_based on steps'!$B$1:$AY$1,AE$1)+SUMIFS('changes2_based on steps'!$B215:$U215,'changes2_based on steps'!$B$1:$U$1,AE$1)</f>
        <v>0</v>
      </c>
      <c r="AF215" s="179"/>
      <c r="AG215" s="179"/>
      <c r="AH215" s="179"/>
      <c r="AI215" s="179"/>
      <c r="AJ215" s="179"/>
      <c r="AK215" s="179"/>
      <c r="AL215" s="179"/>
      <c r="AM215" s="179"/>
    </row>
    <row r="216" spans="1:39" x14ac:dyDescent="0.2">
      <c r="A216" s="32">
        <f t="shared" ca="1" si="3"/>
        <v>45958</v>
      </c>
      <c r="B216" s="179">
        <f>SUMIFS('recurring2_based on steps'!$B216:$AY216,'recurring2_based on steps'!$B$1:$AY$1,B$1)+SUMIFS('changes2_based on steps'!$B216:$U216,'changes2_based on steps'!$B$1:$U$1,B$1)</f>
        <v>0</v>
      </c>
      <c r="C216" s="179">
        <f>SUMIFS('recurring2_based on steps'!$B216:$AY216,'recurring2_based on steps'!$B$1:$AY$1,C$1)+SUMIFS('changes2_based on steps'!$B216:$U216,'changes2_based on steps'!$B$1:$U$1,C$1)</f>
        <v>0</v>
      </c>
      <c r="D216" s="179">
        <f>SUMIFS('recurring2_based on steps'!$B216:$AY216,'recurring2_based on steps'!$B$1:$AY$1,D$1)+SUMIFS('changes2_based on steps'!$B216:$U216,'changes2_based on steps'!$B$1:$U$1,D$1)</f>
        <v>0</v>
      </c>
      <c r="E216" s="179">
        <f>SUMIFS('recurring2_based on steps'!$B216:$AY216,'recurring2_based on steps'!$B$1:$AY$1,E$1)+SUMIFS('changes2_based on steps'!$B216:$U216,'changes2_based on steps'!$B$1:$U$1,E$1)</f>
        <v>0</v>
      </c>
      <c r="F216" s="179">
        <f>SUMIFS('recurring2_based on steps'!$B216:$AY216,'recurring2_based on steps'!$B$1:$AY$1,F$1)+SUMIFS('changes2_based on steps'!$B216:$U216,'changes2_based on steps'!$B$1:$U$1,F$1)</f>
        <v>0</v>
      </c>
      <c r="G216" s="179">
        <f>SUMIFS('recurring2_based on steps'!$B216:$AY216,'recurring2_based on steps'!$B$1:$AY$1,G$1)+SUMIFS('changes2_based on steps'!$B216:$U216,'changes2_based on steps'!$B$1:$U$1,G$1)</f>
        <v>0</v>
      </c>
      <c r="H216" s="179">
        <f>SUMIFS('recurring2_based on steps'!$B216:$AY216,'recurring2_based on steps'!$B$1:$AY$1,H$1)+SUMIFS('changes2_based on steps'!$B216:$U216,'changes2_based on steps'!$B$1:$U$1,H$1)</f>
        <v>0</v>
      </c>
      <c r="I216" s="179">
        <f>SUMIFS('recurring2_based on steps'!$B216:$AY216,'recurring2_based on steps'!$B$1:$AY$1,I$1)+SUMIFS('changes2_based on steps'!$B216:$U216,'changes2_based on steps'!$B$1:$U$1,I$1)</f>
        <v>0</v>
      </c>
      <c r="J216" s="179">
        <f>SUMIFS('recurring2_based on steps'!$B216:$AY216,'recurring2_based on steps'!$B$1:$AY$1,J$1)+SUMIFS('changes2_based on steps'!$B216:$U216,'changes2_based on steps'!$B$1:$U$1,J$1)</f>
        <v>0</v>
      </c>
      <c r="K216" s="179">
        <f>SUMIFS('recurring2_based on steps'!$B216:$AY216,'recurring2_based on steps'!$B$1:$AY$1,K$1)+SUMIFS('changes2_based on steps'!$B216:$U216,'changes2_based on steps'!$B$1:$U$1,K$1)</f>
        <v>0</v>
      </c>
      <c r="L216" s="179">
        <f>SUMIFS('recurring2_based on steps'!$B216:$AY216,'recurring2_based on steps'!$B$1:$AY$1,L$1)+SUMIFS('changes2_based on steps'!$B216:$U216,'changes2_based on steps'!$B$1:$U$1,L$1)</f>
        <v>0</v>
      </c>
      <c r="M216" s="179">
        <f>SUMIFS('recurring2_based on steps'!$B216:$AY216,'recurring2_based on steps'!$B$1:$AY$1,M$1)+SUMIFS('changes2_based on steps'!$B216:$U216,'changes2_based on steps'!$B$1:$U$1,M$1)</f>
        <v>0</v>
      </c>
      <c r="N216" s="179">
        <f>SUMIFS('recurring2_based on steps'!$B216:$AY216,'recurring2_based on steps'!$B$1:$AY$1,N$1)+SUMIFS('changes2_based on steps'!$B216:$U216,'changes2_based on steps'!$B$1:$U$1,N$1)</f>
        <v>0</v>
      </c>
      <c r="O216" s="179">
        <f>SUMIFS('recurring2_based on steps'!$B216:$AY216,'recurring2_based on steps'!$B$1:$AY$1,O$1)+SUMIFS('changes2_based on steps'!$B216:$U216,'changes2_based on steps'!$B$1:$U$1,O$1)</f>
        <v>0</v>
      </c>
      <c r="P216" s="179">
        <f>SUMIFS('recurring2_based on steps'!$B216:$AY216,'recurring2_based on steps'!$B$1:$AY$1,P$1)+SUMIFS('changes2_based on steps'!$B216:$U216,'changes2_based on steps'!$B$1:$U$1,P$1)</f>
        <v>0</v>
      </c>
      <c r="Q216" s="179">
        <f>SUMIFS('recurring2_based on steps'!$B216:$AY216,'recurring2_based on steps'!$B$1:$AY$1,Q$1)+SUMIFS('changes2_based on steps'!$B216:$U216,'changes2_based on steps'!$B$1:$U$1,Q$1)</f>
        <v>0</v>
      </c>
      <c r="R216" s="179">
        <f>SUMIFS('recurring2_based on steps'!$B216:$AY216,'recurring2_based on steps'!$B$1:$AY$1,R$1)+SUMIFS('changes2_based on steps'!$B216:$U216,'changes2_based on steps'!$B$1:$U$1,R$1)</f>
        <v>0</v>
      </c>
      <c r="S216" s="179">
        <f>SUMIFS('recurring2_based on steps'!$B216:$AY216,'recurring2_based on steps'!$B$1:$AY$1,S$1)+SUMIFS('changes2_based on steps'!$B216:$U216,'changes2_based on steps'!$B$1:$U$1,S$1)</f>
        <v>0</v>
      </c>
      <c r="T216" s="179">
        <f>SUMIFS('recurring2_based on steps'!$B216:$AY216,'recurring2_based on steps'!$B$1:$AY$1,T$1)+SUMIFS('changes2_based on steps'!$B216:$U216,'changes2_based on steps'!$B$1:$U$1,T$1)</f>
        <v>0</v>
      </c>
      <c r="U216" s="179">
        <f>SUMIFS('recurring2_based on steps'!$B216:$AY216,'recurring2_based on steps'!$B$1:$AY$1,U$1)+SUMIFS('changes2_based on steps'!$B216:$U216,'changes2_based on steps'!$B$1:$U$1,U$1)</f>
        <v>0</v>
      </c>
      <c r="V216" s="179">
        <f>SUMIFS('recurring2_based on steps'!$B216:$AY216,'recurring2_based on steps'!$B$1:$AY$1,V$1)+SUMIFS('changes2_based on steps'!$B216:$U216,'changes2_based on steps'!$B$1:$U$1,V$1)</f>
        <v>0</v>
      </c>
      <c r="W216" s="179">
        <f>SUMIFS('recurring2_based on steps'!$B216:$AY216,'recurring2_based on steps'!$B$1:$AY$1,W$1)+SUMIFS('changes2_based on steps'!$B216:$U216,'changes2_based on steps'!$B$1:$U$1,W$1)</f>
        <v>0</v>
      </c>
      <c r="X216" s="179">
        <f>SUMIFS('recurring2_based on steps'!$B216:$AY216,'recurring2_based on steps'!$B$1:$AY$1,X$1)+SUMIFS('changes2_based on steps'!$B216:$U216,'changes2_based on steps'!$B$1:$U$1,X$1)</f>
        <v>0</v>
      </c>
      <c r="Y216" s="179">
        <f>SUMIFS('recurring2_based on steps'!$B216:$AY216,'recurring2_based on steps'!$B$1:$AY$1,Y$1)+SUMIFS('changes2_based on steps'!$B216:$U216,'changes2_based on steps'!$B$1:$U$1,Y$1)</f>
        <v>0</v>
      </c>
      <c r="Z216" s="179">
        <f>SUMIFS('recurring2_based on steps'!$B216:$AY216,'recurring2_based on steps'!$B$1:$AY$1,Z$1)+SUMIFS('changes2_based on steps'!$B216:$U216,'changes2_based on steps'!$B$1:$U$1,Z$1)</f>
        <v>0</v>
      </c>
      <c r="AA216" s="179">
        <f>SUMIFS('recurring2_based on steps'!$B216:$AY216,'recurring2_based on steps'!$B$1:$AY$1,AA$1)+SUMIFS('changes2_based on steps'!$B216:$U216,'changes2_based on steps'!$B$1:$U$1,AA$1)</f>
        <v>0</v>
      </c>
      <c r="AB216" s="179">
        <f>SUMIFS('recurring2_based on steps'!$B216:$AY216,'recurring2_based on steps'!$B$1:$AY$1,AB$1)+SUMIFS('changes2_based on steps'!$B216:$U216,'changes2_based on steps'!$B$1:$U$1,AB$1)</f>
        <v>0</v>
      </c>
      <c r="AC216" s="179">
        <f>SUMIFS('recurring2_based on steps'!$B216:$AY216,'recurring2_based on steps'!$B$1:$AY$1,AC$1)+SUMIFS('changes2_based on steps'!$B216:$U216,'changes2_based on steps'!$B$1:$U$1,AC$1)</f>
        <v>0</v>
      </c>
      <c r="AD216" s="179">
        <f>SUMIFS('recurring2_based on steps'!$B216:$AY216,'recurring2_based on steps'!$B$1:$AY$1,AD$1)+SUMIFS('changes2_based on steps'!$B216:$U216,'changes2_based on steps'!$B$1:$U$1,AD$1)</f>
        <v>0</v>
      </c>
      <c r="AE216" s="179">
        <f>SUMIFS('recurring2_based on steps'!$B216:$AY216,'recurring2_based on steps'!$B$1:$AY$1,AE$1)+SUMIFS('changes2_based on steps'!$B216:$U216,'changes2_based on steps'!$B$1:$U$1,AE$1)</f>
        <v>0</v>
      </c>
      <c r="AF216" s="179"/>
      <c r="AG216" s="179"/>
      <c r="AH216" s="179"/>
      <c r="AI216" s="179"/>
      <c r="AJ216" s="179"/>
      <c r="AK216" s="179"/>
      <c r="AL216" s="179"/>
      <c r="AM216" s="179"/>
    </row>
    <row r="217" spans="1:39" x14ac:dyDescent="0.2">
      <c r="A217" s="32">
        <f t="shared" ca="1" si="3"/>
        <v>45959</v>
      </c>
      <c r="B217" s="179">
        <f>SUMIFS('recurring2_based on steps'!$B217:$AY217,'recurring2_based on steps'!$B$1:$AY$1,B$1)+SUMIFS('changes2_based on steps'!$B217:$U217,'changes2_based on steps'!$B$1:$U$1,B$1)</f>
        <v>0</v>
      </c>
      <c r="C217" s="179">
        <f>SUMIFS('recurring2_based on steps'!$B217:$AY217,'recurring2_based on steps'!$B$1:$AY$1,C$1)+SUMIFS('changes2_based on steps'!$B217:$U217,'changes2_based on steps'!$B$1:$U$1,C$1)</f>
        <v>0</v>
      </c>
      <c r="D217" s="179">
        <f>SUMIFS('recurring2_based on steps'!$B217:$AY217,'recurring2_based on steps'!$B$1:$AY$1,D$1)+SUMIFS('changes2_based on steps'!$B217:$U217,'changes2_based on steps'!$B$1:$U$1,D$1)</f>
        <v>0</v>
      </c>
      <c r="E217" s="179">
        <f>SUMIFS('recurring2_based on steps'!$B217:$AY217,'recurring2_based on steps'!$B$1:$AY$1,E$1)+SUMIFS('changes2_based on steps'!$B217:$U217,'changes2_based on steps'!$B$1:$U$1,E$1)</f>
        <v>0</v>
      </c>
      <c r="F217" s="179">
        <f>SUMIFS('recurring2_based on steps'!$B217:$AY217,'recurring2_based on steps'!$B$1:$AY$1,F$1)+SUMIFS('changes2_based on steps'!$B217:$U217,'changes2_based on steps'!$B$1:$U$1,F$1)</f>
        <v>0</v>
      </c>
      <c r="G217" s="179">
        <f>SUMIFS('recurring2_based on steps'!$B217:$AY217,'recurring2_based on steps'!$B$1:$AY$1,G$1)+SUMIFS('changes2_based on steps'!$B217:$U217,'changes2_based on steps'!$B$1:$U$1,G$1)</f>
        <v>0</v>
      </c>
      <c r="H217" s="179">
        <f>SUMIFS('recurring2_based on steps'!$B217:$AY217,'recurring2_based on steps'!$B$1:$AY$1,H$1)+SUMIFS('changes2_based on steps'!$B217:$U217,'changes2_based on steps'!$B$1:$U$1,H$1)</f>
        <v>0</v>
      </c>
      <c r="I217" s="179">
        <f>SUMIFS('recurring2_based on steps'!$B217:$AY217,'recurring2_based on steps'!$B$1:$AY$1,I$1)+SUMIFS('changes2_based on steps'!$B217:$U217,'changes2_based on steps'!$B$1:$U$1,I$1)</f>
        <v>0</v>
      </c>
      <c r="J217" s="179">
        <f>SUMIFS('recurring2_based on steps'!$B217:$AY217,'recurring2_based on steps'!$B$1:$AY$1,J$1)+SUMIFS('changes2_based on steps'!$B217:$U217,'changes2_based on steps'!$B$1:$U$1,J$1)</f>
        <v>0</v>
      </c>
      <c r="K217" s="179">
        <f>SUMIFS('recurring2_based on steps'!$B217:$AY217,'recurring2_based on steps'!$B$1:$AY$1,K$1)+SUMIFS('changes2_based on steps'!$B217:$U217,'changes2_based on steps'!$B$1:$U$1,K$1)</f>
        <v>0</v>
      </c>
      <c r="L217" s="179">
        <f>SUMIFS('recurring2_based on steps'!$B217:$AY217,'recurring2_based on steps'!$B$1:$AY$1,L$1)+SUMIFS('changes2_based on steps'!$B217:$U217,'changes2_based on steps'!$B$1:$U$1,L$1)</f>
        <v>0</v>
      </c>
      <c r="M217" s="179">
        <f>SUMIFS('recurring2_based on steps'!$B217:$AY217,'recurring2_based on steps'!$B$1:$AY$1,M$1)+SUMIFS('changes2_based on steps'!$B217:$U217,'changes2_based on steps'!$B$1:$U$1,M$1)</f>
        <v>0</v>
      </c>
      <c r="N217" s="179">
        <f>SUMIFS('recurring2_based on steps'!$B217:$AY217,'recurring2_based on steps'!$B$1:$AY$1,N$1)+SUMIFS('changes2_based on steps'!$B217:$U217,'changes2_based on steps'!$B$1:$U$1,N$1)</f>
        <v>0</v>
      </c>
      <c r="O217" s="179">
        <f>SUMIFS('recurring2_based on steps'!$B217:$AY217,'recurring2_based on steps'!$B$1:$AY$1,O$1)+SUMIFS('changes2_based on steps'!$B217:$U217,'changes2_based on steps'!$B$1:$U$1,O$1)</f>
        <v>0</v>
      </c>
      <c r="P217" s="179">
        <f>SUMIFS('recurring2_based on steps'!$B217:$AY217,'recurring2_based on steps'!$B$1:$AY$1,P$1)+SUMIFS('changes2_based on steps'!$B217:$U217,'changes2_based on steps'!$B$1:$U$1,P$1)</f>
        <v>0</v>
      </c>
      <c r="Q217" s="179">
        <f>SUMIFS('recurring2_based on steps'!$B217:$AY217,'recurring2_based on steps'!$B$1:$AY$1,Q$1)+SUMIFS('changes2_based on steps'!$B217:$U217,'changes2_based on steps'!$B$1:$U$1,Q$1)</f>
        <v>0</v>
      </c>
      <c r="R217" s="179">
        <f>SUMIFS('recurring2_based on steps'!$B217:$AY217,'recurring2_based on steps'!$B$1:$AY$1,R$1)+SUMIFS('changes2_based on steps'!$B217:$U217,'changes2_based on steps'!$B$1:$U$1,R$1)</f>
        <v>0</v>
      </c>
      <c r="S217" s="179">
        <f>SUMIFS('recurring2_based on steps'!$B217:$AY217,'recurring2_based on steps'!$B$1:$AY$1,S$1)+SUMIFS('changes2_based on steps'!$B217:$U217,'changes2_based on steps'!$B$1:$U$1,S$1)</f>
        <v>0</v>
      </c>
      <c r="T217" s="179">
        <f>SUMIFS('recurring2_based on steps'!$B217:$AY217,'recurring2_based on steps'!$B$1:$AY$1,T$1)+SUMIFS('changes2_based on steps'!$B217:$U217,'changes2_based on steps'!$B$1:$U$1,T$1)</f>
        <v>0</v>
      </c>
      <c r="U217" s="179">
        <f>SUMIFS('recurring2_based on steps'!$B217:$AY217,'recurring2_based on steps'!$B$1:$AY$1,U$1)+SUMIFS('changes2_based on steps'!$B217:$U217,'changes2_based on steps'!$B$1:$U$1,U$1)</f>
        <v>0</v>
      </c>
      <c r="V217" s="179">
        <f>SUMIFS('recurring2_based on steps'!$B217:$AY217,'recurring2_based on steps'!$B$1:$AY$1,V$1)+SUMIFS('changes2_based on steps'!$B217:$U217,'changes2_based on steps'!$B$1:$U$1,V$1)</f>
        <v>0</v>
      </c>
      <c r="W217" s="179">
        <f>SUMIFS('recurring2_based on steps'!$B217:$AY217,'recurring2_based on steps'!$B$1:$AY$1,W$1)+SUMIFS('changes2_based on steps'!$B217:$U217,'changes2_based on steps'!$B$1:$U$1,W$1)</f>
        <v>0</v>
      </c>
      <c r="X217" s="179">
        <f>SUMIFS('recurring2_based on steps'!$B217:$AY217,'recurring2_based on steps'!$B$1:$AY$1,X$1)+SUMIFS('changes2_based on steps'!$B217:$U217,'changes2_based on steps'!$B$1:$U$1,X$1)</f>
        <v>0</v>
      </c>
      <c r="Y217" s="179">
        <f>SUMIFS('recurring2_based on steps'!$B217:$AY217,'recurring2_based on steps'!$B$1:$AY$1,Y$1)+SUMIFS('changes2_based on steps'!$B217:$U217,'changes2_based on steps'!$B$1:$U$1,Y$1)</f>
        <v>0</v>
      </c>
      <c r="Z217" s="179">
        <f>SUMIFS('recurring2_based on steps'!$B217:$AY217,'recurring2_based on steps'!$B$1:$AY$1,Z$1)+SUMIFS('changes2_based on steps'!$B217:$U217,'changes2_based on steps'!$B$1:$U$1,Z$1)</f>
        <v>0</v>
      </c>
      <c r="AA217" s="179">
        <f>SUMIFS('recurring2_based on steps'!$B217:$AY217,'recurring2_based on steps'!$B$1:$AY$1,AA$1)+SUMIFS('changes2_based on steps'!$B217:$U217,'changes2_based on steps'!$B$1:$U$1,AA$1)</f>
        <v>0</v>
      </c>
      <c r="AB217" s="179">
        <f>SUMIFS('recurring2_based on steps'!$B217:$AY217,'recurring2_based on steps'!$B$1:$AY$1,AB$1)+SUMIFS('changes2_based on steps'!$B217:$U217,'changes2_based on steps'!$B$1:$U$1,AB$1)</f>
        <v>0</v>
      </c>
      <c r="AC217" s="179">
        <f>SUMIFS('recurring2_based on steps'!$B217:$AY217,'recurring2_based on steps'!$B$1:$AY$1,AC$1)+SUMIFS('changes2_based on steps'!$B217:$U217,'changes2_based on steps'!$B$1:$U$1,AC$1)</f>
        <v>0</v>
      </c>
      <c r="AD217" s="179">
        <f>SUMIFS('recurring2_based on steps'!$B217:$AY217,'recurring2_based on steps'!$B$1:$AY$1,AD$1)+SUMIFS('changes2_based on steps'!$B217:$U217,'changes2_based on steps'!$B$1:$U$1,AD$1)</f>
        <v>0</v>
      </c>
      <c r="AE217" s="179">
        <f>SUMIFS('recurring2_based on steps'!$B217:$AY217,'recurring2_based on steps'!$B$1:$AY$1,AE$1)+SUMIFS('changes2_based on steps'!$B217:$U217,'changes2_based on steps'!$B$1:$U$1,AE$1)</f>
        <v>0</v>
      </c>
      <c r="AF217" s="179"/>
      <c r="AG217" s="179"/>
      <c r="AH217" s="179"/>
      <c r="AI217" s="179"/>
      <c r="AJ217" s="179"/>
      <c r="AK217" s="179"/>
      <c r="AL217" s="179"/>
      <c r="AM217" s="179"/>
    </row>
    <row r="218" spans="1:39" x14ac:dyDescent="0.2">
      <c r="A218" s="32">
        <f t="shared" ca="1" si="3"/>
        <v>45960</v>
      </c>
      <c r="B218" s="179">
        <f>SUMIFS('recurring2_based on steps'!$B218:$AY218,'recurring2_based on steps'!$B$1:$AY$1,B$1)+SUMIFS('changes2_based on steps'!$B218:$U218,'changes2_based on steps'!$B$1:$U$1,B$1)</f>
        <v>0</v>
      </c>
      <c r="C218" s="179">
        <f>SUMIFS('recurring2_based on steps'!$B218:$AY218,'recurring2_based on steps'!$B$1:$AY$1,C$1)+SUMIFS('changes2_based on steps'!$B218:$U218,'changes2_based on steps'!$B$1:$U$1,C$1)</f>
        <v>0</v>
      </c>
      <c r="D218" s="179">
        <f>SUMIFS('recurring2_based on steps'!$B218:$AY218,'recurring2_based on steps'!$B$1:$AY$1,D$1)+SUMIFS('changes2_based on steps'!$B218:$U218,'changes2_based on steps'!$B$1:$U$1,D$1)</f>
        <v>0</v>
      </c>
      <c r="E218" s="179">
        <f>SUMIFS('recurring2_based on steps'!$B218:$AY218,'recurring2_based on steps'!$B$1:$AY$1,E$1)+SUMIFS('changes2_based on steps'!$B218:$U218,'changes2_based on steps'!$B$1:$U$1,E$1)</f>
        <v>0</v>
      </c>
      <c r="F218" s="179">
        <f>SUMIFS('recurring2_based on steps'!$B218:$AY218,'recurring2_based on steps'!$B$1:$AY$1,F$1)+SUMIFS('changes2_based on steps'!$B218:$U218,'changes2_based on steps'!$B$1:$U$1,F$1)</f>
        <v>0</v>
      </c>
      <c r="G218" s="179">
        <f>SUMIFS('recurring2_based on steps'!$B218:$AY218,'recurring2_based on steps'!$B$1:$AY$1,G$1)+SUMIFS('changes2_based on steps'!$B218:$U218,'changes2_based on steps'!$B$1:$U$1,G$1)</f>
        <v>0</v>
      </c>
      <c r="H218" s="179">
        <f>SUMIFS('recurring2_based on steps'!$B218:$AY218,'recurring2_based on steps'!$B$1:$AY$1,H$1)+SUMIFS('changes2_based on steps'!$B218:$U218,'changes2_based on steps'!$B$1:$U$1,H$1)</f>
        <v>0</v>
      </c>
      <c r="I218" s="179">
        <f>SUMIFS('recurring2_based on steps'!$B218:$AY218,'recurring2_based on steps'!$B$1:$AY$1,I$1)+SUMIFS('changes2_based on steps'!$B218:$U218,'changes2_based on steps'!$B$1:$U$1,I$1)</f>
        <v>0</v>
      </c>
      <c r="J218" s="179">
        <f>SUMIFS('recurring2_based on steps'!$B218:$AY218,'recurring2_based on steps'!$B$1:$AY$1,J$1)+SUMIFS('changes2_based on steps'!$B218:$U218,'changes2_based on steps'!$B$1:$U$1,J$1)</f>
        <v>0</v>
      </c>
      <c r="K218" s="179">
        <f>SUMIFS('recurring2_based on steps'!$B218:$AY218,'recurring2_based on steps'!$B$1:$AY$1,K$1)+SUMIFS('changes2_based on steps'!$B218:$U218,'changes2_based on steps'!$B$1:$U$1,K$1)</f>
        <v>0</v>
      </c>
      <c r="L218" s="179">
        <f>SUMIFS('recurring2_based on steps'!$B218:$AY218,'recurring2_based on steps'!$B$1:$AY$1,L$1)+SUMIFS('changes2_based on steps'!$B218:$U218,'changes2_based on steps'!$B$1:$U$1,L$1)</f>
        <v>0</v>
      </c>
      <c r="M218" s="179">
        <f>SUMIFS('recurring2_based on steps'!$B218:$AY218,'recurring2_based on steps'!$B$1:$AY$1,M$1)+SUMIFS('changes2_based on steps'!$B218:$U218,'changes2_based on steps'!$B$1:$U$1,M$1)</f>
        <v>0</v>
      </c>
      <c r="N218" s="179">
        <f>SUMIFS('recurring2_based on steps'!$B218:$AY218,'recurring2_based on steps'!$B$1:$AY$1,N$1)+SUMIFS('changes2_based on steps'!$B218:$U218,'changes2_based on steps'!$B$1:$U$1,N$1)</f>
        <v>0</v>
      </c>
      <c r="O218" s="179">
        <f>SUMIFS('recurring2_based on steps'!$B218:$AY218,'recurring2_based on steps'!$B$1:$AY$1,O$1)+SUMIFS('changes2_based on steps'!$B218:$U218,'changes2_based on steps'!$B$1:$U$1,O$1)</f>
        <v>0</v>
      </c>
      <c r="P218" s="179">
        <f>SUMIFS('recurring2_based on steps'!$B218:$AY218,'recurring2_based on steps'!$B$1:$AY$1,P$1)+SUMIFS('changes2_based on steps'!$B218:$U218,'changes2_based on steps'!$B$1:$U$1,P$1)</f>
        <v>0</v>
      </c>
      <c r="Q218" s="179">
        <f>SUMIFS('recurring2_based on steps'!$B218:$AY218,'recurring2_based on steps'!$B$1:$AY$1,Q$1)+SUMIFS('changes2_based on steps'!$B218:$U218,'changes2_based on steps'!$B$1:$U$1,Q$1)</f>
        <v>0</v>
      </c>
      <c r="R218" s="179">
        <f>SUMIFS('recurring2_based on steps'!$B218:$AY218,'recurring2_based on steps'!$B$1:$AY$1,R$1)+SUMIFS('changes2_based on steps'!$B218:$U218,'changes2_based on steps'!$B$1:$U$1,R$1)</f>
        <v>0</v>
      </c>
      <c r="S218" s="179">
        <f>SUMIFS('recurring2_based on steps'!$B218:$AY218,'recurring2_based on steps'!$B$1:$AY$1,S$1)+SUMIFS('changes2_based on steps'!$B218:$U218,'changes2_based on steps'!$B$1:$U$1,S$1)</f>
        <v>0</v>
      </c>
      <c r="T218" s="179">
        <f>SUMIFS('recurring2_based on steps'!$B218:$AY218,'recurring2_based on steps'!$B$1:$AY$1,T$1)+SUMIFS('changes2_based on steps'!$B218:$U218,'changes2_based on steps'!$B$1:$U$1,T$1)</f>
        <v>0</v>
      </c>
      <c r="U218" s="179">
        <f>SUMIFS('recurring2_based on steps'!$B218:$AY218,'recurring2_based on steps'!$B$1:$AY$1,U$1)+SUMIFS('changes2_based on steps'!$B218:$U218,'changes2_based on steps'!$B$1:$U$1,U$1)</f>
        <v>0</v>
      </c>
      <c r="V218" s="179">
        <f>SUMIFS('recurring2_based on steps'!$B218:$AY218,'recurring2_based on steps'!$B$1:$AY$1,V$1)+SUMIFS('changes2_based on steps'!$B218:$U218,'changes2_based on steps'!$B$1:$U$1,V$1)</f>
        <v>0</v>
      </c>
      <c r="W218" s="179">
        <f>SUMIFS('recurring2_based on steps'!$B218:$AY218,'recurring2_based on steps'!$B$1:$AY$1,W$1)+SUMIFS('changes2_based on steps'!$B218:$U218,'changes2_based on steps'!$B$1:$U$1,W$1)</f>
        <v>0</v>
      </c>
      <c r="X218" s="179">
        <f>SUMIFS('recurring2_based on steps'!$B218:$AY218,'recurring2_based on steps'!$B$1:$AY$1,X$1)+SUMIFS('changes2_based on steps'!$B218:$U218,'changes2_based on steps'!$B$1:$U$1,X$1)</f>
        <v>0</v>
      </c>
      <c r="Y218" s="179">
        <f>SUMIFS('recurring2_based on steps'!$B218:$AY218,'recurring2_based on steps'!$B$1:$AY$1,Y$1)+SUMIFS('changes2_based on steps'!$B218:$U218,'changes2_based on steps'!$B$1:$U$1,Y$1)</f>
        <v>0</v>
      </c>
      <c r="Z218" s="179">
        <f>SUMIFS('recurring2_based on steps'!$B218:$AY218,'recurring2_based on steps'!$B$1:$AY$1,Z$1)+SUMIFS('changes2_based on steps'!$B218:$U218,'changes2_based on steps'!$B$1:$U$1,Z$1)</f>
        <v>0</v>
      </c>
      <c r="AA218" s="179">
        <f>SUMIFS('recurring2_based on steps'!$B218:$AY218,'recurring2_based on steps'!$B$1:$AY$1,AA$1)+SUMIFS('changes2_based on steps'!$B218:$U218,'changes2_based on steps'!$B$1:$U$1,AA$1)</f>
        <v>0</v>
      </c>
      <c r="AB218" s="179">
        <f>SUMIFS('recurring2_based on steps'!$B218:$AY218,'recurring2_based on steps'!$B$1:$AY$1,AB$1)+SUMIFS('changes2_based on steps'!$B218:$U218,'changes2_based on steps'!$B$1:$U$1,AB$1)</f>
        <v>0</v>
      </c>
      <c r="AC218" s="179">
        <f>SUMIFS('recurring2_based on steps'!$B218:$AY218,'recurring2_based on steps'!$B$1:$AY$1,AC$1)+SUMIFS('changes2_based on steps'!$B218:$U218,'changes2_based on steps'!$B$1:$U$1,AC$1)</f>
        <v>0</v>
      </c>
      <c r="AD218" s="179">
        <f>SUMIFS('recurring2_based on steps'!$B218:$AY218,'recurring2_based on steps'!$B$1:$AY$1,AD$1)+SUMIFS('changes2_based on steps'!$B218:$U218,'changes2_based on steps'!$B$1:$U$1,AD$1)</f>
        <v>0</v>
      </c>
      <c r="AE218" s="179">
        <f>SUMIFS('recurring2_based on steps'!$B218:$AY218,'recurring2_based on steps'!$B$1:$AY$1,AE$1)+SUMIFS('changes2_based on steps'!$B218:$U218,'changes2_based on steps'!$B$1:$U$1,AE$1)</f>
        <v>0</v>
      </c>
      <c r="AF218" s="179"/>
      <c r="AG218" s="179"/>
      <c r="AH218" s="179"/>
      <c r="AI218" s="179"/>
      <c r="AJ218" s="179"/>
      <c r="AK218" s="179"/>
      <c r="AL218" s="179"/>
      <c r="AM218" s="179"/>
    </row>
    <row r="219" spans="1:39" x14ac:dyDescent="0.2">
      <c r="A219" s="32">
        <f t="shared" ca="1" si="3"/>
        <v>45961</v>
      </c>
      <c r="B219" s="179">
        <f>SUMIFS('recurring2_based on steps'!$B219:$AY219,'recurring2_based on steps'!$B$1:$AY$1,B$1)+SUMIFS('changes2_based on steps'!$B219:$U219,'changes2_based on steps'!$B$1:$U$1,B$1)</f>
        <v>0</v>
      </c>
      <c r="C219" s="179">
        <f>SUMIFS('recurring2_based on steps'!$B219:$AY219,'recurring2_based on steps'!$B$1:$AY$1,C$1)+SUMIFS('changes2_based on steps'!$B219:$U219,'changes2_based on steps'!$B$1:$U$1,C$1)</f>
        <v>0</v>
      </c>
      <c r="D219" s="179">
        <f>SUMIFS('recurring2_based on steps'!$B219:$AY219,'recurring2_based on steps'!$B$1:$AY$1,D$1)+SUMIFS('changes2_based on steps'!$B219:$U219,'changes2_based on steps'!$B$1:$U$1,D$1)</f>
        <v>0</v>
      </c>
      <c r="E219" s="179">
        <f>SUMIFS('recurring2_based on steps'!$B219:$AY219,'recurring2_based on steps'!$B$1:$AY$1,E$1)+SUMIFS('changes2_based on steps'!$B219:$U219,'changes2_based on steps'!$B$1:$U$1,E$1)</f>
        <v>0</v>
      </c>
      <c r="F219" s="179">
        <f>SUMIFS('recurring2_based on steps'!$B219:$AY219,'recurring2_based on steps'!$B$1:$AY$1,F$1)+SUMIFS('changes2_based on steps'!$B219:$U219,'changes2_based on steps'!$B$1:$U$1,F$1)</f>
        <v>0</v>
      </c>
      <c r="G219" s="179">
        <f>SUMIFS('recurring2_based on steps'!$B219:$AY219,'recurring2_based on steps'!$B$1:$AY$1,G$1)+SUMIFS('changes2_based on steps'!$B219:$U219,'changes2_based on steps'!$B$1:$U$1,G$1)</f>
        <v>0</v>
      </c>
      <c r="H219" s="179">
        <f>SUMIFS('recurring2_based on steps'!$B219:$AY219,'recurring2_based on steps'!$B$1:$AY$1,H$1)+SUMIFS('changes2_based on steps'!$B219:$U219,'changes2_based on steps'!$B$1:$U$1,H$1)</f>
        <v>0</v>
      </c>
      <c r="I219" s="179">
        <f>SUMIFS('recurring2_based on steps'!$B219:$AY219,'recurring2_based on steps'!$B$1:$AY$1,I$1)+SUMIFS('changes2_based on steps'!$B219:$U219,'changes2_based on steps'!$B$1:$U$1,I$1)</f>
        <v>0</v>
      </c>
      <c r="J219" s="179">
        <f>SUMIFS('recurring2_based on steps'!$B219:$AY219,'recurring2_based on steps'!$B$1:$AY$1,J$1)+SUMIFS('changes2_based on steps'!$B219:$U219,'changes2_based on steps'!$B$1:$U$1,J$1)</f>
        <v>0</v>
      </c>
      <c r="K219" s="179">
        <f>SUMIFS('recurring2_based on steps'!$B219:$AY219,'recurring2_based on steps'!$B$1:$AY$1,K$1)+SUMIFS('changes2_based on steps'!$B219:$U219,'changes2_based on steps'!$B$1:$U$1,K$1)</f>
        <v>0</v>
      </c>
      <c r="L219" s="179">
        <f>SUMIFS('recurring2_based on steps'!$B219:$AY219,'recurring2_based on steps'!$B$1:$AY$1,L$1)+SUMIFS('changes2_based on steps'!$B219:$U219,'changes2_based on steps'!$B$1:$U$1,L$1)</f>
        <v>0</v>
      </c>
      <c r="M219" s="179">
        <f>SUMIFS('recurring2_based on steps'!$B219:$AY219,'recurring2_based on steps'!$B$1:$AY$1,M$1)+SUMIFS('changes2_based on steps'!$B219:$U219,'changes2_based on steps'!$B$1:$U$1,M$1)</f>
        <v>0</v>
      </c>
      <c r="N219" s="179">
        <f>SUMIFS('recurring2_based on steps'!$B219:$AY219,'recurring2_based on steps'!$B$1:$AY$1,N$1)+SUMIFS('changes2_based on steps'!$B219:$U219,'changes2_based on steps'!$B$1:$U$1,N$1)</f>
        <v>0</v>
      </c>
      <c r="O219" s="179">
        <f>SUMIFS('recurring2_based on steps'!$B219:$AY219,'recurring2_based on steps'!$B$1:$AY$1,O$1)+SUMIFS('changes2_based on steps'!$B219:$U219,'changes2_based on steps'!$B$1:$U$1,O$1)</f>
        <v>0</v>
      </c>
      <c r="P219" s="179">
        <f>SUMIFS('recurring2_based on steps'!$B219:$AY219,'recurring2_based on steps'!$B$1:$AY$1,P$1)+SUMIFS('changes2_based on steps'!$B219:$U219,'changes2_based on steps'!$B$1:$U$1,P$1)</f>
        <v>0</v>
      </c>
      <c r="Q219" s="179">
        <f>SUMIFS('recurring2_based on steps'!$B219:$AY219,'recurring2_based on steps'!$B$1:$AY$1,Q$1)+SUMIFS('changes2_based on steps'!$B219:$U219,'changes2_based on steps'!$B$1:$U$1,Q$1)</f>
        <v>0</v>
      </c>
      <c r="R219" s="179">
        <f>SUMIFS('recurring2_based on steps'!$B219:$AY219,'recurring2_based on steps'!$B$1:$AY$1,R$1)+SUMIFS('changes2_based on steps'!$B219:$U219,'changes2_based on steps'!$B$1:$U$1,R$1)</f>
        <v>0</v>
      </c>
      <c r="S219" s="179">
        <f>SUMIFS('recurring2_based on steps'!$B219:$AY219,'recurring2_based on steps'!$B$1:$AY$1,S$1)+SUMIFS('changes2_based on steps'!$B219:$U219,'changes2_based on steps'!$B$1:$U$1,S$1)</f>
        <v>0</v>
      </c>
      <c r="T219" s="179">
        <f>SUMIFS('recurring2_based on steps'!$B219:$AY219,'recurring2_based on steps'!$B$1:$AY$1,T$1)+SUMIFS('changes2_based on steps'!$B219:$U219,'changes2_based on steps'!$B$1:$U$1,T$1)</f>
        <v>0</v>
      </c>
      <c r="U219" s="179">
        <f>SUMIFS('recurring2_based on steps'!$B219:$AY219,'recurring2_based on steps'!$B$1:$AY$1,U$1)+SUMIFS('changes2_based on steps'!$B219:$U219,'changes2_based on steps'!$B$1:$U$1,U$1)</f>
        <v>0</v>
      </c>
      <c r="V219" s="179">
        <f>SUMIFS('recurring2_based on steps'!$B219:$AY219,'recurring2_based on steps'!$B$1:$AY$1,V$1)+SUMIFS('changes2_based on steps'!$B219:$U219,'changes2_based on steps'!$B$1:$U$1,V$1)</f>
        <v>0</v>
      </c>
      <c r="W219" s="179">
        <f>SUMIFS('recurring2_based on steps'!$B219:$AY219,'recurring2_based on steps'!$B$1:$AY$1,W$1)+SUMIFS('changes2_based on steps'!$B219:$U219,'changes2_based on steps'!$B$1:$U$1,W$1)</f>
        <v>0</v>
      </c>
      <c r="X219" s="179">
        <f>SUMIFS('recurring2_based on steps'!$B219:$AY219,'recurring2_based on steps'!$B$1:$AY$1,X$1)+SUMIFS('changes2_based on steps'!$B219:$U219,'changes2_based on steps'!$B$1:$U$1,X$1)</f>
        <v>0</v>
      </c>
      <c r="Y219" s="179">
        <f>SUMIFS('recurring2_based on steps'!$B219:$AY219,'recurring2_based on steps'!$B$1:$AY$1,Y$1)+SUMIFS('changes2_based on steps'!$B219:$U219,'changes2_based on steps'!$B$1:$U$1,Y$1)</f>
        <v>0</v>
      </c>
      <c r="Z219" s="179">
        <f>SUMIFS('recurring2_based on steps'!$B219:$AY219,'recurring2_based on steps'!$B$1:$AY$1,Z$1)+SUMIFS('changes2_based on steps'!$B219:$U219,'changes2_based on steps'!$B$1:$U$1,Z$1)</f>
        <v>0</v>
      </c>
      <c r="AA219" s="179">
        <f>SUMIFS('recurring2_based on steps'!$B219:$AY219,'recurring2_based on steps'!$B$1:$AY$1,AA$1)+SUMIFS('changes2_based on steps'!$B219:$U219,'changes2_based on steps'!$B$1:$U$1,AA$1)</f>
        <v>0</v>
      </c>
      <c r="AB219" s="179">
        <f>SUMIFS('recurring2_based on steps'!$B219:$AY219,'recurring2_based on steps'!$B$1:$AY$1,AB$1)+SUMIFS('changes2_based on steps'!$B219:$U219,'changes2_based on steps'!$B$1:$U$1,AB$1)</f>
        <v>0</v>
      </c>
      <c r="AC219" s="179">
        <f>SUMIFS('recurring2_based on steps'!$B219:$AY219,'recurring2_based on steps'!$B$1:$AY$1,AC$1)+SUMIFS('changes2_based on steps'!$B219:$U219,'changes2_based on steps'!$B$1:$U$1,AC$1)</f>
        <v>0</v>
      </c>
      <c r="AD219" s="179">
        <f>SUMIFS('recurring2_based on steps'!$B219:$AY219,'recurring2_based on steps'!$B$1:$AY$1,AD$1)+SUMIFS('changes2_based on steps'!$B219:$U219,'changes2_based on steps'!$B$1:$U$1,AD$1)</f>
        <v>0</v>
      </c>
      <c r="AE219" s="179">
        <f>SUMIFS('recurring2_based on steps'!$B219:$AY219,'recurring2_based on steps'!$B$1:$AY$1,AE$1)+SUMIFS('changes2_based on steps'!$B219:$U219,'changes2_based on steps'!$B$1:$U$1,AE$1)</f>
        <v>0</v>
      </c>
      <c r="AF219" s="179"/>
      <c r="AG219" s="179"/>
      <c r="AH219" s="179"/>
      <c r="AI219" s="179"/>
      <c r="AJ219" s="179"/>
      <c r="AK219" s="179"/>
      <c r="AL219" s="179"/>
      <c r="AM219" s="179"/>
    </row>
    <row r="220" spans="1:39" x14ac:dyDescent="0.2">
      <c r="A220" s="32">
        <f t="shared" ca="1" si="3"/>
        <v>45962</v>
      </c>
      <c r="B220" s="179">
        <f>SUMIFS('recurring2_based on steps'!$B220:$AY220,'recurring2_based on steps'!$B$1:$AY$1,B$1)+SUMIFS('changes2_based on steps'!$B220:$U220,'changes2_based on steps'!$B$1:$U$1,B$1)</f>
        <v>0</v>
      </c>
      <c r="C220" s="179">
        <f>SUMIFS('recurring2_based on steps'!$B220:$AY220,'recurring2_based on steps'!$B$1:$AY$1,C$1)+SUMIFS('changes2_based on steps'!$B220:$U220,'changes2_based on steps'!$B$1:$U$1,C$1)</f>
        <v>0</v>
      </c>
      <c r="D220" s="179">
        <f>SUMIFS('recurring2_based on steps'!$B220:$AY220,'recurring2_based on steps'!$B$1:$AY$1,D$1)+SUMIFS('changes2_based on steps'!$B220:$U220,'changes2_based on steps'!$B$1:$U$1,D$1)</f>
        <v>0</v>
      </c>
      <c r="E220" s="179">
        <f>SUMIFS('recurring2_based on steps'!$B220:$AY220,'recurring2_based on steps'!$B$1:$AY$1,E$1)+SUMIFS('changes2_based on steps'!$B220:$U220,'changes2_based on steps'!$B$1:$U$1,E$1)</f>
        <v>0</v>
      </c>
      <c r="F220" s="179">
        <f>SUMIFS('recurring2_based on steps'!$B220:$AY220,'recurring2_based on steps'!$B$1:$AY$1,F$1)+SUMIFS('changes2_based on steps'!$B220:$U220,'changes2_based on steps'!$B$1:$U$1,F$1)</f>
        <v>0</v>
      </c>
      <c r="G220" s="179">
        <f>SUMIFS('recurring2_based on steps'!$B220:$AY220,'recurring2_based on steps'!$B$1:$AY$1,G$1)+SUMIFS('changes2_based on steps'!$B220:$U220,'changes2_based on steps'!$B$1:$U$1,G$1)</f>
        <v>0</v>
      </c>
      <c r="H220" s="179">
        <f>SUMIFS('recurring2_based on steps'!$B220:$AY220,'recurring2_based on steps'!$B$1:$AY$1,H$1)+SUMIFS('changes2_based on steps'!$B220:$U220,'changes2_based on steps'!$B$1:$U$1,H$1)</f>
        <v>0</v>
      </c>
      <c r="I220" s="179">
        <f>SUMIFS('recurring2_based on steps'!$B220:$AY220,'recurring2_based on steps'!$B$1:$AY$1,I$1)+SUMIFS('changes2_based on steps'!$B220:$U220,'changes2_based on steps'!$B$1:$U$1,I$1)</f>
        <v>0</v>
      </c>
      <c r="J220" s="179">
        <f>SUMIFS('recurring2_based on steps'!$B220:$AY220,'recurring2_based on steps'!$B$1:$AY$1,J$1)+SUMIFS('changes2_based on steps'!$B220:$U220,'changes2_based on steps'!$B$1:$U$1,J$1)</f>
        <v>0</v>
      </c>
      <c r="K220" s="179">
        <f>SUMIFS('recurring2_based on steps'!$B220:$AY220,'recurring2_based on steps'!$B$1:$AY$1,K$1)+SUMIFS('changes2_based on steps'!$B220:$U220,'changes2_based on steps'!$B$1:$U$1,K$1)</f>
        <v>0</v>
      </c>
      <c r="L220" s="179">
        <f>SUMIFS('recurring2_based on steps'!$B220:$AY220,'recurring2_based on steps'!$B$1:$AY$1,L$1)+SUMIFS('changes2_based on steps'!$B220:$U220,'changes2_based on steps'!$B$1:$U$1,L$1)</f>
        <v>0</v>
      </c>
      <c r="M220" s="179">
        <f>SUMIFS('recurring2_based on steps'!$B220:$AY220,'recurring2_based on steps'!$B$1:$AY$1,M$1)+SUMIFS('changes2_based on steps'!$B220:$U220,'changes2_based on steps'!$B$1:$U$1,M$1)</f>
        <v>0</v>
      </c>
      <c r="N220" s="179">
        <f>SUMIFS('recurring2_based on steps'!$B220:$AY220,'recurring2_based on steps'!$B$1:$AY$1,N$1)+SUMIFS('changes2_based on steps'!$B220:$U220,'changes2_based on steps'!$B$1:$U$1,N$1)</f>
        <v>0</v>
      </c>
      <c r="O220" s="179">
        <f>SUMIFS('recurring2_based on steps'!$B220:$AY220,'recurring2_based on steps'!$B$1:$AY$1,O$1)+SUMIFS('changes2_based on steps'!$B220:$U220,'changes2_based on steps'!$B$1:$U$1,O$1)</f>
        <v>0</v>
      </c>
      <c r="P220" s="179">
        <f>SUMIFS('recurring2_based on steps'!$B220:$AY220,'recurring2_based on steps'!$B$1:$AY$1,P$1)+SUMIFS('changes2_based on steps'!$B220:$U220,'changes2_based on steps'!$B$1:$U$1,P$1)</f>
        <v>0</v>
      </c>
      <c r="Q220" s="179">
        <f>SUMIFS('recurring2_based on steps'!$B220:$AY220,'recurring2_based on steps'!$B$1:$AY$1,Q$1)+SUMIFS('changes2_based on steps'!$B220:$U220,'changes2_based on steps'!$B$1:$U$1,Q$1)</f>
        <v>0</v>
      </c>
      <c r="R220" s="179">
        <f>SUMIFS('recurring2_based on steps'!$B220:$AY220,'recurring2_based on steps'!$B$1:$AY$1,R$1)+SUMIFS('changes2_based on steps'!$B220:$U220,'changes2_based on steps'!$B$1:$U$1,R$1)</f>
        <v>0</v>
      </c>
      <c r="S220" s="179">
        <f>SUMIFS('recurring2_based on steps'!$B220:$AY220,'recurring2_based on steps'!$B$1:$AY$1,S$1)+SUMIFS('changes2_based on steps'!$B220:$U220,'changes2_based on steps'!$B$1:$U$1,S$1)</f>
        <v>0</v>
      </c>
      <c r="T220" s="179">
        <f>SUMIFS('recurring2_based on steps'!$B220:$AY220,'recurring2_based on steps'!$B$1:$AY$1,T$1)+SUMIFS('changes2_based on steps'!$B220:$U220,'changes2_based on steps'!$B$1:$U$1,T$1)</f>
        <v>0</v>
      </c>
      <c r="U220" s="179">
        <f>SUMIFS('recurring2_based on steps'!$B220:$AY220,'recurring2_based on steps'!$B$1:$AY$1,U$1)+SUMIFS('changes2_based on steps'!$B220:$U220,'changes2_based on steps'!$B$1:$U$1,U$1)</f>
        <v>0</v>
      </c>
      <c r="V220" s="179">
        <f>SUMIFS('recurring2_based on steps'!$B220:$AY220,'recurring2_based on steps'!$B$1:$AY$1,V$1)+SUMIFS('changes2_based on steps'!$B220:$U220,'changes2_based on steps'!$B$1:$U$1,V$1)</f>
        <v>0</v>
      </c>
      <c r="W220" s="179">
        <f>SUMIFS('recurring2_based on steps'!$B220:$AY220,'recurring2_based on steps'!$B$1:$AY$1,W$1)+SUMIFS('changes2_based on steps'!$B220:$U220,'changes2_based on steps'!$B$1:$U$1,W$1)</f>
        <v>0</v>
      </c>
      <c r="X220" s="179">
        <f>SUMIFS('recurring2_based on steps'!$B220:$AY220,'recurring2_based on steps'!$B$1:$AY$1,X$1)+SUMIFS('changes2_based on steps'!$B220:$U220,'changes2_based on steps'!$B$1:$U$1,X$1)</f>
        <v>0</v>
      </c>
      <c r="Y220" s="179">
        <f>SUMIFS('recurring2_based on steps'!$B220:$AY220,'recurring2_based on steps'!$B$1:$AY$1,Y$1)+SUMIFS('changes2_based on steps'!$B220:$U220,'changes2_based on steps'!$B$1:$U$1,Y$1)</f>
        <v>0</v>
      </c>
      <c r="Z220" s="179">
        <f>SUMIFS('recurring2_based on steps'!$B220:$AY220,'recurring2_based on steps'!$B$1:$AY$1,Z$1)+SUMIFS('changes2_based on steps'!$B220:$U220,'changes2_based on steps'!$B$1:$U$1,Z$1)</f>
        <v>0</v>
      </c>
      <c r="AA220" s="179">
        <f>SUMIFS('recurring2_based on steps'!$B220:$AY220,'recurring2_based on steps'!$B$1:$AY$1,AA$1)+SUMIFS('changes2_based on steps'!$B220:$U220,'changes2_based on steps'!$B$1:$U$1,AA$1)</f>
        <v>0</v>
      </c>
      <c r="AB220" s="179">
        <f>SUMIFS('recurring2_based on steps'!$B220:$AY220,'recurring2_based on steps'!$B$1:$AY$1,AB$1)+SUMIFS('changes2_based on steps'!$B220:$U220,'changes2_based on steps'!$B$1:$U$1,AB$1)</f>
        <v>0</v>
      </c>
      <c r="AC220" s="179">
        <f>SUMIFS('recurring2_based on steps'!$B220:$AY220,'recurring2_based on steps'!$B$1:$AY$1,AC$1)+SUMIFS('changes2_based on steps'!$B220:$U220,'changes2_based on steps'!$B$1:$U$1,AC$1)</f>
        <v>0</v>
      </c>
      <c r="AD220" s="179">
        <f>SUMIFS('recurring2_based on steps'!$B220:$AY220,'recurring2_based on steps'!$B$1:$AY$1,AD$1)+SUMIFS('changes2_based on steps'!$B220:$U220,'changes2_based on steps'!$B$1:$U$1,AD$1)</f>
        <v>0</v>
      </c>
      <c r="AE220" s="179">
        <f>SUMIFS('recurring2_based on steps'!$B220:$AY220,'recurring2_based on steps'!$B$1:$AY$1,AE$1)+SUMIFS('changes2_based on steps'!$B220:$U220,'changes2_based on steps'!$B$1:$U$1,AE$1)</f>
        <v>0</v>
      </c>
      <c r="AF220" s="179"/>
      <c r="AG220" s="179"/>
      <c r="AH220" s="179"/>
      <c r="AI220" s="179"/>
      <c r="AJ220" s="179"/>
      <c r="AK220" s="179"/>
      <c r="AL220" s="179"/>
      <c r="AM220" s="179"/>
    </row>
    <row r="221" spans="1:39" x14ac:dyDescent="0.2">
      <c r="A221" s="32">
        <f t="shared" ca="1" si="3"/>
        <v>45963</v>
      </c>
      <c r="B221" s="179">
        <f>SUMIFS('recurring2_based on steps'!$B221:$AY221,'recurring2_based on steps'!$B$1:$AY$1,B$1)+SUMIFS('changes2_based on steps'!$B221:$U221,'changes2_based on steps'!$B$1:$U$1,B$1)</f>
        <v>0</v>
      </c>
      <c r="C221" s="179">
        <f>SUMIFS('recurring2_based on steps'!$B221:$AY221,'recurring2_based on steps'!$B$1:$AY$1,C$1)+SUMIFS('changes2_based on steps'!$B221:$U221,'changes2_based on steps'!$B$1:$U$1,C$1)</f>
        <v>0</v>
      </c>
      <c r="D221" s="179">
        <f>SUMIFS('recurring2_based on steps'!$B221:$AY221,'recurring2_based on steps'!$B$1:$AY$1,D$1)+SUMIFS('changes2_based on steps'!$B221:$U221,'changes2_based on steps'!$B$1:$U$1,D$1)</f>
        <v>0</v>
      </c>
      <c r="E221" s="179">
        <f>SUMIFS('recurring2_based on steps'!$B221:$AY221,'recurring2_based on steps'!$B$1:$AY$1,E$1)+SUMIFS('changes2_based on steps'!$B221:$U221,'changes2_based on steps'!$B$1:$U$1,E$1)</f>
        <v>0</v>
      </c>
      <c r="F221" s="179">
        <f>SUMIFS('recurring2_based on steps'!$B221:$AY221,'recurring2_based on steps'!$B$1:$AY$1,F$1)+SUMIFS('changes2_based on steps'!$B221:$U221,'changes2_based on steps'!$B$1:$U$1,F$1)</f>
        <v>0</v>
      </c>
      <c r="G221" s="179">
        <f>SUMIFS('recurring2_based on steps'!$B221:$AY221,'recurring2_based on steps'!$B$1:$AY$1,G$1)+SUMIFS('changes2_based on steps'!$B221:$U221,'changes2_based on steps'!$B$1:$U$1,G$1)</f>
        <v>0</v>
      </c>
      <c r="H221" s="179">
        <f>SUMIFS('recurring2_based on steps'!$B221:$AY221,'recurring2_based on steps'!$B$1:$AY$1,H$1)+SUMIFS('changes2_based on steps'!$B221:$U221,'changes2_based on steps'!$B$1:$U$1,H$1)</f>
        <v>0</v>
      </c>
      <c r="I221" s="179">
        <f>SUMIFS('recurring2_based on steps'!$B221:$AY221,'recurring2_based on steps'!$B$1:$AY$1,I$1)+SUMIFS('changes2_based on steps'!$B221:$U221,'changes2_based on steps'!$B$1:$U$1,I$1)</f>
        <v>0</v>
      </c>
      <c r="J221" s="179">
        <f>SUMIFS('recurring2_based on steps'!$B221:$AY221,'recurring2_based on steps'!$B$1:$AY$1,J$1)+SUMIFS('changes2_based on steps'!$B221:$U221,'changes2_based on steps'!$B$1:$U$1,J$1)</f>
        <v>0</v>
      </c>
      <c r="K221" s="179">
        <f>SUMIFS('recurring2_based on steps'!$B221:$AY221,'recurring2_based on steps'!$B$1:$AY$1,K$1)+SUMIFS('changes2_based on steps'!$B221:$U221,'changes2_based on steps'!$B$1:$U$1,K$1)</f>
        <v>0</v>
      </c>
      <c r="L221" s="179">
        <f>SUMIFS('recurring2_based on steps'!$B221:$AY221,'recurring2_based on steps'!$B$1:$AY$1,L$1)+SUMIFS('changes2_based on steps'!$B221:$U221,'changes2_based on steps'!$B$1:$U$1,L$1)</f>
        <v>0</v>
      </c>
      <c r="M221" s="179">
        <f>SUMIFS('recurring2_based on steps'!$B221:$AY221,'recurring2_based on steps'!$B$1:$AY$1,M$1)+SUMIFS('changes2_based on steps'!$B221:$U221,'changes2_based on steps'!$B$1:$U$1,M$1)</f>
        <v>0</v>
      </c>
      <c r="N221" s="179">
        <f>SUMIFS('recurring2_based on steps'!$B221:$AY221,'recurring2_based on steps'!$B$1:$AY$1,N$1)+SUMIFS('changes2_based on steps'!$B221:$U221,'changes2_based on steps'!$B$1:$U$1,N$1)</f>
        <v>0</v>
      </c>
      <c r="O221" s="179">
        <f>SUMIFS('recurring2_based on steps'!$B221:$AY221,'recurring2_based on steps'!$B$1:$AY$1,O$1)+SUMIFS('changes2_based on steps'!$B221:$U221,'changes2_based on steps'!$B$1:$U$1,O$1)</f>
        <v>0</v>
      </c>
      <c r="P221" s="179">
        <f>SUMIFS('recurring2_based on steps'!$B221:$AY221,'recurring2_based on steps'!$B$1:$AY$1,P$1)+SUMIFS('changes2_based on steps'!$B221:$U221,'changes2_based on steps'!$B$1:$U$1,P$1)</f>
        <v>0</v>
      </c>
      <c r="Q221" s="179">
        <f>SUMIFS('recurring2_based on steps'!$B221:$AY221,'recurring2_based on steps'!$B$1:$AY$1,Q$1)+SUMIFS('changes2_based on steps'!$B221:$U221,'changes2_based on steps'!$B$1:$U$1,Q$1)</f>
        <v>0</v>
      </c>
      <c r="R221" s="179">
        <f>SUMIFS('recurring2_based on steps'!$B221:$AY221,'recurring2_based on steps'!$B$1:$AY$1,R$1)+SUMIFS('changes2_based on steps'!$B221:$U221,'changes2_based on steps'!$B$1:$U$1,R$1)</f>
        <v>0</v>
      </c>
      <c r="S221" s="179">
        <f>SUMIFS('recurring2_based on steps'!$B221:$AY221,'recurring2_based on steps'!$B$1:$AY$1,S$1)+SUMIFS('changes2_based on steps'!$B221:$U221,'changes2_based on steps'!$B$1:$U$1,S$1)</f>
        <v>0</v>
      </c>
      <c r="T221" s="179">
        <f>SUMIFS('recurring2_based on steps'!$B221:$AY221,'recurring2_based on steps'!$B$1:$AY$1,T$1)+SUMIFS('changes2_based on steps'!$B221:$U221,'changes2_based on steps'!$B$1:$U$1,T$1)</f>
        <v>0</v>
      </c>
      <c r="U221" s="179">
        <f>SUMIFS('recurring2_based on steps'!$B221:$AY221,'recurring2_based on steps'!$B$1:$AY$1,U$1)+SUMIFS('changes2_based on steps'!$B221:$U221,'changes2_based on steps'!$B$1:$U$1,U$1)</f>
        <v>0</v>
      </c>
      <c r="V221" s="179">
        <f>SUMIFS('recurring2_based on steps'!$B221:$AY221,'recurring2_based on steps'!$B$1:$AY$1,V$1)+SUMIFS('changes2_based on steps'!$B221:$U221,'changes2_based on steps'!$B$1:$U$1,V$1)</f>
        <v>0</v>
      </c>
      <c r="W221" s="179">
        <f>SUMIFS('recurring2_based on steps'!$B221:$AY221,'recurring2_based on steps'!$B$1:$AY$1,W$1)+SUMIFS('changes2_based on steps'!$B221:$U221,'changes2_based on steps'!$B$1:$U$1,W$1)</f>
        <v>0</v>
      </c>
      <c r="X221" s="179">
        <f>SUMIFS('recurring2_based on steps'!$B221:$AY221,'recurring2_based on steps'!$B$1:$AY$1,X$1)+SUMIFS('changes2_based on steps'!$B221:$U221,'changes2_based on steps'!$B$1:$U$1,X$1)</f>
        <v>0</v>
      </c>
      <c r="Y221" s="179">
        <f>SUMIFS('recurring2_based on steps'!$B221:$AY221,'recurring2_based on steps'!$B$1:$AY$1,Y$1)+SUMIFS('changes2_based on steps'!$B221:$U221,'changes2_based on steps'!$B$1:$U$1,Y$1)</f>
        <v>0</v>
      </c>
      <c r="Z221" s="179">
        <f>SUMIFS('recurring2_based on steps'!$B221:$AY221,'recurring2_based on steps'!$B$1:$AY$1,Z$1)+SUMIFS('changes2_based on steps'!$B221:$U221,'changes2_based on steps'!$B$1:$U$1,Z$1)</f>
        <v>0</v>
      </c>
      <c r="AA221" s="179">
        <f>SUMIFS('recurring2_based on steps'!$B221:$AY221,'recurring2_based on steps'!$B$1:$AY$1,AA$1)+SUMIFS('changes2_based on steps'!$B221:$U221,'changes2_based on steps'!$B$1:$U$1,AA$1)</f>
        <v>0</v>
      </c>
      <c r="AB221" s="179">
        <f>SUMIFS('recurring2_based on steps'!$B221:$AY221,'recurring2_based on steps'!$B$1:$AY$1,AB$1)+SUMIFS('changes2_based on steps'!$B221:$U221,'changes2_based on steps'!$B$1:$U$1,AB$1)</f>
        <v>0</v>
      </c>
      <c r="AC221" s="179">
        <f>SUMIFS('recurring2_based on steps'!$B221:$AY221,'recurring2_based on steps'!$B$1:$AY$1,AC$1)+SUMIFS('changes2_based on steps'!$B221:$U221,'changes2_based on steps'!$B$1:$U$1,AC$1)</f>
        <v>0</v>
      </c>
      <c r="AD221" s="179">
        <f>SUMIFS('recurring2_based on steps'!$B221:$AY221,'recurring2_based on steps'!$B$1:$AY$1,AD$1)+SUMIFS('changes2_based on steps'!$B221:$U221,'changes2_based on steps'!$B$1:$U$1,AD$1)</f>
        <v>0</v>
      </c>
      <c r="AE221" s="179">
        <f>SUMIFS('recurring2_based on steps'!$B221:$AY221,'recurring2_based on steps'!$B$1:$AY$1,AE$1)+SUMIFS('changes2_based on steps'!$B221:$U221,'changes2_based on steps'!$B$1:$U$1,AE$1)</f>
        <v>0</v>
      </c>
      <c r="AF221" s="179"/>
      <c r="AG221" s="179"/>
      <c r="AH221" s="179"/>
      <c r="AI221" s="179"/>
      <c r="AJ221" s="179"/>
      <c r="AK221" s="179"/>
      <c r="AL221" s="179"/>
      <c r="AM221" s="179"/>
    </row>
    <row r="222" spans="1:39" x14ac:dyDescent="0.2">
      <c r="A222" s="32">
        <f t="shared" ca="1" si="3"/>
        <v>45964</v>
      </c>
      <c r="B222" s="179">
        <f>SUMIFS('recurring2_based on steps'!$B222:$AY222,'recurring2_based on steps'!$B$1:$AY$1,B$1)+SUMIFS('changes2_based on steps'!$B222:$U222,'changes2_based on steps'!$B$1:$U$1,B$1)</f>
        <v>0</v>
      </c>
      <c r="C222" s="179">
        <f>SUMIFS('recurring2_based on steps'!$B222:$AY222,'recurring2_based on steps'!$B$1:$AY$1,C$1)+SUMIFS('changes2_based on steps'!$B222:$U222,'changes2_based on steps'!$B$1:$U$1,C$1)</f>
        <v>0</v>
      </c>
      <c r="D222" s="179">
        <f>SUMIFS('recurring2_based on steps'!$B222:$AY222,'recurring2_based on steps'!$B$1:$AY$1,D$1)+SUMIFS('changes2_based on steps'!$B222:$U222,'changes2_based on steps'!$B$1:$U$1,D$1)</f>
        <v>0</v>
      </c>
      <c r="E222" s="179">
        <f>SUMIFS('recurring2_based on steps'!$B222:$AY222,'recurring2_based on steps'!$B$1:$AY$1,E$1)+SUMIFS('changes2_based on steps'!$B222:$U222,'changes2_based on steps'!$B$1:$U$1,E$1)</f>
        <v>0</v>
      </c>
      <c r="F222" s="179">
        <f>SUMIFS('recurring2_based on steps'!$B222:$AY222,'recurring2_based on steps'!$B$1:$AY$1,F$1)+SUMIFS('changes2_based on steps'!$B222:$U222,'changes2_based on steps'!$B$1:$U$1,F$1)</f>
        <v>0</v>
      </c>
      <c r="G222" s="179">
        <f>SUMIFS('recurring2_based on steps'!$B222:$AY222,'recurring2_based on steps'!$B$1:$AY$1,G$1)+SUMIFS('changes2_based on steps'!$B222:$U222,'changes2_based on steps'!$B$1:$U$1,G$1)</f>
        <v>0</v>
      </c>
      <c r="H222" s="179">
        <f>SUMIFS('recurring2_based on steps'!$B222:$AY222,'recurring2_based on steps'!$B$1:$AY$1,H$1)+SUMIFS('changes2_based on steps'!$B222:$U222,'changes2_based on steps'!$B$1:$U$1,H$1)</f>
        <v>0</v>
      </c>
      <c r="I222" s="179">
        <f>SUMIFS('recurring2_based on steps'!$B222:$AY222,'recurring2_based on steps'!$B$1:$AY$1,I$1)+SUMIFS('changes2_based on steps'!$B222:$U222,'changes2_based on steps'!$B$1:$U$1,I$1)</f>
        <v>0</v>
      </c>
      <c r="J222" s="179">
        <f>SUMIFS('recurring2_based on steps'!$B222:$AY222,'recurring2_based on steps'!$B$1:$AY$1,J$1)+SUMIFS('changes2_based on steps'!$B222:$U222,'changes2_based on steps'!$B$1:$U$1,J$1)</f>
        <v>0</v>
      </c>
      <c r="K222" s="179">
        <f>SUMIFS('recurring2_based on steps'!$B222:$AY222,'recurring2_based on steps'!$B$1:$AY$1,K$1)+SUMIFS('changes2_based on steps'!$B222:$U222,'changes2_based on steps'!$B$1:$U$1,K$1)</f>
        <v>0</v>
      </c>
      <c r="L222" s="179">
        <f>SUMIFS('recurring2_based on steps'!$B222:$AY222,'recurring2_based on steps'!$B$1:$AY$1,L$1)+SUMIFS('changes2_based on steps'!$B222:$U222,'changes2_based on steps'!$B$1:$U$1,L$1)</f>
        <v>0</v>
      </c>
      <c r="M222" s="179">
        <f>SUMIFS('recurring2_based on steps'!$B222:$AY222,'recurring2_based on steps'!$B$1:$AY$1,M$1)+SUMIFS('changes2_based on steps'!$B222:$U222,'changes2_based on steps'!$B$1:$U$1,M$1)</f>
        <v>0</v>
      </c>
      <c r="N222" s="179">
        <f>SUMIFS('recurring2_based on steps'!$B222:$AY222,'recurring2_based on steps'!$B$1:$AY$1,N$1)+SUMIFS('changes2_based on steps'!$B222:$U222,'changes2_based on steps'!$B$1:$U$1,N$1)</f>
        <v>0</v>
      </c>
      <c r="O222" s="179">
        <f>SUMIFS('recurring2_based on steps'!$B222:$AY222,'recurring2_based on steps'!$B$1:$AY$1,O$1)+SUMIFS('changes2_based on steps'!$B222:$U222,'changes2_based on steps'!$B$1:$U$1,O$1)</f>
        <v>0</v>
      </c>
      <c r="P222" s="179">
        <f>SUMIFS('recurring2_based on steps'!$B222:$AY222,'recurring2_based on steps'!$B$1:$AY$1,P$1)+SUMIFS('changes2_based on steps'!$B222:$U222,'changes2_based on steps'!$B$1:$U$1,P$1)</f>
        <v>0</v>
      </c>
      <c r="Q222" s="179">
        <f>SUMIFS('recurring2_based on steps'!$B222:$AY222,'recurring2_based on steps'!$B$1:$AY$1,Q$1)+SUMIFS('changes2_based on steps'!$B222:$U222,'changes2_based on steps'!$B$1:$U$1,Q$1)</f>
        <v>0</v>
      </c>
      <c r="R222" s="179">
        <f>SUMIFS('recurring2_based on steps'!$B222:$AY222,'recurring2_based on steps'!$B$1:$AY$1,R$1)+SUMIFS('changes2_based on steps'!$B222:$U222,'changes2_based on steps'!$B$1:$U$1,R$1)</f>
        <v>0</v>
      </c>
      <c r="S222" s="179">
        <f>SUMIFS('recurring2_based on steps'!$B222:$AY222,'recurring2_based on steps'!$B$1:$AY$1,S$1)+SUMIFS('changes2_based on steps'!$B222:$U222,'changes2_based on steps'!$B$1:$U$1,S$1)</f>
        <v>0</v>
      </c>
      <c r="T222" s="179">
        <f>SUMIFS('recurring2_based on steps'!$B222:$AY222,'recurring2_based on steps'!$B$1:$AY$1,T$1)+SUMIFS('changes2_based on steps'!$B222:$U222,'changes2_based on steps'!$B$1:$U$1,T$1)</f>
        <v>0</v>
      </c>
      <c r="U222" s="179">
        <f>SUMIFS('recurring2_based on steps'!$B222:$AY222,'recurring2_based on steps'!$B$1:$AY$1,U$1)+SUMIFS('changes2_based on steps'!$B222:$U222,'changes2_based on steps'!$B$1:$U$1,U$1)</f>
        <v>0</v>
      </c>
      <c r="V222" s="179">
        <f>SUMIFS('recurring2_based on steps'!$B222:$AY222,'recurring2_based on steps'!$B$1:$AY$1,V$1)+SUMIFS('changes2_based on steps'!$B222:$U222,'changes2_based on steps'!$B$1:$U$1,V$1)</f>
        <v>0</v>
      </c>
      <c r="W222" s="179">
        <f>SUMIFS('recurring2_based on steps'!$B222:$AY222,'recurring2_based on steps'!$B$1:$AY$1,W$1)+SUMIFS('changes2_based on steps'!$B222:$U222,'changes2_based on steps'!$B$1:$U$1,W$1)</f>
        <v>0</v>
      </c>
      <c r="X222" s="179">
        <f>SUMIFS('recurring2_based on steps'!$B222:$AY222,'recurring2_based on steps'!$B$1:$AY$1,X$1)+SUMIFS('changes2_based on steps'!$B222:$U222,'changes2_based on steps'!$B$1:$U$1,X$1)</f>
        <v>0</v>
      </c>
      <c r="Y222" s="179">
        <f>SUMIFS('recurring2_based on steps'!$B222:$AY222,'recurring2_based on steps'!$B$1:$AY$1,Y$1)+SUMIFS('changes2_based on steps'!$B222:$U222,'changes2_based on steps'!$B$1:$U$1,Y$1)</f>
        <v>0</v>
      </c>
      <c r="Z222" s="179">
        <f>SUMIFS('recurring2_based on steps'!$B222:$AY222,'recurring2_based on steps'!$B$1:$AY$1,Z$1)+SUMIFS('changes2_based on steps'!$B222:$U222,'changes2_based on steps'!$B$1:$U$1,Z$1)</f>
        <v>0</v>
      </c>
      <c r="AA222" s="179">
        <f>SUMIFS('recurring2_based on steps'!$B222:$AY222,'recurring2_based on steps'!$B$1:$AY$1,AA$1)+SUMIFS('changes2_based on steps'!$B222:$U222,'changes2_based on steps'!$B$1:$U$1,AA$1)</f>
        <v>0</v>
      </c>
      <c r="AB222" s="179">
        <f>SUMIFS('recurring2_based on steps'!$B222:$AY222,'recurring2_based on steps'!$B$1:$AY$1,AB$1)+SUMIFS('changes2_based on steps'!$B222:$U222,'changes2_based on steps'!$B$1:$U$1,AB$1)</f>
        <v>0</v>
      </c>
      <c r="AC222" s="179">
        <f>SUMIFS('recurring2_based on steps'!$B222:$AY222,'recurring2_based on steps'!$B$1:$AY$1,AC$1)+SUMIFS('changes2_based on steps'!$B222:$U222,'changes2_based on steps'!$B$1:$U$1,AC$1)</f>
        <v>0</v>
      </c>
      <c r="AD222" s="179">
        <f>SUMIFS('recurring2_based on steps'!$B222:$AY222,'recurring2_based on steps'!$B$1:$AY$1,AD$1)+SUMIFS('changes2_based on steps'!$B222:$U222,'changes2_based on steps'!$B$1:$U$1,AD$1)</f>
        <v>0</v>
      </c>
      <c r="AE222" s="179">
        <f>SUMIFS('recurring2_based on steps'!$B222:$AY222,'recurring2_based on steps'!$B$1:$AY$1,AE$1)+SUMIFS('changes2_based on steps'!$B222:$U222,'changes2_based on steps'!$B$1:$U$1,AE$1)</f>
        <v>0</v>
      </c>
      <c r="AF222" s="179"/>
      <c r="AG222" s="179"/>
      <c r="AH222" s="179"/>
      <c r="AI222" s="179"/>
      <c r="AJ222" s="179"/>
      <c r="AK222" s="179"/>
      <c r="AL222" s="179"/>
      <c r="AM222" s="179"/>
    </row>
    <row r="223" spans="1:39" x14ac:dyDescent="0.2">
      <c r="A223" s="32">
        <f t="shared" ca="1" si="3"/>
        <v>45965</v>
      </c>
      <c r="B223" s="179">
        <f>SUMIFS('recurring2_based on steps'!$B223:$AY223,'recurring2_based on steps'!$B$1:$AY$1,B$1)+SUMIFS('changes2_based on steps'!$B223:$U223,'changes2_based on steps'!$B$1:$U$1,B$1)</f>
        <v>0</v>
      </c>
      <c r="C223" s="179">
        <f>SUMIFS('recurring2_based on steps'!$B223:$AY223,'recurring2_based on steps'!$B$1:$AY$1,C$1)+SUMIFS('changes2_based on steps'!$B223:$U223,'changes2_based on steps'!$B$1:$U$1,C$1)</f>
        <v>0</v>
      </c>
      <c r="D223" s="179">
        <f>SUMIFS('recurring2_based on steps'!$B223:$AY223,'recurring2_based on steps'!$B$1:$AY$1,D$1)+SUMIFS('changes2_based on steps'!$B223:$U223,'changes2_based on steps'!$B$1:$U$1,D$1)</f>
        <v>0</v>
      </c>
      <c r="E223" s="179">
        <f>SUMIFS('recurring2_based on steps'!$B223:$AY223,'recurring2_based on steps'!$B$1:$AY$1,E$1)+SUMIFS('changes2_based on steps'!$B223:$U223,'changes2_based on steps'!$B$1:$U$1,E$1)</f>
        <v>0</v>
      </c>
      <c r="F223" s="179">
        <f>SUMIFS('recurring2_based on steps'!$B223:$AY223,'recurring2_based on steps'!$B$1:$AY$1,F$1)+SUMIFS('changes2_based on steps'!$B223:$U223,'changes2_based on steps'!$B$1:$U$1,F$1)</f>
        <v>0</v>
      </c>
      <c r="G223" s="179">
        <f>SUMIFS('recurring2_based on steps'!$B223:$AY223,'recurring2_based on steps'!$B$1:$AY$1,G$1)+SUMIFS('changes2_based on steps'!$B223:$U223,'changes2_based on steps'!$B$1:$U$1,G$1)</f>
        <v>0</v>
      </c>
      <c r="H223" s="179">
        <f>SUMIFS('recurring2_based on steps'!$B223:$AY223,'recurring2_based on steps'!$B$1:$AY$1,H$1)+SUMIFS('changes2_based on steps'!$B223:$U223,'changes2_based on steps'!$B$1:$U$1,H$1)</f>
        <v>0</v>
      </c>
      <c r="I223" s="179">
        <f>SUMIFS('recurring2_based on steps'!$B223:$AY223,'recurring2_based on steps'!$B$1:$AY$1,I$1)+SUMIFS('changes2_based on steps'!$B223:$U223,'changes2_based on steps'!$B$1:$U$1,I$1)</f>
        <v>0</v>
      </c>
      <c r="J223" s="179">
        <f>SUMIFS('recurring2_based on steps'!$B223:$AY223,'recurring2_based on steps'!$B$1:$AY$1,J$1)+SUMIFS('changes2_based on steps'!$B223:$U223,'changes2_based on steps'!$B$1:$U$1,J$1)</f>
        <v>0</v>
      </c>
      <c r="K223" s="179">
        <f>SUMIFS('recurring2_based on steps'!$B223:$AY223,'recurring2_based on steps'!$B$1:$AY$1,K$1)+SUMIFS('changes2_based on steps'!$B223:$U223,'changes2_based on steps'!$B$1:$U$1,K$1)</f>
        <v>0</v>
      </c>
      <c r="L223" s="179">
        <f>SUMIFS('recurring2_based on steps'!$B223:$AY223,'recurring2_based on steps'!$B$1:$AY$1,L$1)+SUMIFS('changes2_based on steps'!$B223:$U223,'changes2_based on steps'!$B$1:$U$1,L$1)</f>
        <v>0</v>
      </c>
      <c r="M223" s="179">
        <f>SUMIFS('recurring2_based on steps'!$B223:$AY223,'recurring2_based on steps'!$B$1:$AY$1,M$1)+SUMIFS('changes2_based on steps'!$B223:$U223,'changes2_based on steps'!$B$1:$U$1,M$1)</f>
        <v>0</v>
      </c>
      <c r="N223" s="179">
        <f>SUMIFS('recurring2_based on steps'!$B223:$AY223,'recurring2_based on steps'!$B$1:$AY$1,N$1)+SUMIFS('changes2_based on steps'!$B223:$U223,'changes2_based on steps'!$B$1:$U$1,N$1)</f>
        <v>0</v>
      </c>
      <c r="O223" s="179">
        <f>SUMIFS('recurring2_based on steps'!$B223:$AY223,'recurring2_based on steps'!$B$1:$AY$1,O$1)+SUMIFS('changes2_based on steps'!$B223:$U223,'changes2_based on steps'!$B$1:$U$1,O$1)</f>
        <v>0</v>
      </c>
      <c r="P223" s="179">
        <f>SUMIFS('recurring2_based on steps'!$B223:$AY223,'recurring2_based on steps'!$B$1:$AY$1,P$1)+SUMIFS('changes2_based on steps'!$B223:$U223,'changes2_based on steps'!$B$1:$U$1,P$1)</f>
        <v>0</v>
      </c>
      <c r="Q223" s="179">
        <f>SUMIFS('recurring2_based on steps'!$B223:$AY223,'recurring2_based on steps'!$B$1:$AY$1,Q$1)+SUMIFS('changes2_based on steps'!$B223:$U223,'changes2_based on steps'!$B$1:$U$1,Q$1)</f>
        <v>0</v>
      </c>
      <c r="R223" s="179">
        <f>SUMIFS('recurring2_based on steps'!$B223:$AY223,'recurring2_based on steps'!$B$1:$AY$1,R$1)+SUMIFS('changes2_based on steps'!$B223:$U223,'changes2_based on steps'!$B$1:$U$1,R$1)</f>
        <v>0</v>
      </c>
      <c r="S223" s="179">
        <f>SUMIFS('recurring2_based on steps'!$B223:$AY223,'recurring2_based on steps'!$B$1:$AY$1,S$1)+SUMIFS('changes2_based on steps'!$B223:$U223,'changes2_based on steps'!$B$1:$U$1,S$1)</f>
        <v>0</v>
      </c>
      <c r="T223" s="179">
        <f>SUMIFS('recurring2_based on steps'!$B223:$AY223,'recurring2_based on steps'!$B$1:$AY$1,T$1)+SUMIFS('changes2_based on steps'!$B223:$U223,'changes2_based on steps'!$B$1:$U$1,T$1)</f>
        <v>0</v>
      </c>
      <c r="U223" s="179">
        <f>SUMIFS('recurring2_based on steps'!$B223:$AY223,'recurring2_based on steps'!$B$1:$AY$1,U$1)+SUMIFS('changes2_based on steps'!$B223:$U223,'changes2_based on steps'!$B$1:$U$1,U$1)</f>
        <v>0</v>
      </c>
      <c r="V223" s="179">
        <f>SUMIFS('recurring2_based on steps'!$B223:$AY223,'recurring2_based on steps'!$B$1:$AY$1,V$1)+SUMIFS('changes2_based on steps'!$B223:$U223,'changes2_based on steps'!$B$1:$U$1,V$1)</f>
        <v>0</v>
      </c>
      <c r="W223" s="179">
        <f>SUMIFS('recurring2_based on steps'!$B223:$AY223,'recurring2_based on steps'!$B$1:$AY$1,W$1)+SUMIFS('changes2_based on steps'!$B223:$U223,'changes2_based on steps'!$B$1:$U$1,W$1)</f>
        <v>0</v>
      </c>
      <c r="X223" s="179">
        <f>SUMIFS('recurring2_based on steps'!$B223:$AY223,'recurring2_based on steps'!$B$1:$AY$1,X$1)+SUMIFS('changes2_based on steps'!$B223:$U223,'changes2_based on steps'!$B$1:$U$1,X$1)</f>
        <v>0</v>
      </c>
      <c r="Y223" s="179">
        <f>SUMIFS('recurring2_based on steps'!$B223:$AY223,'recurring2_based on steps'!$B$1:$AY$1,Y$1)+SUMIFS('changes2_based on steps'!$B223:$U223,'changes2_based on steps'!$B$1:$U$1,Y$1)</f>
        <v>0</v>
      </c>
      <c r="Z223" s="179">
        <f>SUMIFS('recurring2_based on steps'!$B223:$AY223,'recurring2_based on steps'!$B$1:$AY$1,Z$1)+SUMIFS('changes2_based on steps'!$B223:$U223,'changes2_based on steps'!$B$1:$U$1,Z$1)</f>
        <v>0</v>
      </c>
      <c r="AA223" s="179">
        <f>SUMIFS('recurring2_based on steps'!$B223:$AY223,'recurring2_based on steps'!$B$1:$AY$1,AA$1)+SUMIFS('changes2_based on steps'!$B223:$U223,'changes2_based on steps'!$B$1:$U$1,AA$1)</f>
        <v>0</v>
      </c>
      <c r="AB223" s="179">
        <f>SUMIFS('recurring2_based on steps'!$B223:$AY223,'recurring2_based on steps'!$B$1:$AY$1,AB$1)+SUMIFS('changes2_based on steps'!$B223:$U223,'changes2_based on steps'!$B$1:$U$1,AB$1)</f>
        <v>0</v>
      </c>
      <c r="AC223" s="179">
        <f>SUMIFS('recurring2_based on steps'!$B223:$AY223,'recurring2_based on steps'!$B$1:$AY$1,AC$1)+SUMIFS('changes2_based on steps'!$B223:$U223,'changes2_based on steps'!$B$1:$U$1,AC$1)</f>
        <v>0</v>
      </c>
      <c r="AD223" s="179">
        <f>SUMIFS('recurring2_based on steps'!$B223:$AY223,'recurring2_based on steps'!$B$1:$AY$1,AD$1)+SUMIFS('changes2_based on steps'!$B223:$U223,'changes2_based on steps'!$B$1:$U$1,AD$1)</f>
        <v>0</v>
      </c>
      <c r="AE223" s="179">
        <f>SUMIFS('recurring2_based on steps'!$B223:$AY223,'recurring2_based on steps'!$B$1:$AY$1,AE$1)+SUMIFS('changes2_based on steps'!$B223:$U223,'changes2_based on steps'!$B$1:$U$1,AE$1)</f>
        <v>0</v>
      </c>
      <c r="AF223" s="179"/>
      <c r="AG223" s="179"/>
      <c r="AH223" s="179"/>
      <c r="AI223" s="179"/>
      <c r="AJ223" s="179"/>
      <c r="AK223" s="179"/>
      <c r="AL223" s="179"/>
      <c r="AM223" s="179"/>
    </row>
    <row r="224" spans="1:39" x14ac:dyDescent="0.2">
      <c r="A224" s="32">
        <f t="shared" ca="1" si="3"/>
        <v>45966</v>
      </c>
      <c r="B224" s="179">
        <f>SUMIFS('recurring2_based on steps'!$B224:$AY224,'recurring2_based on steps'!$B$1:$AY$1,B$1)+SUMIFS('changes2_based on steps'!$B224:$U224,'changes2_based on steps'!$B$1:$U$1,B$1)</f>
        <v>0</v>
      </c>
      <c r="C224" s="179">
        <f>SUMIFS('recurring2_based on steps'!$B224:$AY224,'recurring2_based on steps'!$B$1:$AY$1,C$1)+SUMIFS('changes2_based on steps'!$B224:$U224,'changes2_based on steps'!$B$1:$U$1,C$1)</f>
        <v>0</v>
      </c>
      <c r="D224" s="179">
        <f>SUMIFS('recurring2_based on steps'!$B224:$AY224,'recurring2_based on steps'!$B$1:$AY$1,D$1)+SUMIFS('changes2_based on steps'!$B224:$U224,'changes2_based on steps'!$B$1:$U$1,D$1)</f>
        <v>0</v>
      </c>
      <c r="E224" s="179">
        <f>SUMIFS('recurring2_based on steps'!$B224:$AY224,'recurring2_based on steps'!$B$1:$AY$1,E$1)+SUMIFS('changes2_based on steps'!$B224:$U224,'changes2_based on steps'!$B$1:$U$1,E$1)</f>
        <v>0</v>
      </c>
      <c r="F224" s="179">
        <f>SUMIFS('recurring2_based on steps'!$B224:$AY224,'recurring2_based on steps'!$B$1:$AY$1,F$1)+SUMIFS('changes2_based on steps'!$B224:$U224,'changes2_based on steps'!$B$1:$U$1,F$1)</f>
        <v>0</v>
      </c>
      <c r="G224" s="179">
        <f>SUMIFS('recurring2_based on steps'!$B224:$AY224,'recurring2_based on steps'!$B$1:$AY$1,G$1)+SUMIFS('changes2_based on steps'!$B224:$U224,'changes2_based on steps'!$B$1:$U$1,G$1)</f>
        <v>0</v>
      </c>
      <c r="H224" s="179">
        <f>SUMIFS('recurring2_based on steps'!$B224:$AY224,'recurring2_based on steps'!$B$1:$AY$1,H$1)+SUMIFS('changes2_based on steps'!$B224:$U224,'changes2_based on steps'!$B$1:$U$1,H$1)</f>
        <v>0</v>
      </c>
      <c r="I224" s="179">
        <f>SUMIFS('recurring2_based on steps'!$B224:$AY224,'recurring2_based on steps'!$B$1:$AY$1,I$1)+SUMIFS('changes2_based on steps'!$B224:$U224,'changes2_based on steps'!$B$1:$U$1,I$1)</f>
        <v>0</v>
      </c>
      <c r="J224" s="179">
        <f>SUMIFS('recurring2_based on steps'!$B224:$AY224,'recurring2_based on steps'!$B$1:$AY$1,J$1)+SUMIFS('changes2_based on steps'!$B224:$U224,'changes2_based on steps'!$B$1:$U$1,J$1)</f>
        <v>0</v>
      </c>
      <c r="K224" s="179">
        <f>SUMIFS('recurring2_based on steps'!$B224:$AY224,'recurring2_based on steps'!$B$1:$AY$1,K$1)+SUMIFS('changes2_based on steps'!$B224:$U224,'changes2_based on steps'!$B$1:$U$1,K$1)</f>
        <v>0</v>
      </c>
      <c r="L224" s="179">
        <f>SUMIFS('recurring2_based on steps'!$B224:$AY224,'recurring2_based on steps'!$B$1:$AY$1,L$1)+SUMIFS('changes2_based on steps'!$B224:$U224,'changes2_based on steps'!$B$1:$U$1,L$1)</f>
        <v>0</v>
      </c>
      <c r="M224" s="179">
        <f>SUMIFS('recurring2_based on steps'!$B224:$AY224,'recurring2_based on steps'!$B$1:$AY$1,M$1)+SUMIFS('changes2_based on steps'!$B224:$U224,'changes2_based on steps'!$B$1:$U$1,M$1)</f>
        <v>0</v>
      </c>
      <c r="N224" s="179">
        <f>SUMIFS('recurring2_based on steps'!$B224:$AY224,'recurring2_based on steps'!$B$1:$AY$1,N$1)+SUMIFS('changes2_based on steps'!$B224:$U224,'changes2_based on steps'!$B$1:$U$1,N$1)</f>
        <v>0</v>
      </c>
      <c r="O224" s="179">
        <f>SUMIFS('recurring2_based on steps'!$B224:$AY224,'recurring2_based on steps'!$B$1:$AY$1,O$1)+SUMIFS('changes2_based on steps'!$B224:$U224,'changes2_based on steps'!$B$1:$U$1,O$1)</f>
        <v>0</v>
      </c>
      <c r="P224" s="179">
        <f>SUMIFS('recurring2_based on steps'!$B224:$AY224,'recurring2_based on steps'!$B$1:$AY$1,P$1)+SUMIFS('changes2_based on steps'!$B224:$U224,'changes2_based on steps'!$B$1:$U$1,P$1)</f>
        <v>0</v>
      </c>
      <c r="Q224" s="179">
        <f>SUMIFS('recurring2_based on steps'!$B224:$AY224,'recurring2_based on steps'!$B$1:$AY$1,Q$1)+SUMIFS('changes2_based on steps'!$B224:$U224,'changes2_based on steps'!$B$1:$U$1,Q$1)</f>
        <v>0</v>
      </c>
      <c r="R224" s="179">
        <f>SUMIFS('recurring2_based on steps'!$B224:$AY224,'recurring2_based on steps'!$B$1:$AY$1,R$1)+SUMIFS('changes2_based on steps'!$B224:$U224,'changes2_based on steps'!$B$1:$U$1,R$1)</f>
        <v>0</v>
      </c>
      <c r="S224" s="179">
        <f>SUMIFS('recurring2_based on steps'!$B224:$AY224,'recurring2_based on steps'!$B$1:$AY$1,S$1)+SUMIFS('changes2_based on steps'!$B224:$U224,'changes2_based on steps'!$B$1:$U$1,S$1)</f>
        <v>0</v>
      </c>
      <c r="T224" s="179">
        <f>SUMIFS('recurring2_based on steps'!$B224:$AY224,'recurring2_based on steps'!$B$1:$AY$1,T$1)+SUMIFS('changes2_based on steps'!$B224:$U224,'changes2_based on steps'!$B$1:$U$1,T$1)</f>
        <v>0</v>
      </c>
      <c r="U224" s="179">
        <f>SUMIFS('recurring2_based on steps'!$B224:$AY224,'recurring2_based on steps'!$B$1:$AY$1,U$1)+SUMIFS('changes2_based on steps'!$B224:$U224,'changes2_based on steps'!$B$1:$U$1,U$1)</f>
        <v>0</v>
      </c>
      <c r="V224" s="179">
        <f>SUMIFS('recurring2_based on steps'!$B224:$AY224,'recurring2_based on steps'!$B$1:$AY$1,V$1)+SUMIFS('changes2_based on steps'!$B224:$U224,'changes2_based on steps'!$B$1:$U$1,V$1)</f>
        <v>0</v>
      </c>
      <c r="W224" s="179">
        <f>SUMIFS('recurring2_based on steps'!$B224:$AY224,'recurring2_based on steps'!$B$1:$AY$1,W$1)+SUMIFS('changes2_based on steps'!$B224:$U224,'changes2_based on steps'!$B$1:$U$1,W$1)</f>
        <v>0</v>
      </c>
      <c r="X224" s="179">
        <f>SUMIFS('recurring2_based on steps'!$B224:$AY224,'recurring2_based on steps'!$B$1:$AY$1,X$1)+SUMIFS('changes2_based on steps'!$B224:$U224,'changes2_based on steps'!$B$1:$U$1,X$1)</f>
        <v>0</v>
      </c>
      <c r="Y224" s="179">
        <f>SUMIFS('recurring2_based on steps'!$B224:$AY224,'recurring2_based on steps'!$B$1:$AY$1,Y$1)+SUMIFS('changes2_based on steps'!$B224:$U224,'changes2_based on steps'!$B$1:$U$1,Y$1)</f>
        <v>0</v>
      </c>
      <c r="Z224" s="179">
        <f>SUMIFS('recurring2_based on steps'!$B224:$AY224,'recurring2_based on steps'!$B$1:$AY$1,Z$1)+SUMIFS('changes2_based on steps'!$B224:$U224,'changes2_based on steps'!$B$1:$U$1,Z$1)</f>
        <v>0</v>
      </c>
      <c r="AA224" s="179">
        <f>SUMIFS('recurring2_based on steps'!$B224:$AY224,'recurring2_based on steps'!$B$1:$AY$1,AA$1)+SUMIFS('changes2_based on steps'!$B224:$U224,'changes2_based on steps'!$B$1:$U$1,AA$1)</f>
        <v>0</v>
      </c>
      <c r="AB224" s="179">
        <f>SUMIFS('recurring2_based on steps'!$B224:$AY224,'recurring2_based on steps'!$B$1:$AY$1,AB$1)+SUMIFS('changes2_based on steps'!$B224:$U224,'changes2_based on steps'!$B$1:$U$1,AB$1)</f>
        <v>0</v>
      </c>
      <c r="AC224" s="179">
        <f>SUMIFS('recurring2_based on steps'!$B224:$AY224,'recurring2_based on steps'!$B$1:$AY$1,AC$1)+SUMIFS('changes2_based on steps'!$B224:$U224,'changes2_based on steps'!$B$1:$U$1,AC$1)</f>
        <v>0</v>
      </c>
      <c r="AD224" s="179">
        <f>SUMIFS('recurring2_based on steps'!$B224:$AY224,'recurring2_based on steps'!$B$1:$AY$1,AD$1)+SUMIFS('changes2_based on steps'!$B224:$U224,'changes2_based on steps'!$B$1:$U$1,AD$1)</f>
        <v>0</v>
      </c>
      <c r="AE224" s="179">
        <f>SUMIFS('recurring2_based on steps'!$B224:$AY224,'recurring2_based on steps'!$B$1:$AY$1,AE$1)+SUMIFS('changes2_based on steps'!$B224:$U224,'changes2_based on steps'!$B$1:$U$1,AE$1)</f>
        <v>0</v>
      </c>
      <c r="AF224" s="179"/>
      <c r="AG224" s="179"/>
      <c r="AH224" s="179"/>
      <c r="AI224" s="179"/>
      <c r="AJ224" s="179"/>
      <c r="AK224" s="179"/>
      <c r="AL224" s="179"/>
      <c r="AM224" s="179"/>
    </row>
    <row r="225" spans="1:39" x14ac:dyDescent="0.2">
      <c r="A225" s="32">
        <f t="shared" ca="1" si="3"/>
        <v>45967</v>
      </c>
      <c r="B225" s="179">
        <f>SUMIFS('recurring2_based on steps'!$B225:$AY225,'recurring2_based on steps'!$B$1:$AY$1,B$1)+SUMIFS('changes2_based on steps'!$B225:$U225,'changes2_based on steps'!$B$1:$U$1,B$1)</f>
        <v>0</v>
      </c>
      <c r="C225" s="179">
        <f>SUMIFS('recurring2_based on steps'!$B225:$AY225,'recurring2_based on steps'!$B$1:$AY$1,C$1)+SUMIFS('changes2_based on steps'!$B225:$U225,'changes2_based on steps'!$B$1:$U$1,C$1)</f>
        <v>0</v>
      </c>
      <c r="D225" s="179">
        <f>SUMIFS('recurring2_based on steps'!$B225:$AY225,'recurring2_based on steps'!$B$1:$AY$1,D$1)+SUMIFS('changes2_based on steps'!$B225:$U225,'changes2_based on steps'!$B$1:$U$1,D$1)</f>
        <v>0</v>
      </c>
      <c r="E225" s="179">
        <f>SUMIFS('recurring2_based on steps'!$B225:$AY225,'recurring2_based on steps'!$B$1:$AY$1,E$1)+SUMIFS('changes2_based on steps'!$B225:$U225,'changes2_based on steps'!$B$1:$U$1,E$1)</f>
        <v>0</v>
      </c>
      <c r="F225" s="179">
        <f>SUMIFS('recurring2_based on steps'!$B225:$AY225,'recurring2_based on steps'!$B$1:$AY$1,F$1)+SUMIFS('changes2_based on steps'!$B225:$U225,'changes2_based on steps'!$B$1:$U$1,F$1)</f>
        <v>0</v>
      </c>
      <c r="G225" s="179">
        <f>SUMIFS('recurring2_based on steps'!$B225:$AY225,'recurring2_based on steps'!$B$1:$AY$1,G$1)+SUMIFS('changes2_based on steps'!$B225:$U225,'changes2_based on steps'!$B$1:$U$1,G$1)</f>
        <v>0</v>
      </c>
      <c r="H225" s="179">
        <f>SUMIFS('recurring2_based on steps'!$B225:$AY225,'recurring2_based on steps'!$B$1:$AY$1,H$1)+SUMIFS('changes2_based on steps'!$B225:$U225,'changes2_based on steps'!$B$1:$U$1,H$1)</f>
        <v>0</v>
      </c>
      <c r="I225" s="179">
        <f>SUMIFS('recurring2_based on steps'!$B225:$AY225,'recurring2_based on steps'!$B$1:$AY$1,I$1)+SUMIFS('changes2_based on steps'!$B225:$U225,'changes2_based on steps'!$B$1:$U$1,I$1)</f>
        <v>0</v>
      </c>
      <c r="J225" s="179">
        <f>SUMIFS('recurring2_based on steps'!$B225:$AY225,'recurring2_based on steps'!$B$1:$AY$1,J$1)+SUMIFS('changes2_based on steps'!$B225:$U225,'changes2_based on steps'!$B$1:$U$1,J$1)</f>
        <v>0</v>
      </c>
      <c r="K225" s="179">
        <f>SUMIFS('recurring2_based on steps'!$B225:$AY225,'recurring2_based on steps'!$B$1:$AY$1,K$1)+SUMIFS('changes2_based on steps'!$B225:$U225,'changes2_based on steps'!$B$1:$U$1,K$1)</f>
        <v>0</v>
      </c>
      <c r="L225" s="179">
        <f>SUMIFS('recurring2_based on steps'!$B225:$AY225,'recurring2_based on steps'!$B$1:$AY$1,L$1)+SUMIFS('changes2_based on steps'!$B225:$U225,'changes2_based on steps'!$B$1:$U$1,L$1)</f>
        <v>0</v>
      </c>
      <c r="M225" s="179">
        <f>SUMIFS('recurring2_based on steps'!$B225:$AY225,'recurring2_based on steps'!$B$1:$AY$1,M$1)+SUMIFS('changes2_based on steps'!$B225:$U225,'changes2_based on steps'!$B$1:$U$1,M$1)</f>
        <v>0</v>
      </c>
      <c r="N225" s="179">
        <f>SUMIFS('recurring2_based on steps'!$B225:$AY225,'recurring2_based on steps'!$B$1:$AY$1,N$1)+SUMIFS('changes2_based on steps'!$B225:$U225,'changes2_based on steps'!$B$1:$U$1,N$1)</f>
        <v>0</v>
      </c>
      <c r="O225" s="179">
        <f>SUMIFS('recurring2_based on steps'!$B225:$AY225,'recurring2_based on steps'!$B$1:$AY$1,O$1)+SUMIFS('changes2_based on steps'!$B225:$U225,'changes2_based on steps'!$B$1:$U$1,O$1)</f>
        <v>0</v>
      </c>
      <c r="P225" s="179">
        <f>SUMIFS('recurring2_based on steps'!$B225:$AY225,'recurring2_based on steps'!$B$1:$AY$1,P$1)+SUMIFS('changes2_based on steps'!$B225:$U225,'changes2_based on steps'!$B$1:$U$1,P$1)</f>
        <v>0</v>
      </c>
      <c r="Q225" s="179">
        <f>SUMIFS('recurring2_based on steps'!$B225:$AY225,'recurring2_based on steps'!$B$1:$AY$1,Q$1)+SUMIFS('changes2_based on steps'!$B225:$U225,'changes2_based on steps'!$B$1:$U$1,Q$1)</f>
        <v>0</v>
      </c>
      <c r="R225" s="179">
        <f>SUMIFS('recurring2_based on steps'!$B225:$AY225,'recurring2_based on steps'!$B$1:$AY$1,R$1)+SUMIFS('changes2_based on steps'!$B225:$U225,'changes2_based on steps'!$B$1:$U$1,R$1)</f>
        <v>0</v>
      </c>
      <c r="S225" s="179">
        <f>SUMIFS('recurring2_based on steps'!$B225:$AY225,'recurring2_based on steps'!$B$1:$AY$1,S$1)+SUMIFS('changes2_based on steps'!$B225:$U225,'changes2_based on steps'!$B$1:$U$1,S$1)</f>
        <v>0</v>
      </c>
      <c r="T225" s="179">
        <f>SUMIFS('recurring2_based on steps'!$B225:$AY225,'recurring2_based on steps'!$B$1:$AY$1,T$1)+SUMIFS('changes2_based on steps'!$B225:$U225,'changes2_based on steps'!$B$1:$U$1,T$1)</f>
        <v>0</v>
      </c>
      <c r="U225" s="179">
        <f>SUMIFS('recurring2_based on steps'!$B225:$AY225,'recurring2_based on steps'!$B$1:$AY$1,U$1)+SUMIFS('changes2_based on steps'!$B225:$U225,'changes2_based on steps'!$B$1:$U$1,U$1)</f>
        <v>0</v>
      </c>
      <c r="V225" s="179">
        <f>SUMIFS('recurring2_based on steps'!$B225:$AY225,'recurring2_based on steps'!$B$1:$AY$1,V$1)+SUMIFS('changes2_based on steps'!$B225:$U225,'changes2_based on steps'!$B$1:$U$1,V$1)</f>
        <v>0</v>
      </c>
      <c r="W225" s="179">
        <f>SUMIFS('recurring2_based on steps'!$B225:$AY225,'recurring2_based on steps'!$B$1:$AY$1,W$1)+SUMIFS('changes2_based on steps'!$B225:$U225,'changes2_based on steps'!$B$1:$U$1,W$1)</f>
        <v>0</v>
      </c>
      <c r="X225" s="179">
        <f>SUMIFS('recurring2_based on steps'!$B225:$AY225,'recurring2_based on steps'!$B$1:$AY$1,X$1)+SUMIFS('changes2_based on steps'!$B225:$U225,'changes2_based on steps'!$B$1:$U$1,X$1)</f>
        <v>0</v>
      </c>
      <c r="Y225" s="179">
        <f>SUMIFS('recurring2_based on steps'!$B225:$AY225,'recurring2_based on steps'!$B$1:$AY$1,Y$1)+SUMIFS('changes2_based on steps'!$B225:$U225,'changes2_based on steps'!$B$1:$U$1,Y$1)</f>
        <v>0</v>
      </c>
      <c r="Z225" s="179">
        <f>SUMIFS('recurring2_based on steps'!$B225:$AY225,'recurring2_based on steps'!$B$1:$AY$1,Z$1)+SUMIFS('changes2_based on steps'!$B225:$U225,'changes2_based on steps'!$B$1:$U$1,Z$1)</f>
        <v>0</v>
      </c>
      <c r="AA225" s="179">
        <f>SUMIFS('recurring2_based on steps'!$B225:$AY225,'recurring2_based on steps'!$B$1:$AY$1,AA$1)+SUMIFS('changes2_based on steps'!$B225:$U225,'changes2_based on steps'!$B$1:$U$1,AA$1)</f>
        <v>0</v>
      </c>
      <c r="AB225" s="179">
        <f>SUMIFS('recurring2_based on steps'!$B225:$AY225,'recurring2_based on steps'!$B$1:$AY$1,AB$1)+SUMIFS('changes2_based on steps'!$B225:$U225,'changes2_based on steps'!$B$1:$U$1,AB$1)</f>
        <v>0</v>
      </c>
      <c r="AC225" s="179">
        <f>SUMIFS('recurring2_based on steps'!$B225:$AY225,'recurring2_based on steps'!$B$1:$AY$1,AC$1)+SUMIFS('changes2_based on steps'!$B225:$U225,'changes2_based on steps'!$B$1:$U$1,AC$1)</f>
        <v>0</v>
      </c>
      <c r="AD225" s="179">
        <f>SUMIFS('recurring2_based on steps'!$B225:$AY225,'recurring2_based on steps'!$B$1:$AY$1,AD$1)+SUMIFS('changes2_based on steps'!$B225:$U225,'changes2_based on steps'!$B$1:$U$1,AD$1)</f>
        <v>0</v>
      </c>
      <c r="AE225" s="179">
        <f>SUMIFS('recurring2_based on steps'!$B225:$AY225,'recurring2_based on steps'!$B$1:$AY$1,AE$1)+SUMIFS('changes2_based on steps'!$B225:$U225,'changes2_based on steps'!$B$1:$U$1,AE$1)</f>
        <v>0</v>
      </c>
      <c r="AF225" s="179"/>
      <c r="AG225" s="179"/>
      <c r="AH225" s="179"/>
      <c r="AI225" s="179"/>
      <c r="AJ225" s="179"/>
      <c r="AK225" s="179"/>
      <c r="AL225" s="179"/>
      <c r="AM225" s="179"/>
    </row>
    <row r="226" spans="1:39" x14ac:dyDescent="0.2">
      <c r="A226" s="32">
        <f t="shared" ca="1" si="3"/>
        <v>45968</v>
      </c>
      <c r="B226" s="179">
        <f>SUMIFS('recurring2_based on steps'!$B226:$AY226,'recurring2_based on steps'!$B$1:$AY$1,B$1)+SUMIFS('changes2_based on steps'!$B226:$U226,'changes2_based on steps'!$B$1:$U$1,B$1)</f>
        <v>0</v>
      </c>
      <c r="C226" s="179">
        <f>SUMIFS('recurring2_based on steps'!$B226:$AY226,'recurring2_based on steps'!$B$1:$AY$1,C$1)+SUMIFS('changes2_based on steps'!$B226:$U226,'changes2_based on steps'!$B$1:$U$1,C$1)</f>
        <v>0</v>
      </c>
      <c r="D226" s="179">
        <f>SUMIFS('recurring2_based on steps'!$B226:$AY226,'recurring2_based on steps'!$B$1:$AY$1,D$1)+SUMIFS('changes2_based on steps'!$B226:$U226,'changes2_based on steps'!$B$1:$U$1,D$1)</f>
        <v>0</v>
      </c>
      <c r="E226" s="179">
        <f>SUMIFS('recurring2_based on steps'!$B226:$AY226,'recurring2_based on steps'!$B$1:$AY$1,E$1)+SUMIFS('changes2_based on steps'!$B226:$U226,'changes2_based on steps'!$B$1:$U$1,E$1)</f>
        <v>0</v>
      </c>
      <c r="F226" s="179">
        <f>SUMIFS('recurring2_based on steps'!$B226:$AY226,'recurring2_based on steps'!$B$1:$AY$1,F$1)+SUMIFS('changes2_based on steps'!$B226:$U226,'changes2_based on steps'!$B$1:$U$1,F$1)</f>
        <v>0</v>
      </c>
      <c r="G226" s="179">
        <f>SUMIFS('recurring2_based on steps'!$B226:$AY226,'recurring2_based on steps'!$B$1:$AY$1,G$1)+SUMIFS('changes2_based on steps'!$B226:$U226,'changes2_based on steps'!$B$1:$U$1,G$1)</f>
        <v>0</v>
      </c>
      <c r="H226" s="179">
        <f>SUMIFS('recurring2_based on steps'!$B226:$AY226,'recurring2_based on steps'!$B$1:$AY$1,H$1)+SUMIFS('changes2_based on steps'!$B226:$U226,'changes2_based on steps'!$B$1:$U$1,H$1)</f>
        <v>0</v>
      </c>
      <c r="I226" s="179">
        <f>SUMIFS('recurring2_based on steps'!$B226:$AY226,'recurring2_based on steps'!$B$1:$AY$1,I$1)+SUMIFS('changes2_based on steps'!$B226:$U226,'changes2_based on steps'!$B$1:$U$1,I$1)</f>
        <v>0</v>
      </c>
      <c r="J226" s="179">
        <f>SUMIFS('recurring2_based on steps'!$B226:$AY226,'recurring2_based on steps'!$B$1:$AY$1,J$1)+SUMIFS('changes2_based on steps'!$B226:$U226,'changes2_based on steps'!$B$1:$U$1,J$1)</f>
        <v>0</v>
      </c>
      <c r="K226" s="179">
        <f>SUMIFS('recurring2_based on steps'!$B226:$AY226,'recurring2_based on steps'!$B$1:$AY$1,K$1)+SUMIFS('changes2_based on steps'!$B226:$U226,'changes2_based on steps'!$B$1:$U$1,K$1)</f>
        <v>0</v>
      </c>
      <c r="L226" s="179">
        <f>SUMIFS('recurring2_based on steps'!$B226:$AY226,'recurring2_based on steps'!$B$1:$AY$1,L$1)+SUMIFS('changes2_based on steps'!$B226:$U226,'changes2_based on steps'!$B$1:$U$1,L$1)</f>
        <v>0</v>
      </c>
      <c r="M226" s="179">
        <f>SUMIFS('recurring2_based on steps'!$B226:$AY226,'recurring2_based on steps'!$B$1:$AY$1,M$1)+SUMIFS('changes2_based on steps'!$B226:$U226,'changes2_based on steps'!$B$1:$U$1,M$1)</f>
        <v>0</v>
      </c>
      <c r="N226" s="179">
        <f>SUMIFS('recurring2_based on steps'!$B226:$AY226,'recurring2_based on steps'!$B$1:$AY$1,N$1)+SUMIFS('changes2_based on steps'!$B226:$U226,'changes2_based on steps'!$B$1:$U$1,N$1)</f>
        <v>0</v>
      </c>
      <c r="O226" s="179">
        <f>SUMIFS('recurring2_based on steps'!$B226:$AY226,'recurring2_based on steps'!$B$1:$AY$1,O$1)+SUMIFS('changes2_based on steps'!$B226:$U226,'changes2_based on steps'!$B$1:$U$1,O$1)</f>
        <v>0</v>
      </c>
      <c r="P226" s="179">
        <f>SUMIFS('recurring2_based on steps'!$B226:$AY226,'recurring2_based on steps'!$B$1:$AY$1,P$1)+SUMIFS('changes2_based on steps'!$B226:$U226,'changes2_based on steps'!$B$1:$U$1,P$1)</f>
        <v>0</v>
      </c>
      <c r="Q226" s="179">
        <f>SUMIFS('recurring2_based on steps'!$B226:$AY226,'recurring2_based on steps'!$B$1:$AY$1,Q$1)+SUMIFS('changes2_based on steps'!$B226:$U226,'changes2_based on steps'!$B$1:$U$1,Q$1)</f>
        <v>0</v>
      </c>
      <c r="R226" s="179">
        <f>SUMIFS('recurring2_based on steps'!$B226:$AY226,'recurring2_based on steps'!$B$1:$AY$1,R$1)+SUMIFS('changes2_based on steps'!$B226:$U226,'changes2_based on steps'!$B$1:$U$1,R$1)</f>
        <v>0</v>
      </c>
      <c r="S226" s="179">
        <f>SUMIFS('recurring2_based on steps'!$B226:$AY226,'recurring2_based on steps'!$B$1:$AY$1,S$1)+SUMIFS('changes2_based on steps'!$B226:$U226,'changes2_based on steps'!$B$1:$U$1,S$1)</f>
        <v>0</v>
      </c>
      <c r="T226" s="179">
        <f>SUMIFS('recurring2_based on steps'!$B226:$AY226,'recurring2_based on steps'!$B$1:$AY$1,T$1)+SUMIFS('changes2_based on steps'!$B226:$U226,'changes2_based on steps'!$B$1:$U$1,T$1)</f>
        <v>0</v>
      </c>
      <c r="U226" s="179">
        <f>SUMIFS('recurring2_based on steps'!$B226:$AY226,'recurring2_based on steps'!$B$1:$AY$1,U$1)+SUMIFS('changes2_based on steps'!$B226:$U226,'changes2_based on steps'!$B$1:$U$1,U$1)</f>
        <v>0</v>
      </c>
      <c r="V226" s="179">
        <f>SUMIFS('recurring2_based on steps'!$B226:$AY226,'recurring2_based on steps'!$B$1:$AY$1,V$1)+SUMIFS('changes2_based on steps'!$B226:$U226,'changes2_based on steps'!$B$1:$U$1,V$1)</f>
        <v>0</v>
      </c>
      <c r="W226" s="179">
        <f>SUMIFS('recurring2_based on steps'!$B226:$AY226,'recurring2_based on steps'!$B$1:$AY$1,W$1)+SUMIFS('changes2_based on steps'!$B226:$U226,'changes2_based on steps'!$B$1:$U$1,W$1)</f>
        <v>0</v>
      </c>
      <c r="X226" s="179">
        <f>SUMIFS('recurring2_based on steps'!$B226:$AY226,'recurring2_based on steps'!$B$1:$AY$1,X$1)+SUMIFS('changes2_based on steps'!$B226:$U226,'changes2_based on steps'!$B$1:$U$1,X$1)</f>
        <v>0</v>
      </c>
      <c r="Y226" s="179">
        <f>SUMIFS('recurring2_based on steps'!$B226:$AY226,'recurring2_based on steps'!$B$1:$AY$1,Y$1)+SUMIFS('changes2_based on steps'!$B226:$U226,'changes2_based on steps'!$B$1:$U$1,Y$1)</f>
        <v>0</v>
      </c>
      <c r="Z226" s="179">
        <f>SUMIFS('recurring2_based on steps'!$B226:$AY226,'recurring2_based on steps'!$B$1:$AY$1,Z$1)+SUMIFS('changes2_based on steps'!$B226:$U226,'changes2_based on steps'!$B$1:$U$1,Z$1)</f>
        <v>0</v>
      </c>
      <c r="AA226" s="179">
        <f>SUMIFS('recurring2_based on steps'!$B226:$AY226,'recurring2_based on steps'!$B$1:$AY$1,AA$1)+SUMIFS('changes2_based on steps'!$B226:$U226,'changes2_based on steps'!$B$1:$U$1,AA$1)</f>
        <v>0</v>
      </c>
      <c r="AB226" s="179">
        <f>SUMIFS('recurring2_based on steps'!$B226:$AY226,'recurring2_based on steps'!$B$1:$AY$1,AB$1)+SUMIFS('changes2_based on steps'!$B226:$U226,'changes2_based on steps'!$B$1:$U$1,AB$1)</f>
        <v>0</v>
      </c>
      <c r="AC226" s="179">
        <f>SUMIFS('recurring2_based on steps'!$B226:$AY226,'recurring2_based on steps'!$B$1:$AY$1,AC$1)+SUMIFS('changes2_based on steps'!$B226:$U226,'changes2_based on steps'!$B$1:$U$1,AC$1)</f>
        <v>0</v>
      </c>
      <c r="AD226" s="179">
        <f>SUMIFS('recurring2_based on steps'!$B226:$AY226,'recurring2_based on steps'!$B$1:$AY$1,AD$1)+SUMIFS('changes2_based on steps'!$B226:$U226,'changes2_based on steps'!$B$1:$U$1,AD$1)</f>
        <v>0</v>
      </c>
      <c r="AE226" s="179">
        <f>SUMIFS('recurring2_based on steps'!$B226:$AY226,'recurring2_based on steps'!$B$1:$AY$1,AE$1)+SUMIFS('changes2_based on steps'!$B226:$U226,'changes2_based on steps'!$B$1:$U$1,AE$1)</f>
        <v>0</v>
      </c>
      <c r="AF226" s="179"/>
      <c r="AG226" s="179"/>
      <c r="AH226" s="179"/>
      <c r="AI226" s="179"/>
      <c r="AJ226" s="179"/>
      <c r="AK226" s="179"/>
      <c r="AL226" s="179"/>
      <c r="AM226" s="179"/>
    </row>
    <row r="227" spans="1:39" x14ac:dyDescent="0.2">
      <c r="A227" s="32">
        <f t="shared" ca="1" si="3"/>
        <v>45969</v>
      </c>
      <c r="B227" s="179">
        <f>SUMIFS('recurring2_based on steps'!$B227:$AY227,'recurring2_based on steps'!$B$1:$AY$1,B$1)+SUMIFS('changes2_based on steps'!$B227:$U227,'changes2_based on steps'!$B$1:$U$1,B$1)</f>
        <v>0</v>
      </c>
      <c r="C227" s="179">
        <f>SUMIFS('recurring2_based on steps'!$B227:$AY227,'recurring2_based on steps'!$B$1:$AY$1,C$1)+SUMIFS('changes2_based on steps'!$B227:$U227,'changes2_based on steps'!$B$1:$U$1,C$1)</f>
        <v>0</v>
      </c>
      <c r="D227" s="179">
        <f>SUMIFS('recurring2_based on steps'!$B227:$AY227,'recurring2_based on steps'!$B$1:$AY$1,D$1)+SUMIFS('changes2_based on steps'!$B227:$U227,'changes2_based on steps'!$B$1:$U$1,D$1)</f>
        <v>0</v>
      </c>
      <c r="E227" s="179">
        <f>SUMIFS('recurring2_based on steps'!$B227:$AY227,'recurring2_based on steps'!$B$1:$AY$1,E$1)+SUMIFS('changes2_based on steps'!$B227:$U227,'changes2_based on steps'!$B$1:$U$1,E$1)</f>
        <v>0</v>
      </c>
      <c r="F227" s="179">
        <f>SUMIFS('recurring2_based on steps'!$B227:$AY227,'recurring2_based on steps'!$B$1:$AY$1,F$1)+SUMIFS('changes2_based on steps'!$B227:$U227,'changes2_based on steps'!$B$1:$U$1,F$1)</f>
        <v>0</v>
      </c>
      <c r="G227" s="179">
        <f>SUMIFS('recurring2_based on steps'!$B227:$AY227,'recurring2_based on steps'!$B$1:$AY$1,G$1)+SUMIFS('changes2_based on steps'!$B227:$U227,'changes2_based on steps'!$B$1:$U$1,G$1)</f>
        <v>0</v>
      </c>
      <c r="H227" s="179">
        <f>SUMIFS('recurring2_based on steps'!$B227:$AY227,'recurring2_based on steps'!$B$1:$AY$1,H$1)+SUMIFS('changes2_based on steps'!$B227:$U227,'changes2_based on steps'!$B$1:$U$1,H$1)</f>
        <v>0</v>
      </c>
      <c r="I227" s="179">
        <f>SUMIFS('recurring2_based on steps'!$B227:$AY227,'recurring2_based on steps'!$B$1:$AY$1,I$1)+SUMIFS('changes2_based on steps'!$B227:$U227,'changes2_based on steps'!$B$1:$U$1,I$1)</f>
        <v>0</v>
      </c>
      <c r="J227" s="179">
        <f>SUMIFS('recurring2_based on steps'!$B227:$AY227,'recurring2_based on steps'!$B$1:$AY$1,J$1)+SUMIFS('changes2_based on steps'!$B227:$U227,'changes2_based on steps'!$B$1:$U$1,J$1)</f>
        <v>0</v>
      </c>
      <c r="K227" s="179">
        <f>SUMIFS('recurring2_based on steps'!$B227:$AY227,'recurring2_based on steps'!$B$1:$AY$1,K$1)+SUMIFS('changes2_based on steps'!$B227:$U227,'changes2_based on steps'!$B$1:$U$1,K$1)</f>
        <v>0</v>
      </c>
      <c r="L227" s="179">
        <f>SUMIFS('recurring2_based on steps'!$B227:$AY227,'recurring2_based on steps'!$B$1:$AY$1,L$1)+SUMIFS('changes2_based on steps'!$B227:$U227,'changes2_based on steps'!$B$1:$U$1,L$1)</f>
        <v>0</v>
      </c>
      <c r="M227" s="179">
        <f>SUMIFS('recurring2_based on steps'!$B227:$AY227,'recurring2_based on steps'!$B$1:$AY$1,M$1)+SUMIFS('changes2_based on steps'!$B227:$U227,'changes2_based on steps'!$B$1:$U$1,M$1)</f>
        <v>0</v>
      </c>
      <c r="N227" s="179">
        <f>SUMIFS('recurring2_based on steps'!$B227:$AY227,'recurring2_based on steps'!$B$1:$AY$1,N$1)+SUMIFS('changes2_based on steps'!$B227:$U227,'changes2_based on steps'!$B$1:$U$1,N$1)</f>
        <v>0</v>
      </c>
      <c r="O227" s="179">
        <f>SUMIFS('recurring2_based on steps'!$B227:$AY227,'recurring2_based on steps'!$B$1:$AY$1,O$1)+SUMIFS('changes2_based on steps'!$B227:$U227,'changes2_based on steps'!$B$1:$U$1,O$1)</f>
        <v>0</v>
      </c>
      <c r="P227" s="179">
        <f>SUMIFS('recurring2_based on steps'!$B227:$AY227,'recurring2_based on steps'!$B$1:$AY$1,P$1)+SUMIFS('changes2_based on steps'!$B227:$U227,'changes2_based on steps'!$B$1:$U$1,P$1)</f>
        <v>0</v>
      </c>
      <c r="Q227" s="179">
        <f>SUMIFS('recurring2_based on steps'!$B227:$AY227,'recurring2_based on steps'!$B$1:$AY$1,Q$1)+SUMIFS('changes2_based on steps'!$B227:$U227,'changes2_based on steps'!$B$1:$U$1,Q$1)</f>
        <v>0</v>
      </c>
      <c r="R227" s="179">
        <f>SUMIFS('recurring2_based on steps'!$B227:$AY227,'recurring2_based on steps'!$B$1:$AY$1,R$1)+SUMIFS('changes2_based on steps'!$B227:$U227,'changes2_based on steps'!$B$1:$U$1,R$1)</f>
        <v>0</v>
      </c>
      <c r="S227" s="179">
        <f>SUMIFS('recurring2_based on steps'!$B227:$AY227,'recurring2_based on steps'!$B$1:$AY$1,S$1)+SUMIFS('changes2_based on steps'!$B227:$U227,'changes2_based on steps'!$B$1:$U$1,S$1)</f>
        <v>0</v>
      </c>
      <c r="T227" s="179">
        <f>SUMIFS('recurring2_based on steps'!$B227:$AY227,'recurring2_based on steps'!$B$1:$AY$1,T$1)+SUMIFS('changes2_based on steps'!$B227:$U227,'changes2_based on steps'!$B$1:$U$1,T$1)</f>
        <v>0</v>
      </c>
      <c r="U227" s="179">
        <f>SUMIFS('recurring2_based on steps'!$B227:$AY227,'recurring2_based on steps'!$B$1:$AY$1,U$1)+SUMIFS('changes2_based on steps'!$B227:$U227,'changes2_based on steps'!$B$1:$U$1,U$1)</f>
        <v>0</v>
      </c>
      <c r="V227" s="179">
        <f>SUMIFS('recurring2_based on steps'!$B227:$AY227,'recurring2_based on steps'!$B$1:$AY$1,V$1)+SUMIFS('changes2_based on steps'!$B227:$U227,'changes2_based on steps'!$B$1:$U$1,V$1)</f>
        <v>0</v>
      </c>
      <c r="W227" s="179">
        <f>SUMIFS('recurring2_based on steps'!$B227:$AY227,'recurring2_based on steps'!$B$1:$AY$1,W$1)+SUMIFS('changes2_based on steps'!$B227:$U227,'changes2_based on steps'!$B$1:$U$1,W$1)</f>
        <v>0</v>
      </c>
      <c r="X227" s="179">
        <f>SUMIFS('recurring2_based on steps'!$B227:$AY227,'recurring2_based on steps'!$B$1:$AY$1,X$1)+SUMIFS('changes2_based on steps'!$B227:$U227,'changes2_based on steps'!$B$1:$U$1,X$1)</f>
        <v>0</v>
      </c>
      <c r="Y227" s="179">
        <f>SUMIFS('recurring2_based on steps'!$B227:$AY227,'recurring2_based on steps'!$B$1:$AY$1,Y$1)+SUMIFS('changes2_based on steps'!$B227:$U227,'changes2_based on steps'!$B$1:$U$1,Y$1)</f>
        <v>0</v>
      </c>
      <c r="Z227" s="179">
        <f>SUMIFS('recurring2_based on steps'!$B227:$AY227,'recurring2_based on steps'!$B$1:$AY$1,Z$1)+SUMIFS('changes2_based on steps'!$B227:$U227,'changes2_based on steps'!$B$1:$U$1,Z$1)</f>
        <v>0</v>
      </c>
      <c r="AA227" s="179">
        <f>SUMIFS('recurring2_based on steps'!$B227:$AY227,'recurring2_based on steps'!$B$1:$AY$1,AA$1)+SUMIFS('changes2_based on steps'!$B227:$U227,'changes2_based on steps'!$B$1:$U$1,AA$1)</f>
        <v>0</v>
      </c>
      <c r="AB227" s="179">
        <f>SUMIFS('recurring2_based on steps'!$B227:$AY227,'recurring2_based on steps'!$B$1:$AY$1,AB$1)+SUMIFS('changes2_based on steps'!$B227:$U227,'changes2_based on steps'!$B$1:$U$1,AB$1)</f>
        <v>0</v>
      </c>
      <c r="AC227" s="179">
        <f>SUMIFS('recurring2_based on steps'!$B227:$AY227,'recurring2_based on steps'!$B$1:$AY$1,AC$1)+SUMIFS('changes2_based on steps'!$B227:$U227,'changes2_based on steps'!$B$1:$U$1,AC$1)</f>
        <v>0</v>
      </c>
      <c r="AD227" s="179">
        <f>SUMIFS('recurring2_based on steps'!$B227:$AY227,'recurring2_based on steps'!$B$1:$AY$1,AD$1)+SUMIFS('changes2_based on steps'!$B227:$U227,'changes2_based on steps'!$B$1:$U$1,AD$1)</f>
        <v>0</v>
      </c>
      <c r="AE227" s="179">
        <f>SUMIFS('recurring2_based on steps'!$B227:$AY227,'recurring2_based on steps'!$B$1:$AY$1,AE$1)+SUMIFS('changes2_based on steps'!$B227:$U227,'changes2_based on steps'!$B$1:$U$1,AE$1)</f>
        <v>0</v>
      </c>
      <c r="AF227" s="179"/>
      <c r="AG227" s="179"/>
      <c r="AH227" s="179"/>
      <c r="AI227" s="179"/>
      <c r="AJ227" s="179"/>
      <c r="AK227" s="179"/>
      <c r="AL227" s="179"/>
      <c r="AM227" s="179"/>
    </row>
    <row r="228" spans="1:39" x14ac:dyDescent="0.2">
      <c r="A228" s="32">
        <f t="shared" ca="1" si="3"/>
        <v>45970</v>
      </c>
      <c r="B228" s="179">
        <f>SUMIFS('recurring2_based on steps'!$B228:$AY228,'recurring2_based on steps'!$B$1:$AY$1,B$1)+SUMIFS('changes2_based on steps'!$B228:$U228,'changes2_based on steps'!$B$1:$U$1,B$1)</f>
        <v>0</v>
      </c>
      <c r="C228" s="179">
        <f>SUMIFS('recurring2_based on steps'!$B228:$AY228,'recurring2_based on steps'!$B$1:$AY$1,C$1)+SUMIFS('changes2_based on steps'!$B228:$U228,'changes2_based on steps'!$B$1:$U$1,C$1)</f>
        <v>0</v>
      </c>
      <c r="D228" s="179">
        <f>SUMIFS('recurring2_based on steps'!$B228:$AY228,'recurring2_based on steps'!$B$1:$AY$1,D$1)+SUMIFS('changes2_based on steps'!$B228:$U228,'changes2_based on steps'!$B$1:$U$1,D$1)</f>
        <v>0</v>
      </c>
      <c r="E228" s="179">
        <f>SUMIFS('recurring2_based on steps'!$B228:$AY228,'recurring2_based on steps'!$B$1:$AY$1,E$1)+SUMIFS('changes2_based on steps'!$B228:$U228,'changes2_based on steps'!$B$1:$U$1,E$1)</f>
        <v>0</v>
      </c>
      <c r="F228" s="179">
        <f>SUMIFS('recurring2_based on steps'!$B228:$AY228,'recurring2_based on steps'!$B$1:$AY$1,F$1)+SUMIFS('changes2_based on steps'!$B228:$U228,'changes2_based on steps'!$B$1:$U$1,F$1)</f>
        <v>0</v>
      </c>
      <c r="G228" s="179">
        <f>SUMIFS('recurring2_based on steps'!$B228:$AY228,'recurring2_based on steps'!$B$1:$AY$1,G$1)+SUMIFS('changes2_based on steps'!$B228:$U228,'changes2_based on steps'!$B$1:$U$1,G$1)</f>
        <v>0</v>
      </c>
      <c r="H228" s="179">
        <f>SUMIFS('recurring2_based on steps'!$B228:$AY228,'recurring2_based on steps'!$B$1:$AY$1,H$1)+SUMIFS('changes2_based on steps'!$B228:$U228,'changes2_based on steps'!$B$1:$U$1,H$1)</f>
        <v>0</v>
      </c>
      <c r="I228" s="179">
        <f>SUMIFS('recurring2_based on steps'!$B228:$AY228,'recurring2_based on steps'!$B$1:$AY$1,I$1)+SUMIFS('changes2_based on steps'!$B228:$U228,'changes2_based on steps'!$B$1:$U$1,I$1)</f>
        <v>0</v>
      </c>
      <c r="J228" s="179">
        <f>SUMIFS('recurring2_based on steps'!$B228:$AY228,'recurring2_based on steps'!$B$1:$AY$1,J$1)+SUMIFS('changes2_based on steps'!$B228:$U228,'changes2_based on steps'!$B$1:$U$1,J$1)</f>
        <v>0</v>
      </c>
      <c r="K228" s="179">
        <f>SUMIFS('recurring2_based on steps'!$B228:$AY228,'recurring2_based on steps'!$B$1:$AY$1,K$1)+SUMIFS('changes2_based on steps'!$B228:$U228,'changes2_based on steps'!$B$1:$U$1,K$1)</f>
        <v>0</v>
      </c>
      <c r="L228" s="179">
        <f>SUMIFS('recurring2_based on steps'!$B228:$AY228,'recurring2_based on steps'!$B$1:$AY$1,L$1)+SUMIFS('changes2_based on steps'!$B228:$U228,'changes2_based on steps'!$B$1:$U$1,L$1)</f>
        <v>0</v>
      </c>
      <c r="M228" s="179">
        <f>SUMIFS('recurring2_based on steps'!$B228:$AY228,'recurring2_based on steps'!$B$1:$AY$1,M$1)+SUMIFS('changes2_based on steps'!$B228:$U228,'changes2_based on steps'!$B$1:$U$1,M$1)</f>
        <v>0</v>
      </c>
      <c r="N228" s="179">
        <f>SUMIFS('recurring2_based on steps'!$B228:$AY228,'recurring2_based on steps'!$B$1:$AY$1,N$1)+SUMIFS('changes2_based on steps'!$B228:$U228,'changes2_based on steps'!$B$1:$U$1,N$1)</f>
        <v>0</v>
      </c>
      <c r="O228" s="179">
        <f>SUMIFS('recurring2_based on steps'!$B228:$AY228,'recurring2_based on steps'!$B$1:$AY$1,O$1)+SUMIFS('changes2_based on steps'!$B228:$U228,'changes2_based on steps'!$B$1:$U$1,O$1)</f>
        <v>0</v>
      </c>
      <c r="P228" s="179">
        <f>SUMIFS('recurring2_based on steps'!$B228:$AY228,'recurring2_based on steps'!$B$1:$AY$1,P$1)+SUMIFS('changes2_based on steps'!$B228:$U228,'changes2_based on steps'!$B$1:$U$1,P$1)</f>
        <v>0</v>
      </c>
      <c r="Q228" s="179">
        <f>SUMIFS('recurring2_based on steps'!$B228:$AY228,'recurring2_based on steps'!$B$1:$AY$1,Q$1)+SUMIFS('changes2_based on steps'!$B228:$U228,'changes2_based on steps'!$B$1:$U$1,Q$1)</f>
        <v>0</v>
      </c>
      <c r="R228" s="179">
        <f>SUMIFS('recurring2_based on steps'!$B228:$AY228,'recurring2_based on steps'!$B$1:$AY$1,R$1)+SUMIFS('changes2_based on steps'!$B228:$U228,'changes2_based on steps'!$B$1:$U$1,R$1)</f>
        <v>0</v>
      </c>
      <c r="S228" s="179">
        <f>SUMIFS('recurring2_based on steps'!$B228:$AY228,'recurring2_based on steps'!$B$1:$AY$1,S$1)+SUMIFS('changes2_based on steps'!$B228:$U228,'changes2_based on steps'!$B$1:$U$1,S$1)</f>
        <v>0</v>
      </c>
      <c r="T228" s="179">
        <f>SUMIFS('recurring2_based on steps'!$B228:$AY228,'recurring2_based on steps'!$B$1:$AY$1,T$1)+SUMIFS('changes2_based on steps'!$B228:$U228,'changes2_based on steps'!$B$1:$U$1,T$1)</f>
        <v>0</v>
      </c>
      <c r="U228" s="179">
        <f>SUMIFS('recurring2_based on steps'!$B228:$AY228,'recurring2_based on steps'!$B$1:$AY$1,U$1)+SUMIFS('changes2_based on steps'!$B228:$U228,'changes2_based on steps'!$B$1:$U$1,U$1)</f>
        <v>0</v>
      </c>
      <c r="V228" s="179">
        <f>SUMIFS('recurring2_based on steps'!$B228:$AY228,'recurring2_based on steps'!$B$1:$AY$1,V$1)+SUMIFS('changes2_based on steps'!$B228:$U228,'changes2_based on steps'!$B$1:$U$1,V$1)</f>
        <v>0</v>
      </c>
      <c r="W228" s="179">
        <f>SUMIFS('recurring2_based on steps'!$B228:$AY228,'recurring2_based on steps'!$B$1:$AY$1,W$1)+SUMIFS('changes2_based on steps'!$B228:$U228,'changes2_based on steps'!$B$1:$U$1,W$1)</f>
        <v>0</v>
      </c>
      <c r="X228" s="179">
        <f>SUMIFS('recurring2_based on steps'!$B228:$AY228,'recurring2_based on steps'!$B$1:$AY$1,X$1)+SUMIFS('changes2_based on steps'!$B228:$U228,'changes2_based on steps'!$B$1:$U$1,X$1)</f>
        <v>0</v>
      </c>
      <c r="Y228" s="179">
        <f>SUMIFS('recurring2_based on steps'!$B228:$AY228,'recurring2_based on steps'!$B$1:$AY$1,Y$1)+SUMIFS('changes2_based on steps'!$B228:$U228,'changes2_based on steps'!$B$1:$U$1,Y$1)</f>
        <v>0</v>
      </c>
      <c r="Z228" s="179">
        <f>SUMIFS('recurring2_based on steps'!$B228:$AY228,'recurring2_based on steps'!$B$1:$AY$1,Z$1)+SUMIFS('changes2_based on steps'!$B228:$U228,'changes2_based on steps'!$B$1:$U$1,Z$1)</f>
        <v>0</v>
      </c>
      <c r="AA228" s="179">
        <f>SUMIFS('recurring2_based on steps'!$B228:$AY228,'recurring2_based on steps'!$B$1:$AY$1,AA$1)+SUMIFS('changes2_based on steps'!$B228:$U228,'changes2_based on steps'!$B$1:$U$1,AA$1)</f>
        <v>0</v>
      </c>
      <c r="AB228" s="179">
        <f>SUMIFS('recurring2_based on steps'!$B228:$AY228,'recurring2_based on steps'!$B$1:$AY$1,AB$1)+SUMIFS('changes2_based on steps'!$B228:$U228,'changes2_based on steps'!$B$1:$U$1,AB$1)</f>
        <v>0</v>
      </c>
      <c r="AC228" s="179">
        <f>SUMIFS('recurring2_based on steps'!$B228:$AY228,'recurring2_based on steps'!$B$1:$AY$1,AC$1)+SUMIFS('changes2_based on steps'!$B228:$U228,'changes2_based on steps'!$B$1:$U$1,AC$1)</f>
        <v>0</v>
      </c>
      <c r="AD228" s="179">
        <f>SUMIFS('recurring2_based on steps'!$B228:$AY228,'recurring2_based on steps'!$B$1:$AY$1,AD$1)+SUMIFS('changes2_based on steps'!$B228:$U228,'changes2_based on steps'!$B$1:$U$1,AD$1)</f>
        <v>0</v>
      </c>
      <c r="AE228" s="179">
        <f>SUMIFS('recurring2_based on steps'!$B228:$AY228,'recurring2_based on steps'!$B$1:$AY$1,AE$1)+SUMIFS('changes2_based on steps'!$B228:$U228,'changes2_based on steps'!$B$1:$U$1,AE$1)</f>
        <v>0</v>
      </c>
      <c r="AF228" s="179"/>
      <c r="AG228" s="179"/>
      <c r="AH228" s="179"/>
      <c r="AI228" s="179"/>
      <c r="AJ228" s="179"/>
      <c r="AK228" s="179"/>
      <c r="AL228" s="179"/>
      <c r="AM228" s="179"/>
    </row>
    <row r="229" spans="1:39" x14ac:dyDescent="0.2">
      <c r="A229" s="32">
        <f t="shared" ca="1" si="3"/>
        <v>45971</v>
      </c>
      <c r="B229" s="179">
        <f>SUMIFS('recurring2_based on steps'!$B229:$AY229,'recurring2_based on steps'!$B$1:$AY$1,B$1)+SUMIFS('changes2_based on steps'!$B229:$U229,'changes2_based on steps'!$B$1:$U$1,B$1)</f>
        <v>0</v>
      </c>
      <c r="C229" s="179">
        <f>SUMIFS('recurring2_based on steps'!$B229:$AY229,'recurring2_based on steps'!$B$1:$AY$1,C$1)+SUMIFS('changes2_based on steps'!$B229:$U229,'changes2_based on steps'!$B$1:$U$1,C$1)</f>
        <v>0</v>
      </c>
      <c r="D229" s="179">
        <f>SUMIFS('recurring2_based on steps'!$B229:$AY229,'recurring2_based on steps'!$B$1:$AY$1,D$1)+SUMIFS('changes2_based on steps'!$B229:$U229,'changes2_based on steps'!$B$1:$U$1,D$1)</f>
        <v>0</v>
      </c>
      <c r="E229" s="179">
        <f>SUMIFS('recurring2_based on steps'!$B229:$AY229,'recurring2_based on steps'!$B$1:$AY$1,E$1)+SUMIFS('changes2_based on steps'!$B229:$U229,'changes2_based on steps'!$B$1:$U$1,E$1)</f>
        <v>0</v>
      </c>
      <c r="F229" s="179">
        <f>SUMIFS('recurring2_based on steps'!$B229:$AY229,'recurring2_based on steps'!$B$1:$AY$1,F$1)+SUMIFS('changes2_based on steps'!$B229:$U229,'changes2_based on steps'!$B$1:$U$1,F$1)</f>
        <v>0</v>
      </c>
      <c r="G229" s="179">
        <f>SUMIFS('recurring2_based on steps'!$B229:$AY229,'recurring2_based on steps'!$B$1:$AY$1,G$1)+SUMIFS('changes2_based on steps'!$B229:$U229,'changes2_based on steps'!$B$1:$U$1,G$1)</f>
        <v>0</v>
      </c>
      <c r="H229" s="179">
        <f>SUMIFS('recurring2_based on steps'!$B229:$AY229,'recurring2_based on steps'!$B$1:$AY$1,H$1)+SUMIFS('changes2_based on steps'!$B229:$U229,'changes2_based on steps'!$B$1:$U$1,H$1)</f>
        <v>0</v>
      </c>
      <c r="I229" s="179">
        <f>SUMIFS('recurring2_based on steps'!$B229:$AY229,'recurring2_based on steps'!$B$1:$AY$1,I$1)+SUMIFS('changes2_based on steps'!$B229:$U229,'changes2_based on steps'!$B$1:$U$1,I$1)</f>
        <v>0</v>
      </c>
      <c r="J229" s="179">
        <f>SUMIFS('recurring2_based on steps'!$B229:$AY229,'recurring2_based on steps'!$B$1:$AY$1,J$1)+SUMIFS('changes2_based on steps'!$B229:$U229,'changes2_based on steps'!$B$1:$U$1,J$1)</f>
        <v>0</v>
      </c>
      <c r="K229" s="179">
        <f>SUMIFS('recurring2_based on steps'!$B229:$AY229,'recurring2_based on steps'!$B$1:$AY$1,K$1)+SUMIFS('changes2_based on steps'!$B229:$U229,'changes2_based on steps'!$B$1:$U$1,K$1)</f>
        <v>0</v>
      </c>
      <c r="L229" s="179">
        <f>SUMIFS('recurring2_based on steps'!$B229:$AY229,'recurring2_based on steps'!$B$1:$AY$1,L$1)+SUMIFS('changes2_based on steps'!$B229:$U229,'changes2_based on steps'!$B$1:$U$1,L$1)</f>
        <v>0</v>
      </c>
      <c r="M229" s="179">
        <f>SUMIFS('recurring2_based on steps'!$B229:$AY229,'recurring2_based on steps'!$B$1:$AY$1,M$1)+SUMIFS('changes2_based on steps'!$B229:$U229,'changes2_based on steps'!$B$1:$U$1,M$1)</f>
        <v>0</v>
      </c>
      <c r="N229" s="179">
        <f>SUMIFS('recurring2_based on steps'!$B229:$AY229,'recurring2_based on steps'!$B$1:$AY$1,N$1)+SUMIFS('changes2_based on steps'!$B229:$U229,'changes2_based on steps'!$B$1:$U$1,N$1)</f>
        <v>0</v>
      </c>
      <c r="O229" s="179">
        <f>SUMIFS('recurring2_based on steps'!$B229:$AY229,'recurring2_based on steps'!$B$1:$AY$1,O$1)+SUMIFS('changes2_based on steps'!$B229:$U229,'changes2_based on steps'!$B$1:$U$1,O$1)</f>
        <v>0</v>
      </c>
      <c r="P229" s="179">
        <f>SUMIFS('recurring2_based on steps'!$B229:$AY229,'recurring2_based on steps'!$B$1:$AY$1,P$1)+SUMIFS('changes2_based on steps'!$B229:$U229,'changes2_based on steps'!$B$1:$U$1,P$1)</f>
        <v>0</v>
      </c>
      <c r="Q229" s="179">
        <f>SUMIFS('recurring2_based on steps'!$B229:$AY229,'recurring2_based on steps'!$B$1:$AY$1,Q$1)+SUMIFS('changes2_based on steps'!$B229:$U229,'changes2_based on steps'!$B$1:$U$1,Q$1)</f>
        <v>0</v>
      </c>
      <c r="R229" s="179">
        <f>SUMIFS('recurring2_based on steps'!$B229:$AY229,'recurring2_based on steps'!$B$1:$AY$1,R$1)+SUMIFS('changes2_based on steps'!$B229:$U229,'changes2_based on steps'!$B$1:$U$1,R$1)</f>
        <v>0</v>
      </c>
      <c r="S229" s="179">
        <f>SUMIFS('recurring2_based on steps'!$B229:$AY229,'recurring2_based on steps'!$B$1:$AY$1,S$1)+SUMIFS('changes2_based on steps'!$B229:$U229,'changes2_based on steps'!$B$1:$U$1,S$1)</f>
        <v>0</v>
      </c>
      <c r="T229" s="179">
        <f>SUMIFS('recurring2_based on steps'!$B229:$AY229,'recurring2_based on steps'!$B$1:$AY$1,T$1)+SUMIFS('changes2_based on steps'!$B229:$U229,'changes2_based on steps'!$B$1:$U$1,T$1)</f>
        <v>0</v>
      </c>
      <c r="U229" s="179">
        <f>SUMIFS('recurring2_based on steps'!$B229:$AY229,'recurring2_based on steps'!$B$1:$AY$1,U$1)+SUMIFS('changes2_based on steps'!$B229:$U229,'changes2_based on steps'!$B$1:$U$1,U$1)</f>
        <v>0</v>
      </c>
      <c r="V229" s="179">
        <f>SUMIFS('recurring2_based on steps'!$B229:$AY229,'recurring2_based on steps'!$B$1:$AY$1,V$1)+SUMIFS('changes2_based on steps'!$B229:$U229,'changes2_based on steps'!$B$1:$U$1,V$1)</f>
        <v>0</v>
      </c>
      <c r="W229" s="179">
        <f>SUMIFS('recurring2_based on steps'!$B229:$AY229,'recurring2_based on steps'!$B$1:$AY$1,W$1)+SUMIFS('changes2_based on steps'!$B229:$U229,'changes2_based on steps'!$B$1:$U$1,W$1)</f>
        <v>0</v>
      </c>
      <c r="X229" s="179">
        <f>SUMIFS('recurring2_based on steps'!$B229:$AY229,'recurring2_based on steps'!$B$1:$AY$1,X$1)+SUMIFS('changes2_based on steps'!$B229:$U229,'changes2_based on steps'!$B$1:$U$1,X$1)</f>
        <v>0</v>
      </c>
      <c r="Y229" s="179">
        <f>SUMIFS('recurring2_based on steps'!$B229:$AY229,'recurring2_based on steps'!$B$1:$AY$1,Y$1)+SUMIFS('changes2_based on steps'!$B229:$U229,'changes2_based on steps'!$B$1:$U$1,Y$1)</f>
        <v>0</v>
      </c>
      <c r="Z229" s="179">
        <f>SUMIFS('recurring2_based on steps'!$B229:$AY229,'recurring2_based on steps'!$B$1:$AY$1,Z$1)+SUMIFS('changes2_based on steps'!$B229:$U229,'changes2_based on steps'!$B$1:$U$1,Z$1)</f>
        <v>0</v>
      </c>
      <c r="AA229" s="179">
        <f>SUMIFS('recurring2_based on steps'!$B229:$AY229,'recurring2_based on steps'!$B$1:$AY$1,AA$1)+SUMIFS('changes2_based on steps'!$B229:$U229,'changes2_based on steps'!$B$1:$U$1,AA$1)</f>
        <v>0</v>
      </c>
      <c r="AB229" s="179">
        <f>SUMIFS('recurring2_based on steps'!$B229:$AY229,'recurring2_based on steps'!$B$1:$AY$1,AB$1)+SUMIFS('changes2_based on steps'!$B229:$U229,'changes2_based on steps'!$B$1:$U$1,AB$1)</f>
        <v>0</v>
      </c>
      <c r="AC229" s="179">
        <f>SUMIFS('recurring2_based on steps'!$B229:$AY229,'recurring2_based on steps'!$B$1:$AY$1,AC$1)+SUMIFS('changes2_based on steps'!$B229:$U229,'changes2_based on steps'!$B$1:$U$1,AC$1)</f>
        <v>0</v>
      </c>
      <c r="AD229" s="179">
        <f>SUMIFS('recurring2_based on steps'!$B229:$AY229,'recurring2_based on steps'!$B$1:$AY$1,AD$1)+SUMIFS('changes2_based on steps'!$B229:$U229,'changes2_based on steps'!$B$1:$U$1,AD$1)</f>
        <v>0</v>
      </c>
      <c r="AE229" s="179">
        <f>SUMIFS('recurring2_based on steps'!$B229:$AY229,'recurring2_based on steps'!$B$1:$AY$1,AE$1)+SUMIFS('changes2_based on steps'!$B229:$U229,'changes2_based on steps'!$B$1:$U$1,AE$1)</f>
        <v>0</v>
      </c>
      <c r="AF229" s="179"/>
      <c r="AG229" s="179"/>
      <c r="AH229" s="179"/>
      <c r="AI229" s="179"/>
      <c r="AJ229" s="179"/>
      <c r="AK229" s="179"/>
      <c r="AL229" s="179"/>
      <c r="AM229" s="179"/>
    </row>
    <row r="230" spans="1:39" x14ac:dyDescent="0.2">
      <c r="A230" s="32">
        <f t="shared" ca="1" si="3"/>
        <v>45972</v>
      </c>
      <c r="B230" s="179">
        <f>SUMIFS('recurring2_based on steps'!$B230:$AY230,'recurring2_based on steps'!$B$1:$AY$1,B$1)+SUMIFS('changes2_based on steps'!$B230:$U230,'changes2_based on steps'!$B$1:$U$1,B$1)</f>
        <v>0</v>
      </c>
      <c r="C230" s="179">
        <f>SUMIFS('recurring2_based on steps'!$B230:$AY230,'recurring2_based on steps'!$B$1:$AY$1,C$1)+SUMIFS('changes2_based on steps'!$B230:$U230,'changes2_based on steps'!$B$1:$U$1,C$1)</f>
        <v>0</v>
      </c>
      <c r="D230" s="179">
        <f>SUMIFS('recurring2_based on steps'!$B230:$AY230,'recurring2_based on steps'!$B$1:$AY$1,D$1)+SUMIFS('changes2_based on steps'!$B230:$U230,'changes2_based on steps'!$B$1:$U$1,D$1)</f>
        <v>0</v>
      </c>
      <c r="E230" s="179">
        <f>SUMIFS('recurring2_based on steps'!$B230:$AY230,'recurring2_based on steps'!$B$1:$AY$1,E$1)+SUMIFS('changes2_based on steps'!$B230:$U230,'changes2_based on steps'!$B$1:$U$1,E$1)</f>
        <v>0</v>
      </c>
      <c r="F230" s="179">
        <f>SUMIFS('recurring2_based on steps'!$B230:$AY230,'recurring2_based on steps'!$B$1:$AY$1,F$1)+SUMIFS('changes2_based on steps'!$B230:$U230,'changes2_based on steps'!$B$1:$U$1,F$1)</f>
        <v>0</v>
      </c>
      <c r="G230" s="179">
        <f>SUMIFS('recurring2_based on steps'!$B230:$AY230,'recurring2_based on steps'!$B$1:$AY$1,G$1)+SUMIFS('changes2_based on steps'!$B230:$U230,'changes2_based on steps'!$B$1:$U$1,G$1)</f>
        <v>0</v>
      </c>
      <c r="H230" s="179">
        <f>SUMIFS('recurring2_based on steps'!$B230:$AY230,'recurring2_based on steps'!$B$1:$AY$1,H$1)+SUMIFS('changes2_based on steps'!$B230:$U230,'changes2_based on steps'!$B$1:$U$1,H$1)</f>
        <v>0</v>
      </c>
      <c r="I230" s="179">
        <f>SUMIFS('recurring2_based on steps'!$B230:$AY230,'recurring2_based on steps'!$B$1:$AY$1,I$1)+SUMIFS('changes2_based on steps'!$B230:$U230,'changes2_based on steps'!$B$1:$U$1,I$1)</f>
        <v>0</v>
      </c>
      <c r="J230" s="179">
        <f>SUMIFS('recurring2_based on steps'!$B230:$AY230,'recurring2_based on steps'!$B$1:$AY$1,J$1)+SUMIFS('changes2_based on steps'!$B230:$U230,'changes2_based on steps'!$B$1:$U$1,J$1)</f>
        <v>0</v>
      </c>
      <c r="K230" s="179">
        <f>SUMIFS('recurring2_based on steps'!$B230:$AY230,'recurring2_based on steps'!$B$1:$AY$1,K$1)+SUMIFS('changes2_based on steps'!$B230:$U230,'changes2_based on steps'!$B$1:$U$1,K$1)</f>
        <v>0</v>
      </c>
      <c r="L230" s="179">
        <f>SUMIFS('recurring2_based on steps'!$B230:$AY230,'recurring2_based on steps'!$B$1:$AY$1,L$1)+SUMIFS('changes2_based on steps'!$B230:$U230,'changes2_based on steps'!$B$1:$U$1,L$1)</f>
        <v>0</v>
      </c>
      <c r="M230" s="179">
        <f>SUMIFS('recurring2_based on steps'!$B230:$AY230,'recurring2_based on steps'!$B$1:$AY$1,M$1)+SUMIFS('changes2_based on steps'!$B230:$U230,'changes2_based on steps'!$B$1:$U$1,M$1)</f>
        <v>0</v>
      </c>
      <c r="N230" s="179">
        <f>SUMIFS('recurring2_based on steps'!$B230:$AY230,'recurring2_based on steps'!$B$1:$AY$1,N$1)+SUMIFS('changes2_based on steps'!$B230:$U230,'changes2_based on steps'!$B$1:$U$1,N$1)</f>
        <v>0</v>
      </c>
      <c r="O230" s="179">
        <f>SUMIFS('recurring2_based on steps'!$B230:$AY230,'recurring2_based on steps'!$B$1:$AY$1,O$1)+SUMIFS('changes2_based on steps'!$B230:$U230,'changes2_based on steps'!$B$1:$U$1,O$1)</f>
        <v>0</v>
      </c>
      <c r="P230" s="179">
        <f>SUMIFS('recurring2_based on steps'!$B230:$AY230,'recurring2_based on steps'!$B$1:$AY$1,P$1)+SUMIFS('changes2_based on steps'!$B230:$U230,'changes2_based on steps'!$B$1:$U$1,P$1)</f>
        <v>0</v>
      </c>
      <c r="Q230" s="179">
        <f>SUMIFS('recurring2_based on steps'!$B230:$AY230,'recurring2_based on steps'!$B$1:$AY$1,Q$1)+SUMIFS('changes2_based on steps'!$B230:$U230,'changes2_based on steps'!$B$1:$U$1,Q$1)</f>
        <v>0</v>
      </c>
      <c r="R230" s="179">
        <f>SUMIFS('recurring2_based on steps'!$B230:$AY230,'recurring2_based on steps'!$B$1:$AY$1,R$1)+SUMIFS('changes2_based on steps'!$B230:$U230,'changes2_based on steps'!$B$1:$U$1,R$1)</f>
        <v>0</v>
      </c>
      <c r="S230" s="179">
        <f>SUMIFS('recurring2_based on steps'!$B230:$AY230,'recurring2_based on steps'!$B$1:$AY$1,S$1)+SUMIFS('changes2_based on steps'!$B230:$U230,'changes2_based on steps'!$B$1:$U$1,S$1)</f>
        <v>0</v>
      </c>
      <c r="T230" s="179">
        <f>SUMIFS('recurring2_based on steps'!$B230:$AY230,'recurring2_based on steps'!$B$1:$AY$1,T$1)+SUMIFS('changes2_based on steps'!$B230:$U230,'changes2_based on steps'!$B$1:$U$1,T$1)</f>
        <v>0</v>
      </c>
      <c r="U230" s="179">
        <f>SUMIFS('recurring2_based on steps'!$B230:$AY230,'recurring2_based on steps'!$B$1:$AY$1,U$1)+SUMIFS('changes2_based on steps'!$B230:$U230,'changes2_based on steps'!$B$1:$U$1,U$1)</f>
        <v>0</v>
      </c>
      <c r="V230" s="179">
        <f>SUMIFS('recurring2_based on steps'!$B230:$AY230,'recurring2_based on steps'!$B$1:$AY$1,V$1)+SUMIFS('changes2_based on steps'!$B230:$U230,'changes2_based on steps'!$B$1:$U$1,V$1)</f>
        <v>0</v>
      </c>
      <c r="W230" s="179">
        <f>SUMIFS('recurring2_based on steps'!$B230:$AY230,'recurring2_based on steps'!$B$1:$AY$1,W$1)+SUMIFS('changes2_based on steps'!$B230:$U230,'changes2_based on steps'!$B$1:$U$1,W$1)</f>
        <v>0</v>
      </c>
      <c r="X230" s="179">
        <f>SUMIFS('recurring2_based on steps'!$B230:$AY230,'recurring2_based on steps'!$B$1:$AY$1,X$1)+SUMIFS('changes2_based on steps'!$B230:$U230,'changes2_based on steps'!$B$1:$U$1,X$1)</f>
        <v>0</v>
      </c>
      <c r="Y230" s="179">
        <f>SUMIFS('recurring2_based on steps'!$B230:$AY230,'recurring2_based on steps'!$B$1:$AY$1,Y$1)+SUMIFS('changes2_based on steps'!$B230:$U230,'changes2_based on steps'!$B$1:$U$1,Y$1)</f>
        <v>0</v>
      </c>
      <c r="Z230" s="179">
        <f>SUMIFS('recurring2_based on steps'!$B230:$AY230,'recurring2_based on steps'!$B$1:$AY$1,Z$1)+SUMIFS('changes2_based on steps'!$B230:$U230,'changes2_based on steps'!$B$1:$U$1,Z$1)</f>
        <v>0</v>
      </c>
      <c r="AA230" s="179">
        <f>SUMIFS('recurring2_based on steps'!$B230:$AY230,'recurring2_based on steps'!$B$1:$AY$1,AA$1)+SUMIFS('changes2_based on steps'!$B230:$U230,'changes2_based on steps'!$B$1:$U$1,AA$1)</f>
        <v>0</v>
      </c>
      <c r="AB230" s="179">
        <f>SUMIFS('recurring2_based on steps'!$B230:$AY230,'recurring2_based on steps'!$B$1:$AY$1,AB$1)+SUMIFS('changes2_based on steps'!$B230:$U230,'changes2_based on steps'!$B$1:$U$1,AB$1)</f>
        <v>0</v>
      </c>
      <c r="AC230" s="179">
        <f>SUMIFS('recurring2_based on steps'!$B230:$AY230,'recurring2_based on steps'!$B$1:$AY$1,AC$1)+SUMIFS('changes2_based on steps'!$B230:$U230,'changes2_based on steps'!$B$1:$U$1,AC$1)</f>
        <v>0</v>
      </c>
      <c r="AD230" s="179">
        <f>SUMIFS('recurring2_based on steps'!$B230:$AY230,'recurring2_based on steps'!$B$1:$AY$1,AD$1)+SUMIFS('changes2_based on steps'!$B230:$U230,'changes2_based on steps'!$B$1:$U$1,AD$1)</f>
        <v>0</v>
      </c>
      <c r="AE230" s="179">
        <f>SUMIFS('recurring2_based on steps'!$B230:$AY230,'recurring2_based on steps'!$B$1:$AY$1,AE$1)+SUMIFS('changes2_based on steps'!$B230:$U230,'changes2_based on steps'!$B$1:$U$1,AE$1)</f>
        <v>0</v>
      </c>
      <c r="AF230" s="179"/>
      <c r="AG230" s="179"/>
      <c r="AH230" s="179"/>
      <c r="AI230" s="179"/>
      <c r="AJ230" s="179"/>
      <c r="AK230" s="179"/>
      <c r="AL230" s="179"/>
      <c r="AM230" s="179"/>
    </row>
    <row r="231" spans="1:39" x14ac:dyDescent="0.2">
      <c r="A231" s="32">
        <f t="shared" ca="1" si="3"/>
        <v>45973</v>
      </c>
      <c r="B231" s="179">
        <f>SUMIFS('recurring2_based on steps'!$B231:$AY231,'recurring2_based on steps'!$B$1:$AY$1,B$1)+SUMIFS('changes2_based on steps'!$B231:$U231,'changes2_based on steps'!$B$1:$U$1,B$1)</f>
        <v>0</v>
      </c>
      <c r="C231" s="179">
        <f>SUMIFS('recurring2_based on steps'!$B231:$AY231,'recurring2_based on steps'!$B$1:$AY$1,C$1)+SUMIFS('changes2_based on steps'!$B231:$U231,'changes2_based on steps'!$B$1:$U$1,C$1)</f>
        <v>0</v>
      </c>
      <c r="D231" s="179">
        <f>SUMIFS('recurring2_based on steps'!$B231:$AY231,'recurring2_based on steps'!$B$1:$AY$1,D$1)+SUMIFS('changes2_based on steps'!$B231:$U231,'changes2_based on steps'!$B$1:$U$1,D$1)</f>
        <v>0</v>
      </c>
      <c r="E231" s="179">
        <f>SUMIFS('recurring2_based on steps'!$B231:$AY231,'recurring2_based on steps'!$B$1:$AY$1,E$1)+SUMIFS('changes2_based on steps'!$B231:$U231,'changes2_based on steps'!$B$1:$U$1,E$1)</f>
        <v>0</v>
      </c>
      <c r="F231" s="179">
        <f>SUMIFS('recurring2_based on steps'!$B231:$AY231,'recurring2_based on steps'!$B$1:$AY$1,F$1)+SUMIFS('changes2_based on steps'!$B231:$U231,'changes2_based on steps'!$B$1:$U$1,F$1)</f>
        <v>0</v>
      </c>
      <c r="G231" s="179">
        <f>SUMIFS('recurring2_based on steps'!$B231:$AY231,'recurring2_based on steps'!$B$1:$AY$1,G$1)+SUMIFS('changes2_based on steps'!$B231:$U231,'changes2_based on steps'!$B$1:$U$1,G$1)</f>
        <v>0</v>
      </c>
      <c r="H231" s="179">
        <f>SUMIFS('recurring2_based on steps'!$B231:$AY231,'recurring2_based on steps'!$B$1:$AY$1,H$1)+SUMIFS('changes2_based on steps'!$B231:$U231,'changes2_based on steps'!$B$1:$U$1,H$1)</f>
        <v>0</v>
      </c>
      <c r="I231" s="179">
        <f>SUMIFS('recurring2_based on steps'!$B231:$AY231,'recurring2_based on steps'!$B$1:$AY$1,I$1)+SUMIFS('changes2_based on steps'!$B231:$U231,'changes2_based on steps'!$B$1:$U$1,I$1)</f>
        <v>0</v>
      </c>
      <c r="J231" s="179">
        <f>SUMIFS('recurring2_based on steps'!$B231:$AY231,'recurring2_based on steps'!$B$1:$AY$1,J$1)+SUMIFS('changes2_based on steps'!$B231:$U231,'changes2_based on steps'!$B$1:$U$1,J$1)</f>
        <v>0</v>
      </c>
      <c r="K231" s="179">
        <f>SUMIFS('recurring2_based on steps'!$B231:$AY231,'recurring2_based on steps'!$B$1:$AY$1,K$1)+SUMIFS('changes2_based on steps'!$B231:$U231,'changes2_based on steps'!$B$1:$U$1,K$1)</f>
        <v>0</v>
      </c>
      <c r="L231" s="179">
        <f>SUMIFS('recurring2_based on steps'!$B231:$AY231,'recurring2_based on steps'!$B$1:$AY$1,L$1)+SUMIFS('changes2_based on steps'!$B231:$U231,'changes2_based on steps'!$B$1:$U$1,L$1)</f>
        <v>0</v>
      </c>
      <c r="M231" s="179">
        <f>SUMIFS('recurring2_based on steps'!$B231:$AY231,'recurring2_based on steps'!$B$1:$AY$1,M$1)+SUMIFS('changes2_based on steps'!$B231:$U231,'changes2_based on steps'!$B$1:$U$1,M$1)</f>
        <v>0</v>
      </c>
      <c r="N231" s="179">
        <f>SUMIFS('recurring2_based on steps'!$B231:$AY231,'recurring2_based on steps'!$B$1:$AY$1,N$1)+SUMIFS('changes2_based on steps'!$B231:$U231,'changes2_based on steps'!$B$1:$U$1,N$1)</f>
        <v>0</v>
      </c>
      <c r="O231" s="179">
        <f>SUMIFS('recurring2_based on steps'!$B231:$AY231,'recurring2_based on steps'!$B$1:$AY$1,O$1)+SUMIFS('changes2_based on steps'!$B231:$U231,'changes2_based on steps'!$B$1:$U$1,O$1)</f>
        <v>0</v>
      </c>
      <c r="P231" s="179">
        <f>SUMIFS('recurring2_based on steps'!$B231:$AY231,'recurring2_based on steps'!$B$1:$AY$1,P$1)+SUMIFS('changes2_based on steps'!$B231:$U231,'changes2_based on steps'!$B$1:$U$1,P$1)</f>
        <v>0</v>
      </c>
      <c r="Q231" s="179">
        <f>SUMIFS('recurring2_based on steps'!$B231:$AY231,'recurring2_based on steps'!$B$1:$AY$1,Q$1)+SUMIFS('changes2_based on steps'!$B231:$U231,'changes2_based on steps'!$B$1:$U$1,Q$1)</f>
        <v>0</v>
      </c>
      <c r="R231" s="179">
        <f>SUMIFS('recurring2_based on steps'!$B231:$AY231,'recurring2_based on steps'!$B$1:$AY$1,R$1)+SUMIFS('changes2_based on steps'!$B231:$U231,'changes2_based on steps'!$B$1:$U$1,R$1)</f>
        <v>0</v>
      </c>
      <c r="S231" s="179">
        <f>SUMIFS('recurring2_based on steps'!$B231:$AY231,'recurring2_based on steps'!$B$1:$AY$1,S$1)+SUMIFS('changes2_based on steps'!$B231:$U231,'changes2_based on steps'!$B$1:$U$1,S$1)</f>
        <v>0</v>
      </c>
      <c r="T231" s="179">
        <f>SUMIFS('recurring2_based on steps'!$B231:$AY231,'recurring2_based on steps'!$B$1:$AY$1,T$1)+SUMIFS('changes2_based on steps'!$B231:$U231,'changes2_based on steps'!$B$1:$U$1,T$1)</f>
        <v>0</v>
      </c>
      <c r="U231" s="179">
        <f>SUMIFS('recurring2_based on steps'!$B231:$AY231,'recurring2_based on steps'!$B$1:$AY$1,U$1)+SUMIFS('changes2_based on steps'!$B231:$U231,'changes2_based on steps'!$B$1:$U$1,U$1)</f>
        <v>0</v>
      </c>
      <c r="V231" s="179">
        <f>SUMIFS('recurring2_based on steps'!$B231:$AY231,'recurring2_based on steps'!$B$1:$AY$1,V$1)+SUMIFS('changes2_based on steps'!$B231:$U231,'changes2_based on steps'!$B$1:$U$1,V$1)</f>
        <v>0</v>
      </c>
      <c r="W231" s="179">
        <f>SUMIFS('recurring2_based on steps'!$B231:$AY231,'recurring2_based on steps'!$B$1:$AY$1,W$1)+SUMIFS('changes2_based on steps'!$B231:$U231,'changes2_based on steps'!$B$1:$U$1,W$1)</f>
        <v>0</v>
      </c>
      <c r="X231" s="179">
        <f>SUMIFS('recurring2_based on steps'!$B231:$AY231,'recurring2_based on steps'!$B$1:$AY$1,X$1)+SUMIFS('changes2_based on steps'!$B231:$U231,'changes2_based on steps'!$B$1:$U$1,X$1)</f>
        <v>0</v>
      </c>
      <c r="Y231" s="179">
        <f>SUMIFS('recurring2_based on steps'!$B231:$AY231,'recurring2_based on steps'!$B$1:$AY$1,Y$1)+SUMIFS('changes2_based on steps'!$B231:$U231,'changes2_based on steps'!$B$1:$U$1,Y$1)</f>
        <v>0</v>
      </c>
      <c r="Z231" s="179">
        <f>SUMIFS('recurring2_based on steps'!$B231:$AY231,'recurring2_based on steps'!$B$1:$AY$1,Z$1)+SUMIFS('changes2_based on steps'!$B231:$U231,'changes2_based on steps'!$B$1:$U$1,Z$1)</f>
        <v>0</v>
      </c>
      <c r="AA231" s="179">
        <f>SUMIFS('recurring2_based on steps'!$B231:$AY231,'recurring2_based on steps'!$B$1:$AY$1,AA$1)+SUMIFS('changes2_based on steps'!$B231:$U231,'changes2_based on steps'!$B$1:$U$1,AA$1)</f>
        <v>0</v>
      </c>
      <c r="AB231" s="179">
        <f>SUMIFS('recurring2_based on steps'!$B231:$AY231,'recurring2_based on steps'!$B$1:$AY$1,AB$1)+SUMIFS('changes2_based on steps'!$B231:$U231,'changes2_based on steps'!$B$1:$U$1,AB$1)</f>
        <v>0</v>
      </c>
      <c r="AC231" s="179">
        <f>SUMIFS('recurring2_based on steps'!$B231:$AY231,'recurring2_based on steps'!$B$1:$AY$1,AC$1)+SUMIFS('changes2_based on steps'!$B231:$U231,'changes2_based on steps'!$B$1:$U$1,AC$1)</f>
        <v>0</v>
      </c>
      <c r="AD231" s="179">
        <f>SUMIFS('recurring2_based on steps'!$B231:$AY231,'recurring2_based on steps'!$B$1:$AY$1,AD$1)+SUMIFS('changes2_based on steps'!$B231:$U231,'changes2_based on steps'!$B$1:$U$1,AD$1)</f>
        <v>0</v>
      </c>
      <c r="AE231" s="179">
        <f>SUMIFS('recurring2_based on steps'!$B231:$AY231,'recurring2_based on steps'!$B$1:$AY$1,AE$1)+SUMIFS('changes2_based on steps'!$B231:$U231,'changes2_based on steps'!$B$1:$U$1,AE$1)</f>
        <v>0</v>
      </c>
      <c r="AF231" s="179"/>
      <c r="AG231" s="179"/>
      <c r="AH231" s="179"/>
      <c r="AI231" s="179"/>
      <c r="AJ231" s="179"/>
      <c r="AK231" s="179"/>
      <c r="AL231" s="179"/>
      <c r="AM231" s="179"/>
    </row>
    <row r="232" spans="1:39" x14ac:dyDescent="0.2">
      <c r="A232" s="32">
        <f t="shared" ca="1" si="3"/>
        <v>45974</v>
      </c>
      <c r="B232" s="179">
        <f>SUMIFS('recurring2_based on steps'!$B232:$AY232,'recurring2_based on steps'!$B$1:$AY$1,B$1)+SUMIFS('changes2_based on steps'!$B232:$U232,'changes2_based on steps'!$B$1:$U$1,B$1)</f>
        <v>0</v>
      </c>
      <c r="C232" s="179">
        <f>SUMIFS('recurring2_based on steps'!$B232:$AY232,'recurring2_based on steps'!$B$1:$AY$1,C$1)+SUMIFS('changes2_based on steps'!$B232:$U232,'changes2_based on steps'!$B$1:$U$1,C$1)</f>
        <v>0</v>
      </c>
      <c r="D232" s="179">
        <f>SUMIFS('recurring2_based on steps'!$B232:$AY232,'recurring2_based on steps'!$B$1:$AY$1,D$1)+SUMIFS('changes2_based on steps'!$B232:$U232,'changes2_based on steps'!$B$1:$U$1,D$1)</f>
        <v>0</v>
      </c>
      <c r="E232" s="179">
        <f>SUMIFS('recurring2_based on steps'!$B232:$AY232,'recurring2_based on steps'!$B$1:$AY$1,E$1)+SUMIFS('changes2_based on steps'!$B232:$U232,'changes2_based on steps'!$B$1:$U$1,E$1)</f>
        <v>0</v>
      </c>
      <c r="F232" s="179">
        <f>SUMIFS('recurring2_based on steps'!$B232:$AY232,'recurring2_based on steps'!$B$1:$AY$1,F$1)+SUMIFS('changes2_based on steps'!$B232:$U232,'changes2_based on steps'!$B$1:$U$1,F$1)</f>
        <v>0</v>
      </c>
      <c r="G232" s="179">
        <f>SUMIFS('recurring2_based on steps'!$B232:$AY232,'recurring2_based on steps'!$B$1:$AY$1,G$1)+SUMIFS('changes2_based on steps'!$B232:$U232,'changes2_based on steps'!$B$1:$U$1,G$1)</f>
        <v>0</v>
      </c>
      <c r="H232" s="179">
        <f>SUMIFS('recurring2_based on steps'!$B232:$AY232,'recurring2_based on steps'!$B$1:$AY$1,H$1)+SUMIFS('changes2_based on steps'!$B232:$U232,'changes2_based on steps'!$B$1:$U$1,H$1)</f>
        <v>0</v>
      </c>
      <c r="I232" s="179">
        <f>SUMIFS('recurring2_based on steps'!$B232:$AY232,'recurring2_based on steps'!$B$1:$AY$1,I$1)+SUMIFS('changes2_based on steps'!$B232:$U232,'changes2_based on steps'!$B$1:$U$1,I$1)</f>
        <v>0</v>
      </c>
      <c r="J232" s="179">
        <f>SUMIFS('recurring2_based on steps'!$B232:$AY232,'recurring2_based on steps'!$B$1:$AY$1,J$1)+SUMIFS('changes2_based on steps'!$B232:$U232,'changes2_based on steps'!$B$1:$U$1,J$1)</f>
        <v>0</v>
      </c>
      <c r="K232" s="179">
        <f>SUMIFS('recurring2_based on steps'!$B232:$AY232,'recurring2_based on steps'!$B$1:$AY$1,K$1)+SUMIFS('changes2_based on steps'!$B232:$U232,'changes2_based on steps'!$B$1:$U$1,K$1)</f>
        <v>0</v>
      </c>
      <c r="L232" s="179">
        <f>SUMIFS('recurring2_based on steps'!$B232:$AY232,'recurring2_based on steps'!$B$1:$AY$1,L$1)+SUMIFS('changes2_based on steps'!$B232:$U232,'changes2_based on steps'!$B$1:$U$1,L$1)</f>
        <v>0</v>
      </c>
      <c r="M232" s="179">
        <f>SUMIFS('recurring2_based on steps'!$B232:$AY232,'recurring2_based on steps'!$B$1:$AY$1,M$1)+SUMIFS('changes2_based on steps'!$B232:$U232,'changes2_based on steps'!$B$1:$U$1,M$1)</f>
        <v>0</v>
      </c>
      <c r="N232" s="179">
        <f>SUMIFS('recurring2_based on steps'!$B232:$AY232,'recurring2_based on steps'!$B$1:$AY$1,N$1)+SUMIFS('changes2_based on steps'!$B232:$U232,'changes2_based on steps'!$B$1:$U$1,N$1)</f>
        <v>0</v>
      </c>
      <c r="O232" s="179">
        <f>SUMIFS('recurring2_based on steps'!$B232:$AY232,'recurring2_based on steps'!$B$1:$AY$1,O$1)+SUMIFS('changes2_based on steps'!$B232:$U232,'changes2_based on steps'!$B$1:$U$1,O$1)</f>
        <v>0</v>
      </c>
      <c r="P232" s="179">
        <f>SUMIFS('recurring2_based on steps'!$B232:$AY232,'recurring2_based on steps'!$B$1:$AY$1,P$1)+SUMIFS('changes2_based on steps'!$B232:$U232,'changes2_based on steps'!$B$1:$U$1,P$1)</f>
        <v>0</v>
      </c>
      <c r="Q232" s="179">
        <f>SUMIFS('recurring2_based on steps'!$B232:$AY232,'recurring2_based on steps'!$B$1:$AY$1,Q$1)+SUMIFS('changes2_based on steps'!$B232:$U232,'changes2_based on steps'!$B$1:$U$1,Q$1)</f>
        <v>0</v>
      </c>
      <c r="R232" s="179">
        <f>SUMIFS('recurring2_based on steps'!$B232:$AY232,'recurring2_based on steps'!$B$1:$AY$1,R$1)+SUMIFS('changes2_based on steps'!$B232:$U232,'changes2_based on steps'!$B$1:$U$1,R$1)</f>
        <v>0</v>
      </c>
      <c r="S232" s="179">
        <f>SUMIFS('recurring2_based on steps'!$B232:$AY232,'recurring2_based on steps'!$B$1:$AY$1,S$1)+SUMIFS('changes2_based on steps'!$B232:$U232,'changes2_based on steps'!$B$1:$U$1,S$1)</f>
        <v>0</v>
      </c>
      <c r="T232" s="179">
        <f>SUMIFS('recurring2_based on steps'!$B232:$AY232,'recurring2_based on steps'!$B$1:$AY$1,T$1)+SUMIFS('changes2_based on steps'!$B232:$U232,'changes2_based on steps'!$B$1:$U$1,T$1)</f>
        <v>0</v>
      </c>
      <c r="U232" s="179">
        <f>SUMIFS('recurring2_based on steps'!$B232:$AY232,'recurring2_based on steps'!$B$1:$AY$1,U$1)+SUMIFS('changes2_based on steps'!$B232:$U232,'changes2_based on steps'!$B$1:$U$1,U$1)</f>
        <v>0</v>
      </c>
      <c r="V232" s="179">
        <f>SUMIFS('recurring2_based on steps'!$B232:$AY232,'recurring2_based on steps'!$B$1:$AY$1,V$1)+SUMIFS('changes2_based on steps'!$B232:$U232,'changes2_based on steps'!$B$1:$U$1,V$1)</f>
        <v>0</v>
      </c>
      <c r="W232" s="179">
        <f>SUMIFS('recurring2_based on steps'!$B232:$AY232,'recurring2_based on steps'!$B$1:$AY$1,W$1)+SUMIFS('changes2_based on steps'!$B232:$U232,'changes2_based on steps'!$B$1:$U$1,W$1)</f>
        <v>0</v>
      </c>
      <c r="X232" s="179">
        <f>SUMIFS('recurring2_based on steps'!$B232:$AY232,'recurring2_based on steps'!$B$1:$AY$1,X$1)+SUMIFS('changes2_based on steps'!$B232:$U232,'changes2_based on steps'!$B$1:$U$1,X$1)</f>
        <v>0</v>
      </c>
      <c r="Y232" s="179">
        <f>SUMIFS('recurring2_based on steps'!$B232:$AY232,'recurring2_based on steps'!$B$1:$AY$1,Y$1)+SUMIFS('changes2_based on steps'!$B232:$U232,'changes2_based on steps'!$B$1:$U$1,Y$1)</f>
        <v>0</v>
      </c>
      <c r="Z232" s="179">
        <f>SUMIFS('recurring2_based on steps'!$B232:$AY232,'recurring2_based on steps'!$B$1:$AY$1,Z$1)+SUMIFS('changes2_based on steps'!$B232:$U232,'changes2_based on steps'!$B$1:$U$1,Z$1)</f>
        <v>0</v>
      </c>
      <c r="AA232" s="179">
        <f>SUMIFS('recurring2_based on steps'!$B232:$AY232,'recurring2_based on steps'!$B$1:$AY$1,AA$1)+SUMIFS('changes2_based on steps'!$B232:$U232,'changes2_based on steps'!$B$1:$U$1,AA$1)</f>
        <v>0</v>
      </c>
      <c r="AB232" s="179">
        <f>SUMIFS('recurring2_based on steps'!$B232:$AY232,'recurring2_based on steps'!$B$1:$AY$1,AB$1)+SUMIFS('changes2_based on steps'!$B232:$U232,'changes2_based on steps'!$B$1:$U$1,AB$1)</f>
        <v>0</v>
      </c>
      <c r="AC232" s="179">
        <f>SUMIFS('recurring2_based on steps'!$B232:$AY232,'recurring2_based on steps'!$B$1:$AY$1,AC$1)+SUMIFS('changes2_based on steps'!$B232:$U232,'changes2_based on steps'!$B$1:$U$1,AC$1)</f>
        <v>0</v>
      </c>
      <c r="AD232" s="179">
        <f>SUMIFS('recurring2_based on steps'!$B232:$AY232,'recurring2_based on steps'!$B$1:$AY$1,AD$1)+SUMIFS('changes2_based on steps'!$B232:$U232,'changes2_based on steps'!$B$1:$U$1,AD$1)</f>
        <v>0</v>
      </c>
      <c r="AE232" s="179">
        <f>SUMIFS('recurring2_based on steps'!$B232:$AY232,'recurring2_based on steps'!$B$1:$AY$1,AE$1)+SUMIFS('changes2_based on steps'!$B232:$U232,'changes2_based on steps'!$B$1:$U$1,AE$1)</f>
        <v>0</v>
      </c>
      <c r="AF232" s="179"/>
      <c r="AG232" s="179"/>
      <c r="AH232" s="179"/>
      <c r="AI232" s="179"/>
      <c r="AJ232" s="179"/>
      <c r="AK232" s="179"/>
      <c r="AL232" s="179"/>
      <c r="AM232" s="179"/>
    </row>
    <row r="233" spans="1:39" x14ac:dyDescent="0.2">
      <c r="A233" s="32">
        <f t="shared" ca="1" si="3"/>
        <v>45975</v>
      </c>
      <c r="B233" s="179">
        <f>SUMIFS('recurring2_based on steps'!$B233:$AY233,'recurring2_based on steps'!$B$1:$AY$1,B$1)+SUMIFS('changes2_based on steps'!$B233:$U233,'changes2_based on steps'!$B$1:$U$1,B$1)</f>
        <v>0</v>
      </c>
      <c r="C233" s="179">
        <f>SUMIFS('recurring2_based on steps'!$B233:$AY233,'recurring2_based on steps'!$B$1:$AY$1,C$1)+SUMIFS('changes2_based on steps'!$B233:$U233,'changes2_based on steps'!$B$1:$U$1,C$1)</f>
        <v>0</v>
      </c>
      <c r="D233" s="179">
        <f>SUMIFS('recurring2_based on steps'!$B233:$AY233,'recurring2_based on steps'!$B$1:$AY$1,D$1)+SUMIFS('changes2_based on steps'!$B233:$U233,'changes2_based on steps'!$B$1:$U$1,D$1)</f>
        <v>0</v>
      </c>
      <c r="E233" s="179">
        <f>SUMIFS('recurring2_based on steps'!$B233:$AY233,'recurring2_based on steps'!$B$1:$AY$1,E$1)+SUMIFS('changes2_based on steps'!$B233:$U233,'changes2_based on steps'!$B$1:$U$1,E$1)</f>
        <v>0</v>
      </c>
      <c r="F233" s="179">
        <f>SUMIFS('recurring2_based on steps'!$B233:$AY233,'recurring2_based on steps'!$B$1:$AY$1,F$1)+SUMIFS('changes2_based on steps'!$B233:$U233,'changes2_based on steps'!$B$1:$U$1,F$1)</f>
        <v>0</v>
      </c>
      <c r="G233" s="179">
        <f>SUMIFS('recurring2_based on steps'!$B233:$AY233,'recurring2_based on steps'!$B$1:$AY$1,G$1)+SUMIFS('changes2_based on steps'!$B233:$U233,'changes2_based on steps'!$B$1:$U$1,G$1)</f>
        <v>0</v>
      </c>
      <c r="H233" s="179">
        <f>SUMIFS('recurring2_based on steps'!$B233:$AY233,'recurring2_based on steps'!$B$1:$AY$1,H$1)+SUMIFS('changes2_based on steps'!$B233:$U233,'changes2_based on steps'!$B$1:$U$1,H$1)</f>
        <v>0</v>
      </c>
      <c r="I233" s="179">
        <f>SUMIFS('recurring2_based on steps'!$B233:$AY233,'recurring2_based on steps'!$B$1:$AY$1,I$1)+SUMIFS('changes2_based on steps'!$B233:$U233,'changes2_based on steps'!$B$1:$U$1,I$1)</f>
        <v>0</v>
      </c>
      <c r="J233" s="179">
        <f>SUMIFS('recurring2_based on steps'!$B233:$AY233,'recurring2_based on steps'!$B$1:$AY$1,J$1)+SUMIFS('changes2_based on steps'!$B233:$U233,'changes2_based on steps'!$B$1:$U$1,J$1)</f>
        <v>0</v>
      </c>
      <c r="K233" s="179">
        <f>SUMIFS('recurring2_based on steps'!$B233:$AY233,'recurring2_based on steps'!$B$1:$AY$1,K$1)+SUMIFS('changes2_based on steps'!$B233:$U233,'changes2_based on steps'!$B$1:$U$1,K$1)</f>
        <v>0</v>
      </c>
      <c r="L233" s="179">
        <f>SUMIFS('recurring2_based on steps'!$B233:$AY233,'recurring2_based on steps'!$B$1:$AY$1,L$1)+SUMIFS('changes2_based on steps'!$B233:$U233,'changes2_based on steps'!$B$1:$U$1,L$1)</f>
        <v>0</v>
      </c>
      <c r="M233" s="179">
        <f>SUMIFS('recurring2_based on steps'!$B233:$AY233,'recurring2_based on steps'!$B$1:$AY$1,M$1)+SUMIFS('changes2_based on steps'!$B233:$U233,'changes2_based on steps'!$B$1:$U$1,M$1)</f>
        <v>0</v>
      </c>
      <c r="N233" s="179">
        <f>SUMIFS('recurring2_based on steps'!$B233:$AY233,'recurring2_based on steps'!$B$1:$AY$1,N$1)+SUMIFS('changes2_based on steps'!$B233:$U233,'changes2_based on steps'!$B$1:$U$1,N$1)</f>
        <v>0</v>
      </c>
      <c r="O233" s="179">
        <f>SUMIFS('recurring2_based on steps'!$B233:$AY233,'recurring2_based on steps'!$B$1:$AY$1,O$1)+SUMIFS('changes2_based on steps'!$B233:$U233,'changes2_based on steps'!$B$1:$U$1,O$1)</f>
        <v>0</v>
      </c>
      <c r="P233" s="179">
        <f>SUMIFS('recurring2_based on steps'!$B233:$AY233,'recurring2_based on steps'!$B$1:$AY$1,P$1)+SUMIFS('changes2_based on steps'!$B233:$U233,'changes2_based on steps'!$B$1:$U$1,P$1)</f>
        <v>0</v>
      </c>
      <c r="Q233" s="179">
        <f>SUMIFS('recurring2_based on steps'!$B233:$AY233,'recurring2_based on steps'!$B$1:$AY$1,Q$1)+SUMIFS('changes2_based on steps'!$B233:$U233,'changes2_based on steps'!$B$1:$U$1,Q$1)</f>
        <v>0</v>
      </c>
      <c r="R233" s="179">
        <f>SUMIFS('recurring2_based on steps'!$B233:$AY233,'recurring2_based on steps'!$B$1:$AY$1,R$1)+SUMIFS('changes2_based on steps'!$B233:$U233,'changes2_based on steps'!$B$1:$U$1,R$1)</f>
        <v>0</v>
      </c>
      <c r="S233" s="179">
        <f>SUMIFS('recurring2_based on steps'!$B233:$AY233,'recurring2_based on steps'!$B$1:$AY$1,S$1)+SUMIFS('changes2_based on steps'!$B233:$U233,'changes2_based on steps'!$B$1:$U$1,S$1)</f>
        <v>0</v>
      </c>
      <c r="T233" s="179">
        <f>SUMIFS('recurring2_based on steps'!$B233:$AY233,'recurring2_based on steps'!$B$1:$AY$1,T$1)+SUMIFS('changes2_based on steps'!$B233:$U233,'changes2_based on steps'!$B$1:$U$1,T$1)</f>
        <v>0</v>
      </c>
      <c r="U233" s="179">
        <f>SUMIFS('recurring2_based on steps'!$B233:$AY233,'recurring2_based on steps'!$B$1:$AY$1,U$1)+SUMIFS('changes2_based on steps'!$B233:$U233,'changes2_based on steps'!$B$1:$U$1,U$1)</f>
        <v>0</v>
      </c>
      <c r="V233" s="179">
        <f>SUMIFS('recurring2_based on steps'!$B233:$AY233,'recurring2_based on steps'!$B$1:$AY$1,V$1)+SUMIFS('changes2_based on steps'!$B233:$U233,'changes2_based on steps'!$B$1:$U$1,V$1)</f>
        <v>0</v>
      </c>
      <c r="W233" s="179">
        <f>SUMIFS('recurring2_based on steps'!$B233:$AY233,'recurring2_based on steps'!$B$1:$AY$1,W$1)+SUMIFS('changes2_based on steps'!$B233:$U233,'changes2_based on steps'!$B$1:$U$1,W$1)</f>
        <v>0</v>
      </c>
      <c r="X233" s="179">
        <f>SUMIFS('recurring2_based on steps'!$B233:$AY233,'recurring2_based on steps'!$B$1:$AY$1,X$1)+SUMIFS('changes2_based on steps'!$B233:$U233,'changes2_based on steps'!$B$1:$U$1,X$1)</f>
        <v>0</v>
      </c>
      <c r="Y233" s="179">
        <f>SUMIFS('recurring2_based on steps'!$B233:$AY233,'recurring2_based on steps'!$B$1:$AY$1,Y$1)+SUMIFS('changes2_based on steps'!$B233:$U233,'changes2_based on steps'!$B$1:$U$1,Y$1)</f>
        <v>0</v>
      </c>
      <c r="Z233" s="179">
        <f>SUMIFS('recurring2_based on steps'!$B233:$AY233,'recurring2_based on steps'!$B$1:$AY$1,Z$1)+SUMIFS('changes2_based on steps'!$B233:$U233,'changes2_based on steps'!$B$1:$U$1,Z$1)</f>
        <v>0</v>
      </c>
      <c r="AA233" s="179">
        <f>SUMIFS('recurring2_based on steps'!$B233:$AY233,'recurring2_based on steps'!$B$1:$AY$1,AA$1)+SUMIFS('changes2_based on steps'!$B233:$U233,'changes2_based on steps'!$B$1:$U$1,AA$1)</f>
        <v>0</v>
      </c>
      <c r="AB233" s="179">
        <f>SUMIFS('recurring2_based on steps'!$B233:$AY233,'recurring2_based on steps'!$B$1:$AY$1,AB$1)+SUMIFS('changes2_based on steps'!$B233:$U233,'changes2_based on steps'!$B$1:$U$1,AB$1)</f>
        <v>0</v>
      </c>
      <c r="AC233" s="179">
        <f>SUMIFS('recurring2_based on steps'!$B233:$AY233,'recurring2_based on steps'!$B$1:$AY$1,AC$1)+SUMIFS('changes2_based on steps'!$B233:$U233,'changes2_based on steps'!$B$1:$U$1,AC$1)</f>
        <v>0</v>
      </c>
      <c r="AD233" s="179">
        <f>SUMIFS('recurring2_based on steps'!$B233:$AY233,'recurring2_based on steps'!$B$1:$AY$1,AD$1)+SUMIFS('changes2_based on steps'!$B233:$U233,'changes2_based on steps'!$B$1:$U$1,AD$1)</f>
        <v>0</v>
      </c>
      <c r="AE233" s="179">
        <f>SUMIFS('recurring2_based on steps'!$B233:$AY233,'recurring2_based on steps'!$B$1:$AY$1,AE$1)+SUMIFS('changes2_based on steps'!$B233:$U233,'changes2_based on steps'!$B$1:$U$1,AE$1)</f>
        <v>0</v>
      </c>
      <c r="AF233" s="179"/>
      <c r="AG233" s="179"/>
      <c r="AH233" s="179"/>
      <c r="AI233" s="179"/>
      <c r="AJ233" s="179"/>
      <c r="AK233" s="179"/>
      <c r="AL233" s="179"/>
      <c r="AM233" s="179"/>
    </row>
    <row r="234" spans="1:39" x14ac:dyDescent="0.2">
      <c r="A234" s="32">
        <f t="shared" ca="1" si="3"/>
        <v>45976</v>
      </c>
      <c r="B234" s="179">
        <f>SUMIFS('recurring2_based on steps'!$B234:$AY234,'recurring2_based on steps'!$B$1:$AY$1,B$1)+SUMIFS('changes2_based on steps'!$B234:$U234,'changes2_based on steps'!$B$1:$U$1,B$1)</f>
        <v>0</v>
      </c>
      <c r="C234" s="179">
        <f>SUMIFS('recurring2_based on steps'!$B234:$AY234,'recurring2_based on steps'!$B$1:$AY$1,C$1)+SUMIFS('changes2_based on steps'!$B234:$U234,'changes2_based on steps'!$B$1:$U$1,C$1)</f>
        <v>0</v>
      </c>
      <c r="D234" s="179">
        <f>SUMIFS('recurring2_based on steps'!$B234:$AY234,'recurring2_based on steps'!$B$1:$AY$1,D$1)+SUMIFS('changes2_based on steps'!$B234:$U234,'changes2_based on steps'!$B$1:$U$1,D$1)</f>
        <v>0</v>
      </c>
      <c r="E234" s="179">
        <f>SUMIFS('recurring2_based on steps'!$B234:$AY234,'recurring2_based on steps'!$B$1:$AY$1,E$1)+SUMIFS('changes2_based on steps'!$B234:$U234,'changes2_based on steps'!$B$1:$U$1,E$1)</f>
        <v>0</v>
      </c>
      <c r="F234" s="179">
        <f>SUMIFS('recurring2_based on steps'!$B234:$AY234,'recurring2_based on steps'!$B$1:$AY$1,F$1)+SUMIFS('changes2_based on steps'!$B234:$U234,'changes2_based on steps'!$B$1:$U$1,F$1)</f>
        <v>0</v>
      </c>
      <c r="G234" s="179">
        <f>SUMIFS('recurring2_based on steps'!$B234:$AY234,'recurring2_based on steps'!$B$1:$AY$1,G$1)+SUMIFS('changes2_based on steps'!$B234:$U234,'changes2_based on steps'!$B$1:$U$1,G$1)</f>
        <v>0</v>
      </c>
      <c r="H234" s="179">
        <f>SUMIFS('recurring2_based on steps'!$B234:$AY234,'recurring2_based on steps'!$B$1:$AY$1,H$1)+SUMIFS('changes2_based on steps'!$B234:$U234,'changes2_based on steps'!$B$1:$U$1,H$1)</f>
        <v>0</v>
      </c>
      <c r="I234" s="179">
        <f>SUMIFS('recurring2_based on steps'!$B234:$AY234,'recurring2_based on steps'!$B$1:$AY$1,I$1)+SUMIFS('changes2_based on steps'!$B234:$U234,'changes2_based on steps'!$B$1:$U$1,I$1)</f>
        <v>0</v>
      </c>
      <c r="J234" s="179">
        <f>SUMIFS('recurring2_based on steps'!$B234:$AY234,'recurring2_based on steps'!$B$1:$AY$1,J$1)+SUMIFS('changes2_based on steps'!$B234:$U234,'changes2_based on steps'!$B$1:$U$1,J$1)</f>
        <v>0</v>
      </c>
      <c r="K234" s="179">
        <f>SUMIFS('recurring2_based on steps'!$B234:$AY234,'recurring2_based on steps'!$B$1:$AY$1,K$1)+SUMIFS('changes2_based on steps'!$B234:$U234,'changes2_based on steps'!$B$1:$U$1,K$1)</f>
        <v>0</v>
      </c>
      <c r="L234" s="179">
        <f>SUMIFS('recurring2_based on steps'!$B234:$AY234,'recurring2_based on steps'!$B$1:$AY$1,L$1)+SUMIFS('changes2_based on steps'!$B234:$U234,'changes2_based on steps'!$B$1:$U$1,L$1)</f>
        <v>0</v>
      </c>
      <c r="M234" s="179">
        <f>SUMIFS('recurring2_based on steps'!$B234:$AY234,'recurring2_based on steps'!$B$1:$AY$1,M$1)+SUMIFS('changes2_based on steps'!$B234:$U234,'changes2_based on steps'!$B$1:$U$1,M$1)</f>
        <v>0</v>
      </c>
      <c r="N234" s="179">
        <f>SUMIFS('recurring2_based on steps'!$B234:$AY234,'recurring2_based on steps'!$B$1:$AY$1,N$1)+SUMIFS('changes2_based on steps'!$B234:$U234,'changes2_based on steps'!$B$1:$U$1,N$1)</f>
        <v>0</v>
      </c>
      <c r="O234" s="179">
        <f>SUMIFS('recurring2_based on steps'!$B234:$AY234,'recurring2_based on steps'!$B$1:$AY$1,O$1)+SUMIFS('changes2_based on steps'!$B234:$U234,'changes2_based on steps'!$B$1:$U$1,O$1)</f>
        <v>0</v>
      </c>
      <c r="P234" s="179">
        <f>SUMIFS('recurring2_based on steps'!$B234:$AY234,'recurring2_based on steps'!$B$1:$AY$1,P$1)+SUMIFS('changes2_based on steps'!$B234:$U234,'changes2_based on steps'!$B$1:$U$1,P$1)</f>
        <v>0</v>
      </c>
      <c r="Q234" s="179">
        <f>SUMIFS('recurring2_based on steps'!$B234:$AY234,'recurring2_based on steps'!$B$1:$AY$1,Q$1)+SUMIFS('changes2_based on steps'!$B234:$U234,'changes2_based on steps'!$B$1:$U$1,Q$1)</f>
        <v>0</v>
      </c>
      <c r="R234" s="179">
        <f>SUMIFS('recurring2_based on steps'!$B234:$AY234,'recurring2_based on steps'!$B$1:$AY$1,R$1)+SUMIFS('changes2_based on steps'!$B234:$U234,'changes2_based on steps'!$B$1:$U$1,R$1)</f>
        <v>0</v>
      </c>
      <c r="S234" s="179">
        <f>SUMIFS('recurring2_based on steps'!$B234:$AY234,'recurring2_based on steps'!$B$1:$AY$1,S$1)+SUMIFS('changes2_based on steps'!$B234:$U234,'changes2_based on steps'!$B$1:$U$1,S$1)</f>
        <v>0</v>
      </c>
      <c r="T234" s="179">
        <f>SUMIFS('recurring2_based on steps'!$B234:$AY234,'recurring2_based on steps'!$B$1:$AY$1,T$1)+SUMIFS('changes2_based on steps'!$B234:$U234,'changes2_based on steps'!$B$1:$U$1,T$1)</f>
        <v>0</v>
      </c>
      <c r="U234" s="179">
        <f>SUMIFS('recurring2_based on steps'!$B234:$AY234,'recurring2_based on steps'!$B$1:$AY$1,U$1)+SUMIFS('changes2_based on steps'!$B234:$U234,'changes2_based on steps'!$B$1:$U$1,U$1)</f>
        <v>0</v>
      </c>
      <c r="V234" s="179">
        <f>SUMIFS('recurring2_based on steps'!$B234:$AY234,'recurring2_based on steps'!$B$1:$AY$1,V$1)+SUMIFS('changes2_based on steps'!$B234:$U234,'changes2_based on steps'!$B$1:$U$1,V$1)</f>
        <v>0</v>
      </c>
      <c r="W234" s="179">
        <f>SUMIFS('recurring2_based on steps'!$B234:$AY234,'recurring2_based on steps'!$B$1:$AY$1,W$1)+SUMIFS('changes2_based on steps'!$B234:$U234,'changes2_based on steps'!$B$1:$U$1,W$1)</f>
        <v>0</v>
      </c>
      <c r="X234" s="179">
        <f>SUMIFS('recurring2_based on steps'!$B234:$AY234,'recurring2_based on steps'!$B$1:$AY$1,X$1)+SUMIFS('changes2_based on steps'!$B234:$U234,'changes2_based on steps'!$B$1:$U$1,X$1)</f>
        <v>0</v>
      </c>
      <c r="Y234" s="179">
        <f>SUMIFS('recurring2_based on steps'!$B234:$AY234,'recurring2_based on steps'!$B$1:$AY$1,Y$1)+SUMIFS('changes2_based on steps'!$B234:$U234,'changes2_based on steps'!$B$1:$U$1,Y$1)</f>
        <v>0</v>
      </c>
      <c r="Z234" s="179">
        <f>SUMIFS('recurring2_based on steps'!$B234:$AY234,'recurring2_based on steps'!$B$1:$AY$1,Z$1)+SUMIFS('changes2_based on steps'!$B234:$U234,'changes2_based on steps'!$B$1:$U$1,Z$1)</f>
        <v>0</v>
      </c>
      <c r="AA234" s="179">
        <f>SUMIFS('recurring2_based on steps'!$B234:$AY234,'recurring2_based on steps'!$B$1:$AY$1,AA$1)+SUMIFS('changes2_based on steps'!$B234:$U234,'changes2_based on steps'!$B$1:$U$1,AA$1)</f>
        <v>0</v>
      </c>
      <c r="AB234" s="179">
        <f>SUMIFS('recurring2_based on steps'!$B234:$AY234,'recurring2_based on steps'!$B$1:$AY$1,AB$1)+SUMIFS('changes2_based on steps'!$B234:$U234,'changes2_based on steps'!$B$1:$U$1,AB$1)</f>
        <v>0</v>
      </c>
      <c r="AC234" s="179">
        <f>SUMIFS('recurring2_based on steps'!$B234:$AY234,'recurring2_based on steps'!$B$1:$AY$1,AC$1)+SUMIFS('changes2_based on steps'!$B234:$U234,'changes2_based on steps'!$B$1:$U$1,AC$1)</f>
        <v>0</v>
      </c>
      <c r="AD234" s="179">
        <f>SUMIFS('recurring2_based on steps'!$B234:$AY234,'recurring2_based on steps'!$B$1:$AY$1,AD$1)+SUMIFS('changes2_based on steps'!$B234:$U234,'changes2_based on steps'!$B$1:$U$1,AD$1)</f>
        <v>0</v>
      </c>
      <c r="AE234" s="179">
        <f>SUMIFS('recurring2_based on steps'!$B234:$AY234,'recurring2_based on steps'!$B$1:$AY$1,AE$1)+SUMIFS('changes2_based on steps'!$B234:$U234,'changes2_based on steps'!$B$1:$U$1,AE$1)</f>
        <v>0</v>
      </c>
      <c r="AF234" s="179"/>
      <c r="AG234" s="179"/>
      <c r="AH234" s="179"/>
      <c r="AI234" s="179"/>
      <c r="AJ234" s="179"/>
      <c r="AK234" s="179"/>
      <c r="AL234" s="179"/>
      <c r="AM234" s="179"/>
    </row>
    <row r="235" spans="1:39" x14ac:dyDescent="0.2">
      <c r="A235" s="32">
        <f t="shared" ca="1" si="3"/>
        <v>45977</v>
      </c>
      <c r="B235" s="179">
        <f>SUMIFS('recurring2_based on steps'!$B235:$AY235,'recurring2_based on steps'!$B$1:$AY$1,B$1)+SUMIFS('changes2_based on steps'!$B235:$U235,'changes2_based on steps'!$B$1:$U$1,B$1)</f>
        <v>0</v>
      </c>
      <c r="C235" s="179">
        <f>SUMIFS('recurring2_based on steps'!$B235:$AY235,'recurring2_based on steps'!$B$1:$AY$1,C$1)+SUMIFS('changes2_based on steps'!$B235:$U235,'changes2_based on steps'!$B$1:$U$1,C$1)</f>
        <v>0</v>
      </c>
      <c r="D235" s="179">
        <f>SUMIFS('recurring2_based on steps'!$B235:$AY235,'recurring2_based on steps'!$B$1:$AY$1,D$1)+SUMIFS('changes2_based on steps'!$B235:$U235,'changes2_based on steps'!$B$1:$U$1,D$1)</f>
        <v>0</v>
      </c>
      <c r="E235" s="179">
        <f>SUMIFS('recurring2_based on steps'!$B235:$AY235,'recurring2_based on steps'!$B$1:$AY$1,E$1)+SUMIFS('changes2_based on steps'!$B235:$U235,'changes2_based on steps'!$B$1:$U$1,E$1)</f>
        <v>0</v>
      </c>
      <c r="F235" s="179">
        <f>SUMIFS('recurring2_based on steps'!$B235:$AY235,'recurring2_based on steps'!$B$1:$AY$1,F$1)+SUMIFS('changes2_based on steps'!$B235:$U235,'changes2_based on steps'!$B$1:$U$1,F$1)</f>
        <v>0</v>
      </c>
      <c r="G235" s="179">
        <f>SUMIFS('recurring2_based on steps'!$B235:$AY235,'recurring2_based on steps'!$B$1:$AY$1,G$1)+SUMIFS('changes2_based on steps'!$B235:$U235,'changes2_based on steps'!$B$1:$U$1,G$1)</f>
        <v>0</v>
      </c>
      <c r="H235" s="179">
        <f>SUMIFS('recurring2_based on steps'!$B235:$AY235,'recurring2_based on steps'!$B$1:$AY$1,H$1)+SUMIFS('changes2_based on steps'!$B235:$U235,'changes2_based on steps'!$B$1:$U$1,H$1)</f>
        <v>0</v>
      </c>
      <c r="I235" s="179">
        <f>SUMIFS('recurring2_based on steps'!$B235:$AY235,'recurring2_based on steps'!$B$1:$AY$1,I$1)+SUMIFS('changes2_based on steps'!$B235:$U235,'changes2_based on steps'!$B$1:$U$1,I$1)</f>
        <v>0</v>
      </c>
      <c r="J235" s="179">
        <f>SUMIFS('recurring2_based on steps'!$B235:$AY235,'recurring2_based on steps'!$B$1:$AY$1,J$1)+SUMIFS('changes2_based on steps'!$B235:$U235,'changes2_based on steps'!$B$1:$U$1,J$1)</f>
        <v>0</v>
      </c>
      <c r="K235" s="179">
        <f>SUMIFS('recurring2_based on steps'!$B235:$AY235,'recurring2_based on steps'!$B$1:$AY$1,K$1)+SUMIFS('changes2_based on steps'!$B235:$U235,'changes2_based on steps'!$B$1:$U$1,K$1)</f>
        <v>0</v>
      </c>
      <c r="L235" s="179">
        <f>SUMIFS('recurring2_based on steps'!$B235:$AY235,'recurring2_based on steps'!$B$1:$AY$1,L$1)+SUMIFS('changes2_based on steps'!$B235:$U235,'changes2_based on steps'!$B$1:$U$1,L$1)</f>
        <v>0</v>
      </c>
      <c r="M235" s="179">
        <f>SUMIFS('recurring2_based on steps'!$B235:$AY235,'recurring2_based on steps'!$B$1:$AY$1,M$1)+SUMIFS('changes2_based on steps'!$B235:$U235,'changes2_based on steps'!$B$1:$U$1,M$1)</f>
        <v>0</v>
      </c>
      <c r="N235" s="179">
        <f>SUMIFS('recurring2_based on steps'!$B235:$AY235,'recurring2_based on steps'!$B$1:$AY$1,N$1)+SUMIFS('changes2_based on steps'!$B235:$U235,'changes2_based on steps'!$B$1:$U$1,N$1)</f>
        <v>0</v>
      </c>
      <c r="O235" s="179">
        <f>SUMIFS('recurring2_based on steps'!$B235:$AY235,'recurring2_based on steps'!$B$1:$AY$1,O$1)+SUMIFS('changes2_based on steps'!$B235:$U235,'changes2_based on steps'!$B$1:$U$1,O$1)</f>
        <v>0</v>
      </c>
      <c r="P235" s="179">
        <f>SUMIFS('recurring2_based on steps'!$B235:$AY235,'recurring2_based on steps'!$B$1:$AY$1,P$1)+SUMIFS('changes2_based on steps'!$B235:$U235,'changes2_based on steps'!$B$1:$U$1,P$1)</f>
        <v>0</v>
      </c>
      <c r="Q235" s="179">
        <f>SUMIFS('recurring2_based on steps'!$B235:$AY235,'recurring2_based on steps'!$B$1:$AY$1,Q$1)+SUMIFS('changes2_based on steps'!$B235:$U235,'changes2_based on steps'!$B$1:$U$1,Q$1)</f>
        <v>0</v>
      </c>
      <c r="R235" s="179">
        <f>SUMIFS('recurring2_based on steps'!$B235:$AY235,'recurring2_based on steps'!$B$1:$AY$1,R$1)+SUMIFS('changes2_based on steps'!$B235:$U235,'changes2_based on steps'!$B$1:$U$1,R$1)</f>
        <v>0</v>
      </c>
      <c r="S235" s="179">
        <f>SUMIFS('recurring2_based on steps'!$B235:$AY235,'recurring2_based on steps'!$B$1:$AY$1,S$1)+SUMIFS('changes2_based on steps'!$B235:$U235,'changes2_based on steps'!$B$1:$U$1,S$1)</f>
        <v>0</v>
      </c>
      <c r="T235" s="179">
        <f>SUMIFS('recurring2_based on steps'!$B235:$AY235,'recurring2_based on steps'!$B$1:$AY$1,T$1)+SUMIFS('changes2_based on steps'!$B235:$U235,'changes2_based on steps'!$B$1:$U$1,T$1)</f>
        <v>0</v>
      </c>
      <c r="U235" s="179">
        <f>SUMIFS('recurring2_based on steps'!$B235:$AY235,'recurring2_based on steps'!$B$1:$AY$1,U$1)+SUMIFS('changes2_based on steps'!$B235:$U235,'changes2_based on steps'!$B$1:$U$1,U$1)</f>
        <v>0</v>
      </c>
      <c r="V235" s="179">
        <f>SUMIFS('recurring2_based on steps'!$B235:$AY235,'recurring2_based on steps'!$B$1:$AY$1,V$1)+SUMIFS('changes2_based on steps'!$B235:$U235,'changes2_based on steps'!$B$1:$U$1,V$1)</f>
        <v>0</v>
      </c>
      <c r="W235" s="179">
        <f>SUMIFS('recurring2_based on steps'!$B235:$AY235,'recurring2_based on steps'!$B$1:$AY$1,W$1)+SUMIFS('changes2_based on steps'!$B235:$U235,'changes2_based on steps'!$B$1:$U$1,W$1)</f>
        <v>0</v>
      </c>
      <c r="X235" s="179">
        <f>SUMIFS('recurring2_based on steps'!$B235:$AY235,'recurring2_based on steps'!$B$1:$AY$1,X$1)+SUMIFS('changes2_based on steps'!$B235:$U235,'changes2_based on steps'!$B$1:$U$1,X$1)</f>
        <v>0</v>
      </c>
      <c r="Y235" s="179">
        <f>SUMIFS('recurring2_based on steps'!$B235:$AY235,'recurring2_based on steps'!$B$1:$AY$1,Y$1)+SUMIFS('changes2_based on steps'!$B235:$U235,'changes2_based on steps'!$B$1:$U$1,Y$1)</f>
        <v>0</v>
      </c>
      <c r="Z235" s="179">
        <f>SUMIFS('recurring2_based on steps'!$B235:$AY235,'recurring2_based on steps'!$B$1:$AY$1,Z$1)+SUMIFS('changes2_based on steps'!$B235:$U235,'changes2_based on steps'!$B$1:$U$1,Z$1)</f>
        <v>0</v>
      </c>
      <c r="AA235" s="179">
        <f>SUMIFS('recurring2_based on steps'!$B235:$AY235,'recurring2_based on steps'!$B$1:$AY$1,AA$1)+SUMIFS('changes2_based on steps'!$B235:$U235,'changes2_based on steps'!$B$1:$U$1,AA$1)</f>
        <v>0</v>
      </c>
      <c r="AB235" s="179">
        <f>SUMIFS('recurring2_based on steps'!$B235:$AY235,'recurring2_based on steps'!$B$1:$AY$1,AB$1)+SUMIFS('changes2_based on steps'!$B235:$U235,'changes2_based on steps'!$B$1:$U$1,AB$1)</f>
        <v>0</v>
      </c>
      <c r="AC235" s="179">
        <f>SUMIFS('recurring2_based on steps'!$B235:$AY235,'recurring2_based on steps'!$B$1:$AY$1,AC$1)+SUMIFS('changes2_based on steps'!$B235:$U235,'changes2_based on steps'!$B$1:$U$1,AC$1)</f>
        <v>0</v>
      </c>
      <c r="AD235" s="179">
        <f>SUMIFS('recurring2_based on steps'!$B235:$AY235,'recurring2_based on steps'!$B$1:$AY$1,AD$1)+SUMIFS('changes2_based on steps'!$B235:$U235,'changes2_based on steps'!$B$1:$U$1,AD$1)</f>
        <v>0</v>
      </c>
      <c r="AE235" s="179">
        <f>SUMIFS('recurring2_based on steps'!$B235:$AY235,'recurring2_based on steps'!$B$1:$AY$1,AE$1)+SUMIFS('changes2_based on steps'!$B235:$U235,'changes2_based on steps'!$B$1:$U$1,AE$1)</f>
        <v>0</v>
      </c>
      <c r="AF235" s="179"/>
      <c r="AG235" s="179"/>
      <c r="AH235" s="179"/>
      <c r="AI235" s="179"/>
      <c r="AJ235" s="179"/>
      <c r="AK235" s="179"/>
      <c r="AL235" s="179"/>
      <c r="AM235" s="179"/>
    </row>
    <row r="236" spans="1:39" x14ac:dyDescent="0.2">
      <c r="A236" s="32">
        <f t="shared" ca="1" si="3"/>
        <v>45978</v>
      </c>
      <c r="B236" s="179">
        <f>SUMIFS('recurring2_based on steps'!$B236:$AY236,'recurring2_based on steps'!$B$1:$AY$1,B$1)+SUMIFS('changes2_based on steps'!$B236:$U236,'changes2_based on steps'!$B$1:$U$1,B$1)</f>
        <v>0</v>
      </c>
      <c r="C236" s="179">
        <f>SUMIFS('recurring2_based on steps'!$B236:$AY236,'recurring2_based on steps'!$B$1:$AY$1,C$1)+SUMIFS('changes2_based on steps'!$B236:$U236,'changes2_based on steps'!$B$1:$U$1,C$1)</f>
        <v>0</v>
      </c>
      <c r="D236" s="179">
        <f>SUMIFS('recurring2_based on steps'!$B236:$AY236,'recurring2_based on steps'!$B$1:$AY$1,D$1)+SUMIFS('changes2_based on steps'!$B236:$U236,'changes2_based on steps'!$B$1:$U$1,D$1)</f>
        <v>0</v>
      </c>
      <c r="E236" s="179">
        <f>SUMIFS('recurring2_based on steps'!$B236:$AY236,'recurring2_based on steps'!$B$1:$AY$1,E$1)+SUMIFS('changes2_based on steps'!$B236:$U236,'changes2_based on steps'!$B$1:$U$1,E$1)</f>
        <v>0</v>
      </c>
      <c r="F236" s="179">
        <f>SUMIFS('recurring2_based on steps'!$B236:$AY236,'recurring2_based on steps'!$B$1:$AY$1,F$1)+SUMIFS('changes2_based on steps'!$B236:$U236,'changes2_based on steps'!$B$1:$U$1,F$1)</f>
        <v>0</v>
      </c>
      <c r="G236" s="179">
        <f>SUMIFS('recurring2_based on steps'!$B236:$AY236,'recurring2_based on steps'!$B$1:$AY$1,G$1)+SUMIFS('changes2_based on steps'!$B236:$U236,'changes2_based on steps'!$B$1:$U$1,G$1)</f>
        <v>0</v>
      </c>
      <c r="H236" s="179">
        <f>SUMIFS('recurring2_based on steps'!$B236:$AY236,'recurring2_based on steps'!$B$1:$AY$1,H$1)+SUMIFS('changes2_based on steps'!$B236:$U236,'changes2_based on steps'!$B$1:$U$1,H$1)</f>
        <v>0</v>
      </c>
      <c r="I236" s="179">
        <f>SUMIFS('recurring2_based on steps'!$B236:$AY236,'recurring2_based on steps'!$B$1:$AY$1,I$1)+SUMIFS('changes2_based on steps'!$B236:$U236,'changes2_based on steps'!$B$1:$U$1,I$1)</f>
        <v>0</v>
      </c>
      <c r="J236" s="179">
        <f>SUMIFS('recurring2_based on steps'!$B236:$AY236,'recurring2_based on steps'!$B$1:$AY$1,J$1)+SUMIFS('changes2_based on steps'!$B236:$U236,'changes2_based on steps'!$B$1:$U$1,J$1)</f>
        <v>0</v>
      </c>
      <c r="K236" s="179">
        <f>SUMIFS('recurring2_based on steps'!$B236:$AY236,'recurring2_based on steps'!$B$1:$AY$1,K$1)+SUMIFS('changes2_based on steps'!$B236:$U236,'changes2_based on steps'!$B$1:$U$1,K$1)</f>
        <v>0</v>
      </c>
      <c r="L236" s="179">
        <f>SUMIFS('recurring2_based on steps'!$B236:$AY236,'recurring2_based on steps'!$B$1:$AY$1,L$1)+SUMIFS('changes2_based on steps'!$B236:$U236,'changes2_based on steps'!$B$1:$U$1,L$1)</f>
        <v>0</v>
      </c>
      <c r="M236" s="179">
        <f>SUMIFS('recurring2_based on steps'!$B236:$AY236,'recurring2_based on steps'!$B$1:$AY$1,M$1)+SUMIFS('changes2_based on steps'!$B236:$U236,'changes2_based on steps'!$B$1:$U$1,M$1)</f>
        <v>0</v>
      </c>
      <c r="N236" s="179">
        <f>SUMIFS('recurring2_based on steps'!$B236:$AY236,'recurring2_based on steps'!$B$1:$AY$1,N$1)+SUMIFS('changes2_based on steps'!$B236:$U236,'changes2_based on steps'!$B$1:$U$1,N$1)</f>
        <v>0</v>
      </c>
      <c r="O236" s="179">
        <f>SUMIFS('recurring2_based on steps'!$B236:$AY236,'recurring2_based on steps'!$B$1:$AY$1,O$1)+SUMIFS('changes2_based on steps'!$B236:$U236,'changes2_based on steps'!$B$1:$U$1,O$1)</f>
        <v>0</v>
      </c>
      <c r="P236" s="179">
        <f>SUMIFS('recurring2_based on steps'!$B236:$AY236,'recurring2_based on steps'!$B$1:$AY$1,P$1)+SUMIFS('changes2_based on steps'!$B236:$U236,'changes2_based on steps'!$B$1:$U$1,P$1)</f>
        <v>0</v>
      </c>
      <c r="Q236" s="179">
        <f>SUMIFS('recurring2_based on steps'!$B236:$AY236,'recurring2_based on steps'!$B$1:$AY$1,Q$1)+SUMIFS('changes2_based on steps'!$B236:$U236,'changes2_based on steps'!$B$1:$U$1,Q$1)</f>
        <v>0</v>
      </c>
      <c r="R236" s="179">
        <f>SUMIFS('recurring2_based on steps'!$B236:$AY236,'recurring2_based on steps'!$B$1:$AY$1,R$1)+SUMIFS('changes2_based on steps'!$B236:$U236,'changes2_based on steps'!$B$1:$U$1,R$1)</f>
        <v>0</v>
      </c>
      <c r="S236" s="179">
        <f>SUMIFS('recurring2_based on steps'!$B236:$AY236,'recurring2_based on steps'!$B$1:$AY$1,S$1)+SUMIFS('changes2_based on steps'!$B236:$U236,'changes2_based on steps'!$B$1:$U$1,S$1)</f>
        <v>0</v>
      </c>
      <c r="T236" s="179">
        <f>SUMIFS('recurring2_based on steps'!$B236:$AY236,'recurring2_based on steps'!$B$1:$AY$1,T$1)+SUMIFS('changes2_based on steps'!$B236:$U236,'changes2_based on steps'!$B$1:$U$1,T$1)</f>
        <v>0</v>
      </c>
      <c r="U236" s="179">
        <f>SUMIFS('recurring2_based on steps'!$B236:$AY236,'recurring2_based on steps'!$B$1:$AY$1,U$1)+SUMIFS('changes2_based on steps'!$B236:$U236,'changes2_based on steps'!$B$1:$U$1,U$1)</f>
        <v>0</v>
      </c>
      <c r="V236" s="179">
        <f>SUMIFS('recurring2_based on steps'!$B236:$AY236,'recurring2_based on steps'!$B$1:$AY$1,V$1)+SUMIFS('changes2_based on steps'!$B236:$U236,'changes2_based on steps'!$B$1:$U$1,V$1)</f>
        <v>0</v>
      </c>
      <c r="W236" s="179">
        <f>SUMIFS('recurring2_based on steps'!$B236:$AY236,'recurring2_based on steps'!$B$1:$AY$1,W$1)+SUMIFS('changes2_based on steps'!$B236:$U236,'changes2_based on steps'!$B$1:$U$1,W$1)</f>
        <v>0</v>
      </c>
      <c r="X236" s="179">
        <f>SUMIFS('recurring2_based on steps'!$B236:$AY236,'recurring2_based on steps'!$B$1:$AY$1,X$1)+SUMIFS('changes2_based on steps'!$B236:$U236,'changes2_based on steps'!$B$1:$U$1,X$1)</f>
        <v>0</v>
      </c>
      <c r="Y236" s="179">
        <f>SUMIFS('recurring2_based on steps'!$B236:$AY236,'recurring2_based on steps'!$B$1:$AY$1,Y$1)+SUMIFS('changes2_based on steps'!$B236:$U236,'changes2_based on steps'!$B$1:$U$1,Y$1)</f>
        <v>0</v>
      </c>
      <c r="Z236" s="179">
        <f>SUMIFS('recurring2_based on steps'!$B236:$AY236,'recurring2_based on steps'!$B$1:$AY$1,Z$1)+SUMIFS('changes2_based on steps'!$B236:$U236,'changes2_based on steps'!$B$1:$U$1,Z$1)</f>
        <v>0</v>
      </c>
      <c r="AA236" s="179">
        <f>SUMIFS('recurring2_based on steps'!$B236:$AY236,'recurring2_based on steps'!$B$1:$AY$1,AA$1)+SUMIFS('changes2_based on steps'!$B236:$U236,'changes2_based on steps'!$B$1:$U$1,AA$1)</f>
        <v>0</v>
      </c>
      <c r="AB236" s="179">
        <f>SUMIFS('recurring2_based on steps'!$B236:$AY236,'recurring2_based on steps'!$B$1:$AY$1,AB$1)+SUMIFS('changes2_based on steps'!$B236:$U236,'changes2_based on steps'!$B$1:$U$1,AB$1)</f>
        <v>0</v>
      </c>
      <c r="AC236" s="179">
        <f>SUMIFS('recurring2_based on steps'!$B236:$AY236,'recurring2_based on steps'!$B$1:$AY$1,AC$1)+SUMIFS('changes2_based on steps'!$B236:$U236,'changes2_based on steps'!$B$1:$U$1,AC$1)</f>
        <v>0</v>
      </c>
      <c r="AD236" s="179">
        <f>SUMIFS('recurring2_based on steps'!$B236:$AY236,'recurring2_based on steps'!$B$1:$AY$1,AD$1)+SUMIFS('changes2_based on steps'!$B236:$U236,'changes2_based on steps'!$B$1:$U$1,AD$1)</f>
        <v>0</v>
      </c>
      <c r="AE236" s="179">
        <f>SUMIFS('recurring2_based on steps'!$B236:$AY236,'recurring2_based on steps'!$B$1:$AY$1,AE$1)+SUMIFS('changes2_based on steps'!$B236:$U236,'changes2_based on steps'!$B$1:$U$1,AE$1)</f>
        <v>0</v>
      </c>
      <c r="AF236" s="179"/>
      <c r="AG236" s="179"/>
      <c r="AH236" s="179"/>
      <c r="AI236" s="179"/>
      <c r="AJ236" s="179"/>
      <c r="AK236" s="179"/>
      <c r="AL236" s="179"/>
      <c r="AM236" s="179"/>
    </row>
    <row r="237" spans="1:39" x14ac:dyDescent="0.2">
      <c r="A237" s="32">
        <f t="shared" ca="1" si="3"/>
        <v>45979</v>
      </c>
      <c r="B237" s="179">
        <f>SUMIFS('recurring2_based on steps'!$B237:$AY237,'recurring2_based on steps'!$B$1:$AY$1,B$1)+SUMIFS('changes2_based on steps'!$B237:$U237,'changes2_based on steps'!$B$1:$U$1,B$1)</f>
        <v>0</v>
      </c>
      <c r="C237" s="179">
        <f>SUMIFS('recurring2_based on steps'!$B237:$AY237,'recurring2_based on steps'!$B$1:$AY$1,C$1)+SUMIFS('changes2_based on steps'!$B237:$U237,'changes2_based on steps'!$B$1:$U$1,C$1)</f>
        <v>0</v>
      </c>
      <c r="D237" s="179">
        <f>SUMIFS('recurring2_based on steps'!$B237:$AY237,'recurring2_based on steps'!$B$1:$AY$1,D$1)+SUMIFS('changes2_based on steps'!$B237:$U237,'changes2_based on steps'!$B$1:$U$1,D$1)</f>
        <v>0</v>
      </c>
      <c r="E237" s="179">
        <f>SUMIFS('recurring2_based on steps'!$B237:$AY237,'recurring2_based on steps'!$B$1:$AY$1,E$1)+SUMIFS('changes2_based on steps'!$B237:$U237,'changes2_based on steps'!$B$1:$U$1,E$1)</f>
        <v>0</v>
      </c>
      <c r="F237" s="179">
        <f>SUMIFS('recurring2_based on steps'!$B237:$AY237,'recurring2_based on steps'!$B$1:$AY$1,F$1)+SUMIFS('changes2_based on steps'!$B237:$U237,'changes2_based on steps'!$B$1:$U$1,F$1)</f>
        <v>0</v>
      </c>
      <c r="G237" s="179">
        <f>SUMIFS('recurring2_based on steps'!$B237:$AY237,'recurring2_based on steps'!$B$1:$AY$1,G$1)+SUMIFS('changes2_based on steps'!$B237:$U237,'changes2_based on steps'!$B$1:$U$1,G$1)</f>
        <v>0</v>
      </c>
      <c r="H237" s="179">
        <f>SUMIFS('recurring2_based on steps'!$B237:$AY237,'recurring2_based on steps'!$B$1:$AY$1,H$1)+SUMIFS('changes2_based on steps'!$B237:$U237,'changes2_based on steps'!$B$1:$U$1,H$1)</f>
        <v>0</v>
      </c>
      <c r="I237" s="179">
        <f>SUMIFS('recurring2_based on steps'!$B237:$AY237,'recurring2_based on steps'!$B$1:$AY$1,I$1)+SUMIFS('changes2_based on steps'!$B237:$U237,'changes2_based on steps'!$B$1:$U$1,I$1)</f>
        <v>0</v>
      </c>
      <c r="J237" s="179">
        <f>SUMIFS('recurring2_based on steps'!$B237:$AY237,'recurring2_based on steps'!$B$1:$AY$1,J$1)+SUMIFS('changes2_based on steps'!$B237:$U237,'changes2_based on steps'!$B$1:$U$1,J$1)</f>
        <v>0</v>
      </c>
      <c r="K237" s="179">
        <f>SUMIFS('recurring2_based on steps'!$B237:$AY237,'recurring2_based on steps'!$B$1:$AY$1,K$1)+SUMIFS('changes2_based on steps'!$B237:$U237,'changes2_based on steps'!$B$1:$U$1,K$1)</f>
        <v>0</v>
      </c>
      <c r="L237" s="179">
        <f>SUMIFS('recurring2_based on steps'!$B237:$AY237,'recurring2_based on steps'!$B$1:$AY$1,L$1)+SUMIFS('changes2_based on steps'!$B237:$U237,'changes2_based on steps'!$B$1:$U$1,L$1)</f>
        <v>0</v>
      </c>
      <c r="M237" s="179">
        <f>SUMIFS('recurring2_based on steps'!$B237:$AY237,'recurring2_based on steps'!$B$1:$AY$1,M$1)+SUMIFS('changes2_based on steps'!$B237:$U237,'changes2_based on steps'!$B$1:$U$1,M$1)</f>
        <v>0</v>
      </c>
      <c r="N237" s="179">
        <f>SUMIFS('recurring2_based on steps'!$B237:$AY237,'recurring2_based on steps'!$B$1:$AY$1,N$1)+SUMIFS('changes2_based on steps'!$B237:$U237,'changes2_based on steps'!$B$1:$U$1,N$1)</f>
        <v>0</v>
      </c>
      <c r="O237" s="179">
        <f>SUMIFS('recurring2_based on steps'!$B237:$AY237,'recurring2_based on steps'!$B$1:$AY$1,O$1)+SUMIFS('changes2_based on steps'!$B237:$U237,'changes2_based on steps'!$B$1:$U$1,O$1)</f>
        <v>0</v>
      </c>
      <c r="P237" s="179">
        <f>SUMIFS('recurring2_based on steps'!$B237:$AY237,'recurring2_based on steps'!$B$1:$AY$1,P$1)+SUMIFS('changes2_based on steps'!$B237:$U237,'changes2_based on steps'!$B$1:$U$1,P$1)</f>
        <v>0</v>
      </c>
      <c r="Q237" s="179">
        <f>SUMIFS('recurring2_based on steps'!$B237:$AY237,'recurring2_based on steps'!$B$1:$AY$1,Q$1)+SUMIFS('changes2_based on steps'!$B237:$U237,'changes2_based on steps'!$B$1:$U$1,Q$1)</f>
        <v>0</v>
      </c>
      <c r="R237" s="179">
        <f>SUMIFS('recurring2_based on steps'!$B237:$AY237,'recurring2_based on steps'!$B$1:$AY$1,R$1)+SUMIFS('changes2_based on steps'!$B237:$U237,'changes2_based on steps'!$B$1:$U$1,R$1)</f>
        <v>0</v>
      </c>
      <c r="S237" s="179">
        <f>SUMIFS('recurring2_based on steps'!$B237:$AY237,'recurring2_based on steps'!$B$1:$AY$1,S$1)+SUMIFS('changes2_based on steps'!$B237:$U237,'changes2_based on steps'!$B$1:$U$1,S$1)</f>
        <v>0</v>
      </c>
      <c r="T237" s="179">
        <f>SUMIFS('recurring2_based on steps'!$B237:$AY237,'recurring2_based on steps'!$B$1:$AY$1,T$1)+SUMIFS('changes2_based on steps'!$B237:$U237,'changes2_based on steps'!$B$1:$U$1,T$1)</f>
        <v>0</v>
      </c>
      <c r="U237" s="179">
        <f>SUMIFS('recurring2_based on steps'!$B237:$AY237,'recurring2_based on steps'!$B$1:$AY$1,U$1)+SUMIFS('changes2_based on steps'!$B237:$U237,'changes2_based on steps'!$B$1:$U$1,U$1)</f>
        <v>0</v>
      </c>
      <c r="V237" s="179">
        <f>SUMIFS('recurring2_based on steps'!$B237:$AY237,'recurring2_based on steps'!$B$1:$AY$1,V$1)+SUMIFS('changes2_based on steps'!$B237:$U237,'changes2_based on steps'!$B$1:$U$1,V$1)</f>
        <v>0</v>
      </c>
      <c r="W237" s="179">
        <f>SUMIFS('recurring2_based on steps'!$B237:$AY237,'recurring2_based on steps'!$B$1:$AY$1,W$1)+SUMIFS('changes2_based on steps'!$B237:$U237,'changes2_based on steps'!$B$1:$U$1,W$1)</f>
        <v>0</v>
      </c>
      <c r="X237" s="179">
        <f>SUMIFS('recurring2_based on steps'!$B237:$AY237,'recurring2_based on steps'!$B$1:$AY$1,X$1)+SUMIFS('changes2_based on steps'!$B237:$U237,'changes2_based on steps'!$B$1:$U$1,X$1)</f>
        <v>0</v>
      </c>
      <c r="Y237" s="179">
        <f>SUMIFS('recurring2_based on steps'!$B237:$AY237,'recurring2_based on steps'!$B$1:$AY$1,Y$1)+SUMIFS('changes2_based on steps'!$B237:$U237,'changes2_based on steps'!$B$1:$U$1,Y$1)</f>
        <v>0</v>
      </c>
      <c r="Z237" s="179">
        <f>SUMIFS('recurring2_based on steps'!$B237:$AY237,'recurring2_based on steps'!$B$1:$AY$1,Z$1)+SUMIFS('changes2_based on steps'!$B237:$U237,'changes2_based on steps'!$B$1:$U$1,Z$1)</f>
        <v>0</v>
      </c>
      <c r="AA237" s="179">
        <f>SUMIFS('recurring2_based on steps'!$B237:$AY237,'recurring2_based on steps'!$B$1:$AY$1,AA$1)+SUMIFS('changes2_based on steps'!$B237:$U237,'changes2_based on steps'!$B$1:$U$1,AA$1)</f>
        <v>0</v>
      </c>
      <c r="AB237" s="179">
        <f>SUMIFS('recurring2_based on steps'!$B237:$AY237,'recurring2_based on steps'!$B$1:$AY$1,AB$1)+SUMIFS('changes2_based on steps'!$B237:$U237,'changes2_based on steps'!$B$1:$U$1,AB$1)</f>
        <v>0</v>
      </c>
      <c r="AC237" s="179">
        <f>SUMIFS('recurring2_based on steps'!$B237:$AY237,'recurring2_based on steps'!$B$1:$AY$1,AC$1)+SUMIFS('changes2_based on steps'!$B237:$U237,'changes2_based on steps'!$B$1:$U$1,AC$1)</f>
        <v>0</v>
      </c>
      <c r="AD237" s="179">
        <f>SUMIFS('recurring2_based on steps'!$B237:$AY237,'recurring2_based on steps'!$B$1:$AY$1,AD$1)+SUMIFS('changes2_based on steps'!$B237:$U237,'changes2_based on steps'!$B$1:$U$1,AD$1)</f>
        <v>0</v>
      </c>
      <c r="AE237" s="179">
        <f>SUMIFS('recurring2_based on steps'!$B237:$AY237,'recurring2_based on steps'!$B$1:$AY$1,AE$1)+SUMIFS('changes2_based on steps'!$B237:$U237,'changes2_based on steps'!$B$1:$U$1,AE$1)</f>
        <v>0</v>
      </c>
      <c r="AF237" s="179"/>
      <c r="AG237" s="179"/>
      <c r="AH237" s="179"/>
      <c r="AI237" s="179"/>
      <c r="AJ237" s="179"/>
      <c r="AK237" s="179"/>
      <c r="AL237" s="179"/>
      <c r="AM237" s="179"/>
    </row>
    <row r="238" spans="1:39" x14ac:dyDescent="0.2">
      <c r="A238" s="32">
        <f t="shared" ca="1" si="3"/>
        <v>45980</v>
      </c>
      <c r="B238" s="179">
        <f>SUMIFS('recurring2_based on steps'!$B238:$AY238,'recurring2_based on steps'!$B$1:$AY$1,B$1)+SUMIFS('changes2_based on steps'!$B238:$U238,'changes2_based on steps'!$B$1:$U$1,B$1)</f>
        <v>0</v>
      </c>
      <c r="C238" s="179">
        <f>SUMIFS('recurring2_based on steps'!$B238:$AY238,'recurring2_based on steps'!$B$1:$AY$1,C$1)+SUMIFS('changes2_based on steps'!$B238:$U238,'changes2_based on steps'!$B$1:$U$1,C$1)</f>
        <v>0</v>
      </c>
      <c r="D238" s="179">
        <f>SUMIFS('recurring2_based on steps'!$B238:$AY238,'recurring2_based on steps'!$B$1:$AY$1,D$1)+SUMIFS('changes2_based on steps'!$B238:$U238,'changes2_based on steps'!$B$1:$U$1,D$1)</f>
        <v>0</v>
      </c>
      <c r="E238" s="179">
        <f>SUMIFS('recurring2_based on steps'!$B238:$AY238,'recurring2_based on steps'!$B$1:$AY$1,E$1)+SUMIFS('changes2_based on steps'!$B238:$U238,'changes2_based on steps'!$B$1:$U$1,E$1)</f>
        <v>0</v>
      </c>
      <c r="F238" s="179">
        <f>SUMIFS('recurring2_based on steps'!$B238:$AY238,'recurring2_based on steps'!$B$1:$AY$1,F$1)+SUMIFS('changes2_based on steps'!$B238:$U238,'changes2_based on steps'!$B$1:$U$1,F$1)</f>
        <v>0</v>
      </c>
      <c r="G238" s="179">
        <f>SUMIFS('recurring2_based on steps'!$B238:$AY238,'recurring2_based on steps'!$B$1:$AY$1,G$1)+SUMIFS('changes2_based on steps'!$B238:$U238,'changes2_based on steps'!$B$1:$U$1,G$1)</f>
        <v>0</v>
      </c>
      <c r="H238" s="179">
        <f>SUMIFS('recurring2_based on steps'!$B238:$AY238,'recurring2_based on steps'!$B$1:$AY$1,H$1)+SUMIFS('changes2_based on steps'!$B238:$U238,'changes2_based on steps'!$B$1:$U$1,H$1)</f>
        <v>0</v>
      </c>
      <c r="I238" s="179">
        <f>SUMIFS('recurring2_based on steps'!$B238:$AY238,'recurring2_based on steps'!$B$1:$AY$1,I$1)+SUMIFS('changes2_based on steps'!$B238:$U238,'changes2_based on steps'!$B$1:$U$1,I$1)</f>
        <v>0</v>
      </c>
      <c r="J238" s="179">
        <f>SUMIFS('recurring2_based on steps'!$B238:$AY238,'recurring2_based on steps'!$B$1:$AY$1,J$1)+SUMIFS('changes2_based on steps'!$B238:$U238,'changes2_based on steps'!$B$1:$U$1,J$1)</f>
        <v>0</v>
      </c>
      <c r="K238" s="179">
        <f>SUMIFS('recurring2_based on steps'!$B238:$AY238,'recurring2_based on steps'!$B$1:$AY$1,K$1)+SUMIFS('changes2_based on steps'!$B238:$U238,'changes2_based on steps'!$B$1:$U$1,K$1)</f>
        <v>0</v>
      </c>
      <c r="L238" s="179">
        <f>SUMIFS('recurring2_based on steps'!$B238:$AY238,'recurring2_based on steps'!$B$1:$AY$1,L$1)+SUMIFS('changes2_based on steps'!$B238:$U238,'changes2_based on steps'!$B$1:$U$1,L$1)</f>
        <v>0</v>
      </c>
      <c r="M238" s="179">
        <f>SUMIFS('recurring2_based on steps'!$B238:$AY238,'recurring2_based on steps'!$B$1:$AY$1,M$1)+SUMIFS('changes2_based on steps'!$B238:$U238,'changes2_based on steps'!$B$1:$U$1,M$1)</f>
        <v>0</v>
      </c>
      <c r="N238" s="179">
        <f>SUMIFS('recurring2_based on steps'!$B238:$AY238,'recurring2_based on steps'!$B$1:$AY$1,N$1)+SUMIFS('changes2_based on steps'!$B238:$U238,'changes2_based on steps'!$B$1:$U$1,N$1)</f>
        <v>0</v>
      </c>
      <c r="O238" s="179">
        <f>SUMIFS('recurring2_based on steps'!$B238:$AY238,'recurring2_based on steps'!$B$1:$AY$1,O$1)+SUMIFS('changes2_based on steps'!$B238:$U238,'changes2_based on steps'!$B$1:$U$1,O$1)</f>
        <v>0</v>
      </c>
      <c r="P238" s="179">
        <f>SUMIFS('recurring2_based on steps'!$B238:$AY238,'recurring2_based on steps'!$B$1:$AY$1,P$1)+SUMIFS('changes2_based on steps'!$B238:$U238,'changes2_based on steps'!$B$1:$U$1,P$1)</f>
        <v>0</v>
      </c>
      <c r="Q238" s="179">
        <f>SUMIFS('recurring2_based on steps'!$B238:$AY238,'recurring2_based on steps'!$B$1:$AY$1,Q$1)+SUMIFS('changes2_based on steps'!$B238:$U238,'changes2_based on steps'!$B$1:$U$1,Q$1)</f>
        <v>0</v>
      </c>
      <c r="R238" s="179">
        <f>SUMIFS('recurring2_based on steps'!$B238:$AY238,'recurring2_based on steps'!$B$1:$AY$1,R$1)+SUMIFS('changes2_based on steps'!$B238:$U238,'changes2_based on steps'!$B$1:$U$1,R$1)</f>
        <v>0</v>
      </c>
      <c r="S238" s="179">
        <f>SUMIFS('recurring2_based on steps'!$B238:$AY238,'recurring2_based on steps'!$B$1:$AY$1,S$1)+SUMIFS('changes2_based on steps'!$B238:$U238,'changes2_based on steps'!$B$1:$U$1,S$1)</f>
        <v>0</v>
      </c>
      <c r="T238" s="179">
        <f>SUMIFS('recurring2_based on steps'!$B238:$AY238,'recurring2_based on steps'!$B$1:$AY$1,T$1)+SUMIFS('changes2_based on steps'!$B238:$U238,'changes2_based on steps'!$B$1:$U$1,T$1)</f>
        <v>0</v>
      </c>
      <c r="U238" s="179">
        <f>SUMIFS('recurring2_based on steps'!$B238:$AY238,'recurring2_based on steps'!$B$1:$AY$1,U$1)+SUMIFS('changes2_based on steps'!$B238:$U238,'changes2_based on steps'!$B$1:$U$1,U$1)</f>
        <v>0</v>
      </c>
      <c r="V238" s="179">
        <f>SUMIFS('recurring2_based on steps'!$B238:$AY238,'recurring2_based on steps'!$B$1:$AY$1,V$1)+SUMIFS('changes2_based on steps'!$B238:$U238,'changes2_based on steps'!$B$1:$U$1,V$1)</f>
        <v>0</v>
      </c>
      <c r="W238" s="179">
        <f>SUMIFS('recurring2_based on steps'!$B238:$AY238,'recurring2_based on steps'!$B$1:$AY$1,W$1)+SUMIFS('changes2_based on steps'!$B238:$U238,'changes2_based on steps'!$B$1:$U$1,W$1)</f>
        <v>0</v>
      </c>
      <c r="X238" s="179">
        <f>SUMIFS('recurring2_based on steps'!$B238:$AY238,'recurring2_based on steps'!$B$1:$AY$1,X$1)+SUMIFS('changes2_based on steps'!$B238:$U238,'changes2_based on steps'!$B$1:$U$1,X$1)</f>
        <v>0</v>
      </c>
      <c r="Y238" s="179">
        <f>SUMIFS('recurring2_based on steps'!$B238:$AY238,'recurring2_based on steps'!$B$1:$AY$1,Y$1)+SUMIFS('changes2_based on steps'!$B238:$U238,'changes2_based on steps'!$B$1:$U$1,Y$1)</f>
        <v>0</v>
      </c>
      <c r="Z238" s="179">
        <f>SUMIFS('recurring2_based on steps'!$B238:$AY238,'recurring2_based on steps'!$B$1:$AY$1,Z$1)+SUMIFS('changes2_based on steps'!$B238:$U238,'changes2_based on steps'!$B$1:$U$1,Z$1)</f>
        <v>0</v>
      </c>
      <c r="AA238" s="179">
        <f>SUMIFS('recurring2_based on steps'!$B238:$AY238,'recurring2_based on steps'!$B$1:$AY$1,AA$1)+SUMIFS('changes2_based on steps'!$B238:$U238,'changes2_based on steps'!$B$1:$U$1,AA$1)</f>
        <v>0</v>
      </c>
      <c r="AB238" s="179">
        <f>SUMIFS('recurring2_based on steps'!$B238:$AY238,'recurring2_based on steps'!$B$1:$AY$1,AB$1)+SUMIFS('changes2_based on steps'!$B238:$U238,'changes2_based on steps'!$B$1:$U$1,AB$1)</f>
        <v>0</v>
      </c>
      <c r="AC238" s="179">
        <f>SUMIFS('recurring2_based on steps'!$B238:$AY238,'recurring2_based on steps'!$B$1:$AY$1,AC$1)+SUMIFS('changes2_based on steps'!$B238:$U238,'changes2_based on steps'!$B$1:$U$1,AC$1)</f>
        <v>0</v>
      </c>
      <c r="AD238" s="179">
        <f>SUMIFS('recurring2_based on steps'!$B238:$AY238,'recurring2_based on steps'!$B$1:$AY$1,AD$1)+SUMIFS('changes2_based on steps'!$B238:$U238,'changes2_based on steps'!$B$1:$U$1,AD$1)</f>
        <v>0</v>
      </c>
      <c r="AE238" s="179">
        <f>SUMIFS('recurring2_based on steps'!$B238:$AY238,'recurring2_based on steps'!$B$1:$AY$1,AE$1)+SUMIFS('changes2_based on steps'!$B238:$U238,'changes2_based on steps'!$B$1:$U$1,AE$1)</f>
        <v>0</v>
      </c>
      <c r="AF238" s="179"/>
      <c r="AG238" s="179"/>
      <c r="AH238" s="179"/>
      <c r="AI238" s="179"/>
      <c r="AJ238" s="179"/>
      <c r="AK238" s="179"/>
      <c r="AL238" s="179"/>
      <c r="AM238" s="179"/>
    </row>
    <row r="239" spans="1:39" x14ac:dyDescent="0.2">
      <c r="A239" s="32">
        <f t="shared" ca="1" si="3"/>
        <v>45981</v>
      </c>
      <c r="B239" s="179">
        <f>SUMIFS('recurring2_based on steps'!$B239:$AY239,'recurring2_based on steps'!$B$1:$AY$1,B$1)+SUMIFS('changes2_based on steps'!$B239:$U239,'changes2_based on steps'!$B$1:$U$1,B$1)</f>
        <v>0</v>
      </c>
      <c r="C239" s="179">
        <f>SUMIFS('recurring2_based on steps'!$B239:$AY239,'recurring2_based on steps'!$B$1:$AY$1,C$1)+SUMIFS('changes2_based on steps'!$B239:$U239,'changes2_based on steps'!$B$1:$U$1,C$1)</f>
        <v>0</v>
      </c>
      <c r="D239" s="179">
        <f>SUMIFS('recurring2_based on steps'!$B239:$AY239,'recurring2_based on steps'!$B$1:$AY$1,D$1)+SUMIFS('changes2_based on steps'!$B239:$U239,'changes2_based on steps'!$B$1:$U$1,D$1)</f>
        <v>0</v>
      </c>
      <c r="E239" s="179">
        <f>SUMIFS('recurring2_based on steps'!$B239:$AY239,'recurring2_based on steps'!$B$1:$AY$1,E$1)+SUMIFS('changes2_based on steps'!$B239:$U239,'changes2_based on steps'!$B$1:$U$1,E$1)</f>
        <v>0</v>
      </c>
      <c r="F239" s="179">
        <f>SUMIFS('recurring2_based on steps'!$B239:$AY239,'recurring2_based on steps'!$B$1:$AY$1,F$1)+SUMIFS('changes2_based on steps'!$B239:$U239,'changes2_based on steps'!$B$1:$U$1,F$1)</f>
        <v>0</v>
      </c>
      <c r="G239" s="179">
        <f>SUMIFS('recurring2_based on steps'!$B239:$AY239,'recurring2_based on steps'!$B$1:$AY$1,G$1)+SUMIFS('changes2_based on steps'!$B239:$U239,'changes2_based on steps'!$B$1:$U$1,G$1)</f>
        <v>0</v>
      </c>
      <c r="H239" s="179">
        <f>SUMIFS('recurring2_based on steps'!$B239:$AY239,'recurring2_based on steps'!$B$1:$AY$1,H$1)+SUMIFS('changes2_based on steps'!$B239:$U239,'changes2_based on steps'!$B$1:$U$1,H$1)</f>
        <v>0</v>
      </c>
      <c r="I239" s="179">
        <f>SUMIFS('recurring2_based on steps'!$B239:$AY239,'recurring2_based on steps'!$B$1:$AY$1,I$1)+SUMIFS('changes2_based on steps'!$B239:$U239,'changes2_based on steps'!$B$1:$U$1,I$1)</f>
        <v>0</v>
      </c>
      <c r="J239" s="179">
        <f>SUMIFS('recurring2_based on steps'!$B239:$AY239,'recurring2_based on steps'!$B$1:$AY$1,J$1)+SUMIFS('changes2_based on steps'!$B239:$U239,'changes2_based on steps'!$B$1:$U$1,J$1)</f>
        <v>0</v>
      </c>
      <c r="K239" s="179">
        <f>SUMIFS('recurring2_based on steps'!$B239:$AY239,'recurring2_based on steps'!$B$1:$AY$1,K$1)+SUMIFS('changes2_based on steps'!$B239:$U239,'changes2_based on steps'!$B$1:$U$1,K$1)</f>
        <v>0</v>
      </c>
      <c r="L239" s="179">
        <f>SUMIFS('recurring2_based on steps'!$B239:$AY239,'recurring2_based on steps'!$B$1:$AY$1,L$1)+SUMIFS('changes2_based on steps'!$B239:$U239,'changes2_based on steps'!$B$1:$U$1,L$1)</f>
        <v>0</v>
      </c>
      <c r="M239" s="179">
        <f>SUMIFS('recurring2_based on steps'!$B239:$AY239,'recurring2_based on steps'!$B$1:$AY$1,M$1)+SUMIFS('changes2_based on steps'!$B239:$U239,'changes2_based on steps'!$B$1:$U$1,M$1)</f>
        <v>0</v>
      </c>
      <c r="N239" s="179">
        <f>SUMIFS('recurring2_based on steps'!$B239:$AY239,'recurring2_based on steps'!$B$1:$AY$1,N$1)+SUMIFS('changes2_based on steps'!$B239:$U239,'changes2_based on steps'!$B$1:$U$1,N$1)</f>
        <v>0</v>
      </c>
      <c r="O239" s="179">
        <f>SUMIFS('recurring2_based on steps'!$B239:$AY239,'recurring2_based on steps'!$B$1:$AY$1,O$1)+SUMIFS('changes2_based on steps'!$B239:$U239,'changes2_based on steps'!$B$1:$U$1,O$1)</f>
        <v>0</v>
      </c>
      <c r="P239" s="179">
        <f>SUMIFS('recurring2_based on steps'!$B239:$AY239,'recurring2_based on steps'!$B$1:$AY$1,P$1)+SUMIFS('changes2_based on steps'!$B239:$U239,'changes2_based on steps'!$B$1:$U$1,P$1)</f>
        <v>0</v>
      </c>
      <c r="Q239" s="179">
        <f>SUMIFS('recurring2_based on steps'!$B239:$AY239,'recurring2_based on steps'!$B$1:$AY$1,Q$1)+SUMIFS('changes2_based on steps'!$B239:$U239,'changes2_based on steps'!$B$1:$U$1,Q$1)</f>
        <v>0</v>
      </c>
      <c r="R239" s="179">
        <f>SUMIFS('recurring2_based on steps'!$B239:$AY239,'recurring2_based on steps'!$B$1:$AY$1,R$1)+SUMIFS('changes2_based on steps'!$B239:$U239,'changes2_based on steps'!$B$1:$U$1,R$1)</f>
        <v>0</v>
      </c>
      <c r="S239" s="179">
        <f>SUMIFS('recurring2_based on steps'!$B239:$AY239,'recurring2_based on steps'!$B$1:$AY$1,S$1)+SUMIFS('changes2_based on steps'!$B239:$U239,'changes2_based on steps'!$B$1:$U$1,S$1)</f>
        <v>0</v>
      </c>
      <c r="T239" s="179">
        <f>SUMIFS('recurring2_based on steps'!$B239:$AY239,'recurring2_based on steps'!$B$1:$AY$1,T$1)+SUMIFS('changes2_based on steps'!$B239:$U239,'changes2_based on steps'!$B$1:$U$1,T$1)</f>
        <v>0</v>
      </c>
      <c r="U239" s="179">
        <f>SUMIFS('recurring2_based on steps'!$B239:$AY239,'recurring2_based on steps'!$B$1:$AY$1,U$1)+SUMIFS('changes2_based on steps'!$B239:$U239,'changes2_based on steps'!$B$1:$U$1,U$1)</f>
        <v>0</v>
      </c>
      <c r="V239" s="179">
        <f>SUMIFS('recurring2_based on steps'!$B239:$AY239,'recurring2_based on steps'!$B$1:$AY$1,V$1)+SUMIFS('changes2_based on steps'!$B239:$U239,'changes2_based on steps'!$B$1:$U$1,V$1)</f>
        <v>0</v>
      </c>
      <c r="W239" s="179">
        <f>SUMIFS('recurring2_based on steps'!$B239:$AY239,'recurring2_based on steps'!$B$1:$AY$1,W$1)+SUMIFS('changes2_based on steps'!$B239:$U239,'changes2_based on steps'!$B$1:$U$1,W$1)</f>
        <v>0</v>
      </c>
      <c r="X239" s="179">
        <f>SUMIFS('recurring2_based on steps'!$B239:$AY239,'recurring2_based on steps'!$B$1:$AY$1,X$1)+SUMIFS('changes2_based on steps'!$B239:$U239,'changes2_based on steps'!$B$1:$U$1,X$1)</f>
        <v>0</v>
      </c>
      <c r="Y239" s="179">
        <f>SUMIFS('recurring2_based on steps'!$B239:$AY239,'recurring2_based on steps'!$B$1:$AY$1,Y$1)+SUMIFS('changes2_based on steps'!$B239:$U239,'changes2_based on steps'!$B$1:$U$1,Y$1)</f>
        <v>0</v>
      </c>
      <c r="Z239" s="179">
        <f>SUMIFS('recurring2_based on steps'!$B239:$AY239,'recurring2_based on steps'!$B$1:$AY$1,Z$1)+SUMIFS('changes2_based on steps'!$B239:$U239,'changes2_based on steps'!$B$1:$U$1,Z$1)</f>
        <v>0</v>
      </c>
      <c r="AA239" s="179">
        <f>SUMIFS('recurring2_based on steps'!$B239:$AY239,'recurring2_based on steps'!$B$1:$AY$1,AA$1)+SUMIFS('changes2_based on steps'!$B239:$U239,'changes2_based on steps'!$B$1:$U$1,AA$1)</f>
        <v>0</v>
      </c>
      <c r="AB239" s="179">
        <f>SUMIFS('recurring2_based on steps'!$B239:$AY239,'recurring2_based on steps'!$B$1:$AY$1,AB$1)+SUMIFS('changes2_based on steps'!$B239:$U239,'changes2_based on steps'!$B$1:$U$1,AB$1)</f>
        <v>0</v>
      </c>
      <c r="AC239" s="179">
        <f>SUMIFS('recurring2_based on steps'!$B239:$AY239,'recurring2_based on steps'!$B$1:$AY$1,AC$1)+SUMIFS('changes2_based on steps'!$B239:$U239,'changes2_based on steps'!$B$1:$U$1,AC$1)</f>
        <v>0</v>
      </c>
      <c r="AD239" s="179">
        <f>SUMIFS('recurring2_based on steps'!$B239:$AY239,'recurring2_based on steps'!$B$1:$AY$1,AD$1)+SUMIFS('changes2_based on steps'!$B239:$U239,'changes2_based on steps'!$B$1:$U$1,AD$1)</f>
        <v>0</v>
      </c>
      <c r="AE239" s="179">
        <f>SUMIFS('recurring2_based on steps'!$B239:$AY239,'recurring2_based on steps'!$B$1:$AY$1,AE$1)+SUMIFS('changes2_based on steps'!$B239:$U239,'changes2_based on steps'!$B$1:$U$1,AE$1)</f>
        <v>0</v>
      </c>
      <c r="AF239" s="179"/>
      <c r="AG239" s="179"/>
      <c r="AH239" s="179"/>
      <c r="AI239" s="179"/>
      <c r="AJ239" s="179"/>
      <c r="AK239" s="179"/>
      <c r="AL239" s="179"/>
      <c r="AM239" s="179"/>
    </row>
    <row r="240" spans="1:39" x14ac:dyDescent="0.2">
      <c r="A240" s="32">
        <f t="shared" ca="1" si="3"/>
        <v>45982</v>
      </c>
      <c r="B240" s="179">
        <f>SUMIFS('recurring2_based on steps'!$B240:$AY240,'recurring2_based on steps'!$B$1:$AY$1,B$1)+SUMIFS('changes2_based on steps'!$B240:$U240,'changes2_based on steps'!$B$1:$U$1,B$1)</f>
        <v>0</v>
      </c>
      <c r="C240" s="179">
        <f>SUMIFS('recurring2_based on steps'!$B240:$AY240,'recurring2_based on steps'!$B$1:$AY$1,C$1)+SUMIFS('changes2_based on steps'!$B240:$U240,'changes2_based on steps'!$B$1:$U$1,C$1)</f>
        <v>0</v>
      </c>
      <c r="D240" s="179">
        <f>SUMIFS('recurring2_based on steps'!$B240:$AY240,'recurring2_based on steps'!$B$1:$AY$1,D$1)+SUMIFS('changes2_based on steps'!$B240:$U240,'changes2_based on steps'!$B$1:$U$1,D$1)</f>
        <v>0</v>
      </c>
      <c r="E240" s="179">
        <f>SUMIFS('recurring2_based on steps'!$B240:$AY240,'recurring2_based on steps'!$B$1:$AY$1,E$1)+SUMIFS('changes2_based on steps'!$B240:$U240,'changes2_based on steps'!$B$1:$U$1,E$1)</f>
        <v>0</v>
      </c>
      <c r="F240" s="179">
        <f>SUMIFS('recurring2_based on steps'!$B240:$AY240,'recurring2_based on steps'!$B$1:$AY$1,F$1)+SUMIFS('changes2_based on steps'!$B240:$U240,'changes2_based on steps'!$B$1:$U$1,F$1)</f>
        <v>0</v>
      </c>
      <c r="G240" s="179">
        <f>SUMIFS('recurring2_based on steps'!$B240:$AY240,'recurring2_based on steps'!$B$1:$AY$1,G$1)+SUMIFS('changes2_based on steps'!$B240:$U240,'changes2_based on steps'!$B$1:$U$1,G$1)</f>
        <v>0</v>
      </c>
      <c r="H240" s="179">
        <f>SUMIFS('recurring2_based on steps'!$B240:$AY240,'recurring2_based on steps'!$B$1:$AY$1,H$1)+SUMIFS('changes2_based on steps'!$B240:$U240,'changes2_based on steps'!$B$1:$U$1,H$1)</f>
        <v>0</v>
      </c>
      <c r="I240" s="179">
        <f>SUMIFS('recurring2_based on steps'!$B240:$AY240,'recurring2_based on steps'!$B$1:$AY$1,I$1)+SUMIFS('changes2_based on steps'!$B240:$U240,'changes2_based on steps'!$B$1:$U$1,I$1)</f>
        <v>0</v>
      </c>
      <c r="J240" s="179">
        <f>SUMIFS('recurring2_based on steps'!$B240:$AY240,'recurring2_based on steps'!$B$1:$AY$1,J$1)+SUMIFS('changes2_based on steps'!$B240:$U240,'changes2_based on steps'!$B$1:$U$1,J$1)</f>
        <v>0</v>
      </c>
      <c r="K240" s="179">
        <f>SUMIFS('recurring2_based on steps'!$B240:$AY240,'recurring2_based on steps'!$B$1:$AY$1,K$1)+SUMIFS('changes2_based on steps'!$B240:$U240,'changes2_based on steps'!$B$1:$U$1,K$1)</f>
        <v>0</v>
      </c>
      <c r="L240" s="179">
        <f>SUMIFS('recurring2_based on steps'!$B240:$AY240,'recurring2_based on steps'!$B$1:$AY$1,L$1)+SUMIFS('changes2_based on steps'!$B240:$U240,'changes2_based on steps'!$B$1:$U$1,L$1)</f>
        <v>0</v>
      </c>
      <c r="M240" s="179">
        <f>SUMIFS('recurring2_based on steps'!$B240:$AY240,'recurring2_based on steps'!$B$1:$AY$1,M$1)+SUMIFS('changes2_based on steps'!$B240:$U240,'changes2_based on steps'!$B$1:$U$1,M$1)</f>
        <v>0</v>
      </c>
      <c r="N240" s="179">
        <f>SUMIFS('recurring2_based on steps'!$B240:$AY240,'recurring2_based on steps'!$B$1:$AY$1,N$1)+SUMIFS('changes2_based on steps'!$B240:$U240,'changes2_based on steps'!$B$1:$U$1,N$1)</f>
        <v>0</v>
      </c>
      <c r="O240" s="179">
        <f>SUMIFS('recurring2_based on steps'!$B240:$AY240,'recurring2_based on steps'!$B$1:$AY$1,O$1)+SUMIFS('changes2_based on steps'!$B240:$U240,'changes2_based on steps'!$B$1:$U$1,O$1)</f>
        <v>0</v>
      </c>
      <c r="P240" s="179">
        <f>SUMIFS('recurring2_based on steps'!$B240:$AY240,'recurring2_based on steps'!$B$1:$AY$1,P$1)+SUMIFS('changes2_based on steps'!$B240:$U240,'changes2_based on steps'!$B$1:$U$1,P$1)</f>
        <v>0</v>
      </c>
      <c r="Q240" s="179">
        <f>SUMIFS('recurring2_based on steps'!$B240:$AY240,'recurring2_based on steps'!$B$1:$AY$1,Q$1)+SUMIFS('changes2_based on steps'!$B240:$U240,'changes2_based on steps'!$B$1:$U$1,Q$1)</f>
        <v>0</v>
      </c>
      <c r="R240" s="179">
        <f>SUMIFS('recurring2_based on steps'!$B240:$AY240,'recurring2_based on steps'!$B$1:$AY$1,R$1)+SUMIFS('changes2_based on steps'!$B240:$U240,'changes2_based on steps'!$B$1:$U$1,R$1)</f>
        <v>0</v>
      </c>
      <c r="S240" s="179">
        <f>SUMIFS('recurring2_based on steps'!$B240:$AY240,'recurring2_based on steps'!$B$1:$AY$1,S$1)+SUMIFS('changes2_based on steps'!$B240:$U240,'changes2_based on steps'!$B$1:$U$1,S$1)</f>
        <v>0</v>
      </c>
      <c r="T240" s="179">
        <f>SUMIFS('recurring2_based on steps'!$B240:$AY240,'recurring2_based on steps'!$B$1:$AY$1,T$1)+SUMIFS('changes2_based on steps'!$B240:$U240,'changes2_based on steps'!$B$1:$U$1,T$1)</f>
        <v>0</v>
      </c>
      <c r="U240" s="179">
        <f>SUMIFS('recurring2_based on steps'!$B240:$AY240,'recurring2_based on steps'!$B$1:$AY$1,U$1)+SUMIFS('changes2_based on steps'!$B240:$U240,'changes2_based on steps'!$B$1:$U$1,U$1)</f>
        <v>0</v>
      </c>
      <c r="V240" s="179">
        <f>SUMIFS('recurring2_based on steps'!$B240:$AY240,'recurring2_based on steps'!$B$1:$AY$1,V$1)+SUMIFS('changes2_based on steps'!$B240:$U240,'changes2_based on steps'!$B$1:$U$1,V$1)</f>
        <v>0</v>
      </c>
      <c r="W240" s="179">
        <f>SUMIFS('recurring2_based on steps'!$B240:$AY240,'recurring2_based on steps'!$B$1:$AY$1,W$1)+SUMIFS('changes2_based on steps'!$B240:$U240,'changes2_based on steps'!$B$1:$U$1,W$1)</f>
        <v>0</v>
      </c>
      <c r="X240" s="179">
        <f>SUMIFS('recurring2_based on steps'!$B240:$AY240,'recurring2_based on steps'!$B$1:$AY$1,X$1)+SUMIFS('changes2_based on steps'!$B240:$U240,'changes2_based on steps'!$B$1:$U$1,X$1)</f>
        <v>0</v>
      </c>
      <c r="Y240" s="179">
        <f>SUMIFS('recurring2_based on steps'!$B240:$AY240,'recurring2_based on steps'!$B$1:$AY$1,Y$1)+SUMIFS('changes2_based on steps'!$B240:$U240,'changes2_based on steps'!$B$1:$U$1,Y$1)</f>
        <v>0</v>
      </c>
      <c r="Z240" s="179">
        <f>SUMIFS('recurring2_based on steps'!$B240:$AY240,'recurring2_based on steps'!$B$1:$AY$1,Z$1)+SUMIFS('changes2_based on steps'!$B240:$U240,'changes2_based on steps'!$B$1:$U$1,Z$1)</f>
        <v>0</v>
      </c>
      <c r="AA240" s="179">
        <f>SUMIFS('recurring2_based on steps'!$B240:$AY240,'recurring2_based on steps'!$B$1:$AY$1,AA$1)+SUMIFS('changes2_based on steps'!$B240:$U240,'changes2_based on steps'!$B$1:$U$1,AA$1)</f>
        <v>0</v>
      </c>
      <c r="AB240" s="179">
        <f>SUMIFS('recurring2_based on steps'!$B240:$AY240,'recurring2_based on steps'!$B$1:$AY$1,AB$1)+SUMIFS('changes2_based on steps'!$B240:$U240,'changes2_based on steps'!$B$1:$U$1,AB$1)</f>
        <v>0</v>
      </c>
      <c r="AC240" s="179">
        <f>SUMIFS('recurring2_based on steps'!$B240:$AY240,'recurring2_based on steps'!$B$1:$AY$1,AC$1)+SUMIFS('changes2_based on steps'!$B240:$U240,'changes2_based on steps'!$B$1:$U$1,AC$1)</f>
        <v>0</v>
      </c>
      <c r="AD240" s="179">
        <f>SUMIFS('recurring2_based on steps'!$B240:$AY240,'recurring2_based on steps'!$B$1:$AY$1,AD$1)+SUMIFS('changes2_based on steps'!$B240:$U240,'changes2_based on steps'!$B$1:$U$1,AD$1)</f>
        <v>0</v>
      </c>
      <c r="AE240" s="179">
        <f>SUMIFS('recurring2_based on steps'!$B240:$AY240,'recurring2_based on steps'!$B$1:$AY$1,AE$1)+SUMIFS('changes2_based on steps'!$B240:$U240,'changes2_based on steps'!$B$1:$U$1,AE$1)</f>
        <v>0</v>
      </c>
      <c r="AF240" s="179"/>
      <c r="AG240" s="179"/>
      <c r="AH240" s="179"/>
      <c r="AI240" s="179"/>
      <c r="AJ240" s="179"/>
      <c r="AK240" s="179"/>
      <c r="AL240" s="179"/>
      <c r="AM240" s="179"/>
    </row>
    <row r="241" spans="1:39" x14ac:dyDescent="0.2">
      <c r="A241" s="32">
        <f t="shared" ca="1" si="3"/>
        <v>45983</v>
      </c>
      <c r="B241" s="179">
        <f>SUMIFS('recurring2_based on steps'!$B241:$AY241,'recurring2_based on steps'!$B$1:$AY$1,B$1)+SUMIFS('changes2_based on steps'!$B241:$U241,'changes2_based on steps'!$B$1:$U$1,B$1)</f>
        <v>0</v>
      </c>
      <c r="C241" s="179">
        <f>SUMIFS('recurring2_based on steps'!$B241:$AY241,'recurring2_based on steps'!$B$1:$AY$1,C$1)+SUMIFS('changes2_based on steps'!$B241:$U241,'changes2_based on steps'!$B$1:$U$1,C$1)</f>
        <v>0</v>
      </c>
      <c r="D241" s="179">
        <f>SUMIFS('recurring2_based on steps'!$B241:$AY241,'recurring2_based on steps'!$B$1:$AY$1,D$1)+SUMIFS('changes2_based on steps'!$B241:$U241,'changes2_based on steps'!$B$1:$U$1,D$1)</f>
        <v>0</v>
      </c>
      <c r="E241" s="179">
        <f>SUMIFS('recurring2_based on steps'!$B241:$AY241,'recurring2_based on steps'!$B$1:$AY$1,E$1)+SUMIFS('changes2_based on steps'!$B241:$U241,'changes2_based on steps'!$B$1:$U$1,E$1)</f>
        <v>0</v>
      </c>
      <c r="F241" s="179">
        <f>SUMIFS('recurring2_based on steps'!$B241:$AY241,'recurring2_based on steps'!$B$1:$AY$1,F$1)+SUMIFS('changes2_based on steps'!$B241:$U241,'changes2_based on steps'!$B$1:$U$1,F$1)</f>
        <v>0</v>
      </c>
      <c r="G241" s="179">
        <f>SUMIFS('recurring2_based on steps'!$B241:$AY241,'recurring2_based on steps'!$B$1:$AY$1,G$1)+SUMIFS('changes2_based on steps'!$B241:$U241,'changes2_based on steps'!$B$1:$U$1,G$1)</f>
        <v>0</v>
      </c>
      <c r="H241" s="179">
        <f>SUMIFS('recurring2_based on steps'!$B241:$AY241,'recurring2_based on steps'!$B$1:$AY$1,H$1)+SUMIFS('changes2_based on steps'!$B241:$U241,'changes2_based on steps'!$B$1:$U$1,H$1)</f>
        <v>0</v>
      </c>
      <c r="I241" s="179">
        <f>SUMIFS('recurring2_based on steps'!$B241:$AY241,'recurring2_based on steps'!$B$1:$AY$1,I$1)+SUMIFS('changes2_based on steps'!$B241:$U241,'changes2_based on steps'!$B$1:$U$1,I$1)</f>
        <v>0</v>
      </c>
      <c r="J241" s="179">
        <f>SUMIFS('recurring2_based on steps'!$B241:$AY241,'recurring2_based on steps'!$B$1:$AY$1,J$1)+SUMIFS('changes2_based on steps'!$B241:$U241,'changes2_based on steps'!$B$1:$U$1,J$1)</f>
        <v>0</v>
      </c>
      <c r="K241" s="179">
        <f>SUMIFS('recurring2_based on steps'!$B241:$AY241,'recurring2_based on steps'!$B$1:$AY$1,K$1)+SUMIFS('changes2_based on steps'!$B241:$U241,'changes2_based on steps'!$B$1:$U$1,K$1)</f>
        <v>0</v>
      </c>
      <c r="L241" s="179">
        <f>SUMIFS('recurring2_based on steps'!$B241:$AY241,'recurring2_based on steps'!$B$1:$AY$1,L$1)+SUMIFS('changes2_based on steps'!$B241:$U241,'changes2_based on steps'!$B$1:$U$1,L$1)</f>
        <v>0</v>
      </c>
      <c r="M241" s="179">
        <f>SUMIFS('recurring2_based on steps'!$B241:$AY241,'recurring2_based on steps'!$B$1:$AY$1,M$1)+SUMIFS('changes2_based on steps'!$B241:$U241,'changes2_based on steps'!$B$1:$U$1,M$1)</f>
        <v>0</v>
      </c>
      <c r="N241" s="179">
        <f>SUMIFS('recurring2_based on steps'!$B241:$AY241,'recurring2_based on steps'!$B$1:$AY$1,N$1)+SUMIFS('changes2_based on steps'!$B241:$U241,'changes2_based on steps'!$B$1:$U$1,N$1)</f>
        <v>0</v>
      </c>
      <c r="O241" s="179">
        <f>SUMIFS('recurring2_based on steps'!$B241:$AY241,'recurring2_based on steps'!$B$1:$AY$1,O$1)+SUMIFS('changes2_based on steps'!$B241:$U241,'changes2_based on steps'!$B$1:$U$1,O$1)</f>
        <v>0</v>
      </c>
      <c r="P241" s="179">
        <f>SUMIFS('recurring2_based on steps'!$B241:$AY241,'recurring2_based on steps'!$B$1:$AY$1,P$1)+SUMIFS('changes2_based on steps'!$B241:$U241,'changes2_based on steps'!$B$1:$U$1,P$1)</f>
        <v>0</v>
      </c>
      <c r="Q241" s="179">
        <f>SUMIFS('recurring2_based on steps'!$B241:$AY241,'recurring2_based on steps'!$B$1:$AY$1,Q$1)+SUMIFS('changes2_based on steps'!$B241:$U241,'changes2_based on steps'!$B$1:$U$1,Q$1)</f>
        <v>0</v>
      </c>
      <c r="R241" s="179">
        <f>SUMIFS('recurring2_based on steps'!$B241:$AY241,'recurring2_based on steps'!$B$1:$AY$1,R$1)+SUMIFS('changes2_based on steps'!$B241:$U241,'changes2_based on steps'!$B$1:$U$1,R$1)</f>
        <v>0</v>
      </c>
      <c r="S241" s="179">
        <f>SUMIFS('recurring2_based on steps'!$B241:$AY241,'recurring2_based on steps'!$B$1:$AY$1,S$1)+SUMIFS('changes2_based on steps'!$B241:$U241,'changes2_based on steps'!$B$1:$U$1,S$1)</f>
        <v>0</v>
      </c>
      <c r="T241" s="179">
        <f>SUMIFS('recurring2_based on steps'!$B241:$AY241,'recurring2_based on steps'!$B$1:$AY$1,T$1)+SUMIFS('changes2_based on steps'!$B241:$U241,'changes2_based on steps'!$B$1:$U$1,T$1)</f>
        <v>0</v>
      </c>
      <c r="U241" s="179">
        <f>SUMIFS('recurring2_based on steps'!$B241:$AY241,'recurring2_based on steps'!$B$1:$AY$1,U$1)+SUMIFS('changes2_based on steps'!$B241:$U241,'changes2_based on steps'!$B$1:$U$1,U$1)</f>
        <v>0</v>
      </c>
      <c r="V241" s="179">
        <f>SUMIFS('recurring2_based on steps'!$B241:$AY241,'recurring2_based on steps'!$B$1:$AY$1,V$1)+SUMIFS('changes2_based on steps'!$B241:$U241,'changes2_based on steps'!$B$1:$U$1,V$1)</f>
        <v>0</v>
      </c>
      <c r="W241" s="179">
        <f>SUMIFS('recurring2_based on steps'!$B241:$AY241,'recurring2_based on steps'!$B$1:$AY$1,W$1)+SUMIFS('changes2_based on steps'!$B241:$U241,'changes2_based on steps'!$B$1:$U$1,W$1)</f>
        <v>0</v>
      </c>
      <c r="X241" s="179">
        <f>SUMIFS('recurring2_based on steps'!$B241:$AY241,'recurring2_based on steps'!$B$1:$AY$1,X$1)+SUMIFS('changes2_based on steps'!$B241:$U241,'changes2_based on steps'!$B$1:$U$1,X$1)</f>
        <v>0</v>
      </c>
      <c r="Y241" s="179">
        <f>SUMIFS('recurring2_based on steps'!$B241:$AY241,'recurring2_based on steps'!$B$1:$AY$1,Y$1)+SUMIFS('changes2_based on steps'!$B241:$U241,'changes2_based on steps'!$B$1:$U$1,Y$1)</f>
        <v>0</v>
      </c>
      <c r="Z241" s="179">
        <f>SUMIFS('recurring2_based on steps'!$B241:$AY241,'recurring2_based on steps'!$B$1:$AY$1,Z$1)+SUMIFS('changes2_based on steps'!$B241:$U241,'changes2_based on steps'!$B$1:$U$1,Z$1)</f>
        <v>0</v>
      </c>
      <c r="AA241" s="179">
        <f>SUMIFS('recurring2_based on steps'!$B241:$AY241,'recurring2_based on steps'!$B$1:$AY$1,AA$1)+SUMIFS('changes2_based on steps'!$B241:$U241,'changes2_based on steps'!$B$1:$U$1,AA$1)</f>
        <v>0</v>
      </c>
      <c r="AB241" s="179">
        <f>SUMIFS('recurring2_based on steps'!$B241:$AY241,'recurring2_based on steps'!$B$1:$AY$1,AB$1)+SUMIFS('changes2_based on steps'!$B241:$U241,'changes2_based on steps'!$B$1:$U$1,AB$1)</f>
        <v>0</v>
      </c>
      <c r="AC241" s="179">
        <f>SUMIFS('recurring2_based on steps'!$B241:$AY241,'recurring2_based on steps'!$B$1:$AY$1,AC$1)+SUMIFS('changes2_based on steps'!$B241:$U241,'changes2_based on steps'!$B$1:$U$1,AC$1)</f>
        <v>0</v>
      </c>
      <c r="AD241" s="179">
        <f>SUMIFS('recurring2_based on steps'!$B241:$AY241,'recurring2_based on steps'!$B$1:$AY$1,AD$1)+SUMIFS('changes2_based on steps'!$B241:$U241,'changes2_based on steps'!$B$1:$U$1,AD$1)</f>
        <v>0</v>
      </c>
      <c r="AE241" s="179">
        <f>SUMIFS('recurring2_based on steps'!$B241:$AY241,'recurring2_based on steps'!$B$1:$AY$1,AE$1)+SUMIFS('changes2_based on steps'!$B241:$U241,'changes2_based on steps'!$B$1:$U$1,AE$1)</f>
        <v>0</v>
      </c>
      <c r="AF241" s="179"/>
      <c r="AG241" s="179"/>
      <c r="AH241" s="179"/>
      <c r="AI241" s="179"/>
      <c r="AJ241" s="179"/>
      <c r="AK241" s="179"/>
      <c r="AL241" s="179"/>
      <c r="AM241" s="179"/>
    </row>
    <row r="242" spans="1:39" x14ac:dyDescent="0.2">
      <c r="A242" s="32">
        <f t="shared" ca="1" si="3"/>
        <v>45984</v>
      </c>
      <c r="B242" s="179">
        <f>SUMIFS('recurring2_based on steps'!$B242:$AY242,'recurring2_based on steps'!$B$1:$AY$1,B$1)+SUMIFS('changes2_based on steps'!$B242:$U242,'changes2_based on steps'!$B$1:$U$1,B$1)</f>
        <v>0</v>
      </c>
      <c r="C242" s="179">
        <f>SUMIFS('recurring2_based on steps'!$B242:$AY242,'recurring2_based on steps'!$B$1:$AY$1,C$1)+SUMIFS('changes2_based on steps'!$B242:$U242,'changes2_based on steps'!$B$1:$U$1,C$1)</f>
        <v>0</v>
      </c>
      <c r="D242" s="179">
        <f>SUMIFS('recurring2_based on steps'!$B242:$AY242,'recurring2_based on steps'!$B$1:$AY$1,D$1)+SUMIFS('changes2_based on steps'!$B242:$U242,'changes2_based on steps'!$B$1:$U$1,D$1)</f>
        <v>0</v>
      </c>
      <c r="E242" s="179">
        <f>SUMIFS('recurring2_based on steps'!$B242:$AY242,'recurring2_based on steps'!$B$1:$AY$1,E$1)+SUMIFS('changes2_based on steps'!$B242:$U242,'changes2_based on steps'!$B$1:$U$1,E$1)</f>
        <v>0</v>
      </c>
      <c r="F242" s="179">
        <f>SUMIFS('recurring2_based on steps'!$B242:$AY242,'recurring2_based on steps'!$B$1:$AY$1,F$1)+SUMIFS('changes2_based on steps'!$B242:$U242,'changes2_based on steps'!$B$1:$U$1,F$1)</f>
        <v>0</v>
      </c>
      <c r="G242" s="179">
        <f>SUMIFS('recurring2_based on steps'!$B242:$AY242,'recurring2_based on steps'!$B$1:$AY$1,G$1)+SUMIFS('changes2_based on steps'!$B242:$U242,'changes2_based on steps'!$B$1:$U$1,G$1)</f>
        <v>0</v>
      </c>
      <c r="H242" s="179">
        <f>SUMIFS('recurring2_based on steps'!$B242:$AY242,'recurring2_based on steps'!$B$1:$AY$1,H$1)+SUMIFS('changes2_based on steps'!$B242:$U242,'changes2_based on steps'!$B$1:$U$1,H$1)</f>
        <v>0</v>
      </c>
      <c r="I242" s="179">
        <f>SUMIFS('recurring2_based on steps'!$B242:$AY242,'recurring2_based on steps'!$B$1:$AY$1,I$1)+SUMIFS('changes2_based on steps'!$B242:$U242,'changes2_based on steps'!$B$1:$U$1,I$1)</f>
        <v>0</v>
      </c>
      <c r="J242" s="179">
        <f>SUMIFS('recurring2_based on steps'!$B242:$AY242,'recurring2_based on steps'!$B$1:$AY$1,J$1)+SUMIFS('changes2_based on steps'!$B242:$U242,'changes2_based on steps'!$B$1:$U$1,J$1)</f>
        <v>0</v>
      </c>
      <c r="K242" s="179">
        <f>SUMIFS('recurring2_based on steps'!$B242:$AY242,'recurring2_based on steps'!$B$1:$AY$1,K$1)+SUMIFS('changes2_based on steps'!$B242:$U242,'changes2_based on steps'!$B$1:$U$1,K$1)</f>
        <v>0</v>
      </c>
      <c r="L242" s="179">
        <f>SUMIFS('recurring2_based on steps'!$B242:$AY242,'recurring2_based on steps'!$B$1:$AY$1,L$1)+SUMIFS('changes2_based on steps'!$B242:$U242,'changes2_based on steps'!$B$1:$U$1,L$1)</f>
        <v>0</v>
      </c>
      <c r="M242" s="179">
        <f>SUMIFS('recurring2_based on steps'!$B242:$AY242,'recurring2_based on steps'!$B$1:$AY$1,M$1)+SUMIFS('changes2_based on steps'!$B242:$U242,'changes2_based on steps'!$B$1:$U$1,M$1)</f>
        <v>0</v>
      </c>
      <c r="N242" s="179">
        <f>SUMIFS('recurring2_based on steps'!$B242:$AY242,'recurring2_based on steps'!$B$1:$AY$1,N$1)+SUMIFS('changes2_based on steps'!$B242:$U242,'changes2_based on steps'!$B$1:$U$1,N$1)</f>
        <v>0</v>
      </c>
      <c r="O242" s="179">
        <f>SUMIFS('recurring2_based on steps'!$B242:$AY242,'recurring2_based on steps'!$B$1:$AY$1,O$1)+SUMIFS('changes2_based on steps'!$B242:$U242,'changes2_based on steps'!$B$1:$U$1,O$1)</f>
        <v>0</v>
      </c>
      <c r="P242" s="179">
        <f>SUMIFS('recurring2_based on steps'!$B242:$AY242,'recurring2_based on steps'!$B$1:$AY$1,P$1)+SUMIFS('changes2_based on steps'!$B242:$U242,'changes2_based on steps'!$B$1:$U$1,P$1)</f>
        <v>0</v>
      </c>
      <c r="Q242" s="179">
        <f>SUMIFS('recurring2_based on steps'!$B242:$AY242,'recurring2_based on steps'!$B$1:$AY$1,Q$1)+SUMIFS('changes2_based on steps'!$B242:$U242,'changes2_based on steps'!$B$1:$U$1,Q$1)</f>
        <v>0</v>
      </c>
      <c r="R242" s="179">
        <f>SUMIFS('recurring2_based on steps'!$B242:$AY242,'recurring2_based on steps'!$B$1:$AY$1,R$1)+SUMIFS('changes2_based on steps'!$B242:$U242,'changes2_based on steps'!$B$1:$U$1,R$1)</f>
        <v>0</v>
      </c>
      <c r="S242" s="179">
        <f>SUMIFS('recurring2_based on steps'!$B242:$AY242,'recurring2_based on steps'!$B$1:$AY$1,S$1)+SUMIFS('changes2_based on steps'!$B242:$U242,'changes2_based on steps'!$B$1:$U$1,S$1)</f>
        <v>0</v>
      </c>
      <c r="T242" s="179">
        <f>SUMIFS('recurring2_based on steps'!$B242:$AY242,'recurring2_based on steps'!$B$1:$AY$1,T$1)+SUMIFS('changes2_based on steps'!$B242:$U242,'changes2_based on steps'!$B$1:$U$1,T$1)</f>
        <v>0</v>
      </c>
      <c r="U242" s="179">
        <f>SUMIFS('recurring2_based on steps'!$B242:$AY242,'recurring2_based on steps'!$B$1:$AY$1,U$1)+SUMIFS('changes2_based on steps'!$B242:$U242,'changes2_based on steps'!$B$1:$U$1,U$1)</f>
        <v>0</v>
      </c>
      <c r="V242" s="179">
        <f>SUMIFS('recurring2_based on steps'!$B242:$AY242,'recurring2_based on steps'!$B$1:$AY$1,V$1)+SUMIFS('changes2_based on steps'!$B242:$U242,'changes2_based on steps'!$B$1:$U$1,V$1)</f>
        <v>0</v>
      </c>
      <c r="W242" s="179">
        <f>SUMIFS('recurring2_based on steps'!$B242:$AY242,'recurring2_based on steps'!$B$1:$AY$1,W$1)+SUMIFS('changes2_based on steps'!$B242:$U242,'changes2_based on steps'!$B$1:$U$1,W$1)</f>
        <v>0</v>
      </c>
      <c r="X242" s="179">
        <f>SUMIFS('recurring2_based on steps'!$B242:$AY242,'recurring2_based on steps'!$B$1:$AY$1,X$1)+SUMIFS('changes2_based on steps'!$B242:$U242,'changes2_based on steps'!$B$1:$U$1,X$1)</f>
        <v>0</v>
      </c>
      <c r="Y242" s="179">
        <f>SUMIFS('recurring2_based on steps'!$B242:$AY242,'recurring2_based on steps'!$B$1:$AY$1,Y$1)+SUMIFS('changes2_based on steps'!$B242:$U242,'changes2_based on steps'!$B$1:$U$1,Y$1)</f>
        <v>0</v>
      </c>
      <c r="Z242" s="179">
        <f>SUMIFS('recurring2_based on steps'!$B242:$AY242,'recurring2_based on steps'!$B$1:$AY$1,Z$1)+SUMIFS('changes2_based on steps'!$B242:$U242,'changes2_based on steps'!$B$1:$U$1,Z$1)</f>
        <v>0</v>
      </c>
      <c r="AA242" s="179">
        <f>SUMIFS('recurring2_based on steps'!$B242:$AY242,'recurring2_based on steps'!$B$1:$AY$1,AA$1)+SUMIFS('changes2_based on steps'!$B242:$U242,'changes2_based on steps'!$B$1:$U$1,AA$1)</f>
        <v>0</v>
      </c>
      <c r="AB242" s="179">
        <f>SUMIFS('recurring2_based on steps'!$B242:$AY242,'recurring2_based on steps'!$B$1:$AY$1,AB$1)+SUMIFS('changes2_based on steps'!$B242:$U242,'changes2_based on steps'!$B$1:$U$1,AB$1)</f>
        <v>0</v>
      </c>
      <c r="AC242" s="179">
        <f>SUMIFS('recurring2_based on steps'!$B242:$AY242,'recurring2_based on steps'!$B$1:$AY$1,AC$1)+SUMIFS('changes2_based on steps'!$B242:$U242,'changes2_based on steps'!$B$1:$U$1,AC$1)</f>
        <v>0</v>
      </c>
      <c r="AD242" s="179">
        <f>SUMIFS('recurring2_based on steps'!$B242:$AY242,'recurring2_based on steps'!$B$1:$AY$1,AD$1)+SUMIFS('changes2_based on steps'!$B242:$U242,'changes2_based on steps'!$B$1:$U$1,AD$1)</f>
        <v>0</v>
      </c>
      <c r="AE242" s="179">
        <f>SUMIFS('recurring2_based on steps'!$B242:$AY242,'recurring2_based on steps'!$B$1:$AY$1,AE$1)+SUMIFS('changes2_based on steps'!$B242:$U242,'changes2_based on steps'!$B$1:$U$1,AE$1)</f>
        <v>0</v>
      </c>
      <c r="AF242" s="179"/>
      <c r="AG242" s="179"/>
      <c r="AH242" s="179"/>
      <c r="AI242" s="179"/>
      <c r="AJ242" s="179"/>
      <c r="AK242" s="179"/>
      <c r="AL242" s="179"/>
      <c r="AM242" s="179"/>
    </row>
    <row r="243" spans="1:39" x14ac:dyDescent="0.2">
      <c r="A243" s="32">
        <f t="shared" ca="1" si="3"/>
        <v>45985</v>
      </c>
      <c r="B243" s="179">
        <f>SUMIFS('recurring2_based on steps'!$B243:$AY243,'recurring2_based on steps'!$B$1:$AY$1,B$1)+SUMIFS('changes2_based on steps'!$B243:$U243,'changes2_based on steps'!$B$1:$U$1,B$1)</f>
        <v>0</v>
      </c>
      <c r="C243" s="179">
        <f>SUMIFS('recurring2_based on steps'!$B243:$AY243,'recurring2_based on steps'!$B$1:$AY$1,C$1)+SUMIFS('changes2_based on steps'!$B243:$U243,'changes2_based on steps'!$B$1:$U$1,C$1)</f>
        <v>0</v>
      </c>
      <c r="D243" s="179">
        <f>SUMIFS('recurring2_based on steps'!$B243:$AY243,'recurring2_based on steps'!$B$1:$AY$1,D$1)+SUMIFS('changes2_based on steps'!$B243:$U243,'changes2_based on steps'!$B$1:$U$1,D$1)</f>
        <v>0</v>
      </c>
      <c r="E243" s="179">
        <f>SUMIFS('recurring2_based on steps'!$B243:$AY243,'recurring2_based on steps'!$B$1:$AY$1,E$1)+SUMIFS('changes2_based on steps'!$B243:$U243,'changes2_based on steps'!$B$1:$U$1,E$1)</f>
        <v>0</v>
      </c>
      <c r="F243" s="179">
        <f>SUMIFS('recurring2_based on steps'!$B243:$AY243,'recurring2_based on steps'!$B$1:$AY$1,F$1)+SUMIFS('changes2_based on steps'!$B243:$U243,'changes2_based on steps'!$B$1:$U$1,F$1)</f>
        <v>0</v>
      </c>
      <c r="G243" s="179">
        <f>SUMIFS('recurring2_based on steps'!$B243:$AY243,'recurring2_based on steps'!$B$1:$AY$1,G$1)+SUMIFS('changes2_based on steps'!$B243:$U243,'changes2_based on steps'!$B$1:$U$1,G$1)</f>
        <v>0</v>
      </c>
      <c r="H243" s="179">
        <f>SUMIFS('recurring2_based on steps'!$B243:$AY243,'recurring2_based on steps'!$B$1:$AY$1,H$1)+SUMIFS('changes2_based on steps'!$B243:$U243,'changes2_based on steps'!$B$1:$U$1,H$1)</f>
        <v>0</v>
      </c>
      <c r="I243" s="179">
        <f>SUMIFS('recurring2_based on steps'!$B243:$AY243,'recurring2_based on steps'!$B$1:$AY$1,I$1)+SUMIFS('changes2_based on steps'!$B243:$U243,'changes2_based on steps'!$B$1:$U$1,I$1)</f>
        <v>0</v>
      </c>
      <c r="J243" s="179">
        <f>SUMIFS('recurring2_based on steps'!$B243:$AY243,'recurring2_based on steps'!$B$1:$AY$1,J$1)+SUMIFS('changes2_based on steps'!$B243:$U243,'changes2_based on steps'!$B$1:$U$1,J$1)</f>
        <v>0</v>
      </c>
      <c r="K243" s="179">
        <f>SUMIFS('recurring2_based on steps'!$B243:$AY243,'recurring2_based on steps'!$B$1:$AY$1,K$1)+SUMIFS('changes2_based on steps'!$B243:$U243,'changes2_based on steps'!$B$1:$U$1,K$1)</f>
        <v>0</v>
      </c>
      <c r="L243" s="179">
        <f>SUMIFS('recurring2_based on steps'!$B243:$AY243,'recurring2_based on steps'!$B$1:$AY$1,L$1)+SUMIFS('changes2_based on steps'!$B243:$U243,'changes2_based on steps'!$B$1:$U$1,L$1)</f>
        <v>0</v>
      </c>
      <c r="M243" s="179">
        <f>SUMIFS('recurring2_based on steps'!$B243:$AY243,'recurring2_based on steps'!$B$1:$AY$1,M$1)+SUMIFS('changes2_based on steps'!$B243:$U243,'changes2_based on steps'!$B$1:$U$1,M$1)</f>
        <v>0</v>
      </c>
      <c r="N243" s="179">
        <f>SUMIFS('recurring2_based on steps'!$B243:$AY243,'recurring2_based on steps'!$B$1:$AY$1,N$1)+SUMIFS('changes2_based on steps'!$B243:$U243,'changes2_based on steps'!$B$1:$U$1,N$1)</f>
        <v>0</v>
      </c>
      <c r="O243" s="179">
        <f>SUMIFS('recurring2_based on steps'!$B243:$AY243,'recurring2_based on steps'!$B$1:$AY$1,O$1)+SUMIFS('changes2_based on steps'!$B243:$U243,'changes2_based on steps'!$B$1:$U$1,O$1)</f>
        <v>0</v>
      </c>
      <c r="P243" s="179">
        <f>SUMIFS('recurring2_based on steps'!$B243:$AY243,'recurring2_based on steps'!$B$1:$AY$1,P$1)+SUMIFS('changes2_based on steps'!$B243:$U243,'changes2_based on steps'!$B$1:$U$1,P$1)</f>
        <v>0</v>
      </c>
      <c r="Q243" s="179">
        <f>SUMIFS('recurring2_based on steps'!$B243:$AY243,'recurring2_based on steps'!$B$1:$AY$1,Q$1)+SUMIFS('changes2_based on steps'!$B243:$U243,'changes2_based on steps'!$B$1:$U$1,Q$1)</f>
        <v>0</v>
      </c>
      <c r="R243" s="179">
        <f>SUMIFS('recurring2_based on steps'!$B243:$AY243,'recurring2_based on steps'!$B$1:$AY$1,R$1)+SUMIFS('changes2_based on steps'!$B243:$U243,'changes2_based on steps'!$B$1:$U$1,R$1)</f>
        <v>0</v>
      </c>
      <c r="S243" s="179">
        <f>SUMIFS('recurring2_based on steps'!$B243:$AY243,'recurring2_based on steps'!$B$1:$AY$1,S$1)+SUMIFS('changes2_based on steps'!$B243:$U243,'changes2_based on steps'!$B$1:$U$1,S$1)</f>
        <v>0</v>
      </c>
      <c r="T243" s="179">
        <f>SUMIFS('recurring2_based on steps'!$B243:$AY243,'recurring2_based on steps'!$B$1:$AY$1,T$1)+SUMIFS('changes2_based on steps'!$B243:$U243,'changes2_based on steps'!$B$1:$U$1,T$1)</f>
        <v>0</v>
      </c>
      <c r="U243" s="179">
        <f>SUMIFS('recurring2_based on steps'!$B243:$AY243,'recurring2_based on steps'!$B$1:$AY$1,U$1)+SUMIFS('changes2_based on steps'!$B243:$U243,'changes2_based on steps'!$B$1:$U$1,U$1)</f>
        <v>0</v>
      </c>
      <c r="V243" s="179">
        <f>SUMIFS('recurring2_based on steps'!$B243:$AY243,'recurring2_based on steps'!$B$1:$AY$1,V$1)+SUMIFS('changes2_based on steps'!$B243:$U243,'changes2_based on steps'!$B$1:$U$1,V$1)</f>
        <v>0</v>
      </c>
      <c r="W243" s="179">
        <f>SUMIFS('recurring2_based on steps'!$B243:$AY243,'recurring2_based on steps'!$B$1:$AY$1,W$1)+SUMIFS('changes2_based on steps'!$B243:$U243,'changes2_based on steps'!$B$1:$U$1,W$1)</f>
        <v>0</v>
      </c>
      <c r="X243" s="179">
        <f>SUMIFS('recurring2_based on steps'!$B243:$AY243,'recurring2_based on steps'!$B$1:$AY$1,X$1)+SUMIFS('changes2_based on steps'!$B243:$U243,'changes2_based on steps'!$B$1:$U$1,X$1)</f>
        <v>0</v>
      </c>
      <c r="Y243" s="179">
        <f>SUMIFS('recurring2_based on steps'!$B243:$AY243,'recurring2_based on steps'!$B$1:$AY$1,Y$1)+SUMIFS('changes2_based on steps'!$B243:$U243,'changes2_based on steps'!$B$1:$U$1,Y$1)</f>
        <v>0</v>
      </c>
      <c r="Z243" s="179">
        <f>SUMIFS('recurring2_based on steps'!$B243:$AY243,'recurring2_based on steps'!$B$1:$AY$1,Z$1)+SUMIFS('changes2_based on steps'!$B243:$U243,'changes2_based on steps'!$B$1:$U$1,Z$1)</f>
        <v>0</v>
      </c>
      <c r="AA243" s="179">
        <f>SUMIFS('recurring2_based on steps'!$B243:$AY243,'recurring2_based on steps'!$B$1:$AY$1,AA$1)+SUMIFS('changes2_based on steps'!$B243:$U243,'changes2_based on steps'!$B$1:$U$1,AA$1)</f>
        <v>0</v>
      </c>
      <c r="AB243" s="179">
        <f>SUMIFS('recurring2_based on steps'!$B243:$AY243,'recurring2_based on steps'!$B$1:$AY$1,AB$1)+SUMIFS('changes2_based on steps'!$B243:$U243,'changes2_based on steps'!$B$1:$U$1,AB$1)</f>
        <v>0</v>
      </c>
      <c r="AC243" s="179">
        <f>SUMIFS('recurring2_based on steps'!$B243:$AY243,'recurring2_based on steps'!$B$1:$AY$1,AC$1)+SUMIFS('changes2_based on steps'!$B243:$U243,'changes2_based on steps'!$B$1:$U$1,AC$1)</f>
        <v>0</v>
      </c>
      <c r="AD243" s="179">
        <f>SUMIFS('recurring2_based on steps'!$B243:$AY243,'recurring2_based on steps'!$B$1:$AY$1,AD$1)+SUMIFS('changes2_based on steps'!$B243:$U243,'changes2_based on steps'!$B$1:$U$1,AD$1)</f>
        <v>0</v>
      </c>
      <c r="AE243" s="179">
        <f>SUMIFS('recurring2_based on steps'!$B243:$AY243,'recurring2_based on steps'!$B$1:$AY$1,AE$1)+SUMIFS('changes2_based on steps'!$B243:$U243,'changes2_based on steps'!$B$1:$U$1,AE$1)</f>
        <v>0</v>
      </c>
      <c r="AF243" s="179"/>
      <c r="AG243" s="179"/>
      <c r="AH243" s="179"/>
      <c r="AI243" s="179"/>
      <c r="AJ243" s="179"/>
      <c r="AK243" s="179"/>
      <c r="AL243" s="179"/>
      <c r="AM243" s="179"/>
    </row>
    <row r="244" spans="1:39" x14ac:dyDescent="0.2">
      <c r="A244" s="32">
        <f t="shared" ca="1" si="3"/>
        <v>45986</v>
      </c>
      <c r="B244" s="179">
        <f>SUMIFS('recurring2_based on steps'!$B244:$AY244,'recurring2_based on steps'!$B$1:$AY$1,B$1)+SUMIFS('changes2_based on steps'!$B244:$U244,'changes2_based on steps'!$B$1:$U$1,B$1)</f>
        <v>0</v>
      </c>
      <c r="C244" s="179">
        <f>SUMIFS('recurring2_based on steps'!$B244:$AY244,'recurring2_based on steps'!$B$1:$AY$1,C$1)+SUMIFS('changes2_based on steps'!$B244:$U244,'changes2_based on steps'!$B$1:$U$1,C$1)</f>
        <v>0</v>
      </c>
      <c r="D244" s="179">
        <f>SUMIFS('recurring2_based on steps'!$B244:$AY244,'recurring2_based on steps'!$B$1:$AY$1,D$1)+SUMIFS('changes2_based on steps'!$B244:$U244,'changes2_based on steps'!$B$1:$U$1,D$1)</f>
        <v>0</v>
      </c>
      <c r="E244" s="179">
        <f>SUMIFS('recurring2_based on steps'!$B244:$AY244,'recurring2_based on steps'!$B$1:$AY$1,E$1)+SUMIFS('changes2_based on steps'!$B244:$U244,'changes2_based on steps'!$B$1:$U$1,E$1)</f>
        <v>0</v>
      </c>
      <c r="F244" s="179">
        <f>SUMIFS('recurring2_based on steps'!$B244:$AY244,'recurring2_based on steps'!$B$1:$AY$1,F$1)+SUMIFS('changes2_based on steps'!$B244:$U244,'changes2_based on steps'!$B$1:$U$1,F$1)</f>
        <v>0</v>
      </c>
      <c r="G244" s="179">
        <f>SUMIFS('recurring2_based on steps'!$B244:$AY244,'recurring2_based on steps'!$B$1:$AY$1,G$1)+SUMIFS('changes2_based on steps'!$B244:$U244,'changes2_based on steps'!$B$1:$U$1,G$1)</f>
        <v>0</v>
      </c>
      <c r="H244" s="179">
        <f>SUMIFS('recurring2_based on steps'!$B244:$AY244,'recurring2_based on steps'!$B$1:$AY$1,H$1)+SUMIFS('changes2_based on steps'!$B244:$U244,'changes2_based on steps'!$B$1:$U$1,H$1)</f>
        <v>0</v>
      </c>
      <c r="I244" s="179">
        <f>SUMIFS('recurring2_based on steps'!$B244:$AY244,'recurring2_based on steps'!$B$1:$AY$1,I$1)+SUMIFS('changes2_based on steps'!$B244:$U244,'changes2_based on steps'!$B$1:$U$1,I$1)</f>
        <v>0</v>
      </c>
      <c r="J244" s="179">
        <f>SUMIFS('recurring2_based on steps'!$B244:$AY244,'recurring2_based on steps'!$B$1:$AY$1,J$1)+SUMIFS('changes2_based on steps'!$B244:$U244,'changes2_based on steps'!$B$1:$U$1,J$1)</f>
        <v>0</v>
      </c>
      <c r="K244" s="179">
        <f>SUMIFS('recurring2_based on steps'!$B244:$AY244,'recurring2_based on steps'!$B$1:$AY$1,K$1)+SUMIFS('changes2_based on steps'!$B244:$U244,'changes2_based on steps'!$B$1:$U$1,K$1)</f>
        <v>0</v>
      </c>
      <c r="L244" s="179">
        <f>SUMIFS('recurring2_based on steps'!$B244:$AY244,'recurring2_based on steps'!$B$1:$AY$1,L$1)+SUMIFS('changes2_based on steps'!$B244:$U244,'changes2_based on steps'!$B$1:$U$1,L$1)</f>
        <v>0</v>
      </c>
      <c r="M244" s="179">
        <f>SUMIFS('recurring2_based on steps'!$B244:$AY244,'recurring2_based on steps'!$B$1:$AY$1,M$1)+SUMIFS('changes2_based on steps'!$B244:$U244,'changes2_based on steps'!$B$1:$U$1,M$1)</f>
        <v>0</v>
      </c>
      <c r="N244" s="179">
        <f>SUMIFS('recurring2_based on steps'!$B244:$AY244,'recurring2_based on steps'!$B$1:$AY$1,N$1)+SUMIFS('changes2_based on steps'!$B244:$U244,'changes2_based on steps'!$B$1:$U$1,N$1)</f>
        <v>0</v>
      </c>
      <c r="O244" s="179">
        <f>SUMIFS('recurring2_based on steps'!$B244:$AY244,'recurring2_based on steps'!$B$1:$AY$1,O$1)+SUMIFS('changes2_based on steps'!$B244:$U244,'changes2_based on steps'!$B$1:$U$1,O$1)</f>
        <v>0</v>
      </c>
      <c r="P244" s="179">
        <f>SUMIFS('recurring2_based on steps'!$B244:$AY244,'recurring2_based on steps'!$B$1:$AY$1,P$1)+SUMIFS('changes2_based on steps'!$B244:$U244,'changes2_based on steps'!$B$1:$U$1,P$1)</f>
        <v>0</v>
      </c>
      <c r="Q244" s="179">
        <f>SUMIFS('recurring2_based on steps'!$B244:$AY244,'recurring2_based on steps'!$B$1:$AY$1,Q$1)+SUMIFS('changes2_based on steps'!$B244:$U244,'changes2_based on steps'!$B$1:$U$1,Q$1)</f>
        <v>0</v>
      </c>
      <c r="R244" s="179">
        <f>SUMIFS('recurring2_based on steps'!$B244:$AY244,'recurring2_based on steps'!$B$1:$AY$1,R$1)+SUMIFS('changes2_based on steps'!$B244:$U244,'changes2_based on steps'!$B$1:$U$1,R$1)</f>
        <v>0</v>
      </c>
      <c r="S244" s="179">
        <f>SUMIFS('recurring2_based on steps'!$B244:$AY244,'recurring2_based on steps'!$B$1:$AY$1,S$1)+SUMIFS('changes2_based on steps'!$B244:$U244,'changes2_based on steps'!$B$1:$U$1,S$1)</f>
        <v>0</v>
      </c>
      <c r="T244" s="179">
        <f>SUMIFS('recurring2_based on steps'!$B244:$AY244,'recurring2_based on steps'!$B$1:$AY$1,T$1)+SUMIFS('changes2_based on steps'!$B244:$U244,'changes2_based on steps'!$B$1:$U$1,T$1)</f>
        <v>0</v>
      </c>
      <c r="U244" s="179">
        <f>SUMIFS('recurring2_based on steps'!$B244:$AY244,'recurring2_based on steps'!$B$1:$AY$1,U$1)+SUMIFS('changes2_based on steps'!$B244:$U244,'changes2_based on steps'!$B$1:$U$1,U$1)</f>
        <v>0</v>
      </c>
      <c r="V244" s="179">
        <f>SUMIFS('recurring2_based on steps'!$B244:$AY244,'recurring2_based on steps'!$B$1:$AY$1,V$1)+SUMIFS('changes2_based on steps'!$B244:$U244,'changes2_based on steps'!$B$1:$U$1,V$1)</f>
        <v>0</v>
      </c>
      <c r="W244" s="179">
        <f>SUMIFS('recurring2_based on steps'!$B244:$AY244,'recurring2_based on steps'!$B$1:$AY$1,W$1)+SUMIFS('changes2_based on steps'!$B244:$U244,'changes2_based on steps'!$B$1:$U$1,W$1)</f>
        <v>0</v>
      </c>
      <c r="X244" s="179">
        <f>SUMIFS('recurring2_based on steps'!$B244:$AY244,'recurring2_based on steps'!$B$1:$AY$1,X$1)+SUMIFS('changes2_based on steps'!$B244:$U244,'changes2_based on steps'!$B$1:$U$1,X$1)</f>
        <v>0</v>
      </c>
      <c r="Y244" s="179">
        <f>SUMIFS('recurring2_based on steps'!$B244:$AY244,'recurring2_based on steps'!$B$1:$AY$1,Y$1)+SUMIFS('changes2_based on steps'!$B244:$U244,'changes2_based on steps'!$B$1:$U$1,Y$1)</f>
        <v>0</v>
      </c>
      <c r="Z244" s="179">
        <f>SUMIFS('recurring2_based on steps'!$B244:$AY244,'recurring2_based on steps'!$B$1:$AY$1,Z$1)+SUMIFS('changes2_based on steps'!$B244:$U244,'changes2_based on steps'!$B$1:$U$1,Z$1)</f>
        <v>0</v>
      </c>
      <c r="AA244" s="179">
        <f>SUMIFS('recurring2_based on steps'!$B244:$AY244,'recurring2_based on steps'!$B$1:$AY$1,AA$1)+SUMIFS('changes2_based on steps'!$B244:$U244,'changes2_based on steps'!$B$1:$U$1,AA$1)</f>
        <v>0</v>
      </c>
      <c r="AB244" s="179">
        <f>SUMIFS('recurring2_based on steps'!$B244:$AY244,'recurring2_based on steps'!$B$1:$AY$1,AB$1)+SUMIFS('changes2_based on steps'!$B244:$U244,'changes2_based on steps'!$B$1:$U$1,AB$1)</f>
        <v>0</v>
      </c>
      <c r="AC244" s="179">
        <f>SUMIFS('recurring2_based on steps'!$B244:$AY244,'recurring2_based on steps'!$B$1:$AY$1,AC$1)+SUMIFS('changes2_based on steps'!$B244:$U244,'changes2_based on steps'!$B$1:$U$1,AC$1)</f>
        <v>0</v>
      </c>
      <c r="AD244" s="179">
        <f>SUMIFS('recurring2_based on steps'!$B244:$AY244,'recurring2_based on steps'!$B$1:$AY$1,AD$1)+SUMIFS('changes2_based on steps'!$B244:$U244,'changes2_based on steps'!$B$1:$U$1,AD$1)</f>
        <v>0</v>
      </c>
      <c r="AE244" s="179">
        <f>SUMIFS('recurring2_based on steps'!$B244:$AY244,'recurring2_based on steps'!$B$1:$AY$1,AE$1)+SUMIFS('changes2_based on steps'!$B244:$U244,'changes2_based on steps'!$B$1:$U$1,AE$1)</f>
        <v>0</v>
      </c>
      <c r="AF244" s="179"/>
      <c r="AG244" s="179"/>
      <c r="AH244" s="179"/>
      <c r="AI244" s="179"/>
      <c r="AJ244" s="179"/>
      <c r="AK244" s="179"/>
      <c r="AL244" s="179"/>
      <c r="AM244" s="179"/>
    </row>
    <row r="245" spans="1:39" x14ac:dyDescent="0.2">
      <c r="A245" s="32">
        <f t="shared" ca="1" si="3"/>
        <v>45987</v>
      </c>
      <c r="B245" s="179">
        <f>SUMIFS('recurring2_based on steps'!$B245:$AY245,'recurring2_based on steps'!$B$1:$AY$1,B$1)+SUMIFS('changes2_based on steps'!$B245:$U245,'changes2_based on steps'!$B$1:$U$1,B$1)</f>
        <v>0</v>
      </c>
      <c r="C245" s="179">
        <f>SUMIFS('recurring2_based on steps'!$B245:$AY245,'recurring2_based on steps'!$B$1:$AY$1,C$1)+SUMIFS('changes2_based on steps'!$B245:$U245,'changes2_based on steps'!$B$1:$U$1,C$1)</f>
        <v>0</v>
      </c>
      <c r="D245" s="179">
        <f>SUMIFS('recurring2_based on steps'!$B245:$AY245,'recurring2_based on steps'!$B$1:$AY$1,D$1)+SUMIFS('changes2_based on steps'!$B245:$U245,'changes2_based on steps'!$B$1:$U$1,D$1)</f>
        <v>0</v>
      </c>
      <c r="E245" s="179">
        <f>SUMIFS('recurring2_based on steps'!$B245:$AY245,'recurring2_based on steps'!$B$1:$AY$1,E$1)+SUMIFS('changes2_based on steps'!$B245:$U245,'changes2_based on steps'!$B$1:$U$1,E$1)</f>
        <v>0</v>
      </c>
      <c r="F245" s="179">
        <f>SUMIFS('recurring2_based on steps'!$B245:$AY245,'recurring2_based on steps'!$B$1:$AY$1,F$1)+SUMIFS('changes2_based on steps'!$B245:$U245,'changes2_based on steps'!$B$1:$U$1,F$1)</f>
        <v>0</v>
      </c>
      <c r="G245" s="179">
        <f>SUMIFS('recurring2_based on steps'!$B245:$AY245,'recurring2_based on steps'!$B$1:$AY$1,G$1)+SUMIFS('changes2_based on steps'!$B245:$U245,'changes2_based on steps'!$B$1:$U$1,G$1)</f>
        <v>0</v>
      </c>
      <c r="H245" s="179">
        <f>SUMIFS('recurring2_based on steps'!$B245:$AY245,'recurring2_based on steps'!$B$1:$AY$1,H$1)+SUMIFS('changes2_based on steps'!$B245:$U245,'changes2_based on steps'!$B$1:$U$1,H$1)</f>
        <v>0</v>
      </c>
      <c r="I245" s="179">
        <f>SUMIFS('recurring2_based on steps'!$B245:$AY245,'recurring2_based on steps'!$B$1:$AY$1,I$1)+SUMIFS('changes2_based on steps'!$B245:$U245,'changes2_based on steps'!$B$1:$U$1,I$1)</f>
        <v>0</v>
      </c>
      <c r="J245" s="179">
        <f>SUMIFS('recurring2_based on steps'!$B245:$AY245,'recurring2_based on steps'!$B$1:$AY$1,J$1)+SUMIFS('changes2_based on steps'!$B245:$U245,'changes2_based on steps'!$B$1:$U$1,J$1)</f>
        <v>0</v>
      </c>
      <c r="K245" s="179">
        <f>SUMIFS('recurring2_based on steps'!$B245:$AY245,'recurring2_based on steps'!$B$1:$AY$1,K$1)+SUMIFS('changes2_based on steps'!$B245:$U245,'changes2_based on steps'!$B$1:$U$1,K$1)</f>
        <v>0</v>
      </c>
      <c r="L245" s="179">
        <f>SUMIFS('recurring2_based on steps'!$B245:$AY245,'recurring2_based on steps'!$B$1:$AY$1,L$1)+SUMIFS('changes2_based on steps'!$B245:$U245,'changes2_based on steps'!$B$1:$U$1,L$1)</f>
        <v>0</v>
      </c>
      <c r="M245" s="179">
        <f>SUMIFS('recurring2_based on steps'!$B245:$AY245,'recurring2_based on steps'!$B$1:$AY$1,M$1)+SUMIFS('changes2_based on steps'!$B245:$U245,'changes2_based on steps'!$B$1:$U$1,M$1)</f>
        <v>0</v>
      </c>
      <c r="N245" s="179">
        <f>SUMIFS('recurring2_based on steps'!$B245:$AY245,'recurring2_based on steps'!$B$1:$AY$1,N$1)+SUMIFS('changes2_based on steps'!$B245:$U245,'changes2_based on steps'!$B$1:$U$1,N$1)</f>
        <v>0</v>
      </c>
      <c r="O245" s="179">
        <f>SUMIFS('recurring2_based on steps'!$B245:$AY245,'recurring2_based on steps'!$B$1:$AY$1,O$1)+SUMIFS('changes2_based on steps'!$B245:$U245,'changes2_based on steps'!$B$1:$U$1,O$1)</f>
        <v>0</v>
      </c>
      <c r="P245" s="179">
        <f>SUMIFS('recurring2_based on steps'!$B245:$AY245,'recurring2_based on steps'!$B$1:$AY$1,P$1)+SUMIFS('changes2_based on steps'!$B245:$U245,'changes2_based on steps'!$B$1:$U$1,P$1)</f>
        <v>0</v>
      </c>
      <c r="Q245" s="179">
        <f>SUMIFS('recurring2_based on steps'!$B245:$AY245,'recurring2_based on steps'!$B$1:$AY$1,Q$1)+SUMIFS('changes2_based on steps'!$B245:$U245,'changes2_based on steps'!$B$1:$U$1,Q$1)</f>
        <v>0</v>
      </c>
      <c r="R245" s="179">
        <f>SUMIFS('recurring2_based on steps'!$B245:$AY245,'recurring2_based on steps'!$B$1:$AY$1,R$1)+SUMIFS('changes2_based on steps'!$B245:$U245,'changes2_based on steps'!$B$1:$U$1,R$1)</f>
        <v>0</v>
      </c>
      <c r="S245" s="179">
        <f>SUMIFS('recurring2_based on steps'!$B245:$AY245,'recurring2_based on steps'!$B$1:$AY$1,S$1)+SUMIFS('changes2_based on steps'!$B245:$U245,'changes2_based on steps'!$B$1:$U$1,S$1)</f>
        <v>0</v>
      </c>
      <c r="T245" s="179">
        <f>SUMIFS('recurring2_based on steps'!$B245:$AY245,'recurring2_based on steps'!$B$1:$AY$1,T$1)+SUMIFS('changes2_based on steps'!$B245:$U245,'changes2_based on steps'!$B$1:$U$1,T$1)</f>
        <v>0</v>
      </c>
      <c r="U245" s="179">
        <f>SUMIFS('recurring2_based on steps'!$B245:$AY245,'recurring2_based on steps'!$B$1:$AY$1,U$1)+SUMIFS('changes2_based on steps'!$B245:$U245,'changes2_based on steps'!$B$1:$U$1,U$1)</f>
        <v>0</v>
      </c>
      <c r="V245" s="179">
        <f>SUMIFS('recurring2_based on steps'!$B245:$AY245,'recurring2_based on steps'!$B$1:$AY$1,V$1)+SUMIFS('changes2_based on steps'!$B245:$U245,'changes2_based on steps'!$B$1:$U$1,V$1)</f>
        <v>0</v>
      </c>
      <c r="W245" s="179">
        <f>SUMIFS('recurring2_based on steps'!$B245:$AY245,'recurring2_based on steps'!$B$1:$AY$1,W$1)+SUMIFS('changes2_based on steps'!$B245:$U245,'changes2_based on steps'!$B$1:$U$1,W$1)</f>
        <v>0</v>
      </c>
      <c r="X245" s="179">
        <f>SUMIFS('recurring2_based on steps'!$B245:$AY245,'recurring2_based on steps'!$B$1:$AY$1,X$1)+SUMIFS('changes2_based on steps'!$B245:$U245,'changes2_based on steps'!$B$1:$U$1,X$1)</f>
        <v>0</v>
      </c>
      <c r="Y245" s="179">
        <f>SUMIFS('recurring2_based on steps'!$B245:$AY245,'recurring2_based on steps'!$B$1:$AY$1,Y$1)+SUMIFS('changes2_based on steps'!$B245:$U245,'changes2_based on steps'!$B$1:$U$1,Y$1)</f>
        <v>0</v>
      </c>
      <c r="Z245" s="179">
        <f>SUMIFS('recurring2_based on steps'!$B245:$AY245,'recurring2_based on steps'!$B$1:$AY$1,Z$1)+SUMIFS('changes2_based on steps'!$B245:$U245,'changes2_based on steps'!$B$1:$U$1,Z$1)</f>
        <v>0</v>
      </c>
      <c r="AA245" s="179">
        <f>SUMIFS('recurring2_based on steps'!$B245:$AY245,'recurring2_based on steps'!$B$1:$AY$1,AA$1)+SUMIFS('changes2_based on steps'!$B245:$U245,'changes2_based on steps'!$B$1:$U$1,AA$1)</f>
        <v>0</v>
      </c>
      <c r="AB245" s="179">
        <f>SUMIFS('recurring2_based on steps'!$B245:$AY245,'recurring2_based on steps'!$B$1:$AY$1,AB$1)+SUMIFS('changes2_based on steps'!$B245:$U245,'changes2_based on steps'!$B$1:$U$1,AB$1)</f>
        <v>0</v>
      </c>
      <c r="AC245" s="179">
        <f>SUMIFS('recurring2_based on steps'!$B245:$AY245,'recurring2_based on steps'!$B$1:$AY$1,AC$1)+SUMIFS('changes2_based on steps'!$B245:$U245,'changes2_based on steps'!$B$1:$U$1,AC$1)</f>
        <v>0</v>
      </c>
      <c r="AD245" s="179">
        <f>SUMIFS('recurring2_based on steps'!$B245:$AY245,'recurring2_based on steps'!$B$1:$AY$1,AD$1)+SUMIFS('changes2_based on steps'!$B245:$U245,'changes2_based on steps'!$B$1:$U$1,AD$1)</f>
        <v>0</v>
      </c>
      <c r="AE245" s="179">
        <f>SUMIFS('recurring2_based on steps'!$B245:$AY245,'recurring2_based on steps'!$B$1:$AY$1,AE$1)+SUMIFS('changes2_based on steps'!$B245:$U245,'changes2_based on steps'!$B$1:$U$1,AE$1)</f>
        <v>0</v>
      </c>
      <c r="AF245" s="179"/>
      <c r="AG245" s="179"/>
      <c r="AH245" s="179"/>
      <c r="AI245" s="179"/>
      <c r="AJ245" s="179"/>
      <c r="AK245" s="179"/>
      <c r="AL245" s="179"/>
      <c r="AM245" s="179"/>
    </row>
    <row r="246" spans="1:39" x14ac:dyDescent="0.2">
      <c r="A246" s="32">
        <f t="shared" ca="1" si="3"/>
        <v>45988</v>
      </c>
      <c r="B246" s="179">
        <f>SUMIFS('recurring2_based on steps'!$B246:$AY246,'recurring2_based on steps'!$B$1:$AY$1,B$1)+SUMIFS('changes2_based on steps'!$B246:$U246,'changes2_based on steps'!$B$1:$U$1,B$1)</f>
        <v>0</v>
      </c>
      <c r="C246" s="179">
        <f>SUMIFS('recurring2_based on steps'!$B246:$AY246,'recurring2_based on steps'!$B$1:$AY$1,C$1)+SUMIFS('changes2_based on steps'!$B246:$U246,'changes2_based on steps'!$B$1:$U$1,C$1)</f>
        <v>0</v>
      </c>
      <c r="D246" s="179">
        <f>SUMIFS('recurring2_based on steps'!$B246:$AY246,'recurring2_based on steps'!$B$1:$AY$1,D$1)+SUMIFS('changes2_based on steps'!$B246:$U246,'changes2_based on steps'!$B$1:$U$1,D$1)</f>
        <v>0</v>
      </c>
      <c r="E246" s="179">
        <f>SUMIFS('recurring2_based on steps'!$B246:$AY246,'recurring2_based on steps'!$B$1:$AY$1,E$1)+SUMIFS('changes2_based on steps'!$B246:$U246,'changes2_based on steps'!$B$1:$U$1,E$1)</f>
        <v>0</v>
      </c>
      <c r="F246" s="179">
        <f>SUMIFS('recurring2_based on steps'!$B246:$AY246,'recurring2_based on steps'!$B$1:$AY$1,F$1)+SUMIFS('changes2_based on steps'!$B246:$U246,'changes2_based on steps'!$B$1:$U$1,F$1)</f>
        <v>0</v>
      </c>
      <c r="G246" s="179">
        <f>SUMIFS('recurring2_based on steps'!$B246:$AY246,'recurring2_based on steps'!$B$1:$AY$1,G$1)+SUMIFS('changes2_based on steps'!$B246:$U246,'changes2_based on steps'!$B$1:$U$1,G$1)</f>
        <v>0</v>
      </c>
      <c r="H246" s="179">
        <f>SUMIFS('recurring2_based on steps'!$B246:$AY246,'recurring2_based on steps'!$B$1:$AY$1,H$1)+SUMIFS('changes2_based on steps'!$B246:$U246,'changes2_based on steps'!$B$1:$U$1,H$1)</f>
        <v>0</v>
      </c>
      <c r="I246" s="179">
        <f>SUMIFS('recurring2_based on steps'!$B246:$AY246,'recurring2_based on steps'!$B$1:$AY$1,I$1)+SUMIFS('changes2_based on steps'!$B246:$U246,'changes2_based on steps'!$B$1:$U$1,I$1)</f>
        <v>0</v>
      </c>
      <c r="J246" s="179">
        <f>SUMIFS('recurring2_based on steps'!$B246:$AY246,'recurring2_based on steps'!$B$1:$AY$1,J$1)+SUMIFS('changes2_based on steps'!$B246:$U246,'changes2_based on steps'!$B$1:$U$1,J$1)</f>
        <v>0</v>
      </c>
      <c r="K246" s="179">
        <f>SUMIFS('recurring2_based on steps'!$B246:$AY246,'recurring2_based on steps'!$B$1:$AY$1,K$1)+SUMIFS('changes2_based on steps'!$B246:$U246,'changes2_based on steps'!$B$1:$U$1,K$1)</f>
        <v>0</v>
      </c>
      <c r="L246" s="179">
        <f>SUMIFS('recurring2_based on steps'!$B246:$AY246,'recurring2_based on steps'!$B$1:$AY$1,L$1)+SUMIFS('changes2_based on steps'!$B246:$U246,'changes2_based on steps'!$B$1:$U$1,L$1)</f>
        <v>0</v>
      </c>
      <c r="M246" s="179">
        <f>SUMIFS('recurring2_based on steps'!$B246:$AY246,'recurring2_based on steps'!$B$1:$AY$1,M$1)+SUMIFS('changes2_based on steps'!$B246:$U246,'changes2_based on steps'!$B$1:$U$1,M$1)</f>
        <v>0</v>
      </c>
      <c r="N246" s="179">
        <f>SUMIFS('recurring2_based on steps'!$B246:$AY246,'recurring2_based on steps'!$B$1:$AY$1,N$1)+SUMIFS('changes2_based on steps'!$B246:$U246,'changes2_based on steps'!$B$1:$U$1,N$1)</f>
        <v>0</v>
      </c>
      <c r="O246" s="179">
        <f>SUMIFS('recurring2_based on steps'!$B246:$AY246,'recurring2_based on steps'!$B$1:$AY$1,O$1)+SUMIFS('changes2_based on steps'!$B246:$U246,'changes2_based on steps'!$B$1:$U$1,O$1)</f>
        <v>0</v>
      </c>
      <c r="P246" s="179">
        <f>SUMIFS('recurring2_based on steps'!$B246:$AY246,'recurring2_based on steps'!$B$1:$AY$1,P$1)+SUMIFS('changes2_based on steps'!$B246:$U246,'changes2_based on steps'!$B$1:$U$1,P$1)</f>
        <v>0</v>
      </c>
      <c r="Q246" s="179">
        <f>SUMIFS('recurring2_based on steps'!$B246:$AY246,'recurring2_based on steps'!$B$1:$AY$1,Q$1)+SUMIFS('changes2_based on steps'!$B246:$U246,'changes2_based on steps'!$B$1:$U$1,Q$1)</f>
        <v>0</v>
      </c>
      <c r="R246" s="179">
        <f>SUMIFS('recurring2_based on steps'!$B246:$AY246,'recurring2_based on steps'!$B$1:$AY$1,R$1)+SUMIFS('changes2_based on steps'!$B246:$U246,'changes2_based on steps'!$B$1:$U$1,R$1)</f>
        <v>0</v>
      </c>
      <c r="S246" s="179">
        <f>SUMIFS('recurring2_based on steps'!$B246:$AY246,'recurring2_based on steps'!$B$1:$AY$1,S$1)+SUMIFS('changes2_based on steps'!$B246:$U246,'changes2_based on steps'!$B$1:$U$1,S$1)</f>
        <v>0</v>
      </c>
      <c r="T246" s="179">
        <f>SUMIFS('recurring2_based on steps'!$B246:$AY246,'recurring2_based on steps'!$B$1:$AY$1,T$1)+SUMIFS('changes2_based on steps'!$B246:$U246,'changes2_based on steps'!$B$1:$U$1,T$1)</f>
        <v>0</v>
      </c>
      <c r="U246" s="179">
        <f>SUMIFS('recurring2_based on steps'!$B246:$AY246,'recurring2_based on steps'!$B$1:$AY$1,U$1)+SUMIFS('changes2_based on steps'!$B246:$U246,'changes2_based on steps'!$B$1:$U$1,U$1)</f>
        <v>0</v>
      </c>
      <c r="V246" s="179">
        <f>SUMIFS('recurring2_based on steps'!$B246:$AY246,'recurring2_based on steps'!$B$1:$AY$1,V$1)+SUMIFS('changes2_based on steps'!$B246:$U246,'changes2_based on steps'!$B$1:$U$1,V$1)</f>
        <v>0</v>
      </c>
      <c r="W246" s="179">
        <f>SUMIFS('recurring2_based on steps'!$B246:$AY246,'recurring2_based on steps'!$B$1:$AY$1,W$1)+SUMIFS('changes2_based on steps'!$B246:$U246,'changes2_based on steps'!$B$1:$U$1,W$1)</f>
        <v>0</v>
      </c>
      <c r="X246" s="179">
        <f>SUMIFS('recurring2_based on steps'!$B246:$AY246,'recurring2_based on steps'!$B$1:$AY$1,X$1)+SUMIFS('changes2_based on steps'!$B246:$U246,'changes2_based on steps'!$B$1:$U$1,X$1)</f>
        <v>0</v>
      </c>
      <c r="Y246" s="179">
        <f>SUMIFS('recurring2_based on steps'!$B246:$AY246,'recurring2_based on steps'!$B$1:$AY$1,Y$1)+SUMIFS('changes2_based on steps'!$B246:$U246,'changes2_based on steps'!$B$1:$U$1,Y$1)</f>
        <v>0</v>
      </c>
      <c r="Z246" s="179">
        <f>SUMIFS('recurring2_based on steps'!$B246:$AY246,'recurring2_based on steps'!$B$1:$AY$1,Z$1)+SUMIFS('changes2_based on steps'!$B246:$U246,'changes2_based on steps'!$B$1:$U$1,Z$1)</f>
        <v>0</v>
      </c>
      <c r="AA246" s="179">
        <f>SUMIFS('recurring2_based on steps'!$B246:$AY246,'recurring2_based on steps'!$B$1:$AY$1,AA$1)+SUMIFS('changes2_based on steps'!$B246:$U246,'changes2_based on steps'!$B$1:$U$1,AA$1)</f>
        <v>0</v>
      </c>
      <c r="AB246" s="179">
        <f>SUMIFS('recurring2_based on steps'!$B246:$AY246,'recurring2_based on steps'!$B$1:$AY$1,AB$1)+SUMIFS('changes2_based on steps'!$B246:$U246,'changes2_based on steps'!$B$1:$U$1,AB$1)</f>
        <v>0</v>
      </c>
      <c r="AC246" s="179">
        <f>SUMIFS('recurring2_based on steps'!$B246:$AY246,'recurring2_based on steps'!$B$1:$AY$1,AC$1)+SUMIFS('changes2_based on steps'!$B246:$U246,'changes2_based on steps'!$B$1:$U$1,AC$1)</f>
        <v>0</v>
      </c>
      <c r="AD246" s="179">
        <f>SUMIFS('recurring2_based on steps'!$B246:$AY246,'recurring2_based on steps'!$B$1:$AY$1,AD$1)+SUMIFS('changes2_based on steps'!$B246:$U246,'changes2_based on steps'!$B$1:$U$1,AD$1)</f>
        <v>0</v>
      </c>
      <c r="AE246" s="179">
        <f>SUMIFS('recurring2_based on steps'!$B246:$AY246,'recurring2_based on steps'!$B$1:$AY$1,AE$1)+SUMIFS('changes2_based on steps'!$B246:$U246,'changes2_based on steps'!$B$1:$U$1,AE$1)</f>
        <v>0</v>
      </c>
      <c r="AF246" s="179"/>
      <c r="AG246" s="179"/>
      <c r="AH246" s="179"/>
      <c r="AI246" s="179"/>
      <c r="AJ246" s="179"/>
      <c r="AK246" s="179"/>
      <c r="AL246" s="179"/>
      <c r="AM246" s="179"/>
    </row>
    <row r="247" spans="1:39" x14ac:dyDescent="0.2">
      <c r="A247" s="32">
        <f t="shared" ca="1" si="3"/>
        <v>45989</v>
      </c>
      <c r="B247" s="179">
        <f>SUMIFS('recurring2_based on steps'!$B247:$AY247,'recurring2_based on steps'!$B$1:$AY$1,B$1)+SUMIFS('changes2_based on steps'!$B247:$U247,'changes2_based on steps'!$B$1:$U$1,B$1)</f>
        <v>0</v>
      </c>
      <c r="C247" s="179">
        <f>SUMIFS('recurring2_based on steps'!$B247:$AY247,'recurring2_based on steps'!$B$1:$AY$1,C$1)+SUMIFS('changes2_based on steps'!$B247:$U247,'changes2_based on steps'!$B$1:$U$1,C$1)</f>
        <v>0</v>
      </c>
      <c r="D247" s="179">
        <f>SUMIFS('recurring2_based on steps'!$B247:$AY247,'recurring2_based on steps'!$B$1:$AY$1,D$1)+SUMIFS('changes2_based on steps'!$B247:$U247,'changes2_based on steps'!$B$1:$U$1,D$1)</f>
        <v>0</v>
      </c>
      <c r="E247" s="179">
        <f>SUMIFS('recurring2_based on steps'!$B247:$AY247,'recurring2_based on steps'!$B$1:$AY$1,E$1)+SUMIFS('changes2_based on steps'!$B247:$U247,'changes2_based on steps'!$B$1:$U$1,E$1)</f>
        <v>0</v>
      </c>
      <c r="F247" s="179">
        <f>SUMIFS('recurring2_based on steps'!$B247:$AY247,'recurring2_based on steps'!$B$1:$AY$1,F$1)+SUMIFS('changes2_based on steps'!$B247:$U247,'changes2_based on steps'!$B$1:$U$1,F$1)</f>
        <v>0</v>
      </c>
      <c r="G247" s="179">
        <f>SUMIFS('recurring2_based on steps'!$B247:$AY247,'recurring2_based on steps'!$B$1:$AY$1,G$1)+SUMIFS('changes2_based on steps'!$B247:$U247,'changes2_based on steps'!$B$1:$U$1,G$1)</f>
        <v>0</v>
      </c>
      <c r="H247" s="179">
        <f>SUMIFS('recurring2_based on steps'!$B247:$AY247,'recurring2_based on steps'!$B$1:$AY$1,H$1)+SUMIFS('changes2_based on steps'!$B247:$U247,'changes2_based on steps'!$B$1:$U$1,H$1)</f>
        <v>0</v>
      </c>
      <c r="I247" s="179">
        <f>SUMIFS('recurring2_based on steps'!$B247:$AY247,'recurring2_based on steps'!$B$1:$AY$1,I$1)+SUMIFS('changes2_based on steps'!$B247:$U247,'changes2_based on steps'!$B$1:$U$1,I$1)</f>
        <v>0</v>
      </c>
      <c r="J247" s="179">
        <f>SUMIFS('recurring2_based on steps'!$B247:$AY247,'recurring2_based on steps'!$B$1:$AY$1,J$1)+SUMIFS('changes2_based on steps'!$B247:$U247,'changes2_based on steps'!$B$1:$U$1,J$1)</f>
        <v>0</v>
      </c>
      <c r="K247" s="179">
        <f>SUMIFS('recurring2_based on steps'!$B247:$AY247,'recurring2_based on steps'!$B$1:$AY$1,K$1)+SUMIFS('changes2_based on steps'!$B247:$U247,'changes2_based on steps'!$B$1:$U$1,K$1)</f>
        <v>0</v>
      </c>
      <c r="L247" s="179">
        <f>SUMIFS('recurring2_based on steps'!$B247:$AY247,'recurring2_based on steps'!$B$1:$AY$1,L$1)+SUMIFS('changes2_based on steps'!$B247:$U247,'changes2_based on steps'!$B$1:$U$1,L$1)</f>
        <v>0</v>
      </c>
      <c r="M247" s="179">
        <f>SUMIFS('recurring2_based on steps'!$B247:$AY247,'recurring2_based on steps'!$B$1:$AY$1,M$1)+SUMIFS('changes2_based on steps'!$B247:$U247,'changes2_based on steps'!$B$1:$U$1,M$1)</f>
        <v>0</v>
      </c>
      <c r="N247" s="179">
        <f>SUMIFS('recurring2_based on steps'!$B247:$AY247,'recurring2_based on steps'!$B$1:$AY$1,N$1)+SUMIFS('changes2_based on steps'!$B247:$U247,'changes2_based on steps'!$B$1:$U$1,N$1)</f>
        <v>0</v>
      </c>
      <c r="O247" s="179">
        <f>SUMIFS('recurring2_based on steps'!$B247:$AY247,'recurring2_based on steps'!$B$1:$AY$1,O$1)+SUMIFS('changes2_based on steps'!$B247:$U247,'changes2_based on steps'!$B$1:$U$1,O$1)</f>
        <v>0</v>
      </c>
      <c r="P247" s="179">
        <f>SUMIFS('recurring2_based on steps'!$B247:$AY247,'recurring2_based on steps'!$B$1:$AY$1,P$1)+SUMIFS('changes2_based on steps'!$B247:$U247,'changes2_based on steps'!$B$1:$U$1,P$1)</f>
        <v>0</v>
      </c>
      <c r="Q247" s="179">
        <f>SUMIFS('recurring2_based on steps'!$B247:$AY247,'recurring2_based on steps'!$B$1:$AY$1,Q$1)+SUMIFS('changes2_based on steps'!$B247:$U247,'changes2_based on steps'!$B$1:$U$1,Q$1)</f>
        <v>0</v>
      </c>
      <c r="R247" s="179">
        <f>SUMIFS('recurring2_based on steps'!$B247:$AY247,'recurring2_based on steps'!$B$1:$AY$1,R$1)+SUMIFS('changes2_based on steps'!$B247:$U247,'changes2_based on steps'!$B$1:$U$1,R$1)</f>
        <v>0</v>
      </c>
      <c r="S247" s="179">
        <f>SUMIFS('recurring2_based on steps'!$B247:$AY247,'recurring2_based on steps'!$B$1:$AY$1,S$1)+SUMIFS('changes2_based on steps'!$B247:$U247,'changes2_based on steps'!$B$1:$U$1,S$1)</f>
        <v>0</v>
      </c>
      <c r="T247" s="179">
        <f>SUMIFS('recurring2_based on steps'!$B247:$AY247,'recurring2_based on steps'!$B$1:$AY$1,T$1)+SUMIFS('changes2_based on steps'!$B247:$U247,'changes2_based on steps'!$B$1:$U$1,T$1)</f>
        <v>0</v>
      </c>
      <c r="U247" s="179">
        <f>SUMIFS('recurring2_based on steps'!$B247:$AY247,'recurring2_based on steps'!$B$1:$AY$1,U$1)+SUMIFS('changes2_based on steps'!$B247:$U247,'changes2_based on steps'!$B$1:$U$1,U$1)</f>
        <v>0</v>
      </c>
      <c r="V247" s="179">
        <f>SUMIFS('recurring2_based on steps'!$B247:$AY247,'recurring2_based on steps'!$B$1:$AY$1,V$1)+SUMIFS('changes2_based on steps'!$B247:$U247,'changes2_based on steps'!$B$1:$U$1,V$1)</f>
        <v>0</v>
      </c>
      <c r="W247" s="179">
        <f>SUMIFS('recurring2_based on steps'!$B247:$AY247,'recurring2_based on steps'!$B$1:$AY$1,W$1)+SUMIFS('changes2_based on steps'!$B247:$U247,'changes2_based on steps'!$B$1:$U$1,W$1)</f>
        <v>0</v>
      </c>
      <c r="X247" s="179">
        <f>SUMIFS('recurring2_based on steps'!$B247:$AY247,'recurring2_based on steps'!$B$1:$AY$1,X$1)+SUMIFS('changes2_based on steps'!$B247:$U247,'changes2_based on steps'!$B$1:$U$1,X$1)</f>
        <v>0</v>
      </c>
      <c r="Y247" s="179">
        <f>SUMIFS('recurring2_based on steps'!$B247:$AY247,'recurring2_based on steps'!$B$1:$AY$1,Y$1)+SUMIFS('changes2_based on steps'!$B247:$U247,'changes2_based on steps'!$B$1:$U$1,Y$1)</f>
        <v>0</v>
      </c>
      <c r="Z247" s="179">
        <f>SUMIFS('recurring2_based on steps'!$B247:$AY247,'recurring2_based on steps'!$B$1:$AY$1,Z$1)+SUMIFS('changes2_based on steps'!$B247:$U247,'changes2_based on steps'!$B$1:$U$1,Z$1)</f>
        <v>0</v>
      </c>
      <c r="AA247" s="179">
        <f>SUMIFS('recurring2_based on steps'!$B247:$AY247,'recurring2_based on steps'!$B$1:$AY$1,AA$1)+SUMIFS('changes2_based on steps'!$B247:$U247,'changes2_based on steps'!$B$1:$U$1,AA$1)</f>
        <v>0</v>
      </c>
      <c r="AB247" s="179">
        <f>SUMIFS('recurring2_based on steps'!$B247:$AY247,'recurring2_based on steps'!$B$1:$AY$1,AB$1)+SUMIFS('changes2_based on steps'!$B247:$U247,'changes2_based on steps'!$B$1:$U$1,AB$1)</f>
        <v>0</v>
      </c>
      <c r="AC247" s="179">
        <f>SUMIFS('recurring2_based on steps'!$B247:$AY247,'recurring2_based on steps'!$B$1:$AY$1,AC$1)+SUMIFS('changes2_based on steps'!$B247:$U247,'changes2_based on steps'!$B$1:$U$1,AC$1)</f>
        <v>0</v>
      </c>
      <c r="AD247" s="179">
        <f>SUMIFS('recurring2_based on steps'!$B247:$AY247,'recurring2_based on steps'!$B$1:$AY$1,AD$1)+SUMIFS('changes2_based on steps'!$B247:$U247,'changes2_based on steps'!$B$1:$U$1,AD$1)</f>
        <v>0</v>
      </c>
      <c r="AE247" s="179">
        <f>SUMIFS('recurring2_based on steps'!$B247:$AY247,'recurring2_based on steps'!$B$1:$AY$1,AE$1)+SUMIFS('changes2_based on steps'!$B247:$U247,'changes2_based on steps'!$B$1:$U$1,AE$1)</f>
        <v>0</v>
      </c>
      <c r="AF247" s="179"/>
      <c r="AG247" s="179"/>
      <c r="AH247" s="179"/>
      <c r="AI247" s="179"/>
      <c r="AJ247" s="179"/>
      <c r="AK247" s="179"/>
      <c r="AL247" s="179"/>
      <c r="AM247" s="179"/>
    </row>
    <row r="248" spans="1:39" x14ac:dyDescent="0.2">
      <c r="A248" s="32">
        <f t="shared" ca="1" si="3"/>
        <v>45990</v>
      </c>
      <c r="B248" s="179">
        <f>SUMIFS('recurring2_based on steps'!$B248:$AY248,'recurring2_based on steps'!$B$1:$AY$1,B$1)+SUMIFS('changes2_based on steps'!$B248:$U248,'changes2_based on steps'!$B$1:$U$1,B$1)</f>
        <v>0</v>
      </c>
      <c r="C248" s="179">
        <f>SUMIFS('recurring2_based on steps'!$B248:$AY248,'recurring2_based on steps'!$B$1:$AY$1,C$1)+SUMIFS('changes2_based on steps'!$B248:$U248,'changes2_based on steps'!$B$1:$U$1,C$1)</f>
        <v>0</v>
      </c>
      <c r="D248" s="179">
        <f>SUMIFS('recurring2_based on steps'!$B248:$AY248,'recurring2_based on steps'!$B$1:$AY$1,D$1)+SUMIFS('changes2_based on steps'!$B248:$U248,'changes2_based on steps'!$B$1:$U$1,D$1)</f>
        <v>0</v>
      </c>
      <c r="E248" s="179">
        <f>SUMIFS('recurring2_based on steps'!$B248:$AY248,'recurring2_based on steps'!$B$1:$AY$1,E$1)+SUMIFS('changes2_based on steps'!$B248:$U248,'changes2_based on steps'!$B$1:$U$1,E$1)</f>
        <v>0</v>
      </c>
      <c r="F248" s="179">
        <f>SUMIFS('recurring2_based on steps'!$B248:$AY248,'recurring2_based on steps'!$B$1:$AY$1,F$1)+SUMIFS('changes2_based on steps'!$B248:$U248,'changes2_based on steps'!$B$1:$U$1,F$1)</f>
        <v>0</v>
      </c>
      <c r="G248" s="179">
        <f>SUMIFS('recurring2_based on steps'!$B248:$AY248,'recurring2_based on steps'!$B$1:$AY$1,G$1)+SUMIFS('changes2_based on steps'!$B248:$U248,'changes2_based on steps'!$B$1:$U$1,G$1)</f>
        <v>0</v>
      </c>
      <c r="H248" s="179">
        <f>SUMIFS('recurring2_based on steps'!$B248:$AY248,'recurring2_based on steps'!$B$1:$AY$1,H$1)+SUMIFS('changes2_based on steps'!$B248:$U248,'changes2_based on steps'!$B$1:$U$1,H$1)</f>
        <v>0</v>
      </c>
      <c r="I248" s="179">
        <f>SUMIFS('recurring2_based on steps'!$B248:$AY248,'recurring2_based on steps'!$B$1:$AY$1,I$1)+SUMIFS('changes2_based on steps'!$B248:$U248,'changes2_based on steps'!$B$1:$U$1,I$1)</f>
        <v>0</v>
      </c>
      <c r="J248" s="179">
        <f>SUMIFS('recurring2_based on steps'!$B248:$AY248,'recurring2_based on steps'!$B$1:$AY$1,J$1)+SUMIFS('changes2_based on steps'!$B248:$U248,'changes2_based on steps'!$B$1:$U$1,J$1)</f>
        <v>0</v>
      </c>
      <c r="K248" s="179">
        <f>SUMIFS('recurring2_based on steps'!$B248:$AY248,'recurring2_based on steps'!$B$1:$AY$1,K$1)+SUMIFS('changes2_based on steps'!$B248:$U248,'changes2_based on steps'!$B$1:$U$1,K$1)</f>
        <v>0</v>
      </c>
      <c r="L248" s="179">
        <f>SUMIFS('recurring2_based on steps'!$B248:$AY248,'recurring2_based on steps'!$B$1:$AY$1,L$1)+SUMIFS('changes2_based on steps'!$B248:$U248,'changes2_based on steps'!$B$1:$U$1,L$1)</f>
        <v>0</v>
      </c>
      <c r="M248" s="179">
        <f>SUMIFS('recurring2_based on steps'!$B248:$AY248,'recurring2_based on steps'!$B$1:$AY$1,M$1)+SUMIFS('changes2_based on steps'!$B248:$U248,'changes2_based on steps'!$B$1:$U$1,M$1)</f>
        <v>0</v>
      </c>
      <c r="N248" s="179">
        <f>SUMIFS('recurring2_based on steps'!$B248:$AY248,'recurring2_based on steps'!$B$1:$AY$1,N$1)+SUMIFS('changes2_based on steps'!$B248:$U248,'changes2_based on steps'!$B$1:$U$1,N$1)</f>
        <v>0</v>
      </c>
      <c r="O248" s="179">
        <f>SUMIFS('recurring2_based on steps'!$B248:$AY248,'recurring2_based on steps'!$B$1:$AY$1,O$1)+SUMIFS('changes2_based on steps'!$B248:$U248,'changes2_based on steps'!$B$1:$U$1,O$1)</f>
        <v>0</v>
      </c>
      <c r="P248" s="179">
        <f>SUMIFS('recurring2_based on steps'!$B248:$AY248,'recurring2_based on steps'!$B$1:$AY$1,P$1)+SUMIFS('changes2_based on steps'!$B248:$U248,'changes2_based on steps'!$B$1:$U$1,P$1)</f>
        <v>0</v>
      </c>
      <c r="Q248" s="179">
        <f>SUMIFS('recurring2_based on steps'!$B248:$AY248,'recurring2_based on steps'!$B$1:$AY$1,Q$1)+SUMIFS('changes2_based on steps'!$B248:$U248,'changes2_based on steps'!$B$1:$U$1,Q$1)</f>
        <v>0</v>
      </c>
      <c r="R248" s="179">
        <f>SUMIFS('recurring2_based on steps'!$B248:$AY248,'recurring2_based on steps'!$B$1:$AY$1,R$1)+SUMIFS('changes2_based on steps'!$B248:$U248,'changes2_based on steps'!$B$1:$U$1,R$1)</f>
        <v>0</v>
      </c>
      <c r="S248" s="179">
        <f>SUMIFS('recurring2_based on steps'!$B248:$AY248,'recurring2_based on steps'!$B$1:$AY$1,S$1)+SUMIFS('changes2_based on steps'!$B248:$U248,'changes2_based on steps'!$B$1:$U$1,S$1)</f>
        <v>0</v>
      </c>
      <c r="T248" s="179">
        <f>SUMIFS('recurring2_based on steps'!$B248:$AY248,'recurring2_based on steps'!$B$1:$AY$1,T$1)+SUMIFS('changes2_based on steps'!$B248:$U248,'changes2_based on steps'!$B$1:$U$1,T$1)</f>
        <v>0</v>
      </c>
      <c r="U248" s="179">
        <f>SUMIFS('recurring2_based on steps'!$B248:$AY248,'recurring2_based on steps'!$B$1:$AY$1,U$1)+SUMIFS('changes2_based on steps'!$B248:$U248,'changes2_based on steps'!$B$1:$U$1,U$1)</f>
        <v>0</v>
      </c>
      <c r="V248" s="179">
        <f>SUMIFS('recurring2_based on steps'!$B248:$AY248,'recurring2_based on steps'!$B$1:$AY$1,V$1)+SUMIFS('changes2_based on steps'!$B248:$U248,'changes2_based on steps'!$B$1:$U$1,V$1)</f>
        <v>0</v>
      </c>
      <c r="W248" s="179">
        <f>SUMIFS('recurring2_based on steps'!$B248:$AY248,'recurring2_based on steps'!$B$1:$AY$1,W$1)+SUMIFS('changes2_based on steps'!$B248:$U248,'changes2_based on steps'!$B$1:$U$1,W$1)</f>
        <v>0</v>
      </c>
      <c r="X248" s="179">
        <f>SUMIFS('recurring2_based on steps'!$B248:$AY248,'recurring2_based on steps'!$B$1:$AY$1,X$1)+SUMIFS('changes2_based on steps'!$B248:$U248,'changes2_based on steps'!$B$1:$U$1,X$1)</f>
        <v>0</v>
      </c>
      <c r="Y248" s="179">
        <f>SUMIFS('recurring2_based on steps'!$B248:$AY248,'recurring2_based on steps'!$B$1:$AY$1,Y$1)+SUMIFS('changes2_based on steps'!$B248:$U248,'changes2_based on steps'!$B$1:$U$1,Y$1)</f>
        <v>0</v>
      </c>
      <c r="Z248" s="179">
        <f>SUMIFS('recurring2_based on steps'!$B248:$AY248,'recurring2_based on steps'!$B$1:$AY$1,Z$1)+SUMIFS('changes2_based on steps'!$B248:$U248,'changes2_based on steps'!$B$1:$U$1,Z$1)</f>
        <v>0</v>
      </c>
      <c r="AA248" s="179">
        <f>SUMIFS('recurring2_based on steps'!$B248:$AY248,'recurring2_based on steps'!$B$1:$AY$1,AA$1)+SUMIFS('changes2_based on steps'!$B248:$U248,'changes2_based on steps'!$B$1:$U$1,AA$1)</f>
        <v>0</v>
      </c>
      <c r="AB248" s="179">
        <f>SUMIFS('recurring2_based on steps'!$B248:$AY248,'recurring2_based on steps'!$B$1:$AY$1,AB$1)+SUMIFS('changes2_based on steps'!$B248:$U248,'changes2_based on steps'!$B$1:$U$1,AB$1)</f>
        <v>0</v>
      </c>
      <c r="AC248" s="179">
        <f>SUMIFS('recurring2_based on steps'!$B248:$AY248,'recurring2_based on steps'!$B$1:$AY$1,AC$1)+SUMIFS('changes2_based on steps'!$B248:$U248,'changes2_based on steps'!$B$1:$U$1,AC$1)</f>
        <v>0</v>
      </c>
      <c r="AD248" s="179">
        <f>SUMIFS('recurring2_based on steps'!$B248:$AY248,'recurring2_based on steps'!$B$1:$AY$1,AD$1)+SUMIFS('changes2_based on steps'!$B248:$U248,'changes2_based on steps'!$B$1:$U$1,AD$1)</f>
        <v>0</v>
      </c>
      <c r="AE248" s="179">
        <f>SUMIFS('recurring2_based on steps'!$B248:$AY248,'recurring2_based on steps'!$B$1:$AY$1,AE$1)+SUMIFS('changes2_based on steps'!$B248:$U248,'changes2_based on steps'!$B$1:$U$1,AE$1)</f>
        <v>0</v>
      </c>
      <c r="AF248" s="179"/>
      <c r="AG248" s="179"/>
      <c r="AH248" s="179"/>
      <c r="AI248" s="179"/>
      <c r="AJ248" s="179"/>
      <c r="AK248" s="179"/>
      <c r="AL248" s="179"/>
      <c r="AM248" s="179"/>
    </row>
    <row r="249" spans="1:39" x14ac:dyDescent="0.2">
      <c r="A249" s="32">
        <f t="shared" ca="1" si="3"/>
        <v>45991</v>
      </c>
      <c r="B249" s="179">
        <f>SUMIFS('recurring2_based on steps'!$B249:$AY249,'recurring2_based on steps'!$B$1:$AY$1,B$1)+SUMIFS('changes2_based on steps'!$B249:$U249,'changes2_based on steps'!$B$1:$U$1,B$1)</f>
        <v>0</v>
      </c>
      <c r="C249" s="179">
        <f>SUMIFS('recurring2_based on steps'!$B249:$AY249,'recurring2_based on steps'!$B$1:$AY$1,C$1)+SUMIFS('changes2_based on steps'!$B249:$U249,'changes2_based on steps'!$B$1:$U$1,C$1)</f>
        <v>0</v>
      </c>
      <c r="D249" s="179">
        <f>SUMIFS('recurring2_based on steps'!$B249:$AY249,'recurring2_based on steps'!$B$1:$AY$1,D$1)+SUMIFS('changes2_based on steps'!$B249:$U249,'changes2_based on steps'!$B$1:$U$1,D$1)</f>
        <v>0</v>
      </c>
      <c r="E249" s="179">
        <f>SUMIFS('recurring2_based on steps'!$B249:$AY249,'recurring2_based on steps'!$B$1:$AY$1,E$1)+SUMIFS('changes2_based on steps'!$B249:$U249,'changes2_based on steps'!$B$1:$U$1,E$1)</f>
        <v>0</v>
      </c>
      <c r="F249" s="179">
        <f>SUMIFS('recurring2_based on steps'!$B249:$AY249,'recurring2_based on steps'!$B$1:$AY$1,F$1)+SUMIFS('changes2_based on steps'!$B249:$U249,'changes2_based on steps'!$B$1:$U$1,F$1)</f>
        <v>0</v>
      </c>
      <c r="G249" s="179">
        <f>SUMIFS('recurring2_based on steps'!$B249:$AY249,'recurring2_based on steps'!$B$1:$AY$1,G$1)+SUMIFS('changes2_based on steps'!$B249:$U249,'changes2_based on steps'!$B$1:$U$1,G$1)</f>
        <v>0</v>
      </c>
      <c r="H249" s="179">
        <f>SUMIFS('recurring2_based on steps'!$B249:$AY249,'recurring2_based on steps'!$B$1:$AY$1,H$1)+SUMIFS('changes2_based on steps'!$B249:$U249,'changes2_based on steps'!$B$1:$U$1,H$1)</f>
        <v>0</v>
      </c>
      <c r="I249" s="179">
        <f>SUMIFS('recurring2_based on steps'!$B249:$AY249,'recurring2_based on steps'!$B$1:$AY$1,I$1)+SUMIFS('changes2_based on steps'!$B249:$U249,'changes2_based on steps'!$B$1:$U$1,I$1)</f>
        <v>0</v>
      </c>
      <c r="J249" s="179">
        <f>SUMIFS('recurring2_based on steps'!$B249:$AY249,'recurring2_based on steps'!$B$1:$AY$1,J$1)+SUMIFS('changes2_based on steps'!$B249:$U249,'changes2_based on steps'!$B$1:$U$1,J$1)</f>
        <v>0</v>
      </c>
      <c r="K249" s="179">
        <f>SUMIFS('recurring2_based on steps'!$B249:$AY249,'recurring2_based on steps'!$B$1:$AY$1,K$1)+SUMIFS('changes2_based on steps'!$B249:$U249,'changes2_based on steps'!$B$1:$U$1,K$1)</f>
        <v>0</v>
      </c>
      <c r="L249" s="179">
        <f>SUMIFS('recurring2_based on steps'!$B249:$AY249,'recurring2_based on steps'!$B$1:$AY$1,L$1)+SUMIFS('changes2_based on steps'!$B249:$U249,'changes2_based on steps'!$B$1:$U$1,L$1)</f>
        <v>0</v>
      </c>
      <c r="M249" s="179">
        <f>SUMIFS('recurring2_based on steps'!$B249:$AY249,'recurring2_based on steps'!$B$1:$AY$1,M$1)+SUMIFS('changes2_based on steps'!$B249:$U249,'changes2_based on steps'!$B$1:$U$1,M$1)</f>
        <v>0</v>
      </c>
      <c r="N249" s="179">
        <f>SUMIFS('recurring2_based on steps'!$B249:$AY249,'recurring2_based on steps'!$B$1:$AY$1,N$1)+SUMIFS('changes2_based on steps'!$B249:$U249,'changes2_based on steps'!$B$1:$U$1,N$1)</f>
        <v>0</v>
      </c>
      <c r="O249" s="179">
        <f>SUMIFS('recurring2_based on steps'!$B249:$AY249,'recurring2_based on steps'!$B$1:$AY$1,O$1)+SUMIFS('changes2_based on steps'!$B249:$U249,'changes2_based on steps'!$B$1:$U$1,O$1)</f>
        <v>0</v>
      </c>
      <c r="P249" s="179">
        <f>SUMIFS('recurring2_based on steps'!$B249:$AY249,'recurring2_based on steps'!$B$1:$AY$1,P$1)+SUMIFS('changes2_based on steps'!$B249:$U249,'changes2_based on steps'!$B$1:$U$1,P$1)</f>
        <v>0</v>
      </c>
      <c r="Q249" s="179">
        <f>SUMIFS('recurring2_based on steps'!$B249:$AY249,'recurring2_based on steps'!$B$1:$AY$1,Q$1)+SUMIFS('changes2_based on steps'!$B249:$U249,'changes2_based on steps'!$B$1:$U$1,Q$1)</f>
        <v>0</v>
      </c>
      <c r="R249" s="179">
        <f>SUMIFS('recurring2_based on steps'!$B249:$AY249,'recurring2_based on steps'!$B$1:$AY$1,R$1)+SUMIFS('changes2_based on steps'!$B249:$U249,'changes2_based on steps'!$B$1:$U$1,R$1)</f>
        <v>0</v>
      </c>
      <c r="S249" s="179">
        <f>SUMIFS('recurring2_based on steps'!$B249:$AY249,'recurring2_based on steps'!$B$1:$AY$1,S$1)+SUMIFS('changes2_based on steps'!$B249:$U249,'changes2_based on steps'!$B$1:$U$1,S$1)</f>
        <v>0</v>
      </c>
      <c r="T249" s="179">
        <f>SUMIFS('recurring2_based on steps'!$B249:$AY249,'recurring2_based on steps'!$B$1:$AY$1,T$1)+SUMIFS('changes2_based on steps'!$B249:$U249,'changes2_based on steps'!$B$1:$U$1,T$1)</f>
        <v>0</v>
      </c>
      <c r="U249" s="179">
        <f>SUMIFS('recurring2_based on steps'!$B249:$AY249,'recurring2_based on steps'!$B$1:$AY$1,U$1)+SUMIFS('changes2_based on steps'!$B249:$U249,'changes2_based on steps'!$B$1:$U$1,U$1)</f>
        <v>0</v>
      </c>
      <c r="V249" s="179">
        <f>SUMIFS('recurring2_based on steps'!$B249:$AY249,'recurring2_based on steps'!$B$1:$AY$1,V$1)+SUMIFS('changes2_based on steps'!$B249:$U249,'changes2_based on steps'!$B$1:$U$1,V$1)</f>
        <v>0</v>
      </c>
      <c r="W249" s="179">
        <f>SUMIFS('recurring2_based on steps'!$B249:$AY249,'recurring2_based on steps'!$B$1:$AY$1,W$1)+SUMIFS('changes2_based on steps'!$B249:$U249,'changes2_based on steps'!$B$1:$U$1,W$1)</f>
        <v>0</v>
      </c>
      <c r="X249" s="179">
        <f>SUMIFS('recurring2_based on steps'!$B249:$AY249,'recurring2_based on steps'!$B$1:$AY$1,X$1)+SUMIFS('changes2_based on steps'!$B249:$U249,'changes2_based on steps'!$B$1:$U$1,X$1)</f>
        <v>0</v>
      </c>
      <c r="Y249" s="179">
        <f>SUMIFS('recurring2_based on steps'!$B249:$AY249,'recurring2_based on steps'!$B$1:$AY$1,Y$1)+SUMIFS('changes2_based on steps'!$B249:$U249,'changes2_based on steps'!$B$1:$U$1,Y$1)</f>
        <v>0</v>
      </c>
      <c r="Z249" s="179">
        <f>SUMIFS('recurring2_based on steps'!$B249:$AY249,'recurring2_based on steps'!$B$1:$AY$1,Z$1)+SUMIFS('changes2_based on steps'!$B249:$U249,'changes2_based on steps'!$B$1:$U$1,Z$1)</f>
        <v>0</v>
      </c>
      <c r="AA249" s="179">
        <f>SUMIFS('recurring2_based on steps'!$B249:$AY249,'recurring2_based on steps'!$B$1:$AY$1,AA$1)+SUMIFS('changes2_based on steps'!$B249:$U249,'changes2_based on steps'!$B$1:$U$1,AA$1)</f>
        <v>0</v>
      </c>
      <c r="AB249" s="179">
        <f>SUMIFS('recurring2_based on steps'!$B249:$AY249,'recurring2_based on steps'!$B$1:$AY$1,AB$1)+SUMIFS('changes2_based on steps'!$B249:$U249,'changes2_based on steps'!$B$1:$U$1,AB$1)</f>
        <v>0</v>
      </c>
      <c r="AC249" s="179">
        <f>SUMIFS('recurring2_based on steps'!$B249:$AY249,'recurring2_based on steps'!$B$1:$AY$1,AC$1)+SUMIFS('changes2_based on steps'!$B249:$U249,'changes2_based on steps'!$B$1:$U$1,AC$1)</f>
        <v>0</v>
      </c>
      <c r="AD249" s="179">
        <f>SUMIFS('recurring2_based on steps'!$B249:$AY249,'recurring2_based on steps'!$B$1:$AY$1,AD$1)+SUMIFS('changes2_based on steps'!$B249:$U249,'changes2_based on steps'!$B$1:$U$1,AD$1)</f>
        <v>0</v>
      </c>
      <c r="AE249" s="179">
        <f>SUMIFS('recurring2_based on steps'!$B249:$AY249,'recurring2_based on steps'!$B$1:$AY$1,AE$1)+SUMIFS('changes2_based on steps'!$B249:$U249,'changes2_based on steps'!$B$1:$U$1,AE$1)</f>
        <v>0</v>
      </c>
      <c r="AF249" s="179"/>
      <c r="AG249" s="179"/>
      <c r="AH249" s="179"/>
      <c r="AI249" s="179"/>
      <c r="AJ249" s="179"/>
      <c r="AK249" s="179"/>
      <c r="AL249" s="179"/>
      <c r="AM249" s="179"/>
    </row>
    <row r="250" spans="1:39" x14ac:dyDescent="0.2">
      <c r="A250" s="32">
        <f t="shared" ca="1" si="3"/>
        <v>45992</v>
      </c>
      <c r="B250" s="179">
        <f>SUMIFS('recurring2_based on steps'!$B250:$AY250,'recurring2_based on steps'!$B$1:$AY$1,B$1)+SUMIFS('changes2_based on steps'!$B250:$U250,'changes2_based on steps'!$B$1:$U$1,B$1)</f>
        <v>0</v>
      </c>
      <c r="C250" s="179">
        <f>SUMIFS('recurring2_based on steps'!$B250:$AY250,'recurring2_based on steps'!$B$1:$AY$1,C$1)+SUMIFS('changes2_based on steps'!$B250:$U250,'changes2_based on steps'!$B$1:$U$1,C$1)</f>
        <v>0</v>
      </c>
      <c r="D250" s="179">
        <f>SUMIFS('recurring2_based on steps'!$B250:$AY250,'recurring2_based on steps'!$B$1:$AY$1,D$1)+SUMIFS('changes2_based on steps'!$B250:$U250,'changes2_based on steps'!$B$1:$U$1,D$1)</f>
        <v>0</v>
      </c>
      <c r="E250" s="179">
        <f>SUMIFS('recurring2_based on steps'!$B250:$AY250,'recurring2_based on steps'!$B$1:$AY$1,E$1)+SUMIFS('changes2_based on steps'!$B250:$U250,'changes2_based on steps'!$B$1:$U$1,E$1)</f>
        <v>0</v>
      </c>
      <c r="F250" s="179">
        <f>SUMIFS('recurring2_based on steps'!$B250:$AY250,'recurring2_based on steps'!$B$1:$AY$1,F$1)+SUMIFS('changes2_based on steps'!$B250:$U250,'changes2_based on steps'!$B$1:$U$1,F$1)</f>
        <v>0</v>
      </c>
      <c r="G250" s="179">
        <f>SUMIFS('recurring2_based on steps'!$B250:$AY250,'recurring2_based on steps'!$B$1:$AY$1,G$1)+SUMIFS('changes2_based on steps'!$B250:$U250,'changes2_based on steps'!$B$1:$U$1,G$1)</f>
        <v>0</v>
      </c>
      <c r="H250" s="179">
        <f>SUMIFS('recurring2_based on steps'!$B250:$AY250,'recurring2_based on steps'!$B$1:$AY$1,H$1)+SUMIFS('changes2_based on steps'!$B250:$U250,'changes2_based on steps'!$B$1:$U$1,H$1)</f>
        <v>0</v>
      </c>
      <c r="I250" s="179">
        <f>SUMIFS('recurring2_based on steps'!$B250:$AY250,'recurring2_based on steps'!$B$1:$AY$1,I$1)+SUMIFS('changes2_based on steps'!$B250:$U250,'changes2_based on steps'!$B$1:$U$1,I$1)</f>
        <v>0</v>
      </c>
      <c r="J250" s="179">
        <f>SUMIFS('recurring2_based on steps'!$B250:$AY250,'recurring2_based on steps'!$B$1:$AY$1,J$1)+SUMIFS('changes2_based on steps'!$B250:$U250,'changes2_based on steps'!$B$1:$U$1,J$1)</f>
        <v>0</v>
      </c>
      <c r="K250" s="179">
        <f>SUMIFS('recurring2_based on steps'!$B250:$AY250,'recurring2_based on steps'!$B$1:$AY$1,K$1)+SUMIFS('changes2_based on steps'!$B250:$U250,'changes2_based on steps'!$B$1:$U$1,K$1)</f>
        <v>0</v>
      </c>
      <c r="L250" s="179">
        <f>SUMIFS('recurring2_based on steps'!$B250:$AY250,'recurring2_based on steps'!$B$1:$AY$1,L$1)+SUMIFS('changes2_based on steps'!$B250:$U250,'changes2_based on steps'!$B$1:$U$1,L$1)</f>
        <v>0</v>
      </c>
      <c r="M250" s="179">
        <f>SUMIFS('recurring2_based on steps'!$B250:$AY250,'recurring2_based on steps'!$B$1:$AY$1,M$1)+SUMIFS('changes2_based on steps'!$B250:$U250,'changes2_based on steps'!$B$1:$U$1,M$1)</f>
        <v>0</v>
      </c>
      <c r="N250" s="179">
        <f>SUMIFS('recurring2_based on steps'!$B250:$AY250,'recurring2_based on steps'!$B$1:$AY$1,N$1)+SUMIFS('changes2_based on steps'!$B250:$U250,'changes2_based on steps'!$B$1:$U$1,N$1)</f>
        <v>0</v>
      </c>
      <c r="O250" s="179">
        <f>SUMIFS('recurring2_based on steps'!$B250:$AY250,'recurring2_based on steps'!$B$1:$AY$1,O$1)+SUMIFS('changes2_based on steps'!$B250:$U250,'changes2_based on steps'!$B$1:$U$1,O$1)</f>
        <v>0</v>
      </c>
      <c r="P250" s="179">
        <f>SUMIFS('recurring2_based on steps'!$B250:$AY250,'recurring2_based on steps'!$B$1:$AY$1,P$1)+SUMIFS('changes2_based on steps'!$B250:$U250,'changes2_based on steps'!$B$1:$U$1,P$1)</f>
        <v>0</v>
      </c>
      <c r="Q250" s="179">
        <f>SUMIFS('recurring2_based on steps'!$B250:$AY250,'recurring2_based on steps'!$B$1:$AY$1,Q$1)+SUMIFS('changes2_based on steps'!$B250:$U250,'changes2_based on steps'!$B$1:$U$1,Q$1)</f>
        <v>0</v>
      </c>
      <c r="R250" s="179">
        <f>SUMIFS('recurring2_based on steps'!$B250:$AY250,'recurring2_based on steps'!$B$1:$AY$1,R$1)+SUMIFS('changes2_based on steps'!$B250:$U250,'changes2_based on steps'!$B$1:$U$1,R$1)</f>
        <v>0</v>
      </c>
      <c r="S250" s="179">
        <f>SUMIFS('recurring2_based on steps'!$B250:$AY250,'recurring2_based on steps'!$B$1:$AY$1,S$1)+SUMIFS('changes2_based on steps'!$B250:$U250,'changes2_based on steps'!$B$1:$U$1,S$1)</f>
        <v>0</v>
      </c>
      <c r="T250" s="179">
        <f>SUMIFS('recurring2_based on steps'!$B250:$AY250,'recurring2_based on steps'!$B$1:$AY$1,T$1)+SUMIFS('changes2_based on steps'!$B250:$U250,'changes2_based on steps'!$B$1:$U$1,T$1)</f>
        <v>0</v>
      </c>
      <c r="U250" s="179">
        <f>SUMIFS('recurring2_based on steps'!$B250:$AY250,'recurring2_based on steps'!$B$1:$AY$1,U$1)+SUMIFS('changes2_based on steps'!$B250:$U250,'changes2_based on steps'!$B$1:$U$1,U$1)</f>
        <v>0</v>
      </c>
      <c r="V250" s="179">
        <f>SUMIFS('recurring2_based on steps'!$B250:$AY250,'recurring2_based on steps'!$B$1:$AY$1,V$1)+SUMIFS('changes2_based on steps'!$B250:$U250,'changes2_based on steps'!$B$1:$U$1,V$1)</f>
        <v>0</v>
      </c>
      <c r="W250" s="179">
        <f>SUMIFS('recurring2_based on steps'!$B250:$AY250,'recurring2_based on steps'!$B$1:$AY$1,W$1)+SUMIFS('changes2_based on steps'!$B250:$U250,'changes2_based on steps'!$B$1:$U$1,W$1)</f>
        <v>0</v>
      </c>
      <c r="X250" s="179">
        <f>SUMIFS('recurring2_based on steps'!$B250:$AY250,'recurring2_based on steps'!$B$1:$AY$1,X$1)+SUMIFS('changes2_based on steps'!$B250:$U250,'changes2_based on steps'!$B$1:$U$1,X$1)</f>
        <v>0</v>
      </c>
      <c r="Y250" s="179">
        <f>SUMIFS('recurring2_based on steps'!$B250:$AY250,'recurring2_based on steps'!$B$1:$AY$1,Y$1)+SUMIFS('changes2_based on steps'!$B250:$U250,'changes2_based on steps'!$B$1:$U$1,Y$1)</f>
        <v>0</v>
      </c>
      <c r="Z250" s="179">
        <f>SUMIFS('recurring2_based on steps'!$B250:$AY250,'recurring2_based on steps'!$B$1:$AY$1,Z$1)+SUMIFS('changes2_based on steps'!$B250:$U250,'changes2_based on steps'!$B$1:$U$1,Z$1)</f>
        <v>0</v>
      </c>
      <c r="AA250" s="179">
        <f>SUMIFS('recurring2_based on steps'!$B250:$AY250,'recurring2_based on steps'!$B$1:$AY$1,AA$1)+SUMIFS('changes2_based on steps'!$B250:$U250,'changes2_based on steps'!$B$1:$U$1,AA$1)</f>
        <v>0</v>
      </c>
      <c r="AB250" s="179">
        <f>SUMIFS('recurring2_based on steps'!$B250:$AY250,'recurring2_based on steps'!$B$1:$AY$1,AB$1)+SUMIFS('changes2_based on steps'!$B250:$U250,'changes2_based on steps'!$B$1:$U$1,AB$1)</f>
        <v>0</v>
      </c>
      <c r="AC250" s="179">
        <f>SUMIFS('recurring2_based on steps'!$B250:$AY250,'recurring2_based on steps'!$B$1:$AY$1,AC$1)+SUMIFS('changes2_based on steps'!$B250:$U250,'changes2_based on steps'!$B$1:$U$1,AC$1)</f>
        <v>0</v>
      </c>
      <c r="AD250" s="179">
        <f>SUMIFS('recurring2_based on steps'!$B250:$AY250,'recurring2_based on steps'!$B$1:$AY$1,AD$1)+SUMIFS('changes2_based on steps'!$B250:$U250,'changes2_based on steps'!$B$1:$U$1,AD$1)</f>
        <v>0</v>
      </c>
      <c r="AE250" s="179">
        <f>SUMIFS('recurring2_based on steps'!$B250:$AY250,'recurring2_based on steps'!$B$1:$AY$1,AE$1)+SUMIFS('changes2_based on steps'!$B250:$U250,'changes2_based on steps'!$B$1:$U$1,AE$1)</f>
        <v>0</v>
      </c>
      <c r="AF250" s="179"/>
      <c r="AG250" s="179"/>
      <c r="AH250" s="179"/>
      <c r="AI250" s="179"/>
      <c r="AJ250" s="179"/>
      <c r="AK250" s="179"/>
      <c r="AL250" s="179"/>
      <c r="AM250" s="179"/>
    </row>
    <row r="251" spans="1:39" x14ac:dyDescent="0.2">
      <c r="A251" s="32">
        <f t="shared" ca="1" si="3"/>
        <v>45993</v>
      </c>
      <c r="B251" s="179">
        <f>SUMIFS('recurring2_based on steps'!$B251:$AY251,'recurring2_based on steps'!$B$1:$AY$1,B$1)+SUMIFS('changes2_based on steps'!$B251:$U251,'changes2_based on steps'!$B$1:$U$1,B$1)</f>
        <v>0</v>
      </c>
      <c r="C251" s="179">
        <f>SUMIFS('recurring2_based on steps'!$B251:$AY251,'recurring2_based on steps'!$B$1:$AY$1,C$1)+SUMIFS('changes2_based on steps'!$B251:$U251,'changes2_based on steps'!$B$1:$U$1,C$1)</f>
        <v>0</v>
      </c>
      <c r="D251" s="179">
        <f>SUMIFS('recurring2_based on steps'!$B251:$AY251,'recurring2_based on steps'!$B$1:$AY$1,D$1)+SUMIFS('changes2_based on steps'!$B251:$U251,'changes2_based on steps'!$B$1:$U$1,D$1)</f>
        <v>0</v>
      </c>
      <c r="E251" s="179">
        <f>SUMIFS('recurring2_based on steps'!$B251:$AY251,'recurring2_based on steps'!$B$1:$AY$1,E$1)+SUMIFS('changes2_based on steps'!$B251:$U251,'changes2_based on steps'!$B$1:$U$1,E$1)</f>
        <v>0</v>
      </c>
      <c r="F251" s="179">
        <f>SUMIFS('recurring2_based on steps'!$B251:$AY251,'recurring2_based on steps'!$B$1:$AY$1,F$1)+SUMIFS('changes2_based on steps'!$B251:$U251,'changes2_based on steps'!$B$1:$U$1,F$1)</f>
        <v>0</v>
      </c>
      <c r="G251" s="179">
        <f>SUMIFS('recurring2_based on steps'!$B251:$AY251,'recurring2_based on steps'!$B$1:$AY$1,G$1)+SUMIFS('changes2_based on steps'!$B251:$U251,'changes2_based on steps'!$B$1:$U$1,G$1)</f>
        <v>0</v>
      </c>
      <c r="H251" s="179">
        <f>SUMIFS('recurring2_based on steps'!$B251:$AY251,'recurring2_based on steps'!$B$1:$AY$1,H$1)+SUMIFS('changes2_based on steps'!$B251:$U251,'changes2_based on steps'!$B$1:$U$1,H$1)</f>
        <v>0</v>
      </c>
      <c r="I251" s="179">
        <f>SUMIFS('recurring2_based on steps'!$B251:$AY251,'recurring2_based on steps'!$B$1:$AY$1,I$1)+SUMIFS('changes2_based on steps'!$B251:$U251,'changes2_based on steps'!$B$1:$U$1,I$1)</f>
        <v>0</v>
      </c>
      <c r="J251" s="179">
        <f>SUMIFS('recurring2_based on steps'!$B251:$AY251,'recurring2_based on steps'!$B$1:$AY$1,J$1)+SUMIFS('changes2_based on steps'!$B251:$U251,'changes2_based on steps'!$B$1:$U$1,J$1)</f>
        <v>0</v>
      </c>
      <c r="K251" s="179">
        <f>SUMIFS('recurring2_based on steps'!$B251:$AY251,'recurring2_based on steps'!$B$1:$AY$1,K$1)+SUMIFS('changes2_based on steps'!$B251:$U251,'changes2_based on steps'!$B$1:$U$1,K$1)</f>
        <v>0</v>
      </c>
      <c r="L251" s="179">
        <f>SUMIFS('recurring2_based on steps'!$B251:$AY251,'recurring2_based on steps'!$B$1:$AY$1,L$1)+SUMIFS('changes2_based on steps'!$B251:$U251,'changes2_based on steps'!$B$1:$U$1,L$1)</f>
        <v>0</v>
      </c>
      <c r="M251" s="179">
        <f>SUMIFS('recurring2_based on steps'!$B251:$AY251,'recurring2_based on steps'!$B$1:$AY$1,M$1)+SUMIFS('changes2_based on steps'!$B251:$U251,'changes2_based on steps'!$B$1:$U$1,M$1)</f>
        <v>0</v>
      </c>
      <c r="N251" s="179">
        <f>SUMIFS('recurring2_based on steps'!$B251:$AY251,'recurring2_based on steps'!$B$1:$AY$1,N$1)+SUMIFS('changes2_based on steps'!$B251:$U251,'changes2_based on steps'!$B$1:$U$1,N$1)</f>
        <v>0</v>
      </c>
      <c r="O251" s="179">
        <f>SUMIFS('recurring2_based on steps'!$B251:$AY251,'recurring2_based on steps'!$B$1:$AY$1,O$1)+SUMIFS('changes2_based on steps'!$B251:$U251,'changes2_based on steps'!$B$1:$U$1,O$1)</f>
        <v>0</v>
      </c>
      <c r="P251" s="179">
        <f>SUMIFS('recurring2_based on steps'!$B251:$AY251,'recurring2_based on steps'!$B$1:$AY$1,P$1)+SUMIFS('changes2_based on steps'!$B251:$U251,'changes2_based on steps'!$B$1:$U$1,P$1)</f>
        <v>0</v>
      </c>
      <c r="Q251" s="179">
        <f>SUMIFS('recurring2_based on steps'!$B251:$AY251,'recurring2_based on steps'!$B$1:$AY$1,Q$1)+SUMIFS('changes2_based on steps'!$B251:$U251,'changes2_based on steps'!$B$1:$U$1,Q$1)</f>
        <v>0</v>
      </c>
      <c r="R251" s="179">
        <f>SUMIFS('recurring2_based on steps'!$B251:$AY251,'recurring2_based on steps'!$B$1:$AY$1,R$1)+SUMIFS('changes2_based on steps'!$B251:$U251,'changes2_based on steps'!$B$1:$U$1,R$1)</f>
        <v>0</v>
      </c>
      <c r="S251" s="179">
        <f>SUMIFS('recurring2_based on steps'!$B251:$AY251,'recurring2_based on steps'!$B$1:$AY$1,S$1)+SUMIFS('changes2_based on steps'!$B251:$U251,'changes2_based on steps'!$B$1:$U$1,S$1)</f>
        <v>0</v>
      </c>
      <c r="T251" s="179">
        <f>SUMIFS('recurring2_based on steps'!$B251:$AY251,'recurring2_based on steps'!$B$1:$AY$1,T$1)+SUMIFS('changes2_based on steps'!$B251:$U251,'changes2_based on steps'!$B$1:$U$1,T$1)</f>
        <v>0</v>
      </c>
      <c r="U251" s="179">
        <f>SUMIFS('recurring2_based on steps'!$B251:$AY251,'recurring2_based on steps'!$B$1:$AY$1,U$1)+SUMIFS('changes2_based on steps'!$B251:$U251,'changes2_based on steps'!$B$1:$U$1,U$1)</f>
        <v>0</v>
      </c>
      <c r="V251" s="179">
        <f>SUMIFS('recurring2_based on steps'!$B251:$AY251,'recurring2_based on steps'!$B$1:$AY$1,V$1)+SUMIFS('changes2_based on steps'!$B251:$U251,'changes2_based on steps'!$B$1:$U$1,V$1)</f>
        <v>0</v>
      </c>
      <c r="W251" s="179">
        <f>SUMIFS('recurring2_based on steps'!$B251:$AY251,'recurring2_based on steps'!$B$1:$AY$1,W$1)+SUMIFS('changes2_based on steps'!$B251:$U251,'changes2_based on steps'!$B$1:$U$1,W$1)</f>
        <v>0</v>
      </c>
      <c r="X251" s="179">
        <f>SUMIFS('recurring2_based on steps'!$B251:$AY251,'recurring2_based on steps'!$B$1:$AY$1,X$1)+SUMIFS('changes2_based on steps'!$B251:$U251,'changes2_based on steps'!$B$1:$U$1,X$1)</f>
        <v>0</v>
      </c>
      <c r="Y251" s="179">
        <f>SUMIFS('recurring2_based on steps'!$B251:$AY251,'recurring2_based on steps'!$B$1:$AY$1,Y$1)+SUMIFS('changes2_based on steps'!$B251:$U251,'changes2_based on steps'!$B$1:$U$1,Y$1)</f>
        <v>0</v>
      </c>
      <c r="Z251" s="179">
        <f>SUMIFS('recurring2_based on steps'!$B251:$AY251,'recurring2_based on steps'!$B$1:$AY$1,Z$1)+SUMIFS('changes2_based on steps'!$B251:$U251,'changes2_based on steps'!$B$1:$U$1,Z$1)</f>
        <v>0</v>
      </c>
      <c r="AA251" s="179">
        <f>SUMIFS('recurring2_based on steps'!$B251:$AY251,'recurring2_based on steps'!$B$1:$AY$1,AA$1)+SUMIFS('changes2_based on steps'!$B251:$U251,'changes2_based on steps'!$B$1:$U$1,AA$1)</f>
        <v>0</v>
      </c>
      <c r="AB251" s="179">
        <f>SUMIFS('recurring2_based on steps'!$B251:$AY251,'recurring2_based on steps'!$B$1:$AY$1,AB$1)+SUMIFS('changes2_based on steps'!$B251:$U251,'changes2_based on steps'!$B$1:$U$1,AB$1)</f>
        <v>0</v>
      </c>
      <c r="AC251" s="179">
        <f>SUMIFS('recurring2_based on steps'!$B251:$AY251,'recurring2_based on steps'!$B$1:$AY$1,AC$1)+SUMIFS('changes2_based on steps'!$B251:$U251,'changes2_based on steps'!$B$1:$U$1,AC$1)</f>
        <v>0</v>
      </c>
      <c r="AD251" s="179">
        <f>SUMIFS('recurring2_based on steps'!$B251:$AY251,'recurring2_based on steps'!$B$1:$AY$1,AD$1)+SUMIFS('changes2_based on steps'!$B251:$U251,'changes2_based on steps'!$B$1:$U$1,AD$1)</f>
        <v>0</v>
      </c>
      <c r="AE251" s="179">
        <f>SUMIFS('recurring2_based on steps'!$B251:$AY251,'recurring2_based on steps'!$B$1:$AY$1,AE$1)+SUMIFS('changes2_based on steps'!$B251:$U251,'changes2_based on steps'!$B$1:$U$1,AE$1)</f>
        <v>0</v>
      </c>
      <c r="AF251" s="179"/>
      <c r="AG251" s="179"/>
      <c r="AH251" s="179"/>
      <c r="AI251" s="179"/>
      <c r="AJ251" s="179"/>
      <c r="AK251" s="179"/>
      <c r="AL251" s="179"/>
      <c r="AM251" s="179"/>
    </row>
    <row r="252" spans="1:39" x14ac:dyDescent="0.2">
      <c r="A252" s="32">
        <f t="shared" ca="1" si="3"/>
        <v>45994</v>
      </c>
      <c r="B252" s="179">
        <f>SUMIFS('recurring2_based on steps'!$B252:$AY252,'recurring2_based on steps'!$B$1:$AY$1,B$1)+SUMIFS('changes2_based on steps'!$B252:$U252,'changes2_based on steps'!$B$1:$U$1,B$1)</f>
        <v>0</v>
      </c>
      <c r="C252" s="179">
        <f>SUMIFS('recurring2_based on steps'!$B252:$AY252,'recurring2_based on steps'!$B$1:$AY$1,C$1)+SUMIFS('changes2_based on steps'!$B252:$U252,'changes2_based on steps'!$B$1:$U$1,C$1)</f>
        <v>0</v>
      </c>
      <c r="D252" s="179">
        <f>SUMIFS('recurring2_based on steps'!$B252:$AY252,'recurring2_based on steps'!$B$1:$AY$1,D$1)+SUMIFS('changes2_based on steps'!$B252:$U252,'changes2_based on steps'!$B$1:$U$1,D$1)</f>
        <v>0</v>
      </c>
      <c r="E252" s="179">
        <f>SUMIFS('recurring2_based on steps'!$B252:$AY252,'recurring2_based on steps'!$B$1:$AY$1,E$1)+SUMIFS('changes2_based on steps'!$B252:$U252,'changes2_based on steps'!$B$1:$U$1,E$1)</f>
        <v>0</v>
      </c>
      <c r="F252" s="179">
        <f>SUMIFS('recurring2_based on steps'!$B252:$AY252,'recurring2_based on steps'!$B$1:$AY$1,F$1)+SUMIFS('changes2_based on steps'!$B252:$U252,'changes2_based on steps'!$B$1:$U$1,F$1)</f>
        <v>0</v>
      </c>
      <c r="G252" s="179">
        <f>SUMIFS('recurring2_based on steps'!$B252:$AY252,'recurring2_based on steps'!$B$1:$AY$1,G$1)+SUMIFS('changes2_based on steps'!$B252:$U252,'changes2_based on steps'!$B$1:$U$1,G$1)</f>
        <v>0</v>
      </c>
      <c r="H252" s="179">
        <f>SUMIFS('recurring2_based on steps'!$B252:$AY252,'recurring2_based on steps'!$B$1:$AY$1,H$1)+SUMIFS('changes2_based on steps'!$B252:$U252,'changes2_based on steps'!$B$1:$U$1,H$1)</f>
        <v>0</v>
      </c>
      <c r="I252" s="179">
        <f>SUMIFS('recurring2_based on steps'!$B252:$AY252,'recurring2_based on steps'!$B$1:$AY$1,I$1)+SUMIFS('changes2_based on steps'!$B252:$U252,'changes2_based on steps'!$B$1:$U$1,I$1)</f>
        <v>0</v>
      </c>
      <c r="J252" s="179">
        <f>SUMIFS('recurring2_based on steps'!$B252:$AY252,'recurring2_based on steps'!$B$1:$AY$1,J$1)+SUMIFS('changes2_based on steps'!$B252:$U252,'changes2_based on steps'!$B$1:$U$1,J$1)</f>
        <v>0</v>
      </c>
      <c r="K252" s="179">
        <f>SUMIFS('recurring2_based on steps'!$B252:$AY252,'recurring2_based on steps'!$B$1:$AY$1,K$1)+SUMIFS('changes2_based on steps'!$B252:$U252,'changes2_based on steps'!$B$1:$U$1,K$1)</f>
        <v>0</v>
      </c>
      <c r="L252" s="179">
        <f>SUMIFS('recurring2_based on steps'!$B252:$AY252,'recurring2_based on steps'!$B$1:$AY$1,L$1)+SUMIFS('changes2_based on steps'!$B252:$U252,'changes2_based on steps'!$B$1:$U$1,L$1)</f>
        <v>0</v>
      </c>
      <c r="M252" s="179">
        <f>SUMIFS('recurring2_based on steps'!$B252:$AY252,'recurring2_based on steps'!$B$1:$AY$1,M$1)+SUMIFS('changes2_based on steps'!$B252:$U252,'changes2_based on steps'!$B$1:$U$1,M$1)</f>
        <v>0</v>
      </c>
      <c r="N252" s="179">
        <f>SUMIFS('recurring2_based on steps'!$B252:$AY252,'recurring2_based on steps'!$B$1:$AY$1,N$1)+SUMIFS('changes2_based on steps'!$B252:$U252,'changes2_based on steps'!$B$1:$U$1,N$1)</f>
        <v>0</v>
      </c>
      <c r="O252" s="179">
        <f>SUMIFS('recurring2_based on steps'!$B252:$AY252,'recurring2_based on steps'!$B$1:$AY$1,O$1)+SUMIFS('changes2_based on steps'!$B252:$U252,'changes2_based on steps'!$B$1:$U$1,O$1)</f>
        <v>0</v>
      </c>
      <c r="P252" s="179">
        <f>SUMIFS('recurring2_based on steps'!$B252:$AY252,'recurring2_based on steps'!$B$1:$AY$1,P$1)+SUMIFS('changes2_based on steps'!$B252:$U252,'changes2_based on steps'!$B$1:$U$1,P$1)</f>
        <v>0</v>
      </c>
      <c r="Q252" s="179">
        <f>SUMIFS('recurring2_based on steps'!$B252:$AY252,'recurring2_based on steps'!$B$1:$AY$1,Q$1)+SUMIFS('changes2_based on steps'!$B252:$U252,'changes2_based on steps'!$B$1:$U$1,Q$1)</f>
        <v>0</v>
      </c>
      <c r="R252" s="179">
        <f>SUMIFS('recurring2_based on steps'!$B252:$AY252,'recurring2_based on steps'!$B$1:$AY$1,R$1)+SUMIFS('changes2_based on steps'!$B252:$U252,'changes2_based on steps'!$B$1:$U$1,R$1)</f>
        <v>0</v>
      </c>
      <c r="S252" s="179">
        <f>SUMIFS('recurring2_based on steps'!$B252:$AY252,'recurring2_based on steps'!$B$1:$AY$1,S$1)+SUMIFS('changes2_based on steps'!$B252:$U252,'changes2_based on steps'!$B$1:$U$1,S$1)</f>
        <v>0</v>
      </c>
      <c r="T252" s="179">
        <f>SUMIFS('recurring2_based on steps'!$B252:$AY252,'recurring2_based on steps'!$B$1:$AY$1,T$1)+SUMIFS('changes2_based on steps'!$B252:$U252,'changes2_based on steps'!$B$1:$U$1,T$1)</f>
        <v>0</v>
      </c>
      <c r="U252" s="179">
        <f>SUMIFS('recurring2_based on steps'!$B252:$AY252,'recurring2_based on steps'!$B$1:$AY$1,U$1)+SUMIFS('changes2_based on steps'!$B252:$U252,'changes2_based on steps'!$B$1:$U$1,U$1)</f>
        <v>0</v>
      </c>
      <c r="V252" s="179">
        <f>SUMIFS('recurring2_based on steps'!$B252:$AY252,'recurring2_based on steps'!$B$1:$AY$1,V$1)+SUMIFS('changes2_based on steps'!$B252:$U252,'changes2_based on steps'!$B$1:$U$1,V$1)</f>
        <v>0</v>
      </c>
      <c r="W252" s="179">
        <f>SUMIFS('recurring2_based on steps'!$B252:$AY252,'recurring2_based on steps'!$B$1:$AY$1,W$1)+SUMIFS('changes2_based on steps'!$B252:$U252,'changes2_based on steps'!$B$1:$U$1,W$1)</f>
        <v>0</v>
      </c>
      <c r="X252" s="179">
        <f>SUMIFS('recurring2_based on steps'!$B252:$AY252,'recurring2_based on steps'!$B$1:$AY$1,X$1)+SUMIFS('changes2_based on steps'!$B252:$U252,'changes2_based on steps'!$B$1:$U$1,X$1)</f>
        <v>0</v>
      </c>
      <c r="Y252" s="179">
        <f>SUMIFS('recurring2_based on steps'!$B252:$AY252,'recurring2_based on steps'!$B$1:$AY$1,Y$1)+SUMIFS('changes2_based on steps'!$B252:$U252,'changes2_based on steps'!$B$1:$U$1,Y$1)</f>
        <v>0</v>
      </c>
      <c r="Z252" s="179">
        <f>SUMIFS('recurring2_based on steps'!$B252:$AY252,'recurring2_based on steps'!$B$1:$AY$1,Z$1)+SUMIFS('changes2_based on steps'!$B252:$U252,'changes2_based on steps'!$B$1:$U$1,Z$1)</f>
        <v>0</v>
      </c>
      <c r="AA252" s="179">
        <f>SUMIFS('recurring2_based on steps'!$B252:$AY252,'recurring2_based on steps'!$B$1:$AY$1,AA$1)+SUMIFS('changes2_based on steps'!$B252:$U252,'changes2_based on steps'!$B$1:$U$1,AA$1)</f>
        <v>0</v>
      </c>
      <c r="AB252" s="179">
        <f>SUMIFS('recurring2_based on steps'!$B252:$AY252,'recurring2_based on steps'!$B$1:$AY$1,AB$1)+SUMIFS('changes2_based on steps'!$B252:$U252,'changes2_based on steps'!$B$1:$U$1,AB$1)</f>
        <v>0</v>
      </c>
      <c r="AC252" s="179">
        <f>SUMIFS('recurring2_based on steps'!$B252:$AY252,'recurring2_based on steps'!$B$1:$AY$1,AC$1)+SUMIFS('changes2_based on steps'!$B252:$U252,'changes2_based on steps'!$B$1:$U$1,AC$1)</f>
        <v>0</v>
      </c>
      <c r="AD252" s="179">
        <f>SUMIFS('recurring2_based on steps'!$B252:$AY252,'recurring2_based on steps'!$B$1:$AY$1,AD$1)+SUMIFS('changes2_based on steps'!$B252:$U252,'changes2_based on steps'!$B$1:$U$1,AD$1)</f>
        <v>0</v>
      </c>
      <c r="AE252" s="179">
        <f>SUMIFS('recurring2_based on steps'!$B252:$AY252,'recurring2_based on steps'!$B$1:$AY$1,AE$1)+SUMIFS('changes2_based on steps'!$B252:$U252,'changes2_based on steps'!$B$1:$U$1,AE$1)</f>
        <v>0</v>
      </c>
      <c r="AF252" s="179"/>
      <c r="AG252" s="179"/>
      <c r="AH252" s="179"/>
      <c r="AI252" s="179"/>
      <c r="AJ252" s="179"/>
      <c r="AK252" s="179"/>
      <c r="AL252" s="179"/>
      <c r="AM252" s="179"/>
    </row>
    <row r="253" spans="1:39" x14ac:dyDescent="0.2">
      <c r="A253" s="32">
        <f t="shared" ca="1" si="3"/>
        <v>45995</v>
      </c>
      <c r="B253" s="179">
        <f>SUMIFS('recurring2_based on steps'!$B253:$AY253,'recurring2_based on steps'!$B$1:$AY$1,B$1)+SUMIFS('changes2_based on steps'!$B253:$U253,'changes2_based on steps'!$B$1:$U$1,B$1)</f>
        <v>0</v>
      </c>
      <c r="C253" s="179">
        <f>SUMIFS('recurring2_based on steps'!$B253:$AY253,'recurring2_based on steps'!$B$1:$AY$1,C$1)+SUMIFS('changes2_based on steps'!$B253:$U253,'changes2_based on steps'!$B$1:$U$1,C$1)</f>
        <v>0</v>
      </c>
      <c r="D253" s="179">
        <f>SUMIFS('recurring2_based on steps'!$B253:$AY253,'recurring2_based on steps'!$B$1:$AY$1,D$1)+SUMIFS('changes2_based on steps'!$B253:$U253,'changes2_based on steps'!$B$1:$U$1,D$1)</f>
        <v>0</v>
      </c>
      <c r="E253" s="179">
        <f>SUMIFS('recurring2_based on steps'!$B253:$AY253,'recurring2_based on steps'!$B$1:$AY$1,E$1)+SUMIFS('changes2_based on steps'!$B253:$U253,'changes2_based on steps'!$B$1:$U$1,E$1)</f>
        <v>0</v>
      </c>
      <c r="F253" s="179">
        <f>SUMIFS('recurring2_based on steps'!$B253:$AY253,'recurring2_based on steps'!$B$1:$AY$1,F$1)+SUMIFS('changes2_based on steps'!$B253:$U253,'changes2_based on steps'!$B$1:$U$1,F$1)</f>
        <v>0</v>
      </c>
      <c r="G253" s="179">
        <f>SUMIFS('recurring2_based on steps'!$B253:$AY253,'recurring2_based on steps'!$B$1:$AY$1,G$1)+SUMIFS('changes2_based on steps'!$B253:$U253,'changes2_based on steps'!$B$1:$U$1,G$1)</f>
        <v>0</v>
      </c>
      <c r="H253" s="179">
        <f>SUMIFS('recurring2_based on steps'!$B253:$AY253,'recurring2_based on steps'!$B$1:$AY$1,H$1)+SUMIFS('changes2_based on steps'!$B253:$U253,'changes2_based on steps'!$B$1:$U$1,H$1)</f>
        <v>0</v>
      </c>
      <c r="I253" s="179">
        <f>SUMIFS('recurring2_based on steps'!$B253:$AY253,'recurring2_based on steps'!$B$1:$AY$1,I$1)+SUMIFS('changes2_based on steps'!$B253:$U253,'changes2_based on steps'!$B$1:$U$1,I$1)</f>
        <v>0</v>
      </c>
      <c r="J253" s="179">
        <f>SUMIFS('recurring2_based on steps'!$B253:$AY253,'recurring2_based on steps'!$B$1:$AY$1,J$1)+SUMIFS('changes2_based on steps'!$B253:$U253,'changes2_based on steps'!$B$1:$U$1,J$1)</f>
        <v>0</v>
      </c>
      <c r="K253" s="179">
        <f>SUMIFS('recurring2_based on steps'!$B253:$AY253,'recurring2_based on steps'!$B$1:$AY$1,K$1)+SUMIFS('changes2_based on steps'!$B253:$U253,'changes2_based on steps'!$B$1:$U$1,K$1)</f>
        <v>0</v>
      </c>
      <c r="L253" s="179">
        <f>SUMIFS('recurring2_based on steps'!$B253:$AY253,'recurring2_based on steps'!$B$1:$AY$1,L$1)+SUMIFS('changes2_based on steps'!$B253:$U253,'changes2_based on steps'!$B$1:$U$1,L$1)</f>
        <v>0</v>
      </c>
      <c r="M253" s="179">
        <f>SUMIFS('recurring2_based on steps'!$B253:$AY253,'recurring2_based on steps'!$B$1:$AY$1,M$1)+SUMIFS('changes2_based on steps'!$B253:$U253,'changes2_based on steps'!$B$1:$U$1,M$1)</f>
        <v>0</v>
      </c>
      <c r="N253" s="179">
        <f>SUMIFS('recurring2_based on steps'!$B253:$AY253,'recurring2_based on steps'!$B$1:$AY$1,N$1)+SUMIFS('changes2_based on steps'!$B253:$U253,'changes2_based on steps'!$B$1:$U$1,N$1)</f>
        <v>0</v>
      </c>
      <c r="O253" s="179">
        <f>SUMIFS('recurring2_based on steps'!$B253:$AY253,'recurring2_based on steps'!$B$1:$AY$1,O$1)+SUMIFS('changes2_based on steps'!$B253:$U253,'changes2_based on steps'!$B$1:$U$1,O$1)</f>
        <v>0</v>
      </c>
      <c r="P253" s="179">
        <f>SUMIFS('recurring2_based on steps'!$B253:$AY253,'recurring2_based on steps'!$B$1:$AY$1,P$1)+SUMIFS('changes2_based on steps'!$B253:$U253,'changes2_based on steps'!$B$1:$U$1,P$1)</f>
        <v>0</v>
      </c>
      <c r="Q253" s="179">
        <f>SUMIFS('recurring2_based on steps'!$B253:$AY253,'recurring2_based on steps'!$B$1:$AY$1,Q$1)+SUMIFS('changes2_based on steps'!$B253:$U253,'changes2_based on steps'!$B$1:$U$1,Q$1)</f>
        <v>0</v>
      </c>
      <c r="R253" s="179">
        <f>SUMIFS('recurring2_based on steps'!$B253:$AY253,'recurring2_based on steps'!$B$1:$AY$1,R$1)+SUMIFS('changes2_based on steps'!$B253:$U253,'changes2_based on steps'!$B$1:$U$1,R$1)</f>
        <v>0</v>
      </c>
      <c r="S253" s="179">
        <f>SUMIFS('recurring2_based on steps'!$B253:$AY253,'recurring2_based on steps'!$B$1:$AY$1,S$1)+SUMIFS('changes2_based on steps'!$B253:$U253,'changes2_based on steps'!$B$1:$U$1,S$1)</f>
        <v>0</v>
      </c>
      <c r="T253" s="179">
        <f>SUMIFS('recurring2_based on steps'!$B253:$AY253,'recurring2_based on steps'!$B$1:$AY$1,T$1)+SUMIFS('changes2_based on steps'!$B253:$U253,'changes2_based on steps'!$B$1:$U$1,T$1)</f>
        <v>0</v>
      </c>
      <c r="U253" s="179">
        <f>SUMIFS('recurring2_based on steps'!$B253:$AY253,'recurring2_based on steps'!$B$1:$AY$1,U$1)+SUMIFS('changes2_based on steps'!$B253:$U253,'changes2_based on steps'!$B$1:$U$1,U$1)</f>
        <v>0</v>
      </c>
      <c r="V253" s="179">
        <f>SUMIFS('recurring2_based on steps'!$B253:$AY253,'recurring2_based on steps'!$B$1:$AY$1,V$1)+SUMIFS('changes2_based on steps'!$B253:$U253,'changes2_based on steps'!$B$1:$U$1,V$1)</f>
        <v>0</v>
      </c>
      <c r="W253" s="179">
        <f>SUMIFS('recurring2_based on steps'!$B253:$AY253,'recurring2_based on steps'!$B$1:$AY$1,W$1)+SUMIFS('changes2_based on steps'!$B253:$U253,'changes2_based on steps'!$B$1:$U$1,W$1)</f>
        <v>0</v>
      </c>
      <c r="X253" s="179">
        <f>SUMIFS('recurring2_based on steps'!$B253:$AY253,'recurring2_based on steps'!$B$1:$AY$1,X$1)+SUMIFS('changes2_based on steps'!$B253:$U253,'changes2_based on steps'!$B$1:$U$1,X$1)</f>
        <v>0</v>
      </c>
      <c r="Y253" s="179">
        <f>SUMIFS('recurring2_based on steps'!$B253:$AY253,'recurring2_based on steps'!$B$1:$AY$1,Y$1)+SUMIFS('changes2_based on steps'!$B253:$U253,'changes2_based on steps'!$B$1:$U$1,Y$1)</f>
        <v>0</v>
      </c>
      <c r="Z253" s="179">
        <f>SUMIFS('recurring2_based on steps'!$B253:$AY253,'recurring2_based on steps'!$B$1:$AY$1,Z$1)+SUMIFS('changes2_based on steps'!$B253:$U253,'changes2_based on steps'!$B$1:$U$1,Z$1)</f>
        <v>0</v>
      </c>
      <c r="AA253" s="179">
        <f>SUMIFS('recurring2_based on steps'!$B253:$AY253,'recurring2_based on steps'!$B$1:$AY$1,AA$1)+SUMIFS('changes2_based on steps'!$B253:$U253,'changes2_based on steps'!$B$1:$U$1,AA$1)</f>
        <v>0</v>
      </c>
      <c r="AB253" s="179">
        <f>SUMIFS('recurring2_based on steps'!$B253:$AY253,'recurring2_based on steps'!$B$1:$AY$1,AB$1)+SUMIFS('changes2_based on steps'!$B253:$U253,'changes2_based on steps'!$B$1:$U$1,AB$1)</f>
        <v>0</v>
      </c>
      <c r="AC253" s="179">
        <f>SUMIFS('recurring2_based on steps'!$B253:$AY253,'recurring2_based on steps'!$B$1:$AY$1,AC$1)+SUMIFS('changes2_based on steps'!$B253:$U253,'changes2_based on steps'!$B$1:$U$1,AC$1)</f>
        <v>0</v>
      </c>
      <c r="AD253" s="179">
        <f>SUMIFS('recurring2_based on steps'!$B253:$AY253,'recurring2_based on steps'!$B$1:$AY$1,AD$1)+SUMIFS('changes2_based on steps'!$B253:$U253,'changes2_based on steps'!$B$1:$U$1,AD$1)</f>
        <v>0</v>
      </c>
      <c r="AE253" s="179">
        <f>SUMIFS('recurring2_based on steps'!$B253:$AY253,'recurring2_based on steps'!$B$1:$AY$1,AE$1)+SUMIFS('changes2_based on steps'!$B253:$U253,'changes2_based on steps'!$B$1:$U$1,AE$1)</f>
        <v>0</v>
      </c>
      <c r="AF253" s="179"/>
      <c r="AG253" s="179"/>
      <c r="AH253" s="179"/>
      <c r="AI253" s="179"/>
      <c r="AJ253" s="179"/>
      <c r="AK253" s="179"/>
      <c r="AL253" s="179"/>
      <c r="AM253" s="179"/>
    </row>
    <row r="254" spans="1:39" x14ac:dyDescent="0.2">
      <c r="A254" s="32">
        <f t="shared" ca="1" si="3"/>
        <v>45996</v>
      </c>
      <c r="B254" s="179">
        <f>SUMIFS('recurring2_based on steps'!$B254:$AY254,'recurring2_based on steps'!$B$1:$AY$1,B$1)+SUMIFS('changes2_based on steps'!$B254:$U254,'changes2_based on steps'!$B$1:$U$1,B$1)</f>
        <v>0</v>
      </c>
      <c r="C254" s="179">
        <f>SUMIFS('recurring2_based on steps'!$B254:$AY254,'recurring2_based on steps'!$B$1:$AY$1,C$1)+SUMIFS('changes2_based on steps'!$B254:$U254,'changes2_based on steps'!$B$1:$U$1,C$1)</f>
        <v>0</v>
      </c>
      <c r="D254" s="179">
        <f>SUMIFS('recurring2_based on steps'!$B254:$AY254,'recurring2_based on steps'!$B$1:$AY$1,D$1)+SUMIFS('changes2_based on steps'!$B254:$U254,'changes2_based on steps'!$B$1:$U$1,D$1)</f>
        <v>0</v>
      </c>
      <c r="E254" s="179">
        <f>SUMIFS('recurring2_based on steps'!$B254:$AY254,'recurring2_based on steps'!$B$1:$AY$1,E$1)+SUMIFS('changes2_based on steps'!$B254:$U254,'changes2_based on steps'!$B$1:$U$1,E$1)</f>
        <v>0</v>
      </c>
      <c r="F254" s="179">
        <f>SUMIFS('recurring2_based on steps'!$B254:$AY254,'recurring2_based on steps'!$B$1:$AY$1,F$1)+SUMIFS('changes2_based on steps'!$B254:$U254,'changes2_based on steps'!$B$1:$U$1,F$1)</f>
        <v>0</v>
      </c>
      <c r="G254" s="179">
        <f>SUMIFS('recurring2_based on steps'!$B254:$AY254,'recurring2_based on steps'!$B$1:$AY$1,G$1)+SUMIFS('changes2_based on steps'!$B254:$U254,'changes2_based on steps'!$B$1:$U$1,G$1)</f>
        <v>0</v>
      </c>
      <c r="H254" s="179">
        <f>SUMIFS('recurring2_based on steps'!$B254:$AY254,'recurring2_based on steps'!$B$1:$AY$1,H$1)+SUMIFS('changes2_based on steps'!$B254:$U254,'changes2_based on steps'!$B$1:$U$1,H$1)</f>
        <v>0</v>
      </c>
      <c r="I254" s="179">
        <f>SUMIFS('recurring2_based on steps'!$B254:$AY254,'recurring2_based on steps'!$B$1:$AY$1,I$1)+SUMIFS('changes2_based on steps'!$B254:$U254,'changes2_based on steps'!$B$1:$U$1,I$1)</f>
        <v>0</v>
      </c>
      <c r="J254" s="179">
        <f>SUMIFS('recurring2_based on steps'!$B254:$AY254,'recurring2_based on steps'!$B$1:$AY$1,J$1)+SUMIFS('changes2_based on steps'!$B254:$U254,'changes2_based on steps'!$B$1:$U$1,J$1)</f>
        <v>0</v>
      </c>
      <c r="K254" s="179">
        <f>SUMIFS('recurring2_based on steps'!$B254:$AY254,'recurring2_based on steps'!$B$1:$AY$1,K$1)+SUMIFS('changes2_based on steps'!$B254:$U254,'changes2_based on steps'!$B$1:$U$1,K$1)</f>
        <v>0</v>
      </c>
      <c r="L254" s="179">
        <f>SUMIFS('recurring2_based on steps'!$B254:$AY254,'recurring2_based on steps'!$B$1:$AY$1,L$1)+SUMIFS('changes2_based on steps'!$B254:$U254,'changes2_based on steps'!$B$1:$U$1,L$1)</f>
        <v>0</v>
      </c>
      <c r="M254" s="179">
        <f>SUMIFS('recurring2_based on steps'!$B254:$AY254,'recurring2_based on steps'!$B$1:$AY$1,M$1)+SUMIFS('changes2_based on steps'!$B254:$U254,'changes2_based on steps'!$B$1:$U$1,M$1)</f>
        <v>0</v>
      </c>
      <c r="N254" s="179">
        <f>SUMIFS('recurring2_based on steps'!$B254:$AY254,'recurring2_based on steps'!$B$1:$AY$1,N$1)+SUMIFS('changes2_based on steps'!$B254:$U254,'changes2_based on steps'!$B$1:$U$1,N$1)</f>
        <v>0</v>
      </c>
      <c r="O254" s="179">
        <f>SUMIFS('recurring2_based on steps'!$B254:$AY254,'recurring2_based on steps'!$B$1:$AY$1,O$1)+SUMIFS('changes2_based on steps'!$B254:$U254,'changes2_based on steps'!$B$1:$U$1,O$1)</f>
        <v>0</v>
      </c>
      <c r="P254" s="179">
        <f>SUMIFS('recurring2_based on steps'!$B254:$AY254,'recurring2_based on steps'!$B$1:$AY$1,P$1)+SUMIFS('changes2_based on steps'!$B254:$U254,'changes2_based on steps'!$B$1:$U$1,P$1)</f>
        <v>0</v>
      </c>
      <c r="Q254" s="179">
        <f>SUMIFS('recurring2_based on steps'!$B254:$AY254,'recurring2_based on steps'!$B$1:$AY$1,Q$1)+SUMIFS('changes2_based on steps'!$B254:$U254,'changes2_based on steps'!$B$1:$U$1,Q$1)</f>
        <v>0</v>
      </c>
      <c r="R254" s="179">
        <f>SUMIFS('recurring2_based on steps'!$B254:$AY254,'recurring2_based on steps'!$B$1:$AY$1,R$1)+SUMIFS('changes2_based on steps'!$B254:$U254,'changes2_based on steps'!$B$1:$U$1,R$1)</f>
        <v>0</v>
      </c>
      <c r="S254" s="179">
        <f>SUMIFS('recurring2_based on steps'!$B254:$AY254,'recurring2_based on steps'!$B$1:$AY$1,S$1)+SUMIFS('changes2_based on steps'!$B254:$U254,'changes2_based on steps'!$B$1:$U$1,S$1)</f>
        <v>0</v>
      </c>
      <c r="T254" s="179">
        <f>SUMIFS('recurring2_based on steps'!$B254:$AY254,'recurring2_based on steps'!$B$1:$AY$1,T$1)+SUMIFS('changes2_based on steps'!$B254:$U254,'changes2_based on steps'!$B$1:$U$1,T$1)</f>
        <v>0</v>
      </c>
      <c r="U254" s="179">
        <f>SUMIFS('recurring2_based on steps'!$B254:$AY254,'recurring2_based on steps'!$B$1:$AY$1,U$1)+SUMIFS('changes2_based on steps'!$B254:$U254,'changes2_based on steps'!$B$1:$U$1,U$1)</f>
        <v>0</v>
      </c>
      <c r="V254" s="179">
        <f>SUMIFS('recurring2_based on steps'!$B254:$AY254,'recurring2_based on steps'!$B$1:$AY$1,V$1)+SUMIFS('changes2_based on steps'!$B254:$U254,'changes2_based on steps'!$B$1:$U$1,V$1)</f>
        <v>0</v>
      </c>
      <c r="W254" s="179">
        <f>SUMIFS('recurring2_based on steps'!$B254:$AY254,'recurring2_based on steps'!$B$1:$AY$1,W$1)+SUMIFS('changes2_based on steps'!$B254:$U254,'changes2_based on steps'!$B$1:$U$1,W$1)</f>
        <v>0</v>
      </c>
      <c r="X254" s="179">
        <f>SUMIFS('recurring2_based on steps'!$B254:$AY254,'recurring2_based on steps'!$B$1:$AY$1,X$1)+SUMIFS('changes2_based on steps'!$B254:$U254,'changes2_based on steps'!$B$1:$U$1,X$1)</f>
        <v>0</v>
      </c>
      <c r="Y254" s="179">
        <f>SUMIFS('recurring2_based on steps'!$B254:$AY254,'recurring2_based on steps'!$B$1:$AY$1,Y$1)+SUMIFS('changes2_based on steps'!$B254:$U254,'changes2_based on steps'!$B$1:$U$1,Y$1)</f>
        <v>0</v>
      </c>
      <c r="Z254" s="179">
        <f>SUMIFS('recurring2_based on steps'!$B254:$AY254,'recurring2_based on steps'!$B$1:$AY$1,Z$1)+SUMIFS('changes2_based on steps'!$B254:$U254,'changes2_based on steps'!$B$1:$U$1,Z$1)</f>
        <v>0</v>
      </c>
      <c r="AA254" s="179">
        <f>SUMIFS('recurring2_based on steps'!$B254:$AY254,'recurring2_based on steps'!$B$1:$AY$1,AA$1)+SUMIFS('changes2_based on steps'!$B254:$U254,'changes2_based on steps'!$B$1:$U$1,AA$1)</f>
        <v>0</v>
      </c>
      <c r="AB254" s="179">
        <f>SUMIFS('recurring2_based on steps'!$B254:$AY254,'recurring2_based on steps'!$B$1:$AY$1,AB$1)+SUMIFS('changes2_based on steps'!$B254:$U254,'changes2_based on steps'!$B$1:$U$1,AB$1)</f>
        <v>0</v>
      </c>
      <c r="AC254" s="179">
        <f>SUMIFS('recurring2_based on steps'!$B254:$AY254,'recurring2_based on steps'!$B$1:$AY$1,AC$1)+SUMIFS('changes2_based on steps'!$B254:$U254,'changes2_based on steps'!$B$1:$U$1,AC$1)</f>
        <v>0</v>
      </c>
      <c r="AD254" s="179">
        <f>SUMIFS('recurring2_based on steps'!$B254:$AY254,'recurring2_based on steps'!$B$1:$AY$1,AD$1)+SUMIFS('changes2_based on steps'!$B254:$U254,'changes2_based on steps'!$B$1:$U$1,AD$1)</f>
        <v>0</v>
      </c>
      <c r="AE254" s="179">
        <f>SUMIFS('recurring2_based on steps'!$B254:$AY254,'recurring2_based on steps'!$B$1:$AY$1,AE$1)+SUMIFS('changes2_based on steps'!$B254:$U254,'changes2_based on steps'!$B$1:$U$1,AE$1)</f>
        <v>0</v>
      </c>
      <c r="AF254" s="179"/>
      <c r="AG254" s="179"/>
      <c r="AH254" s="179"/>
      <c r="AI254" s="179"/>
      <c r="AJ254" s="179"/>
      <c r="AK254" s="179"/>
      <c r="AL254" s="179"/>
      <c r="AM254" s="179"/>
    </row>
    <row r="255" spans="1:39" x14ac:dyDescent="0.2">
      <c r="A255" s="32">
        <f t="shared" ca="1" si="3"/>
        <v>45997</v>
      </c>
      <c r="B255" s="179">
        <f>SUMIFS('recurring2_based on steps'!$B255:$AY255,'recurring2_based on steps'!$B$1:$AY$1,B$1)+SUMIFS('changes2_based on steps'!$B255:$U255,'changes2_based on steps'!$B$1:$U$1,B$1)</f>
        <v>0</v>
      </c>
      <c r="C255" s="179">
        <f>SUMIFS('recurring2_based on steps'!$B255:$AY255,'recurring2_based on steps'!$B$1:$AY$1,C$1)+SUMIFS('changes2_based on steps'!$B255:$U255,'changes2_based on steps'!$B$1:$U$1,C$1)</f>
        <v>0</v>
      </c>
      <c r="D255" s="179">
        <f>SUMIFS('recurring2_based on steps'!$B255:$AY255,'recurring2_based on steps'!$B$1:$AY$1,D$1)+SUMIFS('changes2_based on steps'!$B255:$U255,'changes2_based on steps'!$B$1:$U$1,D$1)</f>
        <v>0</v>
      </c>
      <c r="E255" s="179">
        <f>SUMIFS('recurring2_based on steps'!$B255:$AY255,'recurring2_based on steps'!$B$1:$AY$1,E$1)+SUMIFS('changes2_based on steps'!$B255:$U255,'changes2_based on steps'!$B$1:$U$1,E$1)</f>
        <v>0</v>
      </c>
      <c r="F255" s="179">
        <f>SUMIFS('recurring2_based on steps'!$B255:$AY255,'recurring2_based on steps'!$B$1:$AY$1,F$1)+SUMIFS('changes2_based on steps'!$B255:$U255,'changes2_based on steps'!$B$1:$U$1,F$1)</f>
        <v>0</v>
      </c>
      <c r="G255" s="179">
        <f>SUMIFS('recurring2_based on steps'!$B255:$AY255,'recurring2_based on steps'!$B$1:$AY$1,G$1)+SUMIFS('changes2_based on steps'!$B255:$U255,'changes2_based on steps'!$B$1:$U$1,G$1)</f>
        <v>0</v>
      </c>
      <c r="H255" s="179">
        <f>SUMIFS('recurring2_based on steps'!$B255:$AY255,'recurring2_based on steps'!$B$1:$AY$1,H$1)+SUMIFS('changes2_based on steps'!$B255:$U255,'changes2_based on steps'!$B$1:$U$1,H$1)</f>
        <v>0</v>
      </c>
      <c r="I255" s="179">
        <f>SUMIFS('recurring2_based on steps'!$B255:$AY255,'recurring2_based on steps'!$B$1:$AY$1,I$1)+SUMIFS('changes2_based on steps'!$B255:$U255,'changes2_based on steps'!$B$1:$U$1,I$1)</f>
        <v>0</v>
      </c>
      <c r="J255" s="179">
        <f>SUMIFS('recurring2_based on steps'!$B255:$AY255,'recurring2_based on steps'!$B$1:$AY$1,J$1)+SUMIFS('changes2_based on steps'!$B255:$U255,'changes2_based on steps'!$B$1:$U$1,J$1)</f>
        <v>0</v>
      </c>
      <c r="K255" s="179">
        <f>SUMIFS('recurring2_based on steps'!$B255:$AY255,'recurring2_based on steps'!$B$1:$AY$1,K$1)+SUMIFS('changes2_based on steps'!$B255:$U255,'changes2_based on steps'!$B$1:$U$1,K$1)</f>
        <v>0</v>
      </c>
      <c r="L255" s="179">
        <f>SUMIFS('recurring2_based on steps'!$B255:$AY255,'recurring2_based on steps'!$B$1:$AY$1,L$1)+SUMIFS('changes2_based on steps'!$B255:$U255,'changes2_based on steps'!$B$1:$U$1,L$1)</f>
        <v>0</v>
      </c>
      <c r="M255" s="179">
        <f>SUMIFS('recurring2_based on steps'!$B255:$AY255,'recurring2_based on steps'!$B$1:$AY$1,M$1)+SUMIFS('changes2_based on steps'!$B255:$U255,'changes2_based on steps'!$B$1:$U$1,M$1)</f>
        <v>0</v>
      </c>
      <c r="N255" s="179">
        <f>SUMIFS('recurring2_based on steps'!$B255:$AY255,'recurring2_based on steps'!$B$1:$AY$1,N$1)+SUMIFS('changes2_based on steps'!$B255:$U255,'changes2_based on steps'!$B$1:$U$1,N$1)</f>
        <v>0</v>
      </c>
      <c r="O255" s="179">
        <f>SUMIFS('recurring2_based on steps'!$B255:$AY255,'recurring2_based on steps'!$B$1:$AY$1,O$1)+SUMIFS('changes2_based on steps'!$B255:$U255,'changes2_based on steps'!$B$1:$U$1,O$1)</f>
        <v>0</v>
      </c>
      <c r="P255" s="179">
        <f>SUMIFS('recurring2_based on steps'!$B255:$AY255,'recurring2_based on steps'!$B$1:$AY$1,P$1)+SUMIFS('changes2_based on steps'!$B255:$U255,'changes2_based on steps'!$B$1:$U$1,P$1)</f>
        <v>0</v>
      </c>
      <c r="Q255" s="179">
        <f>SUMIFS('recurring2_based on steps'!$B255:$AY255,'recurring2_based on steps'!$B$1:$AY$1,Q$1)+SUMIFS('changes2_based on steps'!$B255:$U255,'changes2_based on steps'!$B$1:$U$1,Q$1)</f>
        <v>0</v>
      </c>
      <c r="R255" s="179">
        <f>SUMIFS('recurring2_based on steps'!$B255:$AY255,'recurring2_based on steps'!$B$1:$AY$1,R$1)+SUMIFS('changes2_based on steps'!$B255:$U255,'changes2_based on steps'!$B$1:$U$1,R$1)</f>
        <v>0</v>
      </c>
      <c r="S255" s="179">
        <f>SUMIFS('recurring2_based on steps'!$B255:$AY255,'recurring2_based on steps'!$B$1:$AY$1,S$1)+SUMIFS('changes2_based on steps'!$B255:$U255,'changes2_based on steps'!$B$1:$U$1,S$1)</f>
        <v>0</v>
      </c>
      <c r="T255" s="179">
        <f>SUMIFS('recurring2_based on steps'!$B255:$AY255,'recurring2_based on steps'!$B$1:$AY$1,T$1)+SUMIFS('changes2_based on steps'!$B255:$U255,'changes2_based on steps'!$B$1:$U$1,T$1)</f>
        <v>0</v>
      </c>
      <c r="U255" s="179">
        <f>SUMIFS('recurring2_based on steps'!$B255:$AY255,'recurring2_based on steps'!$B$1:$AY$1,U$1)+SUMIFS('changes2_based on steps'!$B255:$U255,'changes2_based on steps'!$B$1:$U$1,U$1)</f>
        <v>0</v>
      </c>
      <c r="V255" s="179">
        <f>SUMIFS('recurring2_based on steps'!$B255:$AY255,'recurring2_based on steps'!$B$1:$AY$1,V$1)+SUMIFS('changes2_based on steps'!$B255:$U255,'changes2_based on steps'!$B$1:$U$1,V$1)</f>
        <v>0</v>
      </c>
      <c r="W255" s="179">
        <f>SUMIFS('recurring2_based on steps'!$B255:$AY255,'recurring2_based on steps'!$B$1:$AY$1,W$1)+SUMIFS('changes2_based on steps'!$B255:$U255,'changes2_based on steps'!$B$1:$U$1,W$1)</f>
        <v>0</v>
      </c>
      <c r="X255" s="179">
        <f>SUMIFS('recurring2_based on steps'!$B255:$AY255,'recurring2_based on steps'!$B$1:$AY$1,X$1)+SUMIFS('changes2_based on steps'!$B255:$U255,'changes2_based on steps'!$B$1:$U$1,X$1)</f>
        <v>0</v>
      </c>
      <c r="Y255" s="179">
        <f>SUMIFS('recurring2_based on steps'!$B255:$AY255,'recurring2_based on steps'!$B$1:$AY$1,Y$1)+SUMIFS('changes2_based on steps'!$B255:$U255,'changes2_based on steps'!$B$1:$U$1,Y$1)</f>
        <v>0</v>
      </c>
      <c r="Z255" s="179">
        <f>SUMIFS('recurring2_based on steps'!$B255:$AY255,'recurring2_based on steps'!$B$1:$AY$1,Z$1)+SUMIFS('changes2_based on steps'!$B255:$U255,'changes2_based on steps'!$B$1:$U$1,Z$1)</f>
        <v>0</v>
      </c>
      <c r="AA255" s="179">
        <f>SUMIFS('recurring2_based on steps'!$B255:$AY255,'recurring2_based on steps'!$B$1:$AY$1,AA$1)+SUMIFS('changes2_based on steps'!$B255:$U255,'changes2_based on steps'!$B$1:$U$1,AA$1)</f>
        <v>0</v>
      </c>
      <c r="AB255" s="179">
        <f>SUMIFS('recurring2_based on steps'!$B255:$AY255,'recurring2_based on steps'!$B$1:$AY$1,AB$1)+SUMIFS('changes2_based on steps'!$B255:$U255,'changes2_based on steps'!$B$1:$U$1,AB$1)</f>
        <v>0</v>
      </c>
      <c r="AC255" s="179">
        <f>SUMIFS('recurring2_based on steps'!$B255:$AY255,'recurring2_based on steps'!$B$1:$AY$1,AC$1)+SUMIFS('changes2_based on steps'!$B255:$U255,'changes2_based on steps'!$B$1:$U$1,AC$1)</f>
        <v>0</v>
      </c>
      <c r="AD255" s="179">
        <f>SUMIFS('recurring2_based on steps'!$B255:$AY255,'recurring2_based on steps'!$B$1:$AY$1,AD$1)+SUMIFS('changes2_based on steps'!$B255:$U255,'changes2_based on steps'!$B$1:$U$1,AD$1)</f>
        <v>0</v>
      </c>
      <c r="AE255" s="179">
        <f>SUMIFS('recurring2_based on steps'!$B255:$AY255,'recurring2_based on steps'!$B$1:$AY$1,AE$1)+SUMIFS('changes2_based on steps'!$B255:$U255,'changes2_based on steps'!$B$1:$U$1,AE$1)</f>
        <v>0</v>
      </c>
      <c r="AF255" s="179"/>
      <c r="AG255" s="179"/>
      <c r="AH255" s="179"/>
      <c r="AI255" s="179"/>
      <c r="AJ255" s="179"/>
      <c r="AK255" s="179"/>
      <c r="AL255" s="179"/>
      <c r="AM255" s="179"/>
    </row>
    <row r="256" spans="1:39" x14ac:dyDescent="0.2">
      <c r="A256" s="32">
        <f t="shared" ca="1" si="3"/>
        <v>45998</v>
      </c>
      <c r="B256" s="179">
        <f>SUMIFS('recurring2_based on steps'!$B256:$AY256,'recurring2_based on steps'!$B$1:$AY$1,B$1)+SUMIFS('changes2_based on steps'!$B256:$U256,'changes2_based on steps'!$B$1:$U$1,B$1)</f>
        <v>0</v>
      </c>
      <c r="C256" s="179">
        <f>SUMIFS('recurring2_based on steps'!$B256:$AY256,'recurring2_based on steps'!$B$1:$AY$1,C$1)+SUMIFS('changes2_based on steps'!$B256:$U256,'changes2_based on steps'!$B$1:$U$1,C$1)</f>
        <v>0</v>
      </c>
      <c r="D256" s="179">
        <f>SUMIFS('recurring2_based on steps'!$B256:$AY256,'recurring2_based on steps'!$B$1:$AY$1,D$1)+SUMIFS('changes2_based on steps'!$B256:$U256,'changes2_based on steps'!$B$1:$U$1,D$1)</f>
        <v>0</v>
      </c>
      <c r="E256" s="179">
        <f>SUMIFS('recurring2_based on steps'!$B256:$AY256,'recurring2_based on steps'!$B$1:$AY$1,E$1)+SUMIFS('changes2_based on steps'!$B256:$U256,'changes2_based on steps'!$B$1:$U$1,E$1)</f>
        <v>0</v>
      </c>
      <c r="F256" s="179">
        <f>SUMIFS('recurring2_based on steps'!$B256:$AY256,'recurring2_based on steps'!$B$1:$AY$1,F$1)+SUMIFS('changes2_based on steps'!$B256:$U256,'changes2_based on steps'!$B$1:$U$1,F$1)</f>
        <v>0</v>
      </c>
      <c r="G256" s="179">
        <f>SUMIFS('recurring2_based on steps'!$B256:$AY256,'recurring2_based on steps'!$B$1:$AY$1,G$1)+SUMIFS('changes2_based on steps'!$B256:$U256,'changes2_based on steps'!$B$1:$U$1,G$1)</f>
        <v>0</v>
      </c>
      <c r="H256" s="179">
        <f>SUMIFS('recurring2_based on steps'!$B256:$AY256,'recurring2_based on steps'!$B$1:$AY$1,H$1)+SUMIFS('changes2_based on steps'!$B256:$U256,'changes2_based on steps'!$B$1:$U$1,H$1)</f>
        <v>0</v>
      </c>
      <c r="I256" s="179">
        <f>SUMIFS('recurring2_based on steps'!$B256:$AY256,'recurring2_based on steps'!$B$1:$AY$1,I$1)+SUMIFS('changes2_based on steps'!$B256:$U256,'changes2_based on steps'!$B$1:$U$1,I$1)</f>
        <v>0</v>
      </c>
      <c r="J256" s="179">
        <f>SUMIFS('recurring2_based on steps'!$B256:$AY256,'recurring2_based on steps'!$B$1:$AY$1,J$1)+SUMIFS('changes2_based on steps'!$B256:$U256,'changes2_based on steps'!$B$1:$U$1,J$1)</f>
        <v>0</v>
      </c>
      <c r="K256" s="179">
        <f>SUMIFS('recurring2_based on steps'!$B256:$AY256,'recurring2_based on steps'!$B$1:$AY$1,K$1)+SUMIFS('changes2_based on steps'!$B256:$U256,'changes2_based on steps'!$B$1:$U$1,K$1)</f>
        <v>0</v>
      </c>
      <c r="L256" s="179">
        <f>SUMIFS('recurring2_based on steps'!$B256:$AY256,'recurring2_based on steps'!$B$1:$AY$1,L$1)+SUMIFS('changes2_based on steps'!$B256:$U256,'changes2_based on steps'!$B$1:$U$1,L$1)</f>
        <v>0</v>
      </c>
      <c r="M256" s="179">
        <f>SUMIFS('recurring2_based on steps'!$B256:$AY256,'recurring2_based on steps'!$B$1:$AY$1,M$1)+SUMIFS('changes2_based on steps'!$B256:$U256,'changes2_based on steps'!$B$1:$U$1,M$1)</f>
        <v>0</v>
      </c>
      <c r="N256" s="179">
        <f>SUMIFS('recurring2_based on steps'!$B256:$AY256,'recurring2_based on steps'!$B$1:$AY$1,N$1)+SUMIFS('changes2_based on steps'!$B256:$U256,'changes2_based on steps'!$B$1:$U$1,N$1)</f>
        <v>0</v>
      </c>
      <c r="O256" s="179">
        <f>SUMIFS('recurring2_based on steps'!$B256:$AY256,'recurring2_based on steps'!$B$1:$AY$1,O$1)+SUMIFS('changes2_based on steps'!$B256:$U256,'changes2_based on steps'!$B$1:$U$1,O$1)</f>
        <v>0</v>
      </c>
      <c r="P256" s="179">
        <f>SUMIFS('recurring2_based on steps'!$B256:$AY256,'recurring2_based on steps'!$B$1:$AY$1,P$1)+SUMIFS('changes2_based on steps'!$B256:$U256,'changes2_based on steps'!$B$1:$U$1,P$1)</f>
        <v>0</v>
      </c>
      <c r="Q256" s="179">
        <f>SUMIFS('recurring2_based on steps'!$B256:$AY256,'recurring2_based on steps'!$B$1:$AY$1,Q$1)+SUMIFS('changes2_based on steps'!$B256:$U256,'changes2_based on steps'!$B$1:$U$1,Q$1)</f>
        <v>0</v>
      </c>
      <c r="R256" s="179">
        <f>SUMIFS('recurring2_based on steps'!$B256:$AY256,'recurring2_based on steps'!$B$1:$AY$1,R$1)+SUMIFS('changes2_based on steps'!$B256:$U256,'changes2_based on steps'!$B$1:$U$1,R$1)</f>
        <v>0</v>
      </c>
      <c r="S256" s="179">
        <f>SUMIFS('recurring2_based on steps'!$B256:$AY256,'recurring2_based on steps'!$B$1:$AY$1,S$1)+SUMIFS('changes2_based on steps'!$B256:$U256,'changes2_based on steps'!$B$1:$U$1,S$1)</f>
        <v>0</v>
      </c>
      <c r="T256" s="179">
        <f>SUMIFS('recurring2_based on steps'!$B256:$AY256,'recurring2_based on steps'!$B$1:$AY$1,T$1)+SUMIFS('changes2_based on steps'!$B256:$U256,'changes2_based on steps'!$B$1:$U$1,T$1)</f>
        <v>0</v>
      </c>
      <c r="U256" s="179">
        <f>SUMIFS('recurring2_based on steps'!$B256:$AY256,'recurring2_based on steps'!$B$1:$AY$1,U$1)+SUMIFS('changes2_based on steps'!$B256:$U256,'changes2_based on steps'!$B$1:$U$1,U$1)</f>
        <v>0</v>
      </c>
      <c r="V256" s="179">
        <f>SUMIFS('recurring2_based on steps'!$B256:$AY256,'recurring2_based on steps'!$B$1:$AY$1,V$1)+SUMIFS('changes2_based on steps'!$B256:$U256,'changes2_based on steps'!$B$1:$U$1,V$1)</f>
        <v>0</v>
      </c>
      <c r="W256" s="179">
        <f>SUMIFS('recurring2_based on steps'!$B256:$AY256,'recurring2_based on steps'!$B$1:$AY$1,W$1)+SUMIFS('changes2_based on steps'!$B256:$U256,'changes2_based on steps'!$B$1:$U$1,W$1)</f>
        <v>0</v>
      </c>
      <c r="X256" s="179">
        <f>SUMIFS('recurring2_based on steps'!$B256:$AY256,'recurring2_based on steps'!$B$1:$AY$1,X$1)+SUMIFS('changes2_based on steps'!$B256:$U256,'changes2_based on steps'!$B$1:$U$1,X$1)</f>
        <v>0</v>
      </c>
      <c r="Y256" s="179">
        <f>SUMIFS('recurring2_based on steps'!$B256:$AY256,'recurring2_based on steps'!$B$1:$AY$1,Y$1)+SUMIFS('changes2_based on steps'!$B256:$U256,'changes2_based on steps'!$B$1:$U$1,Y$1)</f>
        <v>0</v>
      </c>
      <c r="Z256" s="179">
        <f>SUMIFS('recurring2_based on steps'!$B256:$AY256,'recurring2_based on steps'!$B$1:$AY$1,Z$1)+SUMIFS('changes2_based on steps'!$B256:$U256,'changes2_based on steps'!$B$1:$U$1,Z$1)</f>
        <v>0</v>
      </c>
      <c r="AA256" s="179">
        <f>SUMIFS('recurring2_based on steps'!$B256:$AY256,'recurring2_based on steps'!$B$1:$AY$1,AA$1)+SUMIFS('changes2_based on steps'!$B256:$U256,'changes2_based on steps'!$B$1:$U$1,AA$1)</f>
        <v>0</v>
      </c>
      <c r="AB256" s="179">
        <f>SUMIFS('recurring2_based on steps'!$B256:$AY256,'recurring2_based on steps'!$B$1:$AY$1,AB$1)+SUMIFS('changes2_based on steps'!$B256:$U256,'changes2_based on steps'!$B$1:$U$1,AB$1)</f>
        <v>0</v>
      </c>
      <c r="AC256" s="179">
        <f>SUMIFS('recurring2_based on steps'!$B256:$AY256,'recurring2_based on steps'!$B$1:$AY$1,AC$1)+SUMIFS('changes2_based on steps'!$B256:$U256,'changes2_based on steps'!$B$1:$U$1,AC$1)</f>
        <v>0</v>
      </c>
      <c r="AD256" s="179">
        <f>SUMIFS('recurring2_based on steps'!$B256:$AY256,'recurring2_based on steps'!$B$1:$AY$1,AD$1)+SUMIFS('changes2_based on steps'!$B256:$U256,'changes2_based on steps'!$B$1:$U$1,AD$1)</f>
        <v>0</v>
      </c>
      <c r="AE256" s="179">
        <f>SUMIFS('recurring2_based on steps'!$B256:$AY256,'recurring2_based on steps'!$B$1:$AY$1,AE$1)+SUMIFS('changes2_based on steps'!$B256:$U256,'changes2_based on steps'!$B$1:$U$1,AE$1)</f>
        <v>0</v>
      </c>
      <c r="AF256" s="179"/>
      <c r="AG256" s="179"/>
      <c r="AH256" s="179"/>
      <c r="AI256" s="179"/>
      <c r="AJ256" s="179"/>
      <c r="AK256" s="179"/>
      <c r="AL256" s="179"/>
      <c r="AM256" s="179"/>
    </row>
    <row r="257" spans="1:39" x14ac:dyDescent="0.2">
      <c r="A257" s="32">
        <f t="shared" ca="1" si="3"/>
        <v>45999</v>
      </c>
      <c r="B257" s="179">
        <f>SUMIFS('recurring2_based on steps'!$B257:$AY257,'recurring2_based on steps'!$B$1:$AY$1,B$1)+SUMIFS('changes2_based on steps'!$B257:$U257,'changes2_based on steps'!$B$1:$U$1,B$1)</f>
        <v>0</v>
      </c>
      <c r="C257" s="179">
        <f>SUMIFS('recurring2_based on steps'!$B257:$AY257,'recurring2_based on steps'!$B$1:$AY$1,C$1)+SUMIFS('changes2_based on steps'!$B257:$U257,'changes2_based on steps'!$B$1:$U$1,C$1)</f>
        <v>0</v>
      </c>
      <c r="D257" s="179">
        <f>SUMIFS('recurring2_based on steps'!$B257:$AY257,'recurring2_based on steps'!$B$1:$AY$1,D$1)+SUMIFS('changes2_based on steps'!$B257:$U257,'changes2_based on steps'!$B$1:$U$1,D$1)</f>
        <v>0</v>
      </c>
      <c r="E257" s="179">
        <f>SUMIFS('recurring2_based on steps'!$B257:$AY257,'recurring2_based on steps'!$B$1:$AY$1,E$1)+SUMIFS('changes2_based on steps'!$B257:$U257,'changes2_based on steps'!$B$1:$U$1,E$1)</f>
        <v>0</v>
      </c>
      <c r="F257" s="179">
        <f>SUMIFS('recurring2_based on steps'!$B257:$AY257,'recurring2_based on steps'!$B$1:$AY$1,F$1)+SUMIFS('changes2_based on steps'!$B257:$U257,'changes2_based on steps'!$B$1:$U$1,F$1)</f>
        <v>0</v>
      </c>
      <c r="G257" s="179">
        <f>SUMIFS('recurring2_based on steps'!$B257:$AY257,'recurring2_based on steps'!$B$1:$AY$1,G$1)+SUMIFS('changes2_based on steps'!$B257:$U257,'changes2_based on steps'!$B$1:$U$1,G$1)</f>
        <v>0</v>
      </c>
      <c r="H257" s="179">
        <f>SUMIFS('recurring2_based on steps'!$B257:$AY257,'recurring2_based on steps'!$B$1:$AY$1,H$1)+SUMIFS('changes2_based on steps'!$B257:$U257,'changes2_based on steps'!$B$1:$U$1,H$1)</f>
        <v>0</v>
      </c>
      <c r="I257" s="179">
        <f>SUMIFS('recurring2_based on steps'!$B257:$AY257,'recurring2_based on steps'!$B$1:$AY$1,I$1)+SUMIFS('changes2_based on steps'!$B257:$U257,'changes2_based on steps'!$B$1:$U$1,I$1)</f>
        <v>0</v>
      </c>
      <c r="J257" s="179">
        <f>SUMIFS('recurring2_based on steps'!$B257:$AY257,'recurring2_based on steps'!$B$1:$AY$1,J$1)+SUMIFS('changes2_based on steps'!$B257:$U257,'changes2_based on steps'!$B$1:$U$1,J$1)</f>
        <v>0</v>
      </c>
      <c r="K257" s="179">
        <f>SUMIFS('recurring2_based on steps'!$B257:$AY257,'recurring2_based on steps'!$B$1:$AY$1,K$1)+SUMIFS('changes2_based on steps'!$B257:$U257,'changes2_based on steps'!$B$1:$U$1,K$1)</f>
        <v>0</v>
      </c>
      <c r="L257" s="179">
        <f>SUMIFS('recurring2_based on steps'!$B257:$AY257,'recurring2_based on steps'!$B$1:$AY$1,L$1)+SUMIFS('changes2_based on steps'!$B257:$U257,'changes2_based on steps'!$B$1:$U$1,L$1)</f>
        <v>0</v>
      </c>
      <c r="M257" s="179">
        <f>SUMIFS('recurring2_based on steps'!$B257:$AY257,'recurring2_based on steps'!$B$1:$AY$1,M$1)+SUMIFS('changes2_based on steps'!$B257:$U257,'changes2_based on steps'!$B$1:$U$1,M$1)</f>
        <v>0</v>
      </c>
      <c r="N257" s="179">
        <f>SUMIFS('recurring2_based on steps'!$B257:$AY257,'recurring2_based on steps'!$B$1:$AY$1,N$1)+SUMIFS('changes2_based on steps'!$B257:$U257,'changes2_based on steps'!$B$1:$U$1,N$1)</f>
        <v>0</v>
      </c>
      <c r="O257" s="179">
        <f>SUMIFS('recurring2_based on steps'!$B257:$AY257,'recurring2_based on steps'!$B$1:$AY$1,O$1)+SUMIFS('changes2_based on steps'!$B257:$U257,'changes2_based on steps'!$B$1:$U$1,O$1)</f>
        <v>0</v>
      </c>
      <c r="P257" s="179">
        <f>SUMIFS('recurring2_based on steps'!$B257:$AY257,'recurring2_based on steps'!$B$1:$AY$1,P$1)+SUMIFS('changes2_based on steps'!$B257:$U257,'changes2_based on steps'!$B$1:$U$1,P$1)</f>
        <v>0</v>
      </c>
      <c r="Q257" s="179">
        <f>SUMIFS('recurring2_based on steps'!$B257:$AY257,'recurring2_based on steps'!$B$1:$AY$1,Q$1)+SUMIFS('changes2_based on steps'!$B257:$U257,'changes2_based on steps'!$B$1:$U$1,Q$1)</f>
        <v>0</v>
      </c>
      <c r="R257" s="179">
        <f>SUMIFS('recurring2_based on steps'!$B257:$AY257,'recurring2_based on steps'!$B$1:$AY$1,R$1)+SUMIFS('changes2_based on steps'!$B257:$U257,'changes2_based on steps'!$B$1:$U$1,R$1)</f>
        <v>0</v>
      </c>
      <c r="S257" s="179">
        <f>SUMIFS('recurring2_based on steps'!$B257:$AY257,'recurring2_based on steps'!$B$1:$AY$1,S$1)+SUMIFS('changes2_based on steps'!$B257:$U257,'changes2_based on steps'!$B$1:$U$1,S$1)</f>
        <v>0</v>
      </c>
      <c r="T257" s="179">
        <f>SUMIFS('recurring2_based on steps'!$B257:$AY257,'recurring2_based on steps'!$B$1:$AY$1,T$1)+SUMIFS('changes2_based on steps'!$B257:$U257,'changes2_based on steps'!$B$1:$U$1,T$1)</f>
        <v>0</v>
      </c>
      <c r="U257" s="179">
        <f>SUMIFS('recurring2_based on steps'!$B257:$AY257,'recurring2_based on steps'!$B$1:$AY$1,U$1)+SUMIFS('changes2_based on steps'!$B257:$U257,'changes2_based on steps'!$B$1:$U$1,U$1)</f>
        <v>0</v>
      </c>
      <c r="V257" s="179">
        <f>SUMIFS('recurring2_based on steps'!$B257:$AY257,'recurring2_based on steps'!$B$1:$AY$1,V$1)+SUMIFS('changes2_based on steps'!$B257:$U257,'changes2_based on steps'!$B$1:$U$1,V$1)</f>
        <v>0</v>
      </c>
      <c r="W257" s="179">
        <f>SUMIFS('recurring2_based on steps'!$B257:$AY257,'recurring2_based on steps'!$B$1:$AY$1,W$1)+SUMIFS('changes2_based on steps'!$B257:$U257,'changes2_based on steps'!$B$1:$U$1,W$1)</f>
        <v>0</v>
      </c>
      <c r="X257" s="179">
        <f>SUMIFS('recurring2_based on steps'!$B257:$AY257,'recurring2_based on steps'!$B$1:$AY$1,X$1)+SUMIFS('changes2_based on steps'!$B257:$U257,'changes2_based on steps'!$B$1:$U$1,X$1)</f>
        <v>0</v>
      </c>
      <c r="Y257" s="179">
        <f>SUMIFS('recurring2_based on steps'!$B257:$AY257,'recurring2_based on steps'!$B$1:$AY$1,Y$1)+SUMIFS('changes2_based on steps'!$B257:$U257,'changes2_based on steps'!$B$1:$U$1,Y$1)</f>
        <v>0</v>
      </c>
      <c r="Z257" s="179">
        <f>SUMIFS('recurring2_based on steps'!$B257:$AY257,'recurring2_based on steps'!$B$1:$AY$1,Z$1)+SUMIFS('changes2_based on steps'!$B257:$U257,'changes2_based on steps'!$B$1:$U$1,Z$1)</f>
        <v>0</v>
      </c>
      <c r="AA257" s="179">
        <f>SUMIFS('recurring2_based on steps'!$B257:$AY257,'recurring2_based on steps'!$B$1:$AY$1,AA$1)+SUMIFS('changes2_based on steps'!$B257:$U257,'changes2_based on steps'!$B$1:$U$1,AA$1)</f>
        <v>0</v>
      </c>
      <c r="AB257" s="179">
        <f>SUMIFS('recurring2_based on steps'!$B257:$AY257,'recurring2_based on steps'!$B$1:$AY$1,AB$1)+SUMIFS('changes2_based on steps'!$B257:$U257,'changes2_based on steps'!$B$1:$U$1,AB$1)</f>
        <v>0</v>
      </c>
      <c r="AC257" s="179">
        <f>SUMIFS('recurring2_based on steps'!$B257:$AY257,'recurring2_based on steps'!$B$1:$AY$1,AC$1)+SUMIFS('changes2_based on steps'!$B257:$U257,'changes2_based on steps'!$B$1:$U$1,AC$1)</f>
        <v>0</v>
      </c>
      <c r="AD257" s="179">
        <f>SUMIFS('recurring2_based on steps'!$B257:$AY257,'recurring2_based on steps'!$B$1:$AY$1,AD$1)+SUMIFS('changes2_based on steps'!$B257:$U257,'changes2_based on steps'!$B$1:$U$1,AD$1)</f>
        <v>0</v>
      </c>
      <c r="AE257" s="179">
        <f>SUMIFS('recurring2_based on steps'!$B257:$AY257,'recurring2_based on steps'!$B$1:$AY$1,AE$1)+SUMIFS('changes2_based on steps'!$B257:$U257,'changes2_based on steps'!$B$1:$U$1,AE$1)</f>
        <v>0</v>
      </c>
      <c r="AF257" s="179"/>
      <c r="AG257" s="179"/>
      <c r="AH257" s="179"/>
      <c r="AI257" s="179"/>
      <c r="AJ257" s="179"/>
      <c r="AK257" s="179"/>
      <c r="AL257" s="179"/>
      <c r="AM257" s="179"/>
    </row>
    <row r="258" spans="1:39" x14ac:dyDescent="0.2">
      <c r="A258" s="32">
        <f t="shared" ca="1" si="3"/>
        <v>46000</v>
      </c>
      <c r="B258" s="179">
        <f>SUMIFS('recurring2_based on steps'!$B258:$AY258,'recurring2_based on steps'!$B$1:$AY$1,B$1)+SUMIFS('changes2_based on steps'!$B258:$U258,'changes2_based on steps'!$B$1:$U$1,B$1)</f>
        <v>0</v>
      </c>
      <c r="C258" s="179">
        <f>SUMIFS('recurring2_based on steps'!$B258:$AY258,'recurring2_based on steps'!$B$1:$AY$1,C$1)+SUMIFS('changes2_based on steps'!$B258:$U258,'changes2_based on steps'!$B$1:$U$1,C$1)</f>
        <v>0</v>
      </c>
      <c r="D258" s="179">
        <f>SUMIFS('recurring2_based on steps'!$B258:$AY258,'recurring2_based on steps'!$B$1:$AY$1,D$1)+SUMIFS('changes2_based on steps'!$B258:$U258,'changes2_based on steps'!$B$1:$U$1,D$1)</f>
        <v>0</v>
      </c>
      <c r="E258" s="179">
        <f>SUMIFS('recurring2_based on steps'!$B258:$AY258,'recurring2_based on steps'!$B$1:$AY$1,E$1)+SUMIFS('changes2_based on steps'!$B258:$U258,'changes2_based on steps'!$B$1:$U$1,E$1)</f>
        <v>0</v>
      </c>
      <c r="F258" s="179">
        <f>SUMIFS('recurring2_based on steps'!$B258:$AY258,'recurring2_based on steps'!$B$1:$AY$1,F$1)+SUMIFS('changes2_based on steps'!$B258:$U258,'changes2_based on steps'!$B$1:$U$1,F$1)</f>
        <v>0</v>
      </c>
      <c r="G258" s="179">
        <f>SUMIFS('recurring2_based on steps'!$B258:$AY258,'recurring2_based on steps'!$B$1:$AY$1,G$1)+SUMIFS('changes2_based on steps'!$B258:$U258,'changes2_based on steps'!$B$1:$U$1,G$1)</f>
        <v>0</v>
      </c>
      <c r="H258" s="179">
        <f>SUMIFS('recurring2_based on steps'!$B258:$AY258,'recurring2_based on steps'!$B$1:$AY$1,H$1)+SUMIFS('changes2_based on steps'!$B258:$U258,'changes2_based on steps'!$B$1:$U$1,H$1)</f>
        <v>0</v>
      </c>
      <c r="I258" s="179">
        <f>SUMIFS('recurring2_based on steps'!$B258:$AY258,'recurring2_based on steps'!$B$1:$AY$1,I$1)+SUMIFS('changes2_based on steps'!$B258:$U258,'changes2_based on steps'!$B$1:$U$1,I$1)</f>
        <v>0</v>
      </c>
      <c r="J258" s="179">
        <f>SUMIFS('recurring2_based on steps'!$B258:$AY258,'recurring2_based on steps'!$B$1:$AY$1,J$1)+SUMIFS('changes2_based on steps'!$B258:$U258,'changes2_based on steps'!$B$1:$U$1,J$1)</f>
        <v>0</v>
      </c>
      <c r="K258" s="179">
        <f>SUMIFS('recurring2_based on steps'!$B258:$AY258,'recurring2_based on steps'!$B$1:$AY$1,K$1)+SUMIFS('changes2_based on steps'!$B258:$U258,'changes2_based on steps'!$B$1:$U$1,K$1)</f>
        <v>0</v>
      </c>
      <c r="L258" s="179">
        <f>SUMIFS('recurring2_based on steps'!$B258:$AY258,'recurring2_based on steps'!$B$1:$AY$1,L$1)+SUMIFS('changes2_based on steps'!$B258:$U258,'changes2_based on steps'!$B$1:$U$1,L$1)</f>
        <v>0</v>
      </c>
      <c r="M258" s="179">
        <f>SUMIFS('recurring2_based on steps'!$B258:$AY258,'recurring2_based on steps'!$B$1:$AY$1,M$1)+SUMIFS('changes2_based on steps'!$B258:$U258,'changes2_based on steps'!$B$1:$U$1,M$1)</f>
        <v>0</v>
      </c>
      <c r="N258" s="179">
        <f>SUMIFS('recurring2_based on steps'!$B258:$AY258,'recurring2_based on steps'!$B$1:$AY$1,N$1)+SUMIFS('changes2_based on steps'!$B258:$U258,'changes2_based on steps'!$B$1:$U$1,N$1)</f>
        <v>0</v>
      </c>
      <c r="O258" s="179">
        <f>SUMIFS('recurring2_based on steps'!$B258:$AY258,'recurring2_based on steps'!$B$1:$AY$1,O$1)+SUMIFS('changes2_based on steps'!$B258:$U258,'changes2_based on steps'!$B$1:$U$1,O$1)</f>
        <v>0</v>
      </c>
      <c r="P258" s="179">
        <f>SUMIFS('recurring2_based on steps'!$B258:$AY258,'recurring2_based on steps'!$B$1:$AY$1,P$1)+SUMIFS('changes2_based on steps'!$B258:$U258,'changes2_based on steps'!$B$1:$U$1,P$1)</f>
        <v>0</v>
      </c>
      <c r="Q258" s="179">
        <f>SUMIFS('recurring2_based on steps'!$B258:$AY258,'recurring2_based on steps'!$B$1:$AY$1,Q$1)+SUMIFS('changes2_based on steps'!$B258:$U258,'changes2_based on steps'!$B$1:$U$1,Q$1)</f>
        <v>0</v>
      </c>
      <c r="R258" s="179">
        <f>SUMIFS('recurring2_based on steps'!$B258:$AY258,'recurring2_based on steps'!$B$1:$AY$1,R$1)+SUMIFS('changes2_based on steps'!$B258:$U258,'changes2_based on steps'!$B$1:$U$1,R$1)</f>
        <v>0</v>
      </c>
      <c r="S258" s="179">
        <f>SUMIFS('recurring2_based on steps'!$B258:$AY258,'recurring2_based on steps'!$B$1:$AY$1,S$1)+SUMIFS('changes2_based on steps'!$B258:$U258,'changes2_based on steps'!$B$1:$U$1,S$1)</f>
        <v>0</v>
      </c>
      <c r="T258" s="179">
        <f>SUMIFS('recurring2_based on steps'!$B258:$AY258,'recurring2_based on steps'!$B$1:$AY$1,T$1)+SUMIFS('changes2_based on steps'!$B258:$U258,'changes2_based on steps'!$B$1:$U$1,T$1)</f>
        <v>0</v>
      </c>
      <c r="U258" s="179">
        <f>SUMIFS('recurring2_based on steps'!$B258:$AY258,'recurring2_based on steps'!$B$1:$AY$1,U$1)+SUMIFS('changes2_based on steps'!$B258:$U258,'changes2_based on steps'!$B$1:$U$1,U$1)</f>
        <v>0</v>
      </c>
      <c r="V258" s="179">
        <f>SUMIFS('recurring2_based on steps'!$B258:$AY258,'recurring2_based on steps'!$B$1:$AY$1,V$1)+SUMIFS('changes2_based on steps'!$B258:$U258,'changes2_based on steps'!$B$1:$U$1,V$1)</f>
        <v>0</v>
      </c>
      <c r="W258" s="179">
        <f>SUMIFS('recurring2_based on steps'!$B258:$AY258,'recurring2_based on steps'!$B$1:$AY$1,W$1)+SUMIFS('changes2_based on steps'!$B258:$U258,'changes2_based on steps'!$B$1:$U$1,W$1)</f>
        <v>0</v>
      </c>
      <c r="X258" s="179">
        <f>SUMIFS('recurring2_based on steps'!$B258:$AY258,'recurring2_based on steps'!$B$1:$AY$1,X$1)+SUMIFS('changes2_based on steps'!$B258:$U258,'changes2_based on steps'!$B$1:$U$1,X$1)</f>
        <v>0</v>
      </c>
      <c r="Y258" s="179">
        <f>SUMIFS('recurring2_based on steps'!$B258:$AY258,'recurring2_based on steps'!$B$1:$AY$1,Y$1)+SUMIFS('changes2_based on steps'!$B258:$U258,'changes2_based on steps'!$B$1:$U$1,Y$1)</f>
        <v>0</v>
      </c>
      <c r="Z258" s="179">
        <f>SUMIFS('recurring2_based on steps'!$B258:$AY258,'recurring2_based on steps'!$B$1:$AY$1,Z$1)+SUMIFS('changes2_based on steps'!$B258:$U258,'changes2_based on steps'!$B$1:$U$1,Z$1)</f>
        <v>0</v>
      </c>
      <c r="AA258" s="179">
        <f>SUMIFS('recurring2_based on steps'!$B258:$AY258,'recurring2_based on steps'!$B$1:$AY$1,AA$1)+SUMIFS('changes2_based on steps'!$B258:$U258,'changes2_based on steps'!$B$1:$U$1,AA$1)</f>
        <v>0</v>
      </c>
      <c r="AB258" s="179">
        <f>SUMIFS('recurring2_based on steps'!$B258:$AY258,'recurring2_based on steps'!$B$1:$AY$1,AB$1)+SUMIFS('changes2_based on steps'!$B258:$U258,'changes2_based on steps'!$B$1:$U$1,AB$1)</f>
        <v>0</v>
      </c>
      <c r="AC258" s="179">
        <f>SUMIFS('recurring2_based on steps'!$B258:$AY258,'recurring2_based on steps'!$B$1:$AY$1,AC$1)+SUMIFS('changes2_based on steps'!$B258:$U258,'changes2_based on steps'!$B$1:$U$1,AC$1)</f>
        <v>0</v>
      </c>
      <c r="AD258" s="179">
        <f>SUMIFS('recurring2_based on steps'!$B258:$AY258,'recurring2_based on steps'!$B$1:$AY$1,AD$1)+SUMIFS('changes2_based on steps'!$B258:$U258,'changes2_based on steps'!$B$1:$U$1,AD$1)</f>
        <v>0</v>
      </c>
      <c r="AE258" s="179">
        <f>SUMIFS('recurring2_based on steps'!$B258:$AY258,'recurring2_based on steps'!$B$1:$AY$1,AE$1)+SUMIFS('changes2_based on steps'!$B258:$U258,'changes2_based on steps'!$B$1:$U$1,AE$1)</f>
        <v>0</v>
      </c>
      <c r="AF258" s="179"/>
      <c r="AG258" s="179"/>
      <c r="AH258" s="179"/>
      <c r="AI258" s="179"/>
      <c r="AJ258" s="179"/>
      <c r="AK258" s="179"/>
      <c r="AL258" s="179"/>
      <c r="AM258" s="179"/>
    </row>
    <row r="259" spans="1:39" x14ac:dyDescent="0.2">
      <c r="A259" s="32">
        <f t="shared" ca="1" si="3"/>
        <v>46001</v>
      </c>
      <c r="B259" s="179">
        <f>SUMIFS('recurring2_based on steps'!$B259:$AY259,'recurring2_based on steps'!$B$1:$AY$1,B$1)+SUMIFS('changes2_based on steps'!$B259:$U259,'changes2_based on steps'!$B$1:$U$1,B$1)</f>
        <v>0</v>
      </c>
      <c r="C259" s="179">
        <f>SUMIFS('recurring2_based on steps'!$B259:$AY259,'recurring2_based on steps'!$B$1:$AY$1,C$1)+SUMIFS('changes2_based on steps'!$B259:$U259,'changes2_based on steps'!$B$1:$U$1,C$1)</f>
        <v>0</v>
      </c>
      <c r="D259" s="179">
        <f>SUMIFS('recurring2_based on steps'!$B259:$AY259,'recurring2_based on steps'!$B$1:$AY$1,D$1)+SUMIFS('changes2_based on steps'!$B259:$U259,'changes2_based on steps'!$B$1:$U$1,D$1)</f>
        <v>0</v>
      </c>
      <c r="E259" s="179">
        <f>SUMIFS('recurring2_based on steps'!$B259:$AY259,'recurring2_based on steps'!$B$1:$AY$1,E$1)+SUMIFS('changes2_based on steps'!$B259:$U259,'changes2_based on steps'!$B$1:$U$1,E$1)</f>
        <v>0</v>
      </c>
      <c r="F259" s="179">
        <f>SUMIFS('recurring2_based on steps'!$B259:$AY259,'recurring2_based on steps'!$B$1:$AY$1,F$1)+SUMIFS('changes2_based on steps'!$B259:$U259,'changes2_based on steps'!$B$1:$U$1,F$1)</f>
        <v>0</v>
      </c>
      <c r="G259" s="179">
        <f>SUMIFS('recurring2_based on steps'!$B259:$AY259,'recurring2_based on steps'!$B$1:$AY$1,G$1)+SUMIFS('changes2_based on steps'!$B259:$U259,'changes2_based on steps'!$B$1:$U$1,G$1)</f>
        <v>0</v>
      </c>
      <c r="H259" s="179">
        <f>SUMIFS('recurring2_based on steps'!$B259:$AY259,'recurring2_based on steps'!$B$1:$AY$1,H$1)+SUMIFS('changes2_based on steps'!$B259:$U259,'changes2_based on steps'!$B$1:$U$1,H$1)</f>
        <v>0</v>
      </c>
      <c r="I259" s="179">
        <f>SUMIFS('recurring2_based on steps'!$B259:$AY259,'recurring2_based on steps'!$B$1:$AY$1,I$1)+SUMIFS('changes2_based on steps'!$B259:$U259,'changes2_based on steps'!$B$1:$U$1,I$1)</f>
        <v>0</v>
      </c>
      <c r="J259" s="179">
        <f>SUMIFS('recurring2_based on steps'!$B259:$AY259,'recurring2_based on steps'!$B$1:$AY$1,J$1)+SUMIFS('changes2_based on steps'!$B259:$U259,'changes2_based on steps'!$B$1:$U$1,J$1)</f>
        <v>0</v>
      </c>
      <c r="K259" s="179">
        <f>SUMIFS('recurring2_based on steps'!$B259:$AY259,'recurring2_based on steps'!$B$1:$AY$1,K$1)+SUMIFS('changes2_based on steps'!$B259:$U259,'changes2_based on steps'!$B$1:$U$1,K$1)</f>
        <v>0</v>
      </c>
      <c r="L259" s="179">
        <f>SUMIFS('recurring2_based on steps'!$B259:$AY259,'recurring2_based on steps'!$B$1:$AY$1,L$1)+SUMIFS('changes2_based on steps'!$B259:$U259,'changes2_based on steps'!$B$1:$U$1,L$1)</f>
        <v>0</v>
      </c>
      <c r="M259" s="179">
        <f>SUMIFS('recurring2_based on steps'!$B259:$AY259,'recurring2_based on steps'!$B$1:$AY$1,M$1)+SUMIFS('changes2_based on steps'!$B259:$U259,'changes2_based on steps'!$B$1:$U$1,M$1)</f>
        <v>0</v>
      </c>
      <c r="N259" s="179">
        <f>SUMIFS('recurring2_based on steps'!$B259:$AY259,'recurring2_based on steps'!$B$1:$AY$1,N$1)+SUMIFS('changes2_based on steps'!$B259:$U259,'changes2_based on steps'!$B$1:$U$1,N$1)</f>
        <v>0</v>
      </c>
      <c r="O259" s="179">
        <f>SUMIFS('recurring2_based on steps'!$B259:$AY259,'recurring2_based on steps'!$B$1:$AY$1,O$1)+SUMIFS('changes2_based on steps'!$B259:$U259,'changes2_based on steps'!$B$1:$U$1,O$1)</f>
        <v>0</v>
      </c>
      <c r="P259" s="179">
        <f>SUMIFS('recurring2_based on steps'!$B259:$AY259,'recurring2_based on steps'!$B$1:$AY$1,P$1)+SUMIFS('changes2_based on steps'!$B259:$U259,'changes2_based on steps'!$B$1:$U$1,P$1)</f>
        <v>0</v>
      </c>
      <c r="Q259" s="179">
        <f>SUMIFS('recurring2_based on steps'!$B259:$AY259,'recurring2_based on steps'!$B$1:$AY$1,Q$1)+SUMIFS('changes2_based on steps'!$B259:$U259,'changes2_based on steps'!$B$1:$U$1,Q$1)</f>
        <v>0</v>
      </c>
      <c r="R259" s="179">
        <f>SUMIFS('recurring2_based on steps'!$B259:$AY259,'recurring2_based on steps'!$B$1:$AY$1,R$1)+SUMIFS('changes2_based on steps'!$B259:$U259,'changes2_based on steps'!$B$1:$U$1,R$1)</f>
        <v>0</v>
      </c>
      <c r="S259" s="179">
        <f>SUMIFS('recurring2_based on steps'!$B259:$AY259,'recurring2_based on steps'!$B$1:$AY$1,S$1)+SUMIFS('changes2_based on steps'!$B259:$U259,'changes2_based on steps'!$B$1:$U$1,S$1)</f>
        <v>0</v>
      </c>
      <c r="T259" s="179">
        <f>SUMIFS('recurring2_based on steps'!$B259:$AY259,'recurring2_based on steps'!$B$1:$AY$1,T$1)+SUMIFS('changes2_based on steps'!$B259:$U259,'changes2_based on steps'!$B$1:$U$1,T$1)</f>
        <v>0</v>
      </c>
      <c r="U259" s="179">
        <f>SUMIFS('recurring2_based on steps'!$B259:$AY259,'recurring2_based on steps'!$B$1:$AY$1,U$1)+SUMIFS('changes2_based on steps'!$B259:$U259,'changes2_based on steps'!$B$1:$U$1,U$1)</f>
        <v>0</v>
      </c>
      <c r="V259" s="179">
        <f>SUMIFS('recurring2_based on steps'!$B259:$AY259,'recurring2_based on steps'!$B$1:$AY$1,V$1)+SUMIFS('changes2_based on steps'!$B259:$U259,'changes2_based on steps'!$B$1:$U$1,V$1)</f>
        <v>0</v>
      </c>
      <c r="W259" s="179">
        <f>SUMIFS('recurring2_based on steps'!$B259:$AY259,'recurring2_based on steps'!$B$1:$AY$1,W$1)+SUMIFS('changes2_based on steps'!$B259:$U259,'changes2_based on steps'!$B$1:$U$1,W$1)</f>
        <v>0</v>
      </c>
      <c r="X259" s="179">
        <f>SUMIFS('recurring2_based on steps'!$B259:$AY259,'recurring2_based on steps'!$B$1:$AY$1,X$1)+SUMIFS('changes2_based on steps'!$B259:$U259,'changes2_based on steps'!$B$1:$U$1,X$1)</f>
        <v>0</v>
      </c>
      <c r="Y259" s="179">
        <f>SUMIFS('recurring2_based on steps'!$B259:$AY259,'recurring2_based on steps'!$B$1:$AY$1,Y$1)+SUMIFS('changes2_based on steps'!$B259:$U259,'changes2_based on steps'!$B$1:$U$1,Y$1)</f>
        <v>0</v>
      </c>
      <c r="Z259" s="179">
        <f>SUMIFS('recurring2_based on steps'!$B259:$AY259,'recurring2_based on steps'!$B$1:$AY$1,Z$1)+SUMIFS('changes2_based on steps'!$B259:$U259,'changes2_based on steps'!$B$1:$U$1,Z$1)</f>
        <v>0</v>
      </c>
      <c r="AA259" s="179">
        <f>SUMIFS('recurring2_based on steps'!$B259:$AY259,'recurring2_based on steps'!$B$1:$AY$1,AA$1)+SUMIFS('changes2_based on steps'!$B259:$U259,'changes2_based on steps'!$B$1:$U$1,AA$1)</f>
        <v>0</v>
      </c>
      <c r="AB259" s="179">
        <f>SUMIFS('recurring2_based on steps'!$B259:$AY259,'recurring2_based on steps'!$B$1:$AY$1,AB$1)+SUMIFS('changes2_based on steps'!$B259:$U259,'changes2_based on steps'!$B$1:$U$1,AB$1)</f>
        <v>0</v>
      </c>
      <c r="AC259" s="179">
        <f>SUMIFS('recurring2_based on steps'!$B259:$AY259,'recurring2_based on steps'!$B$1:$AY$1,AC$1)+SUMIFS('changes2_based on steps'!$B259:$U259,'changes2_based on steps'!$B$1:$U$1,AC$1)</f>
        <v>0</v>
      </c>
      <c r="AD259" s="179">
        <f>SUMIFS('recurring2_based on steps'!$B259:$AY259,'recurring2_based on steps'!$B$1:$AY$1,AD$1)+SUMIFS('changes2_based on steps'!$B259:$U259,'changes2_based on steps'!$B$1:$U$1,AD$1)</f>
        <v>0</v>
      </c>
      <c r="AE259" s="179">
        <f>SUMIFS('recurring2_based on steps'!$B259:$AY259,'recurring2_based on steps'!$B$1:$AY$1,AE$1)+SUMIFS('changes2_based on steps'!$B259:$U259,'changes2_based on steps'!$B$1:$U$1,AE$1)</f>
        <v>0</v>
      </c>
      <c r="AF259" s="179"/>
      <c r="AG259" s="179"/>
      <c r="AH259" s="179"/>
      <c r="AI259" s="179"/>
      <c r="AJ259" s="179"/>
      <c r="AK259" s="179"/>
      <c r="AL259" s="179"/>
      <c r="AM259" s="179"/>
    </row>
    <row r="260" spans="1:39" x14ac:dyDescent="0.2">
      <c r="A260" s="32">
        <f t="shared" ca="1" si="3"/>
        <v>46002</v>
      </c>
      <c r="B260" s="179">
        <f>SUMIFS('recurring2_based on steps'!$B260:$AY260,'recurring2_based on steps'!$B$1:$AY$1,B$1)+SUMIFS('changes2_based on steps'!$B260:$U260,'changes2_based on steps'!$B$1:$U$1,B$1)</f>
        <v>0</v>
      </c>
      <c r="C260" s="179">
        <f>SUMIFS('recurring2_based on steps'!$B260:$AY260,'recurring2_based on steps'!$B$1:$AY$1,C$1)+SUMIFS('changes2_based on steps'!$B260:$U260,'changes2_based on steps'!$B$1:$U$1,C$1)</f>
        <v>0</v>
      </c>
      <c r="D260" s="179">
        <f>SUMIFS('recurring2_based on steps'!$B260:$AY260,'recurring2_based on steps'!$B$1:$AY$1,D$1)+SUMIFS('changes2_based on steps'!$B260:$U260,'changes2_based on steps'!$B$1:$U$1,D$1)</f>
        <v>0</v>
      </c>
      <c r="E260" s="179">
        <f>SUMIFS('recurring2_based on steps'!$B260:$AY260,'recurring2_based on steps'!$B$1:$AY$1,E$1)+SUMIFS('changes2_based on steps'!$B260:$U260,'changes2_based on steps'!$B$1:$U$1,E$1)</f>
        <v>0</v>
      </c>
      <c r="F260" s="179">
        <f>SUMIFS('recurring2_based on steps'!$B260:$AY260,'recurring2_based on steps'!$B$1:$AY$1,F$1)+SUMIFS('changes2_based on steps'!$B260:$U260,'changes2_based on steps'!$B$1:$U$1,F$1)</f>
        <v>0</v>
      </c>
      <c r="G260" s="179">
        <f>SUMIFS('recurring2_based on steps'!$B260:$AY260,'recurring2_based on steps'!$B$1:$AY$1,G$1)+SUMIFS('changes2_based on steps'!$B260:$U260,'changes2_based on steps'!$B$1:$U$1,G$1)</f>
        <v>0</v>
      </c>
      <c r="H260" s="179">
        <f>SUMIFS('recurring2_based on steps'!$B260:$AY260,'recurring2_based on steps'!$B$1:$AY$1,H$1)+SUMIFS('changes2_based on steps'!$B260:$U260,'changes2_based on steps'!$B$1:$U$1,H$1)</f>
        <v>0</v>
      </c>
      <c r="I260" s="179">
        <f>SUMIFS('recurring2_based on steps'!$B260:$AY260,'recurring2_based on steps'!$B$1:$AY$1,I$1)+SUMIFS('changes2_based on steps'!$B260:$U260,'changes2_based on steps'!$B$1:$U$1,I$1)</f>
        <v>0</v>
      </c>
      <c r="J260" s="179">
        <f>SUMIFS('recurring2_based on steps'!$B260:$AY260,'recurring2_based on steps'!$B$1:$AY$1,J$1)+SUMIFS('changes2_based on steps'!$B260:$U260,'changes2_based on steps'!$B$1:$U$1,J$1)</f>
        <v>0</v>
      </c>
      <c r="K260" s="179">
        <f>SUMIFS('recurring2_based on steps'!$B260:$AY260,'recurring2_based on steps'!$B$1:$AY$1,K$1)+SUMIFS('changes2_based on steps'!$B260:$U260,'changes2_based on steps'!$B$1:$U$1,K$1)</f>
        <v>0</v>
      </c>
      <c r="L260" s="179">
        <f>SUMIFS('recurring2_based on steps'!$B260:$AY260,'recurring2_based on steps'!$B$1:$AY$1,L$1)+SUMIFS('changes2_based on steps'!$B260:$U260,'changes2_based on steps'!$B$1:$U$1,L$1)</f>
        <v>0</v>
      </c>
      <c r="M260" s="179">
        <f>SUMIFS('recurring2_based on steps'!$B260:$AY260,'recurring2_based on steps'!$B$1:$AY$1,M$1)+SUMIFS('changes2_based on steps'!$B260:$U260,'changes2_based on steps'!$B$1:$U$1,M$1)</f>
        <v>0</v>
      </c>
      <c r="N260" s="179">
        <f>SUMIFS('recurring2_based on steps'!$B260:$AY260,'recurring2_based on steps'!$B$1:$AY$1,N$1)+SUMIFS('changes2_based on steps'!$B260:$U260,'changes2_based on steps'!$B$1:$U$1,N$1)</f>
        <v>0</v>
      </c>
      <c r="O260" s="179">
        <f>SUMIFS('recurring2_based on steps'!$B260:$AY260,'recurring2_based on steps'!$B$1:$AY$1,O$1)+SUMIFS('changes2_based on steps'!$B260:$U260,'changes2_based on steps'!$B$1:$U$1,O$1)</f>
        <v>0</v>
      </c>
      <c r="P260" s="179">
        <f>SUMIFS('recurring2_based on steps'!$B260:$AY260,'recurring2_based on steps'!$B$1:$AY$1,P$1)+SUMIFS('changes2_based on steps'!$B260:$U260,'changes2_based on steps'!$B$1:$U$1,P$1)</f>
        <v>0</v>
      </c>
      <c r="Q260" s="179">
        <f>SUMIFS('recurring2_based on steps'!$B260:$AY260,'recurring2_based on steps'!$B$1:$AY$1,Q$1)+SUMIFS('changes2_based on steps'!$B260:$U260,'changes2_based on steps'!$B$1:$U$1,Q$1)</f>
        <v>0</v>
      </c>
      <c r="R260" s="179">
        <f>SUMIFS('recurring2_based on steps'!$B260:$AY260,'recurring2_based on steps'!$B$1:$AY$1,R$1)+SUMIFS('changes2_based on steps'!$B260:$U260,'changes2_based on steps'!$B$1:$U$1,R$1)</f>
        <v>0</v>
      </c>
      <c r="S260" s="179">
        <f>SUMIFS('recurring2_based on steps'!$B260:$AY260,'recurring2_based on steps'!$B$1:$AY$1,S$1)+SUMIFS('changes2_based on steps'!$B260:$U260,'changes2_based on steps'!$B$1:$U$1,S$1)</f>
        <v>0</v>
      </c>
      <c r="T260" s="179">
        <f>SUMIFS('recurring2_based on steps'!$B260:$AY260,'recurring2_based on steps'!$B$1:$AY$1,T$1)+SUMIFS('changes2_based on steps'!$B260:$U260,'changes2_based on steps'!$B$1:$U$1,T$1)</f>
        <v>0</v>
      </c>
      <c r="U260" s="179">
        <f>SUMIFS('recurring2_based on steps'!$B260:$AY260,'recurring2_based on steps'!$B$1:$AY$1,U$1)+SUMIFS('changes2_based on steps'!$B260:$U260,'changes2_based on steps'!$B$1:$U$1,U$1)</f>
        <v>0</v>
      </c>
      <c r="V260" s="179">
        <f>SUMIFS('recurring2_based on steps'!$B260:$AY260,'recurring2_based on steps'!$B$1:$AY$1,V$1)+SUMIFS('changes2_based on steps'!$B260:$U260,'changes2_based on steps'!$B$1:$U$1,V$1)</f>
        <v>0</v>
      </c>
      <c r="W260" s="179">
        <f>SUMIFS('recurring2_based on steps'!$B260:$AY260,'recurring2_based on steps'!$B$1:$AY$1,W$1)+SUMIFS('changes2_based on steps'!$B260:$U260,'changes2_based on steps'!$B$1:$U$1,W$1)</f>
        <v>0</v>
      </c>
      <c r="X260" s="179">
        <f>SUMIFS('recurring2_based on steps'!$B260:$AY260,'recurring2_based on steps'!$B$1:$AY$1,X$1)+SUMIFS('changes2_based on steps'!$B260:$U260,'changes2_based on steps'!$B$1:$U$1,X$1)</f>
        <v>0</v>
      </c>
      <c r="Y260" s="179">
        <f>SUMIFS('recurring2_based on steps'!$B260:$AY260,'recurring2_based on steps'!$B$1:$AY$1,Y$1)+SUMIFS('changes2_based on steps'!$B260:$U260,'changes2_based on steps'!$B$1:$U$1,Y$1)</f>
        <v>0</v>
      </c>
      <c r="Z260" s="179">
        <f>SUMIFS('recurring2_based on steps'!$B260:$AY260,'recurring2_based on steps'!$B$1:$AY$1,Z$1)+SUMIFS('changes2_based on steps'!$B260:$U260,'changes2_based on steps'!$B$1:$U$1,Z$1)</f>
        <v>0</v>
      </c>
      <c r="AA260" s="179">
        <f>SUMIFS('recurring2_based on steps'!$B260:$AY260,'recurring2_based on steps'!$B$1:$AY$1,AA$1)+SUMIFS('changes2_based on steps'!$B260:$U260,'changes2_based on steps'!$B$1:$U$1,AA$1)</f>
        <v>0</v>
      </c>
      <c r="AB260" s="179">
        <f>SUMIFS('recurring2_based on steps'!$B260:$AY260,'recurring2_based on steps'!$B$1:$AY$1,AB$1)+SUMIFS('changes2_based on steps'!$B260:$U260,'changes2_based on steps'!$B$1:$U$1,AB$1)</f>
        <v>0</v>
      </c>
      <c r="AC260" s="179">
        <f>SUMIFS('recurring2_based on steps'!$B260:$AY260,'recurring2_based on steps'!$B$1:$AY$1,AC$1)+SUMIFS('changes2_based on steps'!$B260:$U260,'changes2_based on steps'!$B$1:$U$1,AC$1)</f>
        <v>0</v>
      </c>
      <c r="AD260" s="179">
        <f>SUMIFS('recurring2_based on steps'!$B260:$AY260,'recurring2_based on steps'!$B$1:$AY$1,AD$1)+SUMIFS('changes2_based on steps'!$B260:$U260,'changes2_based on steps'!$B$1:$U$1,AD$1)</f>
        <v>0</v>
      </c>
      <c r="AE260" s="179">
        <f>SUMIFS('recurring2_based on steps'!$B260:$AY260,'recurring2_based on steps'!$B$1:$AY$1,AE$1)+SUMIFS('changes2_based on steps'!$B260:$U260,'changes2_based on steps'!$B$1:$U$1,AE$1)</f>
        <v>0</v>
      </c>
      <c r="AF260" s="179"/>
      <c r="AG260" s="179"/>
      <c r="AH260" s="179"/>
      <c r="AI260" s="179"/>
      <c r="AJ260" s="179"/>
      <c r="AK260" s="179"/>
      <c r="AL260" s="179"/>
      <c r="AM260" s="179"/>
    </row>
    <row r="261" spans="1:39" x14ac:dyDescent="0.2">
      <c r="A261" s="32">
        <f t="shared" ref="A261:A324" ca="1" si="4">A260+1</f>
        <v>46003</v>
      </c>
      <c r="B261" s="179">
        <f>SUMIFS('recurring2_based on steps'!$B261:$AY261,'recurring2_based on steps'!$B$1:$AY$1,B$1)+SUMIFS('changes2_based on steps'!$B261:$U261,'changes2_based on steps'!$B$1:$U$1,B$1)</f>
        <v>0</v>
      </c>
      <c r="C261" s="179">
        <f>SUMIFS('recurring2_based on steps'!$B261:$AY261,'recurring2_based on steps'!$B$1:$AY$1,C$1)+SUMIFS('changes2_based on steps'!$B261:$U261,'changes2_based on steps'!$B$1:$U$1,C$1)</f>
        <v>0</v>
      </c>
      <c r="D261" s="179">
        <f>SUMIFS('recurring2_based on steps'!$B261:$AY261,'recurring2_based on steps'!$B$1:$AY$1,D$1)+SUMIFS('changes2_based on steps'!$B261:$U261,'changes2_based on steps'!$B$1:$U$1,D$1)</f>
        <v>0</v>
      </c>
      <c r="E261" s="179">
        <f>SUMIFS('recurring2_based on steps'!$B261:$AY261,'recurring2_based on steps'!$B$1:$AY$1,E$1)+SUMIFS('changes2_based on steps'!$B261:$U261,'changes2_based on steps'!$B$1:$U$1,E$1)</f>
        <v>0</v>
      </c>
      <c r="F261" s="179">
        <f>SUMIFS('recurring2_based on steps'!$B261:$AY261,'recurring2_based on steps'!$B$1:$AY$1,F$1)+SUMIFS('changes2_based on steps'!$B261:$U261,'changes2_based on steps'!$B$1:$U$1,F$1)</f>
        <v>0</v>
      </c>
      <c r="G261" s="179">
        <f>SUMIFS('recurring2_based on steps'!$B261:$AY261,'recurring2_based on steps'!$B$1:$AY$1,G$1)+SUMIFS('changes2_based on steps'!$B261:$U261,'changes2_based on steps'!$B$1:$U$1,G$1)</f>
        <v>0</v>
      </c>
      <c r="H261" s="179">
        <f>SUMIFS('recurring2_based on steps'!$B261:$AY261,'recurring2_based on steps'!$B$1:$AY$1,H$1)+SUMIFS('changes2_based on steps'!$B261:$U261,'changes2_based on steps'!$B$1:$U$1,H$1)</f>
        <v>0</v>
      </c>
      <c r="I261" s="179">
        <f>SUMIFS('recurring2_based on steps'!$B261:$AY261,'recurring2_based on steps'!$B$1:$AY$1,I$1)+SUMIFS('changes2_based on steps'!$B261:$U261,'changes2_based on steps'!$B$1:$U$1,I$1)</f>
        <v>0</v>
      </c>
      <c r="J261" s="179">
        <f>SUMIFS('recurring2_based on steps'!$B261:$AY261,'recurring2_based on steps'!$B$1:$AY$1,J$1)+SUMIFS('changes2_based on steps'!$B261:$U261,'changes2_based on steps'!$B$1:$U$1,J$1)</f>
        <v>0</v>
      </c>
      <c r="K261" s="179">
        <f>SUMIFS('recurring2_based on steps'!$B261:$AY261,'recurring2_based on steps'!$B$1:$AY$1,K$1)+SUMIFS('changes2_based on steps'!$B261:$U261,'changes2_based on steps'!$B$1:$U$1,K$1)</f>
        <v>0</v>
      </c>
      <c r="L261" s="179">
        <f>SUMIFS('recurring2_based on steps'!$B261:$AY261,'recurring2_based on steps'!$B$1:$AY$1,L$1)+SUMIFS('changes2_based on steps'!$B261:$U261,'changes2_based on steps'!$B$1:$U$1,L$1)</f>
        <v>0</v>
      </c>
      <c r="M261" s="179">
        <f>SUMIFS('recurring2_based on steps'!$B261:$AY261,'recurring2_based on steps'!$B$1:$AY$1,M$1)+SUMIFS('changes2_based on steps'!$B261:$U261,'changes2_based on steps'!$B$1:$U$1,M$1)</f>
        <v>0</v>
      </c>
      <c r="N261" s="179">
        <f>SUMIFS('recurring2_based on steps'!$B261:$AY261,'recurring2_based on steps'!$B$1:$AY$1,N$1)+SUMIFS('changes2_based on steps'!$B261:$U261,'changes2_based on steps'!$B$1:$U$1,N$1)</f>
        <v>0</v>
      </c>
      <c r="O261" s="179">
        <f>SUMIFS('recurring2_based on steps'!$B261:$AY261,'recurring2_based on steps'!$B$1:$AY$1,O$1)+SUMIFS('changes2_based on steps'!$B261:$U261,'changes2_based on steps'!$B$1:$U$1,O$1)</f>
        <v>0</v>
      </c>
      <c r="P261" s="179">
        <f>SUMIFS('recurring2_based on steps'!$B261:$AY261,'recurring2_based on steps'!$B$1:$AY$1,P$1)+SUMIFS('changes2_based on steps'!$B261:$U261,'changes2_based on steps'!$B$1:$U$1,P$1)</f>
        <v>0</v>
      </c>
      <c r="Q261" s="179">
        <f>SUMIFS('recurring2_based on steps'!$B261:$AY261,'recurring2_based on steps'!$B$1:$AY$1,Q$1)+SUMIFS('changes2_based on steps'!$B261:$U261,'changes2_based on steps'!$B$1:$U$1,Q$1)</f>
        <v>0</v>
      </c>
      <c r="R261" s="179">
        <f>SUMIFS('recurring2_based on steps'!$B261:$AY261,'recurring2_based on steps'!$B$1:$AY$1,R$1)+SUMIFS('changes2_based on steps'!$B261:$U261,'changes2_based on steps'!$B$1:$U$1,R$1)</f>
        <v>0</v>
      </c>
      <c r="S261" s="179">
        <f>SUMIFS('recurring2_based on steps'!$B261:$AY261,'recurring2_based on steps'!$B$1:$AY$1,S$1)+SUMIFS('changes2_based on steps'!$B261:$U261,'changes2_based on steps'!$B$1:$U$1,S$1)</f>
        <v>0</v>
      </c>
      <c r="T261" s="179">
        <f>SUMIFS('recurring2_based on steps'!$B261:$AY261,'recurring2_based on steps'!$B$1:$AY$1,T$1)+SUMIFS('changes2_based on steps'!$B261:$U261,'changes2_based on steps'!$B$1:$U$1,T$1)</f>
        <v>0</v>
      </c>
      <c r="U261" s="179">
        <f>SUMIFS('recurring2_based on steps'!$B261:$AY261,'recurring2_based on steps'!$B$1:$AY$1,U$1)+SUMIFS('changes2_based on steps'!$B261:$U261,'changes2_based on steps'!$B$1:$U$1,U$1)</f>
        <v>0</v>
      </c>
      <c r="V261" s="179">
        <f>SUMIFS('recurring2_based on steps'!$B261:$AY261,'recurring2_based on steps'!$B$1:$AY$1,V$1)+SUMIFS('changes2_based on steps'!$B261:$U261,'changes2_based on steps'!$B$1:$U$1,V$1)</f>
        <v>0</v>
      </c>
      <c r="W261" s="179">
        <f>SUMIFS('recurring2_based on steps'!$B261:$AY261,'recurring2_based on steps'!$B$1:$AY$1,W$1)+SUMIFS('changes2_based on steps'!$B261:$U261,'changes2_based on steps'!$B$1:$U$1,W$1)</f>
        <v>0</v>
      </c>
      <c r="X261" s="179">
        <f>SUMIFS('recurring2_based on steps'!$B261:$AY261,'recurring2_based on steps'!$B$1:$AY$1,X$1)+SUMIFS('changes2_based on steps'!$B261:$U261,'changes2_based on steps'!$B$1:$U$1,X$1)</f>
        <v>0</v>
      </c>
      <c r="Y261" s="179">
        <f>SUMIFS('recurring2_based on steps'!$B261:$AY261,'recurring2_based on steps'!$B$1:$AY$1,Y$1)+SUMIFS('changes2_based on steps'!$B261:$U261,'changes2_based on steps'!$B$1:$U$1,Y$1)</f>
        <v>0</v>
      </c>
      <c r="Z261" s="179">
        <f>SUMIFS('recurring2_based on steps'!$B261:$AY261,'recurring2_based on steps'!$B$1:$AY$1,Z$1)+SUMIFS('changes2_based on steps'!$B261:$U261,'changes2_based on steps'!$B$1:$U$1,Z$1)</f>
        <v>0</v>
      </c>
      <c r="AA261" s="179">
        <f>SUMIFS('recurring2_based on steps'!$B261:$AY261,'recurring2_based on steps'!$B$1:$AY$1,AA$1)+SUMIFS('changes2_based on steps'!$B261:$U261,'changes2_based on steps'!$B$1:$U$1,AA$1)</f>
        <v>0</v>
      </c>
      <c r="AB261" s="179">
        <f>SUMIFS('recurring2_based on steps'!$B261:$AY261,'recurring2_based on steps'!$B$1:$AY$1,AB$1)+SUMIFS('changes2_based on steps'!$B261:$U261,'changes2_based on steps'!$B$1:$U$1,AB$1)</f>
        <v>0</v>
      </c>
      <c r="AC261" s="179">
        <f>SUMIFS('recurring2_based on steps'!$B261:$AY261,'recurring2_based on steps'!$B$1:$AY$1,AC$1)+SUMIFS('changes2_based on steps'!$B261:$U261,'changes2_based on steps'!$B$1:$U$1,AC$1)</f>
        <v>0</v>
      </c>
      <c r="AD261" s="179">
        <f>SUMIFS('recurring2_based on steps'!$B261:$AY261,'recurring2_based on steps'!$B$1:$AY$1,AD$1)+SUMIFS('changes2_based on steps'!$B261:$U261,'changes2_based on steps'!$B$1:$U$1,AD$1)</f>
        <v>0</v>
      </c>
      <c r="AE261" s="179">
        <f>SUMIFS('recurring2_based on steps'!$B261:$AY261,'recurring2_based on steps'!$B$1:$AY$1,AE$1)+SUMIFS('changes2_based on steps'!$B261:$U261,'changes2_based on steps'!$B$1:$U$1,AE$1)</f>
        <v>0</v>
      </c>
      <c r="AF261" s="179"/>
      <c r="AG261" s="179"/>
      <c r="AH261" s="179"/>
      <c r="AI261" s="179"/>
      <c r="AJ261" s="179"/>
      <c r="AK261" s="179"/>
      <c r="AL261" s="179"/>
      <c r="AM261" s="179"/>
    </row>
    <row r="262" spans="1:39" x14ac:dyDescent="0.2">
      <c r="A262" s="32">
        <f t="shared" ca="1" si="4"/>
        <v>46004</v>
      </c>
      <c r="B262" s="179">
        <f>SUMIFS('recurring2_based on steps'!$B262:$AY262,'recurring2_based on steps'!$B$1:$AY$1,B$1)+SUMIFS('changes2_based on steps'!$B262:$U262,'changes2_based on steps'!$B$1:$U$1,B$1)</f>
        <v>0</v>
      </c>
      <c r="C262" s="179">
        <f>SUMIFS('recurring2_based on steps'!$B262:$AY262,'recurring2_based on steps'!$B$1:$AY$1,C$1)+SUMIFS('changes2_based on steps'!$B262:$U262,'changes2_based on steps'!$B$1:$U$1,C$1)</f>
        <v>0</v>
      </c>
      <c r="D262" s="179">
        <f>SUMIFS('recurring2_based on steps'!$B262:$AY262,'recurring2_based on steps'!$B$1:$AY$1,D$1)+SUMIFS('changes2_based on steps'!$B262:$U262,'changes2_based on steps'!$B$1:$U$1,D$1)</f>
        <v>0</v>
      </c>
      <c r="E262" s="179">
        <f>SUMIFS('recurring2_based on steps'!$B262:$AY262,'recurring2_based on steps'!$B$1:$AY$1,E$1)+SUMIFS('changes2_based on steps'!$B262:$U262,'changes2_based on steps'!$B$1:$U$1,E$1)</f>
        <v>0</v>
      </c>
      <c r="F262" s="179">
        <f>SUMIFS('recurring2_based on steps'!$B262:$AY262,'recurring2_based on steps'!$B$1:$AY$1,F$1)+SUMIFS('changes2_based on steps'!$B262:$U262,'changes2_based on steps'!$B$1:$U$1,F$1)</f>
        <v>0</v>
      </c>
      <c r="G262" s="179">
        <f>SUMIFS('recurring2_based on steps'!$B262:$AY262,'recurring2_based on steps'!$B$1:$AY$1,G$1)+SUMIFS('changes2_based on steps'!$B262:$U262,'changes2_based on steps'!$B$1:$U$1,G$1)</f>
        <v>0</v>
      </c>
      <c r="H262" s="179">
        <f>SUMIFS('recurring2_based on steps'!$B262:$AY262,'recurring2_based on steps'!$B$1:$AY$1,H$1)+SUMIFS('changes2_based on steps'!$B262:$U262,'changes2_based on steps'!$B$1:$U$1,H$1)</f>
        <v>0</v>
      </c>
      <c r="I262" s="179">
        <f>SUMIFS('recurring2_based on steps'!$B262:$AY262,'recurring2_based on steps'!$B$1:$AY$1,I$1)+SUMIFS('changes2_based on steps'!$B262:$U262,'changes2_based on steps'!$B$1:$U$1,I$1)</f>
        <v>0</v>
      </c>
      <c r="J262" s="179">
        <f>SUMIFS('recurring2_based on steps'!$B262:$AY262,'recurring2_based on steps'!$B$1:$AY$1,J$1)+SUMIFS('changes2_based on steps'!$B262:$U262,'changes2_based on steps'!$B$1:$U$1,J$1)</f>
        <v>0</v>
      </c>
      <c r="K262" s="179">
        <f>SUMIFS('recurring2_based on steps'!$B262:$AY262,'recurring2_based on steps'!$B$1:$AY$1,K$1)+SUMIFS('changes2_based on steps'!$B262:$U262,'changes2_based on steps'!$B$1:$U$1,K$1)</f>
        <v>0</v>
      </c>
      <c r="L262" s="179">
        <f>SUMIFS('recurring2_based on steps'!$B262:$AY262,'recurring2_based on steps'!$B$1:$AY$1,L$1)+SUMIFS('changes2_based on steps'!$B262:$U262,'changes2_based on steps'!$B$1:$U$1,L$1)</f>
        <v>0</v>
      </c>
      <c r="M262" s="179">
        <f>SUMIFS('recurring2_based on steps'!$B262:$AY262,'recurring2_based on steps'!$B$1:$AY$1,M$1)+SUMIFS('changes2_based on steps'!$B262:$U262,'changes2_based on steps'!$B$1:$U$1,M$1)</f>
        <v>0</v>
      </c>
      <c r="N262" s="179">
        <f>SUMIFS('recurring2_based on steps'!$B262:$AY262,'recurring2_based on steps'!$B$1:$AY$1,N$1)+SUMIFS('changes2_based on steps'!$B262:$U262,'changes2_based on steps'!$B$1:$U$1,N$1)</f>
        <v>0</v>
      </c>
      <c r="O262" s="179">
        <f>SUMIFS('recurring2_based on steps'!$B262:$AY262,'recurring2_based on steps'!$B$1:$AY$1,O$1)+SUMIFS('changes2_based on steps'!$B262:$U262,'changes2_based on steps'!$B$1:$U$1,O$1)</f>
        <v>0</v>
      </c>
      <c r="P262" s="179">
        <f>SUMIFS('recurring2_based on steps'!$B262:$AY262,'recurring2_based on steps'!$B$1:$AY$1,P$1)+SUMIFS('changes2_based on steps'!$B262:$U262,'changes2_based on steps'!$B$1:$U$1,P$1)</f>
        <v>0</v>
      </c>
      <c r="Q262" s="179">
        <f>SUMIFS('recurring2_based on steps'!$B262:$AY262,'recurring2_based on steps'!$B$1:$AY$1,Q$1)+SUMIFS('changes2_based on steps'!$B262:$U262,'changes2_based on steps'!$B$1:$U$1,Q$1)</f>
        <v>0</v>
      </c>
      <c r="R262" s="179">
        <f>SUMIFS('recurring2_based on steps'!$B262:$AY262,'recurring2_based on steps'!$B$1:$AY$1,R$1)+SUMIFS('changes2_based on steps'!$B262:$U262,'changes2_based on steps'!$B$1:$U$1,R$1)</f>
        <v>0</v>
      </c>
      <c r="S262" s="179">
        <f>SUMIFS('recurring2_based on steps'!$B262:$AY262,'recurring2_based on steps'!$B$1:$AY$1,S$1)+SUMIFS('changes2_based on steps'!$B262:$U262,'changes2_based on steps'!$B$1:$U$1,S$1)</f>
        <v>0</v>
      </c>
      <c r="T262" s="179">
        <f>SUMIFS('recurring2_based on steps'!$B262:$AY262,'recurring2_based on steps'!$B$1:$AY$1,T$1)+SUMIFS('changes2_based on steps'!$B262:$U262,'changes2_based on steps'!$B$1:$U$1,T$1)</f>
        <v>0</v>
      </c>
      <c r="U262" s="179">
        <f>SUMIFS('recurring2_based on steps'!$B262:$AY262,'recurring2_based on steps'!$B$1:$AY$1,U$1)+SUMIFS('changes2_based on steps'!$B262:$U262,'changes2_based on steps'!$B$1:$U$1,U$1)</f>
        <v>0</v>
      </c>
      <c r="V262" s="179">
        <f>SUMIFS('recurring2_based on steps'!$B262:$AY262,'recurring2_based on steps'!$B$1:$AY$1,V$1)+SUMIFS('changes2_based on steps'!$B262:$U262,'changes2_based on steps'!$B$1:$U$1,V$1)</f>
        <v>0</v>
      </c>
      <c r="W262" s="179">
        <f>SUMIFS('recurring2_based on steps'!$B262:$AY262,'recurring2_based on steps'!$B$1:$AY$1,W$1)+SUMIFS('changes2_based on steps'!$B262:$U262,'changes2_based on steps'!$B$1:$U$1,W$1)</f>
        <v>0</v>
      </c>
      <c r="X262" s="179">
        <f>SUMIFS('recurring2_based on steps'!$B262:$AY262,'recurring2_based on steps'!$B$1:$AY$1,X$1)+SUMIFS('changes2_based on steps'!$B262:$U262,'changes2_based on steps'!$B$1:$U$1,X$1)</f>
        <v>0</v>
      </c>
      <c r="Y262" s="179">
        <f>SUMIFS('recurring2_based on steps'!$B262:$AY262,'recurring2_based on steps'!$B$1:$AY$1,Y$1)+SUMIFS('changes2_based on steps'!$B262:$U262,'changes2_based on steps'!$B$1:$U$1,Y$1)</f>
        <v>0</v>
      </c>
      <c r="Z262" s="179">
        <f>SUMIFS('recurring2_based on steps'!$B262:$AY262,'recurring2_based on steps'!$B$1:$AY$1,Z$1)+SUMIFS('changes2_based on steps'!$B262:$U262,'changes2_based on steps'!$B$1:$U$1,Z$1)</f>
        <v>0</v>
      </c>
      <c r="AA262" s="179">
        <f>SUMIFS('recurring2_based on steps'!$B262:$AY262,'recurring2_based on steps'!$B$1:$AY$1,AA$1)+SUMIFS('changes2_based on steps'!$B262:$U262,'changes2_based on steps'!$B$1:$U$1,AA$1)</f>
        <v>0</v>
      </c>
      <c r="AB262" s="179">
        <f>SUMIFS('recurring2_based on steps'!$B262:$AY262,'recurring2_based on steps'!$B$1:$AY$1,AB$1)+SUMIFS('changes2_based on steps'!$B262:$U262,'changes2_based on steps'!$B$1:$U$1,AB$1)</f>
        <v>0</v>
      </c>
      <c r="AC262" s="179">
        <f>SUMIFS('recurring2_based on steps'!$B262:$AY262,'recurring2_based on steps'!$B$1:$AY$1,AC$1)+SUMIFS('changes2_based on steps'!$B262:$U262,'changes2_based on steps'!$B$1:$U$1,AC$1)</f>
        <v>0</v>
      </c>
      <c r="AD262" s="179">
        <f>SUMIFS('recurring2_based on steps'!$B262:$AY262,'recurring2_based on steps'!$B$1:$AY$1,AD$1)+SUMIFS('changes2_based on steps'!$B262:$U262,'changes2_based on steps'!$B$1:$U$1,AD$1)</f>
        <v>0</v>
      </c>
      <c r="AE262" s="179">
        <f>SUMIFS('recurring2_based on steps'!$B262:$AY262,'recurring2_based on steps'!$B$1:$AY$1,AE$1)+SUMIFS('changes2_based on steps'!$B262:$U262,'changes2_based on steps'!$B$1:$U$1,AE$1)</f>
        <v>0</v>
      </c>
      <c r="AF262" s="179"/>
      <c r="AG262" s="179"/>
      <c r="AH262" s="179"/>
      <c r="AI262" s="179"/>
      <c r="AJ262" s="179"/>
      <c r="AK262" s="179"/>
      <c r="AL262" s="179"/>
      <c r="AM262" s="179"/>
    </row>
    <row r="263" spans="1:39" x14ac:dyDescent="0.2">
      <c r="A263" s="32">
        <f t="shared" ca="1" si="4"/>
        <v>46005</v>
      </c>
      <c r="B263" s="179">
        <f>SUMIFS('recurring2_based on steps'!$B263:$AY263,'recurring2_based on steps'!$B$1:$AY$1,B$1)+SUMIFS('changes2_based on steps'!$B263:$U263,'changes2_based on steps'!$B$1:$U$1,B$1)</f>
        <v>0</v>
      </c>
      <c r="C263" s="179">
        <f>SUMIFS('recurring2_based on steps'!$B263:$AY263,'recurring2_based on steps'!$B$1:$AY$1,C$1)+SUMIFS('changes2_based on steps'!$B263:$U263,'changes2_based on steps'!$B$1:$U$1,C$1)</f>
        <v>0</v>
      </c>
      <c r="D263" s="179">
        <f>SUMIFS('recurring2_based on steps'!$B263:$AY263,'recurring2_based on steps'!$B$1:$AY$1,D$1)+SUMIFS('changes2_based on steps'!$B263:$U263,'changes2_based on steps'!$B$1:$U$1,D$1)</f>
        <v>0</v>
      </c>
      <c r="E263" s="179">
        <f>SUMIFS('recurring2_based on steps'!$B263:$AY263,'recurring2_based on steps'!$B$1:$AY$1,E$1)+SUMIFS('changes2_based on steps'!$B263:$U263,'changes2_based on steps'!$B$1:$U$1,E$1)</f>
        <v>0</v>
      </c>
      <c r="F263" s="179">
        <f>SUMIFS('recurring2_based on steps'!$B263:$AY263,'recurring2_based on steps'!$B$1:$AY$1,F$1)+SUMIFS('changes2_based on steps'!$B263:$U263,'changes2_based on steps'!$B$1:$U$1,F$1)</f>
        <v>0</v>
      </c>
      <c r="G263" s="179">
        <f>SUMIFS('recurring2_based on steps'!$B263:$AY263,'recurring2_based on steps'!$B$1:$AY$1,G$1)+SUMIFS('changes2_based on steps'!$B263:$U263,'changes2_based on steps'!$B$1:$U$1,G$1)</f>
        <v>0</v>
      </c>
      <c r="H263" s="179">
        <f>SUMIFS('recurring2_based on steps'!$B263:$AY263,'recurring2_based on steps'!$B$1:$AY$1,H$1)+SUMIFS('changes2_based on steps'!$B263:$U263,'changes2_based on steps'!$B$1:$U$1,H$1)</f>
        <v>0</v>
      </c>
      <c r="I263" s="179">
        <f>SUMIFS('recurring2_based on steps'!$B263:$AY263,'recurring2_based on steps'!$B$1:$AY$1,I$1)+SUMIFS('changes2_based on steps'!$B263:$U263,'changes2_based on steps'!$B$1:$U$1,I$1)</f>
        <v>0</v>
      </c>
      <c r="J263" s="179">
        <f>SUMIFS('recurring2_based on steps'!$B263:$AY263,'recurring2_based on steps'!$B$1:$AY$1,J$1)+SUMIFS('changes2_based on steps'!$B263:$U263,'changes2_based on steps'!$B$1:$U$1,J$1)</f>
        <v>0</v>
      </c>
      <c r="K263" s="179">
        <f>SUMIFS('recurring2_based on steps'!$B263:$AY263,'recurring2_based on steps'!$B$1:$AY$1,K$1)+SUMIFS('changes2_based on steps'!$B263:$U263,'changes2_based on steps'!$B$1:$U$1,K$1)</f>
        <v>0</v>
      </c>
      <c r="L263" s="179">
        <f>SUMIFS('recurring2_based on steps'!$B263:$AY263,'recurring2_based on steps'!$B$1:$AY$1,L$1)+SUMIFS('changes2_based on steps'!$B263:$U263,'changes2_based on steps'!$B$1:$U$1,L$1)</f>
        <v>0</v>
      </c>
      <c r="M263" s="179">
        <f>SUMIFS('recurring2_based on steps'!$B263:$AY263,'recurring2_based on steps'!$B$1:$AY$1,M$1)+SUMIFS('changes2_based on steps'!$B263:$U263,'changes2_based on steps'!$B$1:$U$1,M$1)</f>
        <v>0</v>
      </c>
      <c r="N263" s="179">
        <f>SUMIFS('recurring2_based on steps'!$B263:$AY263,'recurring2_based on steps'!$B$1:$AY$1,N$1)+SUMIFS('changes2_based on steps'!$B263:$U263,'changes2_based on steps'!$B$1:$U$1,N$1)</f>
        <v>0</v>
      </c>
      <c r="O263" s="179">
        <f>SUMIFS('recurring2_based on steps'!$B263:$AY263,'recurring2_based on steps'!$B$1:$AY$1,O$1)+SUMIFS('changes2_based on steps'!$B263:$U263,'changes2_based on steps'!$B$1:$U$1,O$1)</f>
        <v>0</v>
      </c>
      <c r="P263" s="179">
        <f>SUMIFS('recurring2_based on steps'!$B263:$AY263,'recurring2_based on steps'!$B$1:$AY$1,P$1)+SUMIFS('changes2_based on steps'!$B263:$U263,'changes2_based on steps'!$B$1:$U$1,P$1)</f>
        <v>0</v>
      </c>
      <c r="Q263" s="179">
        <f>SUMIFS('recurring2_based on steps'!$B263:$AY263,'recurring2_based on steps'!$B$1:$AY$1,Q$1)+SUMIFS('changes2_based on steps'!$B263:$U263,'changes2_based on steps'!$B$1:$U$1,Q$1)</f>
        <v>0</v>
      </c>
      <c r="R263" s="179">
        <f>SUMIFS('recurring2_based on steps'!$B263:$AY263,'recurring2_based on steps'!$B$1:$AY$1,R$1)+SUMIFS('changes2_based on steps'!$B263:$U263,'changes2_based on steps'!$B$1:$U$1,R$1)</f>
        <v>0</v>
      </c>
      <c r="S263" s="179">
        <f>SUMIFS('recurring2_based on steps'!$B263:$AY263,'recurring2_based on steps'!$B$1:$AY$1,S$1)+SUMIFS('changes2_based on steps'!$B263:$U263,'changes2_based on steps'!$B$1:$U$1,S$1)</f>
        <v>0</v>
      </c>
      <c r="T263" s="179">
        <f>SUMIFS('recurring2_based on steps'!$B263:$AY263,'recurring2_based on steps'!$B$1:$AY$1,T$1)+SUMIFS('changes2_based on steps'!$B263:$U263,'changes2_based on steps'!$B$1:$U$1,T$1)</f>
        <v>0</v>
      </c>
      <c r="U263" s="179">
        <f>SUMIFS('recurring2_based on steps'!$B263:$AY263,'recurring2_based on steps'!$B$1:$AY$1,U$1)+SUMIFS('changes2_based on steps'!$B263:$U263,'changes2_based on steps'!$B$1:$U$1,U$1)</f>
        <v>0</v>
      </c>
      <c r="V263" s="179">
        <f>SUMIFS('recurring2_based on steps'!$B263:$AY263,'recurring2_based on steps'!$B$1:$AY$1,V$1)+SUMIFS('changes2_based on steps'!$B263:$U263,'changes2_based on steps'!$B$1:$U$1,V$1)</f>
        <v>0</v>
      </c>
      <c r="W263" s="179">
        <f>SUMIFS('recurring2_based on steps'!$B263:$AY263,'recurring2_based on steps'!$B$1:$AY$1,W$1)+SUMIFS('changes2_based on steps'!$B263:$U263,'changes2_based on steps'!$B$1:$U$1,W$1)</f>
        <v>0</v>
      </c>
      <c r="X263" s="179">
        <f>SUMIFS('recurring2_based on steps'!$B263:$AY263,'recurring2_based on steps'!$B$1:$AY$1,X$1)+SUMIFS('changes2_based on steps'!$B263:$U263,'changes2_based on steps'!$B$1:$U$1,X$1)</f>
        <v>0</v>
      </c>
      <c r="Y263" s="179">
        <f>SUMIFS('recurring2_based on steps'!$B263:$AY263,'recurring2_based on steps'!$B$1:$AY$1,Y$1)+SUMIFS('changes2_based on steps'!$B263:$U263,'changes2_based on steps'!$B$1:$U$1,Y$1)</f>
        <v>0</v>
      </c>
      <c r="Z263" s="179">
        <f>SUMIFS('recurring2_based on steps'!$B263:$AY263,'recurring2_based on steps'!$B$1:$AY$1,Z$1)+SUMIFS('changes2_based on steps'!$B263:$U263,'changes2_based on steps'!$B$1:$U$1,Z$1)</f>
        <v>0</v>
      </c>
      <c r="AA263" s="179">
        <f>SUMIFS('recurring2_based on steps'!$B263:$AY263,'recurring2_based on steps'!$B$1:$AY$1,AA$1)+SUMIFS('changes2_based on steps'!$B263:$U263,'changes2_based on steps'!$B$1:$U$1,AA$1)</f>
        <v>0</v>
      </c>
      <c r="AB263" s="179">
        <f>SUMIFS('recurring2_based on steps'!$B263:$AY263,'recurring2_based on steps'!$B$1:$AY$1,AB$1)+SUMIFS('changes2_based on steps'!$B263:$U263,'changes2_based on steps'!$B$1:$U$1,AB$1)</f>
        <v>0</v>
      </c>
      <c r="AC263" s="179">
        <f>SUMIFS('recurring2_based on steps'!$B263:$AY263,'recurring2_based on steps'!$B$1:$AY$1,AC$1)+SUMIFS('changes2_based on steps'!$B263:$U263,'changes2_based on steps'!$B$1:$U$1,AC$1)</f>
        <v>0</v>
      </c>
      <c r="AD263" s="179">
        <f>SUMIFS('recurring2_based on steps'!$B263:$AY263,'recurring2_based on steps'!$B$1:$AY$1,AD$1)+SUMIFS('changes2_based on steps'!$B263:$U263,'changes2_based on steps'!$B$1:$U$1,AD$1)</f>
        <v>0</v>
      </c>
      <c r="AE263" s="179">
        <f>SUMIFS('recurring2_based on steps'!$B263:$AY263,'recurring2_based on steps'!$B$1:$AY$1,AE$1)+SUMIFS('changes2_based on steps'!$B263:$U263,'changes2_based on steps'!$B$1:$U$1,AE$1)</f>
        <v>0</v>
      </c>
      <c r="AF263" s="179"/>
      <c r="AG263" s="179"/>
      <c r="AH263" s="179"/>
      <c r="AI263" s="179"/>
      <c r="AJ263" s="179"/>
      <c r="AK263" s="179"/>
      <c r="AL263" s="179"/>
      <c r="AM263" s="179"/>
    </row>
    <row r="264" spans="1:39" x14ac:dyDescent="0.2">
      <c r="A264" s="32">
        <f t="shared" ca="1" si="4"/>
        <v>46006</v>
      </c>
      <c r="B264" s="179">
        <f>SUMIFS('recurring2_based on steps'!$B264:$AY264,'recurring2_based on steps'!$B$1:$AY$1,B$1)+SUMIFS('changes2_based on steps'!$B264:$U264,'changes2_based on steps'!$B$1:$U$1,B$1)</f>
        <v>0</v>
      </c>
      <c r="C264" s="179">
        <f>SUMIFS('recurring2_based on steps'!$B264:$AY264,'recurring2_based on steps'!$B$1:$AY$1,C$1)+SUMIFS('changes2_based on steps'!$B264:$U264,'changes2_based on steps'!$B$1:$U$1,C$1)</f>
        <v>0</v>
      </c>
      <c r="D264" s="179">
        <f>SUMIFS('recurring2_based on steps'!$B264:$AY264,'recurring2_based on steps'!$B$1:$AY$1,D$1)+SUMIFS('changes2_based on steps'!$B264:$U264,'changes2_based on steps'!$B$1:$U$1,D$1)</f>
        <v>0</v>
      </c>
      <c r="E264" s="179">
        <f>SUMIFS('recurring2_based on steps'!$B264:$AY264,'recurring2_based on steps'!$B$1:$AY$1,E$1)+SUMIFS('changes2_based on steps'!$B264:$U264,'changes2_based on steps'!$B$1:$U$1,E$1)</f>
        <v>0</v>
      </c>
      <c r="F264" s="179">
        <f>SUMIFS('recurring2_based on steps'!$B264:$AY264,'recurring2_based on steps'!$B$1:$AY$1,F$1)+SUMIFS('changes2_based on steps'!$B264:$U264,'changes2_based on steps'!$B$1:$U$1,F$1)</f>
        <v>0</v>
      </c>
      <c r="G264" s="179">
        <f>SUMIFS('recurring2_based on steps'!$B264:$AY264,'recurring2_based on steps'!$B$1:$AY$1,G$1)+SUMIFS('changes2_based on steps'!$B264:$U264,'changes2_based on steps'!$B$1:$U$1,G$1)</f>
        <v>0</v>
      </c>
      <c r="H264" s="179">
        <f>SUMIFS('recurring2_based on steps'!$B264:$AY264,'recurring2_based on steps'!$B$1:$AY$1,H$1)+SUMIFS('changes2_based on steps'!$B264:$U264,'changes2_based on steps'!$B$1:$U$1,H$1)</f>
        <v>0</v>
      </c>
      <c r="I264" s="179">
        <f>SUMIFS('recurring2_based on steps'!$B264:$AY264,'recurring2_based on steps'!$B$1:$AY$1,I$1)+SUMIFS('changes2_based on steps'!$B264:$U264,'changes2_based on steps'!$B$1:$U$1,I$1)</f>
        <v>0</v>
      </c>
      <c r="J264" s="179">
        <f>SUMIFS('recurring2_based on steps'!$B264:$AY264,'recurring2_based on steps'!$B$1:$AY$1,J$1)+SUMIFS('changes2_based on steps'!$B264:$U264,'changes2_based on steps'!$B$1:$U$1,J$1)</f>
        <v>0</v>
      </c>
      <c r="K264" s="179">
        <f>SUMIFS('recurring2_based on steps'!$B264:$AY264,'recurring2_based on steps'!$B$1:$AY$1,K$1)+SUMIFS('changes2_based on steps'!$B264:$U264,'changes2_based on steps'!$B$1:$U$1,K$1)</f>
        <v>0</v>
      </c>
      <c r="L264" s="179">
        <f>SUMIFS('recurring2_based on steps'!$B264:$AY264,'recurring2_based on steps'!$B$1:$AY$1,L$1)+SUMIFS('changes2_based on steps'!$B264:$U264,'changes2_based on steps'!$B$1:$U$1,L$1)</f>
        <v>0</v>
      </c>
      <c r="M264" s="179">
        <f>SUMIFS('recurring2_based on steps'!$B264:$AY264,'recurring2_based on steps'!$B$1:$AY$1,M$1)+SUMIFS('changes2_based on steps'!$B264:$U264,'changes2_based on steps'!$B$1:$U$1,M$1)</f>
        <v>0</v>
      </c>
      <c r="N264" s="179">
        <f>SUMIFS('recurring2_based on steps'!$B264:$AY264,'recurring2_based on steps'!$B$1:$AY$1,N$1)+SUMIFS('changes2_based on steps'!$B264:$U264,'changes2_based on steps'!$B$1:$U$1,N$1)</f>
        <v>0</v>
      </c>
      <c r="O264" s="179">
        <f>SUMIFS('recurring2_based on steps'!$B264:$AY264,'recurring2_based on steps'!$B$1:$AY$1,O$1)+SUMIFS('changes2_based on steps'!$B264:$U264,'changes2_based on steps'!$B$1:$U$1,O$1)</f>
        <v>0</v>
      </c>
      <c r="P264" s="179">
        <f>SUMIFS('recurring2_based on steps'!$B264:$AY264,'recurring2_based on steps'!$B$1:$AY$1,P$1)+SUMIFS('changes2_based on steps'!$B264:$U264,'changes2_based on steps'!$B$1:$U$1,P$1)</f>
        <v>0</v>
      </c>
      <c r="Q264" s="179">
        <f>SUMIFS('recurring2_based on steps'!$B264:$AY264,'recurring2_based on steps'!$B$1:$AY$1,Q$1)+SUMIFS('changes2_based on steps'!$B264:$U264,'changes2_based on steps'!$B$1:$U$1,Q$1)</f>
        <v>0</v>
      </c>
      <c r="R264" s="179">
        <f>SUMIFS('recurring2_based on steps'!$B264:$AY264,'recurring2_based on steps'!$B$1:$AY$1,R$1)+SUMIFS('changes2_based on steps'!$B264:$U264,'changes2_based on steps'!$B$1:$U$1,R$1)</f>
        <v>0</v>
      </c>
      <c r="S264" s="179">
        <f>SUMIFS('recurring2_based on steps'!$B264:$AY264,'recurring2_based on steps'!$B$1:$AY$1,S$1)+SUMIFS('changes2_based on steps'!$B264:$U264,'changes2_based on steps'!$B$1:$U$1,S$1)</f>
        <v>0</v>
      </c>
      <c r="T264" s="179">
        <f>SUMIFS('recurring2_based on steps'!$B264:$AY264,'recurring2_based on steps'!$B$1:$AY$1,T$1)+SUMIFS('changes2_based on steps'!$B264:$U264,'changes2_based on steps'!$B$1:$U$1,T$1)</f>
        <v>0</v>
      </c>
      <c r="U264" s="179">
        <f>SUMIFS('recurring2_based on steps'!$B264:$AY264,'recurring2_based on steps'!$B$1:$AY$1,U$1)+SUMIFS('changes2_based on steps'!$B264:$U264,'changes2_based on steps'!$B$1:$U$1,U$1)</f>
        <v>0</v>
      </c>
      <c r="V264" s="179">
        <f>SUMIFS('recurring2_based on steps'!$B264:$AY264,'recurring2_based on steps'!$B$1:$AY$1,V$1)+SUMIFS('changes2_based on steps'!$B264:$U264,'changes2_based on steps'!$B$1:$U$1,V$1)</f>
        <v>0</v>
      </c>
      <c r="W264" s="179">
        <f>SUMIFS('recurring2_based on steps'!$B264:$AY264,'recurring2_based on steps'!$B$1:$AY$1,W$1)+SUMIFS('changes2_based on steps'!$B264:$U264,'changes2_based on steps'!$B$1:$U$1,W$1)</f>
        <v>0</v>
      </c>
      <c r="X264" s="179">
        <f>SUMIFS('recurring2_based on steps'!$B264:$AY264,'recurring2_based on steps'!$B$1:$AY$1,X$1)+SUMIFS('changes2_based on steps'!$B264:$U264,'changes2_based on steps'!$B$1:$U$1,X$1)</f>
        <v>0</v>
      </c>
      <c r="Y264" s="179">
        <f>SUMIFS('recurring2_based on steps'!$B264:$AY264,'recurring2_based on steps'!$B$1:$AY$1,Y$1)+SUMIFS('changes2_based on steps'!$B264:$U264,'changes2_based on steps'!$B$1:$U$1,Y$1)</f>
        <v>0</v>
      </c>
      <c r="Z264" s="179">
        <f>SUMIFS('recurring2_based on steps'!$B264:$AY264,'recurring2_based on steps'!$B$1:$AY$1,Z$1)+SUMIFS('changes2_based on steps'!$B264:$U264,'changes2_based on steps'!$B$1:$U$1,Z$1)</f>
        <v>0</v>
      </c>
      <c r="AA264" s="179">
        <f>SUMIFS('recurring2_based on steps'!$B264:$AY264,'recurring2_based on steps'!$B$1:$AY$1,AA$1)+SUMIFS('changes2_based on steps'!$B264:$U264,'changes2_based on steps'!$B$1:$U$1,AA$1)</f>
        <v>0</v>
      </c>
      <c r="AB264" s="179">
        <f>SUMIFS('recurring2_based on steps'!$B264:$AY264,'recurring2_based on steps'!$B$1:$AY$1,AB$1)+SUMIFS('changes2_based on steps'!$B264:$U264,'changes2_based on steps'!$B$1:$U$1,AB$1)</f>
        <v>0</v>
      </c>
      <c r="AC264" s="179">
        <f>SUMIFS('recurring2_based on steps'!$B264:$AY264,'recurring2_based on steps'!$B$1:$AY$1,AC$1)+SUMIFS('changes2_based on steps'!$B264:$U264,'changes2_based on steps'!$B$1:$U$1,AC$1)</f>
        <v>0</v>
      </c>
      <c r="AD264" s="179">
        <f>SUMIFS('recurring2_based on steps'!$B264:$AY264,'recurring2_based on steps'!$B$1:$AY$1,AD$1)+SUMIFS('changes2_based on steps'!$B264:$U264,'changes2_based on steps'!$B$1:$U$1,AD$1)</f>
        <v>0</v>
      </c>
      <c r="AE264" s="179">
        <f>SUMIFS('recurring2_based on steps'!$B264:$AY264,'recurring2_based on steps'!$B$1:$AY$1,AE$1)+SUMIFS('changes2_based on steps'!$B264:$U264,'changes2_based on steps'!$B$1:$U$1,AE$1)</f>
        <v>0</v>
      </c>
      <c r="AF264" s="179"/>
      <c r="AG264" s="179"/>
      <c r="AH264" s="179"/>
      <c r="AI264" s="179"/>
      <c r="AJ264" s="179"/>
      <c r="AK264" s="179"/>
      <c r="AL264" s="179"/>
      <c r="AM264" s="179"/>
    </row>
    <row r="265" spans="1:39" x14ac:dyDescent="0.2">
      <c r="A265" s="32">
        <f t="shared" ca="1" si="4"/>
        <v>46007</v>
      </c>
      <c r="B265" s="179">
        <f>SUMIFS('recurring2_based on steps'!$B265:$AY265,'recurring2_based on steps'!$B$1:$AY$1,B$1)+SUMIFS('changes2_based on steps'!$B265:$U265,'changes2_based on steps'!$B$1:$U$1,B$1)</f>
        <v>0</v>
      </c>
      <c r="C265" s="179">
        <f>SUMIFS('recurring2_based on steps'!$B265:$AY265,'recurring2_based on steps'!$B$1:$AY$1,C$1)+SUMIFS('changes2_based on steps'!$B265:$U265,'changes2_based on steps'!$B$1:$U$1,C$1)</f>
        <v>0</v>
      </c>
      <c r="D265" s="179">
        <f>SUMIFS('recurring2_based on steps'!$B265:$AY265,'recurring2_based on steps'!$B$1:$AY$1,D$1)+SUMIFS('changes2_based on steps'!$B265:$U265,'changes2_based on steps'!$B$1:$U$1,D$1)</f>
        <v>0</v>
      </c>
      <c r="E265" s="179">
        <f>SUMIFS('recurring2_based on steps'!$B265:$AY265,'recurring2_based on steps'!$B$1:$AY$1,E$1)+SUMIFS('changes2_based on steps'!$B265:$U265,'changes2_based on steps'!$B$1:$U$1,E$1)</f>
        <v>0</v>
      </c>
      <c r="F265" s="179">
        <f>SUMIFS('recurring2_based on steps'!$B265:$AY265,'recurring2_based on steps'!$B$1:$AY$1,F$1)+SUMIFS('changes2_based on steps'!$B265:$U265,'changes2_based on steps'!$B$1:$U$1,F$1)</f>
        <v>0</v>
      </c>
      <c r="G265" s="179">
        <f>SUMIFS('recurring2_based on steps'!$B265:$AY265,'recurring2_based on steps'!$B$1:$AY$1,G$1)+SUMIFS('changes2_based on steps'!$B265:$U265,'changes2_based on steps'!$B$1:$U$1,G$1)</f>
        <v>0</v>
      </c>
      <c r="H265" s="179">
        <f>SUMIFS('recurring2_based on steps'!$B265:$AY265,'recurring2_based on steps'!$B$1:$AY$1,H$1)+SUMIFS('changes2_based on steps'!$B265:$U265,'changes2_based on steps'!$B$1:$U$1,H$1)</f>
        <v>0</v>
      </c>
      <c r="I265" s="179">
        <f>SUMIFS('recurring2_based on steps'!$B265:$AY265,'recurring2_based on steps'!$B$1:$AY$1,I$1)+SUMIFS('changes2_based on steps'!$B265:$U265,'changes2_based on steps'!$B$1:$U$1,I$1)</f>
        <v>0</v>
      </c>
      <c r="J265" s="179">
        <f>SUMIFS('recurring2_based on steps'!$B265:$AY265,'recurring2_based on steps'!$B$1:$AY$1,J$1)+SUMIFS('changes2_based on steps'!$B265:$U265,'changes2_based on steps'!$B$1:$U$1,J$1)</f>
        <v>0</v>
      </c>
      <c r="K265" s="179">
        <f>SUMIFS('recurring2_based on steps'!$B265:$AY265,'recurring2_based on steps'!$B$1:$AY$1,K$1)+SUMIFS('changes2_based on steps'!$B265:$U265,'changes2_based on steps'!$B$1:$U$1,K$1)</f>
        <v>0</v>
      </c>
      <c r="L265" s="179">
        <f>SUMIFS('recurring2_based on steps'!$B265:$AY265,'recurring2_based on steps'!$B$1:$AY$1,L$1)+SUMIFS('changes2_based on steps'!$B265:$U265,'changes2_based on steps'!$B$1:$U$1,L$1)</f>
        <v>0</v>
      </c>
      <c r="M265" s="179">
        <f>SUMIFS('recurring2_based on steps'!$B265:$AY265,'recurring2_based on steps'!$B$1:$AY$1,M$1)+SUMIFS('changes2_based on steps'!$B265:$U265,'changes2_based on steps'!$B$1:$U$1,M$1)</f>
        <v>0</v>
      </c>
      <c r="N265" s="179">
        <f>SUMIFS('recurring2_based on steps'!$B265:$AY265,'recurring2_based on steps'!$B$1:$AY$1,N$1)+SUMIFS('changes2_based on steps'!$B265:$U265,'changes2_based on steps'!$B$1:$U$1,N$1)</f>
        <v>0</v>
      </c>
      <c r="O265" s="179">
        <f>SUMIFS('recurring2_based on steps'!$B265:$AY265,'recurring2_based on steps'!$B$1:$AY$1,O$1)+SUMIFS('changes2_based on steps'!$B265:$U265,'changes2_based on steps'!$B$1:$U$1,O$1)</f>
        <v>0</v>
      </c>
      <c r="P265" s="179">
        <f>SUMIFS('recurring2_based on steps'!$B265:$AY265,'recurring2_based on steps'!$B$1:$AY$1,P$1)+SUMIFS('changes2_based on steps'!$B265:$U265,'changes2_based on steps'!$B$1:$U$1,P$1)</f>
        <v>0</v>
      </c>
      <c r="Q265" s="179">
        <f>SUMIFS('recurring2_based on steps'!$B265:$AY265,'recurring2_based on steps'!$B$1:$AY$1,Q$1)+SUMIFS('changes2_based on steps'!$B265:$U265,'changes2_based on steps'!$B$1:$U$1,Q$1)</f>
        <v>0</v>
      </c>
      <c r="R265" s="179">
        <f>SUMIFS('recurring2_based on steps'!$B265:$AY265,'recurring2_based on steps'!$B$1:$AY$1,R$1)+SUMIFS('changes2_based on steps'!$B265:$U265,'changes2_based on steps'!$B$1:$U$1,R$1)</f>
        <v>0</v>
      </c>
      <c r="S265" s="179">
        <f>SUMIFS('recurring2_based on steps'!$B265:$AY265,'recurring2_based on steps'!$B$1:$AY$1,S$1)+SUMIFS('changes2_based on steps'!$B265:$U265,'changes2_based on steps'!$B$1:$U$1,S$1)</f>
        <v>0</v>
      </c>
      <c r="T265" s="179">
        <f>SUMIFS('recurring2_based on steps'!$B265:$AY265,'recurring2_based on steps'!$B$1:$AY$1,T$1)+SUMIFS('changes2_based on steps'!$B265:$U265,'changes2_based on steps'!$B$1:$U$1,T$1)</f>
        <v>0</v>
      </c>
      <c r="U265" s="179">
        <f>SUMIFS('recurring2_based on steps'!$B265:$AY265,'recurring2_based on steps'!$B$1:$AY$1,U$1)+SUMIFS('changes2_based on steps'!$B265:$U265,'changes2_based on steps'!$B$1:$U$1,U$1)</f>
        <v>0</v>
      </c>
      <c r="V265" s="179">
        <f>SUMIFS('recurring2_based on steps'!$B265:$AY265,'recurring2_based on steps'!$B$1:$AY$1,V$1)+SUMIFS('changes2_based on steps'!$B265:$U265,'changes2_based on steps'!$B$1:$U$1,V$1)</f>
        <v>0</v>
      </c>
      <c r="W265" s="179">
        <f>SUMIFS('recurring2_based on steps'!$B265:$AY265,'recurring2_based on steps'!$B$1:$AY$1,W$1)+SUMIFS('changes2_based on steps'!$B265:$U265,'changes2_based on steps'!$B$1:$U$1,W$1)</f>
        <v>0</v>
      </c>
      <c r="X265" s="179">
        <f>SUMIFS('recurring2_based on steps'!$B265:$AY265,'recurring2_based on steps'!$B$1:$AY$1,X$1)+SUMIFS('changes2_based on steps'!$B265:$U265,'changes2_based on steps'!$B$1:$U$1,X$1)</f>
        <v>0</v>
      </c>
      <c r="Y265" s="179">
        <f>SUMIFS('recurring2_based on steps'!$B265:$AY265,'recurring2_based on steps'!$B$1:$AY$1,Y$1)+SUMIFS('changes2_based on steps'!$B265:$U265,'changes2_based on steps'!$B$1:$U$1,Y$1)</f>
        <v>0</v>
      </c>
      <c r="Z265" s="179">
        <f>SUMIFS('recurring2_based on steps'!$B265:$AY265,'recurring2_based on steps'!$B$1:$AY$1,Z$1)+SUMIFS('changes2_based on steps'!$B265:$U265,'changes2_based on steps'!$B$1:$U$1,Z$1)</f>
        <v>0</v>
      </c>
      <c r="AA265" s="179">
        <f>SUMIFS('recurring2_based on steps'!$B265:$AY265,'recurring2_based on steps'!$B$1:$AY$1,AA$1)+SUMIFS('changes2_based on steps'!$B265:$U265,'changes2_based on steps'!$B$1:$U$1,AA$1)</f>
        <v>0</v>
      </c>
      <c r="AB265" s="179">
        <f>SUMIFS('recurring2_based on steps'!$B265:$AY265,'recurring2_based on steps'!$B$1:$AY$1,AB$1)+SUMIFS('changes2_based on steps'!$B265:$U265,'changes2_based on steps'!$B$1:$U$1,AB$1)</f>
        <v>0</v>
      </c>
      <c r="AC265" s="179">
        <f>SUMIFS('recurring2_based on steps'!$B265:$AY265,'recurring2_based on steps'!$B$1:$AY$1,AC$1)+SUMIFS('changes2_based on steps'!$B265:$U265,'changes2_based on steps'!$B$1:$U$1,AC$1)</f>
        <v>0</v>
      </c>
      <c r="AD265" s="179">
        <f>SUMIFS('recurring2_based on steps'!$B265:$AY265,'recurring2_based on steps'!$B$1:$AY$1,AD$1)+SUMIFS('changes2_based on steps'!$B265:$U265,'changes2_based on steps'!$B$1:$U$1,AD$1)</f>
        <v>0</v>
      </c>
      <c r="AE265" s="179">
        <f>SUMIFS('recurring2_based on steps'!$B265:$AY265,'recurring2_based on steps'!$B$1:$AY$1,AE$1)+SUMIFS('changes2_based on steps'!$B265:$U265,'changes2_based on steps'!$B$1:$U$1,AE$1)</f>
        <v>0</v>
      </c>
      <c r="AF265" s="179"/>
      <c r="AG265" s="179"/>
      <c r="AH265" s="179"/>
      <c r="AI265" s="179"/>
      <c r="AJ265" s="179"/>
      <c r="AK265" s="179"/>
      <c r="AL265" s="179"/>
      <c r="AM265" s="179"/>
    </row>
    <row r="266" spans="1:39" x14ac:dyDescent="0.2">
      <c r="A266" s="32">
        <f t="shared" ca="1" si="4"/>
        <v>46008</v>
      </c>
      <c r="B266" s="179">
        <f>SUMIFS('recurring2_based on steps'!$B266:$AY266,'recurring2_based on steps'!$B$1:$AY$1,B$1)+SUMIFS('changes2_based on steps'!$B266:$U266,'changes2_based on steps'!$B$1:$U$1,B$1)</f>
        <v>0</v>
      </c>
      <c r="C266" s="179">
        <f>SUMIFS('recurring2_based on steps'!$B266:$AY266,'recurring2_based on steps'!$B$1:$AY$1,C$1)+SUMIFS('changes2_based on steps'!$B266:$U266,'changes2_based on steps'!$B$1:$U$1,C$1)</f>
        <v>0</v>
      </c>
      <c r="D266" s="179">
        <f>SUMIFS('recurring2_based on steps'!$B266:$AY266,'recurring2_based on steps'!$B$1:$AY$1,D$1)+SUMIFS('changes2_based on steps'!$B266:$U266,'changes2_based on steps'!$B$1:$U$1,D$1)</f>
        <v>0</v>
      </c>
      <c r="E266" s="179">
        <f>SUMIFS('recurring2_based on steps'!$B266:$AY266,'recurring2_based on steps'!$B$1:$AY$1,E$1)+SUMIFS('changes2_based on steps'!$B266:$U266,'changes2_based on steps'!$B$1:$U$1,E$1)</f>
        <v>0</v>
      </c>
      <c r="F266" s="179">
        <f>SUMIFS('recurring2_based on steps'!$B266:$AY266,'recurring2_based on steps'!$B$1:$AY$1,F$1)+SUMIFS('changes2_based on steps'!$B266:$U266,'changes2_based on steps'!$B$1:$U$1,F$1)</f>
        <v>0</v>
      </c>
      <c r="G266" s="179">
        <f>SUMIFS('recurring2_based on steps'!$B266:$AY266,'recurring2_based on steps'!$B$1:$AY$1,G$1)+SUMIFS('changes2_based on steps'!$B266:$U266,'changes2_based on steps'!$B$1:$U$1,G$1)</f>
        <v>0</v>
      </c>
      <c r="H266" s="179">
        <f>SUMIFS('recurring2_based on steps'!$B266:$AY266,'recurring2_based on steps'!$B$1:$AY$1,H$1)+SUMIFS('changes2_based on steps'!$B266:$U266,'changes2_based on steps'!$B$1:$U$1,H$1)</f>
        <v>0</v>
      </c>
      <c r="I266" s="179">
        <f>SUMIFS('recurring2_based on steps'!$B266:$AY266,'recurring2_based on steps'!$B$1:$AY$1,I$1)+SUMIFS('changes2_based on steps'!$B266:$U266,'changes2_based on steps'!$B$1:$U$1,I$1)</f>
        <v>0</v>
      </c>
      <c r="J266" s="179">
        <f>SUMIFS('recurring2_based on steps'!$B266:$AY266,'recurring2_based on steps'!$B$1:$AY$1,J$1)+SUMIFS('changes2_based on steps'!$B266:$U266,'changes2_based on steps'!$B$1:$U$1,J$1)</f>
        <v>0</v>
      </c>
      <c r="K266" s="179">
        <f>SUMIFS('recurring2_based on steps'!$B266:$AY266,'recurring2_based on steps'!$B$1:$AY$1,K$1)+SUMIFS('changes2_based on steps'!$B266:$U266,'changes2_based on steps'!$B$1:$U$1,K$1)</f>
        <v>0</v>
      </c>
      <c r="L266" s="179">
        <f>SUMIFS('recurring2_based on steps'!$B266:$AY266,'recurring2_based on steps'!$B$1:$AY$1,L$1)+SUMIFS('changes2_based on steps'!$B266:$U266,'changes2_based on steps'!$B$1:$U$1,L$1)</f>
        <v>0</v>
      </c>
      <c r="M266" s="179">
        <f>SUMIFS('recurring2_based on steps'!$B266:$AY266,'recurring2_based on steps'!$B$1:$AY$1,M$1)+SUMIFS('changes2_based on steps'!$B266:$U266,'changes2_based on steps'!$B$1:$U$1,M$1)</f>
        <v>0</v>
      </c>
      <c r="N266" s="179">
        <f>SUMIFS('recurring2_based on steps'!$B266:$AY266,'recurring2_based on steps'!$B$1:$AY$1,N$1)+SUMIFS('changes2_based on steps'!$B266:$U266,'changes2_based on steps'!$B$1:$U$1,N$1)</f>
        <v>0</v>
      </c>
      <c r="O266" s="179">
        <f>SUMIFS('recurring2_based on steps'!$B266:$AY266,'recurring2_based on steps'!$B$1:$AY$1,O$1)+SUMIFS('changes2_based on steps'!$B266:$U266,'changes2_based on steps'!$B$1:$U$1,O$1)</f>
        <v>0</v>
      </c>
      <c r="P266" s="179">
        <f>SUMIFS('recurring2_based on steps'!$B266:$AY266,'recurring2_based on steps'!$B$1:$AY$1,P$1)+SUMIFS('changes2_based on steps'!$B266:$U266,'changes2_based on steps'!$B$1:$U$1,P$1)</f>
        <v>0</v>
      </c>
      <c r="Q266" s="179">
        <f>SUMIFS('recurring2_based on steps'!$B266:$AY266,'recurring2_based on steps'!$B$1:$AY$1,Q$1)+SUMIFS('changes2_based on steps'!$B266:$U266,'changes2_based on steps'!$B$1:$U$1,Q$1)</f>
        <v>0</v>
      </c>
      <c r="R266" s="179">
        <f>SUMIFS('recurring2_based on steps'!$B266:$AY266,'recurring2_based on steps'!$B$1:$AY$1,R$1)+SUMIFS('changes2_based on steps'!$B266:$U266,'changes2_based on steps'!$B$1:$U$1,R$1)</f>
        <v>0</v>
      </c>
      <c r="S266" s="179">
        <f>SUMIFS('recurring2_based on steps'!$B266:$AY266,'recurring2_based on steps'!$B$1:$AY$1,S$1)+SUMIFS('changes2_based on steps'!$B266:$U266,'changes2_based on steps'!$B$1:$U$1,S$1)</f>
        <v>0</v>
      </c>
      <c r="T266" s="179">
        <f>SUMIFS('recurring2_based on steps'!$B266:$AY266,'recurring2_based on steps'!$B$1:$AY$1,T$1)+SUMIFS('changes2_based on steps'!$B266:$U266,'changes2_based on steps'!$B$1:$U$1,T$1)</f>
        <v>0</v>
      </c>
      <c r="U266" s="179">
        <f>SUMIFS('recurring2_based on steps'!$B266:$AY266,'recurring2_based on steps'!$B$1:$AY$1,U$1)+SUMIFS('changes2_based on steps'!$B266:$U266,'changes2_based on steps'!$B$1:$U$1,U$1)</f>
        <v>0</v>
      </c>
      <c r="V266" s="179">
        <f>SUMIFS('recurring2_based on steps'!$B266:$AY266,'recurring2_based on steps'!$B$1:$AY$1,V$1)+SUMIFS('changes2_based on steps'!$B266:$U266,'changes2_based on steps'!$B$1:$U$1,V$1)</f>
        <v>0</v>
      </c>
      <c r="W266" s="179">
        <f>SUMIFS('recurring2_based on steps'!$B266:$AY266,'recurring2_based on steps'!$B$1:$AY$1,W$1)+SUMIFS('changes2_based on steps'!$B266:$U266,'changes2_based on steps'!$B$1:$U$1,W$1)</f>
        <v>0</v>
      </c>
      <c r="X266" s="179">
        <f>SUMIFS('recurring2_based on steps'!$B266:$AY266,'recurring2_based on steps'!$B$1:$AY$1,X$1)+SUMIFS('changes2_based on steps'!$B266:$U266,'changes2_based on steps'!$B$1:$U$1,X$1)</f>
        <v>0</v>
      </c>
      <c r="Y266" s="179">
        <f>SUMIFS('recurring2_based on steps'!$B266:$AY266,'recurring2_based on steps'!$B$1:$AY$1,Y$1)+SUMIFS('changes2_based on steps'!$B266:$U266,'changes2_based on steps'!$B$1:$U$1,Y$1)</f>
        <v>0</v>
      </c>
      <c r="Z266" s="179">
        <f>SUMIFS('recurring2_based on steps'!$B266:$AY266,'recurring2_based on steps'!$B$1:$AY$1,Z$1)+SUMIFS('changes2_based on steps'!$B266:$U266,'changes2_based on steps'!$B$1:$U$1,Z$1)</f>
        <v>0</v>
      </c>
      <c r="AA266" s="179">
        <f>SUMIFS('recurring2_based on steps'!$B266:$AY266,'recurring2_based on steps'!$B$1:$AY$1,AA$1)+SUMIFS('changes2_based on steps'!$B266:$U266,'changes2_based on steps'!$B$1:$U$1,AA$1)</f>
        <v>0</v>
      </c>
      <c r="AB266" s="179">
        <f>SUMIFS('recurring2_based on steps'!$B266:$AY266,'recurring2_based on steps'!$B$1:$AY$1,AB$1)+SUMIFS('changes2_based on steps'!$B266:$U266,'changes2_based on steps'!$B$1:$U$1,AB$1)</f>
        <v>0</v>
      </c>
      <c r="AC266" s="179">
        <f>SUMIFS('recurring2_based on steps'!$B266:$AY266,'recurring2_based on steps'!$B$1:$AY$1,AC$1)+SUMIFS('changes2_based on steps'!$B266:$U266,'changes2_based on steps'!$B$1:$U$1,AC$1)</f>
        <v>0</v>
      </c>
      <c r="AD266" s="179">
        <f>SUMIFS('recurring2_based on steps'!$B266:$AY266,'recurring2_based on steps'!$B$1:$AY$1,AD$1)+SUMIFS('changes2_based on steps'!$B266:$U266,'changes2_based on steps'!$B$1:$U$1,AD$1)</f>
        <v>0</v>
      </c>
      <c r="AE266" s="179">
        <f>SUMIFS('recurring2_based on steps'!$B266:$AY266,'recurring2_based on steps'!$B$1:$AY$1,AE$1)+SUMIFS('changes2_based on steps'!$B266:$U266,'changes2_based on steps'!$B$1:$U$1,AE$1)</f>
        <v>0</v>
      </c>
      <c r="AF266" s="179"/>
      <c r="AG266" s="179"/>
      <c r="AH266" s="179"/>
      <c r="AI266" s="179"/>
      <c r="AJ266" s="179"/>
      <c r="AK266" s="179"/>
      <c r="AL266" s="179"/>
      <c r="AM266" s="179"/>
    </row>
    <row r="267" spans="1:39" x14ac:dyDescent="0.2">
      <c r="A267" s="32">
        <f t="shared" ca="1" si="4"/>
        <v>46009</v>
      </c>
      <c r="B267" s="179">
        <f>SUMIFS('recurring2_based on steps'!$B267:$AY267,'recurring2_based on steps'!$B$1:$AY$1,B$1)+SUMIFS('changes2_based on steps'!$B267:$U267,'changes2_based on steps'!$B$1:$U$1,B$1)</f>
        <v>0</v>
      </c>
      <c r="C267" s="179">
        <f>SUMIFS('recurring2_based on steps'!$B267:$AY267,'recurring2_based on steps'!$B$1:$AY$1,C$1)+SUMIFS('changes2_based on steps'!$B267:$U267,'changes2_based on steps'!$B$1:$U$1,C$1)</f>
        <v>0</v>
      </c>
      <c r="D267" s="179">
        <f>SUMIFS('recurring2_based on steps'!$B267:$AY267,'recurring2_based on steps'!$B$1:$AY$1,D$1)+SUMIFS('changes2_based on steps'!$B267:$U267,'changes2_based on steps'!$B$1:$U$1,D$1)</f>
        <v>0</v>
      </c>
      <c r="E267" s="179">
        <f>SUMIFS('recurring2_based on steps'!$B267:$AY267,'recurring2_based on steps'!$B$1:$AY$1,E$1)+SUMIFS('changes2_based on steps'!$B267:$U267,'changes2_based on steps'!$B$1:$U$1,E$1)</f>
        <v>0</v>
      </c>
      <c r="F267" s="179">
        <f>SUMIFS('recurring2_based on steps'!$B267:$AY267,'recurring2_based on steps'!$B$1:$AY$1,F$1)+SUMIFS('changes2_based on steps'!$B267:$U267,'changes2_based on steps'!$B$1:$U$1,F$1)</f>
        <v>0</v>
      </c>
      <c r="G267" s="179">
        <f>SUMIFS('recurring2_based on steps'!$B267:$AY267,'recurring2_based on steps'!$B$1:$AY$1,G$1)+SUMIFS('changes2_based on steps'!$B267:$U267,'changes2_based on steps'!$B$1:$U$1,G$1)</f>
        <v>0</v>
      </c>
      <c r="H267" s="179">
        <f>SUMIFS('recurring2_based on steps'!$B267:$AY267,'recurring2_based on steps'!$B$1:$AY$1,H$1)+SUMIFS('changes2_based on steps'!$B267:$U267,'changes2_based on steps'!$B$1:$U$1,H$1)</f>
        <v>0</v>
      </c>
      <c r="I267" s="179">
        <f>SUMIFS('recurring2_based on steps'!$B267:$AY267,'recurring2_based on steps'!$B$1:$AY$1,I$1)+SUMIFS('changes2_based on steps'!$B267:$U267,'changes2_based on steps'!$B$1:$U$1,I$1)</f>
        <v>0</v>
      </c>
      <c r="J267" s="179">
        <f>SUMIFS('recurring2_based on steps'!$B267:$AY267,'recurring2_based on steps'!$B$1:$AY$1,J$1)+SUMIFS('changes2_based on steps'!$B267:$U267,'changes2_based on steps'!$B$1:$U$1,J$1)</f>
        <v>0</v>
      </c>
      <c r="K267" s="179">
        <f>SUMIFS('recurring2_based on steps'!$B267:$AY267,'recurring2_based on steps'!$B$1:$AY$1,K$1)+SUMIFS('changes2_based on steps'!$B267:$U267,'changes2_based on steps'!$B$1:$U$1,K$1)</f>
        <v>0</v>
      </c>
      <c r="L267" s="179">
        <f>SUMIFS('recurring2_based on steps'!$B267:$AY267,'recurring2_based on steps'!$B$1:$AY$1,L$1)+SUMIFS('changes2_based on steps'!$B267:$U267,'changes2_based on steps'!$B$1:$U$1,L$1)</f>
        <v>0</v>
      </c>
      <c r="M267" s="179">
        <f>SUMIFS('recurring2_based on steps'!$B267:$AY267,'recurring2_based on steps'!$B$1:$AY$1,M$1)+SUMIFS('changes2_based on steps'!$B267:$U267,'changes2_based on steps'!$B$1:$U$1,M$1)</f>
        <v>0</v>
      </c>
      <c r="N267" s="179">
        <f>SUMIFS('recurring2_based on steps'!$B267:$AY267,'recurring2_based on steps'!$B$1:$AY$1,N$1)+SUMIFS('changes2_based on steps'!$B267:$U267,'changes2_based on steps'!$B$1:$U$1,N$1)</f>
        <v>0</v>
      </c>
      <c r="O267" s="179">
        <f>SUMIFS('recurring2_based on steps'!$B267:$AY267,'recurring2_based on steps'!$B$1:$AY$1,O$1)+SUMIFS('changes2_based on steps'!$B267:$U267,'changes2_based on steps'!$B$1:$U$1,O$1)</f>
        <v>0</v>
      </c>
      <c r="P267" s="179">
        <f>SUMIFS('recurring2_based on steps'!$B267:$AY267,'recurring2_based on steps'!$B$1:$AY$1,P$1)+SUMIFS('changes2_based on steps'!$B267:$U267,'changes2_based on steps'!$B$1:$U$1,P$1)</f>
        <v>0</v>
      </c>
      <c r="Q267" s="179">
        <f>SUMIFS('recurring2_based on steps'!$B267:$AY267,'recurring2_based on steps'!$B$1:$AY$1,Q$1)+SUMIFS('changes2_based on steps'!$B267:$U267,'changes2_based on steps'!$B$1:$U$1,Q$1)</f>
        <v>0</v>
      </c>
      <c r="R267" s="179">
        <f>SUMIFS('recurring2_based on steps'!$B267:$AY267,'recurring2_based on steps'!$B$1:$AY$1,R$1)+SUMIFS('changes2_based on steps'!$B267:$U267,'changes2_based on steps'!$B$1:$U$1,R$1)</f>
        <v>0</v>
      </c>
      <c r="S267" s="179">
        <f>SUMIFS('recurring2_based on steps'!$B267:$AY267,'recurring2_based on steps'!$B$1:$AY$1,S$1)+SUMIFS('changes2_based on steps'!$B267:$U267,'changes2_based on steps'!$B$1:$U$1,S$1)</f>
        <v>0</v>
      </c>
      <c r="T267" s="179">
        <f>SUMIFS('recurring2_based on steps'!$B267:$AY267,'recurring2_based on steps'!$B$1:$AY$1,T$1)+SUMIFS('changes2_based on steps'!$B267:$U267,'changes2_based on steps'!$B$1:$U$1,T$1)</f>
        <v>0</v>
      </c>
      <c r="U267" s="179">
        <f>SUMIFS('recurring2_based on steps'!$B267:$AY267,'recurring2_based on steps'!$B$1:$AY$1,U$1)+SUMIFS('changes2_based on steps'!$B267:$U267,'changes2_based on steps'!$B$1:$U$1,U$1)</f>
        <v>0</v>
      </c>
      <c r="V267" s="179">
        <f>SUMIFS('recurring2_based on steps'!$B267:$AY267,'recurring2_based on steps'!$B$1:$AY$1,V$1)+SUMIFS('changes2_based on steps'!$B267:$U267,'changes2_based on steps'!$B$1:$U$1,V$1)</f>
        <v>0</v>
      </c>
      <c r="W267" s="179">
        <f>SUMIFS('recurring2_based on steps'!$B267:$AY267,'recurring2_based on steps'!$B$1:$AY$1,W$1)+SUMIFS('changes2_based on steps'!$B267:$U267,'changes2_based on steps'!$B$1:$U$1,W$1)</f>
        <v>0</v>
      </c>
      <c r="X267" s="179">
        <f>SUMIFS('recurring2_based on steps'!$B267:$AY267,'recurring2_based on steps'!$B$1:$AY$1,X$1)+SUMIFS('changes2_based on steps'!$B267:$U267,'changes2_based on steps'!$B$1:$U$1,X$1)</f>
        <v>0</v>
      </c>
      <c r="Y267" s="179">
        <f>SUMIFS('recurring2_based on steps'!$B267:$AY267,'recurring2_based on steps'!$B$1:$AY$1,Y$1)+SUMIFS('changes2_based on steps'!$B267:$U267,'changes2_based on steps'!$B$1:$U$1,Y$1)</f>
        <v>0</v>
      </c>
      <c r="Z267" s="179">
        <f>SUMIFS('recurring2_based on steps'!$B267:$AY267,'recurring2_based on steps'!$B$1:$AY$1,Z$1)+SUMIFS('changes2_based on steps'!$B267:$U267,'changes2_based on steps'!$B$1:$U$1,Z$1)</f>
        <v>0</v>
      </c>
      <c r="AA267" s="179">
        <f>SUMIFS('recurring2_based on steps'!$B267:$AY267,'recurring2_based on steps'!$B$1:$AY$1,AA$1)+SUMIFS('changes2_based on steps'!$B267:$U267,'changes2_based on steps'!$B$1:$U$1,AA$1)</f>
        <v>0</v>
      </c>
      <c r="AB267" s="179">
        <f>SUMIFS('recurring2_based on steps'!$B267:$AY267,'recurring2_based on steps'!$B$1:$AY$1,AB$1)+SUMIFS('changes2_based on steps'!$B267:$U267,'changes2_based on steps'!$B$1:$U$1,AB$1)</f>
        <v>0</v>
      </c>
      <c r="AC267" s="179">
        <f>SUMIFS('recurring2_based on steps'!$B267:$AY267,'recurring2_based on steps'!$B$1:$AY$1,AC$1)+SUMIFS('changes2_based on steps'!$B267:$U267,'changes2_based on steps'!$B$1:$U$1,AC$1)</f>
        <v>0</v>
      </c>
      <c r="AD267" s="179">
        <f>SUMIFS('recurring2_based on steps'!$B267:$AY267,'recurring2_based on steps'!$B$1:$AY$1,AD$1)+SUMIFS('changes2_based on steps'!$B267:$U267,'changes2_based on steps'!$B$1:$U$1,AD$1)</f>
        <v>0</v>
      </c>
      <c r="AE267" s="179">
        <f>SUMIFS('recurring2_based on steps'!$B267:$AY267,'recurring2_based on steps'!$B$1:$AY$1,AE$1)+SUMIFS('changes2_based on steps'!$B267:$U267,'changes2_based on steps'!$B$1:$U$1,AE$1)</f>
        <v>0</v>
      </c>
      <c r="AF267" s="179"/>
      <c r="AG267" s="179"/>
      <c r="AH267" s="179"/>
      <c r="AI267" s="179"/>
      <c r="AJ267" s="179"/>
      <c r="AK267" s="179"/>
      <c r="AL267" s="179"/>
      <c r="AM267" s="179"/>
    </row>
    <row r="268" spans="1:39" x14ac:dyDescent="0.2">
      <c r="A268" s="32">
        <f t="shared" ca="1" si="4"/>
        <v>46010</v>
      </c>
      <c r="B268" s="179">
        <f>SUMIFS('recurring2_based on steps'!$B268:$AY268,'recurring2_based on steps'!$B$1:$AY$1,B$1)+SUMIFS('changes2_based on steps'!$B268:$U268,'changes2_based on steps'!$B$1:$U$1,B$1)</f>
        <v>0</v>
      </c>
      <c r="C268" s="179">
        <f>SUMIFS('recurring2_based on steps'!$B268:$AY268,'recurring2_based on steps'!$B$1:$AY$1,C$1)+SUMIFS('changes2_based on steps'!$B268:$U268,'changes2_based on steps'!$B$1:$U$1,C$1)</f>
        <v>0</v>
      </c>
      <c r="D268" s="179">
        <f>SUMIFS('recurring2_based on steps'!$B268:$AY268,'recurring2_based on steps'!$B$1:$AY$1,D$1)+SUMIFS('changes2_based on steps'!$B268:$U268,'changes2_based on steps'!$B$1:$U$1,D$1)</f>
        <v>0</v>
      </c>
      <c r="E268" s="179">
        <f>SUMIFS('recurring2_based on steps'!$B268:$AY268,'recurring2_based on steps'!$B$1:$AY$1,E$1)+SUMIFS('changes2_based on steps'!$B268:$U268,'changes2_based on steps'!$B$1:$U$1,E$1)</f>
        <v>0</v>
      </c>
      <c r="F268" s="179">
        <f>SUMIFS('recurring2_based on steps'!$B268:$AY268,'recurring2_based on steps'!$B$1:$AY$1,F$1)+SUMIFS('changes2_based on steps'!$B268:$U268,'changes2_based on steps'!$B$1:$U$1,F$1)</f>
        <v>0</v>
      </c>
      <c r="G268" s="179">
        <f>SUMIFS('recurring2_based on steps'!$B268:$AY268,'recurring2_based on steps'!$B$1:$AY$1,G$1)+SUMIFS('changes2_based on steps'!$B268:$U268,'changes2_based on steps'!$B$1:$U$1,G$1)</f>
        <v>0</v>
      </c>
      <c r="H268" s="179">
        <f>SUMIFS('recurring2_based on steps'!$B268:$AY268,'recurring2_based on steps'!$B$1:$AY$1,H$1)+SUMIFS('changes2_based on steps'!$B268:$U268,'changes2_based on steps'!$B$1:$U$1,H$1)</f>
        <v>0</v>
      </c>
      <c r="I268" s="179">
        <f>SUMIFS('recurring2_based on steps'!$B268:$AY268,'recurring2_based on steps'!$B$1:$AY$1,I$1)+SUMIFS('changes2_based on steps'!$B268:$U268,'changes2_based on steps'!$B$1:$U$1,I$1)</f>
        <v>0</v>
      </c>
      <c r="J268" s="179">
        <f>SUMIFS('recurring2_based on steps'!$B268:$AY268,'recurring2_based on steps'!$B$1:$AY$1,J$1)+SUMIFS('changes2_based on steps'!$B268:$U268,'changes2_based on steps'!$B$1:$U$1,J$1)</f>
        <v>0</v>
      </c>
      <c r="K268" s="179">
        <f>SUMIFS('recurring2_based on steps'!$B268:$AY268,'recurring2_based on steps'!$B$1:$AY$1,K$1)+SUMIFS('changes2_based on steps'!$B268:$U268,'changes2_based on steps'!$B$1:$U$1,K$1)</f>
        <v>0</v>
      </c>
      <c r="L268" s="179">
        <f>SUMIFS('recurring2_based on steps'!$B268:$AY268,'recurring2_based on steps'!$B$1:$AY$1,L$1)+SUMIFS('changes2_based on steps'!$B268:$U268,'changes2_based on steps'!$B$1:$U$1,L$1)</f>
        <v>0</v>
      </c>
      <c r="M268" s="179">
        <f>SUMIFS('recurring2_based on steps'!$B268:$AY268,'recurring2_based on steps'!$B$1:$AY$1,M$1)+SUMIFS('changes2_based on steps'!$B268:$U268,'changes2_based on steps'!$B$1:$U$1,M$1)</f>
        <v>0</v>
      </c>
      <c r="N268" s="179">
        <f>SUMIFS('recurring2_based on steps'!$B268:$AY268,'recurring2_based on steps'!$B$1:$AY$1,N$1)+SUMIFS('changes2_based on steps'!$B268:$U268,'changes2_based on steps'!$B$1:$U$1,N$1)</f>
        <v>0</v>
      </c>
      <c r="O268" s="179">
        <f>SUMIFS('recurring2_based on steps'!$B268:$AY268,'recurring2_based on steps'!$B$1:$AY$1,O$1)+SUMIFS('changes2_based on steps'!$B268:$U268,'changes2_based on steps'!$B$1:$U$1,O$1)</f>
        <v>0</v>
      </c>
      <c r="P268" s="179">
        <f>SUMIFS('recurring2_based on steps'!$B268:$AY268,'recurring2_based on steps'!$B$1:$AY$1,P$1)+SUMIFS('changes2_based on steps'!$B268:$U268,'changes2_based on steps'!$B$1:$U$1,P$1)</f>
        <v>0</v>
      </c>
      <c r="Q268" s="179">
        <f>SUMIFS('recurring2_based on steps'!$B268:$AY268,'recurring2_based on steps'!$B$1:$AY$1,Q$1)+SUMIFS('changes2_based on steps'!$B268:$U268,'changes2_based on steps'!$B$1:$U$1,Q$1)</f>
        <v>0</v>
      </c>
      <c r="R268" s="179">
        <f>SUMIFS('recurring2_based on steps'!$B268:$AY268,'recurring2_based on steps'!$B$1:$AY$1,R$1)+SUMIFS('changes2_based on steps'!$B268:$U268,'changes2_based on steps'!$B$1:$U$1,R$1)</f>
        <v>0</v>
      </c>
      <c r="S268" s="179">
        <f>SUMIFS('recurring2_based on steps'!$B268:$AY268,'recurring2_based on steps'!$B$1:$AY$1,S$1)+SUMIFS('changes2_based on steps'!$B268:$U268,'changes2_based on steps'!$B$1:$U$1,S$1)</f>
        <v>0</v>
      </c>
      <c r="T268" s="179">
        <f>SUMIFS('recurring2_based on steps'!$B268:$AY268,'recurring2_based on steps'!$B$1:$AY$1,T$1)+SUMIFS('changes2_based on steps'!$B268:$U268,'changes2_based on steps'!$B$1:$U$1,T$1)</f>
        <v>0</v>
      </c>
      <c r="U268" s="179">
        <f>SUMIFS('recurring2_based on steps'!$B268:$AY268,'recurring2_based on steps'!$B$1:$AY$1,U$1)+SUMIFS('changes2_based on steps'!$B268:$U268,'changes2_based on steps'!$B$1:$U$1,U$1)</f>
        <v>0</v>
      </c>
      <c r="V268" s="179">
        <f>SUMIFS('recurring2_based on steps'!$B268:$AY268,'recurring2_based on steps'!$B$1:$AY$1,V$1)+SUMIFS('changes2_based on steps'!$B268:$U268,'changes2_based on steps'!$B$1:$U$1,V$1)</f>
        <v>0</v>
      </c>
      <c r="W268" s="179">
        <f>SUMIFS('recurring2_based on steps'!$B268:$AY268,'recurring2_based on steps'!$B$1:$AY$1,W$1)+SUMIFS('changes2_based on steps'!$B268:$U268,'changes2_based on steps'!$B$1:$U$1,W$1)</f>
        <v>0</v>
      </c>
      <c r="X268" s="179">
        <f>SUMIFS('recurring2_based on steps'!$B268:$AY268,'recurring2_based on steps'!$B$1:$AY$1,X$1)+SUMIFS('changes2_based on steps'!$B268:$U268,'changes2_based on steps'!$B$1:$U$1,X$1)</f>
        <v>0</v>
      </c>
      <c r="Y268" s="179">
        <f>SUMIFS('recurring2_based on steps'!$B268:$AY268,'recurring2_based on steps'!$B$1:$AY$1,Y$1)+SUMIFS('changes2_based on steps'!$B268:$U268,'changes2_based on steps'!$B$1:$U$1,Y$1)</f>
        <v>0</v>
      </c>
      <c r="Z268" s="179">
        <f>SUMIFS('recurring2_based on steps'!$B268:$AY268,'recurring2_based on steps'!$B$1:$AY$1,Z$1)+SUMIFS('changes2_based on steps'!$B268:$U268,'changes2_based on steps'!$B$1:$U$1,Z$1)</f>
        <v>0</v>
      </c>
      <c r="AA268" s="179">
        <f>SUMIFS('recurring2_based on steps'!$B268:$AY268,'recurring2_based on steps'!$B$1:$AY$1,AA$1)+SUMIFS('changes2_based on steps'!$B268:$U268,'changes2_based on steps'!$B$1:$U$1,AA$1)</f>
        <v>0</v>
      </c>
      <c r="AB268" s="179">
        <f>SUMIFS('recurring2_based on steps'!$B268:$AY268,'recurring2_based on steps'!$B$1:$AY$1,AB$1)+SUMIFS('changes2_based on steps'!$B268:$U268,'changes2_based on steps'!$B$1:$U$1,AB$1)</f>
        <v>0</v>
      </c>
      <c r="AC268" s="179">
        <f>SUMIFS('recurring2_based on steps'!$B268:$AY268,'recurring2_based on steps'!$B$1:$AY$1,AC$1)+SUMIFS('changes2_based on steps'!$B268:$U268,'changes2_based on steps'!$B$1:$U$1,AC$1)</f>
        <v>0</v>
      </c>
      <c r="AD268" s="179">
        <f>SUMIFS('recurring2_based on steps'!$B268:$AY268,'recurring2_based on steps'!$B$1:$AY$1,AD$1)+SUMIFS('changes2_based on steps'!$B268:$U268,'changes2_based on steps'!$B$1:$U$1,AD$1)</f>
        <v>0</v>
      </c>
      <c r="AE268" s="179">
        <f>SUMIFS('recurring2_based on steps'!$B268:$AY268,'recurring2_based on steps'!$B$1:$AY$1,AE$1)+SUMIFS('changes2_based on steps'!$B268:$U268,'changes2_based on steps'!$B$1:$U$1,AE$1)</f>
        <v>0</v>
      </c>
      <c r="AF268" s="179"/>
      <c r="AG268" s="179"/>
      <c r="AH268" s="179"/>
      <c r="AI268" s="179"/>
      <c r="AJ268" s="179"/>
      <c r="AK268" s="179"/>
      <c r="AL268" s="179"/>
      <c r="AM268" s="179"/>
    </row>
    <row r="269" spans="1:39" x14ac:dyDescent="0.2">
      <c r="A269" s="32">
        <f t="shared" ca="1" si="4"/>
        <v>46011</v>
      </c>
      <c r="B269" s="179">
        <f>SUMIFS('recurring2_based on steps'!$B269:$AY269,'recurring2_based on steps'!$B$1:$AY$1,B$1)+SUMIFS('changes2_based on steps'!$B269:$U269,'changes2_based on steps'!$B$1:$U$1,B$1)</f>
        <v>0</v>
      </c>
      <c r="C269" s="179">
        <f>SUMIFS('recurring2_based on steps'!$B269:$AY269,'recurring2_based on steps'!$B$1:$AY$1,C$1)+SUMIFS('changes2_based on steps'!$B269:$U269,'changes2_based on steps'!$B$1:$U$1,C$1)</f>
        <v>0</v>
      </c>
      <c r="D269" s="179">
        <f>SUMIFS('recurring2_based on steps'!$B269:$AY269,'recurring2_based on steps'!$B$1:$AY$1,D$1)+SUMIFS('changes2_based on steps'!$B269:$U269,'changes2_based on steps'!$B$1:$U$1,D$1)</f>
        <v>0</v>
      </c>
      <c r="E269" s="179">
        <f>SUMIFS('recurring2_based on steps'!$B269:$AY269,'recurring2_based on steps'!$B$1:$AY$1,E$1)+SUMIFS('changes2_based on steps'!$B269:$U269,'changes2_based on steps'!$B$1:$U$1,E$1)</f>
        <v>0</v>
      </c>
      <c r="F269" s="179">
        <f>SUMIFS('recurring2_based on steps'!$B269:$AY269,'recurring2_based on steps'!$B$1:$AY$1,F$1)+SUMIFS('changes2_based on steps'!$B269:$U269,'changes2_based on steps'!$B$1:$U$1,F$1)</f>
        <v>0</v>
      </c>
      <c r="G269" s="179">
        <f>SUMIFS('recurring2_based on steps'!$B269:$AY269,'recurring2_based on steps'!$B$1:$AY$1,G$1)+SUMIFS('changes2_based on steps'!$B269:$U269,'changes2_based on steps'!$B$1:$U$1,G$1)</f>
        <v>0</v>
      </c>
      <c r="H269" s="179">
        <f>SUMIFS('recurring2_based on steps'!$B269:$AY269,'recurring2_based on steps'!$B$1:$AY$1,H$1)+SUMIFS('changes2_based on steps'!$B269:$U269,'changes2_based on steps'!$B$1:$U$1,H$1)</f>
        <v>0</v>
      </c>
      <c r="I269" s="179">
        <f>SUMIFS('recurring2_based on steps'!$B269:$AY269,'recurring2_based on steps'!$B$1:$AY$1,I$1)+SUMIFS('changes2_based on steps'!$B269:$U269,'changes2_based on steps'!$B$1:$U$1,I$1)</f>
        <v>0</v>
      </c>
      <c r="J269" s="179">
        <f>SUMIFS('recurring2_based on steps'!$B269:$AY269,'recurring2_based on steps'!$B$1:$AY$1,J$1)+SUMIFS('changes2_based on steps'!$B269:$U269,'changes2_based on steps'!$B$1:$U$1,J$1)</f>
        <v>0</v>
      </c>
      <c r="K269" s="179">
        <f>SUMIFS('recurring2_based on steps'!$B269:$AY269,'recurring2_based on steps'!$B$1:$AY$1,K$1)+SUMIFS('changes2_based on steps'!$B269:$U269,'changes2_based on steps'!$B$1:$U$1,K$1)</f>
        <v>0</v>
      </c>
      <c r="L269" s="179">
        <f>SUMIFS('recurring2_based on steps'!$B269:$AY269,'recurring2_based on steps'!$B$1:$AY$1,L$1)+SUMIFS('changes2_based on steps'!$B269:$U269,'changes2_based on steps'!$B$1:$U$1,L$1)</f>
        <v>0</v>
      </c>
      <c r="M269" s="179">
        <f>SUMIFS('recurring2_based on steps'!$B269:$AY269,'recurring2_based on steps'!$B$1:$AY$1,M$1)+SUMIFS('changes2_based on steps'!$B269:$U269,'changes2_based on steps'!$B$1:$U$1,M$1)</f>
        <v>0</v>
      </c>
      <c r="N269" s="179">
        <f>SUMIFS('recurring2_based on steps'!$B269:$AY269,'recurring2_based on steps'!$B$1:$AY$1,N$1)+SUMIFS('changes2_based on steps'!$B269:$U269,'changes2_based on steps'!$B$1:$U$1,N$1)</f>
        <v>0</v>
      </c>
      <c r="O269" s="179">
        <f>SUMIFS('recurring2_based on steps'!$B269:$AY269,'recurring2_based on steps'!$B$1:$AY$1,O$1)+SUMIFS('changes2_based on steps'!$B269:$U269,'changes2_based on steps'!$B$1:$U$1,O$1)</f>
        <v>0</v>
      </c>
      <c r="P269" s="179">
        <f>SUMIFS('recurring2_based on steps'!$B269:$AY269,'recurring2_based on steps'!$B$1:$AY$1,P$1)+SUMIFS('changes2_based on steps'!$B269:$U269,'changes2_based on steps'!$B$1:$U$1,P$1)</f>
        <v>0</v>
      </c>
      <c r="Q269" s="179">
        <f>SUMIFS('recurring2_based on steps'!$B269:$AY269,'recurring2_based on steps'!$B$1:$AY$1,Q$1)+SUMIFS('changes2_based on steps'!$B269:$U269,'changes2_based on steps'!$B$1:$U$1,Q$1)</f>
        <v>0</v>
      </c>
      <c r="R269" s="179">
        <f>SUMIFS('recurring2_based on steps'!$B269:$AY269,'recurring2_based on steps'!$B$1:$AY$1,R$1)+SUMIFS('changes2_based on steps'!$B269:$U269,'changes2_based on steps'!$B$1:$U$1,R$1)</f>
        <v>0</v>
      </c>
      <c r="S269" s="179">
        <f>SUMIFS('recurring2_based on steps'!$B269:$AY269,'recurring2_based on steps'!$B$1:$AY$1,S$1)+SUMIFS('changes2_based on steps'!$B269:$U269,'changes2_based on steps'!$B$1:$U$1,S$1)</f>
        <v>0</v>
      </c>
      <c r="T269" s="179">
        <f>SUMIFS('recurring2_based on steps'!$B269:$AY269,'recurring2_based on steps'!$B$1:$AY$1,T$1)+SUMIFS('changes2_based on steps'!$B269:$U269,'changes2_based on steps'!$B$1:$U$1,T$1)</f>
        <v>0</v>
      </c>
      <c r="U269" s="179">
        <f>SUMIFS('recurring2_based on steps'!$B269:$AY269,'recurring2_based on steps'!$B$1:$AY$1,U$1)+SUMIFS('changes2_based on steps'!$B269:$U269,'changes2_based on steps'!$B$1:$U$1,U$1)</f>
        <v>0</v>
      </c>
      <c r="V269" s="179">
        <f>SUMIFS('recurring2_based on steps'!$B269:$AY269,'recurring2_based on steps'!$B$1:$AY$1,V$1)+SUMIFS('changes2_based on steps'!$B269:$U269,'changes2_based on steps'!$B$1:$U$1,V$1)</f>
        <v>0</v>
      </c>
      <c r="W269" s="179">
        <f>SUMIFS('recurring2_based on steps'!$B269:$AY269,'recurring2_based on steps'!$B$1:$AY$1,W$1)+SUMIFS('changes2_based on steps'!$B269:$U269,'changes2_based on steps'!$B$1:$U$1,W$1)</f>
        <v>0</v>
      </c>
      <c r="X269" s="179">
        <f>SUMIFS('recurring2_based on steps'!$B269:$AY269,'recurring2_based on steps'!$B$1:$AY$1,X$1)+SUMIFS('changes2_based on steps'!$B269:$U269,'changes2_based on steps'!$B$1:$U$1,X$1)</f>
        <v>0</v>
      </c>
      <c r="Y269" s="179">
        <f>SUMIFS('recurring2_based on steps'!$B269:$AY269,'recurring2_based on steps'!$B$1:$AY$1,Y$1)+SUMIFS('changes2_based on steps'!$B269:$U269,'changes2_based on steps'!$B$1:$U$1,Y$1)</f>
        <v>0</v>
      </c>
      <c r="Z269" s="179">
        <f>SUMIFS('recurring2_based on steps'!$B269:$AY269,'recurring2_based on steps'!$B$1:$AY$1,Z$1)+SUMIFS('changes2_based on steps'!$B269:$U269,'changes2_based on steps'!$B$1:$U$1,Z$1)</f>
        <v>0</v>
      </c>
      <c r="AA269" s="179">
        <f>SUMIFS('recurring2_based on steps'!$B269:$AY269,'recurring2_based on steps'!$B$1:$AY$1,AA$1)+SUMIFS('changes2_based on steps'!$B269:$U269,'changes2_based on steps'!$B$1:$U$1,AA$1)</f>
        <v>0</v>
      </c>
      <c r="AB269" s="179">
        <f>SUMIFS('recurring2_based on steps'!$B269:$AY269,'recurring2_based on steps'!$B$1:$AY$1,AB$1)+SUMIFS('changes2_based on steps'!$B269:$U269,'changes2_based on steps'!$B$1:$U$1,AB$1)</f>
        <v>0</v>
      </c>
      <c r="AC269" s="179">
        <f>SUMIFS('recurring2_based on steps'!$B269:$AY269,'recurring2_based on steps'!$B$1:$AY$1,AC$1)+SUMIFS('changes2_based on steps'!$B269:$U269,'changes2_based on steps'!$B$1:$U$1,AC$1)</f>
        <v>0</v>
      </c>
      <c r="AD269" s="179">
        <f>SUMIFS('recurring2_based on steps'!$B269:$AY269,'recurring2_based on steps'!$B$1:$AY$1,AD$1)+SUMIFS('changes2_based on steps'!$B269:$U269,'changes2_based on steps'!$B$1:$U$1,AD$1)</f>
        <v>0</v>
      </c>
      <c r="AE269" s="179">
        <f>SUMIFS('recurring2_based on steps'!$B269:$AY269,'recurring2_based on steps'!$B$1:$AY$1,AE$1)+SUMIFS('changes2_based on steps'!$B269:$U269,'changes2_based on steps'!$B$1:$U$1,AE$1)</f>
        <v>0</v>
      </c>
      <c r="AF269" s="179"/>
      <c r="AG269" s="179"/>
      <c r="AH269" s="179"/>
      <c r="AI269" s="179"/>
      <c r="AJ269" s="179"/>
      <c r="AK269" s="179"/>
      <c r="AL269" s="179"/>
      <c r="AM269" s="179"/>
    </row>
    <row r="270" spans="1:39" x14ac:dyDescent="0.2">
      <c r="A270" s="32">
        <f t="shared" ca="1" si="4"/>
        <v>46012</v>
      </c>
      <c r="B270" s="179">
        <f>SUMIFS('recurring2_based on steps'!$B270:$AY270,'recurring2_based on steps'!$B$1:$AY$1,B$1)+SUMIFS('changes2_based on steps'!$B270:$U270,'changes2_based on steps'!$B$1:$U$1,B$1)</f>
        <v>0</v>
      </c>
      <c r="C270" s="179">
        <f>SUMIFS('recurring2_based on steps'!$B270:$AY270,'recurring2_based on steps'!$B$1:$AY$1,C$1)+SUMIFS('changes2_based on steps'!$B270:$U270,'changes2_based on steps'!$B$1:$U$1,C$1)</f>
        <v>0</v>
      </c>
      <c r="D270" s="179">
        <f>SUMIFS('recurring2_based on steps'!$B270:$AY270,'recurring2_based on steps'!$B$1:$AY$1,D$1)+SUMIFS('changes2_based on steps'!$B270:$U270,'changes2_based on steps'!$B$1:$U$1,D$1)</f>
        <v>0</v>
      </c>
      <c r="E270" s="179">
        <f>SUMIFS('recurring2_based on steps'!$B270:$AY270,'recurring2_based on steps'!$B$1:$AY$1,E$1)+SUMIFS('changes2_based on steps'!$B270:$U270,'changes2_based on steps'!$B$1:$U$1,E$1)</f>
        <v>0</v>
      </c>
      <c r="F270" s="179">
        <f>SUMIFS('recurring2_based on steps'!$B270:$AY270,'recurring2_based on steps'!$B$1:$AY$1,F$1)+SUMIFS('changes2_based on steps'!$B270:$U270,'changes2_based on steps'!$B$1:$U$1,F$1)</f>
        <v>0</v>
      </c>
      <c r="G270" s="179">
        <f>SUMIFS('recurring2_based on steps'!$B270:$AY270,'recurring2_based on steps'!$B$1:$AY$1,G$1)+SUMIFS('changes2_based on steps'!$B270:$U270,'changes2_based on steps'!$B$1:$U$1,G$1)</f>
        <v>0</v>
      </c>
      <c r="H270" s="179">
        <f>SUMIFS('recurring2_based on steps'!$B270:$AY270,'recurring2_based on steps'!$B$1:$AY$1,H$1)+SUMIFS('changes2_based on steps'!$B270:$U270,'changes2_based on steps'!$B$1:$U$1,H$1)</f>
        <v>0</v>
      </c>
      <c r="I270" s="179">
        <f>SUMIFS('recurring2_based on steps'!$B270:$AY270,'recurring2_based on steps'!$B$1:$AY$1,I$1)+SUMIFS('changes2_based on steps'!$B270:$U270,'changes2_based on steps'!$B$1:$U$1,I$1)</f>
        <v>0</v>
      </c>
      <c r="J270" s="179">
        <f>SUMIFS('recurring2_based on steps'!$B270:$AY270,'recurring2_based on steps'!$B$1:$AY$1,J$1)+SUMIFS('changes2_based on steps'!$B270:$U270,'changes2_based on steps'!$B$1:$U$1,J$1)</f>
        <v>0</v>
      </c>
      <c r="K270" s="179">
        <f>SUMIFS('recurring2_based on steps'!$B270:$AY270,'recurring2_based on steps'!$B$1:$AY$1,K$1)+SUMIFS('changes2_based on steps'!$B270:$U270,'changes2_based on steps'!$B$1:$U$1,K$1)</f>
        <v>0</v>
      </c>
      <c r="L270" s="179">
        <f>SUMIFS('recurring2_based on steps'!$B270:$AY270,'recurring2_based on steps'!$B$1:$AY$1,L$1)+SUMIFS('changes2_based on steps'!$B270:$U270,'changes2_based on steps'!$B$1:$U$1,L$1)</f>
        <v>0</v>
      </c>
      <c r="M270" s="179">
        <f>SUMIFS('recurring2_based on steps'!$B270:$AY270,'recurring2_based on steps'!$B$1:$AY$1,M$1)+SUMIFS('changes2_based on steps'!$B270:$U270,'changes2_based on steps'!$B$1:$U$1,M$1)</f>
        <v>0</v>
      </c>
      <c r="N270" s="179">
        <f>SUMIFS('recurring2_based on steps'!$B270:$AY270,'recurring2_based on steps'!$B$1:$AY$1,N$1)+SUMIFS('changes2_based on steps'!$B270:$U270,'changes2_based on steps'!$B$1:$U$1,N$1)</f>
        <v>0</v>
      </c>
      <c r="O270" s="179">
        <f>SUMIFS('recurring2_based on steps'!$B270:$AY270,'recurring2_based on steps'!$B$1:$AY$1,O$1)+SUMIFS('changes2_based on steps'!$B270:$U270,'changes2_based on steps'!$B$1:$U$1,O$1)</f>
        <v>0</v>
      </c>
      <c r="P270" s="179">
        <f>SUMIFS('recurring2_based on steps'!$B270:$AY270,'recurring2_based on steps'!$B$1:$AY$1,P$1)+SUMIFS('changes2_based on steps'!$B270:$U270,'changes2_based on steps'!$B$1:$U$1,P$1)</f>
        <v>0</v>
      </c>
      <c r="Q270" s="179">
        <f>SUMIFS('recurring2_based on steps'!$B270:$AY270,'recurring2_based on steps'!$B$1:$AY$1,Q$1)+SUMIFS('changes2_based on steps'!$B270:$U270,'changes2_based on steps'!$B$1:$U$1,Q$1)</f>
        <v>0</v>
      </c>
      <c r="R270" s="179">
        <f>SUMIFS('recurring2_based on steps'!$B270:$AY270,'recurring2_based on steps'!$B$1:$AY$1,R$1)+SUMIFS('changes2_based on steps'!$B270:$U270,'changes2_based on steps'!$B$1:$U$1,R$1)</f>
        <v>0</v>
      </c>
      <c r="S270" s="179">
        <f>SUMIFS('recurring2_based on steps'!$B270:$AY270,'recurring2_based on steps'!$B$1:$AY$1,S$1)+SUMIFS('changes2_based on steps'!$B270:$U270,'changes2_based on steps'!$B$1:$U$1,S$1)</f>
        <v>0</v>
      </c>
      <c r="T270" s="179">
        <f>SUMIFS('recurring2_based on steps'!$B270:$AY270,'recurring2_based on steps'!$B$1:$AY$1,T$1)+SUMIFS('changes2_based on steps'!$B270:$U270,'changes2_based on steps'!$B$1:$U$1,T$1)</f>
        <v>0</v>
      </c>
      <c r="U270" s="179">
        <f>SUMIFS('recurring2_based on steps'!$B270:$AY270,'recurring2_based on steps'!$B$1:$AY$1,U$1)+SUMIFS('changes2_based on steps'!$B270:$U270,'changes2_based on steps'!$B$1:$U$1,U$1)</f>
        <v>0</v>
      </c>
      <c r="V270" s="179">
        <f>SUMIFS('recurring2_based on steps'!$B270:$AY270,'recurring2_based on steps'!$B$1:$AY$1,V$1)+SUMIFS('changes2_based on steps'!$B270:$U270,'changes2_based on steps'!$B$1:$U$1,V$1)</f>
        <v>0</v>
      </c>
      <c r="W270" s="179">
        <f>SUMIFS('recurring2_based on steps'!$B270:$AY270,'recurring2_based on steps'!$B$1:$AY$1,W$1)+SUMIFS('changes2_based on steps'!$B270:$U270,'changes2_based on steps'!$B$1:$U$1,W$1)</f>
        <v>0</v>
      </c>
      <c r="X270" s="179">
        <f>SUMIFS('recurring2_based on steps'!$B270:$AY270,'recurring2_based on steps'!$B$1:$AY$1,X$1)+SUMIFS('changes2_based on steps'!$B270:$U270,'changes2_based on steps'!$B$1:$U$1,X$1)</f>
        <v>0</v>
      </c>
      <c r="Y270" s="179">
        <f>SUMIFS('recurring2_based on steps'!$B270:$AY270,'recurring2_based on steps'!$B$1:$AY$1,Y$1)+SUMIFS('changes2_based on steps'!$B270:$U270,'changes2_based on steps'!$B$1:$U$1,Y$1)</f>
        <v>0</v>
      </c>
      <c r="Z270" s="179">
        <f>SUMIFS('recurring2_based on steps'!$B270:$AY270,'recurring2_based on steps'!$B$1:$AY$1,Z$1)+SUMIFS('changes2_based on steps'!$B270:$U270,'changes2_based on steps'!$B$1:$U$1,Z$1)</f>
        <v>0</v>
      </c>
      <c r="AA270" s="179">
        <f>SUMIFS('recurring2_based on steps'!$B270:$AY270,'recurring2_based on steps'!$B$1:$AY$1,AA$1)+SUMIFS('changes2_based on steps'!$B270:$U270,'changes2_based on steps'!$B$1:$U$1,AA$1)</f>
        <v>0</v>
      </c>
      <c r="AB270" s="179">
        <f>SUMIFS('recurring2_based on steps'!$B270:$AY270,'recurring2_based on steps'!$B$1:$AY$1,AB$1)+SUMIFS('changes2_based on steps'!$B270:$U270,'changes2_based on steps'!$B$1:$U$1,AB$1)</f>
        <v>0</v>
      </c>
      <c r="AC270" s="179">
        <f>SUMIFS('recurring2_based on steps'!$B270:$AY270,'recurring2_based on steps'!$B$1:$AY$1,AC$1)+SUMIFS('changes2_based on steps'!$B270:$U270,'changes2_based on steps'!$B$1:$U$1,AC$1)</f>
        <v>0</v>
      </c>
      <c r="AD270" s="179">
        <f>SUMIFS('recurring2_based on steps'!$B270:$AY270,'recurring2_based on steps'!$B$1:$AY$1,AD$1)+SUMIFS('changes2_based on steps'!$B270:$U270,'changes2_based on steps'!$B$1:$U$1,AD$1)</f>
        <v>0</v>
      </c>
      <c r="AE270" s="179">
        <f>SUMIFS('recurring2_based on steps'!$B270:$AY270,'recurring2_based on steps'!$B$1:$AY$1,AE$1)+SUMIFS('changes2_based on steps'!$B270:$U270,'changes2_based on steps'!$B$1:$U$1,AE$1)</f>
        <v>0</v>
      </c>
      <c r="AF270" s="179"/>
      <c r="AG270" s="179"/>
      <c r="AH270" s="179"/>
      <c r="AI270" s="179"/>
      <c r="AJ270" s="179"/>
      <c r="AK270" s="179"/>
      <c r="AL270" s="179"/>
      <c r="AM270" s="179"/>
    </row>
    <row r="271" spans="1:39" x14ac:dyDescent="0.2">
      <c r="A271" s="32">
        <f t="shared" ca="1" si="4"/>
        <v>46013</v>
      </c>
      <c r="B271" s="179">
        <f>SUMIFS('recurring2_based on steps'!$B271:$AY271,'recurring2_based on steps'!$B$1:$AY$1,B$1)+SUMIFS('changes2_based on steps'!$B271:$U271,'changes2_based on steps'!$B$1:$U$1,B$1)</f>
        <v>0</v>
      </c>
      <c r="C271" s="179">
        <f>SUMIFS('recurring2_based on steps'!$B271:$AY271,'recurring2_based on steps'!$B$1:$AY$1,C$1)+SUMIFS('changes2_based on steps'!$B271:$U271,'changes2_based on steps'!$B$1:$U$1,C$1)</f>
        <v>0</v>
      </c>
      <c r="D271" s="179">
        <f>SUMIFS('recurring2_based on steps'!$B271:$AY271,'recurring2_based on steps'!$B$1:$AY$1,D$1)+SUMIFS('changes2_based on steps'!$B271:$U271,'changes2_based on steps'!$B$1:$U$1,D$1)</f>
        <v>0</v>
      </c>
      <c r="E271" s="179">
        <f>SUMIFS('recurring2_based on steps'!$B271:$AY271,'recurring2_based on steps'!$B$1:$AY$1,E$1)+SUMIFS('changes2_based on steps'!$B271:$U271,'changes2_based on steps'!$B$1:$U$1,E$1)</f>
        <v>0</v>
      </c>
      <c r="F271" s="179">
        <f>SUMIFS('recurring2_based on steps'!$B271:$AY271,'recurring2_based on steps'!$B$1:$AY$1,F$1)+SUMIFS('changes2_based on steps'!$B271:$U271,'changes2_based on steps'!$B$1:$U$1,F$1)</f>
        <v>0</v>
      </c>
      <c r="G271" s="179">
        <f>SUMIFS('recurring2_based on steps'!$B271:$AY271,'recurring2_based on steps'!$B$1:$AY$1,G$1)+SUMIFS('changes2_based on steps'!$B271:$U271,'changes2_based on steps'!$B$1:$U$1,G$1)</f>
        <v>0</v>
      </c>
      <c r="H271" s="179">
        <f>SUMIFS('recurring2_based on steps'!$B271:$AY271,'recurring2_based on steps'!$B$1:$AY$1,H$1)+SUMIFS('changes2_based on steps'!$B271:$U271,'changes2_based on steps'!$B$1:$U$1,H$1)</f>
        <v>0</v>
      </c>
      <c r="I271" s="179">
        <f>SUMIFS('recurring2_based on steps'!$B271:$AY271,'recurring2_based on steps'!$B$1:$AY$1,I$1)+SUMIFS('changes2_based on steps'!$B271:$U271,'changes2_based on steps'!$B$1:$U$1,I$1)</f>
        <v>0</v>
      </c>
      <c r="J271" s="179">
        <f>SUMIFS('recurring2_based on steps'!$B271:$AY271,'recurring2_based on steps'!$B$1:$AY$1,J$1)+SUMIFS('changes2_based on steps'!$B271:$U271,'changes2_based on steps'!$B$1:$U$1,J$1)</f>
        <v>0</v>
      </c>
      <c r="K271" s="179">
        <f>SUMIFS('recurring2_based on steps'!$B271:$AY271,'recurring2_based on steps'!$B$1:$AY$1,K$1)+SUMIFS('changes2_based on steps'!$B271:$U271,'changes2_based on steps'!$B$1:$U$1,K$1)</f>
        <v>0</v>
      </c>
      <c r="L271" s="179">
        <f>SUMIFS('recurring2_based on steps'!$B271:$AY271,'recurring2_based on steps'!$B$1:$AY$1,L$1)+SUMIFS('changes2_based on steps'!$B271:$U271,'changes2_based on steps'!$B$1:$U$1,L$1)</f>
        <v>0</v>
      </c>
      <c r="M271" s="179">
        <f>SUMIFS('recurring2_based on steps'!$B271:$AY271,'recurring2_based on steps'!$B$1:$AY$1,M$1)+SUMIFS('changes2_based on steps'!$B271:$U271,'changes2_based on steps'!$B$1:$U$1,M$1)</f>
        <v>0</v>
      </c>
      <c r="N271" s="179">
        <f>SUMIFS('recurring2_based on steps'!$B271:$AY271,'recurring2_based on steps'!$B$1:$AY$1,N$1)+SUMIFS('changes2_based on steps'!$B271:$U271,'changes2_based on steps'!$B$1:$U$1,N$1)</f>
        <v>0</v>
      </c>
      <c r="O271" s="179">
        <f>SUMIFS('recurring2_based on steps'!$B271:$AY271,'recurring2_based on steps'!$B$1:$AY$1,O$1)+SUMIFS('changes2_based on steps'!$B271:$U271,'changes2_based on steps'!$B$1:$U$1,O$1)</f>
        <v>0</v>
      </c>
      <c r="P271" s="179">
        <f>SUMIFS('recurring2_based on steps'!$B271:$AY271,'recurring2_based on steps'!$B$1:$AY$1,P$1)+SUMIFS('changes2_based on steps'!$B271:$U271,'changes2_based on steps'!$B$1:$U$1,P$1)</f>
        <v>0</v>
      </c>
      <c r="Q271" s="179">
        <f>SUMIFS('recurring2_based on steps'!$B271:$AY271,'recurring2_based on steps'!$B$1:$AY$1,Q$1)+SUMIFS('changes2_based on steps'!$B271:$U271,'changes2_based on steps'!$B$1:$U$1,Q$1)</f>
        <v>0</v>
      </c>
      <c r="R271" s="179">
        <f>SUMIFS('recurring2_based on steps'!$B271:$AY271,'recurring2_based on steps'!$B$1:$AY$1,R$1)+SUMIFS('changes2_based on steps'!$B271:$U271,'changes2_based on steps'!$B$1:$U$1,R$1)</f>
        <v>0</v>
      </c>
      <c r="S271" s="179">
        <f>SUMIFS('recurring2_based on steps'!$B271:$AY271,'recurring2_based on steps'!$B$1:$AY$1,S$1)+SUMIFS('changes2_based on steps'!$B271:$U271,'changes2_based on steps'!$B$1:$U$1,S$1)</f>
        <v>0</v>
      </c>
      <c r="T271" s="179">
        <f>SUMIFS('recurring2_based on steps'!$B271:$AY271,'recurring2_based on steps'!$B$1:$AY$1,T$1)+SUMIFS('changes2_based on steps'!$B271:$U271,'changes2_based on steps'!$B$1:$U$1,T$1)</f>
        <v>0</v>
      </c>
      <c r="U271" s="179">
        <f>SUMIFS('recurring2_based on steps'!$B271:$AY271,'recurring2_based on steps'!$B$1:$AY$1,U$1)+SUMIFS('changes2_based on steps'!$B271:$U271,'changes2_based on steps'!$B$1:$U$1,U$1)</f>
        <v>0</v>
      </c>
      <c r="V271" s="179">
        <f>SUMIFS('recurring2_based on steps'!$B271:$AY271,'recurring2_based on steps'!$B$1:$AY$1,V$1)+SUMIFS('changes2_based on steps'!$B271:$U271,'changes2_based on steps'!$B$1:$U$1,V$1)</f>
        <v>0</v>
      </c>
      <c r="W271" s="179">
        <f>SUMIFS('recurring2_based on steps'!$B271:$AY271,'recurring2_based on steps'!$B$1:$AY$1,W$1)+SUMIFS('changes2_based on steps'!$B271:$U271,'changes2_based on steps'!$B$1:$U$1,W$1)</f>
        <v>0</v>
      </c>
      <c r="X271" s="179">
        <f>SUMIFS('recurring2_based on steps'!$B271:$AY271,'recurring2_based on steps'!$B$1:$AY$1,X$1)+SUMIFS('changes2_based on steps'!$B271:$U271,'changes2_based on steps'!$B$1:$U$1,X$1)</f>
        <v>0</v>
      </c>
      <c r="Y271" s="179">
        <f>SUMIFS('recurring2_based on steps'!$B271:$AY271,'recurring2_based on steps'!$B$1:$AY$1,Y$1)+SUMIFS('changes2_based on steps'!$B271:$U271,'changes2_based on steps'!$B$1:$U$1,Y$1)</f>
        <v>0</v>
      </c>
      <c r="Z271" s="179">
        <f>SUMIFS('recurring2_based on steps'!$B271:$AY271,'recurring2_based on steps'!$B$1:$AY$1,Z$1)+SUMIFS('changes2_based on steps'!$B271:$U271,'changes2_based on steps'!$B$1:$U$1,Z$1)</f>
        <v>0</v>
      </c>
      <c r="AA271" s="179">
        <f>SUMIFS('recurring2_based on steps'!$B271:$AY271,'recurring2_based on steps'!$B$1:$AY$1,AA$1)+SUMIFS('changes2_based on steps'!$B271:$U271,'changes2_based on steps'!$B$1:$U$1,AA$1)</f>
        <v>0</v>
      </c>
      <c r="AB271" s="179">
        <f>SUMIFS('recurring2_based on steps'!$B271:$AY271,'recurring2_based on steps'!$B$1:$AY$1,AB$1)+SUMIFS('changes2_based on steps'!$B271:$U271,'changes2_based on steps'!$B$1:$U$1,AB$1)</f>
        <v>0</v>
      </c>
      <c r="AC271" s="179">
        <f>SUMIFS('recurring2_based on steps'!$B271:$AY271,'recurring2_based on steps'!$B$1:$AY$1,AC$1)+SUMIFS('changes2_based on steps'!$B271:$U271,'changes2_based on steps'!$B$1:$U$1,AC$1)</f>
        <v>0</v>
      </c>
      <c r="AD271" s="179">
        <f>SUMIFS('recurring2_based on steps'!$B271:$AY271,'recurring2_based on steps'!$B$1:$AY$1,AD$1)+SUMIFS('changes2_based on steps'!$B271:$U271,'changes2_based on steps'!$B$1:$U$1,AD$1)</f>
        <v>0</v>
      </c>
      <c r="AE271" s="179">
        <f>SUMIFS('recurring2_based on steps'!$B271:$AY271,'recurring2_based on steps'!$B$1:$AY$1,AE$1)+SUMIFS('changes2_based on steps'!$B271:$U271,'changes2_based on steps'!$B$1:$U$1,AE$1)</f>
        <v>0</v>
      </c>
      <c r="AF271" s="179"/>
      <c r="AG271" s="179"/>
      <c r="AH271" s="179"/>
      <c r="AI271" s="179"/>
      <c r="AJ271" s="179"/>
      <c r="AK271" s="179"/>
      <c r="AL271" s="179"/>
      <c r="AM271" s="179"/>
    </row>
    <row r="272" spans="1:39" x14ac:dyDescent="0.2">
      <c r="A272" s="32">
        <f t="shared" ca="1" si="4"/>
        <v>46014</v>
      </c>
      <c r="B272" s="179">
        <f>SUMIFS('recurring2_based on steps'!$B272:$AY272,'recurring2_based on steps'!$B$1:$AY$1,B$1)+SUMIFS('changes2_based on steps'!$B272:$U272,'changes2_based on steps'!$B$1:$U$1,B$1)</f>
        <v>0</v>
      </c>
      <c r="C272" s="179">
        <f>SUMIFS('recurring2_based on steps'!$B272:$AY272,'recurring2_based on steps'!$B$1:$AY$1,C$1)+SUMIFS('changes2_based on steps'!$B272:$U272,'changes2_based on steps'!$B$1:$U$1,C$1)</f>
        <v>0</v>
      </c>
      <c r="D272" s="179">
        <f>SUMIFS('recurring2_based on steps'!$B272:$AY272,'recurring2_based on steps'!$B$1:$AY$1,D$1)+SUMIFS('changes2_based on steps'!$B272:$U272,'changes2_based on steps'!$B$1:$U$1,D$1)</f>
        <v>0</v>
      </c>
      <c r="E272" s="179">
        <f>SUMIFS('recurring2_based on steps'!$B272:$AY272,'recurring2_based on steps'!$B$1:$AY$1,E$1)+SUMIFS('changes2_based on steps'!$B272:$U272,'changes2_based on steps'!$B$1:$U$1,E$1)</f>
        <v>0</v>
      </c>
      <c r="F272" s="179">
        <f>SUMIFS('recurring2_based on steps'!$B272:$AY272,'recurring2_based on steps'!$B$1:$AY$1,F$1)+SUMIFS('changes2_based on steps'!$B272:$U272,'changes2_based on steps'!$B$1:$U$1,F$1)</f>
        <v>0</v>
      </c>
      <c r="G272" s="179">
        <f>SUMIFS('recurring2_based on steps'!$B272:$AY272,'recurring2_based on steps'!$B$1:$AY$1,G$1)+SUMIFS('changes2_based on steps'!$B272:$U272,'changes2_based on steps'!$B$1:$U$1,G$1)</f>
        <v>0</v>
      </c>
      <c r="H272" s="179">
        <f>SUMIFS('recurring2_based on steps'!$B272:$AY272,'recurring2_based on steps'!$B$1:$AY$1,H$1)+SUMIFS('changes2_based on steps'!$B272:$U272,'changes2_based on steps'!$B$1:$U$1,H$1)</f>
        <v>0</v>
      </c>
      <c r="I272" s="179">
        <f>SUMIFS('recurring2_based on steps'!$B272:$AY272,'recurring2_based on steps'!$B$1:$AY$1,I$1)+SUMIFS('changes2_based on steps'!$B272:$U272,'changes2_based on steps'!$B$1:$U$1,I$1)</f>
        <v>0</v>
      </c>
      <c r="J272" s="179">
        <f>SUMIFS('recurring2_based on steps'!$B272:$AY272,'recurring2_based on steps'!$B$1:$AY$1,J$1)+SUMIFS('changes2_based on steps'!$B272:$U272,'changes2_based on steps'!$B$1:$U$1,J$1)</f>
        <v>0</v>
      </c>
      <c r="K272" s="179">
        <f>SUMIFS('recurring2_based on steps'!$B272:$AY272,'recurring2_based on steps'!$B$1:$AY$1,K$1)+SUMIFS('changes2_based on steps'!$B272:$U272,'changes2_based on steps'!$B$1:$U$1,K$1)</f>
        <v>0</v>
      </c>
      <c r="L272" s="179">
        <f>SUMIFS('recurring2_based on steps'!$B272:$AY272,'recurring2_based on steps'!$B$1:$AY$1,L$1)+SUMIFS('changes2_based on steps'!$B272:$U272,'changes2_based on steps'!$B$1:$U$1,L$1)</f>
        <v>0</v>
      </c>
      <c r="M272" s="179">
        <f>SUMIFS('recurring2_based on steps'!$B272:$AY272,'recurring2_based on steps'!$B$1:$AY$1,M$1)+SUMIFS('changes2_based on steps'!$B272:$U272,'changes2_based on steps'!$B$1:$U$1,M$1)</f>
        <v>0</v>
      </c>
      <c r="N272" s="179">
        <f>SUMIFS('recurring2_based on steps'!$B272:$AY272,'recurring2_based on steps'!$B$1:$AY$1,N$1)+SUMIFS('changes2_based on steps'!$B272:$U272,'changes2_based on steps'!$B$1:$U$1,N$1)</f>
        <v>0</v>
      </c>
      <c r="O272" s="179">
        <f>SUMIFS('recurring2_based on steps'!$B272:$AY272,'recurring2_based on steps'!$B$1:$AY$1,O$1)+SUMIFS('changes2_based on steps'!$B272:$U272,'changes2_based on steps'!$B$1:$U$1,O$1)</f>
        <v>0</v>
      </c>
      <c r="P272" s="179">
        <f>SUMIFS('recurring2_based on steps'!$B272:$AY272,'recurring2_based on steps'!$B$1:$AY$1,P$1)+SUMIFS('changes2_based on steps'!$B272:$U272,'changes2_based on steps'!$B$1:$U$1,P$1)</f>
        <v>0</v>
      </c>
      <c r="Q272" s="179">
        <f>SUMIFS('recurring2_based on steps'!$B272:$AY272,'recurring2_based on steps'!$B$1:$AY$1,Q$1)+SUMIFS('changes2_based on steps'!$B272:$U272,'changes2_based on steps'!$B$1:$U$1,Q$1)</f>
        <v>0</v>
      </c>
      <c r="R272" s="179">
        <f>SUMIFS('recurring2_based on steps'!$B272:$AY272,'recurring2_based on steps'!$B$1:$AY$1,R$1)+SUMIFS('changes2_based on steps'!$B272:$U272,'changes2_based on steps'!$B$1:$U$1,R$1)</f>
        <v>0</v>
      </c>
      <c r="S272" s="179">
        <f>SUMIFS('recurring2_based on steps'!$B272:$AY272,'recurring2_based on steps'!$B$1:$AY$1,S$1)+SUMIFS('changes2_based on steps'!$B272:$U272,'changes2_based on steps'!$B$1:$U$1,S$1)</f>
        <v>0</v>
      </c>
      <c r="T272" s="179">
        <f>SUMIFS('recurring2_based on steps'!$B272:$AY272,'recurring2_based on steps'!$B$1:$AY$1,T$1)+SUMIFS('changes2_based on steps'!$B272:$U272,'changes2_based on steps'!$B$1:$U$1,T$1)</f>
        <v>0</v>
      </c>
      <c r="U272" s="179">
        <f>SUMIFS('recurring2_based on steps'!$B272:$AY272,'recurring2_based on steps'!$B$1:$AY$1,U$1)+SUMIFS('changes2_based on steps'!$B272:$U272,'changes2_based on steps'!$B$1:$U$1,U$1)</f>
        <v>0</v>
      </c>
      <c r="V272" s="179">
        <f>SUMIFS('recurring2_based on steps'!$B272:$AY272,'recurring2_based on steps'!$B$1:$AY$1,V$1)+SUMIFS('changes2_based on steps'!$B272:$U272,'changes2_based on steps'!$B$1:$U$1,V$1)</f>
        <v>0</v>
      </c>
      <c r="W272" s="179">
        <f>SUMIFS('recurring2_based on steps'!$B272:$AY272,'recurring2_based on steps'!$B$1:$AY$1,W$1)+SUMIFS('changes2_based on steps'!$B272:$U272,'changes2_based on steps'!$B$1:$U$1,W$1)</f>
        <v>0</v>
      </c>
      <c r="X272" s="179">
        <f>SUMIFS('recurring2_based on steps'!$B272:$AY272,'recurring2_based on steps'!$B$1:$AY$1,X$1)+SUMIFS('changes2_based on steps'!$B272:$U272,'changes2_based on steps'!$B$1:$U$1,X$1)</f>
        <v>0</v>
      </c>
      <c r="Y272" s="179">
        <f>SUMIFS('recurring2_based on steps'!$B272:$AY272,'recurring2_based on steps'!$B$1:$AY$1,Y$1)+SUMIFS('changes2_based on steps'!$B272:$U272,'changes2_based on steps'!$B$1:$U$1,Y$1)</f>
        <v>0</v>
      </c>
      <c r="Z272" s="179">
        <f>SUMIFS('recurring2_based on steps'!$B272:$AY272,'recurring2_based on steps'!$B$1:$AY$1,Z$1)+SUMIFS('changes2_based on steps'!$B272:$U272,'changes2_based on steps'!$B$1:$U$1,Z$1)</f>
        <v>0</v>
      </c>
      <c r="AA272" s="179">
        <f>SUMIFS('recurring2_based on steps'!$B272:$AY272,'recurring2_based on steps'!$B$1:$AY$1,AA$1)+SUMIFS('changes2_based on steps'!$B272:$U272,'changes2_based on steps'!$B$1:$U$1,AA$1)</f>
        <v>0</v>
      </c>
      <c r="AB272" s="179">
        <f>SUMIFS('recurring2_based on steps'!$B272:$AY272,'recurring2_based on steps'!$B$1:$AY$1,AB$1)+SUMIFS('changes2_based on steps'!$B272:$U272,'changes2_based on steps'!$B$1:$U$1,AB$1)</f>
        <v>0</v>
      </c>
      <c r="AC272" s="179">
        <f>SUMIFS('recurring2_based on steps'!$B272:$AY272,'recurring2_based on steps'!$B$1:$AY$1,AC$1)+SUMIFS('changes2_based on steps'!$B272:$U272,'changes2_based on steps'!$B$1:$U$1,AC$1)</f>
        <v>0</v>
      </c>
      <c r="AD272" s="179">
        <f>SUMIFS('recurring2_based on steps'!$B272:$AY272,'recurring2_based on steps'!$B$1:$AY$1,AD$1)+SUMIFS('changes2_based on steps'!$B272:$U272,'changes2_based on steps'!$B$1:$U$1,AD$1)</f>
        <v>0</v>
      </c>
      <c r="AE272" s="179">
        <f>SUMIFS('recurring2_based on steps'!$B272:$AY272,'recurring2_based on steps'!$B$1:$AY$1,AE$1)+SUMIFS('changes2_based on steps'!$B272:$U272,'changes2_based on steps'!$B$1:$U$1,AE$1)</f>
        <v>0</v>
      </c>
      <c r="AF272" s="179"/>
      <c r="AG272" s="179"/>
      <c r="AH272" s="179"/>
      <c r="AI272" s="179"/>
      <c r="AJ272" s="179"/>
      <c r="AK272" s="179"/>
      <c r="AL272" s="179"/>
      <c r="AM272" s="179"/>
    </row>
    <row r="273" spans="1:39" x14ac:dyDescent="0.2">
      <c r="A273" s="32">
        <f t="shared" ca="1" si="4"/>
        <v>46015</v>
      </c>
      <c r="B273" s="179">
        <f>SUMIFS('recurring2_based on steps'!$B273:$AY273,'recurring2_based on steps'!$B$1:$AY$1,B$1)+SUMIFS('changes2_based on steps'!$B273:$U273,'changes2_based on steps'!$B$1:$U$1,B$1)</f>
        <v>0</v>
      </c>
      <c r="C273" s="179">
        <f>SUMIFS('recurring2_based on steps'!$B273:$AY273,'recurring2_based on steps'!$B$1:$AY$1,C$1)+SUMIFS('changes2_based on steps'!$B273:$U273,'changes2_based on steps'!$B$1:$U$1,C$1)</f>
        <v>0</v>
      </c>
      <c r="D273" s="179">
        <f>SUMIFS('recurring2_based on steps'!$B273:$AY273,'recurring2_based on steps'!$B$1:$AY$1,D$1)+SUMIFS('changes2_based on steps'!$B273:$U273,'changes2_based on steps'!$B$1:$U$1,D$1)</f>
        <v>0</v>
      </c>
      <c r="E273" s="179">
        <f>SUMIFS('recurring2_based on steps'!$B273:$AY273,'recurring2_based on steps'!$B$1:$AY$1,E$1)+SUMIFS('changes2_based on steps'!$B273:$U273,'changes2_based on steps'!$B$1:$U$1,E$1)</f>
        <v>0</v>
      </c>
      <c r="F273" s="179">
        <f>SUMIFS('recurring2_based on steps'!$B273:$AY273,'recurring2_based on steps'!$B$1:$AY$1,F$1)+SUMIFS('changes2_based on steps'!$B273:$U273,'changes2_based on steps'!$B$1:$U$1,F$1)</f>
        <v>0</v>
      </c>
      <c r="G273" s="179">
        <f>SUMIFS('recurring2_based on steps'!$B273:$AY273,'recurring2_based on steps'!$B$1:$AY$1,G$1)+SUMIFS('changes2_based on steps'!$B273:$U273,'changes2_based on steps'!$B$1:$U$1,G$1)</f>
        <v>0</v>
      </c>
      <c r="H273" s="179">
        <f>SUMIFS('recurring2_based on steps'!$B273:$AY273,'recurring2_based on steps'!$B$1:$AY$1,H$1)+SUMIFS('changes2_based on steps'!$B273:$U273,'changes2_based on steps'!$B$1:$U$1,H$1)</f>
        <v>0</v>
      </c>
      <c r="I273" s="179">
        <f>SUMIFS('recurring2_based on steps'!$B273:$AY273,'recurring2_based on steps'!$B$1:$AY$1,I$1)+SUMIFS('changes2_based on steps'!$B273:$U273,'changes2_based on steps'!$B$1:$U$1,I$1)</f>
        <v>0</v>
      </c>
      <c r="J273" s="179">
        <f>SUMIFS('recurring2_based on steps'!$B273:$AY273,'recurring2_based on steps'!$B$1:$AY$1,J$1)+SUMIFS('changes2_based on steps'!$B273:$U273,'changes2_based on steps'!$B$1:$U$1,J$1)</f>
        <v>0</v>
      </c>
      <c r="K273" s="179">
        <f>SUMIFS('recurring2_based on steps'!$B273:$AY273,'recurring2_based on steps'!$B$1:$AY$1,K$1)+SUMIFS('changes2_based on steps'!$B273:$U273,'changes2_based on steps'!$B$1:$U$1,K$1)</f>
        <v>0</v>
      </c>
      <c r="L273" s="179">
        <f>SUMIFS('recurring2_based on steps'!$B273:$AY273,'recurring2_based on steps'!$B$1:$AY$1,L$1)+SUMIFS('changes2_based on steps'!$B273:$U273,'changes2_based on steps'!$B$1:$U$1,L$1)</f>
        <v>0</v>
      </c>
      <c r="M273" s="179">
        <f>SUMIFS('recurring2_based on steps'!$B273:$AY273,'recurring2_based on steps'!$B$1:$AY$1,M$1)+SUMIFS('changes2_based on steps'!$B273:$U273,'changes2_based on steps'!$B$1:$U$1,M$1)</f>
        <v>0</v>
      </c>
      <c r="N273" s="179">
        <f>SUMIFS('recurring2_based on steps'!$B273:$AY273,'recurring2_based on steps'!$B$1:$AY$1,N$1)+SUMIFS('changes2_based on steps'!$B273:$U273,'changes2_based on steps'!$B$1:$U$1,N$1)</f>
        <v>0</v>
      </c>
      <c r="O273" s="179">
        <f>SUMIFS('recurring2_based on steps'!$B273:$AY273,'recurring2_based on steps'!$B$1:$AY$1,O$1)+SUMIFS('changes2_based on steps'!$B273:$U273,'changes2_based on steps'!$B$1:$U$1,O$1)</f>
        <v>0</v>
      </c>
      <c r="P273" s="179">
        <f>SUMIFS('recurring2_based on steps'!$B273:$AY273,'recurring2_based on steps'!$B$1:$AY$1,P$1)+SUMIFS('changes2_based on steps'!$B273:$U273,'changes2_based on steps'!$B$1:$U$1,P$1)</f>
        <v>0</v>
      </c>
      <c r="Q273" s="179">
        <f>SUMIFS('recurring2_based on steps'!$B273:$AY273,'recurring2_based on steps'!$B$1:$AY$1,Q$1)+SUMIFS('changes2_based on steps'!$B273:$U273,'changes2_based on steps'!$B$1:$U$1,Q$1)</f>
        <v>0</v>
      </c>
      <c r="R273" s="179">
        <f>SUMIFS('recurring2_based on steps'!$B273:$AY273,'recurring2_based on steps'!$B$1:$AY$1,R$1)+SUMIFS('changes2_based on steps'!$B273:$U273,'changes2_based on steps'!$B$1:$U$1,R$1)</f>
        <v>0</v>
      </c>
      <c r="S273" s="179">
        <f>SUMIFS('recurring2_based on steps'!$B273:$AY273,'recurring2_based on steps'!$B$1:$AY$1,S$1)+SUMIFS('changes2_based on steps'!$B273:$U273,'changes2_based on steps'!$B$1:$U$1,S$1)</f>
        <v>0</v>
      </c>
      <c r="T273" s="179">
        <f>SUMIFS('recurring2_based on steps'!$B273:$AY273,'recurring2_based on steps'!$B$1:$AY$1,T$1)+SUMIFS('changes2_based on steps'!$B273:$U273,'changes2_based on steps'!$B$1:$U$1,T$1)</f>
        <v>0</v>
      </c>
      <c r="U273" s="179">
        <f>SUMIFS('recurring2_based on steps'!$B273:$AY273,'recurring2_based on steps'!$B$1:$AY$1,U$1)+SUMIFS('changes2_based on steps'!$B273:$U273,'changes2_based on steps'!$B$1:$U$1,U$1)</f>
        <v>0</v>
      </c>
      <c r="V273" s="179">
        <f>SUMIFS('recurring2_based on steps'!$B273:$AY273,'recurring2_based on steps'!$B$1:$AY$1,V$1)+SUMIFS('changes2_based on steps'!$B273:$U273,'changes2_based on steps'!$B$1:$U$1,V$1)</f>
        <v>0</v>
      </c>
      <c r="W273" s="179">
        <f>SUMIFS('recurring2_based on steps'!$B273:$AY273,'recurring2_based on steps'!$B$1:$AY$1,W$1)+SUMIFS('changes2_based on steps'!$B273:$U273,'changes2_based on steps'!$B$1:$U$1,W$1)</f>
        <v>0</v>
      </c>
      <c r="X273" s="179">
        <f>SUMIFS('recurring2_based on steps'!$B273:$AY273,'recurring2_based on steps'!$B$1:$AY$1,X$1)+SUMIFS('changes2_based on steps'!$B273:$U273,'changes2_based on steps'!$B$1:$U$1,X$1)</f>
        <v>0</v>
      </c>
      <c r="Y273" s="179">
        <f>SUMIFS('recurring2_based on steps'!$B273:$AY273,'recurring2_based on steps'!$B$1:$AY$1,Y$1)+SUMIFS('changes2_based on steps'!$B273:$U273,'changes2_based on steps'!$B$1:$U$1,Y$1)</f>
        <v>0</v>
      </c>
      <c r="Z273" s="179">
        <f>SUMIFS('recurring2_based on steps'!$B273:$AY273,'recurring2_based on steps'!$B$1:$AY$1,Z$1)+SUMIFS('changes2_based on steps'!$B273:$U273,'changes2_based on steps'!$B$1:$U$1,Z$1)</f>
        <v>0</v>
      </c>
      <c r="AA273" s="179">
        <f>SUMIFS('recurring2_based on steps'!$B273:$AY273,'recurring2_based on steps'!$B$1:$AY$1,AA$1)+SUMIFS('changes2_based on steps'!$B273:$U273,'changes2_based on steps'!$B$1:$U$1,AA$1)</f>
        <v>0</v>
      </c>
      <c r="AB273" s="179">
        <f>SUMIFS('recurring2_based on steps'!$B273:$AY273,'recurring2_based on steps'!$B$1:$AY$1,AB$1)+SUMIFS('changes2_based on steps'!$B273:$U273,'changes2_based on steps'!$B$1:$U$1,AB$1)</f>
        <v>0</v>
      </c>
      <c r="AC273" s="179">
        <f>SUMIFS('recurring2_based on steps'!$B273:$AY273,'recurring2_based on steps'!$B$1:$AY$1,AC$1)+SUMIFS('changes2_based on steps'!$B273:$U273,'changes2_based on steps'!$B$1:$U$1,AC$1)</f>
        <v>0</v>
      </c>
      <c r="AD273" s="179">
        <f>SUMIFS('recurring2_based on steps'!$B273:$AY273,'recurring2_based on steps'!$B$1:$AY$1,AD$1)+SUMIFS('changes2_based on steps'!$B273:$U273,'changes2_based on steps'!$B$1:$U$1,AD$1)</f>
        <v>0</v>
      </c>
      <c r="AE273" s="179">
        <f>SUMIFS('recurring2_based on steps'!$B273:$AY273,'recurring2_based on steps'!$B$1:$AY$1,AE$1)+SUMIFS('changes2_based on steps'!$B273:$U273,'changes2_based on steps'!$B$1:$U$1,AE$1)</f>
        <v>0</v>
      </c>
      <c r="AF273" s="179"/>
      <c r="AG273" s="179"/>
      <c r="AH273" s="179"/>
      <c r="AI273" s="179"/>
      <c r="AJ273" s="179"/>
      <c r="AK273" s="179"/>
      <c r="AL273" s="179"/>
      <c r="AM273" s="179"/>
    </row>
    <row r="274" spans="1:39" x14ac:dyDescent="0.2">
      <c r="A274" s="32">
        <f t="shared" ca="1" si="4"/>
        <v>46016</v>
      </c>
      <c r="B274" s="179">
        <f>SUMIFS('recurring2_based on steps'!$B274:$AY274,'recurring2_based on steps'!$B$1:$AY$1,B$1)+SUMIFS('changes2_based on steps'!$B274:$U274,'changes2_based on steps'!$B$1:$U$1,B$1)</f>
        <v>0</v>
      </c>
      <c r="C274" s="179">
        <f>SUMIFS('recurring2_based on steps'!$B274:$AY274,'recurring2_based on steps'!$B$1:$AY$1,C$1)+SUMIFS('changes2_based on steps'!$B274:$U274,'changes2_based on steps'!$B$1:$U$1,C$1)</f>
        <v>0</v>
      </c>
      <c r="D274" s="179">
        <f>SUMIFS('recurring2_based on steps'!$B274:$AY274,'recurring2_based on steps'!$B$1:$AY$1,D$1)+SUMIFS('changes2_based on steps'!$B274:$U274,'changes2_based on steps'!$B$1:$U$1,D$1)</f>
        <v>0</v>
      </c>
      <c r="E274" s="179">
        <f>SUMIFS('recurring2_based on steps'!$B274:$AY274,'recurring2_based on steps'!$B$1:$AY$1,E$1)+SUMIFS('changes2_based on steps'!$B274:$U274,'changes2_based on steps'!$B$1:$U$1,E$1)</f>
        <v>0</v>
      </c>
      <c r="F274" s="179">
        <f>SUMIFS('recurring2_based on steps'!$B274:$AY274,'recurring2_based on steps'!$B$1:$AY$1,F$1)+SUMIFS('changes2_based on steps'!$B274:$U274,'changes2_based on steps'!$B$1:$U$1,F$1)</f>
        <v>0</v>
      </c>
      <c r="G274" s="179">
        <f>SUMIFS('recurring2_based on steps'!$B274:$AY274,'recurring2_based on steps'!$B$1:$AY$1,G$1)+SUMIFS('changes2_based on steps'!$B274:$U274,'changes2_based on steps'!$B$1:$U$1,G$1)</f>
        <v>0</v>
      </c>
      <c r="H274" s="179">
        <f>SUMIFS('recurring2_based on steps'!$B274:$AY274,'recurring2_based on steps'!$B$1:$AY$1,H$1)+SUMIFS('changes2_based on steps'!$B274:$U274,'changes2_based on steps'!$B$1:$U$1,H$1)</f>
        <v>0</v>
      </c>
      <c r="I274" s="179">
        <f>SUMIFS('recurring2_based on steps'!$B274:$AY274,'recurring2_based on steps'!$B$1:$AY$1,I$1)+SUMIFS('changes2_based on steps'!$B274:$U274,'changes2_based on steps'!$B$1:$U$1,I$1)</f>
        <v>0</v>
      </c>
      <c r="J274" s="179">
        <f>SUMIFS('recurring2_based on steps'!$B274:$AY274,'recurring2_based on steps'!$B$1:$AY$1,J$1)+SUMIFS('changes2_based on steps'!$B274:$U274,'changes2_based on steps'!$B$1:$U$1,J$1)</f>
        <v>0</v>
      </c>
      <c r="K274" s="179">
        <f>SUMIFS('recurring2_based on steps'!$B274:$AY274,'recurring2_based on steps'!$B$1:$AY$1,K$1)+SUMIFS('changes2_based on steps'!$B274:$U274,'changes2_based on steps'!$B$1:$U$1,K$1)</f>
        <v>0</v>
      </c>
      <c r="L274" s="179">
        <f>SUMIFS('recurring2_based on steps'!$B274:$AY274,'recurring2_based on steps'!$B$1:$AY$1,L$1)+SUMIFS('changes2_based on steps'!$B274:$U274,'changes2_based on steps'!$B$1:$U$1,L$1)</f>
        <v>0</v>
      </c>
      <c r="M274" s="179">
        <f>SUMIFS('recurring2_based on steps'!$B274:$AY274,'recurring2_based on steps'!$B$1:$AY$1,M$1)+SUMIFS('changes2_based on steps'!$B274:$U274,'changes2_based on steps'!$B$1:$U$1,M$1)</f>
        <v>0</v>
      </c>
      <c r="N274" s="179">
        <f>SUMIFS('recurring2_based on steps'!$B274:$AY274,'recurring2_based on steps'!$B$1:$AY$1,N$1)+SUMIFS('changes2_based on steps'!$B274:$U274,'changes2_based on steps'!$B$1:$U$1,N$1)</f>
        <v>0</v>
      </c>
      <c r="O274" s="179">
        <f>SUMIFS('recurring2_based on steps'!$B274:$AY274,'recurring2_based on steps'!$B$1:$AY$1,O$1)+SUMIFS('changes2_based on steps'!$B274:$U274,'changes2_based on steps'!$B$1:$U$1,O$1)</f>
        <v>0</v>
      </c>
      <c r="P274" s="179">
        <f>SUMIFS('recurring2_based on steps'!$B274:$AY274,'recurring2_based on steps'!$B$1:$AY$1,P$1)+SUMIFS('changes2_based on steps'!$B274:$U274,'changes2_based on steps'!$B$1:$U$1,P$1)</f>
        <v>0</v>
      </c>
      <c r="Q274" s="179">
        <f>SUMIFS('recurring2_based on steps'!$B274:$AY274,'recurring2_based on steps'!$B$1:$AY$1,Q$1)+SUMIFS('changes2_based on steps'!$B274:$U274,'changes2_based on steps'!$B$1:$U$1,Q$1)</f>
        <v>0</v>
      </c>
      <c r="R274" s="179">
        <f>SUMIFS('recurring2_based on steps'!$B274:$AY274,'recurring2_based on steps'!$B$1:$AY$1,R$1)+SUMIFS('changes2_based on steps'!$B274:$U274,'changes2_based on steps'!$B$1:$U$1,R$1)</f>
        <v>0</v>
      </c>
      <c r="S274" s="179">
        <f>SUMIFS('recurring2_based on steps'!$B274:$AY274,'recurring2_based on steps'!$B$1:$AY$1,S$1)+SUMIFS('changes2_based on steps'!$B274:$U274,'changes2_based on steps'!$B$1:$U$1,S$1)</f>
        <v>0</v>
      </c>
      <c r="T274" s="179">
        <f>SUMIFS('recurring2_based on steps'!$B274:$AY274,'recurring2_based on steps'!$B$1:$AY$1,T$1)+SUMIFS('changes2_based on steps'!$B274:$U274,'changes2_based on steps'!$B$1:$U$1,T$1)</f>
        <v>0</v>
      </c>
      <c r="U274" s="179">
        <f>SUMIFS('recurring2_based on steps'!$B274:$AY274,'recurring2_based on steps'!$B$1:$AY$1,U$1)+SUMIFS('changes2_based on steps'!$B274:$U274,'changes2_based on steps'!$B$1:$U$1,U$1)</f>
        <v>0</v>
      </c>
      <c r="V274" s="179">
        <f>SUMIFS('recurring2_based on steps'!$B274:$AY274,'recurring2_based on steps'!$B$1:$AY$1,V$1)+SUMIFS('changes2_based on steps'!$B274:$U274,'changes2_based on steps'!$B$1:$U$1,V$1)</f>
        <v>0</v>
      </c>
      <c r="W274" s="179">
        <f>SUMIFS('recurring2_based on steps'!$B274:$AY274,'recurring2_based on steps'!$B$1:$AY$1,W$1)+SUMIFS('changes2_based on steps'!$B274:$U274,'changes2_based on steps'!$B$1:$U$1,W$1)</f>
        <v>0</v>
      </c>
      <c r="X274" s="179">
        <f>SUMIFS('recurring2_based on steps'!$B274:$AY274,'recurring2_based on steps'!$B$1:$AY$1,X$1)+SUMIFS('changes2_based on steps'!$B274:$U274,'changes2_based on steps'!$B$1:$U$1,X$1)</f>
        <v>0</v>
      </c>
      <c r="Y274" s="179">
        <f>SUMIFS('recurring2_based on steps'!$B274:$AY274,'recurring2_based on steps'!$B$1:$AY$1,Y$1)+SUMIFS('changes2_based on steps'!$B274:$U274,'changes2_based on steps'!$B$1:$U$1,Y$1)</f>
        <v>0</v>
      </c>
      <c r="Z274" s="179">
        <f>SUMIFS('recurring2_based on steps'!$B274:$AY274,'recurring2_based on steps'!$B$1:$AY$1,Z$1)+SUMIFS('changes2_based on steps'!$B274:$U274,'changes2_based on steps'!$B$1:$U$1,Z$1)</f>
        <v>0</v>
      </c>
      <c r="AA274" s="179">
        <f>SUMIFS('recurring2_based on steps'!$B274:$AY274,'recurring2_based on steps'!$B$1:$AY$1,AA$1)+SUMIFS('changes2_based on steps'!$B274:$U274,'changes2_based on steps'!$B$1:$U$1,AA$1)</f>
        <v>0</v>
      </c>
      <c r="AB274" s="179">
        <f>SUMIFS('recurring2_based on steps'!$B274:$AY274,'recurring2_based on steps'!$B$1:$AY$1,AB$1)+SUMIFS('changes2_based on steps'!$B274:$U274,'changes2_based on steps'!$B$1:$U$1,AB$1)</f>
        <v>0</v>
      </c>
      <c r="AC274" s="179">
        <f>SUMIFS('recurring2_based on steps'!$B274:$AY274,'recurring2_based on steps'!$B$1:$AY$1,AC$1)+SUMIFS('changes2_based on steps'!$B274:$U274,'changes2_based on steps'!$B$1:$U$1,AC$1)</f>
        <v>0</v>
      </c>
      <c r="AD274" s="179">
        <f>SUMIFS('recurring2_based on steps'!$B274:$AY274,'recurring2_based on steps'!$B$1:$AY$1,AD$1)+SUMIFS('changes2_based on steps'!$B274:$U274,'changes2_based on steps'!$B$1:$U$1,AD$1)</f>
        <v>0</v>
      </c>
      <c r="AE274" s="179">
        <f>SUMIFS('recurring2_based on steps'!$B274:$AY274,'recurring2_based on steps'!$B$1:$AY$1,AE$1)+SUMIFS('changes2_based on steps'!$B274:$U274,'changes2_based on steps'!$B$1:$U$1,AE$1)</f>
        <v>0</v>
      </c>
      <c r="AF274" s="179"/>
      <c r="AG274" s="179"/>
      <c r="AH274" s="179"/>
      <c r="AI274" s="179"/>
      <c r="AJ274" s="179"/>
      <c r="AK274" s="179"/>
      <c r="AL274" s="179"/>
      <c r="AM274" s="179"/>
    </row>
    <row r="275" spans="1:39" x14ac:dyDescent="0.2">
      <c r="A275" s="32">
        <f t="shared" ca="1" si="4"/>
        <v>46017</v>
      </c>
      <c r="B275" s="179">
        <f>SUMIFS('recurring2_based on steps'!$B275:$AY275,'recurring2_based on steps'!$B$1:$AY$1,B$1)+SUMIFS('changes2_based on steps'!$B275:$U275,'changes2_based on steps'!$B$1:$U$1,B$1)</f>
        <v>0</v>
      </c>
      <c r="C275" s="179">
        <f>SUMIFS('recurring2_based on steps'!$B275:$AY275,'recurring2_based on steps'!$B$1:$AY$1,C$1)+SUMIFS('changes2_based on steps'!$B275:$U275,'changes2_based on steps'!$B$1:$U$1,C$1)</f>
        <v>0</v>
      </c>
      <c r="D275" s="179">
        <f>SUMIFS('recurring2_based on steps'!$B275:$AY275,'recurring2_based on steps'!$B$1:$AY$1,D$1)+SUMIFS('changes2_based on steps'!$B275:$U275,'changes2_based on steps'!$B$1:$U$1,D$1)</f>
        <v>0</v>
      </c>
      <c r="E275" s="179">
        <f>SUMIFS('recurring2_based on steps'!$B275:$AY275,'recurring2_based on steps'!$B$1:$AY$1,E$1)+SUMIFS('changes2_based on steps'!$B275:$U275,'changes2_based on steps'!$B$1:$U$1,E$1)</f>
        <v>0</v>
      </c>
      <c r="F275" s="179">
        <f>SUMIFS('recurring2_based on steps'!$B275:$AY275,'recurring2_based on steps'!$B$1:$AY$1,F$1)+SUMIFS('changes2_based on steps'!$B275:$U275,'changes2_based on steps'!$B$1:$U$1,F$1)</f>
        <v>0</v>
      </c>
      <c r="G275" s="179">
        <f>SUMIFS('recurring2_based on steps'!$B275:$AY275,'recurring2_based on steps'!$B$1:$AY$1,G$1)+SUMIFS('changes2_based on steps'!$B275:$U275,'changes2_based on steps'!$B$1:$U$1,G$1)</f>
        <v>0</v>
      </c>
      <c r="H275" s="179">
        <f>SUMIFS('recurring2_based on steps'!$B275:$AY275,'recurring2_based on steps'!$B$1:$AY$1,H$1)+SUMIFS('changes2_based on steps'!$B275:$U275,'changes2_based on steps'!$B$1:$U$1,H$1)</f>
        <v>0</v>
      </c>
      <c r="I275" s="179">
        <f>SUMIFS('recurring2_based on steps'!$B275:$AY275,'recurring2_based on steps'!$B$1:$AY$1,I$1)+SUMIFS('changes2_based on steps'!$B275:$U275,'changes2_based on steps'!$B$1:$U$1,I$1)</f>
        <v>0</v>
      </c>
      <c r="J275" s="179">
        <f>SUMIFS('recurring2_based on steps'!$B275:$AY275,'recurring2_based on steps'!$B$1:$AY$1,J$1)+SUMIFS('changes2_based on steps'!$B275:$U275,'changes2_based on steps'!$B$1:$U$1,J$1)</f>
        <v>0</v>
      </c>
      <c r="K275" s="179">
        <f>SUMIFS('recurring2_based on steps'!$B275:$AY275,'recurring2_based on steps'!$B$1:$AY$1,K$1)+SUMIFS('changes2_based on steps'!$B275:$U275,'changes2_based on steps'!$B$1:$U$1,K$1)</f>
        <v>0</v>
      </c>
      <c r="L275" s="179">
        <f>SUMIFS('recurring2_based on steps'!$B275:$AY275,'recurring2_based on steps'!$B$1:$AY$1,L$1)+SUMIFS('changes2_based on steps'!$B275:$U275,'changes2_based on steps'!$B$1:$U$1,L$1)</f>
        <v>0</v>
      </c>
      <c r="M275" s="179">
        <f>SUMIFS('recurring2_based on steps'!$B275:$AY275,'recurring2_based on steps'!$B$1:$AY$1,M$1)+SUMIFS('changes2_based on steps'!$B275:$U275,'changes2_based on steps'!$B$1:$U$1,M$1)</f>
        <v>0</v>
      </c>
      <c r="N275" s="179">
        <f>SUMIFS('recurring2_based on steps'!$B275:$AY275,'recurring2_based on steps'!$B$1:$AY$1,N$1)+SUMIFS('changes2_based on steps'!$B275:$U275,'changes2_based on steps'!$B$1:$U$1,N$1)</f>
        <v>0</v>
      </c>
      <c r="O275" s="179">
        <f>SUMIFS('recurring2_based on steps'!$B275:$AY275,'recurring2_based on steps'!$B$1:$AY$1,O$1)+SUMIFS('changes2_based on steps'!$B275:$U275,'changes2_based on steps'!$B$1:$U$1,O$1)</f>
        <v>0</v>
      </c>
      <c r="P275" s="179">
        <f>SUMIFS('recurring2_based on steps'!$B275:$AY275,'recurring2_based on steps'!$B$1:$AY$1,P$1)+SUMIFS('changes2_based on steps'!$B275:$U275,'changes2_based on steps'!$B$1:$U$1,P$1)</f>
        <v>0</v>
      </c>
      <c r="Q275" s="179">
        <f>SUMIFS('recurring2_based on steps'!$B275:$AY275,'recurring2_based on steps'!$B$1:$AY$1,Q$1)+SUMIFS('changes2_based on steps'!$B275:$U275,'changes2_based on steps'!$B$1:$U$1,Q$1)</f>
        <v>0</v>
      </c>
      <c r="R275" s="179">
        <f>SUMIFS('recurring2_based on steps'!$B275:$AY275,'recurring2_based on steps'!$B$1:$AY$1,R$1)+SUMIFS('changes2_based on steps'!$B275:$U275,'changes2_based on steps'!$B$1:$U$1,R$1)</f>
        <v>0</v>
      </c>
      <c r="S275" s="179">
        <f>SUMIFS('recurring2_based on steps'!$B275:$AY275,'recurring2_based on steps'!$B$1:$AY$1,S$1)+SUMIFS('changes2_based on steps'!$B275:$U275,'changes2_based on steps'!$B$1:$U$1,S$1)</f>
        <v>0</v>
      </c>
      <c r="T275" s="179">
        <f>SUMIFS('recurring2_based on steps'!$B275:$AY275,'recurring2_based on steps'!$B$1:$AY$1,T$1)+SUMIFS('changes2_based on steps'!$B275:$U275,'changes2_based on steps'!$B$1:$U$1,T$1)</f>
        <v>0</v>
      </c>
      <c r="U275" s="179">
        <f>SUMIFS('recurring2_based on steps'!$B275:$AY275,'recurring2_based on steps'!$B$1:$AY$1,U$1)+SUMIFS('changes2_based on steps'!$B275:$U275,'changes2_based on steps'!$B$1:$U$1,U$1)</f>
        <v>0</v>
      </c>
      <c r="V275" s="179">
        <f>SUMIFS('recurring2_based on steps'!$B275:$AY275,'recurring2_based on steps'!$B$1:$AY$1,V$1)+SUMIFS('changes2_based on steps'!$B275:$U275,'changes2_based on steps'!$B$1:$U$1,V$1)</f>
        <v>0</v>
      </c>
      <c r="W275" s="179">
        <f>SUMIFS('recurring2_based on steps'!$B275:$AY275,'recurring2_based on steps'!$B$1:$AY$1,W$1)+SUMIFS('changes2_based on steps'!$B275:$U275,'changes2_based on steps'!$B$1:$U$1,W$1)</f>
        <v>0</v>
      </c>
      <c r="X275" s="179">
        <f>SUMIFS('recurring2_based on steps'!$B275:$AY275,'recurring2_based on steps'!$B$1:$AY$1,X$1)+SUMIFS('changes2_based on steps'!$B275:$U275,'changes2_based on steps'!$B$1:$U$1,X$1)</f>
        <v>0</v>
      </c>
      <c r="Y275" s="179">
        <f>SUMIFS('recurring2_based on steps'!$B275:$AY275,'recurring2_based on steps'!$B$1:$AY$1,Y$1)+SUMIFS('changes2_based on steps'!$B275:$U275,'changes2_based on steps'!$B$1:$U$1,Y$1)</f>
        <v>0</v>
      </c>
      <c r="Z275" s="179">
        <f>SUMIFS('recurring2_based on steps'!$B275:$AY275,'recurring2_based on steps'!$B$1:$AY$1,Z$1)+SUMIFS('changes2_based on steps'!$B275:$U275,'changes2_based on steps'!$B$1:$U$1,Z$1)</f>
        <v>0</v>
      </c>
      <c r="AA275" s="179">
        <f>SUMIFS('recurring2_based on steps'!$B275:$AY275,'recurring2_based on steps'!$B$1:$AY$1,AA$1)+SUMIFS('changes2_based on steps'!$B275:$U275,'changes2_based on steps'!$B$1:$U$1,AA$1)</f>
        <v>0</v>
      </c>
      <c r="AB275" s="179">
        <f>SUMIFS('recurring2_based on steps'!$B275:$AY275,'recurring2_based on steps'!$B$1:$AY$1,AB$1)+SUMIFS('changes2_based on steps'!$B275:$U275,'changes2_based on steps'!$B$1:$U$1,AB$1)</f>
        <v>0</v>
      </c>
      <c r="AC275" s="179">
        <f>SUMIFS('recurring2_based on steps'!$B275:$AY275,'recurring2_based on steps'!$B$1:$AY$1,AC$1)+SUMIFS('changes2_based on steps'!$B275:$U275,'changes2_based on steps'!$B$1:$U$1,AC$1)</f>
        <v>0</v>
      </c>
      <c r="AD275" s="179">
        <f>SUMIFS('recurring2_based on steps'!$B275:$AY275,'recurring2_based on steps'!$B$1:$AY$1,AD$1)+SUMIFS('changes2_based on steps'!$B275:$U275,'changes2_based on steps'!$B$1:$U$1,AD$1)</f>
        <v>0</v>
      </c>
      <c r="AE275" s="179">
        <f>SUMIFS('recurring2_based on steps'!$B275:$AY275,'recurring2_based on steps'!$B$1:$AY$1,AE$1)+SUMIFS('changes2_based on steps'!$B275:$U275,'changes2_based on steps'!$B$1:$U$1,AE$1)</f>
        <v>0</v>
      </c>
      <c r="AF275" s="179"/>
      <c r="AG275" s="179"/>
      <c r="AH275" s="179"/>
      <c r="AI275" s="179"/>
      <c r="AJ275" s="179"/>
      <c r="AK275" s="179"/>
      <c r="AL275" s="179"/>
      <c r="AM275" s="179"/>
    </row>
    <row r="276" spans="1:39" x14ac:dyDescent="0.2">
      <c r="A276" s="32">
        <f t="shared" ca="1" si="4"/>
        <v>46018</v>
      </c>
      <c r="B276" s="179">
        <f>SUMIFS('recurring2_based on steps'!$B276:$AY276,'recurring2_based on steps'!$B$1:$AY$1,B$1)+SUMIFS('changes2_based on steps'!$B276:$U276,'changes2_based on steps'!$B$1:$U$1,B$1)</f>
        <v>0</v>
      </c>
      <c r="C276" s="179">
        <f>SUMIFS('recurring2_based on steps'!$B276:$AY276,'recurring2_based on steps'!$B$1:$AY$1,C$1)+SUMIFS('changes2_based on steps'!$B276:$U276,'changes2_based on steps'!$B$1:$U$1,C$1)</f>
        <v>0</v>
      </c>
      <c r="D276" s="179">
        <f>SUMIFS('recurring2_based on steps'!$B276:$AY276,'recurring2_based on steps'!$B$1:$AY$1,D$1)+SUMIFS('changes2_based on steps'!$B276:$U276,'changes2_based on steps'!$B$1:$U$1,D$1)</f>
        <v>0</v>
      </c>
      <c r="E276" s="179">
        <f>SUMIFS('recurring2_based on steps'!$B276:$AY276,'recurring2_based on steps'!$B$1:$AY$1,E$1)+SUMIFS('changes2_based on steps'!$B276:$U276,'changes2_based on steps'!$B$1:$U$1,E$1)</f>
        <v>0</v>
      </c>
      <c r="F276" s="179">
        <f>SUMIFS('recurring2_based on steps'!$B276:$AY276,'recurring2_based on steps'!$B$1:$AY$1,F$1)+SUMIFS('changes2_based on steps'!$B276:$U276,'changes2_based on steps'!$B$1:$U$1,F$1)</f>
        <v>0</v>
      </c>
      <c r="G276" s="179">
        <f>SUMIFS('recurring2_based on steps'!$B276:$AY276,'recurring2_based on steps'!$B$1:$AY$1,G$1)+SUMIFS('changes2_based on steps'!$B276:$U276,'changes2_based on steps'!$B$1:$U$1,G$1)</f>
        <v>0</v>
      </c>
      <c r="H276" s="179">
        <f>SUMIFS('recurring2_based on steps'!$B276:$AY276,'recurring2_based on steps'!$B$1:$AY$1,H$1)+SUMIFS('changes2_based on steps'!$B276:$U276,'changes2_based on steps'!$B$1:$U$1,H$1)</f>
        <v>0</v>
      </c>
      <c r="I276" s="179">
        <f>SUMIFS('recurring2_based on steps'!$B276:$AY276,'recurring2_based on steps'!$B$1:$AY$1,I$1)+SUMIFS('changes2_based on steps'!$B276:$U276,'changes2_based on steps'!$B$1:$U$1,I$1)</f>
        <v>0</v>
      </c>
      <c r="J276" s="179">
        <f>SUMIFS('recurring2_based on steps'!$B276:$AY276,'recurring2_based on steps'!$B$1:$AY$1,J$1)+SUMIFS('changes2_based on steps'!$B276:$U276,'changes2_based on steps'!$B$1:$U$1,J$1)</f>
        <v>0</v>
      </c>
      <c r="K276" s="179">
        <f>SUMIFS('recurring2_based on steps'!$B276:$AY276,'recurring2_based on steps'!$B$1:$AY$1,K$1)+SUMIFS('changes2_based on steps'!$B276:$U276,'changes2_based on steps'!$B$1:$U$1,K$1)</f>
        <v>0</v>
      </c>
      <c r="L276" s="179">
        <f>SUMIFS('recurring2_based on steps'!$B276:$AY276,'recurring2_based on steps'!$B$1:$AY$1,L$1)+SUMIFS('changes2_based on steps'!$B276:$U276,'changes2_based on steps'!$B$1:$U$1,L$1)</f>
        <v>0</v>
      </c>
      <c r="M276" s="179">
        <f>SUMIFS('recurring2_based on steps'!$B276:$AY276,'recurring2_based on steps'!$B$1:$AY$1,M$1)+SUMIFS('changes2_based on steps'!$B276:$U276,'changes2_based on steps'!$B$1:$U$1,M$1)</f>
        <v>0</v>
      </c>
      <c r="N276" s="179">
        <f>SUMIFS('recurring2_based on steps'!$B276:$AY276,'recurring2_based on steps'!$B$1:$AY$1,N$1)+SUMIFS('changes2_based on steps'!$B276:$U276,'changes2_based on steps'!$B$1:$U$1,N$1)</f>
        <v>0</v>
      </c>
      <c r="O276" s="179">
        <f>SUMIFS('recurring2_based on steps'!$B276:$AY276,'recurring2_based on steps'!$B$1:$AY$1,O$1)+SUMIFS('changes2_based on steps'!$B276:$U276,'changes2_based on steps'!$B$1:$U$1,O$1)</f>
        <v>0</v>
      </c>
      <c r="P276" s="179">
        <f>SUMIFS('recurring2_based on steps'!$B276:$AY276,'recurring2_based on steps'!$B$1:$AY$1,P$1)+SUMIFS('changes2_based on steps'!$B276:$U276,'changes2_based on steps'!$B$1:$U$1,P$1)</f>
        <v>0</v>
      </c>
      <c r="Q276" s="179">
        <f>SUMIFS('recurring2_based on steps'!$B276:$AY276,'recurring2_based on steps'!$B$1:$AY$1,Q$1)+SUMIFS('changes2_based on steps'!$B276:$U276,'changes2_based on steps'!$B$1:$U$1,Q$1)</f>
        <v>0</v>
      </c>
      <c r="R276" s="179">
        <f>SUMIFS('recurring2_based on steps'!$B276:$AY276,'recurring2_based on steps'!$B$1:$AY$1,R$1)+SUMIFS('changes2_based on steps'!$B276:$U276,'changes2_based on steps'!$B$1:$U$1,R$1)</f>
        <v>0</v>
      </c>
      <c r="S276" s="179">
        <f>SUMIFS('recurring2_based on steps'!$B276:$AY276,'recurring2_based on steps'!$B$1:$AY$1,S$1)+SUMIFS('changes2_based on steps'!$B276:$U276,'changes2_based on steps'!$B$1:$U$1,S$1)</f>
        <v>0</v>
      </c>
      <c r="T276" s="179">
        <f>SUMIFS('recurring2_based on steps'!$B276:$AY276,'recurring2_based on steps'!$B$1:$AY$1,T$1)+SUMIFS('changes2_based on steps'!$B276:$U276,'changes2_based on steps'!$B$1:$U$1,T$1)</f>
        <v>0</v>
      </c>
      <c r="U276" s="179">
        <f>SUMIFS('recurring2_based on steps'!$B276:$AY276,'recurring2_based on steps'!$B$1:$AY$1,U$1)+SUMIFS('changes2_based on steps'!$B276:$U276,'changes2_based on steps'!$B$1:$U$1,U$1)</f>
        <v>0</v>
      </c>
      <c r="V276" s="179">
        <f>SUMIFS('recurring2_based on steps'!$B276:$AY276,'recurring2_based on steps'!$B$1:$AY$1,V$1)+SUMIFS('changes2_based on steps'!$B276:$U276,'changes2_based on steps'!$B$1:$U$1,V$1)</f>
        <v>0</v>
      </c>
      <c r="W276" s="179">
        <f>SUMIFS('recurring2_based on steps'!$B276:$AY276,'recurring2_based on steps'!$B$1:$AY$1,W$1)+SUMIFS('changes2_based on steps'!$B276:$U276,'changes2_based on steps'!$B$1:$U$1,W$1)</f>
        <v>0</v>
      </c>
      <c r="X276" s="179">
        <f>SUMIFS('recurring2_based on steps'!$B276:$AY276,'recurring2_based on steps'!$B$1:$AY$1,X$1)+SUMIFS('changes2_based on steps'!$B276:$U276,'changes2_based on steps'!$B$1:$U$1,X$1)</f>
        <v>0</v>
      </c>
      <c r="Y276" s="179">
        <f>SUMIFS('recurring2_based on steps'!$B276:$AY276,'recurring2_based on steps'!$B$1:$AY$1,Y$1)+SUMIFS('changes2_based on steps'!$B276:$U276,'changes2_based on steps'!$B$1:$U$1,Y$1)</f>
        <v>0</v>
      </c>
      <c r="Z276" s="179">
        <f>SUMIFS('recurring2_based on steps'!$B276:$AY276,'recurring2_based on steps'!$B$1:$AY$1,Z$1)+SUMIFS('changes2_based on steps'!$B276:$U276,'changes2_based on steps'!$B$1:$U$1,Z$1)</f>
        <v>0</v>
      </c>
      <c r="AA276" s="179">
        <f>SUMIFS('recurring2_based on steps'!$B276:$AY276,'recurring2_based on steps'!$B$1:$AY$1,AA$1)+SUMIFS('changes2_based on steps'!$B276:$U276,'changes2_based on steps'!$B$1:$U$1,AA$1)</f>
        <v>0</v>
      </c>
      <c r="AB276" s="179">
        <f>SUMIFS('recurring2_based on steps'!$B276:$AY276,'recurring2_based on steps'!$B$1:$AY$1,AB$1)+SUMIFS('changes2_based on steps'!$B276:$U276,'changes2_based on steps'!$B$1:$U$1,AB$1)</f>
        <v>0</v>
      </c>
      <c r="AC276" s="179">
        <f>SUMIFS('recurring2_based on steps'!$B276:$AY276,'recurring2_based on steps'!$B$1:$AY$1,AC$1)+SUMIFS('changes2_based on steps'!$B276:$U276,'changes2_based on steps'!$B$1:$U$1,AC$1)</f>
        <v>0</v>
      </c>
      <c r="AD276" s="179">
        <f>SUMIFS('recurring2_based on steps'!$B276:$AY276,'recurring2_based on steps'!$B$1:$AY$1,AD$1)+SUMIFS('changes2_based on steps'!$B276:$U276,'changes2_based on steps'!$B$1:$U$1,AD$1)</f>
        <v>0</v>
      </c>
      <c r="AE276" s="179">
        <f>SUMIFS('recurring2_based on steps'!$B276:$AY276,'recurring2_based on steps'!$B$1:$AY$1,AE$1)+SUMIFS('changes2_based on steps'!$B276:$U276,'changes2_based on steps'!$B$1:$U$1,AE$1)</f>
        <v>0</v>
      </c>
      <c r="AF276" s="179"/>
      <c r="AG276" s="179"/>
      <c r="AH276" s="179"/>
      <c r="AI276" s="179"/>
      <c r="AJ276" s="179"/>
      <c r="AK276" s="179"/>
      <c r="AL276" s="179"/>
      <c r="AM276" s="179"/>
    </row>
    <row r="277" spans="1:39" x14ac:dyDescent="0.2">
      <c r="A277" s="32">
        <f t="shared" ca="1" si="4"/>
        <v>46019</v>
      </c>
      <c r="B277" s="179">
        <f>SUMIFS('recurring2_based on steps'!$B277:$AY277,'recurring2_based on steps'!$B$1:$AY$1,B$1)+SUMIFS('changes2_based on steps'!$B277:$U277,'changes2_based on steps'!$B$1:$U$1,B$1)</f>
        <v>0</v>
      </c>
      <c r="C277" s="179">
        <f>SUMIFS('recurring2_based on steps'!$B277:$AY277,'recurring2_based on steps'!$B$1:$AY$1,C$1)+SUMIFS('changes2_based on steps'!$B277:$U277,'changes2_based on steps'!$B$1:$U$1,C$1)</f>
        <v>0</v>
      </c>
      <c r="D277" s="179">
        <f>SUMIFS('recurring2_based on steps'!$B277:$AY277,'recurring2_based on steps'!$B$1:$AY$1,D$1)+SUMIFS('changes2_based on steps'!$B277:$U277,'changes2_based on steps'!$B$1:$U$1,D$1)</f>
        <v>0</v>
      </c>
      <c r="E277" s="179">
        <f>SUMIFS('recurring2_based on steps'!$B277:$AY277,'recurring2_based on steps'!$B$1:$AY$1,E$1)+SUMIFS('changes2_based on steps'!$B277:$U277,'changes2_based on steps'!$B$1:$U$1,E$1)</f>
        <v>0</v>
      </c>
      <c r="F277" s="179">
        <f>SUMIFS('recurring2_based on steps'!$B277:$AY277,'recurring2_based on steps'!$B$1:$AY$1,F$1)+SUMIFS('changes2_based on steps'!$B277:$U277,'changes2_based on steps'!$B$1:$U$1,F$1)</f>
        <v>0</v>
      </c>
      <c r="G277" s="179">
        <f>SUMIFS('recurring2_based on steps'!$B277:$AY277,'recurring2_based on steps'!$B$1:$AY$1,G$1)+SUMIFS('changes2_based on steps'!$B277:$U277,'changes2_based on steps'!$B$1:$U$1,G$1)</f>
        <v>0</v>
      </c>
      <c r="H277" s="179">
        <f>SUMIFS('recurring2_based on steps'!$B277:$AY277,'recurring2_based on steps'!$B$1:$AY$1,H$1)+SUMIFS('changes2_based on steps'!$B277:$U277,'changes2_based on steps'!$B$1:$U$1,H$1)</f>
        <v>0</v>
      </c>
      <c r="I277" s="179">
        <f>SUMIFS('recurring2_based on steps'!$B277:$AY277,'recurring2_based on steps'!$B$1:$AY$1,I$1)+SUMIFS('changes2_based on steps'!$B277:$U277,'changes2_based on steps'!$B$1:$U$1,I$1)</f>
        <v>0</v>
      </c>
      <c r="J277" s="179">
        <f>SUMIFS('recurring2_based on steps'!$B277:$AY277,'recurring2_based on steps'!$B$1:$AY$1,J$1)+SUMIFS('changes2_based on steps'!$B277:$U277,'changes2_based on steps'!$B$1:$U$1,J$1)</f>
        <v>0</v>
      </c>
      <c r="K277" s="179">
        <f>SUMIFS('recurring2_based on steps'!$B277:$AY277,'recurring2_based on steps'!$B$1:$AY$1,K$1)+SUMIFS('changes2_based on steps'!$B277:$U277,'changes2_based on steps'!$B$1:$U$1,K$1)</f>
        <v>0</v>
      </c>
      <c r="L277" s="179">
        <f>SUMIFS('recurring2_based on steps'!$B277:$AY277,'recurring2_based on steps'!$B$1:$AY$1,L$1)+SUMIFS('changes2_based on steps'!$B277:$U277,'changes2_based on steps'!$B$1:$U$1,L$1)</f>
        <v>0</v>
      </c>
      <c r="M277" s="179">
        <f>SUMIFS('recurring2_based on steps'!$B277:$AY277,'recurring2_based on steps'!$B$1:$AY$1,M$1)+SUMIFS('changes2_based on steps'!$B277:$U277,'changes2_based on steps'!$B$1:$U$1,M$1)</f>
        <v>0</v>
      </c>
      <c r="N277" s="179">
        <f>SUMIFS('recurring2_based on steps'!$B277:$AY277,'recurring2_based on steps'!$B$1:$AY$1,N$1)+SUMIFS('changes2_based on steps'!$B277:$U277,'changes2_based on steps'!$B$1:$U$1,N$1)</f>
        <v>0</v>
      </c>
      <c r="O277" s="179">
        <f>SUMIFS('recurring2_based on steps'!$B277:$AY277,'recurring2_based on steps'!$B$1:$AY$1,O$1)+SUMIFS('changes2_based on steps'!$B277:$U277,'changes2_based on steps'!$B$1:$U$1,O$1)</f>
        <v>0</v>
      </c>
      <c r="P277" s="179">
        <f>SUMIFS('recurring2_based on steps'!$B277:$AY277,'recurring2_based on steps'!$B$1:$AY$1,P$1)+SUMIFS('changes2_based on steps'!$B277:$U277,'changes2_based on steps'!$B$1:$U$1,P$1)</f>
        <v>0</v>
      </c>
      <c r="Q277" s="179">
        <f>SUMIFS('recurring2_based on steps'!$B277:$AY277,'recurring2_based on steps'!$B$1:$AY$1,Q$1)+SUMIFS('changes2_based on steps'!$B277:$U277,'changes2_based on steps'!$B$1:$U$1,Q$1)</f>
        <v>0</v>
      </c>
      <c r="R277" s="179">
        <f>SUMIFS('recurring2_based on steps'!$B277:$AY277,'recurring2_based on steps'!$B$1:$AY$1,R$1)+SUMIFS('changes2_based on steps'!$B277:$U277,'changes2_based on steps'!$B$1:$U$1,R$1)</f>
        <v>0</v>
      </c>
      <c r="S277" s="179">
        <f>SUMIFS('recurring2_based on steps'!$B277:$AY277,'recurring2_based on steps'!$B$1:$AY$1,S$1)+SUMIFS('changes2_based on steps'!$B277:$U277,'changes2_based on steps'!$B$1:$U$1,S$1)</f>
        <v>0</v>
      </c>
      <c r="T277" s="179">
        <f>SUMIFS('recurring2_based on steps'!$B277:$AY277,'recurring2_based on steps'!$B$1:$AY$1,T$1)+SUMIFS('changes2_based on steps'!$B277:$U277,'changes2_based on steps'!$B$1:$U$1,T$1)</f>
        <v>0</v>
      </c>
      <c r="U277" s="179">
        <f>SUMIFS('recurring2_based on steps'!$B277:$AY277,'recurring2_based on steps'!$B$1:$AY$1,U$1)+SUMIFS('changes2_based on steps'!$B277:$U277,'changes2_based on steps'!$B$1:$U$1,U$1)</f>
        <v>0</v>
      </c>
      <c r="V277" s="179">
        <f>SUMIFS('recurring2_based on steps'!$B277:$AY277,'recurring2_based on steps'!$B$1:$AY$1,V$1)+SUMIFS('changes2_based on steps'!$B277:$U277,'changes2_based on steps'!$B$1:$U$1,V$1)</f>
        <v>0</v>
      </c>
      <c r="W277" s="179">
        <f>SUMIFS('recurring2_based on steps'!$B277:$AY277,'recurring2_based on steps'!$B$1:$AY$1,W$1)+SUMIFS('changes2_based on steps'!$B277:$U277,'changes2_based on steps'!$B$1:$U$1,W$1)</f>
        <v>0</v>
      </c>
      <c r="X277" s="179">
        <f>SUMIFS('recurring2_based on steps'!$B277:$AY277,'recurring2_based on steps'!$B$1:$AY$1,X$1)+SUMIFS('changes2_based on steps'!$B277:$U277,'changes2_based on steps'!$B$1:$U$1,X$1)</f>
        <v>0</v>
      </c>
      <c r="Y277" s="179">
        <f>SUMIFS('recurring2_based on steps'!$B277:$AY277,'recurring2_based on steps'!$B$1:$AY$1,Y$1)+SUMIFS('changes2_based on steps'!$B277:$U277,'changes2_based on steps'!$B$1:$U$1,Y$1)</f>
        <v>0</v>
      </c>
      <c r="Z277" s="179">
        <f>SUMIFS('recurring2_based on steps'!$B277:$AY277,'recurring2_based on steps'!$B$1:$AY$1,Z$1)+SUMIFS('changes2_based on steps'!$B277:$U277,'changes2_based on steps'!$B$1:$U$1,Z$1)</f>
        <v>0</v>
      </c>
      <c r="AA277" s="179">
        <f>SUMIFS('recurring2_based on steps'!$B277:$AY277,'recurring2_based on steps'!$B$1:$AY$1,AA$1)+SUMIFS('changes2_based on steps'!$B277:$U277,'changes2_based on steps'!$B$1:$U$1,AA$1)</f>
        <v>0</v>
      </c>
      <c r="AB277" s="179">
        <f>SUMIFS('recurring2_based on steps'!$B277:$AY277,'recurring2_based on steps'!$B$1:$AY$1,AB$1)+SUMIFS('changes2_based on steps'!$B277:$U277,'changes2_based on steps'!$B$1:$U$1,AB$1)</f>
        <v>0</v>
      </c>
      <c r="AC277" s="179">
        <f>SUMIFS('recurring2_based on steps'!$B277:$AY277,'recurring2_based on steps'!$B$1:$AY$1,AC$1)+SUMIFS('changes2_based on steps'!$B277:$U277,'changes2_based on steps'!$B$1:$U$1,AC$1)</f>
        <v>0</v>
      </c>
      <c r="AD277" s="179">
        <f>SUMIFS('recurring2_based on steps'!$B277:$AY277,'recurring2_based on steps'!$B$1:$AY$1,AD$1)+SUMIFS('changes2_based on steps'!$B277:$U277,'changes2_based on steps'!$B$1:$U$1,AD$1)</f>
        <v>0</v>
      </c>
      <c r="AE277" s="179">
        <f>SUMIFS('recurring2_based on steps'!$B277:$AY277,'recurring2_based on steps'!$B$1:$AY$1,AE$1)+SUMIFS('changes2_based on steps'!$B277:$U277,'changes2_based on steps'!$B$1:$U$1,AE$1)</f>
        <v>0</v>
      </c>
      <c r="AF277" s="179"/>
      <c r="AG277" s="179"/>
      <c r="AH277" s="179"/>
      <c r="AI277" s="179"/>
      <c r="AJ277" s="179"/>
      <c r="AK277" s="179"/>
      <c r="AL277" s="179"/>
      <c r="AM277" s="179"/>
    </row>
    <row r="278" spans="1:39" x14ac:dyDescent="0.2">
      <c r="A278" s="32">
        <f t="shared" ca="1" si="4"/>
        <v>46020</v>
      </c>
      <c r="B278" s="179">
        <f>SUMIFS('recurring2_based on steps'!$B278:$AY278,'recurring2_based on steps'!$B$1:$AY$1,B$1)+SUMIFS('changes2_based on steps'!$B278:$U278,'changes2_based on steps'!$B$1:$U$1,B$1)</f>
        <v>0</v>
      </c>
      <c r="C278" s="179">
        <f>SUMIFS('recurring2_based on steps'!$B278:$AY278,'recurring2_based on steps'!$B$1:$AY$1,C$1)+SUMIFS('changes2_based on steps'!$B278:$U278,'changes2_based on steps'!$B$1:$U$1,C$1)</f>
        <v>0</v>
      </c>
      <c r="D278" s="179">
        <f>SUMIFS('recurring2_based on steps'!$B278:$AY278,'recurring2_based on steps'!$B$1:$AY$1,D$1)+SUMIFS('changes2_based on steps'!$B278:$U278,'changes2_based on steps'!$B$1:$U$1,D$1)</f>
        <v>0</v>
      </c>
      <c r="E278" s="179">
        <f>SUMIFS('recurring2_based on steps'!$B278:$AY278,'recurring2_based on steps'!$B$1:$AY$1,E$1)+SUMIFS('changes2_based on steps'!$B278:$U278,'changes2_based on steps'!$B$1:$U$1,E$1)</f>
        <v>0</v>
      </c>
      <c r="F278" s="179">
        <f>SUMIFS('recurring2_based on steps'!$B278:$AY278,'recurring2_based on steps'!$B$1:$AY$1,F$1)+SUMIFS('changes2_based on steps'!$B278:$U278,'changes2_based on steps'!$B$1:$U$1,F$1)</f>
        <v>0</v>
      </c>
      <c r="G278" s="179">
        <f>SUMIFS('recurring2_based on steps'!$B278:$AY278,'recurring2_based on steps'!$B$1:$AY$1,G$1)+SUMIFS('changes2_based on steps'!$B278:$U278,'changes2_based on steps'!$B$1:$U$1,G$1)</f>
        <v>0</v>
      </c>
      <c r="H278" s="179">
        <f>SUMIFS('recurring2_based on steps'!$B278:$AY278,'recurring2_based on steps'!$B$1:$AY$1,H$1)+SUMIFS('changes2_based on steps'!$B278:$U278,'changes2_based on steps'!$B$1:$U$1,H$1)</f>
        <v>0</v>
      </c>
      <c r="I278" s="179">
        <f>SUMIFS('recurring2_based on steps'!$B278:$AY278,'recurring2_based on steps'!$B$1:$AY$1,I$1)+SUMIFS('changes2_based on steps'!$B278:$U278,'changes2_based on steps'!$B$1:$U$1,I$1)</f>
        <v>0</v>
      </c>
      <c r="J278" s="179">
        <f>SUMIFS('recurring2_based on steps'!$B278:$AY278,'recurring2_based on steps'!$B$1:$AY$1,J$1)+SUMIFS('changes2_based on steps'!$B278:$U278,'changes2_based on steps'!$B$1:$U$1,J$1)</f>
        <v>0</v>
      </c>
      <c r="K278" s="179">
        <f>SUMIFS('recurring2_based on steps'!$B278:$AY278,'recurring2_based on steps'!$B$1:$AY$1,K$1)+SUMIFS('changes2_based on steps'!$B278:$U278,'changes2_based on steps'!$B$1:$U$1,K$1)</f>
        <v>0</v>
      </c>
      <c r="L278" s="179">
        <f>SUMIFS('recurring2_based on steps'!$B278:$AY278,'recurring2_based on steps'!$B$1:$AY$1,L$1)+SUMIFS('changes2_based on steps'!$B278:$U278,'changes2_based on steps'!$B$1:$U$1,L$1)</f>
        <v>0</v>
      </c>
      <c r="M278" s="179">
        <f>SUMIFS('recurring2_based on steps'!$B278:$AY278,'recurring2_based on steps'!$B$1:$AY$1,M$1)+SUMIFS('changes2_based on steps'!$B278:$U278,'changes2_based on steps'!$B$1:$U$1,M$1)</f>
        <v>0</v>
      </c>
      <c r="N278" s="179">
        <f>SUMIFS('recurring2_based on steps'!$B278:$AY278,'recurring2_based on steps'!$B$1:$AY$1,N$1)+SUMIFS('changes2_based on steps'!$B278:$U278,'changes2_based on steps'!$B$1:$U$1,N$1)</f>
        <v>0</v>
      </c>
      <c r="O278" s="179">
        <f>SUMIFS('recurring2_based on steps'!$B278:$AY278,'recurring2_based on steps'!$B$1:$AY$1,O$1)+SUMIFS('changes2_based on steps'!$B278:$U278,'changes2_based on steps'!$B$1:$U$1,O$1)</f>
        <v>0</v>
      </c>
      <c r="P278" s="179">
        <f>SUMIFS('recurring2_based on steps'!$B278:$AY278,'recurring2_based on steps'!$B$1:$AY$1,P$1)+SUMIFS('changes2_based on steps'!$B278:$U278,'changes2_based on steps'!$B$1:$U$1,P$1)</f>
        <v>0</v>
      </c>
      <c r="Q278" s="179">
        <f>SUMIFS('recurring2_based on steps'!$B278:$AY278,'recurring2_based on steps'!$B$1:$AY$1,Q$1)+SUMIFS('changes2_based on steps'!$B278:$U278,'changes2_based on steps'!$B$1:$U$1,Q$1)</f>
        <v>0</v>
      </c>
      <c r="R278" s="179">
        <f>SUMIFS('recurring2_based on steps'!$B278:$AY278,'recurring2_based on steps'!$B$1:$AY$1,R$1)+SUMIFS('changes2_based on steps'!$B278:$U278,'changes2_based on steps'!$B$1:$U$1,R$1)</f>
        <v>0</v>
      </c>
      <c r="S278" s="179">
        <f>SUMIFS('recurring2_based on steps'!$B278:$AY278,'recurring2_based on steps'!$B$1:$AY$1,S$1)+SUMIFS('changes2_based on steps'!$B278:$U278,'changes2_based on steps'!$B$1:$U$1,S$1)</f>
        <v>0</v>
      </c>
      <c r="T278" s="179">
        <f>SUMIFS('recurring2_based on steps'!$B278:$AY278,'recurring2_based on steps'!$B$1:$AY$1,T$1)+SUMIFS('changes2_based on steps'!$B278:$U278,'changes2_based on steps'!$B$1:$U$1,T$1)</f>
        <v>0</v>
      </c>
      <c r="U278" s="179">
        <f>SUMIFS('recurring2_based on steps'!$B278:$AY278,'recurring2_based on steps'!$B$1:$AY$1,U$1)+SUMIFS('changes2_based on steps'!$B278:$U278,'changes2_based on steps'!$B$1:$U$1,U$1)</f>
        <v>0</v>
      </c>
      <c r="V278" s="179">
        <f>SUMIFS('recurring2_based on steps'!$B278:$AY278,'recurring2_based on steps'!$B$1:$AY$1,V$1)+SUMIFS('changes2_based on steps'!$B278:$U278,'changes2_based on steps'!$B$1:$U$1,V$1)</f>
        <v>0</v>
      </c>
      <c r="W278" s="179">
        <f>SUMIFS('recurring2_based on steps'!$B278:$AY278,'recurring2_based on steps'!$B$1:$AY$1,W$1)+SUMIFS('changes2_based on steps'!$B278:$U278,'changes2_based on steps'!$B$1:$U$1,W$1)</f>
        <v>0</v>
      </c>
      <c r="X278" s="179">
        <f>SUMIFS('recurring2_based on steps'!$B278:$AY278,'recurring2_based on steps'!$B$1:$AY$1,X$1)+SUMIFS('changes2_based on steps'!$B278:$U278,'changes2_based on steps'!$B$1:$U$1,X$1)</f>
        <v>0</v>
      </c>
      <c r="Y278" s="179">
        <f>SUMIFS('recurring2_based on steps'!$B278:$AY278,'recurring2_based on steps'!$B$1:$AY$1,Y$1)+SUMIFS('changes2_based on steps'!$B278:$U278,'changes2_based on steps'!$B$1:$U$1,Y$1)</f>
        <v>0</v>
      </c>
      <c r="Z278" s="179">
        <f>SUMIFS('recurring2_based on steps'!$B278:$AY278,'recurring2_based on steps'!$B$1:$AY$1,Z$1)+SUMIFS('changes2_based on steps'!$B278:$U278,'changes2_based on steps'!$B$1:$U$1,Z$1)</f>
        <v>0</v>
      </c>
      <c r="AA278" s="179">
        <f>SUMIFS('recurring2_based on steps'!$B278:$AY278,'recurring2_based on steps'!$B$1:$AY$1,AA$1)+SUMIFS('changes2_based on steps'!$B278:$U278,'changes2_based on steps'!$B$1:$U$1,AA$1)</f>
        <v>0</v>
      </c>
      <c r="AB278" s="179">
        <f>SUMIFS('recurring2_based on steps'!$B278:$AY278,'recurring2_based on steps'!$B$1:$AY$1,AB$1)+SUMIFS('changes2_based on steps'!$B278:$U278,'changes2_based on steps'!$B$1:$U$1,AB$1)</f>
        <v>0</v>
      </c>
      <c r="AC278" s="179">
        <f>SUMIFS('recurring2_based on steps'!$B278:$AY278,'recurring2_based on steps'!$B$1:$AY$1,AC$1)+SUMIFS('changes2_based on steps'!$B278:$U278,'changes2_based on steps'!$B$1:$U$1,AC$1)</f>
        <v>0</v>
      </c>
      <c r="AD278" s="179">
        <f>SUMIFS('recurring2_based on steps'!$B278:$AY278,'recurring2_based on steps'!$B$1:$AY$1,AD$1)+SUMIFS('changes2_based on steps'!$B278:$U278,'changes2_based on steps'!$B$1:$U$1,AD$1)</f>
        <v>0</v>
      </c>
      <c r="AE278" s="179">
        <f>SUMIFS('recurring2_based on steps'!$B278:$AY278,'recurring2_based on steps'!$B$1:$AY$1,AE$1)+SUMIFS('changes2_based on steps'!$B278:$U278,'changes2_based on steps'!$B$1:$U$1,AE$1)</f>
        <v>0</v>
      </c>
      <c r="AF278" s="179"/>
      <c r="AG278" s="179"/>
      <c r="AH278" s="179"/>
      <c r="AI278" s="179"/>
      <c r="AJ278" s="179"/>
      <c r="AK278" s="179"/>
      <c r="AL278" s="179"/>
      <c r="AM278" s="179"/>
    </row>
    <row r="279" spans="1:39" x14ac:dyDescent="0.2">
      <c r="A279" s="32">
        <f t="shared" ca="1" si="4"/>
        <v>46021</v>
      </c>
      <c r="B279" s="179">
        <f>SUMIFS('recurring2_based on steps'!$B279:$AY279,'recurring2_based on steps'!$B$1:$AY$1,B$1)+SUMIFS('changes2_based on steps'!$B279:$U279,'changes2_based on steps'!$B$1:$U$1,B$1)</f>
        <v>0</v>
      </c>
      <c r="C279" s="179">
        <f>SUMIFS('recurring2_based on steps'!$B279:$AY279,'recurring2_based on steps'!$B$1:$AY$1,C$1)+SUMIFS('changes2_based on steps'!$B279:$U279,'changes2_based on steps'!$B$1:$U$1,C$1)</f>
        <v>0</v>
      </c>
      <c r="D279" s="179">
        <f>SUMIFS('recurring2_based on steps'!$B279:$AY279,'recurring2_based on steps'!$B$1:$AY$1,D$1)+SUMIFS('changes2_based on steps'!$B279:$U279,'changes2_based on steps'!$B$1:$U$1,D$1)</f>
        <v>0</v>
      </c>
      <c r="E279" s="179">
        <f>SUMIFS('recurring2_based on steps'!$B279:$AY279,'recurring2_based on steps'!$B$1:$AY$1,E$1)+SUMIFS('changes2_based on steps'!$B279:$U279,'changes2_based on steps'!$B$1:$U$1,E$1)</f>
        <v>0</v>
      </c>
      <c r="F279" s="179">
        <f>SUMIFS('recurring2_based on steps'!$B279:$AY279,'recurring2_based on steps'!$B$1:$AY$1,F$1)+SUMIFS('changes2_based on steps'!$B279:$U279,'changes2_based on steps'!$B$1:$U$1,F$1)</f>
        <v>0</v>
      </c>
      <c r="G279" s="179">
        <f>SUMIFS('recurring2_based on steps'!$B279:$AY279,'recurring2_based on steps'!$B$1:$AY$1,G$1)+SUMIFS('changes2_based on steps'!$B279:$U279,'changes2_based on steps'!$B$1:$U$1,G$1)</f>
        <v>0</v>
      </c>
      <c r="H279" s="179">
        <f>SUMIFS('recurring2_based on steps'!$B279:$AY279,'recurring2_based on steps'!$B$1:$AY$1,H$1)+SUMIFS('changes2_based on steps'!$B279:$U279,'changes2_based on steps'!$B$1:$U$1,H$1)</f>
        <v>0</v>
      </c>
      <c r="I279" s="179">
        <f>SUMIFS('recurring2_based on steps'!$B279:$AY279,'recurring2_based on steps'!$B$1:$AY$1,I$1)+SUMIFS('changes2_based on steps'!$B279:$U279,'changes2_based on steps'!$B$1:$U$1,I$1)</f>
        <v>0</v>
      </c>
      <c r="J279" s="179">
        <f>SUMIFS('recurring2_based on steps'!$B279:$AY279,'recurring2_based on steps'!$B$1:$AY$1,J$1)+SUMIFS('changes2_based on steps'!$B279:$U279,'changes2_based on steps'!$B$1:$U$1,J$1)</f>
        <v>0</v>
      </c>
      <c r="K279" s="179">
        <f>SUMIFS('recurring2_based on steps'!$B279:$AY279,'recurring2_based on steps'!$B$1:$AY$1,K$1)+SUMIFS('changes2_based on steps'!$B279:$U279,'changes2_based on steps'!$B$1:$U$1,K$1)</f>
        <v>0</v>
      </c>
      <c r="L279" s="179">
        <f>SUMIFS('recurring2_based on steps'!$B279:$AY279,'recurring2_based on steps'!$B$1:$AY$1,L$1)+SUMIFS('changes2_based on steps'!$B279:$U279,'changes2_based on steps'!$B$1:$U$1,L$1)</f>
        <v>0</v>
      </c>
      <c r="M279" s="179">
        <f>SUMIFS('recurring2_based on steps'!$B279:$AY279,'recurring2_based on steps'!$B$1:$AY$1,M$1)+SUMIFS('changes2_based on steps'!$B279:$U279,'changes2_based on steps'!$B$1:$U$1,M$1)</f>
        <v>0</v>
      </c>
      <c r="N279" s="179">
        <f>SUMIFS('recurring2_based on steps'!$B279:$AY279,'recurring2_based on steps'!$B$1:$AY$1,N$1)+SUMIFS('changes2_based on steps'!$B279:$U279,'changes2_based on steps'!$B$1:$U$1,N$1)</f>
        <v>0</v>
      </c>
      <c r="O279" s="179">
        <f>SUMIFS('recurring2_based on steps'!$B279:$AY279,'recurring2_based on steps'!$B$1:$AY$1,O$1)+SUMIFS('changes2_based on steps'!$B279:$U279,'changes2_based on steps'!$B$1:$U$1,O$1)</f>
        <v>0</v>
      </c>
      <c r="P279" s="179">
        <f>SUMIFS('recurring2_based on steps'!$B279:$AY279,'recurring2_based on steps'!$B$1:$AY$1,P$1)+SUMIFS('changes2_based on steps'!$B279:$U279,'changes2_based on steps'!$B$1:$U$1,P$1)</f>
        <v>0</v>
      </c>
      <c r="Q279" s="179">
        <f>SUMIFS('recurring2_based on steps'!$B279:$AY279,'recurring2_based on steps'!$B$1:$AY$1,Q$1)+SUMIFS('changes2_based on steps'!$B279:$U279,'changes2_based on steps'!$B$1:$U$1,Q$1)</f>
        <v>0</v>
      </c>
      <c r="R279" s="179">
        <f>SUMIFS('recurring2_based on steps'!$B279:$AY279,'recurring2_based on steps'!$B$1:$AY$1,R$1)+SUMIFS('changes2_based on steps'!$B279:$U279,'changes2_based on steps'!$B$1:$U$1,R$1)</f>
        <v>0</v>
      </c>
      <c r="S279" s="179">
        <f>SUMIFS('recurring2_based on steps'!$B279:$AY279,'recurring2_based on steps'!$B$1:$AY$1,S$1)+SUMIFS('changes2_based on steps'!$B279:$U279,'changes2_based on steps'!$B$1:$U$1,S$1)</f>
        <v>0</v>
      </c>
      <c r="T279" s="179">
        <f>SUMIFS('recurring2_based on steps'!$B279:$AY279,'recurring2_based on steps'!$B$1:$AY$1,T$1)+SUMIFS('changes2_based on steps'!$B279:$U279,'changes2_based on steps'!$B$1:$U$1,T$1)</f>
        <v>0</v>
      </c>
      <c r="U279" s="179">
        <f>SUMIFS('recurring2_based on steps'!$B279:$AY279,'recurring2_based on steps'!$B$1:$AY$1,U$1)+SUMIFS('changes2_based on steps'!$B279:$U279,'changes2_based on steps'!$B$1:$U$1,U$1)</f>
        <v>0</v>
      </c>
      <c r="V279" s="179">
        <f>SUMIFS('recurring2_based on steps'!$B279:$AY279,'recurring2_based on steps'!$B$1:$AY$1,V$1)+SUMIFS('changes2_based on steps'!$B279:$U279,'changes2_based on steps'!$B$1:$U$1,V$1)</f>
        <v>0</v>
      </c>
      <c r="W279" s="179">
        <f>SUMIFS('recurring2_based on steps'!$B279:$AY279,'recurring2_based on steps'!$B$1:$AY$1,W$1)+SUMIFS('changes2_based on steps'!$B279:$U279,'changes2_based on steps'!$B$1:$U$1,W$1)</f>
        <v>0</v>
      </c>
      <c r="X279" s="179">
        <f>SUMIFS('recurring2_based on steps'!$B279:$AY279,'recurring2_based on steps'!$B$1:$AY$1,X$1)+SUMIFS('changes2_based on steps'!$B279:$U279,'changes2_based on steps'!$B$1:$U$1,X$1)</f>
        <v>0</v>
      </c>
      <c r="Y279" s="179">
        <f>SUMIFS('recurring2_based on steps'!$B279:$AY279,'recurring2_based on steps'!$B$1:$AY$1,Y$1)+SUMIFS('changes2_based on steps'!$B279:$U279,'changes2_based on steps'!$B$1:$U$1,Y$1)</f>
        <v>0</v>
      </c>
      <c r="Z279" s="179">
        <f>SUMIFS('recurring2_based on steps'!$B279:$AY279,'recurring2_based on steps'!$B$1:$AY$1,Z$1)+SUMIFS('changes2_based on steps'!$B279:$U279,'changes2_based on steps'!$B$1:$U$1,Z$1)</f>
        <v>0</v>
      </c>
      <c r="AA279" s="179">
        <f>SUMIFS('recurring2_based on steps'!$B279:$AY279,'recurring2_based on steps'!$B$1:$AY$1,AA$1)+SUMIFS('changes2_based on steps'!$B279:$U279,'changes2_based on steps'!$B$1:$U$1,AA$1)</f>
        <v>0</v>
      </c>
      <c r="AB279" s="179">
        <f>SUMIFS('recurring2_based on steps'!$B279:$AY279,'recurring2_based on steps'!$B$1:$AY$1,AB$1)+SUMIFS('changes2_based on steps'!$B279:$U279,'changes2_based on steps'!$B$1:$U$1,AB$1)</f>
        <v>0</v>
      </c>
      <c r="AC279" s="179">
        <f>SUMIFS('recurring2_based on steps'!$B279:$AY279,'recurring2_based on steps'!$B$1:$AY$1,AC$1)+SUMIFS('changes2_based on steps'!$B279:$U279,'changes2_based on steps'!$B$1:$U$1,AC$1)</f>
        <v>0</v>
      </c>
      <c r="AD279" s="179">
        <f>SUMIFS('recurring2_based on steps'!$B279:$AY279,'recurring2_based on steps'!$B$1:$AY$1,AD$1)+SUMIFS('changes2_based on steps'!$B279:$U279,'changes2_based on steps'!$B$1:$U$1,AD$1)</f>
        <v>0</v>
      </c>
      <c r="AE279" s="179">
        <f>SUMIFS('recurring2_based on steps'!$B279:$AY279,'recurring2_based on steps'!$B$1:$AY$1,AE$1)+SUMIFS('changes2_based on steps'!$B279:$U279,'changes2_based on steps'!$B$1:$U$1,AE$1)</f>
        <v>0</v>
      </c>
      <c r="AF279" s="179"/>
      <c r="AG279" s="179"/>
      <c r="AH279" s="179"/>
      <c r="AI279" s="179"/>
      <c r="AJ279" s="179"/>
      <c r="AK279" s="179"/>
      <c r="AL279" s="179"/>
      <c r="AM279" s="179"/>
    </row>
    <row r="280" spans="1:39" x14ac:dyDescent="0.2">
      <c r="A280" s="32">
        <f t="shared" ca="1" si="4"/>
        <v>46022</v>
      </c>
      <c r="B280" s="179">
        <f>SUMIFS('recurring2_based on steps'!$B280:$AY280,'recurring2_based on steps'!$B$1:$AY$1,B$1)+SUMIFS('changes2_based on steps'!$B280:$U280,'changes2_based on steps'!$B$1:$U$1,B$1)</f>
        <v>0</v>
      </c>
      <c r="C280" s="179">
        <f>SUMIFS('recurring2_based on steps'!$B280:$AY280,'recurring2_based on steps'!$B$1:$AY$1,C$1)+SUMIFS('changes2_based on steps'!$B280:$U280,'changes2_based on steps'!$B$1:$U$1,C$1)</f>
        <v>0</v>
      </c>
      <c r="D280" s="179">
        <f>SUMIFS('recurring2_based on steps'!$B280:$AY280,'recurring2_based on steps'!$B$1:$AY$1,D$1)+SUMIFS('changes2_based on steps'!$B280:$U280,'changes2_based on steps'!$B$1:$U$1,D$1)</f>
        <v>0</v>
      </c>
      <c r="E280" s="179">
        <f>SUMIFS('recurring2_based on steps'!$B280:$AY280,'recurring2_based on steps'!$B$1:$AY$1,E$1)+SUMIFS('changes2_based on steps'!$B280:$U280,'changes2_based on steps'!$B$1:$U$1,E$1)</f>
        <v>0</v>
      </c>
      <c r="F280" s="179">
        <f>SUMIFS('recurring2_based on steps'!$B280:$AY280,'recurring2_based on steps'!$B$1:$AY$1,F$1)+SUMIFS('changes2_based on steps'!$B280:$U280,'changes2_based on steps'!$B$1:$U$1,F$1)</f>
        <v>0</v>
      </c>
      <c r="G280" s="179">
        <f>SUMIFS('recurring2_based on steps'!$B280:$AY280,'recurring2_based on steps'!$B$1:$AY$1,G$1)+SUMIFS('changes2_based on steps'!$B280:$U280,'changes2_based on steps'!$B$1:$U$1,G$1)</f>
        <v>0</v>
      </c>
      <c r="H280" s="179">
        <f>SUMIFS('recurring2_based on steps'!$B280:$AY280,'recurring2_based on steps'!$B$1:$AY$1,H$1)+SUMIFS('changes2_based on steps'!$B280:$U280,'changes2_based on steps'!$B$1:$U$1,H$1)</f>
        <v>0</v>
      </c>
      <c r="I280" s="179">
        <f>SUMIFS('recurring2_based on steps'!$B280:$AY280,'recurring2_based on steps'!$B$1:$AY$1,I$1)+SUMIFS('changes2_based on steps'!$B280:$U280,'changes2_based on steps'!$B$1:$U$1,I$1)</f>
        <v>0</v>
      </c>
      <c r="J280" s="179">
        <f>SUMIFS('recurring2_based on steps'!$B280:$AY280,'recurring2_based on steps'!$B$1:$AY$1,J$1)+SUMIFS('changes2_based on steps'!$B280:$U280,'changes2_based on steps'!$B$1:$U$1,J$1)</f>
        <v>0</v>
      </c>
      <c r="K280" s="179">
        <f>SUMIFS('recurring2_based on steps'!$B280:$AY280,'recurring2_based on steps'!$B$1:$AY$1,K$1)+SUMIFS('changes2_based on steps'!$B280:$U280,'changes2_based on steps'!$B$1:$U$1,K$1)</f>
        <v>0</v>
      </c>
      <c r="L280" s="179">
        <f>SUMIFS('recurring2_based on steps'!$B280:$AY280,'recurring2_based on steps'!$B$1:$AY$1,L$1)+SUMIFS('changes2_based on steps'!$B280:$U280,'changes2_based on steps'!$B$1:$U$1,L$1)</f>
        <v>0</v>
      </c>
      <c r="M280" s="179">
        <f>SUMIFS('recurring2_based on steps'!$B280:$AY280,'recurring2_based on steps'!$B$1:$AY$1,M$1)+SUMIFS('changes2_based on steps'!$B280:$U280,'changes2_based on steps'!$B$1:$U$1,M$1)</f>
        <v>0</v>
      </c>
      <c r="N280" s="179">
        <f>SUMIFS('recurring2_based on steps'!$B280:$AY280,'recurring2_based on steps'!$B$1:$AY$1,N$1)+SUMIFS('changes2_based on steps'!$B280:$U280,'changes2_based on steps'!$B$1:$U$1,N$1)</f>
        <v>0</v>
      </c>
      <c r="O280" s="179">
        <f>SUMIFS('recurring2_based on steps'!$B280:$AY280,'recurring2_based on steps'!$B$1:$AY$1,O$1)+SUMIFS('changes2_based on steps'!$B280:$U280,'changes2_based on steps'!$B$1:$U$1,O$1)</f>
        <v>0</v>
      </c>
      <c r="P280" s="179">
        <f>SUMIFS('recurring2_based on steps'!$B280:$AY280,'recurring2_based on steps'!$B$1:$AY$1,P$1)+SUMIFS('changes2_based on steps'!$B280:$U280,'changes2_based on steps'!$B$1:$U$1,P$1)</f>
        <v>0</v>
      </c>
      <c r="Q280" s="179">
        <f>SUMIFS('recurring2_based on steps'!$B280:$AY280,'recurring2_based on steps'!$B$1:$AY$1,Q$1)+SUMIFS('changes2_based on steps'!$B280:$U280,'changes2_based on steps'!$B$1:$U$1,Q$1)</f>
        <v>0</v>
      </c>
      <c r="R280" s="179">
        <f>SUMIFS('recurring2_based on steps'!$B280:$AY280,'recurring2_based on steps'!$B$1:$AY$1,R$1)+SUMIFS('changes2_based on steps'!$B280:$U280,'changes2_based on steps'!$B$1:$U$1,R$1)</f>
        <v>0</v>
      </c>
      <c r="S280" s="179">
        <f>SUMIFS('recurring2_based on steps'!$B280:$AY280,'recurring2_based on steps'!$B$1:$AY$1,S$1)+SUMIFS('changes2_based on steps'!$B280:$U280,'changes2_based on steps'!$B$1:$U$1,S$1)</f>
        <v>0</v>
      </c>
      <c r="T280" s="179">
        <f>SUMIFS('recurring2_based on steps'!$B280:$AY280,'recurring2_based on steps'!$B$1:$AY$1,T$1)+SUMIFS('changes2_based on steps'!$B280:$U280,'changes2_based on steps'!$B$1:$U$1,T$1)</f>
        <v>0</v>
      </c>
      <c r="U280" s="179">
        <f>SUMIFS('recurring2_based on steps'!$B280:$AY280,'recurring2_based on steps'!$B$1:$AY$1,U$1)+SUMIFS('changes2_based on steps'!$B280:$U280,'changes2_based on steps'!$B$1:$U$1,U$1)</f>
        <v>0</v>
      </c>
      <c r="V280" s="179">
        <f>SUMIFS('recurring2_based on steps'!$B280:$AY280,'recurring2_based on steps'!$B$1:$AY$1,V$1)+SUMIFS('changes2_based on steps'!$B280:$U280,'changes2_based on steps'!$B$1:$U$1,V$1)</f>
        <v>0</v>
      </c>
      <c r="W280" s="179">
        <f>SUMIFS('recurring2_based on steps'!$B280:$AY280,'recurring2_based on steps'!$B$1:$AY$1,W$1)+SUMIFS('changes2_based on steps'!$B280:$U280,'changes2_based on steps'!$B$1:$U$1,W$1)</f>
        <v>0</v>
      </c>
      <c r="X280" s="179">
        <f>SUMIFS('recurring2_based on steps'!$B280:$AY280,'recurring2_based on steps'!$B$1:$AY$1,X$1)+SUMIFS('changes2_based on steps'!$B280:$U280,'changes2_based on steps'!$B$1:$U$1,X$1)</f>
        <v>0</v>
      </c>
      <c r="Y280" s="179">
        <f>SUMIFS('recurring2_based on steps'!$B280:$AY280,'recurring2_based on steps'!$B$1:$AY$1,Y$1)+SUMIFS('changes2_based on steps'!$B280:$U280,'changes2_based on steps'!$B$1:$U$1,Y$1)</f>
        <v>0</v>
      </c>
      <c r="Z280" s="179">
        <f>SUMIFS('recurring2_based on steps'!$B280:$AY280,'recurring2_based on steps'!$B$1:$AY$1,Z$1)+SUMIFS('changes2_based on steps'!$B280:$U280,'changes2_based on steps'!$B$1:$U$1,Z$1)</f>
        <v>0</v>
      </c>
      <c r="AA280" s="179">
        <f>SUMIFS('recurring2_based on steps'!$B280:$AY280,'recurring2_based on steps'!$B$1:$AY$1,AA$1)+SUMIFS('changes2_based on steps'!$B280:$U280,'changes2_based on steps'!$B$1:$U$1,AA$1)</f>
        <v>0</v>
      </c>
      <c r="AB280" s="179">
        <f>SUMIFS('recurring2_based on steps'!$B280:$AY280,'recurring2_based on steps'!$B$1:$AY$1,AB$1)+SUMIFS('changes2_based on steps'!$B280:$U280,'changes2_based on steps'!$B$1:$U$1,AB$1)</f>
        <v>0</v>
      </c>
      <c r="AC280" s="179">
        <f>SUMIFS('recurring2_based on steps'!$B280:$AY280,'recurring2_based on steps'!$B$1:$AY$1,AC$1)+SUMIFS('changes2_based on steps'!$B280:$U280,'changes2_based on steps'!$B$1:$U$1,AC$1)</f>
        <v>0</v>
      </c>
      <c r="AD280" s="179">
        <f>SUMIFS('recurring2_based on steps'!$B280:$AY280,'recurring2_based on steps'!$B$1:$AY$1,AD$1)+SUMIFS('changes2_based on steps'!$B280:$U280,'changes2_based on steps'!$B$1:$U$1,AD$1)</f>
        <v>0</v>
      </c>
      <c r="AE280" s="179">
        <f>SUMIFS('recurring2_based on steps'!$B280:$AY280,'recurring2_based on steps'!$B$1:$AY$1,AE$1)+SUMIFS('changes2_based on steps'!$B280:$U280,'changes2_based on steps'!$B$1:$U$1,AE$1)</f>
        <v>0</v>
      </c>
      <c r="AF280" s="179"/>
      <c r="AG280" s="179"/>
      <c r="AH280" s="179"/>
      <c r="AI280" s="179"/>
      <c r="AJ280" s="179"/>
      <c r="AK280" s="179"/>
      <c r="AL280" s="179"/>
      <c r="AM280" s="179"/>
    </row>
    <row r="281" spans="1:39" x14ac:dyDescent="0.2">
      <c r="A281" s="32">
        <f t="shared" ca="1" si="4"/>
        <v>46023</v>
      </c>
      <c r="B281" s="179">
        <f>SUMIFS('recurring2_based on steps'!$B281:$AY281,'recurring2_based on steps'!$B$1:$AY$1,B$1)+SUMIFS('changes2_based on steps'!$B281:$U281,'changes2_based on steps'!$B$1:$U$1,B$1)</f>
        <v>0</v>
      </c>
      <c r="C281" s="179">
        <f>SUMIFS('recurring2_based on steps'!$B281:$AY281,'recurring2_based on steps'!$B$1:$AY$1,C$1)+SUMIFS('changes2_based on steps'!$B281:$U281,'changes2_based on steps'!$B$1:$U$1,C$1)</f>
        <v>0</v>
      </c>
      <c r="D281" s="179">
        <f>SUMIFS('recurring2_based on steps'!$B281:$AY281,'recurring2_based on steps'!$B$1:$AY$1,D$1)+SUMIFS('changes2_based on steps'!$B281:$U281,'changes2_based on steps'!$B$1:$U$1,D$1)</f>
        <v>0</v>
      </c>
      <c r="E281" s="179">
        <f>SUMIFS('recurring2_based on steps'!$B281:$AY281,'recurring2_based on steps'!$B$1:$AY$1,E$1)+SUMIFS('changes2_based on steps'!$B281:$U281,'changes2_based on steps'!$B$1:$U$1,E$1)</f>
        <v>0</v>
      </c>
      <c r="F281" s="179">
        <f>SUMIFS('recurring2_based on steps'!$B281:$AY281,'recurring2_based on steps'!$B$1:$AY$1,F$1)+SUMIFS('changes2_based on steps'!$B281:$U281,'changes2_based on steps'!$B$1:$U$1,F$1)</f>
        <v>0</v>
      </c>
      <c r="G281" s="179">
        <f>SUMIFS('recurring2_based on steps'!$B281:$AY281,'recurring2_based on steps'!$B$1:$AY$1,G$1)+SUMIFS('changes2_based on steps'!$B281:$U281,'changes2_based on steps'!$B$1:$U$1,G$1)</f>
        <v>0</v>
      </c>
      <c r="H281" s="179">
        <f>SUMIFS('recurring2_based on steps'!$B281:$AY281,'recurring2_based on steps'!$B$1:$AY$1,H$1)+SUMIFS('changes2_based on steps'!$B281:$U281,'changes2_based on steps'!$B$1:$U$1,H$1)</f>
        <v>0</v>
      </c>
      <c r="I281" s="179">
        <f>SUMIFS('recurring2_based on steps'!$B281:$AY281,'recurring2_based on steps'!$B$1:$AY$1,I$1)+SUMIFS('changes2_based on steps'!$B281:$U281,'changes2_based on steps'!$B$1:$U$1,I$1)</f>
        <v>0</v>
      </c>
      <c r="J281" s="179">
        <f>SUMIFS('recurring2_based on steps'!$B281:$AY281,'recurring2_based on steps'!$B$1:$AY$1,J$1)+SUMIFS('changes2_based on steps'!$B281:$U281,'changes2_based on steps'!$B$1:$U$1,J$1)</f>
        <v>0</v>
      </c>
      <c r="K281" s="179">
        <f>SUMIFS('recurring2_based on steps'!$B281:$AY281,'recurring2_based on steps'!$B$1:$AY$1,K$1)+SUMIFS('changes2_based on steps'!$B281:$U281,'changes2_based on steps'!$B$1:$U$1,K$1)</f>
        <v>0</v>
      </c>
      <c r="L281" s="179">
        <f>SUMIFS('recurring2_based on steps'!$B281:$AY281,'recurring2_based on steps'!$B$1:$AY$1,L$1)+SUMIFS('changes2_based on steps'!$B281:$U281,'changes2_based on steps'!$B$1:$U$1,L$1)</f>
        <v>0</v>
      </c>
      <c r="M281" s="179">
        <f>SUMIFS('recurring2_based on steps'!$B281:$AY281,'recurring2_based on steps'!$B$1:$AY$1,M$1)+SUMIFS('changes2_based on steps'!$B281:$U281,'changes2_based on steps'!$B$1:$U$1,M$1)</f>
        <v>0</v>
      </c>
      <c r="N281" s="179">
        <f>SUMIFS('recurring2_based on steps'!$B281:$AY281,'recurring2_based on steps'!$B$1:$AY$1,N$1)+SUMIFS('changes2_based on steps'!$B281:$U281,'changes2_based on steps'!$B$1:$U$1,N$1)</f>
        <v>0</v>
      </c>
      <c r="O281" s="179">
        <f>SUMIFS('recurring2_based on steps'!$B281:$AY281,'recurring2_based on steps'!$B$1:$AY$1,O$1)+SUMIFS('changes2_based on steps'!$B281:$U281,'changes2_based on steps'!$B$1:$U$1,O$1)</f>
        <v>0</v>
      </c>
      <c r="P281" s="179">
        <f>SUMIFS('recurring2_based on steps'!$B281:$AY281,'recurring2_based on steps'!$B$1:$AY$1,P$1)+SUMIFS('changes2_based on steps'!$B281:$U281,'changes2_based on steps'!$B$1:$U$1,P$1)</f>
        <v>0</v>
      </c>
      <c r="Q281" s="179">
        <f>SUMIFS('recurring2_based on steps'!$B281:$AY281,'recurring2_based on steps'!$B$1:$AY$1,Q$1)+SUMIFS('changes2_based on steps'!$B281:$U281,'changes2_based on steps'!$B$1:$U$1,Q$1)</f>
        <v>0</v>
      </c>
      <c r="R281" s="179">
        <f>SUMIFS('recurring2_based on steps'!$B281:$AY281,'recurring2_based on steps'!$B$1:$AY$1,R$1)+SUMIFS('changes2_based on steps'!$B281:$U281,'changes2_based on steps'!$B$1:$U$1,R$1)</f>
        <v>0</v>
      </c>
      <c r="S281" s="179">
        <f>SUMIFS('recurring2_based on steps'!$B281:$AY281,'recurring2_based on steps'!$B$1:$AY$1,S$1)+SUMIFS('changes2_based on steps'!$B281:$U281,'changes2_based on steps'!$B$1:$U$1,S$1)</f>
        <v>0</v>
      </c>
      <c r="T281" s="179">
        <f>SUMIFS('recurring2_based on steps'!$B281:$AY281,'recurring2_based on steps'!$B$1:$AY$1,T$1)+SUMIFS('changes2_based on steps'!$B281:$U281,'changes2_based on steps'!$B$1:$U$1,T$1)</f>
        <v>0</v>
      </c>
      <c r="U281" s="179">
        <f>SUMIFS('recurring2_based on steps'!$B281:$AY281,'recurring2_based on steps'!$B$1:$AY$1,U$1)+SUMIFS('changes2_based on steps'!$B281:$U281,'changes2_based on steps'!$B$1:$U$1,U$1)</f>
        <v>0</v>
      </c>
      <c r="V281" s="179">
        <f>SUMIFS('recurring2_based on steps'!$B281:$AY281,'recurring2_based on steps'!$B$1:$AY$1,V$1)+SUMIFS('changes2_based on steps'!$B281:$U281,'changes2_based on steps'!$B$1:$U$1,V$1)</f>
        <v>0</v>
      </c>
      <c r="W281" s="179">
        <f>SUMIFS('recurring2_based on steps'!$B281:$AY281,'recurring2_based on steps'!$B$1:$AY$1,W$1)+SUMIFS('changes2_based on steps'!$B281:$U281,'changes2_based on steps'!$B$1:$U$1,W$1)</f>
        <v>0</v>
      </c>
      <c r="X281" s="179">
        <f>SUMIFS('recurring2_based on steps'!$B281:$AY281,'recurring2_based on steps'!$B$1:$AY$1,X$1)+SUMIFS('changes2_based on steps'!$B281:$U281,'changes2_based on steps'!$B$1:$U$1,X$1)</f>
        <v>0</v>
      </c>
      <c r="Y281" s="179">
        <f>SUMIFS('recurring2_based on steps'!$B281:$AY281,'recurring2_based on steps'!$B$1:$AY$1,Y$1)+SUMIFS('changes2_based on steps'!$B281:$U281,'changes2_based on steps'!$B$1:$U$1,Y$1)</f>
        <v>0</v>
      </c>
      <c r="Z281" s="179">
        <f>SUMIFS('recurring2_based on steps'!$B281:$AY281,'recurring2_based on steps'!$B$1:$AY$1,Z$1)+SUMIFS('changes2_based on steps'!$B281:$U281,'changes2_based on steps'!$B$1:$U$1,Z$1)</f>
        <v>0</v>
      </c>
      <c r="AA281" s="179">
        <f>SUMIFS('recurring2_based on steps'!$B281:$AY281,'recurring2_based on steps'!$B$1:$AY$1,AA$1)+SUMIFS('changes2_based on steps'!$B281:$U281,'changes2_based on steps'!$B$1:$U$1,AA$1)</f>
        <v>0</v>
      </c>
      <c r="AB281" s="179">
        <f>SUMIFS('recurring2_based on steps'!$B281:$AY281,'recurring2_based on steps'!$B$1:$AY$1,AB$1)+SUMIFS('changes2_based on steps'!$B281:$U281,'changes2_based on steps'!$B$1:$U$1,AB$1)</f>
        <v>0</v>
      </c>
      <c r="AC281" s="179">
        <f>SUMIFS('recurring2_based on steps'!$B281:$AY281,'recurring2_based on steps'!$B$1:$AY$1,AC$1)+SUMIFS('changes2_based on steps'!$B281:$U281,'changes2_based on steps'!$B$1:$U$1,AC$1)</f>
        <v>0</v>
      </c>
      <c r="AD281" s="179">
        <f>SUMIFS('recurring2_based on steps'!$B281:$AY281,'recurring2_based on steps'!$B$1:$AY$1,AD$1)+SUMIFS('changes2_based on steps'!$B281:$U281,'changes2_based on steps'!$B$1:$U$1,AD$1)</f>
        <v>0</v>
      </c>
      <c r="AE281" s="179">
        <f>SUMIFS('recurring2_based on steps'!$B281:$AY281,'recurring2_based on steps'!$B$1:$AY$1,AE$1)+SUMIFS('changes2_based on steps'!$B281:$U281,'changes2_based on steps'!$B$1:$U$1,AE$1)</f>
        <v>0</v>
      </c>
      <c r="AF281" s="179"/>
      <c r="AG281" s="179"/>
      <c r="AH281" s="179"/>
      <c r="AI281" s="179"/>
      <c r="AJ281" s="179"/>
      <c r="AK281" s="179"/>
      <c r="AL281" s="179"/>
      <c r="AM281" s="179"/>
    </row>
    <row r="282" spans="1:39" x14ac:dyDescent="0.2">
      <c r="A282" s="32">
        <f t="shared" ca="1" si="4"/>
        <v>46024</v>
      </c>
      <c r="B282" s="179">
        <f>SUMIFS('recurring2_based on steps'!$B282:$AY282,'recurring2_based on steps'!$B$1:$AY$1,B$1)+SUMIFS('changes2_based on steps'!$B282:$U282,'changes2_based on steps'!$B$1:$U$1,B$1)</f>
        <v>0</v>
      </c>
      <c r="C282" s="179">
        <f>SUMIFS('recurring2_based on steps'!$B282:$AY282,'recurring2_based on steps'!$B$1:$AY$1,C$1)+SUMIFS('changes2_based on steps'!$B282:$U282,'changes2_based on steps'!$B$1:$U$1,C$1)</f>
        <v>0</v>
      </c>
      <c r="D282" s="179">
        <f>SUMIFS('recurring2_based on steps'!$B282:$AY282,'recurring2_based on steps'!$B$1:$AY$1,D$1)+SUMIFS('changes2_based on steps'!$B282:$U282,'changes2_based on steps'!$B$1:$U$1,D$1)</f>
        <v>0</v>
      </c>
      <c r="E282" s="179">
        <f>SUMIFS('recurring2_based on steps'!$B282:$AY282,'recurring2_based on steps'!$B$1:$AY$1,E$1)+SUMIFS('changes2_based on steps'!$B282:$U282,'changes2_based on steps'!$B$1:$U$1,E$1)</f>
        <v>0</v>
      </c>
      <c r="F282" s="179">
        <f>SUMIFS('recurring2_based on steps'!$B282:$AY282,'recurring2_based on steps'!$B$1:$AY$1,F$1)+SUMIFS('changes2_based on steps'!$B282:$U282,'changes2_based on steps'!$B$1:$U$1,F$1)</f>
        <v>0</v>
      </c>
      <c r="G282" s="179">
        <f>SUMIFS('recurring2_based on steps'!$B282:$AY282,'recurring2_based on steps'!$B$1:$AY$1,G$1)+SUMIFS('changes2_based on steps'!$B282:$U282,'changes2_based on steps'!$B$1:$U$1,G$1)</f>
        <v>0</v>
      </c>
      <c r="H282" s="179">
        <f>SUMIFS('recurring2_based on steps'!$B282:$AY282,'recurring2_based on steps'!$B$1:$AY$1,H$1)+SUMIFS('changes2_based on steps'!$B282:$U282,'changes2_based on steps'!$B$1:$U$1,H$1)</f>
        <v>0</v>
      </c>
      <c r="I282" s="179">
        <f>SUMIFS('recurring2_based on steps'!$B282:$AY282,'recurring2_based on steps'!$B$1:$AY$1,I$1)+SUMIFS('changes2_based on steps'!$B282:$U282,'changes2_based on steps'!$B$1:$U$1,I$1)</f>
        <v>0</v>
      </c>
      <c r="J282" s="179">
        <f>SUMIFS('recurring2_based on steps'!$B282:$AY282,'recurring2_based on steps'!$B$1:$AY$1,J$1)+SUMIFS('changes2_based on steps'!$B282:$U282,'changes2_based on steps'!$B$1:$U$1,J$1)</f>
        <v>0</v>
      </c>
      <c r="K282" s="179">
        <f>SUMIFS('recurring2_based on steps'!$B282:$AY282,'recurring2_based on steps'!$B$1:$AY$1,K$1)+SUMIFS('changes2_based on steps'!$B282:$U282,'changes2_based on steps'!$B$1:$U$1,K$1)</f>
        <v>0</v>
      </c>
      <c r="L282" s="179">
        <f>SUMIFS('recurring2_based on steps'!$B282:$AY282,'recurring2_based on steps'!$B$1:$AY$1,L$1)+SUMIFS('changes2_based on steps'!$B282:$U282,'changes2_based on steps'!$B$1:$U$1,L$1)</f>
        <v>0</v>
      </c>
      <c r="M282" s="179">
        <f>SUMIFS('recurring2_based on steps'!$B282:$AY282,'recurring2_based on steps'!$B$1:$AY$1,M$1)+SUMIFS('changes2_based on steps'!$B282:$U282,'changes2_based on steps'!$B$1:$U$1,M$1)</f>
        <v>0</v>
      </c>
      <c r="N282" s="179">
        <f>SUMIFS('recurring2_based on steps'!$B282:$AY282,'recurring2_based on steps'!$B$1:$AY$1,N$1)+SUMIFS('changes2_based on steps'!$B282:$U282,'changes2_based on steps'!$B$1:$U$1,N$1)</f>
        <v>0</v>
      </c>
      <c r="O282" s="179">
        <f>SUMIFS('recurring2_based on steps'!$B282:$AY282,'recurring2_based on steps'!$B$1:$AY$1,O$1)+SUMIFS('changes2_based on steps'!$B282:$U282,'changes2_based on steps'!$B$1:$U$1,O$1)</f>
        <v>0</v>
      </c>
      <c r="P282" s="179">
        <f>SUMIFS('recurring2_based on steps'!$B282:$AY282,'recurring2_based on steps'!$B$1:$AY$1,P$1)+SUMIFS('changes2_based on steps'!$B282:$U282,'changes2_based on steps'!$B$1:$U$1,P$1)</f>
        <v>0</v>
      </c>
      <c r="Q282" s="179">
        <f>SUMIFS('recurring2_based on steps'!$B282:$AY282,'recurring2_based on steps'!$B$1:$AY$1,Q$1)+SUMIFS('changes2_based on steps'!$B282:$U282,'changes2_based on steps'!$B$1:$U$1,Q$1)</f>
        <v>0</v>
      </c>
      <c r="R282" s="179">
        <f>SUMIFS('recurring2_based on steps'!$B282:$AY282,'recurring2_based on steps'!$B$1:$AY$1,R$1)+SUMIFS('changes2_based on steps'!$B282:$U282,'changes2_based on steps'!$B$1:$U$1,R$1)</f>
        <v>0</v>
      </c>
      <c r="S282" s="179">
        <f>SUMIFS('recurring2_based on steps'!$B282:$AY282,'recurring2_based on steps'!$B$1:$AY$1,S$1)+SUMIFS('changes2_based on steps'!$B282:$U282,'changes2_based on steps'!$B$1:$U$1,S$1)</f>
        <v>0</v>
      </c>
      <c r="T282" s="179">
        <f>SUMIFS('recurring2_based on steps'!$B282:$AY282,'recurring2_based on steps'!$B$1:$AY$1,T$1)+SUMIFS('changes2_based on steps'!$B282:$U282,'changes2_based on steps'!$B$1:$U$1,T$1)</f>
        <v>0</v>
      </c>
      <c r="U282" s="179">
        <f>SUMIFS('recurring2_based on steps'!$B282:$AY282,'recurring2_based on steps'!$B$1:$AY$1,U$1)+SUMIFS('changes2_based on steps'!$B282:$U282,'changes2_based on steps'!$B$1:$U$1,U$1)</f>
        <v>0</v>
      </c>
      <c r="V282" s="179">
        <f>SUMIFS('recurring2_based on steps'!$B282:$AY282,'recurring2_based on steps'!$B$1:$AY$1,V$1)+SUMIFS('changes2_based on steps'!$B282:$U282,'changes2_based on steps'!$B$1:$U$1,V$1)</f>
        <v>0</v>
      </c>
      <c r="W282" s="179">
        <f>SUMIFS('recurring2_based on steps'!$B282:$AY282,'recurring2_based on steps'!$B$1:$AY$1,W$1)+SUMIFS('changes2_based on steps'!$B282:$U282,'changes2_based on steps'!$B$1:$U$1,W$1)</f>
        <v>0</v>
      </c>
      <c r="X282" s="179">
        <f>SUMIFS('recurring2_based on steps'!$B282:$AY282,'recurring2_based on steps'!$B$1:$AY$1,X$1)+SUMIFS('changes2_based on steps'!$B282:$U282,'changes2_based on steps'!$B$1:$U$1,X$1)</f>
        <v>0</v>
      </c>
      <c r="Y282" s="179">
        <f>SUMIFS('recurring2_based on steps'!$B282:$AY282,'recurring2_based on steps'!$B$1:$AY$1,Y$1)+SUMIFS('changes2_based on steps'!$B282:$U282,'changes2_based on steps'!$B$1:$U$1,Y$1)</f>
        <v>0</v>
      </c>
      <c r="Z282" s="179">
        <f>SUMIFS('recurring2_based on steps'!$B282:$AY282,'recurring2_based on steps'!$B$1:$AY$1,Z$1)+SUMIFS('changes2_based on steps'!$B282:$U282,'changes2_based on steps'!$B$1:$U$1,Z$1)</f>
        <v>0</v>
      </c>
      <c r="AA282" s="179">
        <f>SUMIFS('recurring2_based on steps'!$B282:$AY282,'recurring2_based on steps'!$B$1:$AY$1,AA$1)+SUMIFS('changes2_based on steps'!$B282:$U282,'changes2_based on steps'!$B$1:$U$1,AA$1)</f>
        <v>0</v>
      </c>
      <c r="AB282" s="179">
        <f>SUMIFS('recurring2_based on steps'!$B282:$AY282,'recurring2_based on steps'!$B$1:$AY$1,AB$1)+SUMIFS('changes2_based on steps'!$B282:$U282,'changes2_based on steps'!$B$1:$U$1,AB$1)</f>
        <v>0</v>
      </c>
      <c r="AC282" s="179">
        <f>SUMIFS('recurring2_based on steps'!$B282:$AY282,'recurring2_based on steps'!$B$1:$AY$1,AC$1)+SUMIFS('changes2_based on steps'!$B282:$U282,'changes2_based on steps'!$B$1:$U$1,AC$1)</f>
        <v>0</v>
      </c>
      <c r="AD282" s="179">
        <f>SUMIFS('recurring2_based on steps'!$B282:$AY282,'recurring2_based on steps'!$B$1:$AY$1,AD$1)+SUMIFS('changes2_based on steps'!$B282:$U282,'changes2_based on steps'!$B$1:$U$1,AD$1)</f>
        <v>0</v>
      </c>
      <c r="AE282" s="179">
        <f>SUMIFS('recurring2_based on steps'!$B282:$AY282,'recurring2_based on steps'!$B$1:$AY$1,AE$1)+SUMIFS('changes2_based on steps'!$B282:$U282,'changes2_based on steps'!$B$1:$U$1,AE$1)</f>
        <v>0</v>
      </c>
      <c r="AF282" s="179"/>
      <c r="AG282" s="179"/>
      <c r="AH282" s="179"/>
      <c r="AI282" s="179"/>
      <c r="AJ282" s="179"/>
      <c r="AK282" s="179"/>
      <c r="AL282" s="179"/>
      <c r="AM282" s="179"/>
    </row>
    <row r="283" spans="1:39" x14ac:dyDescent="0.2">
      <c r="A283" s="32">
        <f t="shared" ca="1" si="4"/>
        <v>46025</v>
      </c>
      <c r="B283" s="179">
        <f>SUMIFS('recurring2_based on steps'!$B283:$AY283,'recurring2_based on steps'!$B$1:$AY$1,B$1)+SUMIFS('changes2_based on steps'!$B283:$U283,'changes2_based on steps'!$B$1:$U$1,B$1)</f>
        <v>0</v>
      </c>
      <c r="C283" s="179">
        <f>SUMIFS('recurring2_based on steps'!$B283:$AY283,'recurring2_based on steps'!$B$1:$AY$1,C$1)+SUMIFS('changes2_based on steps'!$B283:$U283,'changes2_based on steps'!$B$1:$U$1,C$1)</f>
        <v>0</v>
      </c>
      <c r="D283" s="179">
        <f>SUMIFS('recurring2_based on steps'!$B283:$AY283,'recurring2_based on steps'!$B$1:$AY$1,D$1)+SUMIFS('changes2_based on steps'!$B283:$U283,'changes2_based on steps'!$B$1:$U$1,D$1)</f>
        <v>0</v>
      </c>
      <c r="E283" s="179">
        <f>SUMIFS('recurring2_based on steps'!$B283:$AY283,'recurring2_based on steps'!$B$1:$AY$1,E$1)+SUMIFS('changes2_based on steps'!$B283:$U283,'changes2_based on steps'!$B$1:$U$1,E$1)</f>
        <v>0</v>
      </c>
      <c r="F283" s="179">
        <f>SUMIFS('recurring2_based on steps'!$B283:$AY283,'recurring2_based on steps'!$B$1:$AY$1,F$1)+SUMIFS('changes2_based on steps'!$B283:$U283,'changes2_based on steps'!$B$1:$U$1,F$1)</f>
        <v>0</v>
      </c>
      <c r="G283" s="179">
        <f>SUMIFS('recurring2_based on steps'!$B283:$AY283,'recurring2_based on steps'!$B$1:$AY$1,G$1)+SUMIFS('changes2_based on steps'!$B283:$U283,'changes2_based on steps'!$B$1:$U$1,G$1)</f>
        <v>0</v>
      </c>
      <c r="H283" s="179">
        <f>SUMIFS('recurring2_based on steps'!$B283:$AY283,'recurring2_based on steps'!$B$1:$AY$1,H$1)+SUMIFS('changes2_based on steps'!$B283:$U283,'changes2_based on steps'!$B$1:$U$1,H$1)</f>
        <v>0</v>
      </c>
      <c r="I283" s="179">
        <f>SUMIFS('recurring2_based on steps'!$B283:$AY283,'recurring2_based on steps'!$B$1:$AY$1,I$1)+SUMIFS('changes2_based on steps'!$B283:$U283,'changes2_based on steps'!$B$1:$U$1,I$1)</f>
        <v>0</v>
      </c>
      <c r="J283" s="179">
        <f>SUMIFS('recurring2_based on steps'!$B283:$AY283,'recurring2_based on steps'!$B$1:$AY$1,J$1)+SUMIFS('changes2_based on steps'!$B283:$U283,'changes2_based on steps'!$B$1:$U$1,J$1)</f>
        <v>0</v>
      </c>
      <c r="K283" s="179">
        <f>SUMIFS('recurring2_based on steps'!$B283:$AY283,'recurring2_based on steps'!$B$1:$AY$1,K$1)+SUMIFS('changes2_based on steps'!$B283:$U283,'changes2_based on steps'!$B$1:$U$1,K$1)</f>
        <v>0</v>
      </c>
      <c r="L283" s="179">
        <f>SUMIFS('recurring2_based on steps'!$B283:$AY283,'recurring2_based on steps'!$B$1:$AY$1,L$1)+SUMIFS('changes2_based on steps'!$B283:$U283,'changes2_based on steps'!$B$1:$U$1,L$1)</f>
        <v>0</v>
      </c>
      <c r="M283" s="179">
        <f>SUMIFS('recurring2_based on steps'!$B283:$AY283,'recurring2_based on steps'!$B$1:$AY$1,M$1)+SUMIFS('changes2_based on steps'!$B283:$U283,'changes2_based on steps'!$B$1:$U$1,M$1)</f>
        <v>0</v>
      </c>
      <c r="N283" s="179">
        <f>SUMIFS('recurring2_based on steps'!$B283:$AY283,'recurring2_based on steps'!$B$1:$AY$1,N$1)+SUMIFS('changes2_based on steps'!$B283:$U283,'changes2_based on steps'!$B$1:$U$1,N$1)</f>
        <v>0</v>
      </c>
      <c r="O283" s="179">
        <f>SUMIFS('recurring2_based on steps'!$B283:$AY283,'recurring2_based on steps'!$B$1:$AY$1,O$1)+SUMIFS('changes2_based on steps'!$B283:$U283,'changes2_based on steps'!$B$1:$U$1,O$1)</f>
        <v>0</v>
      </c>
      <c r="P283" s="179">
        <f>SUMIFS('recurring2_based on steps'!$B283:$AY283,'recurring2_based on steps'!$B$1:$AY$1,P$1)+SUMIFS('changes2_based on steps'!$B283:$U283,'changes2_based on steps'!$B$1:$U$1,P$1)</f>
        <v>0</v>
      </c>
      <c r="Q283" s="179">
        <f>SUMIFS('recurring2_based on steps'!$B283:$AY283,'recurring2_based on steps'!$B$1:$AY$1,Q$1)+SUMIFS('changes2_based on steps'!$B283:$U283,'changes2_based on steps'!$B$1:$U$1,Q$1)</f>
        <v>0</v>
      </c>
      <c r="R283" s="179">
        <f>SUMIFS('recurring2_based on steps'!$B283:$AY283,'recurring2_based on steps'!$B$1:$AY$1,R$1)+SUMIFS('changes2_based on steps'!$B283:$U283,'changes2_based on steps'!$B$1:$U$1,R$1)</f>
        <v>0</v>
      </c>
      <c r="S283" s="179">
        <f>SUMIFS('recurring2_based on steps'!$B283:$AY283,'recurring2_based on steps'!$B$1:$AY$1,S$1)+SUMIFS('changes2_based on steps'!$B283:$U283,'changes2_based on steps'!$B$1:$U$1,S$1)</f>
        <v>0</v>
      </c>
      <c r="T283" s="179">
        <f>SUMIFS('recurring2_based on steps'!$B283:$AY283,'recurring2_based on steps'!$B$1:$AY$1,T$1)+SUMIFS('changes2_based on steps'!$B283:$U283,'changes2_based on steps'!$B$1:$U$1,T$1)</f>
        <v>0</v>
      </c>
      <c r="U283" s="179">
        <f>SUMIFS('recurring2_based on steps'!$B283:$AY283,'recurring2_based on steps'!$B$1:$AY$1,U$1)+SUMIFS('changes2_based on steps'!$B283:$U283,'changes2_based on steps'!$B$1:$U$1,U$1)</f>
        <v>0</v>
      </c>
      <c r="V283" s="179">
        <f>SUMIFS('recurring2_based on steps'!$B283:$AY283,'recurring2_based on steps'!$B$1:$AY$1,V$1)+SUMIFS('changes2_based on steps'!$B283:$U283,'changes2_based on steps'!$B$1:$U$1,V$1)</f>
        <v>0</v>
      </c>
      <c r="W283" s="179">
        <f>SUMIFS('recurring2_based on steps'!$B283:$AY283,'recurring2_based on steps'!$B$1:$AY$1,W$1)+SUMIFS('changes2_based on steps'!$B283:$U283,'changes2_based on steps'!$B$1:$U$1,W$1)</f>
        <v>0</v>
      </c>
      <c r="X283" s="179">
        <f>SUMIFS('recurring2_based on steps'!$B283:$AY283,'recurring2_based on steps'!$B$1:$AY$1,X$1)+SUMIFS('changes2_based on steps'!$B283:$U283,'changes2_based on steps'!$B$1:$U$1,X$1)</f>
        <v>0</v>
      </c>
      <c r="Y283" s="179">
        <f>SUMIFS('recurring2_based on steps'!$B283:$AY283,'recurring2_based on steps'!$B$1:$AY$1,Y$1)+SUMIFS('changes2_based on steps'!$B283:$U283,'changes2_based on steps'!$B$1:$U$1,Y$1)</f>
        <v>0</v>
      </c>
      <c r="Z283" s="179">
        <f>SUMIFS('recurring2_based on steps'!$B283:$AY283,'recurring2_based on steps'!$B$1:$AY$1,Z$1)+SUMIFS('changes2_based on steps'!$B283:$U283,'changes2_based on steps'!$B$1:$U$1,Z$1)</f>
        <v>0</v>
      </c>
      <c r="AA283" s="179">
        <f>SUMIFS('recurring2_based on steps'!$B283:$AY283,'recurring2_based on steps'!$B$1:$AY$1,AA$1)+SUMIFS('changes2_based on steps'!$B283:$U283,'changes2_based on steps'!$B$1:$U$1,AA$1)</f>
        <v>0</v>
      </c>
      <c r="AB283" s="179">
        <f>SUMIFS('recurring2_based on steps'!$B283:$AY283,'recurring2_based on steps'!$B$1:$AY$1,AB$1)+SUMIFS('changes2_based on steps'!$B283:$U283,'changes2_based on steps'!$B$1:$U$1,AB$1)</f>
        <v>0</v>
      </c>
      <c r="AC283" s="179">
        <f>SUMIFS('recurring2_based on steps'!$B283:$AY283,'recurring2_based on steps'!$B$1:$AY$1,AC$1)+SUMIFS('changes2_based on steps'!$B283:$U283,'changes2_based on steps'!$B$1:$U$1,AC$1)</f>
        <v>0</v>
      </c>
      <c r="AD283" s="179">
        <f>SUMIFS('recurring2_based on steps'!$B283:$AY283,'recurring2_based on steps'!$B$1:$AY$1,AD$1)+SUMIFS('changes2_based on steps'!$B283:$U283,'changes2_based on steps'!$B$1:$U$1,AD$1)</f>
        <v>0</v>
      </c>
      <c r="AE283" s="179">
        <f>SUMIFS('recurring2_based on steps'!$B283:$AY283,'recurring2_based on steps'!$B$1:$AY$1,AE$1)+SUMIFS('changes2_based on steps'!$B283:$U283,'changes2_based on steps'!$B$1:$U$1,AE$1)</f>
        <v>0</v>
      </c>
      <c r="AF283" s="179"/>
      <c r="AG283" s="179"/>
      <c r="AH283" s="179"/>
      <c r="AI283" s="179"/>
      <c r="AJ283" s="179"/>
      <c r="AK283" s="179"/>
      <c r="AL283" s="179"/>
      <c r="AM283" s="179"/>
    </row>
    <row r="284" spans="1:39" x14ac:dyDescent="0.2">
      <c r="A284" s="32">
        <f t="shared" ca="1" si="4"/>
        <v>46026</v>
      </c>
      <c r="B284" s="179">
        <f>SUMIFS('recurring2_based on steps'!$B284:$AY284,'recurring2_based on steps'!$B$1:$AY$1,B$1)+SUMIFS('changes2_based on steps'!$B284:$U284,'changes2_based on steps'!$B$1:$U$1,B$1)</f>
        <v>0</v>
      </c>
      <c r="C284" s="179">
        <f>SUMIFS('recurring2_based on steps'!$B284:$AY284,'recurring2_based on steps'!$B$1:$AY$1,C$1)+SUMIFS('changes2_based on steps'!$B284:$U284,'changes2_based on steps'!$B$1:$U$1,C$1)</f>
        <v>0</v>
      </c>
      <c r="D284" s="179">
        <f>SUMIFS('recurring2_based on steps'!$B284:$AY284,'recurring2_based on steps'!$B$1:$AY$1,D$1)+SUMIFS('changes2_based on steps'!$B284:$U284,'changes2_based on steps'!$B$1:$U$1,D$1)</f>
        <v>0</v>
      </c>
      <c r="E284" s="179">
        <f>SUMIFS('recurring2_based on steps'!$B284:$AY284,'recurring2_based on steps'!$B$1:$AY$1,E$1)+SUMIFS('changes2_based on steps'!$B284:$U284,'changes2_based on steps'!$B$1:$U$1,E$1)</f>
        <v>0</v>
      </c>
      <c r="F284" s="179">
        <f>SUMIFS('recurring2_based on steps'!$B284:$AY284,'recurring2_based on steps'!$B$1:$AY$1,F$1)+SUMIFS('changes2_based on steps'!$B284:$U284,'changes2_based on steps'!$B$1:$U$1,F$1)</f>
        <v>0</v>
      </c>
      <c r="G284" s="179">
        <f>SUMIFS('recurring2_based on steps'!$B284:$AY284,'recurring2_based on steps'!$B$1:$AY$1,G$1)+SUMIFS('changes2_based on steps'!$B284:$U284,'changes2_based on steps'!$B$1:$U$1,G$1)</f>
        <v>0</v>
      </c>
      <c r="H284" s="179">
        <f>SUMIFS('recurring2_based on steps'!$B284:$AY284,'recurring2_based on steps'!$B$1:$AY$1,H$1)+SUMIFS('changes2_based on steps'!$B284:$U284,'changes2_based on steps'!$B$1:$U$1,H$1)</f>
        <v>0</v>
      </c>
      <c r="I284" s="179">
        <f>SUMIFS('recurring2_based on steps'!$B284:$AY284,'recurring2_based on steps'!$B$1:$AY$1,I$1)+SUMIFS('changes2_based on steps'!$B284:$U284,'changes2_based on steps'!$B$1:$U$1,I$1)</f>
        <v>0</v>
      </c>
      <c r="J284" s="179">
        <f>SUMIFS('recurring2_based on steps'!$B284:$AY284,'recurring2_based on steps'!$B$1:$AY$1,J$1)+SUMIFS('changes2_based on steps'!$B284:$U284,'changes2_based on steps'!$B$1:$U$1,J$1)</f>
        <v>0</v>
      </c>
      <c r="K284" s="179">
        <f>SUMIFS('recurring2_based on steps'!$B284:$AY284,'recurring2_based on steps'!$B$1:$AY$1,K$1)+SUMIFS('changes2_based on steps'!$B284:$U284,'changes2_based on steps'!$B$1:$U$1,K$1)</f>
        <v>0</v>
      </c>
      <c r="L284" s="179">
        <f>SUMIFS('recurring2_based on steps'!$B284:$AY284,'recurring2_based on steps'!$B$1:$AY$1,L$1)+SUMIFS('changes2_based on steps'!$B284:$U284,'changes2_based on steps'!$B$1:$U$1,L$1)</f>
        <v>0</v>
      </c>
      <c r="M284" s="179">
        <f>SUMIFS('recurring2_based on steps'!$B284:$AY284,'recurring2_based on steps'!$B$1:$AY$1,M$1)+SUMIFS('changes2_based on steps'!$B284:$U284,'changes2_based on steps'!$B$1:$U$1,M$1)</f>
        <v>0</v>
      </c>
      <c r="N284" s="179">
        <f>SUMIFS('recurring2_based on steps'!$B284:$AY284,'recurring2_based on steps'!$B$1:$AY$1,N$1)+SUMIFS('changes2_based on steps'!$B284:$U284,'changes2_based on steps'!$B$1:$U$1,N$1)</f>
        <v>0</v>
      </c>
      <c r="O284" s="179">
        <f>SUMIFS('recurring2_based on steps'!$B284:$AY284,'recurring2_based on steps'!$B$1:$AY$1,O$1)+SUMIFS('changes2_based on steps'!$B284:$U284,'changes2_based on steps'!$B$1:$U$1,O$1)</f>
        <v>0</v>
      </c>
      <c r="P284" s="179">
        <f>SUMIFS('recurring2_based on steps'!$B284:$AY284,'recurring2_based on steps'!$B$1:$AY$1,P$1)+SUMIFS('changes2_based on steps'!$B284:$U284,'changes2_based on steps'!$B$1:$U$1,P$1)</f>
        <v>0</v>
      </c>
      <c r="Q284" s="179">
        <f>SUMIFS('recurring2_based on steps'!$B284:$AY284,'recurring2_based on steps'!$B$1:$AY$1,Q$1)+SUMIFS('changes2_based on steps'!$B284:$U284,'changes2_based on steps'!$B$1:$U$1,Q$1)</f>
        <v>0</v>
      </c>
      <c r="R284" s="179">
        <f>SUMIFS('recurring2_based on steps'!$B284:$AY284,'recurring2_based on steps'!$B$1:$AY$1,R$1)+SUMIFS('changes2_based on steps'!$B284:$U284,'changes2_based on steps'!$B$1:$U$1,R$1)</f>
        <v>0</v>
      </c>
      <c r="S284" s="179">
        <f>SUMIFS('recurring2_based on steps'!$B284:$AY284,'recurring2_based on steps'!$B$1:$AY$1,S$1)+SUMIFS('changes2_based on steps'!$B284:$U284,'changes2_based on steps'!$B$1:$U$1,S$1)</f>
        <v>0</v>
      </c>
      <c r="T284" s="179">
        <f>SUMIFS('recurring2_based on steps'!$B284:$AY284,'recurring2_based on steps'!$B$1:$AY$1,T$1)+SUMIFS('changes2_based on steps'!$B284:$U284,'changes2_based on steps'!$B$1:$U$1,T$1)</f>
        <v>0</v>
      </c>
      <c r="U284" s="179">
        <f>SUMIFS('recurring2_based on steps'!$B284:$AY284,'recurring2_based on steps'!$B$1:$AY$1,U$1)+SUMIFS('changes2_based on steps'!$B284:$U284,'changes2_based on steps'!$B$1:$U$1,U$1)</f>
        <v>0</v>
      </c>
      <c r="V284" s="179">
        <f>SUMIFS('recurring2_based on steps'!$B284:$AY284,'recurring2_based on steps'!$B$1:$AY$1,V$1)+SUMIFS('changes2_based on steps'!$B284:$U284,'changes2_based on steps'!$B$1:$U$1,V$1)</f>
        <v>0</v>
      </c>
      <c r="W284" s="179">
        <f>SUMIFS('recurring2_based on steps'!$B284:$AY284,'recurring2_based on steps'!$B$1:$AY$1,W$1)+SUMIFS('changes2_based on steps'!$B284:$U284,'changes2_based on steps'!$B$1:$U$1,W$1)</f>
        <v>0</v>
      </c>
      <c r="X284" s="179">
        <f>SUMIFS('recurring2_based on steps'!$B284:$AY284,'recurring2_based on steps'!$B$1:$AY$1,X$1)+SUMIFS('changes2_based on steps'!$B284:$U284,'changes2_based on steps'!$B$1:$U$1,X$1)</f>
        <v>0</v>
      </c>
      <c r="Y284" s="179">
        <f>SUMIFS('recurring2_based on steps'!$B284:$AY284,'recurring2_based on steps'!$B$1:$AY$1,Y$1)+SUMIFS('changes2_based on steps'!$B284:$U284,'changes2_based on steps'!$B$1:$U$1,Y$1)</f>
        <v>0</v>
      </c>
      <c r="Z284" s="179">
        <f>SUMIFS('recurring2_based on steps'!$B284:$AY284,'recurring2_based on steps'!$B$1:$AY$1,Z$1)+SUMIFS('changes2_based on steps'!$B284:$U284,'changes2_based on steps'!$B$1:$U$1,Z$1)</f>
        <v>0</v>
      </c>
      <c r="AA284" s="179">
        <f>SUMIFS('recurring2_based on steps'!$B284:$AY284,'recurring2_based on steps'!$B$1:$AY$1,AA$1)+SUMIFS('changes2_based on steps'!$B284:$U284,'changes2_based on steps'!$B$1:$U$1,AA$1)</f>
        <v>0</v>
      </c>
      <c r="AB284" s="179">
        <f>SUMIFS('recurring2_based on steps'!$B284:$AY284,'recurring2_based on steps'!$B$1:$AY$1,AB$1)+SUMIFS('changes2_based on steps'!$B284:$U284,'changes2_based on steps'!$B$1:$U$1,AB$1)</f>
        <v>0</v>
      </c>
      <c r="AC284" s="179">
        <f>SUMIFS('recurring2_based on steps'!$B284:$AY284,'recurring2_based on steps'!$B$1:$AY$1,AC$1)+SUMIFS('changes2_based on steps'!$B284:$U284,'changes2_based on steps'!$B$1:$U$1,AC$1)</f>
        <v>0</v>
      </c>
      <c r="AD284" s="179">
        <f>SUMIFS('recurring2_based on steps'!$B284:$AY284,'recurring2_based on steps'!$B$1:$AY$1,AD$1)+SUMIFS('changes2_based on steps'!$B284:$U284,'changes2_based on steps'!$B$1:$U$1,AD$1)</f>
        <v>0</v>
      </c>
      <c r="AE284" s="179">
        <f>SUMIFS('recurring2_based on steps'!$B284:$AY284,'recurring2_based on steps'!$B$1:$AY$1,AE$1)+SUMIFS('changes2_based on steps'!$B284:$U284,'changes2_based on steps'!$B$1:$U$1,AE$1)</f>
        <v>0</v>
      </c>
      <c r="AF284" s="179"/>
      <c r="AG284" s="179"/>
      <c r="AH284" s="179"/>
      <c r="AI284" s="179"/>
      <c r="AJ284" s="179"/>
      <c r="AK284" s="179"/>
      <c r="AL284" s="179"/>
      <c r="AM284" s="179"/>
    </row>
    <row r="285" spans="1:39" x14ac:dyDescent="0.2">
      <c r="A285" s="32">
        <f t="shared" ca="1" si="4"/>
        <v>46027</v>
      </c>
      <c r="B285" s="179">
        <f>SUMIFS('recurring2_based on steps'!$B285:$AY285,'recurring2_based on steps'!$B$1:$AY$1,B$1)+SUMIFS('changes2_based on steps'!$B285:$U285,'changes2_based on steps'!$B$1:$U$1,B$1)</f>
        <v>0</v>
      </c>
      <c r="C285" s="179">
        <f>SUMIFS('recurring2_based on steps'!$B285:$AY285,'recurring2_based on steps'!$B$1:$AY$1,C$1)+SUMIFS('changes2_based on steps'!$B285:$U285,'changes2_based on steps'!$B$1:$U$1,C$1)</f>
        <v>0</v>
      </c>
      <c r="D285" s="179">
        <f>SUMIFS('recurring2_based on steps'!$B285:$AY285,'recurring2_based on steps'!$B$1:$AY$1,D$1)+SUMIFS('changes2_based on steps'!$B285:$U285,'changes2_based on steps'!$B$1:$U$1,D$1)</f>
        <v>0</v>
      </c>
      <c r="E285" s="179">
        <f>SUMIFS('recurring2_based on steps'!$B285:$AY285,'recurring2_based on steps'!$B$1:$AY$1,E$1)+SUMIFS('changes2_based on steps'!$B285:$U285,'changes2_based on steps'!$B$1:$U$1,E$1)</f>
        <v>0</v>
      </c>
      <c r="F285" s="179">
        <f>SUMIFS('recurring2_based on steps'!$B285:$AY285,'recurring2_based on steps'!$B$1:$AY$1,F$1)+SUMIFS('changes2_based on steps'!$B285:$U285,'changes2_based on steps'!$B$1:$U$1,F$1)</f>
        <v>0</v>
      </c>
      <c r="G285" s="179">
        <f>SUMIFS('recurring2_based on steps'!$B285:$AY285,'recurring2_based on steps'!$B$1:$AY$1,G$1)+SUMIFS('changes2_based on steps'!$B285:$U285,'changes2_based on steps'!$B$1:$U$1,G$1)</f>
        <v>0</v>
      </c>
      <c r="H285" s="179">
        <f>SUMIFS('recurring2_based on steps'!$B285:$AY285,'recurring2_based on steps'!$B$1:$AY$1,H$1)+SUMIFS('changes2_based on steps'!$B285:$U285,'changes2_based on steps'!$B$1:$U$1,H$1)</f>
        <v>0</v>
      </c>
      <c r="I285" s="179">
        <f>SUMIFS('recurring2_based on steps'!$B285:$AY285,'recurring2_based on steps'!$B$1:$AY$1,I$1)+SUMIFS('changes2_based on steps'!$B285:$U285,'changes2_based on steps'!$B$1:$U$1,I$1)</f>
        <v>0</v>
      </c>
      <c r="J285" s="179">
        <f>SUMIFS('recurring2_based on steps'!$B285:$AY285,'recurring2_based on steps'!$B$1:$AY$1,J$1)+SUMIFS('changes2_based on steps'!$B285:$U285,'changes2_based on steps'!$B$1:$U$1,J$1)</f>
        <v>0</v>
      </c>
      <c r="K285" s="179">
        <f>SUMIFS('recurring2_based on steps'!$B285:$AY285,'recurring2_based on steps'!$B$1:$AY$1,K$1)+SUMIFS('changes2_based on steps'!$B285:$U285,'changes2_based on steps'!$B$1:$U$1,K$1)</f>
        <v>0</v>
      </c>
      <c r="L285" s="179">
        <f>SUMIFS('recurring2_based on steps'!$B285:$AY285,'recurring2_based on steps'!$B$1:$AY$1,L$1)+SUMIFS('changes2_based on steps'!$B285:$U285,'changes2_based on steps'!$B$1:$U$1,L$1)</f>
        <v>0</v>
      </c>
      <c r="M285" s="179">
        <f>SUMIFS('recurring2_based on steps'!$B285:$AY285,'recurring2_based on steps'!$B$1:$AY$1,M$1)+SUMIFS('changes2_based on steps'!$B285:$U285,'changes2_based on steps'!$B$1:$U$1,M$1)</f>
        <v>0</v>
      </c>
      <c r="N285" s="179">
        <f>SUMIFS('recurring2_based on steps'!$B285:$AY285,'recurring2_based on steps'!$B$1:$AY$1,N$1)+SUMIFS('changes2_based on steps'!$B285:$U285,'changes2_based on steps'!$B$1:$U$1,N$1)</f>
        <v>0</v>
      </c>
      <c r="O285" s="179">
        <f>SUMIFS('recurring2_based on steps'!$B285:$AY285,'recurring2_based on steps'!$B$1:$AY$1,O$1)+SUMIFS('changes2_based on steps'!$B285:$U285,'changes2_based on steps'!$B$1:$U$1,O$1)</f>
        <v>0</v>
      </c>
      <c r="P285" s="179">
        <f>SUMIFS('recurring2_based on steps'!$B285:$AY285,'recurring2_based on steps'!$B$1:$AY$1,P$1)+SUMIFS('changes2_based on steps'!$B285:$U285,'changes2_based on steps'!$B$1:$U$1,P$1)</f>
        <v>0</v>
      </c>
      <c r="Q285" s="179">
        <f>SUMIFS('recurring2_based on steps'!$B285:$AY285,'recurring2_based on steps'!$B$1:$AY$1,Q$1)+SUMIFS('changes2_based on steps'!$B285:$U285,'changes2_based on steps'!$B$1:$U$1,Q$1)</f>
        <v>0</v>
      </c>
      <c r="R285" s="179">
        <f>SUMIFS('recurring2_based on steps'!$B285:$AY285,'recurring2_based on steps'!$B$1:$AY$1,R$1)+SUMIFS('changes2_based on steps'!$B285:$U285,'changes2_based on steps'!$B$1:$U$1,R$1)</f>
        <v>0</v>
      </c>
      <c r="S285" s="179">
        <f>SUMIFS('recurring2_based on steps'!$B285:$AY285,'recurring2_based on steps'!$B$1:$AY$1,S$1)+SUMIFS('changes2_based on steps'!$B285:$U285,'changes2_based on steps'!$B$1:$U$1,S$1)</f>
        <v>0</v>
      </c>
      <c r="T285" s="179">
        <f>SUMIFS('recurring2_based on steps'!$B285:$AY285,'recurring2_based on steps'!$B$1:$AY$1,T$1)+SUMIFS('changes2_based on steps'!$B285:$U285,'changes2_based on steps'!$B$1:$U$1,T$1)</f>
        <v>0</v>
      </c>
      <c r="U285" s="179">
        <f>SUMIFS('recurring2_based on steps'!$B285:$AY285,'recurring2_based on steps'!$B$1:$AY$1,U$1)+SUMIFS('changes2_based on steps'!$B285:$U285,'changes2_based on steps'!$B$1:$U$1,U$1)</f>
        <v>0</v>
      </c>
      <c r="V285" s="179">
        <f>SUMIFS('recurring2_based on steps'!$B285:$AY285,'recurring2_based on steps'!$B$1:$AY$1,V$1)+SUMIFS('changes2_based on steps'!$B285:$U285,'changes2_based on steps'!$B$1:$U$1,V$1)</f>
        <v>0</v>
      </c>
      <c r="W285" s="179">
        <f>SUMIFS('recurring2_based on steps'!$B285:$AY285,'recurring2_based on steps'!$B$1:$AY$1,W$1)+SUMIFS('changes2_based on steps'!$B285:$U285,'changes2_based on steps'!$B$1:$U$1,W$1)</f>
        <v>0</v>
      </c>
      <c r="X285" s="179">
        <f>SUMIFS('recurring2_based on steps'!$B285:$AY285,'recurring2_based on steps'!$B$1:$AY$1,X$1)+SUMIFS('changes2_based on steps'!$B285:$U285,'changes2_based on steps'!$B$1:$U$1,X$1)</f>
        <v>0</v>
      </c>
      <c r="Y285" s="179">
        <f>SUMIFS('recurring2_based on steps'!$B285:$AY285,'recurring2_based on steps'!$B$1:$AY$1,Y$1)+SUMIFS('changes2_based on steps'!$B285:$U285,'changes2_based on steps'!$B$1:$U$1,Y$1)</f>
        <v>0</v>
      </c>
      <c r="Z285" s="179">
        <f>SUMIFS('recurring2_based on steps'!$B285:$AY285,'recurring2_based on steps'!$B$1:$AY$1,Z$1)+SUMIFS('changes2_based on steps'!$B285:$U285,'changes2_based on steps'!$B$1:$U$1,Z$1)</f>
        <v>0</v>
      </c>
      <c r="AA285" s="179">
        <f>SUMIFS('recurring2_based on steps'!$B285:$AY285,'recurring2_based on steps'!$B$1:$AY$1,AA$1)+SUMIFS('changes2_based on steps'!$B285:$U285,'changes2_based on steps'!$B$1:$U$1,AA$1)</f>
        <v>0</v>
      </c>
      <c r="AB285" s="179">
        <f>SUMIFS('recurring2_based on steps'!$B285:$AY285,'recurring2_based on steps'!$B$1:$AY$1,AB$1)+SUMIFS('changes2_based on steps'!$B285:$U285,'changes2_based on steps'!$B$1:$U$1,AB$1)</f>
        <v>0</v>
      </c>
      <c r="AC285" s="179">
        <f>SUMIFS('recurring2_based on steps'!$B285:$AY285,'recurring2_based on steps'!$B$1:$AY$1,AC$1)+SUMIFS('changes2_based on steps'!$B285:$U285,'changes2_based on steps'!$B$1:$U$1,AC$1)</f>
        <v>0</v>
      </c>
      <c r="AD285" s="179">
        <f>SUMIFS('recurring2_based on steps'!$B285:$AY285,'recurring2_based on steps'!$B$1:$AY$1,AD$1)+SUMIFS('changes2_based on steps'!$B285:$U285,'changes2_based on steps'!$B$1:$U$1,AD$1)</f>
        <v>0</v>
      </c>
      <c r="AE285" s="179">
        <f>SUMIFS('recurring2_based on steps'!$B285:$AY285,'recurring2_based on steps'!$B$1:$AY$1,AE$1)+SUMIFS('changes2_based on steps'!$B285:$U285,'changes2_based on steps'!$B$1:$U$1,AE$1)</f>
        <v>0</v>
      </c>
      <c r="AF285" s="179"/>
      <c r="AG285" s="179"/>
      <c r="AH285" s="179"/>
      <c r="AI285" s="179"/>
      <c r="AJ285" s="179"/>
      <c r="AK285" s="179"/>
      <c r="AL285" s="179"/>
      <c r="AM285" s="179"/>
    </row>
    <row r="286" spans="1:39" x14ac:dyDescent="0.2">
      <c r="A286" s="32">
        <f t="shared" ca="1" si="4"/>
        <v>46028</v>
      </c>
      <c r="B286" s="179">
        <f>SUMIFS('recurring2_based on steps'!$B286:$AY286,'recurring2_based on steps'!$B$1:$AY$1,B$1)+SUMIFS('changes2_based on steps'!$B286:$U286,'changes2_based on steps'!$B$1:$U$1,B$1)</f>
        <v>0</v>
      </c>
      <c r="C286" s="179">
        <f>SUMIFS('recurring2_based on steps'!$B286:$AY286,'recurring2_based on steps'!$B$1:$AY$1,C$1)+SUMIFS('changes2_based on steps'!$B286:$U286,'changes2_based on steps'!$B$1:$U$1,C$1)</f>
        <v>0</v>
      </c>
      <c r="D286" s="179">
        <f>SUMIFS('recurring2_based on steps'!$B286:$AY286,'recurring2_based on steps'!$B$1:$AY$1,D$1)+SUMIFS('changes2_based on steps'!$B286:$U286,'changes2_based on steps'!$B$1:$U$1,D$1)</f>
        <v>0</v>
      </c>
      <c r="E286" s="179">
        <f>SUMIFS('recurring2_based on steps'!$B286:$AY286,'recurring2_based on steps'!$B$1:$AY$1,E$1)+SUMIFS('changes2_based on steps'!$B286:$U286,'changes2_based on steps'!$B$1:$U$1,E$1)</f>
        <v>0</v>
      </c>
      <c r="F286" s="179">
        <f>SUMIFS('recurring2_based on steps'!$B286:$AY286,'recurring2_based on steps'!$B$1:$AY$1,F$1)+SUMIFS('changes2_based on steps'!$B286:$U286,'changes2_based on steps'!$B$1:$U$1,F$1)</f>
        <v>0</v>
      </c>
      <c r="G286" s="179">
        <f>SUMIFS('recurring2_based on steps'!$B286:$AY286,'recurring2_based on steps'!$B$1:$AY$1,G$1)+SUMIFS('changes2_based on steps'!$B286:$U286,'changes2_based on steps'!$B$1:$U$1,G$1)</f>
        <v>0</v>
      </c>
      <c r="H286" s="179">
        <f>SUMIFS('recurring2_based on steps'!$B286:$AY286,'recurring2_based on steps'!$B$1:$AY$1,H$1)+SUMIFS('changes2_based on steps'!$B286:$U286,'changes2_based on steps'!$B$1:$U$1,H$1)</f>
        <v>0</v>
      </c>
      <c r="I286" s="179">
        <f>SUMIFS('recurring2_based on steps'!$B286:$AY286,'recurring2_based on steps'!$B$1:$AY$1,I$1)+SUMIFS('changes2_based on steps'!$B286:$U286,'changes2_based on steps'!$B$1:$U$1,I$1)</f>
        <v>0</v>
      </c>
      <c r="J286" s="179">
        <f>SUMIFS('recurring2_based on steps'!$B286:$AY286,'recurring2_based on steps'!$B$1:$AY$1,J$1)+SUMIFS('changes2_based on steps'!$B286:$U286,'changes2_based on steps'!$B$1:$U$1,J$1)</f>
        <v>0</v>
      </c>
      <c r="K286" s="179">
        <f>SUMIFS('recurring2_based on steps'!$B286:$AY286,'recurring2_based on steps'!$B$1:$AY$1,K$1)+SUMIFS('changes2_based on steps'!$B286:$U286,'changes2_based on steps'!$B$1:$U$1,K$1)</f>
        <v>0</v>
      </c>
      <c r="L286" s="179">
        <f>SUMIFS('recurring2_based on steps'!$B286:$AY286,'recurring2_based on steps'!$B$1:$AY$1,L$1)+SUMIFS('changes2_based on steps'!$B286:$U286,'changes2_based on steps'!$B$1:$U$1,L$1)</f>
        <v>0</v>
      </c>
      <c r="M286" s="179">
        <f>SUMIFS('recurring2_based on steps'!$B286:$AY286,'recurring2_based on steps'!$B$1:$AY$1,M$1)+SUMIFS('changes2_based on steps'!$B286:$U286,'changes2_based on steps'!$B$1:$U$1,M$1)</f>
        <v>0</v>
      </c>
      <c r="N286" s="179">
        <f>SUMIFS('recurring2_based on steps'!$B286:$AY286,'recurring2_based on steps'!$B$1:$AY$1,N$1)+SUMIFS('changes2_based on steps'!$B286:$U286,'changes2_based on steps'!$B$1:$U$1,N$1)</f>
        <v>0</v>
      </c>
      <c r="O286" s="179">
        <f>SUMIFS('recurring2_based on steps'!$B286:$AY286,'recurring2_based on steps'!$B$1:$AY$1,O$1)+SUMIFS('changes2_based on steps'!$B286:$U286,'changes2_based on steps'!$B$1:$U$1,O$1)</f>
        <v>0</v>
      </c>
      <c r="P286" s="179">
        <f>SUMIFS('recurring2_based on steps'!$B286:$AY286,'recurring2_based on steps'!$B$1:$AY$1,P$1)+SUMIFS('changes2_based on steps'!$B286:$U286,'changes2_based on steps'!$B$1:$U$1,P$1)</f>
        <v>0</v>
      </c>
      <c r="Q286" s="179">
        <f>SUMIFS('recurring2_based on steps'!$B286:$AY286,'recurring2_based on steps'!$B$1:$AY$1,Q$1)+SUMIFS('changes2_based on steps'!$B286:$U286,'changes2_based on steps'!$B$1:$U$1,Q$1)</f>
        <v>0</v>
      </c>
      <c r="R286" s="179">
        <f>SUMIFS('recurring2_based on steps'!$B286:$AY286,'recurring2_based on steps'!$B$1:$AY$1,R$1)+SUMIFS('changes2_based on steps'!$B286:$U286,'changes2_based on steps'!$B$1:$U$1,R$1)</f>
        <v>0</v>
      </c>
      <c r="S286" s="179">
        <f>SUMIFS('recurring2_based on steps'!$B286:$AY286,'recurring2_based on steps'!$B$1:$AY$1,S$1)+SUMIFS('changes2_based on steps'!$B286:$U286,'changes2_based on steps'!$B$1:$U$1,S$1)</f>
        <v>0</v>
      </c>
      <c r="T286" s="179">
        <f>SUMIFS('recurring2_based on steps'!$B286:$AY286,'recurring2_based on steps'!$B$1:$AY$1,T$1)+SUMIFS('changes2_based on steps'!$B286:$U286,'changes2_based on steps'!$B$1:$U$1,T$1)</f>
        <v>0</v>
      </c>
      <c r="U286" s="179">
        <f>SUMIFS('recurring2_based on steps'!$B286:$AY286,'recurring2_based on steps'!$B$1:$AY$1,U$1)+SUMIFS('changes2_based on steps'!$B286:$U286,'changes2_based on steps'!$B$1:$U$1,U$1)</f>
        <v>0</v>
      </c>
      <c r="V286" s="179">
        <f>SUMIFS('recurring2_based on steps'!$B286:$AY286,'recurring2_based on steps'!$B$1:$AY$1,V$1)+SUMIFS('changes2_based on steps'!$B286:$U286,'changes2_based on steps'!$B$1:$U$1,V$1)</f>
        <v>0</v>
      </c>
      <c r="W286" s="179">
        <f>SUMIFS('recurring2_based on steps'!$B286:$AY286,'recurring2_based on steps'!$B$1:$AY$1,W$1)+SUMIFS('changes2_based on steps'!$B286:$U286,'changes2_based on steps'!$B$1:$U$1,W$1)</f>
        <v>0</v>
      </c>
      <c r="X286" s="179">
        <f>SUMIFS('recurring2_based on steps'!$B286:$AY286,'recurring2_based on steps'!$B$1:$AY$1,X$1)+SUMIFS('changes2_based on steps'!$B286:$U286,'changes2_based on steps'!$B$1:$U$1,X$1)</f>
        <v>0</v>
      </c>
      <c r="Y286" s="179">
        <f>SUMIFS('recurring2_based on steps'!$B286:$AY286,'recurring2_based on steps'!$B$1:$AY$1,Y$1)+SUMIFS('changes2_based on steps'!$B286:$U286,'changes2_based on steps'!$B$1:$U$1,Y$1)</f>
        <v>0</v>
      </c>
      <c r="Z286" s="179">
        <f>SUMIFS('recurring2_based on steps'!$B286:$AY286,'recurring2_based on steps'!$B$1:$AY$1,Z$1)+SUMIFS('changes2_based on steps'!$B286:$U286,'changes2_based on steps'!$B$1:$U$1,Z$1)</f>
        <v>0</v>
      </c>
      <c r="AA286" s="179">
        <f>SUMIFS('recurring2_based on steps'!$B286:$AY286,'recurring2_based on steps'!$B$1:$AY$1,AA$1)+SUMIFS('changes2_based on steps'!$B286:$U286,'changes2_based on steps'!$B$1:$U$1,AA$1)</f>
        <v>0</v>
      </c>
      <c r="AB286" s="179">
        <f>SUMIFS('recurring2_based on steps'!$B286:$AY286,'recurring2_based on steps'!$B$1:$AY$1,AB$1)+SUMIFS('changes2_based on steps'!$B286:$U286,'changes2_based on steps'!$B$1:$U$1,AB$1)</f>
        <v>0</v>
      </c>
      <c r="AC286" s="179">
        <f>SUMIFS('recurring2_based on steps'!$B286:$AY286,'recurring2_based on steps'!$B$1:$AY$1,AC$1)+SUMIFS('changes2_based on steps'!$B286:$U286,'changes2_based on steps'!$B$1:$U$1,AC$1)</f>
        <v>0</v>
      </c>
      <c r="AD286" s="179">
        <f>SUMIFS('recurring2_based on steps'!$B286:$AY286,'recurring2_based on steps'!$B$1:$AY$1,AD$1)+SUMIFS('changes2_based on steps'!$B286:$U286,'changes2_based on steps'!$B$1:$U$1,AD$1)</f>
        <v>0</v>
      </c>
      <c r="AE286" s="179">
        <f>SUMIFS('recurring2_based on steps'!$B286:$AY286,'recurring2_based on steps'!$B$1:$AY$1,AE$1)+SUMIFS('changes2_based on steps'!$B286:$U286,'changes2_based on steps'!$B$1:$U$1,AE$1)</f>
        <v>0</v>
      </c>
      <c r="AF286" s="179"/>
      <c r="AG286" s="179"/>
      <c r="AH286" s="179"/>
      <c r="AI286" s="179"/>
      <c r="AJ286" s="179"/>
      <c r="AK286" s="179"/>
      <c r="AL286" s="179"/>
      <c r="AM286" s="179"/>
    </row>
    <row r="287" spans="1:39" x14ac:dyDescent="0.2">
      <c r="A287" s="32">
        <f t="shared" ca="1" si="4"/>
        <v>46029</v>
      </c>
      <c r="B287" s="179">
        <f>SUMIFS('recurring2_based on steps'!$B287:$AY287,'recurring2_based on steps'!$B$1:$AY$1,B$1)+SUMIFS('changes2_based on steps'!$B287:$U287,'changes2_based on steps'!$B$1:$U$1,B$1)</f>
        <v>0</v>
      </c>
      <c r="C287" s="179">
        <f>SUMIFS('recurring2_based on steps'!$B287:$AY287,'recurring2_based on steps'!$B$1:$AY$1,C$1)+SUMIFS('changes2_based on steps'!$B287:$U287,'changes2_based on steps'!$B$1:$U$1,C$1)</f>
        <v>0</v>
      </c>
      <c r="D287" s="179">
        <f>SUMIFS('recurring2_based on steps'!$B287:$AY287,'recurring2_based on steps'!$B$1:$AY$1,D$1)+SUMIFS('changes2_based on steps'!$B287:$U287,'changes2_based on steps'!$B$1:$U$1,D$1)</f>
        <v>0</v>
      </c>
      <c r="E287" s="179">
        <f>SUMIFS('recurring2_based on steps'!$B287:$AY287,'recurring2_based on steps'!$B$1:$AY$1,E$1)+SUMIFS('changes2_based on steps'!$B287:$U287,'changes2_based on steps'!$B$1:$U$1,E$1)</f>
        <v>0</v>
      </c>
      <c r="F287" s="179">
        <f>SUMIFS('recurring2_based on steps'!$B287:$AY287,'recurring2_based on steps'!$B$1:$AY$1,F$1)+SUMIFS('changes2_based on steps'!$B287:$U287,'changes2_based on steps'!$B$1:$U$1,F$1)</f>
        <v>0</v>
      </c>
      <c r="G287" s="179">
        <f>SUMIFS('recurring2_based on steps'!$B287:$AY287,'recurring2_based on steps'!$B$1:$AY$1,G$1)+SUMIFS('changes2_based on steps'!$B287:$U287,'changes2_based on steps'!$B$1:$U$1,G$1)</f>
        <v>0</v>
      </c>
      <c r="H287" s="179">
        <f>SUMIFS('recurring2_based on steps'!$B287:$AY287,'recurring2_based on steps'!$B$1:$AY$1,H$1)+SUMIFS('changes2_based on steps'!$B287:$U287,'changes2_based on steps'!$B$1:$U$1,H$1)</f>
        <v>0</v>
      </c>
      <c r="I287" s="179">
        <f>SUMIFS('recurring2_based on steps'!$B287:$AY287,'recurring2_based on steps'!$B$1:$AY$1,I$1)+SUMIFS('changes2_based on steps'!$B287:$U287,'changes2_based on steps'!$B$1:$U$1,I$1)</f>
        <v>0</v>
      </c>
      <c r="J287" s="179">
        <f>SUMIFS('recurring2_based on steps'!$B287:$AY287,'recurring2_based on steps'!$B$1:$AY$1,J$1)+SUMIFS('changes2_based on steps'!$B287:$U287,'changes2_based on steps'!$B$1:$U$1,J$1)</f>
        <v>0</v>
      </c>
      <c r="K287" s="179">
        <f>SUMIFS('recurring2_based on steps'!$B287:$AY287,'recurring2_based on steps'!$B$1:$AY$1,K$1)+SUMIFS('changes2_based on steps'!$B287:$U287,'changes2_based on steps'!$B$1:$U$1,K$1)</f>
        <v>0</v>
      </c>
      <c r="L287" s="179">
        <f>SUMIFS('recurring2_based on steps'!$B287:$AY287,'recurring2_based on steps'!$B$1:$AY$1,L$1)+SUMIFS('changes2_based on steps'!$B287:$U287,'changes2_based on steps'!$B$1:$U$1,L$1)</f>
        <v>0</v>
      </c>
      <c r="M287" s="179">
        <f>SUMIFS('recurring2_based on steps'!$B287:$AY287,'recurring2_based on steps'!$B$1:$AY$1,M$1)+SUMIFS('changes2_based on steps'!$B287:$U287,'changes2_based on steps'!$B$1:$U$1,M$1)</f>
        <v>0</v>
      </c>
      <c r="N287" s="179">
        <f>SUMIFS('recurring2_based on steps'!$B287:$AY287,'recurring2_based on steps'!$B$1:$AY$1,N$1)+SUMIFS('changes2_based on steps'!$B287:$U287,'changes2_based on steps'!$B$1:$U$1,N$1)</f>
        <v>0</v>
      </c>
      <c r="O287" s="179">
        <f>SUMIFS('recurring2_based on steps'!$B287:$AY287,'recurring2_based on steps'!$B$1:$AY$1,O$1)+SUMIFS('changes2_based on steps'!$B287:$U287,'changes2_based on steps'!$B$1:$U$1,O$1)</f>
        <v>0</v>
      </c>
      <c r="P287" s="179">
        <f>SUMIFS('recurring2_based on steps'!$B287:$AY287,'recurring2_based on steps'!$B$1:$AY$1,P$1)+SUMIFS('changes2_based on steps'!$B287:$U287,'changes2_based on steps'!$B$1:$U$1,P$1)</f>
        <v>0</v>
      </c>
      <c r="Q287" s="179">
        <f>SUMIFS('recurring2_based on steps'!$B287:$AY287,'recurring2_based on steps'!$B$1:$AY$1,Q$1)+SUMIFS('changes2_based on steps'!$B287:$U287,'changes2_based on steps'!$B$1:$U$1,Q$1)</f>
        <v>0</v>
      </c>
      <c r="R287" s="179">
        <f>SUMIFS('recurring2_based on steps'!$B287:$AY287,'recurring2_based on steps'!$B$1:$AY$1,R$1)+SUMIFS('changes2_based on steps'!$B287:$U287,'changes2_based on steps'!$B$1:$U$1,R$1)</f>
        <v>0</v>
      </c>
      <c r="S287" s="179">
        <f>SUMIFS('recurring2_based on steps'!$B287:$AY287,'recurring2_based on steps'!$B$1:$AY$1,S$1)+SUMIFS('changes2_based on steps'!$B287:$U287,'changes2_based on steps'!$B$1:$U$1,S$1)</f>
        <v>0</v>
      </c>
      <c r="T287" s="179">
        <f>SUMIFS('recurring2_based on steps'!$B287:$AY287,'recurring2_based on steps'!$B$1:$AY$1,T$1)+SUMIFS('changes2_based on steps'!$B287:$U287,'changes2_based on steps'!$B$1:$U$1,T$1)</f>
        <v>0</v>
      </c>
      <c r="U287" s="179">
        <f>SUMIFS('recurring2_based on steps'!$B287:$AY287,'recurring2_based on steps'!$B$1:$AY$1,U$1)+SUMIFS('changes2_based on steps'!$B287:$U287,'changes2_based on steps'!$B$1:$U$1,U$1)</f>
        <v>0</v>
      </c>
      <c r="V287" s="179">
        <f>SUMIFS('recurring2_based on steps'!$B287:$AY287,'recurring2_based on steps'!$B$1:$AY$1,V$1)+SUMIFS('changes2_based on steps'!$B287:$U287,'changes2_based on steps'!$B$1:$U$1,V$1)</f>
        <v>0</v>
      </c>
      <c r="W287" s="179">
        <f>SUMIFS('recurring2_based on steps'!$B287:$AY287,'recurring2_based on steps'!$B$1:$AY$1,W$1)+SUMIFS('changes2_based on steps'!$B287:$U287,'changes2_based on steps'!$B$1:$U$1,W$1)</f>
        <v>0</v>
      </c>
      <c r="X287" s="179">
        <f>SUMIFS('recurring2_based on steps'!$B287:$AY287,'recurring2_based on steps'!$B$1:$AY$1,X$1)+SUMIFS('changes2_based on steps'!$B287:$U287,'changes2_based on steps'!$B$1:$U$1,X$1)</f>
        <v>0</v>
      </c>
      <c r="Y287" s="179">
        <f>SUMIFS('recurring2_based on steps'!$B287:$AY287,'recurring2_based on steps'!$B$1:$AY$1,Y$1)+SUMIFS('changes2_based on steps'!$B287:$U287,'changes2_based on steps'!$B$1:$U$1,Y$1)</f>
        <v>0</v>
      </c>
      <c r="Z287" s="179">
        <f>SUMIFS('recurring2_based on steps'!$B287:$AY287,'recurring2_based on steps'!$B$1:$AY$1,Z$1)+SUMIFS('changes2_based on steps'!$B287:$U287,'changes2_based on steps'!$B$1:$U$1,Z$1)</f>
        <v>0</v>
      </c>
      <c r="AA287" s="179">
        <f>SUMIFS('recurring2_based on steps'!$B287:$AY287,'recurring2_based on steps'!$B$1:$AY$1,AA$1)+SUMIFS('changes2_based on steps'!$B287:$U287,'changes2_based on steps'!$B$1:$U$1,AA$1)</f>
        <v>0</v>
      </c>
      <c r="AB287" s="179">
        <f>SUMIFS('recurring2_based on steps'!$B287:$AY287,'recurring2_based on steps'!$B$1:$AY$1,AB$1)+SUMIFS('changes2_based on steps'!$B287:$U287,'changes2_based on steps'!$B$1:$U$1,AB$1)</f>
        <v>0</v>
      </c>
      <c r="AC287" s="179">
        <f>SUMIFS('recurring2_based on steps'!$B287:$AY287,'recurring2_based on steps'!$B$1:$AY$1,AC$1)+SUMIFS('changes2_based on steps'!$B287:$U287,'changes2_based on steps'!$B$1:$U$1,AC$1)</f>
        <v>0</v>
      </c>
      <c r="AD287" s="179">
        <f>SUMIFS('recurring2_based on steps'!$B287:$AY287,'recurring2_based on steps'!$B$1:$AY$1,AD$1)+SUMIFS('changes2_based on steps'!$B287:$U287,'changes2_based on steps'!$B$1:$U$1,AD$1)</f>
        <v>0</v>
      </c>
      <c r="AE287" s="179">
        <f>SUMIFS('recurring2_based on steps'!$B287:$AY287,'recurring2_based on steps'!$B$1:$AY$1,AE$1)+SUMIFS('changes2_based on steps'!$B287:$U287,'changes2_based on steps'!$B$1:$U$1,AE$1)</f>
        <v>0</v>
      </c>
      <c r="AF287" s="179"/>
      <c r="AG287" s="179"/>
      <c r="AH287" s="179"/>
      <c r="AI287" s="179"/>
      <c r="AJ287" s="179"/>
      <c r="AK287" s="179"/>
      <c r="AL287" s="179"/>
      <c r="AM287" s="179"/>
    </row>
    <row r="288" spans="1:39" x14ac:dyDescent="0.2">
      <c r="A288" s="32">
        <f t="shared" ca="1" si="4"/>
        <v>46030</v>
      </c>
      <c r="B288" s="179">
        <f>SUMIFS('recurring2_based on steps'!$B288:$AY288,'recurring2_based on steps'!$B$1:$AY$1,B$1)+SUMIFS('changes2_based on steps'!$B288:$U288,'changes2_based on steps'!$B$1:$U$1,B$1)</f>
        <v>0</v>
      </c>
      <c r="C288" s="179">
        <f>SUMIFS('recurring2_based on steps'!$B288:$AY288,'recurring2_based on steps'!$B$1:$AY$1,C$1)+SUMIFS('changes2_based on steps'!$B288:$U288,'changes2_based on steps'!$B$1:$U$1,C$1)</f>
        <v>0</v>
      </c>
      <c r="D288" s="179">
        <f>SUMIFS('recurring2_based on steps'!$B288:$AY288,'recurring2_based on steps'!$B$1:$AY$1,D$1)+SUMIFS('changes2_based on steps'!$B288:$U288,'changes2_based on steps'!$B$1:$U$1,D$1)</f>
        <v>0</v>
      </c>
      <c r="E288" s="179">
        <f>SUMIFS('recurring2_based on steps'!$B288:$AY288,'recurring2_based on steps'!$B$1:$AY$1,E$1)+SUMIFS('changes2_based on steps'!$B288:$U288,'changes2_based on steps'!$B$1:$U$1,E$1)</f>
        <v>0</v>
      </c>
      <c r="F288" s="179">
        <f>SUMIFS('recurring2_based on steps'!$B288:$AY288,'recurring2_based on steps'!$B$1:$AY$1,F$1)+SUMIFS('changes2_based on steps'!$B288:$U288,'changes2_based on steps'!$B$1:$U$1,F$1)</f>
        <v>0</v>
      </c>
      <c r="G288" s="179">
        <f>SUMIFS('recurring2_based on steps'!$B288:$AY288,'recurring2_based on steps'!$B$1:$AY$1,G$1)+SUMIFS('changes2_based on steps'!$B288:$U288,'changes2_based on steps'!$B$1:$U$1,G$1)</f>
        <v>0</v>
      </c>
      <c r="H288" s="179">
        <f>SUMIFS('recurring2_based on steps'!$B288:$AY288,'recurring2_based on steps'!$B$1:$AY$1,H$1)+SUMIFS('changes2_based on steps'!$B288:$U288,'changes2_based on steps'!$B$1:$U$1,H$1)</f>
        <v>0</v>
      </c>
      <c r="I288" s="179">
        <f>SUMIFS('recurring2_based on steps'!$B288:$AY288,'recurring2_based on steps'!$B$1:$AY$1,I$1)+SUMIFS('changes2_based on steps'!$B288:$U288,'changes2_based on steps'!$B$1:$U$1,I$1)</f>
        <v>0</v>
      </c>
      <c r="J288" s="179">
        <f>SUMIFS('recurring2_based on steps'!$B288:$AY288,'recurring2_based on steps'!$B$1:$AY$1,J$1)+SUMIFS('changes2_based on steps'!$B288:$U288,'changes2_based on steps'!$B$1:$U$1,J$1)</f>
        <v>0</v>
      </c>
      <c r="K288" s="179">
        <f>SUMIFS('recurring2_based on steps'!$B288:$AY288,'recurring2_based on steps'!$B$1:$AY$1,K$1)+SUMIFS('changes2_based on steps'!$B288:$U288,'changes2_based on steps'!$B$1:$U$1,K$1)</f>
        <v>0</v>
      </c>
      <c r="L288" s="179">
        <f>SUMIFS('recurring2_based on steps'!$B288:$AY288,'recurring2_based on steps'!$B$1:$AY$1,L$1)+SUMIFS('changes2_based on steps'!$B288:$U288,'changes2_based on steps'!$B$1:$U$1,L$1)</f>
        <v>0</v>
      </c>
      <c r="M288" s="179">
        <f>SUMIFS('recurring2_based on steps'!$B288:$AY288,'recurring2_based on steps'!$B$1:$AY$1,M$1)+SUMIFS('changes2_based on steps'!$B288:$U288,'changes2_based on steps'!$B$1:$U$1,M$1)</f>
        <v>0</v>
      </c>
      <c r="N288" s="179">
        <f>SUMIFS('recurring2_based on steps'!$B288:$AY288,'recurring2_based on steps'!$B$1:$AY$1,N$1)+SUMIFS('changes2_based on steps'!$B288:$U288,'changes2_based on steps'!$B$1:$U$1,N$1)</f>
        <v>0</v>
      </c>
      <c r="O288" s="179">
        <f>SUMIFS('recurring2_based on steps'!$B288:$AY288,'recurring2_based on steps'!$B$1:$AY$1,O$1)+SUMIFS('changes2_based on steps'!$B288:$U288,'changes2_based on steps'!$B$1:$U$1,O$1)</f>
        <v>0</v>
      </c>
      <c r="P288" s="179">
        <f>SUMIFS('recurring2_based on steps'!$B288:$AY288,'recurring2_based on steps'!$B$1:$AY$1,P$1)+SUMIFS('changes2_based on steps'!$B288:$U288,'changes2_based on steps'!$B$1:$U$1,P$1)</f>
        <v>0</v>
      </c>
      <c r="Q288" s="179">
        <f>SUMIFS('recurring2_based on steps'!$B288:$AY288,'recurring2_based on steps'!$B$1:$AY$1,Q$1)+SUMIFS('changes2_based on steps'!$B288:$U288,'changes2_based on steps'!$B$1:$U$1,Q$1)</f>
        <v>0</v>
      </c>
      <c r="R288" s="179">
        <f>SUMIFS('recurring2_based on steps'!$B288:$AY288,'recurring2_based on steps'!$B$1:$AY$1,R$1)+SUMIFS('changes2_based on steps'!$B288:$U288,'changes2_based on steps'!$B$1:$U$1,R$1)</f>
        <v>0</v>
      </c>
      <c r="S288" s="179">
        <f>SUMIFS('recurring2_based on steps'!$B288:$AY288,'recurring2_based on steps'!$B$1:$AY$1,S$1)+SUMIFS('changes2_based on steps'!$B288:$U288,'changes2_based on steps'!$B$1:$U$1,S$1)</f>
        <v>0</v>
      </c>
      <c r="T288" s="179">
        <f>SUMIFS('recurring2_based on steps'!$B288:$AY288,'recurring2_based on steps'!$B$1:$AY$1,T$1)+SUMIFS('changes2_based on steps'!$B288:$U288,'changes2_based on steps'!$B$1:$U$1,T$1)</f>
        <v>0</v>
      </c>
      <c r="U288" s="179">
        <f>SUMIFS('recurring2_based on steps'!$B288:$AY288,'recurring2_based on steps'!$B$1:$AY$1,U$1)+SUMIFS('changes2_based on steps'!$B288:$U288,'changes2_based on steps'!$B$1:$U$1,U$1)</f>
        <v>0</v>
      </c>
      <c r="V288" s="179">
        <f>SUMIFS('recurring2_based on steps'!$B288:$AY288,'recurring2_based on steps'!$B$1:$AY$1,V$1)+SUMIFS('changes2_based on steps'!$B288:$U288,'changes2_based on steps'!$B$1:$U$1,V$1)</f>
        <v>0</v>
      </c>
      <c r="W288" s="179">
        <f>SUMIFS('recurring2_based on steps'!$B288:$AY288,'recurring2_based on steps'!$B$1:$AY$1,W$1)+SUMIFS('changes2_based on steps'!$B288:$U288,'changes2_based on steps'!$B$1:$U$1,W$1)</f>
        <v>0</v>
      </c>
      <c r="X288" s="179">
        <f>SUMIFS('recurring2_based on steps'!$B288:$AY288,'recurring2_based on steps'!$B$1:$AY$1,X$1)+SUMIFS('changes2_based on steps'!$B288:$U288,'changes2_based on steps'!$B$1:$U$1,X$1)</f>
        <v>0</v>
      </c>
      <c r="Y288" s="179">
        <f>SUMIFS('recurring2_based on steps'!$B288:$AY288,'recurring2_based on steps'!$B$1:$AY$1,Y$1)+SUMIFS('changes2_based on steps'!$B288:$U288,'changes2_based on steps'!$B$1:$U$1,Y$1)</f>
        <v>0</v>
      </c>
      <c r="Z288" s="179">
        <f>SUMIFS('recurring2_based on steps'!$B288:$AY288,'recurring2_based on steps'!$B$1:$AY$1,Z$1)+SUMIFS('changes2_based on steps'!$B288:$U288,'changes2_based on steps'!$B$1:$U$1,Z$1)</f>
        <v>0</v>
      </c>
      <c r="AA288" s="179">
        <f>SUMIFS('recurring2_based on steps'!$B288:$AY288,'recurring2_based on steps'!$B$1:$AY$1,AA$1)+SUMIFS('changes2_based on steps'!$B288:$U288,'changes2_based on steps'!$B$1:$U$1,AA$1)</f>
        <v>0</v>
      </c>
      <c r="AB288" s="179">
        <f>SUMIFS('recurring2_based on steps'!$B288:$AY288,'recurring2_based on steps'!$B$1:$AY$1,AB$1)+SUMIFS('changes2_based on steps'!$B288:$U288,'changes2_based on steps'!$B$1:$U$1,AB$1)</f>
        <v>0</v>
      </c>
      <c r="AC288" s="179">
        <f>SUMIFS('recurring2_based on steps'!$B288:$AY288,'recurring2_based on steps'!$B$1:$AY$1,AC$1)+SUMIFS('changes2_based on steps'!$B288:$U288,'changes2_based on steps'!$B$1:$U$1,AC$1)</f>
        <v>0</v>
      </c>
      <c r="AD288" s="179">
        <f>SUMIFS('recurring2_based on steps'!$B288:$AY288,'recurring2_based on steps'!$B$1:$AY$1,AD$1)+SUMIFS('changes2_based on steps'!$B288:$U288,'changes2_based on steps'!$B$1:$U$1,AD$1)</f>
        <v>0</v>
      </c>
      <c r="AE288" s="179">
        <f>SUMIFS('recurring2_based on steps'!$B288:$AY288,'recurring2_based on steps'!$B$1:$AY$1,AE$1)+SUMIFS('changes2_based on steps'!$B288:$U288,'changes2_based on steps'!$B$1:$U$1,AE$1)</f>
        <v>0</v>
      </c>
      <c r="AF288" s="179"/>
      <c r="AG288" s="179"/>
      <c r="AH288" s="179"/>
      <c r="AI288" s="179"/>
      <c r="AJ288" s="179"/>
      <c r="AK288" s="179"/>
      <c r="AL288" s="179"/>
      <c r="AM288" s="179"/>
    </row>
    <row r="289" spans="1:39" x14ac:dyDescent="0.2">
      <c r="A289" s="32">
        <f t="shared" ca="1" si="4"/>
        <v>46031</v>
      </c>
      <c r="B289" s="179">
        <f>SUMIFS('recurring2_based on steps'!$B289:$AY289,'recurring2_based on steps'!$B$1:$AY$1,B$1)+SUMIFS('changes2_based on steps'!$B289:$U289,'changes2_based on steps'!$B$1:$U$1,B$1)</f>
        <v>0</v>
      </c>
      <c r="C289" s="179">
        <f>SUMIFS('recurring2_based on steps'!$B289:$AY289,'recurring2_based on steps'!$B$1:$AY$1,C$1)+SUMIFS('changes2_based on steps'!$B289:$U289,'changes2_based on steps'!$B$1:$U$1,C$1)</f>
        <v>0</v>
      </c>
      <c r="D289" s="179">
        <f>SUMIFS('recurring2_based on steps'!$B289:$AY289,'recurring2_based on steps'!$B$1:$AY$1,D$1)+SUMIFS('changes2_based on steps'!$B289:$U289,'changes2_based on steps'!$B$1:$U$1,D$1)</f>
        <v>0</v>
      </c>
      <c r="E289" s="179">
        <f>SUMIFS('recurring2_based on steps'!$B289:$AY289,'recurring2_based on steps'!$B$1:$AY$1,E$1)+SUMIFS('changes2_based on steps'!$B289:$U289,'changes2_based on steps'!$B$1:$U$1,E$1)</f>
        <v>0</v>
      </c>
      <c r="F289" s="179">
        <f>SUMIFS('recurring2_based on steps'!$B289:$AY289,'recurring2_based on steps'!$B$1:$AY$1,F$1)+SUMIFS('changes2_based on steps'!$B289:$U289,'changes2_based on steps'!$B$1:$U$1,F$1)</f>
        <v>0</v>
      </c>
      <c r="G289" s="179">
        <f>SUMIFS('recurring2_based on steps'!$B289:$AY289,'recurring2_based on steps'!$B$1:$AY$1,G$1)+SUMIFS('changes2_based on steps'!$B289:$U289,'changes2_based on steps'!$B$1:$U$1,G$1)</f>
        <v>0</v>
      </c>
      <c r="H289" s="179">
        <f>SUMIFS('recurring2_based on steps'!$B289:$AY289,'recurring2_based on steps'!$B$1:$AY$1,H$1)+SUMIFS('changes2_based on steps'!$B289:$U289,'changes2_based on steps'!$B$1:$U$1,H$1)</f>
        <v>0</v>
      </c>
      <c r="I289" s="179">
        <f>SUMIFS('recurring2_based on steps'!$B289:$AY289,'recurring2_based on steps'!$B$1:$AY$1,I$1)+SUMIFS('changes2_based on steps'!$B289:$U289,'changes2_based on steps'!$B$1:$U$1,I$1)</f>
        <v>0</v>
      </c>
      <c r="J289" s="179">
        <f>SUMIFS('recurring2_based on steps'!$B289:$AY289,'recurring2_based on steps'!$B$1:$AY$1,J$1)+SUMIFS('changes2_based on steps'!$B289:$U289,'changes2_based on steps'!$B$1:$U$1,J$1)</f>
        <v>0</v>
      </c>
      <c r="K289" s="179">
        <f>SUMIFS('recurring2_based on steps'!$B289:$AY289,'recurring2_based on steps'!$B$1:$AY$1,K$1)+SUMIFS('changes2_based on steps'!$B289:$U289,'changes2_based on steps'!$B$1:$U$1,K$1)</f>
        <v>0</v>
      </c>
      <c r="L289" s="179">
        <f>SUMIFS('recurring2_based on steps'!$B289:$AY289,'recurring2_based on steps'!$B$1:$AY$1,L$1)+SUMIFS('changes2_based on steps'!$B289:$U289,'changes2_based on steps'!$B$1:$U$1,L$1)</f>
        <v>0</v>
      </c>
      <c r="M289" s="179">
        <f>SUMIFS('recurring2_based on steps'!$B289:$AY289,'recurring2_based on steps'!$B$1:$AY$1,M$1)+SUMIFS('changes2_based on steps'!$B289:$U289,'changes2_based on steps'!$B$1:$U$1,M$1)</f>
        <v>0</v>
      </c>
      <c r="N289" s="179">
        <f>SUMIFS('recurring2_based on steps'!$B289:$AY289,'recurring2_based on steps'!$B$1:$AY$1,N$1)+SUMIFS('changes2_based on steps'!$B289:$U289,'changes2_based on steps'!$B$1:$U$1,N$1)</f>
        <v>0</v>
      </c>
      <c r="O289" s="179">
        <f>SUMIFS('recurring2_based on steps'!$B289:$AY289,'recurring2_based on steps'!$B$1:$AY$1,O$1)+SUMIFS('changes2_based on steps'!$B289:$U289,'changes2_based on steps'!$B$1:$U$1,O$1)</f>
        <v>0</v>
      </c>
      <c r="P289" s="179">
        <f>SUMIFS('recurring2_based on steps'!$B289:$AY289,'recurring2_based on steps'!$B$1:$AY$1,P$1)+SUMIFS('changes2_based on steps'!$B289:$U289,'changes2_based on steps'!$B$1:$U$1,P$1)</f>
        <v>0</v>
      </c>
      <c r="Q289" s="179">
        <f>SUMIFS('recurring2_based on steps'!$B289:$AY289,'recurring2_based on steps'!$B$1:$AY$1,Q$1)+SUMIFS('changes2_based on steps'!$B289:$U289,'changes2_based on steps'!$B$1:$U$1,Q$1)</f>
        <v>0</v>
      </c>
      <c r="R289" s="179">
        <f>SUMIFS('recurring2_based on steps'!$B289:$AY289,'recurring2_based on steps'!$B$1:$AY$1,R$1)+SUMIFS('changes2_based on steps'!$B289:$U289,'changes2_based on steps'!$B$1:$U$1,R$1)</f>
        <v>0</v>
      </c>
      <c r="S289" s="179">
        <f>SUMIFS('recurring2_based on steps'!$B289:$AY289,'recurring2_based on steps'!$B$1:$AY$1,S$1)+SUMIFS('changes2_based on steps'!$B289:$U289,'changes2_based on steps'!$B$1:$U$1,S$1)</f>
        <v>0</v>
      </c>
      <c r="T289" s="179">
        <f>SUMIFS('recurring2_based on steps'!$B289:$AY289,'recurring2_based on steps'!$B$1:$AY$1,T$1)+SUMIFS('changes2_based on steps'!$B289:$U289,'changes2_based on steps'!$B$1:$U$1,T$1)</f>
        <v>0</v>
      </c>
      <c r="U289" s="179">
        <f>SUMIFS('recurring2_based on steps'!$B289:$AY289,'recurring2_based on steps'!$B$1:$AY$1,U$1)+SUMIFS('changes2_based on steps'!$B289:$U289,'changes2_based on steps'!$B$1:$U$1,U$1)</f>
        <v>0</v>
      </c>
      <c r="V289" s="179">
        <f>SUMIFS('recurring2_based on steps'!$B289:$AY289,'recurring2_based on steps'!$B$1:$AY$1,V$1)+SUMIFS('changes2_based on steps'!$B289:$U289,'changes2_based on steps'!$B$1:$U$1,V$1)</f>
        <v>0</v>
      </c>
      <c r="W289" s="179">
        <f>SUMIFS('recurring2_based on steps'!$B289:$AY289,'recurring2_based on steps'!$B$1:$AY$1,W$1)+SUMIFS('changes2_based on steps'!$B289:$U289,'changes2_based on steps'!$B$1:$U$1,W$1)</f>
        <v>0</v>
      </c>
      <c r="X289" s="179">
        <f>SUMIFS('recurring2_based on steps'!$B289:$AY289,'recurring2_based on steps'!$B$1:$AY$1,X$1)+SUMIFS('changes2_based on steps'!$B289:$U289,'changes2_based on steps'!$B$1:$U$1,X$1)</f>
        <v>0</v>
      </c>
      <c r="Y289" s="179">
        <f>SUMIFS('recurring2_based on steps'!$B289:$AY289,'recurring2_based on steps'!$B$1:$AY$1,Y$1)+SUMIFS('changes2_based on steps'!$B289:$U289,'changes2_based on steps'!$B$1:$U$1,Y$1)</f>
        <v>0</v>
      </c>
      <c r="Z289" s="179">
        <f>SUMIFS('recurring2_based on steps'!$B289:$AY289,'recurring2_based on steps'!$B$1:$AY$1,Z$1)+SUMIFS('changes2_based on steps'!$B289:$U289,'changes2_based on steps'!$B$1:$U$1,Z$1)</f>
        <v>0</v>
      </c>
      <c r="AA289" s="179">
        <f>SUMIFS('recurring2_based on steps'!$B289:$AY289,'recurring2_based on steps'!$B$1:$AY$1,AA$1)+SUMIFS('changes2_based on steps'!$B289:$U289,'changes2_based on steps'!$B$1:$U$1,AA$1)</f>
        <v>0</v>
      </c>
      <c r="AB289" s="179">
        <f>SUMIFS('recurring2_based on steps'!$B289:$AY289,'recurring2_based on steps'!$B$1:$AY$1,AB$1)+SUMIFS('changes2_based on steps'!$B289:$U289,'changes2_based on steps'!$B$1:$U$1,AB$1)</f>
        <v>0</v>
      </c>
      <c r="AC289" s="179">
        <f>SUMIFS('recurring2_based on steps'!$B289:$AY289,'recurring2_based on steps'!$B$1:$AY$1,AC$1)+SUMIFS('changes2_based on steps'!$B289:$U289,'changes2_based on steps'!$B$1:$U$1,AC$1)</f>
        <v>0</v>
      </c>
      <c r="AD289" s="179">
        <f>SUMIFS('recurring2_based on steps'!$B289:$AY289,'recurring2_based on steps'!$B$1:$AY$1,AD$1)+SUMIFS('changes2_based on steps'!$B289:$U289,'changes2_based on steps'!$B$1:$U$1,AD$1)</f>
        <v>0</v>
      </c>
      <c r="AE289" s="179">
        <f>SUMIFS('recurring2_based on steps'!$B289:$AY289,'recurring2_based on steps'!$B$1:$AY$1,AE$1)+SUMIFS('changes2_based on steps'!$B289:$U289,'changes2_based on steps'!$B$1:$U$1,AE$1)</f>
        <v>0</v>
      </c>
      <c r="AF289" s="179"/>
      <c r="AG289" s="179"/>
      <c r="AH289" s="179"/>
      <c r="AI289" s="179"/>
      <c r="AJ289" s="179"/>
      <c r="AK289" s="179"/>
      <c r="AL289" s="179"/>
      <c r="AM289" s="179"/>
    </row>
    <row r="290" spans="1:39" x14ac:dyDescent="0.2">
      <c r="A290" s="32">
        <f t="shared" ca="1" si="4"/>
        <v>46032</v>
      </c>
      <c r="B290" s="179">
        <f>SUMIFS('recurring2_based on steps'!$B290:$AY290,'recurring2_based on steps'!$B$1:$AY$1,B$1)+SUMIFS('changes2_based on steps'!$B290:$U290,'changes2_based on steps'!$B$1:$U$1,B$1)</f>
        <v>0</v>
      </c>
      <c r="C290" s="179">
        <f>SUMIFS('recurring2_based on steps'!$B290:$AY290,'recurring2_based on steps'!$B$1:$AY$1,C$1)+SUMIFS('changes2_based on steps'!$B290:$U290,'changes2_based on steps'!$B$1:$U$1,C$1)</f>
        <v>0</v>
      </c>
      <c r="D290" s="179">
        <f>SUMIFS('recurring2_based on steps'!$B290:$AY290,'recurring2_based on steps'!$B$1:$AY$1,D$1)+SUMIFS('changes2_based on steps'!$B290:$U290,'changes2_based on steps'!$B$1:$U$1,D$1)</f>
        <v>0</v>
      </c>
      <c r="E290" s="179">
        <f>SUMIFS('recurring2_based on steps'!$B290:$AY290,'recurring2_based on steps'!$B$1:$AY$1,E$1)+SUMIFS('changes2_based on steps'!$B290:$U290,'changes2_based on steps'!$B$1:$U$1,E$1)</f>
        <v>0</v>
      </c>
      <c r="F290" s="179">
        <f>SUMIFS('recurring2_based on steps'!$B290:$AY290,'recurring2_based on steps'!$B$1:$AY$1,F$1)+SUMIFS('changes2_based on steps'!$B290:$U290,'changes2_based on steps'!$B$1:$U$1,F$1)</f>
        <v>0</v>
      </c>
      <c r="G290" s="179">
        <f>SUMIFS('recurring2_based on steps'!$B290:$AY290,'recurring2_based on steps'!$B$1:$AY$1,G$1)+SUMIFS('changes2_based on steps'!$B290:$U290,'changes2_based on steps'!$B$1:$U$1,G$1)</f>
        <v>0</v>
      </c>
      <c r="H290" s="179">
        <f>SUMIFS('recurring2_based on steps'!$B290:$AY290,'recurring2_based on steps'!$B$1:$AY$1,H$1)+SUMIFS('changes2_based on steps'!$B290:$U290,'changes2_based on steps'!$B$1:$U$1,H$1)</f>
        <v>0</v>
      </c>
      <c r="I290" s="179">
        <f>SUMIFS('recurring2_based on steps'!$B290:$AY290,'recurring2_based on steps'!$B$1:$AY$1,I$1)+SUMIFS('changes2_based on steps'!$B290:$U290,'changes2_based on steps'!$B$1:$U$1,I$1)</f>
        <v>0</v>
      </c>
      <c r="J290" s="179">
        <f>SUMIFS('recurring2_based on steps'!$B290:$AY290,'recurring2_based on steps'!$B$1:$AY$1,J$1)+SUMIFS('changes2_based on steps'!$B290:$U290,'changes2_based on steps'!$B$1:$U$1,J$1)</f>
        <v>0</v>
      </c>
      <c r="K290" s="179">
        <f>SUMIFS('recurring2_based on steps'!$B290:$AY290,'recurring2_based on steps'!$B$1:$AY$1,K$1)+SUMIFS('changes2_based on steps'!$B290:$U290,'changes2_based on steps'!$B$1:$U$1,K$1)</f>
        <v>0</v>
      </c>
      <c r="L290" s="179">
        <f>SUMIFS('recurring2_based on steps'!$B290:$AY290,'recurring2_based on steps'!$B$1:$AY$1,L$1)+SUMIFS('changes2_based on steps'!$B290:$U290,'changes2_based on steps'!$B$1:$U$1,L$1)</f>
        <v>0</v>
      </c>
      <c r="M290" s="179">
        <f>SUMIFS('recurring2_based on steps'!$B290:$AY290,'recurring2_based on steps'!$B$1:$AY$1,M$1)+SUMIFS('changes2_based on steps'!$B290:$U290,'changes2_based on steps'!$B$1:$U$1,M$1)</f>
        <v>0</v>
      </c>
      <c r="N290" s="179">
        <f>SUMIFS('recurring2_based on steps'!$B290:$AY290,'recurring2_based on steps'!$B$1:$AY$1,N$1)+SUMIFS('changes2_based on steps'!$B290:$U290,'changes2_based on steps'!$B$1:$U$1,N$1)</f>
        <v>0</v>
      </c>
      <c r="O290" s="179">
        <f>SUMIFS('recurring2_based on steps'!$B290:$AY290,'recurring2_based on steps'!$B$1:$AY$1,O$1)+SUMIFS('changes2_based on steps'!$B290:$U290,'changes2_based on steps'!$B$1:$U$1,O$1)</f>
        <v>0</v>
      </c>
      <c r="P290" s="179">
        <f>SUMIFS('recurring2_based on steps'!$B290:$AY290,'recurring2_based on steps'!$B$1:$AY$1,P$1)+SUMIFS('changes2_based on steps'!$B290:$U290,'changes2_based on steps'!$B$1:$U$1,P$1)</f>
        <v>0</v>
      </c>
      <c r="Q290" s="179">
        <f>SUMIFS('recurring2_based on steps'!$B290:$AY290,'recurring2_based on steps'!$B$1:$AY$1,Q$1)+SUMIFS('changes2_based on steps'!$B290:$U290,'changes2_based on steps'!$B$1:$U$1,Q$1)</f>
        <v>0</v>
      </c>
      <c r="R290" s="179">
        <f>SUMIFS('recurring2_based on steps'!$B290:$AY290,'recurring2_based on steps'!$B$1:$AY$1,R$1)+SUMIFS('changes2_based on steps'!$B290:$U290,'changes2_based on steps'!$B$1:$U$1,R$1)</f>
        <v>0</v>
      </c>
      <c r="S290" s="179">
        <f>SUMIFS('recurring2_based on steps'!$B290:$AY290,'recurring2_based on steps'!$B$1:$AY$1,S$1)+SUMIFS('changes2_based on steps'!$B290:$U290,'changes2_based on steps'!$B$1:$U$1,S$1)</f>
        <v>0</v>
      </c>
      <c r="T290" s="179">
        <f>SUMIFS('recurring2_based on steps'!$B290:$AY290,'recurring2_based on steps'!$B$1:$AY$1,T$1)+SUMIFS('changes2_based on steps'!$B290:$U290,'changes2_based on steps'!$B$1:$U$1,T$1)</f>
        <v>0</v>
      </c>
      <c r="U290" s="179">
        <f>SUMIFS('recurring2_based on steps'!$B290:$AY290,'recurring2_based on steps'!$B$1:$AY$1,U$1)+SUMIFS('changes2_based on steps'!$B290:$U290,'changes2_based on steps'!$B$1:$U$1,U$1)</f>
        <v>0</v>
      </c>
      <c r="V290" s="179">
        <f>SUMIFS('recurring2_based on steps'!$B290:$AY290,'recurring2_based on steps'!$B$1:$AY$1,V$1)+SUMIFS('changes2_based on steps'!$B290:$U290,'changes2_based on steps'!$B$1:$U$1,V$1)</f>
        <v>0</v>
      </c>
      <c r="W290" s="179">
        <f>SUMIFS('recurring2_based on steps'!$B290:$AY290,'recurring2_based on steps'!$B$1:$AY$1,W$1)+SUMIFS('changes2_based on steps'!$B290:$U290,'changes2_based on steps'!$B$1:$U$1,W$1)</f>
        <v>0</v>
      </c>
      <c r="X290" s="179">
        <f>SUMIFS('recurring2_based on steps'!$B290:$AY290,'recurring2_based on steps'!$B$1:$AY$1,X$1)+SUMIFS('changes2_based on steps'!$B290:$U290,'changes2_based on steps'!$B$1:$U$1,X$1)</f>
        <v>0</v>
      </c>
      <c r="Y290" s="179">
        <f>SUMIFS('recurring2_based on steps'!$B290:$AY290,'recurring2_based on steps'!$B$1:$AY$1,Y$1)+SUMIFS('changes2_based on steps'!$B290:$U290,'changes2_based on steps'!$B$1:$U$1,Y$1)</f>
        <v>0</v>
      </c>
      <c r="Z290" s="179">
        <f>SUMIFS('recurring2_based on steps'!$B290:$AY290,'recurring2_based on steps'!$B$1:$AY$1,Z$1)+SUMIFS('changes2_based on steps'!$B290:$U290,'changes2_based on steps'!$B$1:$U$1,Z$1)</f>
        <v>0</v>
      </c>
      <c r="AA290" s="179">
        <f>SUMIFS('recurring2_based on steps'!$B290:$AY290,'recurring2_based on steps'!$B$1:$AY$1,AA$1)+SUMIFS('changes2_based on steps'!$B290:$U290,'changes2_based on steps'!$B$1:$U$1,AA$1)</f>
        <v>0</v>
      </c>
      <c r="AB290" s="179">
        <f>SUMIFS('recurring2_based on steps'!$B290:$AY290,'recurring2_based on steps'!$B$1:$AY$1,AB$1)+SUMIFS('changes2_based on steps'!$B290:$U290,'changes2_based on steps'!$B$1:$U$1,AB$1)</f>
        <v>0</v>
      </c>
      <c r="AC290" s="179">
        <f>SUMIFS('recurring2_based on steps'!$B290:$AY290,'recurring2_based on steps'!$B$1:$AY$1,AC$1)+SUMIFS('changes2_based on steps'!$B290:$U290,'changes2_based on steps'!$B$1:$U$1,AC$1)</f>
        <v>0</v>
      </c>
      <c r="AD290" s="179">
        <f>SUMIFS('recurring2_based on steps'!$B290:$AY290,'recurring2_based on steps'!$B$1:$AY$1,AD$1)+SUMIFS('changes2_based on steps'!$B290:$U290,'changes2_based on steps'!$B$1:$U$1,AD$1)</f>
        <v>0</v>
      </c>
      <c r="AE290" s="179">
        <f>SUMIFS('recurring2_based on steps'!$B290:$AY290,'recurring2_based on steps'!$B$1:$AY$1,AE$1)+SUMIFS('changes2_based on steps'!$B290:$U290,'changes2_based on steps'!$B$1:$U$1,AE$1)</f>
        <v>0</v>
      </c>
      <c r="AF290" s="179"/>
      <c r="AG290" s="179"/>
      <c r="AH290" s="179"/>
      <c r="AI290" s="179"/>
      <c r="AJ290" s="179"/>
      <c r="AK290" s="179"/>
      <c r="AL290" s="179"/>
      <c r="AM290" s="179"/>
    </row>
    <row r="291" spans="1:39" x14ac:dyDescent="0.2">
      <c r="A291" s="32">
        <f t="shared" ca="1" si="4"/>
        <v>46033</v>
      </c>
      <c r="B291" s="179">
        <f>SUMIFS('recurring2_based on steps'!$B291:$AY291,'recurring2_based on steps'!$B$1:$AY$1,B$1)+SUMIFS('changes2_based on steps'!$B291:$U291,'changes2_based on steps'!$B$1:$U$1,B$1)</f>
        <v>0</v>
      </c>
      <c r="C291" s="179">
        <f>SUMIFS('recurring2_based on steps'!$B291:$AY291,'recurring2_based on steps'!$B$1:$AY$1,C$1)+SUMIFS('changes2_based on steps'!$B291:$U291,'changes2_based on steps'!$B$1:$U$1,C$1)</f>
        <v>0</v>
      </c>
      <c r="D291" s="179">
        <f>SUMIFS('recurring2_based on steps'!$B291:$AY291,'recurring2_based on steps'!$B$1:$AY$1,D$1)+SUMIFS('changes2_based on steps'!$B291:$U291,'changes2_based on steps'!$B$1:$U$1,D$1)</f>
        <v>0</v>
      </c>
      <c r="E291" s="179">
        <f>SUMIFS('recurring2_based on steps'!$B291:$AY291,'recurring2_based on steps'!$B$1:$AY$1,E$1)+SUMIFS('changes2_based on steps'!$B291:$U291,'changes2_based on steps'!$B$1:$U$1,E$1)</f>
        <v>0</v>
      </c>
      <c r="F291" s="179">
        <f>SUMIFS('recurring2_based on steps'!$B291:$AY291,'recurring2_based on steps'!$B$1:$AY$1,F$1)+SUMIFS('changes2_based on steps'!$B291:$U291,'changes2_based on steps'!$B$1:$U$1,F$1)</f>
        <v>0</v>
      </c>
      <c r="G291" s="179">
        <f>SUMIFS('recurring2_based on steps'!$B291:$AY291,'recurring2_based on steps'!$B$1:$AY$1,G$1)+SUMIFS('changes2_based on steps'!$B291:$U291,'changes2_based on steps'!$B$1:$U$1,G$1)</f>
        <v>0</v>
      </c>
      <c r="H291" s="179">
        <f>SUMIFS('recurring2_based on steps'!$B291:$AY291,'recurring2_based on steps'!$B$1:$AY$1,H$1)+SUMIFS('changes2_based on steps'!$B291:$U291,'changes2_based on steps'!$B$1:$U$1,H$1)</f>
        <v>0</v>
      </c>
      <c r="I291" s="179">
        <f>SUMIFS('recurring2_based on steps'!$B291:$AY291,'recurring2_based on steps'!$B$1:$AY$1,I$1)+SUMIFS('changes2_based on steps'!$B291:$U291,'changes2_based on steps'!$B$1:$U$1,I$1)</f>
        <v>0</v>
      </c>
      <c r="J291" s="179">
        <f>SUMIFS('recurring2_based on steps'!$B291:$AY291,'recurring2_based on steps'!$B$1:$AY$1,J$1)+SUMIFS('changes2_based on steps'!$B291:$U291,'changes2_based on steps'!$B$1:$U$1,J$1)</f>
        <v>0</v>
      </c>
      <c r="K291" s="179">
        <f>SUMIFS('recurring2_based on steps'!$B291:$AY291,'recurring2_based on steps'!$B$1:$AY$1,K$1)+SUMIFS('changes2_based on steps'!$B291:$U291,'changes2_based on steps'!$B$1:$U$1,K$1)</f>
        <v>0</v>
      </c>
      <c r="L291" s="179">
        <f>SUMIFS('recurring2_based on steps'!$B291:$AY291,'recurring2_based on steps'!$B$1:$AY$1,L$1)+SUMIFS('changes2_based on steps'!$B291:$U291,'changes2_based on steps'!$B$1:$U$1,L$1)</f>
        <v>0</v>
      </c>
      <c r="M291" s="179">
        <f>SUMIFS('recurring2_based on steps'!$B291:$AY291,'recurring2_based on steps'!$B$1:$AY$1,M$1)+SUMIFS('changes2_based on steps'!$B291:$U291,'changes2_based on steps'!$B$1:$U$1,M$1)</f>
        <v>0</v>
      </c>
      <c r="N291" s="179">
        <f>SUMIFS('recurring2_based on steps'!$B291:$AY291,'recurring2_based on steps'!$B$1:$AY$1,N$1)+SUMIFS('changes2_based on steps'!$B291:$U291,'changes2_based on steps'!$B$1:$U$1,N$1)</f>
        <v>0</v>
      </c>
      <c r="O291" s="179">
        <f>SUMIFS('recurring2_based on steps'!$B291:$AY291,'recurring2_based on steps'!$B$1:$AY$1,O$1)+SUMIFS('changes2_based on steps'!$B291:$U291,'changes2_based on steps'!$B$1:$U$1,O$1)</f>
        <v>0</v>
      </c>
      <c r="P291" s="179">
        <f>SUMIFS('recurring2_based on steps'!$B291:$AY291,'recurring2_based on steps'!$B$1:$AY$1,P$1)+SUMIFS('changes2_based on steps'!$B291:$U291,'changes2_based on steps'!$B$1:$U$1,P$1)</f>
        <v>0</v>
      </c>
      <c r="Q291" s="179">
        <f>SUMIFS('recurring2_based on steps'!$B291:$AY291,'recurring2_based on steps'!$B$1:$AY$1,Q$1)+SUMIFS('changes2_based on steps'!$B291:$U291,'changes2_based on steps'!$B$1:$U$1,Q$1)</f>
        <v>0</v>
      </c>
      <c r="R291" s="179">
        <f>SUMIFS('recurring2_based on steps'!$B291:$AY291,'recurring2_based on steps'!$B$1:$AY$1,R$1)+SUMIFS('changes2_based on steps'!$B291:$U291,'changes2_based on steps'!$B$1:$U$1,R$1)</f>
        <v>0</v>
      </c>
      <c r="S291" s="179">
        <f>SUMIFS('recurring2_based on steps'!$B291:$AY291,'recurring2_based on steps'!$B$1:$AY$1,S$1)+SUMIFS('changes2_based on steps'!$B291:$U291,'changes2_based on steps'!$B$1:$U$1,S$1)</f>
        <v>0</v>
      </c>
      <c r="T291" s="179">
        <f>SUMIFS('recurring2_based on steps'!$B291:$AY291,'recurring2_based on steps'!$B$1:$AY$1,T$1)+SUMIFS('changes2_based on steps'!$B291:$U291,'changes2_based on steps'!$B$1:$U$1,T$1)</f>
        <v>0</v>
      </c>
      <c r="U291" s="179">
        <f>SUMIFS('recurring2_based on steps'!$B291:$AY291,'recurring2_based on steps'!$B$1:$AY$1,U$1)+SUMIFS('changes2_based on steps'!$B291:$U291,'changes2_based on steps'!$B$1:$U$1,U$1)</f>
        <v>0</v>
      </c>
      <c r="V291" s="179">
        <f>SUMIFS('recurring2_based on steps'!$B291:$AY291,'recurring2_based on steps'!$B$1:$AY$1,V$1)+SUMIFS('changes2_based on steps'!$B291:$U291,'changes2_based on steps'!$B$1:$U$1,V$1)</f>
        <v>0</v>
      </c>
      <c r="W291" s="179">
        <f>SUMIFS('recurring2_based on steps'!$B291:$AY291,'recurring2_based on steps'!$B$1:$AY$1,W$1)+SUMIFS('changes2_based on steps'!$B291:$U291,'changes2_based on steps'!$B$1:$U$1,W$1)</f>
        <v>0</v>
      </c>
      <c r="X291" s="179">
        <f>SUMIFS('recurring2_based on steps'!$B291:$AY291,'recurring2_based on steps'!$B$1:$AY$1,X$1)+SUMIFS('changes2_based on steps'!$B291:$U291,'changes2_based on steps'!$B$1:$U$1,X$1)</f>
        <v>0</v>
      </c>
      <c r="Y291" s="179">
        <f>SUMIFS('recurring2_based on steps'!$B291:$AY291,'recurring2_based on steps'!$B$1:$AY$1,Y$1)+SUMIFS('changes2_based on steps'!$B291:$U291,'changes2_based on steps'!$B$1:$U$1,Y$1)</f>
        <v>0</v>
      </c>
      <c r="Z291" s="179">
        <f>SUMIFS('recurring2_based on steps'!$B291:$AY291,'recurring2_based on steps'!$B$1:$AY$1,Z$1)+SUMIFS('changes2_based on steps'!$B291:$U291,'changes2_based on steps'!$B$1:$U$1,Z$1)</f>
        <v>0</v>
      </c>
      <c r="AA291" s="179">
        <f>SUMIFS('recurring2_based on steps'!$B291:$AY291,'recurring2_based on steps'!$B$1:$AY$1,AA$1)+SUMIFS('changes2_based on steps'!$B291:$U291,'changes2_based on steps'!$B$1:$U$1,AA$1)</f>
        <v>0</v>
      </c>
      <c r="AB291" s="179">
        <f>SUMIFS('recurring2_based on steps'!$B291:$AY291,'recurring2_based on steps'!$B$1:$AY$1,AB$1)+SUMIFS('changes2_based on steps'!$B291:$U291,'changes2_based on steps'!$B$1:$U$1,AB$1)</f>
        <v>0</v>
      </c>
      <c r="AC291" s="179">
        <f>SUMIFS('recurring2_based on steps'!$B291:$AY291,'recurring2_based on steps'!$B$1:$AY$1,AC$1)+SUMIFS('changes2_based on steps'!$B291:$U291,'changes2_based on steps'!$B$1:$U$1,AC$1)</f>
        <v>0</v>
      </c>
      <c r="AD291" s="179">
        <f>SUMIFS('recurring2_based on steps'!$B291:$AY291,'recurring2_based on steps'!$B$1:$AY$1,AD$1)+SUMIFS('changes2_based on steps'!$B291:$U291,'changes2_based on steps'!$B$1:$U$1,AD$1)</f>
        <v>0</v>
      </c>
      <c r="AE291" s="179">
        <f>SUMIFS('recurring2_based on steps'!$B291:$AY291,'recurring2_based on steps'!$B$1:$AY$1,AE$1)+SUMIFS('changes2_based on steps'!$B291:$U291,'changes2_based on steps'!$B$1:$U$1,AE$1)</f>
        <v>0</v>
      </c>
      <c r="AF291" s="179"/>
      <c r="AG291" s="179"/>
      <c r="AH291" s="179"/>
      <c r="AI291" s="179"/>
      <c r="AJ291" s="179"/>
      <c r="AK291" s="179"/>
      <c r="AL291" s="179"/>
      <c r="AM291" s="179"/>
    </row>
    <row r="292" spans="1:39" x14ac:dyDescent="0.2">
      <c r="A292" s="32">
        <f t="shared" ca="1" si="4"/>
        <v>46034</v>
      </c>
      <c r="B292" s="179">
        <f>SUMIFS('recurring2_based on steps'!$B292:$AY292,'recurring2_based on steps'!$B$1:$AY$1,B$1)+SUMIFS('changes2_based on steps'!$B292:$U292,'changes2_based on steps'!$B$1:$U$1,B$1)</f>
        <v>0</v>
      </c>
      <c r="C292" s="179">
        <f>SUMIFS('recurring2_based on steps'!$B292:$AY292,'recurring2_based on steps'!$B$1:$AY$1,C$1)+SUMIFS('changes2_based on steps'!$B292:$U292,'changes2_based on steps'!$B$1:$U$1,C$1)</f>
        <v>0</v>
      </c>
      <c r="D292" s="179">
        <f>SUMIFS('recurring2_based on steps'!$B292:$AY292,'recurring2_based on steps'!$B$1:$AY$1,D$1)+SUMIFS('changes2_based on steps'!$B292:$U292,'changes2_based on steps'!$B$1:$U$1,D$1)</f>
        <v>0</v>
      </c>
      <c r="E292" s="179">
        <f>SUMIFS('recurring2_based on steps'!$B292:$AY292,'recurring2_based on steps'!$B$1:$AY$1,E$1)+SUMIFS('changes2_based on steps'!$B292:$U292,'changes2_based on steps'!$B$1:$U$1,E$1)</f>
        <v>0</v>
      </c>
      <c r="F292" s="179">
        <f>SUMIFS('recurring2_based on steps'!$B292:$AY292,'recurring2_based on steps'!$B$1:$AY$1,F$1)+SUMIFS('changes2_based on steps'!$B292:$U292,'changes2_based on steps'!$B$1:$U$1,F$1)</f>
        <v>0</v>
      </c>
      <c r="G292" s="179">
        <f>SUMIFS('recurring2_based on steps'!$B292:$AY292,'recurring2_based on steps'!$B$1:$AY$1,G$1)+SUMIFS('changes2_based on steps'!$B292:$U292,'changes2_based on steps'!$B$1:$U$1,G$1)</f>
        <v>0</v>
      </c>
      <c r="H292" s="179">
        <f>SUMIFS('recurring2_based on steps'!$B292:$AY292,'recurring2_based on steps'!$B$1:$AY$1,H$1)+SUMIFS('changes2_based on steps'!$B292:$U292,'changes2_based on steps'!$B$1:$U$1,H$1)</f>
        <v>0</v>
      </c>
      <c r="I292" s="179">
        <f>SUMIFS('recurring2_based on steps'!$B292:$AY292,'recurring2_based on steps'!$B$1:$AY$1,I$1)+SUMIFS('changes2_based on steps'!$B292:$U292,'changes2_based on steps'!$B$1:$U$1,I$1)</f>
        <v>0</v>
      </c>
      <c r="J292" s="179">
        <f>SUMIFS('recurring2_based on steps'!$B292:$AY292,'recurring2_based on steps'!$B$1:$AY$1,J$1)+SUMIFS('changes2_based on steps'!$B292:$U292,'changes2_based on steps'!$B$1:$U$1,J$1)</f>
        <v>0</v>
      </c>
      <c r="K292" s="179">
        <f>SUMIFS('recurring2_based on steps'!$B292:$AY292,'recurring2_based on steps'!$B$1:$AY$1,K$1)+SUMIFS('changes2_based on steps'!$B292:$U292,'changes2_based on steps'!$B$1:$U$1,K$1)</f>
        <v>0</v>
      </c>
      <c r="L292" s="179">
        <f>SUMIFS('recurring2_based on steps'!$B292:$AY292,'recurring2_based on steps'!$B$1:$AY$1,L$1)+SUMIFS('changes2_based on steps'!$B292:$U292,'changes2_based on steps'!$B$1:$U$1,L$1)</f>
        <v>0</v>
      </c>
      <c r="M292" s="179">
        <f>SUMIFS('recurring2_based on steps'!$B292:$AY292,'recurring2_based on steps'!$B$1:$AY$1,M$1)+SUMIFS('changes2_based on steps'!$B292:$U292,'changes2_based on steps'!$B$1:$U$1,M$1)</f>
        <v>0</v>
      </c>
      <c r="N292" s="179">
        <f>SUMIFS('recurring2_based on steps'!$B292:$AY292,'recurring2_based on steps'!$B$1:$AY$1,N$1)+SUMIFS('changes2_based on steps'!$B292:$U292,'changes2_based on steps'!$B$1:$U$1,N$1)</f>
        <v>0</v>
      </c>
      <c r="O292" s="179">
        <f>SUMIFS('recurring2_based on steps'!$B292:$AY292,'recurring2_based on steps'!$B$1:$AY$1,O$1)+SUMIFS('changes2_based on steps'!$B292:$U292,'changes2_based on steps'!$B$1:$U$1,O$1)</f>
        <v>0</v>
      </c>
      <c r="P292" s="179">
        <f>SUMIFS('recurring2_based on steps'!$B292:$AY292,'recurring2_based on steps'!$B$1:$AY$1,P$1)+SUMIFS('changes2_based on steps'!$B292:$U292,'changes2_based on steps'!$B$1:$U$1,P$1)</f>
        <v>0</v>
      </c>
      <c r="Q292" s="179">
        <f>SUMIFS('recurring2_based on steps'!$B292:$AY292,'recurring2_based on steps'!$B$1:$AY$1,Q$1)+SUMIFS('changes2_based on steps'!$B292:$U292,'changes2_based on steps'!$B$1:$U$1,Q$1)</f>
        <v>0</v>
      </c>
      <c r="R292" s="179">
        <f>SUMIFS('recurring2_based on steps'!$B292:$AY292,'recurring2_based on steps'!$B$1:$AY$1,R$1)+SUMIFS('changes2_based on steps'!$B292:$U292,'changes2_based on steps'!$B$1:$U$1,R$1)</f>
        <v>0</v>
      </c>
      <c r="S292" s="179">
        <f>SUMIFS('recurring2_based on steps'!$B292:$AY292,'recurring2_based on steps'!$B$1:$AY$1,S$1)+SUMIFS('changes2_based on steps'!$B292:$U292,'changes2_based on steps'!$B$1:$U$1,S$1)</f>
        <v>0</v>
      </c>
      <c r="T292" s="179">
        <f>SUMIFS('recurring2_based on steps'!$B292:$AY292,'recurring2_based on steps'!$B$1:$AY$1,T$1)+SUMIFS('changes2_based on steps'!$B292:$U292,'changes2_based on steps'!$B$1:$U$1,T$1)</f>
        <v>0</v>
      </c>
      <c r="U292" s="179">
        <f>SUMIFS('recurring2_based on steps'!$B292:$AY292,'recurring2_based on steps'!$B$1:$AY$1,U$1)+SUMIFS('changes2_based on steps'!$B292:$U292,'changes2_based on steps'!$B$1:$U$1,U$1)</f>
        <v>0</v>
      </c>
      <c r="V292" s="179">
        <f>SUMIFS('recurring2_based on steps'!$B292:$AY292,'recurring2_based on steps'!$B$1:$AY$1,V$1)+SUMIFS('changes2_based on steps'!$B292:$U292,'changes2_based on steps'!$B$1:$U$1,V$1)</f>
        <v>0</v>
      </c>
      <c r="W292" s="179">
        <f>SUMIFS('recurring2_based on steps'!$B292:$AY292,'recurring2_based on steps'!$B$1:$AY$1,W$1)+SUMIFS('changes2_based on steps'!$B292:$U292,'changes2_based on steps'!$B$1:$U$1,W$1)</f>
        <v>0</v>
      </c>
      <c r="X292" s="179">
        <f>SUMIFS('recurring2_based on steps'!$B292:$AY292,'recurring2_based on steps'!$B$1:$AY$1,X$1)+SUMIFS('changes2_based on steps'!$B292:$U292,'changes2_based on steps'!$B$1:$U$1,X$1)</f>
        <v>0</v>
      </c>
      <c r="Y292" s="179">
        <f>SUMIFS('recurring2_based on steps'!$B292:$AY292,'recurring2_based on steps'!$B$1:$AY$1,Y$1)+SUMIFS('changes2_based on steps'!$B292:$U292,'changes2_based on steps'!$B$1:$U$1,Y$1)</f>
        <v>0</v>
      </c>
      <c r="Z292" s="179">
        <f>SUMIFS('recurring2_based on steps'!$B292:$AY292,'recurring2_based on steps'!$B$1:$AY$1,Z$1)+SUMIFS('changes2_based on steps'!$B292:$U292,'changes2_based on steps'!$B$1:$U$1,Z$1)</f>
        <v>0</v>
      </c>
      <c r="AA292" s="179">
        <f>SUMIFS('recurring2_based on steps'!$B292:$AY292,'recurring2_based on steps'!$B$1:$AY$1,AA$1)+SUMIFS('changes2_based on steps'!$B292:$U292,'changes2_based on steps'!$B$1:$U$1,AA$1)</f>
        <v>0</v>
      </c>
      <c r="AB292" s="179">
        <f>SUMIFS('recurring2_based on steps'!$B292:$AY292,'recurring2_based on steps'!$B$1:$AY$1,AB$1)+SUMIFS('changes2_based on steps'!$B292:$U292,'changes2_based on steps'!$B$1:$U$1,AB$1)</f>
        <v>0</v>
      </c>
      <c r="AC292" s="179">
        <f>SUMIFS('recurring2_based on steps'!$B292:$AY292,'recurring2_based on steps'!$B$1:$AY$1,AC$1)+SUMIFS('changes2_based on steps'!$B292:$U292,'changes2_based on steps'!$B$1:$U$1,AC$1)</f>
        <v>0</v>
      </c>
      <c r="AD292" s="179">
        <f>SUMIFS('recurring2_based on steps'!$B292:$AY292,'recurring2_based on steps'!$B$1:$AY$1,AD$1)+SUMIFS('changes2_based on steps'!$B292:$U292,'changes2_based on steps'!$B$1:$U$1,AD$1)</f>
        <v>0</v>
      </c>
      <c r="AE292" s="179">
        <f>SUMIFS('recurring2_based on steps'!$B292:$AY292,'recurring2_based on steps'!$B$1:$AY$1,AE$1)+SUMIFS('changes2_based on steps'!$B292:$U292,'changes2_based on steps'!$B$1:$U$1,AE$1)</f>
        <v>0</v>
      </c>
      <c r="AF292" s="179"/>
      <c r="AG292" s="179"/>
      <c r="AH292" s="179"/>
      <c r="AI292" s="179"/>
      <c r="AJ292" s="179"/>
      <c r="AK292" s="179"/>
      <c r="AL292" s="179"/>
      <c r="AM292" s="179"/>
    </row>
    <row r="293" spans="1:39" x14ac:dyDescent="0.2">
      <c r="A293" s="32">
        <f t="shared" ca="1" si="4"/>
        <v>46035</v>
      </c>
      <c r="B293" s="179">
        <f>SUMIFS('recurring2_based on steps'!$B293:$AY293,'recurring2_based on steps'!$B$1:$AY$1,B$1)+SUMIFS('changes2_based on steps'!$B293:$U293,'changes2_based on steps'!$B$1:$U$1,B$1)</f>
        <v>0</v>
      </c>
      <c r="C293" s="179">
        <f>SUMIFS('recurring2_based on steps'!$B293:$AY293,'recurring2_based on steps'!$B$1:$AY$1,C$1)+SUMIFS('changes2_based on steps'!$B293:$U293,'changes2_based on steps'!$B$1:$U$1,C$1)</f>
        <v>0</v>
      </c>
      <c r="D293" s="179">
        <f>SUMIFS('recurring2_based on steps'!$B293:$AY293,'recurring2_based on steps'!$B$1:$AY$1,D$1)+SUMIFS('changes2_based on steps'!$B293:$U293,'changes2_based on steps'!$B$1:$U$1,D$1)</f>
        <v>0</v>
      </c>
      <c r="E293" s="179">
        <f>SUMIFS('recurring2_based on steps'!$B293:$AY293,'recurring2_based on steps'!$B$1:$AY$1,E$1)+SUMIFS('changes2_based on steps'!$B293:$U293,'changes2_based on steps'!$B$1:$U$1,E$1)</f>
        <v>0</v>
      </c>
      <c r="F293" s="179">
        <f>SUMIFS('recurring2_based on steps'!$B293:$AY293,'recurring2_based on steps'!$B$1:$AY$1,F$1)+SUMIFS('changes2_based on steps'!$B293:$U293,'changes2_based on steps'!$B$1:$U$1,F$1)</f>
        <v>0</v>
      </c>
      <c r="G293" s="179">
        <f>SUMIFS('recurring2_based on steps'!$B293:$AY293,'recurring2_based on steps'!$B$1:$AY$1,G$1)+SUMIFS('changes2_based on steps'!$B293:$U293,'changes2_based on steps'!$B$1:$U$1,G$1)</f>
        <v>0</v>
      </c>
      <c r="H293" s="179">
        <f>SUMIFS('recurring2_based on steps'!$B293:$AY293,'recurring2_based on steps'!$B$1:$AY$1,H$1)+SUMIFS('changes2_based on steps'!$B293:$U293,'changes2_based on steps'!$B$1:$U$1,H$1)</f>
        <v>0</v>
      </c>
      <c r="I293" s="179">
        <f>SUMIFS('recurring2_based on steps'!$B293:$AY293,'recurring2_based on steps'!$B$1:$AY$1,I$1)+SUMIFS('changes2_based on steps'!$B293:$U293,'changes2_based on steps'!$B$1:$U$1,I$1)</f>
        <v>0</v>
      </c>
      <c r="J293" s="179">
        <f>SUMIFS('recurring2_based on steps'!$B293:$AY293,'recurring2_based on steps'!$B$1:$AY$1,J$1)+SUMIFS('changes2_based on steps'!$B293:$U293,'changes2_based on steps'!$B$1:$U$1,J$1)</f>
        <v>0</v>
      </c>
      <c r="K293" s="179">
        <f>SUMIFS('recurring2_based on steps'!$B293:$AY293,'recurring2_based on steps'!$B$1:$AY$1,K$1)+SUMIFS('changes2_based on steps'!$B293:$U293,'changes2_based on steps'!$B$1:$U$1,K$1)</f>
        <v>0</v>
      </c>
      <c r="L293" s="179">
        <f>SUMIFS('recurring2_based on steps'!$B293:$AY293,'recurring2_based on steps'!$B$1:$AY$1,L$1)+SUMIFS('changes2_based on steps'!$B293:$U293,'changes2_based on steps'!$B$1:$U$1,L$1)</f>
        <v>0</v>
      </c>
      <c r="M293" s="179">
        <f>SUMIFS('recurring2_based on steps'!$B293:$AY293,'recurring2_based on steps'!$B$1:$AY$1,M$1)+SUMIFS('changes2_based on steps'!$B293:$U293,'changes2_based on steps'!$B$1:$U$1,M$1)</f>
        <v>0</v>
      </c>
      <c r="N293" s="179">
        <f>SUMIFS('recurring2_based on steps'!$B293:$AY293,'recurring2_based on steps'!$B$1:$AY$1,N$1)+SUMIFS('changes2_based on steps'!$B293:$U293,'changes2_based on steps'!$B$1:$U$1,N$1)</f>
        <v>0</v>
      </c>
      <c r="O293" s="179">
        <f>SUMIFS('recurring2_based on steps'!$B293:$AY293,'recurring2_based on steps'!$B$1:$AY$1,O$1)+SUMIFS('changes2_based on steps'!$B293:$U293,'changes2_based on steps'!$B$1:$U$1,O$1)</f>
        <v>0</v>
      </c>
      <c r="P293" s="179">
        <f>SUMIFS('recurring2_based on steps'!$B293:$AY293,'recurring2_based on steps'!$B$1:$AY$1,P$1)+SUMIFS('changes2_based on steps'!$B293:$U293,'changes2_based on steps'!$B$1:$U$1,P$1)</f>
        <v>0</v>
      </c>
      <c r="Q293" s="179">
        <f>SUMIFS('recurring2_based on steps'!$B293:$AY293,'recurring2_based on steps'!$B$1:$AY$1,Q$1)+SUMIFS('changes2_based on steps'!$B293:$U293,'changes2_based on steps'!$B$1:$U$1,Q$1)</f>
        <v>0</v>
      </c>
      <c r="R293" s="179">
        <f>SUMIFS('recurring2_based on steps'!$B293:$AY293,'recurring2_based on steps'!$B$1:$AY$1,R$1)+SUMIFS('changes2_based on steps'!$B293:$U293,'changes2_based on steps'!$B$1:$U$1,R$1)</f>
        <v>0</v>
      </c>
      <c r="S293" s="179">
        <f>SUMIFS('recurring2_based on steps'!$B293:$AY293,'recurring2_based on steps'!$B$1:$AY$1,S$1)+SUMIFS('changes2_based on steps'!$B293:$U293,'changes2_based on steps'!$B$1:$U$1,S$1)</f>
        <v>0</v>
      </c>
      <c r="T293" s="179">
        <f>SUMIFS('recurring2_based on steps'!$B293:$AY293,'recurring2_based on steps'!$B$1:$AY$1,T$1)+SUMIFS('changes2_based on steps'!$B293:$U293,'changes2_based on steps'!$B$1:$U$1,T$1)</f>
        <v>0</v>
      </c>
      <c r="U293" s="179">
        <f>SUMIFS('recurring2_based on steps'!$B293:$AY293,'recurring2_based on steps'!$B$1:$AY$1,U$1)+SUMIFS('changes2_based on steps'!$B293:$U293,'changes2_based on steps'!$B$1:$U$1,U$1)</f>
        <v>0</v>
      </c>
      <c r="V293" s="179">
        <f>SUMIFS('recurring2_based on steps'!$B293:$AY293,'recurring2_based on steps'!$B$1:$AY$1,V$1)+SUMIFS('changes2_based on steps'!$B293:$U293,'changes2_based on steps'!$B$1:$U$1,V$1)</f>
        <v>0</v>
      </c>
      <c r="W293" s="179">
        <f>SUMIFS('recurring2_based on steps'!$B293:$AY293,'recurring2_based on steps'!$B$1:$AY$1,W$1)+SUMIFS('changes2_based on steps'!$B293:$U293,'changes2_based on steps'!$B$1:$U$1,W$1)</f>
        <v>0</v>
      </c>
      <c r="X293" s="179">
        <f>SUMIFS('recurring2_based on steps'!$B293:$AY293,'recurring2_based on steps'!$B$1:$AY$1,X$1)+SUMIFS('changes2_based on steps'!$B293:$U293,'changes2_based on steps'!$B$1:$U$1,X$1)</f>
        <v>0</v>
      </c>
      <c r="Y293" s="179">
        <f>SUMIFS('recurring2_based on steps'!$B293:$AY293,'recurring2_based on steps'!$B$1:$AY$1,Y$1)+SUMIFS('changes2_based on steps'!$B293:$U293,'changes2_based on steps'!$B$1:$U$1,Y$1)</f>
        <v>0</v>
      </c>
      <c r="Z293" s="179">
        <f>SUMIFS('recurring2_based on steps'!$B293:$AY293,'recurring2_based on steps'!$B$1:$AY$1,Z$1)+SUMIFS('changes2_based on steps'!$B293:$U293,'changes2_based on steps'!$B$1:$U$1,Z$1)</f>
        <v>0</v>
      </c>
      <c r="AA293" s="179">
        <f>SUMIFS('recurring2_based on steps'!$B293:$AY293,'recurring2_based on steps'!$B$1:$AY$1,AA$1)+SUMIFS('changes2_based on steps'!$B293:$U293,'changes2_based on steps'!$B$1:$U$1,AA$1)</f>
        <v>0</v>
      </c>
      <c r="AB293" s="179">
        <f>SUMIFS('recurring2_based on steps'!$B293:$AY293,'recurring2_based on steps'!$B$1:$AY$1,AB$1)+SUMIFS('changes2_based on steps'!$B293:$U293,'changes2_based on steps'!$B$1:$U$1,AB$1)</f>
        <v>0</v>
      </c>
      <c r="AC293" s="179">
        <f>SUMIFS('recurring2_based on steps'!$B293:$AY293,'recurring2_based on steps'!$B$1:$AY$1,AC$1)+SUMIFS('changes2_based on steps'!$B293:$U293,'changes2_based on steps'!$B$1:$U$1,AC$1)</f>
        <v>0</v>
      </c>
      <c r="AD293" s="179">
        <f>SUMIFS('recurring2_based on steps'!$B293:$AY293,'recurring2_based on steps'!$B$1:$AY$1,AD$1)+SUMIFS('changes2_based on steps'!$B293:$U293,'changes2_based on steps'!$B$1:$U$1,AD$1)</f>
        <v>0</v>
      </c>
      <c r="AE293" s="179">
        <f>SUMIFS('recurring2_based on steps'!$B293:$AY293,'recurring2_based on steps'!$B$1:$AY$1,AE$1)+SUMIFS('changes2_based on steps'!$B293:$U293,'changes2_based on steps'!$B$1:$U$1,AE$1)</f>
        <v>0</v>
      </c>
      <c r="AF293" s="179"/>
      <c r="AG293" s="179"/>
      <c r="AH293" s="179"/>
      <c r="AI293" s="179"/>
      <c r="AJ293" s="179"/>
      <c r="AK293" s="179"/>
      <c r="AL293" s="179"/>
      <c r="AM293" s="179"/>
    </row>
    <row r="294" spans="1:39" x14ac:dyDescent="0.2">
      <c r="A294" s="32">
        <f t="shared" ca="1" si="4"/>
        <v>46036</v>
      </c>
      <c r="B294" s="179">
        <f>SUMIFS('recurring2_based on steps'!$B294:$AY294,'recurring2_based on steps'!$B$1:$AY$1,B$1)+SUMIFS('changes2_based on steps'!$B294:$U294,'changes2_based on steps'!$B$1:$U$1,B$1)</f>
        <v>0</v>
      </c>
      <c r="C294" s="179">
        <f>SUMIFS('recurring2_based on steps'!$B294:$AY294,'recurring2_based on steps'!$B$1:$AY$1,C$1)+SUMIFS('changes2_based on steps'!$B294:$U294,'changes2_based on steps'!$B$1:$U$1,C$1)</f>
        <v>0</v>
      </c>
      <c r="D294" s="179">
        <f>SUMIFS('recurring2_based on steps'!$B294:$AY294,'recurring2_based on steps'!$B$1:$AY$1,D$1)+SUMIFS('changes2_based on steps'!$B294:$U294,'changes2_based on steps'!$B$1:$U$1,D$1)</f>
        <v>0</v>
      </c>
      <c r="E294" s="179">
        <f>SUMIFS('recurring2_based on steps'!$B294:$AY294,'recurring2_based on steps'!$B$1:$AY$1,E$1)+SUMIFS('changes2_based on steps'!$B294:$U294,'changes2_based on steps'!$B$1:$U$1,E$1)</f>
        <v>0</v>
      </c>
      <c r="F294" s="179">
        <f>SUMIFS('recurring2_based on steps'!$B294:$AY294,'recurring2_based on steps'!$B$1:$AY$1,F$1)+SUMIFS('changes2_based on steps'!$B294:$U294,'changes2_based on steps'!$B$1:$U$1,F$1)</f>
        <v>0</v>
      </c>
      <c r="G294" s="179">
        <f>SUMIFS('recurring2_based on steps'!$B294:$AY294,'recurring2_based on steps'!$B$1:$AY$1,G$1)+SUMIFS('changes2_based on steps'!$B294:$U294,'changes2_based on steps'!$B$1:$U$1,G$1)</f>
        <v>0</v>
      </c>
      <c r="H294" s="179">
        <f>SUMIFS('recurring2_based on steps'!$B294:$AY294,'recurring2_based on steps'!$B$1:$AY$1,H$1)+SUMIFS('changes2_based on steps'!$B294:$U294,'changes2_based on steps'!$B$1:$U$1,H$1)</f>
        <v>0</v>
      </c>
      <c r="I294" s="179">
        <f>SUMIFS('recurring2_based on steps'!$B294:$AY294,'recurring2_based on steps'!$B$1:$AY$1,I$1)+SUMIFS('changes2_based on steps'!$B294:$U294,'changes2_based on steps'!$B$1:$U$1,I$1)</f>
        <v>0</v>
      </c>
      <c r="J294" s="179">
        <f>SUMIFS('recurring2_based on steps'!$B294:$AY294,'recurring2_based on steps'!$B$1:$AY$1,J$1)+SUMIFS('changes2_based on steps'!$B294:$U294,'changes2_based on steps'!$B$1:$U$1,J$1)</f>
        <v>0</v>
      </c>
      <c r="K294" s="179">
        <f>SUMIFS('recurring2_based on steps'!$B294:$AY294,'recurring2_based on steps'!$B$1:$AY$1,K$1)+SUMIFS('changes2_based on steps'!$B294:$U294,'changes2_based on steps'!$B$1:$U$1,K$1)</f>
        <v>0</v>
      </c>
      <c r="L294" s="179">
        <f>SUMIFS('recurring2_based on steps'!$B294:$AY294,'recurring2_based on steps'!$B$1:$AY$1,L$1)+SUMIFS('changes2_based on steps'!$B294:$U294,'changes2_based on steps'!$B$1:$U$1,L$1)</f>
        <v>0</v>
      </c>
      <c r="M294" s="179">
        <f>SUMIFS('recurring2_based on steps'!$B294:$AY294,'recurring2_based on steps'!$B$1:$AY$1,M$1)+SUMIFS('changes2_based on steps'!$B294:$U294,'changes2_based on steps'!$B$1:$U$1,M$1)</f>
        <v>0</v>
      </c>
      <c r="N294" s="179">
        <f>SUMIFS('recurring2_based on steps'!$B294:$AY294,'recurring2_based on steps'!$B$1:$AY$1,N$1)+SUMIFS('changes2_based on steps'!$B294:$U294,'changes2_based on steps'!$B$1:$U$1,N$1)</f>
        <v>0</v>
      </c>
      <c r="O294" s="179">
        <f>SUMIFS('recurring2_based on steps'!$B294:$AY294,'recurring2_based on steps'!$B$1:$AY$1,O$1)+SUMIFS('changes2_based on steps'!$B294:$U294,'changes2_based on steps'!$B$1:$U$1,O$1)</f>
        <v>0</v>
      </c>
      <c r="P294" s="179">
        <f>SUMIFS('recurring2_based on steps'!$B294:$AY294,'recurring2_based on steps'!$B$1:$AY$1,P$1)+SUMIFS('changes2_based on steps'!$B294:$U294,'changes2_based on steps'!$B$1:$U$1,P$1)</f>
        <v>0</v>
      </c>
      <c r="Q294" s="179">
        <f>SUMIFS('recurring2_based on steps'!$B294:$AY294,'recurring2_based on steps'!$B$1:$AY$1,Q$1)+SUMIFS('changes2_based on steps'!$B294:$U294,'changes2_based on steps'!$B$1:$U$1,Q$1)</f>
        <v>0</v>
      </c>
      <c r="R294" s="179">
        <f>SUMIFS('recurring2_based on steps'!$B294:$AY294,'recurring2_based on steps'!$B$1:$AY$1,R$1)+SUMIFS('changes2_based on steps'!$B294:$U294,'changes2_based on steps'!$B$1:$U$1,R$1)</f>
        <v>0</v>
      </c>
      <c r="S294" s="179">
        <f>SUMIFS('recurring2_based on steps'!$B294:$AY294,'recurring2_based on steps'!$B$1:$AY$1,S$1)+SUMIFS('changes2_based on steps'!$B294:$U294,'changes2_based on steps'!$B$1:$U$1,S$1)</f>
        <v>0</v>
      </c>
      <c r="T294" s="179">
        <f>SUMIFS('recurring2_based on steps'!$B294:$AY294,'recurring2_based on steps'!$B$1:$AY$1,T$1)+SUMIFS('changes2_based on steps'!$B294:$U294,'changes2_based on steps'!$B$1:$U$1,T$1)</f>
        <v>0</v>
      </c>
      <c r="U294" s="179">
        <f>SUMIFS('recurring2_based on steps'!$B294:$AY294,'recurring2_based on steps'!$B$1:$AY$1,U$1)+SUMIFS('changes2_based on steps'!$B294:$U294,'changes2_based on steps'!$B$1:$U$1,U$1)</f>
        <v>0</v>
      </c>
      <c r="V294" s="179">
        <f>SUMIFS('recurring2_based on steps'!$B294:$AY294,'recurring2_based on steps'!$B$1:$AY$1,V$1)+SUMIFS('changes2_based on steps'!$B294:$U294,'changes2_based on steps'!$B$1:$U$1,V$1)</f>
        <v>0</v>
      </c>
      <c r="W294" s="179">
        <f>SUMIFS('recurring2_based on steps'!$B294:$AY294,'recurring2_based on steps'!$B$1:$AY$1,W$1)+SUMIFS('changes2_based on steps'!$B294:$U294,'changes2_based on steps'!$B$1:$U$1,W$1)</f>
        <v>0</v>
      </c>
      <c r="X294" s="179">
        <f>SUMIFS('recurring2_based on steps'!$B294:$AY294,'recurring2_based on steps'!$B$1:$AY$1,X$1)+SUMIFS('changes2_based on steps'!$B294:$U294,'changes2_based on steps'!$B$1:$U$1,X$1)</f>
        <v>0</v>
      </c>
      <c r="Y294" s="179">
        <f>SUMIFS('recurring2_based on steps'!$B294:$AY294,'recurring2_based on steps'!$B$1:$AY$1,Y$1)+SUMIFS('changes2_based on steps'!$B294:$U294,'changes2_based on steps'!$B$1:$U$1,Y$1)</f>
        <v>0</v>
      </c>
      <c r="Z294" s="179">
        <f>SUMIFS('recurring2_based on steps'!$B294:$AY294,'recurring2_based on steps'!$B$1:$AY$1,Z$1)+SUMIFS('changes2_based on steps'!$B294:$U294,'changes2_based on steps'!$B$1:$U$1,Z$1)</f>
        <v>0</v>
      </c>
      <c r="AA294" s="179">
        <f>SUMIFS('recurring2_based on steps'!$B294:$AY294,'recurring2_based on steps'!$B$1:$AY$1,AA$1)+SUMIFS('changes2_based on steps'!$B294:$U294,'changes2_based on steps'!$B$1:$U$1,AA$1)</f>
        <v>0</v>
      </c>
      <c r="AB294" s="179">
        <f>SUMIFS('recurring2_based on steps'!$B294:$AY294,'recurring2_based on steps'!$B$1:$AY$1,AB$1)+SUMIFS('changes2_based on steps'!$B294:$U294,'changes2_based on steps'!$B$1:$U$1,AB$1)</f>
        <v>0</v>
      </c>
      <c r="AC294" s="179">
        <f>SUMIFS('recurring2_based on steps'!$B294:$AY294,'recurring2_based on steps'!$B$1:$AY$1,AC$1)+SUMIFS('changes2_based on steps'!$B294:$U294,'changes2_based on steps'!$B$1:$U$1,AC$1)</f>
        <v>0</v>
      </c>
      <c r="AD294" s="179">
        <f>SUMIFS('recurring2_based on steps'!$B294:$AY294,'recurring2_based on steps'!$B$1:$AY$1,AD$1)+SUMIFS('changes2_based on steps'!$B294:$U294,'changes2_based on steps'!$B$1:$U$1,AD$1)</f>
        <v>0</v>
      </c>
      <c r="AE294" s="179">
        <f>SUMIFS('recurring2_based on steps'!$B294:$AY294,'recurring2_based on steps'!$B$1:$AY$1,AE$1)+SUMIFS('changes2_based on steps'!$B294:$U294,'changes2_based on steps'!$B$1:$U$1,AE$1)</f>
        <v>0</v>
      </c>
      <c r="AF294" s="179"/>
      <c r="AG294" s="179"/>
      <c r="AH294" s="179"/>
      <c r="AI294" s="179"/>
      <c r="AJ294" s="179"/>
      <c r="AK294" s="179"/>
      <c r="AL294" s="179"/>
      <c r="AM294" s="179"/>
    </row>
    <row r="295" spans="1:39" x14ac:dyDescent="0.2">
      <c r="A295" s="32">
        <f t="shared" ca="1" si="4"/>
        <v>46037</v>
      </c>
      <c r="B295" s="179">
        <f>SUMIFS('recurring2_based on steps'!$B295:$AY295,'recurring2_based on steps'!$B$1:$AY$1,B$1)+SUMIFS('changes2_based on steps'!$B295:$U295,'changes2_based on steps'!$B$1:$U$1,B$1)</f>
        <v>0</v>
      </c>
      <c r="C295" s="179">
        <f>SUMIFS('recurring2_based on steps'!$B295:$AY295,'recurring2_based on steps'!$B$1:$AY$1,C$1)+SUMIFS('changes2_based on steps'!$B295:$U295,'changes2_based on steps'!$B$1:$U$1,C$1)</f>
        <v>0</v>
      </c>
      <c r="D295" s="179">
        <f>SUMIFS('recurring2_based on steps'!$B295:$AY295,'recurring2_based on steps'!$B$1:$AY$1,D$1)+SUMIFS('changes2_based on steps'!$B295:$U295,'changes2_based on steps'!$B$1:$U$1,D$1)</f>
        <v>0</v>
      </c>
      <c r="E295" s="179">
        <f>SUMIFS('recurring2_based on steps'!$B295:$AY295,'recurring2_based on steps'!$B$1:$AY$1,E$1)+SUMIFS('changes2_based on steps'!$B295:$U295,'changes2_based on steps'!$B$1:$U$1,E$1)</f>
        <v>0</v>
      </c>
      <c r="F295" s="179">
        <f>SUMIFS('recurring2_based on steps'!$B295:$AY295,'recurring2_based on steps'!$B$1:$AY$1,F$1)+SUMIFS('changes2_based on steps'!$B295:$U295,'changes2_based on steps'!$B$1:$U$1,F$1)</f>
        <v>0</v>
      </c>
      <c r="G295" s="179">
        <f>SUMIFS('recurring2_based on steps'!$B295:$AY295,'recurring2_based on steps'!$B$1:$AY$1,G$1)+SUMIFS('changes2_based on steps'!$B295:$U295,'changes2_based on steps'!$B$1:$U$1,G$1)</f>
        <v>0</v>
      </c>
      <c r="H295" s="179">
        <f>SUMIFS('recurring2_based on steps'!$B295:$AY295,'recurring2_based on steps'!$B$1:$AY$1,H$1)+SUMIFS('changes2_based on steps'!$B295:$U295,'changes2_based on steps'!$B$1:$U$1,H$1)</f>
        <v>0</v>
      </c>
      <c r="I295" s="179">
        <f>SUMIFS('recurring2_based on steps'!$B295:$AY295,'recurring2_based on steps'!$B$1:$AY$1,I$1)+SUMIFS('changes2_based on steps'!$B295:$U295,'changes2_based on steps'!$B$1:$U$1,I$1)</f>
        <v>0</v>
      </c>
      <c r="J295" s="179">
        <f>SUMIFS('recurring2_based on steps'!$B295:$AY295,'recurring2_based on steps'!$B$1:$AY$1,J$1)+SUMIFS('changes2_based on steps'!$B295:$U295,'changes2_based on steps'!$B$1:$U$1,J$1)</f>
        <v>0</v>
      </c>
      <c r="K295" s="179">
        <f>SUMIFS('recurring2_based on steps'!$B295:$AY295,'recurring2_based on steps'!$B$1:$AY$1,K$1)+SUMIFS('changes2_based on steps'!$B295:$U295,'changes2_based on steps'!$B$1:$U$1,K$1)</f>
        <v>0</v>
      </c>
      <c r="L295" s="179">
        <f>SUMIFS('recurring2_based on steps'!$B295:$AY295,'recurring2_based on steps'!$B$1:$AY$1,L$1)+SUMIFS('changes2_based on steps'!$B295:$U295,'changes2_based on steps'!$B$1:$U$1,L$1)</f>
        <v>0</v>
      </c>
      <c r="M295" s="179">
        <f>SUMIFS('recurring2_based on steps'!$B295:$AY295,'recurring2_based on steps'!$B$1:$AY$1,M$1)+SUMIFS('changes2_based on steps'!$B295:$U295,'changes2_based on steps'!$B$1:$U$1,M$1)</f>
        <v>0</v>
      </c>
      <c r="N295" s="179">
        <f>SUMIFS('recurring2_based on steps'!$B295:$AY295,'recurring2_based on steps'!$B$1:$AY$1,N$1)+SUMIFS('changes2_based on steps'!$B295:$U295,'changes2_based on steps'!$B$1:$U$1,N$1)</f>
        <v>0</v>
      </c>
      <c r="O295" s="179">
        <f>SUMIFS('recurring2_based on steps'!$B295:$AY295,'recurring2_based on steps'!$B$1:$AY$1,O$1)+SUMIFS('changes2_based on steps'!$B295:$U295,'changes2_based on steps'!$B$1:$U$1,O$1)</f>
        <v>0</v>
      </c>
      <c r="P295" s="179">
        <f>SUMIFS('recurring2_based on steps'!$B295:$AY295,'recurring2_based on steps'!$B$1:$AY$1,P$1)+SUMIFS('changes2_based on steps'!$B295:$U295,'changes2_based on steps'!$B$1:$U$1,P$1)</f>
        <v>0</v>
      </c>
      <c r="Q295" s="179">
        <f>SUMIFS('recurring2_based on steps'!$B295:$AY295,'recurring2_based on steps'!$B$1:$AY$1,Q$1)+SUMIFS('changes2_based on steps'!$B295:$U295,'changes2_based on steps'!$B$1:$U$1,Q$1)</f>
        <v>0</v>
      </c>
      <c r="R295" s="179">
        <f>SUMIFS('recurring2_based on steps'!$B295:$AY295,'recurring2_based on steps'!$B$1:$AY$1,R$1)+SUMIFS('changes2_based on steps'!$B295:$U295,'changes2_based on steps'!$B$1:$U$1,R$1)</f>
        <v>0</v>
      </c>
      <c r="S295" s="179">
        <f>SUMIFS('recurring2_based on steps'!$B295:$AY295,'recurring2_based on steps'!$B$1:$AY$1,S$1)+SUMIFS('changes2_based on steps'!$B295:$U295,'changes2_based on steps'!$B$1:$U$1,S$1)</f>
        <v>0</v>
      </c>
      <c r="T295" s="179">
        <f>SUMIFS('recurring2_based on steps'!$B295:$AY295,'recurring2_based on steps'!$B$1:$AY$1,T$1)+SUMIFS('changes2_based on steps'!$B295:$U295,'changes2_based on steps'!$B$1:$U$1,T$1)</f>
        <v>0</v>
      </c>
      <c r="U295" s="179">
        <f>SUMIFS('recurring2_based on steps'!$B295:$AY295,'recurring2_based on steps'!$B$1:$AY$1,U$1)+SUMIFS('changes2_based on steps'!$B295:$U295,'changes2_based on steps'!$B$1:$U$1,U$1)</f>
        <v>0</v>
      </c>
      <c r="V295" s="179">
        <f>SUMIFS('recurring2_based on steps'!$B295:$AY295,'recurring2_based on steps'!$B$1:$AY$1,V$1)+SUMIFS('changes2_based on steps'!$B295:$U295,'changes2_based on steps'!$B$1:$U$1,V$1)</f>
        <v>0</v>
      </c>
      <c r="W295" s="179">
        <f>SUMIFS('recurring2_based on steps'!$B295:$AY295,'recurring2_based on steps'!$B$1:$AY$1,W$1)+SUMIFS('changes2_based on steps'!$B295:$U295,'changes2_based on steps'!$B$1:$U$1,W$1)</f>
        <v>0</v>
      </c>
      <c r="X295" s="179">
        <f>SUMIFS('recurring2_based on steps'!$B295:$AY295,'recurring2_based on steps'!$B$1:$AY$1,X$1)+SUMIFS('changes2_based on steps'!$B295:$U295,'changes2_based on steps'!$B$1:$U$1,X$1)</f>
        <v>0</v>
      </c>
      <c r="Y295" s="179">
        <f>SUMIFS('recurring2_based on steps'!$B295:$AY295,'recurring2_based on steps'!$B$1:$AY$1,Y$1)+SUMIFS('changes2_based on steps'!$B295:$U295,'changes2_based on steps'!$B$1:$U$1,Y$1)</f>
        <v>0</v>
      </c>
      <c r="Z295" s="179">
        <f>SUMIFS('recurring2_based on steps'!$B295:$AY295,'recurring2_based on steps'!$B$1:$AY$1,Z$1)+SUMIFS('changes2_based on steps'!$B295:$U295,'changes2_based on steps'!$B$1:$U$1,Z$1)</f>
        <v>0</v>
      </c>
      <c r="AA295" s="179">
        <f>SUMIFS('recurring2_based on steps'!$B295:$AY295,'recurring2_based on steps'!$B$1:$AY$1,AA$1)+SUMIFS('changes2_based on steps'!$B295:$U295,'changes2_based on steps'!$B$1:$U$1,AA$1)</f>
        <v>0</v>
      </c>
      <c r="AB295" s="179">
        <f>SUMIFS('recurring2_based on steps'!$B295:$AY295,'recurring2_based on steps'!$B$1:$AY$1,AB$1)+SUMIFS('changes2_based on steps'!$B295:$U295,'changes2_based on steps'!$B$1:$U$1,AB$1)</f>
        <v>0</v>
      </c>
      <c r="AC295" s="179">
        <f>SUMIFS('recurring2_based on steps'!$B295:$AY295,'recurring2_based on steps'!$B$1:$AY$1,AC$1)+SUMIFS('changes2_based on steps'!$B295:$U295,'changes2_based on steps'!$B$1:$U$1,AC$1)</f>
        <v>0</v>
      </c>
      <c r="AD295" s="179">
        <f>SUMIFS('recurring2_based on steps'!$B295:$AY295,'recurring2_based on steps'!$B$1:$AY$1,AD$1)+SUMIFS('changes2_based on steps'!$B295:$U295,'changes2_based on steps'!$B$1:$U$1,AD$1)</f>
        <v>0</v>
      </c>
      <c r="AE295" s="179">
        <f>SUMIFS('recurring2_based on steps'!$B295:$AY295,'recurring2_based on steps'!$B$1:$AY$1,AE$1)+SUMIFS('changes2_based on steps'!$B295:$U295,'changes2_based on steps'!$B$1:$U$1,AE$1)</f>
        <v>0</v>
      </c>
      <c r="AF295" s="179"/>
      <c r="AG295" s="179"/>
      <c r="AH295" s="179"/>
      <c r="AI295" s="179"/>
      <c r="AJ295" s="179"/>
      <c r="AK295" s="179"/>
      <c r="AL295" s="179"/>
      <c r="AM295" s="179"/>
    </row>
    <row r="296" spans="1:39" x14ac:dyDescent="0.2">
      <c r="A296" s="32">
        <f t="shared" ca="1" si="4"/>
        <v>46038</v>
      </c>
      <c r="B296" s="179">
        <f>SUMIFS('recurring2_based on steps'!$B296:$AY296,'recurring2_based on steps'!$B$1:$AY$1,B$1)+SUMIFS('changes2_based on steps'!$B296:$U296,'changes2_based on steps'!$B$1:$U$1,B$1)</f>
        <v>0</v>
      </c>
      <c r="C296" s="179">
        <f>SUMIFS('recurring2_based on steps'!$B296:$AY296,'recurring2_based on steps'!$B$1:$AY$1,C$1)+SUMIFS('changes2_based on steps'!$B296:$U296,'changes2_based on steps'!$B$1:$U$1,C$1)</f>
        <v>0</v>
      </c>
      <c r="D296" s="179">
        <f>SUMIFS('recurring2_based on steps'!$B296:$AY296,'recurring2_based on steps'!$B$1:$AY$1,D$1)+SUMIFS('changes2_based on steps'!$B296:$U296,'changes2_based on steps'!$B$1:$U$1,D$1)</f>
        <v>0</v>
      </c>
      <c r="E296" s="179">
        <f>SUMIFS('recurring2_based on steps'!$B296:$AY296,'recurring2_based on steps'!$B$1:$AY$1,E$1)+SUMIFS('changes2_based on steps'!$B296:$U296,'changes2_based on steps'!$B$1:$U$1,E$1)</f>
        <v>0</v>
      </c>
      <c r="F296" s="179">
        <f>SUMIFS('recurring2_based on steps'!$B296:$AY296,'recurring2_based on steps'!$B$1:$AY$1,F$1)+SUMIFS('changes2_based on steps'!$B296:$U296,'changes2_based on steps'!$B$1:$U$1,F$1)</f>
        <v>0</v>
      </c>
      <c r="G296" s="179">
        <f>SUMIFS('recurring2_based on steps'!$B296:$AY296,'recurring2_based on steps'!$B$1:$AY$1,G$1)+SUMIFS('changes2_based on steps'!$B296:$U296,'changes2_based on steps'!$B$1:$U$1,G$1)</f>
        <v>0</v>
      </c>
      <c r="H296" s="179">
        <f>SUMIFS('recurring2_based on steps'!$B296:$AY296,'recurring2_based on steps'!$B$1:$AY$1,H$1)+SUMIFS('changes2_based on steps'!$B296:$U296,'changes2_based on steps'!$B$1:$U$1,H$1)</f>
        <v>0</v>
      </c>
      <c r="I296" s="179">
        <f>SUMIFS('recurring2_based on steps'!$B296:$AY296,'recurring2_based on steps'!$B$1:$AY$1,I$1)+SUMIFS('changes2_based on steps'!$B296:$U296,'changes2_based on steps'!$B$1:$U$1,I$1)</f>
        <v>0</v>
      </c>
      <c r="J296" s="179">
        <f>SUMIFS('recurring2_based on steps'!$B296:$AY296,'recurring2_based on steps'!$B$1:$AY$1,J$1)+SUMIFS('changes2_based on steps'!$B296:$U296,'changes2_based on steps'!$B$1:$U$1,J$1)</f>
        <v>0</v>
      </c>
      <c r="K296" s="179">
        <f>SUMIFS('recurring2_based on steps'!$B296:$AY296,'recurring2_based on steps'!$B$1:$AY$1,K$1)+SUMIFS('changes2_based on steps'!$B296:$U296,'changes2_based on steps'!$B$1:$U$1,K$1)</f>
        <v>0</v>
      </c>
      <c r="L296" s="179">
        <f>SUMIFS('recurring2_based on steps'!$B296:$AY296,'recurring2_based on steps'!$B$1:$AY$1,L$1)+SUMIFS('changes2_based on steps'!$B296:$U296,'changes2_based on steps'!$B$1:$U$1,L$1)</f>
        <v>0</v>
      </c>
      <c r="M296" s="179">
        <f>SUMIFS('recurring2_based on steps'!$B296:$AY296,'recurring2_based on steps'!$B$1:$AY$1,M$1)+SUMIFS('changes2_based on steps'!$B296:$U296,'changes2_based on steps'!$B$1:$U$1,M$1)</f>
        <v>0</v>
      </c>
      <c r="N296" s="179">
        <f>SUMIFS('recurring2_based on steps'!$B296:$AY296,'recurring2_based on steps'!$B$1:$AY$1,N$1)+SUMIFS('changes2_based on steps'!$B296:$U296,'changes2_based on steps'!$B$1:$U$1,N$1)</f>
        <v>0</v>
      </c>
      <c r="O296" s="179">
        <f>SUMIFS('recurring2_based on steps'!$B296:$AY296,'recurring2_based on steps'!$B$1:$AY$1,O$1)+SUMIFS('changes2_based on steps'!$B296:$U296,'changes2_based on steps'!$B$1:$U$1,O$1)</f>
        <v>0</v>
      </c>
      <c r="P296" s="179">
        <f>SUMIFS('recurring2_based on steps'!$B296:$AY296,'recurring2_based on steps'!$B$1:$AY$1,P$1)+SUMIFS('changes2_based on steps'!$B296:$U296,'changes2_based on steps'!$B$1:$U$1,P$1)</f>
        <v>0</v>
      </c>
      <c r="Q296" s="179">
        <f>SUMIFS('recurring2_based on steps'!$B296:$AY296,'recurring2_based on steps'!$B$1:$AY$1,Q$1)+SUMIFS('changes2_based on steps'!$B296:$U296,'changes2_based on steps'!$B$1:$U$1,Q$1)</f>
        <v>0</v>
      </c>
      <c r="R296" s="179">
        <f>SUMIFS('recurring2_based on steps'!$B296:$AY296,'recurring2_based on steps'!$B$1:$AY$1,R$1)+SUMIFS('changes2_based on steps'!$B296:$U296,'changes2_based on steps'!$B$1:$U$1,R$1)</f>
        <v>0</v>
      </c>
      <c r="S296" s="179">
        <f>SUMIFS('recurring2_based on steps'!$B296:$AY296,'recurring2_based on steps'!$B$1:$AY$1,S$1)+SUMIFS('changes2_based on steps'!$B296:$U296,'changes2_based on steps'!$B$1:$U$1,S$1)</f>
        <v>0</v>
      </c>
      <c r="T296" s="179">
        <f>SUMIFS('recurring2_based on steps'!$B296:$AY296,'recurring2_based on steps'!$B$1:$AY$1,T$1)+SUMIFS('changes2_based on steps'!$B296:$U296,'changes2_based on steps'!$B$1:$U$1,T$1)</f>
        <v>0</v>
      </c>
      <c r="U296" s="179">
        <f>SUMIFS('recurring2_based on steps'!$B296:$AY296,'recurring2_based on steps'!$B$1:$AY$1,U$1)+SUMIFS('changes2_based on steps'!$B296:$U296,'changes2_based on steps'!$B$1:$U$1,U$1)</f>
        <v>0</v>
      </c>
      <c r="V296" s="179">
        <f>SUMIFS('recurring2_based on steps'!$B296:$AY296,'recurring2_based on steps'!$B$1:$AY$1,V$1)+SUMIFS('changes2_based on steps'!$B296:$U296,'changes2_based on steps'!$B$1:$U$1,V$1)</f>
        <v>0</v>
      </c>
      <c r="W296" s="179">
        <f>SUMIFS('recurring2_based on steps'!$B296:$AY296,'recurring2_based on steps'!$B$1:$AY$1,W$1)+SUMIFS('changes2_based on steps'!$B296:$U296,'changes2_based on steps'!$B$1:$U$1,W$1)</f>
        <v>0</v>
      </c>
      <c r="X296" s="179">
        <f>SUMIFS('recurring2_based on steps'!$B296:$AY296,'recurring2_based on steps'!$B$1:$AY$1,X$1)+SUMIFS('changes2_based on steps'!$B296:$U296,'changes2_based on steps'!$B$1:$U$1,X$1)</f>
        <v>0</v>
      </c>
      <c r="Y296" s="179">
        <f>SUMIFS('recurring2_based on steps'!$B296:$AY296,'recurring2_based on steps'!$B$1:$AY$1,Y$1)+SUMIFS('changes2_based on steps'!$B296:$U296,'changes2_based on steps'!$B$1:$U$1,Y$1)</f>
        <v>0</v>
      </c>
      <c r="Z296" s="179">
        <f>SUMIFS('recurring2_based on steps'!$B296:$AY296,'recurring2_based on steps'!$B$1:$AY$1,Z$1)+SUMIFS('changes2_based on steps'!$B296:$U296,'changes2_based on steps'!$B$1:$U$1,Z$1)</f>
        <v>0</v>
      </c>
      <c r="AA296" s="179">
        <f>SUMIFS('recurring2_based on steps'!$B296:$AY296,'recurring2_based on steps'!$B$1:$AY$1,AA$1)+SUMIFS('changes2_based on steps'!$B296:$U296,'changes2_based on steps'!$B$1:$U$1,AA$1)</f>
        <v>0</v>
      </c>
      <c r="AB296" s="179">
        <f>SUMIFS('recurring2_based on steps'!$B296:$AY296,'recurring2_based on steps'!$B$1:$AY$1,AB$1)+SUMIFS('changes2_based on steps'!$B296:$U296,'changes2_based on steps'!$B$1:$U$1,AB$1)</f>
        <v>0</v>
      </c>
      <c r="AC296" s="179">
        <f>SUMIFS('recurring2_based on steps'!$B296:$AY296,'recurring2_based on steps'!$B$1:$AY$1,AC$1)+SUMIFS('changes2_based on steps'!$B296:$U296,'changes2_based on steps'!$B$1:$U$1,AC$1)</f>
        <v>0</v>
      </c>
      <c r="AD296" s="179">
        <f>SUMIFS('recurring2_based on steps'!$B296:$AY296,'recurring2_based on steps'!$B$1:$AY$1,AD$1)+SUMIFS('changes2_based on steps'!$B296:$U296,'changes2_based on steps'!$B$1:$U$1,AD$1)</f>
        <v>0</v>
      </c>
      <c r="AE296" s="179">
        <f>SUMIFS('recurring2_based on steps'!$B296:$AY296,'recurring2_based on steps'!$B$1:$AY$1,AE$1)+SUMIFS('changes2_based on steps'!$B296:$U296,'changes2_based on steps'!$B$1:$U$1,AE$1)</f>
        <v>0</v>
      </c>
      <c r="AF296" s="179"/>
      <c r="AG296" s="179"/>
      <c r="AH296" s="179"/>
      <c r="AI296" s="179"/>
      <c r="AJ296" s="179"/>
      <c r="AK296" s="179"/>
      <c r="AL296" s="179"/>
      <c r="AM296" s="179"/>
    </row>
    <row r="297" spans="1:39" x14ac:dyDescent="0.2">
      <c r="A297" s="32">
        <f t="shared" ca="1" si="4"/>
        <v>46039</v>
      </c>
      <c r="B297" s="179">
        <f>SUMIFS('recurring2_based on steps'!$B297:$AY297,'recurring2_based on steps'!$B$1:$AY$1,B$1)+SUMIFS('changes2_based on steps'!$B297:$U297,'changes2_based on steps'!$B$1:$U$1,B$1)</f>
        <v>0</v>
      </c>
      <c r="C297" s="179">
        <f>SUMIFS('recurring2_based on steps'!$B297:$AY297,'recurring2_based on steps'!$B$1:$AY$1,C$1)+SUMIFS('changes2_based on steps'!$B297:$U297,'changes2_based on steps'!$B$1:$U$1,C$1)</f>
        <v>0</v>
      </c>
      <c r="D297" s="179">
        <f>SUMIFS('recurring2_based on steps'!$B297:$AY297,'recurring2_based on steps'!$B$1:$AY$1,D$1)+SUMIFS('changes2_based on steps'!$B297:$U297,'changes2_based on steps'!$B$1:$U$1,D$1)</f>
        <v>0</v>
      </c>
      <c r="E297" s="179">
        <f>SUMIFS('recurring2_based on steps'!$B297:$AY297,'recurring2_based on steps'!$B$1:$AY$1,E$1)+SUMIFS('changes2_based on steps'!$B297:$U297,'changes2_based on steps'!$B$1:$U$1,E$1)</f>
        <v>0</v>
      </c>
      <c r="F297" s="179">
        <f>SUMIFS('recurring2_based on steps'!$B297:$AY297,'recurring2_based on steps'!$B$1:$AY$1,F$1)+SUMIFS('changes2_based on steps'!$B297:$U297,'changes2_based on steps'!$B$1:$U$1,F$1)</f>
        <v>0</v>
      </c>
      <c r="G297" s="179">
        <f>SUMIFS('recurring2_based on steps'!$B297:$AY297,'recurring2_based on steps'!$B$1:$AY$1,G$1)+SUMIFS('changes2_based on steps'!$B297:$U297,'changes2_based on steps'!$B$1:$U$1,G$1)</f>
        <v>0</v>
      </c>
      <c r="H297" s="179">
        <f>SUMIFS('recurring2_based on steps'!$B297:$AY297,'recurring2_based on steps'!$B$1:$AY$1,H$1)+SUMIFS('changes2_based on steps'!$B297:$U297,'changes2_based on steps'!$B$1:$U$1,H$1)</f>
        <v>0</v>
      </c>
      <c r="I297" s="179">
        <f>SUMIFS('recurring2_based on steps'!$B297:$AY297,'recurring2_based on steps'!$B$1:$AY$1,I$1)+SUMIFS('changes2_based on steps'!$B297:$U297,'changes2_based on steps'!$B$1:$U$1,I$1)</f>
        <v>0</v>
      </c>
      <c r="J297" s="179">
        <f>SUMIFS('recurring2_based on steps'!$B297:$AY297,'recurring2_based on steps'!$B$1:$AY$1,J$1)+SUMIFS('changes2_based on steps'!$B297:$U297,'changes2_based on steps'!$B$1:$U$1,J$1)</f>
        <v>0</v>
      </c>
      <c r="K297" s="179">
        <f>SUMIFS('recurring2_based on steps'!$B297:$AY297,'recurring2_based on steps'!$B$1:$AY$1,K$1)+SUMIFS('changes2_based on steps'!$B297:$U297,'changes2_based on steps'!$B$1:$U$1,K$1)</f>
        <v>0</v>
      </c>
      <c r="L297" s="179">
        <f>SUMIFS('recurring2_based on steps'!$B297:$AY297,'recurring2_based on steps'!$B$1:$AY$1,L$1)+SUMIFS('changes2_based on steps'!$B297:$U297,'changes2_based on steps'!$B$1:$U$1,L$1)</f>
        <v>0</v>
      </c>
      <c r="M297" s="179">
        <f>SUMIFS('recurring2_based on steps'!$B297:$AY297,'recurring2_based on steps'!$B$1:$AY$1,M$1)+SUMIFS('changes2_based on steps'!$B297:$U297,'changes2_based on steps'!$B$1:$U$1,M$1)</f>
        <v>0</v>
      </c>
      <c r="N297" s="179">
        <f>SUMIFS('recurring2_based on steps'!$B297:$AY297,'recurring2_based on steps'!$B$1:$AY$1,N$1)+SUMIFS('changes2_based on steps'!$B297:$U297,'changes2_based on steps'!$B$1:$U$1,N$1)</f>
        <v>0</v>
      </c>
      <c r="O297" s="179">
        <f>SUMIFS('recurring2_based on steps'!$B297:$AY297,'recurring2_based on steps'!$B$1:$AY$1,O$1)+SUMIFS('changes2_based on steps'!$B297:$U297,'changes2_based on steps'!$B$1:$U$1,O$1)</f>
        <v>0</v>
      </c>
      <c r="P297" s="179">
        <f>SUMIFS('recurring2_based on steps'!$B297:$AY297,'recurring2_based on steps'!$B$1:$AY$1,P$1)+SUMIFS('changes2_based on steps'!$B297:$U297,'changes2_based on steps'!$B$1:$U$1,P$1)</f>
        <v>0</v>
      </c>
      <c r="Q297" s="179">
        <f>SUMIFS('recurring2_based on steps'!$B297:$AY297,'recurring2_based on steps'!$B$1:$AY$1,Q$1)+SUMIFS('changes2_based on steps'!$B297:$U297,'changes2_based on steps'!$B$1:$U$1,Q$1)</f>
        <v>0</v>
      </c>
      <c r="R297" s="179">
        <f>SUMIFS('recurring2_based on steps'!$B297:$AY297,'recurring2_based on steps'!$B$1:$AY$1,R$1)+SUMIFS('changes2_based on steps'!$B297:$U297,'changes2_based on steps'!$B$1:$U$1,R$1)</f>
        <v>0</v>
      </c>
      <c r="S297" s="179">
        <f>SUMIFS('recurring2_based on steps'!$B297:$AY297,'recurring2_based on steps'!$B$1:$AY$1,S$1)+SUMIFS('changes2_based on steps'!$B297:$U297,'changes2_based on steps'!$B$1:$U$1,S$1)</f>
        <v>0</v>
      </c>
      <c r="T297" s="179">
        <f>SUMIFS('recurring2_based on steps'!$B297:$AY297,'recurring2_based on steps'!$B$1:$AY$1,T$1)+SUMIFS('changes2_based on steps'!$B297:$U297,'changes2_based on steps'!$B$1:$U$1,T$1)</f>
        <v>0</v>
      </c>
      <c r="U297" s="179">
        <f>SUMIFS('recurring2_based on steps'!$B297:$AY297,'recurring2_based on steps'!$B$1:$AY$1,U$1)+SUMIFS('changes2_based on steps'!$B297:$U297,'changes2_based on steps'!$B$1:$U$1,U$1)</f>
        <v>0</v>
      </c>
      <c r="V297" s="179">
        <f>SUMIFS('recurring2_based on steps'!$B297:$AY297,'recurring2_based on steps'!$B$1:$AY$1,V$1)+SUMIFS('changes2_based on steps'!$B297:$U297,'changes2_based on steps'!$B$1:$U$1,V$1)</f>
        <v>0</v>
      </c>
      <c r="W297" s="179">
        <f>SUMIFS('recurring2_based on steps'!$B297:$AY297,'recurring2_based on steps'!$B$1:$AY$1,W$1)+SUMIFS('changes2_based on steps'!$B297:$U297,'changes2_based on steps'!$B$1:$U$1,W$1)</f>
        <v>0</v>
      </c>
      <c r="X297" s="179">
        <f>SUMIFS('recurring2_based on steps'!$B297:$AY297,'recurring2_based on steps'!$B$1:$AY$1,X$1)+SUMIFS('changes2_based on steps'!$B297:$U297,'changes2_based on steps'!$B$1:$U$1,X$1)</f>
        <v>0</v>
      </c>
      <c r="Y297" s="179">
        <f>SUMIFS('recurring2_based on steps'!$B297:$AY297,'recurring2_based on steps'!$B$1:$AY$1,Y$1)+SUMIFS('changes2_based on steps'!$B297:$U297,'changes2_based on steps'!$B$1:$U$1,Y$1)</f>
        <v>0</v>
      </c>
      <c r="Z297" s="179">
        <f>SUMIFS('recurring2_based on steps'!$B297:$AY297,'recurring2_based on steps'!$B$1:$AY$1,Z$1)+SUMIFS('changes2_based on steps'!$B297:$U297,'changes2_based on steps'!$B$1:$U$1,Z$1)</f>
        <v>0</v>
      </c>
      <c r="AA297" s="179">
        <f>SUMIFS('recurring2_based on steps'!$B297:$AY297,'recurring2_based on steps'!$B$1:$AY$1,AA$1)+SUMIFS('changes2_based on steps'!$B297:$U297,'changes2_based on steps'!$B$1:$U$1,AA$1)</f>
        <v>0</v>
      </c>
      <c r="AB297" s="179">
        <f>SUMIFS('recurring2_based on steps'!$B297:$AY297,'recurring2_based on steps'!$B$1:$AY$1,AB$1)+SUMIFS('changes2_based on steps'!$B297:$U297,'changes2_based on steps'!$B$1:$U$1,AB$1)</f>
        <v>0</v>
      </c>
      <c r="AC297" s="179">
        <f>SUMIFS('recurring2_based on steps'!$B297:$AY297,'recurring2_based on steps'!$B$1:$AY$1,AC$1)+SUMIFS('changes2_based on steps'!$B297:$U297,'changes2_based on steps'!$B$1:$U$1,AC$1)</f>
        <v>0</v>
      </c>
      <c r="AD297" s="179">
        <f>SUMIFS('recurring2_based on steps'!$B297:$AY297,'recurring2_based on steps'!$B$1:$AY$1,AD$1)+SUMIFS('changes2_based on steps'!$B297:$U297,'changes2_based on steps'!$B$1:$U$1,AD$1)</f>
        <v>0</v>
      </c>
      <c r="AE297" s="179">
        <f>SUMIFS('recurring2_based on steps'!$B297:$AY297,'recurring2_based on steps'!$B$1:$AY$1,AE$1)+SUMIFS('changes2_based on steps'!$B297:$U297,'changes2_based on steps'!$B$1:$U$1,AE$1)</f>
        <v>0</v>
      </c>
      <c r="AF297" s="179"/>
      <c r="AG297" s="179"/>
      <c r="AH297" s="179"/>
      <c r="AI297" s="179"/>
      <c r="AJ297" s="179"/>
      <c r="AK297" s="179"/>
      <c r="AL297" s="179"/>
      <c r="AM297" s="179"/>
    </row>
    <row r="298" spans="1:39" x14ac:dyDescent="0.2">
      <c r="A298" s="32">
        <f t="shared" ca="1" si="4"/>
        <v>46040</v>
      </c>
      <c r="B298" s="179">
        <f>SUMIFS('recurring2_based on steps'!$B298:$AY298,'recurring2_based on steps'!$B$1:$AY$1,B$1)+SUMIFS('changes2_based on steps'!$B298:$U298,'changes2_based on steps'!$B$1:$U$1,B$1)</f>
        <v>0</v>
      </c>
      <c r="C298" s="179">
        <f>SUMIFS('recurring2_based on steps'!$B298:$AY298,'recurring2_based on steps'!$B$1:$AY$1,C$1)+SUMIFS('changes2_based on steps'!$B298:$U298,'changes2_based on steps'!$B$1:$U$1,C$1)</f>
        <v>0</v>
      </c>
      <c r="D298" s="179">
        <f>SUMIFS('recurring2_based on steps'!$B298:$AY298,'recurring2_based on steps'!$B$1:$AY$1,D$1)+SUMIFS('changes2_based on steps'!$B298:$U298,'changes2_based on steps'!$B$1:$U$1,D$1)</f>
        <v>0</v>
      </c>
      <c r="E298" s="179">
        <f>SUMIFS('recurring2_based on steps'!$B298:$AY298,'recurring2_based on steps'!$B$1:$AY$1,E$1)+SUMIFS('changes2_based on steps'!$B298:$U298,'changes2_based on steps'!$B$1:$U$1,E$1)</f>
        <v>0</v>
      </c>
      <c r="F298" s="179">
        <f>SUMIFS('recurring2_based on steps'!$B298:$AY298,'recurring2_based on steps'!$B$1:$AY$1,F$1)+SUMIFS('changes2_based on steps'!$B298:$U298,'changes2_based on steps'!$B$1:$U$1,F$1)</f>
        <v>0</v>
      </c>
      <c r="G298" s="179">
        <f>SUMIFS('recurring2_based on steps'!$B298:$AY298,'recurring2_based on steps'!$B$1:$AY$1,G$1)+SUMIFS('changes2_based on steps'!$B298:$U298,'changes2_based on steps'!$B$1:$U$1,G$1)</f>
        <v>0</v>
      </c>
      <c r="H298" s="179">
        <f>SUMIFS('recurring2_based on steps'!$B298:$AY298,'recurring2_based on steps'!$B$1:$AY$1,H$1)+SUMIFS('changes2_based on steps'!$B298:$U298,'changes2_based on steps'!$B$1:$U$1,H$1)</f>
        <v>0</v>
      </c>
      <c r="I298" s="179">
        <f>SUMIFS('recurring2_based on steps'!$B298:$AY298,'recurring2_based on steps'!$B$1:$AY$1,I$1)+SUMIFS('changes2_based on steps'!$B298:$U298,'changes2_based on steps'!$B$1:$U$1,I$1)</f>
        <v>0</v>
      </c>
      <c r="J298" s="179">
        <f>SUMIFS('recurring2_based on steps'!$B298:$AY298,'recurring2_based on steps'!$B$1:$AY$1,J$1)+SUMIFS('changes2_based on steps'!$B298:$U298,'changes2_based on steps'!$B$1:$U$1,J$1)</f>
        <v>0</v>
      </c>
      <c r="K298" s="179">
        <f>SUMIFS('recurring2_based on steps'!$B298:$AY298,'recurring2_based on steps'!$B$1:$AY$1,K$1)+SUMIFS('changes2_based on steps'!$B298:$U298,'changes2_based on steps'!$B$1:$U$1,K$1)</f>
        <v>0</v>
      </c>
      <c r="L298" s="179">
        <f>SUMIFS('recurring2_based on steps'!$B298:$AY298,'recurring2_based on steps'!$B$1:$AY$1,L$1)+SUMIFS('changes2_based on steps'!$B298:$U298,'changes2_based on steps'!$B$1:$U$1,L$1)</f>
        <v>0</v>
      </c>
      <c r="M298" s="179">
        <f>SUMIFS('recurring2_based on steps'!$B298:$AY298,'recurring2_based on steps'!$B$1:$AY$1,M$1)+SUMIFS('changes2_based on steps'!$B298:$U298,'changes2_based on steps'!$B$1:$U$1,M$1)</f>
        <v>0</v>
      </c>
      <c r="N298" s="179">
        <f>SUMIFS('recurring2_based on steps'!$B298:$AY298,'recurring2_based on steps'!$B$1:$AY$1,N$1)+SUMIFS('changes2_based on steps'!$B298:$U298,'changes2_based on steps'!$B$1:$U$1,N$1)</f>
        <v>0</v>
      </c>
      <c r="O298" s="179">
        <f>SUMIFS('recurring2_based on steps'!$B298:$AY298,'recurring2_based on steps'!$B$1:$AY$1,O$1)+SUMIFS('changes2_based on steps'!$B298:$U298,'changes2_based on steps'!$B$1:$U$1,O$1)</f>
        <v>0</v>
      </c>
      <c r="P298" s="179">
        <f>SUMIFS('recurring2_based on steps'!$B298:$AY298,'recurring2_based on steps'!$B$1:$AY$1,P$1)+SUMIFS('changes2_based on steps'!$B298:$U298,'changes2_based on steps'!$B$1:$U$1,P$1)</f>
        <v>0</v>
      </c>
      <c r="Q298" s="179">
        <f>SUMIFS('recurring2_based on steps'!$B298:$AY298,'recurring2_based on steps'!$B$1:$AY$1,Q$1)+SUMIFS('changes2_based on steps'!$B298:$U298,'changes2_based on steps'!$B$1:$U$1,Q$1)</f>
        <v>0</v>
      </c>
      <c r="R298" s="179">
        <f>SUMIFS('recurring2_based on steps'!$B298:$AY298,'recurring2_based on steps'!$B$1:$AY$1,R$1)+SUMIFS('changes2_based on steps'!$B298:$U298,'changes2_based on steps'!$B$1:$U$1,R$1)</f>
        <v>0</v>
      </c>
      <c r="S298" s="179">
        <f>SUMIFS('recurring2_based on steps'!$B298:$AY298,'recurring2_based on steps'!$B$1:$AY$1,S$1)+SUMIFS('changes2_based on steps'!$B298:$U298,'changes2_based on steps'!$B$1:$U$1,S$1)</f>
        <v>0</v>
      </c>
      <c r="T298" s="179">
        <f>SUMIFS('recurring2_based on steps'!$B298:$AY298,'recurring2_based on steps'!$B$1:$AY$1,T$1)+SUMIFS('changes2_based on steps'!$B298:$U298,'changes2_based on steps'!$B$1:$U$1,T$1)</f>
        <v>0</v>
      </c>
      <c r="U298" s="179">
        <f>SUMIFS('recurring2_based on steps'!$B298:$AY298,'recurring2_based on steps'!$B$1:$AY$1,U$1)+SUMIFS('changes2_based on steps'!$B298:$U298,'changes2_based on steps'!$B$1:$U$1,U$1)</f>
        <v>0</v>
      </c>
      <c r="V298" s="179">
        <f>SUMIFS('recurring2_based on steps'!$B298:$AY298,'recurring2_based on steps'!$B$1:$AY$1,V$1)+SUMIFS('changes2_based on steps'!$B298:$U298,'changes2_based on steps'!$B$1:$U$1,V$1)</f>
        <v>0</v>
      </c>
      <c r="W298" s="179">
        <f>SUMIFS('recurring2_based on steps'!$B298:$AY298,'recurring2_based on steps'!$B$1:$AY$1,W$1)+SUMIFS('changes2_based on steps'!$B298:$U298,'changes2_based on steps'!$B$1:$U$1,W$1)</f>
        <v>0</v>
      </c>
      <c r="X298" s="179">
        <f>SUMIFS('recurring2_based on steps'!$B298:$AY298,'recurring2_based on steps'!$B$1:$AY$1,X$1)+SUMIFS('changes2_based on steps'!$B298:$U298,'changes2_based on steps'!$B$1:$U$1,X$1)</f>
        <v>0</v>
      </c>
      <c r="Y298" s="179">
        <f>SUMIFS('recurring2_based on steps'!$B298:$AY298,'recurring2_based on steps'!$B$1:$AY$1,Y$1)+SUMIFS('changes2_based on steps'!$B298:$U298,'changes2_based on steps'!$B$1:$U$1,Y$1)</f>
        <v>0</v>
      </c>
      <c r="Z298" s="179">
        <f>SUMIFS('recurring2_based on steps'!$B298:$AY298,'recurring2_based on steps'!$B$1:$AY$1,Z$1)+SUMIFS('changes2_based on steps'!$B298:$U298,'changes2_based on steps'!$B$1:$U$1,Z$1)</f>
        <v>0</v>
      </c>
      <c r="AA298" s="179">
        <f>SUMIFS('recurring2_based on steps'!$B298:$AY298,'recurring2_based on steps'!$B$1:$AY$1,AA$1)+SUMIFS('changes2_based on steps'!$B298:$U298,'changes2_based on steps'!$B$1:$U$1,AA$1)</f>
        <v>0</v>
      </c>
      <c r="AB298" s="179">
        <f>SUMIFS('recurring2_based on steps'!$B298:$AY298,'recurring2_based on steps'!$B$1:$AY$1,AB$1)+SUMIFS('changes2_based on steps'!$B298:$U298,'changes2_based on steps'!$B$1:$U$1,AB$1)</f>
        <v>0</v>
      </c>
      <c r="AC298" s="179">
        <f>SUMIFS('recurring2_based on steps'!$B298:$AY298,'recurring2_based on steps'!$B$1:$AY$1,AC$1)+SUMIFS('changes2_based on steps'!$B298:$U298,'changes2_based on steps'!$B$1:$U$1,AC$1)</f>
        <v>0</v>
      </c>
      <c r="AD298" s="179">
        <f>SUMIFS('recurring2_based on steps'!$B298:$AY298,'recurring2_based on steps'!$B$1:$AY$1,AD$1)+SUMIFS('changes2_based on steps'!$B298:$U298,'changes2_based on steps'!$B$1:$U$1,AD$1)</f>
        <v>0</v>
      </c>
      <c r="AE298" s="179">
        <f>SUMIFS('recurring2_based on steps'!$B298:$AY298,'recurring2_based on steps'!$B$1:$AY$1,AE$1)+SUMIFS('changes2_based on steps'!$B298:$U298,'changes2_based on steps'!$B$1:$U$1,AE$1)</f>
        <v>0</v>
      </c>
      <c r="AF298" s="179"/>
      <c r="AG298" s="179"/>
      <c r="AH298" s="179"/>
      <c r="AI298" s="179"/>
      <c r="AJ298" s="179"/>
      <c r="AK298" s="179"/>
      <c r="AL298" s="179"/>
      <c r="AM298" s="179"/>
    </row>
    <row r="299" spans="1:39" x14ac:dyDescent="0.2">
      <c r="A299" s="32">
        <f t="shared" ca="1" si="4"/>
        <v>46041</v>
      </c>
      <c r="B299" s="179">
        <f>SUMIFS('recurring2_based on steps'!$B299:$AY299,'recurring2_based on steps'!$B$1:$AY$1,B$1)+SUMIFS('changes2_based on steps'!$B299:$U299,'changes2_based on steps'!$B$1:$U$1,B$1)</f>
        <v>0</v>
      </c>
      <c r="C299" s="179">
        <f>SUMIFS('recurring2_based on steps'!$B299:$AY299,'recurring2_based on steps'!$B$1:$AY$1,C$1)+SUMIFS('changes2_based on steps'!$B299:$U299,'changes2_based on steps'!$B$1:$U$1,C$1)</f>
        <v>0</v>
      </c>
      <c r="D299" s="179">
        <f>SUMIFS('recurring2_based on steps'!$B299:$AY299,'recurring2_based on steps'!$B$1:$AY$1,D$1)+SUMIFS('changes2_based on steps'!$B299:$U299,'changes2_based on steps'!$B$1:$U$1,D$1)</f>
        <v>0</v>
      </c>
      <c r="E299" s="179">
        <f>SUMIFS('recurring2_based on steps'!$B299:$AY299,'recurring2_based on steps'!$B$1:$AY$1,E$1)+SUMIFS('changes2_based on steps'!$B299:$U299,'changes2_based on steps'!$B$1:$U$1,E$1)</f>
        <v>0</v>
      </c>
      <c r="F299" s="179">
        <f>SUMIFS('recurring2_based on steps'!$B299:$AY299,'recurring2_based on steps'!$B$1:$AY$1,F$1)+SUMIFS('changes2_based on steps'!$B299:$U299,'changes2_based on steps'!$B$1:$U$1,F$1)</f>
        <v>0</v>
      </c>
      <c r="G299" s="179">
        <f>SUMIFS('recurring2_based on steps'!$B299:$AY299,'recurring2_based on steps'!$B$1:$AY$1,G$1)+SUMIFS('changes2_based on steps'!$B299:$U299,'changes2_based on steps'!$B$1:$U$1,G$1)</f>
        <v>0</v>
      </c>
      <c r="H299" s="179">
        <f>SUMIFS('recurring2_based on steps'!$B299:$AY299,'recurring2_based on steps'!$B$1:$AY$1,H$1)+SUMIFS('changes2_based on steps'!$B299:$U299,'changes2_based on steps'!$B$1:$U$1,H$1)</f>
        <v>0</v>
      </c>
      <c r="I299" s="179">
        <f>SUMIFS('recurring2_based on steps'!$B299:$AY299,'recurring2_based on steps'!$B$1:$AY$1,I$1)+SUMIFS('changes2_based on steps'!$B299:$U299,'changes2_based on steps'!$B$1:$U$1,I$1)</f>
        <v>0</v>
      </c>
      <c r="J299" s="179">
        <f>SUMIFS('recurring2_based on steps'!$B299:$AY299,'recurring2_based on steps'!$B$1:$AY$1,J$1)+SUMIFS('changes2_based on steps'!$B299:$U299,'changes2_based on steps'!$B$1:$U$1,J$1)</f>
        <v>0</v>
      </c>
      <c r="K299" s="179">
        <f>SUMIFS('recurring2_based on steps'!$B299:$AY299,'recurring2_based on steps'!$B$1:$AY$1,K$1)+SUMIFS('changes2_based on steps'!$B299:$U299,'changes2_based on steps'!$B$1:$U$1,K$1)</f>
        <v>0</v>
      </c>
      <c r="L299" s="179">
        <f>SUMIFS('recurring2_based on steps'!$B299:$AY299,'recurring2_based on steps'!$B$1:$AY$1,L$1)+SUMIFS('changes2_based on steps'!$B299:$U299,'changes2_based on steps'!$B$1:$U$1,L$1)</f>
        <v>0</v>
      </c>
      <c r="M299" s="179">
        <f>SUMIFS('recurring2_based on steps'!$B299:$AY299,'recurring2_based on steps'!$B$1:$AY$1,M$1)+SUMIFS('changes2_based on steps'!$B299:$U299,'changes2_based on steps'!$B$1:$U$1,M$1)</f>
        <v>0</v>
      </c>
      <c r="N299" s="179">
        <f>SUMIFS('recurring2_based on steps'!$B299:$AY299,'recurring2_based on steps'!$B$1:$AY$1,N$1)+SUMIFS('changes2_based on steps'!$B299:$U299,'changes2_based on steps'!$B$1:$U$1,N$1)</f>
        <v>0</v>
      </c>
      <c r="O299" s="179">
        <f>SUMIFS('recurring2_based on steps'!$B299:$AY299,'recurring2_based on steps'!$B$1:$AY$1,O$1)+SUMIFS('changes2_based on steps'!$B299:$U299,'changes2_based on steps'!$B$1:$U$1,O$1)</f>
        <v>0</v>
      </c>
      <c r="P299" s="179">
        <f>SUMIFS('recurring2_based on steps'!$B299:$AY299,'recurring2_based on steps'!$B$1:$AY$1,P$1)+SUMIFS('changes2_based on steps'!$B299:$U299,'changes2_based on steps'!$B$1:$U$1,P$1)</f>
        <v>0</v>
      </c>
      <c r="Q299" s="179">
        <f>SUMIFS('recurring2_based on steps'!$B299:$AY299,'recurring2_based on steps'!$B$1:$AY$1,Q$1)+SUMIFS('changes2_based on steps'!$B299:$U299,'changes2_based on steps'!$B$1:$U$1,Q$1)</f>
        <v>0</v>
      </c>
      <c r="R299" s="179">
        <f>SUMIFS('recurring2_based on steps'!$B299:$AY299,'recurring2_based on steps'!$B$1:$AY$1,R$1)+SUMIFS('changes2_based on steps'!$B299:$U299,'changes2_based on steps'!$B$1:$U$1,R$1)</f>
        <v>0</v>
      </c>
      <c r="S299" s="179">
        <f>SUMIFS('recurring2_based on steps'!$B299:$AY299,'recurring2_based on steps'!$B$1:$AY$1,S$1)+SUMIFS('changes2_based on steps'!$B299:$U299,'changes2_based on steps'!$B$1:$U$1,S$1)</f>
        <v>0</v>
      </c>
      <c r="T299" s="179">
        <f>SUMIFS('recurring2_based on steps'!$B299:$AY299,'recurring2_based on steps'!$B$1:$AY$1,T$1)+SUMIFS('changes2_based on steps'!$B299:$U299,'changes2_based on steps'!$B$1:$U$1,T$1)</f>
        <v>0</v>
      </c>
      <c r="U299" s="179">
        <f>SUMIFS('recurring2_based on steps'!$B299:$AY299,'recurring2_based on steps'!$B$1:$AY$1,U$1)+SUMIFS('changes2_based on steps'!$B299:$U299,'changes2_based on steps'!$B$1:$U$1,U$1)</f>
        <v>0</v>
      </c>
      <c r="V299" s="179">
        <f>SUMIFS('recurring2_based on steps'!$B299:$AY299,'recurring2_based on steps'!$B$1:$AY$1,V$1)+SUMIFS('changes2_based on steps'!$B299:$U299,'changes2_based on steps'!$B$1:$U$1,V$1)</f>
        <v>0</v>
      </c>
      <c r="W299" s="179">
        <f>SUMIFS('recurring2_based on steps'!$B299:$AY299,'recurring2_based on steps'!$B$1:$AY$1,W$1)+SUMIFS('changes2_based on steps'!$B299:$U299,'changes2_based on steps'!$B$1:$U$1,W$1)</f>
        <v>0</v>
      </c>
      <c r="X299" s="179">
        <f>SUMIFS('recurring2_based on steps'!$B299:$AY299,'recurring2_based on steps'!$B$1:$AY$1,X$1)+SUMIFS('changes2_based on steps'!$B299:$U299,'changes2_based on steps'!$B$1:$U$1,X$1)</f>
        <v>0</v>
      </c>
      <c r="Y299" s="179">
        <f>SUMIFS('recurring2_based on steps'!$B299:$AY299,'recurring2_based on steps'!$B$1:$AY$1,Y$1)+SUMIFS('changes2_based on steps'!$B299:$U299,'changes2_based on steps'!$B$1:$U$1,Y$1)</f>
        <v>0</v>
      </c>
      <c r="Z299" s="179">
        <f>SUMIFS('recurring2_based on steps'!$B299:$AY299,'recurring2_based on steps'!$B$1:$AY$1,Z$1)+SUMIFS('changes2_based on steps'!$B299:$U299,'changes2_based on steps'!$B$1:$U$1,Z$1)</f>
        <v>0</v>
      </c>
      <c r="AA299" s="179">
        <f>SUMIFS('recurring2_based on steps'!$B299:$AY299,'recurring2_based on steps'!$B$1:$AY$1,AA$1)+SUMIFS('changes2_based on steps'!$B299:$U299,'changes2_based on steps'!$B$1:$U$1,AA$1)</f>
        <v>0</v>
      </c>
      <c r="AB299" s="179">
        <f>SUMIFS('recurring2_based on steps'!$B299:$AY299,'recurring2_based on steps'!$B$1:$AY$1,AB$1)+SUMIFS('changes2_based on steps'!$B299:$U299,'changes2_based on steps'!$B$1:$U$1,AB$1)</f>
        <v>0</v>
      </c>
      <c r="AC299" s="179">
        <f>SUMIFS('recurring2_based on steps'!$B299:$AY299,'recurring2_based on steps'!$B$1:$AY$1,AC$1)+SUMIFS('changes2_based on steps'!$B299:$U299,'changes2_based on steps'!$B$1:$U$1,AC$1)</f>
        <v>0</v>
      </c>
      <c r="AD299" s="179">
        <f>SUMIFS('recurring2_based on steps'!$B299:$AY299,'recurring2_based on steps'!$B$1:$AY$1,AD$1)+SUMIFS('changes2_based on steps'!$B299:$U299,'changes2_based on steps'!$B$1:$U$1,AD$1)</f>
        <v>0</v>
      </c>
      <c r="AE299" s="179">
        <f>SUMIFS('recurring2_based on steps'!$B299:$AY299,'recurring2_based on steps'!$B$1:$AY$1,AE$1)+SUMIFS('changes2_based on steps'!$B299:$U299,'changes2_based on steps'!$B$1:$U$1,AE$1)</f>
        <v>0</v>
      </c>
      <c r="AF299" s="179"/>
      <c r="AG299" s="179"/>
      <c r="AH299" s="179"/>
      <c r="AI299" s="179"/>
      <c r="AJ299" s="179"/>
      <c r="AK299" s="179"/>
      <c r="AL299" s="179"/>
      <c r="AM299" s="179"/>
    </row>
    <row r="300" spans="1:39" x14ac:dyDescent="0.2">
      <c r="A300" s="32">
        <f t="shared" ca="1" si="4"/>
        <v>46042</v>
      </c>
      <c r="B300" s="179">
        <f>SUMIFS('recurring2_based on steps'!$B300:$AY300,'recurring2_based on steps'!$B$1:$AY$1,B$1)+SUMIFS('changes2_based on steps'!$B300:$U300,'changes2_based on steps'!$B$1:$U$1,B$1)</f>
        <v>0</v>
      </c>
      <c r="C300" s="179">
        <f>SUMIFS('recurring2_based on steps'!$B300:$AY300,'recurring2_based on steps'!$B$1:$AY$1,C$1)+SUMIFS('changes2_based on steps'!$B300:$U300,'changes2_based on steps'!$B$1:$U$1,C$1)</f>
        <v>0</v>
      </c>
      <c r="D300" s="179">
        <f>SUMIFS('recurring2_based on steps'!$B300:$AY300,'recurring2_based on steps'!$B$1:$AY$1,D$1)+SUMIFS('changes2_based on steps'!$B300:$U300,'changes2_based on steps'!$B$1:$U$1,D$1)</f>
        <v>0</v>
      </c>
      <c r="E300" s="179">
        <f>SUMIFS('recurring2_based on steps'!$B300:$AY300,'recurring2_based on steps'!$B$1:$AY$1,E$1)+SUMIFS('changes2_based on steps'!$B300:$U300,'changes2_based on steps'!$B$1:$U$1,E$1)</f>
        <v>0</v>
      </c>
      <c r="F300" s="179">
        <f>SUMIFS('recurring2_based on steps'!$B300:$AY300,'recurring2_based on steps'!$B$1:$AY$1,F$1)+SUMIFS('changes2_based on steps'!$B300:$U300,'changes2_based on steps'!$B$1:$U$1,F$1)</f>
        <v>0</v>
      </c>
      <c r="G300" s="179">
        <f>SUMIFS('recurring2_based on steps'!$B300:$AY300,'recurring2_based on steps'!$B$1:$AY$1,G$1)+SUMIFS('changes2_based on steps'!$B300:$U300,'changes2_based on steps'!$B$1:$U$1,G$1)</f>
        <v>0</v>
      </c>
      <c r="H300" s="179">
        <f>SUMIFS('recurring2_based on steps'!$B300:$AY300,'recurring2_based on steps'!$B$1:$AY$1,H$1)+SUMIFS('changes2_based on steps'!$B300:$U300,'changes2_based on steps'!$B$1:$U$1,H$1)</f>
        <v>0</v>
      </c>
      <c r="I300" s="179">
        <f>SUMIFS('recurring2_based on steps'!$B300:$AY300,'recurring2_based on steps'!$B$1:$AY$1,I$1)+SUMIFS('changes2_based on steps'!$B300:$U300,'changes2_based on steps'!$B$1:$U$1,I$1)</f>
        <v>0</v>
      </c>
      <c r="J300" s="179">
        <f>SUMIFS('recurring2_based on steps'!$B300:$AY300,'recurring2_based on steps'!$B$1:$AY$1,J$1)+SUMIFS('changes2_based on steps'!$B300:$U300,'changes2_based on steps'!$B$1:$U$1,J$1)</f>
        <v>0</v>
      </c>
      <c r="K300" s="179">
        <f>SUMIFS('recurring2_based on steps'!$B300:$AY300,'recurring2_based on steps'!$B$1:$AY$1,K$1)+SUMIFS('changes2_based on steps'!$B300:$U300,'changes2_based on steps'!$B$1:$U$1,K$1)</f>
        <v>0</v>
      </c>
      <c r="L300" s="179">
        <f>SUMIFS('recurring2_based on steps'!$B300:$AY300,'recurring2_based on steps'!$B$1:$AY$1,L$1)+SUMIFS('changes2_based on steps'!$B300:$U300,'changes2_based on steps'!$B$1:$U$1,L$1)</f>
        <v>0</v>
      </c>
      <c r="M300" s="179">
        <f>SUMIFS('recurring2_based on steps'!$B300:$AY300,'recurring2_based on steps'!$B$1:$AY$1,M$1)+SUMIFS('changes2_based on steps'!$B300:$U300,'changes2_based on steps'!$B$1:$U$1,M$1)</f>
        <v>0</v>
      </c>
      <c r="N300" s="179">
        <f>SUMIFS('recurring2_based on steps'!$B300:$AY300,'recurring2_based on steps'!$B$1:$AY$1,N$1)+SUMIFS('changes2_based on steps'!$B300:$U300,'changes2_based on steps'!$B$1:$U$1,N$1)</f>
        <v>0</v>
      </c>
      <c r="O300" s="179">
        <f>SUMIFS('recurring2_based on steps'!$B300:$AY300,'recurring2_based on steps'!$B$1:$AY$1,O$1)+SUMIFS('changes2_based on steps'!$B300:$U300,'changes2_based on steps'!$B$1:$U$1,O$1)</f>
        <v>0</v>
      </c>
      <c r="P300" s="179">
        <f>SUMIFS('recurring2_based on steps'!$B300:$AY300,'recurring2_based on steps'!$B$1:$AY$1,P$1)+SUMIFS('changes2_based on steps'!$B300:$U300,'changes2_based on steps'!$B$1:$U$1,P$1)</f>
        <v>0</v>
      </c>
      <c r="Q300" s="179">
        <f>SUMIFS('recurring2_based on steps'!$B300:$AY300,'recurring2_based on steps'!$B$1:$AY$1,Q$1)+SUMIFS('changes2_based on steps'!$B300:$U300,'changes2_based on steps'!$B$1:$U$1,Q$1)</f>
        <v>0</v>
      </c>
      <c r="R300" s="179">
        <f>SUMIFS('recurring2_based on steps'!$B300:$AY300,'recurring2_based on steps'!$B$1:$AY$1,R$1)+SUMIFS('changes2_based on steps'!$B300:$U300,'changes2_based on steps'!$B$1:$U$1,R$1)</f>
        <v>0</v>
      </c>
      <c r="S300" s="179">
        <f>SUMIFS('recurring2_based on steps'!$B300:$AY300,'recurring2_based on steps'!$B$1:$AY$1,S$1)+SUMIFS('changes2_based on steps'!$B300:$U300,'changes2_based on steps'!$B$1:$U$1,S$1)</f>
        <v>0</v>
      </c>
      <c r="T300" s="179">
        <f>SUMIFS('recurring2_based on steps'!$B300:$AY300,'recurring2_based on steps'!$B$1:$AY$1,T$1)+SUMIFS('changes2_based on steps'!$B300:$U300,'changes2_based on steps'!$B$1:$U$1,T$1)</f>
        <v>0</v>
      </c>
      <c r="U300" s="179">
        <f>SUMIFS('recurring2_based on steps'!$B300:$AY300,'recurring2_based on steps'!$B$1:$AY$1,U$1)+SUMIFS('changes2_based on steps'!$B300:$U300,'changes2_based on steps'!$B$1:$U$1,U$1)</f>
        <v>0</v>
      </c>
      <c r="V300" s="179">
        <f>SUMIFS('recurring2_based on steps'!$B300:$AY300,'recurring2_based on steps'!$B$1:$AY$1,V$1)+SUMIFS('changes2_based on steps'!$B300:$U300,'changes2_based on steps'!$B$1:$U$1,V$1)</f>
        <v>0</v>
      </c>
      <c r="W300" s="179">
        <f>SUMIFS('recurring2_based on steps'!$B300:$AY300,'recurring2_based on steps'!$B$1:$AY$1,W$1)+SUMIFS('changes2_based on steps'!$B300:$U300,'changes2_based on steps'!$B$1:$U$1,W$1)</f>
        <v>0</v>
      </c>
      <c r="X300" s="179">
        <f>SUMIFS('recurring2_based on steps'!$B300:$AY300,'recurring2_based on steps'!$B$1:$AY$1,X$1)+SUMIFS('changes2_based on steps'!$B300:$U300,'changes2_based on steps'!$B$1:$U$1,X$1)</f>
        <v>0</v>
      </c>
      <c r="Y300" s="179">
        <f>SUMIFS('recurring2_based on steps'!$B300:$AY300,'recurring2_based on steps'!$B$1:$AY$1,Y$1)+SUMIFS('changes2_based on steps'!$B300:$U300,'changes2_based on steps'!$B$1:$U$1,Y$1)</f>
        <v>0</v>
      </c>
      <c r="Z300" s="179">
        <f>SUMIFS('recurring2_based on steps'!$B300:$AY300,'recurring2_based on steps'!$B$1:$AY$1,Z$1)+SUMIFS('changes2_based on steps'!$B300:$U300,'changes2_based on steps'!$B$1:$U$1,Z$1)</f>
        <v>0</v>
      </c>
      <c r="AA300" s="179">
        <f>SUMIFS('recurring2_based on steps'!$B300:$AY300,'recurring2_based on steps'!$B$1:$AY$1,AA$1)+SUMIFS('changes2_based on steps'!$B300:$U300,'changes2_based on steps'!$B$1:$U$1,AA$1)</f>
        <v>0</v>
      </c>
      <c r="AB300" s="179">
        <f>SUMIFS('recurring2_based on steps'!$B300:$AY300,'recurring2_based on steps'!$B$1:$AY$1,AB$1)+SUMIFS('changes2_based on steps'!$B300:$U300,'changes2_based on steps'!$B$1:$U$1,AB$1)</f>
        <v>0</v>
      </c>
      <c r="AC300" s="179">
        <f>SUMIFS('recurring2_based on steps'!$B300:$AY300,'recurring2_based on steps'!$B$1:$AY$1,AC$1)+SUMIFS('changes2_based on steps'!$B300:$U300,'changes2_based on steps'!$B$1:$U$1,AC$1)</f>
        <v>0</v>
      </c>
      <c r="AD300" s="179">
        <f>SUMIFS('recurring2_based on steps'!$B300:$AY300,'recurring2_based on steps'!$B$1:$AY$1,AD$1)+SUMIFS('changes2_based on steps'!$B300:$U300,'changes2_based on steps'!$B$1:$U$1,AD$1)</f>
        <v>0</v>
      </c>
      <c r="AE300" s="179">
        <f>SUMIFS('recurring2_based on steps'!$B300:$AY300,'recurring2_based on steps'!$B$1:$AY$1,AE$1)+SUMIFS('changes2_based on steps'!$B300:$U300,'changes2_based on steps'!$B$1:$U$1,AE$1)</f>
        <v>0</v>
      </c>
      <c r="AF300" s="179"/>
      <c r="AG300" s="179"/>
      <c r="AH300" s="179"/>
      <c r="AI300" s="179"/>
      <c r="AJ300" s="179"/>
      <c r="AK300" s="179"/>
      <c r="AL300" s="179"/>
      <c r="AM300" s="179"/>
    </row>
    <row r="301" spans="1:39" x14ac:dyDescent="0.2">
      <c r="A301" s="32">
        <f t="shared" ca="1" si="4"/>
        <v>46043</v>
      </c>
      <c r="B301" s="179">
        <f>SUMIFS('recurring2_based on steps'!$B301:$AY301,'recurring2_based on steps'!$B$1:$AY$1,B$1)+SUMIFS('changes2_based on steps'!$B301:$U301,'changes2_based on steps'!$B$1:$U$1,B$1)</f>
        <v>0</v>
      </c>
      <c r="C301" s="179">
        <f>SUMIFS('recurring2_based on steps'!$B301:$AY301,'recurring2_based on steps'!$B$1:$AY$1,C$1)+SUMIFS('changes2_based on steps'!$B301:$U301,'changes2_based on steps'!$B$1:$U$1,C$1)</f>
        <v>0</v>
      </c>
      <c r="D301" s="179">
        <f>SUMIFS('recurring2_based on steps'!$B301:$AY301,'recurring2_based on steps'!$B$1:$AY$1,D$1)+SUMIFS('changes2_based on steps'!$B301:$U301,'changes2_based on steps'!$B$1:$U$1,D$1)</f>
        <v>0</v>
      </c>
      <c r="E301" s="179">
        <f>SUMIFS('recurring2_based on steps'!$B301:$AY301,'recurring2_based on steps'!$B$1:$AY$1,E$1)+SUMIFS('changes2_based on steps'!$B301:$U301,'changes2_based on steps'!$B$1:$U$1,E$1)</f>
        <v>0</v>
      </c>
      <c r="F301" s="179">
        <f>SUMIFS('recurring2_based on steps'!$B301:$AY301,'recurring2_based on steps'!$B$1:$AY$1,F$1)+SUMIFS('changes2_based on steps'!$B301:$U301,'changes2_based on steps'!$B$1:$U$1,F$1)</f>
        <v>0</v>
      </c>
      <c r="G301" s="179">
        <f>SUMIFS('recurring2_based on steps'!$B301:$AY301,'recurring2_based on steps'!$B$1:$AY$1,G$1)+SUMIFS('changes2_based on steps'!$B301:$U301,'changes2_based on steps'!$B$1:$U$1,G$1)</f>
        <v>0</v>
      </c>
      <c r="H301" s="179">
        <f>SUMIFS('recurring2_based on steps'!$B301:$AY301,'recurring2_based on steps'!$B$1:$AY$1,H$1)+SUMIFS('changes2_based on steps'!$B301:$U301,'changes2_based on steps'!$B$1:$U$1,H$1)</f>
        <v>0</v>
      </c>
      <c r="I301" s="179">
        <f>SUMIFS('recurring2_based on steps'!$B301:$AY301,'recurring2_based on steps'!$B$1:$AY$1,I$1)+SUMIFS('changes2_based on steps'!$B301:$U301,'changes2_based on steps'!$B$1:$U$1,I$1)</f>
        <v>0</v>
      </c>
      <c r="J301" s="179">
        <f>SUMIFS('recurring2_based on steps'!$B301:$AY301,'recurring2_based on steps'!$B$1:$AY$1,J$1)+SUMIFS('changes2_based on steps'!$B301:$U301,'changes2_based on steps'!$B$1:$U$1,J$1)</f>
        <v>0</v>
      </c>
      <c r="K301" s="179">
        <f>SUMIFS('recurring2_based on steps'!$B301:$AY301,'recurring2_based on steps'!$B$1:$AY$1,K$1)+SUMIFS('changes2_based on steps'!$B301:$U301,'changes2_based on steps'!$B$1:$U$1,K$1)</f>
        <v>0</v>
      </c>
      <c r="L301" s="179">
        <f>SUMIFS('recurring2_based on steps'!$B301:$AY301,'recurring2_based on steps'!$B$1:$AY$1,L$1)+SUMIFS('changes2_based on steps'!$B301:$U301,'changes2_based on steps'!$B$1:$U$1,L$1)</f>
        <v>0</v>
      </c>
      <c r="M301" s="179">
        <f>SUMIFS('recurring2_based on steps'!$B301:$AY301,'recurring2_based on steps'!$B$1:$AY$1,M$1)+SUMIFS('changes2_based on steps'!$B301:$U301,'changes2_based on steps'!$B$1:$U$1,M$1)</f>
        <v>0</v>
      </c>
      <c r="N301" s="179">
        <f>SUMIFS('recurring2_based on steps'!$B301:$AY301,'recurring2_based on steps'!$B$1:$AY$1,N$1)+SUMIFS('changes2_based on steps'!$B301:$U301,'changes2_based on steps'!$B$1:$U$1,N$1)</f>
        <v>0</v>
      </c>
      <c r="O301" s="179">
        <f>SUMIFS('recurring2_based on steps'!$B301:$AY301,'recurring2_based on steps'!$B$1:$AY$1,O$1)+SUMIFS('changes2_based on steps'!$B301:$U301,'changes2_based on steps'!$B$1:$U$1,O$1)</f>
        <v>0</v>
      </c>
      <c r="P301" s="179">
        <f>SUMIFS('recurring2_based on steps'!$B301:$AY301,'recurring2_based on steps'!$B$1:$AY$1,P$1)+SUMIFS('changes2_based on steps'!$B301:$U301,'changes2_based on steps'!$B$1:$U$1,P$1)</f>
        <v>0</v>
      </c>
      <c r="Q301" s="179">
        <f>SUMIFS('recurring2_based on steps'!$B301:$AY301,'recurring2_based on steps'!$B$1:$AY$1,Q$1)+SUMIFS('changes2_based on steps'!$B301:$U301,'changes2_based on steps'!$B$1:$U$1,Q$1)</f>
        <v>0</v>
      </c>
      <c r="R301" s="179">
        <f>SUMIFS('recurring2_based on steps'!$B301:$AY301,'recurring2_based on steps'!$B$1:$AY$1,R$1)+SUMIFS('changes2_based on steps'!$B301:$U301,'changes2_based on steps'!$B$1:$U$1,R$1)</f>
        <v>0</v>
      </c>
      <c r="S301" s="179">
        <f>SUMIFS('recurring2_based on steps'!$B301:$AY301,'recurring2_based on steps'!$B$1:$AY$1,S$1)+SUMIFS('changes2_based on steps'!$B301:$U301,'changes2_based on steps'!$B$1:$U$1,S$1)</f>
        <v>0</v>
      </c>
      <c r="T301" s="179">
        <f>SUMIFS('recurring2_based on steps'!$B301:$AY301,'recurring2_based on steps'!$B$1:$AY$1,T$1)+SUMIFS('changes2_based on steps'!$B301:$U301,'changes2_based on steps'!$B$1:$U$1,T$1)</f>
        <v>0</v>
      </c>
      <c r="U301" s="179">
        <f>SUMIFS('recurring2_based on steps'!$B301:$AY301,'recurring2_based on steps'!$B$1:$AY$1,U$1)+SUMIFS('changes2_based on steps'!$B301:$U301,'changes2_based on steps'!$B$1:$U$1,U$1)</f>
        <v>0</v>
      </c>
      <c r="V301" s="179">
        <f>SUMIFS('recurring2_based on steps'!$B301:$AY301,'recurring2_based on steps'!$B$1:$AY$1,V$1)+SUMIFS('changes2_based on steps'!$B301:$U301,'changes2_based on steps'!$B$1:$U$1,V$1)</f>
        <v>0</v>
      </c>
      <c r="W301" s="179">
        <f>SUMIFS('recurring2_based on steps'!$B301:$AY301,'recurring2_based on steps'!$B$1:$AY$1,W$1)+SUMIFS('changes2_based on steps'!$B301:$U301,'changes2_based on steps'!$B$1:$U$1,W$1)</f>
        <v>0</v>
      </c>
      <c r="X301" s="179">
        <f>SUMIFS('recurring2_based on steps'!$B301:$AY301,'recurring2_based on steps'!$B$1:$AY$1,X$1)+SUMIFS('changes2_based on steps'!$B301:$U301,'changes2_based on steps'!$B$1:$U$1,X$1)</f>
        <v>0</v>
      </c>
      <c r="Y301" s="179">
        <f>SUMIFS('recurring2_based on steps'!$B301:$AY301,'recurring2_based on steps'!$B$1:$AY$1,Y$1)+SUMIFS('changes2_based on steps'!$B301:$U301,'changes2_based on steps'!$B$1:$U$1,Y$1)</f>
        <v>0</v>
      </c>
      <c r="Z301" s="179">
        <f>SUMIFS('recurring2_based on steps'!$B301:$AY301,'recurring2_based on steps'!$B$1:$AY$1,Z$1)+SUMIFS('changes2_based on steps'!$B301:$U301,'changes2_based on steps'!$B$1:$U$1,Z$1)</f>
        <v>0</v>
      </c>
      <c r="AA301" s="179">
        <f>SUMIFS('recurring2_based on steps'!$B301:$AY301,'recurring2_based on steps'!$B$1:$AY$1,AA$1)+SUMIFS('changes2_based on steps'!$B301:$U301,'changes2_based on steps'!$B$1:$U$1,AA$1)</f>
        <v>0</v>
      </c>
      <c r="AB301" s="179">
        <f>SUMIFS('recurring2_based on steps'!$B301:$AY301,'recurring2_based on steps'!$B$1:$AY$1,AB$1)+SUMIFS('changes2_based on steps'!$B301:$U301,'changes2_based on steps'!$B$1:$U$1,AB$1)</f>
        <v>0</v>
      </c>
      <c r="AC301" s="179">
        <f>SUMIFS('recurring2_based on steps'!$B301:$AY301,'recurring2_based on steps'!$B$1:$AY$1,AC$1)+SUMIFS('changes2_based on steps'!$B301:$U301,'changes2_based on steps'!$B$1:$U$1,AC$1)</f>
        <v>0</v>
      </c>
      <c r="AD301" s="179">
        <f>SUMIFS('recurring2_based on steps'!$B301:$AY301,'recurring2_based on steps'!$B$1:$AY$1,AD$1)+SUMIFS('changes2_based on steps'!$B301:$U301,'changes2_based on steps'!$B$1:$U$1,AD$1)</f>
        <v>0</v>
      </c>
      <c r="AE301" s="179">
        <f>SUMIFS('recurring2_based on steps'!$B301:$AY301,'recurring2_based on steps'!$B$1:$AY$1,AE$1)+SUMIFS('changes2_based on steps'!$B301:$U301,'changes2_based on steps'!$B$1:$U$1,AE$1)</f>
        <v>0</v>
      </c>
      <c r="AF301" s="179"/>
      <c r="AG301" s="179"/>
      <c r="AH301" s="179"/>
      <c r="AI301" s="179"/>
      <c r="AJ301" s="179"/>
      <c r="AK301" s="179"/>
      <c r="AL301" s="179"/>
      <c r="AM301" s="179"/>
    </row>
    <row r="302" spans="1:39" x14ac:dyDescent="0.2">
      <c r="A302" s="32">
        <f t="shared" ca="1" si="4"/>
        <v>46044</v>
      </c>
      <c r="B302" s="179">
        <f>SUMIFS('recurring2_based on steps'!$B302:$AY302,'recurring2_based on steps'!$B$1:$AY$1,B$1)+SUMIFS('changes2_based on steps'!$B302:$U302,'changes2_based on steps'!$B$1:$U$1,B$1)</f>
        <v>0</v>
      </c>
      <c r="C302" s="179">
        <f>SUMIFS('recurring2_based on steps'!$B302:$AY302,'recurring2_based on steps'!$B$1:$AY$1,C$1)+SUMIFS('changes2_based on steps'!$B302:$U302,'changes2_based on steps'!$B$1:$U$1,C$1)</f>
        <v>0</v>
      </c>
      <c r="D302" s="179">
        <f>SUMIFS('recurring2_based on steps'!$B302:$AY302,'recurring2_based on steps'!$B$1:$AY$1,D$1)+SUMIFS('changes2_based on steps'!$B302:$U302,'changes2_based on steps'!$B$1:$U$1,D$1)</f>
        <v>0</v>
      </c>
      <c r="E302" s="179">
        <f>SUMIFS('recurring2_based on steps'!$B302:$AY302,'recurring2_based on steps'!$B$1:$AY$1,E$1)+SUMIFS('changes2_based on steps'!$B302:$U302,'changes2_based on steps'!$B$1:$U$1,E$1)</f>
        <v>0</v>
      </c>
      <c r="F302" s="179">
        <f>SUMIFS('recurring2_based on steps'!$B302:$AY302,'recurring2_based on steps'!$B$1:$AY$1,F$1)+SUMIFS('changes2_based on steps'!$B302:$U302,'changes2_based on steps'!$B$1:$U$1,F$1)</f>
        <v>0</v>
      </c>
      <c r="G302" s="179">
        <f>SUMIFS('recurring2_based on steps'!$B302:$AY302,'recurring2_based on steps'!$B$1:$AY$1,G$1)+SUMIFS('changes2_based on steps'!$B302:$U302,'changes2_based on steps'!$B$1:$U$1,G$1)</f>
        <v>0</v>
      </c>
      <c r="H302" s="179">
        <f>SUMIFS('recurring2_based on steps'!$B302:$AY302,'recurring2_based on steps'!$B$1:$AY$1,H$1)+SUMIFS('changes2_based on steps'!$B302:$U302,'changes2_based on steps'!$B$1:$U$1,H$1)</f>
        <v>0</v>
      </c>
      <c r="I302" s="179">
        <f>SUMIFS('recurring2_based on steps'!$B302:$AY302,'recurring2_based on steps'!$B$1:$AY$1,I$1)+SUMIFS('changes2_based on steps'!$B302:$U302,'changes2_based on steps'!$B$1:$U$1,I$1)</f>
        <v>0</v>
      </c>
      <c r="J302" s="179">
        <f>SUMIFS('recurring2_based on steps'!$B302:$AY302,'recurring2_based on steps'!$B$1:$AY$1,J$1)+SUMIFS('changes2_based on steps'!$B302:$U302,'changes2_based on steps'!$B$1:$U$1,J$1)</f>
        <v>0</v>
      </c>
      <c r="K302" s="179">
        <f>SUMIFS('recurring2_based on steps'!$B302:$AY302,'recurring2_based on steps'!$B$1:$AY$1,K$1)+SUMIFS('changes2_based on steps'!$B302:$U302,'changes2_based on steps'!$B$1:$U$1,K$1)</f>
        <v>0</v>
      </c>
      <c r="L302" s="179">
        <f>SUMIFS('recurring2_based on steps'!$B302:$AY302,'recurring2_based on steps'!$B$1:$AY$1,L$1)+SUMIFS('changes2_based on steps'!$B302:$U302,'changes2_based on steps'!$B$1:$U$1,L$1)</f>
        <v>0</v>
      </c>
      <c r="M302" s="179">
        <f>SUMIFS('recurring2_based on steps'!$B302:$AY302,'recurring2_based on steps'!$B$1:$AY$1,M$1)+SUMIFS('changes2_based on steps'!$B302:$U302,'changes2_based on steps'!$B$1:$U$1,M$1)</f>
        <v>0</v>
      </c>
      <c r="N302" s="179">
        <f>SUMIFS('recurring2_based on steps'!$B302:$AY302,'recurring2_based on steps'!$B$1:$AY$1,N$1)+SUMIFS('changes2_based on steps'!$B302:$U302,'changes2_based on steps'!$B$1:$U$1,N$1)</f>
        <v>0</v>
      </c>
      <c r="O302" s="179">
        <f>SUMIFS('recurring2_based on steps'!$B302:$AY302,'recurring2_based on steps'!$B$1:$AY$1,O$1)+SUMIFS('changes2_based on steps'!$B302:$U302,'changes2_based on steps'!$B$1:$U$1,O$1)</f>
        <v>0</v>
      </c>
      <c r="P302" s="179">
        <f>SUMIFS('recurring2_based on steps'!$B302:$AY302,'recurring2_based on steps'!$B$1:$AY$1,P$1)+SUMIFS('changes2_based on steps'!$B302:$U302,'changes2_based on steps'!$B$1:$U$1,P$1)</f>
        <v>0</v>
      </c>
      <c r="Q302" s="179">
        <f>SUMIFS('recurring2_based on steps'!$B302:$AY302,'recurring2_based on steps'!$B$1:$AY$1,Q$1)+SUMIFS('changes2_based on steps'!$B302:$U302,'changes2_based on steps'!$B$1:$U$1,Q$1)</f>
        <v>0</v>
      </c>
      <c r="R302" s="179">
        <f>SUMIFS('recurring2_based on steps'!$B302:$AY302,'recurring2_based on steps'!$B$1:$AY$1,R$1)+SUMIFS('changes2_based on steps'!$B302:$U302,'changes2_based on steps'!$B$1:$U$1,R$1)</f>
        <v>0</v>
      </c>
      <c r="S302" s="179">
        <f>SUMIFS('recurring2_based on steps'!$B302:$AY302,'recurring2_based on steps'!$B$1:$AY$1,S$1)+SUMIFS('changes2_based on steps'!$B302:$U302,'changes2_based on steps'!$B$1:$U$1,S$1)</f>
        <v>0</v>
      </c>
      <c r="T302" s="179">
        <f>SUMIFS('recurring2_based on steps'!$B302:$AY302,'recurring2_based on steps'!$B$1:$AY$1,T$1)+SUMIFS('changes2_based on steps'!$B302:$U302,'changes2_based on steps'!$B$1:$U$1,T$1)</f>
        <v>0</v>
      </c>
      <c r="U302" s="179">
        <f>SUMIFS('recurring2_based on steps'!$B302:$AY302,'recurring2_based on steps'!$B$1:$AY$1,U$1)+SUMIFS('changes2_based on steps'!$B302:$U302,'changes2_based on steps'!$B$1:$U$1,U$1)</f>
        <v>0</v>
      </c>
      <c r="V302" s="179">
        <f>SUMIFS('recurring2_based on steps'!$B302:$AY302,'recurring2_based on steps'!$B$1:$AY$1,V$1)+SUMIFS('changes2_based on steps'!$B302:$U302,'changes2_based on steps'!$B$1:$U$1,V$1)</f>
        <v>0</v>
      </c>
      <c r="W302" s="179">
        <f>SUMIFS('recurring2_based on steps'!$B302:$AY302,'recurring2_based on steps'!$B$1:$AY$1,W$1)+SUMIFS('changes2_based on steps'!$B302:$U302,'changes2_based on steps'!$B$1:$U$1,W$1)</f>
        <v>0</v>
      </c>
      <c r="X302" s="179">
        <f>SUMIFS('recurring2_based on steps'!$B302:$AY302,'recurring2_based on steps'!$B$1:$AY$1,X$1)+SUMIFS('changes2_based on steps'!$B302:$U302,'changes2_based on steps'!$B$1:$U$1,X$1)</f>
        <v>0</v>
      </c>
      <c r="Y302" s="179">
        <f>SUMIFS('recurring2_based on steps'!$B302:$AY302,'recurring2_based on steps'!$B$1:$AY$1,Y$1)+SUMIFS('changes2_based on steps'!$B302:$U302,'changes2_based on steps'!$B$1:$U$1,Y$1)</f>
        <v>0</v>
      </c>
      <c r="Z302" s="179">
        <f>SUMIFS('recurring2_based on steps'!$B302:$AY302,'recurring2_based on steps'!$B$1:$AY$1,Z$1)+SUMIFS('changes2_based on steps'!$B302:$U302,'changes2_based on steps'!$B$1:$U$1,Z$1)</f>
        <v>0</v>
      </c>
      <c r="AA302" s="179">
        <f>SUMIFS('recurring2_based on steps'!$B302:$AY302,'recurring2_based on steps'!$B$1:$AY$1,AA$1)+SUMIFS('changes2_based on steps'!$B302:$U302,'changes2_based on steps'!$B$1:$U$1,AA$1)</f>
        <v>0</v>
      </c>
      <c r="AB302" s="179">
        <f>SUMIFS('recurring2_based on steps'!$B302:$AY302,'recurring2_based on steps'!$B$1:$AY$1,AB$1)+SUMIFS('changes2_based on steps'!$B302:$U302,'changes2_based on steps'!$B$1:$U$1,AB$1)</f>
        <v>0</v>
      </c>
      <c r="AC302" s="179">
        <f>SUMIFS('recurring2_based on steps'!$B302:$AY302,'recurring2_based on steps'!$B$1:$AY$1,AC$1)+SUMIFS('changes2_based on steps'!$B302:$U302,'changes2_based on steps'!$B$1:$U$1,AC$1)</f>
        <v>0</v>
      </c>
      <c r="AD302" s="179">
        <f>SUMIFS('recurring2_based on steps'!$B302:$AY302,'recurring2_based on steps'!$B$1:$AY$1,AD$1)+SUMIFS('changes2_based on steps'!$B302:$U302,'changes2_based on steps'!$B$1:$U$1,AD$1)</f>
        <v>0</v>
      </c>
      <c r="AE302" s="179">
        <f>SUMIFS('recurring2_based on steps'!$B302:$AY302,'recurring2_based on steps'!$B$1:$AY$1,AE$1)+SUMIFS('changes2_based on steps'!$B302:$U302,'changes2_based on steps'!$B$1:$U$1,AE$1)</f>
        <v>0</v>
      </c>
      <c r="AF302" s="179"/>
      <c r="AG302" s="179"/>
      <c r="AH302" s="179"/>
      <c r="AI302" s="179"/>
      <c r="AJ302" s="179"/>
      <c r="AK302" s="179"/>
      <c r="AL302" s="179"/>
      <c r="AM302" s="179"/>
    </row>
    <row r="303" spans="1:39" x14ac:dyDescent="0.2">
      <c r="A303" s="32">
        <f t="shared" ca="1" si="4"/>
        <v>46045</v>
      </c>
      <c r="B303" s="179">
        <f>SUMIFS('recurring2_based on steps'!$B303:$AY303,'recurring2_based on steps'!$B$1:$AY$1,B$1)+SUMIFS('changes2_based on steps'!$B303:$U303,'changes2_based on steps'!$B$1:$U$1,B$1)</f>
        <v>0</v>
      </c>
      <c r="C303" s="179">
        <f>SUMIFS('recurring2_based on steps'!$B303:$AY303,'recurring2_based on steps'!$B$1:$AY$1,C$1)+SUMIFS('changes2_based on steps'!$B303:$U303,'changes2_based on steps'!$B$1:$U$1,C$1)</f>
        <v>0</v>
      </c>
      <c r="D303" s="179">
        <f>SUMIFS('recurring2_based on steps'!$B303:$AY303,'recurring2_based on steps'!$B$1:$AY$1,D$1)+SUMIFS('changes2_based on steps'!$B303:$U303,'changes2_based on steps'!$B$1:$U$1,D$1)</f>
        <v>0</v>
      </c>
      <c r="E303" s="179">
        <f>SUMIFS('recurring2_based on steps'!$B303:$AY303,'recurring2_based on steps'!$B$1:$AY$1,E$1)+SUMIFS('changes2_based on steps'!$B303:$U303,'changes2_based on steps'!$B$1:$U$1,E$1)</f>
        <v>0</v>
      </c>
      <c r="F303" s="179">
        <f>SUMIFS('recurring2_based on steps'!$B303:$AY303,'recurring2_based on steps'!$B$1:$AY$1,F$1)+SUMIFS('changes2_based on steps'!$B303:$U303,'changes2_based on steps'!$B$1:$U$1,F$1)</f>
        <v>0</v>
      </c>
      <c r="G303" s="179">
        <f>SUMIFS('recurring2_based on steps'!$B303:$AY303,'recurring2_based on steps'!$B$1:$AY$1,G$1)+SUMIFS('changes2_based on steps'!$B303:$U303,'changes2_based on steps'!$B$1:$U$1,G$1)</f>
        <v>0</v>
      </c>
      <c r="H303" s="179">
        <f>SUMIFS('recurring2_based on steps'!$B303:$AY303,'recurring2_based on steps'!$B$1:$AY$1,H$1)+SUMIFS('changes2_based on steps'!$B303:$U303,'changes2_based on steps'!$B$1:$U$1,H$1)</f>
        <v>0</v>
      </c>
      <c r="I303" s="179">
        <f>SUMIFS('recurring2_based on steps'!$B303:$AY303,'recurring2_based on steps'!$B$1:$AY$1,I$1)+SUMIFS('changes2_based on steps'!$B303:$U303,'changes2_based on steps'!$B$1:$U$1,I$1)</f>
        <v>0</v>
      </c>
      <c r="J303" s="179">
        <f>SUMIFS('recurring2_based on steps'!$B303:$AY303,'recurring2_based on steps'!$B$1:$AY$1,J$1)+SUMIFS('changes2_based on steps'!$B303:$U303,'changes2_based on steps'!$B$1:$U$1,J$1)</f>
        <v>0</v>
      </c>
      <c r="K303" s="179">
        <f>SUMIFS('recurring2_based on steps'!$B303:$AY303,'recurring2_based on steps'!$B$1:$AY$1,K$1)+SUMIFS('changes2_based on steps'!$B303:$U303,'changes2_based on steps'!$B$1:$U$1,K$1)</f>
        <v>0</v>
      </c>
      <c r="L303" s="179">
        <f>SUMIFS('recurring2_based on steps'!$B303:$AY303,'recurring2_based on steps'!$B$1:$AY$1,L$1)+SUMIFS('changes2_based on steps'!$B303:$U303,'changes2_based on steps'!$B$1:$U$1,L$1)</f>
        <v>0</v>
      </c>
      <c r="M303" s="179">
        <f>SUMIFS('recurring2_based on steps'!$B303:$AY303,'recurring2_based on steps'!$B$1:$AY$1,M$1)+SUMIFS('changes2_based on steps'!$B303:$U303,'changes2_based on steps'!$B$1:$U$1,M$1)</f>
        <v>0</v>
      </c>
      <c r="N303" s="179">
        <f>SUMIFS('recurring2_based on steps'!$B303:$AY303,'recurring2_based on steps'!$B$1:$AY$1,N$1)+SUMIFS('changes2_based on steps'!$B303:$U303,'changes2_based on steps'!$B$1:$U$1,N$1)</f>
        <v>0</v>
      </c>
      <c r="O303" s="179">
        <f>SUMIFS('recurring2_based on steps'!$B303:$AY303,'recurring2_based on steps'!$B$1:$AY$1,O$1)+SUMIFS('changes2_based on steps'!$B303:$U303,'changes2_based on steps'!$B$1:$U$1,O$1)</f>
        <v>0</v>
      </c>
      <c r="P303" s="179">
        <f>SUMIFS('recurring2_based on steps'!$B303:$AY303,'recurring2_based on steps'!$B$1:$AY$1,P$1)+SUMIFS('changes2_based on steps'!$B303:$U303,'changes2_based on steps'!$B$1:$U$1,P$1)</f>
        <v>0</v>
      </c>
      <c r="Q303" s="179">
        <f>SUMIFS('recurring2_based on steps'!$B303:$AY303,'recurring2_based on steps'!$B$1:$AY$1,Q$1)+SUMIFS('changes2_based on steps'!$B303:$U303,'changes2_based on steps'!$B$1:$U$1,Q$1)</f>
        <v>0</v>
      </c>
      <c r="R303" s="179">
        <f>SUMIFS('recurring2_based on steps'!$B303:$AY303,'recurring2_based on steps'!$B$1:$AY$1,R$1)+SUMIFS('changes2_based on steps'!$B303:$U303,'changes2_based on steps'!$B$1:$U$1,R$1)</f>
        <v>0</v>
      </c>
      <c r="S303" s="179">
        <f>SUMIFS('recurring2_based on steps'!$B303:$AY303,'recurring2_based on steps'!$B$1:$AY$1,S$1)+SUMIFS('changes2_based on steps'!$B303:$U303,'changes2_based on steps'!$B$1:$U$1,S$1)</f>
        <v>0</v>
      </c>
      <c r="T303" s="179">
        <f>SUMIFS('recurring2_based on steps'!$B303:$AY303,'recurring2_based on steps'!$B$1:$AY$1,T$1)+SUMIFS('changes2_based on steps'!$B303:$U303,'changes2_based on steps'!$B$1:$U$1,T$1)</f>
        <v>0</v>
      </c>
      <c r="U303" s="179">
        <f>SUMIFS('recurring2_based on steps'!$B303:$AY303,'recurring2_based on steps'!$B$1:$AY$1,U$1)+SUMIFS('changes2_based on steps'!$B303:$U303,'changes2_based on steps'!$B$1:$U$1,U$1)</f>
        <v>0</v>
      </c>
      <c r="V303" s="179">
        <f>SUMIFS('recurring2_based on steps'!$B303:$AY303,'recurring2_based on steps'!$B$1:$AY$1,V$1)+SUMIFS('changes2_based on steps'!$B303:$U303,'changes2_based on steps'!$B$1:$U$1,V$1)</f>
        <v>0</v>
      </c>
      <c r="W303" s="179">
        <f>SUMIFS('recurring2_based on steps'!$B303:$AY303,'recurring2_based on steps'!$B$1:$AY$1,W$1)+SUMIFS('changes2_based on steps'!$B303:$U303,'changes2_based on steps'!$B$1:$U$1,W$1)</f>
        <v>0</v>
      </c>
      <c r="X303" s="179">
        <f>SUMIFS('recurring2_based on steps'!$B303:$AY303,'recurring2_based on steps'!$B$1:$AY$1,X$1)+SUMIFS('changes2_based on steps'!$B303:$U303,'changes2_based on steps'!$B$1:$U$1,X$1)</f>
        <v>0</v>
      </c>
      <c r="Y303" s="179">
        <f>SUMIFS('recurring2_based on steps'!$B303:$AY303,'recurring2_based on steps'!$B$1:$AY$1,Y$1)+SUMIFS('changes2_based on steps'!$B303:$U303,'changes2_based on steps'!$B$1:$U$1,Y$1)</f>
        <v>0</v>
      </c>
      <c r="Z303" s="179">
        <f>SUMIFS('recurring2_based on steps'!$B303:$AY303,'recurring2_based on steps'!$B$1:$AY$1,Z$1)+SUMIFS('changes2_based on steps'!$B303:$U303,'changes2_based on steps'!$B$1:$U$1,Z$1)</f>
        <v>0</v>
      </c>
      <c r="AA303" s="179">
        <f>SUMIFS('recurring2_based on steps'!$B303:$AY303,'recurring2_based on steps'!$B$1:$AY$1,AA$1)+SUMIFS('changes2_based on steps'!$B303:$U303,'changes2_based on steps'!$B$1:$U$1,AA$1)</f>
        <v>0</v>
      </c>
      <c r="AB303" s="179">
        <f>SUMIFS('recurring2_based on steps'!$B303:$AY303,'recurring2_based on steps'!$B$1:$AY$1,AB$1)+SUMIFS('changes2_based on steps'!$B303:$U303,'changes2_based on steps'!$B$1:$U$1,AB$1)</f>
        <v>0</v>
      </c>
      <c r="AC303" s="179">
        <f>SUMIFS('recurring2_based on steps'!$B303:$AY303,'recurring2_based on steps'!$B$1:$AY$1,AC$1)+SUMIFS('changes2_based on steps'!$B303:$U303,'changes2_based on steps'!$B$1:$U$1,AC$1)</f>
        <v>0</v>
      </c>
      <c r="AD303" s="179">
        <f>SUMIFS('recurring2_based on steps'!$B303:$AY303,'recurring2_based on steps'!$B$1:$AY$1,AD$1)+SUMIFS('changes2_based on steps'!$B303:$U303,'changes2_based on steps'!$B$1:$U$1,AD$1)</f>
        <v>0</v>
      </c>
      <c r="AE303" s="179">
        <f>SUMIFS('recurring2_based on steps'!$B303:$AY303,'recurring2_based on steps'!$B$1:$AY$1,AE$1)+SUMIFS('changes2_based on steps'!$B303:$U303,'changes2_based on steps'!$B$1:$U$1,AE$1)</f>
        <v>0</v>
      </c>
      <c r="AF303" s="179"/>
      <c r="AG303" s="179"/>
      <c r="AH303" s="179"/>
      <c r="AI303" s="179"/>
      <c r="AJ303" s="179"/>
      <c r="AK303" s="179"/>
      <c r="AL303" s="179"/>
      <c r="AM303" s="179"/>
    </row>
    <row r="304" spans="1:39" x14ac:dyDescent="0.2">
      <c r="A304" s="32">
        <f t="shared" ca="1" si="4"/>
        <v>46046</v>
      </c>
      <c r="B304" s="179">
        <f>SUMIFS('recurring2_based on steps'!$B304:$AY304,'recurring2_based on steps'!$B$1:$AY$1,B$1)+SUMIFS('changes2_based on steps'!$B304:$U304,'changes2_based on steps'!$B$1:$U$1,B$1)</f>
        <v>0</v>
      </c>
      <c r="C304" s="179">
        <f>SUMIFS('recurring2_based on steps'!$B304:$AY304,'recurring2_based on steps'!$B$1:$AY$1,C$1)+SUMIFS('changes2_based on steps'!$B304:$U304,'changes2_based on steps'!$B$1:$U$1,C$1)</f>
        <v>0</v>
      </c>
      <c r="D304" s="179">
        <f>SUMIFS('recurring2_based on steps'!$B304:$AY304,'recurring2_based on steps'!$B$1:$AY$1,D$1)+SUMIFS('changes2_based on steps'!$B304:$U304,'changes2_based on steps'!$B$1:$U$1,D$1)</f>
        <v>0</v>
      </c>
      <c r="E304" s="179">
        <f>SUMIFS('recurring2_based on steps'!$B304:$AY304,'recurring2_based on steps'!$B$1:$AY$1,E$1)+SUMIFS('changes2_based on steps'!$B304:$U304,'changes2_based on steps'!$B$1:$U$1,E$1)</f>
        <v>0</v>
      </c>
      <c r="F304" s="179">
        <f>SUMIFS('recurring2_based on steps'!$B304:$AY304,'recurring2_based on steps'!$B$1:$AY$1,F$1)+SUMIFS('changes2_based on steps'!$B304:$U304,'changes2_based on steps'!$B$1:$U$1,F$1)</f>
        <v>0</v>
      </c>
      <c r="G304" s="179">
        <f>SUMIFS('recurring2_based on steps'!$B304:$AY304,'recurring2_based on steps'!$B$1:$AY$1,G$1)+SUMIFS('changes2_based on steps'!$B304:$U304,'changes2_based on steps'!$B$1:$U$1,G$1)</f>
        <v>0</v>
      </c>
      <c r="H304" s="179">
        <f>SUMIFS('recurring2_based on steps'!$B304:$AY304,'recurring2_based on steps'!$B$1:$AY$1,H$1)+SUMIFS('changes2_based on steps'!$B304:$U304,'changes2_based on steps'!$B$1:$U$1,H$1)</f>
        <v>0</v>
      </c>
      <c r="I304" s="179">
        <f>SUMIFS('recurring2_based on steps'!$B304:$AY304,'recurring2_based on steps'!$B$1:$AY$1,I$1)+SUMIFS('changes2_based on steps'!$B304:$U304,'changes2_based on steps'!$B$1:$U$1,I$1)</f>
        <v>0</v>
      </c>
      <c r="J304" s="179">
        <f>SUMIFS('recurring2_based on steps'!$B304:$AY304,'recurring2_based on steps'!$B$1:$AY$1,J$1)+SUMIFS('changes2_based on steps'!$B304:$U304,'changes2_based on steps'!$B$1:$U$1,J$1)</f>
        <v>0</v>
      </c>
      <c r="K304" s="179">
        <f>SUMIFS('recurring2_based on steps'!$B304:$AY304,'recurring2_based on steps'!$B$1:$AY$1,K$1)+SUMIFS('changes2_based on steps'!$B304:$U304,'changes2_based on steps'!$B$1:$U$1,K$1)</f>
        <v>0</v>
      </c>
      <c r="L304" s="179">
        <f>SUMIFS('recurring2_based on steps'!$B304:$AY304,'recurring2_based on steps'!$B$1:$AY$1,L$1)+SUMIFS('changes2_based on steps'!$B304:$U304,'changes2_based on steps'!$B$1:$U$1,L$1)</f>
        <v>0</v>
      </c>
      <c r="M304" s="179">
        <f>SUMIFS('recurring2_based on steps'!$B304:$AY304,'recurring2_based on steps'!$B$1:$AY$1,M$1)+SUMIFS('changes2_based on steps'!$B304:$U304,'changes2_based on steps'!$B$1:$U$1,M$1)</f>
        <v>0</v>
      </c>
      <c r="N304" s="179">
        <f>SUMIFS('recurring2_based on steps'!$B304:$AY304,'recurring2_based on steps'!$B$1:$AY$1,N$1)+SUMIFS('changes2_based on steps'!$B304:$U304,'changes2_based on steps'!$B$1:$U$1,N$1)</f>
        <v>0</v>
      </c>
      <c r="O304" s="179">
        <f>SUMIFS('recurring2_based on steps'!$B304:$AY304,'recurring2_based on steps'!$B$1:$AY$1,O$1)+SUMIFS('changes2_based on steps'!$B304:$U304,'changes2_based on steps'!$B$1:$U$1,O$1)</f>
        <v>0</v>
      </c>
      <c r="P304" s="179">
        <f>SUMIFS('recurring2_based on steps'!$B304:$AY304,'recurring2_based on steps'!$B$1:$AY$1,P$1)+SUMIFS('changes2_based on steps'!$B304:$U304,'changes2_based on steps'!$B$1:$U$1,P$1)</f>
        <v>0</v>
      </c>
      <c r="Q304" s="179">
        <f>SUMIFS('recurring2_based on steps'!$B304:$AY304,'recurring2_based on steps'!$B$1:$AY$1,Q$1)+SUMIFS('changes2_based on steps'!$B304:$U304,'changes2_based on steps'!$B$1:$U$1,Q$1)</f>
        <v>0</v>
      </c>
      <c r="R304" s="179">
        <f>SUMIFS('recurring2_based on steps'!$B304:$AY304,'recurring2_based on steps'!$B$1:$AY$1,R$1)+SUMIFS('changes2_based on steps'!$B304:$U304,'changes2_based on steps'!$B$1:$U$1,R$1)</f>
        <v>0</v>
      </c>
      <c r="S304" s="179">
        <f>SUMIFS('recurring2_based on steps'!$B304:$AY304,'recurring2_based on steps'!$B$1:$AY$1,S$1)+SUMIFS('changes2_based on steps'!$B304:$U304,'changes2_based on steps'!$B$1:$U$1,S$1)</f>
        <v>0</v>
      </c>
      <c r="T304" s="179">
        <f>SUMIFS('recurring2_based on steps'!$B304:$AY304,'recurring2_based on steps'!$B$1:$AY$1,T$1)+SUMIFS('changes2_based on steps'!$B304:$U304,'changes2_based on steps'!$B$1:$U$1,T$1)</f>
        <v>0</v>
      </c>
      <c r="U304" s="179">
        <f>SUMIFS('recurring2_based on steps'!$B304:$AY304,'recurring2_based on steps'!$B$1:$AY$1,U$1)+SUMIFS('changes2_based on steps'!$B304:$U304,'changes2_based on steps'!$B$1:$U$1,U$1)</f>
        <v>0</v>
      </c>
      <c r="V304" s="179">
        <f>SUMIFS('recurring2_based on steps'!$B304:$AY304,'recurring2_based on steps'!$B$1:$AY$1,V$1)+SUMIFS('changes2_based on steps'!$B304:$U304,'changes2_based on steps'!$B$1:$U$1,V$1)</f>
        <v>0</v>
      </c>
      <c r="W304" s="179">
        <f>SUMIFS('recurring2_based on steps'!$B304:$AY304,'recurring2_based on steps'!$B$1:$AY$1,W$1)+SUMIFS('changes2_based on steps'!$B304:$U304,'changes2_based on steps'!$B$1:$U$1,W$1)</f>
        <v>0</v>
      </c>
      <c r="X304" s="179">
        <f>SUMIFS('recurring2_based on steps'!$B304:$AY304,'recurring2_based on steps'!$B$1:$AY$1,X$1)+SUMIFS('changes2_based on steps'!$B304:$U304,'changes2_based on steps'!$B$1:$U$1,X$1)</f>
        <v>0</v>
      </c>
      <c r="Y304" s="179">
        <f>SUMIFS('recurring2_based on steps'!$B304:$AY304,'recurring2_based on steps'!$B$1:$AY$1,Y$1)+SUMIFS('changes2_based on steps'!$B304:$U304,'changes2_based on steps'!$B$1:$U$1,Y$1)</f>
        <v>0</v>
      </c>
      <c r="Z304" s="179">
        <f>SUMIFS('recurring2_based on steps'!$B304:$AY304,'recurring2_based on steps'!$B$1:$AY$1,Z$1)+SUMIFS('changes2_based on steps'!$B304:$U304,'changes2_based on steps'!$B$1:$U$1,Z$1)</f>
        <v>0</v>
      </c>
      <c r="AA304" s="179">
        <f>SUMIFS('recurring2_based on steps'!$B304:$AY304,'recurring2_based on steps'!$B$1:$AY$1,AA$1)+SUMIFS('changes2_based on steps'!$B304:$U304,'changes2_based on steps'!$B$1:$U$1,AA$1)</f>
        <v>0</v>
      </c>
      <c r="AB304" s="179">
        <f>SUMIFS('recurring2_based on steps'!$B304:$AY304,'recurring2_based on steps'!$B$1:$AY$1,AB$1)+SUMIFS('changes2_based on steps'!$B304:$U304,'changes2_based on steps'!$B$1:$U$1,AB$1)</f>
        <v>0</v>
      </c>
      <c r="AC304" s="179">
        <f>SUMIFS('recurring2_based on steps'!$B304:$AY304,'recurring2_based on steps'!$B$1:$AY$1,AC$1)+SUMIFS('changes2_based on steps'!$B304:$U304,'changes2_based on steps'!$B$1:$U$1,AC$1)</f>
        <v>0</v>
      </c>
      <c r="AD304" s="179">
        <f>SUMIFS('recurring2_based on steps'!$B304:$AY304,'recurring2_based on steps'!$B$1:$AY$1,AD$1)+SUMIFS('changes2_based on steps'!$B304:$U304,'changes2_based on steps'!$B$1:$U$1,AD$1)</f>
        <v>0</v>
      </c>
      <c r="AE304" s="179">
        <f>SUMIFS('recurring2_based on steps'!$B304:$AY304,'recurring2_based on steps'!$B$1:$AY$1,AE$1)+SUMIFS('changes2_based on steps'!$B304:$U304,'changes2_based on steps'!$B$1:$U$1,AE$1)</f>
        <v>0</v>
      </c>
      <c r="AF304" s="179"/>
      <c r="AG304" s="179"/>
      <c r="AH304" s="179"/>
      <c r="AI304" s="179"/>
      <c r="AJ304" s="179"/>
      <c r="AK304" s="179"/>
      <c r="AL304" s="179"/>
      <c r="AM304" s="179"/>
    </row>
    <row r="305" spans="1:39" x14ac:dyDescent="0.2">
      <c r="A305" s="32">
        <f t="shared" ca="1" si="4"/>
        <v>46047</v>
      </c>
      <c r="B305" s="179">
        <f>SUMIFS('recurring2_based on steps'!$B305:$AY305,'recurring2_based on steps'!$B$1:$AY$1,B$1)+SUMIFS('changes2_based on steps'!$B305:$U305,'changes2_based on steps'!$B$1:$U$1,B$1)</f>
        <v>0</v>
      </c>
      <c r="C305" s="179">
        <f>SUMIFS('recurring2_based on steps'!$B305:$AY305,'recurring2_based on steps'!$B$1:$AY$1,C$1)+SUMIFS('changes2_based on steps'!$B305:$U305,'changes2_based on steps'!$B$1:$U$1,C$1)</f>
        <v>0</v>
      </c>
      <c r="D305" s="179">
        <f>SUMIFS('recurring2_based on steps'!$B305:$AY305,'recurring2_based on steps'!$B$1:$AY$1,D$1)+SUMIFS('changes2_based on steps'!$B305:$U305,'changes2_based on steps'!$B$1:$U$1,D$1)</f>
        <v>0</v>
      </c>
      <c r="E305" s="179">
        <f>SUMIFS('recurring2_based on steps'!$B305:$AY305,'recurring2_based on steps'!$B$1:$AY$1,E$1)+SUMIFS('changes2_based on steps'!$B305:$U305,'changes2_based on steps'!$B$1:$U$1,E$1)</f>
        <v>0</v>
      </c>
      <c r="F305" s="179">
        <f>SUMIFS('recurring2_based on steps'!$B305:$AY305,'recurring2_based on steps'!$B$1:$AY$1,F$1)+SUMIFS('changes2_based on steps'!$B305:$U305,'changes2_based on steps'!$B$1:$U$1,F$1)</f>
        <v>0</v>
      </c>
      <c r="G305" s="179">
        <f>SUMIFS('recurring2_based on steps'!$B305:$AY305,'recurring2_based on steps'!$B$1:$AY$1,G$1)+SUMIFS('changes2_based on steps'!$B305:$U305,'changes2_based on steps'!$B$1:$U$1,G$1)</f>
        <v>0</v>
      </c>
      <c r="H305" s="179">
        <f>SUMIFS('recurring2_based on steps'!$B305:$AY305,'recurring2_based on steps'!$B$1:$AY$1,H$1)+SUMIFS('changes2_based on steps'!$B305:$U305,'changes2_based on steps'!$B$1:$U$1,H$1)</f>
        <v>0</v>
      </c>
      <c r="I305" s="179">
        <f>SUMIFS('recurring2_based on steps'!$B305:$AY305,'recurring2_based on steps'!$B$1:$AY$1,I$1)+SUMIFS('changes2_based on steps'!$B305:$U305,'changes2_based on steps'!$B$1:$U$1,I$1)</f>
        <v>0</v>
      </c>
      <c r="J305" s="179">
        <f>SUMIFS('recurring2_based on steps'!$B305:$AY305,'recurring2_based on steps'!$B$1:$AY$1,J$1)+SUMIFS('changes2_based on steps'!$B305:$U305,'changes2_based on steps'!$B$1:$U$1,J$1)</f>
        <v>0</v>
      </c>
      <c r="K305" s="179">
        <f>SUMIFS('recurring2_based on steps'!$B305:$AY305,'recurring2_based on steps'!$B$1:$AY$1,K$1)+SUMIFS('changes2_based on steps'!$B305:$U305,'changes2_based on steps'!$B$1:$U$1,K$1)</f>
        <v>0</v>
      </c>
      <c r="L305" s="179">
        <f>SUMIFS('recurring2_based on steps'!$B305:$AY305,'recurring2_based on steps'!$B$1:$AY$1,L$1)+SUMIFS('changes2_based on steps'!$B305:$U305,'changes2_based on steps'!$B$1:$U$1,L$1)</f>
        <v>0</v>
      </c>
      <c r="M305" s="179">
        <f>SUMIFS('recurring2_based on steps'!$B305:$AY305,'recurring2_based on steps'!$B$1:$AY$1,M$1)+SUMIFS('changes2_based on steps'!$B305:$U305,'changes2_based on steps'!$B$1:$U$1,M$1)</f>
        <v>0</v>
      </c>
      <c r="N305" s="179">
        <f>SUMIFS('recurring2_based on steps'!$B305:$AY305,'recurring2_based on steps'!$B$1:$AY$1,N$1)+SUMIFS('changes2_based on steps'!$B305:$U305,'changes2_based on steps'!$B$1:$U$1,N$1)</f>
        <v>0</v>
      </c>
      <c r="O305" s="179">
        <f>SUMIFS('recurring2_based on steps'!$B305:$AY305,'recurring2_based on steps'!$B$1:$AY$1,O$1)+SUMIFS('changes2_based on steps'!$B305:$U305,'changes2_based on steps'!$B$1:$U$1,O$1)</f>
        <v>0</v>
      </c>
      <c r="P305" s="179">
        <f>SUMIFS('recurring2_based on steps'!$B305:$AY305,'recurring2_based on steps'!$B$1:$AY$1,P$1)+SUMIFS('changes2_based on steps'!$B305:$U305,'changes2_based on steps'!$B$1:$U$1,P$1)</f>
        <v>0</v>
      </c>
      <c r="Q305" s="179">
        <f>SUMIFS('recurring2_based on steps'!$B305:$AY305,'recurring2_based on steps'!$B$1:$AY$1,Q$1)+SUMIFS('changes2_based on steps'!$B305:$U305,'changes2_based on steps'!$B$1:$U$1,Q$1)</f>
        <v>0</v>
      </c>
      <c r="R305" s="179">
        <f>SUMIFS('recurring2_based on steps'!$B305:$AY305,'recurring2_based on steps'!$B$1:$AY$1,R$1)+SUMIFS('changes2_based on steps'!$B305:$U305,'changes2_based on steps'!$B$1:$U$1,R$1)</f>
        <v>0</v>
      </c>
      <c r="S305" s="179">
        <f>SUMIFS('recurring2_based on steps'!$B305:$AY305,'recurring2_based on steps'!$B$1:$AY$1,S$1)+SUMIFS('changes2_based on steps'!$B305:$U305,'changes2_based on steps'!$B$1:$U$1,S$1)</f>
        <v>0</v>
      </c>
      <c r="T305" s="179">
        <f>SUMIFS('recurring2_based on steps'!$B305:$AY305,'recurring2_based on steps'!$B$1:$AY$1,T$1)+SUMIFS('changes2_based on steps'!$B305:$U305,'changes2_based on steps'!$B$1:$U$1,T$1)</f>
        <v>0</v>
      </c>
      <c r="U305" s="179">
        <f>SUMIFS('recurring2_based on steps'!$B305:$AY305,'recurring2_based on steps'!$B$1:$AY$1,U$1)+SUMIFS('changes2_based on steps'!$B305:$U305,'changes2_based on steps'!$B$1:$U$1,U$1)</f>
        <v>0</v>
      </c>
      <c r="V305" s="179">
        <f>SUMIFS('recurring2_based on steps'!$B305:$AY305,'recurring2_based on steps'!$B$1:$AY$1,V$1)+SUMIFS('changes2_based on steps'!$B305:$U305,'changes2_based on steps'!$B$1:$U$1,V$1)</f>
        <v>0</v>
      </c>
      <c r="W305" s="179">
        <f>SUMIFS('recurring2_based on steps'!$B305:$AY305,'recurring2_based on steps'!$B$1:$AY$1,W$1)+SUMIFS('changes2_based on steps'!$B305:$U305,'changes2_based on steps'!$B$1:$U$1,W$1)</f>
        <v>0</v>
      </c>
      <c r="X305" s="179">
        <f>SUMIFS('recurring2_based on steps'!$B305:$AY305,'recurring2_based on steps'!$B$1:$AY$1,X$1)+SUMIFS('changes2_based on steps'!$B305:$U305,'changes2_based on steps'!$B$1:$U$1,X$1)</f>
        <v>0</v>
      </c>
      <c r="Y305" s="179">
        <f>SUMIFS('recurring2_based on steps'!$B305:$AY305,'recurring2_based on steps'!$B$1:$AY$1,Y$1)+SUMIFS('changes2_based on steps'!$B305:$U305,'changes2_based on steps'!$B$1:$U$1,Y$1)</f>
        <v>0</v>
      </c>
      <c r="Z305" s="179">
        <f>SUMIFS('recurring2_based on steps'!$B305:$AY305,'recurring2_based on steps'!$B$1:$AY$1,Z$1)+SUMIFS('changes2_based on steps'!$B305:$U305,'changes2_based on steps'!$B$1:$U$1,Z$1)</f>
        <v>0</v>
      </c>
      <c r="AA305" s="179">
        <f>SUMIFS('recurring2_based on steps'!$B305:$AY305,'recurring2_based on steps'!$B$1:$AY$1,AA$1)+SUMIFS('changes2_based on steps'!$B305:$U305,'changes2_based on steps'!$B$1:$U$1,AA$1)</f>
        <v>0</v>
      </c>
      <c r="AB305" s="179">
        <f>SUMIFS('recurring2_based on steps'!$B305:$AY305,'recurring2_based on steps'!$B$1:$AY$1,AB$1)+SUMIFS('changes2_based on steps'!$B305:$U305,'changes2_based on steps'!$B$1:$U$1,AB$1)</f>
        <v>0</v>
      </c>
      <c r="AC305" s="179">
        <f>SUMIFS('recurring2_based on steps'!$B305:$AY305,'recurring2_based on steps'!$B$1:$AY$1,AC$1)+SUMIFS('changes2_based on steps'!$B305:$U305,'changes2_based on steps'!$B$1:$U$1,AC$1)</f>
        <v>0</v>
      </c>
      <c r="AD305" s="179">
        <f>SUMIFS('recurring2_based on steps'!$B305:$AY305,'recurring2_based on steps'!$B$1:$AY$1,AD$1)+SUMIFS('changes2_based on steps'!$B305:$U305,'changes2_based on steps'!$B$1:$U$1,AD$1)</f>
        <v>0</v>
      </c>
      <c r="AE305" s="179">
        <f>SUMIFS('recurring2_based on steps'!$B305:$AY305,'recurring2_based on steps'!$B$1:$AY$1,AE$1)+SUMIFS('changes2_based on steps'!$B305:$U305,'changes2_based on steps'!$B$1:$U$1,AE$1)</f>
        <v>0</v>
      </c>
      <c r="AF305" s="179"/>
      <c r="AG305" s="179"/>
      <c r="AH305" s="179"/>
      <c r="AI305" s="179"/>
      <c r="AJ305" s="179"/>
      <c r="AK305" s="179"/>
      <c r="AL305" s="179"/>
      <c r="AM305" s="179"/>
    </row>
    <row r="306" spans="1:39" x14ac:dyDescent="0.2">
      <c r="A306" s="32">
        <f t="shared" ca="1" si="4"/>
        <v>46048</v>
      </c>
      <c r="B306" s="179">
        <f>SUMIFS('recurring2_based on steps'!$B306:$AY306,'recurring2_based on steps'!$B$1:$AY$1,B$1)+SUMIFS('changes2_based on steps'!$B306:$U306,'changes2_based on steps'!$B$1:$U$1,B$1)</f>
        <v>0</v>
      </c>
      <c r="C306" s="179">
        <f>SUMIFS('recurring2_based on steps'!$B306:$AY306,'recurring2_based on steps'!$B$1:$AY$1,C$1)+SUMIFS('changes2_based on steps'!$B306:$U306,'changes2_based on steps'!$B$1:$U$1,C$1)</f>
        <v>0</v>
      </c>
      <c r="D306" s="179">
        <f>SUMIFS('recurring2_based on steps'!$B306:$AY306,'recurring2_based on steps'!$B$1:$AY$1,D$1)+SUMIFS('changes2_based on steps'!$B306:$U306,'changes2_based on steps'!$B$1:$U$1,D$1)</f>
        <v>0</v>
      </c>
      <c r="E306" s="179">
        <f>SUMIFS('recurring2_based on steps'!$B306:$AY306,'recurring2_based on steps'!$B$1:$AY$1,E$1)+SUMIFS('changes2_based on steps'!$B306:$U306,'changes2_based on steps'!$B$1:$U$1,E$1)</f>
        <v>0</v>
      </c>
      <c r="F306" s="179">
        <f>SUMIFS('recurring2_based on steps'!$B306:$AY306,'recurring2_based on steps'!$B$1:$AY$1,F$1)+SUMIFS('changes2_based on steps'!$B306:$U306,'changes2_based on steps'!$B$1:$U$1,F$1)</f>
        <v>0</v>
      </c>
      <c r="G306" s="179">
        <f>SUMIFS('recurring2_based on steps'!$B306:$AY306,'recurring2_based on steps'!$B$1:$AY$1,G$1)+SUMIFS('changes2_based on steps'!$B306:$U306,'changes2_based on steps'!$B$1:$U$1,G$1)</f>
        <v>0</v>
      </c>
      <c r="H306" s="179">
        <f>SUMIFS('recurring2_based on steps'!$B306:$AY306,'recurring2_based on steps'!$B$1:$AY$1,H$1)+SUMIFS('changes2_based on steps'!$B306:$U306,'changes2_based on steps'!$B$1:$U$1,H$1)</f>
        <v>0</v>
      </c>
      <c r="I306" s="179">
        <f>SUMIFS('recurring2_based on steps'!$B306:$AY306,'recurring2_based on steps'!$B$1:$AY$1,I$1)+SUMIFS('changes2_based on steps'!$B306:$U306,'changes2_based on steps'!$B$1:$U$1,I$1)</f>
        <v>0</v>
      </c>
      <c r="J306" s="179">
        <f>SUMIFS('recurring2_based on steps'!$B306:$AY306,'recurring2_based on steps'!$B$1:$AY$1,J$1)+SUMIFS('changes2_based on steps'!$B306:$U306,'changes2_based on steps'!$B$1:$U$1,J$1)</f>
        <v>0</v>
      </c>
      <c r="K306" s="179">
        <f>SUMIFS('recurring2_based on steps'!$B306:$AY306,'recurring2_based on steps'!$B$1:$AY$1,K$1)+SUMIFS('changes2_based on steps'!$B306:$U306,'changes2_based on steps'!$B$1:$U$1,K$1)</f>
        <v>0</v>
      </c>
      <c r="L306" s="179">
        <f>SUMIFS('recurring2_based on steps'!$B306:$AY306,'recurring2_based on steps'!$B$1:$AY$1,L$1)+SUMIFS('changes2_based on steps'!$B306:$U306,'changes2_based on steps'!$B$1:$U$1,L$1)</f>
        <v>0</v>
      </c>
      <c r="M306" s="179">
        <f>SUMIFS('recurring2_based on steps'!$B306:$AY306,'recurring2_based on steps'!$B$1:$AY$1,M$1)+SUMIFS('changes2_based on steps'!$B306:$U306,'changes2_based on steps'!$B$1:$U$1,M$1)</f>
        <v>0</v>
      </c>
      <c r="N306" s="179">
        <f>SUMIFS('recurring2_based on steps'!$B306:$AY306,'recurring2_based on steps'!$B$1:$AY$1,N$1)+SUMIFS('changes2_based on steps'!$B306:$U306,'changes2_based on steps'!$B$1:$U$1,N$1)</f>
        <v>0</v>
      </c>
      <c r="O306" s="179">
        <f>SUMIFS('recurring2_based on steps'!$B306:$AY306,'recurring2_based on steps'!$B$1:$AY$1,O$1)+SUMIFS('changes2_based on steps'!$B306:$U306,'changes2_based on steps'!$B$1:$U$1,O$1)</f>
        <v>0</v>
      </c>
      <c r="P306" s="179">
        <f>SUMIFS('recurring2_based on steps'!$B306:$AY306,'recurring2_based on steps'!$B$1:$AY$1,P$1)+SUMIFS('changes2_based on steps'!$B306:$U306,'changes2_based on steps'!$B$1:$U$1,P$1)</f>
        <v>0</v>
      </c>
      <c r="Q306" s="179">
        <f>SUMIFS('recurring2_based on steps'!$B306:$AY306,'recurring2_based on steps'!$B$1:$AY$1,Q$1)+SUMIFS('changes2_based on steps'!$B306:$U306,'changes2_based on steps'!$B$1:$U$1,Q$1)</f>
        <v>0</v>
      </c>
      <c r="R306" s="179">
        <f>SUMIFS('recurring2_based on steps'!$B306:$AY306,'recurring2_based on steps'!$B$1:$AY$1,R$1)+SUMIFS('changes2_based on steps'!$B306:$U306,'changes2_based on steps'!$B$1:$U$1,R$1)</f>
        <v>0</v>
      </c>
      <c r="S306" s="179">
        <f>SUMIFS('recurring2_based on steps'!$B306:$AY306,'recurring2_based on steps'!$B$1:$AY$1,S$1)+SUMIFS('changes2_based on steps'!$B306:$U306,'changes2_based on steps'!$B$1:$U$1,S$1)</f>
        <v>0</v>
      </c>
      <c r="T306" s="179">
        <f>SUMIFS('recurring2_based on steps'!$B306:$AY306,'recurring2_based on steps'!$B$1:$AY$1,T$1)+SUMIFS('changes2_based on steps'!$B306:$U306,'changes2_based on steps'!$B$1:$U$1,T$1)</f>
        <v>0</v>
      </c>
      <c r="U306" s="179">
        <f>SUMIFS('recurring2_based on steps'!$B306:$AY306,'recurring2_based on steps'!$B$1:$AY$1,U$1)+SUMIFS('changes2_based on steps'!$B306:$U306,'changes2_based on steps'!$B$1:$U$1,U$1)</f>
        <v>0</v>
      </c>
      <c r="V306" s="179">
        <f>SUMIFS('recurring2_based on steps'!$B306:$AY306,'recurring2_based on steps'!$B$1:$AY$1,V$1)+SUMIFS('changes2_based on steps'!$B306:$U306,'changes2_based on steps'!$B$1:$U$1,V$1)</f>
        <v>0</v>
      </c>
      <c r="W306" s="179">
        <f>SUMIFS('recurring2_based on steps'!$B306:$AY306,'recurring2_based on steps'!$B$1:$AY$1,W$1)+SUMIFS('changes2_based on steps'!$B306:$U306,'changes2_based on steps'!$B$1:$U$1,W$1)</f>
        <v>0</v>
      </c>
      <c r="X306" s="179">
        <f>SUMIFS('recurring2_based on steps'!$B306:$AY306,'recurring2_based on steps'!$B$1:$AY$1,X$1)+SUMIFS('changes2_based on steps'!$B306:$U306,'changes2_based on steps'!$B$1:$U$1,X$1)</f>
        <v>0</v>
      </c>
      <c r="Y306" s="179">
        <f>SUMIFS('recurring2_based on steps'!$B306:$AY306,'recurring2_based on steps'!$B$1:$AY$1,Y$1)+SUMIFS('changes2_based on steps'!$B306:$U306,'changes2_based on steps'!$B$1:$U$1,Y$1)</f>
        <v>0</v>
      </c>
      <c r="Z306" s="179">
        <f>SUMIFS('recurring2_based on steps'!$B306:$AY306,'recurring2_based on steps'!$B$1:$AY$1,Z$1)+SUMIFS('changes2_based on steps'!$B306:$U306,'changes2_based on steps'!$B$1:$U$1,Z$1)</f>
        <v>0</v>
      </c>
      <c r="AA306" s="179">
        <f>SUMIFS('recurring2_based on steps'!$B306:$AY306,'recurring2_based on steps'!$B$1:$AY$1,AA$1)+SUMIFS('changes2_based on steps'!$B306:$U306,'changes2_based on steps'!$B$1:$U$1,AA$1)</f>
        <v>0</v>
      </c>
      <c r="AB306" s="179">
        <f>SUMIFS('recurring2_based on steps'!$B306:$AY306,'recurring2_based on steps'!$B$1:$AY$1,AB$1)+SUMIFS('changes2_based on steps'!$B306:$U306,'changes2_based on steps'!$B$1:$U$1,AB$1)</f>
        <v>0</v>
      </c>
      <c r="AC306" s="179">
        <f>SUMIFS('recurring2_based on steps'!$B306:$AY306,'recurring2_based on steps'!$B$1:$AY$1,AC$1)+SUMIFS('changes2_based on steps'!$B306:$U306,'changes2_based on steps'!$B$1:$U$1,AC$1)</f>
        <v>0</v>
      </c>
      <c r="AD306" s="179">
        <f>SUMIFS('recurring2_based on steps'!$B306:$AY306,'recurring2_based on steps'!$B$1:$AY$1,AD$1)+SUMIFS('changes2_based on steps'!$B306:$U306,'changes2_based on steps'!$B$1:$U$1,AD$1)</f>
        <v>0</v>
      </c>
      <c r="AE306" s="179">
        <f>SUMIFS('recurring2_based on steps'!$B306:$AY306,'recurring2_based on steps'!$B$1:$AY$1,AE$1)+SUMIFS('changes2_based on steps'!$B306:$U306,'changes2_based on steps'!$B$1:$U$1,AE$1)</f>
        <v>0</v>
      </c>
      <c r="AF306" s="179"/>
      <c r="AG306" s="179"/>
      <c r="AH306" s="179"/>
      <c r="AI306" s="179"/>
      <c r="AJ306" s="179"/>
      <c r="AK306" s="179"/>
      <c r="AL306" s="179"/>
      <c r="AM306" s="179"/>
    </row>
    <row r="307" spans="1:39" x14ac:dyDescent="0.2">
      <c r="A307" s="32">
        <f t="shared" ca="1" si="4"/>
        <v>46049</v>
      </c>
      <c r="B307" s="179">
        <f>SUMIFS('recurring2_based on steps'!$B307:$AY307,'recurring2_based on steps'!$B$1:$AY$1,B$1)+SUMIFS('changes2_based on steps'!$B307:$U307,'changes2_based on steps'!$B$1:$U$1,B$1)</f>
        <v>0</v>
      </c>
      <c r="C307" s="179">
        <f>SUMIFS('recurring2_based on steps'!$B307:$AY307,'recurring2_based on steps'!$B$1:$AY$1,C$1)+SUMIFS('changes2_based on steps'!$B307:$U307,'changes2_based on steps'!$B$1:$U$1,C$1)</f>
        <v>0</v>
      </c>
      <c r="D307" s="179">
        <f>SUMIFS('recurring2_based on steps'!$B307:$AY307,'recurring2_based on steps'!$B$1:$AY$1,D$1)+SUMIFS('changes2_based on steps'!$B307:$U307,'changes2_based on steps'!$B$1:$U$1,D$1)</f>
        <v>0</v>
      </c>
      <c r="E307" s="179">
        <f>SUMIFS('recurring2_based on steps'!$B307:$AY307,'recurring2_based on steps'!$B$1:$AY$1,E$1)+SUMIFS('changes2_based on steps'!$B307:$U307,'changes2_based on steps'!$B$1:$U$1,E$1)</f>
        <v>0</v>
      </c>
      <c r="F307" s="179">
        <f>SUMIFS('recurring2_based on steps'!$B307:$AY307,'recurring2_based on steps'!$B$1:$AY$1,F$1)+SUMIFS('changes2_based on steps'!$B307:$U307,'changes2_based on steps'!$B$1:$U$1,F$1)</f>
        <v>0</v>
      </c>
      <c r="G307" s="179">
        <f>SUMIFS('recurring2_based on steps'!$B307:$AY307,'recurring2_based on steps'!$B$1:$AY$1,G$1)+SUMIFS('changes2_based on steps'!$B307:$U307,'changes2_based on steps'!$B$1:$U$1,G$1)</f>
        <v>0</v>
      </c>
      <c r="H307" s="179">
        <f>SUMIFS('recurring2_based on steps'!$B307:$AY307,'recurring2_based on steps'!$B$1:$AY$1,H$1)+SUMIFS('changes2_based on steps'!$B307:$U307,'changes2_based on steps'!$B$1:$U$1,H$1)</f>
        <v>0</v>
      </c>
      <c r="I307" s="179">
        <f>SUMIFS('recurring2_based on steps'!$B307:$AY307,'recurring2_based on steps'!$B$1:$AY$1,I$1)+SUMIFS('changes2_based on steps'!$B307:$U307,'changes2_based on steps'!$B$1:$U$1,I$1)</f>
        <v>0</v>
      </c>
      <c r="J307" s="179">
        <f>SUMIFS('recurring2_based on steps'!$B307:$AY307,'recurring2_based on steps'!$B$1:$AY$1,J$1)+SUMIFS('changes2_based on steps'!$B307:$U307,'changes2_based on steps'!$B$1:$U$1,J$1)</f>
        <v>0</v>
      </c>
      <c r="K307" s="179">
        <f>SUMIFS('recurring2_based on steps'!$B307:$AY307,'recurring2_based on steps'!$B$1:$AY$1,K$1)+SUMIFS('changes2_based on steps'!$B307:$U307,'changes2_based on steps'!$B$1:$U$1,K$1)</f>
        <v>0</v>
      </c>
      <c r="L307" s="179">
        <f>SUMIFS('recurring2_based on steps'!$B307:$AY307,'recurring2_based on steps'!$B$1:$AY$1,L$1)+SUMIFS('changes2_based on steps'!$B307:$U307,'changes2_based on steps'!$B$1:$U$1,L$1)</f>
        <v>0</v>
      </c>
      <c r="M307" s="179">
        <f>SUMIFS('recurring2_based on steps'!$B307:$AY307,'recurring2_based on steps'!$B$1:$AY$1,M$1)+SUMIFS('changes2_based on steps'!$B307:$U307,'changes2_based on steps'!$B$1:$U$1,M$1)</f>
        <v>0</v>
      </c>
      <c r="N307" s="179">
        <f>SUMIFS('recurring2_based on steps'!$B307:$AY307,'recurring2_based on steps'!$B$1:$AY$1,N$1)+SUMIFS('changes2_based on steps'!$B307:$U307,'changes2_based on steps'!$B$1:$U$1,N$1)</f>
        <v>0</v>
      </c>
      <c r="O307" s="179">
        <f>SUMIFS('recurring2_based on steps'!$B307:$AY307,'recurring2_based on steps'!$B$1:$AY$1,O$1)+SUMIFS('changes2_based on steps'!$B307:$U307,'changes2_based on steps'!$B$1:$U$1,O$1)</f>
        <v>0</v>
      </c>
      <c r="P307" s="179">
        <f>SUMIFS('recurring2_based on steps'!$B307:$AY307,'recurring2_based on steps'!$B$1:$AY$1,P$1)+SUMIFS('changes2_based on steps'!$B307:$U307,'changes2_based on steps'!$B$1:$U$1,P$1)</f>
        <v>0</v>
      </c>
      <c r="Q307" s="179">
        <f>SUMIFS('recurring2_based on steps'!$B307:$AY307,'recurring2_based on steps'!$B$1:$AY$1,Q$1)+SUMIFS('changes2_based on steps'!$B307:$U307,'changes2_based on steps'!$B$1:$U$1,Q$1)</f>
        <v>0</v>
      </c>
      <c r="R307" s="179">
        <f>SUMIFS('recurring2_based on steps'!$B307:$AY307,'recurring2_based on steps'!$B$1:$AY$1,R$1)+SUMIFS('changes2_based on steps'!$B307:$U307,'changes2_based on steps'!$B$1:$U$1,R$1)</f>
        <v>0</v>
      </c>
      <c r="S307" s="179">
        <f>SUMIFS('recurring2_based on steps'!$B307:$AY307,'recurring2_based on steps'!$B$1:$AY$1,S$1)+SUMIFS('changes2_based on steps'!$B307:$U307,'changes2_based on steps'!$B$1:$U$1,S$1)</f>
        <v>0</v>
      </c>
      <c r="T307" s="179">
        <f>SUMIFS('recurring2_based on steps'!$B307:$AY307,'recurring2_based on steps'!$B$1:$AY$1,T$1)+SUMIFS('changes2_based on steps'!$B307:$U307,'changes2_based on steps'!$B$1:$U$1,T$1)</f>
        <v>0</v>
      </c>
      <c r="U307" s="179">
        <f>SUMIFS('recurring2_based on steps'!$B307:$AY307,'recurring2_based on steps'!$B$1:$AY$1,U$1)+SUMIFS('changes2_based on steps'!$B307:$U307,'changes2_based on steps'!$B$1:$U$1,U$1)</f>
        <v>0</v>
      </c>
      <c r="V307" s="179">
        <f>SUMIFS('recurring2_based on steps'!$B307:$AY307,'recurring2_based on steps'!$B$1:$AY$1,V$1)+SUMIFS('changes2_based on steps'!$B307:$U307,'changes2_based on steps'!$B$1:$U$1,V$1)</f>
        <v>0</v>
      </c>
      <c r="W307" s="179">
        <f>SUMIFS('recurring2_based on steps'!$B307:$AY307,'recurring2_based on steps'!$B$1:$AY$1,W$1)+SUMIFS('changes2_based on steps'!$B307:$U307,'changes2_based on steps'!$B$1:$U$1,W$1)</f>
        <v>0</v>
      </c>
      <c r="X307" s="179">
        <f>SUMIFS('recurring2_based on steps'!$B307:$AY307,'recurring2_based on steps'!$B$1:$AY$1,X$1)+SUMIFS('changes2_based on steps'!$B307:$U307,'changes2_based on steps'!$B$1:$U$1,X$1)</f>
        <v>0</v>
      </c>
      <c r="Y307" s="179">
        <f>SUMIFS('recurring2_based on steps'!$B307:$AY307,'recurring2_based on steps'!$B$1:$AY$1,Y$1)+SUMIFS('changes2_based on steps'!$B307:$U307,'changes2_based on steps'!$B$1:$U$1,Y$1)</f>
        <v>0</v>
      </c>
      <c r="Z307" s="179">
        <f>SUMIFS('recurring2_based on steps'!$B307:$AY307,'recurring2_based on steps'!$B$1:$AY$1,Z$1)+SUMIFS('changes2_based on steps'!$B307:$U307,'changes2_based on steps'!$B$1:$U$1,Z$1)</f>
        <v>0</v>
      </c>
      <c r="AA307" s="179">
        <f>SUMIFS('recurring2_based on steps'!$B307:$AY307,'recurring2_based on steps'!$B$1:$AY$1,AA$1)+SUMIFS('changes2_based on steps'!$B307:$U307,'changes2_based on steps'!$B$1:$U$1,AA$1)</f>
        <v>0</v>
      </c>
      <c r="AB307" s="179">
        <f>SUMIFS('recurring2_based on steps'!$B307:$AY307,'recurring2_based on steps'!$B$1:$AY$1,AB$1)+SUMIFS('changes2_based on steps'!$B307:$U307,'changes2_based on steps'!$B$1:$U$1,AB$1)</f>
        <v>0</v>
      </c>
      <c r="AC307" s="179">
        <f>SUMIFS('recurring2_based on steps'!$B307:$AY307,'recurring2_based on steps'!$B$1:$AY$1,AC$1)+SUMIFS('changes2_based on steps'!$B307:$U307,'changes2_based on steps'!$B$1:$U$1,AC$1)</f>
        <v>0</v>
      </c>
      <c r="AD307" s="179">
        <f>SUMIFS('recurring2_based on steps'!$B307:$AY307,'recurring2_based on steps'!$B$1:$AY$1,AD$1)+SUMIFS('changes2_based on steps'!$B307:$U307,'changes2_based on steps'!$B$1:$U$1,AD$1)</f>
        <v>0</v>
      </c>
      <c r="AE307" s="179">
        <f>SUMIFS('recurring2_based on steps'!$B307:$AY307,'recurring2_based on steps'!$B$1:$AY$1,AE$1)+SUMIFS('changes2_based on steps'!$B307:$U307,'changes2_based on steps'!$B$1:$U$1,AE$1)</f>
        <v>0</v>
      </c>
      <c r="AF307" s="179"/>
      <c r="AG307" s="179"/>
      <c r="AH307" s="179"/>
      <c r="AI307" s="179"/>
      <c r="AJ307" s="179"/>
      <c r="AK307" s="179"/>
      <c r="AL307" s="179"/>
      <c r="AM307" s="179"/>
    </row>
    <row r="308" spans="1:39" x14ac:dyDescent="0.2">
      <c r="A308" s="32">
        <f t="shared" ca="1" si="4"/>
        <v>46050</v>
      </c>
      <c r="B308" s="179">
        <f>SUMIFS('recurring2_based on steps'!$B308:$AY308,'recurring2_based on steps'!$B$1:$AY$1,B$1)+SUMIFS('changes2_based on steps'!$B308:$U308,'changes2_based on steps'!$B$1:$U$1,B$1)</f>
        <v>0</v>
      </c>
      <c r="C308" s="179">
        <f>SUMIFS('recurring2_based on steps'!$B308:$AY308,'recurring2_based on steps'!$B$1:$AY$1,C$1)+SUMIFS('changes2_based on steps'!$B308:$U308,'changes2_based on steps'!$B$1:$U$1,C$1)</f>
        <v>0</v>
      </c>
      <c r="D308" s="179">
        <f>SUMIFS('recurring2_based on steps'!$B308:$AY308,'recurring2_based on steps'!$B$1:$AY$1,D$1)+SUMIFS('changes2_based on steps'!$B308:$U308,'changes2_based on steps'!$B$1:$U$1,D$1)</f>
        <v>0</v>
      </c>
      <c r="E308" s="179">
        <f>SUMIFS('recurring2_based on steps'!$B308:$AY308,'recurring2_based on steps'!$B$1:$AY$1,E$1)+SUMIFS('changes2_based on steps'!$B308:$U308,'changes2_based on steps'!$B$1:$U$1,E$1)</f>
        <v>0</v>
      </c>
      <c r="F308" s="179">
        <f>SUMIFS('recurring2_based on steps'!$B308:$AY308,'recurring2_based on steps'!$B$1:$AY$1,F$1)+SUMIFS('changes2_based on steps'!$B308:$U308,'changes2_based on steps'!$B$1:$U$1,F$1)</f>
        <v>0</v>
      </c>
      <c r="G308" s="179">
        <f>SUMIFS('recurring2_based on steps'!$B308:$AY308,'recurring2_based on steps'!$B$1:$AY$1,G$1)+SUMIFS('changes2_based on steps'!$B308:$U308,'changes2_based on steps'!$B$1:$U$1,G$1)</f>
        <v>0</v>
      </c>
      <c r="H308" s="179">
        <f>SUMIFS('recurring2_based on steps'!$B308:$AY308,'recurring2_based on steps'!$B$1:$AY$1,H$1)+SUMIFS('changes2_based on steps'!$B308:$U308,'changes2_based on steps'!$B$1:$U$1,H$1)</f>
        <v>0</v>
      </c>
      <c r="I308" s="179">
        <f>SUMIFS('recurring2_based on steps'!$B308:$AY308,'recurring2_based on steps'!$B$1:$AY$1,I$1)+SUMIFS('changes2_based on steps'!$B308:$U308,'changes2_based on steps'!$B$1:$U$1,I$1)</f>
        <v>0</v>
      </c>
      <c r="J308" s="179">
        <f>SUMIFS('recurring2_based on steps'!$B308:$AY308,'recurring2_based on steps'!$B$1:$AY$1,J$1)+SUMIFS('changes2_based on steps'!$B308:$U308,'changes2_based on steps'!$B$1:$U$1,J$1)</f>
        <v>0</v>
      </c>
      <c r="K308" s="179">
        <f>SUMIFS('recurring2_based on steps'!$B308:$AY308,'recurring2_based on steps'!$B$1:$AY$1,K$1)+SUMIFS('changes2_based on steps'!$B308:$U308,'changes2_based on steps'!$B$1:$U$1,K$1)</f>
        <v>0</v>
      </c>
      <c r="L308" s="179">
        <f>SUMIFS('recurring2_based on steps'!$B308:$AY308,'recurring2_based on steps'!$B$1:$AY$1,L$1)+SUMIFS('changes2_based on steps'!$B308:$U308,'changes2_based on steps'!$B$1:$U$1,L$1)</f>
        <v>0</v>
      </c>
      <c r="M308" s="179">
        <f>SUMIFS('recurring2_based on steps'!$B308:$AY308,'recurring2_based on steps'!$B$1:$AY$1,M$1)+SUMIFS('changes2_based on steps'!$B308:$U308,'changes2_based on steps'!$B$1:$U$1,M$1)</f>
        <v>0</v>
      </c>
      <c r="N308" s="179">
        <f>SUMIFS('recurring2_based on steps'!$B308:$AY308,'recurring2_based on steps'!$B$1:$AY$1,N$1)+SUMIFS('changes2_based on steps'!$B308:$U308,'changes2_based on steps'!$B$1:$U$1,N$1)</f>
        <v>0</v>
      </c>
      <c r="O308" s="179">
        <f>SUMIFS('recurring2_based on steps'!$B308:$AY308,'recurring2_based on steps'!$B$1:$AY$1,O$1)+SUMIFS('changes2_based on steps'!$B308:$U308,'changes2_based on steps'!$B$1:$U$1,O$1)</f>
        <v>0</v>
      </c>
      <c r="P308" s="179">
        <f>SUMIFS('recurring2_based on steps'!$B308:$AY308,'recurring2_based on steps'!$B$1:$AY$1,P$1)+SUMIFS('changes2_based on steps'!$B308:$U308,'changes2_based on steps'!$B$1:$U$1,P$1)</f>
        <v>0</v>
      </c>
      <c r="Q308" s="179">
        <f>SUMIFS('recurring2_based on steps'!$B308:$AY308,'recurring2_based on steps'!$B$1:$AY$1,Q$1)+SUMIFS('changes2_based on steps'!$B308:$U308,'changes2_based on steps'!$B$1:$U$1,Q$1)</f>
        <v>0</v>
      </c>
      <c r="R308" s="179">
        <f>SUMIFS('recurring2_based on steps'!$B308:$AY308,'recurring2_based on steps'!$B$1:$AY$1,R$1)+SUMIFS('changes2_based on steps'!$B308:$U308,'changes2_based on steps'!$B$1:$U$1,R$1)</f>
        <v>0</v>
      </c>
      <c r="S308" s="179">
        <f>SUMIFS('recurring2_based on steps'!$B308:$AY308,'recurring2_based on steps'!$B$1:$AY$1,S$1)+SUMIFS('changes2_based on steps'!$B308:$U308,'changes2_based on steps'!$B$1:$U$1,S$1)</f>
        <v>0</v>
      </c>
      <c r="T308" s="179">
        <f>SUMIFS('recurring2_based on steps'!$B308:$AY308,'recurring2_based on steps'!$B$1:$AY$1,T$1)+SUMIFS('changes2_based on steps'!$B308:$U308,'changes2_based on steps'!$B$1:$U$1,T$1)</f>
        <v>0</v>
      </c>
      <c r="U308" s="179">
        <f>SUMIFS('recurring2_based on steps'!$B308:$AY308,'recurring2_based on steps'!$B$1:$AY$1,U$1)+SUMIFS('changes2_based on steps'!$B308:$U308,'changes2_based on steps'!$B$1:$U$1,U$1)</f>
        <v>0</v>
      </c>
      <c r="V308" s="179">
        <f>SUMIFS('recurring2_based on steps'!$B308:$AY308,'recurring2_based on steps'!$B$1:$AY$1,V$1)+SUMIFS('changes2_based on steps'!$B308:$U308,'changes2_based on steps'!$B$1:$U$1,V$1)</f>
        <v>0</v>
      </c>
      <c r="W308" s="179">
        <f>SUMIFS('recurring2_based on steps'!$B308:$AY308,'recurring2_based on steps'!$B$1:$AY$1,W$1)+SUMIFS('changes2_based on steps'!$B308:$U308,'changes2_based on steps'!$B$1:$U$1,W$1)</f>
        <v>0</v>
      </c>
      <c r="X308" s="179">
        <f>SUMIFS('recurring2_based on steps'!$B308:$AY308,'recurring2_based on steps'!$B$1:$AY$1,X$1)+SUMIFS('changes2_based on steps'!$B308:$U308,'changes2_based on steps'!$B$1:$U$1,X$1)</f>
        <v>0</v>
      </c>
      <c r="Y308" s="179">
        <f>SUMIFS('recurring2_based on steps'!$B308:$AY308,'recurring2_based on steps'!$B$1:$AY$1,Y$1)+SUMIFS('changes2_based on steps'!$B308:$U308,'changes2_based on steps'!$B$1:$U$1,Y$1)</f>
        <v>0</v>
      </c>
      <c r="Z308" s="179">
        <f>SUMIFS('recurring2_based on steps'!$B308:$AY308,'recurring2_based on steps'!$B$1:$AY$1,Z$1)+SUMIFS('changes2_based on steps'!$B308:$U308,'changes2_based on steps'!$B$1:$U$1,Z$1)</f>
        <v>0</v>
      </c>
      <c r="AA308" s="179">
        <f>SUMIFS('recurring2_based on steps'!$B308:$AY308,'recurring2_based on steps'!$B$1:$AY$1,AA$1)+SUMIFS('changes2_based on steps'!$B308:$U308,'changes2_based on steps'!$B$1:$U$1,AA$1)</f>
        <v>0</v>
      </c>
      <c r="AB308" s="179">
        <f>SUMIFS('recurring2_based on steps'!$B308:$AY308,'recurring2_based on steps'!$B$1:$AY$1,AB$1)+SUMIFS('changes2_based on steps'!$B308:$U308,'changes2_based on steps'!$B$1:$U$1,AB$1)</f>
        <v>0</v>
      </c>
      <c r="AC308" s="179">
        <f>SUMIFS('recurring2_based on steps'!$B308:$AY308,'recurring2_based on steps'!$B$1:$AY$1,AC$1)+SUMIFS('changes2_based on steps'!$B308:$U308,'changes2_based on steps'!$B$1:$U$1,AC$1)</f>
        <v>0</v>
      </c>
      <c r="AD308" s="179">
        <f>SUMIFS('recurring2_based on steps'!$B308:$AY308,'recurring2_based on steps'!$B$1:$AY$1,AD$1)+SUMIFS('changes2_based on steps'!$B308:$U308,'changes2_based on steps'!$B$1:$U$1,AD$1)</f>
        <v>0</v>
      </c>
      <c r="AE308" s="179">
        <f>SUMIFS('recurring2_based on steps'!$B308:$AY308,'recurring2_based on steps'!$B$1:$AY$1,AE$1)+SUMIFS('changes2_based on steps'!$B308:$U308,'changes2_based on steps'!$B$1:$U$1,AE$1)</f>
        <v>0</v>
      </c>
      <c r="AF308" s="179"/>
      <c r="AG308" s="179"/>
      <c r="AH308" s="179"/>
      <c r="AI308" s="179"/>
      <c r="AJ308" s="179"/>
      <c r="AK308" s="179"/>
      <c r="AL308" s="179"/>
      <c r="AM308" s="179"/>
    </row>
    <row r="309" spans="1:39" x14ac:dyDescent="0.2">
      <c r="A309" s="32">
        <f t="shared" ca="1" si="4"/>
        <v>46051</v>
      </c>
      <c r="B309" s="179">
        <f>SUMIFS('recurring2_based on steps'!$B309:$AY309,'recurring2_based on steps'!$B$1:$AY$1,B$1)+SUMIFS('changes2_based on steps'!$B309:$U309,'changes2_based on steps'!$B$1:$U$1,B$1)</f>
        <v>0</v>
      </c>
      <c r="C309" s="179">
        <f>SUMIFS('recurring2_based on steps'!$B309:$AY309,'recurring2_based on steps'!$B$1:$AY$1,C$1)+SUMIFS('changes2_based on steps'!$B309:$U309,'changes2_based on steps'!$B$1:$U$1,C$1)</f>
        <v>0</v>
      </c>
      <c r="D309" s="179">
        <f>SUMIFS('recurring2_based on steps'!$B309:$AY309,'recurring2_based on steps'!$B$1:$AY$1,D$1)+SUMIFS('changes2_based on steps'!$B309:$U309,'changes2_based on steps'!$B$1:$U$1,D$1)</f>
        <v>0</v>
      </c>
      <c r="E309" s="179">
        <f>SUMIFS('recurring2_based on steps'!$B309:$AY309,'recurring2_based on steps'!$B$1:$AY$1,E$1)+SUMIFS('changes2_based on steps'!$B309:$U309,'changes2_based on steps'!$B$1:$U$1,E$1)</f>
        <v>0</v>
      </c>
      <c r="F309" s="179">
        <f>SUMIFS('recurring2_based on steps'!$B309:$AY309,'recurring2_based on steps'!$B$1:$AY$1,F$1)+SUMIFS('changes2_based on steps'!$B309:$U309,'changes2_based on steps'!$B$1:$U$1,F$1)</f>
        <v>0</v>
      </c>
      <c r="G309" s="179">
        <f>SUMIFS('recurring2_based on steps'!$B309:$AY309,'recurring2_based on steps'!$B$1:$AY$1,G$1)+SUMIFS('changes2_based on steps'!$B309:$U309,'changes2_based on steps'!$B$1:$U$1,G$1)</f>
        <v>0</v>
      </c>
      <c r="H309" s="179">
        <f>SUMIFS('recurring2_based on steps'!$B309:$AY309,'recurring2_based on steps'!$B$1:$AY$1,H$1)+SUMIFS('changes2_based on steps'!$B309:$U309,'changes2_based on steps'!$B$1:$U$1,H$1)</f>
        <v>0</v>
      </c>
      <c r="I309" s="179">
        <f>SUMIFS('recurring2_based on steps'!$B309:$AY309,'recurring2_based on steps'!$B$1:$AY$1,I$1)+SUMIFS('changes2_based on steps'!$B309:$U309,'changes2_based on steps'!$B$1:$U$1,I$1)</f>
        <v>0</v>
      </c>
      <c r="J309" s="179">
        <f>SUMIFS('recurring2_based on steps'!$B309:$AY309,'recurring2_based on steps'!$B$1:$AY$1,J$1)+SUMIFS('changes2_based on steps'!$B309:$U309,'changes2_based on steps'!$B$1:$U$1,J$1)</f>
        <v>0</v>
      </c>
      <c r="K309" s="179">
        <f>SUMIFS('recurring2_based on steps'!$B309:$AY309,'recurring2_based on steps'!$B$1:$AY$1,K$1)+SUMIFS('changes2_based on steps'!$B309:$U309,'changes2_based on steps'!$B$1:$U$1,K$1)</f>
        <v>0</v>
      </c>
      <c r="L309" s="179">
        <f>SUMIFS('recurring2_based on steps'!$B309:$AY309,'recurring2_based on steps'!$B$1:$AY$1,L$1)+SUMIFS('changes2_based on steps'!$B309:$U309,'changes2_based on steps'!$B$1:$U$1,L$1)</f>
        <v>0</v>
      </c>
      <c r="M309" s="179">
        <f>SUMIFS('recurring2_based on steps'!$B309:$AY309,'recurring2_based on steps'!$B$1:$AY$1,M$1)+SUMIFS('changes2_based on steps'!$B309:$U309,'changes2_based on steps'!$B$1:$U$1,M$1)</f>
        <v>0</v>
      </c>
      <c r="N309" s="179">
        <f>SUMIFS('recurring2_based on steps'!$B309:$AY309,'recurring2_based on steps'!$B$1:$AY$1,N$1)+SUMIFS('changes2_based on steps'!$B309:$U309,'changes2_based on steps'!$B$1:$U$1,N$1)</f>
        <v>0</v>
      </c>
      <c r="O309" s="179">
        <f>SUMIFS('recurring2_based on steps'!$B309:$AY309,'recurring2_based on steps'!$B$1:$AY$1,O$1)+SUMIFS('changes2_based on steps'!$B309:$U309,'changes2_based on steps'!$B$1:$U$1,O$1)</f>
        <v>0</v>
      </c>
      <c r="P309" s="179">
        <f>SUMIFS('recurring2_based on steps'!$B309:$AY309,'recurring2_based on steps'!$B$1:$AY$1,P$1)+SUMIFS('changes2_based on steps'!$B309:$U309,'changes2_based on steps'!$B$1:$U$1,P$1)</f>
        <v>0</v>
      </c>
      <c r="Q309" s="179">
        <f>SUMIFS('recurring2_based on steps'!$B309:$AY309,'recurring2_based on steps'!$B$1:$AY$1,Q$1)+SUMIFS('changes2_based on steps'!$B309:$U309,'changes2_based on steps'!$B$1:$U$1,Q$1)</f>
        <v>0</v>
      </c>
      <c r="R309" s="179">
        <f>SUMIFS('recurring2_based on steps'!$B309:$AY309,'recurring2_based on steps'!$B$1:$AY$1,R$1)+SUMIFS('changes2_based on steps'!$B309:$U309,'changes2_based on steps'!$B$1:$U$1,R$1)</f>
        <v>0</v>
      </c>
      <c r="S309" s="179">
        <f>SUMIFS('recurring2_based on steps'!$B309:$AY309,'recurring2_based on steps'!$B$1:$AY$1,S$1)+SUMIFS('changes2_based on steps'!$B309:$U309,'changes2_based on steps'!$B$1:$U$1,S$1)</f>
        <v>0</v>
      </c>
      <c r="T309" s="179">
        <f>SUMIFS('recurring2_based on steps'!$B309:$AY309,'recurring2_based on steps'!$B$1:$AY$1,T$1)+SUMIFS('changes2_based on steps'!$B309:$U309,'changes2_based on steps'!$B$1:$U$1,T$1)</f>
        <v>0</v>
      </c>
      <c r="U309" s="179">
        <f>SUMIFS('recurring2_based on steps'!$B309:$AY309,'recurring2_based on steps'!$B$1:$AY$1,U$1)+SUMIFS('changes2_based on steps'!$B309:$U309,'changes2_based on steps'!$B$1:$U$1,U$1)</f>
        <v>0</v>
      </c>
      <c r="V309" s="179">
        <f>SUMIFS('recurring2_based on steps'!$B309:$AY309,'recurring2_based on steps'!$B$1:$AY$1,V$1)+SUMIFS('changes2_based on steps'!$B309:$U309,'changes2_based on steps'!$B$1:$U$1,V$1)</f>
        <v>0</v>
      </c>
      <c r="W309" s="179">
        <f>SUMIFS('recurring2_based on steps'!$B309:$AY309,'recurring2_based on steps'!$B$1:$AY$1,W$1)+SUMIFS('changes2_based on steps'!$B309:$U309,'changes2_based on steps'!$B$1:$U$1,W$1)</f>
        <v>0</v>
      </c>
      <c r="X309" s="179">
        <f>SUMIFS('recurring2_based on steps'!$B309:$AY309,'recurring2_based on steps'!$B$1:$AY$1,X$1)+SUMIFS('changes2_based on steps'!$B309:$U309,'changes2_based on steps'!$B$1:$U$1,X$1)</f>
        <v>0</v>
      </c>
      <c r="Y309" s="179">
        <f>SUMIFS('recurring2_based on steps'!$B309:$AY309,'recurring2_based on steps'!$B$1:$AY$1,Y$1)+SUMIFS('changes2_based on steps'!$B309:$U309,'changes2_based on steps'!$B$1:$U$1,Y$1)</f>
        <v>0</v>
      </c>
      <c r="Z309" s="179">
        <f>SUMIFS('recurring2_based on steps'!$B309:$AY309,'recurring2_based on steps'!$B$1:$AY$1,Z$1)+SUMIFS('changes2_based on steps'!$B309:$U309,'changes2_based on steps'!$B$1:$U$1,Z$1)</f>
        <v>0</v>
      </c>
      <c r="AA309" s="179">
        <f>SUMIFS('recurring2_based on steps'!$B309:$AY309,'recurring2_based on steps'!$B$1:$AY$1,AA$1)+SUMIFS('changes2_based on steps'!$B309:$U309,'changes2_based on steps'!$B$1:$U$1,AA$1)</f>
        <v>0</v>
      </c>
      <c r="AB309" s="179">
        <f>SUMIFS('recurring2_based on steps'!$B309:$AY309,'recurring2_based on steps'!$B$1:$AY$1,AB$1)+SUMIFS('changes2_based on steps'!$B309:$U309,'changes2_based on steps'!$B$1:$U$1,AB$1)</f>
        <v>0</v>
      </c>
      <c r="AC309" s="179">
        <f>SUMIFS('recurring2_based on steps'!$B309:$AY309,'recurring2_based on steps'!$B$1:$AY$1,AC$1)+SUMIFS('changes2_based on steps'!$B309:$U309,'changes2_based on steps'!$B$1:$U$1,AC$1)</f>
        <v>0</v>
      </c>
      <c r="AD309" s="179">
        <f>SUMIFS('recurring2_based on steps'!$B309:$AY309,'recurring2_based on steps'!$B$1:$AY$1,AD$1)+SUMIFS('changes2_based on steps'!$B309:$U309,'changes2_based on steps'!$B$1:$U$1,AD$1)</f>
        <v>0</v>
      </c>
      <c r="AE309" s="179">
        <f>SUMIFS('recurring2_based on steps'!$B309:$AY309,'recurring2_based on steps'!$B$1:$AY$1,AE$1)+SUMIFS('changes2_based on steps'!$B309:$U309,'changes2_based on steps'!$B$1:$U$1,AE$1)</f>
        <v>0</v>
      </c>
      <c r="AF309" s="179"/>
      <c r="AG309" s="179"/>
      <c r="AH309" s="179"/>
      <c r="AI309" s="179"/>
      <c r="AJ309" s="179"/>
      <c r="AK309" s="179"/>
      <c r="AL309" s="179"/>
      <c r="AM309" s="179"/>
    </row>
    <row r="310" spans="1:39" x14ac:dyDescent="0.2">
      <c r="A310" s="32">
        <f t="shared" ca="1" si="4"/>
        <v>46052</v>
      </c>
      <c r="B310" s="179">
        <f>SUMIFS('recurring2_based on steps'!$B310:$AY310,'recurring2_based on steps'!$B$1:$AY$1,B$1)+SUMIFS('changes2_based on steps'!$B310:$U310,'changes2_based on steps'!$B$1:$U$1,B$1)</f>
        <v>0</v>
      </c>
      <c r="C310" s="179">
        <f>SUMIFS('recurring2_based on steps'!$B310:$AY310,'recurring2_based on steps'!$B$1:$AY$1,C$1)+SUMIFS('changes2_based on steps'!$B310:$U310,'changes2_based on steps'!$B$1:$U$1,C$1)</f>
        <v>0</v>
      </c>
      <c r="D310" s="179">
        <f>SUMIFS('recurring2_based on steps'!$B310:$AY310,'recurring2_based on steps'!$B$1:$AY$1,D$1)+SUMIFS('changes2_based on steps'!$B310:$U310,'changes2_based on steps'!$B$1:$U$1,D$1)</f>
        <v>0</v>
      </c>
      <c r="E310" s="179">
        <f>SUMIFS('recurring2_based on steps'!$B310:$AY310,'recurring2_based on steps'!$B$1:$AY$1,E$1)+SUMIFS('changes2_based on steps'!$B310:$U310,'changes2_based on steps'!$B$1:$U$1,E$1)</f>
        <v>0</v>
      </c>
      <c r="F310" s="179">
        <f>SUMIFS('recurring2_based on steps'!$B310:$AY310,'recurring2_based on steps'!$B$1:$AY$1,F$1)+SUMIFS('changes2_based on steps'!$B310:$U310,'changes2_based on steps'!$B$1:$U$1,F$1)</f>
        <v>0</v>
      </c>
      <c r="G310" s="179">
        <f>SUMIFS('recurring2_based on steps'!$B310:$AY310,'recurring2_based on steps'!$B$1:$AY$1,G$1)+SUMIFS('changes2_based on steps'!$B310:$U310,'changes2_based on steps'!$B$1:$U$1,G$1)</f>
        <v>0</v>
      </c>
      <c r="H310" s="179">
        <f>SUMIFS('recurring2_based on steps'!$B310:$AY310,'recurring2_based on steps'!$B$1:$AY$1,H$1)+SUMIFS('changes2_based on steps'!$B310:$U310,'changes2_based on steps'!$B$1:$U$1,H$1)</f>
        <v>0</v>
      </c>
      <c r="I310" s="179">
        <f>SUMIFS('recurring2_based on steps'!$B310:$AY310,'recurring2_based on steps'!$B$1:$AY$1,I$1)+SUMIFS('changes2_based on steps'!$B310:$U310,'changes2_based on steps'!$B$1:$U$1,I$1)</f>
        <v>0</v>
      </c>
      <c r="J310" s="179">
        <f>SUMIFS('recurring2_based on steps'!$B310:$AY310,'recurring2_based on steps'!$B$1:$AY$1,J$1)+SUMIFS('changes2_based on steps'!$B310:$U310,'changes2_based on steps'!$B$1:$U$1,J$1)</f>
        <v>0</v>
      </c>
      <c r="K310" s="179">
        <f>SUMIFS('recurring2_based on steps'!$B310:$AY310,'recurring2_based on steps'!$B$1:$AY$1,K$1)+SUMIFS('changes2_based on steps'!$B310:$U310,'changes2_based on steps'!$B$1:$U$1,K$1)</f>
        <v>0</v>
      </c>
      <c r="L310" s="179">
        <f>SUMIFS('recurring2_based on steps'!$B310:$AY310,'recurring2_based on steps'!$B$1:$AY$1,L$1)+SUMIFS('changes2_based on steps'!$B310:$U310,'changes2_based on steps'!$B$1:$U$1,L$1)</f>
        <v>0</v>
      </c>
      <c r="M310" s="179">
        <f>SUMIFS('recurring2_based on steps'!$B310:$AY310,'recurring2_based on steps'!$B$1:$AY$1,M$1)+SUMIFS('changes2_based on steps'!$B310:$U310,'changes2_based on steps'!$B$1:$U$1,M$1)</f>
        <v>0</v>
      </c>
      <c r="N310" s="179">
        <f>SUMIFS('recurring2_based on steps'!$B310:$AY310,'recurring2_based on steps'!$B$1:$AY$1,N$1)+SUMIFS('changes2_based on steps'!$B310:$U310,'changes2_based on steps'!$B$1:$U$1,N$1)</f>
        <v>0</v>
      </c>
      <c r="O310" s="179">
        <f>SUMIFS('recurring2_based on steps'!$B310:$AY310,'recurring2_based on steps'!$B$1:$AY$1,O$1)+SUMIFS('changes2_based on steps'!$B310:$U310,'changes2_based on steps'!$B$1:$U$1,O$1)</f>
        <v>0</v>
      </c>
      <c r="P310" s="179">
        <f>SUMIFS('recurring2_based on steps'!$B310:$AY310,'recurring2_based on steps'!$B$1:$AY$1,P$1)+SUMIFS('changes2_based on steps'!$B310:$U310,'changes2_based on steps'!$B$1:$U$1,P$1)</f>
        <v>0</v>
      </c>
      <c r="Q310" s="179">
        <f>SUMIFS('recurring2_based on steps'!$B310:$AY310,'recurring2_based on steps'!$B$1:$AY$1,Q$1)+SUMIFS('changes2_based on steps'!$B310:$U310,'changes2_based on steps'!$B$1:$U$1,Q$1)</f>
        <v>0</v>
      </c>
      <c r="R310" s="179">
        <f>SUMIFS('recurring2_based on steps'!$B310:$AY310,'recurring2_based on steps'!$B$1:$AY$1,R$1)+SUMIFS('changes2_based on steps'!$B310:$U310,'changes2_based on steps'!$B$1:$U$1,R$1)</f>
        <v>0</v>
      </c>
      <c r="S310" s="179">
        <f>SUMIFS('recurring2_based on steps'!$B310:$AY310,'recurring2_based on steps'!$B$1:$AY$1,S$1)+SUMIFS('changes2_based on steps'!$B310:$U310,'changes2_based on steps'!$B$1:$U$1,S$1)</f>
        <v>0</v>
      </c>
      <c r="T310" s="179">
        <f>SUMIFS('recurring2_based on steps'!$B310:$AY310,'recurring2_based on steps'!$B$1:$AY$1,T$1)+SUMIFS('changes2_based on steps'!$B310:$U310,'changes2_based on steps'!$B$1:$U$1,T$1)</f>
        <v>0</v>
      </c>
      <c r="U310" s="179">
        <f>SUMIFS('recurring2_based on steps'!$B310:$AY310,'recurring2_based on steps'!$B$1:$AY$1,U$1)+SUMIFS('changes2_based on steps'!$B310:$U310,'changes2_based on steps'!$B$1:$U$1,U$1)</f>
        <v>0</v>
      </c>
      <c r="V310" s="179">
        <f>SUMIFS('recurring2_based on steps'!$B310:$AY310,'recurring2_based on steps'!$B$1:$AY$1,V$1)+SUMIFS('changes2_based on steps'!$B310:$U310,'changes2_based on steps'!$B$1:$U$1,V$1)</f>
        <v>0</v>
      </c>
      <c r="W310" s="179">
        <f>SUMIFS('recurring2_based on steps'!$B310:$AY310,'recurring2_based on steps'!$B$1:$AY$1,W$1)+SUMIFS('changes2_based on steps'!$B310:$U310,'changes2_based on steps'!$B$1:$U$1,W$1)</f>
        <v>0</v>
      </c>
      <c r="X310" s="179">
        <f>SUMIFS('recurring2_based on steps'!$B310:$AY310,'recurring2_based on steps'!$B$1:$AY$1,X$1)+SUMIFS('changes2_based on steps'!$B310:$U310,'changes2_based on steps'!$B$1:$U$1,X$1)</f>
        <v>0</v>
      </c>
      <c r="Y310" s="179">
        <f>SUMIFS('recurring2_based on steps'!$B310:$AY310,'recurring2_based on steps'!$B$1:$AY$1,Y$1)+SUMIFS('changes2_based on steps'!$B310:$U310,'changes2_based on steps'!$B$1:$U$1,Y$1)</f>
        <v>0</v>
      </c>
      <c r="Z310" s="179">
        <f>SUMIFS('recurring2_based on steps'!$B310:$AY310,'recurring2_based on steps'!$B$1:$AY$1,Z$1)+SUMIFS('changes2_based on steps'!$B310:$U310,'changes2_based on steps'!$B$1:$U$1,Z$1)</f>
        <v>0</v>
      </c>
      <c r="AA310" s="179">
        <f>SUMIFS('recurring2_based on steps'!$B310:$AY310,'recurring2_based on steps'!$B$1:$AY$1,AA$1)+SUMIFS('changes2_based on steps'!$B310:$U310,'changes2_based on steps'!$B$1:$U$1,AA$1)</f>
        <v>0</v>
      </c>
      <c r="AB310" s="179">
        <f>SUMIFS('recurring2_based on steps'!$B310:$AY310,'recurring2_based on steps'!$B$1:$AY$1,AB$1)+SUMIFS('changes2_based on steps'!$B310:$U310,'changes2_based on steps'!$B$1:$U$1,AB$1)</f>
        <v>0</v>
      </c>
      <c r="AC310" s="179">
        <f>SUMIFS('recurring2_based on steps'!$B310:$AY310,'recurring2_based on steps'!$B$1:$AY$1,AC$1)+SUMIFS('changes2_based on steps'!$B310:$U310,'changes2_based on steps'!$B$1:$U$1,AC$1)</f>
        <v>0</v>
      </c>
      <c r="AD310" s="179">
        <f>SUMIFS('recurring2_based on steps'!$B310:$AY310,'recurring2_based on steps'!$B$1:$AY$1,AD$1)+SUMIFS('changes2_based on steps'!$B310:$U310,'changes2_based on steps'!$B$1:$U$1,AD$1)</f>
        <v>0</v>
      </c>
      <c r="AE310" s="179">
        <f>SUMIFS('recurring2_based on steps'!$B310:$AY310,'recurring2_based on steps'!$B$1:$AY$1,AE$1)+SUMIFS('changes2_based on steps'!$B310:$U310,'changes2_based on steps'!$B$1:$U$1,AE$1)</f>
        <v>0</v>
      </c>
      <c r="AF310" s="179"/>
      <c r="AG310" s="179"/>
      <c r="AH310" s="179"/>
      <c r="AI310" s="179"/>
      <c r="AJ310" s="179"/>
      <c r="AK310" s="179"/>
      <c r="AL310" s="179"/>
      <c r="AM310" s="179"/>
    </row>
    <row r="311" spans="1:39" x14ac:dyDescent="0.2">
      <c r="A311" s="32">
        <f t="shared" ca="1" si="4"/>
        <v>46053</v>
      </c>
      <c r="B311" s="179">
        <f>SUMIFS('recurring2_based on steps'!$B311:$AY311,'recurring2_based on steps'!$B$1:$AY$1,B$1)+SUMIFS('changes2_based on steps'!$B311:$U311,'changes2_based on steps'!$B$1:$U$1,B$1)</f>
        <v>0</v>
      </c>
      <c r="C311" s="179">
        <f>SUMIFS('recurring2_based on steps'!$B311:$AY311,'recurring2_based on steps'!$B$1:$AY$1,C$1)+SUMIFS('changes2_based on steps'!$B311:$U311,'changes2_based on steps'!$B$1:$U$1,C$1)</f>
        <v>0</v>
      </c>
      <c r="D311" s="179">
        <f>SUMIFS('recurring2_based on steps'!$B311:$AY311,'recurring2_based on steps'!$B$1:$AY$1,D$1)+SUMIFS('changes2_based on steps'!$B311:$U311,'changes2_based on steps'!$B$1:$U$1,D$1)</f>
        <v>0</v>
      </c>
      <c r="E311" s="179">
        <f>SUMIFS('recurring2_based on steps'!$B311:$AY311,'recurring2_based on steps'!$B$1:$AY$1,E$1)+SUMIFS('changes2_based on steps'!$B311:$U311,'changes2_based on steps'!$B$1:$U$1,E$1)</f>
        <v>0</v>
      </c>
      <c r="F311" s="179">
        <f>SUMIFS('recurring2_based on steps'!$B311:$AY311,'recurring2_based on steps'!$B$1:$AY$1,F$1)+SUMIFS('changes2_based on steps'!$B311:$U311,'changes2_based on steps'!$B$1:$U$1,F$1)</f>
        <v>0</v>
      </c>
      <c r="G311" s="179">
        <f>SUMIFS('recurring2_based on steps'!$B311:$AY311,'recurring2_based on steps'!$B$1:$AY$1,G$1)+SUMIFS('changes2_based on steps'!$B311:$U311,'changes2_based on steps'!$B$1:$U$1,G$1)</f>
        <v>0</v>
      </c>
      <c r="H311" s="179">
        <f>SUMIFS('recurring2_based on steps'!$B311:$AY311,'recurring2_based on steps'!$B$1:$AY$1,H$1)+SUMIFS('changes2_based on steps'!$B311:$U311,'changes2_based on steps'!$B$1:$U$1,H$1)</f>
        <v>0</v>
      </c>
      <c r="I311" s="179">
        <f>SUMIFS('recurring2_based on steps'!$B311:$AY311,'recurring2_based on steps'!$B$1:$AY$1,I$1)+SUMIFS('changes2_based on steps'!$B311:$U311,'changes2_based on steps'!$B$1:$U$1,I$1)</f>
        <v>0</v>
      </c>
      <c r="J311" s="179">
        <f>SUMIFS('recurring2_based on steps'!$B311:$AY311,'recurring2_based on steps'!$B$1:$AY$1,J$1)+SUMIFS('changes2_based on steps'!$B311:$U311,'changes2_based on steps'!$B$1:$U$1,J$1)</f>
        <v>0</v>
      </c>
      <c r="K311" s="179">
        <f>SUMIFS('recurring2_based on steps'!$B311:$AY311,'recurring2_based on steps'!$B$1:$AY$1,K$1)+SUMIFS('changes2_based on steps'!$B311:$U311,'changes2_based on steps'!$B$1:$U$1,K$1)</f>
        <v>0</v>
      </c>
      <c r="L311" s="179">
        <f>SUMIFS('recurring2_based on steps'!$B311:$AY311,'recurring2_based on steps'!$B$1:$AY$1,L$1)+SUMIFS('changes2_based on steps'!$B311:$U311,'changes2_based on steps'!$B$1:$U$1,L$1)</f>
        <v>0</v>
      </c>
      <c r="M311" s="179">
        <f>SUMIFS('recurring2_based on steps'!$B311:$AY311,'recurring2_based on steps'!$B$1:$AY$1,M$1)+SUMIFS('changes2_based on steps'!$B311:$U311,'changes2_based on steps'!$B$1:$U$1,M$1)</f>
        <v>0</v>
      </c>
      <c r="N311" s="179">
        <f>SUMIFS('recurring2_based on steps'!$B311:$AY311,'recurring2_based on steps'!$B$1:$AY$1,N$1)+SUMIFS('changes2_based on steps'!$B311:$U311,'changes2_based on steps'!$B$1:$U$1,N$1)</f>
        <v>0</v>
      </c>
      <c r="O311" s="179">
        <f>SUMIFS('recurring2_based on steps'!$B311:$AY311,'recurring2_based on steps'!$B$1:$AY$1,O$1)+SUMIFS('changes2_based on steps'!$B311:$U311,'changes2_based on steps'!$B$1:$U$1,O$1)</f>
        <v>0</v>
      </c>
      <c r="P311" s="179">
        <f>SUMIFS('recurring2_based on steps'!$B311:$AY311,'recurring2_based on steps'!$B$1:$AY$1,P$1)+SUMIFS('changes2_based on steps'!$B311:$U311,'changes2_based on steps'!$B$1:$U$1,P$1)</f>
        <v>0</v>
      </c>
      <c r="Q311" s="179">
        <f>SUMIFS('recurring2_based on steps'!$B311:$AY311,'recurring2_based on steps'!$B$1:$AY$1,Q$1)+SUMIFS('changes2_based on steps'!$B311:$U311,'changes2_based on steps'!$B$1:$U$1,Q$1)</f>
        <v>0</v>
      </c>
      <c r="R311" s="179">
        <f>SUMIFS('recurring2_based on steps'!$B311:$AY311,'recurring2_based on steps'!$B$1:$AY$1,R$1)+SUMIFS('changes2_based on steps'!$B311:$U311,'changes2_based on steps'!$B$1:$U$1,R$1)</f>
        <v>0</v>
      </c>
      <c r="S311" s="179">
        <f>SUMIFS('recurring2_based on steps'!$B311:$AY311,'recurring2_based on steps'!$B$1:$AY$1,S$1)+SUMIFS('changes2_based on steps'!$B311:$U311,'changes2_based on steps'!$B$1:$U$1,S$1)</f>
        <v>0</v>
      </c>
      <c r="T311" s="179">
        <f>SUMIFS('recurring2_based on steps'!$B311:$AY311,'recurring2_based on steps'!$B$1:$AY$1,T$1)+SUMIFS('changes2_based on steps'!$B311:$U311,'changes2_based on steps'!$B$1:$U$1,T$1)</f>
        <v>0</v>
      </c>
      <c r="U311" s="179">
        <f>SUMIFS('recurring2_based on steps'!$B311:$AY311,'recurring2_based on steps'!$B$1:$AY$1,U$1)+SUMIFS('changes2_based on steps'!$B311:$U311,'changes2_based on steps'!$B$1:$U$1,U$1)</f>
        <v>0</v>
      </c>
      <c r="V311" s="179">
        <f>SUMIFS('recurring2_based on steps'!$B311:$AY311,'recurring2_based on steps'!$B$1:$AY$1,V$1)+SUMIFS('changes2_based on steps'!$B311:$U311,'changes2_based on steps'!$B$1:$U$1,V$1)</f>
        <v>0</v>
      </c>
      <c r="W311" s="179">
        <f>SUMIFS('recurring2_based on steps'!$B311:$AY311,'recurring2_based on steps'!$B$1:$AY$1,W$1)+SUMIFS('changes2_based on steps'!$B311:$U311,'changes2_based on steps'!$B$1:$U$1,W$1)</f>
        <v>0</v>
      </c>
      <c r="X311" s="179">
        <f>SUMIFS('recurring2_based on steps'!$B311:$AY311,'recurring2_based on steps'!$B$1:$AY$1,X$1)+SUMIFS('changes2_based on steps'!$B311:$U311,'changes2_based on steps'!$B$1:$U$1,X$1)</f>
        <v>0</v>
      </c>
      <c r="Y311" s="179">
        <f>SUMIFS('recurring2_based on steps'!$B311:$AY311,'recurring2_based on steps'!$B$1:$AY$1,Y$1)+SUMIFS('changes2_based on steps'!$B311:$U311,'changes2_based on steps'!$B$1:$U$1,Y$1)</f>
        <v>0</v>
      </c>
      <c r="Z311" s="179">
        <f>SUMIFS('recurring2_based on steps'!$B311:$AY311,'recurring2_based on steps'!$B$1:$AY$1,Z$1)+SUMIFS('changes2_based on steps'!$B311:$U311,'changes2_based on steps'!$B$1:$U$1,Z$1)</f>
        <v>0</v>
      </c>
      <c r="AA311" s="179">
        <f>SUMIFS('recurring2_based on steps'!$B311:$AY311,'recurring2_based on steps'!$B$1:$AY$1,AA$1)+SUMIFS('changes2_based on steps'!$B311:$U311,'changes2_based on steps'!$B$1:$U$1,AA$1)</f>
        <v>0</v>
      </c>
      <c r="AB311" s="179">
        <f>SUMIFS('recurring2_based on steps'!$B311:$AY311,'recurring2_based on steps'!$B$1:$AY$1,AB$1)+SUMIFS('changes2_based on steps'!$B311:$U311,'changes2_based on steps'!$B$1:$U$1,AB$1)</f>
        <v>0</v>
      </c>
      <c r="AC311" s="179">
        <f>SUMIFS('recurring2_based on steps'!$B311:$AY311,'recurring2_based on steps'!$B$1:$AY$1,AC$1)+SUMIFS('changes2_based on steps'!$B311:$U311,'changes2_based on steps'!$B$1:$U$1,AC$1)</f>
        <v>0</v>
      </c>
      <c r="AD311" s="179">
        <f>SUMIFS('recurring2_based on steps'!$B311:$AY311,'recurring2_based on steps'!$B$1:$AY$1,AD$1)+SUMIFS('changes2_based on steps'!$B311:$U311,'changes2_based on steps'!$B$1:$U$1,AD$1)</f>
        <v>0</v>
      </c>
      <c r="AE311" s="179">
        <f>SUMIFS('recurring2_based on steps'!$B311:$AY311,'recurring2_based on steps'!$B$1:$AY$1,AE$1)+SUMIFS('changes2_based on steps'!$B311:$U311,'changes2_based on steps'!$B$1:$U$1,AE$1)</f>
        <v>0</v>
      </c>
      <c r="AF311" s="179"/>
      <c r="AG311" s="179"/>
      <c r="AH311" s="179"/>
      <c r="AI311" s="179"/>
      <c r="AJ311" s="179"/>
      <c r="AK311" s="179"/>
      <c r="AL311" s="179"/>
      <c r="AM311" s="179"/>
    </row>
    <row r="312" spans="1:39" x14ac:dyDescent="0.2">
      <c r="A312" s="32">
        <f t="shared" ca="1" si="4"/>
        <v>46054</v>
      </c>
      <c r="B312" s="179">
        <f>SUMIFS('recurring2_based on steps'!$B312:$AY312,'recurring2_based on steps'!$B$1:$AY$1,B$1)+SUMIFS('changes2_based on steps'!$B312:$U312,'changes2_based on steps'!$B$1:$U$1,B$1)</f>
        <v>0</v>
      </c>
      <c r="C312" s="179">
        <f>SUMIFS('recurring2_based on steps'!$B312:$AY312,'recurring2_based on steps'!$B$1:$AY$1,C$1)+SUMIFS('changes2_based on steps'!$B312:$U312,'changes2_based on steps'!$B$1:$U$1,C$1)</f>
        <v>0</v>
      </c>
      <c r="D312" s="179">
        <f>SUMIFS('recurring2_based on steps'!$B312:$AY312,'recurring2_based on steps'!$B$1:$AY$1,D$1)+SUMIFS('changes2_based on steps'!$B312:$U312,'changes2_based on steps'!$B$1:$U$1,D$1)</f>
        <v>0</v>
      </c>
      <c r="E312" s="179">
        <f>SUMIFS('recurring2_based on steps'!$B312:$AY312,'recurring2_based on steps'!$B$1:$AY$1,E$1)+SUMIFS('changes2_based on steps'!$B312:$U312,'changes2_based on steps'!$B$1:$U$1,E$1)</f>
        <v>0</v>
      </c>
      <c r="F312" s="179">
        <f>SUMIFS('recurring2_based on steps'!$B312:$AY312,'recurring2_based on steps'!$B$1:$AY$1,F$1)+SUMIFS('changes2_based on steps'!$B312:$U312,'changes2_based on steps'!$B$1:$U$1,F$1)</f>
        <v>0</v>
      </c>
      <c r="G312" s="179">
        <f>SUMIFS('recurring2_based on steps'!$B312:$AY312,'recurring2_based on steps'!$B$1:$AY$1,G$1)+SUMIFS('changes2_based on steps'!$B312:$U312,'changes2_based on steps'!$B$1:$U$1,G$1)</f>
        <v>0</v>
      </c>
      <c r="H312" s="179">
        <f>SUMIFS('recurring2_based on steps'!$B312:$AY312,'recurring2_based on steps'!$B$1:$AY$1,H$1)+SUMIFS('changes2_based on steps'!$B312:$U312,'changes2_based on steps'!$B$1:$U$1,H$1)</f>
        <v>0</v>
      </c>
      <c r="I312" s="179">
        <f>SUMIFS('recurring2_based on steps'!$B312:$AY312,'recurring2_based on steps'!$B$1:$AY$1,I$1)+SUMIFS('changes2_based on steps'!$B312:$U312,'changes2_based on steps'!$B$1:$U$1,I$1)</f>
        <v>0</v>
      </c>
      <c r="J312" s="179">
        <f>SUMIFS('recurring2_based on steps'!$B312:$AY312,'recurring2_based on steps'!$B$1:$AY$1,J$1)+SUMIFS('changes2_based on steps'!$B312:$U312,'changes2_based on steps'!$B$1:$U$1,J$1)</f>
        <v>0</v>
      </c>
      <c r="K312" s="179">
        <f>SUMIFS('recurring2_based on steps'!$B312:$AY312,'recurring2_based on steps'!$B$1:$AY$1,K$1)+SUMIFS('changes2_based on steps'!$B312:$U312,'changes2_based on steps'!$B$1:$U$1,K$1)</f>
        <v>0</v>
      </c>
      <c r="L312" s="179">
        <f>SUMIFS('recurring2_based on steps'!$B312:$AY312,'recurring2_based on steps'!$B$1:$AY$1,L$1)+SUMIFS('changes2_based on steps'!$B312:$U312,'changes2_based on steps'!$B$1:$U$1,L$1)</f>
        <v>0</v>
      </c>
      <c r="M312" s="179">
        <f>SUMIFS('recurring2_based on steps'!$B312:$AY312,'recurring2_based on steps'!$B$1:$AY$1,M$1)+SUMIFS('changes2_based on steps'!$B312:$U312,'changes2_based on steps'!$B$1:$U$1,M$1)</f>
        <v>0</v>
      </c>
      <c r="N312" s="179">
        <f>SUMIFS('recurring2_based on steps'!$B312:$AY312,'recurring2_based on steps'!$B$1:$AY$1,N$1)+SUMIFS('changes2_based on steps'!$B312:$U312,'changes2_based on steps'!$B$1:$U$1,N$1)</f>
        <v>0</v>
      </c>
      <c r="O312" s="179">
        <f>SUMIFS('recurring2_based on steps'!$B312:$AY312,'recurring2_based on steps'!$B$1:$AY$1,O$1)+SUMIFS('changes2_based on steps'!$B312:$U312,'changes2_based on steps'!$B$1:$U$1,O$1)</f>
        <v>0</v>
      </c>
      <c r="P312" s="179">
        <f>SUMIFS('recurring2_based on steps'!$B312:$AY312,'recurring2_based on steps'!$B$1:$AY$1,P$1)+SUMIFS('changes2_based on steps'!$B312:$U312,'changes2_based on steps'!$B$1:$U$1,P$1)</f>
        <v>0</v>
      </c>
      <c r="Q312" s="179">
        <f>SUMIFS('recurring2_based on steps'!$B312:$AY312,'recurring2_based on steps'!$B$1:$AY$1,Q$1)+SUMIFS('changes2_based on steps'!$B312:$U312,'changes2_based on steps'!$B$1:$U$1,Q$1)</f>
        <v>0</v>
      </c>
      <c r="R312" s="179">
        <f>SUMIFS('recurring2_based on steps'!$B312:$AY312,'recurring2_based on steps'!$B$1:$AY$1,R$1)+SUMIFS('changes2_based on steps'!$B312:$U312,'changes2_based on steps'!$B$1:$U$1,R$1)</f>
        <v>0</v>
      </c>
      <c r="S312" s="179">
        <f>SUMIFS('recurring2_based on steps'!$B312:$AY312,'recurring2_based on steps'!$B$1:$AY$1,S$1)+SUMIFS('changes2_based on steps'!$B312:$U312,'changes2_based on steps'!$B$1:$U$1,S$1)</f>
        <v>0</v>
      </c>
      <c r="T312" s="179">
        <f>SUMIFS('recurring2_based on steps'!$B312:$AY312,'recurring2_based on steps'!$B$1:$AY$1,T$1)+SUMIFS('changes2_based on steps'!$B312:$U312,'changes2_based on steps'!$B$1:$U$1,T$1)</f>
        <v>0</v>
      </c>
      <c r="U312" s="179">
        <f>SUMIFS('recurring2_based on steps'!$B312:$AY312,'recurring2_based on steps'!$B$1:$AY$1,U$1)+SUMIFS('changes2_based on steps'!$B312:$U312,'changes2_based on steps'!$B$1:$U$1,U$1)</f>
        <v>0</v>
      </c>
      <c r="V312" s="179">
        <f>SUMIFS('recurring2_based on steps'!$B312:$AY312,'recurring2_based on steps'!$B$1:$AY$1,V$1)+SUMIFS('changes2_based on steps'!$B312:$U312,'changes2_based on steps'!$B$1:$U$1,V$1)</f>
        <v>0</v>
      </c>
      <c r="W312" s="179">
        <f>SUMIFS('recurring2_based on steps'!$B312:$AY312,'recurring2_based on steps'!$B$1:$AY$1,W$1)+SUMIFS('changes2_based on steps'!$B312:$U312,'changes2_based on steps'!$B$1:$U$1,W$1)</f>
        <v>0</v>
      </c>
      <c r="X312" s="179">
        <f>SUMIFS('recurring2_based on steps'!$B312:$AY312,'recurring2_based on steps'!$B$1:$AY$1,X$1)+SUMIFS('changes2_based on steps'!$B312:$U312,'changes2_based on steps'!$B$1:$U$1,X$1)</f>
        <v>0</v>
      </c>
      <c r="Y312" s="179">
        <f>SUMIFS('recurring2_based on steps'!$B312:$AY312,'recurring2_based on steps'!$B$1:$AY$1,Y$1)+SUMIFS('changes2_based on steps'!$B312:$U312,'changes2_based on steps'!$B$1:$U$1,Y$1)</f>
        <v>0</v>
      </c>
      <c r="Z312" s="179">
        <f>SUMIFS('recurring2_based on steps'!$B312:$AY312,'recurring2_based on steps'!$B$1:$AY$1,Z$1)+SUMIFS('changes2_based on steps'!$B312:$U312,'changes2_based on steps'!$B$1:$U$1,Z$1)</f>
        <v>0</v>
      </c>
      <c r="AA312" s="179">
        <f>SUMIFS('recurring2_based on steps'!$B312:$AY312,'recurring2_based on steps'!$B$1:$AY$1,AA$1)+SUMIFS('changes2_based on steps'!$B312:$U312,'changes2_based on steps'!$B$1:$U$1,AA$1)</f>
        <v>0</v>
      </c>
      <c r="AB312" s="179">
        <f>SUMIFS('recurring2_based on steps'!$B312:$AY312,'recurring2_based on steps'!$B$1:$AY$1,AB$1)+SUMIFS('changes2_based on steps'!$B312:$U312,'changes2_based on steps'!$B$1:$U$1,AB$1)</f>
        <v>0</v>
      </c>
      <c r="AC312" s="179">
        <f>SUMIFS('recurring2_based on steps'!$B312:$AY312,'recurring2_based on steps'!$B$1:$AY$1,AC$1)+SUMIFS('changes2_based on steps'!$B312:$U312,'changes2_based on steps'!$B$1:$U$1,AC$1)</f>
        <v>0</v>
      </c>
      <c r="AD312" s="179">
        <f>SUMIFS('recurring2_based on steps'!$B312:$AY312,'recurring2_based on steps'!$B$1:$AY$1,AD$1)+SUMIFS('changes2_based on steps'!$B312:$U312,'changes2_based on steps'!$B$1:$U$1,AD$1)</f>
        <v>0</v>
      </c>
      <c r="AE312" s="179">
        <f>SUMIFS('recurring2_based on steps'!$B312:$AY312,'recurring2_based on steps'!$B$1:$AY$1,AE$1)+SUMIFS('changes2_based on steps'!$B312:$U312,'changes2_based on steps'!$B$1:$U$1,AE$1)</f>
        <v>0</v>
      </c>
      <c r="AF312" s="179"/>
      <c r="AG312" s="179"/>
      <c r="AH312" s="179"/>
      <c r="AI312" s="179"/>
      <c r="AJ312" s="179"/>
      <c r="AK312" s="179"/>
      <c r="AL312" s="179"/>
      <c r="AM312" s="179"/>
    </row>
    <row r="313" spans="1:39" x14ac:dyDescent="0.2">
      <c r="A313" s="32">
        <f t="shared" ca="1" si="4"/>
        <v>46055</v>
      </c>
      <c r="B313" s="179">
        <f>SUMIFS('recurring2_based on steps'!$B313:$AY313,'recurring2_based on steps'!$B$1:$AY$1,B$1)+SUMIFS('changes2_based on steps'!$B313:$U313,'changes2_based on steps'!$B$1:$U$1,B$1)</f>
        <v>0</v>
      </c>
      <c r="C313" s="179">
        <f>SUMIFS('recurring2_based on steps'!$B313:$AY313,'recurring2_based on steps'!$B$1:$AY$1,C$1)+SUMIFS('changes2_based on steps'!$B313:$U313,'changes2_based on steps'!$B$1:$U$1,C$1)</f>
        <v>0</v>
      </c>
      <c r="D313" s="179">
        <f>SUMIFS('recurring2_based on steps'!$B313:$AY313,'recurring2_based on steps'!$B$1:$AY$1,D$1)+SUMIFS('changes2_based on steps'!$B313:$U313,'changes2_based on steps'!$B$1:$U$1,D$1)</f>
        <v>0</v>
      </c>
      <c r="E313" s="179">
        <f>SUMIFS('recurring2_based on steps'!$B313:$AY313,'recurring2_based on steps'!$B$1:$AY$1,E$1)+SUMIFS('changes2_based on steps'!$B313:$U313,'changes2_based on steps'!$B$1:$U$1,E$1)</f>
        <v>0</v>
      </c>
      <c r="F313" s="179">
        <f>SUMIFS('recurring2_based on steps'!$B313:$AY313,'recurring2_based on steps'!$B$1:$AY$1,F$1)+SUMIFS('changes2_based on steps'!$B313:$U313,'changes2_based on steps'!$B$1:$U$1,F$1)</f>
        <v>0</v>
      </c>
      <c r="G313" s="179">
        <f>SUMIFS('recurring2_based on steps'!$B313:$AY313,'recurring2_based on steps'!$B$1:$AY$1,G$1)+SUMIFS('changes2_based on steps'!$B313:$U313,'changes2_based on steps'!$B$1:$U$1,G$1)</f>
        <v>0</v>
      </c>
      <c r="H313" s="179">
        <f>SUMIFS('recurring2_based on steps'!$B313:$AY313,'recurring2_based on steps'!$B$1:$AY$1,H$1)+SUMIFS('changes2_based on steps'!$B313:$U313,'changes2_based on steps'!$B$1:$U$1,H$1)</f>
        <v>0</v>
      </c>
      <c r="I313" s="179">
        <f>SUMIFS('recurring2_based on steps'!$B313:$AY313,'recurring2_based on steps'!$B$1:$AY$1,I$1)+SUMIFS('changes2_based on steps'!$B313:$U313,'changes2_based on steps'!$B$1:$U$1,I$1)</f>
        <v>0</v>
      </c>
      <c r="J313" s="179">
        <f>SUMIFS('recurring2_based on steps'!$B313:$AY313,'recurring2_based on steps'!$B$1:$AY$1,J$1)+SUMIFS('changes2_based on steps'!$B313:$U313,'changes2_based on steps'!$B$1:$U$1,J$1)</f>
        <v>0</v>
      </c>
      <c r="K313" s="179">
        <f>SUMIFS('recurring2_based on steps'!$B313:$AY313,'recurring2_based on steps'!$B$1:$AY$1,K$1)+SUMIFS('changes2_based on steps'!$B313:$U313,'changes2_based on steps'!$B$1:$U$1,K$1)</f>
        <v>0</v>
      </c>
      <c r="L313" s="179">
        <f>SUMIFS('recurring2_based on steps'!$B313:$AY313,'recurring2_based on steps'!$B$1:$AY$1,L$1)+SUMIFS('changes2_based on steps'!$B313:$U313,'changes2_based on steps'!$B$1:$U$1,L$1)</f>
        <v>0</v>
      </c>
      <c r="M313" s="179">
        <f>SUMIFS('recurring2_based on steps'!$B313:$AY313,'recurring2_based on steps'!$B$1:$AY$1,M$1)+SUMIFS('changes2_based on steps'!$B313:$U313,'changes2_based on steps'!$B$1:$U$1,M$1)</f>
        <v>0</v>
      </c>
      <c r="N313" s="179">
        <f>SUMIFS('recurring2_based on steps'!$B313:$AY313,'recurring2_based on steps'!$B$1:$AY$1,N$1)+SUMIFS('changes2_based on steps'!$B313:$U313,'changes2_based on steps'!$B$1:$U$1,N$1)</f>
        <v>0</v>
      </c>
      <c r="O313" s="179">
        <f>SUMIFS('recurring2_based on steps'!$B313:$AY313,'recurring2_based on steps'!$B$1:$AY$1,O$1)+SUMIFS('changes2_based on steps'!$B313:$U313,'changes2_based on steps'!$B$1:$U$1,O$1)</f>
        <v>0</v>
      </c>
      <c r="P313" s="179">
        <f>SUMIFS('recurring2_based on steps'!$B313:$AY313,'recurring2_based on steps'!$B$1:$AY$1,P$1)+SUMIFS('changes2_based on steps'!$B313:$U313,'changes2_based on steps'!$B$1:$U$1,P$1)</f>
        <v>0</v>
      </c>
      <c r="Q313" s="179">
        <f>SUMIFS('recurring2_based on steps'!$B313:$AY313,'recurring2_based on steps'!$B$1:$AY$1,Q$1)+SUMIFS('changes2_based on steps'!$B313:$U313,'changes2_based on steps'!$B$1:$U$1,Q$1)</f>
        <v>0</v>
      </c>
      <c r="R313" s="179">
        <f>SUMIFS('recurring2_based on steps'!$B313:$AY313,'recurring2_based on steps'!$B$1:$AY$1,R$1)+SUMIFS('changes2_based on steps'!$B313:$U313,'changes2_based on steps'!$B$1:$U$1,R$1)</f>
        <v>0</v>
      </c>
      <c r="S313" s="179">
        <f>SUMIFS('recurring2_based on steps'!$B313:$AY313,'recurring2_based on steps'!$B$1:$AY$1,S$1)+SUMIFS('changes2_based on steps'!$B313:$U313,'changes2_based on steps'!$B$1:$U$1,S$1)</f>
        <v>0</v>
      </c>
      <c r="T313" s="179">
        <f>SUMIFS('recurring2_based on steps'!$B313:$AY313,'recurring2_based on steps'!$B$1:$AY$1,T$1)+SUMIFS('changes2_based on steps'!$B313:$U313,'changes2_based on steps'!$B$1:$U$1,T$1)</f>
        <v>0</v>
      </c>
      <c r="U313" s="179">
        <f>SUMIFS('recurring2_based on steps'!$B313:$AY313,'recurring2_based on steps'!$B$1:$AY$1,U$1)+SUMIFS('changes2_based on steps'!$B313:$U313,'changes2_based on steps'!$B$1:$U$1,U$1)</f>
        <v>0</v>
      </c>
      <c r="V313" s="179">
        <f>SUMIFS('recurring2_based on steps'!$B313:$AY313,'recurring2_based on steps'!$B$1:$AY$1,V$1)+SUMIFS('changes2_based on steps'!$B313:$U313,'changes2_based on steps'!$B$1:$U$1,V$1)</f>
        <v>0</v>
      </c>
      <c r="W313" s="179">
        <f>SUMIFS('recurring2_based on steps'!$B313:$AY313,'recurring2_based on steps'!$B$1:$AY$1,W$1)+SUMIFS('changes2_based on steps'!$B313:$U313,'changes2_based on steps'!$B$1:$U$1,W$1)</f>
        <v>0</v>
      </c>
      <c r="X313" s="179">
        <f>SUMIFS('recurring2_based on steps'!$B313:$AY313,'recurring2_based on steps'!$B$1:$AY$1,X$1)+SUMIFS('changes2_based on steps'!$B313:$U313,'changes2_based on steps'!$B$1:$U$1,X$1)</f>
        <v>0</v>
      </c>
      <c r="Y313" s="179">
        <f>SUMIFS('recurring2_based on steps'!$B313:$AY313,'recurring2_based on steps'!$B$1:$AY$1,Y$1)+SUMIFS('changes2_based on steps'!$B313:$U313,'changes2_based on steps'!$B$1:$U$1,Y$1)</f>
        <v>0</v>
      </c>
      <c r="Z313" s="179">
        <f>SUMIFS('recurring2_based on steps'!$B313:$AY313,'recurring2_based on steps'!$B$1:$AY$1,Z$1)+SUMIFS('changes2_based on steps'!$B313:$U313,'changes2_based on steps'!$B$1:$U$1,Z$1)</f>
        <v>0</v>
      </c>
      <c r="AA313" s="179">
        <f>SUMIFS('recurring2_based on steps'!$B313:$AY313,'recurring2_based on steps'!$B$1:$AY$1,AA$1)+SUMIFS('changes2_based on steps'!$B313:$U313,'changes2_based on steps'!$B$1:$U$1,AA$1)</f>
        <v>0</v>
      </c>
      <c r="AB313" s="179">
        <f>SUMIFS('recurring2_based on steps'!$B313:$AY313,'recurring2_based on steps'!$B$1:$AY$1,AB$1)+SUMIFS('changes2_based on steps'!$B313:$U313,'changes2_based on steps'!$B$1:$U$1,AB$1)</f>
        <v>0</v>
      </c>
      <c r="AC313" s="179">
        <f>SUMIFS('recurring2_based on steps'!$B313:$AY313,'recurring2_based on steps'!$B$1:$AY$1,AC$1)+SUMIFS('changes2_based on steps'!$B313:$U313,'changes2_based on steps'!$B$1:$U$1,AC$1)</f>
        <v>0</v>
      </c>
      <c r="AD313" s="179">
        <f>SUMIFS('recurring2_based on steps'!$B313:$AY313,'recurring2_based on steps'!$B$1:$AY$1,AD$1)+SUMIFS('changes2_based on steps'!$B313:$U313,'changes2_based on steps'!$B$1:$U$1,AD$1)</f>
        <v>0</v>
      </c>
      <c r="AE313" s="179">
        <f>SUMIFS('recurring2_based on steps'!$B313:$AY313,'recurring2_based on steps'!$B$1:$AY$1,AE$1)+SUMIFS('changes2_based on steps'!$B313:$U313,'changes2_based on steps'!$B$1:$U$1,AE$1)</f>
        <v>0</v>
      </c>
      <c r="AF313" s="179"/>
      <c r="AG313" s="179"/>
      <c r="AH313" s="179"/>
      <c r="AI313" s="179"/>
      <c r="AJ313" s="179"/>
      <c r="AK313" s="179"/>
      <c r="AL313" s="179"/>
      <c r="AM313" s="179"/>
    </row>
    <row r="314" spans="1:39" x14ac:dyDescent="0.2">
      <c r="A314" s="32">
        <f t="shared" ca="1" si="4"/>
        <v>46056</v>
      </c>
      <c r="B314" s="179">
        <f>SUMIFS('recurring2_based on steps'!$B314:$AY314,'recurring2_based on steps'!$B$1:$AY$1,B$1)+SUMIFS('changes2_based on steps'!$B314:$U314,'changes2_based on steps'!$B$1:$U$1,B$1)</f>
        <v>0</v>
      </c>
      <c r="C314" s="179">
        <f>SUMIFS('recurring2_based on steps'!$B314:$AY314,'recurring2_based on steps'!$B$1:$AY$1,C$1)+SUMIFS('changes2_based on steps'!$B314:$U314,'changes2_based on steps'!$B$1:$U$1,C$1)</f>
        <v>0</v>
      </c>
      <c r="D314" s="179">
        <f>SUMIFS('recurring2_based on steps'!$B314:$AY314,'recurring2_based on steps'!$B$1:$AY$1,D$1)+SUMIFS('changes2_based on steps'!$B314:$U314,'changes2_based on steps'!$B$1:$U$1,D$1)</f>
        <v>0</v>
      </c>
      <c r="E314" s="179">
        <f>SUMIFS('recurring2_based on steps'!$B314:$AY314,'recurring2_based on steps'!$B$1:$AY$1,E$1)+SUMIFS('changes2_based on steps'!$B314:$U314,'changes2_based on steps'!$B$1:$U$1,E$1)</f>
        <v>0</v>
      </c>
      <c r="F314" s="179">
        <f>SUMIFS('recurring2_based on steps'!$B314:$AY314,'recurring2_based on steps'!$B$1:$AY$1,F$1)+SUMIFS('changes2_based on steps'!$B314:$U314,'changes2_based on steps'!$B$1:$U$1,F$1)</f>
        <v>0</v>
      </c>
      <c r="G314" s="179">
        <f>SUMIFS('recurring2_based on steps'!$B314:$AY314,'recurring2_based on steps'!$B$1:$AY$1,G$1)+SUMIFS('changes2_based on steps'!$B314:$U314,'changes2_based on steps'!$B$1:$U$1,G$1)</f>
        <v>0</v>
      </c>
      <c r="H314" s="179">
        <f>SUMIFS('recurring2_based on steps'!$B314:$AY314,'recurring2_based on steps'!$B$1:$AY$1,H$1)+SUMIFS('changes2_based on steps'!$B314:$U314,'changes2_based on steps'!$B$1:$U$1,H$1)</f>
        <v>0</v>
      </c>
      <c r="I314" s="179">
        <f>SUMIFS('recurring2_based on steps'!$B314:$AY314,'recurring2_based on steps'!$B$1:$AY$1,I$1)+SUMIFS('changes2_based on steps'!$B314:$U314,'changes2_based on steps'!$B$1:$U$1,I$1)</f>
        <v>0</v>
      </c>
      <c r="J314" s="179">
        <f>SUMIFS('recurring2_based on steps'!$B314:$AY314,'recurring2_based on steps'!$B$1:$AY$1,J$1)+SUMIFS('changes2_based on steps'!$B314:$U314,'changes2_based on steps'!$B$1:$U$1,J$1)</f>
        <v>0</v>
      </c>
      <c r="K314" s="179">
        <f>SUMIFS('recurring2_based on steps'!$B314:$AY314,'recurring2_based on steps'!$B$1:$AY$1,K$1)+SUMIFS('changes2_based on steps'!$B314:$U314,'changes2_based on steps'!$B$1:$U$1,K$1)</f>
        <v>0</v>
      </c>
      <c r="L314" s="179">
        <f>SUMIFS('recurring2_based on steps'!$B314:$AY314,'recurring2_based on steps'!$B$1:$AY$1,L$1)+SUMIFS('changes2_based on steps'!$B314:$U314,'changes2_based on steps'!$B$1:$U$1,L$1)</f>
        <v>0</v>
      </c>
      <c r="M314" s="179">
        <f>SUMIFS('recurring2_based on steps'!$B314:$AY314,'recurring2_based on steps'!$B$1:$AY$1,M$1)+SUMIFS('changes2_based on steps'!$B314:$U314,'changes2_based on steps'!$B$1:$U$1,M$1)</f>
        <v>0</v>
      </c>
      <c r="N314" s="179">
        <f>SUMIFS('recurring2_based on steps'!$B314:$AY314,'recurring2_based on steps'!$B$1:$AY$1,N$1)+SUMIFS('changes2_based on steps'!$B314:$U314,'changes2_based on steps'!$B$1:$U$1,N$1)</f>
        <v>0</v>
      </c>
      <c r="O314" s="179">
        <f>SUMIFS('recurring2_based on steps'!$B314:$AY314,'recurring2_based on steps'!$B$1:$AY$1,O$1)+SUMIFS('changes2_based on steps'!$B314:$U314,'changes2_based on steps'!$B$1:$U$1,O$1)</f>
        <v>0</v>
      </c>
      <c r="P314" s="179">
        <f>SUMIFS('recurring2_based on steps'!$B314:$AY314,'recurring2_based on steps'!$B$1:$AY$1,P$1)+SUMIFS('changes2_based on steps'!$B314:$U314,'changes2_based on steps'!$B$1:$U$1,P$1)</f>
        <v>0</v>
      </c>
      <c r="Q314" s="179">
        <f>SUMIFS('recurring2_based on steps'!$B314:$AY314,'recurring2_based on steps'!$B$1:$AY$1,Q$1)+SUMIFS('changes2_based on steps'!$B314:$U314,'changes2_based on steps'!$B$1:$U$1,Q$1)</f>
        <v>0</v>
      </c>
      <c r="R314" s="179">
        <f>SUMIFS('recurring2_based on steps'!$B314:$AY314,'recurring2_based on steps'!$B$1:$AY$1,R$1)+SUMIFS('changes2_based on steps'!$B314:$U314,'changes2_based on steps'!$B$1:$U$1,R$1)</f>
        <v>0</v>
      </c>
      <c r="S314" s="179">
        <f>SUMIFS('recurring2_based on steps'!$B314:$AY314,'recurring2_based on steps'!$B$1:$AY$1,S$1)+SUMIFS('changes2_based on steps'!$B314:$U314,'changes2_based on steps'!$B$1:$U$1,S$1)</f>
        <v>0</v>
      </c>
      <c r="T314" s="179">
        <f>SUMIFS('recurring2_based on steps'!$B314:$AY314,'recurring2_based on steps'!$B$1:$AY$1,T$1)+SUMIFS('changes2_based on steps'!$B314:$U314,'changes2_based on steps'!$B$1:$U$1,T$1)</f>
        <v>0</v>
      </c>
      <c r="U314" s="179">
        <f>SUMIFS('recurring2_based on steps'!$B314:$AY314,'recurring2_based on steps'!$B$1:$AY$1,U$1)+SUMIFS('changes2_based on steps'!$B314:$U314,'changes2_based on steps'!$B$1:$U$1,U$1)</f>
        <v>0</v>
      </c>
      <c r="V314" s="179">
        <f>SUMIFS('recurring2_based on steps'!$B314:$AY314,'recurring2_based on steps'!$B$1:$AY$1,V$1)+SUMIFS('changes2_based on steps'!$B314:$U314,'changes2_based on steps'!$B$1:$U$1,V$1)</f>
        <v>0</v>
      </c>
      <c r="W314" s="179">
        <f>SUMIFS('recurring2_based on steps'!$B314:$AY314,'recurring2_based on steps'!$B$1:$AY$1,W$1)+SUMIFS('changes2_based on steps'!$B314:$U314,'changes2_based on steps'!$B$1:$U$1,W$1)</f>
        <v>0</v>
      </c>
      <c r="X314" s="179">
        <f>SUMIFS('recurring2_based on steps'!$B314:$AY314,'recurring2_based on steps'!$B$1:$AY$1,X$1)+SUMIFS('changes2_based on steps'!$B314:$U314,'changes2_based on steps'!$B$1:$U$1,X$1)</f>
        <v>0</v>
      </c>
      <c r="Y314" s="179">
        <f>SUMIFS('recurring2_based on steps'!$B314:$AY314,'recurring2_based on steps'!$B$1:$AY$1,Y$1)+SUMIFS('changes2_based on steps'!$B314:$U314,'changes2_based on steps'!$B$1:$U$1,Y$1)</f>
        <v>0</v>
      </c>
      <c r="Z314" s="179">
        <f>SUMIFS('recurring2_based on steps'!$B314:$AY314,'recurring2_based on steps'!$B$1:$AY$1,Z$1)+SUMIFS('changes2_based on steps'!$B314:$U314,'changes2_based on steps'!$B$1:$U$1,Z$1)</f>
        <v>0</v>
      </c>
      <c r="AA314" s="179">
        <f>SUMIFS('recurring2_based on steps'!$B314:$AY314,'recurring2_based on steps'!$B$1:$AY$1,AA$1)+SUMIFS('changes2_based on steps'!$B314:$U314,'changes2_based on steps'!$B$1:$U$1,AA$1)</f>
        <v>0</v>
      </c>
      <c r="AB314" s="179">
        <f>SUMIFS('recurring2_based on steps'!$B314:$AY314,'recurring2_based on steps'!$B$1:$AY$1,AB$1)+SUMIFS('changes2_based on steps'!$B314:$U314,'changes2_based on steps'!$B$1:$U$1,AB$1)</f>
        <v>0</v>
      </c>
      <c r="AC314" s="179">
        <f>SUMIFS('recurring2_based on steps'!$B314:$AY314,'recurring2_based on steps'!$B$1:$AY$1,AC$1)+SUMIFS('changes2_based on steps'!$B314:$U314,'changes2_based on steps'!$B$1:$U$1,AC$1)</f>
        <v>0</v>
      </c>
      <c r="AD314" s="179">
        <f>SUMIFS('recurring2_based on steps'!$B314:$AY314,'recurring2_based on steps'!$B$1:$AY$1,AD$1)+SUMIFS('changes2_based on steps'!$B314:$U314,'changes2_based on steps'!$B$1:$U$1,AD$1)</f>
        <v>0</v>
      </c>
      <c r="AE314" s="179">
        <f>SUMIFS('recurring2_based on steps'!$B314:$AY314,'recurring2_based on steps'!$B$1:$AY$1,AE$1)+SUMIFS('changes2_based on steps'!$B314:$U314,'changes2_based on steps'!$B$1:$U$1,AE$1)</f>
        <v>0</v>
      </c>
      <c r="AF314" s="179"/>
      <c r="AG314" s="179"/>
      <c r="AH314" s="179"/>
      <c r="AI314" s="179"/>
      <c r="AJ314" s="179"/>
      <c r="AK314" s="179"/>
      <c r="AL314" s="179"/>
      <c r="AM314" s="179"/>
    </row>
    <row r="315" spans="1:39" x14ac:dyDescent="0.2">
      <c r="A315" s="32">
        <f t="shared" ca="1" si="4"/>
        <v>46057</v>
      </c>
      <c r="B315" s="179">
        <f>SUMIFS('recurring2_based on steps'!$B315:$AY315,'recurring2_based on steps'!$B$1:$AY$1,B$1)+SUMIFS('changes2_based on steps'!$B315:$U315,'changes2_based on steps'!$B$1:$U$1,B$1)</f>
        <v>0</v>
      </c>
      <c r="C315" s="179">
        <f>SUMIFS('recurring2_based on steps'!$B315:$AY315,'recurring2_based on steps'!$B$1:$AY$1,C$1)+SUMIFS('changes2_based on steps'!$B315:$U315,'changes2_based on steps'!$B$1:$U$1,C$1)</f>
        <v>0</v>
      </c>
      <c r="D315" s="179">
        <f>SUMIFS('recurring2_based on steps'!$B315:$AY315,'recurring2_based on steps'!$B$1:$AY$1,D$1)+SUMIFS('changes2_based on steps'!$B315:$U315,'changes2_based on steps'!$B$1:$U$1,D$1)</f>
        <v>0</v>
      </c>
      <c r="E315" s="179">
        <f>SUMIFS('recurring2_based on steps'!$B315:$AY315,'recurring2_based on steps'!$B$1:$AY$1,E$1)+SUMIFS('changes2_based on steps'!$B315:$U315,'changes2_based on steps'!$B$1:$U$1,E$1)</f>
        <v>0</v>
      </c>
      <c r="F315" s="179">
        <f>SUMIFS('recurring2_based on steps'!$B315:$AY315,'recurring2_based on steps'!$B$1:$AY$1,F$1)+SUMIFS('changes2_based on steps'!$B315:$U315,'changes2_based on steps'!$B$1:$U$1,F$1)</f>
        <v>0</v>
      </c>
      <c r="G315" s="179">
        <f>SUMIFS('recurring2_based on steps'!$B315:$AY315,'recurring2_based on steps'!$B$1:$AY$1,G$1)+SUMIFS('changes2_based on steps'!$B315:$U315,'changes2_based on steps'!$B$1:$U$1,G$1)</f>
        <v>0</v>
      </c>
      <c r="H315" s="179">
        <f>SUMIFS('recurring2_based on steps'!$B315:$AY315,'recurring2_based on steps'!$B$1:$AY$1,H$1)+SUMIFS('changes2_based on steps'!$B315:$U315,'changes2_based on steps'!$B$1:$U$1,H$1)</f>
        <v>0</v>
      </c>
      <c r="I315" s="179">
        <f>SUMIFS('recurring2_based on steps'!$B315:$AY315,'recurring2_based on steps'!$B$1:$AY$1,I$1)+SUMIFS('changes2_based on steps'!$B315:$U315,'changes2_based on steps'!$B$1:$U$1,I$1)</f>
        <v>0</v>
      </c>
      <c r="J315" s="179">
        <f>SUMIFS('recurring2_based on steps'!$B315:$AY315,'recurring2_based on steps'!$B$1:$AY$1,J$1)+SUMIFS('changes2_based on steps'!$B315:$U315,'changes2_based on steps'!$B$1:$U$1,J$1)</f>
        <v>0</v>
      </c>
      <c r="K315" s="179">
        <f>SUMIFS('recurring2_based on steps'!$B315:$AY315,'recurring2_based on steps'!$B$1:$AY$1,K$1)+SUMIFS('changes2_based on steps'!$B315:$U315,'changes2_based on steps'!$B$1:$U$1,K$1)</f>
        <v>0</v>
      </c>
      <c r="L315" s="179">
        <f>SUMIFS('recurring2_based on steps'!$B315:$AY315,'recurring2_based on steps'!$B$1:$AY$1,L$1)+SUMIFS('changes2_based on steps'!$B315:$U315,'changes2_based on steps'!$B$1:$U$1,L$1)</f>
        <v>0</v>
      </c>
      <c r="M315" s="179">
        <f>SUMIFS('recurring2_based on steps'!$B315:$AY315,'recurring2_based on steps'!$B$1:$AY$1,M$1)+SUMIFS('changes2_based on steps'!$B315:$U315,'changes2_based on steps'!$B$1:$U$1,M$1)</f>
        <v>0</v>
      </c>
      <c r="N315" s="179">
        <f>SUMIFS('recurring2_based on steps'!$B315:$AY315,'recurring2_based on steps'!$B$1:$AY$1,N$1)+SUMIFS('changes2_based on steps'!$B315:$U315,'changes2_based on steps'!$B$1:$U$1,N$1)</f>
        <v>0</v>
      </c>
      <c r="O315" s="179">
        <f>SUMIFS('recurring2_based on steps'!$B315:$AY315,'recurring2_based on steps'!$B$1:$AY$1,O$1)+SUMIFS('changes2_based on steps'!$B315:$U315,'changes2_based on steps'!$B$1:$U$1,O$1)</f>
        <v>0</v>
      </c>
      <c r="P315" s="179">
        <f>SUMIFS('recurring2_based on steps'!$B315:$AY315,'recurring2_based on steps'!$B$1:$AY$1,P$1)+SUMIFS('changes2_based on steps'!$B315:$U315,'changes2_based on steps'!$B$1:$U$1,P$1)</f>
        <v>0</v>
      </c>
      <c r="Q315" s="179">
        <f>SUMIFS('recurring2_based on steps'!$B315:$AY315,'recurring2_based on steps'!$B$1:$AY$1,Q$1)+SUMIFS('changes2_based on steps'!$B315:$U315,'changes2_based on steps'!$B$1:$U$1,Q$1)</f>
        <v>0</v>
      </c>
      <c r="R315" s="179">
        <f>SUMIFS('recurring2_based on steps'!$B315:$AY315,'recurring2_based on steps'!$B$1:$AY$1,R$1)+SUMIFS('changes2_based on steps'!$B315:$U315,'changes2_based on steps'!$B$1:$U$1,R$1)</f>
        <v>0</v>
      </c>
      <c r="S315" s="179">
        <f>SUMIFS('recurring2_based on steps'!$B315:$AY315,'recurring2_based on steps'!$B$1:$AY$1,S$1)+SUMIFS('changes2_based on steps'!$B315:$U315,'changes2_based on steps'!$B$1:$U$1,S$1)</f>
        <v>0</v>
      </c>
      <c r="T315" s="179">
        <f>SUMIFS('recurring2_based on steps'!$B315:$AY315,'recurring2_based on steps'!$B$1:$AY$1,T$1)+SUMIFS('changes2_based on steps'!$B315:$U315,'changes2_based on steps'!$B$1:$U$1,T$1)</f>
        <v>0</v>
      </c>
      <c r="U315" s="179">
        <f>SUMIFS('recurring2_based on steps'!$B315:$AY315,'recurring2_based on steps'!$B$1:$AY$1,U$1)+SUMIFS('changes2_based on steps'!$B315:$U315,'changes2_based on steps'!$B$1:$U$1,U$1)</f>
        <v>0</v>
      </c>
      <c r="V315" s="179">
        <f>SUMIFS('recurring2_based on steps'!$B315:$AY315,'recurring2_based on steps'!$B$1:$AY$1,V$1)+SUMIFS('changes2_based on steps'!$B315:$U315,'changes2_based on steps'!$B$1:$U$1,V$1)</f>
        <v>0</v>
      </c>
      <c r="W315" s="179">
        <f>SUMIFS('recurring2_based on steps'!$B315:$AY315,'recurring2_based on steps'!$B$1:$AY$1,W$1)+SUMIFS('changes2_based on steps'!$B315:$U315,'changes2_based on steps'!$B$1:$U$1,W$1)</f>
        <v>0</v>
      </c>
      <c r="X315" s="179">
        <f>SUMIFS('recurring2_based on steps'!$B315:$AY315,'recurring2_based on steps'!$B$1:$AY$1,X$1)+SUMIFS('changes2_based on steps'!$B315:$U315,'changes2_based on steps'!$B$1:$U$1,X$1)</f>
        <v>0</v>
      </c>
      <c r="Y315" s="179">
        <f>SUMIFS('recurring2_based on steps'!$B315:$AY315,'recurring2_based on steps'!$B$1:$AY$1,Y$1)+SUMIFS('changes2_based on steps'!$B315:$U315,'changes2_based on steps'!$B$1:$U$1,Y$1)</f>
        <v>0</v>
      </c>
      <c r="Z315" s="179">
        <f>SUMIFS('recurring2_based on steps'!$B315:$AY315,'recurring2_based on steps'!$B$1:$AY$1,Z$1)+SUMIFS('changes2_based on steps'!$B315:$U315,'changes2_based on steps'!$B$1:$U$1,Z$1)</f>
        <v>0</v>
      </c>
      <c r="AA315" s="179">
        <f>SUMIFS('recurring2_based on steps'!$B315:$AY315,'recurring2_based on steps'!$B$1:$AY$1,AA$1)+SUMIFS('changes2_based on steps'!$B315:$U315,'changes2_based on steps'!$B$1:$U$1,AA$1)</f>
        <v>0</v>
      </c>
      <c r="AB315" s="179">
        <f>SUMIFS('recurring2_based on steps'!$B315:$AY315,'recurring2_based on steps'!$B$1:$AY$1,AB$1)+SUMIFS('changes2_based on steps'!$B315:$U315,'changes2_based on steps'!$B$1:$U$1,AB$1)</f>
        <v>0</v>
      </c>
      <c r="AC315" s="179">
        <f>SUMIFS('recurring2_based on steps'!$B315:$AY315,'recurring2_based on steps'!$B$1:$AY$1,AC$1)+SUMIFS('changes2_based on steps'!$B315:$U315,'changes2_based on steps'!$B$1:$U$1,AC$1)</f>
        <v>0</v>
      </c>
      <c r="AD315" s="179">
        <f>SUMIFS('recurring2_based on steps'!$B315:$AY315,'recurring2_based on steps'!$B$1:$AY$1,AD$1)+SUMIFS('changes2_based on steps'!$B315:$U315,'changes2_based on steps'!$B$1:$U$1,AD$1)</f>
        <v>0</v>
      </c>
      <c r="AE315" s="179">
        <f>SUMIFS('recurring2_based on steps'!$B315:$AY315,'recurring2_based on steps'!$B$1:$AY$1,AE$1)+SUMIFS('changes2_based on steps'!$B315:$U315,'changes2_based on steps'!$B$1:$U$1,AE$1)</f>
        <v>0</v>
      </c>
      <c r="AF315" s="179"/>
      <c r="AG315" s="179"/>
      <c r="AH315" s="179"/>
      <c r="AI315" s="179"/>
      <c r="AJ315" s="179"/>
      <c r="AK315" s="179"/>
      <c r="AL315" s="179"/>
      <c r="AM315" s="179"/>
    </row>
    <row r="316" spans="1:39" x14ac:dyDescent="0.2">
      <c r="A316" s="32">
        <f t="shared" ca="1" si="4"/>
        <v>46058</v>
      </c>
      <c r="B316" s="179">
        <f>SUMIFS('recurring2_based on steps'!$B316:$AY316,'recurring2_based on steps'!$B$1:$AY$1,B$1)+SUMIFS('changes2_based on steps'!$B316:$U316,'changes2_based on steps'!$B$1:$U$1,B$1)</f>
        <v>0</v>
      </c>
      <c r="C316" s="179">
        <f>SUMIFS('recurring2_based on steps'!$B316:$AY316,'recurring2_based on steps'!$B$1:$AY$1,C$1)+SUMIFS('changes2_based on steps'!$B316:$U316,'changes2_based on steps'!$B$1:$U$1,C$1)</f>
        <v>0</v>
      </c>
      <c r="D316" s="179">
        <f>SUMIFS('recurring2_based on steps'!$B316:$AY316,'recurring2_based on steps'!$B$1:$AY$1,D$1)+SUMIFS('changes2_based on steps'!$B316:$U316,'changes2_based on steps'!$B$1:$U$1,D$1)</f>
        <v>0</v>
      </c>
      <c r="E316" s="179">
        <f>SUMIFS('recurring2_based on steps'!$B316:$AY316,'recurring2_based on steps'!$B$1:$AY$1,E$1)+SUMIFS('changes2_based on steps'!$B316:$U316,'changes2_based on steps'!$B$1:$U$1,E$1)</f>
        <v>0</v>
      </c>
      <c r="F316" s="179">
        <f>SUMIFS('recurring2_based on steps'!$B316:$AY316,'recurring2_based on steps'!$B$1:$AY$1,F$1)+SUMIFS('changes2_based on steps'!$B316:$U316,'changes2_based on steps'!$B$1:$U$1,F$1)</f>
        <v>0</v>
      </c>
      <c r="G316" s="179">
        <f>SUMIFS('recurring2_based on steps'!$B316:$AY316,'recurring2_based on steps'!$B$1:$AY$1,G$1)+SUMIFS('changes2_based on steps'!$B316:$U316,'changes2_based on steps'!$B$1:$U$1,G$1)</f>
        <v>0</v>
      </c>
      <c r="H316" s="179">
        <f>SUMIFS('recurring2_based on steps'!$B316:$AY316,'recurring2_based on steps'!$B$1:$AY$1,H$1)+SUMIFS('changes2_based on steps'!$B316:$U316,'changes2_based on steps'!$B$1:$U$1,H$1)</f>
        <v>0</v>
      </c>
      <c r="I316" s="179">
        <f>SUMIFS('recurring2_based on steps'!$B316:$AY316,'recurring2_based on steps'!$B$1:$AY$1,I$1)+SUMIFS('changes2_based on steps'!$B316:$U316,'changes2_based on steps'!$B$1:$U$1,I$1)</f>
        <v>0</v>
      </c>
      <c r="J316" s="179">
        <f>SUMIFS('recurring2_based on steps'!$B316:$AY316,'recurring2_based on steps'!$B$1:$AY$1,J$1)+SUMIFS('changes2_based on steps'!$B316:$U316,'changes2_based on steps'!$B$1:$U$1,J$1)</f>
        <v>0</v>
      </c>
      <c r="K316" s="179">
        <f>SUMIFS('recurring2_based on steps'!$B316:$AY316,'recurring2_based on steps'!$B$1:$AY$1,K$1)+SUMIFS('changes2_based on steps'!$B316:$U316,'changes2_based on steps'!$B$1:$U$1,K$1)</f>
        <v>0</v>
      </c>
      <c r="L316" s="179">
        <f>SUMIFS('recurring2_based on steps'!$B316:$AY316,'recurring2_based on steps'!$B$1:$AY$1,L$1)+SUMIFS('changes2_based on steps'!$B316:$U316,'changes2_based on steps'!$B$1:$U$1,L$1)</f>
        <v>0</v>
      </c>
      <c r="M316" s="179">
        <f>SUMIFS('recurring2_based on steps'!$B316:$AY316,'recurring2_based on steps'!$B$1:$AY$1,M$1)+SUMIFS('changes2_based on steps'!$B316:$U316,'changes2_based on steps'!$B$1:$U$1,M$1)</f>
        <v>0</v>
      </c>
      <c r="N316" s="179">
        <f>SUMIFS('recurring2_based on steps'!$B316:$AY316,'recurring2_based on steps'!$B$1:$AY$1,N$1)+SUMIFS('changes2_based on steps'!$B316:$U316,'changes2_based on steps'!$B$1:$U$1,N$1)</f>
        <v>0</v>
      </c>
      <c r="O316" s="179">
        <f>SUMIFS('recurring2_based on steps'!$B316:$AY316,'recurring2_based on steps'!$B$1:$AY$1,O$1)+SUMIFS('changes2_based on steps'!$B316:$U316,'changes2_based on steps'!$B$1:$U$1,O$1)</f>
        <v>0</v>
      </c>
      <c r="P316" s="179">
        <f>SUMIFS('recurring2_based on steps'!$B316:$AY316,'recurring2_based on steps'!$B$1:$AY$1,P$1)+SUMIFS('changes2_based on steps'!$B316:$U316,'changes2_based on steps'!$B$1:$U$1,P$1)</f>
        <v>0</v>
      </c>
      <c r="Q316" s="179">
        <f>SUMIFS('recurring2_based on steps'!$B316:$AY316,'recurring2_based on steps'!$B$1:$AY$1,Q$1)+SUMIFS('changes2_based on steps'!$B316:$U316,'changes2_based on steps'!$B$1:$U$1,Q$1)</f>
        <v>0</v>
      </c>
      <c r="R316" s="179">
        <f>SUMIFS('recurring2_based on steps'!$B316:$AY316,'recurring2_based on steps'!$B$1:$AY$1,R$1)+SUMIFS('changes2_based on steps'!$B316:$U316,'changes2_based on steps'!$B$1:$U$1,R$1)</f>
        <v>0</v>
      </c>
      <c r="S316" s="179">
        <f>SUMIFS('recurring2_based on steps'!$B316:$AY316,'recurring2_based on steps'!$B$1:$AY$1,S$1)+SUMIFS('changes2_based on steps'!$B316:$U316,'changes2_based on steps'!$B$1:$U$1,S$1)</f>
        <v>0</v>
      </c>
      <c r="T316" s="179">
        <f>SUMIFS('recurring2_based on steps'!$B316:$AY316,'recurring2_based on steps'!$B$1:$AY$1,T$1)+SUMIFS('changes2_based on steps'!$B316:$U316,'changes2_based on steps'!$B$1:$U$1,T$1)</f>
        <v>0</v>
      </c>
      <c r="U316" s="179">
        <f>SUMIFS('recurring2_based on steps'!$B316:$AY316,'recurring2_based on steps'!$B$1:$AY$1,U$1)+SUMIFS('changes2_based on steps'!$B316:$U316,'changes2_based on steps'!$B$1:$U$1,U$1)</f>
        <v>0</v>
      </c>
      <c r="V316" s="179">
        <f>SUMIFS('recurring2_based on steps'!$B316:$AY316,'recurring2_based on steps'!$B$1:$AY$1,V$1)+SUMIFS('changes2_based on steps'!$B316:$U316,'changes2_based on steps'!$B$1:$U$1,V$1)</f>
        <v>0</v>
      </c>
      <c r="W316" s="179">
        <f>SUMIFS('recurring2_based on steps'!$B316:$AY316,'recurring2_based on steps'!$B$1:$AY$1,W$1)+SUMIFS('changes2_based on steps'!$B316:$U316,'changes2_based on steps'!$B$1:$U$1,W$1)</f>
        <v>0</v>
      </c>
      <c r="X316" s="179">
        <f>SUMIFS('recurring2_based on steps'!$B316:$AY316,'recurring2_based on steps'!$B$1:$AY$1,X$1)+SUMIFS('changes2_based on steps'!$B316:$U316,'changes2_based on steps'!$B$1:$U$1,X$1)</f>
        <v>0</v>
      </c>
      <c r="Y316" s="179">
        <f>SUMIFS('recurring2_based on steps'!$B316:$AY316,'recurring2_based on steps'!$B$1:$AY$1,Y$1)+SUMIFS('changes2_based on steps'!$B316:$U316,'changes2_based on steps'!$B$1:$U$1,Y$1)</f>
        <v>0</v>
      </c>
      <c r="Z316" s="179">
        <f>SUMIFS('recurring2_based on steps'!$B316:$AY316,'recurring2_based on steps'!$B$1:$AY$1,Z$1)+SUMIFS('changes2_based on steps'!$B316:$U316,'changes2_based on steps'!$B$1:$U$1,Z$1)</f>
        <v>0</v>
      </c>
      <c r="AA316" s="179">
        <f>SUMIFS('recurring2_based on steps'!$B316:$AY316,'recurring2_based on steps'!$B$1:$AY$1,AA$1)+SUMIFS('changes2_based on steps'!$B316:$U316,'changes2_based on steps'!$B$1:$U$1,AA$1)</f>
        <v>0</v>
      </c>
      <c r="AB316" s="179">
        <f>SUMIFS('recurring2_based on steps'!$B316:$AY316,'recurring2_based on steps'!$B$1:$AY$1,AB$1)+SUMIFS('changes2_based on steps'!$B316:$U316,'changes2_based on steps'!$B$1:$U$1,AB$1)</f>
        <v>0</v>
      </c>
      <c r="AC316" s="179">
        <f>SUMIFS('recurring2_based on steps'!$B316:$AY316,'recurring2_based on steps'!$B$1:$AY$1,AC$1)+SUMIFS('changes2_based on steps'!$B316:$U316,'changes2_based on steps'!$B$1:$U$1,AC$1)</f>
        <v>0</v>
      </c>
      <c r="AD316" s="179">
        <f>SUMIFS('recurring2_based on steps'!$B316:$AY316,'recurring2_based on steps'!$B$1:$AY$1,AD$1)+SUMIFS('changes2_based on steps'!$B316:$U316,'changes2_based on steps'!$B$1:$U$1,AD$1)</f>
        <v>0</v>
      </c>
      <c r="AE316" s="179">
        <f>SUMIFS('recurring2_based on steps'!$B316:$AY316,'recurring2_based on steps'!$B$1:$AY$1,AE$1)+SUMIFS('changes2_based on steps'!$B316:$U316,'changes2_based on steps'!$B$1:$U$1,AE$1)</f>
        <v>0</v>
      </c>
      <c r="AF316" s="179"/>
      <c r="AG316" s="179"/>
      <c r="AH316" s="179"/>
      <c r="AI316" s="179"/>
      <c r="AJ316" s="179"/>
      <c r="AK316" s="179"/>
      <c r="AL316" s="179"/>
      <c r="AM316" s="179"/>
    </row>
    <row r="317" spans="1:39" x14ac:dyDescent="0.2">
      <c r="A317" s="32">
        <f t="shared" ca="1" si="4"/>
        <v>46059</v>
      </c>
      <c r="B317" s="179">
        <f>SUMIFS('recurring2_based on steps'!$B317:$AY317,'recurring2_based on steps'!$B$1:$AY$1,B$1)+SUMIFS('changes2_based on steps'!$B317:$U317,'changes2_based on steps'!$B$1:$U$1,B$1)</f>
        <v>0</v>
      </c>
      <c r="C317" s="179">
        <f>SUMIFS('recurring2_based on steps'!$B317:$AY317,'recurring2_based on steps'!$B$1:$AY$1,C$1)+SUMIFS('changes2_based on steps'!$B317:$U317,'changes2_based on steps'!$B$1:$U$1,C$1)</f>
        <v>0</v>
      </c>
      <c r="D317" s="179">
        <f>SUMIFS('recurring2_based on steps'!$B317:$AY317,'recurring2_based on steps'!$B$1:$AY$1,D$1)+SUMIFS('changes2_based on steps'!$B317:$U317,'changes2_based on steps'!$B$1:$U$1,D$1)</f>
        <v>0</v>
      </c>
      <c r="E317" s="179">
        <f>SUMIFS('recurring2_based on steps'!$B317:$AY317,'recurring2_based on steps'!$B$1:$AY$1,E$1)+SUMIFS('changes2_based on steps'!$B317:$U317,'changes2_based on steps'!$B$1:$U$1,E$1)</f>
        <v>0</v>
      </c>
      <c r="F317" s="179">
        <f>SUMIFS('recurring2_based on steps'!$B317:$AY317,'recurring2_based on steps'!$B$1:$AY$1,F$1)+SUMIFS('changes2_based on steps'!$B317:$U317,'changes2_based on steps'!$B$1:$U$1,F$1)</f>
        <v>0</v>
      </c>
      <c r="G317" s="179">
        <f>SUMIFS('recurring2_based on steps'!$B317:$AY317,'recurring2_based on steps'!$B$1:$AY$1,G$1)+SUMIFS('changes2_based on steps'!$B317:$U317,'changes2_based on steps'!$B$1:$U$1,G$1)</f>
        <v>0</v>
      </c>
      <c r="H317" s="179">
        <f>SUMIFS('recurring2_based on steps'!$B317:$AY317,'recurring2_based on steps'!$B$1:$AY$1,H$1)+SUMIFS('changes2_based on steps'!$B317:$U317,'changes2_based on steps'!$B$1:$U$1,H$1)</f>
        <v>0</v>
      </c>
      <c r="I317" s="179">
        <f>SUMIFS('recurring2_based on steps'!$B317:$AY317,'recurring2_based on steps'!$B$1:$AY$1,I$1)+SUMIFS('changes2_based on steps'!$B317:$U317,'changes2_based on steps'!$B$1:$U$1,I$1)</f>
        <v>0</v>
      </c>
      <c r="J317" s="179">
        <f>SUMIFS('recurring2_based on steps'!$B317:$AY317,'recurring2_based on steps'!$B$1:$AY$1,J$1)+SUMIFS('changes2_based on steps'!$B317:$U317,'changes2_based on steps'!$B$1:$U$1,J$1)</f>
        <v>0</v>
      </c>
      <c r="K317" s="179">
        <f>SUMIFS('recurring2_based on steps'!$B317:$AY317,'recurring2_based on steps'!$B$1:$AY$1,K$1)+SUMIFS('changes2_based on steps'!$B317:$U317,'changes2_based on steps'!$B$1:$U$1,K$1)</f>
        <v>0</v>
      </c>
      <c r="L317" s="179">
        <f>SUMIFS('recurring2_based on steps'!$B317:$AY317,'recurring2_based on steps'!$B$1:$AY$1,L$1)+SUMIFS('changes2_based on steps'!$B317:$U317,'changes2_based on steps'!$B$1:$U$1,L$1)</f>
        <v>0</v>
      </c>
      <c r="M317" s="179">
        <f>SUMIFS('recurring2_based on steps'!$B317:$AY317,'recurring2_based on steps'!$B$1:$AY$1,M$1)+SUMIFS('changes2_based on steps'!$B317:$U317,'changes2_based on steps'!$B$1:$U$1,M$1)</f>
        <v>0</v>
      </c>
      <c r="N317" s="179">
        <f>SUMIFS('recurring2_based on steps'!$B317:$AY317,'recurring2_based on steps'!$B$1:$AY$1,N$1)+SUMIFS('changes2_based on steps'!$B317:$U317,'changes2_based on steps'!$B$1:$U$1,N$1)</f>
        <v>0</v>
      </c>
      <c r="O317" s="179">
        <f>SUMIFS('recurring2_based on steps'!$B317:$AY317,'recurring2_based on steps'!$B$1:$AY$1,O$1)+SUMIFS('changes2_based on steps'!$B317:$U317,'changes2_based on steps'!$B$1:$U$1,O$1)</f>
        <v>0</v>
      </c>
      <c r="P317" s="179">
        <f>SUMIFS('recurring2_based on steps'!$B317:$AY317,'recurring2_based on steps'!$B$1:$AY$1,P$1)+SUMIFS('changes2_based on steps'!$B317:$U317,'changes2_based on steps'!$B$1:$U$1,P$1)</f>
        <v>0</v>
      </c>
      <c r="Q317" s="179">
        <f>SUMIFS('recurring2_based on steps'!$B317:$AY317,'recurring2_based on steps'!$B$1:$AY$1,Q$1)+SUMIFS('changes2_based on steps'!$B317:$U317,'changes2_based on steps'!$B$1:$U$1,Q$1)</f>
        <v>0</v>
      </c>
      <c r="R317" s="179">
        <f>SUMIFS('recurring2_based on steps'!$B317:$AY317,'recurring2_based on steps'!$B$1:$AY$1,R$1)+SUMIFS('changes2_based on steps'!$B317:$U317,'changes2_based on steps'!$B$1:$U$1,R$1)</f>
        <v>0</v>
      </c>
      <c r="S317" s="179">
        <f>SUMIFS('recurring2_based on steps'!$B317:$AY317,'recurring2_based on steps'!$B$1:$AY$1,S$1)+SUMIFS('changes2_based on steps'!$B317:$U317,'changes2_based on steps'!$B$1:$U$1,S$1)</f>
        <v>0</v>
      </c>
      <c r="T317" s="179">
        <f>SUMIFS('recurring2_based on steps'!$B317:$AY317,'recurring2_based on steps'!$B$1:$AY$1,T$1)+SUMIFS('changes2_based on steps'!$B317:$U317,'changes2_based on steps'!$B$1:$U$1,T$1)</f>
        <v>0</v>
      </c>
      <c r="U317" s="179">
        <f>SUMIFS('recurring2_based on steps'!$B317:$AY317,'recurring2_based on steps'!$B$1:$AY$1,U$1)+SUMIFS('changes2_based on steps'!$B317:$U317,'changes2_based on steps'!$B$1:$U$1,U$1)</f>
        <v>0</v>
      </c>
      <c r="V317" s="179">
        <f>SUMIFS('recurring2_based on steps'!$B317:$AY317,'recurring2_based on steps'!$B$1:$AY$1,V$1)+SUMIFS('changes2_based on steps'!$B317:$U317,'changes2_based on steps'!$B$1:$U$1,V$1)</f>
        <v>0</v>
      </c>
      <c r="W317" s="179">
        <f>SUMIFS('recurring2_based on steps'!$B317:$AY317,'recurring2_based on steps'!$B$1:$AY$1,W$1)+SUMIFS('changes2_based on steps'!$B317:$U317,'changes2_based on steps'!$B$1:$U$1,W$1)</f>
        <v>0</v>
      </c>
      <c r="X317" s="179">
        <f>SUMIFS('recurring2_based on steps'!$B317:$AY317,'recurring2_based on steps'!$B$1:$AY$1,X$1)+SUMIFS('changes2_based on steps'!$B317:$U317,'changes2_based on steps'!$B$1:$U$1,X$1)</f>
        <v>0</v>
      </c>
      <c r="Y317" s="179">
        <f>SUMIFS('recurring2_based on steps'!$B317:$AY317,'recurring2_based on steps'!$B$1:$AY$1,Y$1)+SUMIFS('changes2_based on steps'!$B317:$U317,'changes2_based on steps'!$B$1:$U$1,Y$1)</f>
        <v>0</v>
      </c>
      <c r="Z317" s="179">
        <f>SUMIFS('recurring2_based on steps'!$B317:$AY317,'recurring2_based on steps'!$B$1:$AY$1,Z$1)+SUMIFS('changes2_based on steps'!$B317:$U317,'changes2_based on steps'!$B$1:$U$1,Z$1)</f>
        <v>0</v>
      </c>
      <c r="AA317" s="179">
        <f>SUMIFS('recurring2_based on steps'!$B317:$AY317,'recurring2_based on steps'!$B$1:$AY$1,AA$1)+SUMIFS('changes2_based on steps'!$B317:$U317,'changes2_based on steps'!$B$1:$U$1,AA$1)</f>
        <v>0</v>
      </c>
      <c r="AB317" s="179">
        <f>SUMIFS('recurring2_based on steps'!$B317:$AY317,'recurring2_based on steps'!$B$1:$AY$1,AB$1)+SUMIFS('changes2_based on steps'!$B317:$U317,'changes2_based on steps'!$B$1:$U$1,AB$1)</f>
        <v>0</v>
      </c>
      <c r="AC317" s="179">
        <f>SUMIFS('recurring2_based on steps'!$B317:$AY317,'recurring2_based on steps'!$B$1:$AY$1,AC$1)+SUMIFS('changes2_based on steps'!$B317:$U317,'changes2_based on steps'!$B$1:$U$1,AC$1)</f>
        <v>0</v>
      </c>
      <c r="AD317" s="179">
        <f>SUMIFS('recurring2_based on steps'!$B317:$AY317,'recurring2_based on steps'!$B$1:$AY$1,AD$1)+SUMIFS('changes2_based on steps'!$B317:$U317,'changes2_based on steps'!$B$1:$U$1,AD$1)</f>
        <v>0</v>
      </c>
      <c r="AE317" s="179">
        <f>SUMIFS('recurring2_based on steps'!$B317:$AY317,'recurring2_based on steps'!$B$1:$AY$1,AE$1)+SUMIFS('changes2_based on steps'!$B317:$U317,'changes2_based on steps'!$B$1:$U$1,AE$1)</f>
        <v>0</v>
      </c>
      <c r="AF317" s="179"/>
      <c r="AG317" s="179"/>
      <c r="AH317" s="179"/>
      <c r="AI317" s="179"/>
      <c r="AJ317" s="179"/>
      <c r="AK317" s="179"/>
      <c r="AL317" s="179"/>
      <c r="AM317" s="179"/>
    </row>
    <row r="318" spans="1:39" x14ac:dyDescent="0.2">
      <c r="A318" s="32">
        <f t="shared" ca="1" si="4"/>
        <v>46060</v>
      </c>
      <c r="B318" s="179">
        <f>SUMIFS('recurring2_based on steps'!$B318:$AY318,'recurring2_based on steps'!$B$1:$AY$1,B$1)+SUMIFS('changes2_based on steps'!$B318:$U318,'changes2_based on steps'!$B$1:$U$1,B$1)</f>
        <v>0</v>
      </c>
      <c r="C318" s="179">
        <f>SUMIFS('recurring2_based on steps'!$B318:$AY318,'recurring2_based on steps'!$B$1:$AY$1,C$1)+SUMIFS('changes2_based on steps'!$B318:$U318,'changes2_based on steps'!$B$1:$U$1,C$1)</f>
        <v>0</v>
      </c>
      <c r="D318" s="179">
        <f>SUMIFS('recurring2_based on steps'!$B318:$AY318,'recurring2_based on steps'!$B$1:$AY$1,D$1)+SUMIFS('changes2_based on steps'!$B318:$U318,'changes2_based on steps'!$B$1:$U$1,D$1)</f>
        <v>0</v>
      </c>
      <c r="E318" s="179">
        <f>SUMIFS('recurring2_based on steps'!$B318:$AY318,'recurring2_based on steps'!$B$1:$AY$1,E$1)+SUMIFS('changes2_based on steps'!$B318:$U318,'changes2_based on steps'!$B$1:$U$1,E$1)</f>
        <v>0</v>
      </c>
      <c r="F318" s="179">
        <f>SUMIFS('recurring2_based on steps'!$B318:$AY318,'recurring2_based on steps'!$B$1:$AY$1,F$1)+SUMIFS('changes2_based on steps'!$B318:$U318,'changes2_based on steps'!$B$1:$U$1,F$1)</f>
        <v>0</v>
      </c>
      <c r="G318" s="179">
        <f>SUMIFS('recurring2_based on steps'!$B318:$AY318,'recurring2_based on steps'!$B$1:$AY$1,G$1)+SUMIFS('changes2_based on steps'!$B318:$U318,'changes2_based on steps'!$B$1:$U$1,G$1)</f>
        <v>0</v>
      </c>
      <c r="H318" s="179">
        <f>SUMIFS('recurring2_based on steps'!$B318:$AY318,'recurring2_based on steps'!$B$1:$AY$1,H$1)+SUMIFS('changes2_based on steps'!$B318:$U318,'changes2_based on steps'!$B$1:$U$1,H$1)</f>
        <v>0</v>
      </c>
      <c r="I318" s="179">
        <f>SUMIFS('recurring2_based on steps'!$B318:$AY318,'recurring2_based on steps'!$B$1:$AY$1,I$1)+SUMIFS('changes2_based on steps'!$B318:$U318,'changes2_based on steps'!$B$1:$U$1,I$1)</f>
        <v>0</v>
      </c>
      <c r="J318" s="179">
        <f>SUMIFS('recurring2_based on steps'!$B318:$AY318,'recurring2_based on steps'!$B$1:$AY$1,J$1)+SUMIFS('changes2_based on steps'!$B318:$U318,'changes2_based on steps'!$B$1:$U$1,J$1)</f>
        <v>0</v>
      </c>
      <c r="K318" s="179">
        <f>SUMIFS('recurring2_based on steps'!$B318:$AY318,'recurring2_based on steps'!$B$1:$AY$1,K$1)+SUMIFS('changes2_based on steps'!$B318:$U318,'changes2_based on steps'!$B$1:$U$1,K$1)</f>
        <v>0</v>
      </c>
      <c r="L318" s="179">
        <f>SUMIFS('recurring2_based on steps'!$B318:$AY318,'recurring2_based on steps'!$B$1:$AY$1,L$1)+SUMIFS('changes2_based on steps'!$B318:$U318,'changes2_based on steps'!$B$1:$U$1,L$1)</f>
        <v>0</v>
      </c>
      <c r="M318" s="179">
        <f>SUMIFS('recurring2_based on steps'!$B318:$AY318,'recurring2_based on steps'!$B$1:$AY$1,M$1)+SUMIFS('changes2_based on steps'!$B318:$U318,'changes2_based on steps'!$B$1:$U$1,M$1)</f>
        <v>0</v>
      </c>
      <c r="N318" s="179">
        <f>SUMIFS('recurring2_based on steps'!$B318:$AY318,'recurring2_based on steps'!$B$1:$AY$1,N$1)+SUMIFS('changes2_based on steps'!$B318:$U318,'changes2_based on steps'!$B$1:$U$1,N$1)</f>
        <v>0</v>
      </c>
      <c r="O318" s="179">
        <f>SUMIFS('recurring2_based on steps'!$B318:$AY318,'recurring2_based on steps'!$B$1:$AY$1,O$1)+SUMIFS('changes2_based on steps'!$B318:$U318,'changes2_based on steps'!$B$1:$U$1,O$1)</f>
        <v>0</v>
      </c>
      <c r="P318" s="179">
        <f>SUMIFS('recurring2_based on steps'!$B318:$AY318,'recurring2_based on steps'!$B$1:$AY$1,P$1)+SUMIFS('changes2_based on steps'!$B318:$U318,'changes2_based on steps'!$B$1:$U$1,P$1)</f>
        <v>0</v>
      </c>
      <c r="Q318" s="179">
        <f>SUMIFS('recurring2_based on steps'!$B318:$AY318,'recurring2_based on steps'!$B$1:$AY$1,Q$1)+SUMIFS('changes2_based on steps'!$B318:$U318,'changes2_based on steps'!$B$1:$U$1,Q$1)</f>
        <v>0</v>
      </c>
      <c r="R318" s="179">
        <f>SUMIFS('recurring2_based on steps'!$B318:$AY318,'recurring2_based on steps'!$B$1:$AY$1,R$1)+SUMIFS('changes2_based on steps'!$B318:$U318,'changes2_based on steps'!$B$1:$U$1,R$1)</f>
        <v>0</v>
      </c>
      <c r="S318" s="179">
        <f>SUMIFS('recurring2_based on steps'!$B318:$AY318,'recurring2_based on steps'!$B$1:$AY$1,S$1)+SUMIFS('changes2_based on steps'!$B318:$U318,'changes2_based on steps'!$B$1:$U$1,S$1)</f>
        <v>0</v>
      </c>
      <c r="T318" s="179">
        <f>SUMIFS('recurring2_based on steps'!$B318:$AY318,'recurring2_based on steps'!$B$1:$AY$1,T$1)+SUMIFS('changes2_based on steps'!$B318:$U318,'changes2_based on steps'!$B$1:$U$1,T$1)</f>
        <v>0</v>
      </c>
      <c r="U318" s="179">
        <f>SUMIFS('recurring2_based on steps'!$B318:$AY318,'recurring2_based on steps'!$B$1:$AY$1,U$1)+SUMIFS('changes2_based on steps'!$B318:$U318,'changes2_based on steps'!$B$1:$U$1,U$1)</f>
        <v>0</v>
      </c>
      <c r="V318" s="179">
        <f>SUMIFS('recurring2_based on steps'!$B318:$AY318,'recurring2_based on steps'!$B$1:$AY$1,V$1)+SUMIFS('changes2_based on steps'!$B318:$U318,'changes2_based on steps'!$B$1:$U$1,V$1)</f>
        <v>0</v>
      </c>
      <c r="W318" s="179">
        <f>SUMIFS('recurring2_based on steps'!$B318:$AY318,'recurring2_based on steps'!$B$1:$AY$1,W$1)+SUMIFS('changes2_based on steps'!$B318:$U318,'changes2_based on steps'!$B$1:$U$1,W$1)</f>
        <v>0</v>
      </c>
      <c r="X318" s="179">
        <f>SUMIFS('recurring2_based on steps'!$B318:$AY318,'recurring2_based on steps'!$B$1:$AY$1,X$1)+SUMIFS('changes2_based on steps'!$B318:$U318,'changes2_based on steps'!$B$1:$U$1,X$1)</f>
        <v>0</v>
      </c>
      <c r="Y318" s="179">
        <f>SUMIFS('recurring2_based on steps'!$B318:$AY318,'recurring2_based on steps'!$B$1:$AY$1,Y$1)+SUMIFS('changes2_based on steps'!$B318:$U318,'changes2_based on steps'!$B$1:$U$1,Y$1)</f>
        <v>0</v>
      </c>
      <c r="Z318" s="179">
        <f>SUMIFS('recurring2_based on steps'!$B318:$AY318,'recurring2_based on steps'!$B$1:$AY$1,Z$1)+SUMIFS('changes2_based on steps'!$B318:$U318,'changes2_based on steps'!$B$1:$U$1,Z$1)</f>
        <v>0</v>
      </c>
      <c r="AA318" s="179">
        <f>SUMIFS('recurring2_based on steps'!$B318:$AY318,'recurring2_based on steps'!$B$1:$AY$1,AA$1)+SUMIFS('changes2_based on steps'!$B318:$U318,'changes2_based on steps'!$B$1:$U$1,AA$1)</f>
        <v>0</v>
      </c>
      <c r="AB318" s="179">
        <f>SUMIFS('recurring2_based on steps'!$B318:$AY318,'recurring2_based on steps'!$B$1:$AY$1,AB$1)+SUMIFS('changes2_based on steps'!$B318:$U318,'changes2_based on steps'!$B$1:$U$1,AB$1)</f>
        <v>0</v>
      </c>
      <c r="AC318" s="179">
        <f>SUMIFS('recurring2_based on steps'!$B318:$AY318,'recurring2_based on steps'!$B$1:$AY$1,AC$1)+SUMIFS('changes2_based on steps'!$B318:$U318,'changes2_based on steps'!$B$1:$U$1,AC$1)</f>
        <v>0</v>
      </c>
      <c r="AD318" s="179">
        <f>SUMIFS('recurring2_based on steps'!$B318:$AY318,'recurring2_based on steps'!$B$1:$AY$1,AD$1)+SUMIFS('changes2_based on steps'!$B318:$U318,'changes2_based on steps'!$B$1:$U$1,AD$1)</f>
        <v>0</v>
      </c>
      <c r="AE318" s="179">
        <f>SUMIFS('recurring2_based on steps'!$B318:$AY318,'recurring2_based on steps'!$B$1:$AY$1,AE$1)+SUMIFS('changes2_based on steps'!$B318:$U318,'changes2_based on steps'!$B$1:$U$1,AE$1)</f>
        <v>0</v>
      </c>
      <c r="AF318" s="179"/>
      <c r="AG318" s="179"/>
      <c r="AH318" s="179"/>
      <c r="AI318" s="179"/>
      <c r="AJ318" s="179"/>
      <c r="AK318" s="179"/>
      <c r="AL318" s="179"/>
      <c r="AM318" s="179"/>
    </row>
    <row r="319" spans="1:39" x14ac:dyDescent="0.2">
      <c r="A319" s="32">
        <f t="shared" ca="1" si="4"/>
        <v>46061</v>
      </c>
      <c r="B319" s="179">
        <f>SUMIFS('recurring2_based on steps'!$B319:$AY319,'recurring2_based on steps'!$B$1:$AY$1,B$1)+SUMIFS('changes2_based on steps'!$B319:$U319,'changes2_based on steps'!$B$1:$U$1,B$1)</f>
        <v>0</v>
      </c>
      <c r="C319" s="179">
        <f>SUMIFS('recurring2_based on steps'!$B319:$AY319,'recurring2_based on steps'!$B$1:$AY$1,C$1)+SUMIFS('changes2_based on steps'!$B319:$U319,'changes2_based on steps'!$B$1:$U$1,C$1)</f>
        <v>0</v>
      </c>
      <c r="D319" s="179">
        <f>SUMIFS('recurring2_based on steps'!$B319:$AY319,'recurring2_based on steps'!$B$1:$AY$1,D$1)+SUMIFS('changes2_based on steps'!$B319:$U319,'changes2_based on steps'!$B$1:$U$1,D$1)</f>
        <v>0</v>
      </c>
      <c r="E319" s="179">
        <f>SUMIFS('recurring2_based on steps'!$B319:$AY319,'recurring2_based on steps'!$B$1:$AY$1,E$1)+SUMIFS('changes2_based on steps'!$B319:$U319,'changes2_based on steps'!$B$1:$U$1,E$1)</f>
        <v>0</v>
      </c>
      <c r="F319" s="179">
        <f>SUMIFS('recurring2_based on steps'!$B319:$AY319,'recurring2_based on steps'!$B$1:$AY$1,F$1)+SUMIFS('changes2_based on steps'!$B319:$U319,'changes2_based on steps'!$B$1:$U$1,F$1)</f>
        <v>0</v>
      </c>
      <c r="G319" s="179">
        <f>SUMIFS('recurring2_based on steps'!$B319:$AY319,'recurring2_based on steps'!$B$1:$AY$1,G$1)+SUMIFS('changes2_based on steps'!$B319:$U319,'changes2_based on steps'!$B$1:$U$1,G$1)</f>
        <v>0</v>
      </c>
      <c r="H319" s="179">
        <f>SUMIFS('recurring2_based on steps'!$B319:$AY319,'recurring2_based on steps'!$B$1:$AY$1,H$1)+SUMIFS('changes2_based on steps'!$B319:$U319,'changes2_based on steps'!$B$1:$U$1,H$1)</f>
        <v>0</v>
      </c>
      <c r="I319" s="179">
        <f>SUMIFS('recurring2_based on steps'!$B319:$AY319,'recurring2_based on steps'!$B$1:$AY$1,I$1)+SUMIFS('changes2_based on steps'!$B319:$U319,'changes2_based on steps'!$B$1:$U$1,I$1)</f>
        <v>0</v>
      </c>
      <c r="J319" s="179">
        <f>SUMIFS('recurring2_based on steps'!$B319:$AY319,'recurring2_based on steps'!$B$1:$AY$1,J$1)+SUMIFS('changes2_based on steps'!$B319:$U319,'changes2_based on steps'!$B$1:$U$1,J$1)</f>
        <v>0</v>
      </c>
      <c r="K319" s="179">
        <f>SUMIFS('recurring2_based on steps'!$B319:$AY319,'recurring2_based on steps'!$B$1:$AY$1,K$1)+SUMIFS('changes2_based on steps'!$B319:$U319,'changes2_based on steps'!$B$1:$U$1,K$1)</f>
        <v>0</v>
      </c>
      <c r="L319" s="179">
        <f>SUMIFS('recurring2_based on steps'!$B319:$AY319,'recurring2_based on steps'!$B$1:$AY$1,L$1)+SUMIFS('changes2_based on steps'!$B319:$U319,'changes2_based on steps'!$B$1:$U$1,L$1)</f>
        <v>0</v>
      </c>
      <c r="M319" s="179">
        <f>SUMIFS('recurring2_based on steps'!$B319:$AY319,'recurring2_based on steps'!$B$1:$AY$1,M$1)+SUMIFS('changes2_based on steps'!$B319:$U319,'changes2_based on steps'!$B$1:$U$1,M$1)</f>
        <v>0</v>
      </c>
      <c r="N319" s="179">
        <f>SUMIFS('recurring2_based on steps'!$B319:$AY319,'recurring2_based on steps'!$B$1:$AY$1,N$1)+SUMIFS('changes2_based on steps'!$B319:$U319,'changes2_based on steps'!$B$1:$U$1,N$1)</f>
        <v>0</v>
      </c>
      <c r="O319" s="179">
        <f>SUMIFS('recurring2_based on steps'!$B319:$AY319,'recurring2_based on steps'!$B$1:$AY$1,O$1)+SUMIFS('changes2_based on steps'!$B319:$U319,'changes2_based on steps'!$B$1:$U$1,O$1)</f>
        <v>0</v>
      </c>
      <c r="P319" s="179">
        <f>SUMIFS('recurring2_based on steps'!$B319:$AY319,'recurring2_based on steps'!$B$1:$AY$1,P$1)+SUMIFS('changes2_based on steps'!$B319:$U319,'changes2_based on steps'!$B$1:$U$1,P$1)</f>
        <v>0</v>
      </c>
      <c r="Q319" s="179">
        <f>SUMIFS('recurring2_based on steps'!$B319:$AY319,'recurring2_based on steps'!$B$1:$AY$1,Q$1)+SUMIFS('changes2_based on steps'!$B319:$U319,'changes2_based on steps'!$B$1:$U$1,Q$1)</f>
        <v>0</v>
      </c>
      <c r="R319" s="179">
        <f>SUMIFS('recurring2_based on steps'!$B319:$AY319,'recurring2_based on steps'!$B$1:$AY$1,R$1)+SUMIFS('changes2_based on steps'!$B319:$U319,'changes2_based on steps'!$B$1:$U$1,R$1)</f>
        <v>0</v>
      </c>
      <c r="S319" s="179">
        <f>SUMIFS('recurring2_based on steps'!$B319:$AY319,'recurring2_based on steps'!$B$1:$AY$1,S$1)+SUMIFS('changes2_based on steps'!$B319:$U319,'changes2_based on steps'!$B$1:$U$1,S$1)</f>
        <v>0</v>
      </c>
      <c r="T319" s="179">
        <f>SUMIFS('recurring2_based on steps'!$B319:$AY319,'recurring2_based on steps'!$B$1:$AY$1,T$1)+SUMIFS('changes2_based on steps'!$B319:$U319,'changes2_based on steps'!$B$1:$U$1,T$1)</f>
        <v>0</v>
      </c>
      <c r="U319" s="179">
        <f>SUMIFS('recurring2_based on steps'!$B319:$AY319,'recurring2_based on steps'!$B$1:$AY$1,U$1)+SUMIFS('changes2_based on steps'!$B319:$U319,'changes2_based on steps'!$B$1:$U$1,U$1)</f>
        <v>0</v>
      </c>
      <c r="V319" s="179">
        <f>SUMIFS('recurring2_based on steps'!$B319:$AY319,'recurring2_based on steps'!$B$1:$AY$1,V$1)+SUMIFS('changes2_based on steps'!$B319:$U319,'changes2_based on steps'!$B$1:$U$1,V$1)</f>
        <v>0</v>
      </c>
      <c r="W319" s="179">
        <f>SUMIFS('recurring2_based on steps'!$B319:$AY319,'recurring2_based on steps'!$B$1:$AY$1,W$1)+SUMIFS('changes2_based on steps'!$B319:$U319,'changes2_based on steps'!$B$1:$U$1,W$1)</f>
        <v>0</v>
      </c>
      <c r="X319" s="179">
        <f>SUMIFS('recurring2_based on steps'!$B319:$AY319,'recurring2_based on steps'!$B$1:$AY$1,X$1)+SUMIFS('changes2_based on steps'!$B319:$U319,'changes2_based on steps'!$B$1:$U$1,X$1)</f>
        <v>0</v>
      </c>
      <c r="Y319" s="179">
        <f>SUMIFS('recurring2_based on steps'!$B319:$AY319,'recurring2_based on steps'!$B$1:$AY$1,Y$1)+SUMIFS('changes2_based on steps'!$B319:$U319,'changes2_based on steps'!$B$1:$U$1,Y$1)</f>
        <v>0</v>
      </c>
      <c r="Z319" s="179">
        <f>SUMIFS('recurring2_based on steps'!$B319:$AY319,'recurring2_based on steps'!$B$1:$AY$1,Z$1)+SUMIFS('changes2_based on steps'!$B319:$U319,'changes2_based on steps'!$B$1:$U$1,Z$1)</f>
        <v>0</v>
      </c>
      <c r="AA319" s="179">
        <f>SUMIFS('recurring2_based on steps'!$B319:$AY319,'recurring2_based on steps'!$B$1:$AY$1,AA$1)+SUMIFS('changes2_based on steps'!$B319:$U319,'changes2_based on steps'!$B$1:$U$1,AA$1)</f>
        <v>0</v>
      </c>
      <c r="AB319" s="179">
        <f>SUMIFS('recurring2_based on steps'!$B319:$AY319,'recurring2_based on steps'!$B$1:$AY$1,AB$1)+SUMIFS('changes2_based on steps'!$B319:$U319,'changes2_based on steps'!$B$1:$U$1,AB$1)</f>
        <v>0</v>
      </c>
      <c r="AC319" s="179">
        <f>SUMIFS('recurring2_based on steps'!$B319:$AY319,'recurring2_based on steps'!$B$1:$AY$1,AC$1)+SUMIFS('changes2_based on steps'!$B319:$U319,'changes2_based on steps'!$B$1:$U$1,AC$1)</f>
        <v>0</v>
      </c>
      <c r="AD319" s="179">
        <f>SUMIFS('recurring2_based on steps'!$B319:$AY319,'recurring2_based on steps'!$B$1:$AY$1,AD$1)+SUMIFS('changes2_based on steps'!$B319:$U319,'changes2_based on steps'!$B$1:$U$1,AD$1)</f>
        <v>0</v>
      </c>
      <c r="AE319" s="179">
        <f>SUMIFS('recurring2_based on steps'!$B319:$AY319,'recurring2_based on steps'!$B$1:$AY$1,AE$1)+SUMIFS('changes2_based on steps'!$B319:$U319,'changes2_based on steps'!$B$1:$U$1,AE$1)</f>
        <v>0</v>
      </c>
      <c r="AF319" s="179"/>
      <c r="AG319" s="179"/>
      <c r="AH319" s="179"/>
      <c r="AI319" s="179"/>
      <c r="AJ319" s="179"/>
      <c r="AK319" s="179"/>
      <c r="AL319" s="179"/>
      <c r="AM319" s="179"/>
    </row>
    <row r="320" spans="1:39" x14ac:dyDescent="0.2">
      <c r="A320" s="32">
        <f t="shared" ca="1" si="4"/>
        <v>46062</v>
      </c>
      <c r="B320" s="179">
        <f>SUMIFS('recurring2_based on steps'!$B320:$AY320,'recurring2_based on steps'!$B$1:$AY$1,B$1)+SUMIFS('changes2_based on steps'!$B320:$U320,'changes2_based on steps'!$B$1:$U$1,B$1)</f>
        <v>0</v>
      </c>
      <c r="C320" s="179">
        <f>SUMIFS('recurring2_based on steps'!$B320:$AY320,'recurring2_based on steps'!$B$1:$AY$1,C$1)+SUMIFS('changes2_based on steps'!$B320:$U320,'changes2_based on steps'!$B$1:$U$1,C$1)</f>
        <v>0</v>
      </c>
      <c r="D320" s="179">
        <f>SUMIFS('recurring2_based on steps'!$B320:$AY320,'recurring2_based on steps'!$B$1:$AY$1,D$1)+SUMIFS('changes2_based on steps'!$B320:$U320,'changes2_based on steps'!$B$1:$U$1,D$1)</f>
        <v>0</v>
      </c>
      <c r="E320" s="179">
        <f>SUMIFS('recurring2_based on steps'!$B320:$AY320,'recurring2_based on steps'!$B$1:$AY$1,E$1)+SUMIFS('changes2_based on steps'!$B320:$U320,'changes2_based on steps'!$B$1:$U$1,E$1)</f>
        <v>0</v>
      </c>
      <c r="F320" s="179">
        <f>SUMIFS('recurring2_based on steps'!$B320:$AY320,'recurring2_based on steps'!$B$1:$AY$1,F$1)+SUMIFS('changes2_based on steps'!$B320:$U320,'changes2_based on steps'!$B$1:$U$1,F$1)</f>
        <v>0</v>
      </c>
      <c r="G320" s="179">
        <f>SUMIFS('recurring2_based on steps'!$B320:$AY320,'recurring2_based on steps'!$B$1:$AY$1,G$1)+SUMIFS('changes2_based on steps'!$B320:$U320,'changes2_based on steps'!$B$1:$U$1,G$1)</f>
        <v>0</v>
      </c>
      <c r="H320" s="179">
        <f>SUMIFS('recurring2_based on steps'!$B320:$AY320,'recurring2_based on steps'!$B$1:$AY$1,H$1)+SUMIFS('changes2_based on steps'!$B320:$U320,'changes2_based on steps'!$B$1:$U$1,H$1)</f>
        <v>0</v>
      </c>
      <c r="I320" s="179">
        <f>SUMIFS('recurring2_based on steps'!$B320:$AY320,'recurring2_based on steps'!$B$1:$AY$1,I$1)+SUMIFS('changes2_based on steps'!$B320:$U320,'changes2_based on steps'!$B$1:$U$1,I$1)</f>
        <v>0</v>
      </c>
      <c r="J320" s="179">
        <f>SUMIFS('recurring2_based on steps'!$B320:$AY320,'recurring2_based on steps'!$B$1:$AY$1,J$1)+SUMIFS('changes2_based on steps'!$B320:$U320,'changes2_based on steps'!$B$1:$U$1,J$1)</f>
        <v>0</v>
      </c>
      <c r="K320" s="179">
        <f>SUMIFS('recurring2_based on steps'!$B320:$AY320,'recurring2_based on steps'!$B$1:$AY$1,K$1)+SUMIFS('changes2_based on steps'!$B320:$U320,'changes2_based on steps'!$B$1:$U$1,K$1)</f>
        <v>0</v>
      </c>
      <c r="L320" s="179">
        <f>SUMIFS('recurring2_based on steps'!$B320:$AY320,'recurring2_based on steps'!$B$1:$AY$1,L$1)+SUMIFS('changes2_based on steps'!$B320:$U320,'changes2_based on steps'!$B$1:$U$1,L$1)</f>
        <v>0</v>
      </c>
      <c r="M320" s="179">
        <f>SUMIFS('recurring2_based on steps'!$B320:$AY320,'recurring2_based on steps'!$B$1:$AY$1,M$1)+SUMIFS('changes2_based on steps'!$B320:$U320,'changes2_based on steps'!$B$1:$U$1,M$1)</f>
        <v>0</v>
      </c>
      <c r="N320" s="179">
        <f>SUMIFS('recurring2_based on steps'!$B320:$AY320,'recurring2_based on steps'!$B$1:$AY$1,N$1)+SUMIFS('changes2_based on steps'!$B320:$U320,'changes2_based on steps'!$B$1:$U$1,N$1)</f>
        <v>0</v>
      </c>
      <c r="O320" s="179">
        <f>SUMIFS('recurring2_based on steps'!$B320:$AY320,'recurring2_based on steps'!$B$1:$AY$1,O$1)+SUMIFS('changes2_based on steps'!$B320:$U320,'changes2_based on steps'!$B$1:$U$1,O$1)</f>
        <v>0</v>
      </c>
      <c r="P320" s="179">
        <f>SUMIFS('recurring2_based on steps'!$B320:$AY320,'recurring2_based on steps'!$B$1:$AY$1,P$1)+SUMIFS('changes2_based on steps'!$B320:$U320,'changes2_based on steps'!$B$1:$U$1,P$1)</f>
        <v>0</v>
      </c>
      <c r="Q320" s="179">
        <f>SUMIFS('recurring2_based on steps'!$B320:$AY320,'recurring2_based on steps'!$B$1:$AY$1,Q$1)+SUMIFS('changes2_based on steps'!$B320:$U320,'changes2_based on steps'!$B$1:$U$1,Q$1)</f>
        <v>0</v>
      </c>
      <c r="R320" s="179">
        <f>SUMIFS('recurring2_based on steps'!$B320:$AY320,'recurring2_based on steps'!$B$1:$AY$1,R$1)+SUMIFS('changes2_based on steps'!$B320:$U320,'changes2_based on steps'!$B$1:$U$1,R$1)</f>
        <v>0</v>
      </c>
      <c r="S320" s="179">
        <f>SUMIFS('recurring2_based on steps'!$B320:$AY320,'recurring2_based on steps'!$B$1:$AY$1,S$1)+SUMIFS('changes2_based on steps'!$B320:$U320,'changes2_based on steps'!$B$1:$U$1,S$1)</f>
        <v>0</v>
      </c>
      <c r="T320" s="179">
        <f>SUMIFS('recurring2_based on steps'!$B320:$AY320,'recurring2_based on steps'!$B$1:$AY$1,T$1)+SUMIFS('changes2_based on steps'!$B320:$U320,'changes2_based on steps'!$B$1:$U$1,T$1)</f>
        <v>0</v>
      </c>
      <c r="U320" s="179">
        <f>SUMIFS('recurring2_based on steps'!$B320:$AY320,'recurring2_based on steps'!$B$1:$AY$1,U$1)+SUMIFS('changes2_based on steps'!$B320:$U320,'changes2_based on steps'!$B$1:$U$1,U$1)</f>
        <v>0</v>
      </c>
      <c r="V320" s="179">
        <f>SUMIFS('recurring2_based on steps'!$B320:$AY320,'recurring2_based on steps'!$B$1:$AY$1,V$1)+SUMIFS('changes2_based on steps'!$B320:$U320,'changes2_based on steps'!$B$1:$U$1,V$1)</f>
        <v>0</v>
      </c>
      <c r="W320" s="179">
        <f>SUMIFS('recurring2_based on steps'!$B320:$AY320,'recurring2_based on steps'!$B$1:$AY$1,W$1)+SUMIFS('changes2_based on steps'!$B320:$U320,'changes2_based on steps'!$B$1:$U$1,W$1)</f>
        <v>0</v>
      </c>
      <c r="X320" s="179">
        <f>SUMIFS('recurring2_based on steps'!$B320:$AY320,'recurring2_based on steps'!$B$1:$AY$1,X$1)+SUMIFS('changes2_based on steps'!$B320:$U320,'changes2_based on steps'!$B$1:$U$1,X$1)</f>
        <v>0</v>
      </c>
      <c r="Y320" s="179">
        <f>SUMIFS('recurring2_based on steps'!$B320:$AY320,'recurring2_based on steps'!$B$1:$AY$1,Y$1)+SUMIFS('changes2_based on steps'!$B320:$U320,'changes2_based on steps'!$B$1:$U$1,Y$1)</f>
        <v>0</v>
      </c>
      <c r="Z320" s="179">
        <f>SUMIFS('recurring2_based on steps'!$B320:$AY320,'recurring2_based on steps'!$B$1:$AY$1,Z$1)+SUMIFS('changes2_based on steps'!$B320:$U320,'changes2_based on steps'!$B$1:$U$1,Z$1)</f>
        <v>0</v>
      </c>
      <c r="AA320" s="179">
        <f>SUMIFS('recurring2_based on steps'!$B320:$AY320,'recurring2_based on steps'!$B$1:$AY$1,AA$1)+SUMIFS('changes2_based on steps'!$B320:$U320,'changes2_based on steps'!$B$1:$U$1,AA$1)</f>
        <v>0</v>
      </c>
      <c r="AB320" s="179">
        <f>SUMIFS('recurring2_based on steps'!$B320:$AY320,'recurring2_based on steps'!$B$1:$AY$1,AB$1)+SUMIFS('changes2_based on steps'!$B320:$U320,'changes2_based on steps'!$B$1:$U$1,AB$1)</f>
        <v>0</v>
      </c>
      <c r="AC320" s="179">
        <f>SUMIFS('recurring2_based on steps'!$B320:$AY320,'recurring2_based on steps'!$B$1:$AY$1,AC$1)+SUMIFS('changes2_based on steps'!$B320:$U320,'changes2_based on steps'!$B$1:$U$1,AC$1)</f>
        <v>0</v>
      </c>
      <c r="AD320" s="179">
        <f>SUMIFS('recurring2_based on steps'!$B320:$AY320,'recurring2_based on steps'!$B$1:$AY$1,AD$1)+SUMIFS('changes2_based on steps'!$B320:$U320,'changes2_based on steps'!$B$1:$U$1,AD$1)</f>
        <v>0</v>
      </c>
      <c r="AE320" s="179">
        <f>SUMIFS('recurring2_based on steps'!$B320:$AY320,'recurring2_based on steps'!$B$1:$AY$1,AE$1)+SUMIFS('changes2_based on steps'!$B320:$U320,'changes2_based on steps'!$B$1:$U$1,AE$1)</f>
        <v>0</v>
      </c>
      <c r="AF320" s="179"/>
      <c r="AG320" s="179"/>
      <c r="AH320" s="179"/>
      <c r="AI320" s="179"/>
      <c r="AJ320" s="179"/>
      <c r="AK320" s="179"/>
      <c r="AL320" s="179"/>
      <c r="AM320" s="179"/>
    </row>
    <row r="321" spans="1:39" x14ac:dyDescent="0.2">
      <c r="A321" s="32">
        <f t="shared" ca="1" si="4"/>
        <v>46063</v>
      </c>
      <c r="B321" s="179">
        <f>SUMIFS('recurring2_based on steps'!$B321:$AY321,'recurring2_based on steps'!$B$1:$AY$1,B$1)+SUMIFS('changes2_based on steps'!$B321:$U321,'changes2_based on steps'!$B$1:$U$1,B$1)</f>
        <v>0</v>
      </c>
      <c r="C321" s="179">
        <f>SUMIFS('recurring2_based on steps'!$B321:$AY321,'recurring2_based on steps'!$B$1:$AY$1,C$1)+SUMIFS('changes2_based on steps'!$B321:$U321,'changes2_based on steps'!$B$1:$U$1,C$1)</f>
        <v>0</v>
      </c>
      <c r="D321" s="179">
        <f>SUMIFS('recurring2_based on steps'!$B321:$AY321,'recurring2_based on steps'!$B$1:$AY$1,D$1)+SUMIFS('changes2_based on steps'!$B321:$U321,'changes2_based on steps'!$B$1:$U$1,D$1)</f>
        <v>0</v>
      </c>
      <c r="E321" s="179">
        <f>SUMIFS('recurring2_based on steps'!$B321:$AY321,'recurring2_based on steps'!$B$1:$AY$1,E$1)+SUMIFS('changes2_based on steps'!$B321:$U321,'changes2_based on steps'!$B$1:$U$1,E$1)</f>
        <v>0</v>
      </c>
      <c r="F321" s="179">
        <f>SUMIFS('recurring2_based on steps'!$B321:$AY321,'recurring2_based on steps'!$B$1:$AY$1,F$1)+SUMIFS('changes2_based on steps'!$B321:$U321,'changes2_based on steps'!$B$1:$U$1,F$1)</f>
        <v>0</v>
      </c>
      <c r="G321" s="179">
        <f>SUMIFS('recurring2_based on steps'!$B321:$AY321,'recurring2_based on steps'!$B$1:$AY$1,G$1)+SUMIFS('changes2_based on steps'!$B321:$U321,'changes2_based on steps'!$B$1:$U$1,G$1)</f>
        <v>0</v>
      </c>
      <c r="H321" s="179">
        <f>SUMIFS('recurring2_based on steps'!$B321:$AY321,'recurring2_based on steps'!$B$1:$AY$1,H$1)+SUMIFS('changes2_based on steps'!$B321:$U321,'changes2_based on steps'!$B$1:$U$1,H$1)</f>
        <v>0</v>
      </c>
      <c r="I321" s="179">
        <f>SUMIFS('recurring2_based on steps'!$B321:$AY321,'recurring2_based on steps'!$B$1:$AY$1,I$1)+SUMIFS('changes2_based on steps'!$B321:$U321,'changes2_based on steps'!$B$1:$U$1,I$1)</f>
        <v>0</v>
      </c>
      <c r="J321" s="179">
        <f>SUMIFS('recurring2_based on steps'!$B321:$AY321,'recurring2_based on steps'!$B$1:$AY$1,J$1)+SUMIFS('changes2_based on steps'!$B321:$U321,'changes2_based on steps'!$B$1:$U$1,J$1)</f>
        <v>0</v>
      </c>
      <c r="K321" s="179">
        <f>SUMIFS('recurring2_based on steps'!$B321:$AY321,'recurring2_based on steps'!$B$1:$AY$1,K$1)+SUMIFS('changes2_based on steps'!$B321:$U321,'changes2_based on steps'!$B$1:$U$1,K$1)</f>
        <v>0</v>
      </c>
      <c r="L321" s="179">
        <f>SUMIFS('recurring2_based on steps'!$B321:$AY321,'recurring2_based on steps'!$B$1:$AY$1,L$1)+SUMIFS('changes2_based on steps'!$B321:$U321,'changes2_based on steps'!$B$1:$U$1,L$1)</f>
        <v>0</v>
      </c>
      <c r="M321" s="179">
        <f>SUMIFS('recurring2_based on steps'!$B321:$AY321,'recurring2_based on steps'!$B$1:$AY$1,M$1)+SUMIFS('changes2_based on steps'!$B321:$U321,'changes2_based on steps'!$B$1:$U$1,M$1)</f>
        <v>0</v>
      </c>
      <c r="N321" s="179">
        <f>SUMIFS('recurring2_based on steps'!$B321:$AY321,'recurring2_based on steps'!$B$1:$AY$1,N$1)+SUMIFS('changes2_based on steps'!$B321:$U321,'changes2_based on steps'!$B$1:$U$1,N$1)</f>
        <v>0</v>
      </c>
      <c r="O321" s="179">
        <f>SUMIFS('recurring2_based on steps'!$B321:$AY321,'recurring2_based on steps'!$B$1:$AY$1,O$1)+SUMIFS('changes2_based on steps'!$B321:$U321,'changes2_based on steps'!$B$1:$U$1,O$1)</f>
        <v>0</v>
      </c>
      <c r="P321" s="179">
        <f>SUMIFS('recurring2_based on steps'!$B321:$AY321,'recurring2_based on steps'!$B$1:$AY$1,P$1)+SUMIFS('changes2_based on steps'!$B321:$U321,'changes2_based on steps'!$B$1:$U$1,P$1)</f>
        <v>0</v>
      </c>
      <c r="Q321" s="179">
        <f>SUMIFS('recurring2_based on steps'!$B321:$AY321,'recurring2_based on steps'!$B$1:$AY$1,Q$1)+SUMIFS('changes2_based on steps'!$B321:$U321,'changes2_based on steps'!$B$1:$U$1,Q$1)</f>
        <v>0</v>
      </c>
      <c r="R321" s="179">
        <f>SUMIFS('recurring2_based on steps'!$B321:$AY321,'recurring2_based on steps'!$B$1:$AY$1,R$1)+SUMIFS('changes2_based on steps'!$B321:$U321,'changes2_based on steps'!$B$1:$U$1,R$1)</f>
        <v>0</v>
      </c>
      <c r="S321" s="179">
        <f>SUMIFS('recurring2_based on steps'!$B321:$AY321,'recurring2_based on steps'!$B$1:$AY$1,S$1)+SUMIFS('changes2_based on steps'!$B321:$U321,'changes2_based on steps'!$B$1:$U$1,S$1)</f>
        <v>0</v>
      </c>
      <c r="T321" s="179">
        <f>SUMIFS('recurring2_based on steps'!$B321:$AY321,'recurring2_based on steps'!$B$1:$AY$1,T$1)+SUMIFS('changes2_based on steps'!$B321:$U321,'changes2_based on steps'!$B$1:$U$1,T$1)</f>
        <v>0</v>
      </c>
      <c r="U321" s="179">
        <f>SUMIFS('recurring2_based on steps'!$B321:$AY321,'recurring2_based on steps'!$B$1:$AY$1,U$1)+SUMIFS('changes2_based on steps'!$B321:$U321,'changes2_based on steps'!$B$1:$U$1,U$1)</f>
        <v>0</v>
      </c>
      <c r="V321" s="179">
        <f>SUMIFS('recurring2_based on steps'!$B321:$AY321,'recurring2_based on steps'!$B$1:$AY$1,V$1)+SUMIFS('changes2_based on steps'!$B321:$U321,'changes2_based on steps'!$B$1:$U$1,V$1)</f>
        <v>0</v>
      </c>
      <c r="W321" s="179">
        <f>SUMIFS('recurring2_based on steps'!$B321:$AY321,'recurring2_based on steps'!$B$1:$AY$1,W$1)+SUMIFS('changes2_based on steps'!$B321:$U321,'changes2_based on steps'!$B$1:$U$1,W$1)</f>
        <v>0</v>
      </c>
      <c r="X321" s="179">
        <f>SUMIFS('recurring2_based on steps'!$B321:$AY321,'recurring2_based on steps'!$B$1:$AY$1,X$1)+SUMIFS('changes2_based on steps'!$B321:$U321,'changes2_based on steps'!$B$1:$U$1,X$1)</f>
        <v>0</v>
      </c>
      <c r="Y321" s="179">
        <f>SUMIFS('recurring2_based on steps'!$B321:$AY321,'recurring2_based on steps'!$B$1:$AY$1,Y$1)+SUMIFS('changes2_based on steps'!$B321:$U321,'changes2_based on steps'!$B$1:$U$1,Y$1)</f>
        <v>0</v>
      </c>
      <c r="Z321" s="179">
        <f>SUMIFS('recurring2_based on steps'!$B321:$AY321,'recurring2_based on steps'!$B$1:$AY$1,Z$1)+SUMIFS('changes2_based on steps'!$B321:$U321,'changes2_based on steps'!$B$1:$U$1,Z$1)</f>
        <v>0</v>
      </c>
      <c r="AA321" s="179">
        <f>SUMIFS('recurring2_based on steps'!$B321:$AY321,'recurring2_based on steps'!$B$1:$AY$1,AA$1)+SUMIFS('changes2_based on steps'!$B321:$U321,'changes2_based on steps'!$B$1:$U$1,AA$1)</f>
        <v>0</v>
      </c>
      <c r="AB321" s="179">
        <f>SUMIFS('recurring2_based on steps'!$B321:$AY321,'recurring2_based on steps'!$B$1:$AY$1,AB$1)+SUMIFS('changes2_based on steps'!$B321:$U321,'changes2_based on steps'!$B$1:$U$1,AB$1)</f>
        <v>0</v>
      </c>
      <c r="AC321" s="179">
        <f>SUMIFS('recurring2_based on steps'!$B321:$AY321,'recurring2_based on steps'!$B$1:$AY$1,AC$1)+SUMIFS('changes2_based on steps'!$B321:$U321,'changes2_based on steps'!$B$1:$U$1,AC$1)</f>
        <v>0</v>
      </c>
      <c r="AD321" s="179">
        <f>SUMIFS('recurring2_based on steps'!$B321:$AY321,'recurring2_based on steps'!$B$1:$AY$1,AD$1)+SUMIFS('changes2_based on steps'!$B321:$U321,'changes2_based on steps'!$B$1:$U$1,AD$1)</f>
        <v>0</v>
      </c>
      <c r="AE321" s="179">
        <f>SUMIFS('recurring2_based on steps'!$B321:$AY321,'recurring2_based on steps'!$B$1:$AY$1,AE$1)+SUMIFS('changes2_based on steps'!$B321:$U321,'changes2_based on steps'!$B$1:$U$1,AE$1)</f>
        <v>0</v>
      </c>
      <c r="AF321" s="179"/>
      <c r="AG321" s="179"/>
      <c r="AH321" s="179"/>
      <c r="AI321" s="179"/>
      <c r="AJ321" s="179"/>
      <c r="AK321" s="179"/>
      <c r="AL321" s="179"/>
      <c r="AM321" s="179"/>
    </row>
    <row r="322" spans="1:39" x14ac:dyDescent="0.2">
      <c r="A322" s="32">
        <f t="shared" ca="1" si="4"/>
        <v>46064</v>
      </c>
      <c r="B322" s="179">
        <f>SUMIFS('recurring2_based on steps'!$B322:$AY322,'recurring2_based on steps'!$B$1:$AY$1,B$1)+SUMIFS('changes2_based on steps'!$B322:$U322,'changes2_based on steps'!$B$1:$U$1,B$1)</f>
        <v>0</v>
      </c>
      <c r="C322" s="179">
        <f>SUMIFS('recurring2_based on steps'!$B322:$AY322,'recurring2_based on steps'!$B$1:$AY$1,C$1)+SUMIFS('changes2_based on steps'!$B322:$U322,'changes2_based on steps'!$B$1:$U$1,C$1)</f>
        <v>0</v>
      </c>
      <c r="D322" s="179">
        <f>SUMIFS('recurring2_based on steps'!$B322:$AY322,'recurring2_based on steps'!$B$1:$AY$1,D$1)+SUMIFS('changes2_based on steps'!$B322:$U322,'changes2_based on steps'!$B$1:$U$1,D$1)</f>
        <v>0</v>
      </c>
      <c r="E322" s="179">
        <f>SUMIFS('recurring2_based on steps'!$B322:$AY322,'recurring2_based on steps'!$B$1:$AY$1,E$1)+SUMIFS('changes2_based on steps'!$B322:$U322,'changes2_based on steps'!$B$1:$U$1,E$1)</f>
        <v>0</v>
      </c>
      <c r="F322" s="179">
        <f>SUMIFS('recurring2_based on steps'!$B322:$AY322,'recurring2_based on steps'!$B$1:$AY$1,F$1)+SUMIFS('changes2_based on steps'!$B322:$U322,'changes2_based on steps'!$B$1:$U$1,F$1)</f>
        <v>0</v>
      </c>
      <c r="G322" s="179">
        <f>SUMIFS('recurring2_based on steps'!$B322:$AY322,'recurring2_based on steps'!$B$1:$AY$1,G$1)+SUMIFS('changes2_based on steps'!$B322:$U322,'changes2_based on steps'!$B$1:$U$1,G$1)</f>
        <v>0</v>
      </c>
      <c r="H322" s="179">
        <f>SUMIFS('recurring2_based on steps'!$B322:$AY322,'recurring2_based on steps'!$B$1:$AY$1,H$1)+SUMIFS('changes2_based on steps'!$B322:$U322,'changes2_based on steps'!$B$1:$U$1,H$1)</f>
        <v>0</v>
      </c>
      <c r="I322" s="179">
        <f>SUMIFS('recurring2_based on steps'!$B322:$AY322,'recurring2_based on steps'!$B$1:$AY$1,I$1)+SUMIFS('changes2_based on steps'!$B322:$U322,'changes2_based on steps'!$B$1:$U$1,I$1)</f>
        <v>0</v>
      </c>
      <c r="J322" s="179">
        <f>SUMIFS('recurring2_based on steps'!$B322:$AY322,'recurring2_based on steps'!$B$1:$AY$1,J$1)+SUMIFS('changes2_based on steps'!$B322:$U322,'changes2_based on steps'!$B$1:$U$1,J$1)</f>
        <v>0</v>
      </c>
      <c r="K322" s="179">
        <f>SUMIFS('recurring2_based on steps'!$B322:$AY322,'recurring2_based on steps'!$B$1:$AY$1,K$1)+SUMIFS('changes2_based on steps'!$B322:$U322,'changes2_based on steps'!$B$1:$U$1,K$1)</f>
        <v>0</v>
      </c>
      <c r="L322" s="179">
        <f>SUMIFS('recurring2_based on steps'!$B322:$AY322,'recurring2_based on steps'!$B$1:$AY$1,L$1)+SUMIFS('changes2_based on steps'!$B322:$U322,'changes2_based on steps'!$B$1:$U$1,L$1)</f>
        <v>0</v>
      </c>
      <c r="M322" s="179">
        <f>SUMIFS('recurring2_based on steps'!$B322:$AY322,'recurring2_based on steps'!$B$1:$AY$1,M$1)+SUMIFS('changes2_based on steps'!$B322:$U322,'changes2_based on steps'!$B$1:$U$1,M$1)</f>
        <v>0</v>
      </c>
      <c r="N322" s="179">
        <f>SUMIFS('recurring2_based on steps'!$B322:$AY322,'recurring2_based on steps'!$B$1:$AY$1,N$1)+SUMIFS('changes2_based on steps'!$B322:$U322,'changes2_based on steps'!$B$1:$U$1,N$1)</f>
        <v>0</v>
      </c>
      <c r="O322" s="179">
        <f>SUMIFS('recurring2_based on steps'!$B322:$AY322,'recurring2_based on steps'!$B$1:$AY$1,O$1)+SUMIFS('changes2_based on steps'!$B322:$U322,'changes2_based on steps'!$B$1:$U$1,O$1)</f>
        <v>0</v>
      </c>
      <c r="P322" s="179">
        <f>SUMIFS('recurring2_based on steps'!$B322:$AY322,'recurring2_based on steps'!$B$1:$AY$1,P$1)+SUMIFS('changes2_based on steps'!$B322:$U322,'changes2_based on steps'!$B$1:$U$1,P$1)</f>
        <v>0</v>
      </c>
      <c r="Q322" s="179">
        <f>SUMIFS('recurring2_based on steps'!$B322:$AY322,'recurring2_based on steps'!$B$1:$AY$1,Q$1)+SUMIFS('changes2_based on steps'!$B322:$U322,'changes2_based on steps'!$B$1:$U$1,Q$1)</f>
        <v>0</v>
      </c>
      <c r="R322" s="179">
        <f>SUMIFS('recurring2_based on steps'!$B322:$AY322,'recurring2_based on steps'!$B$1:$AY$1,R$1)+SUMIFS('changes2_based on steps'!$B322:$U322,'changes2_based on steps'!$B$1:$U$1,R$1)</f>
        <v>0</v>
      </c>
      <c r="S322" s="179">
        <f>SUMIFS('recurring2_based on steps'!$B322:$AY322,'recurring2_based on steps'!$B$1:$AY$1,S$1)+SUMIFS('changes2_based on steps'!$B322:$U322,'changes2_based on steps'!$B$1:$U$1,S$1)</f>
        <v>0</v>
      </c>
      <c r="T322" s="179">
        <f>SUMIFS('recurring2_based on steps'!$B322:$AY322,'recurring2_based on steps'!$B$1:$AY$1,T$1)+SUMIFS('changes2_based on steps'!$B322:$U322,'changes2_based on steps'!$B$1:$U$1,T$1)</f>
        <v>0</v>
      </c>
      <c r="U322" s="179">
        <f>SUMIFS('recurring2_based on steps'!$B322:$AY322,'recurring2_based on steps'!$B$1:$AY$1,U$1)+SUMIFS('changes2_based on steps'!$B322:$U322,'changes2_based on steps'!$B$1:$U$1,U$1)</f>
        <v>0</v>
      </c>
      <c r="V322" s="179">
        <f>SUMIFS('recurring2_based on steps'!$B322:$AY322,'recurring2_based on steps'!$B$1:$AY$1,V$1)+SUMIFS('changes2_based on steps'!$B322:$U322,'changes2_based on steps'!$B$1:$U$1,V$1)</f>
        <v>0</v>
      </c>
      <c r="W322" s="179">
        <f>SUMIFS('recurring2_based on steps'!$B322:$AY322,'recurring2_based on steps'!$B$1:$AY$1,W$1)+SUMIFS('changes2_based on steps'!$B322:$U322,'changes2_based on steps'!$B$1:$U$1,W$1)</f>
        <v>0</v>
      </c>
      <c r="X322" s="179">
        <f>SUMIFS('recurring2_based on steps'!$B322:$AY322,'recurring2_based on steps'!$B$1:$AY$1,X$1)+SUMIFS('changes2_based on steps'!$B322:$U322,'changes2_based on steps'!$B$1:$U$1,X$1)</f>
        <v>0</v>
      </c>
      <c r="Y322" s="179">
        <f>SUMIFS('recurring2_based on steps'!$B322:$AY322,'recurring2_based on steps'!$B$1:$AY$1,Y$1)+SUMIFS('changes2_based on steps'!$B322:$U322,'changes2_based on steps'!$B$1:$U$1,Y$1)</f>
        <v>0</v>
      </c>
      <c r="Z322" s="179">
        <f>SUMIFS('recurring2_based on steps'!$B322:$AY322,'recurring2_based on steps'!$B$1:$AY$1,Z$1)+SUMIFS('changes2_based on steps'!$B322:$U322,'changes2_based on steps'!$B$1:$U$1,Z$1)</f>
        <v>0</v>
      </c>
      <c r="AA322" s="179">
        <f>SUMIFS('recurring2_based on steps'!$B322:$AY322,'recurring2_based on steps'!$B$1:$AY$1,AA$1)+SUMIFS('changes2_based on steps'!$B322:$U322,'changes2_based on steps'!$B$1:$U$1,AA$1)</f>
        <v>0</v>
      </c>
      <c r="AB322" s="179">
        <f>SUMIFS('recurring2_based on steps'!$B322:$AY322,'recurring2_based on steps'!$B$1:$AY$1,AB$1)+SUMIFS('changes2_based on steps'!$B322:$U322,'changes2_based on steps'!$B$1:$U$1,AB$1)</f>
        <v>0</v>
      </c>
      <c r="AC322" s="179">
        <f>SUMIFS('recurring2_based on steps'!$B322:$AY322,'recurring2_based on steps'!$B$1:$AY$1,AC$1)+SUMIFS('changes2_based on steps'!$B322:$U322,'changes2_based on steps'!$B$1:$U$1,AC$1)</f>
        <v>0</v>
      </c>
      <c r="AD322" s="179">
        <f>SUMIFS('recurring2_based on steps'!$B322:$AY322,'recurring2_based on steps'!$B$1:$AY$1,AD$1)+SUMIFS('changes2_based on steps'!$B322:$U322,'changes2_based on steps'!$B$1:$U$1,AD$1)</f>
        <v>0</v>
      </c>
      <c r="AE322" s="179">
        <f>SUMIFS('recurring2_based on steps'!$B322:$AY322,'recurring2_based on steps'!$B$1:$AY$1,AE$1)+SUMIFS('changes2_based on steps'!$B322:$U322,'changes2_based on steps'!$B$1:$U$1,AE$1)</f>
        <v>0</v>
      </c>
      <c r="AF322" s="179"/>
      <c r="AG322" s="179"/>
      <c r="AH322" s="179"/>
      <c r="AI322" s="179"/>
      <c r="AJ322" s="179"/>
      <c r="AK322" s="179"/>
      <c r="AL322" s="179"/>
      <c r="AM322" s="179"/>
    </row>
    <row r="323" spans="1:39" x14ac:dyDescent="0.2">
      <c r="A323" s="32">
        <f t="shared" ca="1" si="4"/>
        <v>46065</v>
      </c>
      <c r="B323" s="179">
        <f>SUMIFS('recurring2_based on steps'!$B323:$AY323,'recurring2_based on steps'!$B$1:$AY$1,B$1)+SUMIFS('changes2_based on steps'!$B323:$U323,'changes2_based on steps'!$B$1:$U$1,B$1)</f>
        <v>0</v>
      </c>
      <c r="C323" s="179">
        <f>SUMIFS('recurring2_based on steps'!$B323:$AY323,'recurring2_based on steps'!$B$1:$AY$1,C$1)+SUMIFS('changes2_based on steps'!$B323:$U323,'changes2_based on steps'!$B$1:$U$1,C$1)</f>
        <v>0</v>
      </c>
      <c r="D323" s="179">
        <f>SUMIFS('recurring2_based on steps'!$B323:$AY323,'recurring2_based on steps'!$B$1:$AY$1,D$1)+SUMIFS('changes2_based on steps'!$B323:$U323,'changes2_based on steps'!$B$1:$U$1,D$1)</f>
        <v>0</v>
      </c>
      <c r="E323" s="179">
        <f>SUMIFS('recurring2_based on steps'!$B323:$AY323,'recurring2_based on steps'!$B$1:$AY$1,E$1)+SUMIFS('changes2_based on steps'!$B323:$U323,'changes2_based on steps'!$B$1:$U$1,E$1)</f>
        <v>0</v>
      </c>
      <c r="F323" s="179">
        <f>SUMIFS('recurring2_based on steps'!$B323:$AY323,'recurring2_based on steps'!$B$1:$AY$1,F$1)+SUMIFS('changes2_based on steps'!$B323:$U323,'changes2_based on steps'!$B$1:$U$1,F$1)</f>
        <v>0</v>
      </c>
      <c r="G323" s="179">
        <f>SUMIFS('recurring2_based on steps'!$B323:$AY323,'recurring2_based on steps'!$B$1:$AY$1,G$1)+SUMIFS('changes2_based on steps'!$B323:$U323,'changes2_based on steps'!$B$1:$U$1,G$1)</f>
        <v>0</v>
      </c>
      <c r="H323" s="179">
        <f>SUMIFS('recurring2_based on steps'!$B323:$AY323,'recurring2_based on steps'!$B$1:$AY$1,H$1)+SUMIFS('changes2_based on steps'!$B323:$U323,'changes2_based on steps'!$B$1:$U$1,H$1)</f>
        <v>0</v>
      </c>
      <c r="I323" s="179">
        <f>SUMIFS('recurring2_based on steps'!$B323:$AY323,'recurring2_based on steps'!$B$1:$AY$1,I$1)+SUMIFS('changes2_based on steps'!$B323:$U323,'changes2_based on steps'!$B$1:$U$1,I$1)</f>
        <v>0</v>
      </c>
      <c r="J323" s="179">
        <f>SUMIFS('recurring2_based on steps'!$B323:$AY323,'recurring2_based on steps'!$B$1:$AY$1,J$1)+SUMIFS('changes2_based on steps'!$B323:$U323,'changes2_based on steps'!$B$1:$U$1,J$1)</f>
        <v>0</v>
      </c>
      <c r="K323" s="179">
        <f>SUMIFS('recurring2_based on steps'!$B323:$AY323,'recurring2_based on steps'!$B$1:$AY$1,K$1)+SUMIFS('changes2_based on steps'!$B323:$U323,'changes2_based on steps'!$B$1:$U$1,K$1)</f>
        <v>0</v>
      </c>
      <c r="L323" s="179">
        <f>SUMIFS('recurring2_based on steps'!$B323:$AY323,'recurring2_based on steps'!$B$1:$AY$1,L$1)+SUMIFS('changes2_based on steps'!$B323:$U323,'changes2_based on steps'!$B$1:$U$1,L$1)</f>
        <v>0</v>
      </c>
      <c r="M323" s="179">
        <f>SUMIFS('recurring2_based on steps'!$B323:$AY323,'recurring2_based on steps'!$B$1:$AY$1,M$1)+SUMIFS('changes2_based on steps'!$B323:$U323,'changes2_based on steps'!$B$1:$U$1,M$1)</f>
        <v>0</v>
      </c>
      <c r="N323" s="179">
        <f>SUMIFS('recurring2_based on steps'!$B323:$AY323,'recurring2_based on steps'!$B$1:$AY$1,N$1)+SUMIFS('changes2_based on steps'!$B323:$U323,'changes2_based on steps'!$B$1:$U$1,N$1)</f>
        <v>0</v>
      </c>
      <c r="O323" s="179">
        <f>SUMIFS('recurring2_based on steps'!$B323:$AY323,'recurring2_based on steps'!$B$1:$AY$1,O$1)+SUMIFS('changes2_based on steps'!$B323:$U323,'changes2_based on steps'!$B$1:$U$1,O$1)</f>
        <v>0</v>
      </c>
      <c r="P323" s="179">
        <f>SUMIFS('recurring2_based on steps'!$B323:$AY323,'recurring2_based on steps'!$B$1:$AY$1,P$1)+SUMIFS('changes2_based on steps'!$B323:$U323,'changes2_based on steps'!$B$1:$U$1,P$1)</f>
        <v>0</v>
      </c>
      <c r="Q323" s="179">
        <f>SUMIFS('recurring2_based on steps'!$B323:$AY323,'recurring2_based on steps'!$B$1:$AY$1,Q$1)+SUMIFS('changes2_based on steps'!$B323:$U323,'changes2_based on steps'!$B$1:$U$1,Q$1)</f>
        <v>0</v>
      </c>
      <c r="R323" s="179">
        <f>SUMIFS('recurring2_based on steps'!$B323:$AY323,'recurring2_based on steps'!$B$1:$AY$1,R$1)+SUMIFS('changes2_based on steps'!$B323:$U323,'changes2_based on steps'!$B$1:$U$1,R$1)</f>
        <v>0</v>
      </c>
      <c r="S323" s="179">
        <f>SUMIFS('recurring2_based on steps'!$B323:$AY323,'recurring2_based on steps'!$B$1:$AY$1,S$1)+SUMIFS('changes2_based on steps'!$B323:$U323,'changes2_based on steps'!$B$1:$U$1,S$1)</f>
        <v>0</v>
      </c>
      <c r="T323" s="179">
        <f>SUMIFS('recurring2_based on steps'!$B323:$AY323,'recurring2_based on steps'!$B$1:$AY$1,T$1)+SUMIFS('changes2_based on steps'!$B323:$U323,'changes2_based on steps'!$B$1:$U$1,T$1)</f>
        <v>0</v>
      </c>
      <c r="U323" s="179">
        <f>SUMIFS('recurring2_based on steps'!$B323:$AY323,'recurring2_based on steps'!$B$1:$AY$1,U$1)+SUMIFS('changes2_based on steps'!$B323:$U323,'changes2_based on steps'!$B$1:$U$1,U$1)</f>
        <v>0</v>
      </c>
      <c r="V323" s="179">
        <f>SUMIFS('recurring2_based on steps'!$B323:$AY323,'recurring2_based on steps'!$B$1:$AY$1,V$1)+SUMIFS('changes2_based on steps'!$B323:$U323,'changes2_based on steps'!$B$1:$U$1,V$1)</f>
        <v>0</v>
      </c>
      <c r="W323" s="179">
        <f>SUMIFS('recurring2_based on steps'!$B323:$AY323,'recurring2_based on steps'!$B$1:$AY$1,W$1)+SUMIFS('changes2_based on steps'!$B323:$U323,'changes2_based on steps'!$B$1:$U$1,W$1)</f>
        <v>0</v>
      </c>
      <c r="X323" s="179">
        <f>SUMIFS('recurring2_based on steps'!$B323:$AY323,'recurring2_based on steps'!$B$1:$AY$1,X$1)+SUMIFS('changes2_based on steps'!$B323:$U323,'changes2_based on steps'!$B$1:$U$1,X$1)</f>
        <v>0</v>
      </c>
      <c r="Y323" s="179">
        <f>SUMIFS('recurring2_based on steps'!$B323:$AY323,'recurring2_based on steps'!$B$1:$AY$1,Y$1)+SUMIFS('changes2_based on steps'!$B323:$U323,'changes2_based on steps'!$B$1:$U$1,Y$1)</f>
        <v>0</v>
      </c>
      <c r="Z323" s="179">
        <f>SUMIFS('recurring2_based on steps'!$B323:$AY323,'recurring2_based on steps'!$B$1:$AY$1,Z$1)+SUMIFS('changes2_based on steps'!$B323:$U323,'changes2_based on steps'!$B$1:$U$1,Z$1)</f>
        <v>0</v>
      </c>
      <c r="AA323" s="179">
        <f>SUMIFS('recurring2_based on steps'!$B323:$AY323,'recurring2_based on steps'!$B$1:$AY$1,AA$1)+SUMIFS('changes2_based on steps'!$B323:$U323,'changes2_based on steps'!$B$1:$U$1,AA$1)</f>
        <v>0</v>
      </c>
      <c r="AB323" s="179">
        <f>SUMIFS('recurring2_based on steps'!$B323:$AY323,'recurring2_based on steps'!$B$1:$AY$1,AB$1)+SUMIFS('changes2_based on steps'!$B323:$U323,'changes2_based on steps'!$B$1:$U$1,AB$1)</f>
        <v>0</v>
      </c>
      <c r="AC323" s="179">
        <f>SUMIFS('recurring2_based on steps'!$B323:$AY323,'recurring2_based on steps'!$B$1:$AY$1,AC$1)+SUMIFS('changes2_based on steps'!$B323:$U323,'changes2_based on steps'!$B$1:$U$1,AC$1)</f>
        <v>0</v>
      </c>
      <c r="AD323" s="179">
        <f>SUMIFS('recurring2_based on steps'!$B323:$AY323,'recurring2_based on steps'!$B$1:$AY$1,AD$1)+SUMIFS('changes2_based on steps'!$B323:$U323,'changes2_based on steps'!$B$1:$U$1,AD$1)</f>
        <v>0</v>
      </c>
      <c r="AE323" s="179">
        <f>SUMIFS('recurring2_based on steps'!$B323:$AY323,'recurring2_based on steps'!$B$1:$AY$1,AE$1)+SUMIFS('changes2_based on steps'!$B323:$U323,'changes2_based on steps'!$B$1:$U$1,AE$1)</f>
        <v>0</v>
      </c>
      <c r="AF323" s="179"/>
      <c r="AG323" s="179"/>
      <c r="AH323" s="179"/>
      <c r="AI323" s="179"/>
      <c r="AJ323" s="179"/>
      <c r="AK323" s="179"/>
      <c r="AL323" s="179"/>
      <c r="AM323" s="179"/>
    </row>
    <row r="324" spans="1:39" x14ac:dyDescent="0.2">
      <c r="A324" s="32">
        <f t="shared" ca="1" si="4"/>
        <v>46066</v>
      </c>
      <c r="B324" s="179">
        <f>SUMIFS('recurring2_based on steps'!$B324:$AY324,'recurring2_based on steps'!$B$1:$AY$1,B$1)+SUMIFS('changes2_based on steps'!$B324:$U324,'changes2_based on steps'!$B$1:$U$1,B$1)</f>
        <v>0</v>
      </c>
      <c r="C324" s="179">
        <f>SUMIFS('recurring2_based on steps'!$B324:$AY324,'recurring2_based on steps'!$B$1:$AY$1,C$1)+SUMIFS('changes2_based on steps'!$B324:$U324,'changes2_based on steps'!$B$1:$U$1,C$1)</f>
        <v>0</v>
      </c>
      <c r="D324" s="179">
        <f>SUMIFS('recurring2_based on steps'!$B324:$AY324,'recurring2_based on steps'!$B$1:$AY$1,D$1)+SUMIFS('changes2_based on steps'!$B324:$U324,'changes2_based on steps'!$B$1:$U$1,D$1)</f>
        <v>0</v>
      </c>
      <c r="E324" s="179">
        <f>SUMIFS('recurring2_based on steps'!$B324:$AY324,'recurring2_based on steps'!$B$1:$AY$1,E$1)+SUMIFS('changes2_based on steps'!$B324:$U324,'changes2_based on steps'!$B$1:$U$1,E$1)</f>
        <v>0</v>
      </c>
      <c r="F324" s="179">
        <f>SUMIFS('recurring2_based on steps'!$B324:$AY324,'recurring2_based on steps'!$B$1:$AY$1,F$1)+SUMIFS('changes2_based on steps'!$B324:$U324,'changes2_based on steps'!$B$1:$U$1,F$1)</f>
        <v>0</v>
      </c>
      <c r="G324" s="179">
        <f>SUMIFS('recurring2_based on steps'!$B324:$AY324,'recurring2_based on steps'!$B$1:$AY$1,G$1)+SUMIFS('changes2_based on steps'!$B324:$U324,'changes2_based on steps'!$B$1:$U$1,G$1)</f>
        <v>0</v>
      </c>
      <c r="H324" s="179">
        <f>SUMIFS('recurring2_based on steps'!$B324:$AY324,'recurring2_based on steps'!$B$1:$AY$1,H$1)+SUMIFS('changes2_based on steps'!$B324:$U324,'changes2_based on steps'!$B$1:$U$1,H$1)</f>
        <v>0</v>
      </c>
      <c r="I324" s="179">
        <f>SUMIFS('recurring2_based on steps'!$B324:$AY324,'recurring2_based on steps'!$B$1:$AY$1,I$1)+SUMIFS('changes2_based on steps'!$B324:$U324,'changes2_based on steps'!$B$1:$U$1,I$1)</f>
        <v>0</v>
      </c>
      <c r="J324" s="179">
        <f>SUMIFS('recurring2_based on steps'!$B324:$AY324,'recurring2_based on steps'!$B$1:$AY$1,J$1)+SUMIFS('changes2_based on steps'!$B324:$U324,'changes2_based on steps'!$B$1:$U$1,J$1)</f>
        <v>0</v>
      </c>
      <c r="K324" s="179">
        <f>SUMIFS('recurring2_based on steps'!$B324:$AY324,'recurring2_based on steps'!$B$1:$AY$1,K$1)+SUMIFS('changes2_based on steps'!$B324:$U324,'changes2_based on steps'!$B$1:$U$1,K$1)</f>
        <v>0</v>
      </c>
      <c r="L324" s="179">
        <f>SUMIFS('recurring2_based on steps'!$B324:$AY324,'recurring2_based on steps'!$B$1:$AY$1,L$1)+SUMIFS('changes2_based on steps'!$B324:$U324,'changes2_based on steps'!$B$1:$U$1,L$1)</f>
        <v>0</v>
      </c>
      <c r="M324" s="179">
        <f>SUMIFS('recurring2_based on steps'!$B324:$AY324,'recurring2_based on steps'!$B$1:$AY$1,M$1)+SUMIFS('changes2_based on steps'!$B324:$U324,'changes2_based on steps'!$B$1:$U$1,M$1)</f>
        <v>0</v>
      </c>
      <c r="N324" s="179">
        <f>SUMIFS('recurring2_based on steps'!$B324:$AY324,'recurring2_based on steps'!$B$1:$AY$1,N$1)+SUMIFS('changes2_based on steps'!$B324:$U324,'changes2_based on steps'!$B$1:$U$1,N$1)</f>
        <v>0</v>
      </c>
      <c r="O324" s="179">
        <f>SUMIFS('recurring2_based on steps'!$B324:$AY324,'recurring2_based on steps'!$B$1:$AY$1,O$1)+SUMIFS('changes2_based on steps'!$B324:$U324,'changes2_based on steps'!$B$1:$U$1,O$1)</f>
        <v>0</v>
      </c>
      <c r="P324" s="179">
        <f>SUMIFS('recurring2_based on steps'!$B324:$AY324,'recurring2_based on steps'!$B$1:$AY$1,P$1)+SUMIFS('changes2_based on steps'!$B324:$U324,'changes2_based on steps'!$B$1:$U$1,P$1)</f>
        <v>0</v>
      </c>
      <c r="Q324" s="179">
        <f>SUMIFS('recurring2_based on steps'!$B324:$AY324,'recurring2_based on steps'!$B$1:$AY$1,Q$1)+SUMIFS('changes2_based on steps'!$B324:$U324,'changes2_based on steps'!$B$1:$U$1,Q$1)</f>
        <v>0</v>
      </c>
      <c r="R324" s="179">
        <f>SUMIFS('recurring2_based on steps'!$B324:$AY324,'recurring2_based on steps'!$B$1:$AY$1,R$1)+SUMIFS('changes2_based on steps'!$B324:$U324,'changes2_based on steps'!$B$1:$U$1,R$1)</f>
        <v>0</v>
      </c>
      <c r="S324" s="179">
        <f>SUMIFS('recurring2_based on steps'!$B324:$AY324,'recurring2_based on steps'!$B$1:$AY$1,S$1)+SUMIFS('changes2_based on steps'!$B324:$U324,'changes2_based on steps'!$B$1:$U$1,S$1)</f>
        <v>0</v>
      </c>
      <c r="T324" s="179">
        <f>SUMIFS('recurring2_based on steps'!$B324:$AY324,'recurring2_based on steps'!$B$1:$AY$1,T$1)+SUMIFS('changes2_based on steps'!$B324:$U324,'changes2_based on steps'!$B$1:$U$1,T$1)</f>
        <v>0</v>
      </c>
      <c r="U324" s="179">
        <f>SUMIFS('recurring2_based on steps'!$B324:$AY324,'recurring2_based on steps'!$B$1:$AY$1,U$1)+SUMIFS('changes2_based on steps'!$B324:$U324,'changes2_based on steps'!$B$1:$U$1,U$1)</f>
        <v>0</v>
      </c>
      <c r="V324" s="179">
        <f>SUMIFS('recurring2_based on steps'!$B324:$AY324,'recurring2_based on steps'!$B$1:$AY$1,V$1)+SUMIFS('changes2_based on steps'!$B324:$U324,'changes2_based on steps'!$B$1:$U$1,V$1)</f>
        <v>0</v>
      </c>
      <c r="W324" s="179">
        <f>SUMIFS('recurring2_based on steps'!$B324:$AY324,'recurring2_based on steps'!$B$1:$AY$1,W$1)+SUMIFS('changes2_based on steps'!$B324:$U324,'changes2_based on steps'!$B$1:$U$1,W$1)</f>
        <v>0</v>
      </c>
      <c r="X324" s="179">
        <f>SUMIFS('recurring2_based on steps'!$B324:$AY324,'recurring2_based on steps'!$B$1:$AY$1,X$1)+SUMIFS('changes2_based on steps'!$B324:$U324,'changes2_based on steps'!$B$1:$U$1,X$1)</f>
        <v>0</v>
      </c>
      <c r="Y324" s="179">
        <f>SUMIFS('recurring2_based on steps'!$B324:$AY324,'recurring2_based on steps'!$B$1:$AY$1,Y$1)+SUMIFS('changes2_based on steps'!$B324:$U324,'changes2_based on steps'!$B$1:$U$1,Y$1)</f>
        <v>0</v>
      </c>
      <c r="Z324" s="179">
        <f>SUMIFS('recurring2_based on steps'!$B324:$AY324,'recurring2_based on steps'!$B$1:$AY$1,Z$1)+SUMIFS('changes2_based on steps'!$B324:$U324,'changes2_based on steps'!$B$1:$U$1,Z$1)</f>
        <v>0</v>
      </c>
      <c r="AA324" s="179">
        <f>SUMIFS('recurring2_based on steps'!$B324:$AY324,'recurring2_based on steps'!$B$1:$AY$1,AA$1)+SUMIFS('changes2_based on steps'!$B324:$U324,'changes2_based on steps'!$B$1:$U$1,AA$1)</f>
        <v>0</v>
      </c>
      <c r="AB324" s="179">
        <f>SUMIFS('recurring2_based on steps'!$B324:$AY324,'recurring2_based on steps'!$B$1:$AY$1,AB$1)+SUMIFS('changes2_based on steps'!$B324:$U324,'changes2_based on steps'!$B$1:$U$1,AB$1)</f>
        <v>0</v>
      </c>
      <c r="AC324" s="179">
        <f>SUMIFS('recurring2_based on steps'!$B324:$AY324,'recurring2_based on steps'!$B$1:$AY$1,AC$1)+SUMIFS('changes2_based on steps'!$B324:$U324,'changes2_based on steps'!$B$1:$U$1,AC$1)</f>
        <v>0</v>
      </c>
      <c r="AD324" s="179">
        <f>SUMIFS('recurring2_based on steps'!$B324:$AY324,'recurring2_based on steps'!$B$1:$AY$1,AD$1)+SUMIFS('changes2_based on steps'!$B324:$U324,'changes2_based on steps'!$B$1:$U$1,AD$1)</f>
        <v>0</v>
      </c>
      <c r="AE324" s="179">
        <f>SUMIFS('recurring2_based on steps'!$B324:$AY324,'recurring2_based on steps'!$B$1:$AY$1,AE$1)+SUMIFS('changes2_based on steps'!$B324:$U324,'changes2_based on steps'!$B$1:$U$1,AE$1)</f>
        <v>0</v>
      </c>
      <c r="AF324" s="179"/>
      <c r="AG324" s="179"/>
      <c r="AH324" s="179"/>
      <c r="AI324" s="179"/>
      <c r="AJ324" s="179"/>
      <c r="AK324" s="179"/>
      <c r="AL324" s="179"/>
      <c r="AM324" s="179"/>
    </row>
    <row r="325" spans="1:39" x14ac:dyDescent="0.2">
      <c r="A325" s="32">
        <f t="shared" ref="A325:A369" ca="1" si="5">A324+1</f>
        <v>46067</v>
      </c>
      <c r="B325" s="179">
        <f>SUMIFS('recurring2_based on steps'!$B325:$AY325,'recurring2_based on steps'!$B$1:$AY$1,B$1)+SUMIFS('changes2_based on steps'!$B325:$U325,'changes2_based on steps'!$B$1:$U$1,B$1)</f>
        <v>0</v>
      </c>
      <c r="C325" s="179">
        <f>SUMIFS('recurring2_based on steps'!$B325:$AY325,'recurring2_based on steps'!$B$1:$AY$1,C$1)+SUMIFS('changes2_based on steps'!$B325:$U325,'changes2_based on steps'!$B$1:$U$1,C$1)</f>
        <v>0</v>
      </c>
      <c r="D325" s="179">
        <f>SUMIFS('recurring2_based on steps'!$B325:$AY325,'recurring2_based on steps'!$B$1:$AY$1,D$1)+SUMIFS('changes2_based on steps'!$B325:$U325,'changes2_based on steps'!$B$1:$U$1,D$1)</f>
        <v>0</v>
      </c>
      <c r="E325" s="179">
        <f>SUMIFS('recurring2_based on steps'!$B325:$AY325,'recurring2_based on steps'!$B$1:$AY$1,E$1)+SUMIFS('changes2_based on steps'!$B325:$U325,'changes2_based on steps'!$B$1:$U$1,E$1)</f>
        <v>0</v>
      </c>
      <c r="F325" s="179">
        <f>SUMIFS('recurring2_based on steps'!$B325:$AY325,'recurring2_based on steps'!$B$1:$AY$1,F$1)+SUMIFS('changes2_based on steps'!$B325:$U325,'changes2_based on steps'!$B$1:$U$1,F$1)</f>
        <v>0</v>
      </c>
      <c r="G325" s="179">
        <f>SUMIFS('recurring2_based on steps'!$B325:$AY325,'recurring2_based on steps'!$B$1:$AY$1,G$1)+SUMIFS('changes2_based on steps'!$B325:$U325,'changes2_based on steps'!$B$1:$U$1,G$1)</f>
        <v>0</v>
      </c>
      <c r="H325" s="179">
        <f>SUMIFS('recurring2_based on steps'!$B325:$AY325,'recurring2_based on steps'!$B$1:$AY$1,H$1)+SUMIFS('changes2_based on steps'!$B325:$U325,'changes2_based on steps'!$B$1:$U$1,H$1)</f>
        <v>0</v>
      </c>
      <c r="I325" s="179">
        <f>SUMIFS('recurring2_based on steps'!$B325:$AY325,'recurring2_based on steps'!$B$1:$AY$1,I$1)+SUMIFS('changes2_based on steps'!$B325:$U325,'changes2_based on steps'!$B$1:$U$1,I$1)</f>
        <v>0</v>
      </c>
      <c r="J325" s="179">
        <f>SUMIFS('recurring2_based on steps'!$B325:$AY325,'recurring2_based on steps'!$B$1:$AY$1,J$1)+SUMIFS('changes2_based on steps'!$B325:$U325,'changes2_based on steps'!$B$1:$U$1,J$1)</f>
        <v>0</v>
      </c>
      <c r="K325" s="179">
        <f>SUMIFS('recurring2_based on steps'!$B325:$AY325,'recurring2_based on steps'!$B$1:$AY$1,K$1)+SUMIFS('changes2_based on steps'!$B325:$U325,'changes2_based on steps'!$B$1:$U$1,K$1)</f>
        <v>0</v>
      </c>
      <c r="L325" s="179">
        <f>SUMIFS('recurring2_based on steps'!$B325:$AY325,'recurring2_based on steps'!$B$1:$AY$1,L$1)+SUMIFS('changes2_based on steps'!$B325:$U325,'changes2_based on steps'!$B$1:$U$1,L$1)</f>
        <v>0</v>
      </c>
      <c r="M325" s="179">
        <f>SUMIFS('recurring2_based on steps'!$B325:$AY325,'recurring2_based on steps'!$B$1:$AY$1,M$1)+SUMIFS('changes2_based on steps'!$B325:$U325,'changes2_based on steps'!$B$1:$U$1,M$1)</f>
        <v>0</v>
      </c>
      <c r="N325" s="179">
        <f>SUMIFS('recurring2_based on steps'!$B325:$AY325,'recurring2_based on steps'!$B$1:$AY$1,N$1)+SUMIFS('changes2_based on steps'!$B325:$U325,'changes2_based on steps'!$B$1:$U$1,N$1)</f>
        <v>0</v>
      </c>
      <c r="O325" s="179">
        <f>SUMIFS('recurring2_based on steps'!$B325:$AY325,'recurring2_based on steps'!$B$1:$AY$1,O$1)+SUMIFS('changes2_based on steps'!$B325:$U325,'changes2_based on steps'!$B$1:$U$1,O$1)</f>
        <v>0</v>
      </c>
      <c r="P325" s="179">
        <f>SUMIFS('recurring2_based on steps'!$B325:$AY325,'recurring2_based on steps'!$B$1:$AY$1,P$1)+SUMIFS('changes2_based on steps'!$B325:$U325,'changes2_based on steps'!$B$1:$U$1,P$1)</f>
        <v>0</v>
      </c>
      <c r="Q325" s="179">
        <f>SUMIFS('recurring2_based on steps'!$B325:$AY325,'recurring2_based on steps'!$B$1:$AY$1,Q$1)+SUMIFS('changes2_based on steps'!$B325:$U325,'changes2_based on steps'!$B$1:$U$1,Q$1)</f>
        <v>0</v>
      </c>
      <c r="R325" s="179">
        <f>SUMIFS('recurring2_based on steps'!$B325:$AY325,'recurring2_based on steps'!$B$1:$AY$1,R$1)+SUMIFS('changes2_based on steps'!$B325:$U325,'changes2_based on steps'!$B$1:$U$1,R$1)</f>
        <v>0</v>
      </c>
      <c r="S325" s="179">
        <f>SUMIFS('recurring2_based on steps'!$B325:$AY325,'recurring2_based on steps'!$B$1:$AY$1,S$1)+SUMIFS('changes2_based on steps'!$B325:$U325,'changes2_based on steps'!$B$1:$U$1,S$1)</f>
        <v>0</v>
      </c>
      <c r="T325" s="179">
        <f>SUMIFS('recurring2_based on steps'!$B325:$AY325,'recurring2_based on steps'!$B$1:$AY$1,T$1)+SUMIFS('changes2_based on steps'!$B325:$U325,'changes2_based on steps'!$B$1:$U$1,T$1)</f>
        <v>0</v>
      </c>
      <c r="U325" s="179">
        <f>SUMIFS('recurring2_based on steps'!$B325:$AY325,'recurring2_based on steps'!$B$1:$AY$1,U$1)+SUMIFS('changes2_based on steps'!$B325:$U325,'changes2_based on steps'!$B$1:$U$1,U$1)</f>
        <v>0</v>
      </c>
      <c r="V325" s="179">
        <f>SUMIFS('recurring2_based on steps'!$B325:$AY325,'recurring2_based on steps'!$B$1:$AY$1,V$1)+SUMIFS('changes2_based on steps'!$B325:$U325,'changes2_based on steps'!$B$1:$U$1,V$1)</f>
        <v>0</v>
      </c>
      <c r="W325" s="179">
        <f>SUMIFS('recurring2_based on steps'!$B325:$AY325,'recurring2_based on steps'!$B$1:$AY$1,W$1)+SUMIFS('changes2_based on steps'!$B325:$U325,'changes2_based on steps'!$B$1:$U$1,W$1)</f>
        <v>0</v>
      </c>
      <c r="X325" s="179">
        <f>SUMIFS('recurring2_based on steps'!$B325:$AY325,'recurring2_based on steps'!$B$1:$AY$1,X$1)+SUMIFS('changes2_based on steps'!$B325:$U325,'changes2_based on steps'!$B$1:$U$1,X$1)</f>
        <v>0</v>
      </c>
      <c r="Y325" s="179">
        <f>SUMIFS('recurring2_based on steps'!$B325:$AY325,'recurring2_based on steps'!$B$1:$AY$1,Y$1)+SUMIFS('changes2_based on steps'!$B325:$U325,'changes2_based on steps'!$B$1:$U$1,Y$1)</f>
        <v>0</v>
      </c>
      <c r="Z325" s="179">
        <f>SUMIFS('recurring2_based on steps'!$B325:$AY325,'recurring2_based on steps'!$B$1:$AY$1,Z$1)+SUMIFS('changes2_based on steps'!$B325:$U325,'changes2_based on steps'!$B$1:$U$1,Z$1)</f>
        <v>0</v>
      </c>
      <c r="AA325" s="179">
        <f>SUMIFS('recurring2_based on steps'!$B325:$AY325,'recurring2_based on steps'!$B$1:$AY$1,AA$1)+SUMIFS('changes2_based on steps'!$B325:$U325,'changes2_based on steps'!$B$1:$U$1,AA$1)</f>
        <v>0</v>
      </c>
      <c r="AB325" s="179">
        <f>SUMIFS('recurring2_based on steps'!$B325:$AY325,'recurring2_based on steps'!$B$1:$AY$1,AB$1)+SUMIFS('changes2_based on steps'!$B325:$U325,'changes2_based on steps'!$B$1:$U$1,AB$1)</f>
        <v>0</v>
      </c>
      <c r="AC325" s="179">
        <f>SUMIFS('recurring2_based on steps'!$B325:$AY325,'recurring2_based on steps'!$B$1:$AY$1,AC$1)+SUMIFS('changes2_based on steps'!$B325:$U325,'changes2_based on steps'!$B$1:$U$1,AC$1)</f>
        <v>0</v>
      </c>
      <c r="AD325" s="179">
        <f>SUMIFS('recurring2_based on steps'!$B325:$AY325,'recurring2_based on steps'!$B$1:$AY$1,AD$1)+SUMIFS('changes2_based on steps'!$B325:$U325,'changes2_based on steps'!$B$1:$U$1,AD$1)</f>
        <v>0</v>
      </c>
      <c r="AE325" s="179">
        <f>SUMIFS('recurring2_based on steps'!$B325:$AY325,'recurring2_based on steps'!$B$1:$AY$1,AE$1)+SUMIFS('changes2_based on steps'!$B325:$U325,'changes2_based on steps'!$B$1:$U$1,AE$1)</f>
        <v>0</v>
      </c>
      <c r="AF325" s="179"/>
      <c r="AG325" s="179"/>
      <c r="AH325" s="179"/>
      <c r="AI325" s="179"/>
      <c r="AJ325" s="179"/>
      <c r="AK325" s="179"/>
      <c r="AL325" s="179"/>
      <c r="AM325" s="179"/>
    </row>
    <row r="326" spans="1:39" x14ac:dyDescent="0.2">
      <c r="A326" s="32">
        <f t="shared" ca="1" si="5"/>
        <v>46068</v>
      </c>
      <c r="B326" s="179">
        <f>SUMIFS('recurring2_based on steps'!$B326:$AY326,'recurring2_based on steps'!$B$1:$AY$1,B$1)+SUMIFS('changes2_based on steps'!$B326:$U326,'changes2_based on steps'!$B$1:$U$1,B$1)</f>
        <v>0</v>
      </c>
      <c r="C326" s="179">
        <f>SUMIFS('recurring2_based on steps'!$B326:$AY326,'recurring2_based on steps'!$B$1:$AY$1,C$1)+SUMIFS('changes2_based on steps'!$B326:$U326,'changes2_based on steps'!$B$1:$U$1,C$1)</f>
        <v>0</v>
      </c>
      <c r="D326" s="179">
        <f>SUMIFS('recurring2_based on steps'!$B326:$AY326,'recurring2_based on steps'!$B$1:$AY$1,D$1)+SUMIFS('changes2_based on steps'!$B326:$U326,'changes2_based on steps'!$B$1:$U$1,D$1)</f>
        <v>0</v>
      </c>
      <c r="E326" s="179">
        <f>SUMIFS('recurring2_based on steps'!$B326:$AY326,'recurring2_based on steps'!$B$1:$AY$1,E$1)+SUMIFS('changes2_based on steps'!$B326:$U326,'changes2_based on steps'!$B$1:$U$1,E$1)</f>
        <v>0</v>
      </c>
      <c r="F326" s="179">
        <f>SUMIFS('recurring2_based on steps'!$B326:$AY326,'recurring2_based on steps'!$B$1:$AY$1,F$1)+SUMIFS('changes2_based on steps'!$B326:$U326,'changes2_based on steps'!$B$1:$U$1,F$1)</f>
        <v>0</v>
      </c>
      <c r="G326" s="179">
        <f>SUMIFS('recurring2_based on steps'!$B326:$AY326,'recurring2_based on steps'!$B$1:$AY$1,G$1)+SUMIFS('changes2_based on steps'!$B326:$U326,'changes2_based on steps'!$B$1:$U$1,G$1)</f>
        <v>0</v>
      </c>
      <c r="H326" s="179">
        <f>SUMIFS('recurring2_based on steps'!$B326:$AY326,'recurring2_based on steps'!$B$1:$AY$1,H$1)+SUMIFS('changes2_based on steps'!$B326:$U326,'changes2_based on steps'!$B$1:$U$1,H$1)</f>
        <v>0</v>
      </c>
      <c r="I326" s="179">
        <f>SUMIFS('recurring2_based on steps'!$B326:$AY326,'recurring2_based on steps'!$B$1:$AY$1,I$1)+SUMIFS('changes2_based on steps'!$B326:$U326,'changes2_based on steps'!$B$1:$U$1,I$1)</f>
        <v>0</v>
      </c>
      <c r="J326" s="179">
        <f>SUMIFS('recurring2_based on steps'!$B326:$AY326,'recurring2_based on steps'!$B$1:$AY$1,J$1)+SUMIFS('changes2_based on steps'!$B326:$U326,'changes2_based on steps'!$B$1:$U$1,J$1)</f>
        <v>0</v>
      </c>
      <c r="K326" s="179">
        <f>SUMIFS('recurring2_based on steps'!$B326:$AY326,'recurring2_based on steps'!$B$1:$AY$1,K$1)+SUMIFS('changes2_based on steps'!$B326:$U326,'changes2_based on steps'!$B$1:$U$1,K$1)</f>
        <v>0</v>
      </c>
      <c r="L326" s="179">
        <f>SUMIFS('recurring2_based on steps'!$B326:$AY326,'recurring2_based on steps'!$B$1:$AY$1,L$1)+SUMIFS('changes2_based on steps'!$B326:$U326,'changes2_based on steps'!$B$1:$U$1,L$1)</f>
        <v>0</v>
      </c>
      <c r="M326" s="179">
        <f>SUMIFS('recurring2_based on steps'!$B326:$AY326,'recurring2_based on steps'!$B$1:$AY$1,M$1)+SUMIFS('changes2_based on steps'!$B326:$U326,'changes2_based on steps'!$B$1:$U$1,M$1)</f>
        <v>0</v>
      </c>
      <c r="N326" s="179">
        <f>SUMIFS('recurring2_based on steps'!$B326:$AY326,'recurring2_based on steps'!$B$1:$AY$1,N$1)+SUMIFS('changes2_based on steps'!$B326:$U326,'changes2_based on steps'!$B$1:$U$1,N$1)</f>
        <v>0</v>
      </c>
      <c r="O326" s="179">
        <f>SUMIFS('recurring2_based on steps'!$B326:$AY326,'recurring2_based on steps'!$B$1:$AY$1,O$1)+SUMIFS('changes2_based on steps'!$B326:$U326,'changes2_based on steps'!$B$1:$U$1,O$1)</f>
        <v>0</v>
      </c>
      <c r="P326" s="179">
        <f>SUMIFS('recurring2_based on steps'!$B326:$AY326,'recurring2_based on steps'!$B$1:$AY$1,P$1)+SUMIFS('changes2_based on steps'!$B326:$U326,'changes2_based on steps'!$B$1:$U$1,P$1)</f>
        <v>0</v>
      </c>
      <c r="Q326" s="179">
        <f>SUMIFS('recurring2_based on steps'!$B326:$AY326,'recurring2_based on steps'!$B$1:$AY$1,Q$1)+SUMIFS('changes2_based on steps'!$B326:$U326,'changes2_based on steps'!$B$1:$U$1,Q$1)</f>
        <v>0</v>
      </c>
      <c r="R326" s="179">
        <f>SUMIFS('recurring2_based on steps'!$B326:$AY326,'recurring2_based on steps'!$B$1:$AY$1,R$1)+SUMIFS('changes2_based on steps'!$B326:$U326,'changes2_based on steps'!$B$1:$U$1,R$1)</f>
        <v>0</v>
      </c>
      <c r="S326" s="179">
        <f>SUMIFS('recurring2_based on steps'!$B326:$AY326,'recurring2_based on steps'!$B$1:$AY$1,S$1)+SUMIFS('changes2_based on steps'!$B326:$U326,'changes2_based on steps'!$B$1:$U$1,S$1)</f>
        <v>0</v>
      </c>
      <c r="T326" s="179">
        <f>SUMIFS('recurring2_based on steps'!$B326:$AY326,'recurring2_based on steps'!$B$1:$AY$1,T$1)+SUMIFS('changes2_based on steps'!$B326:$U326,'changes2_based on steps'!$B$1:$U$1,T$1)</f>
        <v>0</v>
      </c>
      <c r="U326" s="179">
        <f>SUMIFS('recurring2_based on steps'!$B326:$AY326,'recurring2_based on steps'!$B$1:$AY$1,U$1)+SUMIFS('changes2_based on steps'!$B326:$U326,'changes2_based on steps'!$B$1:$U$1,U$1)</f>
        <v>0</v>
      </c>
      <c r="V326" s="179">
        <f>SUMIFS('recurring2_based on steps'!$B326:$AY326,'recurring2_based on steps'!$B$1:$AY$1,V$1)+SUMIFS('changes2_based on steps'!$B326:$U326,'changes2_based on steps'!$B$1:$U$1,V$1)</f>
        <v>0</v>
      </c>
      <c r="W326" s="179">
        <f>SUMIFS('recurring2_based on steps'!$B326:$AY326,'recurring2_based on steps'!$B$1:$AY$1,W$1)+SUMIFS('changes2_based on steps'!$B326:$U326,'changes2_based on steps'!$B$1:$U$1,W$1)</f>
        <v>0</v>
      </c>
      <c r="X326" s="179">
        <f>SUMIFS('recurring2_based on steps'!$B326:$AY326,'recurring2_based on steps'!$B$1:$AY$1,X$1)+SUMIFS('changes2_based on steps'!$B326:$U326,'changes2_based on steps'!$B$1:$U$1,X$1)</f>
        <v>0</v>
      </c>
      <c r="Y326" s="179">
        <f>SUMIFS('recurring2_based on steps'!$B326:$AY326,'recurring2_based on steps'!$B$1:$AY$1,Y$1)+SUMIFS('changes2_based on steps'!$B326:$U326,'changes2_based on steps'!$B$1:$U$1,Y$1)</f>
        <v>0</v>
      </c>
      <c r="Z326" s="179">
        <f>SUMIFS('recurring2_based on steps'!$B326:$AY326,'recurring2_based on steps'!$B$1:$AY$1,Z$1)+SUMIFS('changes2_based on steps'!$B326:$U326,'changes2_based on steps'!$B$1:$U$1,Z$1)</f>
        <v>0</v>
      </c>
      <c r="AA326" s="179">
        <f>SUMIFS('recurring2_based on steps'!$B326:$AY326,'recurring2_based on steps'!$B$1:$AY$1,AA$1)+SUMIFS('changes2_based on steps'!$B326:$U326,'changes2_based on steps'!$B$1:$U$1,AA$1)</f>
        <v>0</v>
      </c>
      <c r="AB326" s="179">
        <f>SUMIFS('recurring2_based on steps'!$B326:$AY326,'recurring2_based on steps'!$B$1:$AY$1,AB$1)+SUMIFS('changes2_based on steps'!$B326:$U326,'changes2_based on steps'!$B$1:$U$1,AB$1)</f>
        <v>0</v>
      </c>
      <c r="AC326" s="179">
        <f>SUMIFS('recurring2_based on steps'!$B326:$AY326,'recurring2_based on steps'!$B$1:$AY$1,AC$1)+SUMIFS('changes2_based on steps'!$B326:$U326,'changes2_based on steps'!$B$1:$U$1,AC$1)</f>
        <v>0</v>
      </c>
      <c r="AD326" s="179">
        <f>SUMIFS('recurring2_based on steps'!$B326:$AY326,'recurring2_based on steps'!$B$1:$AY$1,AD$1)+SUMIFS('changes2_based on steps'!$B326:$U326,'changes2_based on steps'!$B$1:$U$1,AD$1)</f>
        <v>0</v>
      </c>
      <c r="AE326" s="179">
        <f>SUMIFS('recurring2_based on steps'!$B326:$AY326,'recurring2_based on steps'!$B$1:$AY$1,AE$1)+SUMIFS('changes2_based on steps'!$B326:$U326,'changes2_based on steps'!$B$1:$U$1,AE$1)</f>
        <v>0</v>
      </c>
      <c r="AF326" s="179"/>
      <c r="AG326" s="179"/>
      <c r="AH326" s="179"/>
      <c r="AI326" s="179"/>
      <c r="AJ326" s="179"/>
      <c r="AK326" s="179"/>
      <c r="AL326" s="179"/>
      <c r="AM326" s="179"/>
    </row>
    <row r="327" spans="1:39" x14ac:dyDescent="0.2">
      <c r="A327" s="32">
        <f t="shared" ca="1" si="5"/>
        <v>46069</v>
      </c>
      <c r="B327" s="179">
        <f>SUMIFS('recurring2_based on steps'!$B327:$AY327,'recurring2_based on steps'!$B$1:$AY$1,B$1)+SUMIFS('changes2_based on steps'!$B327:$U327,'changes2_based on steps'!$B$1:$U$1,B$1)</f>
        <v>0</v>
      </c>
      <c r="C327" s="179">
        <f>SUMIFS('recurring2_based on steps'!$B327:$AY327,'recurring2_based on steps'!$B$1:$AY$1,C$1)+SUMIFS('changes2_based on steps'!$B327:$U327,'changes2_based on steps'!$B$1:$U$1,C$1)</f>
        <v>0</v>
      </c>
      <c r="D327" s="179">
        <f>SUMIFS('recurring2_based on steps'!$B327:$AY327,'recurring2_based on steps'!$B$1:$AY$1,D$1)+SUMIFS('changes2_based on steps'!$B327:$U327,'changes2_based on steps'!$B$1:$U$1,D$1)</f>
        <v>0</v>
      </c>
      <c r="E327" s="179">
        <f>SUMIFS('recurring2_based on steps'!$B327:$AY327,'recurring2_based on steps'!$B$1:$AY$1,E$1)+SUMIFS('changes2_based on steps'!$B327:$U327,'changes2_based on steps'!$B$1:$U$1,E$1)</f>
        <v>0</v>
      </c>
      <c r="F327" s="179">
        <f>SUMIFS('recurring2_based on steps'!$B327:$AY327,'recurring2_based on steps'!$B$1:$AY$1,F$1)+SUMIFS('changes2_based on steps'!$B327:$U327,'changes2_based on steps'!$B$1:$U$1,F$1)</f>
        <v>0</v>
      </c>
      <c r="G327" s="179">
        <f>SUMIFS('recurring2_based on steps'!$B327:$AY327,'recurring2_based on steps'!$B$1:$AY$1,G$1)+SUMIFS('changes2_based on steps'!$B327:$U327,'changes2_based on steps'!$B$1:$U$1,G$1)</f>
        <v>0</v>
      </c>
      <c r="H327" s="179">
        <f>SUMIFS('recurring2_based on steps'!$B327:$AY327,'recurring2_based on steps'!$B$1:$AY$1,H$1)+SUMIFS('changes2_based on steps'!$B327:$U327,'changes2_based on steps'!$B$1:$U$1,H$1)</f>
        <v>0</v>
      </c>
      <c r="I327" s="179">
        <f>SUMIFS('recurring2_based on steps'!$B327:$AY327,'recurring2_based on steps'!$B$1:$AY$1,I$1)+SUMIFS('changes2_based on steps'!$B327:$U327,'changes2_based on steps'!$B$1:$U$1,I$1)</f>
        <v>0</v>
      </c>
      <c r="J327" s="179">
        <f>SUMIFS('recurring2_based on steps'!$B327:$AY327,'recurring2_based on steps'!$B$1:$AY$1,J$1)+SUMIFS('changes2_based on steps'!$B327:$U327,'changes2_based on steps'!$B$1:$U$1,J$1)</f>
        <v>0</v>
      </c>
      <c r="K327" s="179">
        <f>SUMIFS('recurring2_based on steps'!$B327:$AY327,'recurring2_based on steps'!$B$1:$AY$1,K$1)+SUMIFS('changes2_based on steps'!$B327:$U327,'changes2_based on steps'!$B$1:$U$1,K$1)</f>
        <v>0</v>
      </c>
      <c r="L327" s="179">
        <f>SUMIFS('recurring2_based on steps'!$B327:$AY327,'recurring2_based on steps'!$B$1:$AY$1,L$1)+SUMIFS('changes2_based on steps'!$B327:$U327,'changes2_based on steps'!$B$1:$U$1,L$1)</f>
        <v>0</v>
      </c>
      <c r="M327" s="179">
        <f>SUMIFS('recurring2_based on steps'!$B327:$AY327,'recurring2_based on steps'!$B$1:$AY$1,M$1)+SUMIFS('changes2_based on steps'!$B327:$U327,'changes2_based on steps'!$B$1:$U$1,M$1)</f>
        <v>0</v>
      </c>
      <c r="N327" s="179">
        <f>SUMIFS('recurring2_based on steps'!$B327:$AY327,'recurring2_based on steps'!$B$1:$AY$1,N$1)+SUMIFS('changes2_based on steps'!$B327:$U327,'changes2_based on steps'!$B$1:$U$1,N$1)</f>
        <v>0</v>
      </c>
      <c r="O327" s="179">
        <f>SUMIFS('recurring2_based on steps'!$B327:$AY327,'recurring2_based on steps'!$B$1:$AY$1,O$1)+SUMIFS('changes2_based on steps'!$B327:$U327,'changes2_based on steps'!$B$1:$U$1,O$1)</f>
        <v>0</v>
      </c>
      <c r="P327" s="179">
        <f>SUMIFS('recurring2_based on steps'!$B327:$AY327,'recurring2_based on steps'!$B$1:$AY$1,P$1)+SUMIFS('changes2_based on steps'!$B327:$U327,'changes2_based on steps'!$B$1:$U$1,P$1)</f>
        <v>0</v>
      </c>
      <c r="Q327" s="179">
        <f>SUMIFS('recurring2_based on steps'!$B327:$AY327,'recurring2_based on steps'!$B$1:$AY$1,Q$1)+SUMIFS('changes2_based on steps'!$B327:$U327,'changes2_based on steps'!$B$1:$U$1,Q$1)</f>
        <v>0</v>
      </c>
      <c r="R327" s="179">
        <f>SUMIFS('recurring2_based on steps'!$B327:$AY327,'recurring2_based on steps'!$B$1:$AY$1,R$1)+SUMIFS('changes2_based on steps'!$B327:$U327,'changes2_based on steps'!$B$1:$U$1,R$1)</f>
        <v>0</v>
      </c>
      <c r="S327" s="179">
        <f>SUMIFS('recurring2_based on steps'!$B327:$AY327,'recurring2_based on steps'!$B$1:$AY$1,S$1)+SUMIFS('changes2_based on steps'!$B327:$U327,'changes2_based on steps'!$B$1:$U$1,S$1)</f>
        <v>0</v>
      </c>
      <c r="T327" s="179">
        <f>SUMIFS('recurring2_based on steps'!$B327:$AY327,'recurring2_based on steps'!$B$1:$AY$1,T$1)+SUMIFS('changes2_based on steps'!$B327:$U327,'changes2_based on steps'!$B$1:$U$1,T$1)</f>
        <v>0</v>
      </c>
      <c r="U327" s="179">
        <f>SUMIFS('recurring2_based on steps'!$B327:$AY327,'recurring2_based on steps'!$B$1:$AY$1,U$1)+SUMIFS('changes2_based on steps'!$B327:$U327,'changes2_based on steps'!$B$1:$U$1,U$1)</f>
        <v>0</v>
      </c>
      <c r="V327" s="179">
        <f>SUMIFS('recurring2_based on steps'!$B327:$AY327,'recurring2_based on steps'!$B$1:$AY$1,V$1)+SUMIFS('changes2_based on steps'!$B327:$U327,'changes2_based on steps'!$B$1:$U$1,V$1)</f>
        <v>0</v>
      </c>
      <c r="W327" s="179">
        <f>SUMIFS('recurring2_based on steps'!$B327:$AY327,'recurring2_based on steps'!$B$1:$AY$1,W$1)+SUMIFS('changes2_based on steps'!$B327:$U327,'changes2_based on steps'!$B$1:$U$1,W$1)</f>
        <v>0</v>
      </c>
      <c r="X327" s="179">
        <f>SUMIFS('recurring2_based on steps'!$B327:$AY327,'recurring2_based on steps'!$B$1:$AY$1,X$1)+SUMIFS('changes2_based on steps'!$B327:$U327,'changes2_based on steps'!$B$1:$U$1,X$1)</f>
        <v>0</v>
      </c>
      <c r="Y327" s="179">
        <f>SUMIFS('recurring2_based on steps'!$B327:$AY327,'recurring2_based on steps'!$B$1:$AY$1,Y$1)+SUMIFS('changes2_based on steps'!$B327:$U327,'changes2_based on steps'!$B$1:$U$1,Y$1)</f>
        <v>0</v>
      </c>
      <c r="Z327" s="179">
        <f>SUMIFS('recurring2_based on steps'!$B327:$AY327,'recurring2_based on steps'!$B$1:$AY$1,Z$1)+SUMIFS('changes2_based on steps'!$B327:$U327,'changes2_based on steps'!$B$1:$U$1,Z$1)</f>
        <v>0</v>
      </c>
      <c r="AA327" s="179">
        <f>SUMIFS('recurring2_based on steps'!$B327:$AY327,'recurring2_based on steps'!$B$1:$AY$1,AA$1)+SUMIFS('changes2_based on steps'!$B327:$U327,'changes2_based on steps'!$B$1:$U$1,AA$1)</f>
        <v>0</v>
      </c>
      <c r="AB327" s="179">
        <f>SUMIFS('recurring2_based on steps'!$B327:$AY327,'recurring2_based on steps'!$B$1:$AY$1,AB$1)+SUMIFS('changes2_based on steps'!$B327:$U327,'changes2_based on steps'!$B$1:$U$1,AB$1)</f>
        <v>0</v>
      </c>
      <c r="AC327" s="179">
        <f>SUMIFS('recurring2_based on steps'!$B327:$AY327,'recurring2_based on steps'!$B$1:$AY$1,AC$1)+SUMIFS('changes2_based on steps'!$B327:$U327,'changes2_based on steps'!$B$1:$U$1,AC$1)</f>
        <v>0</v>
      </c>
      <c r="AD327" s="179">
        <f>SUMIFS('recurring2_based on steps'!$B327:$AY327,'recurring2_based on steps'!$B$1:$AY$1,AD$1)+SUMIFS('changes2_based on steps'!$B327:$U327,'changes2_based on steps'!$B$1:$U$1,AD$1)</f>
        <v>0</v>
      </c>
      <c r="AE327" s="179">
        <f>SUMIFS('recurring2_based on steps'!$B327:$AY327,'recurring2_based on steps'!$B$1:$AY$1,AE$1)+SUMIFS('changes2_based on steps'!$B327:$U327,'changes2_based on steps'!$B$1:$U$1,AE$1)</f>
        <v>0</v>
      </c>
      <c r="AF327" s="179"/>
      <c r="AG327" s="179"/>
      <c r="AH327" s="179"/>
      <c r="AI327" s="179"/>
      <c r="AJ327" s="179"/>
      <c r="AK327" s="179"/>
      <c r="AL327" s="179"/>
      <c r="AM327" s="179"/>
    </row>
    <row r="328" spans="1:39" x14ac:dyDescent="0.2">
      <c r="A328" s="32">
        <f t="shared" ca="1" si="5"/>
        <v>46070</v>
      </c>
      <c r="B328" s="179">
        <f>SUMIFS('recurring2_based on steps'!$B328:$AY328,'recurring2_based on steps'!$B$1:$AY$1,B$1)+SUMIFS('changes2_based on steps'!$B328:$U328,'changes2_based on steps'!$B$1:$U$1,B$1)</f>
        <v>0</v>
      </c>
      <c r="C328" s="179">
        <f>SUMIFS('recurring2_based on steps'!$B328:$AY328,'recurring2_based on steps'!$B$1:$AY$1,C$1)+SUMIFS('changes2_based on steps'!$B328:$U328,'changes2_based on steps'!$B$1:$U$1,C$1)</f>
        <v>0</v>
      </c>
      <c r="D328" s="179">
        <f>SUMIFS('recurring2_based on steps'!$B328:$AY328,'recurring2_based on steps'!$B$1:$AY$1,D$1)+SUMIFS('changes2_based on steps'!$B328:$U328,'changes2_based on steps'!$B$1:$U$1,D$1)</f>
        <v>0</v>
      </c>
      <c r="E328" s="179">
        <f>SUMIFS('recurring2_based on steps'!$B328:$AY328,'recurring2_based on steps'!$B$1:$AY$1,E$1)+SUMIFS('changes2_based on steps'!$B328:$U328,'changes2_based on steps'!$B$1:$U$1,E$1)</f>
        <v>0</v>
      </c>
      <c r="F328" s="179">
        <f>SUMIFS('recurring2_based on steps'!$B328:$AY328,'recurring2_based on steps'!$B$1:$AY$1,F$1)+SUMIFS('changes2_based on steps'!$B328:$U328,'changes2_based on steps'!$B$1:$U$1,F$1)</f>
        <v>0</v>
      </c>
      <c r="G328" s="179">
        <f>SUMIFS('recurring2_based on steps'!$B328:$AY328,'recurring2_based on steps'!$B$1:$AY$1,G$1)+SUMIFS('changes2_based on steps'!$B328:$U328,'changes2_based on steps'!$B$1:$U$1,G$1)</f>
        <v>0</v>
      </c>
      <c r="H328" s="179">
        <f>SUMIFS('recurring2_based on steps'!$B328:$AY328,'recurring2_based on steps'!$B$1:$AY$1,H$1)+SUMIFS('changes2_based on steps'!$B328:$U328,'changes2_based on steps'!$B$1:$U$1,H$1)</f>
        <v>0</v>
      </c>
      <c r="I328" s="179">
        <f>SUMIFS('recurring2_based on steps'!$B328:$AY328,'recurring2_based on steps'!$B$1:$AY$1,I$1)+SUMIFS('changes2_based on steps'!$B328:$U328,'changes2_based on steps'!$B$1:$U$1,I$1)</f>
        <v>0</v>
      </c>
      <c r="J328" s="179">
        <f>SUMIFS('recurring2_based on steps'!$B328:$AY328,'recurring2_based on steps'!$B$1:$AY$1,J$1)+SUMIFS('changes2_based on steps'!$B328:$U328,'changes2_based on steps'!$B$1:$U$1,J$1)</f>
        <v>0</v>
      </c>
      <c r="K328" s="179">
        <f>SUMIFS('recurring2_based on steps'!$B328:$AY328,'recurring2_based on steps'!$B$1:$AY$1,K$1)+SUMIFS('changes2_based on steps'!$B328:$U328,'changes2_based on steps'!$B$1:$U$1,K$1)</f>
        <v>0</v>
      </c>
      <c r="L328" s="179">
        <f>SUMIFS('recurring2_based on steps'!$B328:$AY328,'recurring2_based on steps'!$B$1:$AY$1,L$1)+SUMIFS('changes2_based on steps'!$B328:$U328,'changes2_based on steps'!$B$1:$U$1,L$1)</f>
        <v>0</v>
      </c>
      <c r="M328" s="179">
        <f>SUMIFS('recurring2_based on steps'!$B328:$AY328,'recurring2_based on steps'!$B$1:$AY$1,M$1)+SUMIFS('changes2_based on steps'!$B328:$U328,'changes2_based on steps'!$B$1:$U$1,M$1)</f>
        <v>0</v>
      </c>
      <c r="N328" s="179">
        <f>SUMIFS('recurring2_based on steps'!$B328:$AY328,'recurring2_based on steps'!$B$1:$AY$1,N$1)+SUMIFS('changes2_based on steps'!$B328:$U328,'changes2_based on steps'!$B$1:$U$1,N$1)</f>
        <v>0</v>
      </c>
      <c r="O328" s="179">
        <f>SUMIFS('recurring2_based on steps'!$B328:$AY328,'recurring2_based on steps'!$B$1:$AY$1,O$1)+SUMIFS('changes2_based on steps'!$B328:$U328,'changes2_based on steps'!$B$1:$U$1,O$1)</f>
        <v>0</v>
      </c>
      <c r="P328" s="179">
        <f>SUMIFS('recurring2_based on steps'!$B328:$AY328,'recurring2_based on steps'!$B$1:$AY$1,P$1)+SUMIFS('changes2_based on steps'!$B328:$U328,'changes2_based on steps'!$B$1:$U$1,P$1)</f>
        <v>0</v>
      </c>
      <c r="Q328" s="179">
        <f>SUMIFS('recurring2_based on steps'!$B328:$AY328,'recurring2_based on steps'!$B$1:$AY$1,Q$1)+SUMIFS('changes2_based on steps'!$B328:$U328,'changes2_based on steps'!$B$1:$U$1,Q$1)</f>
        <v>0</v>
      </c>
      <c r="R328" s="179">
        <f>SUMIFS('recurring2_based on steps'!$B328:$AY328,'recurring2_based on steps'!$B$1:$AY$1,R$1)+SUMIFS('changes2_based on steps'!$B328:$U328,'changes2_based on steps'!$B$1:$U$1,R$1)</f>
        <v>0</v>
      </c>
      <c r="S328" s="179">
        <f>SUMIFS('recurring2_based on steps'!$B328:$AY328,'recurring2_based on steps'!$B$1:$AY$1,S$1)+SUMIFS('changes2_based on steps'!$B328:$U328,'changes2_based on steps'!$B$1:$U$1,S$1)</f>
        <v>0</v>
      </c>
      <c r="T328" s="179">
        <f>SUMIFS('recurring2_based on steps'!$B328:$AY328,'recurring2_based on steps'!$B$1:$AY$1,T$1)+SUMIFS('changes2_based on steps'!$B328:$U328,'changes2_based on steps'!$B$1:$U$1,T$1)</f>
        <v>0</v>
      </c>
      <c r="U328" s="179">
        <f>SUMIFS('recurring2_based on steps'!$B328:$AY328,'recurring2_based on steps'!$B$1:$AY$1,U$1)+SUMIFS('changes2_based on steps'!$B328:$U328,'changes2_based on steps'!$B$1:$U$1,U$1)</f>
        <v>0</v>
      </c>
      <c r="V328" s="179">
        <f>SUMIFS('recurring2_based on steps'!$B328:$AY328,'recurring2_based on steps'!$B$1:$AY$1,V$1)+SUMIFS('changes2_based on steps'!$B328:$U328,'changes2_based on steps'!$B$1:$U$1,V$1)</f>
        <v>0</v>
      </c>
      <c r="W328" s="179">
        <f>SUMIFS('recurring2_based on steps'!$B328:$AY328,'recurring2_based on steps'!$B$1:$AY$1,W$1)+SUMIFS('changes2_based on steps'!$B328:$U328,'changes2_based on steps'!$B$1:$U$1,W$1)</f>
        <v>0</v>
      </c>
      <c r="X328" s="179">
        <f>SUMIFS('recurring2_based on steps'!$B328:$AY328,'recurring2_based on steps'!$B$1:$AY$1,X$1)+SUMIFS('changes2_based on steps'!$B328:$U328,'changes2_based on steps'!$B$1:$U$1,X$1)</f>
        <v>0</v>
      </c>
      <c r="Y328" s="179">
        <f>SUMIFS('recurring2_based on steps'!$B328:$AY328,'recurring2_based on steps'!$B$1:$AY$1,Y$1)+SUMIFS('changes2_based on steps'!$B328:$U328,'changes2_based on steps'!$B$1:$U$1,Y$1)</f>
        <v>0</v>
      </c>
      <c r="Z328" s="179">
        <f>SUMIFS('recurring2_based on steps'!$B328:$AY328,'recurring2_based on steps'!$B$1:$AY$1,Z$1)+SUMIFS('changes2_based on steps'!$B328:$U328,'changes2_based on steps'!$B$1:$U$1,Z$1)</f>
        <v>0</v>
      </c>
      <c r="AA328" s="179">
        <f>SUMIFS('recurring2_based on steps'!$B328:$AY328,'recurring2_based on steps'!$B$1:$AY$1,AA$1)+SUMIFS('changes2_based on steps'!$B328:$U328,'changes2_based on steps'!$B$1:$U$1,AA$1)</f>
        <v>0</v>
      </c>
      <c r="AB328" s="179">
        <f>SUMIFS('recurring2_based on steps'!$B328:$AY328,'recurring2_based on steps'!$B$1:$AY$1,AB$1)+SUMIFS('changes2_based on steps'!$B328:$U328,'changes2_based on steps'!$B$1:$U$1,AB$1)</f>
        <v>0</v>
      </c>
      <c r="AC328" s="179">
        <f>SUMIFS('recurring2_based on steps'!$B328:$AY328,'recurring2_based on steps'!$B$1:$AY$1,AC$1)+SUMIFS('changes2_based on steps'!$B328:$U328,'changes2_based on steps'!$B$1:$U$1,AC$1)</f>
        <v>0</v>
      </c>
      <c r="AD328" s="179">
        <f>SUMIFS('recurring2_based on steps'!$B328:$AY328,'recurring2_based on steps'!$B$1:$AY$1,AD$1)+SUMIFS('changes2_based on steps'!$B328:$U328,'changes2_based on steps'!$B$1:$U$1,AD$1)</f>
        <v>0</v>
      </c>
      <c r="AE328" s="179">
        <f>SUMIFS('recurring2_based on steps'!$B328:$AY328,'recurring2_based on steps'!$B$1:$AY$1,AE$1)+SUMIFS('changes2_based on steps'!$B328:$U328,'changes2_based on steps'!$B$1:$U$1,AE$1)</f>
        <v>0</v>
      </c>
      <c r="AF328" s="179"/>
      <c r="AG328" s="179"/>
      <c r="AH328" s="179"/>
      <c r="AI328" s="179"/>
      <c r="AJ328" s="179"/>
      <c r="AK328" s="179"/>
      <c r="AL328" s="179"/>
      <c r="AM328" s="179"/>
    </row>
    <row r="329" spans="1:39" x14ac:dyDescent="0.2">
      <c r="A329" s="32">
        <f t="shared" ca="1" si="5"/>
        <v>46071</v>
      </c>
      <c r="B329" s="179">
        <f>SUMIFS('recurring2_based on steps'!$B329:$AY329,'recurring2_based on steps'!$B$1:$AY$1,B$1)+SUMIFS('changes2_based on steps'!$B329:$U329,'changes2_based on steps'!$B$1:$U$1,B$1)</f>
        <v>0</v>
      </c>
      <c r="C329" s="179">
        <f>SUMIFS('recurring2_based on steps'!$B329:$AY329,'recurring2_based on steps'!$B$1:$AY$1,C$1)+SUMIFS('changes2_based on steps'!$B329:$U329,'changes2_based on steps'!$B$1:$U$1,C$1)</f>
        <v>0</v>
      </c>
      <c r="D329" s="179">
        <f>SUMIFS('recurring2_based on steps'!$B329:$AY329,'recurring2_based on steps'!$B$1:$AY$1,D$1)+SUMIFS('changes2_based on steps'!$B329:$U329,'changes2_based on steps'!$B$1:$U$1,D$1)</f>
        <v>0</v>
      </c>
      <c r="E329" s="179">
        <f>SUMIFS('recurring2_based on steps'!$B329:$AY329,'recurring2_based on steps'!$B$1:$AY$1,E$1)+SUMIFS('changes2_based on steps'!$B329:$U329,'changes2_based on steps'!$B$1:$U$1,E$1)</f>
        <v>0</v>
      </c>
      <c r="F329" s="179">
        <f>SUMIFS('recurring2_based on steps'!$B329:$AY329,'recurring2_based on steps'!$B$1:$AY$1,F$1)+SUMIFS('changes2_based on steps'!$B329:$U329,'changes2_based on steps'!$B$1:$U$1,F$1)</f>
        <v>0</v>
      </c>
      <c r="G329" s="179">
        <f>SUMIFS('recurring2_based on steps'!$B329:$AY329,'recurring2_based on steps'!$B$1:$AY$1,G$1)+SUMIFS('changes2_based on steps'!$B329:$U329,'changes2_based on steps'!$B$1:$U$1,G$1)</f>
        <v>0</v>
      </c>
      <c r="H329" s="179">
        <f>SUMIFS('recurring2_based on steps'!$B329:$AY329,'recurring2_based on steps'!$B$1:$AY$1,H$1)+SUMIFS('changes2_based on steps'!$B329:$U329,'changes2_based on steps'!$B$1:$U$1,H$1)</f>
        <v>0</v>
      </c>
      <c r="I329" s="179">
        <f>SUMIFS('recurring2_based on steps'!$B329:$AY329,'recurring2_based on steps'!$B$1:$AY$1,I$1)+SUMIFS('changes2_based on steps'!$B329:$U329,'changes2_based on steps'!$B$1:$U$1,I$1)</f>
        <v>0</v>
      </c>
      <c r="J329" s="179">
        <f>SUMIFS('recurring2_based on steps'!$B329:$AY329,'recurring2_based on steps'!$B$1:$AY$1,J$1)+SUMIFS('changes2_based on steps'!$B329:$U329,'changes2_based on steps'!$B$1:$U$1,J$1)</f>
        <v>0</v>
      </c>
      <c r="K329" s="179">
        <f>SUMIFS('recurring2_based on steps'!$B329:$AY329,'recurring2_based on steps'!$B$1:$AY$1,K$1)+SUMIFS('changes2_based on steps'!$B329:$U329,'changes2_based on steps'!$B$1:$U$1,K$1)</f>
        <v>0</v>
      </c>
      <c r="L329" s="179">
        <f>SUMIFS('recurring2_based on steps'!$B329:$AY329,'recurring2_based on steps'!$B$1:$AY$1,L$1)+SUMIFS('changes2_based on steps'!$B329:$U329,'changes2_based on steps'!$B$1:$U$1,L$1)</f>
        <v>0</v>
      </c>
      <c r="M329" s="179">
        <f>SUMIFS('recurring2_based on steps'!$B329:$AY329,'recurring2_based on steps'!$B$1:$AY$1,M$1)+SUMIFS('changes2_based on steps'!$B329:$U329,'changes2_based on steps'!$B$1:$U$1,M$1)</f>
        <v>0</v>
      </c>
      <c r="N329" s="179">
        <f>SUMIFS('recurring2_based on steps'!$B329:$AY329,'recurring2_based on steps'!$B$1:$AY$1,N$1)+SUMIFS('changes2_based on steps'!$B329:$U329,'changes2_based on steps'!$B$1:$U$1,N$1)</f>
        <v>0</v>
      </c>
      <c r="O329" s="179">
        <f>SUMIFS('recurring2_based on steps'!$B329:$AY329,'recurring2_based on steps'!$B$1:$AY$1,O$1)+SUMIFS('changes2_based on steps'!$B329:$U329,'changes2_based on steps'!$B$1:$U$1,O$1)</f>
        <v>0</v>
      </c>
      <c r="P329" s="179">
        <f>SUMIFS('recurring2_based on steps'!$B329:$AY329,'recurring2_based on steps'!$B$1:$AY$1,P$1)+SUMIFS('changes2_based on steps'!$B329:$U329,'changes2_based on steps'!$B$1:$U$1,P$1)</f>
        <v>0</v>
      </c>
      <c r="Q329" s="179">
        <f>SUMIFS('recurring2_based on steps'!$B329:$AY329,'recurring2_based on steps'!$B$1:$AY$1,Q$1)+SUMIFS('changes2_based on steps'!$B329:$U329,'changes2_based on steps'!$B$1:$U$1,Q$1)</f>
        <v>0</v>
      </c>
      <c r="R329" s="179">
        <f>SUMIFS('recurring2_based on steps'!$B329:$AY329,'recurring2_based on steps'!$B$1:$AY$1,R$1)+SUMIFS('changes2_based on steps'!$B329:$U329,'changes2_based on steps'!$B$1:$U$1,R$1)</f>
        <v>0</v>
      </c>
      <c r="S329" s="179">
        <f>SUMIFS('recurring2_based on steps'!$B329:$AY329,'recurring2_based on steps'!$B$1:$AY$1,S$1)+SUMIFS('changes2_based on steps'!$B329:$U329,'changes2_based on steps'!$B$1:$U$1,S$1)</f>
        <v>0</v>
      </c>
      <c r="T329" s="179">
        <f>SUMIFS('recurring2_based on steps'!$B329:$AY329,'recurring2_based on steps'!$B$1:$AY$1,T$1)+SUMIFS('changes2_based on steps'!$B329:$U329,'changes2_based on steps'!$B$1:$U$1,T$1)</f>
        <v>0</v>
      </c>
      <c r="U329" s="179">
        <f>SUMIFS('recurring2_based on steps'!$B329:$AY329,'recurring2_based on steps'!$B$1:$AY$1,U$1)+SUMIFS('changes2_based on steps'!$B329:$U329,'changes2_based on steps'!$B$1:$U$1,U$1)</f>
        <v>0</v>
      </c>
      <c r="V329" s="179">
        <f>SUMIFS('recurring2_based on steps'!$B329:$AY329,'recurring2_based on steps'!$B$1:$AY$1,V$1)+SUMIFS('changes2_based on steps'!$B329:$U329,'changes2_based on steps'!$B$1:$U$1,V$1)</f>
        <v>0</v>
      </c>
      <c r="W329" s="179">
        <f>SUMIFS('recurring2_based on steps'!$B329:$AY329,'recurring2_based on steps'!$B$1:$AY$1,W$1)+SUMIFS('changes2_based on steps'!$B329:$U329,'changes2_based on steps'!$B$1:$U$1,W$1)</f>
        <v>0</v>
      </c>
      <c r="X329" s="179">
        <f>SUMIFS('recurring2_based on steps'!$B329:$AY329,'recurring2_based on steps'!$B$1:$AY$1,X$1)+SUMIFS('changes2_based on steps'!$B329:$U329,'changes2_based on steps'!$B$1:$U$1,X$1)</f>
        <v>0</v>
      </c>
      <c r="Y329" s="179">
        <f>SUMIFS('recurring2_based on steps'!$B329:$AY329,'recurring2_based on steps'!$B$1:$AY$1,Y$1)+SUMIFS('changes2_based on steps'!$B329:$U329,'changes2_based on steps'!$B$1:$U$1,Y$1)</f>
        <v>0</v>
      </c>
      <c r="Z329" s="179">
        <f>SUMIFS('recurring2_based on steps'!$B329:$AY329,'recurring2_based on steps'!$B$1:$AY$1,Z$1)+SUMIFS('changes2_based on steps'!$B329:$U329,'changes2_based on steps'!$B$1:$U$1,Z$1)</f>
        <v>0</v>
      </c>
      <c r="AA329" s="179">
        <f>SUMIFS('recurring2_based on steps'!$B329:$AY329,'recurring2_based on steps'!$B$1:$AY$1,AA$1)+SUMIFS('changes2_based on steps'!$B329:$U329,'changes2_based on steps'!$B$1:$U$1,AA$1)</f>
        <v>0</v>
      </c>
      <c r="AB329" s="179">
        <f>SUMIFS('recurring2_based on steps'!$B329:$AY329,'recurring2_based on steps'!$B$1:$AY$1,AB$1)+SUMIFS('changes2_based on steps'!$B329:$U329,'changes2_based on steps'!$B$1:$U$1,AB$1)</f>
        <v>0</v>
      </c>
      <c r="AC329" s="179">
        <f>SUMIFS('recurring2_based on steps'!$B329:$AY329,'recurring2_based on steps'!$B$1:$AY$1,AC$1)+SUMIFS('changes2_based on steps'!$B329:$U329,'changes2_based on steps'!$B$1:$U$1,AC$1)</f>
        <v>0</v>
      </c>
      <c r="AD329" s="179">
        <f>SUMIFS('recurring2_based on steps'!$B329:$AY329,'recurring2_based on steps'!$B$1:$AY$1,AD$1)+SUMIFS('changes2_based on steps'!$B329:$U329,'changes2_based on steps'!$B$1:$U$1,AD$1)</f>
        <v>0</v>
      </c>
      <c r="AE329" s="179">
        <f>SUMIFS('recurring2_based on steps'!$B329:$AY329,'recurring2_based on steps'!$B$1:$AY$1,AE$1)+SUMIFS('changes2_based on steps'!$B329:$U329,'changes2_based on steps'!$B$1:$U$1,AE$1)</f>
        <v>0</v>
      </c>
      <c r="AF329" s="179"/>
      <c r="AG329" s="179"/>
      <c r="AH329" s="179"/>
      <c r="AI329" s="179"/>
      <c r="AJ329" s="179"/>
      <c r="AK329" s="179"/>
      <c r="AL329" s="179"/>
      <c r="AM329" s="179"/>
    </row>
    <row r="330" spans="1:39" x14ac:dyDescent="0.2">
      <c r="A330" s="32">
        <f t="shared" ca="1" si="5"/>
        <v>46072</v>
      </c>
      <c r="B330" s="179">
        <f>SUMIFS('recurring2_based on steps'!$B330:$AY330,'recurring2_based on steps'!$B$1:$AY$1,B$1)+SUMIFS('changes2_based on steps'!$B330:$U330,'changes2_based on steps'!$B$1:$U$1,B$1)</f>
        <v>0</v>
      </c>
      <c r="C330" s="179">
        <f>SUMIFS('recurring2_based on steps'!$B330:$AY330,'recurring2_based on steps'!$B$1:$AY$1,C$1)+SUMIFS('changes2_based on steps'!$B330:$U330,'changes2_based on steps'!$B$1:$U$1,C$1)</f>
        <v>0</v>
      </c>
      <c r="D330" s="179">
        <f>SUMIFS('recurring2_based on steps'!$B330:$AY330,'recurring2_based on steps'!$B$1:$AY$1,D$1)+SUMIFS('changes2_based on steps'!$B330:$U330,'changes2_based on steps'!$B$1:$U$1,D$1)</f>
        <v>0</v>
      </c>
      <c r="E330" s="179">
        <f>SUMIFS('recurring2_based on steps'!$B330:$AY330,'recurring2_based on steps'!$B$1:$AY$1,E$1)+SUMIFS('changes2_based on steps'!$B330:$U330,'changes2_based on steps'!$B$1:$U$1,E$1)</f>
        <v>0</v>
      </c>
      <c r="F330" s="179">
        <f>SUMIFS('recurring2_based on steps'!$B330:$AY330,'recurring2_based on steps'!$B$1:$AY$1,F$1)+SUMIFS('changes2_based on steps'!$B330:$U330,'changes2_based on steps'!$B$1:$U$1,F$1)</f>
        <v>0</v>
      </c>
      <c r="G330" s="179">
        <f>SUMIFS('recurring2_based on steps'!$B330:$AY330,'recurring2_based on steps'!$B$1:$AY$1,G$1)+SUMIFS('changes2_based on steps'!$B330:$U330,'changes2_based on steps'!$B$1:$U$1,G$1)</f>
        <v>0</v>
      </c>
      <c r="H330" s="179">
        <f>SUMIFS('recurring2_based on steps'!$B330:$AY330,'recurring2_based on steps'!$B$1:$AY$1,H$1)+SUMIFS('changes2_based on steps'!$B330:$U330,'changes2_based on steps'!$B$1:$U$1,H$1)</f>
        <v>0</v>
      </c>
      <c r="I330" s="179">
        <f>SUMIFS('recurring2_based on steps'!$B330:$AY330,'recurring2_based on steps'!$B$1:$AY$1,I$1)+SUMIFS('changes2_based on steps'!$B330:$U330,'changes2_based on steps'!$B$1:$U$1,I$1)</f>
        <v>0</v>
      </c>
      <c r="J330" s="179">
        <f>SUMIFS('recurring2_based on steps'!$B330:$AY330,'recurring2_based on steps'!$B$1:$AY$1,J$1)+SUMIFS('changes2_based on steps'!$B330:$U330,'changes2_based on steps'!$B$1:$U$1,J$1)</f>
        <v>0</v>
      </c>
      <c r="K330" s="179">
        <f>SUMIFS('recurring2_based on steps'!$B330:$AY330,'recurring2_based on steps'!$B$1:$AY$1,K$1)+SUMIFS('changes2_based on steps'!$B330:$U330,'changes2_based on steps'!$B$1:$U$1,K$1)</f>
        <v>0</v>
      </c>
      <c r="L330" s="179">
        <f>SUMIFS('recurring2_based on steps'!$B330:$AY330,'recurring2_based on steps'!$B$1:$AY$1,L$1)+SUMIFS('changes2_based on steps'!$B330:$U330,'changes2_based on steps'!$B$1:$U$1,L$1)</f>
        <v>0</v>
      </c>
      <c r="M330" s="179">
        <f>SUMIFS('recurring2_based on steps'!$B330:$AY330,'recurring2_based on steps'!$B$1:$AY$1,M$1)+SUMIFS('changes2_based on steps'!$B330:$U330,'changes2_based on steps'!$B$1:$U$1,M$1)</f>
        <v>0</v>
      </c>
      <c r="N330" s="179">
        <f>SUMIFS('recurring2_based on steps'!$B330:$AY330,'recurring2_based on steps'!$B$1:$AY$1,N$1)+SUMIFS('changes2_based on steps'!$B330:$U330,'changes2_based on steps'!$B$1:$U$1,N$1)</f>
        <v>0</v>
      </c>
      <c r="O330" s="179">
        <f>SUMIFS('recurring2_based on steps'!$B330:$AY330,'recurring2_based on steps'!$B$1:$AY$1,O$1)+SUMIFS('changes2_based on steps'!$B330:$U330,'changes2_based on steps'!$B$1:$U$1,O$1)</f>
        <v>0</v>
      </c>
      <c r="P330" s="179">
        <f>SUMIFS('recurring2_based on steps'!$B330:$AY330,'recurring2_based on steps'!$B$1:$AY$1,P$1)+SUMIFS('changes2_based on steps'!$B330:$U330,'changes2_based on steps'!$B$1:$U$1,P$1)</f>
        <v>0</v>
      </c>
      <c r="Q330" s="179">
        <f>SUMIFS('recurring2_based on steps'!$B330:$AY330,'recurring2_based on steps'!$B$1:$AY$1,Q$1)+SUMIFS('changes2_based on steps'!$B330:$U330,'changes2_based on steps'!$B$1:$U$1,Q$1)</f>
        <v>0</v>
      </c>
      <c r="R330" s="179">
        <f>SUMIFS('recurring2_based on steps'!$B330:$AY330,'recurring2_based on steps'!$B$1:$AY$1,R$1)+SUMIFS('changes2_based on steps'!$B330:$U330,'changes2_based on steps'!$B$1:$U$1,R$1)</f>
        <v>0</v>
      </c>
      <c r="S330" s="179">
        <f>SUMIFS('recurring2_based on steps'!$B330:$AY330,'recurring2_based on steps'!$B$1:$AY$1,S$1)+SUMIFS('changes2_based on steps'!$B330:$U330,'changes2_based on steps'!$B$1:$U$1,S$1)</f>
        <v>0</v>
      </c>
      <c r="T330" s="179">
        <f>SUMIFS('recurring2_based on steps'!$B330:$AY330,'recurring2_based on steps'!$B$1:$AY$1,T$1)+SUMIFS('changes2_based on steps'!$B330:$U330,'changes2_based on steps'!$B$1:$U$1,T$1)</f>
        <v>0</v>
      </c>
      <c r="U330" s="179">
        <f>SUMIFS('recurring2_based on steps'!$B330:$AY330,'recurring2_based on steps'!$B$1:$AY$1,U$1)+SUMIFS('changes2_based on steps'!$B330:$U330,'changes2_based on steps'!$B$1:$U$1,U$1)</f>
        <v>0</v>
      </c>
      <c r="V330" s="179">
        <f>SUMIFS('recurring2_based on steps'!$B330:$AY330,'recurring2_based on steps'!$B$1:$AY$1,V$1)+SUMIFS('changes2_based on steps'!$B330:$U330,'changes2_based on steps'!$B$1:$U$1,V$1)</f>
        <v>0</v>
      </c>
      <c r="W330" s="179">
        <f>SUMIFS('recurring2_based on steps'!$B330:$AY330,'recurring2_based on steps'!$B$1:$AY$1,W$1)+SUMIFS('changes2_based on steps'!$B330:$U330,'changes2_based on steps'!$B$1:$U$1,W$1)</f>
        <v>0</v>
      </c>
      <c r="X330" s="179">
        <f>SUMIFS('recurring2_based on steps'!$B330:$AY330,'recurring2_based on steps'!$B$1:$AY$1,X$1)+SUMIFS('changes2_based on steps'!$B330:$U330,'changes2_based on steps'!$B$1:$U$1,X$1)</f>
        <v>0</v>
      </c>
      <c r="Y330" s="179">
        <f>SUMIFS('recurring2_based on steps'!$B330:$AY330,'recurring2_based on steps'!$B$1:$AY$1,Y$1)+SUMIFS('changes2_based on steps'!$B330:$U330,'changes2_based on steps'!$B$1:$U$1,Y$1)</f>
        <v>0</v>
      </c>
      <c r="Z330" s="179">
        <f>SUMIFS('recurring2_based on steps'!$B330:$AY330,'recurring2_based on steps'!$B$1:$AY$1,Z$1)+SUMIFS('changes2_based on steps'!$B330:$U330,'changes2_based on steps'!$B$1:$U$1,Z$1)</f>
        <v>0</v>
      </c>
      <c r="AA330" s="179">
        <f>SUMIFS('recurring2_based on steps'!$B330:$AY330,'recurring2_based on steps'!$B$1:$AY$1,AA$1)+SUMIFS('changes2_based on steps'!$B330:$U330,'changes2_based on steps'!$B$1:$U$1,AA$1)</f>
        <v>0</v>
      </c>
      <c r="AB330" s="179">
        <f>SUMIFS('recurring2_based on steps'!$B330:$AY330,'recurring2_based on steps'!$B$1:$AY$1,AB$1)+SUMIFS('changes2_based on steps'!$B330:$U330,'changes2_based on steps'!$B$1:$U$1,AB$1)</f>
        <v>0</v>
      </c>
      <c r="AC330" s="179">
        <f>SUMIFS('recurring2_based on steps'!$B330:$AY330,'recurring2_based on steps'!$B$1:$AY$1,AC$1)+SUMIFS('changes2_based on steps'!$B330:$U330,'changes2_based on steps'!$B$1:$U$1,AC$1)</f>
        <v>0</v>
      </c>
      <c r="AD330" s="179">
        <f>SUMIFS('recurring2_based on steps'!$B330:$AY330,'recurring2_based on steps'!$B$1:$AY$1,AD$1)+SUMIFS('changes2_based on steps'!$B330:$U330,'changes2_based on steps'!$B$1:$U$1,AD$1)</f>
        <v>0</v>
      </c>
      <c r="AE330" s="179">
        <f>SUMIFS('recurring2_based on steps'!$B330:$AY330,'recurring2_based on steps'!$B$1:$AY$1,AE$1)+SUMIFS('changes2_based on steps'!$B330:$U330,'changes2_based on steps'!$B$1:$U$1,AE$1)</f>
        <v>0</v>
      </c>
      <c r="AF330" s="179"/>
      <c r="AG330" s="179"/>
      <c r="AH330" s="179"/>
      <c r="AI330" s="179"/>
      <c r="AJ330" s="179"/>
      <c r="AK330" s="179"/>
      <c r="AL330" s="179"/>
      <c r="AM330" s="179"/>
    </row>
    <row r="331" spans="1:39" x14ac:dyDescent="0.2">
      <c r="A331" s="32">
        <f t="shared" ca="1" si="5"/>
        <v>46073</v>
      </c>
      <c r="B331" s="179">
        <f>SUMIFS('recurring2_based on steps'!$B331:$AY331,'recurring2_based on steps'!$B$1:$AY$1,B$1)+SUMIFS('changes2_based on steps'!$B331:$U331,'changes2_based on steps'!$B$1:$U$1,B$1)</f>
        <v>0</v>
      </c>
      <c r="C331" s="179">
        <f>SUMIFS('recurring2_based on steps'!$B331:$AY331,'recurring2_based on steps'!$B$1:$AY$1,C$1)+SUMIFS('changes2_based on steps'!$B331:$U331,'changes2_based on steps'!$B$1:$U$1,C$1)</f>
        <v>0</v>
      </c>
      <c r="D331" s="179">
        <f>SUMIFS('recurring2_based on steps'!$B331:$AY331,'recurring2_based on steps'!$B$1:$AY$1,D$1)+SUMIFS('changes2_based on steps'!$B331:$U331,'changes2_based on steps'!$B$1:$U$1,D$1)</f>
        <v>0</v>
      </c>
      <c r="E331" s="179">
        <f>SUMIFS('recurring2_based on steps'!$B331:$AY331,'recurring2_based on steps'!$B$1:$AY$1,E$1)+SUMIFS('changes2_based on steps'!$B331:$U331,'changes2_based on steps'!$B$1:$U$1,E$1)</f>
        <v>0</v>
      </c>
      <c r="F331" s="179">
        <f>SUMIFS('recurring2_based on steps'!$B331:$AY331,'recurring2_based on steps'!$B$1:$AY$1,F$1)+SUMIFS('changes2_based on steps'!$B331:$U331,'changes2_based on steps'!$B$1:$U$1,F$1)</f>
        <v>0</v>
      </c>
      <c r="G331" s="179">
        <f>SUMIFS('recurring2_based on steps'!$B331:$AY331,'recurring2_based on steps'!$B$1:$AY$1,G$1)+SUMIFS('changes2_based on steps'!$B331:$U331,'changes2_based on steps'!$B$1:$U$1,G$1)</f>
        <v>0</v>
      </c>
      <c r="H331" s="179">
        <f>SUMIFS('recurring2_based on steps'!$B331:$AY331,'recurring2_based on steps'!$B$1:$AY$1,H$1)+SUMIFS('changes2_based on steps'!$B331:$U331,'changes2_based on steps'!$B$1:$U$1,H$1)</f>
        <v>0</v>
      </c>
      <c r="I331" s="179">
        <f>SUMIFS('recurring2_based on steps'!$B331:$AY331,'recurring2_based on steps'!$B$1:$AY$1,I$1)+SUMIFS('changes2_based on steps'!$B331:$U331,'changes2_based on steps'!$B$1:$U$1,I$1)</f>
        <v>0</v>
      </c>
      <c r="J331" s="179">
        <f>SUMIFS('recurring2_based on steps'!$B331:$AY331,'recurring2_based on steps'!$B$1:$AY$1,J$1)+SUMIFS('changes2_based on steps'!$B331:$U331,'changes2_based on steps'!$B$1:$U$1,J$1)</f>
        <v>0</v>
      </c>
      <c r="K331" s="179">
        <f>SUMIFS('recurring2_based on steps'!$B331:$AY331,'recurring2_based on steps'!$B$1:$AY$1,K$1)+SUMIFS('changes2_based on steps'!$B331:$U331,'changes2_based on steps'!$B$1:$U$1,K$1)</f>
        <v>0</v>
      </c>
      <c r="L331" s="179">
        <f>SUMIFS('recurring2_based on steps'!$B331:$AY331,'recurring2_based on steps'!$B$1:$AY$1,L$1)+SUMIFS('changes2_based on steps'!$B331:$U331,'changes2_based on steps'!$B$1:$U$1,L$1)</f>
        <v>0</v>
      </c>
      <c r="M331" s="179">
        <f>SUMIFS('recurring2_based on steps'!$B331:$AY331,'recurring2_based on steps'!$B$1:$AY$1,M$1)+SUMIFS('changes2_based on steps'!$B331:$U331,'changes2_based on steps'!$B$1:$U$1,M$1)</f>
        <v>0</v>
      </c>
      <c r="N331" s="179">
        <f>SUMIFS('recurring2_based on steps'!$B331:$AY331,'recurring2_based on steps'!$B$1:$AY$1,N$1)+SUMIFS('changes2_based on steps'!$B331:$U331,'changes2_based on steps'!$B$1:$U$1,N$1)</f>
        <v>0</v>
      </c>
      <c r="O331" s="179">
        <f>SUMIFS('recurring2_based on steps'!$B331:$AY331,'recurring2_based on steps'!$B$1:$AY$1,O$1)+SUMIFS('changes2_based on steps'!$B331:$U331,'changes2_based on steps'!$B$1:$U$1,O$1)</f>
        <v>0</v>
      </c>
      <c r="P331" s="179">
        <f>SUMIFS('recurring2_based on steps'!$B331:$AY331,'recurring2_based on steps'!$B$1:$AY$1,P$1)+SUMIFS('changes2_based on steps'!$B331:$U331,'changes2_based on steps'!$B$1:$U$1,P$1)</f>
        <v>0</v>
      </c>
      <c r="Q331" s="179">
        <f>SUMIFS('recurring2_based on steps'!$B331:$AY331,'recurring2_based on steps'!$B$1:$AY$1,Q$1)+SUMIFS('changes2_based on steps'!$B331:$U331,'changes2_based on steps'!$B$1:$U$1,Q$1)</f>
        <v>0</v>
      </c>
      <c r="R331" s="179">
        <f>SUMIFS('recurring2_based on steps'!$B331:$AY331,'recurring2_based on steps'!$B$1:$AY$1,R$1)+SUMIFS('changes2_based on steps'!$B331:$U331,'changes2_based on steps'!$B$1:$U$1,R$1)</f>
        <v>0</v>
      </c>
      <c r="S331" s="179">
        <f>SUMIFS('recurring2_based on steps'!$B331:$AY331,'recurring2_based on steps'!$B$1:$AY$1,S$1)+SUMIFS('changes2_based on steps'!$B331:$U331,'changes2_based on steps'!$B$1:$U$1,S$1)</f>
        <v>0</v>
      </c>
      <c r="T331" s="179">
        <f>SUMIFS('recurring2_based on steps'!$B331:$AY331,'recurring2_based on steps'!$B$1:$AY$1,T$1)+SUMIFS('changes2_based on steps'!$B331:$U331,'changes2_based on steps'!$B$1:$U$1,T$1)</f>
        <v>0</v>
      </c>
      <c r="U331" s="179">
        <f>SUMIFS('recurring2_based on steps'!$B331:$AY331,'recurring2_based on steps'!$B$1:$AY$1,U$1)+SUMIFS('changes2_based on steps'!$B331:$U331,'changes2_based on steps'!$B$1:$U$1,U$1)</f>
        <v>0</v>
      </c>
      <c r="V331" s="179">
        <f>SUMIFS('recurring2_based on steps'!$B331:$AY331,'recurring2_based on steps'!$B$1:$AY$1,V$1)+SUMIFS('changes2_based on steps'!$B331:$U331,'changes2_based on steps'!$B$1:$U$1,V$1)</f>
        <v>0</v>
      </c>
      <c r="W331" s="179">
        <f>SUMIFS('recurring2_based on steps'!$B331:$AY331,'recurring2_based on steps'!$B$1:$AY$1,W$1)+SUMIFS('changes2_based on steps'!$B331:$U331,'changes2_based on steps'!$B$1:$U$1,W$1)</f>
        <v>0</v>
      </c>
      <c r="X331" s="179">
        <f>SUMIFS('recurring2_based on steps'!$B331:$AY331,'recurring2_based on steps'!$B$1:$AY$1,X$1)+SUMIFS('changes2_based on steps'!$B331:$U331,'changes2_based on steps'!$B$1:$U$1,X$1)</f>
        <v>0</v>
      </c>
      <c r="Y331" s="179">
        <f>SUMIFS('recurring2_based on steps'!$B331:$AY331,'recurring2_based on steps'!$B$1:$AY$1,Y$1)+SUMIFS('changes2_based on steps'!$B331:$U331,'changes2_based on steps'!$B$1:$U$1,Y$1)</f>
        <v>0</v>
      </c>
      <c r="Z331" s="179">
        <f>SUMIFS('recurring2_based on steps'!$B331:$AY331,'recurring2_based on steps'!$B$1:$AY$1,Z$1)+SUMIFS('changes2_based on steps'!$B331:$U331,'changes2_based on steps'!$B$1:$U$1,Z$1)</f>
        <v>0</v>
      </c>
      <c r="AA331" s="179">
        <f>SUMIFS('recurring2_based on steps'!$B331:$AY331,'recurring2_based on steps'!$B$1:$AY$1,AA$1)+SUMIFS('changes2_based on steps'!$B331:$U331,'changes2_based on steps'!$B$1:$U$1,AA$1)</f>
        <v>0</v>
      </c>
      <c r="AB331" s="179">
        <f>SUMIFS('recurring2_based on steps'!$B331:$AY331,'recurring2_based on steps'!$B$1:$AY$1,AB$1)+SUMIFS('changes2_based on steps'!$B331:$U331,'changes2_based on steps'!$B$1:$U$1,AB$1)</f>
        <v>0</v>
      </c>
      <c r="AC331" s="179">
        <f>SUMIFS('recurring2_based on steps'!$B331:$AY331,'recurring2_based on steps'!$B$1:$AY$1,AC$1)+SUMIFS('changes2_based on steps'!$B331:$U331,'changes2_based on steps'!$B$1:$U$1,AC$1)</f>
        <v>0</v>
      </c>
      <c r="AD331" s="179">
        <f>SUMIFS('recurring2_based on steps'!$B331:$AY331,'recurring2_based on steps'!$B$1:$AY$1,AD$1)+SUMIFS('changes2_based on steps'!$B331:$U331,'changes2_based on steps'!$B$1:$U$1,AD$1)</f>
        <v>0</v>
      </c>
      <c r="AE331" s="179">
        <f>SUMIFS('recurring2_based on steps'!$B331:$AY331,'recurring2_based on steps'!$B$1:$AY$1,AE$1)+SUMIFS('changes2_based on steps'!$B331:$U331,'changes2_based on steps'!$B$1:$U$1,AE$1)</f>
        <v>0</v>
      </c>
      <c r="AF331" s="179"/>
      <c r="AG331" s="179"/>
      <c r="AH331" s="179"/>
      <c r="AI331" s="179"/>
      <c r="AJ331" s="179"/>
      <c r="AK331" s="179"/>
      <c r="AL331" s="179"/>
      <c r="AM331" s="179"/>
    </row>
    <row r="332" spans="1:39" x14ac:dyDescent="0.2">
      <c r="A332" s="32">
        <f t="shared" ca="1" si="5"/>
        <v>46074</v>
      </c>
      <c r="B332" s="179">
        <f>SUMIFS('recurring2_based on steps'!$B332:$AY332,'recurring2_based on steps'!$B$1:$AY$1,B$1)+SUMIFS('changes2_based on steps'!$B332:$U332,'changes2_based on steps'!$B$1:$U$1,B$1)</f>
        <v>0</v>
      </c>
      <c r="C332" s="179">
        <f>SUMIFS('recurring2_based on steps'!$B332:$AY332,'recurring2_based on steps'!$B$1:$AY$1,C$1)+SUMIFS('changes2_based on steps'!$B332:$U332,'changes2_based on steps'!$B$1:$U$1,C$1)</f>
        <v>0</v>
      </c>
      <c r="D332" s="179">
        <f>SUMIFS('recurring2_based on steps'!$B332:$AY332,'recurring2_based on steps'!$B$1:$AY$1,D$1)+SUMIFS('changes2_based on steps'!$B332:$U332,'changes2_based on steps'!$B$1:$U$1,D$1)</f>
        <v>0</v>
      </c>
      <c r="E332" s="179">
        <f>SUMIFS('recurring2_based on steps'!$B332:$AY332,'recurring2_based on steps'!$B$1:$AY$1,E$1)+SUMIFS('changes2_based on steps'!$B332:$U332,'changes2_based on steps'!$B$1:$U$1,E$1)</f>
        <v>0</v>
      </c>
      <c r="F332" s="179">
        <f>SUMIFS('recurring2_based on steps'!$B332:$AY332,'recurring2_based on steps'!$B$1:$AY$1,F$1)+SUMIFS('changes2_based on steps'!$B332:$U332,'changes2_based on steps'!$B$1:$U$1,F$1)</f>
        <v>0</v>
      </c>
      <c r="G332" s="179">
        <f>SUMIFS('recurring2_based on steps'!$B332:$AY332,'recurring2_based on steps'!$B$1:$AY$1,G$1)+SUMIFS('changes2_based on steps'!$B332:$U332,'changes2_based on steps'!$B$1:$U$1,G$1)</f>
        <v>0</v>
      </c>
      <c r="H332" s="179">
        <f>SUMIFS('recurring2_based on steps'!$B332:$AY332,'recurring2_based on steps'!$B$1:$AY$1,H$1)+SUMIFS('changes2_based on steps'!$B332:$U332,'changes2_based on steps'!$B$1:$U$1,H$1)</f>
        <v>0</v>
      </c>
      <c r="I332" s="179">
        <f>SUMIFS('recurring2_based on steps'!$B332:$AY332,'recurring2_based on steps'!$B$1:$AY$1,I$1)+SUMIFS('changes2_based on steps'!$B332:$U332,'changes2_based on steps'!$B$1:$U$1,I$1)</f>
        <v>0</v>
      </c>
      <c r="J332" s="179">
        <f>SUMIFS('recurring2_based on steps'!$B332:$AY332,'recurring2_based on steps'!$B$1:$AY$1,J$1)+SUMIFS('changes2_based on steps'!$B332:$U332,'changes2_based on steps'!$B$1:$U$1,J$1)</f>
        <v>0</v>
      </c>
      <c r="K332" s="179">
        <f>SUMIFS('recurring2_based on steps'!$B332:$AY332,'recurring2_based on steps'!$B$1:$AY$1,K$1)+SUMIFS('changes2_based on steps'!$B332:$U332,'changes2_based on steps'!$B$1:$U$1,K$1)</f>
        <v>0</v>
      </c>
      <c r="L332" s="179">
        <f>SUMIFS('recurring2_based on steps'!$B332:$AY332,'recurring2_based on steps'!$B$1:$AY$1,L$1)+SUMIFS('changes2_based on steps'!$B332:$U332,'changes2_based on steps'!$B$1:$U$1,L$1)</f>
        <v>0</v>
      </c>
      <c r="M332" s="179">
        <f>SUMIFS('recurring2_based on steps'!$B332:$AY332,'recurring2_based on steps'!$B$1:$AY$1,M$1)+SUMIFS('changes2_based on steps'!$B332:$U332,'changes2_based on steps'!$B$1:$U$1,M$1)</f>
        <v>0</v>
      </c>
      <c r="N332" s="179">
        <f>SUMIFS('recurring2_based on steps'!$B332:$AY332,'recurring2_based on steps'!$B$1:$AY$1,N$1)+SUMIFS('changes2_based on steps'!$B332:$U332,'changes2_based on steps'!$B$1:$U$1,N$1)</f>
        <v>0</v>
      </c>
      <c r="O332" s="179">
        <f>SUMIFS('recurring2_based on steps'!$B332:$AY332,'recurring2_based on steps'!$B$1:$AY$1,O$1)+SUMIFS('changes2_based on steps'!$B332:$U332,'changes2_based on steps'!$B$1:$U$1,O$1)</f>
        <v>0</v>
      </c>
      <c r="P332" s="179">
        <f>SUMIFS('recurring2_based on steps'!$B332:$AY332,'recurring2_based on steps'!$B$1:$AY$1,P$1)+SUMIFS('changes2_based on steps'!$B332:$U332,'changes2_based on steps'!$B$1:$U$1,P$1)</f>
        <v>0</v>
      </c>
      <c r="Q332" s="179">
        <f>SUMIFS('recurring2_based on steps'!$B332:$AY332,'recurring2_based on steps'!$B$1:$AY$1,Q$1)+SUMIFS('changes2_based on steps'!$B332:$U332,'changes2_based on steps'!$B$1:$U$1,Q$1)</f>
        <v>0</v>
      </c>
      <c r="R332" s="179">
        <f>SUMIFS('recurring2_based on steps'!$B332:$AY332,'recurring2_based on steps'!$B$1:$AY$1,R$1)+SUMIFS('changes2_based on steps'!$B332:$U332,'changes2_based on steps'!$B$1:$U$1,R$1)</f>
        <v>0</v>
      </c>
      <c r="S332" s="179">
        <f>SUMIFS('recurring2_based on steps'!$B332:$AY332,'recurring2_based on steps'!$B$1:$AY$1,S$1)+SUMIFS('changes2_based on steps'!$B332:$U332,'changes2_based on steps'!$B$1:$U$1,S$1)</f>
        <v>0</v>
      </c>
      <c r="T332" s="179">
        <f>SUMIFS('recurring2_based on steps'!$B332:$AY332,'recurring2_based on steps'!$B$1:$AY$1,T$1)+SUMIFS('changes2_based on steps'!$B332:$U332,'changes2_based on steps'!$B$1:$U$1,T$1)</f>
        <v>0</v>
      </c>
      <c r="U332" s="179">
        <f>SUMIFS('recurring2_based on steps'!$B332:$AY332,'recurring2_based on steps'!$B$1:$AY$1,U$1)+SUMIFS('changes2_based on steps'!$B332:$U332,'changes2_based on steps'!$B$1:$U$1,U$1)</f>
        <v>0</v>
      </c>
      <c r="V332" s="179">
        <f>SUMIFS('recurring2_based on steps'!$B332:$AY332,'recurring2_based on steps'!$B$1:$AY$1,V$1)+SUMIFS('changes2_based on steps'!$B332:$U332,'changes2_based on steps'!$B$1:$U$1,V$1)</f>
        <v>0</v>
      </c>
      <c r="W332" s="179">
        <f>SUMIFS('recurring2_based on steps'!$B332:$AY332,'recurring2_based on steps'!$B$1:$AY$1,W$1)+SUMIFS('changes2_based on steps'!$B332:$U332,'changes2_based on steps'!$B$1:$U$1,W$1)</f>
        <v>0</v>
      </c>
      <c r="X332" s="179">
        <f>SUMIFS('recurring2_based on steps'!$B332:$AY332,'recurring2_based on steps'!$B$1:$AY$1,X$1)+SUMIFS('changes2_based on steps'!$B332:$U332,'changes2_based on steps'!$B$1:$U$1,X$1)</f>
        <v>0</v>
      </c>
      <c r="Y332" s="179">
        <f>SUMIFS('recurring2_based on steps'!$B332:$AY332,'recurring2_based on steps'!$B$1:$AY$1,Y$1)+SUMIFS('changes2_based on steps'!$B332:$U332,'changes2_based on steps'!$B$1:$U$1,Y$1)</f>
        <v>0</v>
      </c>
      <c r="Z332" s="179">
        <f>SUMIFS('recurring2_based on steps'!$B332:$AY332,'recurring2_based on steps'!$B$1:$AY$1,Z$1)+SUMIFS('changes2_based on steps'!$B332:$U332,'changes2_based on steps'!$B$1:$U$1,Z$1)</f>
        <v>0</v>
      </c>
      <c r="AA332" s="179">
        <f>SUMIFS('recurring2_based on steps'!$B332:$AY332,'recurring2_based on steps'!$B$1:$AY$1,AA$1)+SUMIFS('changes2_based on steps'!$B332:$U332,'changes2_based on steps'!$B$1:$U$1,AA$1)</f>
        <v>0</v>
      </c>
      <c r="AB332" s="179">
        <f>SUMIFS('recurring2_based on steps'!$B332:$AY332,'recurring2_based on steps'!$B$1:$AY$1,AB$1)+SUMIFS('changes2_based on steps'!$B332:$U332,'changes2_based on steps'!$B$1:$U$1,AB$1)</f>
        <v>0</v>
      </c>
      <c r="AC332" s="179">
        <f>SUMIFS('recurring2_based on steps'!$B332:$AY332,'recurring2_based on steps'!$B$1:$AY$1,AC$1)+SUMIFS('changes2_based on steps'!$B332:$U332,'changes2_based on steps'!$B$1:$U$1,AC$1)</f>
        <v>0</v>
      </c>
      <c r="AD332" s="179">
        <f>SUMIFS('recurring2_based on steps'!$B332:$AY332,'recurring2_based on steps'!$B$1:$AY$1,AD$1)+SUMIFS('changes2_based on steps'!$B332:$U332,'changes2_based on steps'!$B$1:$U$1,AD$1)</f>
        <v>0</v>
      </c>
      <c r="AE332" s="179">
        <f>SUMIFS('recurring2_based on steps'!$B332:$AY332,'recurring2_based on steps'!$B$1:$AY$1,AE$1)+SUMIFS('changes2_based on steps'!$B332:$U332,'changes2_based on steps'!$B$1:$U$1,AE$1)</f>
        <v>0</v>
      </c>
      <c r="AF332" s="179"/>
      <c r="AG332" s="179"/>
      <c r="AH332" s="179"/>
      <c r="AI332" s="179"/>
      <c r="AJ332" s="179"/>
      <c r="AK332" s="179"/>
      <c r="AL332" s="179"/>
      <c r="AM332" s="179"/>
    </row>
    <row r="333" spans="1:39" x14ac:dyDescent="0.2">
      <c r="A333" s="32">
        <f t="shared" ca="1" si="5"/>
        <v>46075</v>
      </c>
      <c r="B333" s="179">
        <f>SUMIFS('recurring2_based on steps'!$B333:$AY333,'recurring2_based on steps'!$B$1:$AY$1,B$1)+SUMIFS('changes2_based on steps'!$B333:$U333,'changes2_based on steps'!$B$1:$U$1,B$1)</f>
        <v>0</v>
      </c>
      <c r="C333" s="179">
        <f>SUMIFS('recurring2_based on steps'!$B333:$AY333,'recurring2_based on steps'!$B$1:$AY$1,C$1)+SUMIFS('changes2_based on steps'!$B333:$U333,'changes2_based on steps'!$B$1:$U$1,C$1)</f>
        <v>0</v>
      </c>
      <c r="D333" s="179">
        <f>SUMIFS('recurring2_based on steps'!$B333:$AY333,'recurring2_based on steps'!$B$1:$AY$1,D$1)+SUMIFS('changes2_based on steps'!$B333:$U333,'changes2_based on steps'!$B$1:$U$1,D$1)</f>
        <v>0</v>
      </c>
      <c r="E333" s="179">
        <f>SUMIFS('recurring2_based on steps'!$B333:$AY333,'recurring2_based on steps'!$B$1:$AY$1,E$1)+SUMIFS('changes2_based on steps'!$B333:$U333,'changes2_based on steps'!$B$1:$U$1,E$1)</f>
        <v>0</v>
      </c>
      <c r="F333" s="179">
        <f>SUMIFS('recurring2_based on steps'!$B333:$AY333,'recurring2_based on steps'!$B$1:$AY$1,F$1)+SUMIFS('changes2_based on steps'!$B333:$U333,'changes2_based on steps'!$B$1:$U$1,F$1)</f>
        <v>0</v>
      </c>
      <c r="G333" s="179">
        <f>SUMIFS('recurring2_based on steps'!$B333:$AY333,'recurring2_based on steps'!$B$1:$AY$1,G$1)+SUMIFS('changes2_based on steps'!$B333:$U333,'changes2_based on steps'!$B$1:$U$1,G$1)</f>
        <v>0</v>
      </c>
      <c r="H333" s="179">
        <f>SUMIFS('recurring2_based on steps'!$B333:$AY333,'recurring2_based on steps'!$B$1:$AY$1,H$1)+SUMIFS('changes2_based on steps'!$B333:$U333,'changes2_based on steps'!$B$1:$U$1,H$1)</f>
        <v>0</v>
      </c>
      <c r="I333" s="179">
        <f>SUMIFS('recurring2_based on steps'!$B333:$AY333,'recurring2_based on steps'!$B$1:$AY$1,I$1)+SUMIFS('changes2_based on steps'!$B333:$U333,'changes2_based on steps'!$B$1:$U$1,I$1)</f>
        <v>0</v>
      </c>
      <c r="J333" s="179">
        <f>SUMIFS('recurring2_based on steps'!$B333:$AY333,'recurring2_based on steps'!$B$1:$AY$1,J$1)+SUMIFS('changes2_based on steps'!$B333:$U333,'changes2_based on steps'!$B$1:$U$1,J$1)</f>
        <v>0</v>
      </c>
      <c r="K333" s="179">
        <f>SUMIFS('recurring2_based on steps'!$B333:$AY333,'recurring2_based on steps'!$B$1:$AY$1,K$1)+SUMIFS('changes2_based on steps'!$B333:$U333,'changes2_based on steps'!$B$1:$U$1,K$1)</f>
        <v>0</v>
      </c>
      <c r="L333" s="179">
        <f>SUMIFS('recurring2_based on steps'!$B333:$AY333,'recurring2_based on steps'!$B$1:$AY$1,L$1)+SUMIFS('changes2_based on steps'!$B333:$U333,'changes2_based on steps'!$B$1:$U$1,L$1)</f>
        <v>0</v>
      </c>
      <c r="M333" s="179">
        <f>SUMIFS('recurring2_based on steps'!$B333:$AY333,'recurring2_based on steps'!$B$1:$AY$1,M$1)+SUMIFS('changes2_based on steps'!$B333:$U333,'changes2_based on steps'!$B$1:$U$1,M$1)</f>
        <v>0</v>
      </c>
      <c r="N333" s="179">
        <f>SUMIFS('recurring2_based on steps'!$B333:$AY333,'recurring2_based on steps'!$B$1:$AY$1,N$1)+SUMIFS('changes2_based on steps'!$B333:$U333,'changes2_based on steps'!$B$1:$U$1,N$1)</f>
        <v>0</v>
      </c>
      <c r="O333" s="179">
        <f>SUMIFS('recurring2_based on steps'!$B333:$AY333,'recurring2_based on steps'!$B$1:$AY$1,O$1)+SUMIFS('changes2_based on steps'!$B333:$U333,'changes2_based on steps'!$B$1:$U$1,O$1)</f>
        <v>0</v>
      </c>
      <c r="P333" s="179">
        <f>SUMIFS('recurring2_based on steps'!$B333:$AY333,'recurring2_based on steps'!$B$1:$AY$1,P$1)+SUMIFS('changes2_based on steps'!$B333:$U333,'changes2_based on steps'!$B$1:$U$1,P$1)</f>
        <v>0</v>
      </c>
      <c r="Q333" s="179">
        <f>SUMIFS('recurring2_based on steps'!$B333:$AY333,'recurring2_based on steps'!$B$1:$AY$1,Q$1)+SUMIFS('changes2_based on steps'!$B333:$U333,'changes2_based on steps'!$B$1:$U$1,Q$1)</f>
        <v>0</v>
      </c>
      <c r="R333" s="179">
        <f>SUMIFS('recurring2_based on steps'!$B333:$AY333,'recurring2_based on steps'!$B$1:$AY$1,R$1)+SUMIFS('changes2_based on steps'!$B333:$U333,'changes2_based on steps'!$B$1:$U$1,R$1)</f>
        <v>0</v>
      </c>
      <c r="S333" s="179">
        <f>SUMIFS('recurring2_based on steps'!$B333:$AY333,'recurring2_based on steps'!$B$1:$AY$1,S$1)+SUMIFS('changes2_based on steps'!$B333:$U333,'changes2_based on steps'!$B$1:$U$1,S$1)</f>
        <v>0</v>
      </c>
      <c r="T333" s="179">
        <f>SUMIFS('recurring2_based on steps'!$B333:$AY333,'recurring2_based on steps'!$B$1:$AY$1,T$1)+SUMIFS('changes2_based on steps'!$B333:$U333,'changes2_based on steps'!$B$1:$U$1,T$1)</f>
        <v>0</v>
      </c>
      <c r="U333" s="179">
        <f>SUMIFS('recurring2_based on steps'!$B333:$AY333,'recurring2_based on steps'!$B$1:$AY$1,U$1)+SUMIFS('changes2_based on steps'!$B333:$U333,'changes2_based on steps'!$B$1:$U$1,U$1)</f>
        <v>0</v>
      </c>
      <c r="V333" s="179">
        <f>SUMIFS('recurring2_based on steps'!$B333:$AY333,'recurring2_based on steps'!$B$1:$AY$1,V$1)+SUMIFS('changes2_based on steps'!$B333:$U333,'changes2_based on steps'!$B$1:$U$1,V$1)</f>
        <v>0</v>
      </c>
      <c r="W333" s="179">
        <f>SUMIFS('recurring2_based on steps'!$B333:$AY333,'recurring2_based on steps'!$B$1:$AY$1,W$1)+SUMIFS('changes2_based on steps'!$B333:$U333,'changes2_based on steps'!$B$1:$U$1,W$1)</f>
        <v>0</v>
      </c>
      <c r="X333" s="179">
        <f>SUMIFS('recurring2_based on steps'!$B333:$AY333,'recurring2_based on steps'!$B$1:$AY$1,X$1)+SUMIFS('changes2_based on steps'!$B333:$U333,'changes2_based on steps'!$B$1:$U$1,X$1)</f>
        <v>0</v>
      </c>
      <c r="Y333" s="179">
        <f>SUMIFS('recurring2_based on steps'!$B333:$AY333,'recurring2_based on steps'!$B$1:$AY$1,Y$1)+SUMIFS('changes2_based on steps'!$B333:$U333,'changes2_based on steps'!$B$1:$U$1,Y$1)</f>
        <v>0</v>
      </c>
      <c r="Z333" s="179">
        <f>SUMIFS('recurring2_based on steps'!$B333:$AY333,'recurring2_based on steps'!$B$1:$AY$1,Z$1)+SUMIFS('changes2_based on steps'!$B333:$U333,'changes2_based on steps'!$B$1:$U$1,Z$1)</f>
        <v>0</v>
      </c>
      <c r="AA333" s="179">
        <f>SUMIFS('recurring2_based on steps'!$B333:$AY333,'recurring2_based on steps'!$B$1:$AY$1,AA$1)+SUMIFS('changes2_based on steps'!$B333:$U333,'changes2_based on steps'!$B$1:$U$1,AA$1)</f>
        <v>0</v>
      </c>
      <c r="AB333" s="179">
        <f>SUMIFS('recurring2_based on steps'!$B333:$AY333,'recurring2_based on steps'!$B$1:$AY$1,AB$1)+SUMIFS('changes2_based on steps'!$B333:$U333,'changes2_based on steps'!$B$1:$U$1,AB$1)</f>
        <v>0</v>
      </c>
      <c r="AC333" s="179">
        <f>SUMIFS('recurring2_based on steps'!$B333:$AY333,'recurring2_based on steps'!$B$1:$AY$1,AC$1)+SUMIFS('changes2_based on steps'!$B333:$U333,'changes2_based on steps'!$B$1:$U$1,AC$1)</f>
        <v>0</v>
      </c>
      <c r="AD333" s="179">
        <f>SUMIFS('recurring2_based on steps'!$B333:$AY333,'recurring2_based on steps'!$B$1:$AY$1,AD$1)+SUMIFS('changes2_based on steps'!$B333:$U333,'changes2_based on steps'!$B$1:$U$1,AD$1)</f>
        <v>0</v>
      </c>
      <c r="AE333" s="179">
        <f>SUMIFS('recurring2_based on steps'!$B333:$AY333,'recurring2_based on steps'!$B$1:$AY$1,AE$1)+SUMIFS('changes2_based on steps'!$B333:$U333,'changes2_based on steps'!$B$1:$U$1,AE$1)</f>
        <v>0</v>
      </c>
      <c r="AF333" s="179"/>
      <c r="AG333" s="179"/>
      <c r="AH333" s="179"/>
      <c r="AI333" s="179"/>
      <c r="AJ333" s="179"/>
      <c r="AK333" s="179"/>
      <c r="AL333" s="179"/>
      <c r="AM333" s="179"/>
    </row>
    <row r="334" spans="1:39" x14ac:dyDescent="0.2">
      <c r="A334" s="32">
        <f t="shared" ca="1" si="5"/>
        <v>46076</v>
      </c>
      <c r="B334" s="179">
        <f>SUMIFS('recurring2_based on steps'!$B334:$AY334,'recurring2_based on steps'!$B$1:$AY$1,B$1)+SUMIFS('changes2_based on steps'!$B334:$U334,'changes2_based on steps'!$B$1:$U$1,B$1)</f>
        <v>0</v>
      </c>
      <c r="C334" s="179">
        <f>SUMIFS('recurring2_based on steps'!$B334:$AY334,'recurring2_based on steps'!$B$1:$AY$1,C$1)+SUMIFS('changes2_based on steps'!$B334:$U334,'changes2_based on steps'!$B$1:$U$1,C$1)</f>
        <v>0</v>
      </c>
      <c r="D334" s="179">
        <f>SUMIFS('recurring2_based on steps'!$B334:$AY334,'recurring2_based on steps'!$B$1:$AY$1,D$1)+SUMIFS('changes2_based on steps'!$B334:$U334,'changes2_based on steps'!$B$1:$U$1,D$1)</f>
        <v>0</v>
      </c>
      <c r="E334" s="179">
        <f>SUMIFS('recurring2_based on steps'!$B334:$AY334,'recurring2_based on steps'!$B$1:$AY$1,E$1)+SUMIFS('changes2_based on steps'!$B334:$U334,'changes2_based on steps'!$B$1:$U$1,E$1)</f>
        <v>0</v>
      </c>
      <c r="F334" s="179">
        <f>SUMIFS('recurring2_based on steps'!$B334:$AY334,'recurring2_based on steps'!$B$1:$AY$1,F$1)+SUMIFS('changes2_based on steps'!$B334:$U334,'changes2_based on steps'!$B$1:$U$1,F$1)</f>
        <v>0</v>
      </c>
      <c r="G334" s="179">
        <f>SUMIFS('recurring2_based on steps'!$B334:$AY334,'recurring2_based on steps'!$B$1:$AY$1,G$1)+SUMIFS('changes2_based on steps'!$B334:$U334,'changes2_based on steps'!$B$1:$U$1,G$1)</f>
        <v>0</v>
      </c>
      <c r="H334" s="179">
        <f>SUMIFS('recurring2_based on steps'!$B334:$AY334,'recurring2_based on steps'!$B$1:$AY$1,H$1)+SUMIFS('changes2_based on steps'!$B334:$U334,'changes2_based on steps'!$B$1:$U$1,H$1)</f>
        <v>0</v>
      </c>
      <c r="I334" s="179">
        <f>SUMIFS('recurring2_based on steps'!$B334:$AY334,'recurring2_based on steps'!$B$1:$AY$1,I$1)+SUMIFS('changes2_based on steps'!$B334:$U334,'changes2_based on steps'!$B$1:$U$1,I$1)</f>
        <v>0</v>
      </c>
      <c r="J334" s="179">
        <f>SUMIFS('recurring2_based on steps'!$B334:$AY334,'recurring2_based on steps'!$B$1:$AY$1,J$1)+SUMIFS('changes2_based on steps'!$B334:$U334,'changes2_based on steps'!$B$1:$U$1,J$1)</f>
        <v>0</v>
      </c>
      <c r="K334" s="179">
        <f>SUMIFS('recurring2_based on steps'!$B334:$AY334,'recurring2_based on steps'!$B$1:$AY$1,K$1)+SUMIFS('changes2_based on steps'!$B334:$U334,'changes2_based on steps'!$B$1:$U$1,K$1)</f>
        <v>0</v>
      </c>
      <c r="L334" s="179">
        <f>SUMIFS('recurring2_based on steps'!$B334:$AY334,'recurring2_based on steps'!$B$1:$AY$1,L$1)+SUMIFS('changes2_based on steps'!$B334:$U334,'changes2_based on steps'!$B$1:$U$1,L$1)</f>
        <v>0</v>
      </c>
      <c r="M334" s="179">
        <f>SUMIFS('recurring2_based on steps'!$B334:$AY334,'recurring2_based on steps'!$B$1:$AY$1,M$1)+SUMIFS('changes2_based on steps'!$B334:$U334,'changes2_based on steps'!$B$1:$U$1,M$1)</f>
        <v>0</v>
      </c>
      <c r="N334" s="179">
        <f>SUMIFS('recurring2_based on steps'!$B334:$AY334,'recurring2_based on steps'!$B$1:$AY$1,N$1)+SUMIFS('changes2_based on steps'!$B334:$U334,'changes2_based on steps'!$B$1:$U$1,N$1)</f>
        <v>0</v>
      </c>
      <c r="O334" s="179">
        <f>SUMIFS('recurring2_based on steps'!$B334:$AY334,'recurring2_based on steps'!$B$1:$AY$1,O$1)+SUMIFS('changes2_based on steps'!$B334:$U334,'changes2_based on steps'!$B$1:$U$1,O$1)</f>
        <v>0</v>
      </c>
      <c r="P334" s="179">
        <f>SUMIFS('recurring2_based on steps'!$B334:$AY334,'recurring2_based on steps'!$B$1:$AY$1,P$1)+SUMIFS('changes2_based on steps'!$B334:$U334,'changes2_based on steps'!$B$1:$U$1,P$1)</f>
        <v>0</v>
      </c>
      <c r="Q334" s="179">
        <f>SUMIFS('recurring2_based on steps'!$B334:$AY334,'recurring2_based on steps'!$B$1:$AY$1,Q$1)+SUMIFS('changes2_based on steps'!$B334:$U334,'changes2_based on steps'!$B$1:$U$1,Q$1)</f>
        <v>0</v>
      </c>
      <c r="R334" s="179">
        <f>SUMIFS('recurring2_based on steps'!$B334:$AY334,'recurring2_based on steps'!$B$1:$AY$1,R$1)+SUMIFS('changes2_based on steps'!$B334:$U334,'changes2_based on steps'!$B$1:$U$1,R$1)</f>
        <v>0</v>
      </c>
      <c r="S334" s="179">
        <f>SUMIFS('recurring2_based on steps'!$B334:$AY334,'recurring2_based on steps'!$B$1:$AY$1,S$1)+SUMIFS('changes2_based on steps'!$B334:$U334,'changes2_based on steps'!$B$1:$U$1,S$1)</f>
        <v>0</v>
      </c>
      <c r="T334" s="179">
        <f>SUMIFS('recurring2_based on steps'!$B334:$AY334,'recurring2_based on steps'!$B$1:$AY$1,T$1)+SUMIFS('changes2_based on steps'!$B334:$U334,'changes2_based on steps'!$B$1:$U$1,T$1)</f>
        <v>0</v>
      </c>
      <c r="U334" s="179">
        <f>SUMIFS('recurring2_based on steps'!$B334:$AY334,'recurring2_based on steps'!$B$1:$AY$1,U$1)+SUMIFS('changes2_based on steps'!$B334:$U334,'changes2_based on steps'!$B$1:$U$1,U$1)</f>
        <v>0</v>
      </c>
      <c r="V334" s="179">
        <f>SUMIFS('recurring2_based on steps'!$B334:$AY334,'recurring2_based on steps'!$B$1:$AY$1,V$1)+SUMIFS('changes2_based on steps'!$B334:$U334,'changes2_based on steps'!$B$1:$U$1,V$1)</f>
        <v>0</v>
      </c>
      <c r="W334" s="179">
        <f>SUMIFS('recurring2_based on steps'!$B334:$AY334,'recurring2_based on steps'!$B$1:$AY$1,W$1)+SUMIFS('changes2_based on steps'!$B334:$U334,'changes2_based on steps'!$B$1:$U$1,W$1)</f>
        <v>0</v>
      </c>
      <c r="X334" s="179">
        <f>SUMIFS('recurring2_based on steps'!$B334:$AY334,'recurring2_based on steps'!$B$1:$AY$1,X$1)+SUMIFS('changes2_based on steps'!$B334:$U334,'changes2_based on steps'!$B$1:$U$1,X$1)</f>
        <v>0</v>
      </c>
      <c r="Y334" s="179">
        <f>SUMIFS('recurring2_based on steps'!$B334:$AY334,'recurring2_based on steps'!$B$1:$AY$1,Y$1)+SUMIFS('changes2_based on steps'!$B334:$U334,'changes2_based on steps'!$B$1:$U$1,Y$1)</f>
        <v>0</v>
      </c>
      <c r="Z334" s="179">
        <f>SUMIFS('recurring2_based on steps'!$B334:$AY334,'recurring2_based on steps'!$B$1:$AY$1,Z$1)+SUMIFS('changes2_based on steps'!$B334:$U334,'changes2_based on steps'!$B$1:$U$1,Z$1)</f>
        <v>0</v>
      </c>
      <c r="AA334" s="179">
        <f>SUMIFS('recurring2_based on steps'!$B334:$AY334,'recurring2_based on steps'!$B$1:$AY$1,AA$1)+SUMIFS('changes2_based on steps'!$B334:$U334,'changes2_based on steps'!$B$1:$U$1,AA$1)</f>
        <v>0</v>
      </c>
      <c r="AB334" s="179">
        <f>SUMIFS('recurring2_based on steps'!$B334:$AY334,'recurring2_based on steps'!$B$1:$AY$1,AB$1)+SUMIFS('changes2_based on steps'!$B334:$U334,'changes2_based on steps'!$B$1:$U$1,AB$1)</f>
        <v>0</v>
      </c>
      <c r="AC334" s="179">
        <f>SUMIFS('recurring2_based on steps'!$B334:$AY334,'recurring2_based on steps'!$B$1:$AY$1,AC$1)+SUMIFS('changes2_based on steps'!$B334:$U334,'changes2_based on steps'!$B$1:$U$1,AC$1)</f>
        <v>0</v>
      </c>
      <c r="AD334" s="179">
        <f>SUMIFS('recurring2_based on steps'!$B334:$AY334,'recurring2_based on steps'!$B$1:$AY$1,AD$1)+SUMIFS('changes2_based on steps'!$B334:$U334,'changes2_based on steps'!$B$1:$U$1,AD$1)</f>
        <v>0</v>
      </c>
      <c r="AE334" s="179">
        <f>SUMIFS('recurring2_based on steps'!$B334:$AY334,'recurring2_based on steps'!$B$1:$AY$1,AE$1)+SUMIFS('changes2_based on steps'!$B334:$U334,'changes2_based on steps'!$B$1:$U$1,AE$1)</f>
        <v>0</v>
      </c>
      <c r="AF334" s="179"/>
      <c r="AG334" s="179"/>
      <c r="AH334" s="179"/>
      <c r="AI334" s="179"/>
      <c r="AJ334" s="179"/>
      <c r="AK334" s="179"/>
      <c r="AL334" s="179"/>
      <c r="AM334" s="179"/>
    </row>
    <row r="335" spans="1:39" x14ac:dyDescent="0.2">
      <c r="A335" s="32">
        <f t="shared" ca="1" si="5"/>
        <v>46077</v>
      </c>
      <c r="B335" s="179">
        <f>SUMIFS('recurring2_based on steps'!$B335:$AY335,'recurring2_based on steps'!$B$1:$AY$1,B$1)+SUMIFS('changes2_based on steps'!$B335:$U335,'changes2_based on steps'!$B$1:$U$1,B$1)</f>
        <v>0</v>
      </c>
      <c r="C335" s="179">
        <f>SUMIFS('recurring2_based on steps'!$B335:$AY335,'recurring2_based on steps'!$B$1:$AY$1,C$1)+SUMIFS('changes2_based on steps'!$B335:$U335,'changes2_based on steps'!$B$1:$U$1,C$1)</f>
        <v>0</v>
      </c>
      <c r="D335" s="179">
        <f>SUMIFS('recurring2_based on steps'!$B335:$AY335,'recurring2_based on steps'!$B$1:$AY$1,D$1)+SUMIFS('changes2_based on steps'!$B335:$U335,'changes2_based on steps'!$B$1:$U$1,D$1)</f>
        <v>0</v>
      </c>
      <c r="E335" s="179">
        <f>SUMIFS('recurring2_based on steps'!$B335:$AY335,'recurring2_based on steps'!$B$1:$AY$1,E$1)+SUMIFS('changes2_based on steps'!$B335:$U335,'changes2_based on steps'!$B$1:$U$1,E$1)</f>
        <v>0</v>
      </c>
      <c r="F335" s="179">
        <f>SUMIFS('recurring2_based on steps'!$B335:$AY335,'recurring2_based on steps'!$B$1:$AY$1,F$1)+SUMIFS('changes2_based on steps'!$B335:$U335,'changes2_based on steps'!$B$1:$U$1,F$1)</f>
        <v>0</v>
      </c>
      <c r="G335" s="179">
        <f>SUMIFS('recurring2_based on steps'!$B335:$AY335,'recurring2_based on steps'!$B$1:$AY$1,G$1)+SUMIFS('changes2_based on steps'!$B335:$U335,'changes2_based on steps'!$B$1:$U$1,G$1)</f>
        <v>0</v>
      </c>
      <c r="H335" s="179">
        <f>SUMIFS('recurring2_based on steps'!$B335:$AY335,'recurring2_based on steps'!$B$1:$AY$1,H$1)+SUMIFS('changes2_based on steps'!$B335:$U335,'changes2_based on steps'!$B$1:$U$1,H$1)</f>
        <v>0</v>
      </c>
      <c r="I335" s="179">
        <f>SUMIFS('recurring2_based on steps'!$B335:$AY335,'recurring2_based on steps'!$B$1:$AY$1,I$1)+SUMIFS('changes2_based on steps'!$B335:$U335,'changes2_based on steps'!$B$1:$U$1,I$1)</f>
        <v>0</v>
      </c>
      <c r="J335" s="179">
        <f>SUMIFS('recurring2_based on steps'!$B335:$AY335,'recurring2_based on steps'!$B$1:$AY$1,J$1)+SUMIFS('changes2_based on steps'!$B335:$U335,'changes2_based on steps'!$B$1:$U$1,J$1)</f>
        <v>0</v>
      </c>
      <c r="K335" s="179">
        <f>SUMIFS('recurring2_based on steps'!$B335:$AY335,'recurring2_based on steps'!$B$1:$AY$1,K$1)+SUMIFS('changes2_based on steps'!$B335:$U335,'changes2_based on steps'!$B$1:$U$1,K$1)</f>
        <v>0</v>
      </c>
      <c r="L335" s="179">
        <f>SUMIFS('recurring2_based on steps'!$B335:$AY335,'recurring2_based on steps'!$B$1:$AY$1,L$1)+SUMIFS('changes2_based on steps'!$B335:$U335,'changes2_based on steps'!$B$1:$U$1,L$1)</f>
        <v>0</v>
      </c>
      <c r="M335" s="179">
        <f>SUMIFS('recurring2_based on steps'!$B335:$AY335,'recurring2_based on steps'!$B$1:$AY$1,M$1)+SUMIFS('changes2_based on steps'!$B335:$U335,'changes2_based on steps'!$B$1:$U$1,M$1)</f>
        <v>0</v>
      </c>
      <c r="N335" s="179">
        <f>SUMIFS('recurring2_based on steps'!$B335:$AY335,'recurring2_based on steps'!$B$1:$AY$1,N$1)+SUMIFS('changes2_based on steps'!$B335:$U335,'changes2_based on steps'!$B$1:$U$1,N$1)</f>
        <v>0</v>
      </c>
      <c r="O335" s="179">
        <f>SUMIFS('recurring2_based on steps'!$B335:$AY335,'recurring2_based on steps'!$B$1:$AY$1,O$1)+SUMIFS('changes2_based on steps'!$B335:$U335,'changes2_based on steps'!$B$1:$U$1,O$1)</f>
        <v>0</v>
      </c>
      <c r="P335" s="179">
        <f>SUMIFS('recurring2_based on steps'!$B335:$AY335,'recurring2_based on steps'!$B$1:$AY$1,P$1)+SUMIFS('changes2_based on steps'!$B335:$U335,'changes2_based on steps'!$B$1:$U$1,P$1)</f>
        <v>0</v>
      </c>
      <c r="Q335" s="179">
        <f>SUMIFS('recurring2_based on steps'!$B335:$AY335,'recurring2_based on steps'!$B$1:$AY$1,Q$1)+SUMIFS('changes2_based on steps'!$B335:$U335,'changes2_based on steps'!$B$1:$U$1,Q$1)</f>
        <v>0</v>
      </c>
      <c r="R335" s="179">
        <f>SUMIFS('recurring2_based on steps'!$B335:$AY335,'recurring2_based on steps'!$B$1:$AY$1,R$1)+SUMIFS('changes2_based on steps'!$B335:$U335,'changes2_based on steps'!$B$1:$U$1,R$1)</f>
        <v>0</v>
      </c>
      <c r="S335" s="179">
        <f>SUMIFS('recurring2_based on steps'!$B335:$AY335,'recurring2_based on steps'!$B$1:$AY$1,S$1)+SUMIFS('changes2_based on steps'!$B335:$U335,'changes2_based on steps'!$B$1:$U$1,S$1)</f>
        <v>0</v>
      </c>
      <c r="T335" s="179">
        <f>SUMIFS('recurring2_based on steps'!$B335:$AY335,'recurring2_based on steps'!$B$1:$AY$1,T$1)+SUMIFS('changes2_based on steps'!$B335:$U335,'changes2_based on steps'!$B$1:$U$1,T$1)</f>
        <v>0</v>
      </c>
      <c r="U335" s="179">
        <f>SUMIFS('recurring2_based on steps'!$B335:$AY335,'recurring2_based on steps'!$B$1:$AY$1,U$1)+SUMIFS('changes2_based on steps'!$B335:$U335,'changes2_based on steps'!$B$1:$U$1,U$1)</f>
        <v>0</v>
      </c>
      <c r="V335" s="179">
        <f>SUMIFS('recurring2_based on steps'!$B335:$AY335,'recurring2_based on steps'!$B$1:$AY$1,V$1)+SUMIFS('changes2_based on steps'!$B335:$U335,'changes2_based on steps'!$B$1:$U$1,V$1)</f>
        <v>0</v>
      </c>
      <c r="W335" s="179">
        <f>SUMIFS('recurring2_based on steps'!$B335:$AY335,'recurring2_based on steps'!$B$1:$AY$1,W$1)+SUMIFS('changes2_based on steps'!$B335:$U335,'changes2_based on steps'!$B$1:$U$1,W$1)</f>
        <v>0</v>
      </c>
      <c r="X335" s="179">
        <f>SUMIFS('recurring2_based on steps'!$B335:$AY335,'recurring2_based on steps'!$B$1:$AY$1,X$1)+SUMIFS('changes2_based on steps'!$B335:$U335,'changes2_based on steps'!$B$1:$U$1,X$1)</f>
        <v>0</v>
      </c>
      <c r="Y335" s="179">
        <f>SUMIFS('recurring2_based on steps'!$B335:$AY335,'recurring2_based on steps'!$B$1:$AY$1,Y$1)+SUMIFS('changes2_based on steps'!$B335:$U335,'changes2_based on steps'!$B$1:$U$1,Y$1)</f>
        <v>0</v>
      </c>
      <c r="Z335" s="179">
        <f>SUMIFS('recurring2_based on steps'!$B335:$AY335,'recurring2_based on steps'!$B$1:$AY$1,Z$1)+SUMIFS('changes2_based on steps'!$B335:$U335,'changes2_based on steps'!$B$1:$U$1,Z$1)</f>
        <v>0</v>
      </c>
      <c r="AA335" s="179">
        <f>SUMIFS('recurring2_based on steps'!$B335:$AY335,'recurring2_based on steps'!$B$1:$AY$1,AA$1)+SUMIFS('changes2_based on steps'!$B335:$U335,'changes2_based on steps'!$B$1:$U$1,AA$1)</f>
        <v>0</v>
      </c>
      <c r="AB335" s="179">
        <f>SUMIFS('recurring2_based on steps'!$B335:$AY335,'recurring2_based on steps'!$B$1:$AY$1,AB$1)+SUMIFS('changes2_based on steps'!$B335:$U335,'changes2_based on steps'!$B$1:$U$1,AB$1)</f>
        <v>0</v>
      </c>
      <c r="AC335" s="179">
        <f>SUMIFS('recurring2_based on steps'!$B335:$AY335,'recurring2_based on steps'!$B$1:$AY$1,AC$1)+SUMIFS('changes2_based on steps'!$B335:$U335,'changes2_based on steps'!$B$1:$U$1,AC$1)</f>
        <v>0</v>
      </c>
      <c r="AD335" s="179">
        <f>SUMIFS('recurring2_based on steps'!$B335:$AY335,'recurring2_based on steps'!$B$1:$AY$1,AD$1)+SUMIFS('changes2_based on steps'!$B335:$U335,'changes2_based on steps'!$B$1:$U$1,AD$1)</f>
        <v>0</v>
      </c>
      <c r="AE335" s="179">
        <f>SUMIFS('recurring2_based on steps'!$B335:$AY335,'recurring2_based on steps'!$B$1:$AY$1,AE$1)+SUMIFS('changes2_based on steps'!$B335:$U335,'changes2_based on steps'!$B$1:$U$1,AE$1)</f>
        <v>0</v>
      </c>
      <c r="AF335" s="179"/>
      <c r="AG335" s="179"/>
      <c r="AH335" s="179"/>
      <c r="AI335" s="179"/>
      <c r="AJ335" s="179"/>
      <c r="AK335" s="179"/>
      <c r="AL335" s="179"/>
      <c r="AM335" s="179"/>
    </row>
    <row r="336" spans="1:39" x14ac:dyDescent="0.2">
      <c r="A336" s="32">
        <f t="shared" ca="1" si="5"/>
        <v>46078</v>
      </c>
      <c r="B336" s="179">
        <f>SUMIFS('recurring2_based on steps'!$B336:$AY336,'recurring2_based on steps'!$B$1:$AY$1,B$1)+SUMIFS('changes2_based on steps'!$B336:$U336,'changes2_based on steps'!$B$1:$U$1,B$1)</f>
        <v>0</v>
      </c>
      <c r="C336" s="179">
        <f>SUMIFS('recurring2_based on steps'!$B336:$AY336,'recurring2_based on steps'!$B$1:$AY$1,C$1)+SUMIFS('changes2_based on steps'!$B336:$U336,'changes2_based on steps'!$B$1:$U$1,C$1)</f>
        <v>0</v>
      </c>
      <c r="D336" s="179">
        <f>SUMIFS('recurring2_based on steps'!$B336:$AY336,'recurring2_based on steps'!$B$1:$AY$1,D$1)+SUMIFS('changes2_based on steps'!$B336:$U336,'changes2_based on steps'!$B$1:$U$1,D$1)</f>
        <v>0</v>
      </c>
      <c r="E336" s="179">
        <f>SUMIFS('recurring2_based on steps'!$B336:$AY336,'recurring2_based on steps'!$B$1:$AY$1,E$1)+SUMIFS('changes2_based on steps'!$B336:$U336,'changes2_based on steps'!$B$1:$U$1,E$1)</f>
        <v>0</v>
      </c>
      <c r="F336" s="179">
        <f>SUMIFS('recurring2_based on steps'!$B336:$AY336,'recurring2_based on steps'!$B$1:$AY$1,F$1)+SUMIFS('changes2_based on steps'!$B336:$U336,'changes2_based on steps'!$B$1:$U$1,F$1)</f>
        <v>0</v>
      </c>
      <c r="G336" s="179">
        <f>SUMIFS('recurring2_based on steps'!$B336:$AY336,'recurring2_based on steps'!$B$1:$AY$1,G$1)+SUMIFS('changes2_based on steps'!$B336:$U336,'changes2_based on steps'!$B$1:$U$1,G$1)</f>
        <v>0</v>
      </c>
      <c r="H336" s="179">
        <f>SUMIFS('recurring2_based on steps'!$B336:$AY336,'recurring2_based on steps'!$B$1:$AY$1,H$1)+SUMIFS('changes2_based on steps'!$B336:$U336,'changes2_based on steps'!$B$1:$U$1,H$1)</f>
        <v>0</v>
      </c>
      <c r="I336" s="179">
        <f>SUMIFS('recurring2_based on steps'!$B336:$AY336,'recurring2_based on steps'!$B$1:$AY$1,I$1)+SUMIFS('changes2_based on steps'!$B336:$U336,'changes2_based on steps'!$B$1:$U$1,I$1)</f>
        <v>0</v>
      </c>
      <c r="J336" s="179">
        <f>SUMIFS('recurring2_based on steps'!$B336:$AY336,'recurring2_based on steps'!$B$1:$AY$1,J$1)+SUMIFS('changes2_based on steps'!$B336:$U336,'changes2_based on steps'!$B$1:$U$1,J$1)</f>
        <v>0</v>
      </c>
      <c r="K336" s="179">
        <f>SUMIFS('recurring2_based on steps'!$B336:$AY336,'recurring2_based on steps'!$B$1:$AY$1,K$1)+SUMIFS('changes2_based on steps'!$B336:$U336,'changes2_based on steps'!$B$1:$U$1,K$1)</f>
        <v>0</v>
      </c>
      <c r="L336" s="179">
        <f>SUMIFS('recurring2_based on steps'!$B336:$AY336,'recurring2_based on steps'!$B$1:$AY$1,L$1)+SUMIFS('changes2_based on steps'!$B336:$U336,'changes2_based on steps'!$B$1:$U$1,L$1)</f>
        <v>0</v>
      </c>
      <c r="M336" s="179">
        <f>SUMIFS('recurring2_based on steps'!$B336:$AY336,'recurring2_based on steps'!$B$1:$AY$1,M$1)+SUMIFS('changes2_based on steps'!$B336:$U336,'changes2_based on steps'!$B$1:$U$1,M$1)</f>
        <v>0</v>
      </c>
      <c r="N336" s="179">
        <f>SUMIFS('recurring2_based on steps'!$B336:$AY336,'recurring2_based on steps'!$B$1:$AY$1,N$1)+SUMIFS('changes2_based on steps'!$B336:$U336,'changes2_based on steps'!$B$1:$U$1,N$1)</f>
        <v>0</v>
      </c>
      <c r="O336" s="179">
        <f>SUMIFS('recurring2_based on steps'!$B336:$AY336,'recurring2_based on steps'!$B$1:$AY$1,O$1)+SUMIFS('changes2_based on steps'!$B336:$U336,'changes2_based on steps'!$B$1:$U$1,O$1)</f>
        <v>0</v>
      </c>
      <c r="P336" s="179">
        <f>SUMIFS('recurring2_based on steps'!$B336:$AY336,'recurring2_based on steps'!$B$1:$AY$1,P$1)+SUMIFS('changes2_based on steps'!$B336:$U336,'changes2_based on steps'!$B$1:$U$1,P$1)</f>
        <v>0</v>
      </c>
      <c r="Q336" s="179">
        <f>SUMIFS('recurring2_based on steps'!$B336:$AY336,'recurring2_based on steps'!$B$1:$AY$1,Q$1)+SUMIFS('changes2_based on steps'!$B336:$U336,'changes2_based on steps'!$B$1:$U$1,Q$1)</f>
        <v>0</v>
      </c>
      <c r="R336" s="179">
        <f>SUMIFS('recurring2_based on steps'!$B336:$AY336,'recurring2_based on steps'!$B$1:$AY$1,R$1)+SUMIFS('changes2_based on steps'!$B336:$U336,'changes2_based on steps'!$B$1:$U$1,R$1)</f>
        <v>0</v>
      </c>
      <c r="S336" s="179">
        <f>SUMIFS('recurring2_based on steps'!$B336:$AY336,'recurring2_based on steps'!$B$1:$AY$1,S$1)+SUMIFS('changes2_based on steps'!$B336:$U336,'changes2_based on steps'!$B$1:$U$1,S$1)</f>
        <v>0</v>
      </c>
      <c r="T336" s="179">
        <f>SUMIFS('recurring2_based on steps'!$B336:$AY336,'recurring2_based on steps'!$B$1:$AY$1,T$1)+SUMIFS('changes2_based on steps'!$B336:$U336,'changes2_based on steps'!$B$1:$U$1,T$1)</f>
        <v>0</v>
      </c>
      <c r="U336" s="179">
        <f>SUMIFS('recurring2_based on steps'!$B336:$AY336,'recurring2_based on steps'!$B$1:$AY$1,U$1)+SUMIFS('changes2_based on steps'!$B336:$U336,'changes2_based on steps'!$B$1:$U$1,U$1)</f>
        <v>0</v>
      </c>
      <c r="V336" s="179">
        <f>SUMIFS('recurring2_based on steps'!$B336:$AY336,'recurring2_based on steps'!$B$1:$AY$1,V$1)+SUMIFS('changes2_based on steps'!$B336:$U336,'changes2_based on steps'!$B$1:$U$1,V$1)</f>
        <v>0</v>
      </c>
      <c r="W336" s="179">
        <f>SUMIFS('recurring2_based on steps'!$B336:$AY336,'recurring2_based on steps'!$B$1:$AY$1,W$1)+SUMIFS('changes2_based on steps'!$B336:$U336,'changes2_based on steps'!$B$1:$U$1,W$1)</f>
        <v>0</v>
      </c>
      <c r="X336" s="179">
        <f>SUMIFS('recurring2_based on steps'!$B336:$AY336,'recurring2_based on steps'!$B$1:$AY$1,X$1)+SUMIFS('changes2_based on steps'!$B336:$U336,'changes2_based on steps'!$B$1:$U$1,X$1)</f>
        <v>0</v>
      </c>
      <c r="Y336" s="179">
        <f>SUMIFS('recurring2_based on steps'!$B336:$AY336,'recurring2_based on steps'!$B$1:$AY$1,Y$1)+SUMIFS('changes2_based on steps'!$B336:$U336,'changes2_based on steps'!$B$1:$U$1,Y$1)</f>
        <v>0</v>
      </c>
      <c r="Z336" s="179">
        <f>SUMIFS('recurring2_based on steps'!$B336:$AY336,'recurring2_based on steps'!$B$1:$AY$1,Z$1)+SUMIFS('changes2_based on steps'!$B336:$U336,'changes2_based on steps'!$B$1:$U$1,Z$1)</f>
        <v>0</v>
      </c>
      <c r="AA336" s="179">
        <f>SUMIFS('recurring2_based on steps'!$B336:$AY336,'recurring2_based on steps'!$B$1:$AY$1,AA$1)+SUMIFS('changes2_based on steps'!$B336:$U336,'changes2_based on steps'!$B$1:$U$1,AA$1)</f>
        <v>0</v>
      </c>
      <c r="AB336" s="179">
        <f>SUMIFS('recurring2_based on steps'!$B336:$AY336,'recurring2_based on steps'!$B$1:$AY$1,AB$1)+SUMIFS('changes2_based on steps'!$B336:$U336,'changes2_based on steps'!$B$1:$U$1,AB$1)</f>
        <v>0</v>
      </c>
      <c r="AC336" s="179">
        <f>SUMIFS('recurring2_based on steps'!$B336:$AY336,'recurring2_based on steps'!$B$1:$AY$1,AC$1)+SUMIFS('changes2_based on steps'!$B336:$U336,'changes2_based on steps'!$B$1:$U$1,AC$1)</f>
        <v>0</v>
      </c>
      <c r="AD336" s="179">
        <f>SUMIFS('recurring2_based on steps'!$B336:$AY336,'recurring2_based on steps'!$B$1:$AY$1,AD$1)+SUMIFS('changes2_based on steps'!$B336:$U336,'changes2_based on steps'!$B$1:$U$1,AD$1)</f>
        <v>0</v>
      </c>
      <c r="AE336" s="179">
        <f>SUMIFS('recurring2_based on steps'!$B336:$AY336,'recurring2_based on steps'!$B$1:$AY$1,AE$1)+SUMIFS('changes2_based on steps'!$B336:$U336,'changes2_based on steps'!$B$1:$U$1,AE$1)</f>
        <v>0</v>
      </c>
      <c r="AF336" s="179"/>
      <c r="AG336" s="179"/>
      <c r="AH336" s="179"/>
      <c r="AI336" s="179"/>
      <c r="AJ336" s="179"/>
      <c r="AK336" s="179"/>
      <c r="AL336" s="179"/>
      <c r="AM336" s="179"/>
    </row>
    <row r="337" spans="1:39" x14ac:dyDescent="0.2">
      <c r="A337" s="32">
        <f t="shared" ca="1" si="5"/>
        <v>46079</v>
      </c>
      <c r="B337" s="179">
        <f>SUMIFS('recurring2_based on steps'!$B337:$AY337,'recurring2_based on steps'!$B$1:$AY$1,B$1)+SUMIFS('changes2_based on steps'!$B337:$U337,'changes2_based on steps'!$B$1:$U$1,B$1)</f>
        <v>0</v>
      </c>
      <c r="C337" s="179">
        <f>SUMIFS('recurring2_based on steps'!$B337:$AY337,'recurring2_based on steps'!$B$1:$AY$1,C$1)+SUMIFS('changes2_based on steps'!$B337:$U337,'changes2_based on steps'!$B$1:$U$1,C$1)</f>
        <v>0</v>
      </c>
      <c r="D337" s="179">
        <f>SUMIFS('recurring2_based on steps'!$B337:$AY337,'recurring2_based on steps'!$B$1:$AY$1,D$1)+SUMIFS('changes2_based on steps'!$B337:$U337,'changes2_based on steps'!$B$1:$U$1,D$1)</f>
        <v>0</v>
      </c>
      <c r="E337" s="179">
        <f>SUMIFS('recurring2_based on steps'!$B337:$AY337,'recurring2_based on steps'!$B$1:$AY$1,E$1)+SUMIFS('changes2_based on steps'!$B337:$U337,'changes2_based on steps'!$B$1:$U$1,E$1)</f>
        <v>0</v>
      </c>
      <c r="F337" s="179">
        <f>SUMIFS('recurring2_based on steps'!$B337:$AY337,'recurring2_based on steps'!$B$1:$AY$1,F$1)+SUMIFS('changes2_based on steps'!$B337:$U337,'changes2_based on steps'!$B$1:$U$1,F$1)</f>
        <v>0</v>
      </c>
      <c r="G337" s="179">
        <f>SUMIFS('recurring2_based on steps'!$B337:$AY337,'recurring2_based on steps'!$B$1:$AY$1,G$1)+SUMIFS('changes2_based on steps'!$B337:$U337,'changes2_based on steps'!$B$1:$U$1,G$1)</f>
        <v>0</v>
      </c>
      <c r="H337" s="179">
        <f>SUMIFS('recurring2_based on steps'!$B337:$AY337,'recurring2_based on steps'!$B$1:$AY$1,H$1)+SUMIFS('changes2_based on steps'!$B337:$U337,'changes2_based on steps'!$B$1:$U$1,H$1)</f>
        <v>0</v>
      </c>
      <c r="I337" s="179">
        <f>SUMIFS('recurring2_based on steps'!$B337:$AY337,'recurring2_based on steps'!$B$1:$AY$1,I$1)+SUMIFS('changes2_based on steps'!$B337:$U337,'changes2_based on steps'!$B$1:$U$1,I$1)</f>
        <v>0</v>
      </c>
      <c r="J337" s="179">
        <f>SUMIFS('recurring2_based on steps'!$B337:$AY337,'recurring2_based on steps'!$B$1:$AY$1,J$1)+SUMIFS('changes2_based on steps'!$B337:$U337,'changes2_based on steps'!$B$1:$U$1,J$1)</f>
        <v>0</v>
      </c>
      <c r="K337" s="179">
        <f>SUMIFS('recurring2_based on steps'!$B337:$AY337,'recurring2_based on steps'!$B$1:$AY$1,K$1)+SUMIFS('changes2_based on steps'!$B337:$U337,'changes2_based on steps'!$B$1:$U$1,K$1)</f>
        <v>0</v>
      </c>
      <c r="L337" s="179">
        <f>SUMIFS('recurring2_based on steps'!$B337:$AY337,'recurring2_based on steps'!$B$1:$AY$1,L$1)+SUMIFS('changes2_based on steps'!$B337:$U337,'changes2_based on steps'!$B$1:$U$1,L$1)</f>
        <v>0</v>
      </c>
      <c r="M337" s="179">
        <f>SUMIFS('recurring2_based on steps'!$B337:$AY337,'recurring2_based on steps'!$B$1:$AY$1,M$1)+SUMIFS('changes2_based on steps'!$B337:$U337,'changes2_based on steps'!$B$1:$U$1,M$1)</f>
        <v>0</v>
      </c>
      <c r="N337" s="179">
        <f>SUMIFS('recurring2_based on steps'!$B337:$AY337,'recurring2_based on steps'!$B$1:$AY$1,N$1)+SUMIFS('changes2_based on steps'!$B337:$U337,'changes2_based on steps'!$B$1:$U$1,N$1)</f>
        <v>0</v>
      </c>
      <c r="O337" s="179">
        <f>SUMIFS('recurring2_based on steps'!$B337:$AY337,'recurring2_based on steps'!$B$1:$AY$1,O$1)+SUMIFS('changes2_based on steps'!$B337:$U337,'changes2_based on steps'!$B$1:$U$1,O$1)</f>
        <v>0</v>
      </c>
      <c r="P337" s="179">
        <f>SUMIFS('recurring2_based on steps'!$B337:$AY337,'recurring2_based on steps'!$B$1:$AY$1,P$1)+SUMIFS('changes2_based on steps'!$B337:$U337,'changes2_based on steps'!$B$1:$U$1,P$1)</f>
        <v>0</v>
      </c>
      <c r="Q337" s="179">
        <f>SUMIFS('recurring2_based on steps'!$B337:$AY337,'recurring2_based on steps'!$B$1:$AY$1,Q$1)+SUMIFS('changes2_based on steps'!$B337:$U337,'changes2_based on steps'!$B$1:$U$1,Q$1)</f>
        <v>0</v>
      </c>
      <c r="R337" s="179">
        <f>SUMIFS('recurring2_based on steps'!$B337:$AY337,'recurring2_based on steps'!$B$1:$AY$1,R$1)+SUMIFS('changes2_based on steps'!$B337:$U337,'changes2_based on steps'!$B$1:$U$1,R$1)</f>
        <v>0</v>
      </c>
      <c r="S337" s="179">
        <f>SUMIFS('recurring2_based on steps'!$B337:$AY337,'recurring2_based on steps'!$B$1:$AY$1,S$1)+SUMIFS('changes2_based on steps'!$B337:$U337,'changes2_based on steps'!$B$1:$U$1,S$1)</f>
        <v>0</v>
      </c>
      <c r="T337" s="179">
        <f>SUMIFS('recurring2_based on steps'!$B337:$AY337,'recurring2_based on steps'!$B$1:$AY$1,T$1)+SUMIFS('changes2_based on steps'!$B337:$U337,'changes2_based on steps'!$B$1:$U$1,T$1)</f>
        <v>0</v>
      </c>
      <c r="U337" s="179">
        <f>SUMIFS('recurring2_based on steps'!$B337:$AY337,'recurring2_based on steps'!$B$1:$AY$1,U$1)+SUMIFS('changes2_based on steps'!$B337:$U337,'changes2_based on steps'!$B$1:$U$1,U$1)</f>
        <v>0</v>
      </c>
      <c r="V337" s="179">
        <f>SUMIFS('recurring2_based on steps'!$B337:$AY337,'recurring2_based on steps'!$B$1:$AY$1,V$1)+SUMIFS('changes2_based on steps'!$B337:$U337,'changes2_based on steps'!$B$1:$U$1,V$1)</f>
        <v>0</v>
      </c>
      <c r="W337" s="179">
        <f>SUMIFS('recurring2_based on steps'!$B337:$AY337,'recurring2_based on steps'!$B$1:$AY$1,W$1)+SUMIFS('changes2_based on steps'!$B337:$U337,'changes2_based on steps'!$B$1:$U$1,W$1)</f>
        <v>0</v>
      </c>
      <c r="X337" s="179">
        <f>SUMIFS('recurring2_based on steps'!$B337:$AY337,'recurring2_based on steps'!$B$1:$AY$1,X$1)+SUMIFS('changes2_based on steps'!$B337:$U337,'changes2_based on steps'!$B$1:$U$1,X$1)</f>
        <v>0</v>
      </c>
      <c r="Y337" s="179">
        <f>SUMIFS('recurring2_based on steps'!$B337:$AY337,'recurring2_based on steps'!$B$1:$AY$1,Y$1)+SUMIFS('changes2_based on steps'!$B337:$U337,'changes2_based on steps'!$B$1:$U$1,Y$1)</f>
        <v>0</v>
      </c>
      <c r="Z337" s="179">
        <f>SUMIFS('recurring2_based on steps'!$B337:$AY337,'recurring2_based on steps'!$B$1:$AY$1,Z$1)+SUMIFS('changes2_based on steps'!$B337:$U337,'changes2_based on steps'!$B$1:$U$1,Z$1)</f>
        <v>0</v>
      </c>
      <c r="AA337" s="179">
        <f>SUMIFS('recurring2_based on steps'!$B337:$AY337,'recurring2_based on steps'!$B$1:$AY$1,AA$1)+SUMIFS('changes2_based on steps'!$B337:$U337,'changes2_based on steps'!$B$1:$U$1,AA$1)</f>
        <v>0</v>
      </c>
      <c r="AB337" s="179">
        <f>SUMIFS('recurring2_based on steps'!$B337:$AY337,'recurring2_based on steps'!$B$1:$AY$1,AB$1)+SUMIFS('changes2_based on steps'!$B337:$U337,'changes2_based on steps'!$B$1:$U$1,AB$1)</f>
        <v>0</v>
      </c>
      <c r="AC337" s="179">
        <f>SUMIFS('recurring2_based on steps'!$B337:$AY337,'recurring2_based on steps'!$B$1:$AY$1,AC$1)+SUMIFS('changes2_based on steps'!$B337:$U337,'changes2_based on steps'!$B$1:$U$1,AC$1)</f>
        <v>0</v>
      </c>
      <c r="AD337" s="179">
        <f>SUMIFS('recurring2_based on steps'!$B337:$AY337,'recurring2_based on steps'!$B$1:$AY$1,AD$1)+SUMIFS('changes2_based on steps'!$B337:$U337,'changes2_based on steps'!$B$1:$U$1,AD$1)</f>
        <v>0</v>
      </c>
      <c r="AE337" s="179">
        <f>SUMIFS('recurring2_based on steps'!$B337:$AY337,'recurring2_based on steps'!$B$1:$AY$1,AE$1)+SUMIFS('changes2_based on steps'!$B337:$U337,'changes2_based on steps'!$B$1:$U$1,AE$1)</f>
        <v>0</v>
      </c>
      <c r="AF337" s="179"/>
      <c r="AG337" s="179"/>
      <c r="AH337" s="179"/>
      <c r="AI337" s="179"/>
      <c r="AJ337" s="179"/>
      <c r="AK337" s="179"/>
      <c r="AL337" s="179"/>
      <c r="AM337" s="179"/>
    </row>
    <row r="338" spans="1:39" x14ac:dyDescent="0.2">
      <c r="A338" s="32">
        <f t="shared" ca="1" si="5"/>
        <v>46080</v>
      </c>
      <c r="B338" s="179">
        <f>SUMIFS('recurring2_based on steps'!$B338:$AY338,'recurring2_based on steps'!$B$1:$AY$1,B$1)+SUMIFS('changes2_based on steps'!$B338:$U338,'changes2_based on steps'!$B$1:$U$1,B$1)</f>
        <v>0</v>
      </c>
      <c r="C338" s="179">
        <f>SUMIFS('recurring2_based on steps'!$B338:$AY338,'recurring2_based on steps'!$B$1:$AY$1,C$1)+SUMIFS('changes2_based on steps'!$B338:$U338,'changes2_based on steps'!$B$1:$U$1,C$1)</f>
        <v>0</v>
      </c>
      <c r="D338" s="179">
        <f>SUMIFS('recurring2_based on steps'!$B338:$AY338,'recurring2_based on steps'!$B$1:$AY$1,D$1)+SUMIFS('changes2_based on steps'!$B338:$U338,'changes2_based on steps'!$B$1:$U$1,D$1)</f>
        <v>0</v>
      </c>
      <c r="E338" s="179">
        <f>SUMIFS('recurring2_based on steps'!$B338:$AY338,'recurring2_based on steps'!$B$1:$AY$1,E$1)+SUMIFS('changes2_based on steps'!$B338:$U338,'changes2_based on steps'!$B$1:$U$1,E$1)</f>
        <v>0</v>
      </c>
      <c r="F338" s="179">
        <f>SUMIFS('recurring2_based on steps'!$B338:$AY338,'recurring2_based on steps'!$B$1:$AY$1,F$1)+SUMIFS('changes2_based on steps'!$B338:$U338,'changes2_based on steps'!$B$1:$U$1,F$1)</f>
        <v>0</v>
      </c>
      <c r="G338" s="179">
        <f>SUMIFS('recurring2_based on steps'!$B338:$AY338,'recurring2_based on steps'!$B$1:$AY$1,G$1)+SUMIFS('changes2_based on steps'!$B338:$U338,'changes2_based on steps'!$B$1:$U$1,G$1)</f>
        <v>0</v>
      </c>
      <c r="H338" s="179">
        <f>SUMIFS('recurring2_based on steps'!$B338:$AY338,'recurring2_based on steps'!$B$1:$AY$1,H$1)+SUMIFS('changes2_based on steps'!$B338:$U338,'changes2_based on steps'!$B$1:$U$1,H$1)</f>
        <v>0</v>
      </c>
      <c r="I338" s="179">
        <f>SUMIFS('recurring2_based on steps'!$B338:$AY338,'recurring2_based on steps'!$B$1:$AY$1,I$1)+SUMIFS('changes2_based on steps'!$B338:$U338,'changes2_based on steps'!$B$1:$U$1,I$1)</f>
        <v>0</v>
      </c>
      <c r="J338" s="179">
        <f>SUMIFS('recurring2_based on steps'!$B338:$AY338,'recurring2_based on steps'!$B$1:$AY$1,J$1)+SUMIFS('changes2_based on steps'!$B338:$U338,'changes2_based on steps'!$B$1:$U$1,J$1)</f>
        <v>0</v>
      </c>
      <c r="K338" s="179">
        <f>SUMIFS('recurring2_based on steps'!$B338:$AY338,'recurring2_based on steps'!$B$1:$AY$1,K$1)+SUMIFS('changes2_based on steps'!$B338:$U338,'changes2_based on steps'!$B$1:$U$1,K$1)</f>
        <v>0</v>
      </c>
      <c r="L338" s="179">
        <f>SUMIFS('recurring2_based on steps'!$B338:$AY338,'recurring2_based on steps'!$B$1:$AY$1,L$1)+SUMIFS('changes2_based on steps'!$B338:$U338,'changes2_based on steps'!$B$1:$U$1,L$1)</f>
        <v>0</v>
      </c>
      <c r="M338" s="179">
        <f>SUMIFS('recurring2_based on steps'!$B338:$AY338,'recurring2_based on steps'!$B$1:$AY$1,M$1)+SUMIFS('changes2_based on steps'!$B338:$U338,'changes2_based on steps'!$B$1:$U$1,M$1)</f>
        <v>0</v>
      </c>
      <c r="N338" s="179">
        <f>SUMIFS('recurring2_based on steps'!$B338:$AY338,'recurring2_based on steps'!$B$1:$AY$1,N$1)+SUMIFS('changes2_based on steps'!$B338:$U338,'changes2_based on steps'!$B$1:$U$1,N$1)</f>
        <v>0</v>
      </c>
      <c r="O338" s="179">
        <f>SUMIFS('recurring2_based on steps'!$B338:$AY338,'recurring2_based on steps'!$B$1:$AY$1,O$1)+SUMIFS('changes2_based on steps'!$B338:$U338,'changes2_based on steps'!$B$1:$U$1,O$1)</f>
        <v>0</v>
      </c>
      <c r="P338" s="179">
        <f>SUMIFS('recurring2_based on steps'!$B338:$AY338,'recurring2_based on steps'!$B$1:$AY$1,P$1)+SUMIFS('changes2_based on steps'!$B338:$U338,'changes2_based on steps'!$B$1:$U$1,P$1)</f>
        <v>0</v>
      </c>
      <c r="Q338" s="179">
        <f>SUMIFS('recurring2_based on steps'!$B338:$AY338,'recurring2_based on steps'!$B$1:$AY$1,Q$1)+SUMIFS('changes2_based on steps'!$B338:$U338,'changes2_based on steps'!$B$1:$U$1,Q$1)</f>
        <v>0</v>
      </c>
      <c r="R338" s="179">
        <f>SUMIFS('recurring2_based on steps'!$B338:$AY338,'recurring2_based on steps'!$B$1:$AY$1,R$1)+SUMIFS('changes2_based on steps'!$B338:$U338,'changes2_based on steps'!$B$1:$U$1,R$1)</f>
        <v>0</v>
      </c>
      <c r="S338" s="179">
        <f>SUMIFS('recurring2_based on steps'!$B338:$AY338,'recurring2_based on steps'!$B$1:$AY$1,S$1)+SUMIFS('changes2_based on steps'!$B338:$U338,'changes2_based on steps'!$B$1:$U$1,S$1)</f>
        <v>0</v>
      </c>
      <c r="T338" s="179">
        <f>SUMIFS('recurring2_based on steps'!$B338:$AY338,'recurring2_based on steps'!$B$1:$AY$1,T$1)+SUMIFS('changes2_based on steps'!$B338:$U338,'changes2_based on steps'!$B$1:$U$1,T$1)</f>
        <v>0</v>
      </c>
      <c r="U338" s="179">
        <f>SUMIFS('recurring2_based on steps'!$B338:$AY338,'recurring2_based on steps'!$B$1:$AY$1,U$1)+SUMIFS('changes2_based on steps'!$B338:$U338,'changes2_based on steps'!$B$1:$U$1,U$1)</f>
        <v>0</v>
      </c>
      <c r="V338" s="179">
        <f>SUMIFS('recurring2_based on steps'!$B338:$AY338,'recurring2_based on steps'!$B$1:$AY$1,V$1)+SUMIFS('changes2_based on steps'!$B338:$U338,'changes2_based on steps'!$B$1:$U$1,V$1)</f>
        <v>0</v>
      </c>
      <c r="W338" s="179">
        <f>SUMIFS('recurring2_based on steps'!$B338:$AY338,'recurring2_based on steps'!$B$1:$AY$1,W$1)+SUMIFS('changes2_based on steps'!$B338:$U338,'changes2_based on steps'!$B$1:$U$1,W$1)</f>
        <v>0</v>
      </c>
      <c r="X338" s="179">
        <f>SUMIFS('recurring2_based on steps'!$B338:$AY338,'recurring2_based on steps'!$B$1:$AY$1,X$1)+SUMIFS('changes2_based on steps'!$B338:$U338,'changes2_based on steps'!$B$1:$U$1,X$1)</f>
        <v>0</v>
      </c>
      <c r="Y338" s="179">
        <f>SUMIFS('recurring2_based on steps'!$B338:$AY338,'recurring2_based on steps'!$B$1:$AY$1,Y$1)+SUMIFS('changes2_based on steps'!$B338:$U338,'changes2_based on steps'!$B$1:$U$1,Y$1)</f>
        <v>0</v>
      </c>
      <c r="Z338" s="179">
        <f>SUMIFS('recurring2_based on steps'!$B338:$AY338,'recurring2_based on steps'!$B$1:$AY$1,Z$1)+SUMIFS('changes2_based on steps'!$B338:$U338,'changes2_based on steps'!$B$1:$U$1,Z$1)</f>
        <v>0</v>
      </c>
      <c r="AA338" s="179">
        <f>SUMIFS('recurring2_based on steps'!$B338:$AY338,'recurring2_based on steps'!$B$1:$AY$1,AA$1)+SUMIFS('changes2_based on steps'!$B338:$U338,'changes2_based on steps'!$B$1:$U$1,AA$1)</f>
        <v>0</v>
      </c>
      <c r="AB338" s="179">
        <f>SUMIFS('recurring2_based on steps'!$B338:$AY338,'recurring2_based on steps'!$B$1:$AY$1,AB$1)+SUMIFS('changes2_based on steps'!$B338:$U338,'changes2_based on steps'!$B$1:$U$1,AB$1)</f>
        <v>0</v>
      </c>
      <c r="AC338" s="179">
        <f>SUMIFS('recurring2_based on steps'!$B338:$AY338,'recurring2_based on steps'!$B$1:$AY$1,AC$1)+SUMIFS('changes2_based on steps'!$B338:$U338,'changes2_based on steps'!$B$1:$U$1,AC$1)</f>
        <v>0</v>
      </c>
      <c r="AD338" s="179">
        <f>SUMIFS('recurring2_based on steps'!$B338:$AY338,'recurring2_based on steps'!$B$1:$AY$1,AD$1)+SUMIFS('changes2_based on steps'!$B338:$U338,'changes2_based on steps'!$B$1:$U$1,AD$1)</f>
        <v>0</v>
      </c>
      <c r="AE338" s="179">
        <f>SUMIFS('recurring2_based on steps'!$B338:$AY338,'recurring2_based on steps'!$B$1:$AY$1,AE$1)+SUMIFS('changes2_based on steps'!$B338:$U338,'changes2_based on steps'!$B$1:$U$1,AE$1)</f>
        <v>0</v>
      </c>
      <c r="AF338" s="179"/>
      <c r="AG338" s="179"/>
      <c r="AH338" s="179"/>
      <c r="AI338" s="179"/>
      <c r="AJ338" s="179"/>
      <c r="AK338" s="179"/>
      <c r="AL338" s="179"/>
      <c r="AM338" s="179"/>
    </row>
    <row r="339" spans="1:39" x14ac:dyDescent="0.2">
      <c r="A339" s="32">
        <f t="shared" ca="1" si="5"/>
        <v>46081</v>
      </c>
      <c r="B339" s="179">
        <f>SUMIFS('recurring2_based on steps'!$B339:$AY339,'recurring2_based on steps'!$B$1:$AY$1,B$1)+SUMIFS('changes2_based on steps'!$B339:$U339,'changes2_based on steps'!$B$1:$U$1,B$1)</f>
        <v>0</v>
      </c>
      <c r="C339" s="179">
        <f>SUMIFS('recurring2_based on steps'!$B339:$AY339,'recurring2_based on steps'!$B$1:$AY$1,C$1)+SUMIFS('changes2_based on steps'!$B339:$U339,'changes2_based on steps'!$B$1:$U$1,C$1)</f>
        <v>0</v>
      </c>
      <c r="D339" s="179">
        <f>SUMIFS('recurring2_based on steps'!$B339:$AY339,'recurring2_based on steps'!$B$1:$AY$1,D$1)+SUMIFS('changes2_based on steps'!$B339:$U339,'changes2_based on steps'!$B$1:$U$1,D$1)</f>
        <v>0</v>
      </c>
      <c r="E339" s="179">
        <f>SUMIFS('recurring2_based on steps'!$B339:$AY339,'recurring2_based on steps'!$B$1:$AY$1,E$1)+SUMIFS('changes2_based on steps'!$B339:$U339,'changes2_based on steps'!$B$1:$U$1,E$1)</f>
        <v>0</v>
      </c>
      <c r="F339" s="179">
        <f>SUMIFS('recurring2_based on steps'!$B339:$AY339,'recurring2_based on steps'!$B$1:$AY$1,F$1)+SUMIFS('changes2_based on steps'!$B339:$U339,'changes2_based on steps'!$B$1:$U$1,F$1)</f>
        <v>0</v>
      </c>
      <c r="G339" s="179">
        <f>SUMIFS('recurring2_based on steps'!$B339:$AY339,'recurring2_based on steps'!$B$1:$AY$1,G$1)+SUMIFS('changes2_based on steps'!$B339:$U339,'changes2_based on steps'!$B$1:$U$1,G$1)</f>
        <v>0</v>
      </c>
      <c r="H339" s="179">
        <f>SUMIFS('recurring2_based on steps'!$B339:$AY339,'recurring2_based on steps'!$B$1:$AY$1,H$1)+SUMIFS('changes2_based on steps'!$B339:$U339,'changes2_based on steps'!$B$1:$U$1,H$1)</f>
        <v>0</v>
      </c>
      <c r="I339" s="179">
        <f>SUMIFS('recurring2_based on steps'!$B339:$AY339,'recurring2_based on steps'!$B$1:$AY$1,I$1)+SUMIFS('changes2_based on steps'!$B339:$U339,'changes2_based on steps'!$B$1:$U$1,I$1)</f>
        <v>0</v>
      </c>
      <c r="J339" s="179">
        <f>SUMIFS('recurring2_based on steps'!$B339:$AY339,'recurring2_based on steps'!$B$1:$AY$1,J$1)+SUMIFS('changes2_based on steps'!$B339:$U339,'changes2_based on steps'!$B$1:$U$1,J$1)</f>
        <v>0</v>
      </c>
      <c r="K339" s="179">
        <f>SUMIFS('recurring2_based on steps'!$B339:$AY339,'recurring2_based on steps'!$B$1:$AY$1,K$1)+SUMIFS('changes2_based on steps'!$B339:$U339,'changes2_based on steps'!$B$1:$U$1,K$1)</f>
        <v>0</v>
      </c>
      <c r="L339" s="179">
        <f>SUMIFS('recurring2_based on steps'!$B339:$AY339,'recurring2_based on steps'!$B$1:$AY$1,L$1)+SUMIFS('changes2_based on steps'!$B339:$U339,'changes2_based on steps'!$B$1:$U$1,L$1)</f>
        <v>0</v>
      </c>
      <c r="M339" s="179">
        <f>SUMIFS('recurring2_based on steps'!$B339:$AY339,'recurring2_based on steps'!$B$1:$AY$1,M$1)+SUMIFS('changes2_based on steps'!$B339:$U339,'changes2_based on steps'!$B$1:$U$1,M$1)</f>
        <v>0</v>
      </c>
      <c r="N339" s="179">
        <f>SUMIFS('recurring2_based on steps'!$B339:$AY339,'recurring2_based on steps'!$B$1:$AY$1,N$1)+SUMIFS('changes2_based on steps'!$B339:$U339,'changes2_based on steps'!$B$1:$U$1,N$1)</f>
        <v>0</v>
      </c>
      <c r="O339" s="179">
        <f>SUMIFS('recurring2_based on steps'!$B339:$AY339,'recurring2_based on steps'!$B$1:$AY$1,O$1)+SUMIFS('changes2_based on steps'!$B339:$U339,'changes2_based on steps'!$B$1:$U$1,O$1)</f>
        <v>0</v>
      </c>
      <c r="P339" s="179">
        <f>SUMIFS('recurring2_based on steps'!$B339:$AY339,'recurring2_based on steps'!$B$1:$AY$1,P$1)+SUMIFS('changes2_based on steps'!$B339:$U339,'changes2_based on steps'!$B$1:$U$1,P$1)</f>
        <v>0</v>
      </c>
      <c r="Q339" s="179">
        <f>SUMIFS('recurring2_based on steps'!$B339:$AY339,'recurring2_based on steps'!$B$1:$AY$1,Q$1)+SUMIFS('changes2_based on steps'!$B339:$U339,'changes2_based on steps'!$B$1:$U$1,Q$1)</f>
        <v>0</v>
      </c>
      <c r="R339" s="179">
        <f>SUMIFS('recurring2_based on steps'!$B339:$AY339,'recurring2_based on steps'!$B$1:$AY$1,R$1)+SUMIFS('changes2_based on steps'!$B339:$U339,'changes2_based on steps'!$B$1:$U$1,R$1)</f>
        <v>0</v>
      </c>
      <c r="S339" s="179">
        <f>SUMIFS('recurring2_based on steps'!$B339:$AY339,'recurring2_based on steps'!$B$1:$AY$1,S$1)+SUMIFS('changes2_based on steps'!$B339:$U339,'changes2_based on steps'!$B$1:$U$1,S$1)</f>
        <v>0</v>
      </c>
      <c r="T339" s="179">
        <f>SUMIFS('recurring2_based on steps'!$B339:$AY339,'recurring2_based on steps'!$B$1:$AY$1,T$1)+SUMIFS('changes2_based on steps'!$B339:$U339,'changes2_based on steps'!$B$1:$U$1,T$1)</f>
        <v>0</v>
      </c>
      <c r="U339" s="179">
        <f>SUMIFS('recurring2_based on steps'!$B339:$AY339,'recurring2_based on steps'!$B$1:$AY$1,U$1)+SUMIFS('changes2_based on steps'!$B339:$U339,'changes2_based on steps'!$B$1:$U$1,U$1)</f>
        <v>0</v>
      </c>
      <c r="V339" s="179">
        <f>SUMIFS('recurring2_based on steps'!$B339:$AY339,'recurring2_based on steps'!$B$1:$AY$1,V$1)+SUMIFS('changes2_based on steps'!$B339:$U339,'changes2_based on steps'!$B$1:$U$1,V$1)</f>
        <v>0</v>
      </c>
      <c r="W339" s="179">
        <f>SUMIFS('recurring2_based on steps'!$B339:$AY339,'recurring2_based on steps'!$B$1:$AY$1,W$1)+SUMIFS('changes2_based on steps'!$B339:$U339,'changes2_based on steps'!$B$1:$U$1,W$1)</f>
        <v>0</v>
      </c>
      <c r="X339" s="179">
        <f>SUMIFS('recurring2_based on steps'!$B339:$AY339,'recurring2_based on steps'!$B$1:$AY$1,X$1)+SUMIFS('changes2_based on steps'!$B339:$U339,'changes2_based on steps'!$B$1:$U$1,X$1)</f>
        <v>0</v>
      </c>
      <c r="Y339" s="179">
        <f>SUMIFS('recurring2_based on steps'!$B339:$AY339,'recurring2_based on steps'!$B$1:$AY$1,Y$1)+SUMIFS('changes2_based on steps'!$B339:$U339,'changes2_based on steps'!$B$1:$U$1,Y$1)</f>
        <v>0</v>
      </c>
      <c r="Z339" s="179">
        <f>SUMIFS('recurring2_based on steps'!$B339:$AY339,'recurring2_based on steps'!$B$1:$AY$1,Z$1)+SUMIFS('changes2_based on steps'!$B339:$U339,'changes2_based on steps'!$B$1:$U$1,Z$1)</f>
        <v>0</v>
      </c>
      <c r="AA339" s="179">
        <f>SUMIFS('recurring2_based on steps'!$B339:$AY339,'recurring2_based on steps'!$B$1:$AY$1,AA$1)+SUMIFS('changes2_based on steps'!$B339:$U339,'changes2_based on steps'!$B$1:$U$1,AA$1)</f>
        <v>0</v>
      </c>
      <c r="AB339" s="179">
        <f>SUMIFS('recurring2_based on steps'!$B339:$AY339,'recurring2_based on steps'!$B$1:$AY$1,AB$1)+SUMIFS('changes2_based on steps'!$B339:$U339,'changes2_based on steps'!$B$1:$U$1,AB$1)</f>
        <v>0</v>
      </c>
      <c r="AC339" s="179">
        <f>SUMIFS('recurring2_based on steps'!$B339:$AY339,'recurring2_based on steps'!$B$1:$AY$1,AC$1)+SUMIFS('changes2_based on steps'!$B339:$U339,'changes2_based on steps'!$B$1:$U$1,AC$1)</f>
        <v>0</v>
      </c>
      <c r="AD339" s="179">
        <f>SUMIFS('recurring2_based on steps'!$B339:$AY339,'recurring2_based on steps'!$B$1:$AY$1,AD$1)+SUMIFS('changes2_based on steps'!$B339:$U339,'changes2_based on steps'!$B$1:$U$1,AD$1)</f>
        <v>0</v>
      </c>
      <c r="AE339" s="179">
        <f>SUMIFS('recurring2_based on steps'!$B339:$AY339,'recurring2_based on steps'!$B$1:$AY$1,AE$1)+SUMIFS('changes2_based on steps'!$B339:$U339,'changes2_based on steps'!$B$1:$U$1,AE$1)</f>
        <v>0</v>
      </c>
      <c r="AF339" s="179"/>
      <c r="AG339" s="179"/>
      <c r="AH339" s="179"/>
      <c r="AI339" s="179"/>
      <c r="AJ339" s="179"/>
      <c r="AK339" s="179"/>
      <c r="AL339" s="179"/>
      <c r="AM339" s="179"/>
    </row>
    <row r="340" spans="1:39" x14ac:dyDescent="0.2">
      <c r="A340" s="32">
        <f t="shared" ca="1" si="5"/>
        <v>46082</v>
      </c>
      <c r="B340" s="179">
        <f>SUMIFS('recurring2_based on steps'!$B340:$AY340,'recurring2_based on steps'!$B$1:$AY$1,B$1)+SUMIFS('changes2_based on steps'!$B340:$U340,'changes2_based on steps'!$B$1:$U$1,B$1)</f>
        <v>0</v>
      </c>
      <c r="C340" s="179">
        <f>SUMIFS('recurring2_based on steps'!$B340:$AY340,'recurring2_based on steps'!$B$1:$AY$1,C$1)+SUMIFS('changes2_based on steps'!$B340:$U340,'changes2_based on steps'!$B$1:$U$1,C$1)</f>
        <v>0</v>
      </c>
      <c r="D340" s="179">
        <f>SUMIFS('recurring2_based on steps'!$B340:$AY340,'recurring2_based on steps'!$B$1:$AY$1,D$1)+SUMIFS('changes2_based on steps'!$B340:$U340,'changes2_based on steps'!$B$1:$U$1,D$1)</f>
        <v>0</v>
      </c>
      <c r="E340" s="179">
        <f>SUMIFS('recurring2_based on steps'!$B340:$AY340,'recurring2_based on steps'!$B$1:$AY$1,E$1)+SUMIFS('changes2_based on steps'!$B340:$U340,'changes2_based on steps'!$B$1:$U$1,E$1)</f>
        <v>0</v>
      </c>
      <c r="F340" s="179">
        <f>SUMIFS('recurring2_based on steps'!$B340:$AY340,'recurring2_based on steps'!$B$1:$AY$1,F$1)+SUMIFS('changes2_based on steps'!$B340:$U340,'changes2_based on steps'!$B$1:$U$1,F$1)</f>
        <v>0</v>
      </c>
      <c r="G340" s="179">
        <f>SUMIFS('recurring2_based on steps'!$B340:$AY340,'recurring2_based on steps'!$B$1:$AY$1,G$1)+SUMIFS('changes2_based on steps'!$B340:$U340,'changes2_based on steps'!$B$1:$U$1,G$1)</f>
        <v>0</v>
      </c>
      <c r="H340" s="179">
        <f>SUMIFS('recurring2_based on steps'!$B340:$AY340,'recurring2_based on steps'!$B$1:$AY$1,H$1)+SUMIFS('changes2_based on steps'!$B340:$U340,'changes2_based on steps'!$B$1:$U$1,H$1)</f>
        <v>0</v>
      </c>
      <c r="I340" s="179">
        <f>SUMIFS('recurring2_based on steps'!$B340:$AY340,'recurring2_based on steps'!$B$1:$AY$1,I$1)+SUMIFS('changes2_based on steps'!$B340:$U340,'changes2_based on steps'!$B$1:$U$1,I$1)</f>
        <v>0</v>
      </c>
      <c r="J340" s="179">
        <f>SUMIFS('recurring2_based on steps'!$B340:$AY340,'recurring2_based on steps'!$B$1:$AY$1,J$1)+SUMIFS('changes2_based on steps'!$B340:$U340,'changes2_based on steps'!$B$1:$U$1,J$1)</f>
        <v>0</v>
      </c>
      <c r="K340" s="179">
        <f>SUMIFS('recurring2_based on steps'!$B340:$AY340,'recurring2_based on steps'!$B$1:$AY$1,K$1)+SUMIFS('changes2_based on steps'!$B340:$U340,'changes2_based on steps'!$B$1:$U$1,K$1)</f>
        <v>0</v>
      </c>
      <c r="L340" s="179">
        <f>SUMIFS('recurring2_based on steps'!$B340:$AY340,'recurring2_based on steps'!$B$1:$AY$1,L$1)+SUMIFS('changes2_based on steps'!$B340:$U340,'changes2_based on steps'!$B$1:$U$1,L$1)</f>
        <v>0</v>
      </c>
      <c r="M340" s="179">
        <f>SUMIFS('recurring2_based on steps'!$B340:$AY340,'recurring2_based on steps'!$B$1:$AY$1,M$1)+SUMIFS('changes2_based on steps'!$B340:$U340,'changes2_based on steps'!$B$1:$U$1,M$1)</f>
        <v>0</v>
      </c>
      <c r="N340" s="179">
        <f>SUMIFS('recurring2_based on steps'!$B340:$AY340,'recurring2_based on steps'!$B$1:$AY$1,N$1)+SUMIFS('changes2_based on steps'!$B340:$U340,'changes2_based on steps'!$B$1:$U$1,N$1)</f>
        <v>0</v>
      </c>
      <c r="O340" s="179">
        <f>SUMIFS('recurring2_based on steps'!$B340:$AY340,'recurring2_based on steps'!$B$1:$AY$1,O$1)+SUMIFS('changes2_based on steps'!$B340:$U340,'changes2_based on steps'!$B$1:$U$1,O$1)</f>
        <v>0</v>
      </c>
      <c r="P340" s="179">
        <f>SUMIFS('recurring2_based on steps'!$B340:$AY340,'recurring2_based on steps'!$B$1:$AY$1,P$1)+SUMIFS('changes2_based on steps'!$B340:$U340,'changes2_based on steps'!$B$1:$U$1,P$1)</f>
        <v>0</v>
      </c>
      <c r="Q340" s="179">
        <f>SUMIFS('recurring2_based on steps'!$B340:$AY340,'recurring2_based on steps'!$B$1:$AY$1,Q$1)+SUMIFS('changes2_based on steps'!$B340:$U340,'changes2_based on steps'!$B$1:$U$1,Q$1)</f>
        <v>0</v>
      </c>
      <c r="R340" s="179">
        <f>SUMIFS('recurring2_based on steps'!$B340:$AY340,'recurring2_based on steps'!$B$1:$AY$1,R$1)+SUMIFS('changes2_based on steps'!$B340:$U340,'changes2_based on steps'!$B$1:$U$1,R$1)</f>
        <v>0</v>
      </c>
      <c r="S340" s="179">
        <f>SUMIFS('recurring2_based on steps'!$B340:$AY340,'recurring2_based on steps'!$B$1:$AY$1,S$1)+SUMIFS('changes2_based on steps'!$B340:$U340,'changes2_based on steps'!$B$1:$U$1,S$1)</f>
        <v>0</v>
      </c>
      <c r="T340" s="179">
        <f>SUMIFS('recurring2_based on steps'!$B340:$AY340,'recurring2_based on steps'!$B$1:$AY$1,T$1)+SUMIFS('changes2_based on steps'!$B340:$U340,'changes2_based on steps'!$B$1:$U$1,T$1)</f>
        <v>0</v>
      </c>
      <c r="U340" s="179">
        <f>SUMIFS('recurring2_based on steps'!$B340:$AY340,'recurring2_based on steps'!$B$1:$AY$1,U$1)+SUMIFS('changes2_based on steps'!$B340:$U340,'changes2_based on steps'!$B$1:$U$1,U$1)</f>
        <v>0</v>
      </c>
      <c r="V340" s="179">
        <f>SUMIFS('recurring2_based on steps'!$B340:$AY340,'recurring2_based on steps'!$B$1:$AY$1,V$1)+SUMIFS('changes2_based on steps'!$B340:$U340,'changes2_based on steps'!$B$1:$U$1,V$1)</f>
        <v>0</v>
      </c>
      <c r="W340" s="179">
        <f>SUMIFS('recurring2_based on steps'!$B340:$AY340,'recurring2_based on steps'!$B$1:$AY$1,W$1)+SUMIFS('changes2_based on steps'!$B340:$U340,'changes2_based on steps'!$B$1:$U$1,W$1)</f>
        <v>0</v>
      </c>
      <c r="X340" s="179">
        <f>SUMIFS('recurring2_based on steps'!$B340:$AY340,'recurring2_based on steps'!$B$1:$AY$1,X$1)+SUMIFS('changes2_based on steps'!$B340:$U340,'changes2_based on steps'!$B$1:$U$1,X$1)</f>
        <v>0</v>
      </c>
      <c r="Y340" s="179">
        <f>SUMIFS('recurring2_based on steps'!$B340:$AY340,'recurring2_based on steps'!$B$1:$AY$1,Y$1)+SUMIFS('changes2_based on steps'!$B340:$U340,'changes2_based on steps'!$B$1:$U$1,Y$1)</f>
        <v>0</v>
      </c>
      <c r="Z340" s="179">
        <f>SUMIFS('recurring2_based on steps'!$B340:$AY340,'recurring2_based on steps'!$B$1:$AY$1,Z$1)+SUMIFS('changes2_based on steps'!$B340:$U340,'changes2_based on steps'!$B$1:$U$1,Z$1)</f>
        <v>0</v>
      </c>
      <c r="AA340" s="179">
        <f>SUMIFS('recurring2_based on steps'!$B340:$AY340,'recurring2_based on steps'!$B$1:$AY$1,AA$1)+SUMIFS('changes2_based on steps'!$B340:$U340,'changes2_based on steps'!$B$1:$U$1,AA$1)</f>
        <v>0</v>
      </c>
      <c r="AB340" s="179">
        <f>SUMIFS('recurring2_based on steps'!$B340:$AY340,'recurring2_based on steps'!$B$1:$AY$1,AB$1)+SUMIFS('changes2_based on steps'!$B340:$U340,'changes2_based on steps'!$B$1:$U$1,AB$1)</f>
        <v>0</v>
      </c>
      <c r="AC340" s="179">
        <f>SUMIFS('recurring2_based on steps'!$B340:$AY340,'recurring2_based on steps'!$B$1:$AY$1,AC$1)+SUMIFS('changes2_based on steps'!$B340:$U340,'changes2_based on steps'!$B$1:$U$1,AC$1)</f>
        <v>0</v>
      </c>
      <c r="AD340" s="179">
        <f>SUMIFS('recurring2_based on steps'!$B340:$AY340,'recurring2_based on steps'!$B$1:$AY$1,AD$1)+SUMIFS('changes2_based on steps'!$B340:$U340,'changes2_based on steps'!$B$1:$U$1,AD$1)</f>
        <v>0</v>
      </c>
      <c r="AE340" s="179">
        <f>SUMIFS('recurring2_based on steps'!$B340:$AY340,'recurring2_based on steps'!$B$1:$AY$1,AE$1)+SUMIFS('changes2_based on steps'!$B340:$U340,'changes2_based on steps'!$B$1:$U$1,AE$1)</f>
        <v>0</v>
      </c>
      <c r="AF340" s="179"/>
      <c r="AG340" s="179"/>
      <c r="AH340" s="179"/>
      <c r="AI340" s="179"/>
      <c r="AJ340" s="179"/>
      <c r="AK340" s="179"/>
      <c r="AL340" s="179"/>
      <c r="AM340" s="179"/>
    </row>
    <row r="341" spans="1:39" x14ac:dyDescent="0.2">
      <c r="A341" s="32">
        <f t="shared" ca="1" si="5"/>
        <v>46083</v>
      </c>
      <c r="B341" s="179">
        <f>SUMIFS('recurring2_based on steps'!$B341:$AY341,'recurring2_based on steps'!$B$1:$AY$1,B$1)+SUMIFS('changes2_based on steps'!$B341:$U341,'changes2_based on steps'!$B$1:$U$1,B$1)</f>
        <v>0</v>
      </c>
      <c r="C341" s="179">
        <f>SUMIFS('recurring2_based on steps'!$B341:$AY341,'recurring2_based on steps'!$B$1:$AY$1,C$1)+SUMIFS('changes2_based on steps'!$B341:$U341,'changes2_based on steps'!$B$1:$U$1,C$1)</f>
        <v>0</v>
      </c>
      <c r="D341" s="179">
        <f>SUMIFS('recurring2_based on steps'!$B341:$AY341,'recurring2_based on steps'!$B$1:$AY$1,D$1)+SUMIFS('changes2_based on steps'!$B341:$U341,'changes2_based on steps'!$B$1:$U$1,D$1)</f>
        <v>0</v>
      </c>
      <c r="E341" s="179">
        <f>SUMIFS('recurring2_based on steps'!$B341:$AY341,'recurring2_based on steps'!$B$1:$AY$1,E$1)+SUMIFS('changes2_based on steps'!$B341:$U341,'changes2_based on steps'!$B$1:$U$1,E$1)</f>
        <v>0</v>
      </c>
      <c r="F341" s="179">
        <f>SUMIFS('recurring2_based on steps'!$B341:$AY341,'recurring2_based on steps'!$B$1:$AY$1,F$1)+SUMIFS('changes2_based on steps'!$B341:$U341,'changes2_based on steps'!$B$1:$U$1,F$1)</f>
        <v>0</v>
      </c>
      <c r="G341" s="179">
        <f>SUMIFS('recurring2_based on steps'!$B341:$AY341,'recurring2_based on steps'!$B$1:$AY$1,G$1)+SUMIFS('changes2_based on steps'!$B341:$U341,'changes2_based on steps'!$B$1:$U$1,G$1)</f>
        <v>0</v>
      </c>
      <c r="H341" s="179">
        <f>SUMIFS('recurring2_based on steps'!$B341:$AY341,'recurring2_based on steps'!$B$1:$AY$1,H$1)+SUMIFS('changes2_based on steps'!$B341:$U341,'changes2_based on steps'!$B$1:$U$1,H$1)</f>
        <v>0</v>
      </c>
      <c r="I341" s="179">
        <f>SUMIFS('recurring2_based on steps'!$B341:$AY341,'recurring2_based on steps'!$B$1:$AY$1,I$1)+SUMIFS('changes2_based on steps'!$B341:$U341,'changes2_based on steps'!$B$1:$U$1,I$1)</f>
        <v>0</v>
      </c>
      <c r="J341" s="179">
        <f>SUMIFS('recurring2_based on steps'!$B341:$AY341,'recurring2_based on steps'!$B$1:$AY$1,J$1)+SUMIFS('changes2_based on steps'!$B341:$U341,'changes2_based on steps'!$B$1:$U$1,J$1)</f>
        <v>0</v>
      </c>
      <c r="K341" s="179">
        <f>SUMIFS('recurring2_based on steps'!$B341:$AY341,'recurring2_based on steps'!$B$1:$AY$1,K$1)+SUMIFS('changes2_based on steps'!$B341:$U341,'changes2_based on steps'!$B$1:$U$1,K$1)</f>
        <v>0</v>
      </c>
      <c r="L341" s="179">
        <f>SUMIFS('recurring2_based on steps'!$B341:$AY341,'recurring2_based on steps'!$B$1:$AY$1,L$1)+SUMIFS('changes2_based on steps'!$B341:$U341,'changes2_based on steps'!$B$1:$U$1,L$1)</f>
        <v>0</v>
      </c>
      <c r="M341" s="179">
        <f>SUMIFS('recurring2_based on steps'!$B341:$AY341,'recurring2_based on steps'!$B$1:$AY$1,M$1)+SUMIFS('changes2_based on steps'!$B341:$U341,'changes2_based on steps'!$B$1:$U$1,M$1)</f>
        <v>0</v>
      </c>
      <c r="N341" s="179">
        <f>SUMIFS('recurring2_based on steps'!$B341:$AY341,'recurring2_based on steps'!$B$1:$AY$1,N$1)+SUMIFS('changes2_based on steps'!$B341:$U341,'changes2_based on steps'!$B$1:$U$1,N$1)</f>
        <v>0</v>
      </c>
      <c r="O341" s="179">
        <f>SUMIFS('recurring2_based on steps'!$B341:$AY341,'recurring2_based on steps'!$B$1:$AY$1,O$1)+SUMIFS('changes2_based on steps'!$B341:$U341,'changes2_based on steps'!$B$1:$U$1,O$1)</f>
        <v>0</v>
      </c>
      <c r="P341" s="179">
        <f>SUMIFS('recurring2_based on steps'!$B341:$AY341,'recurring2_based on steps'!$B$1:$AY$1,P$1)+SUMIFS('changes2_based on steps'!$B341:$U341,'changes2_based on steps'!$B$1:$U$1,P$1)</f>
        <v>0</v>
      </c>
      <c r="Q341" s="179">
        <f>SUMIFS('recurring2_based on steps'!$B341:$AY341,'recurring2_based on steps'!$B$1:$AY$1,Q$1)+SUMIFS('changes2_based on steps'!$B341:$U341,'changes2_based on steps'!$B$1:$U$1,Q$1)</f>
        <v>0</v>
      </c>
      <c r="R341" s="179">
        <f>SUMIFS('recurring2_based on steps'!$B341:$AY341,'recurring2_based on steps'!$B$1:$AY$1,R$1)+SUMIFS('changes2_based on steps'!$B341:$U341,'changes2_based on steps'!$B$1:$U$1,R$1)</f>
        <v>0</v>
      </c>
      <c r="S341" s="179">
        <f>SUMIFS('recurring2_based on steps'!$B341:$AY341,'recurring2_based on steps'!$B$1:$AY$1,S$1)+SUMIFS('changes2_based on steps'!$B341:$U341,'changes2_based on steps'!$B$1:$U$1,S$1)</f>
        <v>0</v>
      </c>
      <c r="T341" s="179">
        <f>SUMIFS('recurring2_based on steps'!$B341:$AY341,'recurring2_based on steps'!$B$1:$AY$1,T$1)+SUMIFS('changes2_based on steps'!$B341:$U341,'changes2_based on steps'!$B$1:$U$1,T$1)</f>
        <v>0</v>
      </c>
      <c r="U341" s="179">
        <f>SUMIFS('recurring2_based on steps'!$B341:$AY341,'recurring2_based on steps'!$B$1:$AY$1,U$1)+SUMIFS('changes2_based on steps'!$B341:$U341,'changes2_based on steps'!$B$1:$U$1,U$1)</f>
        <v>0</v>
      </c>
      <c r="V341" s="179">
        <f>SUMIFS('recurring2_based on steps'!$B341:$AY341,'recurring2_based on steps'!$B$1:$AY$1,V$1)+SUMIFS('changes2_based on steps'!$B341:$U341,'changes2_based on steps'!$B$1:$U$1,V$1)</f>
        <v>0</v>
      </c>
      <c r="W341" s="179">
        <f>SUMIFS('recurring2_based on steps'!$B341:$AY341,'recurring2_based on steps'!$B$1:$AY$1,W$1)+SUMIFS('changes2_based on steps'!$B341:$U341,'changes2_based on steps'!$B$1:$U$1,W$1)</f>
        <v>0</v>
      </c>
      <c r="X341" s="179">
        <f>SUMIFS('recurring2_based on steps'!$B341:$AY341,'recurring2_based on steps'!$B$1:$AY$1,X$1)+SUMIFS('changes2_based on steps'!$B341:$U341,'changes2_based on steps'!$B$1:$U$1,X$1)</f>
        <v>0</v>
      </c>
      <c r="Y341" s="179">
        <f>SUMIFS('recurring2_based on steps'!$B341:$AY341,'recurring2_based on steps'!$B$1:$AY$1,Y$1)+SUMIFS('changes2_based on steps'!$B341:$U341,'changes2_based on steps'!$B$1:$U$1,Y$1)</f>
        <v>0</v>
      </c>
      <c r="Z341" s="179">
        <f>SUMIFS('recurring2_based on steps'!$B341:$AY341,'recurring2_based on steps'!$B$1:$AY$1,Z$1)+SUMIFS('changes2_based on steps'!$B341:$U341,'changes2_based on steps'!$B$1:$U$1,Z$1)</f>
        <v>0</v>
      </c>
      <c r="AA341" s="179">
        <f>SUMIFS('recurring2_based on steps'!$B341:$AY341,'recurring2_based on steps'!$B$1:$AY$1,AA$1)+SUMIFS('changes2_based on steps'!$B341:$U341,'changes2_based on steps'!$B$1:$U$1,AA$1)</f>
        <v>0</v>
      </c>
      <c r="AB341" s="179">
        <f>SUMIFS('recurring2_based on steps'!$B341:$AY341,'recurring2_based on steps'!$B$1:$AY$1,AB$1)+SUMIFS('changes2_based on steps'!$B341:$U341,'changes2_based on steps'!$B$1:$U$1,AB$1)</f>
        <v>0</v>
      </c>
      <c r="AC341" s="179">
        <f>SUMIFS('recurring2_based on steps'!$B341:$AY341,'recurring2_based on steps'!$B$1:$AY$1,AC$1)+SUMIFS('changes2_based on steps'!$B341:$U341,'changes2_based on steps'!$B$1:$U$1,AC$1)</f>
        <v>0</v>
      </c>
      <c r="AD341" s="179">
        <f>SUMIFS('recurring2_based on steps'!$B341:$AY341,'recurring2_based on steps'!$B$1:$AY$1,AD$1)+SUMIFS('changes2_based on steps'!$B341:$U341,'changes2_based on steps'!$B$1:$U$1,AD$1)</f>
        <v>0</v>
      </c>
      <c r="AE341" s="179">
        <f>SUMIFS('recurring2_based on steps'!$B341:$AY341,'recurring2_based on steps'!$B$1:$AY$1,AE$1)+SUMIFS('changes2_based on steps'!$B341:$U341,'changes2_based on steps'!$B$1:$U$1,AE$1)</f>
        <v>0</v>
      </c>
      <c r="AF341" s="179"/>
      <c r="AG341" s="179"/>
      <c r="AH341" s="179"/>
      <c r="AI341" s="179"/>
      <c r="AJ341" s="179"/>
      <c r="AK341" s="179"/>
      <c r="AL341" s="179"/>
      <c r="AM341" s="179"/>
    </row>
    <row r="342" spans="1:39" x14ac:dyDescent="0.2">
      <c r="A342" s="32">
        <f t="shared" ca="1" si="5"/>
        <v>46084</v>
      </c>
      <c r="B342" s="179">
        <f>SUMIFS('recurring2_based on steps'!$B342:$AY342,'recurring2_based on steps'!$B$1:$AY$1,B$1)+SUMIFS('changes2_based on steps'!$B342:$U342,'changes2_based on steps'!$B$1:$U$1,B$1)</f>
        <v>0</v>
      </c>
      <c r="C342" s="179">
        <f>SUMIFS('recurring2_based on steps'!$B342:$AY342,'recurring2_based on steps'!$B$1:$AY$1,C$1)+SUMIFS('changes2_based on steps'!$B342:$U342,'changes2_based on steps'!$B$1:$U$1,C$1)</f>
        <v>0</v>
      </c>
      <c r="D342" s="179">
        <f>SUMIFS('recurring2_based on steps'!$B342:$AY342,'recurring2_based on steps'!$B$1:$AY$1,D$1)+SUMIFS('changes2_based on steps'!$B342:$U342,'changes2_based on steps'!$B$1:$U$1,D$1)</f>
        <v>0</v>
      </c>
      <c r="E342" s="179">
        <f>SUMIFS('recurring2_based on steps'!$B342:$AY342,'recurring2_based on steps'!$B$1:$AY$1,E$1)+SUMIFS('changes2_based on steps'!$B342:$U342,'changes2_based on steps'!$B$1:$U$1,E$1)</f>
        <v>0</v>
      </c>
      <c r="F342" s="179">
        <f>SUMIFS('recurring2_based on steps'!$B342:$AY342,'recurring2_based on steps'!$B$1:$AY$1,F$1)+SUMIFS('changes2_based on steps'!$B342:$U342,'changes2_based on steps'!$B$1:$U$1,F$1)</f>
        <v>0</v>
      </c>
      <c r="G342" s="179">
        <f>SUMIFS('recurring2_based on steps'!$B342:$AY342,'recurring2_based on steps'!$B$1:$AY$1,G$1)+SUMIFS('changes2_based on steps'!$B342:$U342,'changes2_based on steps'!$B$1:$U$1,G$1)</f>
        <v>0</v>
      </c>
      <c r="H342" s="179">
        <f>SUMIFS('recurring2_based on steps'!$B342:$AY342,'recurring2_based on steps'!$B$1:$AY$1,H$1)+SUMIFS('changes2_based on steps'!$B342:$U342,'changes2_based on steps'!$B$1:$U$1,H$1)</f>
        <v>0</v>
      </c>
      <c r="I342" s="179">
        <f>SUMIFS('recurring2_based on steps'!$B342:$AY342,'recurring2_based on steps'!$B$1:$AY$1,I$1)+SUMIFS('changes2_based on steps'!$B342:$U342,'changes2_based on steps'!$B$1:$U$1,I$1)</f>
        <v>0</v>
      </c>
      <c r="J342" s="179">
        <f>SUMIFS('recurring2_based on steps'!$B342:$AY342,'recurring2_based on steps'!$B$1:$AY$1,J$1)+SUMIFS('changes2_based on steps'!$B342:$U342,'changes2_based on steps'!$B$1:$U$1,J$1)</f>
        <v>0</v>
      </c>
      <c r="K342" s="179">
        <f>SUMIFS('recurring2_based on steps'!$B342:$AY342,'recurring2_based on steps'!$B$1:$AY$1,K$1)+SUMIFS('changes2_based on steps'!$B342:$U342,'changes2_based on steps'!$B$1:$U$1,K$1)</f>
        <v>0</v>
      </c>
      <c r="L342" s="179">
        <f>SUMIFS('recurring2_based on steps'!$B342:$AY342,'recurring2_based on steps'!$B$1:$AY$1,L$1)+SUMIFS('changes2_based on steps'!$B342:$U342,'changes2_based on steps'!$B$1:$U$1,L$1)</f>
        <v>0</v>
      </c>
      <c r="M342" s="179">
        <f>SUMIFS('recurring2_based on steps'!$B342:$AY342,'recurring2_based on steps'!$B$1:$AY$1,M$1)+SUMIFS('changes2_based on steps'!$B342:$U342,'changes2_based on steps'!$B$1:$U$1,M$1)</f>
        <v>0</v>
      </c>
      <c r="N342" s="179">
        <f>SUMIFS('recurring2_based on steps'!$B342:$AY342,'recurring2_based on steps'!$B$1:$AY$1,N$1)+SUMIFS('changes2_based on steps'!$B342:$U342,'changes2_based on steps'!$B$1:$U$1,N$1)</f>
        <v>0</v>
      </c>
      <c r="O342" s="179">
        <f>SUMIFS('recurring2_based on steps'!$B342:$AY342,'recurring2_based on steps'!$B$1:$AY$1,O$1)+SUMIFS('changes2_based on steps'!$B342:$U342,'changes2_based on steps'!$B$1:$U$1,O$1)</f>
        <v>0</v>
      </c>
      <c r="P342" s="179">
        <f>SUMIFS('recurring2_based on steps'!$B342:$AY342,'recurring2_based on steps'!$B$1:$AY$1,P$1)+SUMIFS('changes2_based on steps'!$B342:$U342,'changes2_based on steps'!$B$1:$U$1,P$1)</f>
        <v>0</v>
      </c>
      <c r="Q342" s="179">
        <f>SUMIFS('recurring2_based on steps'!$B342:$AY342,'recurring2_based on steps'!$B$1:$AY$1,Q$1)+SUMIFS('changes2_based on steps'!$B342:$U342,'changes2_based on steps'!$B$1:$U$1,Q$1)</f>
        <v>0</v>
      </c>
      <c r="R342" s="179">
        <f>SUMIFS('recurring2_based on steps'!$B342:$AY342,'recurring2_based on steps'!$B$1:$AY$1,R$1)+SUMIFS('changes2_based on steps'!$B342:$U342,'changes2_based on steps'!$B$1:$U$1,R$1)</f>
        <v>0</v>
      </c>
      <c r="S342" s="179">
        <f>SUMIFS('recurring2_based on steps'!$B342:$AY342,'recurring2_based on steps'!$B$1:$AY$1,S$1)+SUMIFS('changes2_based on steps'!$B342:$U342,'changes2_based on steps'!$B$1:$U$1,S$1)</f>
        <v>0</v>
      </c>
      <c r="T342" s="179">
        <f>SUMIFS('recurring2_based on steps'!$B342:$AY342,'recurring2_based on steps'!$B$1:$AY$1,T$1)+SUMIFS('changes2_based on steps'!$B342:$U342,'changes2_based on steps'!$B$1:$U$1,T$1)</f>
        <v>0</v>
      </c>
      <c r="U342" s="179">
        <f>SUMIFS('recurring2_based on steps'!$B342:$AY342,'recurring2_based on steps'!$B$1:$AY$1,U$1)+SUMIFS('changes2_based on steps'!$B342:$U342,'changes2_based on steps'!$B$1:$U$1,U$1)</f>
        <v>0</v>
      </c>
      <c r="V342" s="179">
        <f>SUMIFS('recurring2_based on steps'!$B342:$AY342,'recurring2_based on steps'!$B$1:$AY$1,V$1)+SUMIFS('changes2_based on steps'!$B342:$U342,'changes2_based on steps'!$B$1:$U$1,V$1)</f>
        <v>0</v>
      </c>
      <c r="W342" s="179">
        <f>SUMIFS('recurring2_based on steps'!$B342:$AY342,'recurring2_based on steps'!$B$1:$AY$1,W$1)+SUMIFS('changes2_based on steps'!$B342:$U342,'changes2_based on steps'!$B$1:$U$1,W$1)</f>
        <v>0</v>
      </c>
      <c r="X342" s="179">
        <f>SUMIFS('recurring2_based on steps'!$B342:$AY342,'recurring2_based on steps'!$B$1:$AY$1,X$1)+SUMIFS('changes2_based on steps'!$B342:$U342,'changes2_based on steps'!$B$1:$U$1,X$1)</f>
        <v>0</v>
      </c>
      <c r="Y342" s="179">
        <f>SUMIFS('recurring2_based on steps'!$B342:$AY342,'recurring2_based on steps'!$B$1:$AY$1,Y$1)+SUMIFS('changes2_based on steps'!$B342:$U342,'changes2_based on steps'!$B$1:$U$1,Y$1)</f>
        <v>0</v>
      </c>
      <c r="Z342" s="179">
        <f>SUMIFS('recurring2_based on steps'!$B342:$AY342,'recurring2_based on steps'!$B$1:$AY$1,Z$1)+SUMIFS('changes2_based on steps'!$B342:$U342,'changes2_based on steps'!$B$1:$U$1,Z$1)</f>
        <v>0</v>
      </c>
      <c r="AA342" s="179">
        <f>SUMIFS('recurring2_based on steps'!$B342:$AY342,'recurring2_based on steps'!$B$1:$AY$1,AA$1)+SUMIFS('changes2_based on steps'!$B342:$U342,'changes2_based on steps'!$B$1:$U$1,AA$1)</f>
        <v>0</v>
      </c>
      <c r="AB342" s="179">
        <f>SUMIFS('recurring2_based on steps'!$B342:$AY342,'recurring2_based on steps'!$B$1:$AY$1,AB$1)+SUMIFS('changes2_based on steps'!$B342:$U342,'changes2_based on steps'!$B$1:$U$1,AB$1)</f>
        <v>0</v>
      </c>
      <c r="AC342" s="179">
        <f>SUMIFS('recurring2_based on steps'!$B342:$AY342,'recurring2_based on steps'!$B$1:$AY$1,AC$1)+SUMIFS('changes2_based on steps'!$B342:$U342,'changes2_based on steps'!$B$1:$U$1,AC$1)</f>
        <v>0</v>
      </c>
      <c r="AD342" s="179">
        <f>SUMIFS('recurring2_based on steps'!$B342:$AY342,'recurring2_based on steps'!$B$1:$AY$1,AD$1)+SUMIFS('changes2_based on steps'!$B342:$U342,'changes2_based on steps'!$B$1:$U$1,AD$1)</f>
        <v>0</v>
      </c>
      <c r="AE342" s="179">
        <f>SUMIFS('recurring2_based on steps'!$B342:$AY342,'recurring2_based on steps'!$B$1:$AY$1,AE$1)+SUMIFS('changes2_based on steps'!$B342:$U342,'changes2_based on steps'!$B$1:$U$1,AE$1)</f>
        <v>0</v>
      </c>
      <c r="AF342" s="179"/>
      <c r="AG342" s="179"/>
      <c r="AH342" s="179"/>
      <c r="AI342" s="179"/>
      <c r="AJ342" s="179"/>
      <c r="AK342" s="179"/>
      <c r="AL342" s="179"/>
      <c r="AM342" s="179"/>
    </row>
    <row r="343" spans="1:39" x14ac:dyDescent="0.2">
      <c r="A343" s="32">
        <f t="shared" ca="1" si="5"/>
        <v>46085</v>
      </c>
      <c r="B343" s="179">
        <f>SUMIFS('recurring2_based on steps'!$B343:$AY343,'recurring2_based on steps'!$B$1:$AY$1,B$1)+SUMIFS('changes2_based on steps'!$B343:$U343,'changes2_based on steps'!$B$1:$U$1,B$1)</f>
        <v>0</v>
      </c>
      <c r="C343" s="179">
        <f>SUMIFS('recurring2_based on steps'!$B343:$AY343,'recurring2_based on steps'!$B$1:$AY$1,C$1)+SUMIFS('changes2_based on steps'!$B343:$U343,'changes2_based on steps'!$B$1:$U$1,C$1)</f>
        <v>0</v>
      </c>
      <c r="D343" s="179">
        <f>SUMIFS('recurring2_based on steps'!$B343:$AY343,'recurring2_based on steps'!$B$1:$AY$1,D$1)+SUMIFS('changes2_based on steps'!$B343:$U343,'changes2_based on steps'!$B$1:$U$1,D$1)</f>
        <v>0</v>
      </c>
      <c r="E343" s="179">
        <f>SUMIFS('recurring2_based on steps'!$B343:$AY343,'recurring2_based on steps'!$B$1:$AY$1,E$1)+SUMIFS('changes2_based on steps'!$B343:$U343,'changes2_based on steps'!$B$1:$U$1,E$1)</f>
        <v>0</v>
      </c>
      <c r="F343" s="179">
        <f>SUMIFS('recurring2_based on steps'!$B343:$AY343,'recurring2_based on steps'!$B$1:$AY$1,F$1)+SUMIFS('changes2_based on steps'!$B343:$U343,'changes2_based on steps'!$B$1:$U$1,F$1)</f>
        <v>0</v>
      </c>
      <c r="G343" s="179">
        <f>SUMIFS('recurring2_based on steps'!$B343:$AY343,'recurring2_based on steps'!$B$1:$AY$1,G$1)+SUMIFS('changes2_based on steps'!$B343:$U343,'changes2_based on steps'!$B$1:$U$1,G$1)</f>
        <v>0</v>
      </c>
      <c r="H343" s="179">
        <f>SUMIFS('recurring2_based on steps'!$B343:$AY343,'recurring2_based on steps'!$B$1:$AY$1,H$1)+SUMIFS('changes2_based on steps'!$B343:$U343,'changes2_based on steps'!$B$1:$U$1,H$1)</f>
        <v>0</v>
      </c>
      <c r="I343" s="179">
        <f>SUMIFS('recurring2_based on steps'!$B343:$AY343,'recurring2_based on steps'!$B$1:$AY$1,I$1)+SUMIFS('changes2_based on steps'!$B343:$U343,'changes2_based on steps'!$B$1:$U$1,I$1)</f>
        <v>0</v>
      </c>
      <c r="J343" s="179">
        <f>SUMIFS('recurring2_based on steps'!$B343:$AY343,'recurring2_based on steps'!$B$1:$AY$1,J$1)+SUMIFS('changes2_based on steps'!$B343:$U343,'changes2_based on steps'!$B$1:$U$1,J$1)</f>
        <v>0</v>
      </c>
      <c r="K343" s="179">
        <f>SUMIFS('recurring2_based on steps'!$B343:$AY343,'recurring2_based on steps'!$B$1:$AY$1,K$1)+SUMIFS('changes2_based on steps'!$B343:$U343,'changes2_based on steps'!$B$1:$U$1,K$1)</f>
        <v>0</v>
      </c>
      <c r="L343" s="179">
        <f>SUMIFS('recurring2_based on steps'!$B343:$AY343,'recurring2_based on steps'!$B$1:$AY$1,L$1)+SUMIFS('changes2_based on steps'!$B343:$U343,'changes2_based on steps'!$B$1:$U$1,L$1)</f>
        <v>0</v>
      </c>
      <c r="M343" s="179">
        <f>SUMIFS('recurring2_based on steps'!$B343:$AY343,'recurring2_based on steps'!$B$1:$AY$1,M$1)+SUMIFS('changes2_based on steps'!$B343:$U343,'changes2_based on steps'!$B$1:$U$1,M$1)</f>
        <v>0</v>
      </c>
      <c r="N343" s="179">
        <f>SUMIFS('recurring2_based on steps'!$B343:$AY343,'recurring2_based on steps'!$B$1:$AY$1,N$1)+SUMIFS('changes2_based on steps'!$B343:$U343,'changes2_based on steps'!$B$1:$U$1,N$1)</f>
        <v>0</v>
      </c>
      <c r="O343" s="179">
        <f>SUMIFS('recurring2_based on steps'!$B343:$AY343,'recurring2_based on steps'!$B$1:$AY$1,O$1)+SUMIFS('changes2_based on steps'!$B343:$U343,'changes2_based on steps'!$B$1:$U$1,O$1)</f>
        <v>0</v>
      </c>
      <c r="P343" s="179">
        <f>SUMIFS('recurring2_based on steps'!$B343:$AY343,'recurring2_based on steps'!$B$1:$AY$1,P$1)+SUMIFS('changes2_based on steps'!$B343:$U343,'changes2_based on steps'!$B$1:$U$1,P$1)</f>
        <v>0</v>
      </c>
      <c r="Q343" s="179">
        <f>SUMIFS('recurring2_based on steps'!$B343:$AY343,'recurring2_based on steps'!$B$1:$AY$1,Q$1)+SUMIFS('changes2_based on steps'!$B343:$U343,'changes2_based on steps'!$B$1:$U$1,Q$1)</f>
        <v>0</v>
      </c>
      <c r="R343" s="179">
        <f>SUMIFS('recurring2_based on steps'!$B343:$AY343,'recurring2_based on steps'!$B$1:$AY$1,R$1)+SUMIFS('changes2_based on steps'!$B343:$U343,'changes2_based on steps'!$B$1:$U$1,R$1)</f>
        <v>0</v>
      </c>
      <c r="S343" s="179">
        <f>SUMIFS('recurring2_based on steps'!$B343:$AY343,'recurring2_based on steps'!$B$1:$AY$1,S$1)+SUMIFS('changes2_based on steps'!$B343:$U343,'changes2_based on steps'!$B$1:$U$1,S$1)</f>
        <v>0</v>
      </c>
      <c r="T343" s="179">
        <f>SUMIFS('recurring2_based on steps'!$B343:$AY343,'recurring2_based on steps'!$B$1:$AY$1,T$1)+SUMIFS('changes2_based on steps'!$B343:$U343,'changes2_based on steps'!$B$1:$U$1,T$1)</f>
        <v>0</v>
      </c>
      <c r="U343" s="179">
        <f>SUMIFS('recurring2_based on steps'!$B343:$AY343,'recurring2_based on steps'!$B$1:$AY$1,U$1)+SUMIFS('changes2_based on steps'!$B343:$U343,'changes2_based on steps'!$B$1:$U$1,U$1)</f>
        <v>0</v>
      </c>
      <c r="V343" s="179">
        <f>SUMIFS('recurring2_based on steps'!$B343:$AY343,'recurring2_based on steps'!$B$1:$AY$1,V$1)+SUMIFS('changes2_based on steps'!$B343:$U343,'changes2_based on steps'!$B$1:$U$1,V$1)</f>
        <v>0</v>
      </c>
      <c r="W343" s="179">
        <f>SUMIFS('recurring2_based on steps'!$B343:$AY343,'recurring2_based on steps'!$B$1:$AY$1,W$1)+SUMIFS('changes2_based on steps'!$B343:$U343,'changes2_based on steps'!$B$1:$U$1,W$1)</f>
        <v>0</v>
      </c>
      <c r="X343" s="179">
        <f>SUMIFS('recurring2_based on steps'!$B343:$AY343,'recurring2_based on steps'!$B$1:$AY$1,X$1)+SUMIFS('changes2_based on steps'!$B343:$U343,'changes2_based on steps'!$B$1:$U$1,X$1)</f>
        <v>0</v>
      </c>
      <c r="Y343" s="179">
        <f>SUMIFS('recurring2_based on steps'!$B343:$AY343,'recurring2_based on steps'!$B$1:$AY$1,Y$1)+SUMIFS('changes2_based on steps'!$B343:$U343,'changes2_based on steps'!$B$1:$U$1,Y$1)</f>
        <v>0</v>
      </c>
      <c r="Z343" s="179">
        <f>SUMIFS('recurring2_based on steps'!$B343:$AY343,'recurring2_based on steps'!$B$1:$AY$1,Z$1)+SUMIFS('changes2_based on steps'!$B343:$U343,'changes2_based on steps'!$B$1:$U$1,Z$1)</f>
        <v>0</v>
      </c>
      <c r="AA343" s="179">
        <f>SUMIFS('recurring2_based on steps'!$B343:$AY343,'recurring2_based on steps'!$B$1:$AY$1,AA$1)+SUMIFS('changes2_based on steps'!$B343:$U343,'changes2_based on steps'!$B$1:$U$1,AA$1)</f>
        <v>0</v>
      </c>
      <c r="AB343" s="179">
        <f>SUMIFS('recurring2_based on steps'!$B343:$AY343,'recurring2_based on steps'!$B$1:$AY$1,AB$1)+SUMIFS('changes2_based on steps'!$B343:$U343,'changes2_based on steps'!$B$1:$U$1,AB$1)</f>
        <v>0</v>
      </c>
      <c r="AC343" s="179">
        <f>SUMIFS('recurring2_based on steps'!$B343:$AY343,'recurring2_based on steps'!$B$1:$AY$1,AC$1)+SUMIFS('changes2_based on steps'!$B343:$U343,'changes2_based on steps'!$B$1:$U$1,AC$1)</f>
        <v>0</v>
      </c>
      <c r="AD343" s="179">
        <f>SUMIFS('recurring2_based on steps'!$B343:$AY343,'recurring2_based on steps'!$B$1:$AY$1,AD$1)+SUMIFS('changes2_based on steps'!$B343:$U343,'changes2_based on steps'!$B$1:$U$1,AD$1)</f>
        <v>0</v>
      </c>
      <c r="AE343" s="179">
        <f>SUMIFS('recurring2_based on steps'!$B343:$AY343,'recurring2_based on steps'!$B$1:$AY$1,AE$1)+SUMIFS('changes2_based on steps'!$B343:$U343,'changes2_based on steps'!$B$1:$U$1,AE$1)</f>
        <v>0</v>
      </c>
      <c r="AF343" s="179"/>
      <c r="AG343" s="179"/>
      <c r="AH343" s="179"/>
      <c r="AI343" s="179"/>
      <c r="AJ343" s="179"/>
      <c r="AK343" s="179"/>
      <c r="AL343" s="179"/>
      <c r="AM343" s="179"/>
    </row>
    <row r="344" spans="1:39" x14ac:dyDescent="0.2">
      <c r="A344" s="32">
        <f t="shared" ca="1" si="5"/>
        <v>46086</v>
      </c>
      <c r="B344" s="179">
        <f>SUMIFS('recurring2_based on steps'!$B344:$AY344,'recurring2_based on steps'!$B$1:$AY$1,B$1)+SUMIFS('changes2_based on steps'!$B344:$U344,'changes2_based on steps'!$B$1:$U$1,B$1)</f>
        <v>0</v>
      </c>
      <c r="C344" s="179">
        <f>SUMIFS('recurring2_based on steps'!$B344:$AY344,'recurring2_based on steps'!$B$1:$AY$1,C$1)+SUMIFS('changes2_based on steps'!$B344:$U344,'changes2_based on steps'!$B$1:$U$1,C$1)</f>
        <v>0</v>
      </c>
      <c r="D344" s="179">
        <f>SUMIFS('recurring2_based on steps'!$B344:$AY344,'recurring2_based on steps'!$B$1:$AY$1,D$1)+SUMIFS('changes2_based on steps'!$B344:$U344,'changes2_based on steps'!$B$1:$U$1,D$1)</f>
        <v>0</v>
      </c>
      <c r="E344" s="179">
        <f>SUMIFS('recurring2_based on steps'!$B344:$AY344,'recurring2_based on steps'!$B$1:$AY$1,E$1)+SUMIFS('changes2_based on steps'!$B344:$U344,'changes2_based on steps'!$B$1:$U$1,E$1)</f>
        <v>0</v>
      </c>
      <c r="F344" s="179">
        <f>SUMIFS('recurring2_based on steps'!$B344:$AY344,'recurring2_based on steps'!$B$1:$AY$1,F$1)+SUMIFS('changes2_based on steps'!$B344:$U344,'changes2_based on steps'!$B$1:$U$1,F$1)</f>
        <v>0</v>
      </c>
      <c r="G344" s="179">
        <f>SUMIFS('recurring2_based on steps'!$B344:$AY344,'recurring2_based on steps'!$B$1:$AY$1,G$1)+SUMIFS('changes2_based on steps'!$B344:$U344,'changes2_based on steps'!$B$1:$U$1,G$1)</f>
        <v>0</v>
      </c>
      <c r="H344" s="179">
        <f>SUMIFS('recurring2_based on steps'!$B344:$AY344,'recurring2_based on steps'!$B$1:$AY$1,H$1)+SUMIFS('changes2_based on steps'!$B344:$U344,'changes2_based on steps'!$B$1:$U$1,H$1)</f>
        <v>0</v>
      </c>
      <c r="I344" s="179">
        <f>SUMIFS('recurring2_based on steps'!$B344:$AY344,'recurring2_based on steps'!$B$1:$AY$1,I$1)+SUMIFS('changes2_based on steps'!$B344:$U344,'changes2_based on steps'!$B$1:$U$1,I$1)</f>
        <v>0</v>
      </c>
      <c r="J344" s="179">
        <f>SUMIFS('recurring2_based on steps'!$B344:$AY344,'recurring2_based on steps'!$B$1:$AY$1,J$1)+SUMIFS('changes2_based on steps'!$B344:$U344,'changes2_based on steps'!$B$1:$U$1,J$1)</f>
        <v>0</v>
      </c>
      <c r="K344" s="179">
        <f>SUMIFS('recurring2_based on steps'!$B344:$AY344,'recurring2_based on steps'!$B$1:$AY$1,K$1)+SUMIFS('changes2_based on steps'!$B344:$U344,'changes2_based on steps'!$B$1:$U$1,K$1)</f>
        <v>0</v>
      </c>
      <c r="L344" s="179">
        <f>SUMIFS('recurring2_based on steps'!$B344:$AY344,'recurring2_based on steps'!$B$1:$AY$1,L$1)+SUMIFS('changes2_based on steps'!$B344:$U344,'changes2_based on steps'!$B$1:$U$1,L$1)</f>
        <v>0</v>
      </c>
      <c r="M344" s="179">
        <f>SUMIFS('recurring2_based on steps'!$B344:$AY344,'recurring2_based on steps'!$B$1:$AY$1,M$1)+SUMIFS('changes2_based on steps'!$B344:$U344,'changes2_based on steps'!$B$1:$U$1,M$1)</f>
        <v>0</v>
      </c>
      <c r="N344" s="179">
        <f>SUMIFS('recurring2_based on steps'!$B344:$AY344,'recurring2_based on steps'!$B$1:$AY$1,N$1)+SUMIFS('changes2_based on steps'!$B344:$U344,'changes2_based on steps'!$B$1:$U$1,N$1)</f>
        <v>0</v>
      </c>
      <c r="O344" s="179">
        <f>SUMIFS('recurring2_based on steps'!$B344:$AY344,'recurring2_based on steps'!$B$1:$AY$1,O$1)+SUMIFS('changes2_based on steps'!$B344:$U344,'changes2_based on steps'!$B$1:$U$1,O$1)</f>
        <v>0</v>
      </c>
      <c r="P344" s="179">
        <f>SUMIFS('recurring2_based on steps'!$B344:$AY344,'recurring2_based on steps'!$B$1:$AY$1,P$1)+SUMIFS('changes2_based on steps'!$B344:$U344,'changes2_based on steps'!$B$1:$U$1,P$1)</f>
        <v>0</v>
      </c>
      <c r="Q344" s="179">
        <f>SUMIFS('recurring2_based on steps'!$B344:$AY344,'recurring2_based on steps'!$B$1:$AY$1,Q$1)+SUMIFS('changes2_based on steps'!$B344:$U344,'changes2_based on steps'!$B$1:$U$1,Q$1)</f>
        <v>0</v>
      </c>
      <c r="R344" s="179">
        <f>SUMIFS('recurring2_based on steps'!$B344:$AY344,'recurring2_based on steps'!$B$1:$AY$1,R$1)+SUMIFS('changes2_based on steps'!$B344:$U344,'changes2_based on steps'!$B$1:$U$1,R$1)</f>
        <v>0</v>
      </c>
      <c r="S344" s="179">
        <f>SUMIFS('recurring2_based on steps'!$B344:$AY344,'recurring2_based on steps'!$B$1:$AY$1,S$1)+SUMIFS('changes2_based on steps'!$B344:$U344,'changes2_based on steps'!$B$1:$U$1,S$1)</f>
        <v>0</v>
      </c>
      <c r="T344" s="179">
        <f>SUMIFS('recurring2_based on steps'!$B344:$AY344,'recurring2_based on steps'!$B$1:$AY$1,T$1)+SUMIFS('changes2_based on steps'!$B344:$U344,'changes2_based on steps'!$B$1:$U$1,T$1)</f>
        <v>0</v>
      </c>
      <c r="U344" s="179">
        <f>SUMIFS('recurring2_based on steps'!$B344:$AY344,'recurring2_based on steps'!$B$1:$AY$1,U$1)+SUMIFS('changes2_based on steps'!$B344:$U344,'changes2_based on steps'!$B$1:$U$1,U$1)</f>
        <v>0</v>
      </c>
      <c r="V344" s="179">
        <f>SUMIFS('recurring2_based on steps'!$B344:$AY344,'recurring2_based on steps'!$B$1:$AY$1,V$1)+SUMIFS('changes2_based on steps'!$B344:$U344,'changes2_based on steps'!$B$1:$U$1,V$1)</f>
        <v>0</v>
      </c>
      <c r="W344" s="179">
        <f>SUMIFS('recurring2_based on steps'!$B344:$AY344,'recurring2_based on steps'!$B$1:$AY$1,W$1)+SUMIFS('changes2_based on steps'!$B344:$U344,'changes2_based on steps'!$B$1:$U$1,W$1)</f>
        <v>0</v>
      </c>
      <c r="X344" s="179">
        <f>SUMIFS('recurring2_based on steps'!$B344:$AY344,'recurring2_based on steps'!$B$1:$AY$1,X$1)+SUMIFS('changes2_based on steps'!$B344:$U344,'changes2_based on steps'!$B$1:$U$1,X$1)</f>
        <v>0</v>
      </c>
      <c r="Y344" s="179">
        <f>SUMIFS('recurring2_based on steps'!$B344:$AY344,'recurring2_based on steps'!$B$1:$AY$1,Y$1)+SUMIFS('changes2_based on steps'!$B344:$U344,'changes2_based on steps'!$B$1:$U$1,Y$1)</f>
        <v>0</v>
      </c>
      <c r="Z344" s="179">
        <f>SUMIFS('recurring2_based on steps'!$B344:$AY344,'recurring2_based on steps'!$B$1:$AY$1,Z$1)+SUMIFS('changes2_based on steps'!$B344:$U344,'changes2_based on steps'!$B$1:$U$1,Z$1)</f>
        <v>0</v>
      </c>
      <c r="AA344" s="179">
        <f>SUMIFS('recurring2_based on steps'!$B344:$AY344,'recurring2_based on steps'!$B$1:$AY$1,AA$1)+SUMIFS('changes2_based on steps'!$B344:$U344,'changes2_based on steps'!$B$1:$U$1,AA$1)</f>
        <v>0</v>
      </c>
      <c r="AB344" s="179">
        <f>SUMIFS('recurring2_based on steps'!$B344:$AY344,'recurring2_based on steps'!$B$1:$AY$1,AB$1)+SUMIFS('changes2_based on steps'!$B344:$U344,'changes2_based on steps'!$B$1:$U$1,AB$1)</f>
        <v>0</v>
      </c>
      <c r="AC344" s="179">
        <f>SUMIFS('recurring2_based on steps'!$B344:$AY344,'recurring2_based on steps'!$B$1:$AY$1,AC$1)+SUMIFS('changes2_based on steps'!$B344:$U344,'changes2_based on steps'!$B$1:$U$1,AC$1)</f>
        <v>0</v>
      </c>
      <c r="AD344" s="179">
        <f>SUMIFS('recurring2_based on steps'!$B344:$AY344,'recurring2_based on steps'!$B$1:$AY$1,AD$1)+SUMIFS('changes2_based on steps'!$B344:$U344,'changes2_based on steps'!$B$1:$U$1,AD$1)</f>
        <v>0</v>
      </c>
      <c r="AE344" s="179">
        <f>SUMIFS('recurring2_based on steps'!$B344:$AY344,'recurring2_based on steps'!$B$1:$AY$1,AE$1)+SUMIFS('changes2_based on steps'!$B344:$U344,'changes2_based on steps'!$B$1:$U$1,AE$1)</f>
        <v>0</v>
      </c>
      <c r="AF344" s="179"/>
      <c r="AG344" s="179"/>
      <c r="AH344" s="179"/>
      <c r="AI344" s="179"/>
      <c r="AJ344" s="179"/>
      <c r="AK344" s="179"/>
      <c r="AL344" s="179"/>
      <c r="AM344" s="179"/>
    </row>
    <row r="345" spans="1:39" x14ac:dyDescent="0.2">
      <c r="A345" s="32">
        <f t="shared" ca="1" si="5"/>
        <v>46087</v>
      </c>
      <c r="B345" s="179">
        <f>SUMIFS('recurring2_based on steps'!$B345:$AY345,'recurring2_based on steps'!$B$1:$AY$1,B$1)+SUMIFS('changes2_based on steps'!$B345:$U345,'changes2_based on steps'!$B$1:$U$1,B$1)</f>
        <v>0</v>
      </c>
      <c r="C345" s="179">
        <f>SUMIFS('recurring2_based on steps'!$B345:$AY345,'recurring2_based on steps'!$B$1:$AY$1,C$1)+SUMIFS('changes2_based on steps'!$B345:$U345,'changes2_based on steps'!$B$1:$U$1,C$1)</f>
        <v>0</v>
      </c>
      <c r="D345" s="179">
        <f>SUMIFS('recurring2_based on steps'!$B345:$AY345,'recurring2_based on steps'!$B$1:$AY$1,D$1)+SUMIFS('changes2_based on steps'!$B345:$U345,'changes2_based on steps'!$B$1:$U$1,D$1)</f>
        <v>0</v>
      </c>
      <c r="E345" s="179">
        <f>SUMIFS('recurring2_based on steps'!$B345:$AY345,'recurring2_based on steps'!$B$1:$AY$1,E$1)+SUMIFS('changes2_based on steps'!$B345:$U345,'changes2_based on steps'!$B$1:$U$1,E$1)</f>
        <v>0</v>
      </c>
      <c r="F345" s="179">
        <f>SUMIFS('recurring2_based on steps'!$B345:$AY345,'recurring2_based on steps'!$B$1:$AY$1,F$1)+SUMIFS('changes2_based on steps'!$B345:$U345,'changes2_based on steps'!$B$1:$U$1,F$1)</f>
        <v>0</v>
      </c>
      <c r="G345" s="179">
        <f>SUMIFS('recurring2_based on steps'!$B345:$AY345,'recurring2_based on steps'!$B$1:$AY$1,G$1)+SUMIFS('changes2_based on steps'!$B345:$U345,'changes2_based on steps'!$B$1:$U$1,G$1)</f>
        <v>0</v>
      </c>
      <c r="H345" s="179">
        <f>SUMIFS('recurring2_based on steps'!$B345:$AY345,'recurring2_based on steps'!$B$1:$AY$1,H$1)+SUMIFS('changes2_based on steps'!$B345:$U345,'changes2_based on steps'!$B$1:$U$1,H$1)</f>
        <v>0</v>
      </c>
      <c r="I345" s="179">
        <f>SUMIFS('recurring2_based on steps'!$B345:$AY345,'recurring2_based on steps'!$B$1:$AY$1,I$1)+SUMIFS('changes2_based on steps'!$B345:$U345,'changes2_based on steps'!$B$1:$U$1,I$1)</f>
        <v>0</v>
      </c>
      <c r="J345" s="179">
        <f>SUMIFS('recurring2_based on steps'!$B345:$AY345,'recurring2_based on steps'!$B$1:$AY$1,J$1)+SUMIFS('changes2_based on steps'!$B345:$U345,'changes2_based on steps'!$B$1:$U$1,J$1)</f>
        <v>0</v>
      </c>
      <c r="K345" s="179">
        <f>SUMIFS('recurring2_based on steps'!$B345:$AY345,'recurring2_based on steps'!$B$1:$AY$1,K$1)+SUMIFS('changes2_based on steps'!$B345:$U345,'changes2_based on steps'!$B$1:$U$1,K$1)</f>
        <v>0</v>
      </c>
      <c r="L345" s="179">
        <f>SUMIFS('recurring2_based on steps'!$B345:$AY345,'recurring2_based on steps'!$B$1:$AY$1,L$1)+SUMIFS('changes2_based on steps'!$B345:$U345,'changes2_based on steps'!$B$1:$U$1,L$1)</f>
        <v>0</v>
      </c>
      <c r="M345" s="179">
        <f>SUMIFS('recurring2_based on steps'!$B345:$AY345,'recurring2_based on steps'!$B$1:$AY$1,M$1)+SUMIFS('changes2_based on steps'!$B345:$U345,'changes2_based on steps'!$B$1:$U$1,M$1)</f>
        <v>0</v>
      </c>
      <c r="N345" s="179">
        <f>SUMIFS('recurring2_based on steps'!$B345:$AY345,'recurring2_based on steps'!$B$1:$AY$1,N$1)+SUMIFS('changes2_based on steps'!$B345:$U345,'changes2_based on steps'!$B$1:$U$1,N$1)</f>
        <v>0</v>
      </c>
      <c r="O345" s="179">
        <f>SUMIFS('recurring2_based on steps'!$B345:$AY345,'recurring2_based on steps'!$B$1:$AY$1,O$1)+SUMIFS('changes2_based on steps'!$B345:$U345,'changes2_based on steps'!$B$1:$U$1,O$1)</f>
        <v>0</v>
      </c>
      <c r="P345" s="179">
        <f>SUMIFS('recurring2_based on steps'!$B345:$AY345,'recurring2_based on steps'!$B$1:$AY$1,P$1)+SUMIFS('changes2_based on steps'!$B345:$U345,'changes2_based on steps'!$B$1:$U$1,P$1)</f>
        <v>0</v>
      </c>
      <c r="Q345" s="179">
        <f>SUMIFS('recurring2_based on steps'!$B345:$AY345,'recurring2_based on steps'!$B$1:$AY$1,Q$1)+SUMIFS('changes2_based on steps'!$B345:$U345,'changes2_based on steps'!$B$1:$U$1,Q$1)</f>
        <v>0</v>
      </c>
      <c r="R345" s="179">
        <f>SUMIFS('recurring2_based on steps'!$B345:$AY345,'recurring2_based on steps'!$B$1:$AY$1,R$1)+SUMIFS('changes2_based on steps'!$B345:$U345,'changes2_based on steps'!$B$1:$U$1,R$1)</f>
        <v>0</v>
      </c>
      <c r="S345" s="179">
        <f>SUMIFS('recurring2_based on steps'!$B345:$AY345,'recurring2_based on steps'!$B$1:$AY$1,S$1)+SUMIFS('changes2_based on steps'!$B345:$U345,'changes2_based on steps'!$B$1:$U$1,S$1)</f>
        <v>0</v>
      </c>
      <c r="T345" s="179">
        <f>SUMIFS('recurring2_based on steps'!$B345:$AY345,'recurring2_based on steps'!$B$1:$AY$1,T$1)+SUMIFS('changes2_based on steps'!$B345:$U345,'changes2_based on steps'!$B$1:$U$1,T$1)</f>
        <v>0</v>
      </c>
      <c r="U345" s="179">
        <f>SUMIFS('recurring2_based on steps'!$B345:$AY345,'recurring2_based on steps'!$B$1:$AY$1,U$1)+SUMIFS('changes2_based on steps'!$B345:$U345,'changes2_based on steps'!$B$1:$U$1,U$1)</f>
        <v>0</v>
      </c>
      <c r="V345" s="179">
        <f>SUMIFS('recurring2_based on steps'!$B345:$AY345,'recurring2_based on steps'!$B$1:$AY$1,V$1)+SUMIFS('changes2_based on steps'!$B345:$U345,'changes2_based on steps'!$B$1:$U$1,V$1)</f>
        <v>0</v>
      </c>
      <c r="W345" s="179">
        <f>SUMIFS('recurring2_based on steps'!$B345:$AY345,'recurring2_based on steps'!$B$1:$AY$1,W$1)+SUMIFS('changes2_based on steps'!$B345:$U345,'changes2_based on steps'!$B$1:$U$1,W$1)</f>
        <v>0</v>
      </c>
      <c r="X345" s="179">
        <f>SUMIFS('recurring2_based on steps'!$B345:$AY345,'recurring2_based on steps'!$B$1:$AY$1,X$1)+SUMIFS('changes2_based on steps'!$B345:$U345,'changes2_based on steps'!$B$1:$U$1,X$1)</f>
        <v>0</v>
      </c>
      <c r="Y345" s="179">
        <f>SUMIFS('recurring2_based on steps'!$B345:$AY345,'recurring2_based on steps'!$B$1:$AY$1,Y$1)+SUMIFS('changes2_based on steps'!$B345:$U345,'changes2_based on steps'!$B$1:$U$1,Y$1)</f>
        <v>0</v>
      </c>
      <c r="Z345" s="179">
        <f>SUMIFS('recurring2_based on steps'!$B345:$AY345,'recurring2_based on steps'!$B$1:$AY$1,Z$1)+SUMIFS('changes2_based on steps'!$B345:$U345,'changes2_based on steps'!$B$1:$U$1,Z$1)</f>
        <v>0</v>
      </c>
      <c r="AA345" s="179">
        <f>SUMIFS('recurring2_based on steps'!$B345:$AY345,'recurring2_based on steps'!$B$1:$AY$1,AA$1)+SUMIFS('changes2_based on steps'!$B345:$U345,'changes2_based on steps'!$B$1:$U$1,AA$1)</f>
        <v>0</v>
      </c>
      <c r="AB345" s="179">
        <f>SUMIFS('recurring2_based on steps'!$B345:$AY345,'recurring2_based on steps'!$B$1:$AY$1,AB$1)+SUMIFS('changes2_based on steps'!$B345:$U345,'changes2_based on steps'!$B$1:$U$1,AB$1)</f>
        <v>0</v>
      </c>
      <c r="AC345" s="179">
        <f>SUMIFS('recurring2_based on steps'!$B345:$AY345,'recurring2_based on steps'!$B$1:$AY$1,AC$1)+SUMIFS('changes2_based on steps'!$B345:$U345,'changes2_based on steps'!$B$1:$U$1,AC$1)</f>
        <v>0</v>
      </c>
      <c r="AD345" s="179">
        <f>SUMIFS('recurring2_based on steps'!$B345:$AY345,'recurring2_based on steps'!$B$1:$AY$1,AD$1)+SUMIFS('changes2_based on steps'!$B345:$U345,'changes2_based on steps'!$B$1:$U$1,AD$1)</f>
        <v>0</v>
      </c>
      <c r="AE345" s="179">
        <f>SUMIFS('recurring2_based on steps'!$B345:$AY345,'recurring2_based on steps'!$B$1:$AY$1,AE$1)+SUMIFS('changes2_based on steps'!$B345:$U345,'changes2_based on steps'!$B$1:$U$1,AE$1)</f>
        <v>0</v>
      </c>
      <c r="AF345" s="179"/>
      <c r="AG345" s="179"/>
      <c r="AH345" s="179"/>
      <c r="AI345" s="179"/>
      <c r="AJ345" s="179"/>
      <c r="AK345" s="179"/>
      <c r="AL345" s="179"/>
      <c r="AM345" s="179"/>
    </row>
    <row r="346" spans="1:39" x14ac:dyDescent="0.2">
      <c r="A346" s="32">
        <f t="shared" ca="1" si="5"/>
        <v>46088</v>
      </c>
      <c r="B346" s="179">
        <f>SUMIFS('recurring2_based on steps'!$B346:$AY346,'recurring2_based on steps'!$B$1:$AY$1,B$1)+SUMIFS('changes2_based on steps'!$B346:$U346,'changes2_based on steps'!$B$1:$U$1,B$1)</f>
        <v>0</v>
      </c>
      <c r="C346" s="179">
        <f>SUMIFS('recurring2_based on steps'!$B346:$AY346,'recurring2_based on steps'!$B$1:$AY$1,C$1)+SUMIFS('changes2_based on steps'!$B346:$U346,'changes2_based on steps'!$B$1:$U$1,C$1)</f>
        <v>0</v>
      </c>
      <c r="D346" s="179">
        <f>SUMIFS('recurring2_based on steps'!$B346:$AY346,'recurring2_based on steps'!$B$1:$AY$1,D$1)+SUMIFS('changes2_based on steps'!$B346:$U346,'changes2_based on steps'!$B$1:$U$1,D$1)</f>
        <v>0</v>
      </c>
      <c r="E346" s="179">
        <f>SUMIFS('recurring2_based on steps'!$B346:$AY346,'recurring2_based on steps'!$B$1:$AY$1,E$1)+SUMIFS('changes2_based on steps'!$B346:$U346,'changes2_based on steps'!$B$1:$U$1,E$1)</f>
        <v>0</v>
      </c>
      <c r="F346" s="179">
        <f>SUMIFS('recurring2_based on steps'!$B346:$AY346,'recurring2_based on steps'!$B$1:$AY$1,F$1)+SUMIFS('changes2_based on steps'!$B346:$U346,'changes2_based on steps'!$B$1:$U$1,F$1)</f>
        <v>0</v>
      </c>
      <c r="G346" s="179">
        <f>SUMIFS('recurring2_based on steps'!$B346:$AY346,'recurring2_based on steps'!$B$1:$AY$1,G$1)+SUMIFS('changes2_based on steps'!$B346:$U346,'changes2_based on steps'!$B$1:$U$1,G$1)</f>
        <v>0</v>
      </c>
      <c r="H346" s="179">
        <f>SUMIFS('recurring2_based on steps'!$B346:$AY346,'recurring2_based on steps'!$B$1:$AY$1,H$1)+SUMIFS('changes2_based on steps'!$B346:$U346,'changes2_based on steps'!$B$1:$U$1,H$1)</f>
        <v>0</v>
      </c>
      <c r="I346" s="179">
        <f>SUMIFS('recurring2_based on steps'!$B346:$AY346,'recurring2_based on steps'!$B$1:$AY$1,I$1)+SUMIFS('changes2_based on steps'!$B346:$U346,'changes2_based on steps'!$B$1:$U$1,I$1)</f>
        <v>0</v>
      </c>
      <c r="J346" s="179">
        <f>SUMIFS('recurring2_based on steps'!$B346:$AY346,'recurring2_based on steps'!$B$1:$AY$1,J$1)+SUMIFS('changes2_based on steps'!$B346:$U346,'changes2_based on steps'!$B$1:$U$1,J$1)</f>
        <v>0</v>
      </c>
      <c r="K346" s="179">
        <f>SUMIFS('recurring2_based on steps'!$B346:$AY346,'recurring2_based on steps'!$B$1:$AY$1,K$1)+SUMIFS('changes2_based on steps'!$B346:$U346,'changes2_based on steps'!$B$1:$U$1,K$1)</f>
        <v>0</v>
      </c>
      <c r="L346" s="179">
        <f>SUMIFS('recurring2_based on steps'!$B346:$AY346,'recurring2_based on steps'!$B$1:$AY$1,L$1)+SUMIFS('changes2_based on steps'!$B346:$U346,'changes2_based on steps'!$B$1:$U$1,L$1)</f>
        <v>0</v>
      </c>
      <c r="M346" s="179">
        <f>SUMIFS('recurring2_based on steps'!$B346:$AY346,'recurring2_based on steps'!$B$1:$AY$1,M$1)+SUMIFS('changes2_based on steps'!$B346:$U346,'changes2_based on steps'!$B$1:$U$1,M$1)</f>
        <v>0</v>
      </c>
      <c r="N346" s="179">
        <f>SUMIFS('recurring2_based on steps'!$B346:$AY346,'recurring2_based on steps'!$B$1:$AY$1,N$1)+SUMIFS('changes2_based on steps'!$B346:$U346,'changes2_based on steps'!$B$1:$U$1,N$1)</f>
        <v>0</v>
      </c>
      <c r="O346" s="179">
        <f>SUMIFS('recurring2_based on steps'!$B346:$AY346,'recurring2_based on steps'!$B$1:$AY$1,O$1)+SUMIFS('changes2_based on steps'!$B346:$U346,'changes2_based on steps'!$B$1:$U$1,O$1)</f>
        <v>0</v>
      </c>
      <c r="P346" s="179">
        <f>SUMIFS('recurring2_based on steps'!$B346:$AY346,'recurring2_based on steps'!$B$1:$AY$1,P$1)+SUMIFS('changes2_based on steps'!$B346:$U346,'changes2_based on steps'!$B$1:$U$1,P$1)</f>
        <v>0</v>
      </c>
      <c r="Q346" s="179">
        <f>SUMIFS('recurring2_based on steps'!$B346:$AY346,'recurring2_based on steps'!$B$1:$AY$1,Q$1)+SUMIFS('changes2_based on steps'!$B346:$U346,'changes2_based on steps'!$B$1:$U$1,Q$1)</f>
        <v>0</v>
      </c>
      <c r="R346" s="179">
        <f>SUMIFS('recurring2_based on steps'!$B346:$AY346,'recurring2_based on steps'!$B$1:$AY$1,R$1)+SUMIFS('changes2_based on steps'!$B346:$U346,'changes2_based on steps'!$B$1:$U$1,R$1)</f>
        <v>0</v>
      </c>
      <c r="S346" s="179">
        <f>SUMIFS('recurring2_based on steps'!$B346:$AY346,'recurring2_based on steps'!$B$1:$AY$1,S$1)+SUMIFS('changes2_based on steps'!$B346:$U346,'changes2_based on steps'!$B$1:$U$1,S$1)</f>
        <v>0</v>
      </c>
      <c r="T346" s="179">
        <f>SUMIFS('recurring2_based on steps'!$B346:$AY346,'recurring2_based on steps'!$B$1:$AY$1,T$1)+SUMIFS('changes2_based on steps'!$B346:$U346,'changes2_based on steps'!$B$1:$U$1,T$1)</f>
        <v>0</v>
      </c>
      <c r="U346" s="179">
        <f>SUMIFS('recurring2_based on steps'!$B346:$AY346,'recurring2_based on steps'!$B$1:$AY$1,U$1)+SUMIFS('changes2_based on steps'!$B346:$U346,'changes2_based on steps'!$B$1:$U$1,U$1)</f>
        <v>0</v>
      </c>
      <c r="V346" s="179">
        <f>SUMIFS('recurring2_based on steps'!$B346:$AY346,'recurring2_based on steps'!$B$1:$AY$1,V$1)+SUMIFS('changes2_based on steps'!$B346:$U346,'changes2_based on steps'!$B$1:$U$1,V$1)</f>
        <v>0</v>
      </c>
      <c r="W346" s="179">
        <f>SUMIFS('recurring2_based on steps'!$B346:$AY346,'recurring2_based on steps'!$B$1:$AY$1,W$1)+SUMIFS('changes2_based on steps'!$B346:$U346,'changes2_based on steps'!$B$1:$U$1,W$1)</f>
        <v>0</v>
      </c>
      <c r="X346" s="179">
        <f>SUMIFS('recurring2_based on steps'!$B346:$AY346,'recurring2_based on steps'!$B$1:$AY$1,X$1)+SUMIFS('changes2_based on steps'!$B346:$U346,'changes2_based on steps'!$B$1:$U$1,X$1)</f>
        <v>0</v>
      </c>
      <c r="Y346" s="179">
        <f>SUMIFS('recurring2_based on steps'!$B346:$AY346,'recurring2_based on steps'!$B$1:$AY$1,Y$1)+SUMIFS('changes2_based on steps'!$B346:$U346,'changes2_based on steps'!$B$1:$U$1,Y$1)</f>
        <v>0</v>
      </c>
      <c r="Z346" s="179">
        <f>SUMIFS('recurring2_based on steps'!$B346:$AY346,'recurring2_based on steps'!$B$1:$AY$1,Z$1)+SUMIFS('changes2_based on steps'!$B346:$U346,'changes2_based on steps'!$B$1:$U$1,Z$1)</f>
        <v>0</v>
      </c>
      <c r="AA346" s="179">
        <f>SUMIFS('recurring2_based on steps'!$B346:$AY346,'recurring2_based on steps'!$B$1:$AY$1,AA$1)+SUMIFS('changes2_based on steps'!$B346:$U346,'changes2_based on steps'!$B$1:$U$1,AA$1)</f>
        <v>0</v>
      </c>
      <c r="AB346" s="179">
        <f>SUMIFS('recurring2_based on steps'!$B346:$AY346,'recurring2_based on steps'!$B$1:$AY$1,AB$1)+SUMIFS('changes2_based on steps'!$B346:$U346,'changes2_based on steps'!$B$1:$U$1,AB$1)</f>
        <v>0</v>
      </c>
      <c r="AC346" s="179">
        <f>SUMIFS('recurring2_based on steps'!$B346:$AY346,'recurring2_based on steps'!$B$1:$AY$1,AC$1)+SUMIFS('changes2_based on steps'!$B346:$U346,'changes2_based on steps'!$B$1:$U$1,AC$1)</f>
        <v>0</v>
      </c>
      <c r="AD346" s="179">
        <f>SUMIFS('recurring2_based on steps'!$B346:$AY346,'recurring2_based on steps'!$B$1:$AY$1,AD$1)+SUMIFS('changes2_based on steps'!$B346:$U346,'changes2_based on steps'!$B$1:$U$1,AD$1)</f>
        <v>0</v>
      </c>
      <c r="AE346" s="179">
        <f>SUMIFS('recurring2_based on steps'!$B346:$AY346,'recurring2_based on steps'!$B$1:$AY$1,AE$1)+SUMIFS('changes2_based on steps'!$B346:$U346,'changes2_based on steps'!$B$1:$U$1,AE$1)</f>
        <v>0</v>
      </c>
      <c r="AF346" s="179"/>
      <c r="AG346" s="179"/>
      <c r="AH346" s="179"/>
      <c r="AI346" s="179"/>
      <c r="AJ346" s="179"/>
      <c r="AK346" s="179"/>
      <c r="AL346" s="179"/>
      <c r="AM346" s="179"/>
    </row>
    <row r="347" spans="1:39" x14ac:dyDescent="0.2">
      <c r="A347" s="32">
        <f t="shared" ca="1" si="5"/>
        <v>46089</v>
      </c>
      <c r="B347" s="179">
        <f>SUMIFS('recurring2_based on steps'!$B347:$AY347,'recurring2_based on steps'!$B$1:$AY$1,B$1)+SUMIFS('changes2_based on steps'!$B347:$U347,'changes2_based on steps'!$B$1:$U$1,B$1)</f>
        <v>0</v>
      </c>
      <c r="C347" s="179">
        <f>SUMIFS('recurring2_based on steps'!$B347:$AY347,'recurring2_based on steps'!$B$1:$AY$1,C$1)+SUMIFS('changes2_based on steps'!$B347:$U347,'changes2_based on steps'!$B$1:$U$1,C$1)</f>
        <v>0</v>
      </c>
      <c r="D347" s="179">
        <f>SUMIFS('recurring2_based on steps'!$B347:$AY347,'recurring2_based on steps'!$B$1:$AY$1,D$1)+SUMIFS('changes2_based on steps'!$B347:$U347,'changes2_based on steps'!$B$1:$U$1,D$1)</f>
        <v>0</v>
      </c>
      <c r="E347" s="179">
        <f>SUMIFS('recurring2_based on steps'!$B347:$AY347,'recurring2_based on steps'!$B$1:$AY$1,E$1)+SUMIFS('changes2_based on steps'!$B347:$U347,'changes2_based on steps'!$B$1:$U$1,E$1)</f>
        <v>0</v>
      </c>
      <c r="F347" s="179">
        <f>SUMIFS('recurring2_based on steps'!$B347:$AY347,'recurring2_based on steps'!$B$1:$AY$1,F$1)+SUMIFS('changes2_based on steps'!$B347:$U347,'changes2_based on steps'!$B$1:$U$1,F$1)</f>
        <v>0</v>
      </c>
      <c r="G347" s="179">
        <f>SUMIFS('recurring2_based on steps'!$B347:$AY347,'recurring2_based on steps'!$B$1:$AY$1,G$1)+SUMIFS('changes2_based on steps'!$B347:$U347,'changes2_based on steps'!$B$1:$U$1,G$1)</f>
        <v>0</v>
      </c>
      <c r="H347" s="179">
        <f>SUMIFS('recurring2_based on steps'!$B347:$AY347,'recurring2_based on steps'!$B$1:$AY$1,H$1)+SUMIFS('changes2_based on steps'!$B347:$U347,'changes2_based on steps'!$B$1:$U$1,H$1)</f>
        <v>0</v>
      </c>
      <c r="I347" s="179">
        <f>SUMIFS('recurring2_based on steps'!$B347:$AY347,'recurring2_based on steps'!$B$1:$AY$1,I$1)+SUMIFS('changes2_based on steps'!$B347:$U347,'changes2_based on steps'!$B$1:$U$1,I$1)</f>
        <v>0</v>
      </c>
      <c r="J347" s="179">
        <f>SUMIFS('recurring2_based on steps'!$B347:$AY347,'recurring2_based on steps'!$B$1:$AY$1,J$1)+SUMIFS('changes2_based on steps'!$B347:$U347,'changes2_based on steps'!$B$1:$U$1,J$1)</f>
        <v>0</v>
      </c>
      <c r="K347" s="179">
        <f>SUMIFS('recurring2_based on steps'!$B347:$AY347,'recurring2_based on steps'!$B$1:$AY$1,K$1)+SUMIFS('changes2_based on steps'!$B347:$U347,'changes2_based on steps'!$B$1:$U$1,K$1)</f>
        <v>0</v>
      </c>
      <c r="L347" s="179">
        <f>SUMIFS('recurring2_based on steps'!$B347:$AY347,'recurring2_based on steps'!$B$1:$AY$1,L$1)+SUMIFS('changes2_based on steps'!$B347:$U347,'changes2_based on steps'!$B$1:$U$1,L$1)</f>
        <v>0</v>
      </c>
      <c r="M347" s="179">
        <f>SUMIFS('recurring2_based on steps'!$B347:$AY347,'recurring2_based on steps'!$B$1:$AY$1,M$1)+SUMIFS('changes2_based on steps'!$B347:$U347,'changes2_based on steps'!$B$1:$U$1,M$1)</f>
        <v>0</v>
      </c>
      <c r="N347" s="179">
        <f>SUMIFS('recurring2_based on steps'!$B347:$AY347,'recurring2_based on steps'!$B$1:$AY$1,N$1)+SUMIFS('changes2_based on steps'!$B347:$U347,'changes2_based on steps'!$B$1:$U$1,N$1)</f>
        <v>0</v>
      </c>
      <c r="O347" s="179">
        <f>SUMIFS('recurring2_based on steps'!$B347:$AY347,'recurring2_based on steps'!$B$1:$AY$1,O$1)+SUMIFS('changes2_based on steps'!$B347:$U347,'changes2_based on steps'!$B$1:$U$1,O$1)</f>
        <v>0</v>
      </c>
      <c r="P347" s="179">
        <f>SUMIFS('recurring2_based on steps'!$B347:$AY347,'recurring2_based on steps'!$B$1:$AY$1,P$1)+SUMIFS('changes2_based on steps'!$B347:$U347,'changes2_based on steps'!$B$1:$U$1,P$1)</f>
        <v>0</v>
      </c>
      <c r="Q347" s="179">
        <f>SUMIFS('recurring2_based on steps'!$B347:$AY347,'recurring2_based on steps'!$B$1:$AY$1,Q$1)+SUMIFS('changes2_based on steps'!$B347:$U347,'changes2_based on steps'!$B$1:$U$1,Q$1)</f>
        <v>0</v>
      </c>
      <c r="R347" s="179">
        <f>SUMIFS('recurring2_based on steps'!$B347:$AY347,'recurring2_based on steps'!$B$1:$AY$1,R$1)+SUMIFS('changes2_based on steps'!$B347:$U347,'changes2_based on steps'!$B$1:$U$1,R$1)</f>
        <v>0</v>
      </c>
      <c r="S347" s="179">
        <f>SUMIFS('recurring2_based on steps'!$B347:$AY347,'recurring2_based on steps'!$B$1:$AY$1,S$1)+SUMIFS('changes2_based on steps'!$B347:$U347,'changes2_based on steps'!$B$1:$U$1,S$1)</f>
        <v>0</v>
      </c>
      <c r="T347" s="179">
        <f>SUMIFS('recurring2_based on steps'!$B347:$AY347,'recurring2_based on steps'!$B$1:$AY$1,T$1)+SUMIFS('changes2_based on steps'!$B347:$U347,'changes2_based on steps'!$B$1:$U$1,T$1)</f>
        <v>0</v>
      </c>
      <c r="U347" s="179">
        <f>SUMIFS('recurring2_based on steps'!$B347:$AY347,'recurring2_based on steps'!$B$1:$AY$1,U$1)+SUMIFS('changes2_based on steps'!$B347:$U347,'changes2_based on steps'!$B$1:$U$1,U$1)</f>
        <v>0</v>
      </c>
      <c r="V347" s="179">
        <f>SUMIFS('recurring2_based on steps'!$B347:$AY347,'recurring2_based on steps'!$B$1:$AY$1,V$1)+SUMIFS('changes2_based on steps'!$B347:$U347,'changes2_based on steps'!$B$1:$U$1,V$1)</f>
        <v>0</v>
      </c>
      <c r="W347" s="179">
        <f>SUMIFS('recurring2_based on steps'!$B347:$AY347,'recurring2_based on steps'!$B$1:$AY$1,W$1)+SUMIFS('changes2_based on steps'!$B347:$U347,'changes2_based on steps'!$B$1:$U$1,W$1)</f>
        <v>0</v>
      </c>
      <c r="X347" s="179">
        <f>SUMIFS('recurring2_based on steps'!$B347:$AY347,'recurring2_based on steps'!$B$1:$AY$1,X$1)+SUMIFS('changes2_based on steps'!$B347:$U347,'changes2_based on steps'!$B$1:$U$1,X$1)</f>
        <v>0</v>
      </c>
      <c r="Y347" s="179">
        <f>SUMIFS('recurring2_based on steps'!$B347:$AY347,'recurring2_based on steps'!$B$1:$AY$1,Y$1)+SUMIFS('changes2_based on steps'!$B347:$U347,'changes2_based on steps'!$B$1:$U$1,Y$1)</f>
        <v>0</v>
      </c>
      <c r="Z347" s="179">
        <f>SUMIFS('recurring2_based on steps'!$B347:$AY347,'recurring2_based on steps'!$B$1:$AY$1,Z$1)+SUMIFS('changes2_based on steps'!$B347:$U347,'changes2_based on steps'!$B$1:$U$1,Z$1)</f>
        <v>0</v>
      </c>
      <c r="AA347" s="179">
        <f>SUMIFS('recurring2_based on steps'!$B347:$AY347,'recurring2_based on steps'!$B$1:$AY$1,AA$1)+SUMIFS('changes2_based on steps'!$B347:$U347,'changes2_based on steps'!$B$1:$U$1,AA$1)</f>
        <v>0</v>
      </c>
      <c r="AB347" s="179">
        <f>SUMIFS('recurring2_based on steps'!$B347:$AY347,'recurring2_based on steps'!$B$1:$AY$1,AB$1)+SUMIFS('changes2_based on steps'!$B347:$U347,'changes2_based on steps'!$B$1:$U$1,AB$1)</f>
        <v>0</v>
      </c>
      <c r="AC347" s="179">
        <f>SUMIFS('recurring2_based on steps'!$B347:$AY347,'recurring2_based on steps'!$B$1:$AY$1,AC$1)+SUMIFS('changes2_based on steps'!$B347:$U347,'changes2_based on steps'!$B$1:$U$1,AC$1)</f>
        <v>0</v>
      </c>
      <c r="AD347" s="179">
        <f>SUMIFS('recurring2_based on steps'!$B347:$AY347,'recurring2_based on steps'!$B$1:$AY$1,AD$1)+SUMIFS('changes2_based on steps'!$B347:$U347,'changes2_based on steps'!$B$1:$U$1,AD$1)</f>
        <v>0</v>
      </c>
      <c r="AE347" s="179">
        <f>SUMIFS('recurring2_based on steps'!$B347:$AY347,'recurring2_based on steps'!$B$1:$AY$1,AE$1)+SUMIFS('changes2_based on steps'!$B347:$U347,'changes2_based on steps'!$B$1:$U$1,AE$1)</f>
        <v>0</v>
      </c>
      <c r="AF347" s="179"/>
      <c r="AG347" s="179"/>
      <c r="AH347" s="179"/>
      <c r="AI347" s="179"/>
      <c r="AJ347" s="179"/>
      <c r="AK347" s="179"/>
      <c r="AL347" s="179"/>
      <c r="AM347" s="179"/>
    </row>
    <row r="348" spans="1:39" x14ac:dyDescent="0.2">
      <c r="A348" s="32">
        <f t="shared" ca="1" si="5"/>
        <v>46090</v>
      </c>
      <c r="B348" s="179">
        <f>SUMIFS('recurring2_based on steps'!$B348:$AY348,'recurring2_based on steps'!$B$1:$AY$1,B$1)+SUMIFS('changes2_based on steps'!$B348:$U348,'changes2_based on steps'!$B$1:$U$1,B$1)</f>
        <v>0</v>
      </c>
      <c r="C348" s="179">
        <f>SUMIFS('recurring2_based on steps'!$B348:$AY348,'recurring2_based on steps'!$B$1:$AY$1,C$1)+SUMIFS('changes2_based on steps'!$B348:$U348,'changes2_based on steps'!$B$1:$U$1,C$1)</f>
        <v>0</v>
      </c>
      <c r="D348" s="179">
        <f>SUMIFS('recurring2_based on steps'!$B348:$AY348,'recurring2_based on steps'!$B$1:$AY$1,D$1)+SUMIFS('changes2_based on steps'!$B348:$U348,'changes2_based on steps'!$B$1:$U$1,D$1)</f>
        <v>0</v>
      </c>
      <c r="E348" s="179">
        <f>SUMIFS('recurring2_based on steps'!$B348:$AY348,'recurring2_based on steps'!$B$1:$AY$1,E$1)+SUMIFS('changes2_based on steps'!$B348:$U348,'changes2_based on steps'!$B$1:$U$1,E$1)</f>
        <v>0</v>
      </c>
      <c r="F348" s="179">
        <f>SUMIFS('recurring2_based on steps'!$B348:$AY348,'recurring2_based on steps'!$B$1:$AY$1,F$1)+SUMIFS('changes2_based on steps'!$B348:$U348,'changes2_based on steps'!$B$1:$U$1,F$1)</f>
        <v>0</v>
      </c>
      <c r="G348" s="179">
        <f>SUMIFS('recurring2_based on steps'!$B348:$AY348,'recurring2_based on steps'!$B$1:$AY$1,G$1)+SUMIFS('changes2_based on steps'!$B348:$U348,'changes2_based on steps'!$B$1:$U$1,G$1)</f>
        <v>0</v>
      </c>
      <c r="H348" s="179">
        <f>SUMIFS('recurring2_based on steps'!$B348:$AY348,'recurring2_based on steps'!$B$1:$AY$1,H$1)+SUMIFS('changes2_based on steps'!$B348:$U348,'changes2_based on steps'!$B$1:$U$1,H$1)</f>
        <v>0</v>
      </c>
      <c r="I348" s="179">
        <f>SUMIFS('recurring2_based on steps'!$B348:$AY348,'recurring2_based on steps'!$B$1:$AY$1,I$1)+SUMIFS('changes2_based on steps'!$B348:$U348,'changes2_based on steps'!$B$1:$U$1,I$1)</f>
        <v>0</v>
      </c>
      <c r="J348" s="179">
        <f>SUMIFS('recurring2_based on steps'!$B348:$AY348,'recurring2_based on steps'!$B$1:$AY$1,J$1)+SUMIFS('changes2_based on steps'!$B348:$U348,'changes2_based on steps'!$B$1:$U$1,J$1)</f>
        <v>0</v>
      </c>
      <c r="K348" s="179">
        <f>SUMIFS('recurring2_based on steps'!$B348:$AY348,'recurring2_based on steps'!$B$1:$AY$1,K$1)+SUMIFS('changes2_based on steps'!$B348:$U348,'changes2_based on steps'!$B$1:$U$1,K$1)</f>
        <v>0</v>
      </c>
      <c r="L348" s="179">
        <f>SUMIFS('recurring2_based on steps'!$B348:$AY348,'recurring2_based on steps'!$B$1:$AY$1,L$1)+SUMIFS('changes2_based on steps'!$B348:$U348,'changes2_based on steps'!$B$1:$U$1,L$1)</f>
        <v>0</v>
      </c>
      <c r="M348" s="179">
        <f>SUMIFS('recurring2_based on steps'!$B348:$AY348,'recurring2_based on steps'!$B$1:$AY$1,M$1)+SUMIFS('changes2_based on steps'!$B348:$U348,'changes2_based on steps'!$B$1:$U$1,M$1)</f>
        <v>0</v>
      </c>
      <c r="N348" s="179">
        <f>SUMIFS('recurring2_based on steps'!$B348:$AY348,'recurring2_based on steps'!$B$1:$AY$1,N$1)+SUMIFS('changes2_based on steps'!$B348:$U348,'changes2_based on steps'!$B$1:$U$1,N$1)</f>
        <v>0</v>
      </c>
      <c r="O348" s="179">
        <f>SUMIFS('recurring2_based on steps'!$B348:$AY348,'recurring2_based on steps'!$B$1:$AY$1,O$1)+SUMIFS('changes2_based on steps'!$B348:$U348,'changes2_based on steps'!$B$1:$U$1,O$1)</f>
        <v>0</v>
      </c>
      <c r="P348" s="179">
        <f>SUMIFS('recurring2_based on steps'!$B348:$AY348,'recurring2_based on steps'!$B$1:$AY$1,P$1)+SUMIFS('changes2_based on steps'!$B348:$U348,'changes2_based on steps'!$B$1:$U$1,P$1)</f>
        <v>0</v>
      </c>
      <c r="Q348" s="179">
        <f>SUMIFS('recurring2_based on steps'!$B348:$AY348,'recurring2_based on steps'!$B$1:$AY$1,Q$1)+SUMIFS('changes2_based on steps'!$B348:$U348,'changes2_based on steps'!$B$1:$U$1,Q$1)</f>
        <v>0</v>
      </c>
      <c r="R348" s="179">
        <f>SUMIFS('recurring2_based on steps'!$B348:$AY348,'recurring2_based on steps'!$B$1:$AY$1,R$1)+SUMIFS('changes2_based on steps'!$B348:$U348,'changes2_based on steps'!$B$1:$U$1,R$1)</f>
        <v>0</v>
      </c>
      <c r="S348" s="179">
        <f>SUMIFS('recurring2_based on steps'!$B348:$AY348,'recurring2_based on steps'!$B$1:$AY$1,S$1)+SUMIFS('changes2_based on steps'!$B348:$U348,'changes2_based on steps'!$B$1:$U$1,S$1)</f>
        <v>0</v>
      </c>
      <c r="T348" s="179">
        <f>SUMIFS('recurring2_based on steps'!$B348:$AY348,'recurring2_based on steps'!$B$1:$AY$1,T$1)+SUMIFS('changes2_based on steps'!$B348:$U348,'changes2_based on steps'!$B$1:$U$1,T$1)</f>
        <v>0</v>
      </c>
      <c r="U348" s="179">
        <f>SUMIFS('recurring2_based on steps'!$B348:$AY348,'recurring2_based on steps'!$B$1:$AY$1,U$1)+SUMIFS('changes2_based on steps'!$B348:$U348,'changes2_based on steps'!$B$1:$U$1,U$1)</f>
        <v>0</v>
      </c>
      <c r="V348" s="179">
        <f>SUMIFS('recurring2_based on steps'!$B348:$AY348,'recurring2_based on steps'!$B$1:$AY$1,V$1)+SUMIFS('changes2_based on steps'!$B348:$U348,'changes2_based on steps'!$B$1:$U$1,V$1)</f>
        <v>0</v>
      </c>
      <c r="W348" s="179">
        <f>SUMIFS('recurring2_based on steps'!$B348:$AY348,'recurring2_based on steps'!$B$1:$AY$1,W$1)+SUMIFS('changes2_based on steps'!$B348:$U348,'changes2_based on steps'!$B$1:$U$1,W$1)</f>
        <v>0</v>
      </c>
      <c r="X348" s="179">
        <f>SUMIFS('recurring2_based on steps'!$B348:$AY348,'recurring2_based on steps'!$B$1:$AY$1,X$1)+SUMIFS('changes2_based on steps'!$B348:$U348,'changes2_based on steps'!$B$1:$U$1,X$1)</f>
        <v>0</v>
      </c>
      <c r="Y348" s="179">
        <f>SUMIFS('recurring2_based on steps'!$B348:$AY348,'recurring2_based on steps'!$B$1:$AY$1,Y$1)+SUMIFS('changes2_based on steps'!$B348:$U348,'changes2_based on steps'!$B$1:$U$1,Y$1)</f>
        <v>0</v>
      </c>
      <c r="Z348" s="179">
        <f>SUMIFS('recurring2_based on steps'!$B348:$AY348,'recurring2_based on steps'!$B$1:$AY$1,Z$1)+SUMIFS('changes2_based on steps'!$B348:$U348,'changes2_based on steps'!$B$1:$U$1,Z$1)</f>
        <v>0</v>
      </c>
      <c r="AA348" s="179">
        <f>SUMIFS('recurring2_based on steps'!$B348:$AY348,'recurring2_based on steps'!$B$1:$AY$1,AA$1)+SUMIFS('changes2_based on steps'!$B348:$U348,'changes2_based on steps'!$B$1:$U$1,AA$1)</f>
        <v>0</v>
      </c>
      <c r="AB348" s="179">
        <f>SUMIFS('recurring2_based on steps'!$B348:$AY348,'recurring2_based on steps'!$B$1:$AY$1,AB$1)+SUMIFS('changes2_based on steps'!$B348:$U348,'changes2_based on steps'!$B$1:$U$1,AB$1)</f>
        <v>0</v>
      </c>
      <c r="AC348" s="179">
        <f>SUMIFS('recurring2_based on steps'!$B348:$AY348,'recurring2_based on steps'!$B$1:$AY$1,AC$1)+SUMIFS('changes2_based on steps'!$B348:$U348,'changes2_based on steps'!$B$1:$U$1,AC$1)</f>
        <v>0</v>
      </c>
      <c r="AD348" s="179">
        <f>SUMIFS('recurring2_based on steps'!$B348:$AY348,'recurring2_based on steps'!$B$1:$AY$1,AD$1)+SUMIFS('changes2_based on steps'!$B348:$U348,'changes2_based on steps'!$B$1:$U$1,AD$1)</f>
        <v>0</v>
      </c>
      <c r="AE348" s="179">
        <f>SUMIFS('recurring2_based on steps'!$B348:$AY348,'recurring2_based on steps'!$B$1:$AY$1,AE$1)+SUMIFS('changes2_based on steps'!$B348:$U348,'changes2_based on steps'!$B$1:$U$1,AE$1)</f>
        <v>0</v>
      </c>
      <c r="AF348" s="179"/>
      <c r="AG348" s="179"/>
      <c r="AH348" s="179"/>
      <c r="AI348" s="179"/>
      <c r="AJ348" s="179"/>
      <c r="AK348" s="179"/>
      <c r="AL348" s="179"/>
      <c r="AM348" s="179"/>
    </row>
    <row r="349" spans="1:39" x14ac:dyDescent="0.2">
      <c r="A349" s="32">
        <f t="shared" ca="1" si="5"/>
        <v>46091</v>
      </c>
      <c r="B349" s="179">
        <f>SUMIFS('recurring2_based on steps'!$B349:$AY349,'recurring2_based on steps'!$B$1:$AY$1,B$1)+SUMIFS('changes2_based on steps'!$B349:$U349,'changes2_based on steps'!$B$1:$U$1,B$1)</f>
        <v>0</v>
      </c>
      <c r="C349" s="179">
        <f>SUMIFS('recurring2_based on steps'!$B349:$AY349,'recurring2_based on steps'!$B$1:$AY$1,C$1)+SUMIFS('changes2_based on steps'!$B349:$U349,'changes2_based on steps'!$B$1:$U$1,C$1)</f>
        <v>0</v>
      </c>
      <c r="D349" s="179">
        <f>SUMIFS('recurring2_based on steps'!$B349:$AY349,'recurring2_based on steps'!$B$1:$AY$1,D$1)+SUMIFS('changes2_based on steps'!$B349:$U349,'changes2_based on steps'!$B$1:$U$1,D$1)</f>
        <v>0</v>
      </c>
      <c r="E349" s="179">
        <f>SUMIFS('recurring2_based on steps'!$B349:$AY349,'recurring2_based on steps'!$B$1:$AY$1,E$1)+SUMIFS('changes2_based on steps'!$B349:$U349,'changes2_based on steps'!$B$1:$U$1,E$1)</f>
        <v>0</v>
      </c>
      <c r="F349" s="179">
        <f>SUMIFS('recurring2_based on steps'!$B349:$AY349,'recurring2_based on steps'!$B$1:$AY$1,F$1)+SUMIFS('changes2_based on steps'!$B349:$U349,'changes2_based on steps'!$B$1:$U$1,F$1)</f>
        <v>0</v>
      </c>
      <c r="G349" s="179">
        <f>SUMIFS('recurring2_based on steps'!$B349:$AY349,'recurring2_based on steps'!$B$1:$AY$1,G$1)+SUMIFS('changes2_based on steps'!$B349:$U349,'changes2_based on steps'!$B$1:$U$1,G$1)</f>
        <v>0</v>
      </c>
      <c r="H349" s="179">
        <f>SUMIFS('recurring2_based on steps'!$B349:$AY349,'recurring2_based on steps'!$B$1:$AY$1,H$1)+SUMIFS('changes2_based on steps'!$B349:$U349,'changes2_based on steps'!$B$1:$U$1,H$1)</f>
        <v>0</v>
      </c>
      <c r="I349" s="179">
        <f>SUMIFS('recurring2_based on steps'!$B349:$AY349,'recurring2_based on steps'!$B$1:$AY$1,I$1)+SUMIFS('changes2_based on steps'!$B349:$U349,'changes2_based on steps'!$B$1:$U$1,I$1)</f>
        <v>0</v>
      </c>
      <c r="J349" s="179">
        <f>SUMIFS('recurring2_based on steps'!$B349:$AY349,'recurring2_based on steps'!$B$1:$AY$1,J$1)+SUMIFS('changes2_based on steps'!$B349:$U349,'changes2_based on steps'!$B$1:$U$1,J$1)</f>
        <v>0</v>
      </c>
      <c r="K349" s="179">
        <f>SUMIFS('recurring2_based on steps'!$B349:$AY349,'recurring2_based on steps'!$B$1:$AY$1,K$1)+SUMIFS('changes2_based on steps'!$B349:$U349,'changes2_based on steps'!$B$1:$U$1,K$1)</f>
        <v>0</v>
      </c>
      <c r="L349" s="179">
        <f>SUMIFS('recurring2_based on steps'!$B349:$AY349,'recurring2_based on steps'!$B$1:$AY$1,L$1)+SUMIFS('changes2_based on steps'!$B349:$U349,'changes2_based on steps'!$B$1:$U$1,L$1)</f>
        <v>0</v>
      </c>
      <c r="M349" s="179">
        <f>SUMIFS('recurring2_based on steps'!$B349:$AY349,'recurring2_based on steps'!$B$1:$AY$1,M$1)+SUMIFS('changes2_based on steps'!$B349:$U349,'changes2_based on steps'!$B$1:$U$1,M$1)</f>
        <v>0</v>
      </c>
      <c r="N349" s="179">
        <f>SUMIFS('recurring2_based on steps'!$B349:$AY349,'recurring2_based on steps'!$B$1:$AY$1,N$1)+SUMIFS('changes2_based on steps'!$B349:$U349,'changes2_based on steps'!$B$1:$U$1,N$1)</f>
        <v>0</v>
      </c>
      <c r="O349" s="179">
        <f>SUMIFS('recurring2_based on steps'!$B349:$AY349,'recurring2_based on steps'!$B$1:$AY$1,O$1)+SUMIFS('changes2_based on steps'!$B349:$U349,'changes2_based on steps'!$B$1:$U$1,O$1)</f>
        <v>0</v>
      </c>
      <c r="P349" s="179">
        <f>SUMIFS('recurring2_based on steps'!$B349:$AY349,'recurring2_based on steps'!$B$1:$AY$1,P$1)+SUMIFS('changes2_based on steps'!$B349:$U349,'changes2_based on steps'!$B$1:$U$1,P$1)</f>
        <v>0</v>
      </c>
      <c r="Q349" s="179">
        <f>SUMIFS('recurring2_based on steps'!$B349:$AY349,'recurring2_based on steps'!$B$1:$AY$1,Q$1)+SUMIFS('changes2_based on steps'!$B349:$U349,'changes2_based on steps'!$B$1:$U$1,Q$1)</f>
        <v>0</v>
      </c>
      <c r="R349" s="179">
        <f>SUMIFS('recurring2_based on steps'!$B349:$AY349,'recurring2_based on steps'!$B$1:$AY$1,R$1)+SUMIFS('changes2_based on steps'!$B349:$U349,'changes2_based on steps'!$B$1:$U$1,R$1)</f>
        <v>0</v>
      </c>
      <c r="S349" s="179">
        <f>SUMIFS('recurring2_based on steps'!$B349:$AY349,'recurring2_based on steps'!$B$1:$AY$1,S$1)+SUMIFS('changes2_based on steps'!$B349:$U349,'changes2_based on steps'!$B$1:$U$1,S$1)</f>
        <v>0</v>
      </c>
      <c r="T349" s="179">
        <f>SUMIFS('recurring2_based on steps'!$B349:$AY349,'recurring2_based on steps'!$B$1:$AY$1,T$1)+SUMIFS('changes2_based on steps'!$B349:$U349,'changes2_based on steps'!$B$1:$U$1,T$1)</f>
        <v>0</v>
      </c>
      <c r="U349" s="179">
        <f>SUMIFS('recurring2_based on steps'!$B349:$AY349,'recurring2_based on steps'!$B$1:$AY$1,U$1)+SUMIFS('changes2_based on steps'!$B349:$U349,'changes2_based on steps'!$B$1:$U$1,U$1)</f>
        <v>0</v>
      </c>
      <c r="V349" s="179">
        <f>SUMIFS('recurring2_based on steps'!$B349:$AY349,'recurring2_based on steps'!$B$1:$AY$1,V$1)+SUMIFS('changes2_based on steps'!$B349:$U349,'changes2_based on steps'!$B$1:$U$1,V$1)</f>
        <v>0</v>
      </c>
      <c r="W349" s="179">
        <f>SUMIFS('recurring2_based on steps'!$B349:$AY349,'recurring2_based on steps'!$B$1:$AY$1,W$1)+SUMIFS('changes2_based on steps'!$B349:$U349,'changes2_based on steps'!$B$1:$U$1,W$1)</f>
        <v>0</v>
      </c>
      <c r="X349" s="179">
        <f>SUMIFS('recurring2_based on steps'!$B349:$AY349,'recurring2_based on steps'!$B$1:$AY$1,X$1)+SUMIFS('changes2_based on steps'!$B349:$U349,'changes2_based on steps'!$B$1:$U$1,X$1)</f>
        <v>0</v>
      </c>
      <c r="Y349" s="179">
        <f>SUMIFS('recurring2_based on steps'!$B349:$AY349,'recurring2_based on steps'!$B$1:$AY$1,Y$1)+SUMIFS('changes2_based on steps'!$B349:$U349,'changes2_based on steps'!$B$1:$U$1,Y$1)</f>
        <v>0</v>
      </c>
      <c r="Z349" s="179">
        <f>SUMIFS('recurring2_based on steps'!$B349:$AY349,'recurring2_based on steps'!$B$1:$AY$1,Z$1)+SUMIFS('changes2_based on steps'!$B349:$U349,'changes2_based on steps'!$B$1:$U$1,Z$1)</f>
        <v>0</v>
      </c>
      <c r="AA349" s="179">
        <f>SUMIFS('recurring2_based on steps'!$B349:$AY349,'recurring2_based on steps'!$B$1:$AY$1,AA$1)+SUMIFS('changes2_based on steps'!$B349:$U349,'changes2_based on steps'!$B$1:$U$1,AA$1)</f>
        <v>0</v>
      </c>
      <c r="AB349" s="179">
        <f>SUMIFS('recurring2_based on steps'!$B349:$AY349,'recurring2_based on steps'!$B$1:$AY$1,AB$1)+SUMIFS('changes2_based on steps'!$B349:$U349,'changes2_based on steps'!$B$1:$U$1,AB$1)</f>
        <v>0</v>
      </c>
      <c r="AC349" s="179">
        <f>SUMIFS('recurring2_based on steps'!$B349:$AY349,'recurring2_based on steps'!$B$1:$AY$1,AC$1)+SUMIFS('changes2_based on steps'!$B349:$U349,'changes2_based on steps'!$B$1:$U$1,AC$1)</f>
        <v>0</v>
      </c>
      <c r="AD349" s="179">
        <f>SUMIFS('recurring2_based on steps'!$B349:$AY349,'recurring2_based on steps'!$B$1:$AY$1,AD$1)+SUMIFS('changes2_based on steps'!$B349:$U349,'changes2_based on steps'!$B$1:$U$1,AD$1)</f>
        <v>0</v>
      </c>
      <c r="AE349" s="179">
        <f>SUMIFS('recurring2_based on steps'!$B349:$AY349,'recurring2_based on steps'!$B$1:$AY$1,AE$1)+SUMIFS('changes2_based on steps'!$B349:$U349,'changes2_based on steps'!$B$1:$U$1,AE$1)</f>
        <v>0</v>
      </c>
      <c r="AF349" s="179"/>
      <c r="AG349" s="179"/>
      <c r="AH349" s="179"/>
      <c r="AI349" s="179"/>
      <c r="AJ349" s="179"/>
      <c r="AK349" s="179"/>
      <c r="AL349" s="179"/>
      <c r="AM349" s="179"/>
    </row>
    <row r="350" spans="1:39" x14ac:dyDescent="0.2">
      <c r="A350" s="32">
        <f t="shared" ca="1" si="5"/>
        <v>46092</v>
      </c>
      <c r="B350" s="179">
        <f>SUMIFS('recurring2_based on steps'!$B350:$AY350,'recurring2_based on steps'!$B$1:$AY$1,B$1)+SUMIFS('changes2_based on steps'!$B350:$U350,'changes2_based on steps'!$B$1:$U$1,B$1)</f>
        <v>0</v>
      </c>
      <c r="C350" s="179">
        <f>SUMIFS('recurring2_based on steps'!$B350:$AY350,'recurring2_based on steps'!$B$1:$AY$1,C$1)+SUMIFS('changes2_based on steps'!$B350:$U350,'changes2_based on steps'!$B$1:$U$1,C$1)</f>
        <v>0</v>
      </c>
      <c r="D350" s="179">
        <f>SUMIFS('recurring2_based on steps'!$B350:$AY350,'recurring2_based on steps'!$B$1:$AY$1,D$1)+SUMIFS('changes2_based on steps'!$B350:$U350,'changes2_based on steps'!$B$1:$U$1,D$1)</f>
        <v>0</v>
      </c>
      <c r="E350" s="179">
        <f>SUMIFS('recurring2_based on steps'!$B350:$AY350,'recurring2_based on steps'!$B$1:$AY$1,E$1)+SUMIFS('changes2_based on steps'!$B350:$U350,'changes2_based on steps'!$B$1:$U$1,E$1)</f>
        <v>0</v>
      </c>
      <c r="F350" s="179">
        <f>SUMIFS('recurring2_based on steps'!$B350:$AY350,'recurring2_based on steps'!$B$1:$AY$1,F$1)+SUMIFS('changes2_based on steps'!$B350:$U350,'changes2_based on steps'!$B$1:$U$1,F$1)</f>
        <v>0</v>
      </c>
      <c r="G350" s="179">
        <f>SUMIFS('recurring2_based on steps'!$B350:$AY350,'recurring2_based on steps'!$B$1:$AY$1,G$1)+SUMIFS('changes2_based on steps'!$B350:$U350,'changes2_based on steps'!$B$1:$U$1,G$1)</f>
        <v>0</v>
      </c>
      <c r="H350" s="179">
        <f>SUMIFS('recurring2_based on steps'!$B350:$AY350,'recurring2_based on steps'!$B$1:$AY$1,H$1)+SUMIFS('changes2_based on steps'!$B350:$U350,'changes2_based on steps'!$B$1:$U$1,H$1)</f>
        <v>0</v>
      </c>
      <c r="I350" s="179">
        <f>SUMIFS('recurring2_based on steps'!$B350:$AY350,'recurring2_based on steps'!$B$1:$AY$1,I$1)+SUMIFS('changes2_based on steps'!$B350:$U350,'changes2_based on steps'!$B$1:$U$1,I$1)</f>
        <v>0</v>
      </c>
      <c r="J350" s="179">
        <f>SUMIFS('recurring2_based on steps'!$B350:$AY350,'recurring2_based on steps'!$B$1:$AY$1,J$1)+SUMIFS('changes2_based on steps'!$B350:$U350,'changes2_based on steps'!$B$1:$U$1,J$1)</f>
        <v>0</v>
      </c>
      <c r="K350" s="179">
        <f>SUMIFS('recurring2_based on steps'!$B350:$AY350,'recurring2_based on steps'!$B$1:$AY$1,K$1)+SUMIFS('changes2_based on steps'!$B350:$U350,'changes2_based on steps'!$B$1:$U$1,K$1)</f>
        <v>0</v>
      </c>
      <c r="L350" s="179">
        <f>SUMIFS('recurring2_based on steps'!$B350:$AY350,'recurring2_based on steps'!$B$1:$AY$1,L$1)+SUMIFS('changes2_based on steps'!$B350:$U350,'changes2_based on steps'!$B$1:$U$1,L$1)</f>
        <v>0</v>
      </c>
      <c r="M350" s="179">
        <f>SUMIFS('recurring2_based on steps'!$B350:$AY350,'recurring2_based on steps'!$B$1:$AY$1,M$1)+SUMIFS('changes2_based on steps'!$B350:$U350,'changes2_based on steps'!$B$1:$U$1,M$1)</f>
        <v>0</v>
      </c>
      <c r="N350" s="179">
        <f>SUMIFS('recurring2_based on steps'!$B350:$AY350,'recurring2_based on steps'!$B$1:$AY$1,N$1)+SUMIFS('changes2_based on steps'!$B350:$U350,'changes2_based on steps'!$B$1:$U$1,N$1)</f>
        <v>0</v>
      </c>
      <c r="O350" s="179">
        <f>SUMIFS('recurring2_based on steps'!$B350:$AY350,'recurring2_based on steps'!$B$1:$AY$1,O$1)+SUMIFS('changes2_based on steps'!$B350:$U350,'changes2_based on steps'!$B$1:$U$1,O$1)</f>
        <v>0</v>
      </c>
      <c r="P350" s="179">
        <f>SUMIFS('recurring2_based on steps'!$B350:$AY350,'recurring2_based on steps'!$B$1:$AY$1,P$1)+SUMIFS('changes2_based on steps'!$B350:$U350,'changes2_based on steps'!$B$1:$U$1,P$1)</f>
        <v>0</v>
      </c>
      <c r="Q350" s="179">
        <f>SUMIFS('recurring2_based on steps'!$B350:$AY350,'recurring2_based on steps'!$B$1:$AY$1,Q$1)+SUMIFS('changes2_based on steps'!$B350:$U350,'changes2_based on steps'!$B$1:$U$1,Q$1)</f>
        <v>0</v>
      </c>
      <c r="R350" s="179">
        <f>SUMIFS('recurring2_based on steps'!$B350:$AY350,'recurring2_based on steps'!$B$1:$AY$1,R$1)+SUMIFS('changes2_based on steps'!$B350:$U350,'changes2_based on steps'!$B$1:$U$1,R$1)</f>
        <v>0</v>
      </c>
      <c r="S350" s="179">
        <f>SUMIFS('recurring2_based on steps'!$B350:$AY350,'recurring2_based on steps'!$B$1:$AY$1,S$1)+SUMIFS('changes2_based on steps'!$B350:$U350,'changes2_based on steps'!$B$1:$U$1,S$1)</f>
        <v>0</v>
      </c>
      <c r="T350" s="179">
        <f>SUMIFS('recurring2_based on steps'!$B350:$AY350,'recurring2_based on steps'!$B$1:$AY$1,T$1)+SUMIFS('changes2_based on steps'!$B350:$U350,'changes2_based on steps'!$B$1:$U$1,T$1)</f>
        <v>0</v>
      </c>
      <c r="U350" s="179">
        <f>SUMIFS('recurring2_based on steps'!$B350:$AY350,'recurring2_based on steps'!$B$1:$AY$1,U$1)+SUMIFS('changes2_based on steps'!$B350:$U350,'changes2_based on steps'!$B$1:$U$1,U$1)</f>
        <v>0</v>
      </c>
      <c r="V350" s="179">
        <f>SUMIFS('recurring2_based on steps'!$B350:$AY350,'recurring2_based on steps'!$B$1:$AY$1,V$1)+SUMIFS('changes2_based on steps'!$B350:$U350,'changes2_based on steps'!$B$1:$U$1,V$1)</f>
        <v>0</v>
      </c>
      <c r="W350" s="179">
        <f>SUMIFS('recurring2_based on steps'!$B350:$AY350,'recurring2_based on steps'!$B$1:$AY$1,W$1)+SUMIFS('changes2_based on steps'!$B350:$U350,'changes2_based on steps'!$B$1:$U$1,W$1)</f>
        <v>0</v>
      </c>
      <c r="X350" s="179">
        <f>SUMIFS('recurring2_based on steps'!$B350:$AY350,'recurring2_based on steps'!$B$1:$AY$1,X$1)+SUMIFS('changes2_based on steps'!$B350:$U350,'changes2_based on steps'!$B$1:$U$1,X$1)</f>
        <v>0</v>
      </c>
      <c r="Y350" s="179">
        <f>SUMIFS('recurring2_based on steps'!$B350:$AY350,'recurring2_based on steps'!$B$1:$AY$1,Y$1)+SUMIFS('changes2_based on steps'!$B350:$U350,'changes2_based on steps'!$B$1:$U$1,Y$1)</f>
        <v>0</v>
      </c>
      <c r="Z350" s="179">
        <f>SUMIFS('recurring2_based on steps'!$B350:$AY350,'recurring2_based on steps'!$B$1:$AY$1,Z$1)+SUMIFS('changes2_based on steps'!$B350:$U350,'changes2_based on steps'!$B$1:$U$1,Z$1)</f>
        <v>0</v>
      </c>
      <c r="AA350" s="179">
        <f>SUMIFS('recurring2_based on steps'!$B350:$AY350,'recurring2_based on steps'!$B$1:$AY$1,AA$1)+SUMIFS('changes2_based on steps'!$B350:$U350,'changes2_based on steps'!$B$1:$U$1,AA$1)</f>
        <v>0</v>
      </c>
      <c r="AB350" s="179">
        <f>SUMIFS('recurring2_based on steps'!$B350:$AY350,'recurring2_based on steps'!$B$1:$AY$1,AB$1)+SUMIFS('changes2_based on steps'!$B350:$U350,'changes2_based on steps'!$B$1:$U$1,AB$1)</f>
        <v>0</v>
      </c>
      <c r="AC350" s="179">
        <f>SUMIFS('recurring2_based on steps'!$B350:$AY350,'recurring2_based on steps'!$B$1:$AY$1,AC$1)+SUMIFS('changes2_based on steps'!$B350:$U350,'changes2_based on steps'!$B$1:$U$1,AC$1)</f>
        <v>0</v>
      </c>
      <c r="AD350" s="179">
        <f>SUMIFS('recurring2_based on steps'!$B350:$AY350,'recurring2_based on steps'!$B$1:$AY$1,AD$1)+SUMIFS('changes2_based on steps'!$B350:$U350,'changes2_based on steps'!$B$1:$U$1,AD$1)</f>
        <v>0</v>
      </c>
      <c r="AE350" s="179">
        <f>SUMIFS('recurring2_based on steps'!$B350:$AY350,'recurring2_based on steps'!$B$1:$AY$1,AE$1)+SUMIFS('changes2_based on steps'!$B350:$U350,'changes2_based on steps'!$B$1:$U$1,AE$1)</f>
        <v>0</v>
      </c>
      <c r="AF350" s="179"/>
      <c r="AG350" s="179"/>
      <c r="AH350" s="179"/>
      <c r="AI350" s="179"/>
      <c r="AJ350" s="179"/>
      <c r="AK350" s="179"/>
      <c r="AL350" s="179"/>
      <c r="AM350" s="179"/>
    </row>
    <row r="351" spans="1:39" x14ac:dyDescent="0.2">
      <c r="A351" s="32">
        <f t="shared" ca="1" si="5"/>
        <v>46093</v>
      </c>
      <c r="B351" s="179">
        <f>SUMIFS('recurring2_based on steps'!$B351:$AY351,'recurring2_based on steps'!$B$1:$AY$1,B$1)+SUMIFS('changes2_based on steps'!$B351:$U351,'changes2_based on steps'!$B$1:$U$1,B$1)</f>
        <v>0</v>
      </c>
      <c r="C351" s="179">
        <f>SUMIFS('recurring2_based on steps'!$B351:$AY351,'recurring2_based on steps'!$B$1:$AY$1,C$1)+SUMIFS('changes2_based on steps'!$B351:$U351,'changes2_based on steps'!$B$1:$U$1,C$1)</f>
        <v>0</v>
      </c>
      <c r="D351" s="179">
        <f>SUMIFS('recurring2_based on steps'!$B351:$AY351,'recurring2_based on steps'!$B$1:$AY$1,D$1)+SUMIFS('changes2_based on steps'!$B351:$U351,'changes2_based on steps'!$B$1:$U$1,D$1)</f>
        <v>0</v>
      </c>
      <c r="E351" s="179">
        <f>SUMIFS('recurring2_based on steps'!$B351:$AY351,'recurring2_based on steps'!$B$1:$AY$1,E$1)+SUMIFS('changes2_based on steps'!$B351:$U351,'changes2_based on steps'!$B$1:$U$1,E$1)</f>
        <v>0</v>
      </c>
      <c r="F351" s="179">
        <f>SUMIFS('recurring2_based on steps'!$B351:$AY351,'recurring2_based on steps'!$B$1:$AY$1,F$1)+SUMIFS('changes2_based on steps'!$B351:$U351,'changes2_based on steps'!$B$1:$U$1,F$1)</f>
        <v>0</v>
      </c>
      <c r="G351" s="179">
        <f>SUMIFS('recurring2_based on steps'!$B351:$AY351,'recurring2_based on steps'!$B$1:$AY$1,G$1)+SUMIFS('changes2_based on steps'!$B351:$U351,'changes2_based on steps'!$B$1:$U$1,G$1)</f>
        <v>0</v>
      </c>
      <c r="H351" s="179">
        <f>SUMIFS('recurring2_based on steps'!$B351:$AY351,'recurring2_based on steps'!$B$1:$AY$1,H$1)+SUMIFS('changes2_based on steps'!$B351:$U351,'changes2_based on steps'!$B$1:$U$1,H$1)</f>
        <v>0</v>
      </c>
      <c r="I351" s="179">
        <f>SUMIFS('recurring2_based on steps'!$B351:$AY351,'recurring2_based on steps'!$B$1:$AY$1,I$1)+SUMIFS('changes2_based on steps'!$B351:$U351,'changes2_based on steps'!$B$1:$U$1,I$1)</f>
        <v>0</v>
      </c>
      <c r="J351" s="179">
        <f>SUMIFS('recurring2_based on steps'!$B351:$AY351,'recurring2_based on steps'!$B$1:$AY$1,J$1)+SUMIFS('changes2_based on steps'!$B351:$U351,'changes2_based on steps'!$B$1:$U$1,J$1)</f>
        <v>0</v>
      </c>
      <c r="K351" s="179">
        <f>SUMIFS('recurring2_based on steps'!$B351:$AY351,'recurring2_based on steps'!$B$1:$AY$1,K$1)+SUMIFS('changes2_based on steps'!$B351:$U351,'changes2_based on steps'!$B$1:$U$1,K$1)</f>
        <v>0</v>
      </c>
      <c r="L351" s="179">
        <f>SUMIFS('recurring2_based on steps'!$B351:$AY351,'recurring2_based on steps'!$B$1:$AY$1,L$1)+SUMIFS('changes2_based on steps'!$B351:$U351,'changes2_based on steps'!$B$1:$U$1,L$1)</f>
        <v>0</v>
      </c>
      <c r="M351" s="179">
        <f>SUMIFS('recurring2_based on steps'!$B351:$AY351,'recurring2_based on steps'!$B$1:$AY$1,M$1)+SUMIFS('changes2_based on steps'!$B351:$U351,'changes2_based on steps'!$B$1:$U$1,M$1)</f>
        <v>0</v>
      </c>
      <c r="N351" s="179">
        <f>SUMIFS('recurring2_based on steps'!$B351:$AY351,'recurring2_based on steps'!$B$1:$AY$1,N$1)+SUMIFS('changes2_based on steps'!$B351:$U351,'changes2_based on steps'!$B$1:$U$1,N$1)</f>
        <v>0</v>
      </c>
      <c r="O351" s="179">
        <f>SUMIFS('recurring2_based on steps'!$B351:$AY351,'recurring2_based on steps'!$B$1:$AY$1,O$1)+SUMIFS('changes2_based on steps'!$B351:$U351,'changes2_based on steps'!$B$1:$U$1,O$1)</f>
        <v>0</v>
      </c>
      <c r="P351" s="179">
        <f>SUMIFS('recurring2_based on steps'!$B351:$AY351,'recurring2_based on steps'!$B$1:$AY$1,P$1)+SUMIFS('changes2_based on steps'!$B351:$U351,'changes2_based on steps'!$B$1:$U$1,P$1)</f>
        <v>0</v>
      </c>
      <c r="Q351" s="179">
        <f>SUMIFS('recurring2_based on steps'!$B351:$AY351,'recurring2_based on steps'!$B$1:$AY$1,Q$1)+SUMIFS('changes2_based on steps'!$B351:$U351,'changes2_based on steps'!$B$1:$U$1,Q$1)</f>
        <v>0</v>
      </c>
      <c r="R351" s="179">
        <f>SUMIFS('recurring2_based on steps'!$B351:$AY351,'recurring2_based on steps'!$B$1:$AY$1,R$1)+SUMIFS('changes2_based on steps'!$B351:$U351,'changes2_based on steps'!$B$1:$U$1,R$1)</f>
        <v>0</v>
      </c>
      <c r="S351" s="179">
        <f>SUMIFS('recurring2_based on steps'!$B351:$AY351,'recurring2_based on steps'!$B$1:$AY$1,S$1)+SUMIFS('changes2_based on steps'!$B351:$U351,'changes2_based on steps'!$B$1:$U$1,S$1)</f>
        <v>0</v>
      </c>
      <c r="T351" s="179">
        <f>SUMIFS('recurring2_based on steps'!$B351:$AY351,'recurring2_based on steps'!$B$1:$AY$1,T$1)+SUMIFS('changes2_based on steps'!$B351:$U351,'changes2_based on steps'!$B$1:$U$1,T$1)</f>
        <v>0</v>
      </c>
      <c r="U351" s="179">
        <f>SUMIFS('recurring2_based on steps'!$B351:$AY351,'recurring2_based on steps'!$B$1:$AY$1,U$1)+SUMIFS('changes2_based on steps'!$B351:$U351,'changes2_based on steps'!$B$1:$U$1,U$1)</f>
        <v>0</v>
      </c>
      <c r="V351" s="179">
        <f>SUMIFS('recurring2_based on steps'!$B351:$AY351,'recurring2_based on steps'!$B$1:$AY$1,V$1)+SUMIFS('changes2_based on steps'!$B351:$U351,'changes2_based on steps'!$B$1:$U$1,V$1)</f>
        <v>0</v>
      </c>
      <c r="W351" s="179">
        <f>SUMIFS('recurring2_based on steps'!$B351:$AY351,'recurring2_based on steps'!$B$1:$AY$1,W$1)+SUMIFS('changes2_based on steps'!$B351:$U351,'changes2_based on steps'!$B$1:$U$1,W$1)</f>
        <v>0</v>
      </c>
      <c r="X351" s="179">
        <f>SUMIFS('recurring2_based on steps'!$B351:$AY351,'recurring2_based on steps'!$B$1:$AY$1,X$1)+SUMIFS('changes2_based on steps'!$B351:$U351,'changes2_based on steps'!$B$1:$U$1,X$1)</f>
        <v>0</v>
      </c>
      <c r="Y351" s="179">
        <f>SUMIFS('recurring2_based on steps'!$B351:$AY351,'recurring2_based on steps'!$B$1:$AY$1,Y$1)+SUMIFS('changes2_based on steps'!$B351:$U351,'changes2_based on steps'!$B$1:$U$1,Y$1)</f>
        <v>0</v>
      </c>
      <c r="Z351" s="179">
        <f>SUMIFS('recurring2_based on steps'!$B351:$AY351,'recurring2_based on steps'!$B$1:$AY$1,Z$1)+SUMIFS('changes2_based on steps'!$B351:$U351,'changes2_based on steps'!$B$1:$U$1,Z$1)</f>
        <v>0</v>
      </c>
      <c r="AA351" s="179">
        <f>SUMIFS('recurring2_based on steps'!$B351:$AY351,'recurring2_based on steps'!$B$1:$AY$1,AA$1)+SUMIFS('changes2_based on steps'!$B351:$U351,'changes2_based on steps'!$B$1:$U$1,AA$1)</f>
        <v>0</v>
      </c>
      <c r="AB351" s="179">
        <f>SUMIFS('recurring2_based on steps'!$B351:$AY351,'recurring2_based on steps'!$B$1:$AY$1,AB$1)+SUMIFS('changes2_based on steps'!$B351:$U351,'changes2_based on steps'!$B$1:$U$1,AB$1)</f>
        <v>0</v>
      </c>
      <c r="AC351" s="179">
        <f>SUMIFS('recurring2_based on steps'!$B351:$AY351,'recurring2_based on steps'!$B$1:$AY$1,AC$1)+SUMIFS('changes2_based on steps'!$B351:$U351,'changes2_based on steps'!$B$1:$U$1,AC$1)</f>
        <v>0</v>
      </c>
      <c r="AD351" s="179">
        <f>SUMIFS('recurring2_based on steps'!$B351:$AY351,'recurring2_based on steps'!$B$1:$AY$1,AD$1)+SUMIFS('changes2_based on steps'!$B351:$U351,'changes2_based on steps'!$B$1:$U$1,AD$1)</f>
        <v>0</v>
      </c>
      <c r="AE351" s="179">
        <f>SUMIFS('recurring2_based on steps'!$B351:$AY351,'recurring2_based on steps'!$B$1:$AY$1,AE$1)+SUMIFS('changes2_based on steps'!$B351:$U351,'changes2_based on steps'!$B$1:$U$1,AE$1)</f>
        <v>0</v>
      </c>
      <c r="AF351" s="179"/>
      <c r="AG351" s="179"/>
      <c r="AH351" s="179"/>
      <c r="AI351" s="179"/>
      <c r="AJ351" s="179"/>
      <c r="AK351" s="179"/>
      <c r="AL351" s="179"/>
      <c r="AM351" s="179"/>
    </row>
    <row r="352" spans="1:39" x14ac:dyDescent="0.2">
      <c r="A352" s="32">
        <f t="shared" ca="1" si="5"/>
        <v>46094</v>
      </c>
      <c r="B352" s="179">
        <f>SUMIFS('recurring2_based on steps'!$B352:$AY352,'recurring2_based on steps'!$B$1:$AY$1,B$1)+SUMIFS('changes2_based on steps'!$B352:$U352,'changes2_based on steps'!$B$1:$U$1,B$1)</f>
        <v>0</v>
      </c>
      <c r="C352" s="179">
        <f>SUMIFS('recurring2_based on steps'!$B352:$AY352,'recurring2_based on steps'!$B$1:$AY$1,C$1)+SUMIFS('changes2_based on steps'!$B352:$U352,'changes2_based on steps'!$B$1:$U$1,C$1)</f>
        <v>0</v>
      </c>
      <c r="D352" s="179">
        <f>SUMIFS('recurring2_based on steps'!$B352:$AY352,'recurring2_based on steps'!$B$1:$AY$1,D$1)+SUMIFS('changes2_based on steps'!$B352:$U352,'changes2_based on steps'!$B$1:$U$1,D$1)</f>
        <v>0</v>
      </c>
      <c r="E352" s="179">
        <f>SUMIFS('recurring2_based on steps'!$B352:$AY352,'recurring2_based on steps'!$B$1:$AY$1,E$1)+SUMIFS('changes2_based on steps'!$B352:$U352,'changes2_based on steps'!$B$1:$U$1,E$1)</f>
        <v>0</v>
      </c>
      <c r="F352" s="179">
        <f>SUMIFS('recurring2_based on steps'!$B352:$AY352,'recurring2_based on steps'!$B$1:$AY$1,F$1)+SUMIFS('changes2_based on steps'!$B352:$U352,'changes2_based on steps'!$B$1:$U$1,F$1)</f>
        <v>0</v>
      </c>
      <c r="G352" s="179">
        <f>SUMIFS('recurring2_based on steps'!$B352:$AY352,'recurring2_based on steps'!$B$1:$AY$1,G$1)+SUMIFS('changes2_based on steps'!$B352:$U352,'changes2_based on steps'!$B$1:$U$1,G$1)</f>
        <v>0</v>
      </c>
      <c r="H352" s="179">
        <f>SUMIFS('recurring2_based on steps'!$B352:$AY352,'recurring2_based on steps'!$B$1:$AY$1,H$1)+SUMIFS('changes2_based on steps'!$B352:$U352,'changes2_based on steps'!$B$1:$U$1,H$1)</f>
        <v>0</v>
      </c>
      <c r="I352" s="179">
        <f>SUMIFS('recurring2_based on steps'!$B352:$AY352,'recurring2_based on steps'!$B$1:$AY$1,I$1)+SUMIFS('changes2_based on steps'!$B352:$U352,'changes2_based on steps'!$B$1:$U$1,I$1)</f>
        <v>0</v>
      </c>
      <c r="J352" s="179">
        <f>SUMIFS('recurring2_based on steps'!$B352:$AY352,'recurring2_based on steps'!$B$1:$AY$1,J$1)+SUMIFS('changes2_based on steps'!$B352:$U352,'changes2_based on steps'!$B$1:$U$1,J$1)</f>
        <v>0</v>
      </c>
      <c r="K352" s="179">
        <f>SUMIFS('recurring2_based on steps'!$B352:$AY352,'recurring2_based on steps'!$B$1:$AY$1,K$1)+SUMIFS('changes2_based on steps'!$B352:$U352,'changes2_based on steps'!$B$1:$U$1,K$1)</f>
        <v>0</v>
      </c>
      <c r="L352" s="179">
        <f>SUMIFS('recurring2_based on steps'!$B352:$AY352,'recurring2_based on steps'!$B$1:$AY$1,L$1)+SUMIFS('changes2_based on steps'!$B352:$U352,'changes2_based on steps'!$B$1:$U$1,L$1)</f>
        <v>0</v>
      </c>
      <c r="M352" s="179">
        <f>SUMIFS('recurring2_based on steps'!$B352:$AY352,'recurring2_based on steps'!$B$1:$AY$1,M$1)+SUMIFS('changes2_based on steps'!$B352:$U352,'changes2_based on steps'!$B$1:$U$1,M$1)</f>
        <v>0</v>
      </c>
      <c r="N352" s="179">
        <f>SUMIFS('recurring2_based on steps'!$B352:$AY352,'recurring2_based on steps'!$B$1:$AY$1,N$1)+SUMIFS('changes2_based on steps'!$B352:$U352,'changes2_based on steps'!$B$1:$U$1,N$1)</f>
        <v>0</v>
      </c>
      <c r="O352" s="179">
        <f>SUMIFS('recurring2_based on steps'!$B352:$AY352,'recurring2_based on steps'!$B$1:$AY$1,O$1)+SUMIFS('changes2_based on steps'!$B352:$U352,'changes2_based on steps'!$B$1:$U$1,O$1)</f>
        <v>0</v>
      </c>
      <c r="P352" s="179">
        <f>SUMIFS('recurring2_based on steps'!$B352:$AY352,'recurring2_based on steps'!$B$1:$AY$1,P$1)+SUMIFS('changes2_based on steps'!$B352:$U352,'changes2_based on steps'!$B$1:$U$1,P$1)</f>
        <v>0</v>
      </c>
      <c r="Q352" s="179">
        <f>SUMIFS('recurring2_based on steps'!$B352:$AY352,'recurring2_based on steps'!$B$1:$AY$1,Q$1)+SUMIFS('changes2_based on steps'!$B352:$U352,'changes2_based on steps'!$B$1:$U$1,Q$1)</f>
        <v>0</v>
      </c>
      <c r="R352" s="179">
        <f>SUMIFS('recurring2_based on steps'!$B352:$AY352,'recurring2_based on steps'!$B$1:$AY$1,R$1)+SUMIFS('changes2_based on steps'!$B352:$U352,'changes2_based on steps'!$B$1:$U$1,R$1)</f>
        <v>0</v>
      </c>
      <c r="S352" s="179">
        <f>SUMIFS('recurring2_based on steps'!$B352:$AY352,'recurring2_based on steps'!$B$1:$AY$1,S$1)+SUMIFS('changes2_based on steps'!$B352:$U352,'changes2_based on steps'!$B$1:$U$1,S$1)</f>
        <v>0</v>
      </c>
      <c r="T352" s="179">
        <f>SUMIFS('recurring2_based on steps'!$B352:$AY352,'recurring2_based on steps'!$B$1:$AY$1,T$1)+SUMIFS('changes2_based on steps'!$B352:$U352,'changes2_based on steps'!$B$1:$U$1,T$1)</f>
        <v>0</v>
      </c>
      <c r="U352" s="179">
        <f>SUMIFS('recurring2_based on steps'!$B352:$AY352,'recurring2_based on steps'!$B$1:$AY$1,U$1)+SUMIFS('changes2_based on steps'!$B352:$U352,'changes2_based on steps'!$B$1:$U$1,U$1)</f>
        <v>0</v>
      </c>
      <c r="V352" s="179">
        <f>SUMIFS('recurring2_based on steps'!$B352:$AY352,'recurring2_based on steps'!$B$1:$AY$1,V$1)+SUMIFS('changes2_based on steps'!$B352:$U352,'changes2_based on steps'!$B$1:$U$1,V$1)</f>
        <v>0</v>
      </c>
      <c r="W352" s="179">
        <f>SUMIFS('recurring2_based on steps'!$B352:$AY352,'recurring2_based on steps'!$B$1:$AY$1,W$1)+SUMIFS('changes2_based on steps'!$B352:$U352,'changes2_based on steps'!$B$1:$U$1,W$1)</f>
        <v>0</v>
      </c>
      <c r="X352" s="179">
        <f>SUMIFS('recurring2_based on steps'!$B352:$AY352,'recurring2_based on steps'!$B$1:$AY$1,X$1)+SUMIFS('changes2_based on steps'!$B352:$U352,'changes2_based on steps'!$B$1:$U$1,X$1)</f>
        <v>0</v>
      </c>
      <c r="Y352" s="179">
        <f>SUMIFS('recurring2_based on steps'!$B352:$AY352,'recurring2_based on steps'!$B$1:$AY$1,Y$1)+SUMIFS('changes2_based on steps'!$B352:$U352,'changes2_based on steps'!$B$1:$U$1,Y$1)</f>
        <v>0</v>
      </c>
      <c r="Z352" s="179">
        <f>SUMIFS('recurring2_based on steps'!$B352:$AY352,'recurring2_based on steps'!$B$1:$AY$1,Z$1)+SUMIFS('changes2_based on steps'!$B352:$U352,'changes2_based on steps'!$B$1:$U$1,Z$1)</f>
        <v>0</v>
      </c>
      <c r="AA352" s="179">
        <f>SUMIFS('recurring2_based on steps'!$B352:$AY352,'recurring2_based on steps'!$B$1:$AY$1,AA$1)+SUMIFS('changes2_based on steps'!$B352:$U352,'changes2_based on steps'!$B$1:$U$1,AA$1)</f>
        <v>0</v>
      </c>
      <c r="AB352" s="179">
        <f>SUMIFS('recurring2_based on steps'!$B352:$AY352,'recurring2_based on steps'!$B$1:$AY$1,AB$1)+SUMIFS('changes2_based on steps'!$B352:$U352,'changes2_based on steps'!$B$1:$U$1,AB$1)</f>
        <v>0</v>
      </c>
      <c r="AC352" s="179">
        <f>SUMIFS('recurring2_based on steps'!$B352:$AY352,'recurring2_based on steps'!$B$1:$AY$1,AC$1)+SUMIFS('changes2_based on steps'!$B352:$U352,'changes2_based on steps'!$B$1:$U$1,AC$1)</f>
        <v>0</v>
      </c>
      <c r="AD352" s="179">
        <f>SUMIFS('recurring2_based on steps'!$B352:$AY352,'recurring2_based on steps'!$B$1:$AY$1,AD$1)+SUMIFS('changes2_based on steps'!$B352:$U352,'changes2_based on steps'!$B$1:$U$1,AD$1)</f>
        <v>0</v>
      </c>
      <c r="AE352" s="179">
        <f>SUMIFS('recurring2_based on steps'!$B352:$AY352,'recurring2_based on steps'!$B$1:$AY$1,AE$1)+SUMIFS('changes2_based on steps'!$B352:$U352,'changes2_based on steps'!$B$1:$U$1,AE$1)</f>
        <v>0</v>
      </c>
      <c r="AF352" s="179"/>
      <c r="AG352" s="179"/>
      <c r="AH352" s="179"/>
      <c r="AI352" s="179"/>
      <c r="AJ352" s="179"/>
      <c r="AK352" s="179"/>
      <c r="AL352" s="179"/>
      <c r="AM352" s="179"/>
    </row>
    <row r="353" spans="1:39" x14ac:dyDescent="0.2">
      <c r="A353" s="32">
        <f t="shared" ca="1" si="5"/>
        <v>46095</v>
      </c>
      <c r="B353" s="179">
        <f>SUMIFS('recurring2_based on steps'!$B353:$AY353,'recurring2_based on steps'!$B$1:$AY$1,B$1)+SUMIFS('changes2_based on steps'!$B353:$U353,'changes2_based on steps'!$B$1:$U$1,B$1)</f>
        <v>0</v>
      </c>
      <c r="C353" s="179">
        <f>SUMIFS('recurring2_based on steps'!$B353:$AY353,'recurring2_based on steps'!$B$1:$AY$1,C$1)+SUMIFS('changes2_based on steps'!$B353:$U353,'changes2_based on steps'!$B$1:$U$1,C$1)</f>
        <v>0</v>
      </c>
      <c r="D353" s="179">
        <f>SUMIFS('recurring2_based on steps'!$B353:$AY353,'recurring2_based on steps'!$B$1:$AY$1,D$1)+SUMIFS('changes2_based on steps'!$B353:$U353,'changes2_based on steps'!$B$1:$U$1,D$1)</f>
        <v>0</v>
      </c>
      <c r="E353" s="179">
        <f>SUMIFS('recurring2_based on steps'!$B353:$AY353,'recurring2_based on steps'!$B$1:$AY$1,E$1)+SUMIFS('changes2_based on steps'!$B353:$U353,'changes2_based on steps'!$B$1:$U$1,E$1)</f>
        <v>0</v>
      </c>
      <c r="F353" s="179">
        <f>SUMIFS('recurring2_based on steps'!$B353:$AY353,'recurring2_based on steps'!$B$1:$AY$1,F$1)+SUMIFS('changes2_based on steps'!$B353:$U353,'changes2_based on steps'!$B$1:$U$1,F$1)</f>
        <v>0</v>
      </c>
      <c r="G353" s="179">
        <f>SUMIFS('recurring2_based on steps'!$B353:$AY353,'recurring2_based on steps'!$B$1:$AY$1,G$1)+SUMIFS('changes2_based on steps'!$B353:$U353,'changes2_based on steps'!$B$1:$U$1,G$1)</f>
        <v>0</v>
      </c>
      <c r="H353" s="179">
        <f>SUMIFS('recurring2_based on steps'!$B353:$AY353,'recurring2_based on steps'!$B$1:$AY$1,H$1)+SUMIFS('changes2_based on steps'!$B353:$U353,'changes2_based on steps'!$B$1:$U$1,H$1)</f>
        <v>0</v>
      </c>
      <c r="I353" s="179">
        <f>SUMIFS('recurring2_based on steps'!$B353:$AY353,'recurring2_based on steps'!$B$1:$AY$1,I$1)+SUMIFS('changes2_based on steps'!$B353:$U353,'changes2_based on steps'!$B$1:$U$1,I$1)</f>
        <v>0</v>
      </c>
      <c r="J353" s="179">
        <f>SUMIFS('recurring2_based on steps'!$B353:$AY353,'recurring2_based on steps'!$B$1:$AY$1,J$1)+SUMIFS('changes2_based on steps'!$B353:$U353,'changes2_based on steps'!$B$1:$U$1,J$1)</f>
        <v>0</v>
      </c>
      <c r="K353" s="179">
        <f>SUMIFS('recurring2_based on steps'!$B353:$AY353,'recurring2_based on steps'!$B$1:$AY$1,K$1)+SUMIFS('changes2_based on steps'!$B353:$U353,'changes2_based on steps'!$B$1:$U$1,K$1)</f>
        <v>0</v>
      </c>
      <c r="L353" s="179">
        <f>SUMIFS('recurring2_based on steps'!$B353:$AY353,'recurring2_based on steps'!$B$1:$AY$1,L$1)+SUMIFS('changes2_based on steps'!$B353:$U353,'changes2_based on steps'!$B$1:$U$1,L$1)</f>
        <v>0</v>
      </c>
      <c r="M353" s="179">
        <f>SUMIFS('recurring2_based on steps'!$B353:$AY353,'recurring2_based on steps'!$B$1:$AY$1,M$1)+SUMIFS('changes2_based on steps'!$B353:$U353,'changes2_based on steps'!$B$1:$U$1,M$1)</f>
        <v>0</v>
      </c>
      <c r="N353" s="179">
        <f>SUMIFS('recurring2_based on steps'!$B353:$AY353,'recurring2_based on steps'!$B$1:$AY$1,N$1)+SUMIFS('changes2_based on steps'!$B353:$U353,'changes2_based on steps'!$B$1:$U$1,N$1)</f>
        <v>0</v>
      </c>
      <c r="O353" s="179">
        <f>SUMIFS('recurring2_based on steps'!$B353:$AY353,'recurring2_based on steps'!$B$1:$AY$1,O$1)+SUMIFS('changes2_based on steps'!$B353:$U353,'changes2_based on steps'!$B$1:$U$1,O$1)</f>
        <v>0</v>
      </c>
      <c r="P353" s="179">
        <f>SUMIFS('recurring2_based on steps'!$B353:$AY353,'recurring2_based on steps'!$B$1:$AY$1,P$1)+SUMIFS('changes2_based on steps'!$B353:$U353,'changes2_based on steps'!$B$1:$U$1,P$1)</f>
        <v>0</v>
      </c>
      <c r="Q353" s="179">
        <f>SUMIFS('recurring2_based on steps'!$B353:$AY353,'recurring2_based on steps'!$B$1:$AY$1,Q$1)+SUMIFS('changes2_based on steps'!$B353:$U353,'changes2_based on steps'!$B$1:$U$1,Q$1)</f>
        <v>0</v>
      </c>
      <c r="R353" s="179">
        <f>SUMIFS('recurring2_based on steps'!$B353:$AY353,'recurring2_based on steps'!$B$1:$AY$1,R$1)+SUMIFS('changes2_based on steps'!$B353:$U353,'changes2_based on steps'!$B$1:$U$1,R$1)</f>
        <v>0</v>
      </c>
      <c r="S353" s="179">
        <f>SUMIFS('recurring2_based on steps'!$B353:$AY353,'recurring2_based on steps'!$B$1:$AY$1,S$1)+SUMIFS('changes2_based on steps'!$B353:$U353,'changes2_based on steps'!$B$1:$U$1,S$1)</f>
        <v>0</v>
      </c>
      <c r="T353" s="179">
        <f>SUMIFS('recurring2_based on steps'!$B353:$AY353,'recurring2_based on steps'!$B$1:$AY$1,T$1)+SUMIFS('changes2_based on steps'!$B353:$U353,'changes2_based on steps'!$B$1:$U$1,T$1)</f>
        <v>0</v>
      </c>
      <c r="U353" s="179">
        <f>SUMIFS('recurring2_based on steps'!$B353:$AY353,'recurring2_based on steps'!$B$1:$AY$1,U$1)+SUMIFS('changes2_based on steps'!$B353:$U353,'changes2_based on steps'!$B$1:$U$1,U$1)</f>
        <v>0</v>
      </c>
      <c r="V353" s="179">
        <f>SUMIFS('recurring2_based on steps'!$B353:$AY353,'recurring2_based on steps'!$B$1:$AY$1,V$1)+SUMIFS('changes2_based on steps'!$B353:$U353,'changes2_based on steps'!$B$1:$U$1,V$1)</f>
        <v>0</v>
      </c>
      <c r="W353" s="179">
        <f>SUMIFS('recurring2_based on steps'!$B353:$AY353,'recurring2_based on steps'!$B$1:$AY$1,W$1)+SUMIFS('changes2_based on steps'!$B353:$U353,'changes2_based on steps'!$B$1:$U$1,W$1)</f>
        <v>0</v>
      </c>
      <c r="X353" s="179">
        <f>SUMIFS('recurring2_based on steps'!$B353:$AY353,'recurring2_based on steps'!$B$1:$AY$1,X$1)+SUMIFS('changes2_based on steps'!$B353:$U353,'changes2_based on steps'!$B$1:$U$1,X$1)</f>
        <v>0</v>
      </c>
      <c r="Y353" s="179">
        <f>SUMIFS('recurring2_based on steps'!$B353:$AY353,'recurring2_based on steps'!$B$1:$AY$1,Y$1)+SUMIFS('changes2_based on steps'!$B353:$U353,'changes2_based on steps'!$B$1:$U$1,Y$1)</f>
        <v>0</v>
      </c>
      <c r="Z353" s="179">
        <f>SUMIFS('recurring2_based on steps'!$B353:$AY353,'recurring2_based on steps'!$B$1:$AY$1,Z$1)+SUMIFS('changes2_based on steps'!$B353:$U353,'changes2_based on steps'!$B$1:$U$1,Z$1)</f>
        <v>0</v>
      </c>
      <c r="AA353" s="179">
        <f>SUMIFS('recurring2_based on steps'!$B353:$AY353,'recurring2_based on steps'!$B$1:$AY$1,AA$1)+SUMIFS('changes2_based on steps'!$B353:$U353,'changes2_based on steps'!$B$1:$U$1,AA$1)</f>
        <v>0</v>
      </c>
      <c r="AB353" s="179">
        <f>SUMIFS('recurring2_based on steps'!$B353:$AY353,'recurring2_based on steps'!$B$1:$AY$1,AB$1)+SUMIFS('changes2_based on steps'!$B353:$U353,'changes2_based on steps'!$B$1:$U$1,AB$1)</f>
        <v>0</v>
      </c>
      <c r="AC353" s="179">
        <f>SUMIFS('recurring2_based on steps'!$B353:$AY353,'recurring2_based on steps'!$B$1:$AY$1,AC$1)+SUMIFS('changes2_based on steps'!$B353:$U353,'changes2_based on steps'!$B$1:$U$1,AC$1)</f>
        <v>0</v>
      </c>
      <c r="AD353" s="179">
        <f>SUMIFS('recurring2_based on steps'!$B353:$AY353,'recurring2_based on steps'!$B$1:$AY$1,AD$1)+SUMIFS('changes2_based on steps'!$B353:$U353,'changes2_based on steps'!$B$1:$U$1,AD$1)</f>
        <v>0</v>
      </c>
      <c r="AE353" s="179">
        <f>SUMIFS('recurring2_based on steps'!$B353:$AY353,'recurring2_based on steps'!$B$1:$AY$1,AE$1)+SUMIFS('changes2_based on steps'!$B353:$U353,'changes2_based on steps'!$B$1:$U$1,AE$1)</f>
        <v>0</v>
      </c>
      <c r="AF353" s="179"/>
      <c r="AG353" s="179"/>
      <c r="AH353" s="179"/>
      <c r="AI353" s="179"/>
      <c r="AJ353" s="179"/>
      <c r="AK353" s="179"/>
      <c r="AL353" s="179"/>
      <c r="AM353" s="179"/>
    </row>
    <row r="354" spans="1:39" x14ac:dyDescent="0.2">
      <c r="A354" s="32">
        <f t="shared" ca="1" si="5"/>
        <v>46096</v>
      </c>
      <c r="B354" s="179">
        <f>SUMIFS('recurring2_based on steps'!$B354:$AY354,'recurring2_based on steps'!$B$1:$AY$1,B$1)+SUMIFS('changes2_based on steps'!$B354:$U354,'changes2_based on steps'!$B$1:$U$1,B$1)</f>
        <v>0</v>
      </c>
      <c r="C354" s="179">
        <f>SUMIFS('recurring2_based on steps'!$B354:$AY354,'recurring2_based on steps'!$B$1:$AY$1,C$1)+SUMIFS('changes2_based on steps'!$B354:$U354,'changes2_based on steps'!$B$1:$U$1,C$1)</f>
        <v>0</v>
      </c>
      <c r="D354" s="179">
        <f>SUMIFS('recurring2_based on steps'!$B354:$AY354,'recurring2_based on steps'!$B$1:$AY$1,D$1)+SUMIFS('changes2_based on steps'!$B354:$U354,'changes2_based on steps'!$B$1:$U$1,D$1)</f>
        <v>0</v>
      </c>
      <c r="E354" s="179">
        <f>SUMIFS('recurring2_based on steps'!$B354:$AY354,'recurring2_based on steps'!$B$1:$AY$1,E$1)+SUMIFS('changes2_based on steps'!$B354:$U354,'changes2_based on steps'!$B$1:$U$1,E$1)</f>
        <v>0</v>
      </c>
      <c r="F354" s="179">
        <f>SUMIFS('recurring2_based on steps'!$B354:$AY354,'recurring2_based on steps'!$B$1:$AY$1,F$1)+SUMIFS('changes2_based on steps'!$B354:$U354,'changes2_based on steps'!$B$1:$U$1,F$1)</f>
        <v>0</v>
      </c>
      <c r="G354" s="179">
        <f>SUMIFS('recurring2_based on steps'!$B354:$AY354,'recurring2_based on steps'!$B$1:$AY$1,G$1)+SUMIFS('changes2_based on steps'!$B354:$U354,'changes2_based on steps'!$B$1:$U$1,G$1)</f>
        <v>0</v>
      </c>
      <c r="H354" s="179">
        <f>SUMIFS('recurring2_based on steps'!$B354:$AY354,'recurring2_based on steps'!$B$1:$AY$1,H$1)+SUMIFS('changes2_based on steps'!$B354:$U354,'changes2_based on steps'!$B$1:$U$1,H$1)</f>
        <v>0</v>
      </c>
      <c r="I354" s="179">
        <f>SUMIFS('recurring2_based on steps'!$B354:$AY354,'recurring2_based on steps'!$B$1:$AY$1,I$1)+SUMIFS('changes2_based on steps'!$B354:$U354,'changes2_based on steps'!$B$1:$U$1,I$1)</f>
        <v>0</v>
      </c>
      <c r="J354" s="179">
        <f>SUMIFS('recurring2_based on steps'!$B354:$AY354,'recurring2_based on steps'!$B$1:$AY$1,J$1)+SUMIFS('changes2_based on steps'!$B354:$U354,'changes2_based on steps'!$B$1:$U$1,J$1)</f>
        <v>0</v>
      </c>
      <c r="K354" s="179">
        <f>SUMIFS('recurring2_based on steps'!$B354:$AY354,'recurring2_based on steps'!$B$1:$AY$1,K$1)+SUMIFS('changes2_based on steps'!$B354:$U354,'changes2_based on steps'!$B$1:$U$1,K$1)</f>
        <v>0</v>
      </c>
      <c r="L354" s="179">
        <f>SUMIFS('recurring2_based on steps'!$B354:$AY354,'recurring2_based on steps'!$B$1:$AY$1,L$1)+SUMIFS('changes2_based on steps'!$B354:$U354,'changes2_based on steps'!$B$1:$U$1,L$1)</f>
        <v>0</v>
      </c>
      <c r="M354" s="179">
        <f>SUMIFS('recurring2_based on steps'!$B354:$AY354,'recurring2_based on steps'!$B$1:$AY$1,M$1)+SUMIFS('changes2_based on steps'!$B354:$U354,'changes2_based on steps'!$B$1:$U$1,M$1)</f>
        <v>0</v>
      </c>
      <c r="N354" s="179">
        <f>SUMIFS('recurring2_based on steps'!$B354:$AY354,'recurring2_based on steps'!$B$1:$AY$1,N$1)+SUMIFS('changes2_based on steps'!$B354:$U354,'changes2_based on steps'!$B$1:$U$1,N$1)</f>
        <v>0</v>
      </c>
      <c r="O354" s="179">
        <f>SUMIFS('recurring2_based on steps'!$B354:$AY354,'recurring2_based on steps'!$B$1:$AY$1,O$1)+SUMIFS('changes2_based on steps'!$B354:$U354,'changes2_based on steps'!$B$1:$U$1,O$1)</f>
        <v>0</v>
      </c>
      <c r="P354" s="179">
        <f>SUMIFS('recurring2_based on steps'!$B354:$AY354,'recurring2_based on steps'!$B$1:$AY$1,P$1)+SUMIFS('changes2_based on steps'!$B354:$U354,'changes2_based on steps'!$B$1:$U$1,P$1)</f>
        <v>0</v>
      </c>
      <c r="Q354" s="179">
        <f>SUMIFS('recurring2_based on steps'!$B354:$AY354,'recurring2_based on steps'!$B$1:$AY$1,Q$1)+SUMIFS('changes2_based on steps'!$B354:$U354,'changes2_based on steps'!$B$1:$U$1,Q$1)</f>
        <v>0</v>
      </c>
      <c r="R354" s="179">
        <f>SUMIFS('recurring2_based on steps'!$B354:$AY354,'recurring2_based on steps'!$B$1:$AY$1,R$1)+SUMIFS('changes2_based on steps'!$B354:$U354,'changes2_based on steps'!$B$1:$U$1,R$1)</f>
        <v>0</v>
      </c>
      <c r="S354" s="179">
        <f>SUMIFS('recurring2_based on steps'!$B354:$AY354,'recurring2_based on steps'!$B$1:$AY$1,S$1)+SUMIFS('changes2_based on steps'!$B354:$U354,'changes2_based on steps'!$B$1:$U$1,S$1)</f>
        <v>0</v>
      </c>
      <c r="T354" s="179">
        <f>SUMIFS('recurring2_based on steps'!$B354:$AY354,'recurring2_based on steps'!$B$1:$AY$1,T$1)+SUMIFS('changes2_based on steps'!$B354:$U354,'changes2_based on steps'!$B$1:$U$1,T$1)</f>
        <v>0</v>
      </c>
      <c r="U354" s="179">
        <f>SUMIFS('recurring2_based on steps'!$B354:$AY354,'recurring2_based on steps'!$B$1:$AY$1,U$1)+SUMIFS('changes2_based on steps'!$B354:$U354,'changes2_based on steps'!$B$1:$U$1,U$1)</f>
        <v>0</v>
      </c>
      <c r="V354" s="179">
        <f>SUMIFS('recurring2_based on steps'!$B354:$AY354,'recurring2_based on steps'!$B$1:$AY$1,V$1)+SUMIFS('changes2_based on steps'!$B354:$U354,'changes2_based on steps'!$B$1:$U$1,V$1)</f>
        <v>0</v>
      </c>
      <c r="W354" s="179">
        <f>SUMIFS('recurring2_based on steps'!$B354:$AY354,'recurring2_based on steps'!$B$1:$AY$1,W$1)+SUMIFS('changes2_based on steps'!$B354:$U354,'changes2_based on steps'!$B$1:$U$1,W$1)</f>
        <v>0</v>
      </c>
      <c r="X354" s="179">
        <f>SUMIFS('recurring2_based on steps'!$B354:$AY354,'recurring2_based on steps'!$B$1:$AY$1,X$1)+SUMIFS('changes2_based on steps'!$B354:$U354,'changes2_based on steps'!$B$1:$U$1,X$1)</f>
        <v>0</v>
      </c>
      <c r="Y354" s="179">
        <f>SUMIFS('recurring2_based on steps'!$B354:$AY354,'recurring2_based on steps'!$B$1:$AY$1,Y$1)+SUMIFS('changes2_based on steps'!$B354:$U354,'changes2_based on steps'!$B$1:$U$1,Y$1)</f>
        <v>0</v>
      </c>
      <c r="Z354" s="179">
        <f>SUMIFS('recurring2_based on steps'!$B354:$AY354,'recurring2_based on steps'!$B$1:$AY$1,Z$1)+SUMIFS('changes2_based on steps'!$B354:$U354,'changes2_based on steps'!$B$1:$U$1,Z$1)</f>
        <v>0</v>
      </c>
      <c r="AA354" s="179">
        <f>SUMIFS('recurring2_based on steps'!$B354:$AY354,'recurring2_based on steps'!$B$1:$AY$1,AA$1)+SUMIFS('changes2_based on steps'!$B354:$U354,'changes2_based on steps'!$B$1:$U$1,AA$1)</f>
        <v>0</v>
      </c>
      <c r="AB354" s="179">
        <f>SUMIFS('recurring2_based on steps'!$B354:$AY354,'recurring2_based on steps'!$B$1:$AY$1,AB$1)+SUMIFS('changes2_based on steps'!$B354:$U354,'changes2_based on steps'!$B$1:$U$1,AB$1)</f>
        <v>0</v>
      </c>
      <c r="AC354" s="179">
        <f>SUMIFS('recurring2_based on steps'!$B354:$AY354,'recurring2_based on steps'!$B$1:$AY$1,AC$1)+SUMIFS('changes2_based on steps'!$B354:$U354,'changes2_based on steps'!$B$1:$U$1,AC$1)</f>
        <v>0</v>
      </c>
      <c r="AD354" s="179">
        <f>SUMIFS('recurring2_based on steps'!$B354:$AY354,'recurring2_based on steps'!$B$1:$AY$1,AD$1)+SUMIFS('changes2_based on steps'!$B354:$U354,'changes2_based on steps'!$B$1:$U$1,AD$1)</f>
        <v>0</v>
      </c>
      <c r="AE354" s="179">
        <f>SUMIFS('recurring2_based on steps'!$B354:$AY354,'recurring2_based on steps'!$B$1:$AY$1,AE$1)+SUMIFS('changes2_based on steps'!$B354:$U354,'changes2_based on steps'!$B$1:$U$1,AE$1)</f>
        <v>0</v>
      </c>
      <c r="AF354" s="179"/>
      <c r="AG354" s="179"/>
      <c r="AH354" s="179"/>
      <c r="AI354" s="179"/>
      <c r="AJ354" s="179"/>
      <c r="AK354" s="179"/>
      <c r="AL354" s="179"/>
      <c r="AM354" s="179"/>
    </row>
    <row r="355" spans="1:39" x14ac:dyDescent="0.2">
      <c r="A355" s="32">
        <f t="shared" ca="1" si="5"/>
        <v>46097</v>
      </c>
      <c r="B355" s="179">
        <f>SUMIFS('recurring2_based on steps'!$B355:$AY355,'recurring2_based on steps'!$B$1:$AY$1,B$1)+SUMIFS('changes2_based on steps'!$B355:$U355,'changes2_based on steps'!$B$1:$U$1,B$1)</f>
        <v>0</v>
      </c>
      <c r="C355" s="179">
        <f>SUMIFS('recurring2_based on steps'!$B355:$AY355,'recurring2_based on steps'!$B$1:$AY$1,C$1)+SUMIFS('changes2_based on steps'!$B355:$U355,'changes2_based on steps'!$B$1:$U$1,C$1)</f>
        <v>0</v>
      </c>
      <c r="D355" s="179">
        <f>SUMIFS('recurring2_based on steps'!$B355:$AY355,'recurring2_based on steps'!$B$1:$AY$1,D$1)+SUMIFS('changes2_based on steps'!$B355:$U355,'changes2_based on steps'!$B$1:$U$1,D$1)</f>
        <v>0</v>
      </c>
      <c r="E355" s="179">
        <f>SUMIFS('recurring2_based on steps'!$B355:$AY355,'recurring2_based on steps'!$B$1:$AY$1,E$1)+SUMIFS('changes2_based on steps'!$B355:$U355,'changes2_based on steps'!$B$1:$U$1,E$1)</f>
        <v>0</v>
      </c>
      <c r="F355" s="179">
        <f>SUMIFS('recurring2_based on steps'!$B355:$AY355,'recurring2_based on steps'!$B$1:$AY$1,F$1)+SUMIFS('changes2_based on steps'!$B355:$U355,'changes2_based on steps'!$B$1:$U$1,F$1)</f>
        <v>0</v>
      </c>
      <c r="G355" s="179">
        <f>SUMIFS('recurring2_based on steps'!$B355:$AY355,'recurring2_based on steps'!$B$1:$AY$1,G$1)+SUMIFS('changes2_based on steps'!$B355:$U355,'changes2_based on steps'!$B$1:$U$1,G$1)</f>
        <v>0</v>
      </c>
      <c r="H355" s="179">
        <f>SUMIFS('recurring2_based on steps'!$B355:$AY355,'recurring2_based on steps'!$B$1:$AY$1,H$1)+SUMIFS('changes2_based on steps'!$B355:$U355,'changes2_based on steps'!$B$1:$U$1,H$1)</f>
        <v>0</v>
      </c>
      <c r="I355" s="179">
        <f>SUMIFS('recurring2_based on steps'!$B355:$AY355,'recurring2_based on steps'!$B$1:$AY$1,I$1)+SUMIFS('changes2_based on steps'!$B355:$U355,'changes2_based on steps'!$B$1:$U$1,I$1)</f>
        <v>0</v>
      </c>
      <c r="J355" s="179">
        <f>SUMIFS('recurring2_based on steps'!$B355:$AY355,'recurring2_based on steps'!$B$1:$AY$1,J$1)+SUMIFS('changes2_based on steps'!$B355:$U355,'changes2_based on steps'!$B$1:$U$1,J$1)</f>
        <v>0</v>
      </c>
      <c r="K355" s="179">
        <f>SUMIFS('recurring2_based on steps'!$B355:$AY355,'recurring2_based on steps'!$B$1:$AY$1,K$1)+SUMIFS('changes2_based on steps'!$B355:$U355,'changes2_based on steps'!$B$1:$U$1,K$1)</f>
        <v>0</v>
      </c>
      <c r="L355" s="179">
        <f>SUMIFS('recurring2_based on steps'!$B355:$AY355,'recurring2_based on steps'!$B$1:$AY$1,L$1)+SUMIFS('changes2_based on steps'!$B355:$U355,'changes2_based on steps'!$B$1:$U$1,L$1)</f>
        <v>0</v>
      </c>
      <c r="M355" s="179">
        <f>SUMIFS('recurring2_based on steps'!$B355:$AY355,'recurring2_based on steps'!$B$1:$AY$1,M$1)+SUMIFS('changes2_based on steps'!$B355:$U355,'changes2_based on steps'!$B$1:$U$1,M$1)</f>
        <v>0</v>
      </c>
      <c r="N355" s="179">
        <f>SUMIFS('recurring2_based on steps'!$B355:$AY355,'recurring2_based on steps'!$B$1:$AY$1,N$1)+SUMIFS('changes2_based on steps'!$B355:$U355,'changes2_based on steps'!$B$1:$U$1,N$1)</f>
        <v>0</v>
      </c>
      <c r="O355" s="179">
        <f>SUMIFS('recurring2_based on steps'!$B355:$AY355,'recurring2_based on steps'!$B$1:$AY$1,O$1)+SUMIFS('changes2_based on steps'!$B355:$U355,'changes2_based on steps'!$B$1:$U$1,O$1)</f>
        <v>0</v>
      </c>
      <c r="P355" s="179">
        <f>SUMIFS('recurring2_based on steps'!$B355:$AY355,'recurring2_based on steps'!$B$1:$AY$1,P$1)+SUMIFS('changes2_based on steps'!$B355:$U355,'changes2_based on steps'!$B$1:$U$1,P$1)</f>
        <v>0</v>
      </c>
      <c r="Q355" s="179">
        <f>SUMIFS('recurring2_based on steps'!$B355:$AY355,'recurring2_based on steps'!$B$1:$AY$1,Q$1)+SUMIFS('changes2_based on steps'!$B355:$U355,'changes2_based on steps'!$B$1:$U$1,Q$1)</f>
        <v>0</v>
      </c>
      <c r="R355" s="179">
        <f>SUMIFS('recurring2_based on steps'!$B355:$AY355,'recurring2_based on steps'!$B$1:$AY$1,R$1)+SUMIFS('changes2_based on steps'!$B355:$U355,'changes2_based on steps'!$B$1:$U$1,R$1)</f>
        <v>0</v>
      </c>
      <c r="S355" s="179">
        <f>SUMIFS('recurring2_based on steps'!$B355:$AY355,'recurring2_based on steps'!$B$1:$AY$1,S$1)+SUMIFS('changes2_based on steps'!$B355:$U355,'changes2_based on steps'!$B$1:$U$1,S$1)</f>
        <v>0</v>
      </c>
      <c r="T355" s="179">
        <f>SUMIFS('recurring2_based on steps'!$B355:$AY355,'recurring2_based on steps'!$B$1:$AY$1,T$1)+SUMIFS('changes2_based on steps'!$B355:$U355,'changes2_based on steps'!$B$1:$U$1,T$1)</f>
        <v>0</v>
      </c>
      <c r="U355" s="179">
        <f>SUMIFS('recurring2_based on steps'!$B355:$AY355,'recurring2_based on steps'!$B$1:$AY$1,U$1)+SUMIFS('changes2_based on steps'!$B355:$U355,'changes2_based on steps'!$B$1:$U$1,U$1)</f>
        <v>0</v>
      </c>
      <c r="V355" s="179">
        <f>SUMIFS('recurring2_based on steps'!$B355:$AY355,'recurring2_based on steps'!$B$1:$AY$1,V$1)+SUMIFS('changes2_based on steps'!$B355:$U355,'changes2_based on steps'!$B$1:$U$1,V$1)</f>
        <v>0</v>
      </c>
      <c r="W355" s="179">
        <f>SUMIFS('recurring2_based on steps'!$B355:$AY355,'recurring2_based on steps'!$B$1:$AY$1,W$1)+SUMIFS('changes2_based on steps'!$B355:$U355,'changes2_based on steps'!$B$1:$U$1,W$1)</f>
        <v>0</v>
      </c>
      <c r="X355" s="179">
        <f>SUMIFS('recurring2_based on steps'!$B355:$AY355,'recurring2_based on steps'!$B$1:$AY$1,X$1)+SUMIFS('changes2_based on steps'!$B355:$U355,'changes2_based on steps'!$B$1:$U$1,X$1)</f>
        <v>0</v>
      </c>
      <c r="Y355" s="179">
        <f>SUMIFS('recurring2_based on steps'!$B355:$AY355,'recurring2_based on steps'!$B$1:$AY$1,Y$1)+SUMIFS('changes2_based on steps'!$B355:$U355,'changes2_based on steps'!$B$1:$U$1,Y$1)</f>
        <v>0</v>
      </c>
      <c r="Z355" s="179">
        <f>SUMIFS('recurring2_based on steps'!$B355:$AY355,'recurring2_based on steps'!$B$1:$AY$1,Z$1)+SUMIFS('changes2_based on steps'!$B355:$U355,'changes2_based on steps'!$B$1:$U$1,Z$1)</f>
        <v>0</v>
      </c>
      <c r="AA355" s="179">
        <f>SUMIFS('recurring2_based on steps'!$B355:$AY355,'recurring2_based on steps'!$B$1:$AY$1,AA$1)+SUMIFS('changes2_based on steps'!$B355:$U355,'changes2_based on steps'!$B$1:$U$1,AA$1)</f>
        <v>0</v>
      </c>
      <c r="AB355" s="179">
        <f>SUMIFS('recurring2_based on steps'!$B355:$AY355,'recurring2_based on steps'!$B$1:$AY$1,AB$1)+SUMIFS('changes2_based on steps'!$B355:$U355,'changes2_based on steps'!$B$1:$U$1,AB$1)</f>
        <v>0</v>
      </c>
      <c r="AC355" s="179">
        <f>SUMIFS('recurring2_based on steps'!$B355:$AY355,'recurring2_based on steps'!$B$1:$AY$1,AC$1)+SUMIFS('changes2_based on steps'!$B355:$U355,'changes2_based on steps'!$B$1:$U$1,AC$1)</f>
        <v>0</v>
      </c>
      <c r="AD355" s="179">
        <f>SUMIFS('recurring2_based on steps'!$B355:$AY355,'recurring2_based on steps'!$B$1:$AY$1,AD$1)+SUMIFS('changes2_based on steps'!$B355:$U355,'changes2_based on steps'!$B$1:$U$1,AD$1)</f>
        <v>0</v>
      </c>
      <c r="AE355" s="179">
        <f>SUMIFS('recurring2_based on steps'!$B355:$AY355,'recurring2_based on steps'!$B$1:$AY$1,AE$1)+SUMIFS('changes2_based on steps'!$B355:$U355,'changes2_based on steps'!$B$1:$U$1,AE$1)</f>
        <v>0</v>
      </c>
      <c r="AF355" s="179"/>
      <c r="AG355" s="179"/>
      <c r="AH355" s="179"/>
      <c r="AI355" s="179"/>
      <c r="AJ355" s="179"/>
      <c r="AK355" s="179"/>
      <c r="AL355" s="179"/>
      <c r="AM355" s="179"/>
    </row>
    <row r="356" spans="1:39" x14ac:dyDescent="0.2">
      <c r="A356" s="32">
        <f t="shared" ca="1" si="5"/>
        <v>46098</v>
      </c>
      <c r="B356" s="179">
        <f>SUMIFS('recurring2_based on steps'!$B356:$AY356,'recurring2_based on steps'!$B$1:$AY$1,B$1)+SUMIFS('changes2_based on steps'!$B356:$U356,'changes2_based on steps'!$B$1:$U$1,B$1)</f>
        <v>0</v>
      </c>
      <c r="C356" s="179">
        <f>SUMIFS('recurring2_based on steps'!$B356:$AY356,'recurring2_based on steps'!$B$1:$AY$1,C$1)+SUMIFS('changes2_based on steps'!$B356:$U356,'changes2_based on steps'!$B$1:$U$1,C$1)</f>
        <v>0</v>
      </c>
      <c r="D356" s="179">
        <f>SUMIFS('recurring2_based on steps'!$B356:$AY356,'recurring2_based on steps'!$B$1:$AY$1,D$1)+SUMIFS('changes2_based on steps'!$B356:$U356,'changes2_based on steps'!$B$1:$U$1,D$1)</f>
        <v>0</v>
      </c>
      <c r="E356" s="179">
        <f>SUMIFS('recurring2_based on steps'!$B356:$AY356,'recurring2_based on steps'!$B$1:$AY$1,E$1)+SUMIFS('changes2_based on steps'!$B356:$U356,'changes2_based on steps'!$B$1:$U$1,E$1)</f>
        <v>0</v>
      </c>
      <c r="F356" s="179">
        <f>SUMIFS('recurring2_based on steps'!$B356:$AY356,'recurring2_based on steps'!$B$1:$AY$1,F$1)+SUMIFS('changes2_based on steps'!$B356:$U356,'changes2_based on steps'!$B$1:$U$1,F$1)</f>
        <v>0</v>
      </c>
      <c r="G356" s="179">
        <f>SUMIFS('recurring2_based on steps'!$B356:$AY356,'recurring2_based on steps'!$B$1:$AY$1,G$1)+SUMIFS('changes2_based on steps'!$B356:$U356,'changes2_based on steps'!$B$1:$U$1,G$1)</f>
        <v>0</v>
      </c>
      <c r="H356" s="179">
        <f>SUMIFS('recurring2_based on steps'!$B356:$AY356,'recurring2_based on steps'!$B$1:$AY$1,H$1)+SUMIFS('changes2_based on steps'!$B356:$U356,'changes2_based on steps'!$B$1:$U$1,H$1)</f>
        <v>0</v>
      </c>
      <c r="I356" s="179">
        <f>SUMIFS('recurring2_based on steps'!$B356:$AY356,'recurring2_based on steps'!$B$1:$AY$1,I$1)+SUMIFS('changes2_based on steps'!$B356:$U356,'changes2_based on steps'!$B$1:$U$1,I$1)</f>
        <v>0</v>
      </c>
      <c r="J356" s="179">
        <f>SUMIFS('recurring2_based on steps'!$B356:$AY356,'recurring2_based on steps'!$B$1:$AY$1,J$1)+SUMIFS('changes2_based on steps'!$B356:$U356,'changes2_based on steps'!$B$1:$U$1,J$1)</f>
        <v>0</v>
      </c>
      <c r="K356" s="179">
        <f>SUMIFS('recurring2_based on steps'!$B356:$AY356,'recurring2_based on steps'!$B$1:$AY$1,K$1)+SUMIFS('changes2_based on steps'!$B356:$U356,'changes2_based on steps'!$B$1:$U$1,K$1)</f>
        <v>0</v>
      </c>
      <c r="L356" s="179">
        <f>SUMIFS('recurring2_based on steps'!$B356:$AY356,'recurring2_based on steps'!$B$1:$AY$1,L$1)+SUMIFS('changes2_based on steps'!$B356:$U356,'changes2_based on steps'!$B$1:$U$1,L$1)</f>
        <v>0</v>
      </c>
      <c r="M356" s="179">
        <f>SUMIFS('recurring2_based on steps'!$B356:$AY356,'recurring2_based on steps'!$B$1:$AY$1,M$1)+SUMIFS('changes2_based on steps'!$B356:$U356,'changes2_based on steps'!$B$1:$U$1,M$1)</f>
        <v>0</v>
      </c>
      <c r="N356" s="179">
        <f>SUMIFS('recurring2_based on steps'!$B356:$AY356,'recurring2_based on steps'!$B$1:$AY$1,N$1)+SUMIFS('changes2_based on steps'!$B356:$U356,'changes2_based on steps'!$B$1:$U$1,N$1)</f>
        <v>0</v>
      </c>
      <c r="O356" s="179">
        <f>SUMIFS('recurring2_based on steps'!$B356:$AY356,'recurring2_based on steps'!$B$1:$AY$1,O$1)+SUMIFS('changes2_based on steps'!$B356:$U356,'changes2_based on steps'!$B$1:$U$1,O$1)</f>
        <v>0</v>
      </c>
      <c r="P356" s="179">
        <f>SUMIFS('recurring2_based on steps'!$B356:$AY356,'recurring2_based on steps'!$B$1:$AY$1,P$1)+SUMIFS('changes2_based on steps'!$B356:$U356,'changes2_based on steps'!$B$1:$U$1,P$1)</f>
        <v>0</v>
      </c>
      <c r="Q356" s="179">
        <f>SUMIFS('recurring2_based on steps'!$B356:$AY356,'recurring2_based on steps'!$B$1:$AY$1,Q$1)+SUMIFS('changes2_based on steps'!$B356:$U356,'changes2_based on steps'!$B$1:$U$1,Q$1)</f>
        <v>0</v>
      </c>
      <c r="R356" s="179">
        <f>SUMIFS('recurring2_based on steps'!$B356:$AY356,'recurring2_based on steps'!$B$1:$AY$1,R$1)+SUMIFS('changes2_based on steps'!$B356:$U356,'changes2_based on steps'!$B$1:$U$1,R$1)</f>
        <v>0</v>
      </c>
      <c r="S356" s="179">
        <f>SUMIFS('recurring2_based on steps'!$B356:$AY356,'recurring2_based on steps'!$B$1:$AY$1,S$1)+SUMIFS('changes2_based on steps'!$B356:$U356,'changes2_based on steps'!$B$1:$U$1,S$1)</f>
        <v>0</v>
      </c>
      <c r="T356" s="179">
        <f>SUMIFS('recurring2_based on steps'!$B356:$AY356,'recurring2_based on steps'!$B$1:$AY$1,T$1)+SUMIFS('changes2_based on steps'!$B356:$U356,'changes2_based on steps'!$B$1:$U$1,T$1)</f>
        <v>0</v>
      </c>
      <c r="U356" s="179">
        <f>SUMIFS('recurring2_based on steps'!$B356:$AY356,'recurring2_based on steps'!$B$1:$AY$1,U$1)+SUMIFS('changes2_based on steps'!$B356:$U356,'changes2_based on steps'!$B$1:$U$1,U$1)</f>
        <v>0</v>
      </c>
      <c r="V356" s="179">
        <f>SUMIFS('recurring2_based on steps'!$B356:$AY356,'recurring2_based on steps'!$B$1:$AY$1,V$1)+SUMIFS('changes2_based on steps'!$B356:$U356,'changes2_based on steps'!$B$1:$U$1,V$1)</f>
        <v>0</v>
      </c>
      <c r="W356" s="179">
        <f>SUMIFS('recurring2_based on steps'!$B356:$AY356,'recurring2_based on steps'!$B$1:$AY$1,W$1)+SUMIFS('changes2_based on steps'!$B356:$U356,'changes2_based on steps'!$B$1:$U$1,W$1)</f>
        <v>0</v>
      </c>
      <c r="X356" s="179">
        <f>SUMIFS('recurring2_based on steps'!$B356:$AY356,'recurring2_based on steps'!$B$1:$AY$1,X$1)+SUMIFS('changes2_based on steps'!$B356:$U356,'changes2_based on steps'!$B$1:$U$1,X$1)</f>
        <v>0</v>
      </c>
      <c r="Y356" s="179">
        <f>SUMIFS('recurring2_based on steps'!$B356:$AY356,'recurring2_based on steps'!$B$1:$AY$1,Y$1)+SUMIFS('changes2_based on steps'!$B356:$U356,'changes2_based on steps'!$B$1:$U$1,Y$1)</f>
        <v>0</v>
      </c>
      <c r="Z356" s="179">
        <f>SUMIFS('recurring2_based on steps'!$B356:$AY356,'recurring2_based on steps'!$B$1:$AY$1,Z$1)+SUMIFS('changes2_based on steps'!$B356:$U356,'changes2_based on steps'!$B$1:$U$1,Z$1)</f>
        <v>0</v>
      </c>
      <c r="AA356" s="179">
        <f>SUMIFS('recurring2_based on steps'!$B356:$AY356,'recurring2_based on steps'!$B$1:$AY$1,AA$1)+SUMIFS('changes2_based on steps'!$B356:$U356,'changes2_based on steps'!$B$1:$U$1,AA$1)</f>
        <v>0</v>
      </c>
      <c r="AB356" s="179">
        <f>SUMIFS('recurring2_based on steps'!$B356:$AY356,'recurring2_based on steps'!$B$1:$AY$1,AB$1)+SUMIFS('changes2_based on steps'!$B356:$U356,'changes2_based on steps'!$B$1:$U$1,AB$1)</f>
        <v>0</v>
      </c>
      <c r="AC356" s="179">
        <f>SUMIFS('recurring2_based on steps'!$B356:$AY356,'recurring2_based on steps'!$B$1:$AY$1,AC$1)+SUMIFS('changes2_based on steps'!$B356:$U356,'changes2_based on steps'!$B$1:$U$1,AC$1)</f>
        <v>0</v>
      </c>
      <c r="AD356" s="179">
        <f>SUMIFS('recurring2_based on steps'!$B356:$AY356,'recurring2_based on steps'!$B$1:$AY$1,AD$1)+SUMIFS('changes2_based on steps'!$B356:$U356,'changes2_based on steps'!$B$1:$U$1,AD$1)</f>
        <v>0</v>
      </c>
      <c r="AE356" s="179">
        <f>SUMIFS('recurring2_based on steps'!$B356:$AY356,'recurring2_based on steps'!$B$1:$AY$1,AE$1)+SUMIFS('changes2_based on steps'!$B356:$U356,'changes2_based on steps'!$B$1:$U$1,AE$1)</f>
        <v>0</v>
      </c>
      <c r="AF356" s="179"/>
      <c r="AG356" s="179"/>
      <c r="AH356" s="179"/>
      <c r="AI356" s="179"/>
      <c r="AJ356" s="179"/>
      <c r="AK356" s="179"/>
      <c r="AL356" s="179"/>
      <c r="AM356" s="179"/>
    </row>
    <row r="357" spans="1:39" x14ac:dyDescent="0.2">
      <c r="A357" s="32">
        <f t="shared" ca="1" si="5"/>
        <v>46099</v>
      </c>
      <c r="B357" s="179">
        <f>SUMIFS('recurring2_based on steps'!$B357:$AY357,'recurring2_based on steps'!$B$1:$AY$1,B$1)+SUMIFS('changes2_based on steps'!$B357:$U357,'changes2_based on steps'!$B$1:$U$1,B$1)</f>
        <v>0</v>
      </c>
      <c r="C357" s="179">
        <f>SUMIFS('recurring2_based on steps'!$B357:$AY357,'recurring2_based on steps'!$B$1:$AY$1,C$1)+SUMIFS('changes2_based on steps'!$B357:$U357,'changes2_based on steps'!$B$1:$U$1,C$1)</f>
        <v>0</v>
      </c>
      <c r="D357" s="179">
        <f>SUMIFS('recurring2_based on steps'!$B357:$AY357,'recurring2_based on steps'!$B$1:$AY$1,D$1)+SUMIFS('changes2_based on steps'!$B357:$U357,'changes2_based on steps'!$B$1:$U$1,D$1)</f>
        <v>0</v>
      </c>
      <c r="E357" s="179">
        <f>SUMIFS('recurring2_based on steps'!$B357:$AY357,'recurring2_based on steps'!$B$1:$AY$1,E$1)+SUMIFS('changes2_based on steps'!$B357:$U357,'changes2_based on steps'!$B$1:$U$1,E$1)</f>
        <v>0</v>
      </c>
      <c r="F357" s="179">
        <f>SUMIFS('recurring2_based on steps'!$B357:$AY357,'recurring2_based on steps'!$B$1:$AY$1,F$1)+SUMIFS('changes2_based on steps'!$B357:$U357,'changes2_based on steps'!$B$1:$U$1,F$1)</f>
        <v>0</v>
      </c>
      <c r="G357" s="179">
        <f>SUMIFS('recurring2_based on steps'!$B357:$AY357,'recurring2_based on steps'!$B$1:$AY$1,G$1)+SUMIFS('changes2_based on steps'!$B357:$U357,'changes2_based on steps'!$B$1:$U$1,G$1)</f>
        <v>0</v>
      </c>
      <c r="H357" s="179">
        <f>SUMIFS('recurring2_based on steps'!$B357:$AY357,'recurring2_based on steps'!$B$1:$AY$1,H$1)+SUMIFS('changes2_based on steps'!$B357:$U357,'changes2_based on steps'!$B$1:$U$1,H$1)</f>
        <v>0</v>
      </c>
      <c r="I357" s="179">
        <f>SUMIFS('recurring2_based on steps'!$B357:$AY357,'recurring2_based on steps'!$B$1:$AY$1,I$1)+SUMIFS('changes2_based on steps'!$B357:$U357,'changes2_based on steps'!$B$1:$U$1,I$1)</f>
        <v>0</v>
      </c>
      <c r="J357" s="179">
        <f>SUMIFS('recurring2_based on steps'!$B357:$AY357,'recurring2_based on steps'!$B$1:$AY$1,J$1)+SUMIFS('changes2_based on steps'!$B357:$U357,'changes2_based on steps'!$B$1:$U$1,J$1)</f>
        <v>0</v>
      </c>
      <c r="K357" s="179">
        <f>SUMIFS('recurring2_based on steps'!$B357:$AY357,'recurring2_based on steps'!$B$1:$AY$1,K$1)+SUMIFS('changes2_based on steps'!$B357:$U357,'changes2_based on steps'!$B$1:$U$1,K$1)</f>
        <v>0</v>
      </c>
      <c r="L357" s="179">
        <f>SUMIFS('recurring2_based on steps'!$B357:$AY357,'recurring2_based on steps'!$B$1:$AY$1,L$1)+SUMIFS('changes2_based on steps'!$B357:$U357,'changes2_based on steps'!$B$1:$U$1,L$1)</f>
        <v>0</v>
      </c>
      <c r="M357" s="179">
        <f>SUMIFS('recurring2_based on steps'!$B357:$AY357,'recurring2_based on steps'!$B$1:$AY$1,M$1)+SUMIFS('changes2_based on steps'!$B357:$U357,'changes2_based on steps'!$B$1:$U$1,M$1)</f>
        <v>0</v>
      </c>
      <c r="N357" s="179">
        <f>SUMIFS('recurring2_based on steps'!$B357:$AY357,'recurring2_based on steps'!$B$1:$AY$1,N$1)+SUMIFS('changes2_based on steps'!$B357:$U357,'changes2_based on steps'!$B$1:$U$1,N$1)</f>
        <v>0</v>
      </c>
      <c r="O357" s="179">
        <f>SUMIFS('recurring2_based on steps'!$B357:$AY357,'recurring2_based on steps'!$B$1:$AY$1,O$1)+SUMIFS('changes2_based on steps'!$B357:$U357,'changes2_based on steps'!$B$1:$U$1,O$1)</f>
        <v>0</v>
      </c>
      <c r="P357" s="179">
        <f>SUMIFS('recurring2_based on steps'!$B357:$AY357,'recurring2_based on steps'!$B$1:$AY$1,P$1)+SUMIFS('changes2_based on steps'!$B357:$U357,'changes2_based on steps'!$B$1:$U$1,P$1)</f>
        <v>0</v>
      </c>
      <c r="Q357" s="179">
        <f>SUMIFS('recurring2_based on steps'!$B357:$AY357,'recurring2_based on steps'!$B$1:$AY$1,Q$1)+SUMIFS('changes2_based on steps'!$B357:$U357,'changes2_based on steps'!$B$1:$U$1,Q$1)</f>
        <v>0</v>
      </c>
      <c r="R357" s="179">
        <f>SUMIFS('recurring2_based on steps'!$B357:$AY357,'recurring2_based on steps'!$B$1:$AY$1,R$1)+SUMIFS('changes2_based on steps'!$B357:$U357,'changes2_based on steps'!$B$1:$U$1,R$1)</f>
        <v>0</v>
      </c>
      <c r="S357" s="179">
        <f>SUMIFS('recurring2_based on steps'!$B357:$AY357,'recurring2_based on steps'!$B$1:$AY$1,S$1)+SUMIFS('changes2_based on steps'!$B357:$U357,'changes2_based on steps'!$B$1:$U$1,S$1)</f>
        <v>0</v>
      </c>
      <c r="T357" s="179">
        <f>SUMIFS('recurring2_based on steps'!$B357:$AY357,'recurring2_based on steps'!$B$1:$AY$1,T$1)+SUMIFS('changes2_based on steps'!$B357:$U357,'changes2_based on steps'!$B$1:$U$1,T$1)</f>
        <v>0</v>
      </c>
      <c r="U357" s="179">
        <f>SUMIFS('recurring2_based on steps'!$B357:$AY357,'recurring2_based on steps'!$B$1:$AY$1,U$1)+SUMIFS('changes2_based on steps'!$B357:$U357,'changes2_based on steps'!$B$1:$U$1,U$1)</f>
        <v>0</v>
      </c>
      <c r="V357" s="179">
        <f>SUMIFS('recurring2_based on steps'!$B357:$AY357,'recurring2_based on steps'!$B$1:$AY$1,V$1)+SUMIFS('changes2_based on steps'!$B357:$U357,'changes2_based on steps'!$B$1:$U$1,V$1)</f>
        <v>0</v>
      </c>
      <c r="W357" s="179">
        <f>SUMIFS('recurring2_based on steps'!$B357:$AY357,'recurring2_based on steps'!$B$1:$AY$1,W$1)+SUMIFS('changes2_based on steps'!$B357:$U357,'changes2_based on steps'!$B$1:$U$1,W$1)</f>
        <v>0</v>
      </c>
      <c r="X357" s="179">
        <f>SUMIFS('recurring2_based on steps'!$B357:$AY357,'recurring2_based on steps'!$B$1:$AY$1,X$1)+SUMIFS('changes2_based on steps'!$B357:$U357,'changes2_based on steps'!$B$1:$U$1,X$1)</f>
        <v>0</v>
      </c>
      <c r="Y357" s="179">
        <f>SUMIFS('recurring2_based on steps'!$B357:$AY357,'recurring2_based on steps'!$B$1:$AY$1,Y$1)+SUMIFS('changes2_based on steps'!$B357:$U357,'changes2_based on steps'!$B$1:$U$1,Y$1)</f>
        <v>0</v>
      </c>
      <c r="Z357" s="179">
        <f>SUMIFS('recurring2_based on steps'!$B357:$AY357,'recurring2_based on steps'!$B$1:$AY$1,Z$1)+SUMIFS('changes2_based on steps'!$B357:$U357,'changes2_based on steps'!$B$1:$U$1,Z$1)</f>
        <v>0</v>
      </c>
      <c r="AA357" s="179">
        <f>SUMIFS('recurring2_based on steps'!$B357:$AY357,'recurring2_based on steps'!$B$1:$AY$1,AA$1)+SUMIFS('changes2_based on steps'!$B357:$U357,'changes2_based on steps'!$B$1:$U$1,AA$1)</f>
        <v>0</v>
      </c>
      <c r="AB357" s="179">
        <f>SUMIFS('recurring2_based on steps'!$B357:$AY357,'recurring2_based on steps'!$B$1:$AY$1,AB$1)+SUMIFS('changes2_based on steps'!$B357:$U357,'changes2_based on steps'!$B$1:$U$1,AB$1)</f>
        <v>0</v>
      </c>
      <c r="AC357" s="179">
        <f>SUMIFS('recurring2_based on steps'!$B357:$AY357,'recurring2_based on steps'!$B$1:$AY$1,AC$1)+SUMIFS('changes2_based on steps'!$B357:$U357,'changes2_based on steps'!$B$1:$U$1,AC$1)</f>
        <v>0</v>
      </c>
      <c r="AD357" s="179">
        <f>SUMIFS('recurring2_based on steps'!$B357:$AY357,'recurring2_based on steps'!$B$1:$AY$1,AD$1)+SUMIFS('changes2_based on steps'!$B357:$U357,'changes2_based on steps'!$B$1:$U$1,AD$1)</f>
        <v>0</v>
      </c>
      <c r="AE357" s="179">
        <f>SUMIFS('recurring2_based on steps'!$B357:$AY357,'recurring2_based on steps'!$B$1:$AY$1,AE$1)+SUMIFS('changes2_based on steps'!$B357:$U357,'changes2_based on steps'!$B$1:$U$1,AE$1)</f>
        <v>0</v>
      </c>
      <c r="AF357" s="179"/>
      <c r="AG357" s="179"/>
      <c r="AH357" s="179"/>
      <c r="AI357" s="179"/>
      <c r="AJ357" s="179"/>
      <c r="AK357" s="179"/>
      <c r="AL357" s="179"/>
      <c r="AM357" s="179"/>
    </row>
    <row r="358" spans="1:39" x14ac:dyDescent="0.2">
      <c r="A358" s="32">
        <f t="shared" ca="1" si="5"/>
        <v>46100</v>
      </c>
      <c r="B358" s="179">
        <f>SUMIFS('recurring2_based on steps'!$B358:$AY358,'recurring2_based on steps'!$B$1:$AY$1,B$1)+SUMIFS('changes2_based on steps'!$B358:$U358,'changes2_based on steps'!$B$1:$U$1,B$1)</f>
        <v>0</v>
      </c>
      <c r="C358" s="179">
        <f>SUMIFS('recurring2_based on steps'!$B358:$AY358,'recurring2_based on steps'!$B$1:$AY$1,C$1)+SUMIFS('changes2_based on steps'!$B358:$U358,'changes2_based on steps'!$B$1:$U$1,C$1)</f>
        <v>0</v>
      </c>
      <c r="D358" s="179">
        <f>SUMIFS('recurring2_based on steps'!$B358:$AY358,'recurring2_based on steps'!$B$1:$AY$1,D$1)+SUMIFS('changes2_based on steps'!$B358:$U358,'changes2_based on steps'!$B$1:$U$1,D$1)</f>
        <v>0</v>
      </c>
      <c r="E358" s="179">
        <f>SUMIFS('recurring2_based on steps'!$B358:$AY358,'recurring2_based on steps'!$B$1:$AY$1,E$1)+SUMIFS('changes2_based on steps'!$B358:$U358,'changes2_based on steps'!$B$1:$U$1,E$1)</f>
        <v>0</v>
      </c>
      <c r="F358" s="179">
        <f>SUMIFS('recurring2_based on steps'!$B358:$AY358,'recurring2_based on steps'!$B$1:$AY$1,F$1)+SUMIFS('changes2_based on steps'!$B358:$U358,'changes2_based on steps'!$B$1:$U$1,F$1)</f>
        <v>0</v>
      </c>
      <c r="G358" s="179">
        <f>SUMIFS('recurring2_based on steps'!$B358:$AY358,'recurring2_based on steps'!$B$1:$AY$1,G$1)+SUMIFS('changes2_based on steps'!$B358:$U358,'changes2_based on steps'!$B$1:$U$1,G$1)</f>
        <v>0</v>
      </c>
      <c r="H358" s="179">
        <f>SUMIFS('recurring2_based on steps'!$B358:$AY358,'recurring2_based on steps'!$B$1:$AY$1,H$1)+SUMIFS('changes2_based on steps'!$B358:$U358,'changes2_based on steps'!$B$1:$U$1,H$1)</f>
        <v>0</v>
      </c>
      <c r="I358" s="179">
        <f>SUMIFS('recurring2_based on steps'!$B358:$AY358,'recurring2_based on steps'!$B$1:$AY$1,I$1)+SUMIFS('changes2_based on steps'!$B358:$U358,'changes2_based on steps'!$B$1:$U$1,I$1)</f>
        <v>0</v>
      </c>
      <c r="J358" s="179">
        <f>SUMIFS('recurring2_based on steps'!$B358:$AY358,'recurring2_based on steps'!$B$1:$AY$1,J$1)+SUMIFS('changes2_based on steps'!$B358:$U358,'changes2_based on steps'!$B$1:$U$1,J$1)</f>
        <v>0</v>
      </c>
      <c r="K358" s="179">
        <f>SUMIFS('recurring2_based on steps'!$B358:$AY358,'recurring2_based on steps'!$B$1:$AY$1,K$1)+SUMIFS('changes2_based on steps'!$B358:$U358,'changes2_based on steps'!$B$1:$U$1,K$1)</f>
        <v>0</v>
      </c>
      <c r="L358" s="179">
        <f>SUMIFS('recurring2_based on steps'!$B358:$AY358,'recurring2_based on steps'!$B$1:$AY$1,L$1)+SUMIFS('changes2_based on steps'!$B358:$U358,'changes2_based on steps'!$B$1:$U$1,L$1)</f>
        <v>0</v>
      </c>
      <c r="M358" s="179">
        <f>SUMIFS('recurring2_based on steps'!$B358:$AY358,'recurring2_based on steps'!$B$1:$AY$1,M$1)+SUMIFS('changes2_based on steps'!$B358:$U358,'changes2_based on steps'!$B$1:$U$1,M$1)</f>
        <v>0</v>
      </c>
      <c r="N358" s="179">
        <f>SUMIFS('recurring2_based on steps'!$B358:$AY358,'recurring2_based on steps'!$B$1:$AY$1,N$1)+SUMIFS('changes2_based on steps'!$B358:$U358,'changes2_based on steps'!$B$1:$U$1,N$1)</f>
        <v>0</v>
      </c>
      <c r="O358" s="179">
        <f>SUMIFS('recurring2_based on steps'!$B358:$AY358,'recurring2_based on steps'!$B$1:$AY$1,O$1)+SUMIFS('changes2_based on steps'!$B358:$U358,'changes2_based on steps'!$B$1:$U$1,O$1)</f>
        <v>0</v>
      </c>
      <c r="P358" s="179">
        <f>SUMIFS('recurring2_based on steps'!$B358:$AY358,'recurring2_based on steps'!$B$1:$AY$1,P$1)+SUMIFS('changes2_based on steps'!$B358:$U358,'changes2_based on steps'!$B$1:$U$1,P$1)</f>
        <v>0</v>
      </c>
      <c r="Q358" s="179">
        <f>SUMIFS('recurring2_based on steps'!$B358:$AY358,'recurring2_based on steps'!$B$1:$AY$1,Q$1)+SUMIFS('changes2_based on steps'!$B358:$U358,'changes2_based on steps'!$B$1:$U$1,Q$1)</f>
        <v>0</v>
      </c>
      <c r="R358" s="179">
        <f>SUMIFS('recurring2_based on steps'!$B358:$AY358,'recurring2_based on steps'!$B$1:$AY$1,R$1)+SUMIFS('changes2_based on steps'!$B358:$U358,'changes2_based on steps'!$B$1:$U$1,R$1)</f>
        <v>0</v>
      </c>
      <c r="S358" s="179">
        <f>SUMIFS('recurring2_based on steps'!$B358:$AY358,'recurring2_based on steps'!$B$1:$AY$1,S$1)+SUMIFS('changes2_based on steps'!$B358:$U358,'changes2_based on steps'!$B$1:$U$1,S$1)</f>
        <v>0</v>
      </c>
      <c r="T358" s="179">
        <f>SUMIFS('recurring2_based on steps'!$B358:$AY358,'recurring2_based on steps'!$B$1:$AY$1,T$1)+SUMIFS('changes2_based on steps'!$B358:$U358,'changes2_based on steps'!$B$1:$U$1,T$1)</f>
        <v>0</v>
      </c>
      <c r="U358" s="179">
        <f>SUMIFS('recurring2_based on steps'!$B358:$AY358,'recurring2_based on steps'!$B$1:$AY$1,U$1)+SUMIFS('changes2_based on steps'!$B358:$U358,'changes2_based on steps'!$B$1:$U$1,U$1)</f>
        <v>0</v>
      </c>
      <c r="V358" s="179">
        <f>SUMIFS('recurring2_based on steps'!$B358:$AY358,'recurring2_based on steps'!$B$1:$AY$1,V$1)+SUMIFS('changes2_based on steps'!$B358:$U358,'changes2_based on steps'!$B$1:$U$1,V$1)</f>
        <v>0</v>
      </c>
      <c r="W358" s="179">
        <f>SUMIFS('recurring2_based on steps'!$B358:$AY358,'recurring2_based on steps'!$B$1:$AY$1,W$1)+SUMIFS('changes2_based on steps'!$B358:$U358,'changes2_based on steps'!$B$1:$U$1,W$1)</f>
        <v>0</v>
      </c>
      <c r="X358" s="179">
        <f>SUMIFS('recurring2_based on steps'!$B358:$AY358,'recurring2_based on steps'!$B$1:$AY$1,X$1)+SUMIFS('changes2_based on steps'!$B358:$U358,'changes2_based on steps'!$B$1:$U$1,X$1)</f>
        <v>0</v>
      </c>
      <c r="Y358" s="179">
        <f>SUMIFS('recurring2_based on steps'!$B358:$AY358,'recurring2_based on steps'!$B$1:$AY$1,Y$1)+SUMIFS('changes2_based on steps'!$B358:$U358,'changes2_based on steps'!$B$1:$U$1,Y$1)</f>
        <v>0</v>
      </c>
      <c r="Z358" s="179">
        <f>SUMIFS('recurring2_based on steps'!$B358:$AY358,'recurring2_based on steps'!$B$1:$AY$1,Z$1)+SUMIFS('changes2_based on steps'!$B358:$U358,'changes2_based on steps'!$B$1:$U$1,Z$1)</f>
        <v>0</v>
      </c>
      <c r="AA358" s="179">
        <f>SUMIFS('recurring2_based on steps'!$B358:$AY358,'recurring2_based on steps'!$B$1:$AY$1,AA$1)+SUMIFS('changes2_based on steps'!$B358:$U358,'changes2_based on steps'!$B$1:$U$1,AA$1)</f>
        <v>0</v>
      </c>
      <c r="AB358" s="179">
        <f>SUMIFS('recurring2_based on steps'!$B358:$AY358,'recurring2_based on steps'!$B$1:$AY$1,AB$1)+SUMIFS('changes2_based on steps'!$B358:$U358,'changes2_based on steps'!$B$1:$U$1,AB$1)</f>
        <v>0</v>
      </c>
      <c r="AC358" s="179">
        <f>SUMIFS('recurring2_based on steps'!$B358:$AY358,'recurring2_based on steps'!$B$1:$AY$1,AC$1)+SUMIFS('changes2_based on steps'!$B358:$U358,'changes2_based on steps'!$B$1:$U$1,AC$1)</f>
        <v>0</v>
      </c>
      <c r="AD358" s="179">
        <f>SUMIFS('recurring2_based on steps'!$B358:$AY358,'recurring2_based on steps'!$B$1:$AY$1,AD$1)+SUMIFS('changes2_based on steps'!$B358:$U358,'changes2_based on steps'!$B$1:$U$1,AD$1)</f>
        <v>0</v>
      </c>
      <c r="AE358" s="179">
        <f>SUMIFS('recurring2_based on steps'!$B358:$AY358,'recurring2_based on steps'!$B$1:$AY$1,AE$1)+SUMIFS('changes2_based on steps'!$B358:$U358,'changes2_based on steps'!$B$1:$U$1,AE$1)</f>
        <v>0</v>
      </c>
      <c r="AF358" s="179"/>
      <c r="AG358" s="179"/>
      <c r="AH358" s="179"/>
      <c r="AI358" s="179"/>
      <c r="AJ358" s="179"/>
      <c r="AK358" s="179"/>
      <c r="AL358" s="179"/>
      <c r="AM358" s="179"/>
    </row>
    <row r="359" spans="1:39" x14ac:dyDescent="0.2">
      <c r="A359" s="32">
        <f t="shared" ca="1" si="5"/>
        <v>46101</v>
      </c>
      <c r="B359" s="179">
        <f>SUMIFS('recurring2_based on steps'!$B359:$AY359,'recurring2_based on steps'!$B$1:$AY$1,B$1)+SUMIFS('changes2_based on steps'!$B359:$U359,'changes2_based on steps'!$B$1:$U$1,B$1)</f>
        <v>0</v>
      </c>
      <c r="C359" s="179">
        <f>SUMIFS('recurring2_based on steps'!$B359:$AY359,'recurring2_based on steps'!$B$1:$AY$1,C$1)+SUMIFS('changes2_based on steps'!$B359:$U359,'changes2_based on steps'!$B$1:$U$1,C$1)</f>
        <v>0</v>
      </c>
      <c r="D359" s="179">
        <f>SUMIFS('recurring2_based on steps'!$B359:$AY359,'recurring2_based on steps'!$B$1:$AY$1,D$1)+SUMIFS('changes2_based on steps'!$B359:$U359,'changes2_based on steps'!$B$1:$U$1,D$1)</f>
        <v>0</v>
      </c>
      <c r="E359" s="179">
        <f>SUMIFS('recurring2_based on steps'!$B359:$AY359,'recurring2_based on steps'!$B$1:$AY$1,E$1)+SUMIFS('changes2_based on steps'!$B359:$U359,'changes2_based on steps'!$B$1:$U$1,E$1)</f>
        <v>0</v>
      </c>
      <c r="F359" s="179">
        <f>SUMIFS('recurring2_based on steps'!$B359:$AY359,'recurring2_based on steps'!$B$1:$AY$1,F$1)+SUMIFS('changes2_based on steps'!$B359:$U359,'changes2_based on steps'!$B$1:$U$1,F$1)</f>
        <v>0</v>
      </c>
      <c r="G359" s="179">
        <f>SUMIFS('recurring2_based on steps'!$B359:$AY359,'recurring2_based on steps'!$B$1:$AY$1,G$1)+SUMIFS('changes2_based on steps'!$B359:$U359,'changes2_based on steps'!$B$1:$U$1,G$1)</f>
        <v>0</v>
      </c>
      <c r="H359" s="179">
        <f>SUMIFS('recurring2_based on steps'!$B359:$AY359,'recurring2_based on steps'!$B$1:$AY$1,H$1)+SUMIFS('changes2_based on steps'!$B359:$U359,'changes2_based on steps'!$B$1:$U$1,H$1)</f>
        <v>0</v>
      </c>
      <c r="I359" s="179">
        <f>SUMIFS('recurring2_based on steps'!$B359:$AY359,'recurring2_based on steps'!$B$1:$AY$1,I$1)+SUMIFS('changes2_based on steps'!$B359:$U359,'changes2_based on steps'!$B$1:$U$1,I$1)</f>
        <v>0</v>
      </c>
      <c r="J359" s="179">
        <f>SUMIFS('recurring2_based on steps'!$B359:$AY359,'recurring2_based on steps'!$B$1:$AY$1,J$1)+SUMIFS('changes2_based on steps'!$B359:$U359,'changes2_based on steps'!$B$1:$U$1,J$1)</f>
        <v>0</v>
      </c>
      <c r="K359" s="179">
        <f>SUMIFS('recurring2_based on steps'!$B359:$AY359,'recurring2_based on steps'!$B$1:$AY$1,K$1)+SUMIFS('changes2_based on steps'!$B359:$U359,'changes2_based on steps'!$B$1:$U$1,K$1)</f>
        <v>0</v>
      </c>
      <c r="L359" s="179">
        <f>SUMIFS('recurring2_based on steps'!$B359:$AY359,'recurring2_based on steps'!$B$1:$AY$1,L$1)+SUMIFS('changes2_based on steps'!$B359:$U359,'changes2_based on steps'!$B$1:$U$1,L$1)</f>
        <v>0</v>
      </c>
      <c r="M359" s="179">
        <f>SUMIFS('recurring2_based on steps'!$B359:$AY359,'recurring2_based on steps'!$B$1:$AY$1,M$1)+SUMIFS('changes2_based on steps'!$B359:$U359,'changes2_based on steps'!$B$1:$U$1,M$1)</f>
        <v>0</v>
      </c>
      <c r="N359" s="179">
        <f>SUMIFS('recurring2_based on steps'!$B359:$AY359,'recurring2_based on steps'!$B$1:$AY$1,N$1)+SUMIFS('changes2_based on steps'!$B359:$U359,'changes2_based on steps'!$B$1:$U$1,N$1)</f>
        <v>0</v>
      </c>
      <c r="O359" s="179">
        <f>SUMIFS('recurring2_based on steps'!$B359:$AY359,'recurring2_based on steps'!$B$1:$AY$1,O$1)+SUMIFS('changes2_based on steps'!$B359:$U359,'changes2_based on steps'!$B$1:$U$1,O$1)</f>
        <v>0</v>
      </c>
      <c r="P359" s="179">
        <f>SUMIFS('recurring2_based on steps'!$B359:$AY359,'recurring2_based on steps'!$B$1:$AY$1,P$1)+SUMIFS('changes2_based on steps'!$B359:$U359,'changes2_based on steps'!$B$1:$U$1,P$1)</f>
        <v>0</v>
      </c>
      <c r="Q359" s="179">
        <f>SUMIFS('recurring2_based on steps'!$B359:$AY359,'recurring2_based on steps'!$B$1:$AY$1,Q$1)+SUMIFS('changes2_based on steps'!$B359:$U359,'changes2_based on steps'!$B$1:$U$1,Q$1)</f>
        <v>0</v>
      </c>
      <c r="R359" s="179">
        <f>SUMIFS('recurring2_based on steps'!$B359:$AY359,'recurring2_based on steps'!$B$1:$AY$1,R$1)+SUMIFS('changes2_based on steps'!$B359:$U359,'changes2_based on steps'!$B$1:$U$1,R$1)</f>
        <v>0</v>
      </c>
      <c r="S359" s="179">
        <f>SUMIFS('recurring2_based on steps'!$B359:$AY359,'recurring2_based on steps'!$B$1:$AY$1,S$1)+SUMIFS('changes2_based on steps'!$B359:$U359,'changes2_based on steps'!$B$1:$U$1,S$1)</f>
        <v>0</v>
      </c>
      <c r="T359" s="179">
        <f>SUMIFS('recurring2_based on steps'!$B359:$AY359,'recurring2_based on steps'!$B$1:$AY$1,T$1)+SUMIFS('changes2_based on steps'!$B359:$U359,'changes2_based on steps'!$B$1:$U$1,T$1)</f>
        <v>0</v>
      </c>
      <c r="U359" s="179">
        <f>SUMIFS('recurring2_based on steps'!$B359:$AY359,'recurring2_based on steps'!$B$1:$AY$1,U$1)+SUMIFS('changes2_based on steps'!$B359:$U359,'changes2_based on steps'!$B$1:$U$1,U$1)</f>
        <v>0</v>
      </c>
      <c r="V359" s="179">
        <f>SUMIFS('recurring2_based on steps'!$B359:$AY359,'recurring2_based on steps'!$B$1:$AY$1,V$1)+SUMIFS('changes2_based on steps'!$B359:$U359,'changes2_based on steps'!$B$1:$U$1,V$1)</f>
        <v>0</v>
      </c>
      <c r="W359" s="179">
        <f>SUMIFS('recurring2_based on steps'!$B359:$AY359,'recurring2_based on steps'!$B$1:$AY$1,W$1)+SUMIFS('changes2_based on steps'!$B359:$U359,'changes2_based on steps'!$B$1:$U$1,W$1)</f>
        <v>0</v>
      </c>
      <c r="X359" s="179">
        <f>SUMIFS('recurring2_based on steps'!$B359:$AY359,'recurring2_based on steps'!$B$1:$AY$1,X$1)+SUMIFS('changes2_based on steps'!$B359:$U359,'changes2_based on steps'!$B$1:$U$1,X$1)</f>
        <v>0</v>
      </c>
      <c r="Y359" s="179">
        <f>SUMIFS('recurring2_based on steps'!$B359:$AY359,'recurring2_based on steps'!$B$1:$AY$1,Y$1)+SUMIFS('changes2_based on steps'!$B359:$U359,'changes2_based on steps'!$B$1:$U$1,Y$1)</f>
        <v>0</v>
      </c>
      <c r="Z359" s="179">
        <f>SUMIFS('recurring2_based on steps'!$B359:$AY359,'recurring2_based on steps'!$B$1:$AY$1,Z$1)+SUMIFS('changes2_based on steps'!$B359:$U359,'changes2_based on steps'!$B$1:$U$1,Z$1)</f>
        <v>0</v>
      </c>
      <c r="AA359" s="179">
        <f>SUMIFS('recurring2_based on steps'!$B359:$AY359,'recurring2_based on steps'!$B$1:$AY$1,AA$1)+SUMIFS('changes2_based on steps'!$B359:$U359,'changes2_based on steps'!$B$1:$U$1,AA$1)</f>
        <v>0</v>
      </c>
      <c r="AB359" s="179">
        <f>SUMIFS('recurring2_based on steps'!$B359:$AY359,'recurring2_based on steps'!$B$1:$AY$1,AB$1)+SUMIFS('changes2_based on steps'!$B359:$U359,'changes2_based on steps'!$B$1:$U$1,AB$1)</f>
        <v>0</v>
      </c>
      <c r="AC359" s="179">
        <f>SUMIFS('recurring2_based on steps'!$B359:$AY359,'recurring2_based on steps'!$B$1:$AY$1,AC$1)+SUMIFS('changes2_based on steps'!$B359:$U359,'changes2_based on steps'!$B$1:$U$1,AC$1)</f>
        <v>0</v>
      </c>
      <c r="AD359" s="179">
        <f>SUMIFS('recurring2_based on steps'!$B359:$AY359,'recurring2_based on steps'!$B$1:$AY$1,AD$1)+SUMIFS('changes2_based on steps'!$B359:$U359,'changes2_based on steps'!$B$1:$U$1,AD$1)</f>
        <v>0</v>
      </c>
      <c r="AE359" s="179">
        <f>SUMIFS('recurring2_based on steps'!$B359:$AY359,'recurring2_based on steps'!$B$1:$AY$1,AE$1)+SUMIFS('changes2_based on steps'!$B359:$U359,'changes2_based on steps'!$B$1:$U$1,AE$1)</f>
        <v>0</v>
      </c>
      <c r="AF359" s="179"/>
      <c r="AG359" s="179"/>
      <c r="AH359" s="179"/>
      <c r="AI359" s="179"/>
      <c r="AJ359" s="179"/>
      <c r="AK359" s="179"/>
      <c r="AL359" s="179"/>
      <c r="AM359" s="179"/>
    </row>
    <row r="360" spans="1:39" x14ac:dyDescent="0.2">
      <c r="A360" s="32">
        <f t="shared" ca="1" si="5"/>
        <v>46102</v>
      </c>
      <c r="B360" s="179">
        <f>SUMIFS('recurring2_based on steps'!$B360:$AY360,'recurring2_based on steps'!$B$1:$AY$1,B$1)+SUMIFS('changes2_based on steps'!$B360:$U360,'changes2_based on steps'!$B$1:$U$1,B$1)</f>
        <v>0</v>
      </c>
      <c r="C360" s="179">
        <f>SUMIFS('recurring2_based on steps'!$B360:$AY360,'recurring2_based on steps'!$B$1:$AY$1,C$1)+SUMIFS('changes2_based on steps'!$B360:$U360,'changes2_based on steps'!$B$1:$U$1,C$1)</f>
        <v>0</v>
      </c>
      <c r="D360" s="179">
        <f>SUMIFS('recurring2_based on steps'!$B360:$AY360,'recurring2_based on steps'!$B$1:$AY$1,D$1)+SUMIFS('changes2_based on steps'!$B360:$U360,'changes2_based on steps'!$B$1:$U$1,D$1)</f>
        <v>0</v>
      </c>
      <c r="E360" s="179">
        <f>SUMIFS('recurring2_based on steps'!$B360:$AY360,'recurring2_based on steps'!$B$1:$AY$1,E$1)+SUMIFS('changes2_based on steps'!$B360:$U360,'changes2_based on steps'!$B$1:$U$1,E$1)</f>
        <v>0</v>
      </c>
      <c r="F360" s="179">
        <f>SUMIFS('recurring2_based on steps'!$B360:$AY360,'recurring2_based on steps'!$B$1:$AY$1,F$1)+SUMIFS('changes2_based on steps'!$B360:$U360,'changes2_based on steps'!$B$1:$U$1,F$1)</f>
        <v>0</v>
      </c>
      <c r="G360" s="179">
        <f>SUMIFS('recurring2_based on steps'!$B360:$AY360,'recurring2_based on steps'!$B$1:$AY$1,G$1)+SUMIFS('changes2_based on steps'!$B360:$U360,'changes2_based on steps'!$B$1:$U$1,G$1)</f>
        <v>0</v>
      </c>
      <c r="H360" s="179">
        <f>SUMIFS('recurring2_based on steps'!$B360:$AY360,'recurring2_based on steps'!$B$1:$AY$1,H$1)+SUMIFS('changes2_based on steps'!$B360:$U360,'changes2_based on steps'!$B$1:$U$1,H$1)</f>
        <v>0</v>
      </c>
      <c r="I360" s="179">
        <f>SUMIFS('recurring2_based on steps'!$B360:$AY360,'recurring2_based on steps'!$B$1:$AY$1,I$1)+SUMIFS('changes2_based on steps'!$B360:$U360,'changes2_based on steps'!$B$1:$U$1,I$1)</f>
        <v>0</v>
      </c>
      <c r="J360" s="179">
        <f>SUMIFS('recurring2_based on steps'!$B360:$AY360,'recurring2_based on steps'!$B$1:$AY$1,J$1)+SUMIFS('changes2_based on steps'!$B360:$U360,'changes2_based on steps'!$B$1:$U$1,J$1)</f>
        <v>0</v>
      </c>
      <c r="K360" s="179">
        <f>SUMIFS('recurring2_based on steps'!$B360:$AY360,'recurring2_based on steps'!$B$1:$AY$1,K$1)+SUMIFS('changes2_based on steps'!$B360:$U360,'changes2_based on steps'!$B$1:$U$1,K$1)</f>
        <v>0</v>
      </c>
      <c r="L360" s="179">
        <f>SUMIFS('recurring2_based on steps'!$B360:$AY360,'recurring2_based on steps'!$B$1:$AY$1,L$1)+SUMIFS('changes2_based on steps'!$B360:$U360,'changes2_based on steps'!$B$1:$U$1,L$1)</f>
        <v>0</v>
      </c>
      <c r="M360" s="179">
        <f>SUMIFS('recurring2_based on steps'!$B360:$AY360,'recurring2_based on steps'!$B$1:$AY$1,M$1)+SUMIFS('changes2_based on steps'!$B360:$U360,'changes2_based on steps'!$B$1:$U$1,M$1)</f>
        <v>0</v>
      </c>
      <c r="N360" s="179">
        <f>SUMIFS('recurring2_based on steps'!$B360:$AY360,'recurring2_based on steps'!$B$1:$AY$1,N$1)+SUMIFS('changes2_based on steps'!$B360:$U360,'changes2_based on steps'!$B$1:$U$1,N$1)</f>
        <v>0</v>
      </c>
      <c r="O360" s="179">
        <f>SUMIFS('recurring2_based on steps'!$B360:$AY360,'recurring2_based on steps'!$B$1:$AY$1,O$1)+SUMIFS('changes2_based on steps'!$B360:$U360,'changes2_based on steps'!$B$1:$U$1,O$1)</f>
        <v>0</v>
      </c>
      <c r="P360" s="179">
        <f>SUMIFS('recurring2_based on steps'!$B360:$AY360,'recurring2_based on steps'!$B$1:$AY$1,P$1)+SUMIFS('changes2_based on steps'!$B360:$U360,'changes2_based on steps'!$B$1:$U$1,P$1)</f>
        <v>0</v>
      </c>
      <c r="Q360" s="179">
        <f>SUMIFS('recurring2_based on steps'!$B360:$AY360,'recurring2_based on steps'!$B$1:$AY$1,Q$1)+SUMIFS('changes2_based on steps'!$B360:$U360,'changes2_based on steps'!$B$1:$U$1,Q$1)</f>
        <v>0</v>
      </c>
      <c r="R360" s="179">
        <f>SUMIFS('recurring2_based on steps'!$B360:$AY360,'recurring2_based on steps'!$B$1:$AY$1,R$1)+SUMIFS('changes2_based on steps'!$B360:$U360,'changes2_based on steps'!$B$1:$U$1,R$1)</f>
        <v>0</v>
      </c>
      <c r="S360" s="179">
        <f>SUMIFS('recurring2_based on steps'!$B360:$AY360,'recurring2_based on steps'!$B$1:$AY$1,S$1)+SUMIFS('changes2_based on steps'!$B360:$U360,'changes2_based on steps'!$B$1:$U$1,S$1)</f>
        <v>0</v>
      </c>
      <c r="T360" s="179">
        <f>SUMIFS('recurring2_based on steps'!$B360:$AY360,'recurring2_based on steps'!$B$1:$AY$1,T$1)+SUMIFS('changes2_based on steps'!$B360:$U360,'changes2_based on steps'!$B$1:$U$1,T$1)</f>
        <v>0</v>
      </c>
      <c r="U360" s="179">
        <f>SUMIFS('recurring2_based on steps'!$B360:$AY360,'recurring2_based on steps'!$B$1:$AY$1,U$1)+SUMIFS('changes2_based on steps'!$B360:$U360,'changes2_based on steps'!$B$1:$U$1,U$1)</f>
        <v>0</v>
      </c>
      <c r="V360" s="179">
        <f>SUMIFS('recurring2_based on steps'!$B360:$AY360,'recurring2_based on steps'!$B$1:$AY$1,V$1)+SUMIFS('changes2_based on steps'!$B360:$U360,'changes2_based on steps'!$B$1:$U$1,V$1)</f>
        <v>0</v>
      </c>
      <c r="W360" s="179">
        <f>SUMIFS('recurring2_based on steps'!$B360:$AY360,'recurring2_based on steps'!$B$1:$AY$1,W$1)+SUMIFS('changes2_based on steps'!$B360:$U360,'changes2_based on steps'!$B$1:$U$1,W$1)</f>
        <v>0</v>
      </c>
      <c r="X360" s="179">
        <f>SUMIFS('recurring2_based on steps'!$B360:$AY360,'recurring2_based on steps'!$B$1:$AY$1,X$1)+SUMIFS('changes2_based on steps'!$B360:$U360,'changes2_based on steps'!$B$1:$U$1,X$1)</f>
        <v>0</v>
      </c>
      <c r="Y360" s="179">
        <f>SUMIFS('recurring2_based on steps'!$B360:$AY360,'recurring2_based on steps'!$B$1:$AY$1,Y$1)+SUMIFS('changes2_based on steps'!$B360:$U360,'changes2_based on steps'!$B$1:$U$1,Y$1)</f>
        <v>0</v>
      </c>
      <c r="Z360" s="179">
        <f>SUMIFS('recurring2_based on steps'!$B360:$AY360,'recurring2_based on steps'!$B$1:$AY$1,Z$1)+SUMIFS('changes2_based on steps'!$B360:$U360,'changes2_based on steps'!$B$1:$U$1,Z$1)</f>
        <v>0</v>
      </c>
      <c r="AA360" s="179">
        <f>SUMIFS('recurring2_based on steps'!$B360:$AY360,'recurring2_based on steps'!$B$1:$AY$1,AA$1)+SUMIFS('changes2_based on steps'!$B360:$U360,'changes2_based on steps'!$B$1:$U$1,AA$1)</f>
        <v>0</v>
      </c>
      <c r="AB360" s="179">
        <f>SUMIFS('recurring2_based on steps'!$B360:$AY360,'recurring2_based on steps'!$B$1:$AY$1,AB$1)+SUMIFS('changes2_based on steps'!$B360:$U360,'changes2_based on steps'!$B$1:$U$1,AB$1)</f>
        <v>0</v>
      </c>
      <c r="AC360" s="179">
        <f>SUMIFS('recurring2_based on steps'!$B360:$AY360,'recurring2_based on steps'!$B$1:$AY$1,AC$1)+SUMIFS('changes2_based on steps'!$B360:$U360,'changes2_based on steps'!$B$1:$U$1,AC$1)</f>
        <v>0</v>
      </c>
      <c r="AD360" s="179">
        <f>SUMIFS('recurring2_based on steps'!$B360:$AY360,'recurring2_based on steps'!$B$1:$AY$1,AD$1)+SUMIFS('changes2_based on steps'!$B360:$U360,'changes2_based on steps'!$B$1:$U$1,AD$1)</f>
        <v>0</v>
      </c>
      <c r="AE360" s="179">
        <f>SUMIFS('recurring2_based on steps'!$B360:$AY360,'recurring2_based on steps'!$B$1:$AY$1,AE$1)+SUMIFS('changes2_based on steps'!$B360:$U360,'changes2_based on steps'!$B$1:$U$1,AE$1)</f>
        <v>0</v>
      </c>
      <c r="AF360" s="179"/>
      <c r="AG360" s="179"/>
      <c r="AH360" s="179"/>
      <c r="AI360" s="179"/>
      <c r="AJ360" s="179"/>
      <c r="AK360" s="179"/>
      <c r="AL360" s="179"/>
      <c r="AM360" s="179"/>
    </row>
    <row r="361" spans="1:39" x14ac:dyDescent="0.2">
      <c r="A361" s="32">
        <f t="shared" ca="1" si="5"/>
        <v>46103</v>
      </c>
      <c r="B361" s="179">
        <f>SUMIFS('recurring2_based on steps'!$B361:$AY361,'recurring2_based on steps'!$B$1:$AY$1,B$1)+SUMIFS('changes2_based on steps'!$B361:$U361,'changes2_based on steps'!$B$1:$U$1,B$1)</f>
        <v>0</v>
      </c>
      <c r="C361" s="179">
        <f>SUMIFS('recurring2_based on steps'!$B361:$AY361,'recurring2_based on steps'!$B$1:$AY$1,C$1)+SUMIFS('changes2_based on steps'!$B361:$U361,'changes2_based on steps'!$B$1:$U$1,C$1)</f>
        <v>0</v>
      </c>
      <c r="D361" s="179">
        <f>SUMIFS('recurring2_based on steps'!$B361:$AY361,'recurring2_based on steps'!$B$1:$AY$1,D$1)+SUMIFS('changes2_based on steps'!$B361:$U361,'changes2_based on steps'!$B$1:$U$1,D$1)</f>
        <v>0</v>
      </c>
      <c r="E361" s="179">
        <f>SUMIFS('recurring2_based on steps'!$B361:$AY361,'recurring2_based on steps'!$B$1:$AY$1,E$1)+SUMIFS('changes2_based on steps'!$B361:$U361,'changes2_based on steps'!$B$1:$U$1,E$1)</f>
        <v>0</v>
      </c>
      <c r="F361" s="179">
        <f>SUMIFS('recurring2_based on steps'!$B361:$AY361,'recurring2_based on steps'!$B$1:$AY$1,F$1)+SUMIFS('changes2_based on steps'!$B361:$U361,'changes2_based on steps'!$B$1:$U$1,F$1)</f>
        <v>0</v>
      </c>
      <c r="G361" s="179">
        <f>SUMIFS('recurring2_based on steps'!$B361:$AY361,'recurring2_based on steps'!$B$1:$AY$1,G$1)+SUMIFS('changes2_based on steps'!$B361:$U361,'changes2_based on steps'!$B$1:$U$1,G$1)</f>
        <v>0</v>
      </c>
      <c r="H361" s="179">
        <f>SUMIFS('recurring2_based on steps'!$B361:$AY361,'recurring2_based on steps'!$B$1:$AY$1,H$1)+SUMIFS('changes2_based on steps'!$B361:$U361,'changes2_based on steps'!$B$1:$U$1,H$1)</f>
        <v>0</v>
      </c>
      <c r="I361" s="179">
        <f>SUMIFS('recurring2_based on steps'!$B361:$AY361,'recurring2_based on steps'!$B$1:$AY$1,I$1)+SUMIFS('changes2_based on steps'!$B361:$U361,'changes2_based on steps'!$B$1:$U$1,I$1)</f>
        <v>0</v>
      </c>
      <c r="J361" s="179">
        <f>SUMIFS('recurring2_based on steps'!$B361:$AY361,'recurring2_based on steps'!$B$1:$AY$1,J$1)+SUMIFS('changes2_based on steps'!$B361:$U361,'changes2_based on steps'!$B$1:$U$1,J$1)</f>
        <v>0</v>
      </c>
      <c r="K361" s="179">
        <f>SUMIFS('recurring2_based on steps'!$B361:$AY361,'recurring2_based on steps'!$B$1:$AY$1,K$1)+SUMIFS('changes2_based on steps'!$B361:$U361,'changes2_based on steps'!$B$1:$U$1,K$1)</f>
        <v>0</v>
      </c>
      <c r="L361" s="179">
        <f>SUMIFS('recurring2_based on steps'!$B361:$AY361,'recurring2_based on steps'!$B$1:$AY$1,L$1)+SUMIFS('changes2_based on steps'!$B361:$U361,'changes2_based on steps'!$B$1:$U$1,L$1)</f>
        <v>0</v>
      </c>
      <c r="M361" s="179">
        <f>SUMIFS('recurring2_based on steps'!$B361:$AY361,'recurring2_based on steps'!$B$1:$AY$1,M$1)+SUMIFS('changes2_based on steps'!$B361:$U361,'changes2_based on steps'!$B$1:$U$1,M$1)</f>
        <v>0</v>
      </c>
      <c r="N361" s="179">
        <f>SUMIFS('recurring2_based on steps'!$B361:$AY361,'recurring2_based on steps'!$B$1:$AY$1,N$1)+SUMIFS('changes2_based on steps'!$B361:$U361,'changes2_based on steps'!$B$1:$U$1,N$1)</f>
        <v>0</v>
      </c>
      <c r="O361" s="179">
        <f>SUMIFS('recurring2_based on steps'!$B361:$AY361,'recurring2_based on steps'!$B$1:$AY$1,O$1)+SUMIFS('changes2_based on steps'!$B361:$U361,'changes2_based on steps'!$B$1:$U$1,O$1)</f>
        <v>0</v>
      </c>
      <c r="P361" s="179">
        <f>SUMIFS('recurring2_based on steps'!$B361:$AY361,'recurring2_based on steps'!$B$1:$AY$1,P$1)+SUMIFS('changes2_based on steps'!$B361:$U361,'changes2_based on steps'!$B$1:$U$1,P$1)</f>
        <v>0</v>
      </c>
      <c r="Q361" s="179">
        <f>SUMIFS('recurring2_based on steps'!$B361:$AY361,'recurring2_based on steps'!$B$1:$AY$1,Q$1)+SUMIFS('changes2_based on steps'!$B361:$U361,'changes2_based on steps'!$B$1:$U$1,Q$1)</f>
        <v>0</v>
      </c>
      <c r="R361" s="179">
        <f>SUMIFS('recurring2_based on steps'!$B361:$AY361,'recurring2_based on steps'!$B$1:$AY$1,R$1)+SUMIFS('changes2_based on steps'!$B361:$U361,'changes2_based on steps'!$B$1:$U$1,R$1)</f>
        <v>0</v>
      </c>
      <c r="S361" s="179">
        <f>SUMIFS('recurring2_based on steps'!$B361:$AY361,'recurring2_based on steps'!$B$1:$AY$1,S$1)+SUMIFS('changes2_based on steps'!$B361:$U361,'changes2_based on steps'!$B$1:$U$1,S$1)</f>
        <v>0</v>
      </c>
      <c r="T361" s="179">
        <f>SUMIFS('recurring2_based on steps'!$B361:$AY361,'recurring2_based on steps'!$B$1:$AY$1,T$1)+SUMIFS('changes2_based on steps'!$B361:$U361,'changes2_based on steps'!$B$1:$U$1,T$1)</f>
        <v>0</v>
      </c>
      <c r="U361" s="179">
        <f>SUMIFS('recurring2_based on steps'!$B361:$AY361,'recurring2_based on steps'!$B$1:$AY$1,U$1)+SUMIFS('changes2_based on steps'!$B361:$U361,'changes2_based on steps'!$B$1:$U$1,U$1)</f>
        <v>0</v>
      </c>
      <c r="V361" s="179">
        <f>SUMIFS('recurring2_based on steps'!$B361:$AY361,'recurring2_based on steps'!$B$1:$AY$1,V$1)+SUMIFS('changes2_based on steps'!$B361:$U361,'changes2_based on steps'!$B$1:$U$1,V$1)</f>
        <v>0</v>
      </c>
      <c r="W361" s="179">
        <f>SUMIFS('recurring2_based on steps'!$B361:$AY361,'recurring2_based on steps'!$B$1:$AY$1,W$1)+SUMIFS('changes2_based on steps'!$B361:$U361,'changes2_based on steps'!$B$1:$U$1,W$1)</f>
        <v>0</v>
      </c>
      <c r="X361" s="179">
        <f>SUMIFS('recurring2_based on steps'!$B361:$AY361,'recurring2_based on steps'!$B$1:$AY$1,X$1)+SUMIFS('changes2_based on steps'!$B361:$U361,'changes2_based on steps'!$B$1:$U$1,X$1)</f>
        <v>0</v>
      </c>
      <c r="Y361" s="179">
        <f>SUMIFS('recurring2_based on steps'!$B361:$AY361,'recurring2_based on steps'!$B$1:$AY$1,Y$1)+SUMIFS('changes2_based on steps'!$B361:$U361,'changes2_based on steps'!$B$1:$U$1,Y$1)</f>
        <v>0</v>
      </c>
      <c r="Z361" s="179">
        <f>SUMIFS('recurring2_based on steps'!$B361:$AY361,'recurring2_based on steps'!$B$1:$AY$1,Z$1)+SUMIFS('changes2_based on steps'!$B361:$U361,'changes2_based on steps'!$B$1:$U$1,Z$1)</f>
        <v>0</v>
      </c>
      <c r="AA361" s="179">
        <f>SUMIFS('recurring2_based on steps'!$B361:$AY361,'recurring2_based on steps'!$B$1:$AY$1,AA$1)+SUMIFS('changes2_based on steps'!$B361:$U361,'changes2_based on steps'!$B$1:$U$1,AA$1)</f>
        <v>0</v>
      </c>
      <c r="AB361" s="179">
        <f>SUMIFS('recurring2_based on steps'!$B361:$AY361,'recurring2_based on steps'!$B$1:$AY$1,AB$1)+SUMIFS('changes2_based on steps'!$B361:$U361,'changes2_based on steps'!$B$1:$U$1,AB$1)</f>
        <v>0</v>
      </c>
      <c r="AC361" s="179">
        <f>SUMIFS('recurring2_based on steps'!$B361:$AY361,'recurring2_based on steps'!$B$1:$AY$1,AC$1)+SUMIFS('changes2_based on steps'!$B361:$U361,'changes2_based on steps'!$B$1:$U$1,AC$1)</f>
        <v>0</v>
      </c>
      <c r="AD361" s="179">
        <f>SUMIFS('recurring2_based on steps'!$B361:$AY361,'recurring2_based on steps'!$B$1:$AY$1,AD$1)+SUMIFS('changes2_based on steps'!$B361:$U361,'changes2_based on steps'!$B$1:$U$1,AD$1)</f>
        <v>0</v>
      </c>
      <c r="AE361" s="179">
        <f>SUMIFS('recurring2_based on steps'!$B361:$AY361,'recurring2_based on steps'!$B$1:$AY$1,AE$1)+SUMIFS('changes2_based on steps'!$B361:$U361,'changes2_based on steps'!$B$1:$U$1,AE$1)</f>
        <v>0</v>
      </c>
      <c r="AF361" s="179"/>
      <c r="AG361" s="179"/>
      <c r="AH361" s="179"/>
      <c r="AI361" s="179"/>
      <c r="AJ361" s="179"/>
      <c r="AK361" s="179"/>
      <c r="AL361" s="179"/>
      <c r="AM361" s="179"/>
    </row>
    <row r="362" spans="1:39" x14ac:dyDescent="0.2">
      <c r="A362" s="32">
        <f t="shared" ca="1" si="5"/>
        <v>46104</v>
      </c>
      <c r="B362" s="179">
        <f>SUMIFS('recurring2_based on steps'!$B362:$AY362,'recurring2_based on steps'!$B$1:$AY$1,B$1)+SUMIFS('changes2_based on steps'!$B362:$U362,'changes2_based on steps'!$B$1:$U$1,B$1)</f>
        <v>0</v>
      </c>
      <c r="C362" s="179">
        <f>SUMIFS('recurring2_based on steps'!$B362:$AY362,'recurring2_based on steps'!$B$1:$AY$1,C$1)+SUMIFS('changes2_based on steps'!$B362:$U362,'changes2_based on steps'!$B$1:$U$1,C$1)</f>
        <v>0</v>
      </c>
      <c r="D362" s="179">
        <f>SUMIFS('recurring2_based on steps'!$B362:$AY362,'recurring2_based on steps'!$B$1:$AY$1,D$1)+SUMIFS('changes2_based on steps'!$B362:$U362,'changes2_based on steps'!$B$1:$U$1,D$1)</f>
        <v>0</v>
      </c>
      <c r="E362" s="179">
        <f>SUMIFS('recurring2_based on steps'!$B362:$AY362,'recurring2_based on steps'!$B$1:$AY$1,E$1)+SUMIFS('changes2_based on steps'!$B362:$U362,'changes2_based on steps'!$B$1:$U$1,E$1)</f>
        <v>0</v>
      </c>
      <c r="F362" s="179">
        <f>SUMIFS('recurring2_based on steps'!$B362:$AY362,'recurring2_based on steps'!$B$1:$AY$1,F$1)+SUMIFS('changes2_based on steps'!$B362:$U362,'changes2_based on steps'!$B$1:$U$1,F$1)</f>
        <v>0</v>
      </c>
      <c r="G362" s="179">
        <f>SUMIFS('recurring2_based on steps'!$B362:$AY362,'recurring2_based on steps'!$B$1:$AY$1,G$1)+SUMIFS('changes2_based on steps'!$B362:$U362,'changes2_based on steps'!$B$1:$U$1,G$1)</f>
        <v>0</v>
      </c>
      <c r="H362" s="179">
        <f>SUMIFS('recurring2_based on steps'!$B362:$AY362,'recurring2_based on steps'!$B$1:$AY$1,H$1)+SUMIFS('changes2_based on steps'!$B362:$U362,'changes2_based on steps'!$B$1:$U$1,H$1)</f>
        <v>0</v>
      </c>
      <c r="I362" s="179">
        <f>SUMIFS('recurring2_based on steps'!$B362:$AY362,'recurring2_based on steps'!$B$1:$AY$1,I$1)+SUMIFS('changes2_based on steps'!$B362:$U362,'changes2_based on steps'!$B$1:$U$1,I$1)</f>
        <v>0</v>
      </c>
      <c r="J362" s="179">
        <f>SUMIFS('recurring2_based on steps'!$B362:$AY362,'recurring2_based on steps'!$B$1:$AY$1,J$1)+SUMIFS('changes2_based on steps'!$B362:$U362,'changes2_based on steps'!$B$1:$U$1,J$1)</f>
        <v>0</v>
      </c>
      <c r="K362" s="179">
        <f>SUMIFS('recurring2_based on steps'!$B362:$AY362,'recurring2_based on steps'!$B$1:$AY$1,K$1)+SUMIFS('changes2_based on steps'!$B362:$U362,'changes2_based on steps'!$B$1:$U$1,K$1)</f>
        <v>0</v>
      </c>
      <c r="L362" s="179">
        <f>SUMIFS('recurring2_based on steps'!$B362:$AY362,'recurring2_based on steps'!$B$1:$AY$1,L$1)+SUMIFS('changes2_based on steps'!$B362:$U362,'changes2_based on steps'!$B$1:$U$1,L$1)</f>
        <v>0</v>
      </c>
      <c r="M362" s="179">
        <f>SUMIFS('recurring2_based on steps'!$B362:$AY362,'recurring2_based on steps'!$B$1:$AY$1,M$1)+SUMIFS('changes2_based on steps'!$B362:$U362,'changes2_based on steps'!$B$1:$U$1,M$1)</f>
        <v>0</v>
      </c>
      <c r="N362" s="179">
        <f>SUMIFS('recurring2_based on steps'!$B362:$AY362,'recurring2_based on steps'!$B$1:$AY$1,N$1)+SUMIFS('changes2_based on steps'!$B362:$U362,'changes2_based on steps'!$B$1:$U$1,N$1)</f>
        <v>0</v>
      </c>
      <c r="O362" s="179">
        <f>SUMIFS('recurring2_based on steps'!$B362:$AY362,'recurring2_based on steps'!$B$1:$AY$1,O$1)+SUMIFS('changes2_based on steps'!$B362:$U362,'changes2_based on steps'!$B$1:$U$1,O$1)</f>
        <v>0</v>
      </c>
      <c r="P362" s="179">
        <f>SUMIFS('recurring2_based on steps'!$B362:$AY362,'recurring2_based on steps'!$B$1:$AY$1,P$1)+SUMIFS('changes2_based on steps'!$B362:$U362,'changes2_based on steps'!$B$1:$U$1,P$1)</f>
        <v>0</v>
      </c>
      <c r="Q362" s="179">
        <f>SUMIFS('recurring2_based on steps'!$B362:$AY362,'recurring2_based on steps'!$B$1:$AY$1,Q$1)+SUMIFS('changes2_based on steps'!$B362:$U362,'changes2_based on steps'!$B$1:$U$1,Q$1)</f>
        <v>0</v>
      </c>
      <c r="R362" s="179">
        <f>SUMIFS('recurring2_based on steps'!$B362:$AY362,'recurring2_based on steps'!$B$1:$AY$1,R$1)+SUMIFS('changes2_based on steps'!$B362:$U362,'changes2_based on steps'!$B$1:$U$1,R$1)</f>
        <v>0</v>
      </c>
      <c r="S362" s="179">
        <f>SUMIFS('recurring2_based on steps'!$B362:$AY362,'recurring2_based on steps'!$B$1:$AY$1,S$1)+SUMIFS('changes2_based on steps'!$B362:$U362,'changes2_based on steps'!$B$1:$U$1,S$1)</f>
        <v>0</v>
      </c>
      <c r="T362" s="179">
        <f>SUMIFS('recurring2_based on steps'!$B362:$AY362,'recurring2_based on steps'!$B$1:$AY$1,T$1)+SUMIFS('changes2_based on steps'!$B362:$U362,'changes2_based on steps'!$B$1:$U$1,T$1)</f>
        <v>0</v>
      </c>
      <c r="U362" s="179">
        <f>SUMIFS('recurring2_based on steps'!$B362:$AY362,'recurring2_based on steps'!$B$1:$AY$1,U$1)+SUMIFS('changes2_based on steps'!$B362:$U362,'changes2_based on steps'!$B$1:$U$1,U$1)</f>
        <v>0</v>
      </c>
      <c r="V362" s="179">
        <f>SUMIFS('recurring2_based on steps'!$B362:$AY362,'recurring2_based on steps'!$B$1:$AY$1,V$1)+SUMIFS('changes2_based on steps'!$B362:$U362,'changes2_based on steps'!$B$1:$U$1,V$1)</f>
        <v>0</v>
      </c>
      <c r="W362" s="179">
        <f>SUMIFS('recurring2_based on steps'!$B362:$AY362,'recurring2_based on steps'!$B$1:$AY$1,W$1)+SUMIFS('changes2_based on steps'!$B362:$U362,'changes2_based on steps'!$B$1:$U$1,W$1)</f>
        <v>0</v>
      </c>
      <c r="X362" s="179">
        <f>SUMIFS('recurring2_based on steps'!$B362:$AY362,'recurring2_based on steps'!$B$1:$AY$1,X$1)+SUMIFS('changes2_based on steps'!$B362:$U362,'changes2_based on steps'!$B$1:$U$1,X$1)</f>
        <v>0</v>
      </c>
      <c r="Y362" s="179">
        <f>SUMIFS('recurring2_based on steps'!$B362:$AY362,'recurring2_based on steps'!$B$1:$AY$1,Y$1)+SUMIFS('changes2_based on steps'!$B362:$U362,'changes2_based on steps'!$B$1:$U$1,Y$1)</f>
        <v>0</v>
      </c>
      <c r="Z362" s="179">
        <f>SUMIFS('recurring2_based on steps'!$B362:$AY362,'recurring2_based on steps'!$B$1:$AY$1,Z$1)+SUMIFS('changes2_based on steps'!$B362:$U362,'changes2_based on steps'!$B$1:$U$1,Z$1)</f>
        <v>0</v>
      </c>
      <c r="AA362" s="179">
        <f>SUMIFS('recurring2_based on steps'!$B362:$AY362,'recurring2_based on steps'!$B$1:$AY$1,AA$1)+SUMIFS('changes2_based on steps'!$B362:$U362,'changes2_based on steps'!$B$1:$U$1,AA$1)</f>
        <v>0</v>
      </c>
      <c r="AB362" s="179">
        <f>SUMIFS('recurring2_based on steps'!$B362:$AY362,'recurring2_based on steps'!$B$1:$AY$1,AB$1)+SUMIFS('changes2_based on steps'!$B362:$U362,'changes2_based on steps'!$B$1:$U$1,AB$1)</f>
        <v>0</v>
      </c>
      <c r="AC362" s="179">
        <f>SUMIFS('recurring2_based on steps'!$B362:$AY362,'recurring2_based on steps'!$B$1:$AY$1,AC$1)+SUMIFS('changes2_based on steps'!$B362:$U362,'changes2_based on steps'!$B$1:$U$1,AC$1)</f>
        <v>0</v>
      </c>
      <c r="AD362" s="179">
        <f>SUMIFS('recurring2_based on steps'!$B362:$AY362,'recurring2_based on steps'!$B$1:$AY$1,AD$1)+SUMIFS('changes2_based on steps'!$B362:$U362,'changes2_based on steps'!$B$1:$U$1,AD$1)</f>
        <v>0</v>
      </c>
      <c r="AE362" s="179">
        <f>SUMIFS('recurring2_based on steps'!$B362:$AY362,'recurring2_based on steps'!$B$1:$AY$1,AE$1)+SUMIFS('changes2_based on steps'!$B362:$U362,'changes2_based on steps'!$B$1:$U$1,AE$1)</f>
        <v>0</v>
      </c>
      <c r="AF362" s="179"/>
      <c r="AG362" s="179"/>
      <c r="AH362" s="179"/>
      <c r="AI362" s="179"/>
      <c r="AJ362" s="179"/>
      <c r="AK362" s="179"/>
      <c r="AL362" s="179"/>
      <c r="AM362" s="179"/>
    </row>
    <row r="363" spans="1:39" x14ac:dyDescent="0.2">
      <c r="A363" s="32">
        <f t="shared" ca="1" si="5"/>
        <v>46105</v>
      </c>
      <c r="B363" s="179">
        <f>SUMIFS('recurring2_based on steps'!$B363:$AY363,'recurring2_based on steps'!$B$1:$AY$1,B$1)+SUMIFS('changes2_based on steps'!$B363:$U363,'changes2_based on steps'!$B$1:$U$1,B$1)</f>
        <v>0</v>
      </c>
      <c r="C363" s="179">
        <f>SUMIFS('recurring2_based on steps'!$B363:$AY363,'recurring2_based on steps'!$B$1:$AY$1,C$1)+SUMIFS('changes2_based on steps'!$B363:$U363,'changes2_based on steps'!$B$1:$U$1,C$1)</f>
        <v>0</v>
      </c>
      <c r="D363" s="179">
        <f>SUMIFS('recurring2_based on steps'!$B363:$AY363,'recurring2_based on steps'!$B$1:$AY$1,D$1)+SUMIFS('changes2_based on steps'!$B363:$U363,'changes2_based on steps'!$B$1:$U$1,D$1)</f>
        <v>0</v>
      </c>
      <c r="E363" s="179">
        <f>SUMIFS('recurring2_based on steps'!$B363:$AY363,'recurring2_based on steps'!$B$1:$AY$1,E$1)+SUMIFS('changes2_based on steps'!$B363:$U363,'changes2_based on steps'!$B$1:$U$1,E$1)</f>
        <v>0</v>
      </c>
      <c r="F363" s="179">
        <f>SUMIFS('recurring2_based on steps'!$B363:$AY363,'recurring2_based on steps'!$B$1:$AY$1,F$1)+SUMIFS('changes2_based on steps'!$B363:$U363,'changes2_based on steps'!$B$1:$U$1,F$1)</f>
        <v>0</v>
      </c>
      <c r="G363" s="179">
        <f>SUMIFS('recurring2_based on steps'!$B363:$AY363,'recurring2_based on steps'!$B$1:$AY$1,G$1)+SUMIFS('changes2_based on steps'!$B363:$U363,'changes2_based on steps'!$B$1:$U$1,G$1)</f>
        <v>0</v>
      </c>
      <c r="H363" s="179">
        <f>SUMIFS('recurring2_based on steps'!$B363:$AY363,'recurring2_based on steps'!$B$1:$AY$1,H$1)+SUMIFS('changes2_based on steps'!$B363:$U363,'changes2_based on steps'!$B$1:$U$1,H$1)</f>
        <v>0</v>
      </c>
      <c r="I363" s="179">
        <f>SUMIFS('recurring2_based on steps'!$B363:$AY363,'recurring2_based on steps'!$B$1:$AY$1,I$1)+SUMIFS('changes2_based on steps'!$B363:$U363,'changes2_based on steps'!$B$1:$U$1,I$1)</f>
        <v>0</v>
      </c>
      <c r="J363" s="179">
        <f>SUMIFS('recurring2_based on steps'!$B363:$AY363,'recurring2_based on steps'!$B$1:$AY$1,J$1)+SUMIFS('changes2_based on steps'!$B363:$U363,'changes2_based on steps'!$B$1:$U$1,J$1)</f>
        <v>0</v>
      </c>
      <c r="K363" s="179">
        <f>SUMIFS('recurring2_based on steps'!$B363:$AY363,'recurring2_based on steps'!$B$1:$AY$1,K$1)+SUMIFS('changes2_based on steps'!$B363:$U363,'changes2_based on steps'!$B$1:$U$1,K$1)</f>
        <v>0</v>
      </c>
      <c r="L363" s="179">
        <f>SUMIFS('recurring2_based on steps'!$B363:$AY363,'recurring2_based on steps'!$B$1:$AY$1,L$1)+SUMIFS('changes2_based on steps'!$B363:$U363,'changes2_based on steps'!$B$1:$U$1,L$1)</f>
        <v>0</v>
      </c>
      <c r="M363" s="179">
        <f>SUMIFS('recurring2_based on steps'!$B363:$AY363,'recurring2_based on steps'!$B$1:$AY$1,M$1)+SUMIFS('changes2_based on steps'!$B363:$U363,'changes2_based on steps'!$B$1:$U$1,M$1)</f>
        <v>0</v>
      </c>
      <c r="N363" s="179">
        <f>SUMIFS('recurring2_based on steps'!$B363:$AY363,'recurring2_based on steps'!$B$1:$AY$1,N$1)+SUMIFS('changes2_based on steps'!$B363:$U363,'changes2_based on steps'!$B$1:$U$1,N$1)</f>
        <v>0</v>
      </c>
      <c r="O363" s="179">
        <f>SUMIFS('recurring2_based on steps'!$B363:$AY363,'recurring2_based on steps'!$B$1:$AY$1,O$1)+SUMIFS('changes2_based on steps'!$B363:$U363,'changes2_based on steps'!$B$1:$U$1,O$1)</f>
        <v>0</v>
      </c>
      <c r="P363" s="179">
        <f>SUMIFS('recurring2_based on steps'!$B363:$AY363,'recurring2_based on steps'!$B$1:$AY$1,P$1)+SUMIFS('changes2_based on steps'!$B363:$U363,'changes2_based on steps'!$B$1:$U$1,P$1)</f>
        <v>0</v>
      </c>
      <c r="Q363" s="179">
        <f>SUMIFS('recurring2_based on steps'!$B363:$AY363,'recurring2_based on steps'!$B$1:$AY$1,Q$1)+SUMIFS('changes2_based on steps'!$B363:$U363,'changes2_based on steps'!$B$1:$U$1,Q$1)</f>
        <v>0</v>
      </c>
      <c r="R363" s="179">
        <f>SUMIFS('recurring2_based on steps'!$B363:$AY363,'recurring2_based on steps'!$B$1:$AY$1,R$1)+SUMIFS('changes2_based on steps'!$B363:$U363,'changes2_based on steps'!$B$1:$U$1,R$1)</f>
        <v>0</v>
      </c>
      <c r="S363" s="179">
        <f>SUMIFS('recurring2_based on steps'!$B363:$AY363,'recurring2_based on steps'!$B$1:$AY$1,S$1)+SUMIFS('changes2_based on steps'!$B363:$U363,'changes2_based on steps'!$B$1:$U$1,S$1)</f>
        <v>0</v>
      </c>
      <c r="T363" s="179">
        <f>SUMIFS('recurring2_based on steps'!$B363:$AY363,'recurring2_based on steps'!$B$1:$AY$1,T$1)+SUMIFS('changes2_based on steps'!$B363:$U363,'changes2_based on steps'!$B$1:$U$1,T$1)</f>
        <v>0</v>
      </c>
      <c r="U363" s="179">
        <f>SUMIFS('recurring2_based on steps'!$B363:$AY363,'recurring2_based on steps'!$B$1:$AY$1,U$1)+SUMIFS('changes2_based on steps'!$B363:$U363,'changes2_based on steps'!$B$1:$U$1,U$1)</f>
        <v>0</v>
      </c>
      <c r="V363" s="179">
        <f>SUMIFS('recurring2_based on steps'!$B363:$AY363,'recurring2_based on steps'!$B$1:$AY$1,V$1)+SUMIFS('changes2_based on steps'!$B363:$U363,'changes2_based on steps'!$B$1:$U$1,V$1)</f>
        <v>0</v>
      </c>
      <c r="W363" s="179">
        <f>SUMIFS('recurring2_based on steps'!$B363:$AY363,'recurring2_based on steps'!$B$1:$AY$1,W$1)+SUMIFS('changes2_based on steps'!$B363:$U363,'changes2_based on steps'!$B$1:$U$1,W$1)</f>
        <v>0</v>
      </c>
      <c r="X363" s="179">
        <f>SUMIFS('recurring2_based on steps'!$B363:$AY363,'recurring2_based on steps'!$B$1:$AY$1,X$1)+SUMIFS('changes2_based on steps'!$B363:$U363,'changes2_based on steps'!$B$1:$U$1,X$1)</f>
        <v>0</v>
      </c>
      <c r="Y363" s="179">
        <f>SUMIFS('recurring2_based on steps'!$B363:$AY363,'recurring2_based on steps'!$B$1:$AY$1,Y$1)+SUMIFS('changes2_based on steps'!$B363:$U363,'changes2_based on steps'!$B$1:$U$1,Y$1)</f>
        <v>0</v>
      </c>
      <c r="Z363" s="179">
        <f>SUMIFS('recurring2_based on steps'!$B363:$AY363,'recurring2_based on steps'!$B$1:$AY$1,Z$1)+SUMIFS('changes2_based on steps'!$B363:$U363,'changes2_based on steps'!$B$1:$U$1,Z$1)</f>
        <v>0</v>
      </c>
      <c r="AA363" s="179">
        <f>SUMIFS('recurring2_based on steps'!$B363:$AY363,'recurring2_based on steps'!$B$1:$AY$1,AA$1)+SUMIFS('changes2_based on steps'!$B363:$U363,'changes2_based on steps'!$B$1:$U$1,AA$1)</f>
        <v>0</v>
      </c>
      <c r="AB363" s="179">
        <f>SUMIFS('recurring2_based on steps'!$B363:$AY363,'recurring2_based on steps'!$B$1:$AY$1,AB$1)+SUMIFS('changes2_based on steps'!$B363:$U363,'changes2_based on steps'!$B$1:$U$1,AB$1)</f>
        <v>0</v>
      </c>
      <c r="AC363" s="179">
        <f>SUMIFS('recurring2_based on steps'!$B363:$AY363,'recurring2_based on steps'!$B$1:$AY$1,AC$1)+SUMIFS('changes2_based on steps'!$B363:$U363,'changes2_based on steps'!$B$1:$U$1,AC$1)</f>
        <v>0</v>
      </c>
      <c r="AD363" s="179">
        <f>SUMIFS('recurring2_based on steps'!$B363:$AY363,'recurring2_based on steps'!$B$1:$AY$1,AD$1)+SUMIFS('changes2_based on steps'!$B363:$U363,'changes2_based on steps'!$B$1:$U$1,AD$1)</f>
        <v>0</v>
      </c>
      <c r="AE363" s="179">
        <f>SUMIFS('recurring2_based on steps'!$B363:$AY363,'recurring2_based on steps'!$B$1:$AY$1,AE$1)+SUMIFS('changes2_based on steps'!$B363:$U363,'changes2_based on steps'!$B$1:$U$1,AE$1)</f>
        <v>0</v>
      </c>
      <c r="AF363" s="179"/>
      <c r="AG363" s="179"/>
      <c r="AH363" s="179"/>
      <c r="AI363" s="179"/>
      <c r="AJ363" s="179"/>
      <c r="AK363" s="179"/>
      <c r="AL363" s="179"/>
      <c r="AM363" s="179"/>
    </row>
    <row r="364" spans="1:39" x14ac:dyDescent="0.2">
      <c r="A364" s="32">
        <f t="shared" ca="1" si="5"/>
        <v>46106</v>
      </c>
      <c r="B364" s="179">
        <f>SUMIFS('recurring2_based on steps'!$B364:$AY364,'recurring2_based on steps'!$B$1:$AY$1,B$1)+SUMIFS('changes2_based on steps'!$B364:$U364,'changes2_based on steps'!$B$1:$U$1,B$1)</f>
        <v>0</v>
      </c>
      <c r="C364" s="179">
        <f>SUMIFS('recurring2_based on steps'!$B364:$AY364,'recurring2_based on steps'!$B$1:$AY$1,C$1)+SUMIFS('changes2_based on steps'!$B364:$U364,'changes2_based on steps'!$B$1:$U$1,C$1)</f>
        <v>0</v>
      </c>
      <c r="D364" s="179">
        <f>SUMIFS('recurring2_based on steps'!$B364:$AY364,'recurring2_based on steps'!$B$1:$AY$1,D$1)+SUMIFS('changes2_based on steps'!$B364:$U364,'changes2_based on steps'!$B$1:$U$1,D$1)</f>
        <v>0</v>
      </c>
      <c r="E364" s="179">
        <f>SUMIFS('recurring2_based on steps'!$B364:$AY364,'recurring2_based on steps'!$B$1:$AY$1,E$1)+SUMIFS('changes2_based on steps'!$B364:$U364,'changes2_based on steps'!$B$1:$U$1,E$1)</f>
        <v>0</v>
      </c>
      <c r="F364" s="179">
        <f>SUMIFS('recurring2_based on steps'!$B364:$AY364,'recurring2_based on steps'!$B$1:$AY$1,F$1)+SUMIFS('changes2_based on steps'!$B364:$U364,'changes2_based on steps'!$B$1:$U$1,F$1)</f>
        <v>0</v>
      </c>
      <c r="G364" s="179">
        <f>SUMIFS('recurring2_based on steps'!$B364:$AY364,'recurring2_based on steps'!$B$1:$AY$1,G$1)+SUMIFS('changes2_based on steps'!$B364:$U364,'changes2_based on steps'!$B$1:$U$1,G$1)</f>
        <v>0</v>
      </c>
      <c r="H364" s="179">
        <f>SUMIFS('recurring2_based on steps'!$B364:$AY364,'recurring2_based on steps'!$B$1:$AY$1,H$1)+SUMIFS('changes2_based on steps'!$B364:$U364,'changes2_based on steps'!$B$1:$U$1,H$1)</f>
        <v>0</v>
      </c>
      <c r="I364" s="179">
        <f>SUMIFS('recurring2_based on steps'!$B364:$AY364,'recurring2_based on steps'!$B$1:$AY$1,I$1)+SUMIFS('changes2_based on steps'!$B364:$U364,'changes2_based on steps'!$B$1:$U$1,I$1)</f>
        <v>0</v>
      </c>
      <c r="J364" s="179">
        <f>SUMIFS('recurring2_based on steps'!$B364:$AY364,'recurring2_based on steps'!$B$1:$AY$1,J$1)+SUMIFS('changes2_based on steps'!$B364:$U364,'changes2_based on steps'!$B$1:$U$1,J$1)</f>
        <v>0</v>
      </c>
      <c r="K364" s="179">
        <f>SUMIFS('recurring2_based on steps'!$B364:$AY364,'recurring2_based on steps'!$B$1:$AY$1,K$1)+SUMIFS('changes2_based on steps'!$B364:$U364,'changes2_based on steps'!$B$1:$U$1,K$1)</f>
        <v>0</v>
      </c>
      <c r="L364" s="179">
        <f>SUMIFS('recurring2_based on steps'!$B364:$AY364,'recurring2_based on steps'!$B$1:$AY$1,L$1)+SUMIFS('changes2_based on steps'!$B364:$U364,'changes2_based on steps'!$B$1:$U$1,L$1)</f>
        <v>0</v>
      </c>
      <c r="M364" s="179">
        <f>SUMIFS('recurring2_based on steps'!$B364:$AY364,'recurring2_based on steps'!$B$1:$AY$1,M$1)+SUMIFS('changes2_based on steps'!$B364:$U364,'changes2_based on steps'!$B$1:$U$1,M$1)</f>
        <v>0</v>
      </c>
      <c r="N364" s="179">
        <f>SUMIFS('recurring2_based on steps'!$B364:$AY364,'recurring2_based on steps'!$B$1:$AY$1,N$1)+SUMIFS('changes2_based on steps'!$B364:$U364,'changes2_based on steps'!$B$1:$U$1,N$1)</f>
        <v>0</v>
      </c>
      <c r="O364" s="179">
        <f>SUMIFS('recurring2_based on steps'!$B364:$AY364,'recurring2_based on steps'!$B$1:$AY$1,O$1)+SUMIFS('changes2_based on steps'!$B364:$U364,'changes2_based on steps'!$B$1:$U$1,O$1)</f>
        <v>0</v>
      </c>
      <c r="P364" s="179">
        <f>SUMIFS('recurring2_based on steps'!$B364:$AY364,'recurring2_based on steps'!$B$1:$AY$1,P$1)+SUMIFS('changes2_based on steps'!$B364:$U364,'changes2_based on steps'!$B$1:$U$1,P$1)</f>
        <v>0</v>
      </c>
      <c r="Q364" s="179">
        <f>SUMIFS('recurring2_based on steps'!$B364:$AY364,'recurring2_based on steps'!$B$1:$AY$1,Q$1)+SUMIFS('changes2_based on steps'!$B364:$U364,'changes2_based on steps'!$B$1:$U$1,Q$1)</f>
        <v>0</v>
      </c>
      <c r="R364" s="179">
        <f>SUMIFS('recurring2_based on steps'!$B364:$AY364,'recurring2_based on steps'!$B$1:$AY$1,R$1)+SUMIFS('changes2_based on steps'!$B364:$U364,'changes2_based on steps'!$B$1:$U$1,R$1)</f>
        <v>0</v>
      </c>
      <c r="S364" s="179">
        <f>SUMIFS('recurring2_based on steps'!$B364:$AY364,'recurring2_based on steps'!$B$1:$AY$1,S$1)+SUMIFS('changes2_based on steps'!$B364:$U364,'changes2_based on steps'!$B$1:$U$1,S$1)</f>
        <v>0</v>
      </c>
      <c r="T364" s="179">
        <f>SUMIFS('recurring2_based on steps'!$B364:$AY364,'recurring2_based on steps'!$B$1:$AY$1,T$1)+SUMIFS('changes2_based on steps'!$B364:$U364,'changes2_based on steps'!$B$1:$U$1,T$1)</f>
        <v>0</v>
      </c>
      <c r="U364" s="179">
        <f>SUMIFS('recurring2_based on steps'!$B364:$AY364,'recurring2_based on steps'!$B$1:$AY$1,U$1)+SUMIFS('changes2_based on steps'!$B364:$U364,'changes2_based on steps'!$B$1:$U$1,U$1)</f>
        <v>0</v>
      </c>
      <c r="V364" s="179">
        <f>SUMIFS('recurring2_based on steps'!$B364:$AY364,'recurring2_based on steps'!$B$1:$AY$1,V$1)+SUMIFS('changes2_based on steps'!$B364:$U364,'changes2_based on steps'!$B$1:$U$1,V$1)</f>
        <v>0</v>
      </c>
      <c r="W364" s="179">
        <f>SUMIFS('recurring2_based on steps'!$B364:$AY364,'recurring2_based on steps'!$B$1:$AY$1,W$1)+SUMIFS('changes2_based on steps'!$B364:$U364,'changes2_based on steps'!$B$1:$U$1,W$1)</f>
        <v>0</v>
      </c>
      <c r="X364" s="179">
        <f>SUMIFS('recurring2_based on steps'!$B364:$AY364,'recurring2_based on steps'!$B$1:$AY$1,X$1)+SUMIFS('changes2_based on steps'!$B364:$U364,'changes2_based on steps'!$B$1:$U$1,X$1)</f>
        <v>0</v>
      </c>
      <c r="Y364" s="179">
        <f>SUMIFS('recurring2_based on steps'!$B364:$AY364,'recurring2_based on steps'!$B$1:$AY$1,Y$1)+SUMIFS('changes2_based on steps'!$B364:$U364,'changes2_based on steps'!$B$1:$U$1,Y$1)</f>
        <v>0</v>
      </c>
      <c r="Z364" s="179">
        <f>SUMIFS('recurring2_based on steps'!$B364:$AY364,'recurring2_based on steps'!$B$1:$AY$1,Z$1)+SUMIFS('changes2_based on steps'!$B364:$U364,'changes2_based on steps'!$B$1:$U$1,Z$1)</f>
        <v>0</v>
      </c>
      <c r="AA364" s="179">
        <f>SUMIFS('recurring2_based on steps'!$B364:$AY364,'recurring2_based on steps'!$B$1:$AY$1,AA$1)+SUMIFS('changes2_based on steps'!$B364:$U364,'changes2_based on steps'!$B$1:$U$1,AA$1)</f>
        <v>0</v>
      </c>
      <c r="AB364" s="179">
        <f>SUMIFS('recurring2_based on steps'!$B364:$AY364,'recurring2_based on steps'!$B$1:$AY$1,AB$1)+SUMIFS('changes2_based on steps'!$B364:$U364,'changes2_based on steps'!$B$1:$U$1,AB$1)</f>
        <v>0</v>
      </c>
      <c r="AC364" s="179">
        <f>SUMIFS('recurring2_based on steps'!$B364:$AY364,'recurring2_based on steps'!$B$1:$AY$1,AC$1)+SUMIFS('changes2_based on steps'!$B364:$U364,'changes2_based on steps'!$B$1:$U$1,AC$1)</f>
        <v>0</v>
      </c>
      <c r="AD364" s="179">
        <f>SUMIFS('recurring2_based on steps'!$B364:$AY364,'recurring2_based on steps'!$B$1:$AY$1,AD$1)+SUMIFS('changes2_based on steps'!$B364:$U364,'changes2_based on steps'!$B$1:$U$1,AD$1)</f>
        <v>0</v>
      </c>
      <c r="AE364" s="179">
        <f>SUMIFS('recurring2_based on steps'!$B364:$AY364,'recurring2_based on steps'!$B$1:$AY$1,AE$1)+SUMIFS('changes2_based on steps'!$B364:$U364,'changes2_based on steps'!$B$1:$U$1,AE$1)</f>
        <v>0</v>
      </c>
      <c r="AF364" s="179"/>
      <c r="AG364" s="179"/>
      <c r="AH364" s="179"/>
      <c r="AI364" s="179"/>
      <c r="AJ364" s="179"/>
      <c r="AK364" s="179"/>
      <c r="AL364" s="179"/>
      <c r="AM364" s="179"/>
    </row>
    <row r="365" spans="1:39" x14ac:dyDescent="0.2">
      <c r="A365" s="32">
        <f t="shared" ca="1" si="5"/>
        <v>46107</v>
      </c>
      <c r="B365" s="179">
        <f>SUMIFS('recurring2_based on steps'!$B365:$AY365,'recurring2_based on steps'!$B$1:$AY$1,B$1)+SUMIFS('changes2_based on steps'!$B365:$U365,'changes2_based on steps'!$B$1:$U$1,B$1)</f>
        <v>0</v>
      </c>
      <c r="C365" s="179">
        <f>SUMIFS('recurring2_based on steps'!$B365:$AY365,'recurring2_based on steps'!$B$1:$AY$1,C$1)+SUMIFS('changes2_based on steps'!$B365:$U365,'changes2_based on steps'!$B$1:$U$1,C$1)</f>
        <v>0</v>
      </c>
      <c r="D365" s="179">
        <f>SUMIFS('recurring2_based on steps'!$B365:$AY365,'recurring2_based on steps'!$B$1:$AY$1,D$1)+SUMIFS('changes2_based on steps'!$B365:$U365,'changes2_based on steps'!$B$1:$U$1,D$1)</f>
        <v>0</v>
      </c>
      <c r="E365" s="179">
        <f>SUMIFS('recurring2_based on steps'!$B365:$AY365,'recurring2_based on steps'!$B$1:$AY$1,E$1)+SUMIFS('changes2_based on steps'!$B365:$U365,'changes2_based on steps'!$B$1:$U$1,E$1)</f>
        <v>0</v>
      </c>
      <c r="F365" s="179">
        <f>SUMIFS('recurring2_based on steps'!$B365:$AY365,'recurring2_based on steps'!$B$1:$AY$1,F$1)+SUMIFS('changes2_based on steps'!$B365:$U365,'changes2_based on steps'!$B$1:$U$1,F$1)</f>
        <v>0</v>
      </c>
      <c r="G365" s="179">
        <f>SUMIFS('recurring2_based on steps'!$B365:$AY365,'recurring2_based on steps'!$B$1:$AY$1,G$1)+SUMIFS('changes2_based on steps'!$B365:$U365,'changes2_based on steps'!$B$1:$U$1,G$1)</f>
        <v>0</v>
      </c>
      <c r="H365" s="179">
        <f>SUMIFS('recurring2_based on steps'!$B365:$AY365,'recurring2_based on steps'!$B$1:$AY$1,H$1)+SUMIFS('changes2_based on steps'!$B365:$U365,'changes2_based on steps'!$B$1:$U$1,H$1)</f>
        <v>0</v>
      </c>
      <c r="I365" s="179">
        <f>SUMIFS('recurring2_based on steps'!$B365:$AY365,'recurring2_based on steps'!$B$1:$AY$1,I$1)+SUMIFS('changes2_based on steps'!$B365:$U365,'changes2_based on steps'!$B$1:$U$1,I$1)</f>
        <v>0</v>
      </c>
      <c r="J365" s="179">
        <f>SUMIFS('recurring2_based on steps'!$B365:$AY365,'recurring2_based on steps'!$B$1:$AY$1,J$1)+SUMIFS('changes2_based on steps'!$B365:$U365,'changes2_based on steps'!$B$1:$U$1,J$1)</f>
        <v>0</v>
      </c>
      <c r="K365" s="179">
        <f>SUMIFS('recurring2_based on steps'!$B365:$AY365,'recurring2_based on steps'!$B$1:$AY$1,K$1)+SUMIFS('changes2_based on steps'!$B365:$U365,'changes2_based on steps'!$B$1:$U$1,K$1)</f>
        <v>0</v>
      </c>
      <c r="L365" s="179">
        <f>SUMIFS('recurring2_based on steps'!$B365:$AY365,'recurring2_based on steps'!$B$1:$AY$1,L$1)+SUMIFS('changes2_based on steps'!$B365:$U365,'changes2_based on steps'!$B$1:$U$1,L$1)</f>
        <v>0</v>
      </c>
      <c r="M365" s="179">
        <f>SUMIFS('recurring2_based on steps'!$B365:$AY365,'recurring2_based on steps'!$B$1:$AY$1,M$1)+SUMIFS('changes2_based on steps'!$B365:$U365,'changes2_based on steps'!$B$1:$U$1,M$1)</f>
        <v>0</v>
      </c>
      <c r="N365" s="179">
        <f>SUMIFS('recurring2_based on steps'!$B365:$AY365,'recurring2_based on steps'!$B$1:$AY$1,N$1)+SUMIFS('changes2_based on steps'!$B365:$U365,'changes2_based on steps'!$B$1:$U$1,N$1)</f>
        <v>0</v>
      </c>
      <c r="O365" s="179">
        <f>SUMIFS('recurring2_based on steps'!$B365:$AY365,'recurring2_based on steps'!$B$1:$AY$1,O$1)+SUMIFS('changes2_based on steps'!$B365:$U365,'changes2_based on steps'!$B$1:$U$1,O$1)</f>
        <v>0</v>
      </c>
      <c r="P365" s="179">
        <f>SUMIFS('recurring2_based on steps'!$B365:$AY365,'recurring2_based on steps'!$B$1:$AY$1,P$1)+SUMIFS('changes2_based on steps'!$B365:$U365,'changes2_based on steps'!$B$1:$U$1,P$1)</f>
        <v>0</v>
      </c>
      <c r="Q365" s="179">
        <f>SUMIFS('recurring2_based on steps'!$B365:$AY365,'recurring2_based on steps'!$B$1:$AY$1,Q$1)+SUMIFS('changes2_based on steps'!$B365:$U365,'changes2_based on steps'!$B$1:$U$1,Q$1)</f>
        <v>0</v>
      </c>
      <c r="R365" s="179">
        <f>SUMIFS('recurring2_based on steps'!$B365:$AY365,'recurring2_based on steps'!$B$1:$AY$1,R$1)+SUMIFS('changes2_based on steps'!$B365:$U365,'changes2_based on steps'!$B$1:$U$1,R$1)</f>
        <v>0</v>
      </c>
      <c r="S365" s="179">
        <f>SUMIFS('recurring2_based on steps'!$B365:$AY365,'recurring2_based on steps'!$B$1:$AY$1,S$1)+SUMIFS('changes2_based on steps'!$B365:$U365,'changes2_based on steps'!$B$1:$U$1,S$1)</f>
        <v>0</v>
      </c>
      <c r="T365" s="179">
        <f>SUMIFS('recurring2_based on steps'!$B365:$AY365,'recurring2_based on steps'!$B$1:$AY$1,T$1)+SUMIFS('changes2_based on steps'!$B365:$U365,'changes2_based on steps'!$B$1:$U$1,T$1)</f>
        <v>0</v>
      </c>
      <c r="U365" s="179">
        <f>SUMIFS('recurring2_based on steps'!$B365:$AY365,'recurring2_based on steps'!$B$1:$AY$1,U$1)+SUMIFS('changes2_based on steps'!$B365:$U365,'changes2_based on steps'!$B$1:$U$1,U$1)</f>
        <v>0</v>
      </c>
      <c r="V365" s="179">
        <f>SUMIFS('recurring2_based on steps'!$B365:$AY365,'recurring2_based on steps'!$B$1:$AY$1,V$1)+SUMIFS('changes2_based on steps'!$B365:$U365,'changes2_based on steps'!$B$1:$U$1,V$1)</f>
        <v>0</v>
      </c>
      <c r="W365" s="179">
        <f>SUMIFS('recurring2_based on steps'!$B365:$AY365,'recurring2_based on steps'!$B$1:$AY$1,W$1)+SUMIFS('changes2_based on steps'!$B365:$U365,'changes2_based on steps'!$B$1:$U$1,W$1)</f>
        <v>0</v>
      </c>
      <c r="X365" s="179">
        <f>SUMIFS('recurring2_based on steps'!$B365:$AY365,'recurring2_based on steps'!$B$1:$AY$1,X$1)+SUMIFS('changes2_based on steps'!$B365:$U365,'changes2_based on steps'!$B$1:$U$1,X$1)</f>
        <v>0</v>
      </c>
      <c r="Y365" s="179">
        <f>SUMIFS('recurring2_based on steps'!$B365:$AY365,'recurring2_based on steps'!$B$1:$AY$1,Y$1)+SUMIFS('changes2_based on steps'!$B365:$U365,'changes2_based on steps'!$B$1:$U$1,Y$1)</f>
        <v>0</v>
      </c>
      <c r="Z365" s="179">
        <f>SUMIFS('recurring2_based on steps'!$B365:$AY365,'recurring2_based on steps'!$B$1:$AY$1,Z$1)+SUMIFS('changes2_based on steps'!$B365:$U365,'changes2_based on steps'!$B$1:$U$1,Z$1)</f>
        <v>0</v>
      </c>
      <c r="AA365" s="179">
        <f>SUMIFS('recurring2_based on steps'!$B365:$AY365,'recurring2_based on steps'!$B$1:$AY$1,AA$1)+SUMIFS('changes2_based on steps'!$B365:$U365,'changes2_based on steps'!$B$1:$U$1,AA$1)</f>
        <v>0</v>
      </c>
      <c r="AB365" s="179">
        <f>SUMIFS('recurring2_based on steps'!$B365:$AY365,'recurring2_based on steps'!$B$1:$AY$1,AB$1)+SUMIFS('changes2_based on steps'!$B365:$U365,'changes2_based on steps'!$B$1:$U$1,AB$1)</f>
        <v>0</v>
      </c>
      <c r="AC365" s="179">
        <f>SUMIFS('recurring2_based on steps'!$B365:$AY365,'recurring2_based on steps'!$B$1:$AY$1,AC$1)+SUMIFS('changes2_based on steps'!$B365:$U365,'changes2_based on steps'!$B$1:$U$1,AC$1)</f>
        <v>0</v>
      </c>
      <c r="AD365" s="179">
        <f>SUMIFS('recurring2_based on steps'!$B365:$AY365,'recurring2_based on steps'!$B$1:$AY$1,AD$1)+SUMIFS('changes2_based on steps'!$B365:$U365,'changes2_based on steps'!$B$1:$U$1,AD$1)</f>
        <v>0</v>
      </c>
      <c r="AE365" s="179">
        <f>SUMIFS('recurring2_based on steps'!$B365:$AY365,'recurring2_based on steps'!$B$1:$AY$1,AE$1)+SUMIFS('changes2_based on steps'!$B365:$U365,'changes2_based on steps'!$B$1:$U$1,AE$1)</f>
        <v>0</v>
      </c>
      <c r="AF365" s="179"/>
      <c r="AG365" s="179"/>
      <c r="AH365" s="179"/>
      <c r="AI365" s="179"/>
      <c r="AJ365" s="179"/>
      <c r="AK365" s="179"/>
      <c r="AL365" s="179"/>
      <c r="AM365" s="179"/>
    </row>
    <row r="366" spans="1:39" x14ac:dyDescent="0.2">
      <c r="A366" s="32">
        <f t="shared" ca="1" si="5"/>
        <v>46108</v>
      </c>
      <c r="B366" s="179">
        <f>SUMIFS('recurring2_based on steps'!$B366:$AY366,'recurring2_based on steps'!$B$1:$AY$1,B$1)+SUMIFS('changes2_based on steps'!$B366:$U366,'changes2_based on steps'!$B$1:$U$1,B$1)</f>
        <v>0</v>
      </c>
      <c r="C366" s="179">
        <f>SUMIFS('recurring2_based on steps'!$B366:$AY366,'recurring2_based on steps'!$B$1:$AY$1,C$1)+SUMIFS('changes2_based on steps'!$B366:$U366,'changes2_based on steps'!$B$1:$U$1,C$1)</f>
        <v>0</v>
      </c>
      <c r="D366" s="179">
        <f>SUMIFS('recurring2_based on steps'!$B366:$AY366,'recurring2_based on steps'!$B$1:$AY$1,D$1)+SUMIFS('changes2_based on steps'!$B366:$U366,'changes2_based on steps'!$B$1:$U$1,D$1)</f>
        <v>0</v>
      </c>
      <c r="E366" s="179">
        <f>SUMIFS('recurring2_based on steps'!$B366:$AY366,'recurring2_based on steps'!$B$1:$AY$1,E$1)+SUMIFS('changes2_based on steps'!$B366:$U366,'changes2_based on steps'!$B$1:$U$1,E$1)</f>
        <v>0</v>
      </c>
      <c r="F366" s="179">
        <f>SUMIFS('recurring2_based on steps'!$B366:$AY366,'recurring2_based on steps'!$B$1:$AY$1,F$1)+SUMIFS('changes2_based on steps'!$B366:$U366,'changes2_based on steps'!$B$1:$U$1,F$1)</f>
        <v>0</v>
      </c>
      <c r="G366" s="179">
        <f>SUMIFS('recurring2_based on steps'!$B366:$AY366,'recurring2_based on steps'!$B$1:$AY$1,G$1)+SUMIFS('changes2_based on steps'!$B366:$U366,'changes2_based on steps'!$B$1:$U$1,G$1)</f>
        <v>0</v>
      </c>
      <c r="H366" s="179">
        <f>SUMIFS('recurring2_based on steps'!$B366:$AY366,'recurring2_based on steps'!$B$1:$AY$1,H$1)+SUMIFS('changes2_based on steps'!$B366:$U366,'changes2_based on steps'!$B$1:$U$1,H$1)</f>
        <v>0</v>
      </c>
      <c r="I366" s="179">
        <f>SUMIFS('recurring2_based on steps'!$B366:$AY366,'recurring2_based on steps'!$B$1:$AY$1,I$1)+SUMIFS('changes2_based on steps'!$B366:$U366,'changes2_based on steps'!$B$1:$U$1,I$1)</f>
        <v>0</v>
      </c>
      <c r="J366" s="179">
        <f>SUMIFS('recurring2_based on steps'!$B366:$AY366,'recurring2_based on steps'!$B$1:$AY$1,J$1)+SUMIFS('changes2_based on steps'!$B366:$U366,'changes2_based on steps'!$B$1:$U$1,J$1)</f>
        <v>0</v>
      </c>
      <c r="K366" s="179">
        <f>SUMIFS('recurring2_based on steps'!$B366:$AY366,'recurring2_based on steps'!$B$1:$AY$1,K$1)+SUMIFS('changes2_based on steps'!$B366:$U366,'changes2_based on steps'!$B$1:$U$1,K$1)</f>
        <v>0</v>
      </c>
      <c r="L366" s="179">
        <f>SUMIFS('recurring2_based on steps'!$B366:$AY366,'recurring2_based on steps'!$B$1:$AY$1,L$1)+SUMIFS('changes2_based on steps'!$B366:$U366,'changes2_based on steps'!$B$1:$U$1,L$1)</f>
        <v>0</v>
      </c>
      <c r="M366" s="179">
        <f>SUMIFS('recurring2_based on steps'!$B366:$AY366,'recurring2_based on steps'!$B$1:$AY$1,M$1)+SUMIFS('changes2_based on steps'!$B366:$U366,'changes2_based on steps'!$B$1:$U$1,M$1)</f>
        <v>0</v>
      </c>
      <c r="N366" s="179">
        <f>SUMIFS('recurring2_based on steps'!$B366:$AY366,'recurring2_based on steps'!$B$1:$AY$1,N$1)+SUMIFS('changes2_based on steps'!$B366:$U366,'changes2_based on steps'!$B$1:$U$1,N$1)</f>
        <v>0</v>
      </c>
      <c r="O366" s="179">
        <f>SUMIFS('recurring2_based on steps'!$B366:$AY366,'recurring2_based on steps'!$B$1:$AY$1,O$1)+SUMIFS('changes2_based on steps'!$B366:$U366,'changes2_based on steps'!$B$1:$U$1,O$1)</f>
        <v>0</v>
      </c>
      <c r="P366" s="179">
        <f>SUMIFS('recurring2_based on steps'!$B366:$AY366,'recurring2_based on steps'!$B$1:$AY$1,P$1)+SUMIFS('changes2_based on steps'!$B366:$U366,'changes2_based on steps'!$B$1:$U$1,P$1)</f>
        <v>0</v>
      </c>
      <c r="Q366" s="179">
        <f>SUMIFS('recurring2_based on steps'!$B366:$AY366,'recurring2_based on steps'!$B$1:$AY$1,Q$1)+SUMIFS('changes2_based on steps'!$B366:$U366,'changes2_based on steps'!$B$1:$U$1,Q$1)</f>
        <v>0</v>
      </c>
      <c r="R366" s="179">
        <f>SUMIFS('recurring2_based on steps'!$B366:$AY366,'recurring2_based on steps'!$B$1:$AY$1,R$1)+SUMIFS('changes2_based on steps'!$B366:$U366,'changes2_based on steps'!$B$1:$U$1,R$1)</f>
        <v>0</v>
      </c>
      <c r="S366" s="179">
        <f>SUMIFS('recurring2_based on steps'!$B366:$AY366,'recurring2_based on steps'!$B$1:$AY$1,S$1)+SUMIFS('changes2_based on steps'!$B366:$U366,'changes2_based on steps'!$B$1:$U$1,S$1)</f>
        <v>0</v>
      </c>
      <c r="T366" s="179">
        <f>SUMIFS('recurring2_based on steps'!$B366:$AY366,'recurring2_based on steps'!$B$1:$AY$1,T$1)+SUMIFS('changes2_based on steps'!$B366:$U366,'changes2_based on steps'!$B$1:$U$1,T$1)</f>
        <v>0</v>
      </c>
      <c r="U366" s="179">
        <f>SUMIFS('recurring2_based on steps'!$B366:$AY366,'recurring2_based on steps'!$B$1:$AY$1,U$1)+SUMIFS('changes2_based on steps'!$B366:$U366,'changes2_based on steps'!$B$1:$U$1,U$1)</f>
        <v>0</v>
      </c>
      <c r="V366" s="179">
        <f>SUMIFS('recurring2_based on steps'!$B366:$AY366,'recurring2_based on steps'!$B$1:$AY$1,V$1)+SUMIFS('changes2_based on steps'!$B366:$U366,'changes2_based on steps'!$B$1:$U$1,V$1)</f>
        <v>0</v>
      </c>
      <c r="W366" s="179">
        <f>SUMIFS('recurring2_based on steps'!$B366:$AY366,'recurring2_based on steps'!$B$1:$AY$1,W$1)+SUMIFS('changes2_based on steps'!$B366:$U366,'changes2_based on steps'!$B$1:$U$1,W$1)</f>
        <v>0</v>
      </c>
      <c r="X366" s="179">
        <f>SUMIFS('recurring2_based on steps'!$B366:$AY366,'recurring2_based on steps'!$B$1:$AY$1,X$1)+SUMIFS('changes2_based on steps'!$B366:$U366,'changes2_based on steps'!$B$1:$U$1,X$1)</f>
        <v>0</v>
      </c>
      <c r="Y366" s="179">
        <f>SUMIFS('recurring2_based on steps'!$B366:$AY366,'recurring2_based on steps'!$B$1:$AY$1,Y$1)+SUMIFS('changes2_based on steps'!$B366:$U366,'changes2_based on steps'!$B$1:$U$1,Y$1)</f>
        <v>0</v>
      </c>
      <c r="Z366" s="179">
        <f>SUMIFS('recurring2_based on steps'!$B366:$AY366,'recurring2_based on steps'!$B$1:$AY$1,Z$1)+SUMIFS('changes2_based on steps'!$B366:$U366,'changes2_based on steps'!$B$1:$U$1,Z$1)</f>
        <v>0</v>
      </c>
      <c r="AA366" s="179">
        <f>SUMIFS('recurring2_based on steps'!$B366:$AY366,'recurring2_based on steps'!$B$1:$AY$1,AA$1)+SUMIFS('changes2_based on steps'!$B366:$U366,'changes2_based on steps'!$B$1:$U$1,AA$1)</f>
        <v>0</v>
      </c>
      <c r="AB366" s="179">
        <f>SUMIFS('recurring2_based on steps'!$B366:$AY366,'recurring2_based on steps'!$B$1:$AY$1,AB$1)+SUMIFS('changes2_based on steps'!$B366:$U366,'changes2_based on steps'!$B$1:$U$1,AB$1)</f>
        <v>0</v>
      </c>
      <c r="AC366" s="179">
        <f>SUMIFS('recurring2_based on steps'!$B366:$AY366,'recurring2_based on steps'!$B$1:$AY$1,AC$1)+SUMIFS('changes2_based on steps'!$B366:$U366,'changes2_based on steps'!$B$1:$U$1,AC$1)</f>
        <v>0</v>
      </c>
      <c r="AD366" s="179">
        <f>SUMIFS('recurring2_based on steps'!$B366:$AY366,'recurring2_based on steps'!$B$1:$AY$1,AD$1)+SUMIFS('changes2_based on steps'!$B366:$U366,'changes2_based on steps'!$B$1:$U$1,AD$1)</f>
        <v>0</v>
      </c>
      <c r="AE366" s="179">
        <f>SUMIFS('recurring2_based on steps'!$B366:$AY366,'recurring2_based on steps'!$B$1:$AY$1,AE$1)+SUMIFS('changes2_based on steps'!$B366:$U366,'changes2_based on steps'!$B$1:$U$1,AE$1)</f>
        <v>0</v>
      </c>
      <c r="AF366" s="179"/>
      <c r="AG366" s="179"/>
      <c r="AH366" s="179"/>
      <c r="AI366" s="179"/>
      <c r="AJ366" s="179"/>
      <c r="AK366" s="179"/>
      <c r="AL366" s="179"/>
      <c r="AM366" s="179"/>
    </row>
    <row r="367" spans="1:39" x14ac:dyDescent="0.2">
      <c r="A367" s="32">
        <f t="shared" ca="1" si="5"/>
        <v>46109</v>
      </c>
      <c r="B367" s="179">
        <f>SUMIFS('recurring2_based on steps'!$B367:$AY367,'recurring2_based on steps'!$B$1:$AY$1,B$1)+SUMIFS('changes2_based on steps'!$B367:$U367,'changes2_based on steps'!$B$1:$U$1,B$1)</f>
        <v>0</v>
      </c>
      <c r="C367" s="179">
        <f>SUMIFS('recurring2_based on steps'!$B367:$AY367,'recurring2_based on steps'!$B$1:$AY$1,C$1)+SUMIFS('changes2_based on steps'!$B367:$U367,'changes2_based on steps'!$B$1:$U$1,C$1)</f>
        <v>0</v>
      </c>
      <c r="D367" s="179">
        <f>SUMIFS('recurring2_based on steps'!$B367:$AY367,'recurring2_based on steps'!$B$1:$AY$1,D$1)+SUMIFS('changes2_based on steps'!$B367:$U367,'changes2_based on steps'!$B$1:$U$1,D$1)</f>
        <v>0</v>
      </c>
      <c r="E367" s="179">
        <f>SUMIFS('recurring2_based on steps'!$B367:$AY367,'recurring2_based on steps'!$B$1:$AY$1,E$1)+SUMIFS('changes2_based on steps'!$B367:$U367,'changes2_based on steps'!$B$1:$U$1,E$1)</f>
        <v>0</v>
      </c>
      <c r="F367" s="179">
        <f>SUMIFS('recurring2_based on steps'!$B367:$AY367,'recurring2_based on steps'!$B$1:$AY$1,F$1)+SUMIFS('changes2_based on steps'!$B367:$U367,'changes2_based on steps'!$B$1:$U$1,F$1)</f>
        <v>0</v>
      </c>
      <c r="G367" s="179">
        <f>SUMIFS('recurring2_based on steps'!$B367:$AY367,'recurring2_based on steps'!$B$1:$AY$1,G$1)+SUMIFS('changes2_based on steps'!$B367:$U367,'changes2_based on steps'!$B$1:$U$1,G$1)</f>
        <v>0</v>
      </c>
      <c r="H367" s="179">
        <f>SUMIFS('recurring2_based on steps'!$B367:$AY367,'recurring2_based on steps'!$B$1:$AY$1,H$1)+SUMIFS('changes2_based on steps'!$B367:$U367,'changes2_based on steps'!$B$1:$U$1,H$1)</f>
        <v>0</v>
      </c>
      <c r="I367" s="179">
        <f>SUMIFS('recurring2_based on steps'!$B367:$AY367,'recurring2_based on steps'!$B$1:$AY$1,I$1)+SUMIFS('changes2_based on steps'!$B367:$U367,'changes2_based on steps'!$B$1:$U$1,I$1)</f>
        <v>0</v>
      </c>
      <c r="J367" s="179">
        <f>SUMIFS('recurring2_based on steps'!$B367:$AY367,'recurring2_based on steps'!$B$1:$AY$1,J$1)+SUMIFS('changes2_based on steps'!$B367:$U367,'changes2_based on steps'!$B$1:$U$1,J$1)</f>
        <v>0</v>
      </c>
      <c r="K367" s="179">
        <f>SUMIFS('recurring2_based on steps'!$B367:$AY367,'recurring2_based on steps'!$B$1:$AY$1,K$1)+SUMIFS('changes2_based on steps'!$B367:$U367,'changes2_based on steps'!$B$1:$U$1,K$1)</f>
        <v>0</v>
      </c>
      <c r="L367" s="179">
        <f>SUMIFS('recurring2_based on steps'!$B367:$AY367,'recurring2_based on steps'!$B$1:$AY$1,L$1)+SUMIFS('changes2_based on steps'!$B367:$U367,'changes2_based on steps'!$B$1:$U$1,L$1)</f>
        <v>0</v>
      </c>
      <c r="M367" s="179">
        <f>SUMIFS('recurring2_based on steps'!$B367:$AY367,'recurring2_based on steps'!$B$1:$AY$1,M$1)+SUMIFS('changes2_based on steps'!$B367:$U367,'changes2_based on steps'!$B$1:$U$1,M$1)</f>
        <v>0</v>
      </c>
      <c r="N367" s="179">
        <f>SUMIFS('recurring2_based on steps'!$B367:$AY367,'recurring2_based on steps'!$B$1:$AY$1,N$1)+SUMIFS('changes2_based on steps'!$B367:$U367,'changes2_based on steps'!$B$1:$U$1,N$1)</f>
        <v>0</v>
      </c>
      <c r="O367" s="179">
        <f>SUMIFS('recurring2_based on steps'!$B367:$AY367,'recurring2_based on steps'!$B$1:$AY$1,O$1)+SUMIFS('changes2_based on steps'!$B367:$U367,'changes2_based on steps'!$B$1:$U$1,O$1)</f>
        <v>0</v>
      </c>
      <c r="P367" s="179">
        <f>SUMIFS('recurring2_based on steps'!$B367:$AY367,'recurring2_based on steps'!$B$1:$AY$1,P$1)+SUMIFS('changes2_based on steps'!$B367:$U367,'changes2_based on steps'!$B$1:$U$1,P$1)</f>
        <v>0</v>
      </c>
      <c r="Q367" s="179">
        <f>SUMIFS('recurring2_based on steps'!$B367:$AY367,'recurring2_based on steps'!$B$1:$AY$1,Q$1)+SUMIFS('changes2_based on steps'!$B367:$U367,'changes2_based on steps'!$B$1:$U$1,Q$1)</f>
        <v>0</v>
      </c>
      <c r="R367" s="179">
        <f>SUMIFS('recurring2_based on steps'!$B367:$AY367,'recurring2_based on steps'!$B$1:$AY$1,R$1)+SUMIFS('changes2_based on steps'!$B367:$U367,'changes2_based on steps'!$B$1:$U$1,R$1)</f>
        <v>0</v>
      </c>
      <c r="S367" s="179">
        <f>SUMIFS('recurring2_based on steps'!$B367:$AY367,'recurring2_based on steps'!$B$1:$AY$1,S$1)+SUMIFS('changes2_based on steps'!$B367:$U367,'changes2_based on steps'!$B$1:$U$1,S$1)</f>
        <v>0</v>
      </c>
      <c r="T367" s="179">
        <f>SUMIFS('recurring2_based on steps'!$B367:$AY367,'recurring2_based on steps'!$B$1:$AY$1,T$1)+SUMIFS('changes2_based on steps'!$B367:$U367,'changes2_based on steps'!$B$1:$U$1,T$1)</f>
        <v>0</v>
      </c>
      <c r="U367" s="179">
        <f>SUMIFS('recurring2_based on steps'!$B367:$AY367,'recurring2_based on steps'!$B$1:$AY$1,U$1)+SUMIFS('changes2_based on steps'!$B367:$U367,'changes2_based on steps'!$B$1:$U$1,U$1)</f>
        <v>0</v>
      </c>
      <c r="V367" s="179">
        <f>SUMIFS('recurring2_based on steps'!$B367:$AY367,'recurring2_based on steps'!$B$1:$AY$1,V$1)+SUMIFS('changes2_based on steps'!$B367:$U367,'changes2_based on steps'!$B$1:$U$1,V$1)</f>
        <v>0</v>
      </c>
      <c r="W367" s="179">
        <f>SUMIFS('recurring2_based on steps'!$B367:$AY367,'recurring2_based on steps'!$B$1:$AY$1,W$1)+SUMIFS('changes2_based on steps'!$B367:$U367,'changes2_based on steps'!$B$1:$U$1,W$1)</f>
        <v>0</v>
      </c>
      <c r="X367" s="179">
        <f>SUMIFS('recurring2_based on steps'!$B367:$AY367,'recurring2_based on steps'!$B$1:$AY$1,X$1)+SUMIFS('changes2_based on steps'!$B367:$U367,'changes2_based on steps'!$B$1:$U$1,X$1)</f>
        <v>0</v>
      </c>
      <c r="Y367" s="179">
        <f>SUMIFS('recurring2_based on steps'!$B367:$AY367,'recurring2_based on steps'!$B$1:$AY$1,Y$1)+SUMIFS('changes2_based on steps'!$B367:$U367,'changes2_based on steps'!$B$1:$U$1,Y$1)</f>
        <v>0</v>
      </c>
      <c r="Z367" s="179">
        <f>SUMIFS('recurring2_based on steps'!$B367:$AY367,'recurring2_based on steps'!$B$1:$AY$1,Z$1)+SUMIFS('changes2_based on steps'!$B367:$U367,'changes2_based on steps'!$B$1:$U$1,Z$1)</f>
        <v>0</v>
      </c>
      <c r="AA367" s="179">
        <f>SUMIFS('recurring2_based on steps'!$B367:$AY367,'recurring2_based on steps'!$B$1:$AY$1,AA$1)+SUMIFS('changes2_based on steps'!$B367:$U367,'changes2_based on steps'!$B$1:$U$1,AA$1)</f>
        <v>0</v>
      </c>
      <c r="AB367" s="179">
        <f>SUMIFS('recurring2_based on steps'!$B367:$AY367,'recurring2_based on steps'!$B$1:$AY$1,AB$1)+SUMIFS('changes2_based on steps'!$B367:$U367,'changes2_based on steps'!$B$1:$U$1,AB$1)</f>
        <v>0</v>
      </c>
      <c r="AC367" s="179">
        <f>SUMIFS('recurring2_based on steps'!$B367:$AY367,'recurring2_based on steps'!$B$1:$AY$1,AC$1)+SUMIFS('changes2_based on steps'!$B367:$U367,'changes2_based on steps'!$B$1:$U$1,AC$1)</f>
        <v>0</v>
      </c>
      <c r="AD367" s="179">
        <f>SUMIFS('recurring2_based on steps'!$B367:$AY367,'recurring2_based on steps'!$B$1:$AY$1,AD$1)+SUMIFS('changes2_based on steps'!$B367:$U367,'changes2_based on steps'!$B$1:$U$1,AD$1)</f>
        <v>0</v>
      </c>
      <c r="AE367" s="179">
        <f>SUMIFS('recurring2_based on steps'!$B367:$AY367,'recurring2_based on steps'!$B$1:$AY$1,AE$1)+SUMIFS('changes2_based on steps'!$B367:$U367,'changes2_based on steps'!$B$1:$U$1,AE$1)</f>
        <v>0</v>
      </c>
      <c r="AF367" s="179"/>
      <c r="AG367" s="179"/>
      <c r="AH367" s="179"/>
      <c r="AI367" s="179"/>
      <c r="AJ367" s="179"/>
      <c r="AK367" s="179"/>
      <c r="AL367" s="179"/>
      <c r="AM367" s="179"/>
    </row>
    <row r="368" spans="1:39" x14ac:dyDescent="0.2">
      <c r="A368" s="32">
        <f t="shared" ca="1" si="5"/>
        <v>46110</v>
      </c>
      <c r="B368" s="179">
        <f>SUMIFS('recurring2_based on steps'!$B368:$AY368,'recurring2_based on steps'!$B$1:$AY$1,B$1)+SUMIFS('changes2_based on steps'!$B368:$U368,'changes2_based on steps'!$B$1:$U$1,B$1)</f>
        <v>0</v>
      </c>
      <c r="C368" s="179">
        <f>SUMIFS('recurring2_based on steps'!$B368:$AY368,'recurring2_based on steps'!$B$1:$AY$1,C$1)+SUMIFS('changes2_based on steps'!$B368:$U368,'changes2_based on steps'!$B$1:$U$1,C$1)</f>
        <v>0</v>
      </c>
      <c r="D368" s="179">
        <f>SUMIFS('recurring2_based on steps'!$B368:$AY368,'recurring2_based on steps'!$B$1:$AY$1,D$1)+SUMIFS('changes2_based on steps'!$B368:$U368,'changes2_based on steps'!$B$1:$U$1,D$1)</f>
        <v>0</v>
      </c>
      <c r="E368" s="179">
        <f>SUMIFS('recurring2_based on steps'!$B368:$AY368,'recurring2_based on steps'!$B$1:$AY$1,E$1)+SUMIFS('changes2_based on steps'!$B368:$U368,'changes2_based on steps'!$B$1:$U$1,E$1)</f>
        <v>0</v>
      </c>
      <c r="F368" s="179">
        <f>SUMIFS('recurring2_based on steps'!$B368:$AY368,'recurring2_based on steps'!$B$1:$AY$1,F$1)+SUMIFS('changes2_based on steps'!$B368:$U368,'changes2_based on steps'!$B$1:$U$1,F$1)</f>
        <v>0</v>
      </c>
      <c r="G368" s="179">
        <f>SUMIFS('recurring2_based on steps'!$B368:$AY368,'recurring2_based on steps'!$B$1:$AY$1,G$1)+SUMIFS('changes2_based on steps'!$B368:$U368,'changes2_based on steps'!$B$1:$U$1,G$1)</f>
        <v>0</v>
      </c>
      <c r="H368" s="179">
        <f>SUMIFS('recurring2_based on steps'!$B368:$AY368,'recurring2_based on steps'!$B$1:$AY$1,H$1)+SUMIFS('changes2_based on steps'!$B368:$U368,'changes2_based on steps'!$B$1:$U$1,H$1)</f>
        <v>0</v>
      </c>
      <c r="I368" s="179">
        <f>SUMIFS('recurring2_based on steps'!$B368:$AY368,'recurring2_based on steps'!$B$1:$AY$1,I$1)+SUMIFS('changes2_based on steps'!$B368:$U368,'changes2_based on steps'!$B$1:$U$1,I$1)</f>
        <v>0</v>
      </c>
      <c r="J368" s="179">
        <f>SUMIFS('recurring2_based on steps'!$B368:$AY368,'recurring2_based on steps'!$B$1:$AY$1,J$1)+SUMIFS('changes2_based on steps'!$B368:$U368,'changes2_based on steps'!$B$1:$U$1,J$1)</f>
        <v>0</v>
      </c>
      <c r="K368" s="179">
        <f>SUMIFS('recurring2_based on steps'!$B368:$AY368,'recurring2_based on steps'!$B$1:$AY$1,K$1)+SUMIFS('changes2_based on steps'!$B368:$U368,'changes2_based on steps'!$B$1:$U$1,K$1)</f>
        <v>0</v>
      </c>
      <c r="L368" s="179">
        <f>SUMIFS('recurring2_based on steps'!$B368:$AY368,'recurring2_based on steps'!$B$1:$AY$1,L$1)+SUMIFS('changes2_based on steps'!$B368:$U368,'changes2_based on steps'!$B$1:$U$1,L$1)</f>
        <v>0</v>
      </c>
      <c r="M368" s="179">
        <f>SUMIFS('recurring2_based on steps'!$B368:$AY368,'recurring2_based on steps'!$B$1:$AY$1,M$1)+SUMIFS('changes2_based on steps'!$B368:$U368,'changes2_based on steps'!$B$1:$U$1,M$1)</f>
        <v>0</v>
      </c>
      <c r="N368" s="179">
        <f>SUMIFS('recurring2_based on steps'!$B368:$AY368,'recurring2_based on steps'!$B$1:$AY$1,N$1)+SUMIFS('changes2_based on steps'!$B368:$U368,'changes2_based on steps'!$B$1:$U$1,N$1)</f>
        <v>0</v>
      </c>
      <c r="O368" s="179">
        <f>SUMIFS('recurring2_based on steps'!$B368:$AY368,'recurring2_based on steps'!$B$1:$AY$1,O$1)+SUMIFS('changes2_based on steps'!$B368:$U368,'changes2_based on steps'!$B$1:$U$1,O$1)</f>
        <v>0</v>
      </c>
      <c r="P368" s="179">
        <f>SUMIFS('recurring2_based on steps'!$B368:$AY368,'recurring2_based on steps'!$B$1:$AY$1,P$1)+SUMIFS('changes2_based on steps'!$B368:$U368,'changes2_based on steps'!$B$1:$U$1,P$1)</f>
        <v>0</v>
      </c>
      <c r="Q368" s="179">
        <f>SUMIFS('recurring2_based on steps'!$B368:$AY368,'recurring2_based on steps'!$B$1:$AY$1,Q$1)+SUMIFS('changes2_based on steps'!$B368:$U368,'changes2_based on steps'!$B$1:$U$1,Q$1)</f>
        <v>0</v>
      </c>
      <c r="R368" s="179">
        <f>SUMIFS('recurring2_based on steps'!$B368:$AY368,'recurring2_based on steps'!$B$1:$AY$1,R$1)+SUMIFS('changes2_based on steps'!$B368:$U368,'changes2_based on steps'!$B$1:$U$1,R$1)</f>
        <v>0</v>
      </c>
      <c r="S368" s="179">
        <f>SUMIFS('recurring2_based on steps'!$B368:$AY368,'recurring2_based on steps'!$B$1:$AY$1,S$1)+SUMIFS('changes2_based on steps'!$B368:$U368,'changes2_based on steps'!$B$1:$U$1,S$1)</f>
        <v>0</v>
      </c>
      <c r="T368" s="179">
        <f>SUMIFS('recurring2_based on steps'!$B368:$AY368,'recurring2_based on steps'!$B$1:$AY$1,T$1)+SUMIFS('changes2_based on steps'!$B368:$U368,'changes2_based on steps'!$B$1:$U$1,T$1)</f>
        <v>0</v>
      </c>
      <c r="U368" s="179">
        <f>SUMIFS('recurring2_based on steps'!$B368:$AY368,'recurring2_based on steps'!$B$1:$AY$1,U$1)+SUMIFS('changes2_based on steps'!$B368:$U368,'changes2_based on steps'!$B$1:$U$1,U$1)</f>
        <v>0</v>
      </c>
      <c r="V368" s="179">
        <f>SUMIFS('recurring2_based on steps'!$B368:$AY368,'recurring2_based on steps'!$B$1:$AY$1,V$1)+SUMIFS('changes2_based on steps'!$B368:$U368,'changes2_based on steps'!$B$1:$U$1,V$1)</f>
        <v>0</v>
      </c>
      <c r="W368" s="179">
        <f>SUMIFS('recurring2_based on steps'!$B368:$AY368,'recurring2_based on steps'!$B$1:$AY$1,W$1)+SUMIFS('changes2_based on steps'!$B368:$U368,'changes2_based on steps'!$B$1:$U$1,W$1)</f>
        <v>0</v>
      </c>
      <c r="X368" s="179">
        <f>SUMIFS('recurring2_based on steps'!$B368:$AY368,'recurring2_based on steps'!$B$1:$AY$1,X$1)+SUMIFS('changes2_based on steps'!$B368:$U368,'changes2_based on steps'!$B$1:$U$1,X$1)</f>
        <v>0</v>
      </c>
      <c r="Y368" s="179">
        <f>SUMIFS('recurring2_based on steps'!$B368:$AY368,'recurring2_based on steps'!$B$1:$AY$1,Y$1)+SUMIFS('changes2_based on steps'!$B368:$U368,'changes2_based on steps'!$B$1:$U$1,Y$1)</f>
        <v>0</v>
      </c>
      <c r="Z368" s="179">
        <f>SUMIFS('recurring2_based on steps'!$B368:$AY368,'recurring2_based on steps'!$B$1:$AY$1,Z$1)+SUMIFS('changes2_based on steps'!$B368:$U368,'changes2_based on steps'!$B$1:$U$1,Z$1)</f>
        <v>0</v>
      </c>
      <c r="AA368" s="179">
        <f>SUMIFS('recurring2_based on steps'!$B368:$AY368,'recurring2_based on steps'!$B$1:$AY$1,AA$1)+SUMIFS('changes2_based on steps'!$B368:$U368,'changes2_based on steps'!$B$1:$U$1,AA$1)</f>
        <v>0</v>
      </c>
      <c r="AB368" s="179">
        <f>SUMIFS('recurring2_based on steps'!$B368:$AY368,'recurring2_based on steps'!$B$1:$AY$1,AB$1)+SUMIFS('changes2_based on steps'!$B368:$U368,'changes2_based on steps'!$B$1:$U$1,AB$1)</f>
        <v>0</v>
      </c>
      <c r="AC368" s="179">
        <f>SUMIFS('recurring2_based on steps'!$B368:$AY368,'recurring2_based on steps'!$B$1:$AY$1,AC$1)+SUMIFS('changes2_based on steps'!$B368:$U368,'changes2_based on steps'!$B$1:$U$1,AC$1)</f>
        <v>0</v>
      </c>
      <c r="AD368" s="179">
        <f>SUMIFS('recurring2_based on steps'!$B368:$AY368,'recurring2_based on steps'!$B$1:$AY$1,AD$1)+SUMIFS('changes2_based on steps'!$B368:$U368,'changes2_based on steps'!$B$1:$U$1,AD$1)</f>
        <v>0</v>
      </c>
      <c r="AE368" s="179">
        <f>SUMIFS('recurring2_based on steps'!$B368:$AY368,'recurring2_based on steps'!$B$1:$AY$1,AE$1)+SUMIFS('changes2_based on steps'!$B368:$U368,'changes2_based on steps'!$B$1:$U$1,AE$1)</f>
        <v>0</v>
      </c>
      <c r="AF368" s="179"/>
      <c r="AG368" s="179"/>
      <c r="AH368" s="179"/>
      <c r="AI368" s="179"/>
      <c r="AJ368" s="179"/>
      <c r="AK368" s="179"/>
      <c r="AL368" s="179"/>
      <c r="AM368" s="179"/>
    </row>
    <row r="369" spans="1:39" x14ac:dyDescent="0.2">
      <c r="A369" s="32">
        <f t="shared" ca="1" si="5"/>
        <v>46111</v>
      </c>
      <c r="B369" s="179">
        <f>SUMIFS('recurring2_based on steps'!$B369:$AY369,'recurring2_based on steps'!$B$1:$AY$1,B$1)+SUMIFS('changes2_based on steps'!$B369:$U369,'changes2_based on steps'!$B$1:$U$1,B$1)</f>
        <v>0</v>
      </c>
      <c r="C369" s="179">
        <f>SUMIFS('recurring2_based on steps'!$B369:$AY369,'recurring2_based on steps'!$B$1:$AY$1,C$1)+SUMIFS('changes2_based on steps'!$B369:$U369,'changes2_based on steps'!$B$1:$U$1,C$1)</f>
        <v>0</v>
      </c>
      <c r="D369" s="179">
        <f>SUMIFS('recurring2_based on steps'!$B369:$AY369,'recurring2_based on steps'!$B$1:$AY$1,D$1)+SUMIFS('changes2_based on steps'!$B369:$U369,'changes2_based on steps'!$B$1:$U$1,D$1)</f>
        <v>0</v>
      </c>
      <c r="E369" s="179">
        <f>SUMIFS('recurring2_based on steps'!$B369:$AY369,'recurring2_based on steps'!$B$1:$AY$1,E$1)+SUMIFS('changes2_based on steps'!$B369:$U369,'changes2_based on steps'!$B$1:$U$1,E$1)</f>
        <v>0</v>
      </c>
      <c r="F369" s="179">
        <f>SUMIFS('recurring2_based on steps'!$B369:$AY369,'recurring2_based on steps'!$B$1:$AY$1,F$1)+SUMIFS('changes2_based on steps'!$B369:$U369,'changes2_based on steps'!$B$1:$U$1,F$1)</f>
        <v>0</v>
      </c>
      <c r="G369" s="179">
        <f>SUMIFS('recurring2_based on steps'!$B369:$AY369,'recurring2_based on steps'!$B$1:$AY$1,G$1)+SUMIFS('changes2_based on steps'!$B369:$U369,'changes2_based on steps'!$B$1:$U$1,G$1)</f>
        <v>0</v>
      </c>
      <c r="H369" s="179">
        <f>SUMIFS('recurring2_based on steps'!$B369:$AY369,'recurring2_based on steps'!$B$1:$AY$1,H$1)+SUMIFS('changes2_based on steps'!$B369:$U369,'changes2_based on steps'!$B$1:$U$1,H$1)</f>
        <v>0</v>
      </c>
      <c r="I369" s="179">
        <f>SUMIFS('recurring2_based on steps'!$B369:$AY369,'recurring2_based on steps'!$B$1:$AY$1,I$1)+SUMIFS('changes2_based on steps'!$B369:$U369,'changes2_based on steps'!$B$1:$U$1,I$1)</f>
        <v>0</v>
      </c>
      <c r="J369" s="179">
        <f>SUMIFS('recurring2_based on steps'!$B369:$AY369,'recurring2_based on steps'!$B$1:$AY$1,J$1)+SUMIFS('changes2_based on steps'!$B369:$U369,'changes2_based on steps'!$B$1:$U$1,J$1)</f>
        <v>0</v>
      </c>
      <c r="K369" s="179">
        <f>SUMIFS('recurring2_based on steps'!$B369:$AY369,'recurring2_based on steps'!$B$1:$AY$1,K$1)+SUMIFS('changes2_based on steps'!$B369:$U369,'changes2_based on steps'!$B$1:$U$1,K$1)</f>
        <v>0</v>
      </c>
      <c r="L369" s="179">
        <f>SUMIFS('recurring2_based on steps'!$B369:$AY369,'recurring2_based on steps'!$B$1:$AY$1,L$1)+SUMIFS('changes2_based on steps'!$B369:$U369,'changes2_based on steps'!$B$1:$U$1,L$1)</f>
        <v>0</v>
      </c>
      <c r="M369" s="179">
        <f>SUMIFS('recurring2_based on steps'!$B369:$AY369,'recurring2_based on steps'!$B$1:$AY$1,M$1)+SUMIFS('changes2_based on steps'!$B369:$U369,'changes2_based on steps'!$B$1:$U$1,M$1)</f>
        <v>0</v>
      </c>
      <c r="N369" s="179">
        <f>SUMIFS('recurring2_based on steps'!$B369:$AY369,'recurring2_based on steps'!$B$1:$AY$1,N$1)+SUMIFS('changes2_based on steps'!$B369:$U369,'changes2_based on steps'!$B$1:$U$1,N$1)</f>
        <v>0</v>
      </c>
      <c r="O369" s="179">
        <f>SUMIFS('recurring2_based on steps'!$B369:$AY369,'recurring2_based on steps'!$B$1:$AY$1,O$1)+SUMIFS('changes2_based on steps'!$B369:$U369,'changes2_based on steps'!$B$1:$U$1,O$1)</f>
        <v>0</v>
      </c>
      <c r="P369" s="179">
        <f>SUMIFS('recurring2_based on steps'!$B369:$AY369,'recurring2_based on steps'!$B$1:$AY$1,P$1)+SUMIFS('changes2_based on steps'!$B369:$U369,'changes2_based on steps'!$B$1:$U$1,P$1)</f>
        <v>0</v>
      </c>
      <c r="Q369" s="179">
        <f>SUMIFS('recurring2_based on steps'!$B369:$AY369,'recurring2_based on steps'!$B$1:$AY$1,Q$1)+SUMIFS('changes2_based on steps'!$B369:$U369,'changes2_based on steps'!$B$1:$U$1,Q$1)</f>
        <v>0</v>
      </c>
      <c r="R369" s="179">
        <f>SUMIFS('recurring2_based on steps'!$B369:$AY369,'recurring2_based on steps'!$B$1:$AY$1,R$1)+SUMIFS('changes2_based on steps'!$B369:$U369,'changes2_based on steps'!$B$1:$U$1,R$1)</f>
        <v>0</v>
      </c>
      <c r="S369" s="179">
        <f>SUMIFS('recurring2_based on steps'!$B369:$AY369,'recurring2_based on steps'!$B$1:$AY$1,S$1)+SUMIFS('changes2_based on steps'!$B369:$U369,'changes2_based on steps'!$B$1:$U$1,S$1)</f>
        <v>0</v>
      </c>
      <c r="T369" s="179">
        <f>SUMIFS('recurring2_based on steps'!$B369:$AY369,'recurring2_based on steps'!$B$1:$AY$1,T$1)+SUMIFS('changes2_based on steps'!$B369:$U369,'changes2_based on steps'!$B$1:$U$1,T$1)</f>
        <v>0</v>
      </c>
      <c r="U369" s="179">
        <f>SUMIFS('recurring2_based on steps'!$B369:$AY369,'recurring2_based on steps'!$B$1:$AY$1,U$1)+SUMIFS('changes2_based on steps'!$B369:$U369,'changes2_based on steps'!$B$1:$U$1,U$1)</f>
        <v>0</v>
      </c>
      <c r="V369" s="179">
        <f>SUMIFS('recurring2_based on steps'!$B369:$AY369,'recurring2_based on steps'!$B$1:$AY$1,V$1)+SUMIFS('changes2_based on steps'!$B369:$U369,'changes2_based on steps'!$B$1:$U$1,V$1)</f>
        <v>0</v>
      </c>
      <c r="W369" s="179">
        <f>SUMIFS('recurring2_based on steps'!$B369:$AY369,'recurring2_based on steps'!$B$1:$AY$1,W$1)+SUMIFS('changes2_based on steps'!$B369:$U369,'changes2_based on steps'!$B$1:$U$1,W$1)</f>
        <v>0</v>
      </c>
      <c r="X369" s="179">
        <f>SUMIFS('recurring2_based on steps'!$B369:$AY369,'recurring2_based on steps'!$B$1:$AY$1,X$1)+SUMIFS('changes2_based on steps'!$B369:$U369,'changes2_based on steps'!$B$1:$U$1,X$1)</f>
        <v>0</v>
      </c>
      <c r="Y369" s="179">
        <f>SUMIFS('recurring2_based on steps'!$B369:$AY369,'recurring2_based on steps'!$B$1:$AY$1,Y$1)+SUMIFS('changes2_based on steps'!$B369:$U369,'changes2_based on steps'!$B$1:$U$1,Y$1)</f>
        <v>0</v>
      </c>
      <c r="Z369" s="179">
        <f>SUMIFS('recurring2_based on steps'!$B369:$AY369,'recurring2_based on steps'!$B$1:$AY$1,Z$1)+SUMIFS('changes2_based on steps'!$B369:$U369,'changes2_based on steps'!$B$1:$U$1,Z$1)</f>
        <v>0</v>
      </c>
      <c r="AA369" s="179">
        <f>SUMIFS('recurring2_based on steps'!$B369:$AY369,'recurring2_based on steps'!$B$1:$AY$1,AA$1)+SUMIFS('changes2_based on steps'!$B369:$U369,'changes2_based on steps'!$B$1:$U$1,AA$1)</f>
        <v>0</v>
      </c>
      <c r="AB369" s="179">
        <f>SUMIFS('recurring2_based on steps'!$B369:$AY369,'recurring2_based on steps'!$B$1:$AY$1,AB$1)+SUMIFS('changes2_based on steps'!$B369:$U369,'changes2_based on steps'!$B$1:$U$1,AB$1)</f>
        <v>0</v>
      </c>
      <c r="AC369" s="179">
        <f>SUMIFS('recurring2_based on steps'!$B369:$AY369,'recurring2_based on steps'!$B$1:$AY$1,AC$1)+SUMIFS('changes2_based on steps'!$B369:$U369,'changes2_based on steps'!$B$1:$U$1,AC$1)</f>
        <v>0</v>
      </c>
      <c r="AD369" s="179">
        <f>SUMIFS('recurring2_based on steps'!$B369:$AY369,'recurring2_based on steps'!$B$1:$AY$1,AD$1)+SUMIFS('changes2_based on steps'!$B369:$U369,'changes2_based on steps'!$B$1:$U$1,AD$1)</f>
        <v>0</v>
      </c>
      <c r="AE369" s="179">
        <f>SUMIFS('recurring2_based on steps'!$B369:$AY369,'recurring2_based on steps'!$B$1:$AY$1,AE$1)+SUMIFS('changes2_based on steps'!$B369:$U369,'changes2_based on steps'!$B$1:$U$1,AE$1)</f>
        <v>0</v>
      </c>
      <c r="AF369" s="179"/>
      <c r="AG369" s="179"/>
      <c r="AH369" s="179"/>
      <c r="AI369" s="179"/>
      <c r="AJ369" s="179"/>
      <c r="AK369" s="179"/>
      <c r="AL369" s="179"/>
      <c r="AM369" s="179"/>
    </row>
    <row r="370" spans="1:39"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row>
    <row r="371" spans="1:39"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row>
    <row r="372" spans="1:39"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row>
    <row r="373" spans="1:39"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row>
    <row r="374" spans="1:39"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row>
    <row r="375" spans="1:39"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row>
    <row r="376" spans="1:39"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row>
    <row r="377" spans="1:39"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row>
    <row r="378" spans="1:39"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c r="AK378" s="32"/>
      <c r="AL378" s="32"/>
    </row>
    <row r="379" spans="1:39"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c r="AK379" s="32"/>
      <c r="AL379" s="32"/>
    </row>
    <row r="380" spans="1:39"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c r="AK380" s="32"/>
      <c r="AL380" s="32"/>
    </row>
    <row r="381" spans="1:39"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row>
    <row r="382" spans="1:39"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row>
    <row r="383" spans="1:39"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c r="AK383" s="32"/>
      <c r="AL383" s="32"/>
    </row>
    <row r="384" spans="1:39"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c r="AK384" s="32"/>
      <c r="AL384" s="32"/>
    </row>
    <row r="385" spans="2:38"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row>
    <row r="386" spans="2:38"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row>
    <row r="387" spans="2:38"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row>
    <row r="388" spans="2:38"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row>
    <row r="389" spans="2:38"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row>
    <row r="390" spans="2:38"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row>
    <row r="391" spans="2:38"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row>
    <row r="392" spans="2:38"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row>
    <row r="393" spans="2:38"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c r="AK393" s="32"/>
      <c r="AL393" s="32"/>
    </row>
    <row r="394" spans="2:38"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c r="AK394" s="32"/>
      <c r="AL394" s="32"/>
    </row>
    <row r="395" spans="2:38"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c r="AK395" s="32"/>
      <c r="AL395" s="32"/>
    </row>
    <row r="396" spans="2:38"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row>
    <row r="397" spans="2:38"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row>
    <row r="398" spans="2:38"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c r="AK398" s="32"/>
      <c r="AL398" s="32"/>
    </row>
    <row r="399" spans="2:38"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c r="AK399" s="32"/>
      <c r="AL399" s="32"/>
    </row>
    <row r="400" spans="2:38"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c r="AK400" s="32"/>
      <c r="AL400" s="32"/>
    </row>
    <row r="401" spans="2:38"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row>
    <row r="402" spans="2:38"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row>
    <row r="403" spans="2:38"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c r="AK403" s="32"/>
      <c r="AL403" s="32"/>
    </row>
    <row r="404" spans="2:38"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c r="AK404" s="32"/>
      <c r="AL404" s="32"/>
    </row>
    <row r="405" spans="2:38"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c r="AK405" s="32"/>
      <c r="AL405" s="32"/>
    </row>
    <row r="406" spans="2:38"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row>
    <row r="407" spans="2:38"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row>
    <row r="408" spans="2:38"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c r="AK408" s="32"/>
      <c r="AL408" s="32"/>
    </row>
    <row r="409" spans="2:38"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c r="AK409" s="32"/>
      <c r="AL409" s="32"/>
    </row>
    <row r="410" spans="2:38"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c r="AK410" s="32"/>
      <c r="AL410" s="32"/>
    </row>
    <row r="411" spans="2:38"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row>
    <row r="412" spans="2:38"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row>
    <row r="413" spans="2:38"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c r="AK413" s="32"/>
      <c r="AL413" s="32"/>
    </row>
    <row r="414" spans="2:38"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c r="AK414" s="32"/>
      <c r="AL414" s="32"/>
    </row>
    <row r="415" spans="2:38"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row>
    <row r="416" spans="2:38"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row>
    <row r="417" spans="2:38"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row>
    <row r="418" spans="2:38"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row>
    <row r="419" spans="2:38"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c r="AK419" s="32"/>
      <c r="AL419" s="32"/>
    </row>
    <row r="420" spans="2:38"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c r="AK420" s="32"/>
      <c r="AL420" s="32"/>
    </row>
    <row r="421" spans="2:38"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row>
    <row r="422" spans="2:38"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row>
    <row r="423" spans="2:38"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c r="AK423" s="32"/>
      <c r="AL423" s="32"/>
    </row>
    <row r="424" spans="2:38"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c r="AK424" s="32"/>
      <c r="AL424" s="32"/>
    </row>
    <row r="425" spans="2:38"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c r="AK425" s="32"/>
      <c r="AL425" s="32"/>
    </row>
    <row r="426" spans="2:38"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row>
    <row r="427" spans="2:38"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row>
    <row r="428" spans="2:38"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c r="AK428" s="32"/>
      <c r="AL428" s="32"/>
    </row>
    <row r="429" spans="2:38"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c r="AK429" s="32"/>
      <c r="AL429" s="32"/>
    </row>
    <row r="430" spans="2:38"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row>
    <row r="431" spans="2:38"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row>
    <row r="432" spans="2:38"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row>
    <row r="433" spans="2:38"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c r="AK433" s="32"/>
      <c r="AL433" s="32"/>
    </row>
    <row r="434" spans="2:38"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c r="AK434" s="32"/>
      <c r="AL434" s="32"/>
    </row>
    <row r="435" spans="2:38"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row>
    <row r="436" spans="2:38"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row>
    <row r="437" spans="2:38"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row>
    <row r="438" spans="2:38"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c r="AK438" s="32"/>
      <c r="AL438" s="32"/>
    </row>
    <row r="439" spans="2:38"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c r="AK439" s="32"/>
      <c r="AL439" s="32"/>
    </row>
    <row r="440" spans="2:38"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c r="AK440" s="32"/>
      <c r="AL440" s="32"/>
    </row>
    <row r="441" spans="2:38"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row>
    <row r="442" spans="2:38"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row>
    <row r="443" spans="2:38"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c r="AK443" s="32"/>
      <c r="AL443" s="32"/>
    </row>
    <row r="444" spans="2:38"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c r="AK444" s="32"/>
      <c r="AL444" s="32"/>
    </row>
    <row r="445" spans="2:38"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c r="AK445" s="32"/>
      <c r="AL445" s="32"/>
    </row>
    <row r="446" spans="2:38"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row>
    <row r="447" spans="2:38"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row>
    <row r="448" spans="2:38"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c r="AK448" s="32"/>
      <c r="AL448" s="32"/>
    </row>
    <row r="449" spans="2:38"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c r="AK449" s="32"/>
      <c r="AL449" s="32"/>
    </row>
    <row r="450" spans="2:38"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c r="AK450" s="32"/>
      <c r="AL450" s="32"/>
    </row>
    <row r="451" spans="2:38"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row>
    <row r="452" spans="2:38"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row>
    <row r="453" spans="2:38"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c r="AK453" s="32"/>
      <c r="AL453" s="32"/>
    </row>
    <row r="454" spans="2:38"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c r="AK454" s="32"/>
      <c r="AL454" s="32"/>
    </row>
    <row r="455" spans="2:38"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c r="AK455" s="32"/>
      <c r="AL455" s="32"/>
    </row>
    <row r="456" spans="2:38"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row>
    <row r="457" spans="2:38"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row>
    <row r="458" spans="2:38"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c r="AK458" s="32"/>
      <c r="AL458" s="32"/>
    </row>
    <row r="459" spans="2:38"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c r="AK459" s="32"/>
      <c r="AL459" s="32"/>
    </row>
    <row r="460" spans="2:38"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c r="AK460" s="32"/>
      <c r="AL460" s="32"/>
    </row>
    <row r="461" spans="2:38"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row>
    <row r="462" spans="2:38"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row>
    <row r="463" spans="2:38"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c r="AK463" s="32"/>
      <c r="AL463" s="32"/>
    </row>
    <row r="464" spans="2:38"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c r="AK464" s="32"/>
      <c r="AL464" s="32"/>
    </row>
    <row r="465" spans="2:38"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c r="AK465" s="32"/>
      <c r="AL465" s="32"/>
    </row>
    <row r="466" spans="2:38"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row>
    <row r="467" spans="2:38"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row>
    <row r="468" spans="2:38"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c r="AK468" s="32"/>
      <c r="AL468" s="32"/>
    </row>
    <row r="469" spans="2:38"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c r="AK469" s="32"/>
      <c r="AL469" s="32"/>
    </row>
    <row r="470" spans="2:38"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c r="AK470" s="32"/>
      <c r="AL470" s="32"/>
    </row>
    <row r="471" spans="2:38"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row>
    <row r="472" spans="2:38"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row>
    <row r="473" spans="2:38"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c r="AK473" s="32"/>
      <c r="AL473" s="32"/>
    </row>
    <row r="474" spans="2:38"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c r="AK474" s="32"/>
      <c r="AL474" s="32"/>
    </row>
    <row r="475" spans="2:38"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row>
    <row r="476" spans="2:38"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row>
    <row r="477" spans="2:38"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row>
    <row r="478" spans="2:38"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c r="AK478" s="32"/>
      <c r="AL478" s="32"/>
    </row>
    <row r="479" spans="2:38"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c r="AK479" s="32"/>
      <c r="AL479" s="32"/>
    </row>
    <row r="480" spans="2:38"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row>
    <row r="481" spans="2:38"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row>
    <row r="482" spans="2:38"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row>
    <row r="483" spans="2:38"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c r="AK483" s="32"/>
      <c r="AL483" s="32"/>
    </row>
    <row r="484" spans="2:38"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c r="AK484" s="32"/>
      <c r="AL484" s="32"/>
    </row>
    <row r="485" spans="2:38"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c r="AK485" s="32"/>
      <c r="AL485" s="32"/>
    </row>
    <row r="486" spans="2:38"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row>
    <row r="487" spans="2:38"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row>
    <row r="488" spans="2:38"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c r="AK488" s="32"/>
      <c r="AL488" s="32"/>
    </row>
    <row r="489" spans="2:38"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c r="AK489" s="32"/>
      <c r="AL489" s="32"/>
    </row>
    <row r="490" spans="2:38"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c r="AK490" s="32"/>
      <c r="AL490" s="32"/>
    </row>
    <row r="491" spans="2:38"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row>
    <row r="492" spans="2:38"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row>
    <row r="493" spans="2:38"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c r="AK493" s="32"/>
      <c r="AL493" s="32"/>
    </row>
    <row r="494" spans="2:38"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c r="AK494" s="32"/>
      <c r="AL494" s="32"/>
    </row>
    <row r="495" spans="2:38"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c r="AK495" s="32"/>
      <c r="AL495" s="32"/>
    </row>
    <row r="496" spans="2:38"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row>
    <row r="497" spans="2:38"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row>
    <row r="498" spans="2:38"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c r="AK498" s="32"/>
      <c r="AL498" s="32"/>
    </row>
    <row r="499" spans="2:38"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c r="AK499" s="32"/>
      <c r="AL499" s="32"/>
    </row>
    <row r="500" spans="2:38"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c r="AK500" s="32"/>
      <c r="AL500" s="32"/>
    </row>
    <row r="501" spans="2:38"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row>
    <row r="502" spans="2:38"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row>
    <row r="503" spans="2:38"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c r="AK503" s="32"/>
      <c r="AL503" s="32"/>
    </row>
    <row r="504" spans="2:38"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c r="AK504" s="32"/>
      <c r="AL504" s="32"/>
    </row>
    <row r="505" spans="2:38"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c r="AK505" s="32"/>
      <c r="AL505" s="32"/>
    </row>
    <row r="506" spans="2:38"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c r="AK506" s="32"/>
      <c r="AL506" s="32"/>
    </row>
    <row r="507" spans="2:38"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c r="AK507" s="32"/>
      <c r="AL507" s="32"/>
    </row>
    <row r="508" spans="2:38"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c r="AK508" s="32"/>
      <c r="AL508" s="32"/>
    </row>
    <row r="509" spans="2:38"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c r="AK509" s="32"/>
      <c r="AL509" s="32"/>
    </row>
    <row r="510" spans="2:38"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c r="AK510" s="32"/>
      <c r="AL510" s="32"/>
    </row>
    <row r="511" spans="2:38"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c r="AK511" s="32"/>
      <c r="AL511" s="32"/>
    </row>
    <row r="512" spans="2:38"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c r="AK512" s="32"/>
      <c r="AL512" s="32"/>
    </row>
    <row r="513" spans="2:38"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c r="AK513" s="32"/>
      <c r="AL513" s="32"/>
    </row>
    <row r="514" spans="2:38"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c r="AK514" s="32"/>
      <c r="AL514" s="32"/>
    </row>
    <row r="515" spans="2:38"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c r="AK515" s="32"/>
      <c r="AL515" s="32"/>
    </row>
    <row r="516" spans="2:38"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c r="AK516" s="32"/>
      <c r="AL516" s="32"/>
    </row>
    <row r="517" spans="2:38"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c r="AK517" s="32"/>
      <c r="AL517" s="32"/>
    </row>
    <row r="518" spans="2:38"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c r="AK518" s="32"/>
      <c r="AL518" s="32"/>
    </row>
    <row r="519" spans="2:38"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c r="AK519" s="32"/>
      <c r="AL519" s="32"/>
    </row>
    <row r="520" spans="2:38"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c r="AK520" s="32"/>
      <c r="AL520" s="32"/>
    </row>
    <row r="521" spans="2:38"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c r="AK521" s="32"/>
      <c r="AL521" s="32"/>
    </row>
    <row r="522" spans="2:38"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c r="AK522" s="32"/>
      <c r="AL522" s="32"/>
    </row>
    <row r="523" spans="2:38"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c r="AK523" s="32"/>
      <c r="AL523" s="32"/>
    </row>
    <row r="524" spans="2:38"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c r="AK524" s="32"/>
      <c r="AL524" s="32"/>
    </row>
    <row r="525" spans="2:38"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c r="AK525" s="32"/>
      <c r="AL525" s="32"/>
    </row>
    <row r="526" spans="2:38"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c r="AK526" s="32"/>
      <c r="AL526" s="32"/>
    </row>
    <row r="527" spans="2:38"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c r="AK527" s="32"/>
      <c r="AL527" s="32"/>
    </row>
    <row r="528" spans="2:38"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c r="AK528" s="32"/>
      <c r="AL528" s="32"/>
    </row>
    <row r="529" spans="2:38"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c r="AK529" s="32"/>
      <c r="AL529" s="32"/>
    </row>
    <row r="530" spans="2:38"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c r="AK530" s="32"/>
      <c r="AL530" s="32"/>
    </row>
    <row r="531" spans="2:38"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c r="AK531" s="32"/>
      <c r="AL531" s="32"/>
    </row>
    <row r="532" spans="2:38"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c r="AK532" s="32"/>
      <c r="AL532" s="32"/>
    </row>
    <row r="533" spans="2:38"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c r="AK533" s="32"/>
      <c r="AL533" s="32"/>
    </row>
    <row r="534" spans="2:38"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c r="AK534" s="32"/>
      <c r="AL534" s="32"/>
    </row>
    <row r="535" spans="2:38"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c r="AK535" s="32"/>
      <c r="AL535" s="32"/>
    </row>
    <row r="536" spans="2:38"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c r="AK536" s="32"/>
      <c r="AL536" s="32"/>
    </row>
    <row r="537" spans="2:38"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c r="AK537" s="32"/>
      <c r="AL537" s="32"/>
    </row>
    <row r="538" spans="2:38"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c r="AK538" s="32"/>
      <c r="AL538" s="32"/>
    </row>
    <row r="539" spans="2:38"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c r="AK539" s="32"/>
      <c r="AL539" s="32"/>
    </row>
    <row r="540" spans="2:38"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c r="AK540" s="32"/>
      <c r="AL540" s="32"/>
    </row>
    <row r="541" spans="2:38"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c r="AK541" s="32"/>
      <c r="AL541" s="32"/>
    </row>
    <row r="542" spans="2:38"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c r="AK542" s="32"/>
      <c r="AL542" s="32"/>
    </row>
    <row r="543" spans="2:38"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c r="AK543" s="32"/>
      <c r="AL543" s="32"/>
    </row>
    <row r="544" spans="2:38"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c r="AK544" s="32"/>
      <c r="AL544" s="32"/>
    </row>
    <row r="545" spans="2:38"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c r="AK545" s="32"/>
      <c r="AL545" s="32"/>
    </row>
    <row r="546" spans="2:38"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c r="AK546" s="32"/>
      <c r="AL546" s="32"/>
    </row>
    <row r="547" spans="2:38"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c r="AK547" s="32"/>
      <c r="AL547" s="32"/>
    </row>
    <row r="548" spans="2:38"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c r="AK548" s="32"/>
      <c r="AL548" s="32"/>
    </row>
    <row r="549" spans="2:38"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c r="AK549" s="32"/>
      <c r="AL549" s="32"/>
    </row>
    <row r="550" spans="2:38"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c r="AK550" s="32"/>
      <c r="AL550" s="32"/>
    </row>
    <row r="551" spans="2:38"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c r="AK551" s="32"/>
      <c r="AL551" s="32"/>
    </row>
    <row r="552" spans="2:38"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c r="AK552" s="32"/>
      <c r="AL552" s="32"/>
    </row>
    <row r="553" spans="2:38"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c r="AK553" s="32"/>
      <c r="AL553" s="32"/>
    </row>
    <row r="554" spans="2:38"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c r="AK554" s="32"/>
      <c r="AL554" s="32"/>
    </row>
    <row r="555" spans="2:38"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c r="AK555" s="32"/>
      <c r="AL555" s="32"/>
    </row>
    <row r="556" spans="2:38"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c r="AK556" s="32"/>
      <c r="AL556" s="32"/>
    </row>
    <row r="557" spans="2:38"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c r="AK557" s="32"/>
      <c r="AL557" s="32"/>
    </row>
    <row r="558" spans="2:38"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c r="AK558" s="32"/>
      <c r="AL558" s="32"/>
    </row>
    <row r="559" spans="2:38"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c r="AK559" s="32"/>
      <c r="AL559" s="32"/>
    </row>
    <row r="560" spans="2:38"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c r="AK560" s="32"/>
      <c r="AL560" s="32"/>
    </row>
    <row r="561" spans="2:38"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c r="AK561" s="32"/>
      <c r="AL561" s="32"/>
    </row>
    <row r="562" spans="2:38"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c r="AK562" s="32"/>
      <c r="AL562" s="32"/>
    </row>
    <row r="563" spans="2:38"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c r="AK563" s="32"/>
      <c r="AL563" s="32"/>
    </row>
    <row r="564" spans="2:38"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c r="AK564" s="32"/>
      <c r="AL564" s="32"/>
    </row>
    <row r="565" spans="2:38"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c r="AK565" s="32"/>
      <c r="AL565" s="32"/>
    </row>
    <row r="566" spans="2:38"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c r="AK566" s="32"/>
      <c r="AL566" s="32"/>
    </row>
    <row r="567" spans="2:38"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c r="AK567" s="32"/>
      <c r="AL567" s="32"/>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294</v>
      </c>
      <c r="B1" s="23" t="s">
        <v>295</v>
      </c>
      <c r="C1" s="23" t="s">
        <v>296</v>
      </c>
      <c r="D1" s="23" t="s">
        <v>174</v>
      </c>
      <c r="E1" s="23" t="s">
        <v>293</v>
      </c>
    </row>
    <row r="2" spans="1:5" x14ac:dyDescent="0.2">
      <c r="A2" s="28" t="s">
        <v>214</v>
      </c>
      <c r="B2" t="s">
        <v>151</v>
      </c>
      <c r="C2" s="28" t="s">
        <v>118</v>
      </c>
      <c r="D2" t="s">
        <v>7</v>
      </c>
    </row>
    <row r="3" spans="1:5" x14ac:dyDescent="0.2">
      <c r="A3" s="28" t="s">
        <v>214</v>
      </c>
      <c r="B3" t="s">
        <v>151</v>
      </c>
      <c r="C3" s="28" t="s">
        <v>118</v>
      </c>
      <c r="D3" t="s">
        <v>31</v>
      </c>
    </row>
    <row r="4" spans="1:5" x14ac:dyDescent="0.2">
      <c r="A4" s="28" t="s">
        <v>214</v>
      </c>
      <c r="B4" t="s">
        <v>151</v>
      </c>
      <c r="C4" s="28" t="s">
        <v>118</v>
      </c>
      <c r="D4" t="s">
        <v>30</v>
      </c>
    </row>
    <row r="5" spans="1:5" x14ac:dyDescent="0.2">
      <c r="A5" s="28" t="s">
        <v>214</v>
      </c>
      <c r="B5" t="s">
        <v>151</v>
      </c>
      <c r="C5" s="28" t="s">
        <v>118</v>
      </c>
      <c r="D5" t="s">
        <v>152</v>
      </c>
      <c r="E5" t="s">
        <v>153</v>
      </c>
    </row>
    <row r="6" spans="1:5" x14ac:dyDescent="0.2">
      <c r="A6" s="28" t="s">
        <v>214</v>
      </c>
      <c r="B6" t="s">
        <v>151</v>
      </c>
      <c r="C6" s="28" t="s">
        <v>118</v>
      </c>
      <c r="D6" t="s">
        <v>152</v>
      </c>
      <c r="E6" t="s">
        <v>154</v>
      </c>
    </row>
    <row r="7" spans="1:5" x14ac:dyDescent="0.2">
      <c r="A7" s="28"/>
      <c r="C7" s="28"/>
    </row>
    <row r="8" spans="1:5" x14ac:dyDescent="0.2">
      <c r="A8" s="28" t="s">
        <v>213</v>
      </c>
      <c r="B8" t="s">
        <v>85</v>
      </c>
      <c r="C8" t="s">
        <v>93</v>
      </c>
      <c r="D8" s="28" t="s">
        <v>303</v>
      </c>
      <c r="E8" t="s">
        <v>159</v>
      </c>
    </row>
    <row r="9" spans="1:5" x14ac:dyDescent="0.2">
      <c r="A9" s="28" t="s">
        <v>213</v>
      </c>
      <c r="B9" t="s">
        <v>85</v>
      </c>
      <c r="C9" t="s">
        <v>93</v>
      </c>
      <c r="D9" s="28" t="s">
        <v>303</v>
      </c>
      <c r="E9" t="s">
        <v>82</v>
      </c>
    </row>
    <row r="10" spans="1:5" x14ac:dyDescent="0.2">
      <c r="A10" s="28" t="s">
        <v>213</v>
      </c>
      <c r="B10" t="s">
        <v>85</v>
      </c>
      <c r="C10" t="s">
        <v>93</v>
      </c>
      <c r="D10" s="28" t="s">
        <v>303</v>
      </c>
      <c r="E10" t="s">
        <v>18</v>
      </c>
    </row>
    <row r="11" spans="1:5" x14ac:dyDescent="0.2">
      <c r="A11" s="28" t="s">
        <v>213</v>
      </c>
      <c r="B11" t="s">
        <v>85</v>
      </c>
      <c r="C11" t="s">
        <v>93</v>
      </c>
      <c r="D11" s="28" t="s">
        <v>303</v>
      </c>
      <c r="E11" t="s">
        <v>83</v>
      </c>
    </row>
    <row r="12" spans="1:5" x14ac:dyDescent="0.2">
      <c r="A12" s="28" t="s">
        <v>213</v>
      </c>
      <c r="B12" s="28" t="s">
        <v>85</v>
      </c>
      <c r="C12" s="28" t="s">
        <v>93</v>
      </c>
      <c r="D12" s="28" t="s">
        <v>27</v>
      </c>
    </row>
    <row r="13" spans="1:5" x14ac:dyDescent="0.2">
      <c r="A13" s="28"/>
      <c r="B13" s="28"/>
      <c r="C13" s="28"/>
      <c r="D13" s="28"/>
    </row>
    <row r="14" spans="1:5" x14ac:dyDescent="0.2">
      <c r="A14" s="28" t="s">
        <v>213</v>
      </c>
      <c r="B14" t="s">
        <v>85</v>
      </c>
      <c r="C14" t="s">
        <v>94</v>
      </c>
      <c r="D14" t="s">
        <v>9</v>
      </c>
      <c r="E14" t="s">
        <v>9</v>
      </c>
    </row>
    <row r="15" spans="1:5" x14ac:dyDescent="0.2">
      <c r="A15" s="28" t="s">
        <v>213</v>
      </c>
      <c r="B15" t="s">
        <v>85</v>
      </c>
      <c r="C15" t="s">
        <v>94</v>
      </c>
      <c r="D15" s="28" t="s">
        <v>167</v>
      </c>
      <c r="E15" t="s">
        <v>10</v>
      </c>
    </row>
    <row r="16" spans="1:5" x14ac:dyDescent="0.2">
      <c r="A16" s="28" t="s">
        <v>213</v>
      </c>
      <c r="B16" t="s">
        <v>85</v>
      </c>
      <c r="C16" t="s">
        <v>94</v>
      </c>
      <c r="D16" t="s">
        <v>11</v>
      </c>
      <c r="E16" t="s">
        <v>11</v>
      </c>
    </row>
    <row r="17" spans="1:5" x14ac:dyDescent="0.2">
      <c r="A17" s="28" t="s">
        <v>213</v>
      </c>
      <c r="B17" t="s">
        <v>85</v>
      </c>
      <c r="C17" t="s">
        <v>94</v>
      </c>
      <c r="D17" t="s">
        <v>12</v>
      </c>
      <c r="E17" t="s">
        <v>12</v>
      </c>
    </row>
    <row r="18" spans="1:5" x14ac:dyDescent="0.2">
      <c r="A18" s="28" t="s">
        <v>213</v>
      </c>
      <c r="B18" t="s">
        <v>85</v>
      </c>
      <c r="C18" t="s">
        <v>94</v>
      </c>
      <c r="D18" t="s">
        <v>84</v>
      </c>
      <c r="E18" t="s">
        <v>84</v>
      </c>
    </row>
    <row r="19" spans="1:5" x14ac:dyDescent="0.2">
      <c r="A19" s="28" t="s">
        <v>213</v>
      </c>
      <c r="B19" s="28" t="s">
        <v>85</v>
      </c>
      <c r="C19" t="s">
        <v>94</v>
      </c>
      <c r="D19" s="28" t="s">
        <v>28</v>
      </c>
    </row>
    <row r="20" spans="1:5" x14ac:dyDescent="0.2">
      <c r="A20" s="28"/>
      <c r="B20" s="28"/>
      <c r="D20" s="28"/>
    </row>
    <row r="21" spans="1:5" x14ac:dyDescent="0.2">
      <c r="A21" s="28" t="s">
        <v>213</v>
      </c>
      <c r="B21" s="28" t="s">
        <v>299</v>
      </c>
      <c r="C21" s="28" t="s">
        <v>93</v>
      </c>
      <c r="D21" s="28" t="s">
        <v>6</v>
      </c>
      <c r="E21" s="28" t="s">
        <v>301</v>
      </c>
    </row>
    <row r="22" spans="1:5" x14ac:dyDescent="0.2">
      <c r="A22" s="28" t="s">
        <v>213</v>
      </c>
      <c r="B22" s="28" t="s">
        <v>299</v>
      </c>
      <c r="C22" s="28" t="s">
        <v>94</v>
      </c>
      <c r="D22" s="28" t="s">
        <v>17</v>
      </c>
      <c r="E22" s="28" t="s">
        <v>300</v>
      </c>
    </row>
    <row r="23" spans="1:5" x14ac:dyDescent="0.2">
      <c r="A23" s="28"/>
      <c r="B23" s="28"/>
      <c r="C23" s="28"/>
      <c r="D23" s="28"/>
      <c r="E23" s="28"/>
    </row>
    <row r="24" spans="1:5" x14ac:dyDescent="0.2">
      <c r="A24" s="28" t="s">
        <v>213</v>
      </c>
      <c r="B24" s="28" t="s">
        <v>297</v>
      </c>
      <c r="C24" s="28" t="s">
        <v>241</v>
      </c>
      <c r="D24" s="28" t="s">
        <v>87</v>
      </c>
    </row>
    <row r="25" spans="1:5" x14ac:dyDescent="0.2">
      <c r="A25" s="28"/>
      <c r="B25" s="28"/>
      <c r="C25" s="28"/>
      <c r="D25" s="28"/>
    </row>
    <row r="26" spans="1:5" x14ac:dyDescent="0.2">
      <c r="A26" s="28" t="s">
        <v>213</v>
      </c>
      <c r="B26" s="28" t="s">
        <v>297</v>
      </c>
      <c r="C26" t="s">
        <v>94</v>
      </c>
      <c r="D26" s="28" t="s">
        <v>289</v>
      </c>
      <c r="E26" t="s">
        <v>74</v>
      </c>
    </row>
    <row r="27" spans="1:5" x14ac:dyDescent="0.2">
      <c r="A27" s="28" t="s">
        <v>213</v>
      </c>
      <c r="B27" s="28" t="s">
        <v>297</v>
      </c>
      <c r="C27" t="s">
        <v>94</v>
      </c>
      <c r="D27" s="28" t="s">
        <v>289</v>
      </c>
      <c r="E27" t="s">
        <v>75</v>
      </c>
    </row>
    <row r="28" spans="1:5" x14ac:dyDescent="0.2">
      <c r="A28" s="28" t="s">
        <v>213</v>
      </c>
      <c r="B28" s="28" t="s">
        <v>297</v>
      </c>
      <c r="C28" t="s">
        <v>94</v>
      </c>
      <c r="D28" t="s">
        <v>32</v>
      </c>
      <c r="E28" t="s">
        <v>77</v>
      </c>
    </row>
    <row r="29" spans="1:5" x14ac:dyDescent="0.2">
      <c r="A29" s="28" t="s">
        <v>213</v>
      </c>
      <c r="B29" s="28" t="s">
        <v>297</v>
      </c>
      <c r="C29" t="s">
        <v>94</v>
      </c>
      <c r="D29" s="28" t="s">
        <v>263</v>
      </c>
      <c r="E29" s="28" t="s">
        <v>305</v>
      </c>
    </row>
    <row r="30" spans="1:5" x14ac:dyDescent="0.2">
      <c r="A30" s="28" t="s">
        <v>213</v>
      </c>
      <c r="B30" s="28" t="s">
        <v>297</v>
      </c>
      <c r="C30" t="s">
        <v>94</v>
      </c>
      <c r="D30" s="28" t="s">
        <v>263</v>
      </c>
      <c r="E30" s="28" t="s">
        <v>306</v>
      </c>
    </row>
    <row r="31" spans="1:5" x14ac:dyDescent="0.2">
      <c r="A31" s="28" t="s">
        <v>213</v>
      </c>
      <c r="B31" s="28" t="s">
        <v>297</v>
      </c>
      <c r="C31" t="s">
        <v>94</v>
      </c>
      <c r="D31" s="28" t="s">
        <v>290</v>
      </c>
      <c r="E31" s="28" t="s">
        <v>308</v>
      </c>
    </row>
    <row r="32" spans="1:5" x14ac:dyDescent="0.2">
      <c r="A32" s="28"/>
      <c r="B32" s="28"/>
    </row>
    <row r="33" spans="1:5" x14ac:dyDescent="0.2">
      <c r="A33" s="28" t="s">
        <v>213</v>
      </c>
      <c r="B33" s="28" t="s">
        <v>297</v>
      </c>
      <c r="C33" t="s">
        <v>93</v>
      </c>
      <c r="D33" t="s">
        <v>2</v>
      </c>
      <c r="E33" t="s">
        <v>73</v>
      </c>
    </row>
    <row r="34" spans="1:5" x14ac:dyDescent="0.2">
      <c r="A34" s="28" t="s">
        <v>213</v>
      </c>
      <c r="B34" s="28" t="s">
        <v>297</v>
      </c>
      <c r="C34" t="s">
        <v>93</v>
      </c>
      <c r="D34" s="28" t="s">
        <v>277</v>
      </c>
      <c r="E34" t="s">
        <v>76</v>
      </c>
    </row>
    <row r="35" spans="1:5" x14ac:dyDescent="0.2">
      <c r="A35" s="28" t="s">
        <v>213</v>
      </c>
      <c r="B35" s="28" t="s">
        <v>297</v>
      </c>
      <c r="C35" t="s">
        <v>93</v>
      </c>
      <c r="D35" s="28" t="s">
        <v>277</v>
      </c>
      <c r="E35" t="s">
        <v>78</v>
      </c>
    </row>
    <row r="36" spans="1:5" x14ac:dyDescent="0.2">
      <c r="A36" s="28" t="s">
        <v>213</v>
      </c>
      <c r="B36" s="28" t="s">
        <v>297</v>
      </c>
      <c r="C36" t="s">
        <v>93</v>
      </c>
      <c r="D36" s="28" t="s">
        <v>277</v>
      </c>
      <c r="E36" t="s">
        <v>79</v>
      </c>
    </row>
    <row r="37" spans="1:5" x14ac:dyDescent="0.2">
      <c r="A37" s="28" t="s">
        <v>213</v>
      </c>
      <c r="B37" s="28" t="s">
        <v>297</v>
      </c>
      <c r="C37" t="s">
        <v>93</v>
      </c>
      <c r="D37" s="28" t="s">
        <v>277</v>
      </c>
      <c r="E37" t="s">
        <v>80</v>
      </c>
    </row>
    <row r="38" spans="1:5" x14ac:dyDescent="0.2">
      <c r="A38" s="28" t="s">
        <v>213</v>
      </c>
      <c r="B38" s="28" t="s">
        <v>297</v>
      </c>
      <c r="C38" t="s">
        <v>93</v>
      </c>
      <c r="D38" t="s">
        <v>2</v>
      </c>
      <c r="E38" t="s">
        <v>81</v>
      </c>
    </row>
    <row r="39" spans="1:5" x14ac:dyDescent="0.2">
      <c r="A39" s="28" t="s">
        <v>213</v>
      </c>
      <c r="B39" s="28" t="s">
        <v>297</v>
      </c>
      <c r="C39" t="s">
        <v>93</v>
      </c>
      <c r="D39" s="28" t="s">
        <v>292</v>
      </c>
    </row>
    <row r="40" spans="1:5" x14ac:dyDescent="0.2">
      <c r="A40" s="28" t="s">
        <v>213</v>
      </c>
      <c r="B40" s="28" t="s">
        <v>297</v>
      </c>
      <c r="C40" t="s">
        <v>93</v>
      </c>
      <c r="D40" s="28" t="s">
        <v>290</v>
      </c>
      <c r="E40" s="28" t="s">
        <v>307</v>
      </c>
    </row>
    <row r="41" spans="1:5" x14ac:dyDescent="0.2">
      <c r="A41" s="28"/>
      <c r="B41" s="28"/>
      <c r="C41" s="28"/>
      <c r="D41" s="28"/>
    </row>
    <row r="42" spans="1:5" x14ac:dyDescent="0.2">
      <c r="A42" s="28" t="s">
        <v>213</v>
      </c>
      <c r="B42" t="s">
        <v>16</v>
      </c>
      <c r="C42" t="s">
        <v>93</v>
      </c>
      <c r="D42" t="s">
        <v>88</v>
      </c>
      <c r="E42" s="28" t="s">
        <v>238</v>
      </c>
    </row>
    <row r="43" spans="1:5" x14ac:dyDescent="0.2">
      <c r="A43" s="28" t="s">
        <v>213</v>
      </c>
      <c r="B43" t="s">
        <v>16</v>
      </c>
      <c r="C43" t="s">
        <v>93</v>
      </c>
      <c r="D43" t="s">
        <v>89</v>
      </c>
      <c r="E43" s="28" t="s">
        <v>239</v>
      </c>
    </row>
    <row r="44" spans="1:5" x14ac:dyDescent="0.2">
      <c r="A44" s="28" t="s">
        <v>213</v>
      </c>
      <c r="B44" t="s">
        <v>16</v>
      </c>
      <c r="C44" t="s">
        <v>93</v>
      </c>
      <c r="D44" t="s">
        <v>89</v>
      </c>
      <c r="E44" s="28" t="s">
        <v>240</v>
      </c>
    </row>
    <row r="45" spans="1:5" x14ac:dyDescent="0.2">
      <c r="A45" s="28"/>
      <c r="E45" s="28"/>
    </row>
    <row r="46" spans="1:5" x14ac:dyDescent="0.2">
      <c r="A46" s="28" t="s">
        <v>213</v>
      </c>
      <c r="B46" s="28" t="s">
        <v>302</v>
      </c>
      <c r="C46" s="28" t="s">
        <v>241</v>
      </c>
      <c r="D46" t="s">
        <v>90</v>
      </c>
    </row>
    <row r="47" spans="1:5" x14ac:dyDescent="0.2">
      <c r="A47" s="28"/>
      <c r="B47" s="28"/>
      <c r="C47" s="28"/>
    </row>
    <row r="48" spans="1:5" x14ac:dyDescent="0.2">
      <c r="A48" s="28" t="s">
        <v>213</v>
      </c>
      <c r="B48" s="28" t="s">
        <v>298</v>
      </c>
      <c r="C48" s="28" t="s">
        <v>241</v>
      </c>
      <c r="D48" s="28" t="s">
        <v>23</v>
      </c>
    </row>
    <row r="49" spans="1:5" x14ac:dyDescent="0.2">
      <c r="A49" s="28" t="s">
        <v>213</v>
      </c>
      <c r="B49" s="28" t="s">
        <v>298</v>
      </c>
      <c r="C49" s="28" t="s">
        <v>241</v>
      </c>
      <c r="D49" t="s">
        <v>95</v>
      </c>
      <c r="E49" t="s">
        <v>60</v>
      </c>
    </row>
    <row r="50" spans="1:5" x14ac:dyDescent="0.2">
      <c r="A50" s="28" t="s">
        <v>213</v>
      </c>
      <c r="B50" s="28" t="s">
        <v>298</v>
      </c>
      <c r="C50" s="28" t="s">
        <v>241</v>
      </c>
      <c r="D50" t="s">
        <v>95</v>
      </c>
      <c r="E50" t="s">
        <v>61</v>
      </c>
    </row>
    <row r="51" spans="1:5" x14ac:dyDescent="0.2">
      <c r="A51" s="28" t="s">
        <v>213</v>
      </c>
      <c r="B51" s="28" t="s">
        <v>298</v>
      </c>
      <c r="C51" s="28" t="s">
        <v>241</v>
      </c>
      <c r="D51" t="s">
        <v>95</v>
      </c>
      <c r="E51" t="s">
        <v>62</v>
      </c>
    </row>
    <row r="52" spans="1:5" x14ac:dyDescent="0.2">
      <c r="A52" s="28" t="s">
        <v>213</v>
      </c>
      <c r="B52" s="28" t="s">
        <v>298</v>
      </c>
      <c r="C52" s="28" t="s">
        <v>241</v>
      </c>
      <c r="D52" t="s">
        <v>95</v>
      </c>
      <c r="E52" t="s">
        <v>63</v>
      </c>
    </row>
    <row r="53" spans="1:5" x14ac:dyDescent="0.2">
      <c r="A53" s="28"/>
      <c r="B53" s="28"/>
      <c r="C53" s="28"/>
    </row>
    <row r="54" spans="1:5" x14ac:dyDescent="0.2">
      <c r="A54" s="28" t="s">
        <v>213</v>
      </c>
      <c r="B54" s="28" t="s">
        <v>298</v>
      </c>
      <c r="C54" t="s">
        <v>94</v>
      </c>
      <c r="D54" t="s">
        <v>32</v>
      </c>
      <c r="E54" t="s">
        <v>157</v>
      </c>
    </row>
    <row r="55" spans="1:5" x14ac:dyDescent="0.2">
      <c r="A55" s="28" t="s">
        <v>213</v>
      </c>
      <c r="B55" s="28" t="s">
        <v>298</v>
      </c>
      <c r="C55" t="s">
        <v>94</v>
      </c>
      <c r="D55" t="s">
        <v>20</v>
      </c>
      <c r="E55" t="s">
        <v>158</v>
      </c>
    </row>
    <row r="56" spans="1:5" x14ac:dyDescent="0.2">
      <c r="A56" s="28" t="s">
        <v>213</v>
      </c>
      <c r="B56" s="28" t="s">
        <v>298</v>
      </c>
      <c r="C56" t="s">
        <v>94</v>
      </c>
      <c r="D56" s="28" t="s">
        <v>166</v>
      </c>
    </row>
    <row r="57" spans="1:5" x14ac:dyDescent="0.2">
      <c r="A57" s="28"/>
      <c r="B57" s="28"/>
      <c r="D57" s="28"/>
    </row>
    <row r="58" spans="1:5" x14ac:dyDescent="0.2">
      <c r="A58" s="28" t="s">
        <v>213</v>
      </c>
      <c r="B58" s="28" t="s">
        <v>298</v>
      </c>
      <c r="C58" t="s">
        <v>93</v>
      </c>
      <c r="D58" t="s">
        <v>32</v>
      </c>
      <c r="E58" t="s">
        <v>0</v>
      </c>
    </row>
    <row r="59" spans="1:5" x14ac:dyDescent="0.2">
      <c r="A59" s="28" t="s">
        <v>213</v>
      </c>
      <c r="B59" s="28" t="s">
        <v>298</v>
      </c>
      <c r="C59" t="s">
        <v>93</v>
      </c>
      <c r="D59" t="s">
        <v>32</v>
      </c>
      <c r="E59" t="s">
        <v>48</v>
      </c>
    </row>
    <row r="60" spans="1:5" x14ac:dyDescent="0.2">
      <c r="A60" s="28" t="s">
        <v>213</v>
      </c>
      <c r="B60" s="28" t="s">
        <v>298</v>
      </c>
      <c r="C60" t="s">
        <v>93</v>
      </c>
      <c r="D60" t="s">
        <v>32</v>
      </c>
      <c r="E60" t="s">
        <v>49</v>
      </c>
    </row>
    <row r="61" spans="1:5" x14ac:dyDescent="0.2">
      <c r="A61" s="28" t="s">
        <v>213</v>
      </c>
      <c r="B61" s="28" t="s">
        <v>298</v>
      </c>
      <c r="C61" t="s">
        <v>93</v>
      </c>
      <c r="D61" t="s">
        <v>32</v>
      </c>
      <c r="E61" t="s">
        <v>50</v>
      </c>
    </row>
    <row r="62" spans="1:5" x14ac:dyDescent="0.2">
      <c r="A62" s="28" t="s">
        <v>213</v>
      </c>
      <c r="B62" s="28" t="s">
        <v>298</v>
      </c>
      <c r="C62" t="s">
        <v>93</v>
      </c>
      <c r="D62" t="s">
        <v>32</v>
      </c>
      <c r="E62" t="s">
        <v>51</v>
      </c>
    </row>
    <row r="63" spans="1:5" x14ac:dyDescent="0.2">
      <c r="A63" s="28" t="s">
        <v>213</v>
      </c>
      <c r="B63" s="28" t="s">
        <v>298</v>
      </c>
      <c r="C63" t="s">
        <v>93</v>
      </c>
      <c r="D63" s="28" t="s">
        <v>277</v>
      </c>
      <c r="E63" t="s">
        <v>155</v>
      </c>
    </row>
    <row r="64" spans="1:5" x14ac:dyDescent="0.2">
      <c r="A64" s="28" t="s">
        <v>213</v>
      </c>
      <c r="B64" s="28" t="s">
        <v>298</v>
      </c>
      <c r="C64" t="s">
        <v>93</v>
      </c>
      <c r="D64" s="28" t="s">
        <v>277</v>
      </c>
      <c r="E64" s="28" t="s">
        <v>236</v>
      </c>
    </row>
    <row r="65" spans="1:5" x14ac:dyDescent="0.2">
      <c r="A65" s="28" t="s">
        <v>213</v>
      </c>
      <c r="B65" s="28" t="s">
        <v>298</v>
      </c>
      <c r="C65" t="s">
        <v>93</v>
      </c>
      <c r="D65" s="28" t="s">
        <v>277</v>
      </c>
      <c r="E65" t="s">
        <v>52</v>
      </c>
    </row>
    <row r="66" spans="1:5" x14ac:dyDescent="0.2">
      <c r="A66" s="28" t="s">
        <v>213</v>
      </c>
      <c r="B66" s="28" t="s">
        <v>298</v>
      </c>
      <c r="C66" t="s">
        <v>93</v>
      </c>
      <c r="D66" t="s">
        <v>20</v>
      </c>
      <c r="E66" t="s">
        <v>53</v>
      </c>
    </row>
    <row r="67" spans="1:5" x14ac:dyDescent="0.2">
      <c r="A67" s="28" t="s">
        <v>213</v>
      </c>
      <c r="B67" s="28" t="s">
        <v>298</v>
      </c>
      <c r="C67" t="s">
        <v>93</v>
      </c>
      <c r="D67" t="s">
        <v>20</v>
      </c>
      <c r="E67" t="s">
        <v>156</v>
      </c>
    </row>
    <row r="68" spans="1:5" x14ac:dyDescent="0.2">
      <c r="A68" s="28" t="s">
        <v>213</v>
      </c>
      <c r="B68" s="28" t="s">
        <v>298</v>
      </c>
      <c r="C68" t="s">
        <v>93</v>
      </c>
      <c r="D68" t="s">
        <v>20</v>
      </c>
      <c r="E68" t="s">
        <v>54</v>
      </c>
    </row>
    <row r="69" spans="1:5" x14ac:dyDescent="0.2">
      <c r="A69" s="28" t="s">
        <v>213</v>
      </c>
      <c r="B69" s="28" t="s">
        <v>298</v>
      </c>
      <c r="C69" t="s">
        <v>93</v>
      </c>
      <c r="D69" t="s">
        <v>20</v>
      </c>
      <c r="E69" s="28" t="s">
        <v>237</v>
      </c>
    </row>
    <row r="70" spans="1:5" x14ac:dyDescent="0.2">
      <c r="A70" s="28" t="s">
        <v>213</v>
      </c>
      <c r="B70" s="28" t="s">
        <v>298</v>
      </c>
      <c r="C70" t="s">
        <v>93</v>
      </c>
      <c r="D70" s="28" t="s">
        <v>291</v>
      </c>
      <c r="E70" t="s">
        <v>55</v>
      </c>
    </row>
    <row r="71" spans="1:5" x14ac:dyDescent="0.2">
      <c r="A71" s="28" t="s">
        <v>213</v>
      </c>
      <c r="B71" s="28" t="s">
        <v>298</v>
      </c>
      <c r="C71" t="s">
        <v>93</v>
      </c>
      <c r="D71" s="28" t="s">
        <v>291</v>
      </c>
      <c r="E71" t="s">
        <v>56</v>
      </c>
    </row>
    <row r="72" spans="1:5" x14ac:dyDescent="0.2">
      <c r="A72" s="28" t="s">
        <v>213</v>
      </c>
      <c r="B72" s="28" t="s">
        <v>298</v>
      </c>
      <c r="C72" t="s">
        <v>93</v>
      </c>
      <c r="D72" t="s">
        <v>1</v>
      </c>
      <c r="E72" t="s">
        <v>57</v>
      </c>
    </row>
    <row r="73" spans="1:5" x14ac:dyDescent="0.2">
      <c r="A73" s="28" t="s">
        <v>213</v>
      </c>
      <c r="B73" s="28" t="s">
        <v>298</v>
      </c>
      <c r="C73" t="s">
        <v>93</v>
      </c>
      <c r="D73" t="s">
        <v>1</v>
      </c>
      <c r="E73" t="s">
        <v>58</v>
      </c>
    </row>
    <row r="74" spans="1:5" x14ac:dyDescent="0.2">
      <c r="A74" s="28" t="s">
        <v>213</v>
      </c>
      <c r="B74" s="28" t="s">
        <v>298</v>
      </c>
      <c r="C74" t="s">
        <v>93</v>
      </c>
      <c r="D74" s="28" t="s">
        <v>277</v>
      </c>
      <c r="E74" t="s">
        <v>59</v>
      </c>
    </row>
    <row r="75" spans="1:5" x14ac:dyDescent="0.2">
      <c r="A75" s="28" t="s">
        <v>213</v>
      </c>
      <c r="B75" s="28" t="s">
        <v>298</v>
      </c>
      <c r="C75" t="s">
        <v>93</v>
      </c>
      <c r="D75" s="28" t="s">
        <v>277</v>
      </c>
      <c r="E75" t="s">
        <v>60</v>
      </c>
    </row>
    <row r="76" spans="1:5" x14ac:dyDescent="0.2">
      <c r="A76" s="28" t="s">
        <v>213</v>
      </c>
      <c r="B76" s="28" t="s">
        <v>298</v>
      </c>
      <c r="C76" t="s">
        <v>93</v>
      </c>
      <c r="D76" s="28" t="s">
        <v>277</v>
      </c>
      <c r="E76" t="s">
        <v>61</v>
      </c>
    </row>
    <row r="77" spans="1:5" x14ac:dyDescent="0.2">
      <c r="A77" s="28" t="s">
        <v>213</v>
      </c>
      <c r="B77" s="28" t="s">
        <v>298</v>
      </c>
      <c r="C77" t="s">
        <v>93</v>
      </c>
      <c r="D77" s="28" t="s">
        <v>277</v>
      </c>
      <c r="E77" t="s">
        <v>62</v>
      </c>
    </row>
    <row r="78" spans="1:5" x14ac:dyDescent="0.2">
      <c r="A78" s="28" t="s">
        <v>213</v>
      </c>
      <c r="B78" s="28" t="s">
        <v>298</v>
      </c>
      <c r="C78" t="s">
        <v>93</v>
      </c>
      <c r="D78" s="28" t="s">
        <v>277</v>
      </c>
      <c r="E78" t="s">
        <v>63</v>
      </c>
    </row>
    <row r="79" spans="1:5" x14ac:dyDescent="0.2">
      <c r="A79" s="28" t="s">
        <v>213</v>
      </c>
      <c r="B79" s="28" t="s">
        <v>298</v>
      </c>
      <c r="C79" t="s">
        <v>93</v>
      </c>
      <c r="D79" s="28" t="s">
        <v>291</v>
      </c>
      <c r="E79" t="s">
        <v>64</v>
      </c>
    </row>
    <row r="80" spans="1:5" x14ac:dyDescent="0.2">
      <c r="A80" s="28" t="s">
        <v>213</v>
      </c>
      <c r="B80" s="28" t="s">
        <v>298</v>
      </c>
      <c r="C80" t="s">
        <v>93</v>
      </c>
      <c r="D80" s="28" t="s">
        <v>277</v>
      </c>
      <c r="E80" t="s">
        <v>65</v>
      </c>
    </row>
    <row r="81" spans="1:5" x14ac:dyDescent="0.2">
      <c r="A81" s="28" t="s">
        <v>213</v>
      </c>
      <c r="B81" s="28" t="s">
        <v>298</v>
      </c>
      <c r="C81" t="s">
        <v>93</v>
      </c>
      <c r="D81" s="28" t="s">
        <v>277</v>
      </c>
      <c r="E81" t="s">
        <v>66</v>
      </c>
    </row>
    <row r="82" spans="1:5" x14ac:dyDescent="0.2">
      <c r="A82" s="28" t="s">
        <v>213</v>
      </c>
      <c r="B82" s="28" t="s">
        <v>298</v>
      </c>
      <c r="C82" t="s">
        <v>93</v>
      </c>
      <c r="D82" s="28" t="s">
        <v>277</v>
      </c>
      <c r="E82" t="s">
        <v>67</v>
      </c>
    </row>
    <row r="83" spans="1:5" x14ac:dyDescent="0.2">
      <c r="A83" s="28" t="s">
        <v>213</v>
      </c>
      <c r="B83" s="28" t="s">
        <v>298</v>
      </c>
      <c r="C83" t="s">
        <v>93</v>
      </c>
      <c r="D83" s="28" t="s">
        <v>277</v>
      </c>
      <c r="E83" t="s">
        <v>68</v>
      </c>
    </row>
    <row r="84" spans="1:5" x14ac:dyDescent="0.2">
      <c r="A84" s="28" t="s">
        <v>213</v>
      </c>
      <c r="B84" s="28" t="s">
        <v>298</v>
      </c>
      <c r="C84" t="s">
        <v>93</v>
      </c>
      <c r="D84" s="28" t="s">
        <v>277</v>
      </c>
      <c r="E84" t="s">
        <v>69</v>
      </c>
    </row>
    <row r="85" spans="1:5" x14ac:dyDescent="0.2">
      <c r="A85" s="28" t="s">
        <v>213</v>
      </c>
      <c r="B85" s="28" t="s">
        <v>298</v>
      </c>
      <c r="C85" t="s">
        <v>93</v>
      </c>
      <c r="D85" s="28" t="s">
        <v>277</v>
      </c>
      <c r="E85" t="s">
        <v>70</v>
      </c>
    </row>
    <row r="86" spans="1:5" x14ac:dyDescent="0.2">
      <c r="A86" s="28" t="s">
        <v>213</v>
      </c>
      <c r="B86" s="28" t="s">
        <v>298</v>
      </c>
      <c r="C86" t="s">
        <v>93</v>
      </c>
      <c r="D86" s="28" t="s">
        <v>277</v>
      </c>
      <c r="E86" t="s">
        <v>71</v>
      </c>
    </row>
    <row r="87" spans="1:5" x14ac:dyDescent="0.2">
      <c r="A87" s="28" t="s">
        <v>213</v>
      </c>
      <c r="B87" s="28" t="s">
        <v>298</v>
      </c>
      <c r="C87" s="28" t="s">
        <v>93</v>
      </c>
      <c r="D87" s="28" t="s">
        <v>195</v>
      </c>
    </row>
    <row r="88" spans="1:5" x14ac:dyDescent="0.2">
      <c r="A88" s="28" t="s">
        <v>213</v>
      </c>
      <c r="B88" s="28" t="s">
        <v>298</v>
      </c>
      <c r="C88" s="28" t="s">
        <v>93</v>
      </c>
      <c r="D88" s="28" t="s">
        <v>304</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D30"/>
  <sheetViews>
    <sheetView workbookViewId="0"/>
  </sheetViews>
  <sheetFormatPr defaultRowHeight="12.75" x14ac:dyDescent="0.2"/>
  <cols>
    <col min="1" max="1" width="10.140625" bestFit="1" customWidth="1"/>
    <col min="2" max="2" width="30.5703125" bestFit="1" customWidth="1"/>
    <col min="3" max="3" width="16.5703125" bestFit="1" customWidth="1"/>
    <col min="4" max="4" width="22.85546875" bestFit="1" customWidth="1"/>
  </cols>
  <sheetData>
    <row r="1" spans="1:4" s="23" customFormat="1" ht="15" x14ac:dyDescent="0.35">
      <c r="A1" s="23" t="s">
        <v>194</v>
      </c>
      <c r="B1" s="23" t="s">
        <v>174</v>
      </c>
      <c r="C1" s="169" t="s">
        <v>177</v>
      </c>
      <c r="D1" s="23" t="s">
        <v>343</v>
      </c>
    </row>
    <row r="2" spans="1:4" x14ac:dyDescent="0.2">
      <c r="A2" t="str" cm="1">
        <f t="array" ref="A2:A5">_xlfn.UNIQUE(_xlfn._xlws.FILTER('Categorized Inputs'!$D:$D,'Categorized Inputs'!$B:$B="Asset"))</f>
        <v>Cash</v>
      </c>
      <c r="B2" t="str" cm="1">
        <f t="array" ref="B2:B30">_xlfn.UNIQUE(_xlfn._xlws.FILTER('Categorized Inputs'!$D:$D,'Categorized Inputs'!$A:$A="Cash Flow"))</f>
        <v>Salary &amp; Paychecks</v>
      </c>
      <c r="C2" t="s">
        <v>178</v>
      </c>
      <c r="D2" cm="1">
        <f t="array" ref="D2">_xlfn._xlws.SORT(_xlfn.UNIQUE(_xlfn.VSTACK('Credit Cards'!B4:B24,Loans!B4:B99)),,1)</f>
        <v>0</v>
      </c>
    </row>
    <row r="3" spans="1:4" x14ac:dyDescent="0.2">
      <c r="A3" t="str">
        <v>Brokerage</v>
      </c>
      <c r="B3" t="str">
        <v>Other Earnings</v>
      </c>
      <c r="C3" t="s">
        <v>179</v>
      </c>
    </row>
    <row r="4" spans="1:4" x14ac:dyDescent="0.2">
      <c r="A4" t="str">
        <v>Retirement</v>
      </c>
      <c r="B4" t="str">
        <v>Bonus</v>
      </c>
      <c r="C4" t="s">
        <v>180</v>
      </c>
    </row>
    <row r="5" spans="1:4" x14ac:dyDescent="0.2">
      <c r="A5" t="str">
        <v>Real Asset</v>
      </c>
      <c r="B5" t="str">
        <v>Friend Receivable</v>
      </c>
      <c r="C5" t="s">
        <v>181</v>
      </c>
    </row>
    <row r="6" spans="1:4" x14ac:dyDescent="0.2">
      <c r="B6" t="str">
        <v>Selling &amp; Refunds</v>
      </c>
    </row>
    <row r="7" spans="1:4" x14ac:dyDescent="0.2">
      <c r="B7" t="str">
        <v>Brokerage Cashout</v>
      </c>
    </row>
    <row r="8" spans="1:4" x14ac:dyDescent="0.2">
      <c r="B8" t="str">
        <v>Other</v>
      </c>
    </row>
    <row r="9" spans="1:4" x14ac:dyDescent="0.2">
      <c r="B9" t="str">
        <v>Other Inflows</v>
      </c>
    </row>
    <row r="10" spans="1:4" x14ac:dyDescent="0.2">
      <c r="B10" t="str">
        <v>Loans</v>
      </c>
    </row>
    <row r="11" spans="1:4" x14ac:dyDescent="0.2">
      <c r="B11" t="str">
        <v>Credit Cards</v>
      </c>
    </row>
    <row r="12" spans="1:4" x14ac:dyDescent="0.2">
      <c r="B12" t="str">
        <v>Retirement Deductions</v>
      </c>
    </row>
    <row r="13" spans="1:4" x14ac:dyDescent="0.2">
      <c r="B13" t="str">
        <v>Events &amp; Entertainment</v>
      </c>
    </row>
    <row r="14" spans="1:4" x14ac:dyDescent="0.2">
      <c r="B14" t="str">
        <v>Housing</v>
      </c>
    </row>
    <row r="15" spans="1:4" x14ac:dyDescent="0.2">
      <c r="B15" t="str">
        <v>Travel</v>
      </c>
    </row>
    <row r="16" spans="1:4"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7" customWidth="1"/>
    <col min="2" max="16384" width="9.140625" style="27"/>
  </cols>
  <sheetData>
    <row r="5" spans="2:2" x14ac:dyDescent="0.2">
      <c r="B5" s="16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README</vt:lpstr>
      <vt:lpstr>SUMMARIES→</vt:lpstr>
      <vt:lpstr>NTM</vt:lpstr>
      <vt:lpstr>Balances &amp; Actions</vt:lpstr>
      <vt:lpstr>Visuals</vt:lpstr>
      <vt:lpstr>Archive</vt:lpstr>
      <vt:lpstr>WORKING→</vt:lpstr>
      <vt:lpstr>Assets</vt:lpstr>
      <vt:lpstr>Credit Cards</vt:lpstr>
      <vt:lpstr>Loans</vt:lpstr>
      <vt:lpstr>Loyalty Points &amp; Miles</vt:lpstr>
      <vt:lpstr>Recurring</vt:lpstr>
      <vt:lpstr>Precedents</vt:lpstr>
      <vt:lpstr>Changes</vt:lpstr>
      <vt:lpstr>Planned</vt:lpstr>
      <vt:lpstr>Blanket</vt:lpstr>
      <vt:lpstr>OPTIONAL→</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keywords>v6</cp:keywords>
  <cp:lastModifiedBy>Joe Renner</cp:lastModifiedBy>
  <dcterms:created xsi:type="dcterms:W3CDTF">2024-07-21T15:21:17Z</dcterms:created>
  <dcterms:modified xsi:type="dcterms:W3CDTF">2025-03-29T20:57:38Z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